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 Analytics Projects\ACC 3000 Fall 2024\"/>
    </mc:Choice>
  </mc:AlternateContent>
  <xr:revisionPtr revIDLastSave="0" documentId="8_{B3652E5E-D82C-4B00-9703-CA559947FBC1}" xr6:coauthVersionLast="36" xr6:coauthVersionMax="36" xr10:uidLastSave="{00000000-0000-0000-0000-000000000000}"/>
  <bookViews>
    <workbookView xWindow="6930" yWindow="525" windowWidth="18525" windowHeight="11205" xr2:uid="{00000000-000D-0000-FFFF-FFFF00000000}"/>
  </bookViews>
  <sheets>
    <sheet name="Title Page" sheetId="2" r:id="rId1"/>
    <sheet name="Solution" sheetId="7" state="hidden" r:id="rId2"/>
    <sheet name="Sales" sheetId="5" state="hidden" r:id="rId3"/>
    <sheet name="Warranties &amp; Returns" sheetId="6" state="hidden" r:id="rId4"/>
    <sheet name="Reference" sheetId="1" state="hidden" r:id="rId5"/>
  </sheets>
  <definedNames>
    <definedName name="PriceRange">Reference!$C$7:$G$7</definedName>
    <definedName name="SalesRange">Reference!$C$8:$G$8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F6" i="1" s="1"/>
  <c r="G4" i="1"/>
  <c r="G6" i="1" s="1"/>
  <c r="F7" i="1"/>
  <c r="G7" i="1"/>
  <c r="F11" i="1"/>
  <c r="F12" i="1" s="1"/>
  <c r="G11" i="1"/>
  <c r="G12" i="1" s="1"/>
  <c r="F5" i="1" l="1"/>
  <c r="G5" i="1"/>
  <c r="G13" i="1"/>
  <c r="F13" i="1"/>
  <c r="C11" i="1"/>
  <c r="C12" i="1" s="1"/>
  <c r="E11" i="1"/>
  <c r="E12" i="1" s="1"/>
  <c r="D11" i="1"/>
  <c r="D12" i="1" s="1"/>
  <c r="D13" i="1" l="1"/>
  <c r="E13" i="1"/>
  <c r="C13" i="1"/>
  <c r="C4" i="1"/>
  <c r="C6" i="1" s="1"/>
  <c r="D4" i="5"/>
  <c r="B4" i="5"/>
  <c r="B4" i="6"/>
  <c r="D4" i="6"/>
  <c r="E7" i="1"/>
  <c r="D7" i="1"/>
  <c r="C7" i="1"/>
  <c r="E4" i="1"/>
  <c r="E6" i="1" s="1"/>
  <c r="D4" i="1"/>
  <c r="D6" i="1" s="1"/>
  <c r="F8" i="1" l="1"/>
  <c r="F14" i="1"/>
  <c r="G8" i="1"/>
  <c r="G14" i="1"/>
  <c r="F9" i="1"/>
  <c r="G9" i="1"/>
  <c r="E9" i="1"/>
  <c r="C9" i="1"/>
  <c r="D9" i="1"/>
  <c r="E5" i="1"/>
  <c r="D5" i="1"/>
  <c r="C5" i="1"/>
  <c r="C8" i="1"/>
  <c r="E8" i="1"/>
  <c r="D8" i="1"/>
  <c r="C14" i="1"/>
  <c r="D14" i="1"/>
  <c r="E14" i="1"/>
  <c r="G10" i="1" l="1"/>
  <c r="F10" i="1"/>
  <c r="D6" i="5"/>
  <c r="B6" i="5"/>
  <c r="D10" i="1"/>
  <c r="E10" i="1"/>
  <c r="C10" i="1"/>
  <c r="C15" i="1"/>
  <c r="E6" i="5" l="1"/>
  <c r="C6" i="5"/>
  <c r="B329" i="5" l="1"/>
  <c r="C329" i="5" s="1"/>
  <c r="D329" i="5"/>
  <c r="E329" i="5" s="1"/>
  <c r="B164" i="5"/>
  <c r="C164" i="5" s="1"/>
  <c r="D164" i="5"/>
  <c r="E164" i="5" s="1"/>
  <c r="B381" i="5"/>
  <c r="C381" i="5" s="1"/>
  <c r="D381" i="5"/>
  <c r="E381" i="5" s="1"/>
  <c r="B167" i="5"/>
  <c r="C167" i="5" s="1"/>
  <c r="D167" i="5"/>
  <c r="E167" i="5" s="1"/>
  <c r="B431" i="5"/>
  <c r="C431" i="5" s="1"/>
  <c r="D431" i="5"/>
  <c r="E431" i="5" s="1"/>
  <c r="B719" i="5"/>
  <c r="C719" i="5" s="1"/>
  <c r="D719" i="5"/>
  <c r="E719" i="5" s="1"/>
  <c r="B959" i="5"/>
  <c r="C959" i="5" s="1"/>
  <c r="D959" i="5"/>
  <c r="E959" i="5" s="1"/>
  <c r="B1151" i="5"/>
  <c r="C1151" i="5" s="1"/>
  <c r="D1151" i="5"/>
  <c r="E1151" i="5" s="1"/>
  <c r="B1535" i="5"/>
  <c r="C1535" i="5" s="1"/>
  <c r="D1535" i="5"/>
  <c r="E1535" i="5" s="1"/>
  <c r="B2015" i="5"/>
  <c r="C2015" i="5" s="1"/>
  <c r="D2015" i="5"/>
  <c r="E2015" i="5" s="1"/>
  <c r="B312" i="5"/>
  <c r="C312" i="5" s="1"/>
  <c r="D312" i="5"/>
  <c r="E312" i="5" s="1"/>
  <c r="B648" i="5"/>
  <c r="C648" i="5" s="1"/>
  <c r="D648" i="5"/>
  <c r="E648" i="5" s="1"/>
  <c r="B936" i="5"/>
  <c r="C936" i="5" s="1"/>
  <c r="D936" i="5"/>
  <c r="E936" i="5" s="1"/>
  <c r="B1176" i="5"/>
  <c r="C1176" i="5" s="1"/>
  <c r="D1176" i="5"/>
  <c r="E1176" i="5" s="1"/>
  <c r="B1416" i="5"/>
  <c r="C1416" i="5" s="1"/>
  <c r="D1416" i="5"/>
  <c r="E1416" i="5" s="1"/>
  <c r="B1560" i="5"/>
  <c r="C1560" i="5" s="1"/>
  <c r="D1560" i="5"/>
  <c r="E1560" i="5" s="1"/>
  <c r="B1656" i="5"/>
  <c r="C1656" i="5" s="1"/>
  <c r="D1656" i="5"/>
  <c r="E1656" i="5" s="1"/>
  <c r="B1752" i="5"/>
  <c r="C1752" i="5" s="1"/>
  <c r="D1752" i="5"/>
  <c r="E1752" i="5" s="1"/>
  <c r="B1872" i="5"/>
  <c r="C1872" i="5" s="1"/>
  <c r="D1872" i="5"/>
  <c r="E1872" i="5" s="1"/>
  <c r="B1968" i="5"/>
  <c r="C1968" i="5" s="1"/>
  <c r="D1968" i="5"/>
  <c r="E1968" i="5" s="1"/>
  <c r="B2064" i="5"/>
  <c r="C2064" i="5" s="1"/>
  <c r="D2064" i="5"/>
  <c r="E2064" i="5" s="1"/>
  <c r="B2256" i="5"/>
  <c r="C2256" i="5" s="1"/>
  <c r="D2256" i="5"/>
  <c r="E2256" i="5" s="1"/>
  <c r="B2376" i="5"/>
  <c r="C2376" i="5" s="1"/>
  <c r="D2376" i="5"/>
  <c r="E2376" i="5" s="1"/>
  <c r="B2448" i="5"/>
  <c r="C2448" i="5" s="1"/>
  <c r="D2448" i="5"/>
  <c r="E2448" i="5" s="1"/>
  <c r="B2520" i="5"/>
  <c r="C2520" i="5" s="1"/>
  <c r="D2520" i="5"/>
  <c r="E2520" i="5" s="1"/>
  <c r="B2640" i="5"/>
  <c r="C2640" i="5" s="1"/>
  <c r="D2640" i="5"/>
  <c r="E2640" i="5" s="1"/>
  <c r="B2712" i="5"/>
  <c r="C2712" i="5" s="1"/>
  <c r="D2712" i="5"/>
  <c r="E2712" i="5" s="1"/>
  <c r="B2952" i="5"/>
  <c r="C2952" i="5" s="1"/>
  <c r="D2952" i="5"/>
  <c r="E2952" i="5" s="1"/>
  <c r="B3312" i="5"/>
  <c r="C3312" i="5" s="1"/>
  <c r="D3312" i="5"/>
  <c r="E3312" i="5" s="1"/>
  <c r="B241" i="5"/>
  <c r="C241" i="5" s="1"/>
  <c r="D241" i="5"/>
  <c r="E241" i="5" s="1"/>
  <c r="B1057" i="5"/>
  <c r="C1057" i="5" s="1"/>
  <c r="D1057" i="5"/>
  <c r="E1057" i="5" s="1"/>
  <c r="B2209" i="5"/>
  <c r="C2209" i="5" s="1"/>
  <c r="D2209" i="5"/>
  <c r="E2209" i="5" s="1"/>
  <c r="B161" i="5"/>
  <c r="C161" i="5" s="1"/>
  <c r="D161" i="5"/>
  <c r="E161" i="5" s="1"/>
  <c r="B236" i="5"/>
  <c r="C236" i="5" s="1"/>
  <c r="D236" i="5"/>
  <c r="E236" i="5" s="1"/>
  <c r="B69" i="5"/>
  <c r="C69" i="5" s="1"/>
  <c r="D69" i="5"/>
  <c r="E69" i="5" s="1"/>
  <c r="B333" i="5"/>
  <c r="C333" i="5" s="1"/>
  <c r="D333" i="5"/>
  <c r="E333" i="5" s="1"/>
  <c r="B13" i="5"/>
  <c r="C13" i="5" s="1"/>
  <c r="D13" i="5"/>
  <c r="E13" i="5" s="1"/>
  <c r="B37" i="5"/>
  <c r="C37" i="5" s="1"/>
  <c r="D37" i="5"/>
  <c r="E37" i="5" s="1"/>
  <c r="B61" i="5"/>
  <c r="C61" i="5" s="1"/>
  <c r="D61" i="5"/>
  <c r="E61" i="5" s="1"/>
  <c r="B85" i="5"/>
  <c r="C85" i="5" s="1"/>
  <c r="D85" i="5"/>
  <c r="E85" i="5" s="1"/>
  <c r="B109" i="5"/>
  <c r="C109" i="5" s="1"/>
  <c r="D109" i="5"/>
  <c r="E109" i="5" s="1"/>
  <c r="B133" i="5"/>
  <c r="C133" i="5" s="1"/>
  <c r="D133" i="5"/>
  <c r="E133" i="5" s="1"/>
  <c r="B157" i="5"/>
  <c r="C157" i="5" s="1"/>
  <c r="D157" i="5"/>
  <c r="E157" i="5" s="1"/>
  <c r="B181" i="5"/>
  <c r="C181" i="5" s="1"/>
  <c r="D181" i="5"/>
  <c r="E181" i="5" s="1"/>
  <c r="B205" i="5"/>
  <c r="C205" i="5" s="1"/>
  <c r="D205" i="5"/>
  <c r="E205" i="5" s="1"/>
  <c r="B229" i="5"/>
  <c r="C229" i="5" s="1"/>
  <c r="D229" i="5"/>
  <c r="E229" i="5" s="1"/>
  <c r="B253" i="5"/>
  <c r="C253" i="5" s="1"/>
  <c r="D253" i="5"/>
  <c r="E253" i="5" s="1"/>
  <c r="B277" i="5"/>
  <c r="C277" i="5" s="1"/>
  <c r="D277" i="5"/>
  <c r="E277" i="5" s="1"/>
  <c r="B301" i="5"/>
  <c r="C301" i="5" s="1"/>
  <c r="D301" i="5"/>
  <c r="E301" i="5" s="1"/>
  <c r="B325" i="5"/>
  <c r="C325" i="5" s="1"/>
  <c r="D325" i="5"/>
  <c r="E325" i="5" s="1"/>
  <c r="B349" i="5"/>
  <c r="C349" i="5" s="1"/>
  <c r="D349" i="5"/>
  <c r="E349" i="5" s="1"/>
  <c r="B373" i="5"/>
  <c r="C373" i="5" s="1"/>
  <c r="D373" i="5"/>
  <c r="E373" i="5" s="1"/>
  <c r="B397" i="5"/>
  <c r="C397" i="5" s="1"/>
  <c r="D397" i="5"/>
  <c r="E397" i="5" s="1"/>
  <c r="B421" i="5"/>
  <c r="C421" i="5" s="1"/>
  <c r="D421" i="5"/>
  <c r="E421" i="5" s="1"/>
  <c r="B445" i="5"/>
  <c r="C445" i="5" s="1"/>
  <c r="D445" i="5"/>
  <c r="E445" i="5" s="1"/>
  <c r="B469" i="5"/>
  <c r="C469" i="5" s="1"/>
  <c r="D469" i="5"/>
  <c r="E469" i="5" s="1"/>
  <c r="B493" i="5"/>
  <c r="C493" i="5" s="1"/>
  <c r="D493" i="5"/>
  <c r="E493" i="5" s="1"/>
  <c r="B517" i="5"/>
  <c r="C517" i="5" s="1"/>
  <c r="D517" i="5"/>
  <c r="E517" i="5" s="1"/>
  <c r="B541" i="5"/>
  <c r="C541" i="5" s="1"/>
  <c r="D541" i="5"/>
  <c r="E541" i="5" s="1"/>
  <c r="B565" i="5"/>
  <c r="C565" i="5" s="1"/>
  <c r="D565" i="5"/>
  <c r="E565" i="5" s="1"/>
  <c r="B589" i="5"/>
  <c r="C589" i="5" s="1"/>
  <c r="D589" i="5"/>
  <c r="E589" i="5" s="1"/>
  <c r="B613" i="5"/>
  <c r="C613" i="5" s="1"/>
  <c r="D613" i="5"/>
  <c r="E613" i="5" s="1"/>
  <c r="B637" i="5"/>
  <c r="C637" i="5" s="1"/>
  <c r="D637" i="5"/>
  <c r="E637" i="5" s="1"/>
  <c r="B661" i="5"/>
  <c r="C661" i="5" s="1"/>
  <c r="D661" i="5"/>
  <c r="E661" i="5" s="1"/>
  <c r="B685" i="5"/>
  <c r="C685" i="5" s="1"/>
  <c r="D685" i="5"/>
  <c r="E685" i="5" s="1"/>
  <c r="B709" i="5"/>
  <c r="C709" i="5" s="1"/>
  <c r="D709" i="5"/>
  <c r="E709" i="5" s="1"/>
  <c r="B733" i="5"/>
  <c r="C733" i="5" s="1"/>
  <c r="D733" i="5"/>
  <c r="E733" i="5" s="1"/>
  <c r="B757" i="5"/>
  <c r="C757" i="5" s="1"/>
  <c r="D757" i="5"/>
  <c r="E757" i="5" s="1"/>
  <c r="B781" i="5"/>
  <c r="C781" i="5" s="1"/>
  <c r="D781" i="5"/>
  <c r="E781" i="5" s="1"/>
  <c r="B805" i="5"/>
  <c r="C805" i="5" s="1"/>
  <c r="D805" i="5"/>
  <c r="E805" i="5" s="1"/>
  <c r="B829" i="5"/>
  <c r="C829" i="5" s="1"/>
  <c r="D829" i="5"/>
  <c r="E829" i="5" s="1"/>
  <c r="B853" i="5"/>
  <c r="C853" i="5" s="1"/>
  <c r="D853" i="5"/>
  <c r="E853" i="5" s="1"/>
  <c r="B877" i="5"/>
  <c r="C877" i="5" s="1"/>
  <c r="D877" i="5"/>
  <c r="E877" i="5" s="1"/>
  <c r="B901" i="5"/>
  <c r="C901" i="5" s="1"/>
  <c r="D901" i="5"/>
  <c r="E901" i="5" s="1"/>
  <c r="B925" i="5"/>
  <c r="C925" i="5" s="1"/>
  <c r="D925" i="5"/>
  <c r="E925" i="5" s="1"/>
  <c r="B949" i="5"/>
  <c r="C949" i="5" s="1"/>
  <c r="D949" i="5"/>
  <c r="E949" i="5" s="1"/>
  <c r="D973" i="5"/>
  <c r="E973" i="5" s="1"/>
  <c r="B973" i="5"/>
  <c r="C973" i="5" s="1"/>
  <c r="B997" i="5"/>
  <c r="C997" i="5" s="1"/>
  <c r="D997" i="5"/>
  <c r="E997" i="5" s="1"/>
  <c r="B1021" i="5"/>
  <c r="C1021" i="5" s="1"/>
  <c r="D1021" i="5"/>
  <c r="E1021" i="5" s="1"/>
  <c r="B1045" i="5"/>
  <c r="C1045" i="5" s="1"/>
  <c r="D1045" i="5"/>
  <c r="E1045" i="5" s="1"/>
  <c r="B1069" i="5"/>
  <c r="C1069" i="5" s="1"/>
  <c r="D1069" i="5"/>
  <c r="E1069" i="5" s="1"/>
  <c r="B1093" i="5"/>
  <c r="C1093" i="5" s="1"/>
  <c r="D1093" i="5"/>
  <c r="E1093" i="5" s="1"/>
  <c r="B1117" i="5"/>
  <c r="C1117" i="5" s="1"/>
  <c r="D1117" i="5"/>
  <c r="E1117" i="5" s="1"/>
  <c r="B1141" i="5"/>
  <c r="C1141" i="5" s="1"/>
  <c r="D1141" i="5"/>
  <c r="E1141" i="5" s="1"/>
  <c r="B1165" i="5"/>
  <c r="C1165" i="5" s="1"/>
  <c r="D1165" i="5"/>
  <c r="E1165" i="5" s="1"/>
  <c r="D1189" i="5"/>
  <c r="E1189" i="5" s="1"/>
  <c r="B1189" i="5"/>
  <c r="C1189" i="5" s="1"/>
  <c r="B1213" i="5"/>
  <c r="C1213" i="5" s="1"/>
  <c r="D1213" i="5"/>
  <c r="E1213" i="5" s="1"/>
  <c r="D1237" i="5"/>
  <c r="E1237" i="5" s="1"/>
  <c r="B1237" i="5"/>
  <c r="C1237" i="5" s="1"/>
  <c r="B1261" i="5"/>
  <c r="C1261" i="5" s="1"/>
  <c r="D1261" i="5"/>
  <c r="E1261" i="5" s="1"/>
  <c r="B1285" i="5"/>
  <c r="C1285" i="5" s="1"/>
  <c r="D1285" i="5"/>
  <c r="E1285" i="5" s="1"/>
  <c r="B1309" i="5"/>
  <c r="C1309" i="5" s="1"/>
  <c r="D1309" i="5"/>
  <c r="E1309" i="5" s="1"/>
  <c r="D1333" i="5"/>
  <c r="E1333" i="5" s="1"/>
  <c r="B1333" i="5"/>
  <c r="C1333" i="5" s="1"/>
  <c r="B1357" i="5"/>
  <c r="C1357" i="5" s="1"/>
  <c r="D1357" i="5"/>
  <c r="E1357" i="5" s="1"/>
  <c r="B1381" i="5"/>
  <c r="C1381" i="5" s="1"/>
  <c r="D1381" i="5"/>
  <c r="E1381" i="5" s="1"/>
  <c r="B1405" i="5"/>
  <c r="C1405" i="5" s="1"/>
  <c r="D1405" i="5"/>
  <c r="E1405" i="5" s="1"/>
  <c r="B1429" i="5"/>
  <c r="C1429" i="5" s="1"/>
  <c r="D1429" i="5"/>
  <c r="E1429" i="5" s="1"/>
  <c r="B1453" i="5"/>
  <c r="C1453" i="5" s="1"/>
  <c r="D1453" i="5"/>
  <c r="E1453" i="5" s="1"/>
  <c r="B1477" i="5"/>
  <c r="C1477" i="5" s="1"/>
  <c r="D1477" i="5"/>
  <c r="E1477" i="5" s="1"/>
  <c r="B1501" i="5"/>
  <c r="C1501" i="5" s="1"/>
  <c r="D1501" i="5"/>
  <c r="E1501" i="5" s="1"/>
  <c r="B1525" i="5"/>
  <c r="C1525" i="5" s="1"/>
  <c r="D1525" i="5"/>
  <c r="E1525" i="5" s="1"/>
  <c r="B1549" i="5"/>
  <c r="C1549" i="5" s="1"/>
  <c r="D1549" i="5"/>
  <c r="E1549" i="5" s="1"/>
  <c r="B1573" i="5"/>
  <c r="C1573" i="5" s="1"/>
  <c r="D1573" i="5"/>
  <c r="E1573" i="5" s="1"/>
  <c r="B1597" i="5"/>
  <c r="C1597" i="5" s="1"/>
  <c r="D1597" i="5"/>
  <c r="E1597" i="5" s="1"/>
  <c r="B1621" i="5"/>
  <c r="C1621" i="5" s="1"/>
  <c r="D1621" i="5"/>
  <c r="E1621" i="5" s="1"/>
  <c r="B1645" i="5"/>
  <c r="C1645" i="5" s="1"/>
  <c r="D1645" i="5"/>
  <c r="E1645" i="5" s="1"/>
  <c r="B1669" i="5"/>
  <c r="C1669" i="5" s="1"/>
  <c r="D1669" i="5"/>
  <c r="E1669" i="5" s="1"/>
  <c r="B1693" i="5"/>
  <c r="C1693" i="5" s="1"/>
  <c r="D1693" i="5"/>
  <c r="E1693" i="5" s="1"/>
  <c r="B1717" i="5"/>
  <c r="C1717" i="5" s="1"/>
  <c r="D1717" i="5"/>
  <c r="E1717" i="5" s="1"/>
  <c r="B1741" i="5"/>
  <c r="C1741" i="5" s="1"/>
  <c r="D1741" i="5"/>
  <c r="E1741" i="5" s="1"/>
  <c r="B1765" i="5"/>
  <c r="C1765" i="5" s="1"/>
  <c r="D1765" i="5"/>
  <c r="E1765" i="5" s="1"/>
  <c r="B1789" i="5"/>
  <c r="C1789" i="5" s="1"/>
  <c r="D1789" i="5"/>
  <c r="E1789" i="5" s="1"/>
  <c r="B1813" i="5"/>
  <c r="C1813" i="5" s="1"/>
  <c r="D1813" i="5"/>
  <c r="E1813" i="5" s="1"/>
  <c r="B1837" i="5"/>
  <c r="C1837" i="5" s="1"/>
  <c r="D1837" i="5"/>
  <c r="E1837" i="5" s="1"/>
  <c r="B1861" i="5"/>
  <c r="C1861" i="5" s="1"/>
  <c r="D1861" i="5"/>
  <c r="E1861" i="5" s="1"/>
  <c r="B1885" i="5"/>
  <c r="C1885" i="5" s="1"/>
  <c r="D1885" i="5"/>
  <c r="E1885" i="5" s="1"/>
  <c r="B1909" i="5"/>
  <c r="C1909" i="5" s="1"/>
  <c r="D1909" i="5"/>
  <c r="E1909" i="5" s="1"/>
  <c r="B1933" i="5"/>
  <c r="C1933" i="5" s="1"/>
  <c r="D1933" i="5"/>
  <c r="E1933" i="5" s="1"/>
  <c r="B1957" i="5"/>
  <c r="C1957" i="5" s="1"/>
  <c r="D1957" i="5"/>
  <c r="E1957" i="5" s="1"/>
  <c r="B1981" i="5"/>
  <c r="C1981" i="5" s="1"/>
  <c r="D1981" i="5"/>
  <c r="E1981" i="5" s="1"/>
  <c r="B2005" i="5"/>
  <c r="C2005" i="5" s="1"/>
  <c r="D2005" i="5"/>
  <c r="E2005" i="5" s="1"/>
  <c r="B2029" i="5"/>
  <c r="C2029" i="5" s="1"/>
  <c r="D2029" i="5"/>
  <c r="E2029" i="5" s="1"/>
  <c r="B2053" i="5"/>
  <c r="C2053" i="5" s="1"/>
  <c r="D2053" i="5"/>
  <c r="E2053" i="5" s="1"/>
  <c r="B2077" i="5"/>
  <c r="C2077" i="5" s="1"/>
  <c r="D2077" i="5"/>
  <c r="E2077" i="5" s="1"/>
  <c r="B2101" i="5"/>
  <c r="C2101" i="5" s="1"/>
  <c r="D2101" i="5"/>
  <c r="E2101" i="5" s="1"/>
  <c r="B2125" i="5"/>
  <c r="C2125" i="5" s="1"/>
  <c r="D2125" i="5"/>
  <c r="E2125" i="5" s="1"/>
  <c r="B2149" i="5"/>
  <c r="C2149" i="5" s="1"/>
  <c r="D2149" i="5"/>
  <c r="E2149" i="5" s="1"/>
  <c r="B2173" i="5"/>
  <c r="C2173" i="5" s="1"/>
  <c r="D2173" i="5"/>
  <c r="E2173" i="5" s="1"/>
  <c r="B2197" i="5"/>
  <c r="C2197" i="5" s="1"/>
  <c r="D2197" i="5"/>
  <c r="E2197" i="5" s="1"/>
  <c r="B2221" i="5"/>
  <c r="C2221" i="5" s="1"/>
  <c r="D2221" i="5"/>
  <c r="E2221" i="5" s="1"/>
  <c r="B2245" i="5"/>
  <c r="C2245" i="5" s="1"/>
  <c r="D2245" i="5"/>
  <c r="E2245" i="5" s="1"/>
  <c r="B2269" i="5"/>
  <c r="C2269" i="5" s="1"/>
  <c r="D2269" i="5"/>
  <c r="E2269" i="5" s="1"/>
  <c r="B2293" i="5"/>
  <c r="C2293" i="5" s="1"/>
  <c r="D2293" i="5"/>
  <c r="E2293" i="5" s="1"/>
  <c r="B2317" i="5"/>
  <c r="C2317" i="5" s="1"/>
  <c r="D2317" i="5"/>
  <c r="E2317" i="5" s="1"/>
  <c r="B2341" i="5"/>
  <c r="C2341" i="5" s="1"/>
  <c r="D2341" i="5"/>
  <c r="E2341" i="5" s="1"/>
  <c r="B2365" i="5"/>
  <c r="C2365" i="5" s="1"/>
  <c r="D2365" i="5"/>
  <c r="E2365" i="5" s="1"/>
  <c r="B2389" i="5"/>
  <c r="C2389" i="5" s="1"/>
  <c r="D2389" i="5"/>
  <c r="E2389" i="5" s="1"/>
  <c r="B2413" i="5"/>
  <c r="C2413" i="5" s="1"/>
  <c r="D2413" i="5"/>
  <c r="E2413" i="5" s="1"/>
  <c r="B2437" i="5"/>
  <c r="C2437" i="5" s="1"/>
  <c r="D2437" i="5"/>
  <c r="E2437" i="5" s="1"/>
  <c r="B2461" i="5"/>
  <c r="C2461" i="5" s="1"/>
  <c r="D2461" i="5"/>
  <c r="E2461" i="5" s="1"/>
  <c r="D2485" i="5"/>
  <c r="E2485" i="5" s="1"/>
  <c r="B2485" i="5"/>
  <c r="C2485" i="5" s="1"/>
  <c r="B2509" i="5"/>
  <c r="C2509" i="5" s="1"/>
  <c r="D2509" i="5"/>
  <c r="E2509" i="5" s="1"/>
  <c r="B2533" i="5"/>
  <c r="C2533" i="5" s="1"/>
  <c r="D2533" i="5"/>
  <c r="E2533" i="5" s="1"/>
  <c r="B2557" i="5"/>
  <c r="C2557" i="5" s="1"/>
  <c r="D2557" i="5"/>
  <c r="E2557" i="5" s="1"/>
  <c r="B2581" i="5"/>
  <c r="C2581" i="5" s="1"/>
  <c r="D2581" i="5"/>
  <c r="E2581" i="5" s="1"/>
  <c r="B2605" i="5"/>
  <c r="C2605" i="5" s="1"/>
  <c r="D2605" i="5"/>
  <c r="E2605" i="5" s="1"/>
  <c r="B2629" i="5"/>
  <c r="C2629" i="5" s="1"/>
  <c r="D2629" i="5"/>
  <c r="E2629" i="5" s="1"/>
  <c r="B2653" i="5"/>
  <c r="C2653" i="5" s="1"/>
  <c r="D2653" i="5"/>
  <c r="E2653" i="5" s="1"/>
  <c r="B2677" i="5"/>
  <c r="C2677" i="5" s="1"/>
  <c r="D2677" i="5"/>
  <c r="E2677" i="5" s="1"/>
  <c r="B2701" i="5"/>
  <c r="C2701" i="5" s="1"/>
  <c r="D2701" i="5"/>
  <c r="E2701" i="5" s="1"/>
  <c r="B2725" i="5"/>
  <c r="C2725" i="5" s="1"/>
  <c r="D2725" i="5"/>
  <c r="E2725" i="5" s="1"/>
  <c r="D2749" i="5"/>
  <c r="E2749" i="5" s="1"/>
  <c r="B2749" i="5"/>
  <c r="C2749" i="5" s="1"/>
  <c r="B2773" i="5"/>
  <c r="C2773" i="5" s="1"/>
  <c r="D2773" i="5"/>
  <c r="E2773" i="5" s="1"/>
  <c r="B2797" i="5"/>
  <c r="C2797" i="5" s="1"/>
  <c r="D2797" i="5"/>
  <c r="E2797" i="5" s="1"/>
  <c r="B2821" i="5"/>
  <c r="C2821" i="5" s="1"/>
  <c r="D2821" i="5"/>
  <c r="E2821" i="5" s="1"/>
  <c r="B2845" i="5"/>
  <c r="C2845" i="5" s="1"/>
  <c r="D2845" i="5"/>
  <c r="E2845" i="5" s="1"/>
  <c r="B2869" i="5"/>
  <c r="C2869" i="5" s="1"/>
  <c r="D2869" i="5"/>
  <c r="E2869" i="5" s="1"/>
  <c r="B2893" i="5"/>
  <c r="C2893" i="5" s="1"/>
  <c r="D2893" i="5"/>
  <c r="E2893" i="5" s="1"/>
  <c r="B2917" i="5"/>
  <c r="C2917" i="5" s="1"/>
  <c r="D2917" i="5"/>
  <c r="E2917" i="5" s="1"/>
  <c r="B2941" i="5"/>
  <c r="C2941" i="5" s="1"/>
  <c r="D2941" i="5"/>
  <c r="E2941" i="5" s="1"/>
  <c r="B2965" i="5"/>
  <c r="C2965" i="5" s="1"/>
  <c r="D2965" i="5"/>
  <c r="E2965" i="5" s="1"/>
  <c r="B2989" i="5"/>
  <c r="C2989" i="5" s="1"/>
  <c r="D2989" i="5"/>
  <c r="E2989" i="5" s="1"/>
  <c r="B3013" i="5"/>
  <c r="C3013" i="5" s="1"/>
  <c r="D3013" i="5"/>
  <c r="E3013" i="5" s="1"/>
  <c r="B3037" i="5"/>
  <c r="C3037" i="5" s="1"/>
  <c r="D3037" i="5"/>
  <c r="E3037" i="5" s="1"/>
  <c r="B3061" i="5"/>
  <c r="C3061" i="5" s="1"/>
  <c r="D3061" i="5"/>
  <c r="E3061" i="5" s="1"/>
  <c r="B3085" i="5"/>
  <c r="C3085" i="5" s="1"/>
  <c r="D3085" i="5"/>
  <c r="E3085" i="5" s="1"/>
  <c r="B3109" i="5"/>
  <c r="C3109" i="5" s="1"/>
  <c r="D3109" i="5"/>
  <c r="E3109" i="5" s="1"/>
  <c r="D3133" i="5"/>
  <c r="E3133" i="5" s="1"/>
  <c r="B3133" i="5"/>
  <c r="C3133" i="5" s="1"/>
  <c r="B3157" i="5"/>
  <c r="C3157" i="5" s="1"/>
  <c r="D3157" i="5"/>
  <c r="E3157" i="5" s="1"/>
  <c r="B3181" i="5"/>
  <c r="C3181" i="5" s="1"/>
  <c r="D3181" i="5"/>
  <c r="E3181" i="5" s="1"/>
  <c r="B3205" i="5"/>
  <c r="C3205" i="5" s="1"/>
  <c r="D3205" i="5"/>
  <c r="E3205" i="5" s="1"/>
  <c r="B3229" i="5"/>
  <c r="C3229" i="5" s="1"/>
  <c r="D3229" i="5"/>
  <c r="E3229" i="5" s="1"/>
  <c r="B3253" i="5"/>
  <c r="C3253" i="5" s="1"/>
  <c r="D3253" i="5"/>
  <c r="E3253" i="5" s="1"/>
  <c r="B3277" i="5"/>
  <c r="C3277" i="5" s="1"/>
  <c r="D3277" i="5"/>
  <c r="E3277" i="5" s="1"/>
  <c r="B3301" i="5"/>
  <c r="C3301" i="5" s="1"/>
  <c r="D3301" i="5"/>
  <c r="E3301" i="5" s="1"/>
  <c r="B3325" i="5"/>
  <c r="C3325" i="5" s="1"/>
  <c r="D3325" i="5"/>
  <c r="E3325" i="5" s="1"/>
  <c r="B3349" i="5"/>
  <c r="C3349" i="5" s="1"/>
  <c r="D3349" i="5"/>
  <c r="E3349" i="5" s="1"/>
  <c r="B3373" i="5"/>
  <c r="C3373" i="5" s="1"/>
  <c r="D3373" i="5"/>
  <c r="E3373" i="5" s="1"/>
  <c r="B3397" i="5"/>
  <c r="C3397" i="5" s="1"/>
  <c r="D3397" i="5"/>
  <c r="E3397" i="5" s="1"/>
  <c r="B3421" i="5"/>
  <c r="C3421" i="5" s="1"/>
  <c r="D3421" i="5"/>
  <c r="E3421" i="5" s="1"/>
  <c r="B3445" i="5"/>
  <c r="C3445" i="5" s="1"/>
  <c r="D3445" i="5"/>
  <c r="E3445" i="5" s="1"/>
  <c r="B3469" i="5"/>
  <c r="C3469" i="5" s="1"/>
  <c r="D3469" i="5"/>
  <c r="E3469" i="5" s="1"/>
  <c r="B3493" i="5"/>
  <c r="C3493" i="5" s="1"/>
  <c r="D3493" i="5"/>
  <c r="E3493" i="5" s="1"/>
  <c r="B3517" i="5"/>
  <c r="C3517" i="5" s="1"/>
  <c r="D3517" i="5"/>
  <c r="E3517" i="5" s="1"/>
  <c r="B3541" i="5"/>
  <c r="C3541" i="5" s="1"/>
  <c r="D3541" i="5"/>
  <c r="E3541" i="5" s="1"/>
  <c r="B3565" i="5"/>
  <c r="C3565" i="5" s="1"/>
  <c r="D3565" i="5"/>
  <c r="E3565" i="5" s="1"/>
  <c r="B3589" i="5"/>
  <c r="C3589" i="5" s="1"/>
  <c r="D3589" i="5"/>
  <c r="E3589" i="5" s="1"/>
  <c r="B3613" i="5"/>
  <c r="C3613" i="5" s="1"/>
  <c r="D3613" i="5"/>
  <c r="E3613" i="5" s="1"/>
  <c r="B3637" i="5"/>
  <c r="C3637" i="5" s="1"/>
  <c r="D3637" i="5"/>
  <c r="E3637" i="5" s="1"/>
  <c r="B65" i="5"/>
  <c r="C65" i="5" s="1"/>
  <c r="D65" i="5"/>
  <c r="E65" i="5" s="1"/>
  <c r="B115" i="5"/>
  <c r="C115" i="5" s="1"/>
  <c r="D115" i="5"/>
  <c r="E115" i="5" s="1"/>
  <c r="B15" i="5"/>
  <c r="C15" i="5" s="1"/>
  <c r="D15" i="5"/>
  <c r="E15" i="5" s="1"/>
  <c r="B39" i="5"/>
  <c r="C39" i="5" s="1"/>
  <c r="D39" i="5"/>
  <c r="E39" i="5" s="1"/>
  <c r="B63" i="5"/>
  <c r="C63" i="5" s="1"/>
  <c r="D63" i="5"/>
  <c r="E63" i="5" s="1"/>
  <c r="B87" i="5"/>
  <c r="C87" i="5" s="1"/>
  <c r="D87" i="5"/>
  <c r="E87" i="5" s="1"/>
  <c r="B111" i="5"/>
  <c r="C111" i="5" s="1"/>
  <c r="D111" i="5"/>
  <c r="E111" i="5" s="1"/>
  <c r="B135" i="5"/>
  <c r="C135" i="5" s="1"/>
  <c r="D135" i="5"/>
  <c r="E135" i="5" s="1"/>
  <c r="B159" i="5"/>
  <c r="C159" i="5" s="1"/>
  <c r="D159" i="5"/>
  <c r="E159" i="5" s="1"/>
  <c r="B183" i="5"/>
  <c r="C183" i="5" s="1"/>
  <c r="D183" i="5"/>
  <c r="E183" i="5" s="1"/>
  <c r="B207" i="5"/>
  <c r="C207" i="5" s="1"/>
  <c r="D207" i="5"/>
  <c r="E207" i="5" s="1"/>
  <c r="B231" i="5"/>
  <c r="C231" i="5" s="1"/>
  <c r="D231" i="5"/>
  <c r="E231" i="5" s="1"/>
  <c r="B255" i="5"/>
  <c r="C255" i="5" s="1"/>
  <c r="D255" i="5"/>
  <c r="E255" i="5" s="1"/>
  <c r="B279" i="5"/>
  <c r="C279" i="5" s="1"/>
  <c r="D279" i="5"/>
  <c r="E279" i="5" s="1"/>
  <c r="B303" i="5"/>
  <c r="C303" i="5" s="1"/>
  <c r="D303" i="5"/>
  <c r="E303" i="5" s="1"/>
  <c r="B327" i="5"/>
  <c r="C327" i="5" s="1"/>
  <c r="D327" i="5"/>
  <c r="E327" i="5" s="1"/>
  <c r="B351" i="5"/>
  <c r="C351" i="5" s="1"/>
  <c r="D351" i="5"/>
  <c r="E351" i="5" s="1"/>
  <c r="B375" i="5"/>
  <c r="C375" i="5" s="1"/>
  <c r="D375" i="5"/>
  <c r="E375" i="5" s="1"/>
  <c r="B399" i="5"/>
  <c r="C399" i="5" s="1"/>
  <c r="D399" i="5"/>
  <c r="E399" i="5" s="1"/>
  <c r="B423" i="5"/>
  <c r="C423" i="5" s="1"/>
  <c r="D423" i="5"/>
  <c r="E423" i="5" s="1"/>
  <c r="B447" i="5"/>
  <c r="C447" i="5" s="1"/>
  <c r="D447" i="5"/>
  <c r="E447" i="5" s="1"/>
  <c r="B471" i="5"/>
  <c r="C471" i="5" s="1"/>
  <c r="D471" i="5"/>
  <c r="E471" i="5" s="1"/>
  <c r="B495" i="5"/>
  <c r="C495" i="5" s="1"/>
  <c r="D495" i="5"/>
  <c r="E495" i="5" s="1"/>
  <c r="B519" i="5"/>
  <c r="C519" i="5" s="1"/>
  <c r="D519" i="5"/>
  <c r="E519" i="5" s="1"/>
  <c r="B543" i="5"/>
  <c r="C543" i="5" s="1"/>
  <c r="D543" i="5"/>
  <c r="E543" i="5" s="1"/>
  <c r="B567" i="5"/>
  <c r="C567" i="5" s="1"/>
  <c r="D567" i="5"/>
  <c r="E567" i="5" s="1"/>
  <c r="B591" i="5"/>
  <c r="C591" i="5" s="1"/>
  <c r="D591" i="5"/>
  <c r="E591" i="5" s="1"/>
  <c r="B615" i="5"/>
  <c r="C615" i="5" s="1"/>
  <c r="D615" i="5"/>
  <c r="E615" i="5" s="1"/>
  <c r="B639" i="5"/>
  <c r="C639" i="5" s="1"/>
  <c r="D639" i="5"/>
  <c r="E639" i="5" s="1"/>
  <c r="B663" i="5"/>
  <c r="C663" i="5" s="1"/>
  <c r="D663" i="5"/>
  <c r="E663" i="5" s="1"/>
  <c r="B687" i="5"/>
  <c r="C687" i="5" s="1"/>
  <c r="D687" i="5"/>
  <c r="E687" i="5" s="1"/>
  <c r="B711" i="5"/>
  <c r="C711" i="5" s="1"/>
  <c r="D711" i="5"/>
  <c r="E711" i="5" s="1"/>
  <c r="B735" i="5"/>
  <c r="C735" i="5" s="1"/>
  <c r="D735" i="5"/>
  <c r="E735" i="5" s="1"/>
  <c r="D759" i="5"/>
  <c r="E759" i="5" s="1"/>
  <c r="B759" i="5"/>
  <c r="C759" i="5" s="1"/>
  <c r="B783" i="5"/>
  <c r="C783" i="5" s="1"/>
  <c r="D783" i="5"/>
  <c r="E783" i="5" s="1"/>
  <c r="B807" i="5"/>
  <c r="C807" i="5" s="1"/>
  <c r="D807" i="5"/>
  <c r="E807" i="5" s="1"/>
  <c r="B831" i="5"/>
  <c r="C831" i="5" s="1"/>
  <c r="D831" i="5"/>
  <c r="E831" i="5" s="1"/>
  <c r="B855" i="5"/>
  <c r="C855" i="5" s="1"/>
  <c r="D855" i="5"/>
  <c r="E855" i="5" s="1"/>
  <c r="B879" i="5"/>
  <c r="C879" i="5" s="1"/>
  <c r="D879" i="5"/>
  <c r="E879" i="5" s="1"/>
  <c r="B903" i="5"/>
  <c r="C903" i="5" s="1"/>
  <c r="D903" i="5"/>
  <c r="E903" i="5" s="1"/>
  <c r="B927" i="5"/>
  <c r="C927" i="5" s="1"/>
  <c r="D927" i="5"/>
  <c r="E927" i="5" s="1"/>
  <c r="B951" i="5"/>
  <c r="C951" i="5" s="1"/>
  <c r="D951" i="5"/>
  <c r="E951" i="5" s="1"/>
  <c r="B975" i="5"/>
  <c r="C975" i="5" s="1"/>
  <c r="D975" i="5"/>
  <c r="E975" i="5" s="1"/>
  <c r="B999" i="5"/>
  <c r="C999" i="5" s="1"/>
  <c r="D999" i="5"/>
  <c r="E999" i="5" s="1"/>
  <c r="B1023" i="5"/>
  <c r="C1023" i="5" s="1"/>
  <c r="D1023" i="5"/>
  <c r="E1023" i="5" s="1"/>
  <c r="B1047" i="5"/>
  <c r="C1047" i="5" s="1"/>
  <c r="D1047" i="5"/>
  <c r="E1047" i="5" s="1"/>
  <c r="B1071" i="5"/>
  <c r="C1071" i="5" s="1"/>
  <c r="D1071" i="5"/>
  <c r="E1071" i="5" s="1"/>
  <c r="D1095" i="5"/>
  <c r="E1095" i="5" s="1"/>
  <c r="B1095" i="5"/>
  <c r="C1095" i="5" s="1"/>
  <c r="B1119" i="5"/>
  <c r="C1119" i="5" s="1"/>
  <c r="D1119" i="5"/>
  <c r="E1119" i="5" s="1"/>
  <c r="B1143" i="5"/>
  <c r="C1143" i="5" s="1"/>
  <c r="D1143" i="5"/>
  <c r="E1143" i="5" s="1"/>
  <c r="B1167" i="5"/>
  <c r="C1167" i="5" s="1"/>
  <c r="D1167" i="5"/>
  <c r="E1167" i="5" s="1"/>
  <c r="B1191" i="5"/>
  <c r="C1191" i="5" s="1"/>
  <c r="D1191" i="5"/>
  <c r="E1191" i="5" s="1"/>
  <c r="B1215" i="5"/>
  <c r="C1215" i="5" s="1"/>
  <c r="D1215" i="5"/>
  <c r="E1215" i="5" s="1"/>
  <c r="B1239" i="5"/>
  <c r="C1239" i="5" s="1"/>
  <c r="D1239" i="5"/>
  <c r="E1239" i="5" s="1"/>
  <c r="B1263" i="5"/>
  <c r="C1263" i="5" s="1"/>
  <c r="D1263" i="5"/>
  <c r="E1263" i="5" s="1"/>
  <c r="B1287" i="5"/>
  <c r="C1287" i="5" s="1"/>
  <c r="D1287" i="5"/>
  <c r="E1287" i="5" s="1"/>
  <c r="B1311" i="5"/>
  <c r="C1311" i="5" s="1"/>
  <c r="D1311" i="5"/>
  <c r="E1311" i="5" s="1"/>
  <c r="B1335" i="5"/>
  <c r="C1335" i="5" s="1"/>
  <c r="D1335" i="5"/>
  <c r="E1335" i="5" s="1"/>
  <c r="B1359" i="5"/>
  <c r="C1359" i="5" s="1"/>
  <c r="D1359" i="5"/>
  <c r="E1359" i="5" s="1"/>
  <c r="B1383" i="5"/>
  <c r="C1383" i="5" s="1"/>
  <c r="D1383" i="5"/>
  <c r="E1383" i="5" s="1"/>
  <c r="B1407" i="5"/>
  <c r="C1407" i="5" s="1"/>
  <c r="D1407" i="5"/>
  <c r="E1407" i="5" s="1"/>
  <c r="B1431" i="5"/>
  <c r="C1431" i="5" s="1"/>
  <c r="D1431" i="5"/>
  <c r="E1431" i="5" s="1"/>
  <c r="B1455" i="5"/>
  <c r="C1455" i="5" s="1"/>
  <c r="D1455" i="5"/>
  <c r="E1455" i="5" s="1"/>
  <c r="B1479" i="5"/>
  <c r="C1479" i="5" s="1"/>
  <c r="D1479" i="5"/>
  <c r="E1479" i="5" s="1"/>
  <c r="B1503" i="5"/>
  <c r="C1503" i="5" s="1"/>
  <c r="D1503" i="5"/>
  <c r="E1503" i="5" s="1"/>
  <c r="B1527" i="5"/>
  <c r="C1527" i="5" s="1"/>
  <c r="D1527" i="5"/>
  <c r="E1527" i="5" s="1"/>
  <c r="B1551" i="5"/>
  <c r="C1551" i="5" s="1"/>
  <c r="D1551" i="5"/>
  <c r="E1551" i="5" s="1"/>
  <c r="B1575" i="5"/>
  <c r="C1575" i="5" s="1"/>
  <c r="D1575" i="5"/>
  <c r="E1575" i="5" s="1"/>
  <c r="B1599" i="5"/>
  <c r="C1599" i="5" s="1"/>
  <c r="D1599" i="5"/>
  <c r="E1599" i="5" s="1"/>
  <c r="D1623" i="5"/>
  <c r="E1623" i="5" s="1"/>
  <c r="B1623" i="5"/>
  <c r="C1623" i="5" s="1"/>
  <c r="B1647" i="5"/>
  <c r="C1647" i="5" s="1"/>
  <c r="D1647" i="5"/>
  <c r="E1647" i="5" s="1"/>
  <c r="B1671" i="5"/>
  <c r="C1671" i="5" s="1"/>
  <c r="D1671" i="5"/>
  <c r="E1671" i="5" s="1"/>
  <c r="B1695" i="5"/>
  <c r="C1695" i="5" s="1"/>
  <c r="D1695" i="5"/>
  <c r="E1695" i="5" s="1"/>
  <c r="B1719" i="5"/>
  <c r="C1719" i="5" s="1"/>
  <c r="D1719" i="5"/>
  <c r="E1719" i="5" s="1"/>
  <c r="B1743" i="5"/>
  <c r="C1743" i="5" s="1"/>
  <c r="D1743" i="5"/>
  <c r="E1743" i="5" s="1"/>
  <c r="B1767" i="5"/>
  <c r="C1767" i="5" s="1"/>
  <c r="D1767" i="5"/>
  <c r="E1767" i="5" s="1"/>
  <c r="B1791" i="5"/>
  <c r="C1791" i="5" s="1"/>
  <c r="D1791" i="5"/>
  <c r="E1791" i="5" s="1"/>
  <c r="B1815" i="5"/>
  <c r="C1815" i="5" s="1"/>
  <c r="D1815" i="5"/>
  <c r="E1815" i="5" s="1"/>
  <c r="B1839" i="5"/>
  <c r="C1839" i="5" s="1"/>
  <c r="D1839" i="5"/>
  <c r="E1839" i="5" s="1"/>
  <c r="B1863" i="5"/>
  <c r="C1863" i="5" s="1"/>
  <c r="D1863" i="5"/>
  <c r="E1863" i="5" s="1"/>
  <c r="B1887" i="5"/>
  <c r="C1887" i="5" s="1"/>
  <c r="D1887" i="5"/>
  <c r="E1887" i="5" s="1"/>
  <c r="B1911" i="5"/>
  <c r="C1911" i="5" s="1"/>
  <c r="D1911" i="5"/>
  <c r="E1911" i="5" s="1"/>
  <c r="B1935" i="5"/>
  <c r="C1935" i="5" s="1"/>
  <c r="D1935" i="5"/>
  <c r="E1935" i="5" s="1"/>
  <c r="B1959" i="5"/>
  <c r="C1959" i="5" s="1"/>
  <c r="D1959" i="5"/>
  <c r="E1959" i="5" s="1"/>
  <c r="B1983" i="5"/>
  <c r="C1983" i="5" s="1"/>
  <c r="D1983" i="5"/>
  <c r="E1983" i="5" s="1"/>
  <c r="B2007" i="5"/>
  <c r="C2007" i="5" s="1"/>
  <c r="D2007" i="5"/>
  <c r="E2007" i="5" s="1"/>
  <c r="B2031" i="5"/>
  <c r="C2031" i="5" s="1"/>
  <c r="D2031" i="5"/>
  <c r="E2031" i="5" s="1"/>
  <c r="B2055" i="5"/>
  <c r="C2055" i="5" s="1"/>
  <c r="D2055" i="5"/>
  <c r="E2055" i="5" s="1"/>
  <c r="B2079" i="5"/>
  <c r="C2079" i="5" s="1"/>
  <c r="D2079" i="5"/>
  <c r="E2079" i="5" s="1"/>
  <c r="B2103" i="5"/>
  <c r="C2103" i="5" s="1"/>
  <c r="D2103" i="5"/>
  <c r="E2103" i="5" s="1"/>
  <c r="B2127" i="5"/>
  <c r="C2127" i="5" s="1"/>
  <c r="D2127" i="5"/>
  <c r="E2127" i="5" s="1"/>
  <c r="D2151" i="5"/>
  <c r="E2151" i="5" s="1"/>
  <c r="B2151" i="5"/>
  <c r="C2151" i="5" s="1"/>
  <c r="B2175" i="5"/>
  <c r="C2175" i="5" s="1"/>
  <c r="D2175" i="5"/>
  <c r="E2175" i="5" s="1"/>
  <c r="B2199" i="5"/>
  <c r="C2199" i="5" s="1"/>
  <c r="D2199" i="5"/>
  <c r="E2199" i="5" s="1"/>
  <c r="B2223" i="5"/>
  <c r="C2223" i="5" s="1"/>
  <c r="D2223" i="5"/>
  <c r="E2223" i="5" s="1"/>
  <c r="B2247" i="5"/>
  <c r="C2247" i="5" s="1"/>
  <c r="D2247" i="5"/>
  <c r="E2247" i="5" s="1"/>
  <c r="B2271" i="5"/>
  <c r="C2271" i="5" s="1"/>
  <c r="D2271" i="5"/>
  <c r="E2271" i="5" s="1"/>
  <c r="B2295" i="5"/>
  <c r="C2295" i="5" s="1"/>
  <c r="D2295" i="5"/>
  <c r="E2295" i="5" s="1"/>
  <c r="B2319" i="5"/>
  <c r="C2319" i="5" s="1"/>
  <c r="D2319" i="5"/>
  <c r="E2319" i="5" s="1"/>
  <c r="B2343" i="5"/>
  <c r="C2343" i="5" s="1"/>
  <c r="D2343" i="5"/>
  <c r="E2343" i="5" s="1"/>
  <c r="B2367" i="5"/>
  <c r="C2367" i="5" s="1"/>
  <c r="D2367" i="5"/>
  <c r="E2367" i="5" s="1"/>
  <c r="B2391" i="5"/>
  <c r="C2391" i="5" s="1"/>
  <c r="D2391" i="5"/>
  <c r="E2391" i="5" s="1"/>
  <c r="B2415" i="5"/>
  <c r="C2415" i="5" s="1"/>
  <c r="D2415" i="5"/>
  <c r="E2415" i="5" s="1"/>
  <c r="B2439" i="5"/>
  <c r="C2439" i="5" s="1"/>
  <c r="D2439" i="5"/>
  <c r="E2439" i="5" s="1"/>
  <c r="B2463" i="5"/>
  <c r="C2463" i="5" s="1"/>
  <c r="D2463" i="5"/>
  <c r="E2463" i="5" s="1"/>
  <c r="B2487" i="5"/>
  <c r="C2487" i="5" s="1"/>
  <c r="D2487" i="5"/>
  <c r="E2487" i="5" s="1"/>
  <c r="B2511" i="5"/>
  <c r="C2511" i="5" s="1"/>
  <c r="D2511" i="5"/>
  <c r="E2511" i="5" s="1"/>
  <c r="B2535" i="5"/>
  <c r="C2535" i="5" s="1"/>
  <c r="D2535" i="5"/>
  <c r="E2535" i="5" s="1"/>
  <c r="B2559" i="5"/>
  <c r="C2559" i="5" s="1"/>
  <c r="D2559" i="5"/>
  <c r="E2559" i="5" s="1"/>
  <c r="B2583" i="5"/>
  <c r="C2583" i="5" s="1"/>
  <c r="D2583" i="5"/>
  <c r="E2583" i="5" s="1"/>
  <c r="B2607" i="5"/>
  <c r="C2607" i="5" s="1"/>
  <c r="D2607" i="5"/>
  <c r="E2607" i="5" s="1"/>
  <c r="B2631" i="5"/>
  <c r="C2631" i="5" s="1"/>
  <c r="D2631" i="5"/>
  <c r="E2631" i="5" s="1"/>
  <c r="B2655" i="5"/>
  <c r="C2655" i="5" s="1"/>
  <c r="D2655" i="5"/>
  <c r="E2655" i="5" s="1"/>
  <c r="B2679" i="5"/>
  <c r="C2679" i="5" s="1"/>
  <c r="D2679" i="5"/>
  <c r="E2679" i="5" s="1"/>
  <c r="B2703" i="5"/>
  <c r="C2703" i="5" s="1"/>
  <c r="D2703" i="5"/>
  <c r="E2703" i="5" s="1"/>
  <c r="B2727" i="5"/>
  <c r="C2727" i="5" s="1"/>
  <c r="D2727" i="5"/>
  <c r="E2727" i="5" s="1"/>
  <c r="B2751" i="5"/>
  <c r="C2751" i="5" s="1"/>
  <c r="D2751" i="5"/>
  <c r="E2751" i="5" s="1"/>
  <c r="B2775" i="5"/>
  <c r="C2775" i="5" s="1"/>
  <c r="D2775" i="5"/>
  <c r="E2775" i="5" s="1"/>
  <c r="B2799" i="5"/>
  <c r="C2799" i="5" s="1"/>
  <c r="D2799" i="5"/>
  <c r="E2799" i="5" s="1"/>
  <c r="B2823" i="5"/>
  <c r="C2823" i="5" s="1"/>
  <c r="D2823" i="5"/>
  <c r="E2823" i="5" s="1"/>
  <c r="B2847" i="5"/>
  <c r="C2847" i="5" s="1"/>
  <c r="D2847" i="5"/>
  <c r="E2847" i="5" s="1"/>
  <c r="B2871" i="5"/>
  <c r="C2871" i="5" s="1"/>
  <c r="D2871" i="5"/>
  <c r="E2871" i="5" s="1"/>
  <c r="B2895" i="5"/>
  <c r="C2895" i="5" s="1"/>
  <c r="D2895" i="5"/>
  <c r="E2895" i="5" s="1"/>
  <c r="B2919" i="5"/>
  <c r="C2919" i="5" s="1"/>
  <c r="D2919" i="5"/>
  <c r="E2919" i="5" s="1"/>
  <c r="B2943" i="5"/>
  <c r="C2943" i="5" s="1"/>
  <c r="D2943" i="5"/>
  <c r="E2943" i="5" s="1"/>
  <c r="B2967" i="5"/>
  <c r="C2967" i="5" s="1"/>
  <c r="D2967" i="5"/>
  <c r="E2967" i="5" s="1"/>
  <c r="B2991" i="5"/>
  <c r="C2991" i="5" s="1"/>
  <c r="D2991" i="5"/>
  <c r="E2991" i="5" s="1"/>
  <c r="B3015" i="5"/>
  <c r="C3015" i="5" s="1"/>
  <c r="D3015" i="5"/>
  <c r="E3015" i="5" s="1"/>
  <c r="B3039" i="5"/>
  <c r="C3039" i="5" s="1"/>
  <c r="D3039" i="5"/>
  <c r="E3039" i="5" s="1"/>
  <c r="B3063" i="5"/>
  <c r="C3063" i="5" s="1"/>
  <c r="D3063" i="5"/>
  <c r="E3063" i="5" s="1"/>
  <c r="B3087" i="5"/>
  <c r="C3087" i="5" s="1"/>
  <c r="D3087" i="5"/>
  <c r="E3087" i="5" s="1"/>
  <c r="B3111" i="5"/>
  <c r="C3111" i="5" s="1"/>
  <c r="D3111" i="5"/>
  <c r="E3111" i="5" s="1"/>
  <c r="B3135" i="5"/>
  <c r="C3135" i="5" s="1"/>
  <c r="D3135" i="5"/>
  <c r="E3135" i="5" s="1"/>
  <c r="B3159" i="5"/>
  <c r="C3159" i="5" s="1"/>
  <c r="D3159" i="5"/>
  <c r="E3159" i="5" s="1"/>
  <c r="B3183" i="5"/>
  <c r="C3183" i="5" s="1"/>
  <c r="D3183" i="5"/>
  <c r="E3183" i="5" s="1"/>
  <c r="B3207" i="5"/>
  <c r="C3207" i="5" s="1"/>
  <c r="D3207" i="5"/>
  <c r="E3207" i="5" s="1"/>
  <c r="B3231" i="5"/>
  <c r="C3231" i="5" s="1"/>
  <c r="D3231" i="5"/>
  <c r="E3231" i="5" s="1"/>
  <c r="B3255" i="5"/>
  <c r="C3255" i="5" s="1"/>
  <c r="D3255" i="5"/>
  <c r="E3255" i="5" s="1"/>
  <c r="B3279" i="5"/>
  <c r="C3279" i="5" s="1"/>
  <c r="D3279" i="5"/>
  <c r="E3279" i="5" s="1"/>
  <c r="B3303" i="5"/>
  <c r="C3303" i="5" s="1"/>
  <c r="D3303" i="5"/>
  <c r="E3303" i="5" s="1"/>
  <c r="B3327" i="5"/>
  <c r="C3327" i="5" s="1"/>
  <c r="D3327" i="5"/>
  <c r="E3327" i="5" s="1"/>
  <c r="B3351" i="5"/>
  <c r="C3351" i="5" s="1"/>
  <c r="D3351" i="5"/>
  <c r="E3351" i="5" s="1"/>
  <c r="B3375" i="5"/>
  <c r="C3375" i="5" s="1"/>
  <c r="D3375" i="5"/>
  <c r="E3375" i="5" s="1"/>
  <c r="B3399" i="5"/>
  <c r="C3399" i="5" s="1"/>
  <c r="D3399" i="5"/>
  <c r="E3399" i="5" s="1"/>
  <c r="B3423" i="5"/>
  <c r="C3423" i="5" s="1"/>
  <c r="D3423" i="5"/>
  <c r="E3423" i="5" s="1"/>
  <c r="B3447" i="5"/>
  <c r="C3447" i="5" s="1"/>
  <c r="D3447" i="5"/>
  <c r="E3447" i="5" s="1"/>
  <c r="B3471" i="5"/>
  <c r="C3471" i="5" s="1"/>
  <c r="D3471" i="5"/>
  <c r="E3471" i="5" s="1"/>
  <c r="B3495" i="5"/>
  <c r="C3495" i="5" s="1"/>
  <c r="D3495" i="5"/>
  <c r="E3495" i="5" s="1"/>
  <c r="B3519" i="5"/>
  <c r="C3519" i="5" s="1"/>
  <c r="D3519" i="5"/>
  <c r="E3519" i="5" s="1"/>
  <c r="B3543" i="5"/>
  <c r="C3543" i="5" s="1"/>
  <c r="D3543" i="5"/>
  <c r="E3543" i="5" s="1"/>
  <c r="B3567" i="5"/>
  <c r="C3567" i="5" s="1"/>
  <c r="D3567" i="5"/>
  <c r="E3567" i="5" s="1"/>
  <c r="B3591" i="5"/>
  <c r="C3591" i="5" s="1"/>
  <c r="D3591" i="5"/>
  <c r="E3591" i="5" s="1"/>
  <c r="B3615" i="5"/>
  <c r="C3615" i="5" s="1"/>
  <c r="D3615" i="5"/>
  <c r="E3615" i="5" s="1"/>
  <c r="B3639" i="5"/>
  <c r="C3639" i="5" s="1"/>
  <c r="D3639" i="5"/>
  <c r="E3639" i="5" s="1"/>
  <c r="B113" i="5"/>
  <c r="C113" i="5" s="1"/>
  <c r="D113" i="5"/>
  <c r="E113" i="5" s="1"/>
  <c r="B16" i="5"/>
  <c r="C16" i="5" s="1"/>
  <c r="D16" i="5"/>
  <c r="E16" i="5" s="1"/>
  <c r="B40" i="5"/>
  <c r="C40" i="5" s="1"/>
  <c r="D40" i="5"/>
  <c r="E40" i="5" s="1"/>
  <c r="B64" i="5"/>
  <c r="C64" i="5" s="1"/>
  <c r="D64" i="5"/>
  <c r="E64" i="5" s="1"/>
  <c r="B88" i="5"/>
  <c r="C88" i="5" s="1"/>
  <c r="D88" i="5"/>
  <c r="E88" i="5" s="1"/>
  <c r="B112" i="5"/>
  <c r="C112" i="5" s="1"/>
  <c r="D112" i="5"/>
  <c r="E112" i="5" s="1"/>
  <c r="B136" i="5"/>
  <c r="C136" i="5" s="1"/>
  <c r="D136" i="5"/>
  <c r="E136" i="5" s="1"/>
  <c r="B160" i="5"/>
  <c r="C160" i="5" s="1"/>
  <c r="D160" i="5"/>
  <c r="E160" i="5" s="1"/>
  <c r="B184" i="5"/>
  <c r="C184" i="5" s="1"/>
  <c r="D184" i="5"/>
  <c r="E184" i="5" s="1"/>
  <c r="B208" i="5"/>
  <c r="C208" i="5" s="1"/>
  <c r="D208" i="5"/>
  <c r="E208" i="5" s="1"/>
  <c r="B232" i="5"/>
  <c r="C232" i="5" s="1"/>
  <c r="D232" i="5"/>
  <c r="E232" i="5" s="1"/>
  <c r="B256" i="5"/>
  <c r="C256" i="5" s="1"/>
  <c r="D256" i="5"/>
  <c r="E256" i="5" s="1"/>
  <c r="B280" i="5"/>
  <c r="C280" i="5" s="1"/>
  <c r="D280" i="5"/>
  <c r="E280" i="5" s="1"/>
  <c r="B304" i="5"/>
  <c r="C304" i="5" s="1"/>
  <c r="D304" i="5"/>
  <c r="E304" i="5" s="1"/>
  <c r="B328" i="5"/>
  <c r="C328" i="5" s="1"/>
  <c r="D328" i="5"/>
  <c r="E328" i="5" s="1"/>
  <c r="B352" i="5"/>
  <c r="C352" i="5" s="1"/>
  <c r="D352" i="5"/>
  <c r="E352" i="5" s="1"/>
  <c r="B376" i="5"/>
  <c r="C376" i="5" s="1"/>
  <c r="D376" i="5"/>
  <c r="E376" i="5" s="1"/>
  <c r="B400" i="5"/>
  <c r="C400" i="5" s="1"/>
  <c r="D400" i="5"/>
  <c r="E400" i="5" s="1"/>
  <c r="B424" i="5"/>
  <c r="C424" i="5" s="1"/>
  <c r="D424" i="5"/>
  <c r="E424" i="5" s="1"/>
  <c r="B448" i="5"/>
  <c r="C448" i="5" s="1"/>
  <c r="D448" i="5"/>
  <c r="E448" i="5" s="1"/>
  <c r="B472" i="5"/>
  <c r="C472" i="5" s="1"/>
  <c r="D472" i="5"/>
  <c r="E472" i="5" s="1"/>
  <c r="B496" i="5"/>
  <c r="C496" i="5" s="1"/>
  <c r="D496" i="5"/>
  <c r="E496" i="5" s="1"/>
  <c r="B520" i="5"/>
  <c r="C520" i="5" s="1"/>
  <c r="D520" i="5"/>
  <c r="E520" i="5" s="1"/>
  <c r="B544" i="5"/>
  <c r="C544" i="5" s="1"/>
  <c r="D544" i="5"/>
  <c r="E544" i="5" s="1"/>
  <c r="B568" i="5"/>
  <c r="C568" i="5" s="1"/>
  <c r="D568" i="5"/>
  <c r="E568" i="5" s="1"/>
  <c r="B592" i="5"/>
  <c r="C592" i="5" s="1"/>
  <c r="D592" i="5"/>
  <c r="E592" i="5" s="1"/>
  <c r="B616" i="5"/>
  <c r="C616" i="5" s="1"/>
  <c r="D616" i="5"/>
  <c r="E616" i="5" s="1"/>
  <c r="B640" i="5"/>
  <c r="C640" i="5" s="1"/>
  <c r="D640" i="5"/>
  <c r="E640" i="5" s="1"/>
  <c r="B664" i="5"/>
  <c r="C664" i="5" s="1"/>
  <c r="D664" i="5"/>
  <c r="E664" i="5" s="1"/>
  <c r="B688" i="5"/>
  <c r="C688" i="5" s="1"/>
  <c r="D688" i="5"/>
  <c r="E688" i="5" s="1"/>
  <c r="B712" i="5"/>
  <c r="C712" i="5" s="1"/>
  <c r="D712" i="5"/>
  <c r="E712" i="5" s="1"/>
  <c r="B736" i="5"/>
  <c r="C736" i="5" s="1"/>
  <c r="D736" i="5"/>
  <c r="E736" i="5" s="1"/>
  <c r="B760" i="5"/>
  <c r="C760" i="5" s="1"/>
  <c r="D760" i="5"/>
  <c r="E760" i="5" s="1"/>
  <c r="B784" i="5"/>
  <c r="C784" i="5" s="1"/>
  <c r="D784" i="5"/>
  <c r="E784" i="5" s="1"/>
  <c r="B808" i="5"/>
  <c r="C808" i="5" s="1"/>
  <c r="D808" i="5"/>
  <c r="E808" i="5" s="1"/>
  <c r="B832" i="5"/>
  <c r="C832" i="5" s="1"/>
  <c r="D832" i="5"/>
  <c r="E832" i="5" s="1"/>
  <c r="D856" i="5"/>
  <c r="E856" i="5" s="1"/>
  <c r="B856" i="5"/>
  <c r="C856" i="5" s="1"/>
  <c r="B880" i="5"/>
  <c r="C880" i="5" s="1"/>
  <c r="D880" i="5"/>
  <c r="E880" i="5" s="1"/>
  <c r="B904" i="5"/>
  <c r="C904" i="5" s="1"/>
  <c r="D904" i="5"/>
  <c r="E904" i="5" s="1"/>
  <c r="B928" i="5"/>
  <c r="C928" i="5" s="1"/>
  <c r="D928" i="5"/>
  <c r="E928" i="5" s="1"/>
  <c r="B952" i="5"/>
  <c r="C952" i="5" s="1"/>
  <c r="D952" i="5"/>
  <c r="E952" i="5" s="1"/>
  <c r="B976" i="5"/>
  <c r="C976" i="5" s="1"/>
  <c r="D976" i="5"/>
  <c r="E976" i="5" s="1"/>
  <c r="B1000" i="5"/>
  <c r="C1000" i="5" s="1"/>
  <c r="D1000" i="5"/>
  <c r="E1000" i="5" s="1"/>
  <c r="B1024" i="5"/>
  <c r="C1024" i="5" s="1"/>
  <c r="D1024" i="5"/>
  <c r="E1024" i="5" s="1"/>
  <c r="D1048" i="5"/>
  <c r="E1048" i="5" s="1"/>
  <c r="B1048" i="5"/>
  <c r="C1048" i="5" s="1"/>
  <c r="B1072" i="5"/>
  <c r="C1072" i="5" s="1"/>
  <c r="D1072" i="5"/>
  <c r="E1072" i="5" s="1"/>
  <c r="D1096" i="5"/>
  <c r="E1096" i="5" s="1"/>
  <c r="B1096" i="5"/>
  <c r="C1096" i="5" s="1"/>
  <c r="B1120" i="5"/>
  <c r="C1120" i="5" s="1"/>
  <c r="D1120" i="5"/>
  <c r="E1120" i="5" s="1"/>
  <c r="B1144" i="5"/>
  <c r="C1144" i="5" s="1"/>
  <c r="D1144" i="5"/>
  <c r="E1144" i="5" s="1"/>
  <c r="B1168" i="5"/>
  <c r="C1168" i="5" s="1"/>
  <c r="D1168" i="5"/>
  <c r="E1168" i="5" s="1"/>
  <c r="B1192" i="5"/>
  <c r="C1192" i="5" s="1"/>
  <c r="D1192" i="5"/>
  <c r="E1192" i="5" s="1"/>
  <c r="B1216" i="5"/>
  <c r="C1216" i="5" s="1"/>
  <c r="D1216" i="5"/>
  <c r="E1216" i="5" s="1"/>
  <c r="B1240" i="5"/>
  <c r="C1240" i="5" s="1"/>
  <c r="D1240" i="5"/>
  <c r="E1240" i="5" s="1"/>
  <c r="B1264" i="5"/>
  <c r="C1264" i="5" s="1"/>
  <c r="D1264" i="5"/>
  <c r="E1264" i="5" s="1"/>
  <c r="B1288" i="5"/>
  <c r="C1288" i="5" s="1"/>
  <c r="D1288" i="5"/>
  <c r="E1288" i="5" s="1"/>
  <c r="B1312" i="5"/>
  <c r="C1312" i="5" s="1"/>
  <c r="D1312" i="5"/>
  <c r="E1312" i="5" s="1"/>
  <c r="B1336" i="5"/>
  <c r="C1336" i="5" s="1"/>
  <c r="D1336" i="5"/>
  <c r="E1336" i="5" s="1"/>
  <c r="B1360" i="5"/>
  <c r="C1360" i="5" s="1"/>
  <c r="D1360" i="5"/>
  <c r="E1360" i="5" s="1"/>
  <c r="B1384" i="5"/>
  <c r="C1384" i="5" s="1"/>
  <c r="D1384" i="5"/>
  <c r="E1384" i="5" s="1"/>
  <c r="B1408" i="5"/>
  <c r="C1408" i="5" s="1"/>
  <c r="D1408" i="5"/>
  <c r="E1408" i="5" s="1"/>
  <c r="B1432" i="5"/>
  <c r="C1432" i="5" s="1"/>
  <c r="D1432" i="5"/>
  <c r="E1432" i="5" s="1"/>
  <c r="B1456" i="5"/>
  <c r="C1456" i="5" s="1"/>
  <c r="D1456" i="5"/>
  <c r="E1456" i="5" s="1"/>
  <c r="B1480" i="5"/>
  <c r="C1480" i="5" s="1"/>
  <c r="D1480" i="5"/>
  <c r="E1480" i="5" s="1"/>
  <c r="B1504" i="5"/>
  <c r="C1504" i="5" s="1"/>
  <c r="D1504" i="5"/>
  <c r="E1504" i="5" s="1"/>
  <c r="B1528" i="5"/>
  <c r="C1528" i="5" s="1"/>
  <c r="D1528" i="5"/>
  <c r="E1528" i="5" s="1"/>
  <c r="B1552" i="5"/>
  <c r="C1552" i="5" s="1"/>
  <c r="D1552" i="5"/>
  <c r="E1552" i="5" s="1"/>
  <c r="B1576" i="5"/>
  <c r="C1576" i="5" s="1"/>
  <c r="D1576" i="5"/>
  <c r="E1576" i="5" s="1"/>
  <c r="B1600" i="5"/>
  <c r="C1600" i="5" s="1"/>
  <c r="D1600" i="5"/>
  <c r="E1600" i="5" s="1"/>
  <c r="B1624" i="5"/>
  <c r="C1624" i="5" s="1"/>
  <c r="D1624" i="5"/>
  <c r="E1624" i="5" s="1"/>
  <c r="B1648" i="5"/>
  <c r="C1648" i="5" s="1"/>
  <c r="D1648" i="5"/>
  <c r="E1648" i="5" s="1"/>
  <c r="B1672" i="5"/>
  <c r="C1672" i="5" s="1"/>
  <c r="D1672" i="5"/>
  <c r="E1672" i="5" s="1"/>
  <c r="D1696" i="5"/>
  <c r="E1696" i="5" s="1"/>
  <c r="B1696" i="5"/>
  <c r="C1696" i="5" s="1"/>
  <c r="B1720" i="5"/>
  <c r="C1720" i="5" s="1"/>
  <c r="D1720" i="5"/>
  <c r="E1720" i="5" s="1"/>
  <c r="B1744" i="5"/>
  <c r="C1744" i="5" s="1"/>
  <c r="D1744" i="5"/>
  <c r="E1744" i="5" s="1"/>
  <c r="B1768" i="5"/>
  <c r="C1768" i="5" s="1"/>
  <c r="D1768" i="5"/>
  <c r="E1768" i="5" s="1"/>
  <c r="B1792" i="5"/>
  <c r="C1792" i="5" s="1"/>
  <c r="D1792" i="5"/>
  <c r="E1792" i="5" s="1"/>
  <c r="B1816" i="5"/>
  <c r="C1816" i="5" s="1"/>
  <c r="D1816" i="5"/>
  <c r="E1816" i="5" s="1"/>
  <c r="B1840" i="5"/>
  <c r="C1840" i="5" s="1"/>
  <c r="D1840" i="5"/>
  <c r="E1840" i="5" s="1"/>
  <c r="B1864" i="5"/>
  <c r="C1864" i="5" s="1"/>
  <c r="D1864" i="5"/>
  <c r="E1864" i="5" s="1"/>
  <c r="B1888" i="5"/>
  <c r="C1888" i="5" s="1"/>
  <c r="D1888" i="5"/>
  <c r="E1888" i="5" s="1"/>
  <c r="B1912" i="5"/>
  <c r="C1912" i="5" s="1"/>
  <c r="D1912" i="5"/>
  <c r="E1912" i="5" s="1"/>
  <c r="B1936" i="5"/>
  <c r="C1936" i="5" s="1"/>
  <c r="D1936" i="5"/>
  <c r="E1936" i="5" s="1"/>
  <c r="B1960" i="5"/>
  <c r="C1960" i="5" s="1"/>
  <c r="D1960" i="5"/>
  <c r="E1960" i="5" s="1"/>
  <c r="B1984" i="5"/>
  <c r="C1984" i="5" s="1"/>
  <c r="D1984" i="5"/>
  <c r="E1984" i="5" s="1"/>
  <c r="B2008" i="5"/>
  <c r="C2008" i="5" s="1"/>
  <c r="D2008" i="5"/>
  <c r="E2008" i="5" s="1"/>
  <c r="B2032" i="5"/>
  <c r="C2032" i="5" s="1"/>
  <c r="D2032" i="5"/>
  <c r="E2032" i="5" s="1"/>
  <c r="B2056" i="5"/>
  <c r="C2056" i="5" s="1"/>
  <c r="D2056" i="5"/>
  <c r="E2056" i="5" s="1"/>
  <c r="B2080" i="5"/>
  <c r="C2080" i="5" s="1"/>
  <c r="D2080" i="5"/>
  <c r="E2080" i="5" s="1"/>
  <c r="B2104" i="5"/>
  <c r="C2104" i="5" s="1"/>
  <c r="D2104" i="5"/>
  <c r="E2104" i="5" s="1"/>
  <c r="B2128" i="5"/>
  <c r="C2128" i="5" s="1"/>
  <c r="D2128" i="5"/>
  <c r="E2128" i="5" s="1"/>
  <c r="B2152" i="5"/>
  <c r="C2152" i="5" s="1"/>
  <c r="D2152" i="5"/>
  <c r="E2152" i="5" s="1"/>
  <c r="B2176" i="5"/>
  <c r="C2176" i="5" s="1"/>
  <c r="D2176" i="5"/>
  <c r="E2176" i="5" s="1"/>
  <c r="B2200" i="5"/>
  <c r="C2200" i="5" s="1"/>
  <c r="D2200" i="5"/>
  <c r="E2200" i="5" s="1"/>
  <c r="B2224" i="5"/>
  <c r="C2224" i="5" s="1"/>
  <c r="D2224" i="5"/>
  <c r="E2224" i="5" s="1"/>
  <c r="B2248" i="5"/>
  <c r="C2248" i="5" s="1"/>
  <c r="D2248" i="5"/>
  <c r="E2248" i="5" s="1"/>
  <c r="B2272" i="5"/>
  <c r="C2272" i="5" s="1"/>
  <c r="D2272" i="5"/>
  <c r="E2272" i="5" s="1"/>
  <c r="D2296" i="5"/>
  <c r="E2296" i="5" s="1"/>
  <c r="B2296" i="5"/>
  <c r="C2296" i="5" s="1"/>
  <c r="B2320" i="5"/>
  <c r="C2320" i="5" s="1"/>
  <c r="D2320" i="5"/>
  <c r="E2320" i="5" s="1"/>
  <c r="B2344" i="5"/>
  <c r="C2344" i="5" s="1"/>
  <c r="D2344" i="5"/>
  <c r="E2344" i="5" s="1"/>
  <c r="B2368" i="5"/>
  <c r="C2368" i="5" s="1"/>
  <c r="D2368" i="5"/>
  <c r="E2368" i="5" s="1"/>
  <c r="B2392" i="5"/>
  <c r="C2392" i="5" s="1"/>
  <c r="D2392" i="5"/>
  <c r="E2392" i="5" s="1"/>
  <c r="B2416" i="5"/>
  <c r="C2416" i="5" s="1"/>
  <c r="D2416" i="5"/>
  <c r="E2416" i="5" s="1"/>
  <c r="B2440" i="5"/>
  <c r="C2440" i="5" s="1"/>
  <c r="D2440" i="5"/>
  <c r="E2440" i="5" s="1"/>
  <c r="B2464" i="5"/>
  <c r="C2464" i="5" s="1"/>
  <c r="D2464" i="5"/>
  <c r="E2464" i="5" s="1"/>
  <c r="B2488" i="5"/>
  <c r="C2488" i="5" s="1"/>
  <c r="D2488" i="5"/>
  <c r="E2488" i="5" s="1"/>
  <c r="B2512" i="5"/>
  <c r="C2512" i="5" s="1"/>
  <c r="D2512" i="5"/>
  <c r="E2512" i="5" s="1"/>
  <c r="B2536" i="5"/>
  <c r="C2536" i="5" s="1"/>
  <c r="D2536" i="5"/>
  <c r="E2536" i="5" s="1"/>
  <c r="B2560" i="5"/>
  <c r="C2560" i="5" s="1"/>
  <c r="D2560" i="5"/>
  <c r="E2560" i="5" s="1"/>
  <c r="B2584" i="5"/>
  <c r="C2584" i="5" s="1"/>
  <c r="D2584" i="5"/>
  <c r="E2584" i="5" s="1"/>
  <c r="B2608" i="5"/>
  <c r="C2608" i="5" s="1"/>
  <c r="D2608" i="5"/>
  <c r="E2608" i="5" s="1"/>
  <c r="B2632" i="5"/>
  <c r="C2632" i="5" s="1"/>
  <c r="D2632" i="5"/>
  <c r="E2632" i="5" s="1"/>
  <c r="B2656" i="5"/>
  <c r="C2656" i="5" s="1"/>
  <c r="D2656" i="5"/>
  <c r="E2656" i="5" s="1"/>
  <c r="B2680" i="5"/>
  <c r="C2680" i="5" s="1"/>
  <c r="D2680" i="5"/>
  <c r="E2680" i="5" s="1"/>
  <c r="B2704" i="5"/>
  <c r="C2704" i="5" s="1"/>
  <c r="D2704" i="5"/>
  <c r="E2704" i="5" s="1"/>
  <c r="B2728" i="5"/>
  <c r="C2728" i="5" s="1"/>
  <c r="D2728" i="5"/>
  <c r="E2728" i="5" s="1"/>
  <c r="B2752" i="5"/>
  <c r="C2752" i="5" s="1"/>
  <c r="D2752" i="5"/>
  <c r="E2752" i="5" s="1"/>
  <c r="B2776" i="5"/>
  <c r="C2776" i="5" s="1"/>
  <c r="D2776" i="5"/>
  <c r="E2776" i="5" s="1"/>
  <c r="B2800" i="5"/>
  <c r="C2800" i="5" s="1"/>
  <c r="D2800" i="5"/>
  <c r="E2800" i="5" s="1"/>
  <c r="B2824" i="5"/>
  <c r="C2824" i="5" s="1"/>
  <c r="D2824" i="5"/>
  <c r="E2824" i="5" s="1"/>
  <c r="B2848" i="5"/>
  <c r="C2848" i="5" s="1"/>
  <c r="D2848" i="5"/>
  <c r="E2848" i="5" s="1"/>
  <c r="B2872" i="5"/>
  <c r="C2872" i="5" s="1"/>
  <c r="D2872" i="5"/>
  <c r="E2872" i="5" s="1"/>
  <c r="B2896" i="5"/>
  <c r="C2896" i="5" s="1"/>
  <c r="D2896" i="5"/>
  <c r="E2896" i="5" s="1"/>
  <c r="B2920" i="5"/>
  <c r="C2920" i="5" s="1"/>
  <c r="D2920" i="5"/>
  <c r="E2920" i="5" s="1"/>
  <c r="B2944" i="5"/>
  <c r="C2944" i="5" s="1"/>
  <c r="D2944" i="5"/>
  <c r="E2944" i="5" s="1"/>
  <c r="B2968" i="5"/>
  <c r="C2968" i="5" s="1"/>
  <c r="D2968" i="5"/>
  <c r="E2968" i="5" s="1"/>
  <c r="B2992" i="5"/>
  <c r="C2992" i="5" s="1"/>
  <c r="D2992" i="5"/>
  <c r="E2992" i="5" s="1"/>
  <c r="B3016" i="5"/>
  <c r="C3016" i="5" s="1"/>
  <c r="D3016" i="5"/>
  <c r="E3016" i="5" s="1"/>
  <c r="D3040" i="5"/>
  <c r="E3040" i="5" s="1"/>
  <c r="B3040" i="5"/>
  <c r="C3040" i="5" s="1"/>
  <c r="B3064" i="5"/>
  <c r="C3064" i="5" s="1"/>
  <c r="D3064" i="5"/>
  <c r="E3064" i="5" s="1"/>
  <c r="B3088" i="5"/>
  <c r="C3088" i="5" s="1"/>
  <c r="D3088" i="5"/>
  <c r="E3088" i="5" s="1"/>
  <c r="B3112" i="5"/>
  <c r="C3112" i="5" s="1"/>
  <c r="D3112" i="5"/>
  <c r="E3112" i="5" s="1"/>
  <c r="B3136" i="5"/>
  <c r="C3136" i="5" s="1"/>
  <c r="D3136" i="5"/>
  <c r="E3136" i="5" s="1"/>
  <c r="B3160" i="5"/>
  <c r="C3160" i="5" s="1"/>
  <c r="D3160" i="5"/>
  <c r="E3160" i="5" s="1"/>
  <c r="B3184" i="5"/>
  <c r="C3184" i="5" s="1"/>
  <c r="D3184" i="5"/>
  <c r="E3184" i="5" s="1"/>
  <c r="B3208" i="5"/>
  <c r="C3208" i="5" s="1"/>
  <c r="D3208" i="5"/>
  <c r="E3208" i="5" s="1"/>
  <c r="B3232" i="5"/>
  <c r="C3232" i="5" s="1"/>
  <c r="D3232" i="5"/>
  <c r="E3232" i="5" s="1"/>
  <c r="B3256" i="5"/>
  <c r="C3256" i="5" s="1"/>
  <c r="D3256" i="5"/>
  <c r="E3256" i="5" s="1"/>
  <c r="B3280" i="5"/>
  <c r="C3280" i="5" s="1"/>
  <c r="D3280" i="5"/>
  <c r="E3280" i="5" s="1"/>
  <c r="B3304" i="5"/>
  <c r="C3304" i="5" s="1"/>
  <c r="D3304" i="5"/>
  <c r="E3304" i="5" s="1"/>
  <c r="B3328" i="5"/>
  <c r="C3328" i="5" s="1"/>
  <c r="D3328" i="5"/>
  <c r="E3328" i="5" s="1"/>
  <c r="B3352" i="5"/>
  <c r="C3352" i="5" s="1"/>
  <c r="D3352" i="5"/>
  <c r="E3352" i="5" s="1"/>
  <c r="B3376" i="5"/>
  <c r="C3376" i="5" s="1"/>
  <c r="D3376" i="5"/>
  <c r="E3376" i="5" s="1"/>
  <c r="D3400" i="5"/>
  <c r="E3400" i="5" s="1"/>
  <c r="B3400" i="5"/>
  <c r="C3400" i="5" s="1"/>
  <c r="B3424" i="5"/>
  <c r="C3424" i="5" s="1"/>
  <c r="D3424" i="5"/>
  <c r="E3424" i="5" s="1"/>
  <c r="B3448" i="5"/>
  <c r="C3448" i="5" s="1"/>
  <c r="D3448" i="5"/>
  <c r="E3448" i="5" s="1"/>
  <c r="B3472" i="5"/>
  <c r="C3472" i="5" s="1"/>
  <c r="D3472" i="5"/>
  <c r="E3472" i="5" s="1"/>
  <c r="D3496" i="5"/>
  <c r="E3496" i="5" s="1"/>
  <c r="B3496" i="5"/>
  <c r="C3496" i="5" s="1"/>
  <c r="B3520" i="5"/>
  <c r="C3520" i="5" s="1"/>
  <c r="D3520" i="5"/>
  <c r="E3520" i="5" s="1"/>
  <c r="B3544" i="5"/>
  <c r="C3544" i="5" s="1"/>
  <c r="D3544" i="5"/>
  <c r="E3544" i="5" s="1"/>
  <c r="B3568" i="5"/>
  <c r="C3568" i="5" s="1"/>
  <c r="D3568" i="5"/>
  <c r="E3568" i="5" s="1"/>
  <c r="B3592" i="5"/>
  <c r="C3592" i="5" s="1"/>
  <c r="D3592" i="5"/>
  <c r="E3592" i="5" s="1"/>
  <c r="B3616" i="5"/>
  <c r="C3616" i="5" s="1"/>
  <c r="D3616" i="5"/>
  <c r="E3616" i="5" s="1"/>
  <c r="B3640" i="5"/>
  <c r="C3640" i="5" s="1"/>
  <c r="D3640" i="5"/>
  <c r="E3640" i="5" s="1"/>
  <c r="B233" i="5"/>
  <c r="C233" i="5" s="1"/>
  <c r="D233" i="5"/>
  <c r="E233" i="5" s="1"/>
  <c r="B449" i="5"/>
  <c r="C449" i="5" s="1"/>
  <c r="D449" i="5"/>
  <c r="E449" i="5" s="1"/>
  <c r="B473" i="5"/>
  <c r="C473" i="5" s="1"/>
  <c r="D473" i="5"/>
  <c r="E473" i="5" s="1"/>
  <c r="B497" i="5"/>
  <c r="C497" i="5" s="1"/>
  <c r="D497" i="5"/>
  <c r="E497" i="5" s="1"/>
  <c r="B545" i="5"/>
  <c r="C545" i="5" s="1"/>
  <c r="D545" i="5"/>
  <c r="E545" i="5" s="1"/>
  <c r="B569" i="5"/>
  <c r="C569" i="5" s="1"/>
  <c r="D569" i="5"/>
  <c r="E569" i="5" s="1"/>
  <c r="B593" i="5"/>
  <c r="C593" i="5" s="1"/>
  <c r="D593" i="5"/>
  <c r="E593" i="5" s="1"/>
  <c r="B617" i="5"/>
  <c r="C617" i="5" s="1"/>
  <c r="D617" i="5"/>
  <c r="E617" i="5" s="1"/>
  <c r="B641" i="5"/>
  <c r="C641" i="5" s="1"/>
  <c r="D641" i="5"/>
  <c r="E641" i="5" s="1"/>
  <c r="B665" i="5"/>
  <c r="C665" i="5" s="1"/>
  <c r="D665" i="5"/>
  <c r="E665" i="5" s="1"/>
  <c r="B689" i="5"/>
  <c r="C689" i="5" s="1"/>
  <c r="D689" i="5"/>
  <c r="E689" i="5" s="1"/>
  <c r="B737" i="5"/>
  <c r="C737" i="5" s="1"/>
  <c r="D737" i="5"/>
  <c r="E737" i="5" s="1"/>
  <c r="B761" i="5"/>
  <c r="C761" i="5" s="1"/>
  <c r="D761" i="5"/>
  <c r="E761" i="5" s="1"/>
  <c r="B785" i="5"/>
  <c r="C785" i="5" s="1"/>
  <c r="D785" i="5"/>
  <c r="E785" i="5" s="1"/>
  <c r="B809" i="5"/>
  <c r="C809" i="5" s="1"/>
  <c r="D809" i="5"/>
  <c r="E809" i="5" s="1"/>
  <c r="B833" i="5"/>
  <c r="C833" i="5" s="1"/>
  <c r="D833" i="5"/>
  <c r="E833" i="5" s="1"/>
  <c r="B857" i="5"/>
  <c r="C857" i="5" s="1"/>
  <c r="D857" i="5"/>
  <c r="E857" i="5" s="1"/>
  <c r="B881" i="5"/>
  <c r="C881" i="5" s="1"/>
  <c r="D881" i="5"/>
  <c r="E881" i="5" s="1"/>
  <c r="B905" i="5"/>
  <c r="C905" i="5" s="1"/>
  <c r="D905" i="5"/>
  <c r="E905" i="5" s="1"/>
  <c r="B929" i="5"/>
  <c r="C929" i="5" s="1"/>
  <c r="D929" i="5"/>
  <c r="E929" i="5" s="1"/>
  <c r="B953" i="5"/>
  <c r="C953" i="5" s="1"/>
  <c r="D953" i="5"/>
  <c r="E953" i="5" s="1"/>
  <c r="B977" i="5"/>
  <c r="C977" i="5" s="1"/>
  <c r="D977" i="5"/>
  <c r="E977" i="5" s="1"/>
  <c r="B1001" i="5"/>
  <c r="C1001" i="5" s="1"/>
  <c r="D1001" i="5"/>
  <c r="E1001" i="5" s="1"/>
  <c r="B1025" i="5"/>
  <c r="C1025" i="5" s="1"/>
  <c r="D1025" i="5"/>
  <c r="E1025" i="5" s="1"/>
  <c r="B1049" i="5"/>
  <c r="C1049" i="5" s="1"/>
  <c r="D1049" i="5"/>
  <c r="E1049" i="5" s="1"/>
  <c r="D1073" i="5"/>
  <c r="E1073" i="5" s="1"/>
  <c r="B1073" i="5"/>
  <c r="C1073" i="5" s="1"/>
  <c r="B1097" i="5"/>
  <c r="C1097" i="5" s="1"/>
  <c r="D1097" i="5"/>
  <c r="E1097" i="5" s="1"/>
  <c r="B1121" i="5"/>
  <c r="C1121" i="5" s="1"/>
  <c r="D1121" i="5"/>
  <c r="E1121" i="5" s="1"/>
  <c r="B1145" i="5"/>
  <c r="C1145" i="5" s="1"/>
  <c r="D1145" i="5"/>
  <c r="E1145" i="5" s="1"/>
  <c r="B1169" i="5"/>
  <c r="C1169" i="5" s="1"/>
  <c r="D1169" i="5"/>
  <c r="E1169" i="5" s="1"/>
  <c r="B1193" i="5"/>
  <c r="C1193" i="5" s="1"/>
  <c r="D1193" i="5"/>
  <c r="E1193" i="5" s="1"/>
  <c r="B1217" i="5"/>
  <c r="C1217" i="5" s="1"/>
  <c r="D1217" i="5"/>
  <c r="E1217" i="5" s="1"/>
  <c r="D1241" i="5"/>
  <c r="E1241" i="5" s="1"/>
  <c r="B1241" i="5"/>
  <c r="C1241" i="5" s="1"/>
  <c r="B1289" i="5"/>
  <c r="C1289" i="5" s="1"/>
  <c r="D1289" i="5"/>
  <c r="E1289" i="5" s="1"/>
  <c r="B1313" i="5"/>
  <c r="C1313" i="5" s="1"/>
  <c r="D1313" i="5"/>
  <c r="E1313" i="5" s="1"/>
  <c r="B1337" i="5"/>
  <c r="C1337" i="5" s="1"/>
  <c r="D1337" i="5"/>
  <c r="E1337" i="5" s="1"/>
  <c r="B1361" i="5"/>
  <c r="C1361" i="5" s="1"/>
  <c r="D1361" i="5"/>
  <c r="E1361" i="5" s="1"/>
  <c r="B1385" i="5"/>
  <c r="C1385" i="5" s="1"/>
  <c r="D1385" i="5"/>
  <c r="E1385" i="5" s="1"/>
  <c r="B1409" i="5"/>
  <c r="C1409" i="5" s="1"/>
  <c r="D1409" i="5"/>
  <c r="E1409" i="5" s="1"/>
  <c r="B1433" i="5"/>
  <c r="C1433" i="5" s="1"/>
  <c r="D1433" i="5"/>
  <c r="E1433" i="5" s="1"/>
  <c r="B1457" i="5"/>
  <c r="C1457" i="5" s="1"/>
  <c r="D1457" i="5"/>
  <c r="E1457" i="5" s="1"/>
  <c r="D1481" i="5"/>
  <c r="E1481" i="5" s="1"/>
  <c r="B1481" i="5"/>
  <c r="C1481" i="5" s="1"/>
  <c r="B1505" i="5"/>
  <c r="C1505" i="5" s="1"/>
  <c r="D1505" i="5"/>
  <c r="E1505" i="5" s="1"/>
  <c r="B1529" i="5"/>
  <c r="C1529" i="5" s="1"/>
  <c r="D1529" i="5"/>
  <c r="E1529" i="5" s="1"/>
  <c r="B1553" i="5"/>
  <c r="C1553" i="5" s="1"/>
  <c r="D1553" i="5"/>
  <c r="E1553" i="5" s="1"/>
  <c r="B1577" i="5"/>
  <c r="C1577" i="5" s="1"/>
  <c r="D1577" i="5"/>
  <c r="E1577" i="5" s="1"/>
  <c r="B1601" i="5"/>
  <c r="C1601" i="5" s="1"/>
  <c r="D1601" i="5"/>
  <c r="E1601" i="5" s="1"/>
  <c r="B1625" i="5"/>
  <c r="C1625" i="5" s="1"/>
  <c r="D1625" i="5"/>
  <c r="E1625" i="5" s="1"/>
  <c r="B1649" i="5"/>
  <c r="C1649" i="5" s="1"/>
  <c r="D1649" i="5"/>
  <c r="E1649" i="5" s="1"/>
  <c r="B1673" i="5"/>
  <c r="C1673" i="5" s="1"/>
  <c r="D1673" i="5"/>
  <c r="E1673" i="5" s="1"/>
  <c r="B1697" i="5"/>
  <c r="C1697" i="5" s="1"/>
  <c r="D1697" i="5"/>
  <c r="E1697" i="5" s="1"/>
  <c r="B1721" i="5"/>
  <c r="C1721" i="5" s="1"/>
  <c r="D1721" i="5"/>
  <c r="E1721" i="5" s="1"/>
  <c r="B1745" i="5"/>
  <c r="C1745" i="5" s="1"/>
  <c r="D1745" i="5"/>
  <c r="E1745" i="5" s="1"/>
  <c r="B1769" i="5"/>
  <c r="C1769" i="5" s="1"/>
  <c r="D1769" i="5"/>
  <c r="E1769" i="5" s="1"/>
  <c r="B1793" i="5"/>
  <c r="C1793" i="5" s="1"/>
  <c r="D1793" i="5"/>
  <c r="E1793" i="5" s="1"/>
  <c r="B1817" i="5"/>
  <c r="C1817" i="5" s="1"/>
  <c r="D1817" i="5"/>
  <c r="E1817" i="5" s="1"/>
  <c r="D1841" i="5"/>
  <c r="E1841" i="5" s="1"/>
  <c r="B1841" i="5"/>
  <c r="C1841" i="5" s="1"/>
  <c r="D1865" i="5"/>
  <c r="E1865" i="5" s="1"/>
  <c r="B1865" i="5"/>
  <c r="C1865" i="5" s="1"/>
  <c r="B1889" i="5"/>
  <c r="C1889" i="5" s="1"/>
  <c r="D1889" i="5"/>
  <c r="E1889" i="5" s="1"/>
  <c r="B1913" i="5"/>
  <c r="C1913" i="5" s="1"/>
  <c r="D1913" i="5"/>
  <c r="E1913" i="5" s="1"/>
  <c r="B1937" i="5"/>
  <c r="C1937" i="5" s="1"/>
  <c r="D1937" i="5"/>
  <c r="E1937" i="5" s="1"/>
  <c r="B1961" i="5"/>
  <c r="C1961" i="5" s="1"/>
  <c r="D1961" i="5"/>
  <c r="E1961" i="5" s="1"/>
  <c r="B1985" i="5"/>
  <c r="C1985" i="5" s="1"/>
  <c r="D1985" i="5"/>
  <c r="E1985" i="5" s="1"/>
  <c r="B2009" i="5"/>
  <c r="C2009" i="5" s="1"/>
  <c r="D2009" i="5"/>
  <c r="E2009" i="5" s="1"/>
  <c r="B2033" i="5"/>
  <c r="C2033" i="5" s="1"/>
  <c r="D2033" i="5"/>
  <c r="E2033" i="5" s="1"/>
  <c r="B2057" i="5"/>
  <c r="C2057" i="5" s="1"/>
  <c r="D2057" i="5"/>
  <c r="E2057" i="5" s="1"/>
  <c r="B2081" i="5"/>
  <c r="C2081" i="5" s="1"/>
  <c r="D2081" i="5"/>
  <c r="E2081" i="5" s="1"/>
  <c r="B2105" i="5"/>
  <c r="C2105" i="5" s="1"/>
  <c r="D2105" i="5"/>
  <c r="E2105" i="5" s="1"/>
  <c r="B2129" i="5"/>
  <c r="C2129" i="5" s="1"/>
  <c r="D2129" i="5"/>
  <c r="E2129" i="5" s="1"/>
  <c r="B2153" i="5"/>
  <c r="C2153" i="5" s="1"/>
  <c r="D2153" i="5"/>
  <c r="E2153" i="5" s="1"/>
  <c r="B2177" i="5"/>
  <c r="C2177" i="5" s="1"/>
  <c r="D2177" i="5"/>
  <c r="E2177" i="5" s="1"/>
  <c r="B2201" i="5"/>
  <c r="C2201" i="5" s="1"/>
  <c r="D2201" i="5"/>
  <c r="E2201" i="5" s="1"/>
  <c r="B2225" i="5"/>
  <c r="C2225" i="5" s="1"/>
  <c r="D2225" i="5"/>
  <c r="E2225" i="5" s="1"/>
  <c r="B2249" i="5"/>
  <c r="C2249" i="5" s="1"/>
  <c r="D2249" i="5"/>
  <c r="E2249" i="5" s="1"/>
  <c r="B2273" i="5"/>
  <c r="C2273" i="5" s="1"/>
  <c r="D2273" i="5"/>
  <c r="E2273" i="5" s="1"/>
  <c r="B2297" i="5"/>
  <c r="C2297" i="5" s="1"/>
  <c r="D2297" i="5"/>
  <c r="E2297" i="5" s="1"/>
  <c r="B2321" i="5"/>
  <c r="C2321" i="5" s="1"/>
  <c r="D2321" i="5"/>
  <c r="E2321" i="5" s="1"/>
  <c r="B2345" i="5"/>
  <c r="C2345" i="5" s="1"/>
  <c r="D2345" i="5"/>
  <c r="E2345" i="5" s="1"/>
  <c r="B2369" i="5"/>
  <c r="C2369" i="5" s="1"/>
  <c r="D2369" i="5"/>
  <c r="E2369" i="5" s="1"/>
  <c r="B2393" i="5"/>
  <c r="C2393" i="5" s="1"/>
  <c r="D2393" i="5"/>
  <c r="E2393" i="5" s="1"/>
  <c r="B2417" i="5"/>
  <c r="C2417" i="5" s="1"/>
  <c r="D2417" i="5"/>
  <c r="E2417" i="5" s="1"/>
  <c r="B2441" i="5"/>
  <c r="C2441" i="5" s="1"/>
  <c r="D2441" i="5"/>
  <c r="E2441" i="5" s="1"/>
  <c r="B2465" i="5"/>
  <c r="C2465" i="5" s="1"/>
  <c r="D2465" i="5"/>
  <c r="E2465" i="5" s="1"/>
  <c r="B2489" i="5"/>
  <c r="C2489" i="5" s="1"/>
  <c r="D2489" i="5"/>
  <c r="E2489" i="5" s="1"/>
  <c r="B2513" i="5"/>
  <c r="C2513" i="5" s="1"/>
  <c r="D2513" i="5"/>
  <c r="E2513" i="5" s="1"/>
  <c r="B2537" i="5"/>
  <c r="C2537" i="5" s="1"/>
  <c r="D2537" i="5"/>
  <c r="E2537" i="5" s="1"/>
  <c r="B2561" i="5"/>
  <c r="C2561" i="5" s="1"/>
  <c r="D2561" i="5"/>
  <c r="E2561" i="5" s="1"/>
  <c r="B2585" i="5"/>
  <c r="C2585" i="5" s="1"/>
  <c r="D2585" i="5"/>
  <c r="E2585" i="5" s="1"/>
  <c r="B2609" i="5"/>
  <c r="C2609" i="5" s="1"/>
  <c r="D2609" i="5"/>
  <c r="E2609" i="5" s="1"/>
  <c r="B2633" i="5"/>
  <c r="C2633" i="5" s="1"/>
  <c r="D2633" i="5"/>
  <c r="E2633" i="5" s="1"/>
  <c r="B2657" i="5"/>
  <c r="C2657" i="5" s="1"/>
  <c r="D2657" i="5"/>
  <c r="E2657" i="5" s="1"/>
  <c r="B2681" i="5"/>
  <c r="C2681" i="5" s="1"/>
  <c r="D2681" i="5"/>
  <c r="E2681" i="5" s="1"/>
  <c r="B2705" i="5"/>
  <c r="C2705" i="5" s="1"/>
  <c r="D2705" i="5"/>
  <c r="E2705" i="5" s="1"/>
  <c r="B2729" i="5"/>
  <c r="C2729" i="5" s="1"/>
  <c r="D2729" i="5"/>
  <c r="E2729" i="5" s="1"/>
  <c r="B2753" i="5"/>
  <c r="C2753" i="5" s="1"/>
  <c r="D2753" i="5"/>
  <c r="E2753" i="5" s="1"/>
  <c r="B2777" i="5"/>
  <c r="C2777" i="5" s="1"/>
  <c r="D2777" i="5"/>
  <c r="E2777" i="5" s="1"/>
  <c r="B2801" i="5"/>
  <c r="C2801" i="5" s="1"/>
  <c r="D2801" i="5"/>
  <c r="E2801" i="5" s="1"/>
  <c r="B2825" i="5"/>
  <c r="C2825" i="5" s="1"/>
  <c r="D2825" i="5"/>
  <c r="E2825" i="5" s="1"/>
  <c r="B2849" i="5"/>
  <c r="C2849" i="5" s="1"/>
  <c r="D2849" i="5"/>
  <c r="E2849" i="5" s="1"/>
  <c r="B2873" i="5"/>
  <c r="C2873" i="5" s="1"/>
  <c r="D2873" i="5"/>
  <c r="E2873" i="5" s="1"/>
  <c r="B2897" i="5"/>
  <c r="C2897" i="5" s="1"/>
  <c r="D2897" i="5"/>
  <c r="E2897" i="5" s="1"/>
  <c r="B2921" i="5"/>
  <c r="C2921" i="5" s="1"/>
  <c r="D2921" i="5"/>
  <c r="E2921" i="5" s="1"/>
  <c r="B2945" i="5"/>
  <c r="C2945" i="5" s="1"/>
  <c r="D2945" i="5"/>
  <c r="E2945" i="5" s="1"/>
  <c r="B2969" i="5"/>
  <c r="C2969" i="5" s="1"/>
  <c r="D2969" i="5"/>
  <c r="E2969" i="5" s="1"/>
  <c r="B2993" i="5"/>
  <c r="C2993" i="5" s="1"/>
  <c r="D2993" i="5"/>
  <c r="E2993" i="5" s="1"/>
  <c r="B3017" i="5"/>
  <c r="C3017" i="5" s="1"/>
  <c r="D3017" i="5"/>
  <c r="E3017" i="5" s="1"/>
  <c r="B3041" i="5"/>
  <c r="C3041" i="5" s="1"/>
  <c r="D3041" i="5"/>
  <c r="E3041" i="5" s="1"/>
  <c r="B3065" i="5"/>
  <c r="C3065" i="5" s="1"/>
  <c r="D3065" i="5"/>
  <c r="E3065" i="5" s="1"/>
  <c r="B3089" i="5"/>
  <c r="C3089" i="5" s="1"/>
  <c r="D3089" i="5"/>
  <c r="E3089" i="5" s="1"/>
  <c r="B3113" i="5"/>
  <c r="C3113" i="5" s="1"/>
  <c r="D3113" i="5"/>
  <c r="E3113" i="5" s="1"/>
  <c r="B3137" i="5"/>
  <c r="C3137" i="5" s="1"/>
  <c r="D3137" i="5"/>
  <c r="E3137" i="5" s="1"/>
  <c r="B3161" i="5"/>
  <c r="C3161" i="5" s="1"/>
  <c r="D3161" i="5"/>
  <c r="E3161" i="5" s="1"/>
  <c r="B3185" i="5"/>
  <c r="C3185" i="5" s="1"/>
  <c r="D3185" i="5"/>
  <c r="E3185" i="5" s="1"/>
  <c r="B3209" i="5"/>
  <c r="C3209" i="5" s="1"/>
  <c r="D3209" i="5"/>
  <c r="E3209" i="5" s="1"/>
  <c r="B3233" i="5"/>
  <c r="C3233" i="5" s="1"/>
  <c r="D3233" i="5"/>
  <c r="E3233" i="5" s="1"/>
  <c r="B3257" i="5"/>
  <c r="C3257" i="5" s="1"/>
  <c r="D3257" i="5"/>
  <c r="E3257" i="5" s="1"/>
  <c r="B3281" i="5"/>
  <c r="C3281" i="5" s="1"/>
  <c r="D3281" i="5"/>
  <c r="E3281" i="5" s="1"/>
  <c r="B3305" i="5"/>
  <c r="C3305" i="5" s="1"/>
  <c r="D3305" i="5"/>
  <c r="E3305" i="5" s="1"/>
  <c r="B3329" i="5"/>
  <c r="C3329" i="5" s="1"/>
  <c r="D3329" i="5"/>
  <c r="E3329" i="5" s="1"/>
  <c r="B3353" i="5"/>
  <c r="C3353" i="5" s="1"/>
  <c r="D3353" i="5"/>
  <c r="E3353" i="5" s="1"/>
  <c r="B3377" i="5"/>
  <c r="C3377" i="5" s="1"/>
  <c r="D3377" i="5"/>
  <c r="E3377" i="5" s="1"/>
  <c r="B3401" i="5"/>
  <c r="C3401" i="5" s="1"/>
  <c r="D3401" i="5"/>
  <c r="E3401" i="5" s="1"/>
  <c r="B3425" i="5"/>
  <c r="C3425" i="5" s="1"/>
  <c r="D3425" i="5"/>
  <c r="E3425" i="5" s="1"/>
  <c r="B3449" i="5"/>
  <c r="C3449" i="5" s="1"/>
  <c r="D3449" i="5"/>
  <c r="E3449" i="5" s="1"/>
  <c r="B3473" i="5"/>
  <c r="C3473" i="5" s="1"/>
  <c r="D3473" i="5"/>
  <c r="E3473" i="5" s="1"/>
  <c r="B3497" i="5"/>
  <c r="C3497" i="5" s="1"/>
  <c r="D3497" i="5"/>
  <c r="E3497" i="5" s="1"/>
  <c r="B3521" i="5"/>
  <c r="C3521" i="5" s="1"/>
  <c r="D3521" i="5"/>
  <c r="E3521" i="5" s="1"/>
  <c r="B3545" i="5"/>
  <c r="C3545" i="5" s="1"/>
  <c r="D3545" i="5"/>
  <c r="E3545" i="5" s="1"/>
  <c r="B3569" i="5"/>
  <c r="C3569" i="5" s="1"/>
  <c r="D3569" i="5"/>
  <c r="E3569" i="5" s="1"/>
  <c r="B3593" i="5"/>
  <c r="C3593" i="5" s="1"/>
  <c r="D3593" i="5"/>
  <c r="E3593" i="5" s="1"/>
  <c r="B3617" i="5"/>
  <c r="C3617" i="5" s="1"/>
  <c r="D3617" i="5"/>
  <c r="E3617" i="5" s="1"/>
  <c r="B3641" i="5"/>
  <c r="C3641" i="5" s="1"/>
  <c r="D3641" i="5"/>
  <c r="E3641" i="5" s="1"/>
  <c r="B41" i="5"/>
  <c r="C41" i="5" s="1"/>
  <c r="D41" i="5"/>
  <c r="E41" i="5" s="1"/>
  <c r="B521" i="5"/>
  <c r="C521" i="5" s="1"/>
  <c r="D521" i="5"/>
  <c r="E521" i="5" s="1"/>
  <c r="B713" i="5"/>
  <c r="C713" i="5" s="1"/>
  <c r="D713" i="5"/>
  <c r="E713" i="5" s="1"/>
  <c r="B1265" i="5"/>
  <c r="C1265" i="5" s="1"/>
  <c r="D1265" i="5"/>
  <c r="E1265" i="5" s="1"/>
  <c r="B18" i="5"/>
  <c r="C18" i="5" s="1"/>
  <c r="D18" i="5"/>
  <c r="E18" i="5" s="1"/>
  <c r="B42" i="5"/>
  <c r="C42" i="5" s="1"/>
  <c r="D42" i="5"/>
  <c r="E42" i="5" s="1"/>
  <c r="B66" i="5"/>
  <c r="C66" i="5" s="1"/>
  <c r="D66" i="5"/>
  <c r="E66" i="5" s="1"/>
  <c r="B90" i="5"/>
  <c r="C90" i="5" s="1"/>
  <c r="D90" i="5"/>
  <c r="E90" i="5" s="1"/>
  <c r="B114" i="5"/>
  <c r="C114" i="5" s="1"/>
  <c r="D114" i="5"/>
  <c r="E114" i="5" s="1"/>
  <c r="B138" i="5"/>
  <c r="C138" i="5" s="1"/>
  <c r="D138" i="5"/>
  <c r="E138" i="5" s="1"/>
  <c r="B162" i="5"/>
  <c r="C162" i="5" s="1"/>
  <c r="D162" i="5"/>
  <c r="E162" i="5" s="1"/>
  <c r="B186" i="5"/>
  <c r="C186" i="5" s="1"/>
  <c r="D186" i="5"/>
  <c r="E186" i="5" s="1"/>
  <c r="B210" i="5"/>
  <c r="C210" i="5" s="1"/>
  <c r="D210" i="5"/>
  <c r="E210" i="5" s="1"/>
  <c r="B234" i="5"/>
  <c r="C234" i="5" s="1"/>
  <c r="D234" i="5"/>
  <c r="E234" i="5" s="1"/>
  <c r="B258" i="5"/>
  <c r="C258" i="5" s="1"/>
  <c r="D258" i="5"/>
  <c r="E258" i="5" s="1"/>
  <c r="B282" i="5"/>
  <c r="C282" i="5" s="1"/>
  <c r="D282" i="5"/>
  <c r="E282" i="5" s="1"/>
  <c r="B306" i="5"/>
  <c r="C306" i="5" s="1"/>
  <c r="D306" i="5"/>
  <c r="E306" i="5" s="1"/>
  <c r="B330" i="5"/>
  <c r="C330" i="5" s="1"/>
  <c r="D330" i="5"/>
  <c r="E330" i="5" s="1"/>
  <c r="B354" i="5"/>
  <c r="C354" i="5" s="1"/>
  <c r="D354" i="5"/>
  <c r="E354" i="5" s="1"/>
  <c r="B378" i="5"/>
  <c r="C378" i="5" s="1"/>
  <c r="D378" i="5"/>
  <c r="E378" i="5" s="1"/>
  <c r="B402" i="5"/>
  <c r="C402" i="5" s="1"/>
  <c r="D402" i="5"/>
  <c r="E402" i="5" s="1"/>
  <c r="B426" i="5"/>
  <c r="C426" i="5" s="1"/>
  <c r="D426" i="5"/>
  <c r="E426" i="5" s="1"/>
  <c r="B450" i="5"/>
  <c r="C450" i="5" s="1"/>
  <c r="D450" i="5"/>
  <c r="E450" i="5" s="1"/>
  <c r="B474" i="5"/>
  <c r="C474" i="5" s="1"/>
  <c r="D474" i="5"/>
  <c r="E474" i="5" s="1"/>
  <c r="B498" i="5"/>
  <c r="C498" i="5" s="1"/>
  <c r="D498" i="5"/>
  <c r="E498" i="5" s="1"/>
  <c r="B522" i="5"/>
  <c r="C522" i="5" s="1"/>
  <c r="D522" i="5"/>
  <c r="E522" i="5" s="1"/>
  <c r="B546" i="5"/>
  <c r="C546" i="5" s="1"/>
  <c r="D546" i="5"/>
  <c r="E546" i="5" s="1"/>
  <c r="B570" i="5"/>
  <c r="C570" i="5" s="1"/>
  <c r="D570" i="5"/>
  <c r="E570" i="5" s="1"/>
  <c r="B594" i="5"/>
  <c r="C594" i="5" s="1"/>
  <c r="D594" i="5"/>
  <c r="E594" i="5" s="1"/>
  <c r="B618" i="5"/>
  <c r="C618" i="5" s="1"/>
  <c r="D618" i="5"/>
  <c r="E618" i="5" s="1"/>
  <c r="B642" i="5"/>
  <c r="C642" i="5" s="1"/>
  <c r="D642" i="5"/>
  <c r="E642" i="5" s="1"/>
  <c r="B666" i="5"/>
  <c r="C666" i="5" s="1"/>
  <c r="D666" i="5"/>
  <c r="E666" i="5" s="1"/>
  <c r="B690" i="5"/>
  <c r="C690" i="5" s="1"/>
  <c r="D690" i="5"/>
  <c r="E690" i="5" s="1"/>
  <c r="B714" i="5"/>
  <c r="C714" i="5" s="1"/>
  <c r="D714" i="5"/>
  <c r="E714" i="5" s="1"/>
  <c r="B738" i="5"/>
  <c r="C738" i="5" s="1"/>
  <c r="D738" i="5"/>
  <c r="E738" i="5" s="1"/>
  <c r="B762" i="5"/>
  <c r="C762" i="5" s="1"/>
  <c r="D762" i="5"/>
  <c r="E762" i="5" s="1"/>
  <c r="D786" i="5"/>
  <c r="E786" i="5" s="1"/>
  <c r="B786" i="5"/>
  <c r="C786" i="5" s="1"/>
  <c r="B810" i="5"/>
  <c r="C810" i="5" s="1"/>
  <c r="D810" i="5"/>
  <c r="E810" i="5" s="1"/>
  <c r="B834" i="5"/>
  <c r="C834" i="5" s="1"/>
  <c r="D834" i="5"/>
  <c r="E834" i="5" s="1"/>
  <c r="B858" i="5"/>
  <c r="C858" i="5" s="1"/>
  <c r="D858" i="5"/>
  <c r="E858" i="5" s="1"/>
  <c r="B882" i="5"/>
  <c r="C882" i="5" s="1"/>
  <c r="D882" i="5"/>
  <c r="E882" i="5" s="1"/>
  <c r="B906" i="5"/>
  <c r="C906" i="5" s="1"/>
  <c r="D906" i="5"/>
  <c r="E906" i="5" s="1"/>
  <c r="B930" i="5"/>
  <c r="C930" i="5" s="1"/>
  <c r="D930" i="5"/>
  <c r="E930" i="5" s="1"/>
  <c r="B954" i="5"/>
  <c r="C954" i="5" s="1"/>
  <c r="D954" i="5"/>
  <c r="E954" i="5" s="1"/>
  <c r="B978" i="5"/>
  <c r="C978" i="5" s="1"/>
  <c r="D978" i="5"/>
  <c r="E978" i="5" s="1"/>
  <c r="B1002" i="5"/>
  <c r="C1002" i="5" s="1"/>
  <c r="D1002" i="5"/>
  <c r="E1002" i="5" s="1"/>
  <c r="B1026" i="5"/>
  <c r="C1026" i="5" s="1"/>
  <c r="D1026" i="5"/>
  <c r="E1026" i="5" s="1"/>
  <c r="B1050" i="5"/>
  <c r="C1050" i="5" s="1"/>
  <c r="D1050" i="5"/>
  <c r="E1050" i="5" s="1"/>
  <c r="B1074" i="5"/>
  <c r="C1074" i="5" s="1"/>
  <c r="D1074" i="5"/>
  <c r="E1074" i="5" s="1"/>
  <c r="B1098" i="5"/>
  <c r="C1098" i="5" s="1"/>
  <c r="D1098" i="5"/>
  <c r="E1098" i="5" s="1"/>
  <c r="B1122" i="5"/>
  <c r="C1122" i="5" s="1"/>
  <c r="D1122" i="5"/>
  <c r="E1122" i="5" s="1"/>
  <c r="B1146" i="5"/>
  <c r="C1146" i="5" s="1"/>
  <c r="D1146" i="5"/>
  <c r="E1146" i="5" s="1"/>
  <c r="B1170" i="5"/>
  <c r="C1170" i="5" s="1"/>
  <c r="D1170" i="5"/>
  <c r="E1170" i="5" s="1"/>
  <c r="B1194" i="5"/>
  <c r="C1194" i="5" s="1"/>
  <c r="D1194" i="5"/>
  <c r="E1194" i="5" s="1"/>
  <c r="B1218" i="5"/>
  <c r="C1218" i="5" s="1"/>
  <c r="D1218" i="5"/>
  <c r="E1218" i="5" s="1"/>
  <c r="B1242" i="5"/>
  <c r="C1242" i="5" s="1"/>
  <c r="D1242" i="5"/>
  <c r="E1242" i="5" s="1"/>
  <c r="B1266" i="5"/>
  <c r="C1266" i="5" s="1"/>
  <c r="D1266" i="5"/>
  <c r="E1266" i="5" s="1"/>
  <c r="B1290" i="5"/>
  <c r="C1290" i="5" s="1"/>
  <c r="D1290" i="5"/>
  <c r="E1290" i="5" s="1"/>
  <c r="B1314" i="5"/>
  <c r="C1314" i="5" s="1"/>
  <c r="D1314" i="5"/>
  <c r="E1314" i="5" s="1"/>
  <c r="B1338" i="5"/>
  <c r="C1338" i="5" s="1"/>
  <c r="D1338" i="5"/>
  <c r="E1338" i="5" s="1"/>
  <c r="D1362" i="5"/>
  <c r="E1362" i="5" s="1"/>
  <c r="B1362" i="5"/>
  <c r="C1362" i="5" s="1"/>
  <c r="B1386" i="5"/>
  <c r="C1386" i="5" s="1"/>
  <c r="D1386" i="5"/>
  <c r="E1386" i="5" s="1"/>
  <c r="B1410" i="5"/>
  <c r="C1410" i="5" s="1"/>
  <c r="D1410" i="5"/>
  <c r="E1410" i="5" s="1"/>
  <c r="B1434" i="5"/>
  <c r="C1434" i="5" s="1"/>
  <c r="D1434" i="5"/>
  <c r="E1434" i="5" s="1"/>
  <c r="B1458" i="5"/>
  <c r="C1458" i="5" s="1"/>
  <c r="D1458" i="5"/>
  <c r="E1458" i="5" s="1"/>
  <c r="B1482" i="5"/>
  <c r="C1482" i="5" s="1"/>
  <c r="D1482" i="5"/>
  <c r="E1482" i="5" s="1"/>
  <c r="B1506" i="5"/>
  <c r="C1506" i="5" s="1"/>
  <c r="D1506" i="5"/>
  <c r="E1506" i="5" s="1"/>
  <c r="B1530" i="5"/>
  <c r="C1530" i="5" s="1"/>
  <c r="D1530" i="5"/>
  <c r="E1530" i="5" s="1"/>
  <c r="B1554" i="5"/>
  <c r="C1554" i="5" s="1"/>
  <c r="D1554" i="5"/>
  <c r="E1554" i="5" s="1"/>
  <c r="B1578" i="5"/>
  <c r="C1578" i="5" s="1"/>
  <c r="D1578" i="5"/>
  <c r="E1578" i="5" s="1"/>
  <c r="B1602" i="5"/>
  <c r="C1602" i="5" s="1"/>
  <c r="D1602" i="5"/>
  <c r="E1602" i="5" s="1"/>
  <c r="B1626" i="5"/>
  <c r="C1626" i="5" s="1"/>
  <c r="D1626" i="5"/>
  <c r="E1626" i="5" s="1"/>
  <c r="B1650" i="5"/>
  <c r="C1650" i="5" s="1"/>
  <c r="D1650" i="5"/>
  <c r="E1650" i="5" s="1"/>
  <c r="B1674" i="5"/>
  <c r="C1674" i="5" s="1"/>
  <c r="D1674" i="5"/>
  <c r="E1674" i="5" s="1"/>
  <c r="B1698" i="5"/>
  <c r="C1698" i="5" s="1"/>
  <c r="D1698" i="5"/>
  <c r="E1698" i="5" s="1"/>
  <c r="B1722" i="5"/>
  <c r="C1722" i="5" s="1"/>
  <c r="D1722" i="5"/>
  <c r="E1722" i="5" s="1"/>
  <c r="B1746" i="5"/>
  <c r="C1746" i="5" s="1"/>
  <c r="D1746" i="5"/>
  <c r="E1746" i="5" s="1"/>
  <c r="B1770" i="5"/>
  <c r="C1770" i="5" s="1"/>
  <c r="D1770" i="5"/>
  <c r="E1770" i="5" s="1"/>
  <c r="B1794" i="5"/>
  <c r="C1794" i="5" s="1"/>
  <c r="D1794" i="5"/>
  <c r="E1794" i="5" s="1"/>
  <c r="B1818" i="5"/>
  <c r="C1818" i="5" s="1"/>
  <c r="D1818" i="5"/>
  <c r="E1818" i="5" s="1"/>
  <c r="B1842" i="5"/>
  <c r="C1842" i="5" s="1"/>
  <c r="D1842" i="5"/>
  <c r="E1842" i="5" s="1"/>
  <c r="B1866" i="5"/>
  <c r="C1866" i="5" s="1"/>
  <c r="D1866" i="5"/>
  <c r="E1866" i="5" s="1"/>
  <c r="B1890" i="5"/>
  <c r="C1890" i="5" s="1"/>
  <c r="D1890" i="5"/>
  <c r="E1890" i="5" s="1"/>
  <c r="B1914" i="5"/>
  <c r="C1914" i="5" s="1"/>
  <c r="D1914" i="5"/>
  <c r="E1914" i="5" s="1"/>
  <c r="D1938" i="5"/>
  <c r="E1938" i="5" s="1"/>
  <c r="B1938" i="5"/>
  <c r="C1938" i="5" s="1"/>
  <c r="D1962" i="5"/>
  <c r="E1962" i="5" s="1"/>
  <c r="B1962" i="5"/>
  <c r="C1962" i="5" s="1"/>
  <c r="B1986" i="5"/>
  <c r="C1986" i="5" s="1"/>
  <c r="D1986" i="5"/>
  <c r="E1986" i="5" s="1"/>
  <c r="B2010" i="5"/>
  <c r="C2010" i="5" s="1"/>
  <c r="D2010" i="5"/>
  <c r="E2010" i="5" s="1"/>
  <c r="B2034" i="5"/>
  <c r="C2034" i="5" s="1"/>
  <c r="D2034" i="5"/>
  <c r="E2034" i="5" s="1"/>
  <c r="B2058" i="5"/>
  <c r="C2058" i="5" s="1"/>
  <c r="D2058" i="5"/>
  <c r="E2058" i="5" s="1"/>
  <c r="B2082" i="5"/>
  <c r="C2082" i="5" s="1"/>
  <c r="D2082" i="5"/>
  <c r="E2082" i="5" s="1"/>
  <c r="B2106" i="5"/>
  <c r="C2106" i="5" s="1"/>
  <c r="D2106" i="5"/>
  <c r="E2106" i="5" s="1"/>
  <c r="B2130" i="5"/>
  <c r="C2130" i="5" s="1"/>
  <c r="D2130" i="5"/>
  <c r="E2130" i="5" s="1"/>
  <c r="B2154" i="5"/>
  <c r="C2154" i="5" s="1"/>
  <c r="D2154" i="5"/>
  <c r="E2154" i="5" s="1"/>
  <c r="B2178" i="5"/>
  <c r="C2178" i="5" s="1"/>
  <c r="D2178" i="5"/>
  <c r="E2178" i="5" s="1"/>
  <c r="B2202" i="5"/>
  <c r="C2202" i="5" s="1"/>
  <c r="D2202" i="5"/>
  <c r="E2202" i="5" s="1"/>
  <c r="B2226" i="5"/>
  <c r="C2226" i="5" s="1"/>
  <c r="D2226" i="5"/>
  <c r="E2226" i="5" s="1"/>
  <c r="B2250" i="5"/>
  <c r="C2250" i="5" s="1"/>
  <c r="D2250" i="5"/>
  <c r="E2250" i="5" s="1"/>
  <c r="B2274" i="5"/>
  <c r="C2274" i="5" s="1"/>
  <c r="D2274" i="5"/>
  <c r="E2274" i="5" s="1"/>
  <c r="B2298" i="5"/>
  <c r="C2298" i="5" s="1"/>
  <c r="D2298" i="5"/>
  <c r="E2298" i="5" s="1"/>
  <c r="B2322" i="5"/>
  <c r="C2322" i="5" s="1"/>
  <c r="D2322" i="5"/>
  <c r="E2322" i="5" s="1"/>
  <c r="B2346" i="5"/>
  <c r="C2346" i="5" s="1"/>
  <c r="D2346" i="5"/>
  <c r="E2346" i="5" s="1"/>
  <c r="B2370" i="5"/>
  <c r="C2370" i="5" s="1"/>
  <c r="D2370" i="5"/>
  <c r="E2370" i="5" s="1"/>
  <c r="B2394" i="5"/>
  <c r="C2394" i="5" s="1"/>
  <c r="D2394" i="5"/>
  <c r="E2394" i="5" s="1"/>
  <c r="B2418" i="5"/>
  <c r="C2418" i="5" s="1"/>
  <c r="D2418" i="5"/>
  <c r="E2418" i="5" s="1"/>
  <c r="B2442" i="5"/>
  <c r="C2442" i="5" s="1"/>
  <c r="D2442" i="5"/>
  <c r="E2442" i="5" s="1"/>
  <c r="B2466" i="5"/>
  <c r="C2466" i="5" s="1"/>
  <c r="D2466" i="5"/>
  <c r="E2466" i="5" s="1"/>
  <c r="B2490" i="5"/>
  <c r="C2490" i="5" s="1"/>
  <c r="D2490" i="5"/>
  <c r="E2490" i="5" s="1"/>
  <c r="B2514" i="5"/>
  <c r="C2514" i="5" s="1"/>
  <c r="D2514" i="5"/>
  <c r="E2514" i="5" s="1"/>
  <c r="B2538" i="5"/>
  <c r="C2538" i="5" s="1"/>
  <c r="D2538" i="5"/>
  <c r="E2538" i="5" s="1"/>
  <c r="B2562" i="5"/>
  <c r="C2562" i="5" s="1"/>
  <c r="D2562" i="5"/>
  <c r="E2562" i="5" s="1"/>
  <c r="B2586" i="5"/>
  <c r="C2586" i="5" s="1"/>
  <c r="D2586" i="5"/>
  <c r="E2586" i="5" s="1"/>
  <c r="B2610" i="5"/>
  <c r="C2610" i="5" s="1"/>
  <c r="D2610" i="5"/>
  <c r="E2610" i="5" s="1"/>
  <c r="B2634" i="5"/>
  <c r="C2634" i="5" s="1"/>
  <c r="D2634" i="5"/>
  <c r="E2634" i="5" s="1"/>
  <c r="B2658" i="5"/>
  <c r="C2658" i="5" s="1"/>
  <c r="D2658" i="5"/>
  <c r="E2658" i="5" s="1"/>
  <c r="B2682" i="5"/>
  <c r="C2682" i="5" s="1"/>
  <c r="D2682" i="5"/>
  <c r="E2682" i="5" s="1"/>
  <c r="B2706" i="5"/>
  <c r="C2706" i="5" s="1"/>
  <c r="D2706" i="5"/>
  <c r="E2706" i="5" s="1"/>
  <c r="B2730" i="5"/>
  <c r="C2730" i="5" s="1"/>
  <c r="D2730" i="5"/>
  <c r="E2730" i="5" s="1"/>
  <c r="B2754" i="5"/>
  <c r="C2754" i="5" s="1"/>
  <c r="D2754" i="5"/>
  <c r="E2754" i="5" s="1"/>
  <c r="B2778" i="5"/>
  <c r="C2778" i="5" s="1"/>
  <c r="D2778" i="5"/>
  <c r="E2778" i="5" s="1"/>
  <c r="B2802" i="5"/>
  <c r="C2802" i="5" s="1"/>
  <c r="D2802" i="5"/>
  <c r="E2802" i="5" s="1"/>
  <c r="B2826" i="5"/>
  <c r="C2826" i="5" s="1"/>
  <c r="D2826" i="5"/>
  <c r="E2826" i="5" s="1"/>
  <c r="B2850" i="5"/>
  <c r="C2850" i="5" s="1"/>
  <c r="D2850" i="5"/>
  <c r="E2850" i="5" s="1"/>
  <c r="B2874" i="5"/>
  <c r="C2874" i="5" s="1"/>
  <c r="D2874" i="5"/>
  <c r="E2874" i="5" s="1"/>
  <c r="B2898" i="5"/>
  <c r="C2898" i="5" s="1"/>
  <c r="D2898" i="5"/>
  <c r="E2898" i="5" s="1"/>
  <c r="B2922" i="5"/>
  <c r="C2922" i="5" s="1"/>
  <c r="D2922" i="5"/>
  <c r="E2922" i="5" s="1"/>
  <c r="B2946" i="5"/>
  <c r="C2946" i="5" s="1"/>
  <c r="D2946" i="5"/>
  <c r="E2946" i="5" s="1"/>
  <c r="B2970" i="5"/>
  <c r="C2970" i="5" s="1"/>
  <c r="D2970" i="5"/>
  <c r="E2970" i="5" s="1"/>
  <c r="B2994" i="5"/>
  <c r="C2994" i="5" s="1"/>
  <c r="D2994" i="5"/>
  <c r="E2994" i="5" s="1"/>
  <c r="B3018" i="5"/>
  <c r="C3018" i="5" s="1"/>
  <c r="D3018" i="5"/>
  <c r="E3018" i="5" s="1"/>
  <c r="B3042" i="5"/>
  <c r="C3042" i="5" s="1"/>
  <c r="D3042" i="5"/>
  <c r="E3042" i="5" s="1"/>
  <c r="B3066" i="5"/>
  <c r="C3066" i="5" s="1"/>
  <c r="D3066" i="5"/>
  <c r="E3066" i="5" s="1"/>
  <c r="B3090" i="5"/>
  <c r="C3090" i="5" s="1"/>
  <c r="D3090" i="5"/>
  <c r="E3090" i="5" s="1"/>
  <c r="B3114" i="5"/>
  <c r="C3114" i="5" s="1"/>
  <c r="D3114" i="5"/>
  <c r="E3114" i="5" s="1"/>
  <c r="B3138" i="5"/>
  <c r="C3138" i="5" s="1"/>
  <c r="D3138" i="5"/>
  <c r="E3138" i="5" s="1"/>
  <c r="B3162" i="5"/>
  <c r="C3162" i="5" s="1"/>
  <c r="D3162" i="5"/>
  <c r="E3162" i="5" s="1"/>
  <c r="B3186" i="5"/>
  <c r="C3186" i="5" s="1"/>
  <c r="D3186" i="5"/>
  <c r="E3186" i="5" s="1"/>
  <c r="B3210" i="5"/>
  <c r="C3210" i="5" s="1"/>
  <c r="D3210" i="5"/>
  <c r="E3210" i="5" s="1"/>
  <c r="B3234" i="5"/>
  <c r="C3234" i="5" s="1"/>
  <c r="D3234" i="5"/>
  <c r="E3234" i="5" s="1"/>
  <c r="B3258" i="5"/>
  <c r="C3258" i="5" s="1"/>
  <c r="D3258" i="5"/>
  <c r="E3258" i="5" s="1"/>
  <c r="B3282" i="5"/>
  <c r="C3282" i="5" s="1"/>
  <c r="D3282" i="5"/>
  <c r="E3282" i="5" s="1"/>
  <c r="B3306" i="5"/>
  <c r="C3306" i="5" s="1"/>
  <c r="D3306" i="5"/>
  <c r="E3306" i="5" s="1"/>
  <c r="B3330" i="5"/>
  <c r="C3330" i="5" s="1"/>
  <c r="D3330" i="5"/>
  <c r="E3330" i="5" s="1"/>
  <c r="B3354" i="5"/>
  <c r="C3354" i="5" s="1"/>
  <c r="D3354" i="5"/>
  <c r="E3354" i="5" s="1"/>
  <c r="B3378" i="5"/>
  <c r="C3378" i="5" s="1"/>
  <c r="D3378" i="5"/>
  <c r="E3378" i="5" s="1"/>
  <c r="B3402" i="5"/>
  <c r="C3402" i="5" s="1"/>
  <c r="D3402" i="5"/>
  <c r="E3402" i="5" s="1"/>
  <c r="B3426" i="5"/>
  <c r="C3426" i="5" s="1"/>
  <c r="D3426" i="5"/>
  <c r="E3426" i="5" s="1"/>
  <c r="B3450" i="5"/>
  <c r="C3450" i="5" s="1"/>
  <c r="D3450" i="5"/>
  <c r="E3450" i="5" s="1"/>
  <c r="B3474" i="5"/>
  <c r="C3474" i="5" s="1"/>
  <c r="D3474" i="5"/>
  <c r="E3474" i="5" s="1"/>
  <c r="B3498" i="5"/>
  <c r="C3498" i="5" s="1"/>
  <c r="D3498" i="5"/>
  <c r="E3498" i="5" s="1"/>
  <c r="B3522" i="5"/>
  <c r="C3522" i="5" s="1"/>
  <c r="D3522" i="5"/>
  <c r="E3522" i="5" s="1"/>
  <c r="B3546" i="5"/>
  <c r="C3546" i="5" s="1"/>
  <c r="D3546" i="5"/>
  <c r="E3546" i="5" s="1"/>
  <c r="B3570" i="5"/>
  <c r="C3570" i="5" s="1"/>
  <c r="D3570" i="5"/>
  <c r="E3570" i="5" s="1"/>
  <c r="B3594" i="5"/>
  <c r="C3594" i="5" s="1"/>
  <c r="D3594" i="5"/>
  <c r="E3594" i="5" s="1"/>
  <c r="B3618" i="5"/>
  <c r="C3618" i="5" s="1"/>
  <c r="D3618" i="5"/>
  <c r="E3618" i="5" s="1"/>
  <c r="B3642" i="5"/>
  <c r="C3642" i="5" s="1"/>
  <c r="D3642" i="5"/>
  <c r="E3642" i="5" s="1"/>
  <c r="B19" i="5"/>
  <c r="C19" i="5" s="1"/>
  <c r="D19" i="5"/>
  <c r="E19" i="5" s="1"/>
  <c r="B139" i="5"/>
  <c r="C139" i="5" s="1"/>
  <c r="D139" i="5"/>
  <c r="E139" i="5" s="1"/>
  <c r="B187" i="5"/>
  <c r="C187" i="5" s="1"/>
  <c r="D187" i="5"/>
  <c r="E187" i="5" s="1"/>
  <c r="B235" i="5"/>
  <c r="C235" i="5" s="1"/>
  <c r="D235" i="5"/>
  <c r="E235" i="5" s="1"/>
  <c r="B259" i="5"/>
  <c r="C259" i="5" s="1"/>
  <c r="D259" i="5"/>
  <c r="E259" i="5" s="1"/>
  <c r="B283" i="5"/>
  <c r="C283" i="5" s="1"/>
  <c r="D283" i="5"/>
  <c r="E283" i="5" s="1"/>
  <c r="B307" i="5"/>
  <c r="C307" i="5" s="1"/>
  <c r="D307" i="5"/>
  <c r="E307" i="5" s="1"/>
  <c r="B331" i="5"/>
  <c r="C331" i="5" s="1"/>
  <c r="D331" i="5"/>
  <c r="E331" i="5" s="1"/>
  <c r="B355" i="5"/>
  <c r="C355" i="5" s="1"/>
  <c r="D355" i="5"/>
  <c r="E355" i="5" s="1"/>
  <c r="B379" i="5"/>
  <c r="C379" i="5" s="1"/>
  <c r="D379" i="5"/>
  <c r="E379" i="5" s="1"/>
  <c r="B403" i="5"/>
  <c r="C403" i="5" s="1"/>
  <c r="D403" i="5"/>
  <c r="E403" i="5" s="1"/>
  <c r="B427" i="5"/>
  <c r="C427" i="5" s="1"/>
  <c r="D427" i="5"/>
  <c r="E427" i="5" s="1"/>
  <c r="B451" i="5"/>
  <c r="C451" i="5" s="1"/>
  <c r="D451" i="5"/>
  <c r="E451" i="5" s="1"/>
  <c r="B475" i="5"/>
  <c r="C475" i="5" s="1"/>
  <c r="D475" i="5"/>
  <c r="E475" i="5" s="1"/>
  <c r="B499" i="5"/>
  <c r="C499" i="5" s="1"/>
  <c r="D499" i="5"/>
  <c r="E499" i="5" s="1"/>
  <c r="B523" i="5"/>
  <c r="C523" i="5" s="1"/>
  <c r="D523" i="5"/>
  <c r="E523" i="5" s="1"/>
  <c r="B547" i="5"/>
  <c r="C547" i="5" s="1"/>
  <c r="D547" i="5"/>
  <c r="E547" i="5" s="1"/>
  <c r="B571" i="5"/>
  <c r="C571" i="5" s="1"/>
  <c r="D571" i="5"/>
  <c r="E571" i="5" s="1"/>
  <c r="B595" i="5"/>
  <c r="C595" i="5" s="1"/>
  <c r="D595" i="5"/>
  <c r="E595" i="5" s="1"/>
  <c r="B619" i="5"/>
  <c r="C619" i="5" s="1"/>
  <c r="D619" i="5"/>
  <c r="E619" i="5" s="1"/>
  <c r="B643" i="5"/>
  <c r="C643" i="5" s="1"/>
  <c r="D643" i="5"/>
  <c r="E643" i="5" s="1"/>
  <c r="B667" i="5"/>
  <c r="C667" i="5" s="1"/>
  <c r="D667" i="5"/>
  <c r="E667" i="5" s="1"/>
  <c r="B691" i="5"/>
  <c r="C691" i="5" s="1"/>
  <c r="D691" i="5"/>
  <c r="E691" i="5" s="1"/>
  <c r="B715" i="5"/>
  <c r="C715" i="5" s="1"/>
  <c r="D715" i="5"/>
  <c r="E715" i="5" s="1"/>
  <c r="B739" i="5"/>
  <c r="C739" i="5" s="1"/>
  <c r="D739" i="5"/>
  <c r="E739" i="5" s="1"/>
  <c r="B763" i="5"/>
  <c r="C763" i="5" s="1"/>
  <c r="D763" i="5"/>
  <c r="E763" i="5" s="1"/>
  <c r="B787" i="5"/>
  <c r="C787" i="5" s="1"/>
  <c r="D787" i="5"/>
  <c r="E787" i="5" s="1"/>
  <c r="B811" i="5"/>
  <c r="C811" i="5" s="1"/>
  <c r="D811" i="5"/>
  <c r="E811" i="5" s="1"/>
  <c r="B835" i="5"/>
  <c r="C835" i="5" s="1"/>
  <c r="D835" i="5"/>
  <c r="E835" i="5" s="1"/>
  <c r="B859" i="5"/>
  <c r="C859" i="5" s="1"/>
  <c r="D859" i="5"/>
  <c r="E859" i="5" s="1"/>
  <c r="B883" i="5"/>
  <c r="C883" i="5" s="1"/>
  <c r="D883" i="5"/>
  <c r="E883" i="5" s="1"/>
  <c r="B907" i="5"/>
  <c r="C907" i="5" s="1"/>
  <c r="D907" i="5"/>
  <c r="E907" i="5" s="1"/>
  <c r="B931" i="5"/>
  <c r="C931" i="5" s="1"/>
  <c r="D931" i="5"/>
  <c r="E931" i="5" s="1"/>
  <c r="B955" i="5"/>
  <c r="C955" i="5" s="1"/>
  <c r="D955" i="5"/>
  <c r="E955" i="5" s="1"/>
  <c r="B979" i="5"/>
  <c r="C979" i="5" s="1"/>
  <c r="D979" i="5"/>
  <c r="E979" i="5" s="1"/>
  <c r="B1003" i="5"/>
  <c r="C1003" i="5" s="1"/>
  <c r="D1003" i="5"/>
  <c r="E1003" i="5" s="1"/>
  <c r="B1027" i="5"/>
  <c r="C1027" i="5" s="1"/>
  <c r="D1027" i="5"/>
  <c r="E1027" i="5" s="1"/>
  <c r="B1051" i="5"/>
  <c r="C1051" i="5" s="1"/>
  <c r="D1051" i="5"/>
  <c r="E1051" i="5" s="1"/>
  <c r="B1075" i="5"/>
  <c r="C1075" i="5" s="1"/>
  <c r="D1075" i="5"/>
  <c r="E1075" i="5" s="1"/>
  <c r="B1099" i="5"/>
  <c r="C1099" i="5" s="1"/>
  <c r="D1099" i="5"/>
  <c r="E1099" i="5" s="1"/>
  <c r="B1123" i="5"/>
  <c r="C1123" i="5" s="1"/>
  <c r="D1123" i="5"/>
  <c r="E1123" i="5" s="1"/>
  <c r="B1147" i="5"/>
  <c r="C1147" i="5" s="1"/>
  <c r="D1147" i="5"/>
  <c r="E1147" i="5" s="1"/>
  <c r="B1171" i="5"/>
  <c r="C1171" i="5" s="1"/>
  <c r="D1171" i="5"/>
  <c r="E1171" i="5" s="1"/>
  <c r="B1195" i="5"/>
  <c r="C1195" i="5" s="1"/>
  <c r="D1195" i="5"/>
  <c r="E1195" i="5" s="1"/>
  <c r="B1219" i="5"/>
  <c r="C1219" i="5" s="1"/>
  <c r="D1219" i="5"/>
  <c r="E1219" i="5" s="1"/>
  <c r="B1243" i="5"/>
  <c r="C1243" i="5" s="1"/>
  <c r="D1243" i="5"/>
  <c r="E1243" i="5" s="1"/>
  <c r="B1267" i="5"/>
  <c r="C1267" i="5" s="1"/>
  <c r="D1267" i="5"/>
  <c r="E1267" i="5" s="1"/>
  <c r="B1291" i="5"/>
  <c r="C1291" i="5" s="1"/>
  <c r="D1291" i="5"/>
  <c r="E1291" i="5" s="1"/>
  <c r="B1315" i="5"/>
  <c r="C1315" i="5" s="1"/>
  <c r="D1315" i="5"/>
  <c r="E1315" i="5" s="1"/>
  <c r="B1339" i="5"/>
  <c r="C1339" i="5" s="1"/>
  <c r="D1339" i="5"/>
  <c r="E1339" i="5" s="1"/>
  <c r="B1363" i="5"/>
  <c r="C1363" i="5" s="1"/>
  <c r="D1363" i="5"/>
  <c r="E1363" i="5" s="1"/>
  <c r="B1387" i="5"/>
  <c r="C1387" i="5" s="1"/>
  <c r="D1387" i="5"/>
  <c r="E1387" i="5" s="1"/>
  <c r="B1411" i="5"/>
  <c r="C1411" i="5" s="1"/>
  <c r="D1411" i="5"/>
  <c r="E1411" i="5" s="1"/>
  <c r="B1435" i="5"/>
  <c r="C1435" i="5" s="1"/>
  <c r="D1435" i="5"/>
  <c r="E1435" i="5" s="1"/>
  <c r="D1459" i="5"/>
  <c r="E1459" i="5" s="1"/>
  <c r="B1459" i="5"/>
  <c r="C1459" i="5" s="1"/>
  <c r="B1483" i="5"/>
  <c r="C1483" i="5" s="1"/>
  <c r="D1483" i="5"/>
  <c r="E1483" i="5" s="1"/>
  <c r="B1507" i="5"/>
  <c r="C1507" i="5" s="1"/>
  <c r="D1507" i="5"/>
  <c r="E1507" i="5" s="1"/>
  <c r="B1531" i="5"/>
  <c r="C1531" i="5" s="1"/>
  <c r="D1531" i="5"/>
  <c r="E1531" i="5" s="1"/>
  <c r="B1555" i="5"/>
  <c r="C1555" i="5" s="1"/>
  <c r="D1555" i="5"/>
  <c r="E1555" i="5" s="1"/>
  <c r="D1579" i="5"/>
  <c r="E1579" i="5" s="1"/>
  <c r="B1579" i="5"/>
  <c r="C1579" i="5" s="1"/>
  <c r="B1603" i="5"/>
  <c r="C1603" i="5" s="1"/>
  <c r="D1603" i="5"/>
  <c r="E1603" i="5" s="1"/>
  <c r="B1627" i="5"/>
  <c r="C1627" i="5" s="1"/>
  <c r="D1627" i="5"/>
  <c r="E1627" i="5" s="1"/>
  <c r="B1651" i="5"/>
  <c r="C1651" i="5" s="1"/>
  <c r="D1651" i="5"/>
  <c r="E1651" i="5" s="1"/>
  <c r="B1675" i="5"/>
  <c r="C1675" i="5" s="1"/>
  <c r="D1675" i="5"/>
  <c r="E1675" i="5" s="1"/>
  <c r="B1699" i="5"/>
  <c r="C1699" i="5" s="1"/>
  <c r="D1699" i="5"/>
  <c r="E1699" i="5" s="1"/>
  <c r="B1723" i="5"/>
  <c r="C1723" i="5" s="1"/>
  <c r="D1723" i="5"/>
  <c r="E1723" i="5" s="1"/>
  <c r="B1747" i="5"/>
  <c r="C1747" i="5" s="1"/>
  <c r="D1747" i="5"/>
  <c r="E1747" i="5" s="1"/>
  <c r="B1771" i="5"/>
  <c r="C1771" i="5" s="1"/>
  <c r="D1771" i="5"/>
  <c r="E1771" i="5" s="1"/>
  <c r="B1795" i="5"/>
  <c r="C1795" i="5" s="1"/>
  <c r="D1795" i="5"/>
  <c r="E1795" i="5" s="1"/>
  <c r="B1819" i="5"/>
  <c r="C1819" i="5" s="1"/>
  <c r="D1819" i="5"/>
  <c r="E1819" i="5" s="1"/>
  <c r="B1843" i="5"/>
  <c r="C1843" i="5" s="1"/>
  <c r="D1843" i="5"/>
  <c r="E1843" i="5" s="1"/>
  <c r="B1867" i="5"/>
  <c r="C1867" i="5" s="1"/>
  <c r="D1867" i="5"/>
  <c r="E1867" i="5" s="1"/>
  <c r="B1891" i="5"/>
  <c r="C1891" i="5" s="1"/>
  <c r="D1891" i="5"/>
  <c r="E1891" i="5" s="1"/>
  <c r="D1915" i="5"/>
  <c r="E1915" i="5" s="1"/>
  <c r="B1915" i="5"/>
  <c r="C1915" i="5" s="1"/>
  <c r="B1939" i="5"/>
  <c r="C1939" i="5" s="1"/>
  <c r="D1939" i="5"/>
  <c r="E1939" i="5" s="1"/>
  <c r="B1963" i="5"/>
  <c r="C1963" i="5" s="1"/>
  <c r="D1963" i="5"/>
  <c r="E1963" i="5" s="1"/>
  <c r="B1987" i="5"/>
  <c r="C1987" i="5" s="1"/>
  <c r="D1987" i="5"/>
  <c r="E1987" i="5" s="1"/>
  <c r="B2011" i="5"/>
  <c r="C2011" i="5" s="1"/>
  <c r="D2011" i="5"/>
  <c r="E2011" i="5" s="1"/>
  <c r="B2035" i="5"/>
  <c r="C2035" i="5" s="1"/>
  <c r="D2035" i="5"/>
  <c r="E2035" i="5" s="1"/>
  <c r="B2059" i="5"/>
  <c r="C2059" i="5" s="1"/>
  <c r="D2059" i="5"/>
  <c r="E2059" i="5" s="1"/>
  <c r="B2083" i="5"/>
  <c r="C2083" i="5" s="1"/>
  <c r="D2083" i="5"/>
  <c r="E2083" i="5" s="1"/>
  <c r="B2107" i="5"/>
  <c r="C2107" i="5" s="1"/>
  <c r="D2107" i="5"/>
  <c r="E2107" i="5" s="1"/>
  <c r="B2131" i="5"/>
  <c r="C2131" i="5" s="1"/>
  <c r="D2131" i="5"/>
  <c r="E2131" i="5" s="1"/>
  <c r="B2155" i="5"/>
  <c r="C2155" i="5" s="1"/>
  <c r="D2155" i="5"/>
  <c r="E2155" i="5" s="1"/>
  <c r="B2179" i="5"/>
  <c r="C2179" i="5" s="1"/>
  <c r="D2179" i="5"/>
  <c r="E2179" i="5" s="1"/>
  <c r="B2203" i="5"/>
  <c r="C2203" i="5" s="1"/>
  <c r="D2203" i="5"/>
  <c r="E2203" i="5" s="1"/>
  <c r="B2227" i="5"/>
  <c r="C2227" i="5" s="1"/>
  <c r="D2227" i="5"/>
  <c r="E2227" i="5" s="1"/>
  <c r="B2251" i="5"/>
  <c r="C2251" i="5" s="1"/>
  <c r="D2251" i="5"/>
  <c r="E2251" i="5" s="1"/>
  <c r="B2275" i="5"/>
  <c r="C2275" i="5" s="1"/>
  <c r="D2275" i="5"/>
  <c r="E2275" i="5" s="1"/>
  <c r="B2299" i="5"/>
  <c r="C2299" i="5" s="1"/>
  <c r="D2299" i="5"/>
  <c r="E2299" i="5" s="1"/>
  <c r="B2323" i="5"/>
  <c r="C2323" i="5" s="1"/>
  <c r="D2323" i="5"/>
  <c r="E2323" i="5" s="1"/>
  <c r="B2347" i="5"/>
  <c r="C2347" i="5" s="1"/>
  <c r="D2347" i="5"/>
  <c r="E2347" i="5" s="1"/>
  <c r="B2371" i="5"/>
  <c r="C2371" i="5" s="1"/>
  <c r="D2371" i="5"/>
  <c r="E2371" i="5" s="1"/>
  <c r="B2395" i="5"/>
  <c r="C2395" i="5" s="1"/>
  <c r="D2395" i="5"/>
  <c r="E2395" i="5" s="1"/>
  <c r="B2419" i="5"/>
  <c r="C2419" i="5" s="1"/>
  <c r="D2419" i="5"/>
  <c r="E2419" i="5" s="1"/>
  <c r="B2443" i="5"/>
  <c r="C2443" i="5" s="1"/>
  <c r="D2443" i="5"/>
  <c r="E2443" i="5" s="1"/>
  <c r="B2467" i="5"/>
  <c r="C2467" i="5" s="1"/>
  <c r="D2467" i="5"/>
  <c r="E2467" i="5" s="1"/>
  <c r="B2491" i="5"/>
  <c r="C2491" i="5" s="1"/>
  <c r="D2491" i="5"/>
  <c r="E2491" i="5" s="1"/>
  <c r="B2515" i="5"/>
  <c r="C2515" i="5" s="1"/>
  <c r="D2515" i="5"/>
  <c r="E2515" i="5" s="1"/>
  <c r="B2539" i="5"/>
  <c r="C2539" i="5" s="1"/>
  <c r="D2539" i="5"/>
  <c r="E2539" i="5" s="1"/>
  <c r="B2563" i="5"/>
  <c r="C2563" i="5" s="1"/>
  <c r="D2563" i="5"/>
  <c r="E2563" i="5" s="1"/>
  <c r="B2587" i="5"/>
  <c r="C2587" i="5" s="1"/>
  <c r="D2587" i="5"/>
  <c r="E2587" i="5" s="1"/>
  <c r="B2611" i="5"/>
  <c r="C2611" i="5" s="1"/>
  <c r="D2611" i="5"/>
  <c r="E2611" i="5" s="1"/>
  <c r="B2635" i="5"/>
  <c r="C2635" i="5" s="1"/>
  <c r="D2635" i="5"/>
  <c r="E2635" i="5" s="1"/>
  <c r="B2659" i="5"/>
  <c r="C2659" i="5" s="1"/>
  <c r="D2659" i="5"/>
  <c r="E2659" i="5" s="1"/>
  <c r="B2683" i="5"/>
  <c r="C2683" i="5" s="1"/>
  <c r="D2683" i="5"/>
  <c r="E2683" i="5" s="1"/>
  <c r="B2707" i="5"/>
  <c r="C2707" i="5" s="1"/>
  <c r="D2707" i="5"/>
  <c r="E2707" i="5" s="1"/>
  <c r="B2731" i="5"/>
  <c r="C2731" i="5" s="1"/>
  <c r="D2731" i="5"/>
  <c r="E2731" i="5" s="1"/>
  <c r="B2755" i="5"/>
  <c r="C2755" i="5" s="1"/>
  <c r="D2755" i="5"/>
  <c r="E2755" i="5" s="1"/>
  <c r="B2779" i="5"/>
  <c r="C2779" i="5" s="1"/>
  <c r="D2779" i="5"/>
  <c r="E2779" i="5" s="1"/>
  <c r="B2803" i="5"/>
  <c r="C2803" i="5" s="1"/>
  <c r="D2803" i="5"/>
  <c r="E2803" i="5" s="1"/>
  <c r="B2827" i="5"/>
  <c r="C2827" i="5" s="1"/>
  <c r="D2827" i="5"/>
  <c r="E2827" i="5" s="1"/>
  <c r="B2851" i="5"/>
  <c r="C2851" i="5" s="1"/>
  <c r="D2851" i="5"/>
  <c r="E2851" i="5" s="1"/>
  <c r="B2875" i="5"/>
  <c r="C2875" i="5" s="1"/>
  <c r="D2875" i="5"/>
  <c r="E2875" i="5" s="1"/>
  <c r="D2899" i="5"/>
  <c r="E2899" i="5" s="1"/>
  <c r="B2899" i="5"/>
  <c r="C2899" i="5" s="1"/>
  <c r="D2923" i="5"/>
  <c r="E2923" i="5" s="1"/>
  <c r="B2923" i="5"/>
  <c r="C2923" i="5" s="1"/>
  <c r="D2947" i="5"/>
  <c r="E2947" i="5" s="1"/>
  <c r="B2947" i="5"/>
  <c r="C2947" i="5" s="1"/>
  <c r="B2971" i="5"/>
  <c r="C2971" i="5" s="1"/>
  <c r="D2971" i="5"/>
  <c r="E2971" i="5" s="1"/>
  <c r="B2995" i="5"/>
  <c r="C2995" i="5" s="1"/>
  <c r="D2995" i="5"/>
  <c r="E2995" i="5" s="1"/>
  <c r="B3019" i="5"/>
  <c r="C3019" i="5" s="1"/>
  <c r="D3019" i="5"/>
  <c r="E3019" i="5" s="1"/>
  <c r="B3043" i="5"/>
  <c r="C3043" i="5" s="1"/>
  <c r="D3043" i="5"/>
  <c r="E3043" i="5" s="1"/>
  <c r="B3067" i="5"/>
  <c r="C3067" i="5" s="1"/>
  <c r="D3067" i="5"/>
  <c r="E3067" i="5" s="1"/>
  <c r="B3091" i="5"/>
  <c r="C3091" i="5" s="1"/>
  <c r="D3091" i="5"/>
  <c r="E3091" i="5" s="1"/>
  <c r="D3115" i="5"/>
  <c r="E3115" i="5" s="1"/>
  <c r="B3115" i="5"/>
  <c r="C3115" i="5" s="1"/>
  <c r="B3139" i="5"/>
  <c r="C3139" i="5" s="1"/>
  <c r="D3139" i="5"/>
  <c r="E3139" i="5" s="1"/>
  <c r="B3163" i="5"/>
  <c r="C3163" i="5" s="1"/>
  <c r="D3163" i="5"/>
  <c r="E3163" i="5" s="1"/>
  <c r="B3187" i="5"/>
  <c r="C3187" i="5" s="1"/>
  <c r="D3187" i="5"/>
  <c r="E3187" i="5" s="1"/>
  <c r="B3211" i="5"/>
  <c r="C3211" i="5" s="1"/>
  <c r="D3211" i="5"/>
  <c r="E3211" i="5" s="1"/>
  <c r="D3235" i="5"/>
  <c r="E3235" i="5" s="1"/>
  <c r="B3235" i="5"/>
  <c r="C3235" i="5" s="1"/>
  <c r="B3259" i="5"/>
  <c r="C3259" i="5" s="1"/>
  <c r="D3259" i="5"/>
  <c r="E3259" i="5" s="1"/>
  <c r="B3283" i="5"/>
  <c r="C3283" i="5" s="1"/>
  <c r="D3283" i="5"/>
  <c r="E3283" i="5" s="1"/>
  <c r="B3307" i="5"/>
  <c r="C3307" i="5" s="1"/>
  <c r="D3307" i="5"/>
  <c r="E3307" i="5" s="1"/>
  <c r="B3331" i="5"/>
  <c r="C3331" i="5" s="1"/>
  <c r="D3331" i="5"/>
  <c r="E3331" i="5" s="1"/>
  <c r="B3355" i="5"/>
  <c r="C3355" i="5" s="1"/>
  <c r="D3355" i="5"/>
  <c r="E3355" i="5" s="1"/>
  <c r="B3379" i="5"/>
  <c r="C3379" i="5" s="1"/>
  <c r="D3379" i="5"/>
  <c r="E3379" i="5" s="1"/>
  <c r="B3403" i="5"/>
  <c r="C3403" i="5" s="1"/>
  <c r="D3403" i="5"/>
  <c r="E3403" i="5" s="1"/>
  <c r="B3427" i="5"/>
  <c r="C3427" i="5" s="1"/>
  <c r="D3427" i="5"/>
  <c r="E3427" i="5" s="1"/>
  <c r="B3451" i="5"/>
  <c r="C3451" i="5" s="1"/>
  <c r="D3451" i="5"/>
  <c r="E3451" i="5" s="1"/>
  <c r="D3475" i="5"/>
  <c r="E3475" i="5" s="1"/>
  <c r="B3475" i="5"/>
  <c r="C3475" i="5" s="1"/>
  <c r="B3499" i="5"/>
  <c r="C3499" i="5" s="1"/>
  <c r="D3499" i="5"/>
  <c r="E3499" i="5" s="1"/>
  <c r="B3523" i="5"/>
  <c r="C3523" i="5" s="1"/>
  <c r="D3523" i="5"/>
  <c r="E3523" i="5" s="1"/>
  <c r="B3547" i="5"/>
  <c r="C3547" i="5" s="1"/>
  <c r="D3547" i="5"/>
  <c r="E3547" i="5" s="1"/>
  <c r="B3571" i="5"/>
  <c r="C3571" i="5" s="1"/>
  <c r="D3571" i="5"/>
  <c r="E3571" i="5" s="1"/>
  <c r="B3595" i="5"/>
  <c r="C3595" i="5" s="1"/>
  <c r="D3595" i="5"/>
  <c r="E3595" i="5" s="1"/>
  <c r="B3619" i="5"/>
  <c r="C3619" i="5" s="1"/>
  <c r="D3619" i="5"/>
  <c r="E3619" i="5" s="1"/>
  <c r="B3643" i="5"/>
  <c r="C3643" i="5" s="1"/>
  <c r="D3643" i="5"/>
  <c r="E3643" i="5" s="1"/>
  <c r="B92" i="5"/>
  <c r="C92" i="5" s="1"/>
  <c r="D92" i="5"/>
  <c r="E92" i="5" s="1"/>
  <c r="B308" i="5"/>
  <c r="C308" i="5" s="1"/>
  <c r="D308" i="5"/>
  <c r="E308" i="5" s="1"/>
  <c r="B356" i="5"/>
  <c r="C356" i="5" s="1"/>
  <c r="D356" i="5"/>
  <c r="E356" i="5" s="1"/>
  <c r="B404" i="5"/>
  <c r="C404" i="5" s="1"/>
  <c r="D404" i="5"/>
  <c r="E404" i="5" s="1"/>
  <c r="B428" i="5"/>
  <c r="C428" i="5" s="1"/>
  <c r="D428" i="5"/>
  <c r="E428" i="5" s="1"/>
  <c r="B452" i="5"/>
  <c r="C452" i="5" s="1"/>
  <c r="D452" i="5"/>
  <c r="E452" i="5" s="1"/>
  <c r="B476" i="5"/>
  <c r="C476" i="5" s="1"/>
  <c r="D476" i="5"/>
  <c r="E476" i="5" s="1"/>
  <c r="B500" i="5"/>
  <c r="C500" i="5" s="1"/>
  <c r="D500" i="5"/>
  <c r="E500" i="5" s="1"/>
  <c r="B524" i="5"/>
  <c r="C524" i="5" s="1"/>
  <c r="D524" i="5"/>
  <c r="E524" i="5" s="1"/>
  <c r="B548" i="5"/>
  <c r="C548" i="5" s="1"/>
  <c r="D548" i="5"/>
  <c r="E548" i="5" s="1"/>
  <c r="B572" i="5"/>
  <c r="C572" i="5" s="1"/>
  <c r="D572" i="5"/>
  <c r="E572" i="5" s="1"/>
  <c r="B596" i="5"/>
  <c r="C596" i="5" s="1"/>
  <c r="D596" i="5"/>
  <c r="E596" i="5" s="1"/>
  <c r="B620" i="5"/>
  <c r="C620" i="5" s="1"/>
  <c r="D620" i="5"/>
  <c r="E620" i="5" s="1"/>
  <c r="B644" i="5"/>
  <c r="C644" i="5" s="1"/>
  <c r="D644" i="5"/>
  <c r="E644" i="5" s="1"/>
  <c r="B668" i="5"/>
  <c r="C668" i="5" s="1"/>
  <c r="D668" i="5"/>
  <c r="E668" i="5" s="1"/>
  <c r="B692" i="5"/>
  <c r="C692" i="5" s="1"/>
  <c r="D692" i="5"/>
  <c r="E692" i="5" s="1"/>
  <c r="B716" i="5"/>
  <c r="C716" i="5" s="1"/>
  <c r="D716" i="5"/>
  <c r="E716" i="5" s="1"/>
  <c r="B740" i="5"/>
  <c r="C740" i="5" s="1"/>
  <c r="D740" i="5"/>
  <c r="E740" i="5" s="1"/>
  <c r="B764" i="5"/>
  <c r="C764" i="5" s="1"/>
  <c r="D764" i="5"/>
  <c r="E764" i="5" s="1"/>
  <c r="B788" i="5"/>
  <c r="C788" i="5" s="1"/>
  <c r="D788" i="5"/>
  <c r="E788" i="5" s="1"/>
  <c r="B812" i="5"/>
  <c r="C812" i="5" s="1"/>
  <c r="D812" i="5"/>
  <c r="E812" i="5" s="1"/>
  <c r="B836" i="5"/>
  <c r="C836" i="5" s="1"/>
  <c r="D836" i="5"/>
  <c r="E836" i="5" s="1"/>
  <c r="D860" i="5"/>
  <c r="E860" i="5" s="1"/>
  <c r="B860" i="5"/>
  <c r="C860" i="5" s="1"/>
  <c r="B884" i="5"/>
  <c r="C884" i="5" s="1"/>
  <c r="D884" i="5"/>
  <c r="E884" i="5" s="1"/>
  <c r="B908" i="5"/>
  <c r="C908" i="5" s="1"/>
  <c r="D908" i="5"/>
  <c r="E908" i="5" s="1"/>
  <c r="B932" i="5"/>
  <c r="C932" i="5" s="1"/>
  <c r="D932" i="5"/>
  <c r="E932" i="5" s="1"/>
  <c r="B956" i="5"/>
  <c r="C956" i="5" s="1"/>
  <c r="D956" i="5"/>
  <c r="E956" i="5" s="1"/>
  <c r="B980" i="5"/>
  <c r="C980" i="5" s="1"/>
  <c r="D980" i="5"/>
  <c r="E980" i="5" s="1"/>
  <c r="B1004" i="5"/>
  <c r="C1004" i="5" s="1"/>
  <c r="D1004" i="5"/>
  <c r="E1004" i="5" s="1"/>
  <c r="B1028" i="5"/>
  <c r="C1028" i="5" s="1"/>
  <c r="D1028" i="5"/>
  <c r="E1028" i="5" s="1"/>
  <c r="B1052" i="5"/>
  <c r="C1052" i="5" s="1"/>
  <c r="D1052" i="5"/>
  <c r="E1052" i="5" s="1"/>
  <c r="B1076" i="5"/>
  <c r="C1076" i="5" s="1"/>
  <c r="D1076" i="5"/>
  <c r="E1076" i="5" s="1"/>
  <c r="B1100" i="5"/>
  <c r="C1100" i="5" s="1"/>
  <c r="D1100" i="5"/>
  <c r="E1100" i="5" s="1"/>
  <c r="B1124" i="5"/>
  <c r="C1124" i="5" s="1"/>
  <c r="D1124" i="5"/>
  <c r="E1124" i="5" s="1"/>
  <c r="B1148" i="5"/>
  <c r="C1148" i="5" s="1"/>
  <c r="D1148" i="5"/>
  <c r="E1148" i="5" s="1"/>
  <c r="B1172" i="5"/>
  <c r="C1172" i="5" s="1"/>
  <c r="D1172" i="5"/>
  <c r="E1172" i="5" s="1"/>
  <c r="B1196" i="5"/>
  <c r="C1196" i="5" s="1"/>
  <c r="D1196" i="5"/>
  <c r="E1196" i="5" s="1"/>
  <c r="B1220" i="5"/>
  <c r="C1220" i="5" s="1"/>
  <c r="D1220" i="5"/>
  <c r="E1220" i="5" s="1"/>
  <c r="B1244" i="5"/>
  <c r="C1244" i="5" s="1"/>
  <c r="D1244" i="5"/>
  <c r="E1244" i="5" s="1"/>
  <c r="B1268" i="5"/>
  <c r="C1268" i="5" s="1"/>
  <c r="D1268" i="5"/>
  <c r="E1268" i="5" s="1"/>
  <c r="B1292" i="5"/>
  <c r="C1292" i="5" s="1"/>
  <c r="D1292" i="5"/>
  <c r="E1292" i="5" s="1"/>
  <c r="B1316" i="5"/>
  <c r="C1316" i="5" s="1"/>
  <c r="D1316" i="5"/>
  <c r="E1316" i="5" s="1"/>
  <c r="B1340" i="5"/>
  <c r="C1340" i="5" s="1"/>
  <c r="D1340" i="5"/>
  <c r="E1340" i="5" s="1"/>
  <c r="D1364" i="5"/>
  <c r="E1364" i="5" s="1"/>
  <c r="B1364" i="5"/>
  <c r="C1364" i="5" s="1"/>
  <c r="B1388" i="5"/>
  <c r="C1388" i="5" s="1"/>
  <c r="D1388" i="5"/>
  <c r="E1388" i="5" s="1"/>
  <c r="B1412" i="5"/>
  <c r="C1412" i="5" s="1"/>
  <c r="D1412" i="5"/>
  <c r="E1412" i="5" s="1"/>
  <c r="B1436" i="5"/>
  <c r="C1436" i="5" s="1"/>
  <c r="D1436" i="5"/>
  <c r="E1436" i="5" s="1"/>
  <c r="B1460" i="5"/>
  <c r="C1460" i="5" s="1"/>
  <c r="D1460" i="5"/>
  <c r="E1460" i="5" s="1"/>
  <c r="B1484" i="5"/>
  <c r="C1484" i="5" s="1"/>
  <c r="D1484" i="5"/>
  <c r="E1484" i="5" s="1"/>
  <c r="B1508" i="5"/>
  <c r="C1508" i="5" s="1"/>
  <c r="D1508" i="5"/>
  <c r="E1508" i="5" s="1"/>
  <c r="B1532" i="5"/>
  <c r="C1532" i="5" s="1"/>
  <c r="D1532" i="5"/>
  <c r="E1532" i="5" s="1"/>
  <c r="D1556" i="5"/>
  <c r="E1556" i="5" s="1"/>
  <c r="B1556" i="5"/>
  <c r="C1556" i="5" s="1"/>
  <c r="B1580" i="5"/>
  <c r="C1580" i="5" s="1"/>
  <c r="D1580" i="5"/>
  <c r="E1580" i="5" s="1"/>
  <c r="B1604" i="5"/>
  <c r="C1604" i="5" s="1"/>
  <c r="D1604" i="5"/>
  <c r="E1604" i="5" s="1"/>
  <c r="B1628" i="5"/>
  <c r="C1628" i="5" s="1"/>
  <c r="D1628" i="5"/>
  <c r="E1628" i="5" s="1"/>
  <c r="B1652" i="5"/>
  <c r="C1652" i="5" s="1"/>
  <c r="D1652" i="5"/>
  <c r="E1652" i="5" s="1"/>
  <c r="B1676" i="5"/>
  <c r="C1676" i="5" s="1"/>
  <c r="D1676" i="5"/>
  <c r="E1676" i="5" s="1"/>
  <c r="B1700" i="5"/>
  <c r="C1700" i="5" s="1"/>
  <c r="D1700" i="5"/>
  <c r="E1700" i="5" s="1"/>
  <c r="B1724" i="5"/>
  <c r="C1724" i="5" s="1"/>
  <c r="D1724" i="5"/>
  <c r="E1724" i="5" s="1"/>
  <c r="B1748" i="5"/>
  <c r="C1748" i="5" s="1"/>
  <c r="D1748" i="5"/>
  <c r="E1748" i="5" s="1"/>
  <c r="B1772" i="5"/>
  <c r="C1772" i="5" s="1"/>
  <c r="D1772" i="5"/>
  <c r="E1772" i="5" s="1"/>
  <c r="B1796" i="5"/>
  <c r="C1796" i="5" s="1"/>
  <c r="D1796" i="5"/>
  <c r="E1796" i="5" s="1"/>
  <c r="B1820" i="5"/>
  <c r="C1820" i="5" s="1"/>
  <c r="D1820" i="5"/>
  <c r="E1820" i="5" s="1"/>
  <c r="B1844" i="5"/>
  <c r="C1844" i="5" s="1"/>
  <c r="D1844" i="5"/>
  <c r="E1844" i="5" s="1"/>
  <c r="B1868" i="5"/>
  <c r="C1868" i="5" s="1"/>
  <c r="D1868" i="5"/>
  <c r="E1868" i="5" s="1"/>
  <c r="B1892" i="5"/>
  <c r="C1892" i="5" s="1"/>
  <c r="D1892" i="5"/>
  <c r="E1892" i="5" s="1"/>
  <c r="B1916" i="5"/>
  <c r="C1916" i="5" s="1"/>
  <c r="D1916" i="5"/>
  <c r="E1916" i="5" s="1"/>
  <c r="B1940" i="5"/>
  <c r="C1940" i="5" s="1"/>
  <c r="D1940" i="5"/>
  <c r="E1940" i="5" s="1"/>
  <c r="B1964" i="5"/>
  <c r="C1964" i="5" s="1"/>
  <c r="D1964" i="5"/>
  <c r="E1964" i="5" s="1"/>
  <c r="B1988" i="5"/>
  <c r="C1988" i="5" s="1"/>
  <c r="D1988" i="5"/>
  <c r="E1988" i="5" s="1"/>
  <c r="B2012" i="5"/>
  <c r="C2012" i="5" s="1"/>
  <c r="D2012" i="5"/>
  <c r="E2012" i="5" s="1"/>
  <c r="B2036" i="5"/>
  <c r="C2036" i="5" s="1"/>
  <c r="D2036" i="5"/>
  <c r="E2036" i="5" s="1"/>
  <c r="D2060" i="5"/>
  <c r="E2060" i="5" s="1"/>
  <c r="B2060" i="5"/>
  <c r="C2060" i="5" s="1"/>
  <c r="B2084" i="5"/>
  <c r="C2084" i="5" s="1"/>
  <c r="D2084" i="5"/>
  <c r="E2084" i="5" s="1"/>
  <c r="B2108" i="5"/>
  <c r="C2108" i="5" s="1"/>
  <c r="D2108" i="5"/>
  <c r="E2108" i="5" s="1"/>
  <c r="B2132" i="5"/>
  <c r="C2132" i="5" s="1"/>
  <c r="D2132" i="5"/>
  <c r="E2132" i="5" s="1"/>
  <c r="B2156" i="5"/>
  <c r="C2156" i="5" s="1"/>
  <c r="D2156" i="5"/>
  <c r="E2156" i="5" s="1"/>
  <c r="B2180" i="5"/>
  <c r="C2180" i="5" s="1"/>
  <c r="D2180" i="5"/>
  <c r="E2180" i="5" s="1"/>
  <c r="B2204" i="5"/>
  <c r="C2204" i="5" s="1"/>
  <c r="D2204" i="5"/>
  <c r="E2204" i="5" s="1"/>
  <c r="B2228" i="5"/>
  <c r="C2228" i="5" s="1"/>
  <c r="D2228" i="5"/>
  <c r="E2228" i="5" s="1"/>
  <c r="B2252" i="5"/>
  <c r="C2252" i="5" s="1"/>
  <c r="D2252" i="5"/>
  <c r="E2252" i="5" s="1"/>
  <c r="B2276" i="5"/>
  <c r="C2276" i="5" s="1"/>
  <c r="D2276" i="5"/>
  <c r="E2276" i="5" s="1"/>
  <c r="B2300" i="5"/>
  <c r="C2300" i="5" s="1"/>
  <c r="D2300" i="5"/>
  <c r="E2300" i="5" s="1"/>
  <c r="B2324" i="5"/>
  <c r="C2324" i="5" s="1"/>
  <c r="D2324" i="5"/>
  <c r="E2324" i="5" s="1"/>
  <c r="B2348" i="5"/>
  <c r="C2348" i="5" s="1"/>
  <c r="D2348" i="5"/>
  <c r="E2348" i="5" s="1"/>
  <c r="B2372" i="5"/>
  <c r="C2372" i="5" s="1"/>
  <c r="D2372" i="5"/>
  <c r="E2372" i="5" s="1"/>
  <c r="B2396" i="5"/>
  <c r="C2396" i="5" s="1"/>
  <c r="D2396" i="5"/>
  <c r="E2396" i="5" s="1"/>
  <c r="B2420" i="5"/>
  <c r="C2420" i="5" s="1"/>
  <c r="D2420" i="5"/>
  <c r="E2420" i="5" s="1"/>
  <c r="B2444" i="5"/>
  <c r="C2444" i="5" s="1"/>
  <c r="D2444" i="5"/>
  <c r="E2444" i="5" s="1"/>
  <c r="B2468" i="5"/>
  <c r="C2468" i="5" s="1"/>
  <c r="D2468" i="5"/>
  <c r="E2468" i="5" s="1"/>
  <c r="B2492" i="5"/>
  <c r="C2492" i="5" s="1"/>
  <c r="D2492" i="5"/>
  <c r="E2492" i="5" s="1"/>
  <c r="B2516" i="5"/>
  <c r="C2516" i="5" s="1"/>
  <c r="D2516" i="5"/>
  <c r="E2516" i="5" s="1"/>
  <c r="B2540" i="5"/>
  <c r="C2540" i="5" s="1"/>
  <c r="D2540" i="5"/>
  <c r="E2540" i="5" s="1"/>
  <c r="B2564" i="5"/>
  <c r="C2564" i="5" s="1"/>
  <c r="D2564" i="5"/>
  <c r="E2564" i="5" s="1"/>
  <c r="B2588" i="5"/>
  <c r="C2588" i="5" s="1"/>
  <c r="D2588" i="5"/>
  <c r="E2588" i="5" s="1"/>
  <c r="B2612" i="5"/>
  <c r="C2612" i="5" s="1"/>
  <c r="D2612" i="5"/>
  <c r="E2612" i="5" s="1"/>
  <c r="B2636" i="5"/>
  <c r="C2636" i="5" s="1"/>
  <c r="D2636" i="5"/>
  <c r="E2636" i="5" s="1"/>
  <c r="B2660" i="5"/>
  <c r="C2660" i="5" s="1"/>
  <c r="D2660" i="5"/>
  <c r="E2660" i="5" s="1"/>
  <c r="B2684" i="5"/>
  <c r="C2684" i="5" s="1"/>
  <c r="D2684" i="5"/>
  <c r="E2684" i="5" s="1"/>
  <c r="B2708" i="5"/>
  <c r="C2708" i="5" s="1"/>
  <c r="D2708" i="5"/>
  <c r="E2708" i="5" s="1"/>
  <c r="B2732" i="5"/>
  <c r="C2732" i="5" s="1"/>
  <c r="D2732" i="5"/>
  <c r="E2732" i="5" s="1"/>
  <c r="B2756" i="5"/>
  <c r="C2756" i="5" s="1"/>
  <c r="D2756" i="5"/>
  <c r="E2756" i="5" s="1"/>
  <c r="B2780" i="5"/>
  <c r="C2780" i="5" s="1"/>
  <c r="D2780" i="5"/>
  <c r="E2780" i="5" s="1"/>
  <c r="D2804" i="5"/>
  <c r="E2804" i="5" s="1"/>
  <c r="B2804" i="5"/>
  <c r="C2804" i="5" s="1"/>
  <c r="B2828" i="5"/>
  <c r="C2828" i="5" s="1"/>
  <c r="D2828" i="5"/>
  <c r="E2828" i="5" s="1"/>
  <c r="B2852" i="5"/>
  <c r="C2852" i="5" s="1"/>
  <c r="D2852" i="5"/>
  <c r="E2852" i="5" s="1"/>
  <c r="B2876" i="5"/>
  <c r="C2876" i="5" s="1"/>
  <c r="D2876" i="5"/>
  <c r="E2876" i="5" s="1"/>
  <c r="B2900" i="5"/>
  <c r="C2900" i="5" s="1"/>
  <c r="D2900" i="5"/>
  <c r="E2900" i="5" s="1"/>
  <c r="B2924" i="5"/>
  <c r="C2924" i="5" s="1"/>
  <c r="D2924" i="5"/>
  <c r="E2924" i="5" s="1"/>
  <c r="B2948" i="5"/>
  <c r="C2948" i="5" s="1"/>
  <c r="D2948" i="5"/>
  <c r="E2948" i="5" s="1"/>
  <c r="B2972" i="5"/>
  <c r="C2972" i="5" s="1"/>
  <c r="D2972" i="5"/>
  <c r="E2972" i="5" s="1"/>
  <c r="B2996" i="5"/>
  <c r="C2996" i="5" s="1"/>
  <c r="D2996" i="5"/>
  <c r="E2996" i="5" s="1"/>
  <c r="B3020" i="5"/>
  <c r="C3020" i="5" s="1"/>
  <c r="D3020" i="5"/>
  <c r="E3020" i="5" s="1"/>
  <c r="B3044" i="5"/>
  <c r="C3044" i="5" s="1"/>
  <c r="D3044" i="5"/>
  <c r="E3044" i="5" s="1"/>
  <c r="B3068" i="5"/>
  <c r="C3068" i="5" s="1"/>
  <c r="D3068" i="5"/>
  <c r="E3068" i="5" s="1"/>
  <c r="B3092" i="5"/>
  <c r="C3092" i="5" s="1"/>
  <c r="D3092" i="5"/>
  <c r="E3092" i="5" s="1"/>
  <c r="D3116" i="5"/>
  <c r="E3116" i="5" s="1"/>
  <c r="B3116" i="5"/>
  <c r="C3116" i="5" s="1"/>
  <c r="B3140" i="5"/>
  <c r="C3140" i="5" s="1"/>
  <c r="D3140" i="5"/>
  <c r="E3140" i="5" s="1"/>
  <c r="B3164" i="5"/>
  <c r="C3164" i="5" s="1"/>
  <c r="D3164" i="5"/>
  <c r="E3164" i="5" s="1"/>
  <c r="B3188" i="5"/>
  <c r="C3188" i="5" s="1"/>
  <c r="D3188" i="5"/>
  <c r="E3188" i="5" s="1"/>
  <c r="B3212" i="5"/>
  <c r="C3212" i="5" s="1"/>
  <c r="D3212" i="5"/>
  <c r="E3212" i="5" s="1"/>
  <c r="B3236" i="5"/>
  <c r="C3236" i="5" s="1"/>
  <c r="D3236" i="5"/>
  <c r="E3236" i="5" s="1"/>
  <c r="B3260" i="5"/>
  <c r="C3260" i="5" s="1"/>
  <c r="D3260" i="5"/>
  <c r="E3260" i="5" s="1"/>
  <c r="B3284" i="5"/>
  <c r="C3284" i="5" s="1"/>
  <c r="D3284" i="5"/>
  <c r="E3284" i="5" s="1"/>
  <c r="B3308" i="5"/>
  <c r="C3308" i="5" s="1"/>
  <c r="D3308" i="5"/>
  <c r="E3308" i="5" s="1"/>
  <c r="B3332" i="5"/>
  <c r="C3332" i="5" s="1"/>
  <c r="D3332" i="5"/>
  <c r="E3332" i="5" s="1"/>
  <c r="B3356" i="5"/>
  <c r="C3356" i="5" s="1"/>
  <c r="D3356" i="5"/>
  <c r="E3356" i="5" s="1"/>
  <c r="B3380" i="5"/>
  <c r="C3380" i="5" s="1"/>
  <c r="D3380" i="5"/>
  <c r="E3380" i="5" s="1"/>
  <c r="B3404" i="5"/>
  <c r="C3404" i="5" s="1"/>
  <c r="D3404" i="5"/>
  <c r="E3404" i="5" s="1"/>
  <c r="B3428" i="5"/>
  <c r="C3428" i="5" s="1"/>
  <c r="D3428" i="5"/>
  <c r="E3428" i="5" s="1"/>
  <c r="B3452" i="5"/>
  <c r="C3452" i="5" s="1"/>
  <c r="D3452" i="5"/>
  <c r="E3452" i="5" s="1"/>
  <c r="B3476" i="5"/>
  <c r="C3476" i="5" s="1"/>
  <c r="D3476" i="5"/>
  <c r="E3476" i="5" s="1"/>
  <c r="B3500" i="5"/>
  <c r="C3500" i="5" s="1"/>
  <c r="D3500" i="5"/>
  <c r="E3500" i="5" s="1"/>
  <c r="B3524" i="5"/>
  <c r="C3524" i="5" s="1"/>
  <c r="D3524" i="5"/>
  <c r="E3524" i="5" s="1"/>
  <c r="B3548" i="5"/>
  <c r="C3548" i="5" s="1"/>
  <c r="D3548" i="5"/>
  <c r="E3548" i="5" s="1"/>
  <c r="B3572" i="5"/>
  <c r="C3572" i="5" s="1"/>
  <c r="D3572" i="5"/>
  <c r="E3572" i="5" s="1"/>
  <c r="B3596" i="5"/>
  <c r="C3596" i="5" s="1"/>
  <c r="D3596" i="5"/>
  <c r="E3596" i="5" s="1"/>
  <c r="B3620" i="5"/>
  <c r="C3620" i="5" s="1"/>
  <c r="D3620" i="5"/>
  <c r="E3620" i="5" s="1"/>
  <c r="B3644" i="5"/>
  <c r="C3644" i="5" s="1"/>
  <c r="D3644" i="5"/>
  <c r="E3644" i="5" s="1"/>
  <c r="B305" i="5"/>
  <c r="C305" i="5" s="1"/>
  <c r="D305" i="5"/>
  <c r="E305" i="5" s="1"/>
  <c r="B213" i="5"/>
  <c r="C213" i="5" s="1"/>
  <c r="D213" i="5"/>
  <c r="E213" i="5" s="1"/>
  <c r="B405" i="5"/>
  <c r="C405" i="5" s="1"/>
  <c r="D405" i="5"/>
  <c r="E405" i="5" s="1"/>
  <c r="B453" i="5"/>
  <c r="C453" i="5" s="1"/>
  <c r="D453" i="5"/>
  <c r="E453" i="5" s="1"/>
  <c r="B477" i="5"/>
  <c r="C477" i="5" s="1"/>
  <c r="D477" i="5"/>
  <c r="E477" i="5" s="1"/>
  <c r="B501" i="5"/>
  <c r="C501" i="5" s="1"/>
  <c r="D501" i="5"/>
  <c r="E501" i="5" s="1"/>
  <c r="B525" i="5"/>
  <c r="C525" i="5" s="1"/>
  <c r="D525" i="5"/>
  <c r="E525" i="5" s="1"/>
  <c r="B549" i="5"/>
  <c r="C549" i="5" s="1"/>
  <c r="D549" i="5"/>
  <c r="E549" i="5" s="1"/>
  <c r="B573" i="5"/>
  <c r="C573" i="5" s="1"/>
  <c r="D573" i="5"/>
  <c r="E573" i="5" s="1"/>
  <c r="B597" i="5"/>
  <c r="C597" i="5" s="1"/>
  <c r="D597" i="5"/>
  <c r="E597" i="5" s="1"/>
  <c r="B621" i="5"/>
  <c r="C621" i="5" s="1"/>
  <c r="D621" i="5"/>
  <c r="E621" i="5" s="1"/>
  <c r="B645" i="5"/>
  <c r="C645" i="5" s="1"/>
  <c r="D645" i="5"/>
  <c r="E645" i="5" s="1"/>
  <c r="B669" i="5"/>
  <c r="C669" i="5" s="1"/>
  <c r="D669" i="5"/>
  <c r="E669" i="5" s="1"/>
  <c r="B693" i="5"/>
  <c r="C693" i="5" s="1"/>
  <c r="D693" i="5"/>
  <c r="E693" i="5" s="1"/>
  <c r="B717" i="5"/>
  <c r="C717" i="5" s="1"/>
  <c r="D717" i="5"/>
  <c r="E717" i="5" s="1"/>
  <c r="D741" i="5"/>
  <c r="E741" i="5" s="1"/>
  <c r="B741" i="5"/>
  <c r="C741" i="5" s="1"/>
  <c r="B765" i="5"/>
  <c r="C765" i="5" s="1"/>
  <c r="D765" i="5"/>
  <c r="E765" i="5" s="1"/>
  <c r="B789" i="5"/>
  <c r="C789" i="5" s="1"/>
  <c r="D789" i="5"/>
  <c r="E789" i="5" s="1"/>
  <c r="B813" i="5"/>
  <c r="C813" i="5" s="1"/>
  <c r="D813" i="5"/>
  <c r="E813" i="5" s="1"/>
  <c r="B837" i="5"/>
  <c r="C837" i="5" s="1"/>
  <c r="D837" i="5"/>
  <c r="E837" i="5" s="1"/>
  <c r="B861" i="5"/>
  <c r="C861" i="5" s="1"/>
  <c r="D861" i="5"/>
  <c r="E861" i="5" s="1"/>
  <c r="B885" i="5"/>
  <c r="C885" i="5" s="1"/>
  <c r="D885" i="5"/>
  <c r="E885" i="5" s="1"/>
  <c r="B909" i="5"/>
  <c r="C909" i="5" s="1"/>
  <c r="D909" i="5"/>
  <c r="E909" i="5" s="1"/>
  <c r="B933" i="5"/>
  <c r="C933" i="5" s="1"/>
  <c r="D933" i="5"/>
  <c r="E933" i="5" s="1"/>
  <c r="B957" i="5"/>
  <c r="C957" i="5" s="1"/>
  <c r="D957" i="5"/>
  <c r="E957" i="5" s="1"/>
  <c r="B981" i="5"/>
  <c r="C981" i="5" s="1"/>
  <c r="D981" i="5"/>
  <c r="E981" i="5" s="1"/>
  <c r="D1005" i="5"/>
  <c r="E1005" i="5" s="1"/>
  <c r="B1005" i="5"/>
  <c r="C1005" i="5" s="1"/>
  <c r="B1029" i="5"/>
  <c r="C1029" i="5" s="1"/>
  <c r="D1029" i="5"/>
  <c r="E1029" i="5" s="1"/>
  <c r="B1053" i="5"/>
  <c r="C1053" i="5" s="1"/>
  <c r="D1053" i="5"/>
  <c r="E1053" i="5" s="1"/>
  <c r="B1077" i="5"/>
  <c r="C1077" i="5" s="1"/>
  <c r="D1077" i="5"/>
  <c r="E1077" i="5" s="1"/>
  <c r="D1101" i="5"/>
  <c r="E1101" i="5" s="1"/>
  <c r="B1101" i="5"/>
  <c r="C1101" i="5" s="1"/>
  <c r="B1125" i="5"/>
  <c r="C1125" i="5" s="1"/>
  <c r="D1125" i="5"/>
  <c r="E1125" i="5" s="1"/>
  <c r="B1149" i="5"/>
  <c r="C1149" i="5" s="1"/>
  <c r="D1149" i="5"/>
  <c r="E1149" i="5" s="1"/>
  <c r="B1173" i="5"/>
  <c r="C1173" i="5" s="1"/>
  <c r="D1173" i="5"/>
  <c r="E1173" i="5" s="1"/>
  <c r="B1197" i="5"/>
  <c r="C1197" i="5" s="1"/>
  <c r="D1197" i="5"/>
  <c r="E1197" i="5" s="1"/>
  <c r="B1221" i="5"/>
  <c r="C1221" i="5" s="1"/>
  <c r="D1221" i="5"/>
  <c r="E1221" i="5" s="1"/>
  <c r="B1245" i="5"/>
  <c r="C1245" i="5" s="1"/>
  <c r="D1245" i="5"/>
  <c r="E1245" i="5" s="1"/>
  <c r="B1269" i="5"/>
  <c r="C1269" i="5" s="1"/>
  <c r="D1269" i="5"/>
  <c r="E1269" i="5" s="1"/>
  <c r="B1293" i="5"/>
  <c r="C1293" i="5" s="1"/>
  <c r="D1293" i="5"/>
  <c r="E1293" i="5" s="1"/>
  <c r="D1317" i="5"/>
  <c r="E1317" i="5" s="1"/>
  <c r="B1317" i="5"/>
  <c r="C1317" i="5" s="1"/>
  <c r="B1341" i="5"/>
  <c r="C1341" i="5" s="1"/>
  <c r="D1341" i="5"/>
  <c r="E1341" i="5" s="1"/>
  <c r="B1365" i="5"/>
  <c r="C1365" i="5" s="1"/>
  <c r="D1365" i="5"/>
  <c r="E1365" i="5" s="1"/>
  <c r="B1389" i="5"/>
  <c r="C1389" i="5" s="1"/>
  <c r="D1389" i="5"/>
  <c r="E1389" i="5" s="1"/>
  <c r="B1413" i="5"/>
  <c r="C1413" i="5" s="1"/>
  <c r="D1413" i="5"/>
  <c r="E1413" i="5" s="1"/>
  <c r="B1437" i="5"/>
  <c r="C1437" i="5" s="1"/>
  <c r="D1437" i="5"/>
  <c r="E1437" i="5" s="1"/>
  <c r="B1461" i="5"/>
  <c r="C1461" i="5" s="1"/>
  <c r="D1461" i="5"/>
  <c r="E1461" i="5" s="1"/>
  <c r="B1485" i="5"/>
  <c r="C1485" i="5" s="1"/>
  <c r="D1485" i="5"/>
  <c r="E1485" i="5" s="1"/>
  <c r="D1509" i="5"/>
  <c r="E1509" i="5" s="1"/>
  <c r="B1509" i="5"/>
  <c r="C1509" i="5" s="1"/>
  <c r="B1533" i="5"/>
  <c r="C1533" i="5" s="1"/>
  <c r="D1533" i="5"/>
  <c r="E1533" i="5" s="1"/>
  <c r="B1557" i="5"/>
  <c r="C1557" i="5" s="1"/>
  <c r="D1557" i="5"/>
  <c r="E1557" i="5" s="1"/>
  <c r="B1581" i="5"/>
  <c r="C1581" i="5" s="1"/>
  <c r="D1581" i="5"/>
  <c r="E1581" i="5" s="1"/>
  <c r="B1605" i="5"/>
  <c r="C1605" i="5" s="1"/>
  <c r="D1605" i="5"/>
  <c r="E1605" i="5" s="1"/>
  <c r="B1629" i="5"/>
  <c r="C1629" i="5" s="1"/>
  <c r="D1629" i="5"/>
  <c r="E1629" i="5" s="1"/>
  <c r="B1653" i="5"/>
  <c r="C1653" i="5" s="1"/>
  <c r="D1653" i="5"/>
  <c r="E1653" i="5" s="1"/>
  <c r="B1677" i="5"/>
  <c r="C1677" i="5" s="1"/>
  <c r="D1677" i="5"/>
  <c r="E1677" i="5" s="1"/>
  <c r="B1701" i="5"/>
  <c r="C1701" i="5" s="1"/>
  <c r="D1701" i="5"/>
  <c r="E1701" i="5" s="1"/>
  <c r="B1725" i="5"/>
  <c r="C1725" i="5" s="1"/>
  <c r="D1725" i="5"/>
  <c r="E1725" i="5" s="1"/>
  <c r="B1749" i="5"/>
  <c r="C1749" i="5" s="1"/>
  <c r="D1749" i="5"/>
  <c r="E1749" i="5" s="1"/>
  <c r="B1773" i="5"/>
  <c r="C1773" i="5" s="1"/>
  <c r="D1773" i="5"/>
  <c r="E1773" i="5" s="1"/>
  <c r="B1797" i="5"/>
  <c r="C1797" i="5" s="1"/>
  <c r="D1797" i="5"/>
  <c r="E1797" i="5" s="1"/>
  <c r="B1821" i="5"/>
  <c r="C1821" i="5" s="1"/>
  <c r="D1821" i="5"/>
  <c r="E1821" i="5" s="1"/>
  <c r="B1845" i="5"/>
  <c r="C1845" i="5" s="1"/>
  <c r="D1845" i="5"/>
  <c r="E1845" i="5" s="1"/>
  <c r="B1869" i="5"/>
  <c r="C1869" i="5" s="1"/>
  <c r="D1869" i="5"/>
  <c r="E1869" i="5" s="1"/>
  <c r="B1893" i="5"/>
  <c r="C1893" i="5" s="1"/>
  <c r="D1893" i="5"/>
  <c r="E1893" i="5" s="1"/>
  <c r="B1917" i="5"/>
  <c r="C1917" i="5" s="1"/>
  <c r="D1917" i="5"/>
  <c r="E1917" i="5" s="1"/>
  <c r="B1941" i="5"/>
  <c r="C1941" i="5" s="1"/>
  <c r="D1941" i="5"/>
  <c r="E1941" i="5" s="1"/>
  <c r="B1965" i="5"/>
  <c r="C1965" i="5" s="1"/>
  <c r="D1965" i="5"/>
  <c r="E1965" i="5" s="1"/>
  <c r="B1989" i="5"/>
  <c r="C1989" i="5" s="1"/>
  <c r="D1989" i="5"/>
  <c r="E1989" i="5" s="1"/>
  <c r="B2013" i="5"/>
  <c r="C2013" i="5" s="1"/>
  <c r="D2013" i="5"/>
  <c r="E2013" i="5" s="1"/>
  <c r="B2037" i="5"/>
  <c r="C2037" i="5" s="1"/>
  <c r="D2037" i="5"/>
  <c r="E2037" i="5" s="1"/>
  <c r="B2061" i="5"/>
  <c r="C2061" i="5" s="1"/>
  <c r="D2061" i="5"/>
  <c r="E2061" i="5" s="1"/>
  <c r="B2085" i="5"/>
  <c r="C2085" i="5" s="1"/>
  <c r="D2085" i="5"/>
  <c r="E2085" i="5" s="1"/>
  <c r="B2109" i="5"/>
  <c r="C2109" i="5" s="1"/>
  <c r="D2109" i="5"/>
  <c r="E2109" i="5" s="1"/>
  <c r="B2133" i="5"/>
  <c r="C2133" i="5" s="1"/>
  <c r="D2133" i="5"/>
  <c r="E2133" i="5" s="1"/>
  <c r="B2157" i="5"/>
  <c r="C2157" i="5" s="1"/>
  <c r="D2157" i="5"/>
  <c r="E2157" i="5" s="1"/>
  <c r="B2181" i="5"/>
  <c r="C2181" i="5" s="1"/>
  <c r="D2181" i="5"/>
  <c r="E2181" i="5" s="1"/>
  <c r="B2205" i="5"/>
  <c r="C2205" i="5" s="1"/>
  <c r="D2205" i="5"/>
  <c r="E2205" i="5" s="1"/>
  <c r="B2229" i="5"/>
  <c r="C2229" i="5" s="1"/>
  <c r="D2229" i="5"/>
  <c r="E2229" i="5" s="1"/>
  <c r="B2253" i="5"/>
  <c r="C2253" i="5" s="1"/>
  <c r="D2253" i="5"/>
  <c r="E2253" i="5" s="1"/>
  <c r="B2277" i="5"/>
  <c r="C2277" i="5" s="1"/>
  <c r="D2277" i="5"/>
  <c r="E2277" i="5" s="1"/>
  <c r="B2301" i="5"/>
  <c r="C2301" i="5" s="1"/>
  <c r="D2301" i="5"/>
  <c r="E2301" i="5" s="1"/>
  <c r="B2325" i="5"/>
  <c r="C2325" i="5" s="1"/>
  <c r="D2325" i="5"/>
  <c r="E2325" i="5" s="1"/>
  <c r="B2349" i="5"/>
  <c r="C2349" i="5" s="1"/>
  <c r="D2349" i="5"/>
  <c r="E2349" i="5" s="1"/>
  <c r="B2373" i="5"/>
  <c r="C2373" i="5" s="1"/>
  <c r="D2373" i="5"/>
  <c r="E2373" i="5" s="1"/>
  <c r="B2397" i="5"/>
  <c r="C2397" i="5" s="1"/>
  <c r="D2397" i="5"/>
  <c r="E2397" i="5" s="1"/>
  <c r="B2421" i="5"/>
  <c r="C2421" i="5" s="1"/>
  <c r="D2421" i="5"/>
  <c r="E2421" i="5" s="1"/>
  <c r="B2445" i="5"/>
  <c r="C2445" i="5" s="1"/>
  <c r="D2445" i="5"/>
  <c r="E2445" i="5" s="1"/>
  <c r="B2469" i="5"/>
  <c r="C2469" i="5" s="1"/>
  <c r="D2469" i="5"/>
  <c r="E2469" i="5" s="1"/>
  <c r="B2493" i="5"/>
  <c r="C2493" i="5" s="1"/>
  <c r="D2493" i="5"/>
  <c r="E2493" i="5" s="1"/>
  <c r="B2517" i="5"/>
  <c r="C2517" i="5" s="1"/>
  <c r="D2517" i="5"/>
  <c r="E2517" i="5" s="1"/>
  <c r="D2541" i="5"/>
  <c r="E2541" i="5" s="1"/>
  <c r="B2541" i="5"/>
  <c r="C2541" i="5" s="1"/>
  <c r="B2565" i="5"/>
  <c r="C2565" i="5" s="1"/>
  <c r="D2565" i="5"/>
  <c r="E2565" i="5" s="1"/>
  <c r="B2589" i="5"/>
  <c r="C2589" i="5" s="1"/>
  <c r="D2589" i="5"/>
  <c r="E2589" i="5" s="1"/>
  <c r="B2613" i="5"/>
  <c r="C2613" i="5" s="1"/>
  <c r="D2613" i="5"/>
  <c r="E2613" i="5" s="1"/>
  <c r="B2637" i="5"/>
  <c r="C2637" i="5" s="1"/>
  <c r="D2637" i="5"/>
  <c r="E2637" i="5" s="1"/>
  <c r="B2661" i="5"/>
  <c r="C2661" i="5" s="1"/>
  <c r="D2661" i="5"/>
  <c r="E2661" i="5" s="1"/>
  <c r="B2685" i="5"/>
  <c r="C2685" i="5" s="1"/>
  <c r="D2685" i="5"/>
  <c r="E2685" i="5" s="1"/>
  <c r="B2709" i="5"/>
  <c r="C2709" i="5" s="1"/>
  <c r="D2709" i="5"/>
  <c r="E2709" i="5" s="1"/>
  <c r="B2733" i="5"/>
  <c r="C2733" i="5" s="1"/>
  <c r="D2733" i="5"/>
  <c r="E2733" i="5" s="1"/>
  <c r="B2757" i="5"/>
  <c r="C2757" i="5" s="1"/>
  <c r="D2757" i="5"/>
  <c r="E2757" i="5" s="1"/>
  <c r="B2781" i="5"/>
  <c r="C2781" i="5" s="1"/>
  <c r="D2781" i="5"/>
  <c r="E2781" i="5" s="1"/>
  <c r="B2805" i="5"/>
  <c r="C2805" i="5" s="1"/>
  <c r="D2805" i="5"/>
  <c r="E2805" i="5" s="1"/>
  <c r="B2829" i="5"/>
  <c r="C2829" i="5" s="1"/>
  <c r="D2829" i="5"/>
  <c r="E2829" i="5" s="1"/>
  <c r="B2853" i="5"/>
  <c r="C2853" i="5" s="1"/>
  <c r="D2853" i="5"/>
  <c r="E2853" i="5" s="1"/>
  <c r="B2877" i="5"/>
  <c r="C2877" i="5" s="1"/>
  <c r="D2877" i="5"/>
  <c r="E2877" i="5" s="1"/>
  <c r="B2901" i="5"/>
  <c r="C2901" i="5" s="1"/>
  <c r="D2901" i="5"/>
  <c r="E2901" i="5" s="1"/>
  <c r="B2925" i="5"/>
  <c r="C2925" i="5" s="1"/>
  <c r="D2925" i="5"/>
  <c r="E2925" i="5" s="1"/>
  <c r="B2949" i="5"/>
  <c r="C2949" i="5" s="1"/>
  <c r="D2949" i="5"/>
  <c r="E2949" i="5" s="1"/>
  <c r="B2973" i="5"/>
  <c r="C2973" i="5" s="1"/>
  <c r="D2973" i="5"/>
  <c r="E2973" i="5" s="1"/>
  <c r="B2997" i="5"/>
  <c r="C2997" i="5" s="1"/>
  <c r="D2997" i="5"/>
  <c r="E2997" i="5" s="1"/>
  <c r="B3021" i="5"/>
  <c r="C3021" i="5" s="1"/>
  <c r="D3021" i="5"/>
  <c r="E3021" i="5" s="1"/>
  <c r="B3045" i="5"/>
  <c r="C3045" i="5" s="1"/>
  <c r="D3045" i="5"/>
  <c r="E3045" i="5" s="1"/>
  <c r="B3069" i="5"/>
  <c r="C3069" i="5" s="1"/>
  <c r="D3069" i="5"/>
  <c r="E3069" i="5" s="1"/>
  <c r="B3093" i="5"/>
  <c r="C3093" i="5" s="1"/>
  <c r="D3093" i="5"/>
  <c r="E3093" i="5" s="1"/>
  <c r="B3117" i="5"/>
  <c r="C3117" i="5" s="1"/>
  <c r="D3117" i="5"/>
  <c r="E3117" i="5" s="1"/>
  <c r="B3141" i="5"/>
  <c r="C3141" i="5" s="1"/>
  <c r="D3141" i="5"/>
  <c r="E3141" i="5" s="1"/>
  <c r="B3165" i="5"/>
  <c r="C3165" i="5" s="1"/>
  <c r="D3165" i="5"/>
  <c r="E3165" i="5" s="1"/>
  <c r="B3189" i="5"/>
  <c r="C3189" i="5" s="1"/>
  <c r="D3189" i="5"/>
  <c r="E3189" i="5" s="1"/>
  <c r="B3213" i="5"/>
  <c r="C3213" i="5" s="1"/>
  <c r="D3213" i="5"/>
  <c r="E3213" i="5" s="1"/>
  <c r="B3237" i="5"/>
  <c r="C3237" i="5" s="1"/>
  <c r="D3237" i="5"/>
  <c r="E3237" i="5" s="1"/>
  <c r="B3261" i="5"/>
  <c r="C3261" i="5" s="1"/>
  <c r="D3261" i="5"/>
  <c r="E3261" i="5" s="1"/>
  <c r="B3285" i="5"/>
  <c r="C3285" i="5" s="1"/>
  <c r="D3285" i="5"/>
  <c r="E3285" i="5" s="1"/>
  <c r="B3309" i="5"/>
  <c r="C3309" i="5" s="1"/>
  <c r="D3309" i="5"/>
  <c r="E3309" i="5" s="1"/>
  <c r="B3333" i="5"/>
  <c r="C3333" i="5" s="1"/>
  <c r="D3333" i="5"/>
  <c r="E3333" i="5" s="1"/>
  <c r="B3357" i="5"/>
  <c r="C3357" i="5" s="1"/>
  <c r="D3357" i="5"/>
  <c r="E3357" i="5" s="1"/>
  <c r="B3381" i="5"/>
  <c r="C3381" i="5" s="1"/>
  <c r="D3381" i="5"/>
  <c r="E3381" i="5" s="1"/>
  <c r="B3405" i="5"/>
  <c r="C3405" i="5" s="1"/>
  <c r="D3405" i="5"/>
  <c r="E3405" i="5" s="1"/>
  <c r="B3429" i="5"/>
  <c r="C3429" i="5" s="1"/>
  <c r="D3429" i="5"/>
  <c r="E3429" i="5" s="1"/>
  <c r="B3453" i="5"/>
  <c r="C3453" i="5" s="1"/>
  <c r="D3453" i="5"/>
  <c r="E3453" i="5" s="1"/>
  <c r="D3477" i="5"/>
  <c r="E3477" i="5" s="1"/>
  <c r="B3477" i="5"/>
  <c r="C3477" i="5" s="1"/>
  <c r="B3501" i="5"/>
  <c r="C3501" i="5" s="1"/>
  <c r="D3501" i="5"/>
  <c r="E3501" i="5" s="1"/>
  <c r="B3525" i="5"/>
  <c r="C3525" i="5" s="1"/>
  <c r="D3525" i="5"/>
  <c r="E3525" i="5" s="1"/>
  <c r="B3549" i="5"/>
  <c r="C3549" i="5" s="1"/>
  <c r="D3549" i="5"/>
  <c r="E3549" i="5" s="1"/>
  <c r="B3573" i="5"/>
  <c r="C3573" i="5" s="1"/>
  <c r="D3573" i="5"/>
  <c r="E3573" i="5" s="1"/>
  <c r="B3597" i="5"/>
  <c r="C3597" i="5" s="1"/>
  <c r="D3597" i="5"/>
  <c r="E3597" i="5" s="1"/>
  <c r="B3621" i="5"/>
  <c r="C3621" i="5" s="1"/>
  <c r="D3621" i="5"/>
  <c r="E3621" i="5" s="1"/>
  <c r="B3645" i="5"/>
  <c r="C3645" i="5" s="1"/>
  <c r="D3645" i="5"/>
  <c r="E3645" i="5" s="1"/>
  <c r="B284" i="5"/>
  <c r="C284" i="5" s="1"/>
  <c r="D284" i="5"/>
  <c r="E284" i="5" s="1"/>
  <c r="B46" i="5"/>
  <c r="C46" i="5" s="1"/>
  <c r="D46" i="5"/>
  <c r="E46" i="5" s="1"/>
  <c r="B238" i="5"/>
  <c r="C238" i="5" s="1"/>
  <c r="D238" i="5"/>
  <c r="E238" i="5" s="1"/>
  <c r="B262" i="5"/>
  <c r="C262" i="5" s="1"/>
  <c r="D262" i="5"/>
  <c r="E262" i="5" s="1"/>
  <c r="B286" i="5"/>
  <c r="C286" i="5" s="1"/>
  <c r="D286" i="5"/>
  <c r="E286" i="5" s="1"/>
  <c r="B310" i="5"/>
  <c r="C310" i="5" s="1"/>
  <c r="D310" i="5"/>
  <c r="E310" i="5" s="1"/>
  <c r="B358" i="5"/>
  <c r="C358" i="5" s="1"/>
  <c r="D358" i="5"/>
  <c r="E358" i="5" s="1"/>
  <c r="B382" i="5"/>
  <c r="C382" i="5" s="1"/>
  <c r="D382" i="5"/>
  <c r="E382" i="5" s="1"/>
  <c r="B406" i="5"/>
  <c r="C406" i="5" s="1"/>
  <c r="D406" i="5"/>
  <c r="E406" i="5" s="1"/>
  <c r="B430" i="5"/>
  <c r="C430" i="5" s="1"/>
  <c r="D430" i="5"/>
  <c r="E430" i="5" s="1"/>
  <c r="B454" i="5"/>
  <c r="C454" i="5" s="1"/>
  <c r="D454" i="5"/>
  <c r="E454" i="5" s="1"/>
  <c r="B478" i="5"/>
  <c r="C478" i="5" s="1"/>
  <c r="D478" i="5"/>
  <c r="E478" i="5" s="1"/>
  <c r="B502" i="5"/>
  <c r="C502" i="5" s="1"/>
  <c r="D502" i="5"/>
  <c r="E502" i="5" s="1"/>
  <c r="B526" i="5"/>
  <c r="C526" i="5" s="1"/>
  <c r="D526" i="5"/>
  <c r="E526" i="5" s="1"/>
  <c r="B550" i="5"/>
  <c r="C550" i="5" s="1"/>
  <c r="D550" i="5"/>
  <c r="E550" i="5" s="1"/>
  <c r="B574" i="5"/>
  <c r="C574" i="5" s="1"/>
  <c r="D574" i="5"/>
  <c r="E574" i="5" s="1"/>
  <c r="B598" i="5"/>
  <c r="C598" i="5" s="1"/>
  <c r="D598" i="5"/>
  <c r="E598" i="5" s="1"/>
  <c r="B622" i="5"/>
  <c r="C622" i="5" s="1"/>
  <c r="D622" i="5"/>
  <c r="E622" i="5" s="1"/>
  <c r="B646" i="5"/>
  <c r="C646" i="5" s="1"/>
  <c r="D646" i="5"/>
  <c r="E646" i="5" s="1"/>
  <c r="B670" i="5"/>
  <c r="C670" i="5" s="1"/>
  <c r="D670" i="5"/>
  <c r="E670" i="5" s="1"/>
  <c r="B694" i="5"/>
  <c r="C694" i="5" s="1"/>
  <c r="D694" i="5"/>
  <c r="E694" i="5" s="1"/>
  <c r="B718" i="5"/>
  <c r="C718" i="5" s="1"/>
  <c r="D718" i="5"/>
  <c r="E718" i="5" s="1"/>
  <c r="B742" i="5"/>
  <c r="C742" i="5" s="1"/>
  <c r="D742" i="5"/>
  <c r="E742" i="5" s="1"/>
  <c r="B766" i="5"/>
  <c r="C766" i="5" s="1"/>
  <c r="D766" i="5"/>
  <c r="E766" i="5" s="1"/>
  <c r="B790" i="5"/>
  <c r="C790" i="5" s="1"/>
  <c r="D790" i="5"/>
  <c r="E790" i="5" s="1"/>
  <c r="D814" i="5"/>
  <c r="E814" i="5" s="1"/>
  <c r="B814" i="5"/>
  <c r="C814" i="5" s="1"/>
  <c r="B838" i="5"/>
  <c r="C838" i="5" s="1"/>
  <c r="D838" i="5"/>
  <c r="E838" i="5" s="1"/>
  <c r="B862" i="5"/>
  <c r="C862" i="5" s="1"/>
  <c r="D862" i="5"/>
  <c r="E862" i="5" s="1"/>
  <c r="B886" i="5"/>
  <c r="C886" i="5" s="1"/>
  <c r="D886" i="5"/>
  <c r="E886" i="5" s="1"/>
  <c r="B910" i="5"/>
  <c r="C910" i="5" s="1"/>
  <c r="D910" i="5"/>
  <c r="E910" i="5" s="1"/>
  <c r="B934" i="5"/>
  <c r="C934" i="5" s="1"/>
  <c r="D934" i="5"/>
  <c r="E934" i="5" s="1"/>
  <c r="B958" i="5"/>
  <c r="C958" i="5" s="1"/>
  <c r="D958" i="5"/>
  <c r="E958" i="5" s="1"/>
  <c r="B982" i="5"/>
  <c r="C982" i="5" s="1"/>
  <c r="D982" i="5"/>
  <c r="E982" i="5" s="1"/>
  <c r="B1006" i="5"/>
  <c r="C1006" i="5" s="1"/>
  <c r="D1006" i="5"/>
  <c r="E1006" i="5" s="1"/>
  <c r="B1030" i="5"/>
  <c r="C1030" i="5" s="1"/>
  <c r="D1030" i="5"/>
  <c r="E1030" i="5" s="1"/>
  <c r="B1054" i="5"/>
  <c r="C1054" i="5" s="1"/>
  <c r="D1054" i="5"/>
  <c r="E1054" i="5" s="1"/>
  <c r="B1078" i="5"/>
  <c r="C1078" i="5" s="1"/>
  <c r="D1078" i="5"/>
  <c r="E1078" i="5" s="1"/>
  <c r="B1102" i="5"/>
  <c r="C1102" i="5" s="1"/>
  <c r="D1102" i="5"/>
  <c r="E1102" i="5" s="1"/>
  <c r="B1126" i="5"/>
  <c r="C1126" i="5" s="1"/>
  <c r="D1126" i="5"/>
  <c r="E1126" i="5" s="1"/>
  <c r="B1150" i="5"/>
  <c r="C1150" i="5" s="1"/>
  <c r="D1150" i="5"/>
  <c r="E1150" i="5" s="1"/>
  <c r="B1174" i="5"/>
  <c r="C1174" i="5" s="1"/>
  <c r="D1174" i="5"/>
  <c r="E1174" i="5" s="1"/>
  <c r="B1198" i="5"/>
  <c r="C1198" i="5" s="1"/>
  <c r="D1198" i="5"/>
  <c r="E1198" i="5" s="1"/>
  <c r="B1222" i="5"/>
  <c r="C1222" i="5" s="1"/>
  <c r="D1222" i="5"/>
  <c r="E1222" i="5" s="1"/>
  <c r="B1246" i="5"/>
  <c r="C1246" i="5" s="1"/>
  <c r="D1246" i="5"/>
  <c r="E1246" i="5" s="1"/>
  <c r="B1270" i="5"/>
  <c r="C1270" i="5" s="1"/>
  <c r="D1270" i="5"/>
  <c r="E1270" i="5" s="1"/>
  <c r="B1294" i="5"/>
  <c r="C1294" i="5" s="1"/>
  <c r="D1294" i="5"/>
  <c r="E1294" i="5" s="1"/>
  <c r="B1318" i="5"/>
  <c r="C1318" i="5" s="1"/>
  <c r="D1318" i="5"/>
  <c r="E1318" i="5" s="1"/>
  <c r="B1342" i="5"/>
  <c r="C1342" i="5" s="1"/>
  <c r="D1342" i="5"/>
  <c r="E1342" i="5" s="1"/>
  <c r="B1366" i="5"/>
  <c r="C1366" i="5" s="1"/>
  <c r="D1366" i="5"/>
  <c r="E1366" i="5" s="1"/>
  <c r="B1390" i="5"/>
  <c r="C1390" i="5" s="1"/>
  <c r="D1390" i="5"/>
  <c r="E1390" i="5" s="1"/>
  <c r="D1414" i="5"/>
  <c r="E1414" i="5" s="1"/>
  <c r="B1414" i="5"/>
  <c r="C1414" i="5" s="1"/>
  <c r="B1438" i="5"/>
  <c r="C1438" i="5" s="1"/>
  <c r="D1438" i="5"/>
  <c r="E1438" i="5" s="1"/>
  <c r="B1462" i="5"/>
  <c r="C1462" i="5" s="1"/>
  <c r="D1462" i="5"/>
  <c r="E1462" i="5" s="1"/>
  <c r="B1486" i="5"/>
  <c r="C1486" i="5" s="1"/>
  <c r="D1486" i="5"/>
  <c r="E1486" i="5" s="1"/>
  <c r="B1510" i="5"/>
  <c r="C1510" i="5" s="1"/>
  <c r="D1510" i="5"/>
  <c r="E1510" i="5" s="1"/>
  <c r="B1534" i="5"/>
  <c r="C1534" i="5" s="1"/>
  <c r="D1534" i="5"/>
  <c r="E1534" i="5" s="1"/>
  <c r="B1558" i="5"/>
  <c r="C1558" i="5" s="1"/>
  <c r="D1558" i="5"/>
  <c r="E1558" i="5" s="1"/>
  <c r="B1582" i="5"/>
  <c r="C1582" i="5" s="1"/>
  <c r="D1582" i="5"/>
  <c r="E1582" i="5" s="1"/>
  <c r="B1606" i="5"/>
  <c r="C1606" i="5" s="1"/>
  <c r="D1606" i="5"/>
  <c r="E1606" i="5" s="1"/>
  <c r="B1630" i="5"/>
  <c r="C1630" i="5" s="1"/>
  <c r="D1630" i="5"/>
  <c r="E1630" i="5" s="1"/>
  <c r="B1654" i="5"/>
  <c r="C1654" i="5" s="1"/>
  <c r="D1654" i="5"/>
  <c r="E1654" i="5" s="1"/>
  <c r="B1678" i="5"/>
  <c r="C1678" i="5" s="1"/>
  <c r="D1678" i="5"/>
  <c r="E1678" i="5" s="1"/>
  <c r="B1702" i="5"/>
  <c r="C1702" i="5" s="1"/>
  <c r="D1702" i="5"/>
  <c r="E1702" i="5" s="1"/>
  <c r="B1726" i="5"/>
  <c r="C1726" i="5" s="1"/>
  <c r="D1726" i="5"/>
  <c r="E1726" i="5" s="1"/>
  <c r="B1750" i="5"/>
  <c r="C1750" i="5" s="1"/>
  <c r="D1750" i="5"/>
  <c r="E1750" i="5" s="1"/>
  <c r="B1774" i="5"/>
  <c r="C1774" i="5" s="1"/>
  <c r="D1774" i="5"/>
  <c r="E1774" i="5" s="1"/>
  <c r="B1798" i="5"/>
  <c r="C1798" i="5" s="1"/>
  <c r="D1798" i="5"/>
  <c r="E1798" i="5" s="1"/>
  <c r="B1822" i="5"/>
  <c r="C1822" i="5" s="1"/>
  <c r="D1822" i="5"/>
  <c r="E1822" i="5" s="1"/>
  <c r="B1846" i="5"/>
  <c r="C1846" i="5" s="1"/>
  <c r="D1846" i="5"/>
  <c r="E1846" i="5" s="1"/>
  <c r="B1870" i="5"/>
  <c r="C1870" i="5" s="1"/>
  <c r="D1870" i="5"/>
  <c r="E1870" i="5" s="1"/>
  <c r="B1894" i="5"/>
  <c r="C1894" i="5" s="1"/>
  <c r="D1894" i="5"/>
  <c r="E1894" i="5" s="1"/>
  <c r="B1918" i="5"/>
  <c r="C1918" i="5" s="1"/>
  <c r="D1918" i="5"/>
  <c r="E1918" i="5" s="1"/>
  <c r="B1942" i="5"/>
  <c r="C1942" i="5" s="1"/>
  <c r="D1942" i="5"/>
  <c r="E1942" i="5" s="1"/>
  <c r="B1966" i="5"/>
  <c r="C1966" i="5" s="1"/>
  <c r="D1966" i="5"/>
  <c r="E1966" i="5" s="1"/>
  <c r="B1990" i="5"/>
  <c r="C1990" i="5" s="1"/>
  <c r="D1990" i="5"/>
  <c r="E1990" i="5" s="1"/>
  <c r="B2014" i="5"/>
  <c r="C2014" i="5" s="1"/>
  <c r="D2014" i="5"/>
  <c r="E2014" i="5" s="1"/>
  <c r="B2038" i="5"/>
  <c r="C2038" i="5" s="1"/>
  <c r="D2038" i="5"/>
  <c r="E2038" i="5" s="1"/>
  <c r="B2062" i="5"/>
  <c r="C2062" i="5" s="1"/>
  <c r="D2062" i="5"/>
  <c r="E2062" i="5" s="1"/>
  <c r="B2086" i="5"/>
  <c r="C2086" i="5" s="1"/>
  <c r="D2086" i="5"/>
  <c r="E2086" i="5" s="1"/>
  <c r="B2110" i="5"/>
  <c r="C2110" i="5" s="1"/>
  <c r="D2110" i="5"/>
  <c r="E2110" i="5" s="1"/>
  <c r="B2134" i="5"/>
  <c r="C2134" i="5" s="1"/>
  <c r="D2134" i="5"/>
  <c r="E2134" i="5" s="1"/>
  <c r="B2158" i="5"/>
  <c r="C2158" i="5" s="1"/>
  <c r="D2158" i="5"/>
  <c r="E2158" i="5" s="1"/>
  <c r="B2182" i="5"/>
  <c r="C2182" i="5" s="1"/>
  <c r="D2182" i="5"/>
  <c r="E2182" i="5" s="1"/>
  <c r="B2206" i="5"/>
  <c r="C2206" i="5" s="1"/>
  <c r="D2206" i="5"/>
  <c r="E2206" i="5" s="1"/>
  <c r="B2230" i="5"/>
  <c r="C2230" i="5" s="1"/>
  <c r="D2230" i="5"/>
  <c r="E2230" i="5" s="1"/>
  <c r="B2254" i="5"/>
  <c r="C2254" i="5" s="1"/>
  <c r="D2254" i="5"/>
  <c r="E2254" i="5" s="1"/>
  <c r="B2278" i="5"/>
  <c r="C2278" i="5" s="1"/>
  <c r="D2278" i="5"/>
  <c r="E2278" i="5" s="1"/>
  <c r="B2302" i="5"/>
  <c r="C2302" i="5" s="1"/>
  <c r="D2302" i="5"/>
  <c r="E2302" i="5" s="1"/>
  <c r="B2326" i="5"/>
  <c r="C2326" i="5" s="1"/>
  <c r="D2326" i="5"/>
  <c r="E2326" i="5" s="1"/>
  <c r="B2350" i="5"/>
  <c r="C2350" i="5" s="1"/>
  <c r="D2350" i="5"/>
  <c r="E2350" i="5" s="1"/>
  <c r="B2374" i="5"/>
  <c r="C2374" i="5" s="1"/>
  <c r="D2374" i="5"/>
  <c r="E2374" i="5" s="1"/>
  <c r="B2398" i="5"/>
  <c r="C2398" i="5" s="1"/>
  <c r="D2398" i="5"/>
  <c r="E2398" i="5" s="1"/>
  <c r="B2422" i="5"/>
  <c r="C2422" i="5" s="1"/>
  <c r="D2422" i="5"/>
  <c r="E2422" i="5" s="1"/>
  <c r="B2446" i="5"/>
  <c r="C2446" i="5" s="1"/>
  <c r="D2446" i="5"/>
  <c r="E2446" i="5" s="1"/>
  <c r="B2470" i="5"/>
  <c r="C2470" i="5" s="1"/>
  <c r="D2470" i="5"/>
  <c r="E2470" i="5" s="1"/>
  <c r="B2494" i="5"/>
  <c r="C2494" i="5" s="1"/>
  <c r="D2494" i="5"/>
  <c r="E2494" i="5" s="1"/>
  <c r="B2518" i="5"/>
  <c r="C2518" i="5" s="1"/>
  <c r="D2518" i="5"/>
  <c r="E2518" i="5" s="1"/>
  <c r="B2542" i="5"/>
  <c r="C2542" i="5" s="1"/>
  <c r="D2542" i="5"/>
  <c r="E2542" i="5" s="1"/>
  <c r="B2566" i="5"/>
  <c r="C2566" i="5" s="1"/>
  <c r="D2566" i="5"/>
  <c r="E2566" i="5" s="1"/>
  <c r="B2590" i="5"/>
  <c r="C2590" i="5" s="1"/>
  <c r="D2590" i="5"/>
  <c r="E2590" i="5" s="1"/>
  <c r="B2614" i="5"/>
  <c r="C2614" i="5" s="1"/>
  <c r="D2614" i="5"/>
  <c r="E2614" i="5" s="1"/>
  <c r="B2638" i="5"/>
  <c r="C2638" i="5" s="1"/>
  <c r="D2638" i="5"/>
  <c r="E2638" i="5" s="1"/>
  <c r="B2662" i="5"/>
  <c r="C2662" i="5" s="1"/>
  <c r="D2662" i="5"/>
  <c r="E2662" i="5" s="1"/>
  <c r="B2686" i="5"/>
  <c r="C2686" i="5" s="1"/>
  <c r="D2686" i="5"/>
  <c r="E2686" i="5" s="1"/>
  <c r="B2710" i="5"/>
  <c r="C2710" i="5" s="1"/>
  <c r="D2710" i="5"/>
  <c r="E2710" i="5" s="1"/>
  <c r="B2734" i="5"/>
  <c r="C2734" i="5" s="1"/>
  <c r="D2734" i="5"/>
  <c r="E2734" i="5" s="1"/>
  <c r="B2758" i="5"/>
  <c r="C2758" i="5" s="1"/>
  <c r="D2758" i="5"/>
  <c r="E2758" i="5" s="1"/>
  <c r="D2782" i="5"/>
  <c r="E2782" i="5" s="1"/>
  <c r="B2782" i="5"/>
  <c r="C2782" i="5" s="1"/>
  <c r="B2806" i="5"/>
  <c r="C2806" i="5" s="1"/>
  <c r="D2806" i="5"/>
  <c r="E2806" i="5" s="1"/>
  <c r="B2830" i="5"/>
  <c r="C2830" i="5" s="1"/>
  <c r="D2830" i="5"/>
  <c r="E2830" i="5" s="1"/>
  <c r="B2854" i="5"/>
  <c r="C2854" i="5" s="1"/>
  <c r="D2854" i="5"/>
  <c r="E2854" i="5" s="1"/>
  <c r="B2878" i="5"/>
  <c r="C2878" i="5" s="1"/>
  <c r="D2878" i="5"/>
  <c r="E2878" i="5" s="1"/>
  <c r="B2902" i="5"/>
  <c r="C2902" i="5" s="1"/>
  <c r="D2902" i="5"/>
  <c r="E2902" i="5" s="1"/>
  <c r="B2926" i="5"/>
  <c r="C2926" i="5" s="1"/>
  <c r="D2926" i="5"/>
  <c r="E2926" i="5" s="1"/>
  <c r="B2950" i="5"/>
  <c r="C2950" i="5" s="1"/>
  <c r="D2950" i="5"/>
  <c r="E2950" i="5" s="1"/>
  <c r="B2974" i="5"/>
  <c r="C2974" i="5" s="1"/>
  <c r="D2974" i="5"/>
  <c r="E2974" i="5" s="1"/>
  <c r="B2998" i="5"/>
  <c r="C2998" i="5" s="1"/>
  <c r="D2998" i="5"/>
  <c r="E2998" i="5" s="1"/>
  <c r="B3022" i="5"/>
  <c r="C3022" i="5" s="1"/>
  <c r="D3022" i="5"/>
  <c r="E3022" i="5" s="1"/>
  <c r="B3046" i="5"/>
  <c r="C3046" i="5" s="1"/>
  <c r="D3046" i="5"/>
  <c r="E3046" i="5" s="1"/>
  <c r="B3070" i="5"/>
  <c r="C3070" i="5" s="1"/>
  <c r="D3070" i="5"/>
  <c r="E3070" i="5" s="1"/>
  <c r="B3094" i="5"/>
  <c r="C3094" i="5" s="1"/>
  <c r="D3094" i="5"/>
  <c r="E3094" i="5" s="1"/>
  <c r="B3118" i="5"/>
  <c r="C3118" i="5" s="1"/>
  <c r="D3118" i="5"/>
  <c r="E3118" i="5" s="1"/>
  <c r="B3142" i="5"/>
  <c r="C3142" i="5" s="1"/>
  <c r="D3142" i="5"/>
  <c r="E3142" i="5" s="1"/>
  <c r="B3166" i="5"/>
  <c r="C3166" i="5" s="1"/>
  <c r="D3166" i="5"/>
  <c r="E3166" i="5" s="1"/>
  <c r="B3190" i="5"/>
  <c r="C3190" i="5" s="1"/>
  <c r="D3190" i="5"/>
  <c r="E3190" i="5" s="1"/>
  <c r="B3214" i="5"/>
  <c r="C3214" i="5" s="1"/>
  <c r="D3214" i="5"/>
  <c r="E3214" i="5" s="1"/>
  <c r="B3238" i="5"/>
  <c r="C3238" i="5" s="1"/>
  <c r="D3238" i="5"/>
  <c r="E3238" i="5" s="1"/>
  <c r="B3262" i="5"/>
  <c r="C3262" i="5" s="1"/>
  <c r="D3262" i="5"/>
  <c r="E3262" i="5" s="1"/>
  <c r="B3286" i="5"/>
  <c r="C3286" i="5" s="1"/>
  <c r="D3286" i="5"/>
  <c r="E3286" i="5" s="1"/>
  <c r="B3310" i="5"/>
  <c r="C3310" i="5" s="1"/>
  <c r="D3310" i="5"/>
  <c r="E3310" i="5" s="1"/>
  <c r="B3334" i="5"/>
  <c r="C3334" i="5" s="1"/>
  <c r="D3334" i="5"/>
  <c r="E3334" i="5" s="1"/>
  <c r="B3358" i="5"/>
  <c r="C3358" i="5" s="1"/>
  <c r="D3358" i="5"/>
  <c r="E3358" i="5" s="1"/>
  <c r="B3382" i="5"/>
  <c r="C3382" i="5" s="1"/>
  <c r="D3382" i="5"/>
  <c r="E3382" i="5" s="1"/>
  <c r="B3406" i="5"/>
  <c r="C3406" i="5" s="1"/>
  <c r="D3406" i="5"/>
  <c r="E3406" i="5" s="1"/>
  <c r="B3430" i="5"/>
  <c r="C3430" i="5" s="1"/>
  <c r="D3430" i="5"/>
  <c r="E3430" i="5" s="1"/>
  <c r="B3454" i="5"/>
  <c r="C3454" i="5" s="1"/>
  <c r="D3454" i="5"/>
  <c r="E3454" i="5" s="1"/>
  <c r="B3478" i="5"/>
  <c r="C3478" i="5" s="1"/>
  <c r="D3478" i="5"/>
  <c r="E3478" i="5" s="1"/>
  <c r="B3502" i="5"/>
  <c r="C3502" i="5" s="1"/>
  <c r="D3502" i="5"/>
  <c r="E3502" i="5" s="1"/>
  <c r="B3526" i="5"/>
  <c r="C3526" i="5" s="1"/>
  <c r="D3526" i="5"/>
  <c r="E3526" i="5" s="1"/>
  <c r="B3550" i="5"/>
  <c r="C3550" i="5" s="1"/>
  <c r="D3550" i="5"/>
  <c r="E3550" i="5" s="1"/>
  <c r="B3574" i="5"/>
  <c r="C3574" i="5" s="1"/>
  <c r="D3574" i="5"/>
  <c r="E3574" i="5" s="1"/>
  <c r="B3598" i="5"/>
  <c r="C3598" i="5" s="1"/>
  <c r="D3598" i="5"/>
  <c r="E3598" i="5" s="1"/>
  <c r="B3622" i="5"/>
  <c r="C3622" i="5" s="1"/>
  <c r="D3622" i="5"/>
  <c r="E3622" i="5" s="1"/>
  <c r="B3646" i="5"/>
  <c r="C3646" i="5" s="1"/>
  <c r="D3646" i="5"/>
  <c r="E3646" i="5" s="1"/>
  <c r="B17" i="5"/>
  <c r="C17" i="5" s="1"/>
  <c r="D17" i="5"/>
  <c r="E17" i="5" s="1"/>
  <c r="B211" i="5"/>
  <c r="C211" i="5" s="1"/>
  <c r="D211" i="5"/>
  <c r="E211" i="5" s="1"/>
  <c r="B20" i="5"/>
  <c r="C20" i="5" s="1"/>
  <c r="D20" i="5"/>
  <c r="E20" i="5" s="1"/>
  <c r="B359" i="5"/>
  <c r="C359" i="5" s="1"/>
  <c r="D359" i="5"/>
  <c r="E359" i="5" s="1"/>
  <c r="B815" i="5"/>
  <c r="C815" i="5" s="1"/>
  <c r="D815" i="5"/>
  <c r="E815" i="5" s="1"/>
  <c r="B1031" i="5"/>
  <c r="C1031" i="5" s="1"/>
  <c r="D1031" i="5"/>
  <c r="E1031" i="5" s="1"/>
  <c r="B1175" i="5"/>
  <c r="C1175" i="5" s="1"/>
  <c r="D1175" i="5"/>
  <c r="E1175" i="5" s="1"/>
  <c r="B1223" i="5"/>
  <c r="C1223" i="5" s="1"/>
  <c r="D1223" i="5"/>
  <c r="E1223" i="5" s="1"/>
  <c r="B1271" i="5"/>
  <c r="C1271" i="5" s="1"/>
  <c r="D1271" i="5"/>
  <c r="E1271" i="5" s="1"/>
  <c r="B1343" i="5"/>
  <c r="C1343" i="5" s="1"/>
  <c r="D1343" i="5"/>
  <c r="E1343" i="5" s="1"/>
  <c r="B1367" i="5"/>
  <c r="C1367" i="5" s="1"/>
  <c r="D1367" i="5"/>
  <c r="E1367" i="5" s="1"/>
  <c r="B1391" i="5"/>
  <c r="C1391" i="5" s="1"/>
  <c r="D1391" i="5"/>
  <c r="E1391" i="5" s="1"/>
  <c r="B1415" i="5"/>
  <c r="C1415" i="5" s="1"/>
  <c r="D1415" i="5"/>
  <c r="E1415" i="5" s="1"/>
  <c r="B1439" i="5"/>
  <c r="C1439" i="5" s="1"/>
  <c r="D1439" i="5"/>
  <c r="E1439" i="5" s="1"/>
  <c r="B1583" i="5"/>
  <c r="C1583" i="5" s="1"/>
  <c r="D1583" i="5"/>
  <c r="E1583" i="5" s="1"/>
  <c r="B1655" i="5"/>
  <c r="C1655" i="5" s="1"/>
  <c r="D1655" i="5"/>
  <c r="E1655" i="5" s="1"/>
  <c r="B1679" i="5"/>
  <c r="C1679" i="5" s="1"/>
  <c r="D1679" i="5"/>
  <c r="E1679" i="5" s="1"/>
  <c r="B1703" i="5"/>
  <c r="C1703" i="5" s="1"/>
  <c r="D1703" i="5"/>
  <c r="E1703" i="5" s="1"/>
  <c r="B1727" i="5"/>
  <c r="C1727" i="5" s="1"/>
  <c r="D1727" i="5"/>
  <c r="E1727" i="5" s="1"/>
  <c r="B1751" i="5"/>
  <c r="C1751" i="5" s="1"/>
  <c r="D1751" i="5"/>
  <c r="E1751" i="5" s="1"/>
  <c r="B1775" i="5"/>
  <c r="C1775" i="5" s="1"/>
  <c r="D1775" i="5"/>
  <c r="E1775" i="5" s="1"/>
  <c r="B1799" i="5"/>
  <c r="C1799" i="5" s="1"/>
  <c r="D1799" i="5"/>
  <c r="E1799" i="5" s="1"/>
  <c r="B1823" i="5"/>
  <c r="C1823" i="5" s="1"/>
  <c r="D1823" i="5"/>
  <c r="E1823" i="5" s="1"/>
  <c r="B1847" i="5"/>
  <c r="C1847" i="5" s="1"/>
  <c r="D1847" i="5"/>
  <c r="E1847" i="5" s="1"/>
  <c r="B1871" i="5"/>
  <c r="C1871" i="5" s="1"/>
  <c r="D1871" i="5"/>
  <c r="E1871" i="5" s="1"/>
  <c r="B1895" i="5"/>
  <c r="C1895" i="5" s="1"/>
  <c r="D1895" i="5"/>
  <c r="E1895" i="5" s="1"/>
  <c r="B1919" i="5"/>
  <c r="C1919" i="5" s="1"/>
  <c r="D1919" i="5"/>
  <c r="E1919" i="5" s="1"/>
  <c r="B1943" i="5"/>
  <c r="C1943" i="5" s="1"/>
  <c r="D1943" i="5"/>
  <c r="E1943" i="5" s="1"/>
  <c r="B1967" i="5"/>
  <c r="C1967" i="5" s="1"/>
  <c r="D1967" i="5"/>
  <c r="E1967" i="5" s="1"/>
  <c r="B2063" i="5"/>
  <c r="C2063" i="5" s="1"/>
  <c r="D2063" i="5"/>
  <c r="E2063" i="5" s="1"/>
  <c r="B2135" i="5"/>
  <c r="C2135" i="5" s="1"/>
  <c r="D2135" i="5"/>
  <c r="E2135" i="5" s="1"/>
  <c r="B2159" i="5"/>
  <c r="C2159" i="5" s="1"/>
  <c r="D2159" i="5"/>
  <c r="E2159" i="5" s="1"/>
  <c r="B2183" i="5"/>
  <c r="C2183" i="5" s="1"/>
  <c r="D2183" i="5"/>
  <c r="E2183" i="5" s="1"/>
  <c r="B2207" i="5"/>
  <c r="C2207" i="5" s="1"/>
  <c r="D2207" i="5"/>
  <c r="E2207" i="5" s="1"/>
  <c r="B2231" i="5"/>
  <c r="C2231" i="5" s="1"/>
  <c r="D2231" i="5"/>
  <c r="E2231" i="5" s="1"/>
  <c r="B2255" i="5"/>
  <c r="C2255" i="5" s="1"/>
  <c r="D2255" i="5"/>
  <c r="E2255" i="5" s="1"/>
  <c r="B2279" i="5"/>
  <c r="C2279" i="5" s="1"/>
  <c r="D2279" i="5"/>
  <c r="E2279" i="5" s="1"/>
  <c r="B2303" i="5"/>
  <c r="C2303" i="5" s="1"/>
  <c r="D2303" i="5"/>
  <c r="E2303" i="5" s="1"/>
  <c r="B2327" i="5"/>
  <c r="C2327" i="5" s="1"/>
  <c r="D2327" i="5"/>
  <c r="E2327" i="5" s="1"/>
  <c r="B2351" i="5"/>
  <c r="C2351" i="5" s="1"/>
  <c r="D2351" i="5"/>
  <c r="E2351" i="5" s="1"/>
  <c r="B2375" i="5"/>
  <c r="C2375" i="5" s="1"/>
  <c r="D2375" i="5"/>
  <c r="E2375" i="5" s="1"/>
  <c r="B2399" i="5"/>
  <c r="C2399" i="5" s="1"/>
  <c r="D2399" i="5"/>
  <c r="E2399" i="5" s="1"/>
  <c r="B2423" i="5"/>
  <c r="C2423" i="5" s="1"/>
  <c r="D2423" i="5"/>
  <c r="E2423" i="5" s="1"/>
  <c r="B2447" i="5"/>
  <c r="C2447" i="5" s="1"/>
  <c r="D2447" i="5"/>
  <c r="E2447" i="5" s="1"/>
  <c r="B2471" i="5"/>
  <c r="C2471" i="5" s="1"/>
  <c r="D2471" i="5"/>
  <c r="E2471" i="5" s="1"/>
  <c r="B2495" i="5"/>
  <c r="C2495" i="5" s="1"/>
  <c r="D2495" i="5"/>
  <c r="E2495" i="5" s="1"/>
  <c r="B2519" i="5"/>
  <c r="C2519" i="5" s="1"/>
  <c r="D2519" i="5"/>
  <c r="E2519" i="5" s="1"/>
  <c r="B2543" i="5"/>
  <c r="C2543" i="5" s="1"/>
  <c r="D2543" i="5"/>
  <c r="E2543" i="5" s="1"/>
  <c r="B2567" i="5"/>
  <c r="C2567" i="5" s="1"/>
  <c r="D2567" i="5"/>
  <c r="E2567" i="5" s="1"/>
  <c r="B2591" i="5"/>
  <c r="C2591" i="5" s="1"/>
  <c r="D2591" i="5"/>
  <c r="E2591" i="5" s="1"/>
  <c r="B2615" i="5"/>
  <c r="C2615" i="5" s="1"/>
  <c r="D2615" i="5"/>
  <c r="E2615" i="5" s="1"/>
  <c r="B2639" i="5"/>
  <c r="C2639" i="5" s="1"/>
  <c r="D2639" i="5"/>
  <c r="E2639" i="5" s="1"/>
  <c r="B2663" i="5"/>
  <c r="C2663" i="5" s="1"/>
  <c r="D2663" i="5"/>
  <c r="E2663" i="5" s="1"/>
  <c r="B2687" i="5"/>
  <c r="C2687" i="5" s="1"/>
  <c r="D2687" i="5"/>
  <c r="E2687" i="5" s="1"/>
  <c r="B2711" i="5"/>
  <c r="C2711" i="5" s="1"/>
  <c r="D2711" i="5"/>
  <c r="E2711" i="5" s="1"/>
  <c r="B2735" i="5"/>
  <c r="C2735" i="5" s="1"/>
  <c r="D2735" i="5"/>
  <c r="E2735" i="5" s="1"/>
  <c r="B2759" i="5"/>
  <c r="C2759" i="5" s="1"/>
  <c r="D2759" i="5"/>
  <c r="E2759" i="5" s="1"/>
  <c r="B2783" i="5"/>
  <c r="C2783" i="5" s="1"/>
  <c r="D2783" i="5"/>
  <c r="E2783" i="5" s="1"/>
  <c r="B2807" i="5"/>
  <c r="C2807" i="5" s="1"/>
  <c r="D2807" i="5"/>
  <c r="E2807" i="5" s="1"/>
  <c r="B2831" i="5"/>
  <c r="C2831" i="5" s="1"/>
  <c r="D2831" i="5"/>
  <c r="E2831" i="5" s="1"/>
  <c r="B2855" i="5"/>
  <c r="C2855" i="5" s="1"/>
  <c r="D2855" i="5"/>
  <c r="E2855" i="5" s="1"/>
  <c r="B2879" i="5"/>
  <c r="C2879" i="5" s="1"/>
  <c r="D2879" i="5"/>
  <c r="E2879" i="5" s="1"/>
  <c r="B2903" i="5"/>
  <c r="C2903" i="5" s="1"/>
  <c r="D2903" i="5"/>
  <c r="E2903" i="5" s="1"/>
  <c r="B2927" i="5"/>
  <c r="C2927" i="5" s="1"/>
  <c r="D2927" i="5"/>
  <c r="E2927" i="5" s="1"/>
  <c r="B2951" i="5"/>
  <c r="C2951" i="5" s="1"/>
  <c r="D2951" i="5"/>
  <c r="E2951" i="5" s="1"/>
  <c r="B2975" i="5"/>
  <c r="C2975" i="5" s="1"/>
  <c r="D2975" i="5"/>
  <c r="E2975" i="5" s="1"/>
  <c r="B2999" i="5"/>
  <c r="C2999" i="5" s="1"/>
  <c r="D2999" i="5"/>
  <c r="E2999" i="5" s="1"/>
  <c r="B3023" i="5"/>
  <c r="C3023" i="5" s="1"/>
  <c r="D3023" i="5"/>
  <c r="E3023" i="5" s="1"/>
  <c r="B3047" i="5"/>
  <c r="C3047" i="5" s="1"/>
  <c r="D3047" i="5"/>
  <c r="E3047" i="5" s="1"/>
  <c r="B3071" i="5"/>
  <c r="C3071" i="5" s="1"/>
  <c r="D3071" i="5"/>
  <c r="E3071" i="5" s="1"/>
  <c r="B3095" i="5"/>
  <c r="C3095" i="5" s="1"/>
  <c r="D3095" i="5"/>
  <c r="E3095" i="5" s="1"/>
  <c r="B3119" i="5"/>
  <c r="C3119" i="5" s="1"/>
  <c r="D3119" i="5"/>
  <c r="E3119" i="5" s="1"/>
  <c r="B3143" i="5"/>
  <c r="C3143" i="5" s="1"/>
  <c r="D3143" i="5"/>
  <c r="E3143" i="5" s="1"/>
  <c r="B3167" i="5"/>
  <c r="C3167" i="5" s="1"/>
  <c r="D3167" i="5"/>
  <c r="E3167" i="5" s="1"/>
  <c r="B3191" i="5"/>
  <c r="C3191" i="5" s="1"/>
  <c r="D3191" i="5"/>
  <c r="E3191" i="5" s="1"/>
  <c r="B3215" i="5"/>
  <c r="C3215" i="5" s="1"/>
  <c r="D3215" i="5"/>
  <c r="E3215" i="5" s="1"/>
  <c r="B3239" i="5"/>
  <c r="C3239" i="5" s="1"/>
  <c r="D3239" i="5"/>
  <c r="E3239" i="5" s="1"/>
  <c r="B3263" i="5"/>
  <c r="C3263" i="5" s="1"/>
  <c r="D3263" i="5"/>
  <c r="E3263" i="5" s="1"/>
  <c r="B3287" i="5"/>
  <c r="C3287" i="5" s="1"/>
  <c r="D3287" i="5"/>
  <c r="E3287" i="5" s="1"/>
  <c r="B3311" i="5"/>
  <c r="C3311" i="5" s="1"/>
  <c r="D3311" i="5"/>
  <c r="E3311" i="5" s="1"/>
  <c r="B3335" i="5"/>
  <c r="C3335" i="5" s="1"/>
  <c r="D3335" i="5"/>
  <c r="E3335" i="5" s="1"/>
  <c r="B3359" i="5"/>
  <c r="C3359" i="5" s="1"/>
  <c r="D3359" i="5"/>
  <c r="E3359" i="5" s="1"/>
  <c r="B3383" i="5"/>
  <c r="C3383" i="5" s="1"/>
  <c r="D3383" i="5"/>
  <c r="E3383" i="5" s="1"/>
  <c r="B3407" i="5"/>
  <c r="C3407" i="5" s="1"/>
  <c r="D3407" i="5"/>
  <c r="E3407" i="5" s="1"/>
  <c r="B3431" i="5"/>
  <c r="C3431" i="5" s="1"/>
  <c r="D3431" i="5"/>
  <c r="E3431" i="5" s="1"/>
  <c r="B3455" i="5"/>
  <c r="C3455" i="5" s="1"/>
  <c r="D3455" i="5"/>
  <c r="E3455" i="5" s="1"/>
  <c r="B3479" i="5"/>
  <c r="C3479" i="5" s="1"/>
  <c r="D3479" i="5"/>
  <c r="E3479" i="5" s="1"/>
  <c r="B3503" i="5"/>
  <c r="C3503" i="5" s="1"/>
  <c r="D3503" i="5"/>
  <c r="E3503" i="5" s="1"/>
  <c r="B3527" i="5"/>
  <c r="C3527" i="5" s="1"/>
  <c r="D3527" i="5"/>
  <c r="E3527" i="5" s="1"/>
  <c r="B3551" i="5"/>
  <c r="C3551" i="5" s="1"/>
  <c r="D3551" i="5"/>
  <c r="E3551" i="5" s="1"/>
  <c r="B3575" i="5"/>
  <c r="C3575" i="5" s="1"/>
  <c r="D3575" i="5"/>
  <c r="E3575" i="5" s="1"/>
  <c r="B3599" i="5"/>
  <c r="C3599" i="5" s="1"/>
  <c r="D3599" i="5"/>
  <c r="E3599" i="5" s="1"/>
  <c r="B3623" i="5"/>
  <c r="C3623" i="5" s="1"/>
  <c r="D3623" i="5"/>
  <c r="E3623" i="5" s="1"/>
  <c r="B3647" i="5"/>
  <c r="C3647" i="5" s="1"/>
  <c r="D3647" i="5"/>
  <c r="E3647" i="5" s="1"/>
  <c r="B163" i="5"/>
  <c r="C163" i="5" s="1"/>
  <c r="D163" i="5"/>
  <c r="E163" i="5" s="1"/>
  <c r="B68" i="5"/>
  <c r="C68" i="5" s="1"/>
  <c r="D68" i="5"/>
  <c r="E68" i="5" s="1"/>
  <c r="B23" i="5"/>
  <c r="C23" i="5" s="1"/>
  <c r="D23" i="5"/>
  <c r="E23" i="5" s="1"/>
  <c r="B527" i="5"/>
  <c r="C527" i="5" s="1"/>
  <c r="D527" i="5"/>
  <c r="E527" i="5" s="1"/>
  <c r="B1320" i="5"/>
  <c r="C1320" i="5" s="1"/>
  <c r="D1320" i="5"/>
  <c r="E1320" i="5" s="1"/>
  <c r="B1776" i="5"/>
  <c r="C1776" i="5" s="1"/>
  <c r="D1776" i="5"/>
  <c r="E1776" i="5" s="1"/>
  <c r="B2112" i="5"/>
  <c r="C2112" i="5" s="1"/>
  <c r="D2112" i="5"/>
  <c r="E2112" i="5" s="1"/>
  <c r="B2592" i="5"/>
  <c r="C2592" i="5" s="1"/>
  <c r="D2592" i="5"/>
  <c r="E2592" i="5" s="1"/>
  <c r="B2664" i="5"/>
  <c r="C2664" i="5" s="1"/>
  <c r="D2664" i="5"/>
  <c r="E2664" i="5" s="1"/>
  <c r="B2760" i="5"/>
  <c r="C2760" i="5" s="1"/>
  <c r="D2760" i="5"/>
  <c r="E2760" i="5" s="1"/>
  <c r="B2904" i="5"/>
  <c r="C2904" i="5" s="1"/>
  <c r="D2904" i="5"/>
  <c r="E2904" i="5" s="1"/>
  <c r="B2976" i="5"/>
  <c r="C2976" i="5" s="1"/>
  <c r="D2976" i="5"/>
  <c r="E2976" i="5" s="1"/>
  <c r="B3000" i="5"/>
  <c r="C3000" i="5" s="1"/>
  <c r="D3000" i="5"/>
  <c r="E3000" i="5" s="1"/>
  <c r="B3024" i="5"/>
  <c r="C3024" i="5" s="1"/>
  <c r="D3024" i="5"/>
  <c r="E3024" i="5" s="1"/>
  <c r="B3048" i="5"/>
  <c r="C3048" i="5" s="1"/>
  <c r="D3048" i="5"/>
  <c r="E3048" i="5" s="1"/>
  <c r="B3072" i="5"/>
  <c r="C3072" i="5" s="1"/>
  <c r="D3072" i="5"/>
  <c r="E3072" i="5" s="1"/>
  <c r="B3096" i="5"/>
  <c r="C3096" i="5" s="1"/>
  <c r="D3096" i="5"/>
  <c r="E3096" i="5" s="1"/>
  <c r="B3144" i="5"/>
  <c r="C3144" i="5" s="1"/>
  <c r="D3144" i="5"/>
  <c r="E3144" i="5" s="1"/>
  <c r="B3168" i="5"/>
  <c r="C3168" i="5" s="1"/>
  <c r="D3168" i="5"/>
  <c r="E3168" i="5" s="1"/>
  <c r="B3192" i="5"/>
  <c r="C3192" i="5" s="1"/>
  <c r="D3192" i="5"/>
  <c r="E3192" i="5" s="1"/>
  <c r="B3216" i="5"/>
  <c r="C3216" i="5" s="1"/>
  <c r="D3216" i="5"/>
  <c r="E3216" i="5" s="1"/>
  <c r="B3240" i="5"/>
  <c r="C3240" i="5" s="1"/>
  <c r="D3240" i="5"/>
  <c r="E3240" i="5" s="1"/>
  <c r="B3288" i="5"/>
  <c r="C3288" i="5" s="1"/>
  <c r="D3288" i="5"/>
  <c r="E3288" i="5" s="1"/>
  <c r="B3384" i="5"/>
  <c r="C3384" i="5" s="1"/>
  <c r="D3384" i="5"/>
  <c r="E3384" i="5" s="1"/>
  <c r="D3504" i="5"/>
  <c r="E3504" i="5" s="1"/>
  <c r="B3504" i="5"/>
  <c r="C3504" i="5" s="1"/>
  <c r="B3528" i="5"/>
  <c r="C3528" i="5" s="1"/>
  <c r="D3528" i="5"/>
  <c r="E3528" i="5" s="1"/>
  <c r="B3552" i="5"/>
  <c r="C3552" i="5" s="1"/>
  <c r="D3552" i="5"/>
  <c r="E3552" i="5" s="1"/>
  <c r="B3576" i="5"/>
  <c r="C3576" i="5" s="1"/>
  <c r="D3576" i="5"/>
  <c r="E3576" i="5" s="1"/>
  <c r="B3600" i="5"/>
  <c r="C3600" i="5" s="1"/>
  <c r="D3600" i="5"/>
  <c r="E3600" i="5" s="1"/>
  <c r="B3624" i="5"/>
  <c r="C3624" i="5" s="1"/>
  <c r="D3624" i="5"/>
  <c r="E3624" i="5" s="1"/>
  <c r="B3648" i="5"/>
  <c r="C3648" i="5" s="1"/>
  <c r="D3648" i="5"/>
  <c r="E3648" i="5" s="1"/>
  <c r="B89" i="5"/>
  <c r="C89" i="5" s="1"/>
  <c r="D89" i="5"/>
  <c r="E89" i="5" s="1"/>
  <c r="B334" i="5"/>
  <c r="C334" i="5" s="1"/>
  <c r="D334" i="5"/>
  <c r="E334" i="5" s="1"/>
  <c r="B71" i="5"/>
  <c r="C71" i="5" s="1"/>
  <c r="D71" i="5"/>
  <c r="E71" i="5" s="1"/>
  <c r="B143" i="5"/>
  <c r="C143" i="5" s="1"/>
  <c r="D143" i="5"/>
  <c r="E143" i="5" s="1"/>
  <c r="B215" i="5"/>
  <c r="C215" i="5" s="1"/>
  <c r="D215" i="5"/>
  <c r="E215" i="5" s="1"/>
  <c r="B479" i="5"/>
  <c r="C479" i="5" s="1"/>
  <c r="D479" i="5"/>
  <c r="E479" i="5" s="1"/>
  <c r="B1585" i="5"/>
  <c r="C1585" i="5" s="1"/>
  <c r="D1585" i="5"/>
  <c r="E1585" i="5" s="1"/>
  <c r="B137" i="5"/>
  <c r="C137" i="5" s="1"/>
  <c r="D137" i="5"/>
  <c r="E137" i="5" s="1"/>
  <c r="B260" i="5"/>
  <c r="C260" i="5" s="1"/>
  <c r="D260" i="5"/>
  <c r="E260" i="5" s="1"/>
  <c r="B141" i="5"/>
  <c r="C141" i="5" s="1"/>
  <c r="D141" i="5"/>
  <c r="E141" i="5" s="1"/>
  <c r="B237" i="5"/>
  <c r="C237" i="5" s="1"/>
  <c r="D237" i="5"/>
  <c r="E237" i="5" s="1"/>
  <c r="B166" i="5"/>
  <c r="C166" i="5" s="1"/>
  <c r="D166" i="5"/>
  <c r="E166" i="5" s="1"/>
  <c r="B191" i="5"/>
  <c r="C191" i="5" s="1"/>
  <c r="D191" i="5"/>
  <c r="E191" i="5" s="1"/>
  <c r="B455" i="5"/>
  <c r="C455" i="5" s="1"/>
  <c r="D455" i="5"/>
  <c r="E455" i="5" s="1"/>
  <c r="B743" i="5"/>
  <c r="C743" i="5" s="1"/>
  <c r="D743" i="5"/>
  <c r="E743" i="5" s="1"/>
  <c r="B983" i="5"/>
  <c r="C983" i="5" s="1"/>
  <c r="D983" i="5"/>
  <c r="E983" i="5" s="1"/>
  <c r="B1199" i="5"/>
  <c r="C1199" i="5" s="1"/>
  <c r="D1199" i="5"/>
  <c r="E1199" i="5" s="1"/>
  <c r="B1559" i="5"/>
  <c r="C1559" i="5" s="1"/>
  <c r="D1559" i="5"/>
  <c r="E1559" i="5" s="1"/>
  <c r="B1991" i="5"/>
  <c r="C1991" i="5" s="1"/>
  <c r="D1991" i="5"/>
  <c r="E1991" i="5" s="1"/>
  <c r="B1489" i="5"/>
  <c r="C1489" i="5" s="1"/>
  <c r="D1489" i="5"/>
  <c r="E1489" i="5" s="1"/>
  <c r="B257" i="5"/>
  <c r="C257" i="5" s="1"/>
  <c r="D257" i="5"/>
  <c r="E257" i="5" s="1"/>
  <c r="B503" i="5"/>
  <c r="C503" i="5" s="1"/>
  <c r="D503" i="5"/>
  <c r="E503" i="5" s="1"/>
  <c r="B1247" i="5"/>
  <c r="C1247" i="5" s="1"/>
  <c r="D1247" i="5"/>
  <c r="E1247" i="5" s="1"/>
  <c r="B1128" i="5"/>
  <c r="C1128" i="5" s="1"/>
  <c r="D1128" i="5"/>
  <c r="E1128" i="5" s="1"/>
  <c r="B2136" i="5"/>
  <c r="C2136" i="5" s="1"/>
  <c r="D2136" i="5"/>
  <c r="E2136" i="5" s="1"/>
  <c r="B3120" i="5"/>
  <c r="C3120" i="5" s="1"/>
  <c r="D3120" i="5"/>
  <c r="E3120" i="5" s="1"/>
  <c r="B1921" i="5"/>
  <c r="C1921" i="5" s="1"/>
  <c r="D1921" i="5"/>
  <c r="E1921" i="5" s="1"/>
  <c r="B377" i="5"/>
  <c r="C377" i="5" s="1"/>
  <c r="D377" i="5"/>
  <c r="E377" i="5" s="1"/>
  <c r="B91" i="5"/>
  <c r="C91" i="5" s="1"/>
  <c r="D91" i="5"/>
  <c r="E91" i="5" s="1"/>
  <c r="B44" i="5"/>
  <c r="C44" i="5" s="1"/>
  <c r="D44" i="5"/>
  <c r="E44" i="5" s="1"/>
  <c r="B380" i="5"/>
  <c r="C380" i="5" s="1"/>
  <c r="D380" i="5"/>
  <c r="E380" i="5" s="1"/>
  <c r="B214" i="5"/>
  <c r="C214" i="5" s="1"/>
  <c r="D214" i="5"/>
  <c r="E214" i="5" s="1"/>
  <c r="B239" i="5"/>
  <c r="C239" i="5" s="1"/>
  <c r="D239" i="5"/>
  <c r="E239" i="5" s="1"/>
  <c r="B551" i="5"/>
  <c r="C551" i="5" s="1"/>
  <c r="D551" i="5"/>
  <c r="E551" i="5" s="1"/>
  <c r="B767" i="5"/>
  <c r="C767" i="5" s="1"/>
  <c r="D767" i="5"/>
  <c r="E767" i="5" s="1"/>
  <c r="B1007" i="5"/>
  <c r="C1007" i="5" s="1"/>
  <c r="D1007" i="5"/>
  <c r="E1007" i="5" s="1"/>
  <c r="B1631" i="5"/>
  <c r="C1631" i="5" s="1"/>
  <c r="D1631" i="5"/>
  <c r="E1631" i="5" s="1"/>
  <c r="B1272" i="5"/>
  <c r="C1272" i="5" s="1"/>
  <c r="D1272" i="5"/>
  <c r="E1272" i="5" s="1"/>
  <c r="B2160" i="5"/>
  <c r="C2160" i="5" s="1"/>
  <c r="D2160" i="5"/>
  <c r="E2160" i="5" s="1"/>
  <c r="B2736" i="5"/>
  <c r="C2736" i="5" s="1"/>
  <c r="D2736" i="5"/>
  <c r="E2736" i="5" s="1"/>
  <c r="B3264" i="5"/>
  <c r="C3264" i="5" s="1"/>
  <c r="D3264" i="5"/>
  <c r="E3264" i="5" s="1"/>
  <c r="B361" i="5"/>
  <c r="C361" i="5" s="1"/>
  <c r="D361" i="5"/>
  <c r="E361" i="5" s="1"/>
  <c r="B2065" i="5"/>
  <c r="C2065" i="5" s="1"/>
  <c r="D2065" i="5"/>
  <c r="E2065" i="5" s="1"/>
  <c r="B425" i="5"/>
  <c r="C425" i="5" s="1"/>
  <c r="D425" i="5"/>
  <c r="E425" i="5" s="1"/>
  <c r="B116" i="5"/>
  <c r="C116" i="5" s="1"/>
  <c r="D116" i="5"/>
  <c r="E116" i="5" s="1"/>
  <c r="B21" i="5"/>
  <c r="C21" i="5" s="1"/>
  <c r="D21" i="5"/>
  <c r="E21" i="5" s="1"/>
  <c r="B357" i="5"/>
  <c r="C357" i="5" s="1"/>
  <c r="D357" i="5"/>
  <c r="E357" i="5" s="1"/>
  <c r="B94" i="5"/>
  <c r="C94" i="5" s="1"/>
  <c r="D94" i="5"/>
  <c r="E94" i="5" s="1"/>
  <c r="B95" i="5"/>
  <c r="C95" i="5" s="1"/>
  <c r="D95" i="5"/>
  <c r="E95" i="5" s="1"/>
  <c r="B383" i="5"/>
  <c r="C383" i="5" s="1"/>
  <c r="D383" i="5"/>
  <c r="E383" i="5" s="1"/>
  <c r="B671" i="5"/>
  <c r="C671" i="5" s="1"/>
  <c r="D671" i="5"/>
  <c r="E671" i="5" s="1"/>
  <c r="B911" i="5"/>
  <c r="C911" i="5" s="1"/>
  <c r="D911" i="5"/>
  <c r="E911" i="5" s="1"/>
  <c r="B1295" i="5"/>
  <c r="C1295" i="5" s="1"/>
  <c r="D1295" i="5"/>
  <c r="E1295" i="5" s="1"/>
  <c r="B1440" i="5"/>
  <c r="C1440" i="5" s="1"/>
  <c r="D1440" i="5"/>
  <c r="E1440" i="5" s="1"/>
  <c r="B2304" i="5"/>
  <c r="C2304" i="5" s="1"/>
  <c r="D2304" i="5"/>
  <c r="E2304" i="5" s="1"/>
  <c r="B2808" i="5"/>
  <c r="C2808" i="5" s="1"/>
  <c r="D2808" i="5"/>
  <c r="E2808" i="5" s="1"/>
  <c r="B3456" i="5"/>
  <c r="C3456" i="5" s="1"/>
  <c r="D3456" i="5"/>
  <c r="E3456" i="5" s="1"/>
  <c r="B73" i="5"/>
  <c r="C73" i="5" s="1"/>
  <c r="D73" i="5"/>
  <c r="E73" i="5" s="1"/>
  <c r="B169" i="5"/>
  <c r="C169" i="5" s="1"/>
  <c r="D169" i="5"/>
  <c r="E169" i="5" s="1"/>
  <c r="B313" i="5"/>
  <c r="C313" i="5" s="1"/>
  <c r="D313" i="5"/>
  <c r="E313" i="5" s="1"/>
  <c r="B481" i="5"/>
  <c r="C481" i="5" s="1"/>
  <c r="D481" i="5"/>
  <c r="E481" i="5" s="1"/>
  <c r="B625" i="5"/>
  <c r="C625" i="5" s="1"/>
  <c r="D625" i="5"/>
  <c r="E625" i="5" s="1"/>
  <c r="B769" i="5"/>
  <c r="C769" i="5" s="1"/>
  <c r="D769" i="5"/>
  <c r="E769" i="5" s="1"/>
  <c r="B889" i="5"/>
  <c r="C889" i="5" s="1"/>
  <c r="D889" i="5"/>
  <c r="E889" i="5" s="1"/>
  <c r="B1033" i="5"/>
  <c r="C1033" i="5" s="1"/>
  <c r="D1033" i="5"/>
  <c r="E1033" i="5" s="1"/>
  <c r="B1249" i="5"/>
  <c r="C1249" i="5" s="1"/>
  <c r="D1249" i="5"/>
  <c r="E1249" i="5" s="1"/>
  <c r="B1441" i="5"/>
  <c r="C1441" i="5" s="1"/>
  <c r="D1441" i="5"/>
  <c r="E1441" i="5" s="1"/>
  <c r="B1753" i="5"/>
  <c r="C1753" i="5" s="1"/>
  <c r="D1753" i="5"/>
  <c r="E1753" i="5" s="1"/>
  <c r="B2233" i="5"/>
  <c r="C2233" i="5" s="1"/>
  <c r="D2233" i="5"/>
  <c r="E2233" i="5" s="1"/>
  <c r="B2761" i="5"/>
  <c r="C2761" i="5" s="1"/>
  <c r="D2761" i="5"/>
  <c r="E2761" i="5" s="1"/>
  <c r="B401" i="5"/>
  <c r="C401" i="5" s="1"/>
  <c r="D401" i="5"/>
  <c r="E401" i="5" s="1"/>
  <c r="B140" i="5"/>
  <c r="C140" i="5" s="1"/>
  <c r="D140" i="5"/>
  <c r="E140" i="5" s="1"/>
  <c r="B165" i="5"/>
  <c r="C165" i="5" s="1"/>
  <c r="D165" i="5"/>
  <c r="E165" i="5" s="1"/>
  <c r="B261" i="5"/>
  <c r="C261" i="5" s="1"/>
  <c r="D261" i="5"/>
  <c r="E261" i="5" s="1"/>
  <c r="B118" i="5"/>
  <c r="C118" i="5" s="1"/>
  <c r="D118" i="5"/>
  <c r="E118" i="5" s="1"/>
  <c r="B47" i="5"/>
  <c r="C47" i="5" s="1"/>
  <c r="D47" i="5"/>
  <c r="E47" i="5" s="1"/>
  <c r="B335" i="5"/>
  <c r="C335" i="5" s="1"/>
  <c r="D335" i="5"/>
  <c r="E335" i="5" s="1"/>
  <c r="B647" i="5"/>
  <c r="C647" i="5" s="1"/>
  <c r="D647" i="5"/>
  <c r="E647" i="5" s="1"/>
  <c r="B887" i="5"/>
  <c r="C887" i="5" s="1"/>
  <c r="D887" i="5"/>
  <c r="E887" i="5" s="1"/>
  <c r="B1103" i="5"/>
  <c r="C1103" i="5" s="1"/>
  <c r="D1103" i="5"/>
  <c r="E1103" i="5" s="1"/>
  <c r="B1487" i="5"/>
  <c r="C1487" i="5" s="1"/>
  <c r="D1487" i="5"/>
  <c r="E1487" i="5" s="1"/>
  <c r="B2087" i="5"/>
  <c r="C2087" i="5" s="1"/>
  <c r="D2087" i="5"/>
  <c r="E2087" i="5" s="1"/>
  <c r="B24" i="5"/>
  <c r="C24" i="5" s="1"/>
  <c r="D24" i="5"/>
  <c r="E24" i="5" s="1"/>
  <c r="B72" i="5"/>
  <c r="C72" i="5" s="1"/>
  <c r="D72" i="5"/>
  <c r="E72" i="5" s="1"/>
  <c r="B144" i="5"/>
  <c r="C144" i="5" s="1"/>
  <c r="D144" i="5"/>
  <c r="E144" i="5" s="1"/>
  <c r="B192" i="5"/>
  <c r="C192" i="5" s="1"/>
  <c r="D192" i="5"/>
  <c r="E192" i="5" s="1"/>
  <c r="B240" i="5"/>
  <c r="C240" i="5" s="1"/>
  <c r="D240" i="5"/>
  <c r="E240" i="5" s="1"/>
  <c r="B288" i="5"/>
  <c r="C288" i="5" s="1"/>
  <c r="D288" i="5"/>
  <c r="E288" i="5" s="1"/>
  <c r="B360" i="5"/>
  <c r="C360" i="5" s="1"/>
  <c r="D360" i="5"/>
  <c r="E360" i="5" s="1"/>
  <c r="B408" i="5"/>
  <c r="C408" i="5" s="1"/>
  <c r="D408" i="5"/>
  <c r="E408" i="5" s="1"/>
  <c r="B456" i="5"/>
  <c r="C456" i="5" s="1"/>
  <c r="D456" i="5"/>
  <c r="E456" i="5" s="1"/>
  <c r="B528" i="5"/>
  <c r="C528" i="5" s="1"/>
  <c r="D528" i="5"/>
  <c r="E528" i="5" s="1"/>
  <c r="B576" i="5"/>
  <c r="C576" i="5" s="1"/>
  <c r="D576" i="5"/>
  <c r="E576" i="5" s="1"/>
  <c r="B624" i="5"/>
  <c r="C624" i="5" s="1"/>
  <c r="D624" i="5"/>
  <c r="E624" i="5" s="1"/>
  <c r="B696" i="5"/>
  <c r="C696" i="5" s="1"/>
  <c r="D696" i="5"/>
  <c r="E696" i="5" s="1"/>
  <c r="B768" i="5"/>
  <c r="C768" i="5" s="1"/>
  <c r="D768" i="5"/>
  <c r="E768" i="5" s="1"/>
  <c r="B840" i="5"/>
  <c r="C840" i="5" s="1"/>
  <c r="D840" i="5"/>
  <c r="E840" i="5" s="1"/>
  <c r="B888" i="5"/>
  <c r="C888" i="5" s="1"/>
  <c r="D888" i="5"/>
  <c r="E888" i="5" s="1"/>
  <c r="B960" i="5"/>
  <c r="C960" i="5" s="1"/>
  <c r="D960" i="5"/>
  <c r="E960" i="5" s="1"/>
  <c r="B1008" i="5"/>
  <c r="C1008" i="5" s="1"/>
  <c r="D1008" i="5"/>
  <c r="E1008" i="5" s="1"/>
  <c r="D1056" i="5"/>
  <c r="E1056" i="5" s="1"/>
  <c r="B1056" i="5"/>
  <c r="C1056" i="5" s="1"/>
  <c r="B1152" i="5"/>
  <c r="C1152" i="5" s="1"/>
  <c r="D1152" i="5"/>
  <c r="E1152" i="5" s="1"/>
  <c r="B1224" i="5"/>
  <c r="C1224" i="5" s="1"/>
  <c r="D1224" i="5"/>
  <c r="E1224" i="5" s="1"/>
  <c r="D1296" i="5"/>
  <c r="E1296" i="5" s="1"/>
  <c r="B1296" i="5"/>
  <c r="C1296" i="5" s="1"/>
  <c r="B1464" i="5"/>
  <c r="C1464" i="5" s="1"/>
  <c r="D1464" i="5"/>
  <c r="E1464" i="5" s="1"/>
  <c r="B1584" i="5"/>
  <c r="C1584" i="5" s="1"/>
  <c r="D1584" i="5"/>
  <c r="E1584" i="5" s="1"/>
  <c r="B1680" i="5"/>
  <c r="C1680" i="5" s="1"/>
  <c r="D1680" i="5"/>
  <c r="E1680" i="5" s="1"/>
  <c r="B1800" i="5"/>
  <c r="C1800" i="5" s="1"/>
  <c r="D1800" i="5"/>
  <c r="E1800" i="5" s="1"/>
  <c r="B1896" i="5"/>
  <c r="C1896" i="5" s="1"/>
  <c r="D1896" i="5"/>
  <c r="E1896" i="5" s="1"/>
  <c r="B1992" i="5"/>
  <c r="C1992" i="5" s="1"/>
  <c r="D1992" i="5"/>
  <c r="E1992" i="5" s="1"/>
  <c r="B2088" i="5"/>
  <c r="C2088" i="5" s="1"/>
  <c r="D2088" i="5"/>
  <c r="E2088" i="5" s="1"/>
  <c r="D2280" i="5"/>
  <c r="E2280" i="5" s="1"/>
  <c r="B2280" i="5"/>
  <c r="C2280" i="5" s="1"/>
  <c r="B2544" i="5"/>
  <c r="C2544" i="5" s="1"/>
  <c r="D2544" i="5"/>
  <c r="E2544" i="5" s="1"/>
  <c r="B2832" i="5"/>
  <c r="C2832" i="5" s="1"/>
  <c r="D2832" i="5"/>
  <c r="E2832" i="5" s="1"/>
  <c r="B3432" i="5"/>
  <c r="C3432" i="5" s="1"/>
  <c r="D3432" i="5"/>
  <c r="E3432" i="5" s="1"/>
  <c r="B49" i="5"/>
  <c r="C49" i="5" s="1"/>
  <c r="D49" i="5"/>
  <c r="E49" i="5" s="1"/>
  <c r="B145" i="5"/>
  <c r="C145" i="5" s="1"/>
  <c r="D145" i="5"/>
  <c r="E145" i="5" s="1"/>
  <c r="B289" i="5"/>
  <c r="C289" i="5" s="1"/>
  <c r="D289" i="5"/>
  <c r="E289" i="5" s="1"/>
  <c r="B433" i="5"/>
  <c r="C433" i="5" s="1"/>
  <c r="D433" i="5"/>
  <c r="E433" i="5" s="1"/>
  <c r="B505" i="5"/>
  <c r="C505" i="5" s="1"/>
  <c r="D505" i="5"/>
  <c r="E505" i="5" s="1"/>
  <c r="B577" i="5"/>
  <c r="C577" i="5" s="1"/>
  <c r="D577" i="5"/>
  <c r="E577" i="5" s="1"/>
  <c r="D697" i="5"/>
  <c r="E697" i="5" s="1"/>
  <c r="B697" i="5"/>
  <c r="C697" i="5" s="1"/>
  <c r="B745" i="5"/>
  <c r="C745" i="5" s="1"/>
  <c r="D745" i="5"/>
  <c r="E745" i="5" s="1"/>
  <c r="B841" i="5"/>
  <c r="C841" i="5" s="1"/>
  <c r="D841" i="5"/>
  <c r="E841" i="5" s="1"/>
  <c r="B913" i="5"/>
  <c r="C913" i="5" s="1"/>
  <c r="D913" i="5"/>
  <c r="E913" i="5" s="1"/>
  <c r="B1009" i="5"/>
  <c r="C1009" i="5" s="1"/>
  <c r="D1009" i="5"/>
  <c r="E1009" i="5" s="1"/>
  <c r="B1129" i="5"/>
  <c r="C1129" i="5" s="1"/>
  <c r="D1129" i="5"/>
  <c r="E1129" i="5" s="1"/>
  <c r="B1225" i="5"/>
  <c r="C1225" i="5" s="1"/>
  <c r="D1225" i="5"/>
  <c r="E1225" i="5" s="1"/>
  <c r="B1321" i="5"/>
  <c r="C1321" i="5" s="1"/>
  <c r="D1321" i="5"/>
  <c r="E1321" i="5" s="1"/>
  <c r="B1417" i="5"/>
  <c r="C1417" i="5" s="1"/>
  <c r="D1417" i="5"/>
  <c r="E1417" i="5" s="1"/>
  <c r="B1513" i="5"/>
  <c r="C1513" i="5" s="1"/>
  <c r="D1513" i="5"/>
  <c r="E1513" i="5" s="1"/>
  <c r="D1609" i="5"/>
  <c r="E1609" i="5" s="1"/>
  <c r="B1609" i="5"/>
  <c r="C1609" i="5" s="1"/>
  <c r="B1729" i="5"/>
  <c r="C1729" i="5" s="1"/>
  <c r="D1729" i="5"/>
  <c r="E1729" i="5" s="1"/>
  <c r="D1849" i="5"/>
  <c r="E1849" i="5" s="1"/>
  <c r="B1849" i="5"/>
  <c r="C1849" i="5" s="1"/>
  <c r="B2017" i="5"/>
  <c r="C2017" i="5" s="1"/>
  <c r="D2017" i="5"/>
  <c r="E2017" i="5" s="1"/>
  <c r="B2161" i="5"/>
  <c r="C2161" i="5" s="1"/>
  <c r="D2161" i="5"/>
  <c r="E2161" i="5" s="1"/>
  <c r="D2329" i="5"/>
  <c r="E2329" i="5" s="1"/>
  <c r="B2329" i="5"/>
  <c r="C2329" i="5" s="1"/>
  <c r="B2473" i="5"/>
  <c r="C2473" i="5" s="1"/>
  <c r="D2473" i="5"/>
  <c r="E2473" i="5" s="1"/>
  <c r="B2689" i="5"/>
  <c r="C2689" i="5" s="1"/>
  <c r="D2689" i="5"/>
  <c r="E2689" i="5" s="1"/>
  <c r="B3001" i="5"/>
  <c r="C3001" i="5" s="1"/>
  <c r="D3001" i="5"/>
  <c r="E3001" i="5" s="1"/>
  <c r="B281" i="5"/>
  <c r="C281" i="5" s="1"/>
  <c r="D281" i="5"/>
  <c r="E281" i="5" s="1"/>
  <c r="B429" i="5"/>
  <c r="C429" i="5" s="1"/>
  <c r="D429" i="5"/>
  <c r="E429" i="5" s="1"/>
  <c r="B22" i="5"/>
  <c r="C22" i="5" s="1"/>
  <c r="D22" i="5"/>
  <c r="E22" i="5" s="1"/>
  <c r="B119" i="5"/>
  <c r="C119" i="5" s="1"/>
  <c r="D119" i="5"/>
  <c r="E119" i="5" s="1"/>
  <c r="B407" i="5"/>
  <c r="C407" i="5" s="1"/>
  <c r="D407" i="5"/>
  <c r="E407" i="5" s="1"/>
  <c r="B695" i="5"/>
  <c r="C695" i="5" s="1"/>
  <c r="D695" i="5"/>
  <c r="E695" i="5" s="1"/>
  <c r="B935" i="5"/>
  <c r="C935" i="5" s="1"/>
  <c r="D935" i="5"/>
  <c r="E935" i="5" s="1"/>
  <c r="B1127" i="5"/>
  <c r="C1127" i="5" s="1"/>
  <c r="D1127" i="5"/>
  <c r="E1127" i="5" s="1"/>
  <c r="B1511" i="5"/>
  <c r="C1511" i="5" s="1"/>
  <c r="D1511" i="5"/>
  <c r="E1511" i="5" s="1"/>
  <c r="B2039" i="5"/>
  <c r="C2039" i="5" s="1"/>
  <c r="D2039" i="5"/>
  <c r="E2039" i="5" s="1"/>
  <c r="B120" i="5"/>
  <c r="C120" i="5" s="1"/>
  <c r="D120" i="5"/>
  <c r="E120" i="5" s="1"/>
  <c r="B504" i="5"/>
  <c r="C504" i="5" s="1"/>
  <c r="D504" i="5"/>
  <c r="E504" i="5" s="1"/>
  <c r="B816" i="5"/>
  <c r="C816" i="5" s="1"/>
  <c r="D816" i="5"/>
  <c r="E816" i="5" s="1"/>
  <c r="D1080" i="5"/>
  <c r="E1080" i="5" s="1"/>
  <c r="B1080" i="5"/>
  <c r="C1080" i="5" s="1"/>
  <c r="B1392" i="5"/>
  <c r="C1392" i="5" s="1"/>
  <c r="D1392" i="5"/>
  <c r="E1392" i="5" s="1"/>
  <c r="B1536" i="5"/>
  <c r="C1536" i="5" s="1"/>
  <c r="D1536" i="5"/>
  <c r="E1536" i="5" s="1"/>
  <c r="B1632" i="5"/>
  <c r="C1632" i="5" s="1"/>
  <c r="D1632" i="5"/>
  <c r="E1632" i="5" s="1"/>
  <c r="B1728" i="5"/>
  <c r="C1728" i="5" s="1"/>
  <c r="D1728" i="5"/>
  <c r="E1728" i="5" s="1"/>
  <c r="D1848" i="5"/>
  <c r="E1848" i="5" s="1"/>
  <c r="B1848" i="5"/>
  <c r="C1848" i="5" s="1"/>
  <c r="B1944" i="5"/>
  <c r="C1944" i="5" s="1"/>
  <c r="D1944" i="5"/>
  <c r="E1944" i="5" s="1"/>
  <c r="B2040" i="5"/>
  <c r="C2040" i="5" s="1"/>
  <c r="D2040" i="5"/>
  <c r="E2040" i="5" s="1"/>
  <c r="B2208" i="5"/>
  <c r="C2208" i="5" s="1"/>
  <c r="D2208" i="5"/>
  <c r="E2208" i="5" s="1"/>
  <c r="B2352" i="5"/>
  <c r="C2352" i="5" s="1"/>
  <c r="D2352" i="5"/>
  <c r="E2352" i="5" s="1"/>
  <c r="B2400" i="5"/>
  <c r="C2400" i="5" s="1"/>
  <c r="D2400" i="5"/>
  <c r="E2400" i="5" s="1"/>
  <c r="B2472" i="5"/>
  <c r="C2472" i="5" s="1"/>
  <c r="D2472" i="5"/>
  <c r="E2472" i="5" s="1"/>
  <c r="B2496" i="5"/>
  <c r="C2496" i="5" s="1"/>
  <c r="D2496" i="5"/>
  <c r="E2496" i="5" s="1"/>
  <c r="B2568" i="5"/>
  <c r="C2568" i="5" s="1"/>
  <c r="D2568" i="5"/>
  <c r="E2568" i="5" s="1"/>
  <c r="B2688" i="5"/>
  <c r="C2688" i="5" s="1"/>
  <c r="D2688" i="5"/>
  <c r="E2688" i="5" s="1"/>
  <c r="B2928" i="5"/>
  <c r="C2928" i="5" s="1"/>
  <c r="D2928" i="5"/>
  <c r="E2928" i="5" s="1"/>
  <c r="D3336" i="5"/>
  <c r="E3336" i="5" s="1"/>
  <c r="B3336" i="5"/>
  <c r="C3336" i="5" s="1"/>
  <c r="B1105" i="5"/>
  <c r="C1105" i="5" s="1"/>
  <c r="D1105" i="5"/>
  <c r="E1105" i="5" s="1"/>
  <c r="B2905" i="5"/>
  <c r="C2905" i="5" s="1"/>
  <c r="D2905" i="5"/>
  <c r="E2905" i="5" s="1"/>
  <c r="B209" i="5"/>
  <c r="C209" i="5" s="1"/>
  <c r="D209" i="5"/>
  <c r="E209" i="5" s="1"/>
  <c r="B212" i="5"/>
  <c r="C212" i="5" s="1"/>
  <c r="D212" i="5"/>
  <c r="E212" i="5" s="1"/>
  <c r="B93" i="5"/>
  <c r="C93" i="5" s="1"/>
  <c r="D93" i="5"/>
  <c r="E93" i="5" s="1"/>
  <c r="B309" i="5"/>
  <c r="C309" i="5" s="1"/>
  <c r="D309" i="5"/>
  <c r="E309" i="5" s="1"/>
  <c r="B70" i="5"/>
  <c r="C70" i="5" s="1"/>
  <c r="D70" i="5"/>
  <c r="E70" i="5" s="1"/>
  <c r="B263" i="5"/>
  <c r="C263" i="5" s="1"/>
  <c r="D263" i="5"/>
  <c r="E263" i="5" s="1"/>
  <c r="B575" i="5"/>
  <c r="C575" i="5" s="1"/>
  <c r="D575" i="5"/>
  <c r="E575" i="5" s="1"/>
  <c r="B791" i="5"/>
  <c r="C791" i="5" s="1"/>
  <c r="D791" i="5"/>
  <c r="E791" i="5" s="1"/>
  <c r="B1319" i="5"/>
  <c r="C1319" i="5" s="1"/>
  <c r="D1319" i="5"/>
  <c r="E1319" i="5" s="1"/>
  <c r="B1344" i="5"/>
  <c r="C1344" i="5" s="1"/>
  <c r="D1344" i="5"/>
  <c r="E1344" i="5" s="1"/>
  <c r="B2232" i="5"/>
  <c r="C2232" i="5" s="1"/>
  <c r="D2232" i="5"/>
  <c r="E2232" i="5" s="1"/>
  <c r="B2784" i="5"/>
  <c r="C2784" i="5" s="1"/>
  <c r="D2784" i="5"/>
  <c r="E2784" i="5" s="1"/>
  <c r="B3480" i="5"/>
  <c r="C3480" i="5" s="1"/>
  <c r="D3480" i="5"/>
  <c r="E3480" i="5" s="1"/>
  <c r="B121" i="5"/>
  <c r="C121" i="5" s="1"/>
  <c r="D121" i="5"/>
  <c r="E121" i="5" s="1"/>
  <c r="B265" i="5"/>
  <c r="C265" i="5" s="1"/>
  <c r="D265" i="5"/>
  <c r="E265" i="5" s="1"/>
  <c r="B409" i="5"/>
  <c r="C409" i="5" s="1"/>
  <c r="D409" i="5"/>
  <c r="E409" i="5" s="1"/>
  <c r="B529" i="5"/>
  <c r="C529" i="5" s="1"/>
  <c r="D529" i="5"/>
  <c r="E529" i="5" s="1"/>
  <c r="B673" i="5"/>
  <c r="C673" i="5" s="1"/>
  <c r="D673" i="5"/>
  <c r="E673" i="5" s="1"/>
  <c r="B817" i="5"/>
  <c r="C817" i="5" s="1"/>
  <c r="D817" i="5"/>
  <c r="E817" i="5" s="1"/>
  <c r="B937" i="5"/>
  <c r="C937" i="5" s="1"/>
  <c r="D937" i="5"/>
  <c r="E937" i="5" s="1"/>
  <c r="B1153" i="5"/>
  <c r="C1153" i="5" s="1"/>
  <c r="D1153" i="5"/>
  <c r="E1153" i="5" s="1"/>
  <c r="B1345" i="5"/>
  <c r="C1345" i="5" s="1"/>
  <c r="D1345" i="5"/>
  <c r="E1345" i="5" s="1"/>
  <c r="B1633" i="5"/>
  <c r="C1633" i="5" s="1"/>
  <c r="D1633" i="5"/>
  <c r="E1633" i="5" s="1"/>
  <c r="D1873" i="5"/>
  <c r="E1873" i="5" s="1"/>
  <c r="B1873" i="5"/>
  <c r="C1873" i="5" s="1"/>
  <c r="B2113" i="5"/>
  <c r="C2113" i="5" s="1"/>
  <c r="D2113" i="5"/>
  <c r="E2113" i="5" s="1"/>
  <c r="B2353" i="5"/>
  <c r="C2353" i="5" s="1"/>
  <c r="D2353" i="5"/>
  <c r="E2353" i="5" s="1"/>
  <c r="B2521" i="5"/>
  <c r="C2521" i="5" s="1"/>
  <c r="D2521" i="5"/>
  <c r="E2521" i="5" s="1"/>
  <c r="B2617" i="5"/>
  <c r="C2617" i="5" s="1"/>
  <c r="D2617" i="5"/>
  <c r="E2617" i="5" s="1"/>
  <c r="B2713" i="5"/>
  <c r="C2713" i="5" s="1"/>
  <c r="D2713" i="5"/>
  <c r="E2713" i="5" s="1"/>
  <c r="B2809" i="5"/>
  <c r="C2809" i="5" s="1"/>
  <c r="D2809" i="5"/>
  <c r="E2809" i="5" s="1"/>
  <c r="B2881" i="5"/>
  <c r="C2881" i="5" s="1"/>
  <c r="D2881" i="5"/>
  <c r="E2881" i="5" s="1"/>
  <c r="B2953" i="5"/>
  <c r="C2953" i="5" s="1"/>
  <c r="D2953" i="5"/>
  <c r="E2953" i="5" s="1"/>
  <c r="B3049" i="5"/>
  <c r="C3049" i="5" s="1"/>
  <c r="D3049" i="5"/>
  <c r="E3049" i="5" s="1"/>
  <c r="B3121" i="5"/>
  <c r="C3121" i="5" s="1"/>
  <c r="D3121" i="5"/>
  <c r="E3121" i="5" s="1"/>
  <c r="B3169" i="5"/>
  <c r="C3169" i="5" s="1"/>
  <c r="D3169" i="5"/>
  <c r="E3169" i="5" s="1"/>
  <c r="B185" i="5"/>
  <c r="C185" i="5" s="1"/>
  <c r="D185" i="5"/>
  <c r="E185" i="5" s="1"/>
  <c r="B188" i="5"/>
  <c r="C188" i="5" s="1"/>
  <c r="D188" i="5"/>
  <c r="E188" i="5" s="1"/>
  <c r="B117" i="5"/>
  <c r="C117" i="5" s="1"/>
  <c r="D117" i="5"/>
  <c r="E117" i="5" s="1"/>
  <c r="B285" i="5"/>
  <c r="C285" i="5" s="1"/>
  <c r="D285" i="5"/>
  <c r="E285" i="5" s="1"/>
  <c r="B142" i="5"/>
  <c r="C142" i="5" s="1"/>
  <c r="D142" i="5"/>
  <c r="E142" i="5" s="1"/>
  <c r="B287" i="5"/>
  <c r="C287" i="5" s="1"/>
  <c r="D287" i="5"/>
  <c r="E287" i="5" s="1"/>
  <c r="B623" i="5"/>
  <c r="C623" i="5" s="1"/>
  <c r="D623" i="5"/>
  <c r="E623" i="5" s="1"/>
  <c r="B863" i="5"/>
  <c r="C863" i="5" s="1"/>
  <c r="D863" i="5"/>
  <c r="E863" i="5" s="1"/>
  <c r="B1079" i="5"/>
  <c r="C1079" i="5" s="1"/>
  <c r="D1079" i="5"/>
  <c r="E1079" i="5" s="1"/>
  <c r="B1463" i="5"/>
  <c r="C1463" i="5" s="1"/>
  <c r="D1463" i="5"/>
  <c r="E1463" i="5" s="1"/>
  <c r="B2111" i="5"/>
  <c r="C2111" i="5" s="1"/>
  <c r="D2111" i="5"/>
  <c r="E2111" i="5" s="1"/>
  <c r="B48" i="5"/>
  <c r="C48" i="5" s="1"/>
  <c r="D48" i="5"/>
  <c r="E48" i="5" s="1"/>
  <c r="B96" i="5"/>
  <c r="C96" i="5" s="1"/>
  <c r="D96" i="5"/>
  <c r="E96" i="5" s="1"/>
  <c r="B168" i="5"/>
  <c r="C168" i="5" s="1"/>
  <c r="D168" i="5"/>
  <c r="E168" i="5" s="1"/>
  <c r="B216" i="5"/>
  <c r="C216" i="5" s="1"/>
  <c r="D216" i="5"/>
  <c r="E216" i="5" s="1"/>
  <c r="B264" i="5"/>
  <c r="C264" i="5" s="1"/>
  <c r="D264" i="5"/>
  <c r="E264" i="5" s="1"/>
  <c r="B336" i="5"/>
  <c r="C336" i="5" s="1"/>
  <c r="D336" i="5"/>
  <c r="E336" i="5" s="1"/>
  <c r="B384" i="5"/>
  <c r="C384" i="5" s="1"/>
  <c r="D384" i="5"/>
  <c r="E384" i="5" s="1"/>
  <c r="B432" i="5"/>
  <c r="C432" i="5" s="1"/>
  <c r="D432" i="5"/>
  <c r="E432" i="5" s="1"/>
  <c r="B480" i="5"/>
  <c r="C480" i="5" s="1"/>
  <c r="D480" i="5"/>
  <c r="E480" i="5" s="1"/>
  <c r="B552" i="5"/>
  <c r="C552" i="5" s="1"/>
  <c r="D552" i="5"/>
  <c r="E552" i="5" s="1"/>
  <c r="B600" i="5"/>
  <c r="C600" i="5" s="1"/>
  <c r="D600" i="5"/>
  <c r="E600" i="5" s="1"/>
  <c r="B672" i="5"/>
  <c r="C672" i="5" s="1"/>
  <c r="D672" i="5"/>
  <c r="E672" i="5" s="1"/>
  <c r="B720" i="5"/>
  <c r="C720" i="5" s="1"/>
  <c r="D720" i="5"/>
  <c r="E720" i="5" s="1"/>
  <c r="B744" i="5"/>
  <c r="C744" i="5" s="1"/>
  <c r="D744" i="5"/>
  <c r="E744" i="5" s="1"/>
  <c r="B792" i="5"/>
  <c r="C792" i="5" s="1"/>
  <c r="D792" i="5"/>
  <c r="E792" i="5" s="1"/>
  <c r="D864" i="5"/>
  <c r="E864" i="5" s="1"/>
  <c r="B864" i="5"/>
  <c r="C864" i="5" s="1"/>
  <c r="B912" i="5"/>
  <c r="C912" i="5" s="1"/>
  <c r="D912" i="5"/>
  <c r="E912" i="5" s="1"/>
  <c r="B984" i="5"/>
  <c r="C984" i="5" s="1"/>
  <c r="D984" i="5"/>
  <c r="E984" i="5" s="1"/>
  <c r="B1032" i="5"/>
  <c r="C1032" i="5" s="1"/>
  <c r="D1032" i="5"/>
  <c r="E1032" i="5" s="1"/>
  <c r="B1104" i="5"/>
  <c r="C1104" i="5" s="1"/>
  <c r="D1104" i="5"/>
  <c r="E1104" i="5" s="1"/>
  <c r="B1200" i="5"/>
  <c r="C1200" i="5" s="1"/>
  <c r="D1200" i="5"/>
  <c r="E1200" i="5" s="1"/>
  <c r="D1248" i="5"/>
  <c r="E1248" i="5" s="1"/>
  <c r="B1248" i="5"/>
  <c r="C1248" i="5" s="1"/>
  <c r="B1368" i="5"/>
  <c r="C1368" i="5" s="1"/>
  <c r="D1368" i="5"/>
  <c r="E1368" i="5" s="1"/>
  <c r="B1512" i="5"/>
  <c r="C1512" i="5" s="1"/>
  <c r="D1512" i="5"/>
  <c r="E1512" i="5" s="1"/>
  <c r="B1608" i="5"/>
  <c r="C1608" i="5" s="1"/>
  <c r="D1608" i="5"/>
  <c r="E1608" i="5" s="1"/>
  <c r="B1704" i="5"/>
  <c r="C1704" i="5" s="1"/>
  <c r="D1704" i="5"/>
  <c r="E1704" i="5" s="1"/>
  <c r="B1824" i="5"/>
  <c r="C1824" i="5" s="1"/>
  <c r="D1824" i="5"/>
  <c r="E1824" i="5" s="1"/>
  <c r="B1920" i="5"/>
  <c r="C1920" i="5" s="1"/>
  <c r="D1920" i="5"/>
  <c r="E1920" i="5" s="1"/>
  <c r="B2016" i="5"/>
  <c r="C2016" i="5" s="1"/>
  <c r="D2016" i="5"/>
  <c r="E2016" i="5" s="1"/>
  <c r="B2184" i="5"/>
  <c r="C2184" i="5" s="1"/>
  <c r="D2184" i="5"/>
  <c r="E2184" i="5" s="1"/>
  <c r="B2424" i="5"/>
  <c r="C2424" i="5" s="1"/>
  <c r="D2424" i="5"/>
  <c r="E2424" i="5" s="1"/>
  <c r="B2616" i="5"/>
  <c r="C2616" i="5" s="1"/>
  <c r="D2616" i="5"/>
  <c r="E2616" i="5" s="1"/>
  <c r="B2856" i="5"/>
  <c r="C2856" i="5" s="1"/>
  <c r="D2856" i="5"/>
  <c r="E2856" i="5" s="1"/>
  <c r="B3408" i="5"/>
  <c r="C3408" i="5" s="1"/>
  <c r="D3408" i="5"/>
  <c r="E3408" i="5" s="1"/>
  <c r="B97" i="5"/>
  <c r="C97" i="5" s="1"/>
  <c r="D97" i="5"/>
  <c r="E97" i="5" s="1"/>
  <c r="B217" i="5"/>
  <c r="C217" i="5" s="1"/>
  <c r="D217" i="5"/>
  <c r="E217" i="5" s="1"/>
  <c r="B337" i="5"/>
  <c r="C337" i="5" s="1"/>
  <c r="D337" i="5"/>
  <c r="E337" i="5" s="1"/>
  <c r="B457" i="5"/>
  <c r="C457" i="5" s="1"/>
  <c r="D457" i="5"/>
  <c r="E457" i="5" s="1"/>
  <c r="B553" i="5"/>
  <c r="C553" i="5" s="1"/>
  <c r="D553" i="5"/>
  <c r="E553" i="5" s="1"/>
  <c r="B649" i="5"/>
  <c r="C649" i="5" s="1"/>
  <c r="D649" i="5"/>
  <c r="E649" i="5" s="1"/>
  <c r="D721" i="5"/>
  <c r="E721" i="5" s="1"/>
  <c r="B721" i="5"/>
  <c r="C721" i="5" s="1"/>
  <c r="B865" i="5"/>
  <c r="C865" i="5" s="1"/>
  <c r="D865" i="5"/>
  <c r="E865" i="5" s="1"/>
  <c r="B961" i="5"/>
  <c r="C961" i="5" s="1"/>
  <c r="D961" i="5"/>
  <c r="E961" i="5" s="1"/>
  <c r="B1081" i="5"/>
  <c r="C1081" i="5" s="1"/>
  <c r="D1081" i="5"/>
  <c r="E1081" i="5" s="1"/>
  <c r="B1201" i="5"/>
  <c r="C1201" i="5" s="1"/>
  <c r="D1201" i="5"/>
  <c r="E1201" i="5" s="1"/>
  <c r="B1297" i="5"/>
  <c r="C1297" i="5" s="1"/>
  <c r="D1297" i="5"/>
  <c r="E1297" i="5" s="1"/>
  <c r="B1369" i="5"/>
  <c r="C1369" i="5" s="1"/>
  <c r="D1369" i="5"/>
  <c r="E1369" i="5" s="1"/>
  <c r="B1465" i="5"/>
  <c r="C1465" i="5" s="1"/>
  <c r="D1465" i="5"/>
  <c r="E1465" i="5" s="1"/>
  <c r="B1561" i="5"/>
  <c r="C1561" i="5" s="1"/>
  <c r="D1561" i="5"/>
  <c r="E1561" i="5" s="1"/>
  <c r="B1681" i="5"/>
  <c r="C1681" i="5" s="1"/>
  <c r="D1681" i="5"/>
  <c r="E1681" i="5" s="1"/>
  <c r="B1801" i="5"/>
  <c r="C1801" i="5" s="1"/>
  <c r="D1801" i="5"/>
  <c r="E1801" i="5" s="1"/>
  <c r="B1969" i="5"/>
  <c r="C1969" i="5" s="1"/>
  <c r="D1969" i="5"/>
  <c r="E1969" i="5" s="1"/>
  <c r="B2137" i="5"/>
  <c r="C2137" i="5" s="1"/>
  <c r="D2137" i="5"/>
  <c r="E2137" i="5" s="1"/>
  <c r="B2281" i="5"/>
  <c r="C2281" i="5" s="1"/>
  <c r="D2281" i="5"/>
  <c r="E2281" i="5" s="1"/>
  <c r="B2401" i="5"/>
  <c r="C2401" i="5" s="1"/>
  <c r="D2401" i="5"/>
  <c r="E2401" i="5" s="1"/>
  <c r="B2497" i="5"/>
  <c r="C2497" i="5" s="1"/>
  <c r="D2497" i="5"/>
  <c r="E2497" i="5" s="1"/>
  <c r="B2593" i="5"/>
  <c r="C2593" i="5" s="1"/>
  <c r="D2593" i="5"/>
  <c r="E2593" i="5" s="1"/>
  <c r="B2665" i="5"/>
  <c r="C2665" i="5" s="1"/>
  <c r="D2665" i="5"/>
  <c r="E2665" i="5" s="1"/>
  <c r="B2785" i="5"/>
  <c r="C2785" i="5" s="1"/>
  <c r="D2785" i="5"/>
  <c r="E2785" i="5" s="1"/>
  <c r="B2833" i="5"/>
  <c r="C2833" i="5" s="1"/>
  <c r="D2833" i="5"/>
  <c r="E2833" i="5" s="1"/>
  <c r="B2929" i="5"/>
  <c r="C2929" i="5" s="1"/>
  <c r="D2929" i="5"/>
  <c r="E2929" i="5" s="1"/>
  <c r="B3025" i="5"/>
  <c r="C3025" i="5" s="1"/>
  <c r="D3025" i="5"/>
  <c r="E3025" i="5" s="1"/>
  <c r="B3073" i="5"/>
  <c r="C3073" i="5" s="1"/>
  <c r="D3073" i="5"/>
  <c r="E3073" i="5" s="1"/>
  <c r="B3145" i="5"/>
  <c r="C3145" i="5" s="1"/>
  <c r="D3145" i="5"/>
  <c r="E3145" i="5" s="1"/>
  <c r="B3577" i="5"/>
  <c r="C3577" i="5" s="1"/>
  <c r="D3577" i="5"/>
  <c r="E3577" i="5" s="1"/>
  <c r="B353" i="5"/>
  <c r="C353" i="5" s="1"/>
  <c r="D353" i="5"/>
  <c r="E353" i="5" s="1"/>
  <c r="B43" i="5"/>
  <c r="C43" i="5" s="1"/>
  <c r="D43" i="5"/>
  <c r="E43" i="5" s="1"/>
  <c r="B67" i="5"/>
  <c r="C67" i="5" s="1"/>
  <c r="D67" i="5"/>
  <c r="E67" i="5" s="1"/>
  <c r="B332" i="5"/>
  <c r="C332" i="5" s="1"/>
  <c r="D332" i="5"/>
  <c r="E332" i="5" s="1"/>
  <c r="B45" i="5"/>
  <c r="C45" i="5" s="1"/>
  <c r="D45" i="5"/>
  <c r="E45" i="5" s="1"/>
  <c r="B189" i="5"/>
  <c r="C189" i="5" s="1"/>
  <c r="D189" i="5"/>
  <c r="E189" i="5" s="1"/>
  <c r="B190" i="5"/>
  <c r="C190" i="5" s="1"/>
  <c r="D190" i="5"/>
  <c r="E190" i="5" s="1"/>
  <c r="B311" i="5"/>
  <c r="C311" i="5" s="1"/>
  <c r="D311" i="5"/>
  <c r="E311" i="5" s="1"/>
  <c r="B599" i="5"/>
  <c r="C599" i="5" s="1"/>
  <c r="D599" i="5"/>
  <c r="E599" i="5" s="1"/>
  <c r="B839" i="5"/>
  <c r="C839" i="5" s="1"/>
  <c r="D839" i="5"/>
  <c r="E839" i="5" s="1"/>
  <c r="B1055" i="5"/>
  <c r="C1055" i="5" s="1"/>
  <c r="D1055" i="5"/>
  <c r="E1055" i="5" s="1"/>
  <c r="B1607" i="5"/>
  <c r="C1607" i="5" s="1"/>
  <c r="D1607" i="5"/>
  <c r="E1607" i="5" s="1"/>
  <c r="B1488" i="5"/>
  <c r="C1488" i="5" s="1"/>
  <c r="D1488" i="5"/>
  <c r="E1488" i="5" s="1"/>
  <c r="B2328" i="5"/>
  <c r="C2328" i="5" s="1"/>
  <c r="D2328" i="5"/>
  <c r="E2328" i="5" s="1"/>
  <c r="B2880" i="5"/>
  <c r="C2880" i="5" s="1"/>
  <c r="D2880" i="5"/>
  <c r="E2880" i="5" s="1"/>
  <c r="B3360" i="5"/>
  <c r="C3360" i="5" s="1"/>
  <c r="D3360" i="5"/>
  <c r="E3360" i="5" s="1"/>
  <c r="B25" i="5"/>
  <c r="C25" i="5" s="1"/>
  <c r="D25" i="5"/>
  <c r="E25" i="5" s="1"/>
  <c r="B193" i="5"/>
  <c r="C193" i="5" s="1"/>
  <c r="D193" i="5"/>
  <c r="E193" i="5" s="1"/>
  <c r="B385" i="5"/>
  <c r="C385" i="5" s="1"/>
  <c r="D385" i="5"/>
  <c r="E385" i="5" s="1"/>
  <c r="B601" i="5"/>
  <c r="C601" i="5" s="1"/>
  <c r="D601" i="5"/>
  <c r="E601" i="5" s="1"/>
  <c r="B793" i="5"/>
  <c r="C793" i="5" s="1"/>
  <c r="D793" i="5"/>
  <c r="E793" i="5" s="1"/>
  <c r="B985" i="5"/>
  <c r="C985" i="5" s="1"/>
  <c r="D985" i="5"/>
  <c r="E985" i="5" s="1"/>
  <c r="B1177" i="5"/>
  <c r="C1177" i="5" s="1"/>
  <c r="D1177" i="5"/>
  <c r="E1177" i="5" s="1"/>
  <c r="D1273" i="5"/>
  <c r="E1273" i="5" s="1"/>
  <c r="B1273" i="5"/>
  <c r="C1273" i="5" s="1"/>
  <c r="B1393" i="5"/>
  <c r="C1393" i="5" s="1"/>
  <c r="D1393" i="5"/>
  <c r="E1393" i="5" s="1"/>
  <c r="B1537" i="5"/>
  <c r="C1537" i="5" s="1"/>
  <c r="D1537" i="5"/>
  <c r="E1537" i="5" s="1"/>
  <c r="B1657" i="5"/>
  <c r="C1657" i="5" s="1"/>
  <c r="D1657" i="5"/>
  <c r="E1657" i="5" s="1"/>
  <c r="B1705" i="5"/>
  <c r="C1705" i="5" s="1"/>
  <c r="D1705" i="5"/>
  <c r="E1705" i="5" s="1"/>
  <c r="B1777" i="5"/>
  <c r="C1777" i="5" s="1"/>
  <c r="D1777" i="5"/>
  <c r="E1777" i="5" s="1"/>
  <c r="B1825" i="5"/>
  <c r="C1825" i="5" s="1"/>
  <c r="D1825" i="5"/>
  <c r="E1825" i="5" s="1"/>
  <c r="B1897" i="5"/>
  <c r="C1897" i="5" s="1"/>
  <c r="D1897" i="5"/>
  <c r="E1897" i="5" s="1"/>
  <c r="B1945" i="5"/>
  <c r="C1945" i="5" s="1"/>
  <c r="D1945" i="5"/>
  <c r="E1945" i="5" s="1"/>
  <c r="B1993" i="5"/>
  <c r="C1993" i="5" s="1"/>
  <c r="D1993" i="5"/>
  <c r="E1993" i="5" s="1"/>
  <c r="B2041" i="5"/>
  <c r="C2041" i="5" s="1"/>
  <c r="D2041" i="5"/>
  <c r="E2041" i="5" s="1"/>
  <c r="B2089" i="5"/>
  <c r="C2089" i="5" s="1"/>
  <c r="D2089" i="5"/>
  <c r="E2089" i="5" s="1"/>
  <c r="B2185" i="5"/>
  <c r="C2185" i="5" s="1"/>
  <c r="D2185" i="5"/>
  <c r="E2185" i="5" s="1"/>
  <c r="B2257" i="5"/>
  <c r="C2257" i="5" s="1"/>
  <c r="D2257" i="5"/>
  <c r="E2257" i="5" s="1"/>
  <c r="B2305" i="5"/>
  <c r="C2305" i="5" s="1"/>
  <c r="D2305" i="5"/>
  <c r="E2305" i="5" s="1"/>
  <c r="B2377" i="5"/>
  <c r="C2377" i="5" s="1"/>
  <c r="D2377" i="5"/>
  <c r="E2377" i="5" s="1"/>
  <c r="B2425" i="5"/>
  <c r="C2425" i="5" s="1"/>
  <c r="D2425" i="5"/>
  <c r="E2425" i="5" s="1"/>
  <c r="B2449" i="5"/>
  <c r="C2449" i="5" s="1"/>
  <c r="D2449" i="5"/>
  <c r="E2449" i="5" s="1"/>
  <c r="B2545" i="5"/>
  <c r="C2545" i="5" s="1"/>
  <c r="D2545" i="5"/>
  <c r="E2545" i="5" s="1"/>
  <c r="B2569" i="5"/>
  <c r="C2569" i="5" s="1"/>
  <c r="D2569" i="5"/>
  <c r="E2569" i="5" s="1"/>
  <c r="B2641" i="5"/>
  <c r="C2641" i="5" s="1"/>
  <c r="D2641" i="5"/>
  <c r="E2641" i="5" s="1"/>
  <c r="B2737" i="5"/>
  <c r="C2737" i="5" s="1"/>
  <c r="D2737" i="5"/>
  <c r="E2737" i="5" s="1"/>
  <c r="B2857" i="5"/>
  <c r="C2857" i="5" s="1"/>
  <c r="D2857" i="5"/>
  <c r="E2857" i="5" s="1"/>
  <c r="B2977" i="5"/>
  <c r="C2977" i="5" s="1"/>
  <c r="D2977" i="5"/>
  <c r="E2977" i="5" s="1"/>
  <c r="B3097" i="5"/>
  <c r="C3097" i="5" s="1"/>
  <c r="D3097" i="5"/>
  <c r="E3097" i="5" s="1"/>
  <c r="B3193" i="5"/>
  <c r="C3193" i="5" s="1"/>
  <c r="D3193" i="5"/>
  <c r="E3193" i="5" s="1"/>
  <c r="B3217" i="5"/>
  <c r="C3217" i="5" s="1"/>
  <c r="D3217" i="5"/>
  <c r="E3217" i="5" s="1"/>
  <c r="B3265" i="5"/>
  <c r="C3265" i="5" s="1"/>
  <c r="D3265" i="5"/>
  <c r="E3265" i="5" s="1"/>
  <c r="B3289" i="5"/>
  <c r="C3289" i="5" s="1"/>
  <c r="D3289" i="5"/>
  <c r="E3289" i="5" s="1"/>
  <c r="B3337" i="5"/>
  <c r="C3337" i="5" s="1"/>
  <c r="D3337" i="5"/>
  <c r="E3337" i="5" s="1"/>
  <c r="B3361" i="5"/>
  <c r="C3361" i="5" s="1"/>
  <c r="D3361" i="5"/>
  <c r="E3361" i="5" s="1"/>
  <c r="B3433" i="5"/>
  <c r="C3433" i="5" s="1"/>
  <c r="D3433" i="5"/>
  <c r="E3433" i="5" s="1"/>
  <c r="B3457" i="5"/>
  <c r="C3457" i="5" s="1"/>
  <c r="D3457" i="5"/>
  <c r="E3457" i="5" s="1"/>
  <c r="D3481" i="5"/>
  <c r="E3481" i="5" s="1"/>
  <c r="B3481" i="5"/>
  <c r="C3481" i="5" s="1"/>
  <c r="B3529" i="5"/>
  <c r="C3529" i="5" s="1"/>
  <c r="D3529" i="5"/>
  <c r="E3529" i="5" s="1"/>
  <c r="B3553" i="5"/>
  <c r="C3553" i="5" s="1"/>
  <c r="D3553" i="5"/>
  <c r="E3553" i="5" s="1"/>
  <c r="B3601" i="5"/>
  <c r="C3601" i="5" s="1"/>
  <c r="D3601" i="5"/>
  <c r="E3601" i="5" s="1"/>
  <c r="B3649" i="5"/>
  <c r="C3649" i="5" s="1"/>
  <c r="D3649" i="5"/>
  <c r="E3649" i="5" s="1"/>
  <c r="B1538" i="5"/>
  <c r="C1538" i="5" s="1"/>
  <c r="D1538" i="5"/>
  <c r="E1538" i="5" s="1"/>
  <c r="B3650" i="5"/>
  <c r="C3650" i="5" s="1"/>
  <c r="D3650" i="5"/>
  <c r="E3650" i="5" s="1"/>
  <c r="B12" i="5"/>
  <c r="C12" i="5" s="1"/>
  <c r="D12" i="5"/>
  <c r="E12" i="5" s="1"/>
  <c r="B36" i="5"/>
  <c r="C36" i="5" s="1"/>
  <c r="D36" i="5"/>
  <c r="E36" i="5" s="1"/>
  <c r="B60" i="5"/>
  <c r="C60" i="5" s="1"/>
  <c r="D60" i="5"/>
  <c r="E60" i="5" s="1"/>
  <c r="B84" i="5"/>
  <c r="C84" i="5" s="1"/>
  <c r="D84" i="5"/>
  <c r="E84" i="5" s="1"/>
  <c r="B108" i="5"/>
  <c r="C108" i="5" s="1"/>
  <c r="D108" i="5"/>
  <c r="E108" i="5" s="1"/>
  <c r="B132" i="5"/>
  <c r="C132" i="5" s="1"/>
  <c r="D132" i="5"/>
  <c r="E132" i="5" s="1"/>
  <c r="B156" i="5"/>
  <c r="C156" i="5" s="1"/>
  <c r="D156" i="5"/>
  <c r="E156" i="5" s="1"/>
  <c r="B180" i="5"/>
  <c r="C180" i="5" s="1"/>
  <c r="D180" i="5"/>
  <c r="E180" i="5" s="1"/>
  <c r="B204" i="5"/>
  <c r="C204" i="5" s="1"/>
  <c r="D204" i="5"/>
  <c r="E204" i="5" s="1"/>
  <c r="B228" i="5"/>
  <c r="C228" i="5" s="1"/>
  <c r="D228" i="5"/>
  <c r="E228" i="5" s="1"/>
  <c r="B252" i="5"/>
  <c r="C252" i="5" s="1"/>
  <c r="D252" i="5"/>
  <c r="E252" i="5" s="1"/>
  <c r="B276" i="5"/>
  <c r="C276" i="5" s="1"/>
  <c r="D276" i="5"/>
  <c r="E276" i="5" s="1"/>
  <c r="B300" i="5"/>
  <c r="C300" i="5" s="1"/>
  <c r="D300" i="5"/>
  <c r="E300" i="5" s="1"/>
  <c r="B324" i="5"/>
  <c r="C324" i="5" s="1"/>
  <c r="D324" i="5"/>
  <c r="E324" i="5" s="1"/>
  <c r="B348" i="5"/>
  <c r="C348" i="5" s="1"/>
  <c r="D348" i="5"/>
  <c r="E348" i="5" s="1"/>
  <c r="B372" i="5"/>
  <c r="C372" i="5" s="1"/>
  <c r="D372" i="5"/>
  <c r="E372" i="5" s="1"/>
  <c r="B396" i="5"/>
  <c r="C396" i="5" s="1"/>
  <c r="D396" i="5"/>
  <c r="E396" i="5" s="1"/>
  <c r="B420" i="5"/>
  <c r="C420" i="5" s="1"/>
  <c r="D420" i="5"/>
  <c r="E420" i="5" s="1"/>
  <c r="B444" i="5"/>
  <c r="C444" i="5" s="1"/>
  <c r="D444" i="5"/>
  <c r="E444" i="5" s="1"/>
  <c r="B468" i="5"/>
  <c r="C468" i="5" s="1"/>
  <c r="D468" i="5"/>
  <c r="E468" i="5" s="1"/>
  <c r="B492" i="5"/>
  <c r="C492" i="5" s="1"/>
  <c r="D492" i="5"/>
  <c r="E492" i="5" s="1"/>
  <c r="B516" i="5"/>
  <c r="C516" i="5" s="1"/>
  <c r="D516" i="5"/>
  <c r="E516" i="5" s="1"/>
  <c r="B540" i="5"/>
  <c r="C540" i="5" s="1"/>
  <c r="D540" i="5"/>
  <c r="E540" i="5" s="1"/>
  <c r="B564" i="5"/>
  <c r="C564" i="5" s="1"/>
  <c r="D564" i="5"/>
  <c r="E564" i="5" s="1"/>
  <c r="B588" i="5"/>
  <c r="C588" i="5" s="1"/>
  <c r="D588" i="5"/>
  <c r="E588" i="5" s="1"/>
  <c r="B612" i="5"/>
  <c r="C612" i="5" s="1"/>
  <c r="D612" i="5"/>
  <c r="E612" i="5" s="1"/>
  <c r="B636" i="5"/>
  <c r="C636" i="5" s="1"/>
  <c r="D636" i="5"/>
  <c r="E636" i="5" s="1"/>
  <c r="B660" i="5"/>
  <c r="C660" i="5" s="1"/>
  <c r="D660" i="5"/>
  <c r="E660" i="5" s="1"/>
  <c r="B684" i="5"/>
  <c r="C684" i="5" s="1"/>
  <c r="D684" i="5"/>
  <c r="E684" i="5" s="1"/>
  <c r="B708" i="5"/>
  <c r="C708" i="5" s="1"/>
  <c r="D708" i="5"/>
  <c r="E708" i="5" s="1"/>
  <c r="B732" i="5"/>
  <c r="C732" i="5" s="1"/>
  <c r="D732" i="5"/>
  <c r="E732" i="5" s="1"/>
  <c r="B756" i="5"/>
  <c r="C756" i="5" s="1"/>
  <c r="D756" i="5"/>
  <c r="E756" i="5" s="1"/>
  <c r="B780" i="5"/>
  <c r="C780" i="5" s="1"/>
  <c r="D780" i="5"/>
  <c r="E780" i="5" s="1"/>
  <c r="B804" i="5"/>
  <c r="C804" i="5" s="1"/>
  <c r="D804" i="5"/>
  <c r="E804" i="5" s="1"/>
  <c r="B828" i="5"/>
  <c r="C828" i="5" s="1"/>
  <c r="D828" i="5"/>
  <c r="E828" i="5" s="1"/>
  <c r="B852" i="5"/>
  <c r="C852" i="5" s="1"/>
  <c r="D852" i="5"/>
  <c r="E852" i="5" s="1"/>
  <c r="B876" i="5"/>
  <c r="C876" i="5" s="1"/>
  <c r="D876" i="5"/>
  <c r="E876" i="5" s="1"/>
  <c r="B900" i="5"/>
  <c r="C900" i="5" s="1"/>
  <c r="D900" i="5"/>
  <c r="E900" i="5" s="1"/>
  <c r="B924" i="5"/>
  <c r="C924" i="5" s="1"/>
  <c r="D924" i="5"/>
  <c r="E924" i="5" s="1"/>
  <c r="B948" i="5"/>
  <c r="C948" i="5" s="1"/>
  <c r="D948" i="5"/>
  <c r="E948" i="5" s="1"/>
  <c r="B972" i="5"/>
  <c r="C972" i="5" s="1"/>
  <c r="D972" i="5"/>
  <c r="E972" i="5" s="1"/>
  <c r="B996" i="5"/>
  <c r="C996" i="5" s="1"/>
  <c r="D996" i="5"/>
  <c r="E996" i="5" s="1"/>
  <c r="B1020" i="5"/>
  <c r="C1020" i="5" s="1"/>
  <c r="D1020" i="5"/>
  <c r="E1020" i="5" s="1"/>
  <c r="B1044" i="5"/>
  <c r="C1044" i="5" s="1"/>
  <c r="D1044" i="5"/>
  <c r="E1044" i="5" s="1"/>
  <c r="B1068" i="5"/>
  <c r="C1068" i="5" s="1"/>
  <c r="D1068" i="5"/>
  <c r="E1068" i="5" s="1"/>
  <c r="D1092" i="5"/>
  <c r="E1092" i="5" s="1"/>
  <c r="B1092" i="5"/>
  <c r="C1092" i="5" s="1"/>
  <c r="B1116" i="5"/>
  <c r="C1116" i="5" s="1"/>
  <c r="D1116" i="5"/>
  <c r="E1116" i="5" s="1"/>
  <c r="B1140" i="5"/>
  <c r="C1140" i="5" s="1"/>
  <c r="D1140" i="5"/>
  <c r="E1140" i="5" s="1"/>
  <c r="B1164" i="5"/>
  <c r="C1164" i="5" s="1"/>
  <c r="D1164" i="5"/>
  <c r="E1164" i="5" s="1"/>
  <c r="B1188" i="5"/>
  <c r="C1188" i="5" s="1"/>
  <c r="D1188" i="5"/>
  <c r="E1188" i="5" s="1"/>
  <c r="D1212" i="5"/>
  <c r="E1212" i="5" s="1"/>
  <c r="B1212" i="5"/>
  <c r="C1212" i="5" s="1"/>
  <c r="B1236" i="5"/>
  <c r="C1236" i="5" s="1"/>
  <c r="D1236" i="5"/>
  <c r="E1236" i="5" s="1"/>
  <c r="B1260" i="5"/>
  <c r="C1260" i="5" s="1"/>
  <c r="D1260" i="5"/>
  <c r="E1260" i="5" s="1"/>
  <c r="B1284" i="5"/>
  <c r="C1284" i="5" s="1"/>
  <c r="D1284" i="5"/>
  <c r="E1284" i="5" s="1"/>
  <c r="B1308" i="5"/>
  <c r="C1308" i="5" s="1"/>
  <c r="D1308" i="5"/>
  <c r="E1308" i="5" s="1"/>
  <c r="B1332" i="5"/>
  <c r="C1332" i="5" s="1"/>
  <c r="D1332" i="5"/>
  <c r="E1332" i="5" s="1"/>
  <c r="B1356" i="5"/>
  <c r="C1356" i="5" s="1"/>
  <c r="D1356" i="5"/>
  <c r="E1356" i="5" s="1"/>
  <c r="D1380" i="5"/>
  <c r="E1380" i="5" s="1"/>
  <c r="B1380" i="5"/>
  <c r="C1380" i="5" s="1"/>
  <c r="B1404" i="5"/>
  <c r="C1404" i="5" s="1"/>
  <c r="D1404" i="5"/>
  <c r="E1404" i="5" s="1"/>
  <c r="B1428" i="5"/>
  <c r="C1428" i="5" s="1"/>
  <c r="D1428" i="5"/>
  <c r="E1428" i="5" s="1"/>
  <c r="B1452" i="5"/>
  <c r="C1452" i="5" s="1"/>
  <c r="D1452" i="5"/>
  <c r="E1452" i="5" s="1"/>
  <c r="B1476" i="5"/>
  <c r="C1476" i="5" s="1"/>
  <c r="D1476" i="5"/>
  <c r="E1476" i="5" s="1"/>
  <c r="B1500" i="5"/>
  <c r="C1500" i="5" s="1"/>
  <c r="D1500" i="5"/>
  <c r="E1500" i="5" s="1"/>
  <c r="B1524" i="5"/>
  <c r="C1524" i="5" s="1"/>
  <c r="D1524" i="5"/>
  <c r="E1524" i="5" s="1"/>
  <c r="D1548" i="5"/>
  <c r="E1548" i="5" s="1"/>
  <c r="B1548" i="5"/>
  <c r="C1548" i="5" s="1"/>
  <c r="D1572" i="5"/>
  <c r="E1572" i="5" s="1"/>
  <c r="B1572" i="5"/>
  <c r="C1572" i="5" s="1"/>
  <c r="B1596" i="5"/>
  <c r="C1596" i="5" s="1"/>
  <c r="D1596" i="5"/>
  <c r="E1596" i="5" s="1"/>
  <c r="B1620" i="5"/>
  <c r="C1620" i="5" s="1"/>
  <c r="D1620" i="5"/>
  <c r="E1620" i="5" s="1"/>
  <c r="B1644" i="5"/>
  <c r="C1644" i="5" s="1"/>
  <c r="D1644" i="5"/>
  <c r="E1644" i="5" s="1"/>
  <c r="B1668" i="5"/>
  <c r="C1668" i="5" s="1"/>
  <c r="D1668" i="5"/>
  <c r="E1668" i="5" s="1"/>
  <c r="B1692" i="5"/>
  <c r="C1692" i="5" s="1"/>
  <c r="D1692" i="5"/>
  <c r="E1692" i="5" s="1"/>
  <c r="B1716" i="5"/>
  <c r="C1716" i="5" s="1"/>
  <c r="D1716" i="5"/>
  <c r="E1716" i="5" s="1"/>
  <c r="B1740" i="5"/>
  <c r="C1740" i="5" s="1"/>
  <c r="D1740" i="5"/>
  <c r="E1740" i="5" s="1"/>
  <c r="B1764" i="5"/>
  <c r="C1764" i="5" s="1"/>
  <c r="D1764" i="5"/>
  <c r="E1764" i="5" s="1"/>
  <c r="B1788" i="5"/>
  <c r="C1788" i="5" s="1"/>
  <c r="D1788" i="5"/>
  <c r="E1788" i="5" s="1"/>
  <c r="B1812" i="5"/>
  <c r="C1812" i="5" s="1"/>
  <c r="D1812" i="5"/>
  <c r="E1812" i="5" s="1"/>
  <c r="B1836" i="5"/>
  <c r="C1836" i="5" s="1"/>
  <c r="D1836" i="5"/>
  <c r="E1836" i="5" s="1"/>
  <c r="D1860" i="5"/>
  <c r="E1860" i="5" s="1"/>
  <c r="B1860" i="5"/>
  <c r="C1860" i="5" s="1"/>
  <c r="D1884" i="5"/>
  <c r="E1884" i="5" s="1"/>
  <c r="B1884" i="5"/>
  <c r="C1884" i="5" s="1"/>
  <c r="B1908" i="5"/>
  <c r="C1908" i="5" s="1"/>
  <c r="D1908" i="5"/>
  <c r="E1908" i="5" s="1"/>
  <c r="B1932" i="5"/>
  <c r="C1932" i="5" s="1"/>
  <c r="D1932" i="5"/>
  <c r="E1932" i="5" s="1"/>
  <c r="D1956" i="5"/>
  <c r="E1956" i="5" s="1"/>
  <c r="B1956" i="5"/>
  <c r="C1956" i="5" s="1"/>
  <c r="B1980" i="5"/>
  <c r="C1980" i="5" s="1"/>
  <c r="D1980" i="5"/>
  <c r="E1980" i="5" s="1"/>
  <c r="B2004" i="5"/>
  <c r="C2004" i="5" s="1"/>
  <c r="D2004" i="5"/>
  <c r="E2004" i="5" s="1"/>
  <c r="B2028" i="5"/>
  <c r="C2028" i="5" s="1"/>
  <c r="D2028" i="5"/>
  <c r="E2028" i="5" s="1"/>
  <c r="B2052" i="5"/>
  <c r="C2052" i="5" s="1"/>
  <c r="D2052" i="5"/>
  <c r="E2052" i="5" s="1"/>
  <c r="D2076" i="5"/>
  <c r="E2076" i="5" s="1"/>
  <c r="B2076" i="5"/>
  <c r="C2076" i="5" s="1"/>
  <c r="B2100" i="5"/>
  <c r="C2100" i="5" s="1"/>
  <c r="D2100" i="5"/>
  <c r="E2100" i="5" s="1"/>
  <c r="B2124" i="5"/>
  <c r="C2124" i="5" s="1"/>
  <c r="D2124" i="5"/>
  <c r="E2124" i="5" s="1"/>
  <c r="B2148" i="5"/>
  <c r="C2148" i="5" s="1"/>
  <c r="D2148" i="5"/>
  <c r="E2148" i="5" s="1"/>
  <c r="B2172" i="5"/>
  <c r="C2172" i="5" s="1"/>
  <c r="D2172" i="5"/>
  <c r="E2172" i="5" s="1"/>
  <c r="B2196" i="5"/>
  <c r="C2196" i="5" s="1"/>
  <c r="D2196" i="5"/>
  <c r="E2196" i="5" s="1"/>
  <c r="B2220" i="5"/>
  <c r="C2220" i="5" s="1"/>
  <c r="D2220" i="5"/>
  <c r="E2220" i="5" s="1"/>
  <c r="B2244" i="5"/>
  <c r="C2244" i="5" s="1"/>
  <c r="D2244" i="5"/>
  <c r="E2244" i="5" s="1"/>
  <c r="B2268" i="5"/>
  <c r="C2268" i="5" s="1"/>
  <c r="D2268" i="5"/>
  <c r="E2268" i="5" s="1"/>
  <c r="B2292" i="5"/>
  <c r="C2292" i="5" s="1"/>
  <c r="D2292" i="5"/>
  <c r="E2292" i="5" s="1"/>
  <c r="B2316" i="5"/>
  <c r="C2316" i="5" s="1"/>
  <c r="D2316" i="5"/>
  <c r="E2316" i="5" s="1"/>
  <c r="B2340" i="5"/>
  <c r="C2340" i="5" s="1"/>
  <c r="D2340" i="5"/>
  <c r="E2340" i="5" s="1"/>
  <c r="B2364" i="5"/>
  <c r="C2364" i="5" s="1"/>
  <c r="D2364" i="5"/>
  <c r="E2364" i="5" s="1"/>
  <c r="B2388" i="5"/>
  <c r="C2388" i="5" s="1"/>
  <c r="D2388" i="5"/>
  <c r="E2388" i="5" s="1"/>
  <c r="B2412" i="5"/>
  <c r="C2412" i="5" s="1"/>
  <c r="D2412" i="5"/>
  <c r="E2412" i="5" s="1"/>
  <c r="B2436" i="5"/>
  <c r="C2436" i="5" s="1"/>
  <c r="D2436" i="5"/>
  <c r="E2436" i="5" s="1"/>
  <c r="B2460" i="5"/>
  <c r="C2460" i="5" s="1"/>
  <c r="D2460" i="5"/>
  <c r="E2460" i="5" s="1"/>
  <c r="B2484" i="5"/>
  <c r="C2484" i="5" s="1"/>
  <c r="D2484" i="5"/>
  <c r="E2484" i="5" s="1"/>
  <c r="B2508" i="5"/>
  <c r="C2508" i="5" s="1"/>
  <c r="D2508" i="5"/>
  <c r="E2508" i="5" s="1"/>
  <c r="B2532" i="5"/>
  <c r="C2532" i="5" s="1"/>
  <c r="D2532" i="5"/>
  <c r="E2532" i="5" s="1"/>
  <c r="B2556" i="5"/>
  <c r="C2556" i="5" s="1"/>
  <c r="D2556" i="5"/>
  <c r="E2556" i="5" s="1"/>
  <c r="B2580" i="5"/>
  <c r="C2580" i="5" s="1"/>
  <c r="D2580" i="5"/>
  <c r="E2580" i="5" s="1"/>
  <c r="B2604" i="5"/>
  <c r="C2604" i="5" s="1"/>
  <c r="D2604" i="5"/>
  <c r="E2604" i="5" s="1"/>
  <c r="B2628" i="5"/>
  <c r="C2628" i="5" s="1"/>
  <c r="D2628" i="5"/>
  <c r="E2628" i="5" s="1"/>
  <c r="B2652" i="5"/>
  <c r="C2652" i="5" s="1"/>
  <c r="D2652" i="5"/>
  <c r="E2652" i="5" s="1"/>
  <c r="B2676" i="5"/>
  <c r="C2676" i="5" s="1"/>
  <c r="D2676" i="5"/>
  <c r="E2676" i="5" s="1"/>
  <c r="D2700" i="5"/>
  <c r="E2700" i="5" s="1"/>
  <c r="B2700" i="5"/>
  <c r="C2700" i="5" s="1"/>
  <c r="D2724" i="5"/>
  <c r="E2724" i="5" s="1"/>
  <c r="B2724" i="5"/>
  <c r="C2724" i="5" s="1"/>
  <c r="B2748" i="5"/>
  <c r="C2748" i="5" s="1"/>
  <c r="D2748" i="5"/>
  <c r="E2748" i="5" s="1"/>
  <c r="B2772" i="5"/>
  <c r="C2772" i="5" s="1"/>
  <c r="D2772" i="5"/>
  <c r="E2772" i="5" s="1"/>
  <c r="B2796" i="5"/>
  <c r="C2796" i="5" s="1"/>
  <c r="D2796" i="5"/>
  <c r="E2796" i="5" s="1"/>
  <c r="B2820" i="5"/>
  <c r="C2820" i="5" s="1"/>
  <c r="D2820" i="5"/>
  <c r="E2820" i="5" s="1"/>
  <c r="B2844" i="5"/>
  <c r="C2844" i="5" s="1"/>
  <c r="D2844" i="5"/>
  <c r="E2844" i="5" s="1"/>
  <c r="B2868" i="5"/>
  <c r="C2868" i="5" s="1"/>
  <c r="D2868" i="5"/>
  <c r="E2868" i="5" s="1"/>
  <c r="B2892" i="5"/>
  <c r="C2892" i="5" s="1"/>
  <c r="D2892" i="5"/>
  <c r="E2892" i="5" s="1"/>
  <c r="B2916" i="5"/>
  <c r="C2916" i="5" s="1"/>
  <c r="D2916" i="5"/>
  <c r="E2916" i="5" s="1"/>
  <c r="B2940" i="5"/>
  <c r="C2940" i="5" s="1"/>
  <c r="D2940" i="5"/>
  <c r="E2940" i="5" s="1"/>
  <c r="B2964" i="5"/>
  <c r="C2964" i="5" s="1"/>
  <c r="D2964" i="5"/>
  <c r="E2964" i="5" s="1"/>
  <c r="B2988" i="5"/>
  <c r="C2988" i="5" s="1"/>
  <c r="D2988" i="5"/>
  <c r="E2988" i="5" s="1"/>
  <c r="B3012" i="5"/>
  <c r="C3012" i="5" s="1"/>
  <c r="D3012" i="5"/>
  <c r="E3012" i="5" s="1"/>
  <c r="B3036" i="5"/>
  <c r="C3036" i="5" s="1"/>
  <c r="D3036" i="5"/>
  <c r="E3036" i="5" s="1"/>
  <c r="B3060" i="5"/>
  <c r="C3060" i="5" s="1"/>
  <c r="D3060" i="5"/>
  <c r="E3060" i="5" s="1"/>
  <c r="B3084" i="5"/>
  <c r="C3084" i="5" s="1"/>
  <c r="D3084" i="5"/>
  <c r="E3084" i="5" s="1"/>
  <c r="B3108" i="5"/>
  <c r="C3108" i="5" s="1"/>
  <c r="D3108" i="5"/>
  <c r="E3108" i="5" s="1"/>
  <c r="B3132" i="5"/>
  <c r="C3132" i="5" s="1"/>
  <c r="D3132" i="5"/>
  <c r="E3132" i="5" s="1"/>
  <c r="D3156" i="5"/>
  <c r="E3156" i="5" s="1"/>
  <c r="B3156" i="5"/>
  <c r="C3156" i="5" s="1"/>
  <c r="B3180" i="5"/>
  <c r="C3180" i="5" s="1"/>
  <c r="D3180" i="5"/>
  <c r="E3180" i="5" s="1"/>
  <c r="B3204" i="5"/>
  <c r="C3204" i="5" s="1"/>
  <c r="D3204" i="5"/>
  <c r="E3204" i="5" s="1"/>
  <c r="B3228" i="5"/>
  <c r="C3228" i="5" s="1"/>
  <c r="D3228" i="5"/>
  <c r="E3228" i="5" s="1"/>
  <c r="B3252" i="5"/>
  <c r="C3252" i="5" s="1"/>
  <c r="D3252" i="5"/>
  <c r="E3252" i="5" s="1"/>
  <c r="B3276" i="5"/>
  <c r="C3276" i="5" s="1"/>
  <c r="D3276" i="5"/>
  <c r="E3276" i="5" s="1"/>
  <c r="B3300" i="5"/>
  <c r="C3300" i="5" s="1"/>
  <c r="D3300" i="5"/>
  <c r="E3300" i="5" s="1"/>
  <c r="B3324" i="5"/>
  <c r="C3324" i="5" s="1"/>
  <c r="D3324" i="5"/>
  <c r="E3324" i="5" s="1"/>
  <c r="B3348" i="5"/>
  <c r="C3348" i="5" s="1"/>
  <c r="D3348" i="5"/>
  <c r="E3348" i="5" s="1"/>
  <c r="B3372" i="5"/>
  <c r="C3372" i="5" s="1"/>
  <c r="D3372" i="5"/>
  <c r="E3372" i="5" s="1"/>
  <c r="B3396" i="5"/>
  <c r="C3396" i="5" s="1"/>
  <c r="D3396" i="5"/>
  <c r="E3396" i="5" s="1"/>
  <c r="B3420" i="5"/>
  <c r="C3420" i="5" s="1"/>
  <c r="D3420" i="5"/>
  <c r="E3420" i="5" s="1"/>
  <c r="B3444" i="5"/>
  <c r="C3444" i="5" s="1"/>
  <c r="D3444" i="5"/>
  <c r="E3444" i="5" s="1"/>
  <c r="B3468" i="5"/>
  <c r="C3468" i="5" s="1"/>
  <c r="D3468" i="5"/>
  <c r="E3468" i="5" s="1"/>
  <c r="B3492" i="5"/>
  <c r="C3492" i="5" s="1"/>
  <c r="D3492" i="5"/>
  <c r="E3492" i="5" s="1"/>
  <c r="D3516" i="5"/>
  <c r="E3516" i="5" s="1"/>
  <c r="B3516" i="5"/>
  <c r="C3516" i="5" s="1"/>
  <c r="B3540" i="5"/>
  <c r="C3540" i="5" s="1"/>
  <c r="D3540" i="5"/>
  <c r="E3540" i="5" s="1"/>
  <c r="B3564" i="5"/>
  <c r="C3564" i="5" s="1"/>
  <c r="D3564" i="5"/>
  <c r="E3564" i="5" s="1"/>
  <c r="B3588" i="5"/>
  <c r="C3588" i="5" s="1"/>
  <c r="D3588" i="5"/>
  <c r="E3588" i="5" s="1"/>
  <c r="B3612" i="5"/>
  <c r="C3612" i="5" s="1"/>
  <c r="D3612" i="5"/>
  <c r="E3612" i="5" s="1"/>
  <c r="B3636" i="5"/>
  <c r="C3636" i="5" s="1"/>
  <c r="D3636" i="5"/>
  <c r="E3636" i="5" s="1"/>
  <c r="B14" i="5"/>
  <c r="C14" i="5" s="1"/>
  <c r="D14" i="5"/>
  <c r="E14" i="5" s="1"/>
  <c r="B38" i="5"/>
  <c r="C38" i="5" s="1"/>
  <c r="D38" i="5"/>
  <c r="E38" i="5" s="1"/>
  <c r="B62" i="5"/>
  <c r="C62" i="5" s="1"/>
  <c r="D62" i="5"/>
  <c r="E62" i="5" s="1"/>
  <c r="D86" i="5"/>
  <c r="E86" i="5" s="1"/>
  <c r="B86" i="5"/>
  <c r="C86" i="5" s="1"/>
  <c r="B110" i="5"/>
  <c r="C110" i="5" s="1"/>
  <c r="D110" i="5"/>
  <c r="E110" i="5" s="1"/>
  <c r="B134" i="5"/>
  <c r="C134" i="5" s="1"/>
  <c r="D134" i="5"/>
  <c r="E134" i="5" s="1"/>
  <c r="B158" i="5"/>
  <c r="C158" i="5" s="1"/>
  <c r="D158" i="5"/>
  <c r="E158" i="5" s="1"/>
  <c r="B182" i="5"/>
  <c r="C182" i="5" s="1"/>
  <c r="D182" i="5"/>
  <c r="E182" i="5" s="1"/>
  <c r="B206" i="5"/>
  <c r="C206" i="5" s="1"/>
  <c r="D206" i="5"/>
  <c r="E206" i="5" s="1"/>
  <c r="B230" i="5"/>
  <c r="C230" i="5" s="1"/>
  <c r="D230" i="5"/>
  <c r="E230" i="5" s="1"/>
  <c r="B254" i="5"/>
  <c r="C254" i="5" s="1"/>
  <c r="D254" i="5"/>
  <c r="E254" i="5" s="1"/>
  <c r="B278" i="5"/>
  <c r="C278" i="5" s="1"/>
  <c r="D278" i="5"/>
  <c r="E278" i="5" s="1"/>
  <c r="B302" i="5"/>
  <c r="C302" i="5" s="1"/>
  <c r="D302" i="5"/>
  <c r="E302" i="5" s="1"/>
  <c r="B326" i="5"/>
  <c r="C326" i="5" s="1"/>
  <c r="D326" i="5"/>
  <c r="E326" i="5" s="1"/>
  <c r="B350" i="5"/>
  <c r="C350" i="5" s="1"/>
  <c r="D350" i="5"/>
  <c r="E350" i="5" s="1"/>
  <c r="B374" i="5"/>
  <c r="C374" i="5" s="1"/>
  <c r="D374" i="5"/>
  <c r="E374" i="5" s="1"/>
  <c r="B398" i="5"/>
  <c r="C398" i="5" s="1"/>
  <c r="D398" i="5"/>
  <c r="E398" i="5" s="1"/>
  <c r="B422" i="5"/>
  <c r="C422" i="5" s="1"/>
  <c r="D422" i="5"/>
  <c r="E422" i="5" s="1"/>
  <c r="D446" i="5"/>
  <c r="E446" i="5" s="1"/>
  <c r="B446" i="5"/>
  <c r="C446" i="5" s="1"/>
  <c r="B470" i="5"/>
  <c r="C470" i="5" s="1"/>
  <c r="D470" i="5"/>
  <c r="E470" i="5" s="1"/>
  <c r="B494" i="5"/>
  <c r="C494" i="5" s="1"/>
  <c r="D494" i="5"/>
  <c r="E494" i="5" s="1"/>
  <c r="B518" i="5"/>
  <c r="C518" i="5" s="1"/>
  <c r="D518" i="5"/>
  <c r="E518" i="5" s="1"/>
  <c r="B542" i="5"/>
  <c r="C542" i="5" s="1"/>
  <c r="D542" i="5"/>
  <c r="E542" i="5" s="1"/>
  <c r="B566" i="5"/>
  <c r="C566" i="5" s="1"/>
  <c r="D566" i="5"/>
  <c r="E566" i="5" s="1"/>
  <c r="B590" i="5"/>
  <c r="C590" i="5" s="1"/>
  <c r="D590" i="5"/>
  <c r="E590" i="5" s="1"/>
  <c r="B614" i="5"/>
  <c r="C614" i="5" s="1"/>
  <c r="D614" i="5"/>
  <c r="E614" i="5" s="1"/>
  <c r="B638" i="5"/>
  <c r="C638" i="5" s="1"/>
  <c r="D638" i="5"/>
  <c r="E638" i="5" s="1"/>
  <c r="B662" i="5"/>
  <c r="C662" i="5" s="1"/>
  <c r="D662" i="5"/>
  <c r="E662" i="5" s="1"/>
  <c r="B686" i="5"/>
  <c r="C686" i="5" s="1"/>
  <c r="D686" i="5"/>
  <c r="E686" i="5" s="1"/>
  <c r="B710" i="5"/>
  <c r="C710" i="5" s="1"/>
  <c r="D710" i="5"/>
  <c r="E710" i="5" s="1"/>
  <c r="B734" i="5"/>
  <c r="C734" i="5" s="1"/>
  <c r="D734" i="5"/>
  <c r="E734" i="5" s="1"/>
  <c r="B758" i="5"/>
  <c r="C758" i="5" s="1"/>
  <c r="D758" i="5"/>
  <c r="E758" i="5" s="1"/>
  <c r="B782" i="5"/>
  <c r="C782" i="5" s="1"/>
  <c r="D782" i="5"/>
  <c r="E782" i="5" s="1"/>
  <c r="B806" i="5"/>
  <c r="C806" i="5" s="1"/>
  <c r="D806" i="5"/>
  <c r="E806" i="5" s="1"/>
  <c r="B830" i="5"/>
  <c r="C830" i="5" s="1"/>
  <c r="D830" i="5"/>
  <c r="E830" i="5" s="1"/>
  <c r="B854" i="5"/>
  <c r="C854" i="5" s="1"/>
  <c r="D854" i="5"/>
  <c r="E854" i="5" s="1"/>
  <c r="B878" i="5"/>
  <c r="C878" i="5" s="1"/>
  <c r="D878" i="5"/>
  <c r="E878" i="5" s="1"/>
  <c r="B902" i="5"/>
  <c r="C902" i="5" s="1"/>
  <c r="D902" i="5"/>
  <c r="E902" i="5" s="1"/>
  <c r="B926" i="5"/>
  <c r="C926" i="5" s="1"/>
  <c r="D926" i="5"/>
  <c r="E926" i="5" s="1"/>
  <c r="B950" i="5"/>
  <c r="C950" i="5" s="1"/>
  <c r="D950" i="5"/>
  <c r="E950" i="5" s="1"/>
  <c r="B974" i="5"/>
  <c r="C974" i="5" s="1"/>
  <c r="D974" i="5"/>
  <c r="E974" i="5" s="1"/>
  <c r="B998" i="5"/>
  <c r="C998" i="5" s="1"/>
  <c r="D998" i="5"/>
  <c r="E998" i="5" s="1"/>
  <c r="B1022" i="5"/>
  <c r="C1022" i="5" s="1"/>
  <c r="D1022" i="5"/>
  <c r="E1022" i="5" s="1"/>
  <c r="B1046" i="5"/>
  <c r="C1046" i="5" s="1"/>
  <c r="D1046" i="5"/>
  <c r="E1046" i="5" s="1"/>
  <c r="B1070" i="5"/>
  <c r="C1070" i="5" s="1"/>
  <c r="D1070" i="5"/>
  <c r="E1070" i="5" s="1"/>
  <c r="B1094" i="5"/>
  <c r="C1094" i="5" s="1"/>
  <c r="D1094" i="5"/>
  <c r="E1094" i="5" s="1"/>
  <c r="B1118" i="5"/>
  <c r="C1118" i="5" s="1"/>
  <c r="D1118" i="5"/>
  <c r="E1118" i="5" s="1"/>
  <c r="B1142" i="5"/>
  <c r="C1142" i="5" s="1"/>
  <c r="D1142" i="5"/>
  <c r="E1142" i="5" s="1"/>
  <c r="B1166" i="5"/>
  <c r="C1166" i="5" s="1"/>
  <c r="D1166" i="5"/>
  <c r="E1166" i="5" s="1"/>
  <c r="B1190" i="5"/>
  <c r="C1190" i="5" s="1"/>
  <c r="D1190" i="5"/>
  <c r="E1190" i="5" s="1"/>
  <c r="B1214" i="5"/>
  <c r="C1214" i="5" s="1"/>
  <c r="D1214" i="5"/>
  <c r="E1214" i="5" s="1"/>
  <c r="B1238" i="5"/>
  <c r="C1238" i="5" s="1"/>
  <c r="D1238" i="5"/>
  <c r="E1238" i="5" s="1"/>
  <c r="B1262" i="5"/>
  <c r="C1262" i="5" s="1"/>
  <c r="D1262" i="5"/>
  <c r="E1262" i="5" s="1"/>
  <c r="B1286" i="5"/>
  <c r="C1286" i="5" s="1"/>
  <c r="D1286" i="5"/>
  <c r="E1286" i="5" s="1"/>
  <c r="B1310" i="5"/>
  <c r="C1310" i="5" s="1"/>
  <c r="D1310" i="5"/>
  <c r="E1310" i="5" s="1"/>
  <c r="B1334" i="5"/>
  <c r="C1334" i="5" s="1"/>
  <c r="D1334" i="5"/>
  <c r="E1334" i="5" s="1"/>
  <c r="B1358" i="5"/>
  <c r="C1358" i="5" s="1"/>
  <c r="D1358" i="5"/>
  <c r="E1358" i="5" s="1"/>
  <c r="B1382" i="5"/>
  <c r="C1382" i="5" s="1"/>
  <c r="D1382" i="5"/>
  <c r="E1382" i="5" s="1"/>
  <c r="D1406" i="5"/>
  <c r="E1406" i="5" s="1"/>
  <c r="B1406" i="5"/>
  <c r="C1406" i="5" s="1"/>
  <c r="B1430" i="5"/>
  <c r="C1430" i="5" s="1"/>
  <c r="D1430" i="5"/>
  <c r="E1430" i="5" s="1"/>
  <c r="B1454" i="5"/>
  <c r="C1454" i="5" s="1"/>
  <c r="D1454" i="5"/>
  <c r="E1454" i="5" s="1"/>
  <c r="B1478" i="5"/>
  <c r="C1478" i="5" s="1"/>
  <c r="D1478" i="5"/>
  <c r="E1478" i="5" s="1"/>
  <c r="B1502" i="5"/>
  <c r="C1502" i="5" s="1"/>
  <c r="D1502" i="5"/>
  <c r="E1502" i="5" s="1"/>
  <c r="B1526" i="5"/>
  <c r="C1526" i="5" s="1"/>
  <c r="D1526" i="5"/>
  <c r="E1526" i="5" s="1"/>
  <c r="B1550" i="5"/>
  <c r="C1550" i="5" s="1"/>
  <c r="D1550" i="5"/>
  <c r="E1550" i="5" s="1"/>
  <c r="B1574" i="5"/>
  <c r="C1574" i="5" s="1"/>
  <c r="D1574" i="5"/>
  <c r="E1574" i="5" s="1"/>
  <c r="B1598" i="5"/>
  <c r="C1598" i="5" s="1"/>
  <c r="D1598" i="5"/>
  <c r="E1598" i="5" s="1"/>
  <c r="B1622" i="5"/>
  <c r="C1622" i="5" s="1"/>
  <c r="D1622" i="5"/>
  <c r="E1622" i="5" s="1"/>
  <c r="B1646" i="5"/>
  <c r="C1646" i="5" s="1"/>
  <c r="D1646" i="5"/>
  <c r="E1646" i="5" s="1"/>
  <c r="B1670" i="5"/>
  <c r="C1670" i="5" s="1"/>
  <c r="D1670" i="5"/>
  <c r="E1670" i="5" s="1"/>
  <c r="B1694" i="5"/>
  <c r="C1694" i="5" s="1"/>
  <c r="D1694" i="5"/>
  <c r="E1694" i="5" s="1"/>
  <c r="B1718" i="5"/>
  <c r="C1718" i="5" s="1"/>
  <c r="D1718" i="5"/>
  <c r="E1718" i="5" s="1"/>
  <c r="B1742" i="5"/>
  <c r="C1742" i="5" s="1"/>
  <c r="D1742" i="5"/>
  <c r="E1742" i="5" s="1"/>
  <c r="B1766" i="5"/>
  <c r="C1766" i="5" s="1"/>
  <c r="D1766" i="5"/>
  <c r="E1766" i="5" s="1"/>
  <c r="B1790" i="5"/>
  <c r="C1790" i="5" s="1"/>
  <c r="D1790" i="5"/>
  <c r="E1790" i="5" s="1"/>
  <c r="B1814" i="5"/>
  <c r="C1814" i="5" s="1"/>
  <c r="D1814" i="5"/>
  <c r="E1814" i="5" s="1"/>
  <c r="B1838" i="5"/>
  <c r="C1838" i="5" s="1"/>
  <c r="D1838" i="5"/>
  <c r="E1838" i="5" s="1"/>
  <c r="B1862" i="5"/>
  <c r="C1862" i="5" s="1"/>
  <c r="D1862" i="5"/>
  <c r="E1862" i="5" s="1"/>
  <c r="B1886" i="5"/>
  <c r="C1886" i="5" s="1"/>
  <c r="D1886" i="5"/>
  <c r="E1886" i="5" s="1"/>
  <c r="B1910" i="5"/>
  <c r="C1910" i="5" s="1"/>
  <c r="D1910" i="5"/>
  <c r="E1910" i="5" s="1"/>
  <c r="B1934" i="5"/>
  <c r="C1934" i="5" s="1"/>
  <c r="D1934" i="5"/>
  <c r="E1934" i="5" s="1"/>
  <c r="B1958" i="5"/>
  <c r="C1958" i="5" s="1"/>
  <c r="D1958" i="5"/>
  <c r="E1958" i="5" s="1"/>
  <c r="B1982" i="5"/>
  <c r="C1982" i="5" s="1"/>
  <c r="D1982" i="5"/>
  <c r="E1982" i="5" s="1"/>
  <c r="B2006" i="5"/>
  <c r="C2006" i="5" s="1"/>
  <c r="D2006" i="5"/>
  <c r="E2006" i="5" s="1"/>
  <c r="B2030" i="5"/>
  <c r="C2030" i="5" s="1"/>
  <c r="D2030" i="5"/>
  <c r="E2030" i="5" s="1"/>
  <c r="B2054" i="5"/>
  <c r="C2054" i="5" s="1"/>
  <c r="D2054" i="5"/>
  <c r="E2054" i="5" s="1"/>
  <c r="B2078" i="5"/>
  <c r="C2078" i="5" s="1"/>
  <c r="D2078" i="5"/>
  <c r="E2078" i="5" s="1"/>
  <c r="B2102" i="5"/>
  <c r="C2102" i="5" s="1"/>
  <c r="D2102" i="5"/>
  <c r="E2102" i="5" s="1"/>
  <c r="B2126" i="5"/>
  <c r="C2126" i="5" s="1"/>
  <c r="D2126" i="5"/>
  <c r="E2126" i="5" s="1"/>
  <c r="B2150" i="5"/>
  <c r="C2150" i="5" s="1"/>
  <c r="D2150" i="5"/>
  <c r="E2150" i="5" s="1"/>
  <c r="B2174" i="5"/>
  <c r="C2174" i="5" s="1"/>
  <c r="D2174" i="5"/>
  <c r="E2174" i="5" s="1"/>
  <c r="D2198" i="5"/>
  <c r="E2198" i="5" s="1"/>
  <c r="B2198" i="5"/>
  <c r="C2198" i="5" s="1"/>
  <c r="B2222" i="5"/>
  <c r="C2222" i="5" s="1"/>
  <c r="D2222" i="5"/>
  <c r="E2222" i="5" s="1"/>
  <c r="B2246" i="5"/>
  <c r="C2246" i="5" s="1"/>
  <c r="D2246" i="5"/>
  <c r="E2246" i="5" s="1"/>
  <c r="B2270" i="5"/>
  <c r="C2270" i="5" s="1"/>
  <c r="D2270" i="5"/>
  <c r="E2270" i="5" s="1"/>
  <c r="B2294" i="5"/>
  <c r="C2294" i="5" s="1"/>
  <c r="D2294" i="5"/>
  <c r="E2294" i="5" s="1"/>
  <c r="B2318" i="5"/>
  <c r="C2318" i="5" s="1"/>
  <c r="D2318" i="5"/>
  <c r="E2318" i="5" s="1"/>
  <c r="B2342" i="5"/>
  <c r="C2342" i="5" s="1"/>
  <c r="D2342" i="5"/>
  <c r="E2342" i="5" s="1"/>
  <c r="B2366" i="5"/>
  <c r="C2366" i="5" s="1"/>
  <c r="D2366" i="5"/>
  <c r="E2366" i="5" s="1"/>
  <c r="B2390" i="5"/>
  <c r="C2390" i="5" s="1"/>
  <c r="D2390" i="5"/>
  <c r="E2390" i="5" s="1"/>
  <c r="B2414" i="5"/>
  <c r="C2414" i="5" s="1"/>
  <c r="D2414" i="5"/>
  <c r="E2414" i="5" s="1"/>
  <c r="B2438" i="5"/>
  <c r="C2438" i="5" s="1"/>
  <c r="D2438" i="5"/>
  <c r="E2438" i="5" s="1"/>
  <c r="B2462" i="5"/>
  <c r="C2462" i="5" s="1"/>
  <c r="D2462" i="5"/>
  <c r="E2462" i="5" s="1"/>
  <c r="B2486" i="5"/>
  <c r="C2486" i="5" s="1"/>
  <c r="D2486" i="5"/>
  <c r="E2486" i="5" s="1"/>
  <c r="B2510" i="5"/>
  <c r="C2510" i="5" s="1"/>
  <c r="D2510" i="5"/>
  <c r="E2510" i="5" s="1"/>
  <c r="B2534" i="5"/>
  <c r="C2534" i="5" s="1"/>
  <c r="D2534" i="5"/>
  <c r="E2534" i="5" s="1"/>
  <c r="B2558" i="5"/>
  <c r="C2558" i="5" s="1"/>
  <c r="D2558" i="5"/>
  <c r="E2558" i="5" s="1"/>
  <c r="B2582" i="5"/>
  <c r="C2582" i="5" s="1"/>
  <c r="D2582" i="5"/>
  <c r="E2582" i="5" s="1"/>
  <c r="B2606" i="5"/>
  <c r="C2606" i="5" s="1"/>
  <c r="D2606" i="5"/>
  <c r="E2606" i="5" s="1"/>
  <c r="B2630" i="5"/>
  <c r="C2630" i="5" s="1"/>
  <c r="D2630" i="5"/>
  <c r="E2630" i="5" s="1"/>
  <c r="B2654" i="5"/>
  <c r="C2654" i="5" s="1"/>
  <c r="D2654" i="5"/>
  <c r="E2654" i="5" s="1"/>
  <c r="B2678" i="5"/>
  <c r="C2678" i="5" s="1"/>
  <c r="D2678" i="5"/>
  <c r="E2678" i="5" s="1"/>
  <c r="B2702" i="5"/>
  <c r="C2702" i="5" s="1"/>
  <c r="D2702" i="5"/>
  <c r="E2702" i="5" s="1"/>
  <c r="B2726" i="5"/>
  <c r="C2726" i="5" s="1"/>
  <c r="D2726" i="5"/>
  <c r="E2726" i="5" s="1"/>
  <c r="B2750" i="5"/>
  <c r="C2750" i="5" s="1"/>
  <c r="D2750" i="5"/>
  <c r="E2750" i="5" s="1"/>
  <c r="D2774" i="5"/>
  <c r="E2774" i="5" s="1"/>
  <c r="B2774" i="5"/>
  <c r="C2774" i="5" s="1"/>
  <c r="B2798" i="5"/>
  <c r="C2798" i="5" s="1"/>
  <c r="D2798" i="5"/>
  <c r="E2798" i="5" s="1"/>
  <c r="B2822" i="5"/>
  <c r="C2822" i="5" s="1"/>
  <c r="D2822" i="5"/>
  <c r="E2822" i="5" s="1"/>
  <c r="B2846" i="5"/>
  <c r="C2846" i="5" s="1"/>
  <c r="D2846" i="5"/>
  <c r="E2846" i="5" s="1"/>
  <c r="B2870" i="5"/>
  <c r="C2870" i="5" s="1"/>
  <c r="D2870" i="5"/>
  <c r="E2870" i="5" s="1"/>
  <c r="B2894" i="5"/>
  <c r="C2894" i="5" s="1"/>
  <c r="D2894" i="5"/>
  <c r="E2894" i="5" s="1"/>
  <c r="B2918" i="5"/>
  <c r="C2918" i="5" s="1"/>
  <c r="D2918" i="5"/>
  <c r="E2918" i="5" s="1"/>
  <c r="B2942" i="5"/>
  <c r="C2942" i="5" s="1"/>
  <c r="D2942" i="5"/>
  <c r="E2942" i="5" s="1"/>
  <c r="D2966" i="5"/>
  <c r="E2966" i="5" s="1"/>
  <c r="B2966" i="5"/>
  <c r="C2966" i="5" s="1"/>
  <c r="B2990" i="5"/>
  <c r="C2990" i="5" s="1"/>
  <c r="D2990" i="5"/>
  <c r="E2990" i="5" s="1"/>
  <c r="B3014" i="5"/>
  <c r="C3014" i="5" s="1"/>
  <c r="D3014" i="5"/>
  <c r="E3014" i="5" s="1"/>
  <c r="B3038" i="5"/>
  <c r="C3038" i="5" s="1"/>
  <c r="D3038" i="5"/>
  <c r="E3038" i="5" s="1"/>
  <c r="B3062" i="5"/>
  <c r="C3062" i="5" s="1"/>
  <c r="D3062" i="5"/>
  <c r="E3062" i="5" s="1"/>
  <c r="B3086" i="5"/>
  <c r="C3086" i="5" s="1"/>
  <c r="D3086" i="5"/>
  <c r="E3086" i="5" s="1"/>
  <c r="B3110" i="5"/>
  <c r="C3110" i="5" s="1"/>
  <c r="D3110" i="5"/>
  <c r="E3110" i="5" s="1"/>
  <c r="B3134" i="5"/>
  <c r="C3134" i="5" s="1"/>
  <c r="D3134" i="5"/>
  <c r="E3134" i="5" s="1"/>
  <c r="B3158" i="5"/>
  <c r="C3158" i="5" s="1"/>
  <c r="D3158" i="5"/>
  <c r="E3158" i="5" s="1"/>
  <c r="B3182" i="5"/>
  <c r="C3182" i="5" s="1"/>
  <c r="D3182" i="5"/>
  <c r="E3182" i="5" s="1"/>
  <c r="B3206" i="5"/>
  <c r="C3206" i="5" s="1"/>
  <c r="D3206" i="5"/>
  <c r="E3206" i="5" s="1"/>
  <c r="B3230" i="5"/>
  <c r="C3230" i="5" s="1"/>
  <c r="D3230" i="5"/>
  <c r="E3230" i="5" s="1"/>
  <c r="B3254" i="5"/>
  <c r="C3254" i="5" s="1"/>
  <c r="D3254" i="5"/>
  <c r="E3254" i="5" s="1"/>
  <c r="B3278" i="5"/>
  <c r="C3278" i="5" s="1"/>
  <c r="D3278" i="5"/>
  <c r="E3278" i="5" s="1"/>
  <c r="B3302" i="5"/>
  <c r="C3302" i="5" s="1"/>
  <c r="D3302" i="5"/>
  <c r="E3302" i="5" s="1"/>
  <c r="D3326" i="5"/>
  <c r="E3326" i="5" s="1"/>
  <c r="B3326" i="5"/>
  <c r="C3326" i="5" s="1"/>
  <c r="B3350" i="5"/>
  <c r="C3350" i="5" s="1"/>
  <c r="D3350" i="5"/>
  <c r="E3350" i="5" s="1"/>
  <c r="B3374" i="5"/>
  <c r="C3374" i="5" s="1"/>
  <c r="D3374" i="5"/>
  <c r="E3374" i="5" s="1"/>
  <c r="B3398" i="5"/>
  <c r="C3398" i="5" s="1"/>
  <c r="D3398" i="5"/>
  <c r="E3398" i="5" s="1"/>
  <c r="B3422" i="5"/>
  <c r="C3422" i="5" s="1"/>
  <c r="D3422" i="5"/>
  <c r="E3422" i="5" s="1"/>
  <c r="B3446" i="5"/>
  <c r="C3446" i="5" s="1"/>
  <c r="D3446" i="5"/>
  <c r="E3446" i="5" s="1"/>
  <c r="B3470" i="5"/>
  <c r="C3470" i="5" s="1"/>
  <c r="D3470" i="5"/>
  <c r="E3470" i="5" s="1"/>
  <c r="B3494" i="5"/>
  <c r="C3494" i="5" s="1"/>
  <c r="D3494" i="5"/>
  <c r="E3494" i="5" s="1"/>
  <c r="B3518" i="5"/>
  <c r="C3518" i="5" s="1"/>
  <c r="D3518" i="5"/>
  <c r="E3518" i="5" s="1"/>
  <c r="B3542" i="5"/>
  <c r="C3542" i="5" s="1"/>
  <c r="D3542" i="5"/>
  <c r="E3542" i="5" s="1"/>
  <c r="B3566" i="5"/>
  <c r="C3566" i="5" s="1"/>
  <c r="D3566" i="5"/>
  <c r="E3566" i="5" s="1"/>
  <c r="B3590" i="5"/>
  <c r="C3590" i="5" s="1"/>
  <c r="D3590" i="5"/>
  <c r="E3590" i="5" s="1"/>
  <c r="B3614" i="5"/>
  <c r="C3614" i="5" s="1"/>
  <c r="D3614" i="5"/>
  <c r="E3614" i="5" s="1"/>
  <c r="B3638" i="5"/>
  <c r="C3638" i="5" s="1"/>
  <c r="D3638" i="5"/>
  <c r="E3638" i="5" s="1"/>
  <c r="B122" i="5"/>
  <c r="C122" i="5" s="1"/>
  <c r="D122" i="5"/>
  <c r="E122" i="5" s="1"/>
  <c r="B266" i="5"/>
  <c r="C266" i="5" s="1"/>
  <c r="D266" i="5"/>
  <c r="E266" i="5" s="1"/>
  <c r="B386" i="5"/>
  <c r="C386" i="5" s="1"/>
  <c r="D386" i="5"/>
  <c r="E386" i="5" s="1"/>
  <c r="B506" i="5"/>
  <c r="C506" i="5" s="1"/>
  <c r="D506" i="5"/>
  <c r="E506" i="5" s="1"/>
  <c r="B602" i="5"/>
  <c r="C602" i="5" s="1"/>
  <c r="D602" i="5"/>
  <c r="E602" i="5" s="1"/>
  <c r="B698" i="5"/>
  <c r="C698" i="5" s="1"/>
  <c r="D698" i="5"/>
  <c r="E698" i="5" s="1"/>
  <c r="B770" i="5"/>
  <c r="C770" i="5" s="1"/>
  <c r="D770" i="5"/>
  <c r="E770" i="5" s="1"/>
  <c r="B842" i="5"/>
  <c r="C842" i="5" s="1"/>
  <c r="D842" i="5"/>
  <c r="E842" i="5" s="1"/>
  <c r="B938" i="5"/>
  <c r="C938" i="5" s="1"/>
  <c r="D938" i="5"/>
  <c r="E938" i="5" s="1"/>
  <c r="B1010" i="5"/>
  <c r="C1010" i="5" s="1"/>
  <c r="D1010" i="5"/>
  <c r="E1010" i="5" s="1"/>
  <c r="B1058" i="5"/>
  <c r="C1058" i="5" s="1"/>
  <c r="D1058" i="5"/>
  <c r="E1058" i="5" s="1"/>
  <c r="B1106" i="5"/>
  <c r="C1106" i="5" s="1"/>
  <c r="D1106" i="5"/>
  <c r="E1106" i="5" s="1"/>
  <c r="B1178" i="5"/>
  <c r="C1178" i="5" s="1"/>
  <c r="D1178" i="5"/>
  <c r="E1178" i="5" s="1"/>
  <c r="B1226" i="5"/>
  <c r="C1226" i="5" s="1"/>
  <c r="D1226" i="5"/>
  <c r="E1226" i="5" s="1"/>
  <c r="B1274" i="5"/>
  <c r="C1274" i="5" s="1"/>
  <c r="D1274" i="5"/>
  <c r="E1274" i="5" s="1"/>
  <c r="B1346" i="5"/>
  <c r="C1346" i="5" s="1"/>
  <c r="D1346" i="5"/>
  <c r="E1346" i="5" s="1"/>
  <c r="B1370" i="5"/>
  <c r="C1370" i="5" s="1"/>
  <c r="D1370" i="5"/>
  <c r="E1370" i="5" s="1"/>
  <c r="B1418" i="5"/>
  <c r="C1418" i="5" s="1"/>
  <c r="D1418" i="5"/>
  <c r="E1418" i="5" s="1"/>
  <c r="B1514" i="5"/>
  <c r="C1514" i="5" s="1"/>
  <c r="D1514" i="5"/>
  <c r="E1514" i="5" s="1"/>
  <c r="B1586" i="5"/>
  <c r="C1586" i="5" s="1"/>
  <c r="D1586" i="5"/>
  <c r="E1586" i="5" s="1"/>
  <c r="B1634" i="5"/>
  <c r="C1634" i="5" s="1"/>
  <c r="D1634" i="5"/>
  <c r="E1634" i="5" s="1"/>
  <c r="B1706" i="5"/>
  <c r="C1706" i="5" s="1"/>
  <c r="D1706" i="5"/>
  <c r="E1706" i="5" s="1"/>
  <c r="B1754" i="5"/>
  <c r="C1754" i="5" s="1"/>
  <c r="D1754" i="5"/>
  <c r="E1754" i="5" s="1"/>
  <c r="B1826" i="5"/>
  <c r="C1826" i="5" s="1"/>
  <c r="D1826" i="5"/>
  <c r="E1826" i="5" s="1"/>
  <c r="B1874" i="5"/>
  <c r="C1874" i="5" s="1"/>
  <c r="D1874" i="5"/>
  <c r="E1874" i="5" s="1"/>
  <c r="B1970" i="5"/>
  <c r="C1970" i="5" s="1"/>
  <c r="D1970" i="5"/>
  <c r="E1970" i="5" s="1"/>
  <c r="B2018" i="5"/>
  <c r="C2018" i="5" s="1"/>
  <c r="D2018" i="5"/>
  <c r="E2018" i="5" s="1"/>
  <c r="B2066" i="5"/>
  <c r="C2066" i="5" s="1"/>
  <c r="D2066" i="5"/>
  <c r="E2066" i="5" s="1"/>
  <c r="B2162" i="5"/>
  <c r="C2162" i="5" s="1"/>
  <c r="D2162" i="5"/>
  <c r="E2162" i="5" s="1"/>
  <c r="B2210" i="5"/>
  <c r="C2210" i="5" s="1"/>
  <c r="D2210" i="5"/>
  <c r="E2210" i="5" s="1"/>
  <c r="D2258" i="5"/>
  <c r="E2258" i="5" s="1"/>
  <c r="B2258" i="5"/>
  <c r="C2258" i="5" s="1"/>
  <c r="B2306" i="5"/>
  <c r="C2306" i="5" s="1"/>
  <c r="D2306" i="5"/>
  <c r="E2306" i="5" s="1"/>
  <c r="B2354" i="5"/>
  <c r="C2354" i="5" s="1"/>
  <c r="D2354" i="5"/>
  <c r="E2354" i="5" s="1"/>
  <c r="D2402" i="5"/>
  <c r="E2402" i="5" s="1"/>
  <c r="B2402" i="5"/>
  <c r="C2402" i="5" s="1"/>
  <c r="B2474" i="5"/>
  <c r="C2474" i="5" s="1"/>
  <c r="D2474" i="5"/>
  <c r="E2474" i="5" s="1"/>
  <c r="B2498" i="5"/>
  <c r="C2498" i="5" s="1"/>
  <c r="D2498" i="5"/>
  <c r="E2498" i="5" s="1"/>
  <c r="B2570" i="5"/>
  <c r="C2570" i="5" s="1"/>
  <c r="D2570" i="5"/>
  <c r="E2570" i="5" s="1"/>
  <c r="B2690" i="5"/>
  <c r="C2690" i="5" s="1"/>
  <c r="D2690" i="5"/>
  <c r="E2690" i="5" s="1"/>
  <c r="B2810" i="5"/>
  <c r="C2810" i="5" s="1"/>
  <c r="D2810" i="5"/>
  <c r="E2810" i="5" s="1"/>
  <c r="B2930" i="5"/>
  <c r="C2930" i="5" s="1"/>
  <c r="D2930" i="5"/>
  <c r="E2930" i="5" s="1"/>
  <c r="B3026" i="5"/>
  <c r="C3026" i="5" s="1"/>
  <c r="D3026" i="5"/>
  <c r="E3026" i="5" s="1"/>
  <c r="B3122" i="5"/>
  <c r="C3122" i="5" s="1"/>
  <c r="D3122" i="5"/>
  <c r="E3122" i="5" s="1"/>
  <c r="B3242" i="5"/>
  <c r="C3242" i="5" s="1"/>
  <c r="D3242" i="5"/>
  <c r="E3242" i="5" s="1"/>
  <c r="B3338" i="5"/>
  <c r="C3338" i="5" s="1"/>
  <c r="D3338" i="5"/>
  <c r="E3338" i="5" s="1"/>
  <c r="B3434" i="5"/>
  <c r="C3434" i="5" s="1"/>
  <c r="D3434" i="5"/>
  <c r="E3434" i="5" s="1"/>
  <c r="B3506" i="5"/>
  <c r="C3506" i="5" s="1"/>
  <c r="D3506" i="5"/>
  <c r="E3506" i="5" s="1"/>
  <c r="B3578" i="5"/>
  <c r="C3578" i="5" s="1"/>
  <c r="D3578" i="5"/>
  <c r="E3578" i="5" s="1"/>
  <c r="B75" i="5"/>
  <c r="C75" i="5" s="1"/>
  <c r="D75" i="5"/>
  <c r="E75" i="5" s="1"/>
  <c r="B147" i="5"/>
  <c r="C147" i="5" s="1"/>
  <c r="D147" i="5"/>
  <c r="E147" i="5" s="1"/>
  <c r="B195" i="5"/>
  <c r="C195" i="5" s="1"/>
  <c r="D195" i="5"/>
  <c r="E195" i="5" s="1"/>
  <c r="B243" i="5"/>
  <c r="C243" i="5" s="1"/>
  <c r="D243" i="5"/>
  <c r="E243" i="5" s="1"/>
  <c r="B267" i="5"/>
  <c r="C267" i="5" s="1"/>
  <c r="D267" i="5"/>
  <c r="E267" i="5" s="1"/>
  <c r="B315" i="5"/>
  <c r="C315" i="5" s="1"/>
  <c r="D315" i="5"/>
  <c r="E315" i="5" s="1"/>
  <c r="B339" i="5"/>
  <c r="C339" i="5" s="1"/>
  <c r="D339" i="5"/>
  <c r="E339" i="5" s="1"/>
  <c r="B363" i="5"/>
  <c r="C363" i="5" s="1"/>
  <c r="D363" i="5"/>
  <c r="E363" i="5" s="1"/>
  <c r="B387" i="5"/>
  <c r="C387" i="5" s="1"/>
  <c r="D387" i="5"/>
  <c r="E387" i="5" s="1"/>
  <c r="B411" i="5"/>
  <c r="C411" i="5" s="1"/>
  <c r="D411" i="5"/>
  <c r="E411" i="5" s="1"/>
  <c r="B435" i="5"/>
  <c r="C435" i="5" s="1"/>
  <c r="D435" i="5"/>
  <c r="E435" i="5" s="1"/>
  <c r="B459" i="5"/>
  <c r="C459" i="5" s="1"/>
  <c r="D459" i="5"/>
  <c r="E459" i="5" s="1"/>
  <c r="B483" i="5"/>
  <c r="C483" i="5" s="1"/>
  <c r="D483" i="5"/>
  <c r="E483" i="5" s="1"/>
  <c r="B507" i="5"/>
  <c r="C507" i="5" s="1"/>
  <c r="D507" i="5"/>
  <c r="E507" i="5" s="1"/>
  <c r="B531" i="5"/>
  <c r="C531" i="5" s="1"/>
  <c r="D531" i="5"/>
  <c r="E531" i="5" s="1"/>
  <c r="B555" i="5"/>
  <c r="C555" i="5" s="1"/>
  <c r="D555" i="5"/>
  <c r="E555" i="5" s="1"/>
  <c r="B579" i="5"/>
  <c r="C579" i="5" s="1"/>
  <c r="D579" i="5"/>
  <c r="E579" i="5" s="1"/>
  <c r="B603" i="5"/>
  <c r="C603" i="5" s="1"/>
  <c r="D603" i="5"/>
  <c r="E603" i="5" s="1"/>
  <c r="B627" i="5"/>
  <c r="C627" i="5" s="1"/>
  <c r="D627" i="5"/>
  <c r="E627" i="5" s="1"/>
  <c r="B651" i="5"/>
  <c r="C651" i="5" s="1"/>
  <c r="D651" i="5"/>
  <c r="E651" i="5" s="1"/>
  <c r="B675" i="5"/>
  <c r="C675" i="5" s="1"/>
  <c r="D675" i="5"/>
  <c r="E675" i="5" s="1"/>
  <c r="B699" i="5"/>
  <c r="C699" i="5" s="1"/>
  <c r="D699" i="5"/>
  <c r="E699" i="5" s="1"/>
  <c r="B723" i="5"/>
  <c r="C723" i="5" s="1"/>
  <c r="D723" i="5"/>
  <c r="E723" i="5" s="1"/>
  <c r="B747" i="5"/>
  <c r="C747" i="5" s="1"/>
  <c r="D747" i="5"/>
  <c r="E747" i="5" s="1"/>
  <c r="B771" i="5"/>
  <c r="C771" i="5" s="1"/>
  <c r="D771" i="5"/>
  <c r="E771" i="5" s="1"/>
  <c r="B795" i="5"/>
  <c r="C795" i="5" s="1"/>
  <c r="D795" i="5"/>
  <c r="E795" i="5" s="1"/>
  <c r="B819" i="5"/>
  <c r="C819" i="5" s="1"/>
  <c r="D819" i="5"/>
  <c r="E819" i="5" s="1"/>
  <c r="B843" i="5"/>
  <c r="C843" i="5" s="1"/>
  <c r="D843" i="5"/>
  <c r="E843" i="5" s="1"/>
  <c r="B867" i="5"/>
  <c r="C867" i="5" s="1"/>
  <c r="D867" i="5"/>
  <c r="E867" i="5" s="1"/>
  <c r="B891" i="5"/>
  <c r="C891" i="5" s="1"/>
  <c r="D891" i="5"/>
  <c r="E891" i="5" s="1"/>
  <c r="B915" i="5"/>
  <c r="C915" i="5" s="1"/>
  <c r="D915" i="5"/>
  <c r="E915" i="5" s="1"/>
  <c r="B939" i="5"/>
  <c r="C939" i="5" s="1"/>
  <c r="D939" i="5"/>
  <c r="E939" i="5" s="1"/>
  <c r="B963" i="5"/>
  <c r="C963" i="5" s="1"/>
  <c r="D963" i="5"/>
  <c r="E963" i="5" s="1"/>
  <c r="B987" i="5"/>
  <c r="C987" i="5" s="1"/>
  <c r="D987" i="5"/>
  <c r="E987" i="5" s="1"/>
  <c r="B1011" i="5"/>
  <c r="C1011" i="5" s="1"/>
  <c r="D1011" i="5"/>
  <c r="E1011" i="5" s="1"/>
  <c r="B1035" i="5"/>
  <c r="C1035" i="5" s="1"/>
  <c r="D1035" i="5"/>
  <c r="E1035" i="5" s="1"/>
  <c r="B1059" i="5"/>
  <c r="C1059" i="5" s="1"/>
  <c r="D1059" i="5"/>
  <c r="E1059" i="5" s="1"/>
  <c r="B1083" i="5"/>
  <c r="C1083" i="5" s="1"/>
  <c r="D1083" i="5"/>
  <c r="E1083" i="5" s="1"/>
  <c r="B1107" i="5"/>
  <c r="C1107" i="5" s="1"/>
  <c r="D1107" i="5"/>
  <c r="E1107" i="5" s="1"/>
  <c r="B1131" i="5"/>
  <c r="C1131" i="5" s="1"/>
  <c r="D1131" i="5"/>
  <c r="E1131" i="5" s="1"/>
  <c r="B1155" i="5"/>
  <c r="C1155" i="5" s="1"/>
  <c r="D1155" i="5"/>
  <c r="E1155" i="5" s="1"/>
  <c r="B1179" i="5"/>
  <c r="C1179" i="5" s="1"/>
  <c r="D1179" i="5"/>
  <c r="E1179" i="5" s="1"/>
  <c r="B1203" i="5"/>
  <c r="C1203" i="5" s="1"/>
  <c r="D1203" i="5"/>
  <c r="E1203" i="5" s="1"/>
  <c r="B1227" i="5"/>
  <c r="C1227" i="5" s="1"/>
  <c r="D1227" i="5"/>
  <c r="E1227" i="5" s="1"/>
  <c r="B1251" i="5"/>
  <c r="C1251" i="5" s="1"/>
  <c r="D1251" i="5"/>
  <c r="E1251" i="5" s="1"/>
  <c r="B1275" i="5"/>
  <c r="C1275" i="5" s="1"/>
  <c r="D1275" i="5"/>
  <c r="E1275" i="5" s="1"/>
  <c r="B1299" i="5"/>
  <c r="C1299" i="5" s="1"/>
  <c r="D1299" i="5"/>
  <c r="E1299" i="5" s="1"/>
  <c r="B1323" i="5"/>
  <c r="C1323" i="5" s="1"/>
  <c r="D1323" i="5"/>
  <c r="E1323" i="5" s="1"/>
  <c r="B1347" i="5"/>
  <c r="C1347" i="5" s="1"/>
  <c r="D1347" i="5"/>
  <c r="E1347" i="5" s="1"/>
  <c r="B1371" i="5"/>
  <c r="C1371" i="5" s="1"/>
  <c r="D1371" i="5"/>
  <c r="E1371" i="5" s="1"/>
  <c r="B1395" i="5"/>
  <c r="C1395" i="5" s="1"/>
  <c r="D1395" i="5"/>
  <c r="E1395" i="5" s="1"/>
  <c r="B1419" i="5"/>
  <c r="C1419" i="5" s="1"/>
  <c r="D1419" i="5"/>
  <c r="E1419" i="5" s="1"/>
  <c r="D1443" i="5"/>
  <c r="E1443" i="5" s="1"/>
  <c r="B1443" i="5"/>
  <c r="C1443" i="5" s="1"/>
  <c r="D1467" i="5"/>
  <c r="E1467" i="5" s="1"/>
  <c r="B1467" i="5"/>
  <c r="C1467" i="5" s="1"/>
  <c r="B1491" i="5"/>
  <c r="C1491" i="5" s="1"/>
  <c r="D1491" i="5"/>
  <c r="E1491" i="5" s="1"/>
  <c r="B1515" i="5"/>
  <c r="C1515" i="5" s="1"/>
  <c r="D1515" i="5"/>
  <c r="E1515" i="5" s="1"/>
  <c r="B1539" i="5"/>
  <c r="C1539" i="5" s="1"/>
  <c r="D1539" i="5"/>
  <c r="E1539" i="5" s="1"/>
  <c r="B1563" i="5"/>
  <c r="C1563" i="5" s="1"/>
  <c r="D1563" i="5"/>
  <c r="E1563" i="5" s="1"/>
  <c r="D1587" i="5"/>
  <c r="E1587" i="5" s="1"/>
  <c r="B1587" i="5"/>
  <c r="C1587" i="5" s="1"/>
  <c r="B1611" i="5"/>
  <c r="C1611" i="5" s="1"/>
  <c r="D1611" i="5"/>
  <c r="E1611" i="5" s="1"/>
  <c r="B1635" i="5"/>
  <c r="C1635" i="5" s="1"/>
  <c r="D1635" i="5"/>
  <c r="E1635" i="5" s="1"/>
  <c r="B1659" i="5"/>
  <c r="C1659" i="5" s="1"/>
  <c r="D1659" i="5"/>
  <c r="E1659" i="5" s="1"/>
  <c r="B1683" i="5"/>
  <c r="C1683" i="5" s="1"/>
  <c r="D1683" i="5"/>
  <c r="E1683" i="5" s="1"/>
  <c r="D1707" i="5"/>
  <c r="E1707" i="5" s="1"/>
  <c r="B1707" i="5"/>
  <c r="C1707" i="5" s="1"/>
  <c r="B1731" i="5"/>
  <c r="C1731" i="5" s="1"/>
  <c r="D1731" i="5"/>
  <c r="E1731" i="5" s="1"/>
  <c r="B1755" i="5"/>
  <c r="C1755" i="5" s="1"/>
  <c r="D1755" i="5"/>
  <c r="E1755" i="5" s="1"/>
  <c r="B1779" i="5"/>
  <c r="C1779" i="5" s="1"/>
  <c r="D1779" i="5"/>
  <c r="E1779" i="5" s="1"/>
  <c r="B1803" i="5"/>
  <c r="C1803" i="5" s="1"/>
  <c r="D1803" i="5"/>
  <c r="E1803" i="5" s="1"/>
  <c r="B1827" i="5"/>
  <c r="C1827" i="5" s="1"/>
  <c r="D1827" i="5"/>
  <c r="E1827" i="5" s="1"/>
  <c r="B1851" i="5"/>
  <c r="C1851" i="5" s="1"/>
  <c r="D1851" i="5"/>
  <c r="E1851" i="5" s="1"/>
  <c r="B1875" i="5"/>
  <c r="C1875" i="5" s="1"/>
  <c r="D1875" i="5"/>
  <c r="E1875" i="5" s="1"/>
  <c r="B1899" i="5"/>
  <c r="C1899" i="5" s="1"/>
  <c r="D1899" i="5"/>
  <c r="E1899" i="5" s="1"/>
  <c r="B1923" i="5"/>
  <c r="C1923" i="5" s="1"/>
  <c r="D1923" i="5"/>
  <c r="E1923" i="5" s="1"/>
  <c r="B1947" i="5"/>
  <c r="C1947" i="5" s="1"/>
  <c r="D1947" i="5"/>
  <c r="E1947" i="5" s="1"/>
  <c r="D1971" i="5"/>
  <c r="E1971" i="5" s="1"/>
  <c r="B1971" i="5"/>
  <c r="C1971" i="5" s="1"/>
  <c r="B1995" i="5"/>
  <c r="C1995" i="5" s="1"/>
  <c r="D1995" i="5"/>
  <c r="E1995" i="5" s="1"/>
  <c r="D2019" i="5"/>
  <c r="E2019" i="5" s="1"/>
  <c r="B2019" i="5"/>
  <c r="C2019" i="5" s="1"/>
  <c r="B2043" i="5"/>
  <c r="C2043" i="5" s="1"/>
  <c r="D2043" i="5"/>
  <c r="E2043" i="5" s="1"/>
  <c r="B2067" i="5"/>
  <c r="C2067" i="5" s="1"/>
  <c r="D2067" i="5"/>
  <c r="E2067" i="5" s="1"/>
  <c r="B2091" i="5"/>
  <c r="C2091" i="5" s="1"/>
  <c r="D2091" i="5"/>
  <c r="E2091" i="5" s="1"/>
  <c r="B2115" i="5"/>
  <c r="C2115" i="5" s="1"/>
  <c r="D2115" i="5"/>
  <c r="E2115" i="5" s="1"/>
  <c r="B2139" i="5"/>
  <c r="C2139" i="5" s="1"/>
  <c r="D2139" i="5"/>
  <c r="E2139" i="5" s="1"/>
  <c r="B2163" i="5"/>
  <c r="C2163" i="5" s="1"/>
  <c r="D2163" i="5"/>
  <c r="E2163" i="5" s="1"/>
  <c r="B2187" i="5"/>
  <c r="C2187" i="5" s="1"/>
  <c r="D2187" i="5"/>
  <c r="E2187" i="5" s="1"/>
  <c r="B2211" i="5"/>
  <c r="C2211" i="5" s="1"/>
  <c r="D2211" i="5"/>
  <c r="E2211" i="5" s="1"/>
  <c r="B2235" i="5"/>
  <c r="C2235" i="5" s="1"/>
  <c r="D2235" i="5"/>
  <c r="E2235" i="5" s="1"/>
  <c r="D2259" i="5"/>
  <c r="E2259" i="5" s="1"/>
  <c r="B2259" i="5"/>
  <c r="C2259" i="5" s="1"/>
  <c r="B2283" i="5"/>
  <c r="C2283" i="5" s="1"/>
  <c r="D2283" i="5"/>
  <c r="E2283" i="5" s="1"/>
  <c r="B2307" i="5"/>
  <c r="C2307" i="5" s="1"/>
  <c r="D2307" i="5"/>
  <c r="E2307" i="5" s="1"/>
  <c r="B2331" i="5"/>
  <c r="C2331" i="5" s="1"/>
  <c r="D2331" i="5"/>
  <c r="E2331" i="5" s="1"/>
  <c r="B2355" i="5"/>
  <c r="C2355" i="5" s="1"/>
  <c r="D2355" i="5"/>
  <c r="E2355" i="5" s="1"/>
  <c r="B2379" i="5"/>
  <c r="C2379" i="5" s="1"/>
  <c r="D2379" i="5"/>
  <c r="E2379" i="5" s="1"/>
  <c r="B2403" i="5"/>
  <c r="C2403" i="5" s="1"/>
  <c r="D2403" i="5"/>
  <c r="E2403" i="5" s="1"/>
  <c r="B2427" i="5"/>
  <c r="C2427" i="5" s="1"/>
  <c r="D2427" i="5"/>
  <c r="E2427" i="5" s="1"/>
  <c r="B2451" i="5"/>
  <c r="C2451" i="5" s="1"/>
  <c r="D2451" i="5"/>
  <c r="E2451" i="5" s="1"/>
  <c r="B2475" i="5"/>
  <c r="C2475" i="5" s="1"/>
  <c r="D2475" i="5"/>
  <c r="E2475" i="5" s="1"/>
  <c r="B2499" i="5"/>
  <c r="C2499" i="5" s="1"/>
  <c r="D2499" i="5"/>
  <c r="E2499" i="5" s="1"/>
  <c r="D2523" i="5"/>
  <c r="E2523" i="5" s="1"/>
  <c r="B2523" i="5"/>
  <c r="C2523" i="5" s="1"/>
  <c r="B2547" i="5"/>
  <c r="C2547" i="5" s="1"/>
  <c r="D2547" i="5"/>
  <c r="E2547" i="5" s="1"/>
  <c r="B2571" i="5"/>
  <c r="C2571" i="5" s="1"/>
  <c r="D2571" i="5"/>
  <c r="E2571" i="5" s="1"/>
  <c r="B2595" i="5"/>
  <c r="C2595" i="5" s="1"/>
  <c r="D2595" i="5"/>
  <c r="E2595" i="5" s="1"/>
  <c r="B2619" i="5"/>
  <c r="C2619" i="5" s="1"/>
  <c r="D2619" i="5"/>
  <c r="E2619" i="5" s="1"/>
  <c r="B2643" i="5"/>
  <c r="C2643" i="5" s="1"/>
  <c r="D2643" i="5"/>
  <c r="E2643" i="5" s="1"/>
  <c r="B2667" i="5"/>
  <c r="C2667" i="5" s="1"/>
  <c r="D2667" i="5"/>
  <c r="E2667" i="5" s="1"/>
  <c r="B2691" i="5"/>
  <c r="C2691" i="5" s="1"/>
  <c r="D2691" i="5"/>
  <c r="E2691" i="5" s="1"/>
  <c r="B2715" i="5"/>
  <c r="C2715" i="5" s="1"/>
  <c r="D2715" i="5"/>
  <c r="E2715" i="5" s="1"/>
  <c r="B2739" i="5"/>
  <c r="C2739" i="5" s="1"/>
  <c r="D2739" i="5"/>
  <c r="E2739" i="5" s="1"/>
  <c r="D2763" i="5"/>
  <c r="E2763" i="5" s="1"/>
  <c r="B2763" i="5"/>
  <c r="C2763" i="5" s="1"/>
  <c r="B2787" i="5"/>
  <c r="C2787" i="5" s="1"/>
  <c r="D2787" i="5"/>
  <c r="E2787" i="5" s="1"/>
  <c r="B2811" i="5"/>
  <c r="C2811" i="5" s="1"/>
  <c r="D2811" i="5"/>
  <c r="E2811" i="5" s="1"/>
  <c r="B2835" i="5"/>
  <c r="C2835" i="5" s="1"/>
  <c r="D2835" i="5"/>
  <c r="E2835" i="5" s="1"/>
  <c r="B2859" i="5"/>
  <c r="C2859" i="5" s="1"/>
  <c r="D2859" i="5"/>
  <c r="E2859" i="5" s="1"/>
  <c r="B2883" i="5"/>
  <c r="C2883" i="5" s="1"/>
  <c r="D2883" i="5"/>
  <c r="E2883" i="5" s="1"/>
  <c r="B2907" i="5"/>
  <c r="C2907" i="5" s="1"/>
  <c r="D2907" i="5"/>
  <c r="E2907" i="5" s="1"/>
  <c r="B2931" i="5"/>
  <c r="C2931" i="5" s="1"/>
  <c r="D2931" i="5"/>
  <c r="E2931" i="5" s="1"/>
  <c r="B2955" i="5"/>
  <c r="C2955" i="5" s="1"/>
  <c r="D2955" i="5"/>
  <c r="E2955" i="5" s="1"/>
  <c r="B2979" i="5"/>
  <c r="C2979" i="5" s="1"/>
  <c r="D2979" i="5"/>
  <c r="E2979" i="5" s="1"/>
  <c r="B3003" i="5"/>
  <c r="C3003" i="5" s="1"/>
  <c r="D3003" i="5"/>
  <c r="E3003" i="5" s="1"/>
  <c r="B3027" i="5"/>
  <c r="C3027" i="5" s="1"/>
  <c r="D3027" i="5"/>
  <c r="E3027" i="5" s="1"/>
  <c r="B3051" i="5"/>
  <c r="C3051" i="5" s="1"/>
  <c r="D3051" i="5"/>
  <c r="E3051" i="5" s="1"/>
  <c r="B3075" i="5"/>
  <c r="C3075" i="5" s="1"/>
  <c r="D3075" i="5"/>
  <c r="E3075" i="5" s="1"/>
  <c r="B3099" i="5"/>
  <c r="C3099" i="5" s="1"/>
  <c r="D3099" i="5"/>
  <c r="E3099" i="5" s="1"/>
  <c r="B3123" i="5"/>
  <c r="C3123" i="5" s="1"/>
  <c r="D3123" i="5"/>
  <c r="E3123" i="5" s="1"/>
  <c r="B3147" i="5"/>
  <c r="C3147" i="5" s="1"/>
  <c r="D3147" i="5"/>
  <c r="E3147" i="5" s="1"/>
  <c r="B3171" i="5"/>
  <c r="C3171" i="5" s="1"/>
  <c r="D3171" i="5"/>
  <c r="E3171" i="5" s="1"/>
  <c r="B3195" i="5"/>
  <c r="C3195" i="5" s="1"/>
  <c r="D3195" i="5"/>
  <c r="E3195" i="5" s="1"/>
  <c r="B3219" i="5"/>
  <c r="C3219" i="5" s="1"/>
  <c r="D3219" i="5"/>
  <c r="E3219" i="5" s="1"/>
  <c r="B3243" i="5"/>
  <c r="C3243" i="5" s="1"/>
  <c r="D3243" i="5"/>
  <c r="E3243" i="5" s="1"/>
  <c r="B3267" i="5"/>
  <c r="C3267" i="5" s="1"/>
  <c r="D3267" i="5"/>
  <c r="E3267" i="5" s="1"/>
  <c r="B3291" i="5"/>
  <c r="C3291" i="5" s="1"/>
  <c r="D3291" i="5"/>
  <c r="E3291" i="5" s="1"/>
  <c r="D3315" i="5"/>
  <c r="E3315" i="5" s="1"/>
  <c r="B3315" i="5"/>
  <c r="C3315" i="5" s="1"/>
  <c r="B3339" i="5"/>
  <c r="C3339" i="5" s="1"/>
  <c r="D3339" i="5"/>
  <c r="E3339" i="5" s="1"/>
  <c r="B3363" i="5"/>
  <c r="C3363" i="5" s="1"/>
  <c r="D3363" i="5"/>
  <c r="E3363" i="5" s="1"/>
  <c r="B3387" i="5"/>
  <c r="C3387" i="5" s="1"/>
  <c r="D3387" i="5"/>
  <c r="E3387" i="5" s="1"/>
  <c r="B3411" i="5"/>
  <c r="C3411" i="5" s="1"/>
  <c r="D3411" i="5"/>
  <c r="E3411" i="5" s="1"/>
  <c r="B3435" i="5"/>
  <c r="C3435" i="5" s="1"/>
  <c r="D3435" i="5"/>
  <c r="E3435" i="5" s="1"/>
  <c r="B3459" i="5"/>
  <c r="C3459" i="5" s="1"/>
  <c r="D3459" i="5"/>
  <c r="E3459" i="5" s="1"/>
  <c r="B3483" i="5"/>
  <c r="C3483" i="5" s="1"/>
  <c r="D3483" i="5"/>
  <c r="E3483" i="5" s="1"/>
  <c r="B3507" i="5"/>
  <c r="C3507" i="5" s="1"/>
  <c r="D3507" i="5"/>
  <c r="E3507" i="5" s="1"/>
  <c r="B3531" i="5"/>
  <c r="C3531" i="5" s="1"/>
  <c r="D3531" i="5"/>
  <c r="E3531" i="5" s="1"/>
  <c r="B3555" i="5"/>
  <c r="C3555" i="5" s="1"/>
  <c r="D3555" i="5"/>
  <c r="E3555" i="5" s="1"/>
  <c r="B3579" i="5"/>
  <c r="C3579" i="5" s="1"/>
  <c r="D3579" i="5"/>
  <c r="E3579" i="5" s="1"/>
  <c r="B3603" i="5"/>
  <c r="C3603" i="5" s="1"/>
  <c r="D3603" i="5"/>
  <c r="E3603" i="5" s="1"/>
  <c r="B3627" i="5"/>
  <c r="C3627" i="5" s="1"/>
  <c r="D3627" i="5"/>
  <c r="E3627" i="5" s="1"/>
  <c r="B3651" i="5"/>
  <c r="C3651" i="5" s="1"/>
  <c r="D3651" i="5"/>
  <c r="E3651" i="5" s="1"/>
  <c r="B3409" i="5"/>
  <c r="C3409" i="5" s="1"/>
  <c r="D3409" i="5"/>
  <c r="E3409" i="5" s="1"/>
  <c r="B98" i="5"/>
  <c r="C98" i="5" s="1"/>
  <c r="D98" i="5"/>
  <c r="E98" i="5" s="1"/>
  <c r="B650" i="5"/>
  <c r="C650" i="5" s="1"/>
  <c r="D650" i="5"/>
  <c r="E650" i="5" s="1"/>
  <c r="B1250" i="5"/>
  <c r="C1250" i="5" s="1"/>
  <c r="D1250" i="5"/>
  <c r="E1250" i="5" s="1"/>
  <c r="D1922" i="5"/>
  <c r="E1922" i="5" s="1"/>
  <c r="B1922" i="5"/>
  <c r="C1922" i="5" s="1"/>
  <c r="B2666" i="5"/>
  <c r="C2666" i="5" s="1"/>
  <c r="D2666" i="5"/>
  <c r="E2666" i="5" s="1"/>
  <c r="B3602" i="5"/>
  <c r="C3602" i="5" s="1"/>
  <c r="D3602" i="5"/>
  <c r="E3602" i="5" s="1"/>
  <c r="B51" i="5"/>
  <c r="C51" i="5" s="1"/>
  <c r="D51" i="5"/>
  <c r="E51" i="5" s="1"/>
  <c r="B99" i="5"/>
  <c r="C99" i="5" s="1"/>
  <c r="D99" i="5"/>
  <c r="E99" i="5" s="1"/>
  <c r="B123" i="5"/>
  <c r="C123" i="5" s="1"/>
  <c r="D123" i="5"/>
  <c r="E123" i="5" s="1"/>
  <c r="B171" i="5"/>
  <c r="C171" i="5" s="1"/>
  <c r="D171" i="5"/>
  <c r="E171" i="5" s="1"/>
  <c r="B219" i="5"/>
  <c r="C219" i="5" s="1"/>
  <c r="D219" i="5"/>
  <c r="E219" i="5" s="1"/>
  <c r="B291" i="5"/>
  <c r="C291" i="5" s="1"/>
  <c r="D291" i="5"/>
  <c r="E291" i="5" s="1"/>
  <c r="B28" i="5"/>
  <c r="C28" i="5" s="1"/>
  <c r="D28" i="5"/>
  <c r="E28" i="5" s="1"/>
  <c r="B52" i="5"/>
  <c r="C52" i="5" s="1"/>
  <c r="D52" i="5"/>
  <c r="E52" i="5" s="1"/>
  <c r="B100" i="5"/>
  <c r="C100" i="5" s="1"/>
  <c r="D100" i="5"/>
  <c r="E100" i="5" s="1"/>
  <c r="B124" i="5"/>
  <c r="C124" i="5" s="1"/>
  <c r="D124" i="5"/>
  <c r="E124" i="5" s="1"/>
  <c r="B148" i="5"/>
  <c r="C148" i="5" s="1"/>
  <c r="D148" i="5"/>
  <c r="E148" i="5" s="1"/>
  <c r="B196" i="5"/>
  <c r="C196" i="5" s="1"/>
  <c r="D196" i="5"/>
  <c r="E196" i="5" s="1"/>
  <c r="B220" i="5"/>
  <c r="C220" i="5" s="1"/>
  <c r="D220" i="5"/>
  <c r="E220" i="5" s="1"/>
  <c r="B292" i="5"/>
  <c r="C292" i="5" s="1"/>
  <c r="D292" i="5"/>
  <c r="E292" i="5" s="1"/>
  <c r="B316" i="5"/>
  <c r="C316" i="5" s="1"/>
  <c r="D316" i="5"/>
  <c r="E316" i="5" s="1"/>
  <c r="B388" i="5"/>
  <c r="C388" i="5" s="1"/>
  <c r="D388" i="5"/>
  <c r="E388" i="5" s="1"/>
  <c r="B436" i="5"/>
  <c r="C436" i="5" s="1"/>
  <c r="D436" i="5"/>
  <c r="E436" i="5" s="1"/>
  <c r="B484" i="5"/>
  <c r="C484" i="5" s="1"/>
  <c r="D484" i="5"/>
  <c r="E484" i="5" s="1"/>
  <c r="B508" i="5"/>
  <c r="C508" i="5" s="1"/>
  <c r="D508" i="5"/>
  <c r="E508" i="5" s="1"/>
  <c r="B532" i="5"/>
  <c r="C532" i="5" s="1"/>
  <c r="D532" i="5"/>
  <c r="E532" i="5" s="1"/>
  <c r="B556" i="5"/>
  <c r="C556" i="5" s="1"/>
  <c r="D556" i="5"/>
  <c r="E556" i="5" s="1"/>
  <c r="B580" i="5"/>
  <c r="C580" i="5" s="1"/>
  <c r="D580" i="5"/>
  <c r="E580" i="5" s="1"/>
  <c r="B628" i="5"/>
  <c r="C628" i="5" s="1"/>
  <c r="D628" i="5"/>
  <c r="E628" i="5" s="1"/>
  <c r="B652" i="5"/>
  <c r="C652" i="5" s="1"/>
  <c r="D652" i="5"/>
  <c r="E652" i="5" s="1"/>
  <c r="B676" i="5"/>
  <c r="C676" i="5" s="1"/>
  <c r="D676" i="5"/>
  <c r="E676" i="5" s="1"/>
  <c r="D700" i="5"/>
  <c r="E700" i="5" s="1"/>
  <c r="B700" i="5"/>
  <c r="C700" i="5" s="1"/>
  <c r="B724" i="5"/>
  <c r="C724" i="5" s="1"/>
  <c r="D724" i="5"/>
  <c r="E724" i="5" s="1"/>
  <c r="B772" i="5"/>
  <c r="C772" i="5" s="1"/>
  <c r="D772" i="5"/>
  <c r="E772" i="5" s="1"/>
  <c r="B820" i="5"/>
  <c r="C820" i="5" s="1"/>
  <c r="D820" i="5"/>
  <c r="E820" i="5" s="1"/>
  <c r="B844" i="5"/>
  <c r="C844" i="5" s="1"/>
  <c r="D844" i="5"/>
  <c r="E844" i="5" s="1"/>
  <c r="B868" i="5"/>
  <c r="C868" i="5" s="1"/>
  <c r="D868" i="5"/>
  <c r="E868" i="5" s="1"/>
  <c r="B892" i="5"/>
  <c r="C892" i="5" s="1"/>
  <c r="D892" i="5"/>
  <c r="E892" i="5" s="1"/>
  <c r="B916" i="5"/>
  <c r="C916" i="5" s="1"/>
  <c r="D916" i="5"/>
  <c r="E916" i="5" s="1"/>
  <c r="B940" i="5"/>
  <c r="C940" i="5" s="1"/>
  <c r="D940" i="5"/>
  <c r="E940" i="5" s="1"/>
  <c r="B964" i="5"/>
  <c r="C964" i="5" s="1"/>
  <c r="D964" i="5"/>
  <c r="E964" i="5" s="1"/>
  <c r="B988" i="5"/>
  <c r="C988" i="5" s="1"/>
  <c r="D988" i="5"/>
  <c r="E988" i="5" s="1"/>
  <c r="B1012" i="5"/>
  <c r="C1012" i="5" s="1"/>
  <c r="D1012" i="5"/>
  <c r="E1012" i="5" s="1"/>
  <c r="B1036" i="5"/>
  <c r="C1036" i="5" s="1"/>
  <c r="D1036" i="5"/>
  <c r="E1036" i="5" s="1"/>
  <c r="B1084" i="5"/>
  <c r="C1084" i="5" s="1"/>
  <c r="D1084" i="5"/>
  <c r="E1084" i="5" s="1"/>
  <c r="B1132" i="5"/>
  <c r="C1132" i="5" s="1"/>
  <c r="D1132" i="5"/>
  <c r="E1132" i="5" s="1"/>
  <c r="B1156" i="5"/>
  <c r="C1156" i="5" s="1"/>
  <c r="D1156" i="5"/>
  <c r="E1156" i="5" s="1"/>
  <c r="B1180" i="5"/>
  <c r="C1180" i="5" s="1"/>
  <c r="D1180" i="5"/>
  <c r="E1180" i="5" s="1"/>
  <c r="B1204" i="5"/>
  <c r="C1204" i="5" s="1"/>
  <c r="D1204" i="5"/>
  <c r="E1204" i="5" s="1"/>
  <c r="B1252" i="5"/>
  <c r="C1252" i="5" s="1"/>
  <c r="D1252" i="5"/>
  <c r="E1252" i="5" s="1"/>
  <c r="B1324" i="5"/>
  <c r="C1324" i="5" s="1"/>
  <c r="D1324" i="5"/>
  <c r="E1324" i="5" s="1"/>
  <c r="B1348" i="5"/>
  <c r="C1348" i="5" s="1"/>
  <c r="D1348" i="5"/>
  <c r="E1348" i="5" s="1"/>
  <c r="D1372" i="5"/>
  <c r="E1372" i="5" s="1"/>
  <c r="B1372" i="5"/>
  <c r="C1372" i="5" s="1"/>
  <c r="B1396" i="5"/>
  <c r="C1396" i="5" s="1"/>
  <c r="D1396" i="5"/>
  <c r="E1396" i="5" s="1"/>
  <c r="B1420" i="5"/>
  <c r="C1420" i="5" s="1"/>
  <c r="D1420" i="5"/>
  <c r="E1420" i="5" s="1"/>
  <c r="B1444" i="5"/>
  <c r="C1444" i="5" s="1"/>
  <c r="D1444" i="5"/>
  <c r="E1444" i="5" s="1"/>
  <c r="B1468" i="5"/>
  <c r="C1468" i="5" s="1"/>
  <c r="D1468" i="5"/>
  <c r="E1468" i="5" s="1"/>
  <c r="B1492" i="5"/>
  <c r="C1492" i="5" s="1"/>
  <c r="D1492" i="5"/>
  <c r="E1492" i="5" s="1"/>
  <c r="B1516" i="5"/>
  <c r="C1516" i="5" s="1"/>
  <c r="D1516" i="5"/>
  <c r="E1516" i="5" s="1"/>
  <c r="D1540" i="5"/>
  <c r="E1540" i="5" s="1"/>
  <c r="B1540" i="5"/>
  <c r="C1540" i="5" s="1"/>
  <c r="D1564" i="5"/>
  <c r="E1564" i="5" s="1"/>
  <c r="B1564" i="5"/>
  <c r="C1564" i="5" s="1"/>
  <c r="B1588" i="5"/>
  <c r="C1588" i="5" s="1"/>
  <c r="D1588" i="5"/>
  <c r="E1588" i="5" s="1"/>
  <c r="B1612" i="5"/>
  <c r="C1612" i="5" s="1"/>
  <c r="D1612" i="5"/>
  <c r="E1612" i="5" s="1"/>
  <c r="B1636" i="5"/>
  <c r="C1636" i="5" s="1"/>
  <c r="D1636" i="5"/>
  <c r="E1636" i="5" s="1"/>
  <c r="B1660" i="5"/>
  <c r="C1660" i="5" s="1"/>
  <c r="D1660" i="5"/>
  <c r="E1660" i="5" s="1"/>
  <c r="B1684" i="5"/>
  <c r="C1684" i="5" s="1"/>
  <c r="D1684" i="5"/>
  <c r="E1684" i="5" s="1"/>
  <c r="B1708" i="5"/>
  <c r="C1708" i="5" s="1"/>
  <c r="D1708" i="5"/>
  <c r="E1708" i="5" s="1"/>
  <c r="B1732" i="5"/>
  <c r="C1732" i="5" s="1"/>
  <c r="D1732" i="5"/>
  <c r="E1732" i="5" s="1"/>
  <c r="B1756" i="5"/>
  <c r="C1756" i="5" s="1"/>
  <c r="D1756" i="5"/>
  <c r="E1756" i="5" s="1"/>
  <c r="B1780" i="5"/>
  <c r="C1780" i="5" s="1"/>
  <c r="D1780" i="5"/>
  <c r="E1780" i="5" s="1"/>
  <c r="B1804" i="5"/>
  <c r="C1804" i="5" s="1"/>
  <c r="D1804" i="5"/>
  <c r="E1804" i="5" s="1"/>
  <c r="B1828" i="5"/>
  <c r="C1828" i="5" s="1"/>
  <c r="D1828" i="5"/>
  <c r="E1828" i="5" s="1"/>
  <c r="B1852" i="5"/>
  <c r="C1852" i="5" s="1"/>
  <c r="D1852" i="5"/>
  <c r="E1852" i="5" s="1"/>
  <c r="B1876" i="5"/>
  <c r="C1876" i="5" s="1"/>
  <c r="D1876" i="5"/>
  <c r="E1876" i="5" s="1"/>
  <c r="B1900" i="5"/>
  <c r="C1900" i="5" s="1"/>
  <c r="D1900" i="5"/>
  <c r="E1900" i="5" s="1"/>
  <c r="B1924" i="5"/>
  <c r="C1924" i="5" s="1"/>
  <c r="D1924" i="5"/>
  <c r="E1924" i="5" s="1"/>
  <c r="B1948" i="5"/>
  <c r="C1948" i="5" s="1"/>
  <c r="D1948" i="5"/>
  <c r="E1948" i="5" s="1"/>
  <c r="B1972" i="5"/>
  <c r="C1972" i="5" s="1"/>
  <c r="D1972" i="5"/>
  <c r="E1972" i="5" s="1"/>
  <c r="B1996" i="5"/>
  <c r="C1996" i="5" s="1"/>
  <c r="D1996" i="5"/>
  <c r="E1996" i="5" s="1"/>
  <c r="B2020" i="5"/>
  <c r="C2020" i="5" s="1"/>
  <c r="D2020" i="5"/>
  <c r="E2020" i="5" s="1"/>
  <c r="B2044" i="5"/>
  <c r="C2044" i="5" s="1"/>
  <c r="D2044" i="5"/>
  <c r="E2044" i="5" s="1"/>
  <c r="B2068" i="5"/>
  <c r="C2068" i="5" s="1"/>
  <c r="D2068" i="5"/>
  <c r="E2068" i="5" s="1"/>
  <c r="B2092" i="5"/>
  <c r="C2092" i="5" s="1"/>
  <c r="D2092" i="5"/>
  <c r="E2092" i="5" s="1"/>
  <c r="B2116" i="5"/>
  <c r="C2116" i="5" s="1"/>
  <c r="D2116" i="5"/>
  <c r="E2116" i="5" s="1"/>
  <c r="B2140" i="5"/>
  <c r="C2140" i="5" s="1"/>
  <c r="D2140" i="5"/>
  <c r="E2140" i="5" s="1"/>
  <c r="B2164" i="5"/>
  <c r="C2164" i="5" s="1"/>
  <c r="D2164" i="5"/>
  <c r="E2164" i="5" s="1"/>
  <c r="B2188" i="5"/>
  <c r="C2188" i="5" s="1"/>
  <c r="D2188" i="5"/>
  <c r="E2188" i="5" s="1"/>
  <c r="B2212" i="5"/>
  <c r="C2212" i="5" s="1"/>
  <c r="D2212" i="5"/>
  <c r="E2212" i="5" s="1"/>
  <c r="B2236" i="5"/>
  <c r="C2236" i="5" s="1"/>
  <c r="D2236" i="5"/>
  <c r="E2236" i="5" s="1"/>
  <c r="B2260" i="5"/>
  <c r="C2260" i="5" s="1"/>
  <c r="D2260" i="5"/>
  <c r="E2260" i="5" s="1"/>
  <c r="B2284" i="5"/>
  <c r="C2284" i="5" s="1"/>
  <c r="D2284" i="5"/>
  <c r="E2284" i="5" s="1"/>
  <c r="B2308" i="5"/>
  <c r="C2308" i="5" s="1"/>
  <c r="D2308" i="5"/>
  <c r="E2308" i="5" s="1"/>
  <c r="B2332" i="5"/>
  <c r="C2332" i="5" s="1"/>
  <c r="D2332" i="5"/>
  <c r="E2332" i="5" s="1"/>
  <c r="B2356" i="5"/>
  <c r="C2356" i="5" s="1"/>
  <c r="D2356" i="5"/>
  <c r="E2356" i="5" s="1"/>
  <c r="B2380" i="5"/>
  <c r="C2380" i="5" s="1"/>
  <c r="D2380" i="5"/>
  <c r="E2380" i="5" s="1"/>
  <c r="B2404" i="5"/>
  <c r="C2404" i="5" s="1"/>
  <c r="D2404" i="5"/>
  <c r="E2404" i="5" s="1"/>
  <c r="B2428" i="5"/>
  <c r="C2428" i="5" s="1"/>
  <c r="D2428" i="5"/>
  <c r="E2428" i="5" s="1"/>
  <c r="B2452" i="5"/>
  <c r="C2452" i="5" s="1"/>
  <c r="D2452" i="5"/>
  <c r="E2452" i="5" s="1"/>
  <c r="B2476" i="5"/>
  <c r="C2476" i="5" s="1"/>
  <c r="D2476" i="5"/>
  <c r="E2476" i="5" s="1"/>
  <c r="B2500" i="5"/>
  <c r="C2500" i="5" s="1"/>
  <c r="D2500" i="5"/>
  <c r="E2500" i="5" s="1"/>
  <c r="D2524" i="5"/>
  <c r="E2524" i="5" s="1"/>
  <c r="B2524" i="5"/>
  <c r="C2524" i="5" s="1"/>
  <c r="D2548" i="5"/>
  <c r="E2548" i="5" s="1"/>
  <c r="B2548" i="5"/>
  <c r="C2548" i="5" s="1"/>
  <c r="B2572" i="5"/>
  <c r="C2572" i="5" s="1"/>
  <c r="D2572" i="5"/>
  <c r="E2572" i="5" s="1"/>
  <c r="B2596" i="5"/>
  <c r="C2596" i="5" s="1"/>
  <c r="D2596" i="5"/>
  <c r="E2596" i="5" s="1"/>
  <c r="B2620" i="5"/>
  <c r="C2620" i="5" s="1"/>
  <c r="D2620" i="5"/>
  <c r="E2620" i="5" s="1"/>
  <c r="B2644" i="5"/>
  <c r="C2644" i="5" s="1"/>
  <c r="D2644" i="5"/>
  <c r="E2644" i="5" s="1"/>
  <c r="B2668" i="5"/>
  <c r="C2668" i="5" s="1"/>
  <c r="D2668" i="5"/>
  <c r="E2668" i="5" s="1"/>
  <c r="B2692" i="5"/>
  <c r="C2692" i="5" s="1"/>
  <c r="D2692" i="5"/>
  <c r="E2692" i="5" s="1"/>
  <c r="B2716" i="5"/>
  <c r="C2716" i="5" s="1"/>
  <c r="D2716" i="5"/>
  <c r="E2716" i="5" s="1"/>
  <c r="B2740" i="5"/>
  <c r="C2740" i="5" s="1"/>
  <c r="D2740" i="5"/>
  <c r="E2740" i="5" s="1"/>
  <c r="B2764" i="5"/>
  <c r="C2764" i="5" s="1"/>
  <c r="D2764" i="5"/>
  <c r="E2764" i="5" s="1"/>
  <c r="B2788" i="5"/>
  <c r="C2788" i="5" s="1"/>
  <c r="D2788" i="5"/>
  <c r="E2788" i="5" s="1"/>
  <c r="D2812" i="5"/>
  <c r="E2812" i="5" s="1"/>
  <c r="B2812" i="5"/>
  <c r="C2812" i="5" s="1"/>
  <c r="B2836" i="5"/>
  <c r="C2836" i="5" s="1"/>
  <c r="D2836" i="5"/>
  <c r="E2836" i="5" s="1"/>
  <c r="B2860" i="5"/>
  <c r="C2860" i="5" s="1"/>
  <c r="D2860" i="5"/>
  <c r="E2860" i="5" s="1"/>
  <c r="B2884" i="5"/>
  <c r="C2884" i="5" s="1"/>
  <c r="D2884" i="5"/>
  <c r="E2884" i="5" s="1"/>
  <c r="D2908" i="5"/>
  <c r="E2908" i="5" s="1"/>
  <c r="B2908" i="5"/>
  <c r="C2908" i="5" s="1"/>
  <c r="B2932" i="5"/>
  <c r="C2932" i="5" s="1"/>
  <c r="D2932" i="5"/>
  <c r="E2932" i="5" s="1"/>
  <c r="D2956" i="5"/>
  <c r="E2956" i="5" s="1"/>
  <c r="B2956" i="5"/>
  <c r="C2956" i="5" s="1"/>
  <c r="B2980" i="5"/>
  <c r="C2980" i="5" s="1"/>
  <c r="D2980" i="5"/>
  <c r="E2980" i="5" s="1"/>
  <c r="B3004" i="5"/>
  <c r="C3004" i="5" s="1"/>
  <c r="D3004" i="5"/>
  <c r="E3004" i="5" s="1"/>
  <c r="B3028" i="5"/>
  <c r="C3028" i="5" s="1"/>
  <c r="D3028" i="5"/>
  <c r="E3028" i="5" s="1"/>
  <c r="D3052" i="5"/>
  <c r="E3052" i="5" s="1"/>
  <c r="B3052" i="5"/>
  <c r="C3052" i="5" s="1"/>
  <c r="B3076" i="5"/>
  <c r="C3076" i="5" s="1"/>
  <c r="D3076" i="5"/>
  <c r="E3076" i="5" s="1"/>
  <c r="B3100" i="5"/>
  <c r="C3100" i="5" s="1"/>
  <c r="D3100" i="5"/>
  <c r="E3100" i="5" s="1"/>
  <c r="B3124" i="5"/>
  <c r="C3124" i="5" s="1"/>
  <c r="D3124" i="5"/>
  <c r="E3124" i="5" s="1"/>
  <c r="B3148" i="5"/>
  <c r="C3148" i="5" s="1"/>
  <c r="D3148" i="5"/>
  <c r="E3148" i="5" s="1"/>
  <c r="B3172" i="5"/>
  <c r="C3172" i="5" s="1"/>
  <c r="D3172" i="5"/>
  <c r="E3172" i="5" s="1"/>
  <c r="B3196" i="5"/>
  <c r="C3196" i="5" s="1"/>
  <c r="D3196" i="5"/>
  <c r="E3196" i="5" s="1"/>
  <c r="B3220" i="5"/>
  <c r="C3220" i="5" s="1"/>
  <c r="D3220" i="5"/>
  <c r="E3220" i="5" s="1"/>
  <c r="B3244" i="5"/>
  <c r="C3244" i="5" s="1"/>
  <c r="D3244" i="5"/>
  <c r="E3244" i="5" s="1"/>
  <c r="B3268" i="5"/>
  <c r="C3268" i="5" s="1"/>
  <c r="D3268" i="5"/>
  <c r="E3268" i="5" s="1"/>
  <c r="B3292" i="5"/>
  <c r="C3292" i="5" s="1"/>
  <c r="D3292" i="5"/>
  <c r="E3292" i="5" s="1"/>
  <c r="B3316" i="5"/>
  <c r="C3316" i="5" s="1"/>
  <c r="D3316" i="5"/>
  <c r="E3316" i="5" s="1"/>
  <c r="B3340" i="5"/>
  <c r="C3340" i="5" s="1"/>
  <c r="D3340" i="5"/>
  <c r="E3340" i="5" s="1"/>
  <c r="B3364" i="5"/>
  <c r="C3364" i="5" s="1"/>
  <c r="D3364" i="5"/>
  <c r="E3364" i="5" s="1"/>
  <c r="B3388" i="5"/>
  <c r="C3388" i="5" s="1"/>
  <c r="D3388" i="5"/>
  <c r="E3388" i="5" s="1"/>
  <c r="D3412" i="5"/>
  <c r="E3412" i="5" s="1"/>
  <c r="B3412" i="5"/>
  <c r="C3412" i="5" s="1"/>
  <c r="B3436" i="5"/>
  <c r="C3436" i="5" s="1"/>
  <c r="D3436" i="5"/>
  <c r="E3436" i="5" s="1"/>
  <c r="B3460" i="5"/>
  <c r="C3460" i="5" s="1"/>
  <c r="D3460" i="5"/>
  <c r="E3460" i="5" s="1"/>
  <c r="B3484" i="5"/>
  <c r="C3484" i="5" s="1"/>
  <c r="D3484" i="5"/>
  <c r="E3484" i="5" s="1"/>
  <c r="B3508" i="5"/>
  <c r="C3508" i="5" s="1"/>
  <c r="D3508" i="5"/>
  <c r="E3508" i="5" s="1"/>
  <c r="B3532" i="5"/>
  <c r="C3532" i="5" s="1"/>
  <c r="D3532" i="5"/>
  <c r="E3532" i="5" s="1"/>
  <c r="B3556" i="5"/>
  <c r="C3556" i="5" s="1"/>
  <c r="D3556" i="5"/>
  <c r="E3556" i="5" s="1"/>
  <c r="B3580" i="5"/>
  <c r="C3580" i="5" s="1"/>
  <c r="D3580" i="5"/>
  <c r="E3580" i="5" s="1"/>
  <c r="B3604" i="5"/>
  <c r="C3604" i="5" s="1"/>
  <c r="D3604" i="5"/>
  <c r="E3604" i="5" s="1"/>
  <c r="B3628" i="5"/>
  <c r="C3628" i="5" s="1"/>
  <c r="D3628" i="5"/>
  <c r="E3628" i="5" s="1"/>
  <c r="B3652" i="5"/>
  <c r="C3652" i="5" s="1"/>
  <c r="D3652" i="5"/>
  <c r="E3652" i="5" s="1"/>
  <c r="B3241" i="5"/>
  <c r="C3241" i="5" s="1"/>
  <c r="D3241" i="5"/>
  <c r="E3241" i="5" s="1"/>
  <c r="B3313" i="5"/>
  <c r="C3313" i="5" s="1"/>
  <c r="D3313" i="5"/>
  <c r="E3313" i="5" s="1"/>
  <c r="B3385" i="5"/>
  <c r="C3385" i="5" s="1"/>
  <c r="D3385" i="5"/>
  <c r="E3385" i="5" s="1"/>
  <c r="B3505" i="5"/>
  <c r="C3505" i="5" s="1"/>
  <c r="D3505" i="5"/>
  <c r="E3505" i="5" s="1"/>
  <c r="B3625" i="5"/>
  <c r="C3625" i="5" s="1"/>
  <c r="D3625" i="5"/>
  <c r="E3625" i="5" s="1"/>
  <c r="B866" i="5"/>
  <c r="C866" i="5" s="1"/>
  <c r="D866" i="5"/>
  <c r="E866" i="5" s="1"/>
  <c r="B2138" i="5"/>
  <c r="C2138" i="5" s="1"/>
  <c r="D2138" i="5"/>
  <c r="E2138" i="5" s="1"/>
  <c r="B27" i="5"/>
  <c r="C27" i="5" s="1"/>
  <c r="D27" i="5"/>
  <c r="E27" i="5" s="1"/>
  <c r="B76" i="5"/>
  <c r="C76" i="5" s="1"/>
  <c r="D76" i="5"/>
  <c r="E76" i="5" s="1"/>
  <c r="B460" i="5"/>
  <c r="C460" i="5" s="1"/>
  <c r="D460" i="5"/>
  <c r="E460" i="5" s="1"/>
  <c r="B1228" i="5"/>
  <c r="C1228" i="5" s="1"/>
  <c r="D1228" i="5"/>
  <c r="E1228" i="5" s="1"/>
  <c r="B77" i="5"/>
  <c r="C77" i="5" s="1"/>
  <c r="D77" i="5"/>
  <c r="E77" i="5" s="1"/>
  <c r="B125" i="5"/>
  <c r="C125" i="5" s="1"/>
  <c r="D125" i="5"/>
  <c r="E125" i="5" s="1"/>
  <c r="B149" i="5"/>
  <c r="C149" i="5" s="1"/>
  <c r="D149" i="5"/>
  <c r="E149" i="5" s="1"/>
  <c r="B173" i="5"/>
  <c r="C173" i="5" s="1"/>
  <c r="D173" i="5"/>
  <c r="E173" i="5" s="1"/>
  <c r="B197" i="5"/>
  <c r="C197" i="5" s="1"/>
  <c r="D197" i="5"/>
  <c r="E197" i="5" s="1"/>
  <c r="B221" i="5"/>
  <c r="C221" i="5" s="1"/>
  <c r="D221" i="5"/>
  <c r="E221" i="5" s="1"/>
  <c r="B245" i="5"/>
  <c r="C245" i="5" s="1"/>
  <c r="D245" i="5"/>
  <c r="E245" i="5" s="1"/>
  <c r="B269" i="5"/>
  <c r="C269" i="5" s="1"/>
  <c r="D269" i="5"/>
  <c r="E269" i="5" s="1"/>
  <c r="B293" i="5"/>
  <c r="C293" i="5" s="1"/>
  <c r="D293" i="5"/>
  <c r="E293" i="5" s="1"/>
  <c r="B317" i="5"/>
  <c r="C317" i="5" s="1"/>
  <c r="D317" i="5"/>
  <c r="E317" i="5" s="1"/>
  <c r="B341" i="5"/>
  <c r="C341" i="5" s="1"/>
  <c r="D341" i="5"/>
  <c r="E341" i="5" s="1"/>
  <c r="B365" i="5"/>
  <c r="C365" i="5" s="1"/>
  <c r="D365" i="5"/>
  <c r="E365" i="5" s="1"/>
  <c r="B389" i="5"/>
  <c r="C389" i="5" s="1"/>
  <c r="D389" i="5"/>
  <c r="E389" i="5" s="1"/>
  <c r="B413" i="5"/>
  <c r="C413" i="5" s="1"/>
  <c r="D413" i="5"/>
  <c r="E413" i="5" s="1"/>
  <c r="B437" i="5"/>
  <c r="C437" i="5" s="1"/>
  <c r="D437" i="5"/>
  <c r="E437" i="5" s="1"/>
  <c r="B461" i="5"/>
  <c r="C461" i="5" s="1"/>
  <c r="D461" i="5"/>
  <c r="E461" i="5" s="1"/>
  <c r="B485" i="5"/>
  <c r="C485" i="5" s="1"/>
  <c r="D485" i="5"/>
  <c r="E485" i="5" s="1"/>
  <c r="B509" i="5"/>
  <c r="C509" i="5" s="1"/>
  <c r="D509" i="5"/>
  <c r="E509" i="5" s="1"/>
  <c r="B533" i="5"/>
  <c r="C533" i="5" s="1"/>
  <c r="D533" i="5"/>
  <c r="E533" i="5" s="1"/>
  <c r="B557" i="5"/>
  <c r="C557" i="5" s="1"/>
  <c r="D557" i="5"/>
  <c r="E557" i="5" s="1"/>
  <c r="B581" i="5"/>
  <c r="C581" i="5" s="1"/>
  <c r="D581" i="5"/>
  <c r="E581" i="5" s="1"/>
  <c r="B605" i="5"/>
  <c r="C605" i="5" s="1"/>
  <c r="D605" i="5"/>
  <c r="E605" i="5" s="1"/>
  <c r="B629" i="5"/>
  <c r="C629" i="5" s="1"/>
  <c r="D629" i="5"/>
  <c r="E629" i="5" s="1"/>
  <c r="B653" i="5"/>
  <c r="C653" i="5" s="1"/>
  <c r="D653" i="5"/>
  <c r="E653" i="5" s="1"/>
  <c r="B677" i="5"/>
  <c r="C677" i="5" s="1"/>
  <c r="D677" i="5"/>
  <c r="E677" i="5" s="1"/>
  <c r="B701" i="5"/>
  <c r="C701" i="5" s="1"/>
  <c r="D701" i="5"/>
  <c r="E701" i="5" s="1"/>
  <c r="B725" i="5"/>
  <c r="C725" i="5" s="1"/>
  <c r="D725" i="5"/>
  <c r="E725" i="5" s="1"/>
  <c r="B749" i="5"/>
  <c r="C749" i="5" s="1"/>
  <c r="D749" i="5"/>
  <c r="E749" i="5" s="1"/>
  <c r="B773" i="5"/>
  <c r="C773" i="5" s="1"/>
  <c r="D773" i="5"/>
  <c r="E773" i="5" s="1"/>
  <c r="B797" i="5"/>
  <c r="C797" i="5" s="1"/>
  <c r="D797" i="5"/>
  <c r="E797" i="5" s="1"/>
  <c r="B821" i="5"/>
  <c r="C821" i="5" s="1"/>
  <c r="D821" i="5"/>
  <c r="E821" i="5" s="1"/>
  <c r="B845" i="5"/>
  <c r="C845" i="5" s="1"/>
  <c r="D845" i="5"/>
  <c r="E845" i="5" s="1"/>
  <c r="B869" i="5"/>
  <c r="C869" i="5" s="1"/>
  <c r="D869" i="5"/>
  <c r="E869" i="5" s="1"/>
  <c r="B893" i="5"/>
  <c r="C893" i="5" s="1"/>
  <c r="D893" i="5"/>
  <c r="E893" i="5" s="1"/>
  <c r="B917" i="5"/>
  <c r="C917" i="5" s="1"/>
  <c r="D917" i="5"/>
  <c r="E917" i="5" s="1"/>
  <c r="B941" i="5"/>
  <c r="C941" i="5" s="1"/>
  <c r="D941" i="5"/>
  <c r="E941" i="5" s="1"/>
  <c r="B965" i="5"/>
  <c r="C965" i="5" s="1"/>
  <c r="D965" i="5"/>
  <c r="E965" i="5" s="1"/>
  <c r="B989" i="5"/>
  <c r="C989" i="5" s="1"/>
  <c r="D989" i="5"/>
  <c r="E989" i="5" s="1"/>
  <c r="B1013" i="5"/>
  <c r="C1013" i="5" s="1"/>
  <c r="D1013" i="5"/>
  <c r="E1013" i="5" s="1"/>
  <c r="B1037" i="5"/>
  <c r="C1037" i="5" s="1"/>
  <c r="D1037" i="5"/>
  <c r="E1037" i="5" s="1"/>
  <c r="B1061" i="5"/>
  <c r="C1061" i="5" s="1"/>
  <c r="D1061" i="5"/>
  <c r="E1061" i="5" s="1"/>
  <c r="B1085" i="5"/>
  <c r="C1085" i="5" s="1"/>
  <c r="D1085" i="5"/>
  <c r="E1085" i="5" s="1"/>
  <c r="B1109" i="5"/>
  <c r="C1109" i="5" s="1"/>
  <c r="D1109" i="5"/>
  <c r="E1109" i="5" s="1"/>
  <c r="B1133" i="5"/>
  <c r="C1133" i="5" s="1"/>
  <c r="D1133" i="5"/>
  <c r="E1133" i="5" s="1"/>
  <c r="B1157" i="5"/>
  <c r="C1157" i="5" s="1"/>
  <c r="D1157" i="5"/>
  <c r="E1157" i="5" s="1"/>
  <c r="B1181" i="5"/>
  <c r="C1181" i="5" s="1"/>
  <c r="D1181" i="5"/>
  <c r="E1181" i="5" s="1"/>
  <c r="B1205" i="5"/>
  <c r="C1205" i="5" s="1"/>
  <c r="D1205" i="5"/>
  <c r="E1205" i="5" s="1"/>
  <c r="B1229" i="5"/>
  <c r="C1229" i="5" s="1"/>
  <c r="D1229" i="5"/>
  <c r="E1229" i="5" s="1"/>
  <c r="B1253" i="5"/>
  <c r="C1253" i="5" s="1"/>
  <c r="D1253" i="5"/>
  <c r="E1253" i="5" s="1"/>
  <c r="B1277" i="5"/>
  <c r="C1277" i="5" s="1"/>
  <c r="D1277" i="5"/>
  <c r="E1277" i="5" s="1"/>
  <c r="B1301" i="5"/>
  <c r="C1301" i="5" s="1"/>
  <c r="D1301" i="5"/>
  <c r="E1301" i="5" s="1"/>
  <c r="B1325" i="5"/>
  <c r="C1325" i="5" s="1"/>
  <c r="D1325" i="5"/>
  <c r="E1325" i="5" s="1"/>
  <c r="B1349" i="5"/>
  <c r="C1349" i="5" s="1"/>
  <c r="D1349" i="5"/>
  <c r="E1349" i="5" s="1"/>
  <c r="B1373" i="5"/>
  <c r="C1373" i="5" s="1"/>
  <c r="D1373" i="5"/>
  <c r="E1373" i="5" s="1"/>
  <c r="B1397" i="5"/>
  <c r="C1397" i="5" s="1"/>
  <c r="D1397" i="5"/>
  <c r="E1397" i="5" s="1"/>
  <c r="B1421" i="5"/>
  <c r="C1421" i="5" s="1"/>
  <c r="D1421" i="5"/>
  <c r="E1421" i="5" s="1"/>
  <c r="B1445" i="5"/>
  <c r="C1445" i="5" s="1"/>
  <c r="D1445" i="5"/>
  <c r="E1445" i="5" s="1"/>
  <c r="B1469" i="5"/>
  <c r="C1469" i="5" s="1"/>
  <c r="D1469" i="5"/>
  <c r="E1469" i="5" s="1"/>
  <c r="B1493" i="5"/>
  <c r="C1493" i="5" s="1"/>
  <c r="D1493" i="5"/>
  <c r="E1493" i="5" s="1"/>
  <c r="B1517" i="5"/>
  <c r="C1517" i="5" s="1"/>
  <c r="D1517" i="5"/>
  <c r="E1517" i="5" s="1"/>
  <c r="B1541" i="5"/>
  <c r="C1541" i="5" s="1"/>
  <c r="D1541" i="5"/>
  <c r="E1541" i="5" s="1"/>
  <c r="B1565" i="5"/>
  <c r="C1565" i="5" s="1"/>
  <c r="D1565" i="5"/>
  <c r="E1565" i="5" s="1"/>
  <c r="B1589" i="5"/>
  <c r="C1589" i="5" s="1"/>
  <c r="D1589" i="5"/>
  <c r="E1589" i="5" s="1"/>
  <c r="B1613" i="5"/>
  <c r="C1613" i="5" s="1"/>
  <c r="D1613" i="5"/>
  <c r="E1613" i="5" s="1"/>
  <c r="B1637" i="5"/>
  <c r="C1637" i="5" s="1"/>
  <c r="D1637" i="5"/>
  <c r="E1637" i="5" s="1"/>
  <c r="B1661" i="5"/>
  <c r="C1661" i="5" s="1"/>
  <c r="D1661" i="5"/>
  <c r="E1661" i="5" s="1"/>
  <c r="B1685" i="5"/>
  <c r="C1685" i="5" s="1"/>
  <c r="D1685" i="5"/>
  <c r="E1685" i="5" s="1"/>
  <c r="B1709" i="5"/>
  <c r="C1709" i="5" s="1"/>
  <c r="D1709" i="5"/>
  <c r="E1709" i="5" s="1"/>
  <c r="B1733" i="5"/>
  <c r="C1733" i="5" s="1"/>
  <c r="D1733" i="5"/>
  <c r="E1733" i="5" s="1"/>
  <c r="B1757" i="5"/>
  <c r="C1757" i="5" s="1"/>
  <c r="D1757" i="5"/>
  <c r="E1757" i="5" s="1"/>
  <c r="B1781" i="5"/>
  <c r="C1781" i="5" s="1"/>
  <c r="D1781" i="5"/>
  <c r="E1781" i="5" s="1"/>
  <c r="B1805" i="5"/>
  <c r="C1805" i="5" s="1"/>
  <c r="D1805" i="5"/>
  <c r="E1805" i="5" s="1"/>
  <c r="B1829" i="5"/>
  <c r="C1829" i="5" s="1"/>
  <c r="D1829" i="5"/>
  <c r="E1829" i="5" s="1"/>
  <c r="B1853" i="5"/>
  <c r="C1853" i="5" s="1"/>
  <c r="D1853" i="5"/>
  <c r="E1853" i="5" s="1"/>
  <c r="B1877" i="5"/>
  <c r="C1877" i="5" s="1"/>
  <c r="D1877" i="5"/>
  <c r="E1877" i="5" s="1"/>
  <c r="B1901" i="5"/>
  <c r="C1901" i="5" s="1"/>
  <c r="D1901" i="5"/>
  <c r="E1901" i="5" s="1"/>
  <c r="B1925" i="5"/>
  <c r="C1925" i="5" s="1"/>
  <c r="D1925" i="5"/>
  <c r="E1925" i="5" s="1"/>
  <c r="B1949" i="5"/>
  <c r="C1949" i="5" s="1"/>
  <c r="D1949" i="5"/>
  <c r="E1949" i="5" s="1"/>
  <c r="B1973" i="5"/>
  <c r="C1973" i="5" s="1"/>
  <c r="D1973" i="5"/>
  <c r="E1973" i="5" s="1"/>
  <c r="D1997" i="5"/>
  <c r="E1997" i="5" s="1"/>
  <c r="B1997" i="5"/>
  <c r="C1997" i="5" s="1"/>
  <c r="B2021" i="5"/>
  <c r="C2021" i="5" s="1"/>
  <c r="D2021" i="5"/>
  <c r="E2021" i="5" s="1"/>
  <c r="B2045" i="5"/>
  <c r="C2045" i="5" s="1"/>
  <c r="D2045" i="5"/>
  <c r="E2045" i="5" s="1"/>
  <c r="B2069" i="5"/>
  <c r="C2069" i="5" s="1"/>
  <c r="D2069" i="5"/>
  <c r="E2069" i="5" s="1"/>
  <c r="B2093" i="5"/>
  <c r="C2093" i="5" s="1"/>
  <c r="D2093" i="5"/>
  <c r="E2093" i="5" s="1"/>
  <c r="B2117" i="5"/>
  <c r="C2117" i="5" s="1"/>
  <c r="D2117" i="5"/>
  <c r="E2117" i="5" s="1"/>
  <c r="B2141" i="5"/>
  <c r="C2141" i="5" s="1"/>
  <c r="D2141" i="5"/>
  <c r="E2141" i="5" s="1"/>
  <c r="B2165" i="5"/>
  <c r="C2165" i="5" s="1"/>
  <c r="D2165" i="5"/>
  <c r="E2165" i="5" s="1"/>
  <c r="B2189" i="5"/>
  <c r="C2189" i="5" s="1"/>
  <c r="D2189" i="5"/>
  <c r="E2189" i="5" s="1"/>
  <c r="B2213" i="5"/>
  <c r="C2213" i="5" s="1"/>
  <c r="D2213" i="5"/>
  <c r="E2213" i="5" s="1"/>
  <c r="B2237" i="5"/>
  <c r="C2237" i="5" s="1"/>
  <c r="D2237" i="5"/>
  <c r="E2237" i="5" s="1"/>
  <c r="B2261" i="5"/>
  <c r="C2261" i="5" s="1"/>
  <c r="D2261" i="5"/>
  <c r="E2261" i="5" s="1"/>
  <c r="B2285" i="5"/>
  <c r="C2285" i="5" s="1"/>
  <c r="D2285" i="5"/>
  <c r="E2285" i="5" s="1"/>
  <c r="B2309" i="5"/>
  <c r="C2309" i="5" s="1"/>
  <c r="D2309" i="5"/>
  <c r="E2309" i="5" s="1"/>
  <c r="B2333" i="5"/>
  <c r="C2333" i="5" s="1"/>
  <c r="D2333" i="5"/>
  <c r="E2333" i="5" s="1"/>
  <c r="B2357" i="5"/>
  <c r="C2357" i="5" s="1"/>
  <c r="D2357" i="5"/>
  <c r="E2357" i="5" s="1"/>
  <c r="B2381" i="5"/>
  <c r="C2381" i="5" s="1"/>
  <c r="D2381" i="5"/>
  <c r="E2381" i="5" s="1"/>
  <c r="B2405" i="5"/>
  <c r="C2405" i="5" s="1"/>
  <c r="D2405" i="5"/>
  <c r="E2405" i="5" s="1"/>
  <c r="B2429" i="5"/>
  <c r="C2429" i="5" s="1"/>
  <c r="D2429" i="5"/>
  <c r="E2429" i="5" s="1"/>
  <c r="B2453" i="5"/>
  <c r="C2453" i="5" s="1"/>
  <c r="D2453" i="5"/>
  <c r="E2453" i="5" s="1"/>
  <c r="D2477" i="5"/>
  <c r="E2477" i="5" s="1"/>
  <c r="B2477" i="5"/>
  <c r="C2477" i="5" s="1"/>
  <c r="B2501" i="5"/>
  <c r="C2501" i="5" s="1"/>
  <c r="D2501" i="5"/>
  <c r="E2501" i="5" s="1"/>
  <c r="B2525" i="5"/>
  <c r="C2525" i="5" s="1"/>
  <c r="D2525" i="5"/>
  <c r="E2525" i="5" s="1"/>
  <c r="D2549" i="5"/>
  <c r="E2549" i="5" s="1"/>
  <c r="B2549" i="5"/>
  <c r="C2549" i="5" s="1"/>
  <c r="B2573" i="5"/>
  <c r="C2573" i="5" s="1"/>
  <c r="D2573" i="5"/>
  <c r="E2573" i="5" s="1"/>
  <c r="B2597" i="5"/>
  <c r="C2597" i="5" s="1"/>
  <c r="D2597" i="5"/>
  <c r="E2597" i="5" s="1"/>
  <c r="B2621" i="5"/>
  <c r="C2621" i="5" s="1"/>
  <c r="D2621" i="5"/>
  <c r="E2621" i="5" s="1"/>
  <c r="B2645" i="5"/>
  <c r="C2645" i="5" s="1"/>
  <c r="D2645" i="5"/>
  <c r="E2645" i="5" s="1"/>
  <c r="B2669" i="5"/>
  <c r="C2669" i="5" s="1"/>
  <c r="D2669" i="5"/>
  <c r="E2669" i="5" s="1"/>
  <c r="B2693" i="5"/>
  <c r="C2693" i="5" s="1"/>
  <c r="D2693" i="5"/>
  <c r="E2693" i="5" s="1"/>
  <c r="B2717" i="5"/>
  <c r="C2717" i="5" s="1"/>
  <c r="D2717" i="5"/>
  <c r="E2717" i="5" s="1"/>
  <c r="B2741" i="5"/>
  <c r="C2741" i="5" s="1"/>
  <c r="D2741" i="5"/>
  <c r="E2741" i="5" s="1"/>
  <c r="B2765" i="5"/>
  <c r="C2765" i="5" s="1"/>
  <c r="D2765" i="5"/>
  <c r="E2765" i="5" s="1"/>
  <c r="B2789" i="5"/>
  <c r="C2789" i="5" s="1"/>
  <c r="D2789" i="5"/>
  <c r="E2789" i="5" s="1"/>
  <c r="B2813" i="5"/>
  <c r="C2813" i="5" s="1"/>
  <c r="D2813" i="5"/>
  <c r="E2813" i="5" s="1"/>
  <c r="B2837" i="5"/>
  <c r="C2837" i="5" s="1"/>
  <c r="D2837" i="5"/>
  <c r="E2837" i="5" s="1"/>
  <c r="B2861" i="5"/>
  <c r="C2861" i="5" s="1"/>
  <c r="D2861" i="5"/>
  <c r="E2861" i="5" s="1"/>
  <c r="B2885" i="5"/>
  <c r="C2885" i="5" s="1"/>
  <c r="D2885" i="5"/>
  <c r="E2885" i="5" s="1"/>
  <c r="B2909" i="5"/>
  <c r="C2909" i="5" s="1"/>
  <c r="D2909" i="5"/>
  <c r="E2909" i="5" s="1"/>
  <c r="B2933" i="5"/>
  <c r="C2933" i="5" s="1"/>
  <c r="D2933" i="5"/>
  <c r="E2933" i="5" s="1"/>
  <c r="B2957" i="5"/>
  <c r="C2957" i="5" s="1"/>
  <c r="D2957" i="5"/>
  <c r="E2957" i="5" s="1"/>
  <c r="B2981" i="5"/>
  <c r="C2981" i="5" s="1"/>
  <c r="D2981" i="5"/>
  <c r="E2981" i="5" s="1"/>
  <c r="B3005" i="5"/>
  <c r="C3005" i="5" s="1"/>
  <c r="D3005" i="5"/>
  <c r="E3005" i="5" s="1"/>
  <c r="B3029" i="5"/>
  <c r="C3029" i="5" s="1"/>
  <c r="D3029" i="5"/>
  <c r="E3029" i="5" s="1"/>
  <c r="B3053" i="5"/>
  <c r="C3053" i="5" s="1"/>
  <c r="D3053" i="5"/>
  <c r="E3053" i="5" s="1"/>
  <c r="B3077" i="5"/>
  <c r="C3077" i="5" s="1"/>
  <c r="D3077" i="5"/>
  <c r="E3077" i="5" s="1"/>
  <c r="B3101" i="5"/>
  <c r="C3101" i="5" s="1"/>
  <c r="D3101" i="5"/>
  <c r="E3101" i="5" s="1"/>
  <c r="B3125" i="5"/>
  <c r="C3125" i="5" s="1"/>
  <c r="D3125" i="5"/>
  <c r="E3125" i="5" s="1"/>
  <c r="B3149" i="5"/>
  <c r="C3149" i="5" s="1"/>
  <c r="D3149" i="5"/>
  <c r="E3149" i="5" s="1"/>
  <c r="B3173" i="5"/>
  <c r="C3173" i="5" s="1"/>
  <c r="D3173" i="5"/>
  <c r="E3173" i="5" s="1"/>
  <c r="B3197" i="5"/>
  <c r="C3197" i="5" s="1"/>
  <c r="D3197" i="5"/>
  <c r="E3197" i="5" s="1"/>
  <c r="B3221" i="5"/>
  <c r="C3221" i="5" s="1"/>
  <c r="D3221" i="5"/>
  <c r="E3221" i="5" s="1"/>
  <c r="B3245" i="5"/>
  <c r="C3245" i="5" s="1"/>
  <c r="D3245" i="5"/>
  <c r="E3245" i="5" s="1"/>
  <c r="B3269" i="5"/>
  <c r="C3269" i="5" s="1"/>
  <c r="D3269" i="5"/>
  <c r="E3269" i="5" s="1"/>
  <c r="B3293" i="5"/>
  <c r="C3293" i="5" s="1"/>
  <c r="D3293" i="5"/>
  <c r="E3293" i="5" s="1"/>
  <c r="B3317" i="5"/>
  <c r="C3317" i="5" s="1"/>
  <c r="D3317" i="5"/>
  <c r="E3317" i="5" s="1"/>
  <c r="B3341" i="5"/>
  <c r="C3341" i="5" s="1"/>
  <c r="D3341" i="5"/>
  <c r="E3341" i="5" s="1"/>
  <c r="B3365" i="5"/>
  <c r="C3365" i="5" s="1"/>
  <c r="D3365" i="5"/>
  <c r="E3365" i="5" s="1"/>
  <c r="B3389" i="5"/>
  <c r="C3389" i="5" s="1"/>
  <c r="D3389" i="5"/>
  <c r="E3389" i="5" s="1"/>
  <c r="B3413" i="5"/>
  <c r="C3413" i="5" s="1"/>
  <c r="D3413" i="5"/>
  <c r="E3413" i="5" s="1"/>
  <c r="B3437" i="5"/>
  <c r="C3437" i="5" s="1"/>
  <c r="D3437" i="5"/>
  <c r="E3437" i="5" s="1"/>
  <c r="B3461" i="5"/>
  <c r="C3461" i="5" s="1"/>
  <c r="D3461" i="5"/>
  <c r="E3461" i="5" s="1"/>
  <c r="B3485" i="5"/>
  <c r="C3485" i="5" s="1"/>
  <c r="D3485" i="5"/>
  <c r="E3485" i="5" s="1"/>
  <c r="B3509" i="5"/>
  <c r="C3509" i="5" s="1"/>
  <c r="D3509" i="5"/>
  <c r="E3509" i="5" s="1"/>
  <c r="B3533" i="5"/>
  <c r="C3533" i="5" s="1"/>
  <c r="D3533" i="5"/>
  <c r="E3533" i="5" s="1"/>
  <c r="B3557" i="5"/>
  <c r="C3557" i="5" s="1"/>
  <c r="D3557" i="5"/>
  <c r="E3557" i="5" s="1"/>
  <c r="B3581" i="5"/>
  <c r="C3581" i="5" s="1"/>
  <c r="D3581" i="5"/>
  <c r="E3581" i="5" s="1"/>
  <c r="B3605" i="5"/>
  <c r="C3605" i="5" s="1"/>
  <c r="D3605" i="5"/>
  <c r="E3605" i="5" s="1"/>
  <c r="B3629" i="5"/>
  <c r="C3629" i="5" s="1"/>
  <c r="D3629" i="5"/>
  <c r="E3629" i="5" s="1"/>
  <c r="B3653" i="5"/>
  <c r="C3653" i="5" s="1"/>
  <c r="D3653" i="5"/>
  <c r="E3653" i="5" s="1"/>
  <c r="B3146" i="5"/>
  <c r="C3146" i="5" s="1"/>
  <c r="D3146" i="5"/>
  <c r="E3146" i="5" s="1"/>
  <c r="B412" i="5"/>
  <c r="C412" i="5" s="1"/>
  <c r="D412" i="5"/>
  <c r="E412" i="5" s="1"/>
  <c r="B1276" i="5"/>
  <c r="C1276" i="5" s="1"/>
  <c r="D1276" i="5"/>
  <c r="E1276" i="5" s="1"/>
  <c r="B30" i="5"/>
  <c r="C30" i="5" s="1"/>
  <c r="D30" i="5"/>
  <c r="E30" i="5" s="1"/>
  <c r="B78" i="5"/>
  <c r="C78" i="5" s="1"/>
  <c r="D78" i="5"/>
  <c r="E78" i="5" s="1"/>
  <c r="B102" i="5"/>
  <c r="C102" i="5" s="1"/>
  <c r="D102" i="5"/>
  <c r="E102" i="5" s="1"/>
  <c r="B126" i="5"/>
  <c r="C126" i="5" s="1"/>
  <c r="D126" i="5"/>
  <c r="E126" i="5" s="1"/>
  <c r="D150" i="5"/>
  <c r="E150" i="5" s="1"/>
  <c r="B150" i="5"/>
  <c r="C150" i="5" s="1"/>
  <c r="B174" i="5"/>
  <c r="C174" i="5" s="1"/>
  <c r="D174" i="5"/>
  <c r="E174" i="5" s="1"/>
  <c r="B198" i="5"/>
  <c r="C198" i="5" s="1"/>
  <c r="D198" i="5"/>
  <c r="E198" i="5" s="1"/>
  <c r="B222" i="5"/>
  <c r="C222" i="5" s="1"/>
  <c r="D222" i="5"/>
  <c r="E222" i="5" s="1"/>
  <c r="B246" i="5"/>
  <c r="C246" i="5" s="1"/>
  <c r="D246" i="5"/>
  <c r="E246" i="5" s="1"/>
  <c r="B270" i="5"/>
  <c r="C270" i="5" s="1"/>
  <c r="D270" i="5"/>
  <c r="E270" i="5" s="1"/>
  <c r="B294" i="5"/>
  <c r="C294" i="5" s="1"/>
  <c r="D294" i="5"/>
  <c r="E294" i="5" s="1"/>
  <c r="B318" i="5"/>
  <c r="C318" i="5" s="1"/>
  <c r="D318" i="5"/>
  <c r="E318" i="5" s="1"/>
  <c r="B342" i="5"/>
  <c r="C342" i="5" s="1"/>
  <c r="D342" i="5"/>
  <c r="E342" i="5" s="1"/>
  <c r="B366" i="5"/>
  <c r="C366" i="5" s="1"/>
  <c r="D366" i="5"/>
  <c r="E366" i="5" s="1"/>
  <c r="B390" i="5"/>
  <c r="C390" i="5" s="1"/>
  <c r="D390" i="5"/>
  <c r="E390" i="5" s="1"/>
  <c r="B414" i="5"/>
  <c r="C414" i="5" s="1"/>
  <c r="D414" i="5"/>
  <c r="E414" i="5" s="1"/>
  <c r="B438" i="5"/>
  <c r="C438" i="5" s="1"/>
  <c r="D438" i="5"/>
  <c r="E438" i="5" s="1"/>
  <c r="B462" i="5"/>
  <c r="C462" i="5" s="1"/>
  <c r="D462" i="5"/>
  <c r="E462" i="5" s="1"/>
  <c r="B486" i="5"/>
  <c r="C486" i="5" s="1"/>
  <c r="D486" i="5"/>
  <c r="E486" i="5" s="1"/>
  <c r="B510" i="5"/>
  <c r="C510" i="5" s="1"/>
  <c r="D510" i="5"/>
  <c r="E510" i="5" s="1"/>
  <c r="B534" i="5"/>
  <c r="C534" i="5" s="1"/>
  <c r="D534" i="5"/>
  <c r="E534" i="5" s="1"/>
  <c r="B558" i="5"/>
  <c r="C558" i="5" s="1"/>
  <c r="D558" i="5"/>
  <c r="E558" i="5" s="1"/>
  <c r="B582" i="5"/>
  <c r="C582" i="5" s="1"/>
  <c r="D582" i="5"/>
  <c r="E582" i="5" s="1"/>
  <c r="B606" i="5"/>
  <c r="C606" i="5" s="1"/>
  <c r="D606" i="5"/>
  <c r="E606" i="5" s="1"/>
  <c r="B630" i="5"/>
  <c r="C630" i="5" s="1"/>
  <c r="D630" i="5"/>
  <c r="E630" i="5" s="1"/>
  <c r="B654" i="5"/>
  <c r="C654" i="5" s="1"/>
  <c r="D654" i="5"/>
  <c r="E654" i="5" s="1"/>
  <c r="B678" i="5"/>
  <c r="C678" i="5" s="1"/>
  <c r="D678" i="5"/>
  <c r="E678" i="5" s="1"/>
  <c r="B702" i="5"/>
  <c r="C702" i="5" s="1"/>
  <c r="D702" i="5"/>
  <c r="E702" i="5" s="1"/>
  <c r="B726" i="5"/>
  <c r="C726" i="5" s="1"/>
  <c r="D726" i="5"/>
  <c r="E726" i="5" s="1"/>
  <c r="B750" i="5"/>
  <c r="C750" i="5" s="1"/>
  <c r="D750" i="5"/>
  <c r="E750" i="5" s="1"/>
  <c r="B774" i="5"/>
  <c r="C774" i="5" s="1"/>
  <c r="D774" i="5"/>
  <c r="E774" i="5" s="1"/>
  <c r="B798" i="5"/>
  <c r="C798" i="5" s="1"/>
  <c r="D798" i="5"/>
  <c r="E798" i="5" s="1"/>
  <c r="B822" i="5"/>
  <c r="C822" i="5" s="1"/>
  <c r="D822" i="5"/>
  <c r="E822" i="5" s="1"/>
  <c r="B846" i="5"/>
  <c r="C846" i="5" s="1"/>
  <c r="D846" i="5"/>
  <c r="E846" i="5" s="1"/>
  <c r="B870" i="5"/>
  <c r="C870" i="5" s="1"/>
  <c r="D870" i="5"/>
  <c r="E870" i="5" s="1"/>
  <c r="B894" i="5"/>
  <c r="C894" i="5" s="1"/>
  <c r="D894" i="5"/>
  <c r="E894" i="5" s="1"/>
  <c r="B918" i="5"/>
  <c r="C918" i="5" s="1"/>
  <c r="D918" i="5"/>
  <c r="E918" i="5" s="1"/>
  <c r="B942" i="5"/>
  <c r="C942" i="5" s="1"/>
  <c r="D942" i="5"/>
  <c r="E942" i="5" s="1"/>
  <c r="B966" i="5"/>
  <c r="C966" i="5" s="1"/>
  <c r="D966" i="5"/>
  <c r="E966" i="5" s="1"/>
  <c r="B990" i="5"/>
  <c r="C990" i="5" s="1"/>
  <c r="D990" i="5"/>
  <c r="E990" i="5" s="1"/>
  <c r="B1014" i="5"/>
  <c r="C1014" i="5" s="1"/>
  <c r="D1014" i="5"/>
  <c r="E1014" i="5" s="1"/>
  <c r="B1038" i="5"/>
  <c r="C1038" i="5" s="1"/>
  <c r="D1038" i="5"/>
  <c r="E1038" i="5" s="1"/>
  <c r="B1062" i="5"/>
  <c r="C1062" i="5" s="1"/>
  <c r="D1062" i="5"/>
  <c r="E1062" i="5" s="1"/>
  <c r="B1086" i="5"/>
  <c r="C1086" i="5" s="1"/>
  <c r="D1086" i="5"/>
  <c r="E1086" i="5" s="1"/>
  <c r="B1110" i="5"/>
  <c r="C1110" i="5" s="1"/>
  <c r="D1110" i="5"/>
  <c r="E1110" i="5" s="1"/>
  <c r="B1134" i="5"/>
  <c r="C1134" i="5" s="1"/>
  <c r="D1134" i="5"/>
  <c r="E1134" i="5" s="1"/>
  <c r="B1158" i="5"/>
  <c r="C1158" i="5" s="1"/>
  <c r="D1158" i="5"/>
  <c r="E1158" i="5" s="1"/>
  <c r="B1182" i="5"/>
  <c r="C1182" i="5" s="1"/>
  <c r="D1182" i="5"/>
  <c r="E1182" i="5" s="1"/>
  <c r="B1206" i="5"/>
  <c r="C1206" i="5" s="1"/>
  <c r="D1206" i="5"/>
  <c r="E1206" i="5" s="1"/>
  <c r="B1230" i="5"/>
  <c r="C1230" i="5" s="1"/>
  <c r="D1230" i="5"/>
  <c r="E1230" i="5" s="1"/>
  <c r="B1254" i="5"/>
  <c r="C1254" i="5" s="1"/>
  <c r="D1254" i="5"/>
  <c r="E1254" i="5" s="1"/>
  <c r="B1278" i="5"/>
  <c r="C1278" i="5" s="1"/>
  <c r="D1278" i="5"/>
  <c r="E1278" i="5" s="1"/>
  <c r="B1302" i="5"/>
  <c r="C1302" i="5" s="1"/>
  <c r="D1302" i="5"/>
  <c r="E1302" i="5" s="1"/>
  <c r="B1326" i="5"/>
  <c r="C1326" i="5" s="1"/>
  <c r="D1326" i="5"/>
  <c r="E1326" i="5" s="1"/>
  <c r="B1350" i="5"/>
  <c r="C1350" i="5" s="1"/>
  <c r="D1350" i="5"/>
  <c r="E1350" i="5" s="1"/>
  <c r="B1374" i="5"/>
  <c r="C1374" i="5" s="1"/>
  <c r="D1374" i="5"/>
  <c r="E1374" i="5" s="1"/>
  <c r="B1398" i="5"/>
  <c r="C1398" i="5" s="1"/>
  <c r="D1398" i="5"/>
  <c r="E1398" i="5" s="1"/>
  <c r="B1422" i="5"/>
  <c r="C1422" i="5" s="1"/>
  <c r="D1422" i="5"/>
  <c r="E1422" i="5" s="1"/>
  <c r="B1446" i="5"/>
  <c r="C1446" i="5" s="1"/>
  <c r="D1446" i="5"/>
  <c r="E1446" i="5" s="1"/>
  <c r="D1470" i="5"/>
  <c r="E1470" i="5" s="1"/>
  <c r="B1470" i="5"/>
  <c r="C1470" i="5" s="1"/>
  <c r="B1494" i="5"/>
  <c r="C1494" i="5" s="1"/>
  <c r="D1494" i="5"/>
  <c r="E1494" i="5" s="1"/>
  <c r="B1518" i="5"/>
  <c r="C1518" i="5" s="1"/>
  <c r="D1518" i="5"/>
  <c r="E1518" i="5" s="1"/>
  <c r="B1542" i="5"/>
  <c r="C1542" i="5" s="1"/>
  <c r="D1542" i="5"/>
  <c r="E1542" i="5" s="1"/>
  <c r="B1566" i="5"/>
  <c r="C1566" i="5" s="1"/>
  <c r="D1566" i="5"/>
  <c r="E1566" i="5" s="1"/>
  <c r="B1590" i="5"/>
  <c r="C1590" i="5" s="1"/>
  <c r="D1590" i="5"/>
  <c r="E1590" i="5" s="1"/>
  <c r="B1614" i="5"/>
  <c r="C1614" i="5" s="1"/>
  <c r="D1614" i="5"/>
  <c r="E1614" i="5" s="1"/>
  <c r="B1638" i="5"/>
  <c r="C1638" i="5" s="1"/>
  <c r="D1638" i="5"/>
  <c r="E1638" i="5" s="1"/>
  <c r="B1662" i="5"/>
  <c r="C1662" i="5" s="1"/>
  <c r="D1662" i="5"/>
  <c r="E1662" i="5" s="1"/>
  <c r="B1686" i="5"/>
  <c r="C1686" i="5" s="1"/>
  <c r="D1686" i="5"/>
  <c r="E1686" i="5" s="1"/>
  <c r="B1710" i="5"/>
  <c r="C1710" i="5" s="1"/>
  <c r="D1710" i="5"/>
  <c r="E1710" i="5" s="1"/>
  <c r="B1734" i="5"/>
  <c r="C1734" i="5" s="1"/>
  <c r="D1734" i="5"/>
  <c r="E1734" i="5" s="1"/>
  <c r="B1758" i="5"/>
  <c r="C1758" i="5" s="1"/>
  <c r="D1758" i="5"/>
  <c r="E1758" i="5" s="1"/>
  <c r="B1782" i="5"/>
  <c r="C1782" i="5" s="1"/>
  <c r="D1782" i="5"/>
  <c r="E1782" i="5" s="1"/>
  <c r="B1806" i="5"/>
  <c r="C1806" i="5" s="1"/>
  <c r="D1806" i="5"/>
  <c r="E1806" i="5" s="1"/>
  <c r="B1830" i="5"/>
  <c r="C1830" i="5" s="1"/>
  <c r="D1830" i="5"/>
  <c r="E1830" i="5" s="1"/>
  <c r="B1854" i="5"/>
  <c r="C1854" i="5" s="1"/>
  <c r="D1854" i="5"/>
  <c r="E1854" i="5" s="1"/>
  <c r="B1878" i="5"/>
  <c r="C1878" i="5" s="1"/>
  <c r="D1878" i="5"/>
  <c r="E1878" i="5" s="1"/>
  <c r="B1902" i="5"/>
  <c r="C1902" i="5" s="1"/>
  <c r="D1902" i="5"/>
  <c r="E1902" i="5" s="1"/>
  <c r="B1926" i="5"/>
  <c r="C1926" i="5" s="1"/>
  <c r="D1926" i="5"/>
  <c r="E1926" i="5" s="1"/>
  <c r="B1950" i="5"/>
  <c r="C1950" i="5" s="1"/>
  <c r="D1950" i="5"/>
  <c r="E1950" i="5" s="1"/>
  <c r="B1974" i="5"/>
  <c r="C1974" i="5" s="1"/>
  <c r="D1974" i="5"/>
  <c r="E1974" i="5" s="1"/>
  <c r="B1998" i="5"/>
  <c r="C1998" i="5" s="1"/>
  <c r="D1998" i="5"/>
  <c r="E1998" i="5" s="1"/>
  <c r="B2022" i="5"/>
  <c r="C2022" i="5" s="1"/>
  <c r="D2022" i="5"/>
  <c r="E2022" i="5" s="1"/>
  <c r="B2046" i="5"/>
  <c r="C2046" i="5" s="1"/>
  <c r="D2046" i="5"/>
  <c r="E2046" i="5" s="1"/>
  <c r="B2070" i="5"/>
  <c r="C2070" i="5" s="1"/>
  <c r="D2070" i="5"/>
  <c r="E2070" i="5" s="1"/>
  <c r="B2094" i="5"/>
  <c r="C2094" i="5" s="1"/>
  <c r="D2094" i="5"/>
  <c r="E2094" i="5" s="1"/>
  <c r="B2118" i="5"/>
  <c r="C2118" i="5" s="1"/>
  <c r="D2118" i="5"/>
  <c r="E2118" i="5" s="1"/>
  <c r="B2142" i="5"/>
  <c r="C2142" i="5" s="1"/>
  <c r="D2142" i="5"/>
  <c r="E2142" i="5" s="1"/>
  <c r="B2166" i="5"/>
  <c r="C2166" i="5" s="1"/>
  <c r="D2166" i="5"/>
  <c r="E2166" i="5" s="1"/>
  <c r="D2190" i="5"/>
  <c r="E2190" i="5" s="1"/>
  <c r="B2190" i="5"/>
  <c r="C2190" i="5" s="1"/>
  <c r="B2214" i="5"/>
  <c r="C2214" i="5" s="1"/>
  <c r="D2214" i="5"/>
  <c r="E2214" i="5" s="1"/>
  <c r="B2238" i="5"/>
  <c r="C2238" i="5" s="1"/>
  <c r="D2238" i="5"/>
  <c r="E2238" i="5" s="1"/>
  <c r="B2262" i="5"/>
  <c r="C2262" i="5" s="1"/>
  <c r="D2262" i="5"/>
  <c r="E2262" i="5" s="1"/>
  <c r="B2286" i="5"/>
  <c r="C2286" i="5" s="1"/>
  <c r="D2286" i="5"/>
  <c r="E2286" i="5" s="1"/>
  <c r="B2310" i="5"/>
  <c r="C2310" i="5" s="1"/>
  <c r="D2310" i="5"/>
  <c r="E2310" i="5" s="1"/>
  <c r="B2334" i="5"/>
  <c r="C2334" i="5" s="1"/>
  <c r="D2334" i="5"/>
  <c r="E2334" i="5" s="1"/>
  <c r="B2358" i="5"/>
  <c r="C2358" i="5" s="1"/>
  <c r="D2358" i="5"/>
  <c r="E2358" i="5" s="1"/>
  <c r="B2382" i="5"/>
  <c r="C2382" i="5" s="1"/>
  <c r="D2382" i="5"/>
  <c r="E2382" i="5" s="1"/>
  <c r="B2406" i="5"/>
  <c r="C2406" i="5" s="1"/>
  <c r="D2406" i="5"/>
  <c r="E2406" i="5" s="1"/>
  <c r="B2430" i="5"/>
  <c r="C2430" i="5" s="1"/>
  <c r="D2430" i="5"/>
  <c r="E2430" i="5" s="1"/>
  <c r="B2454" i="5"/>
  <c r="C2454" i="5" s="1"/>
  <c r="D2454" i="5"/>
  <c r="E2454" i="5" s="1"/>
  <c r="B2478" i="5"/>
  <c r="C2478" i="5" s="1"/>
  <c r="D2478" i="5"/>
  <c r="E2478" i="5" s="1"/>
  <c r="B2502" i="5"/>
  <c r="C2502" i="5" s="1"/>
  <c r="D2502" i="5"/>
  <c r="E2502" i="5" s="1"/>
  <c r="B2526" i="5"/>
  <c r="C2526" i="5" s="1"/>
  <c r="D2526" i="5"/>
  <c r="E2526" i="5" s="1"/>
  <c r="B2550" i="5"/>
  <c r="C2550" i="5" s="1"/>
  <c r="D2550" i="5"/>
  <c r="E2550" i="5" s="1"/>
  <c r="D2574" i="5"/>
  <c r="E2574" i="5" s="1"/>
  <c r="B2574" i="5"/>
  <c r="C2574" i="5" s="1"/>
  <c r="B2598" i="5"/>
  <c r="C2598" i="5" s="1"/>
  <c r="D2598" i="5"/>
  <c r="E2598" i="5" s="1"/>
  <c r="B2622" i="5"/>
  <c r="C2622" i="5" s="1"/>
  <c r="D2622" i="5"/>
  <c r="E2622" i="5" s="1"/>
  <c r="B2646" i="5"/>
  <c r="C2646" i="5" s="1"/>
  <c r="D2646" i="5"/>
  <c r="E2646" i="5" s="1"/>
  <c r="B2670" i="5"/>
  <c r="C2670" i="5" s="1"/>
  <c r="D2670" i="5"/>
  <c r="E2670" i="5" s="1"/>
  <c r="B2694" i="5"/>
  <c r="C2694" i="5" s="1"/>
  <c r="D2694" i="5"/>
  <c r="E2694" i="5" s="1"/>
  <c r="B2718" i="5"/>
  <c r="C2718" i="5" s="1"/>
  <c r="D2718" i="5"/>
  <c r="E2718" i="5" s="1"/>
  <c r="B2742" i="5"/>
  <c r="C2742" i="5" s="1"/>
  <c r="D2742" i="5"/>
  <c r="E2742" i="5" s="1"/>
  <c r="B2766" i="5"/>
  <c r="C2766" i="5" s="1"/>
  <c r="D2766" i="5"/>
  <c r="E2766" i="5" s="1"/>
  <c r="B2790" i="5"/>
  <c r="C2790" i="5" s="1"/>
  <c r="D2790" i="5"/>
  <c r="E2790" i="5" s="1"/>
  <c r="B2814" i="5"/>
  <c r="C2814" i="5" s="1"/>
  <c r="D2814" i="5"/>
  <c r="E2814" i="5" s="1"/>
  <c r="B2838" i="5"/>
  <c r="C2838" i="5" s="1"/>
  <c r="D2838" i="5"/>
  <c r="E2838" i="5" s="1"/>
  <c r="B2862" i="5"/>
  <c r="C2862" i="5" s="1"/>
  <c r="D2862" i="5"/>
  <c r="E2862" i="5" s="1"/>
  <c r="B2886" i="5"/>
  <c r="C2886" i="5" s="1"/>
  <c r="D2886" i="5"/>
  <c r="E2886" i="5" s="1"/>
  <c r="B2910" i="5"/>
  <c r="C2910" i="5" s="1"/>
  <c r="D2910" i="5"/>
  <c r="E2910" i="5" s="1"/>
  <c r="B2934" i="5"/>
  <c r="C2934" i="5" s="1"/>
  <c r="D2934" i="5"/>
  <c r="E2934" i="5" s="1"/>
  <c r="B2958" i="5"/>
  <c r="C2958" i="5" s="1"/>
  <c r="D2958" i="5"/>
  <c r="E2958" i="5" s="1"/>
  <c r="B2982" i="5"/>
  <c r="C2982" i="5" s="1"/>
  <c r="D2982" i="5"/>
  <c r="E2982" i="5" s="1"/>
  <c r="B3006" i="5"/>
  <c r="C3006" i="5" s="1"/>
  <c r="D3006" i="5"/>
  <c r="E3006" i="5" s="1"/>
  <c r="B3030" i="5"/>
  <c r="C3030" i="5" s="1"/>
  <c r="D3030" i="5"/>
  <c r="E3030" i="5" s="1"/>
  <c r="B3054" i="5"/>
  <c r="C3054" i="5" s="1"/>
  <c r="D3054" i="5"/>
  <c r="E3054" i="5" s="1"/>
  <c r="B3078" i="5"/>
  <c r="C3078" i="5" s="1"/>
  <c r="D3078" i="5"/>
  <c r="E3078" i="5" s="1"/>
  <c r="B3102" i="5"/>
  <c r="C3102" i="5" s="1"/>
  <c r="D3102" i="5"/>
  <c r="E3102" i="5" s="1"/>
  <c r="B3126" i="5"/>
  <c r="C3126" i="5" s="1"/>
  <c r="D3126" i="5"/>
  <c r="E3126" i="5" s="1"/>
  <c r="B3150" i="5"/>
  <c r="C3150" i="5" s="1"/>
  <c r="D3150" i="5"/>
  <c r="E3150" i="5" s="1"/>
  <c r="B3174" i="5"/>
  <c r="C3174" i="5" s="1"/>
  <c r="D3174" i="5"/>
  <c r="E3174" i="5" s="1"/>
  <c r="B3198" i="5"/>
  <c r="C3198" i="5" s="1"/>
  <c r="D3198" i="5"/>
  <c r="E3198" i="5" s="1"/>
  <c r="B3222" i="5"/>
  <c r="C3222" i="5" s="1"/>
  <c r="D3222" i="5"/>
  <c r="E3222" i="5" s="1"/>
  <c r="B3246" i="5"/>
  <c r="C3246" i="5" s="1"/>
  <c r="D3246" i="5"/>
  <c r="E3246" i="5" s="1"/>
  <c r="B3270" i="5"/>
  <c r="C3270" i="5" s="1"/>
  <c r="D3270" i="5"/>
  <c r="E3270" i="5" s="1"/>
  <c r="B3294" i="5"/>
  <c r="C3294" i="5" s="1"/>
  <c r="D3294" i="5"/>
  <c r="E3294" i="5" s="1"/>
  <c r="B3318" i="5"/>
  <c r="C3318" i="5" s="1"/>
  <c r="D3318" i="5"/>
  <c r="E3318" i="5" s="1"/>
  <c r="B3342" i="5"/>
  <c r="C3342" i="5" s="1"/>
  <c r="D3342" i="5"/>
  <c r="E3342" i="5" s="1"/>
  <c r="B3366" i="5"/>
  <c r="C3366" i="5" s="1"/>
  <c r="D3366" i="5"/>
  <c r="E3366" i="5" s="1"/>
  <c r="B3390" i="5"/>
  <c r="C3390" i="5" s="1"/>
  <c r="D3390" i="5"/>
  <c r="E3390" i="5" s="1"/>
  <c r="B3414" i="5"/>
  <c r="C3414" i="5" s="1"/>
  <c r="D3414" i="5"/>
  <c r="E3414" i="5" s="1"/>
  <c r="B3438" i="5"/>
  <c r="C3438" i="5" s="1"/>
  <c r="D3438" i="5"/>
  <c r="E3438" i="5" s="1"/>
  <c r="B3462" i="5"/>
  <c r="C3462" i="5" s="1"/>
  <c r="D3462" i="5"/>
  <c r="E3462" i="5" s="1"/>
  <c r="B3486" i="5"/>
  <c r="C3486" i="5" s="1"/>
  <c r="D3486" i="5"/>
  <c r="E3486" i="5" s="1"/>
  <c r="B3510" i="5"/>
  <c r="C3510" i="5" s="1"/>
  <c r="D3510" i="5"/>
  <c r="E3510" i="5" s="1"/>
  <c r="B3534" i="5"/>
  <c r="C3534" i="5" s="1"/>
  <c r="D3534" i="5"/>
  <c r="E3534" i="5" s="1"/>
  <c r="B3558" i="5"/>
  <c r="C3558" i="5" s="1"/>
  <c r="D3558" i="5"/>
  <c r="E3558" i="5" s="1"/>
  <c r="B3582" i="5"/>
  <c r="C3582" i="5" s="1"/>
  <c r="D3582" i="5"/>
  <c r="E3582" i="5" s="1"/>
  <c r="B3606" i="5"/>
  <c r="C3606" i="5" s="1"/>
  <c r="D3606" i="5"/>
  <c r="E3606" i="5" s="1"/>
  <c r="B3630" i="5"/>
  <c r="C3630" i="5" s="1"/>
  <c r="D3630" i="5"/>
  <c r="E3630" i="5" s="1"/>
  <c r="B3654" i="5"/>
  <c r="C3654" i="5" s="1"/>
  <c r="D3654" i="5"/>
  <c r="E3654" i="5" s="1"/>
  <c r="B74" i="5"/>
  <c r="C74" i="5" s="1"/>
  <c r="D74" i="5"/>
  <c r="E74" i="5" s="1"/>
  <c r="B170" i="5"/>
  <c r="C170" i="5" s="1"/>
  <c r="D170" i="5"/>
  <c r="E170" i="5" s="1"/>
  <c r="B218" i="5"/>
  <c r="C218" i="5" s="1"/>
  <c r="D218" i="5"/>
  <c r="E218" i="5" s="1"/>
  <c r="B314" i="5"/>
  <c r="C314" i="5" s="1"/>
  <c r="D314" i="5"/>
  <c r="E314" i="5" s="1"/>
  <c r="B410" i="5"/>
  <c r="C410" i="5" s="1"/>
  <c r="D410" i="5"/>
  <c r="E410" i="5" s="1"/>
  <c r="B482" i="5"/>
  <c r="C482" i="5" s="1"/>
  <c r="D482" i="5"/>
  <c r="E482" i="5" s="1"/>
  <c r="B554" i="5"/>
  <c r="C554" i="5" s="1"/>
  <c r="D554" i="5"/>
  <c r="E554" i="5" s="1"/>
  <c r="B674" i="5"/>
  <c r="C674" i="5" s="1"/>
  <c r="D674" i="5"/>
  <c r="E674" i="5" s="1"/>
  <c r="B746" i="5"/>
  <c r="C746" i="5" s="1"/>
  <c r="D746" i="5"/>
  <c r="E746" i="5" s="1"/>
  <c r="B890" i="5"/>
  <c r="C890" i="5" s="1"/>
  <c r="D890" i="5"/>
  <c r="E890" i="5" s="1"/>
  <c r="B1034" i="5"/>
  <c r="C1034" i="5" s="1"/>
  <c r="D1034" i="5"/>
  <c r="E1034" i="5" s="1"/>
  <c r="B1154" i="5"/>
  <c r="C1154" i="5" s="1"/>
  <c r="D1154" i="5"/>
  <c r="E1154" i="5" s="1"/>
  <c r="B1298" i="5"/>
  <c r="C1298" i="5" s="1"/>
  <c r="D1298" i="5"/>
  <c r="E1298" i="5" s="1"/>
  <c r="B1442" i="5"/>
  <c r="C1442" i="5" s="1"/>
  <c r="D1442" i="5"/>
  <c r="E1442" i="5" s="1"/>
  <c r="B1610" i="5"/>
  <c r="C1610" i="5" s="1"/>
  <c r="D1610" i="5"/>
  <c r="E1610" i="5" s="1"/>
  <c r="B1778" i="5"/>
  <c r="C1778" i="5" s="1"/>
  <c r="D1778" i="5"/>
  <c r="E1778" i="5" s="1"/>
  <c r="D1946" i="5"/>
  <c r="E1946" i="5" s="1"/>
  <c r="B1946" i="5"/>
  <c r="C1946" i="5" s="1"/>
  <c r="B2114" i="5"/>
  <c r="C2114" i="5" s="1"/>
  <c r="D2114" i="5"/>
  <c r="E2114" i="5" s="1"/>
  <c r="B2282" i="5"/>
  <c r="C2282" i="5" s="1"/>
  <c r="D2282" i="5"/>
  <c r="E2282" i="5" s="1"/>
  <c r="B2426" i="5"/>
  <c r="C2426" i="5" s="1"/>
  <c r="D2426" i="5"/>
  <c r="E2426" i="5" s="1"/>
  <c r="B2546" i="5"/>
  <c r="C2546" i="5" s="1"/>
  <c r="D2546" i="5"/>
  <c r="E2546" i="5" s="1"/>
  <c r="B2618" i="5"/>
  <c r="C2618" i="5" s="1"/>
  <c r="D2618" i="5"/>
  <c r="E2618" i="5" s="1"/>
  <c r="B2714" i="5"/>
  <c r="C2714" i="5" s="1"/>
  <c r="D2714" i="5"/>
  <c r="E2714" i="5" s="1"/>
  <c r="B2786" i="5"/>
  <c r="C2786" i="5" s="1"/>
  <c r="D2786" i="5"/>
  <c r="E2786" i="5" s="1"/>
  <c r="B2858" i="5"/>
  <c r="C2858" i="5" s="1"/>
  <c r="D2858" i="5"/>
  <c r="E2858" i="5" s="1"/>
  <c r="B2906" i="5"/>
  <c r="C2906" i="5" s="1"/>
  <c r="D2906" i="5"/>
  <c r="E2906" i="5" s="1"/>
  <c r="B2954" i="5"/>
  <c r="C2954" i="5" s="1"/>
  <c r="D2954" i="5"/>
  <c r="E2954" i="5" s="1"/>
  <c r="B3002" i="5"/>
  <c r="C3002" i="5" s="1"/>
  <c r="D3002" i="5"/>
  <c r="E3002" i="5" s="1"/>
  <c r="B3050" i="5"/>
  <c r="C3050" i="5" s="1"/>
  <c r="D3050" i="5"/>
  <c r="E3050" i="5" s="1"/>
  <c r="B3098" i="5"/>
  <c r="C3098" i="5" s="1"/>
  <c r="D3098" i="5"/>
  <c r="E3098" i="5" s="1"/>
  <c r="B3170" i="5"/>
  <c r="C3170" i="5" s="1"/>
  <c r="D3170" i="5"/>
  <c r="E3170" i="5" s="1"/>
  <c r="B3218" i="5"/>
  <c r="C3218" i="5" s="1"/>
  <c r="D3218" i="5"/>
  <c r="E3218" i="5" s="1"/>
  <c r="B3266" i="5"/>
  <c r="C3266" i="5" s="1"/>
  <c r="D3266" i="5"/>
  <c r="E3266" i="5" s="1"/>
  <c r="B3314" i="5"/>
  <c r="C3314" i="5" s="1"/>
  <c r="D3314" i="5"/>
  <c r="E3314" i="5" s="1"/>
  <c r="B3362" i="5"/>
  <c r="C3362" i="5" s="1"/>
  <c r="D3362" i="5"/>
  <c r="E3362" i="5" s="1"/>
  <c r="B3410" i="5"/>
  <c r="C3410" i="5" s="1"/>
  <c r="D3410" i="5"/>
  <c r="E3410" i="5" s="1"/>
  <c r="B3458" i="5"/>
  <c r="C3458" i="5" s="1"/>
  <c r="D3458" i="5"/>
  <c r="E3458" i="5" s="1"/>
  <c r="B3530" i="5"/>
  <c r="C3530" i="5" s="1"/>
  <c r="D3530" i="5"/>
  <c r="E3530" i="5" s="1"/>
  <c r="B3626" i="5"/>
  <c r="C3626" i="5" s="1"/>
  <c r="D3626" i="5"/>
  <c r="E3626" i="5" s="1"/>
  <c r="B364" i="5"/>
  <c r="C364" i="5" s="1"/>
  <c r="D364" i="5"/>
  <c r="E364" i="5" s="1"/>
  <c r="B1300" i="5"/>
  <c r="C1300" i="5" s="1"/>
  <c r="D1300" i="5"/>
  <c r="E1300" i="5" s="1"/>
  <c r="B29" i="5"/>
  <c r="C29" i="5" s="1"/>
  <c r="D29" i="5"/>
  <c r="E29" i="5" s="1"/>
  <c r="B53" i="5"/>
  <c r="C53" i="5" s="1"/>
  <c r="D53" i="5"/>
  <c r="E53" i="5" s="1"/>
  <c r="B101" i="5"/>
  <c r="C101" i="5" s="1"/>
  <c r="D101" i="5"/>
  <c r="E101" i="5" s="1"/>
  <c r="B54" i="5"/>
  <c r="C54" i="5" s="1"/>
  <c r="D54" i="5"/>
  <c r="E54" i="5" s="1"/>
  <c r="B7" i="5"/>
  <c r="C7" i="5" s="1"/>
  <c r="D7" i="5"/>
  <c r="E7" i="5" s="1"/>
  <c r="B31" i="5"/>
  <c r="C31" i="5" s="1"/>
  <c r="D31" i="5"/>
  <c r="E31" i="5" s="1"/>
  <c r="B55" i="5"/>
  <c r="C55" i="5" s="1"/>
  <c r="D55" i="5"/>
  <c r="E55" i="5" s="1"/>
  <c r="B79" i="5"/>
  <c r="C79" i="5" s="1"/>
  <c r="D79" i="5"/>
  <c r="E79" i="5" s="1"/>
  <c r="B103" i="5"/>
  <c r="C103" i="5" s="1"/>
  <c r="D103" i="5"/>
  <c r="E103" i="5" s="1"/>
  <c r="B127" i="5"/>
  <c r="C127" i="5" s="1"/>
  <c r="D127" i="5"/>
  <c r="E127" i="5" s="1"/>
  <c r="B151" i="5"/>
  <c r="C151" i="5" s="1"/>
  <c r="D151" i="5"/>
  <c r="E151" i="5" s="1"/>
  <c r="B175" i="5"/>
  <c r="C175" i="5" s="1"/>
  <c r="D175" i="5"/>
  <c r="E175" i="5" s="1"/>
  <c r="B199" i="5"/>
  <c r="C199" i="5" s="1"/>
  <c r="D199" i="5"/>
  <c r="E199" i="5" s="1"/>
  <c r="B223" i="5"/>
  <c r="C223" i="5" s="1"/>
  <c r="D223" i="5"/>
  <c r="E223" i="5" s="1"/>
  <c r="B247" i="5"/>
  <c r="C247" i="5" s="1"/>
  <c r="D247" i="5"/>
  <c r="E247" i="5" s="1"/>
  <c r="B271" i="5"/>
  <c r="C271" i="5" s="1"/>
  <c r="D271" i="5"/>
  <c r="E271" i="5" s="1"/>
  <c r="B295" i="5"/>
  <c r="C295" i="5" s="1"/>
  <c r="D295" i="5"/>
  <c r="E295" i="5" s="1"/>
  <c r="B319" i="5"/>
  <c r="C319" i="5" s="1"/>
  <c r="D319" i="5"/>
  <c r="E319" i="5" s="1"/>
  <c r="B343" i="5"/>
  <c r="C343" i="5" s="1"/>
  <c r="D343" i="5"/>
  <c r="E343" i="5" s="1"/>
  <c r="B367" i="5"/>
  <c r="C367" i="5" s="1"/>
  <c r="D367" i="5"/>
  <c r="E367" i="5" s="1"/>
  <c r="B391" i="5"/>
  <c r="C391" i="5" s="1"/>
  <c r="D391" i="5"/>
  <c r="E391" i="5" s="1"/>
  <c r="B415" i="5"/>
  <c r="C415" i="5" s="1"/>
  <c r="D415" i="5"/>
  <c r="E415" i="5" s="1"/>
  <c r="B439" i="5"/>
  <c r="C439" i="5" s="1"/>
  <c r="D439" i="5"/>
  <c r="E439" i="5" s="1"/>
  <c r="B463" i="5"/>
  <c r="C463" i="5" s="1"/>
  <c r="D463" i="5"/>
  <c r="E463" i="5" s="1"/>
  <c r="B487" i="5"/>
  <c r="C487" i="5" s="1"/>
  <c r="D487" i="5"/>
  <c r="E487" i="5" s="1"/>
  <c r="B511" i="5"/>
  <c r="C511" i="5" s="1"/>
  <c r="D511" i="5"/>
  <c r="E511" i="5" s="1"/>
  <c r="B535" i="5"/>
  <c r="C535" i="5" s="1"/>
  <c r="D535" i="5"/>
  <c r="E535" i="5" s="1"/>
  <c r="B559" i="5"/>
  <c r="C559" i="5" s="1"/>
  <c r="D559" i="5"/>
  <c r="E559" i="5" s="1"/>
  <c r="B583" i="5"/>
  <c r="C583" i="5" s="1"/>
  <c r="D583" i="5"/>
  <c r="E583" i="5" s="1"/>
  <c r="B607" i="5"/>
  <c r="C607" i="5" s="1"/>
  <c r="D607" i="5"/>
  <c r="E607" i="5" s="1"/>
  <c r="B631" i="5"/>
  <c r="C631" i="5" s="1"/>
  <c r="D631" i="5"/>
  <c r="E631" i="5" s="1"/>
  <c r="B655" i="5"/>
  <c r="C655" i="5" s="1"/>
  <c r="D655" i="5"/>
  <c r="E655" i="5" s="1"/>
  <c r="B679" i="5"/>
  <c r="C679" i="5" s="1"/>
  <c r="D679" i="5"/>
  <c r="E679" i="5" s="1"/>
  <c r="B703" i="5"/>
  <c r="C703" i="5" s="1"/>
  <c r="D703" i="5"/>
  <c r="E703" i="5" s="1"/>
  <c r="B727" i="5"/>
  <c r="C727" i="5" s="1"/>
  <c r="D727" i="5"/>
  <c r="E727" i="5" s="1"/>
  <c r="B751" i="5"/>
  <c r="C751" i="5" s="1"/>
  <c r="D751" i="5"/>
  <c r="E751" i="5" s="1"/>
  <c r="B775" i="5"/>
  <c r="C775" i="5" s="1"/>
  <c r="D775" i="5"/>
  <c r="E775" i="5" s="1"/>
  <c r="B799" i="5"/>
  <c r="C799" i="5" s="1"/>
  <c r="D799" i="5"/>
  <c r="E799" i="5" s="1"/>
  <c r="B823" i="5"/>
  <c r="C823" i="5" s="1"/>
  <c r="D823" i="5"/>
  <c r="E823" i="5" s="1"/>
  <c r="B847" i="5"/>
  <c r="C847" i="5" s="1"/>
  <c r="D847" i="5"/>
  <c r="E847" i="5" s="1"/>
  <c r="B871" i="5"/>
  <c r="C871" i="5" s="1"/>
  <c r="D871" i="5"/>
  <c r="E871" i="5" s="1"/>
  <c r="B895" i="5"/>
  <c r="C895" i="5" s="1"/>
  <c r="D895" i="5"/>
  <c r="E895" i="5" s="1"/>
  <c r="B919" i="5"/>
  <c r="C919" i="5" s="1"/>
  <c r="D919" i="5"/>
  <c r="E919" i="5" s="1"/>
  <c r="B943" i="5"/>
  <c r="C943" i="5" s="1"/>
  <c r="D943" i="5"/>
  <c r="E943" i="5" s="1"/>
  <c r="B967" i="5"/>
  <c r="C967" i="5" s="1"/>
  <c r="D967" i="5"/>
  <c r="E967" i="5" s="1"/>
  <c r="B991" i="5"/>
  <c r="C991" i="5" s="1"/>
  <c r="D991" i="5"/>
  <c r="E991" i="5" s="1"/>
  <c r="B1015" i="5"/>
  <c r="C1015" i="5" s="1"/>
  <c r="D1015" i="5"/>
  <c r="E1015" i="5" s="1"/>
  <c r="B1039" i="5"/>
  <c r="C1039" i="5" s="1"/>
  <c r="D1039" i="5"/>
  <c r="E1039" i="5" s="1"/>
  <c r="B1063" i="5"/>
  <c r="C1063" i="5" s="1"/>
  <c r="D1063" i="5"/>
  <c r="E1063" i="5" s="1"/>
  <c r="B1087" i="5"/>
  <c r="C1087" i="5" s="1"/>
  <c r="D1087" i="5"/>
  <c r="E1087" i="5" s="1"/>
  <c r="B1111" i="5"/>
  <c r="C1111" i="5" s="1"/>
  <c r="D1111" i="5"/>
  <c r="E1111" i="5" s="1"/>
  <c r="B1135" i="5"/>
  <c r="C1135" i="5" s="1"/>
  <c r="D1135" i="5"/>
  <c r="E1135" i="5" s="1"/>
  <c r="B1159" i="5"/>
  <c r="C1159" i="5" s="1"/>
  <c r="D1159" i="5"/>
  <c r="E1159" i="5" s="1"/>
  <c r="B1183" i="5"/>
  <c r="C1183" i="5" s="1"/>
  <c r="D1183" i="5"/>
  <c r="E1183" i="5" s="1"/>
  <c r="B1207" i="5"/>
  <c r="C1207" i="5" s="1"/>
  <c r="D1207" i="5"/>
  <c r="E1207" i="5" s="1"/>
  <c r="B1231" i="5"/>
  <c r="C1231" i="5" s="1"/>
  <c r="D1231" i="5"/>
  <c r="E1231" i="5" s="1"/>
  <c r="B1255" i="5"/>
  <c r="C1255" i="5" s="1"/>
  <c r="D1255" i="5"/>
  <c r="E1255" i="5" s="1"/>
  <c r="D1279" i="5"/>
  <c r="E1279" i="5" s="1"/>
  <c r="B1279" i="5"/>
  <c r="C1279" i="5" s="1"/>
  <c r="B1303" i="5"/>
  <c r="C1303" i="5" s="1"/>
  <c r="D1303" i="5"/>
  <c r="E1303" i="5" s="1"/>
  <c r="B1327" i="5"/>
  <c r="C1327" i="5" s="1"/>
  <c r="D1327" i="5"/>
  <c r="E1327" i="5" s="1"/>
  <c r="B1351" i="5"/>
  <c r="C1351" i="5" s="1"/>
  <c r="D1351" i="5"/>
  <c r="E1351" i="5" s="1"/>
  <c r="B1375" i="5"/>
  <c r="C1375" i="5" s="1"/>
  <c r="D1375" i="5"/>
  <c r="E1375" i="5" s="1"/>
  <c r="B1399" i="5"/>
  <c r="C1399" i="5" s="1"/>
  <c r="D1399" i="5"/>
  <c r="E1399" i="5" s="1"/>
  <c r="B1423" i="5"/>
  <c r="C1423" i="5" s="1"/>
  <c r="D1423" i="5"/>
  <c r="E1423" i="5" s="1"/>
  <c r="B1447" i="5"/>
  <c r="C1447" i="5" s="1"/>
  <c r="D1447" i="5"/>
  <c r="E1447" i="5" s="1"/>
  <c r="B1471" i="5"/>
  <c r="C1471" i="5" s="1"/>
  <c r="D1471" i="5"/>
  <c r="E1471" i="5" s="1"/>
  <c r="B1495" i="5"/>
  <c r="C1495" i="5" s="1"/>
  <c r="D1495" i="5"/>
  <c r="E1495" i="5" s="1"/>
  <c r="B1519" i="5"/>
  <c r="C1519" i="5" s="1"/>
  <c r="D1519" i="5"/>
  <c r="E1519" i="5" s="1"/>
  <c r="B1543" i="5"/>
  <c r="C1543" i="5" s="1"/>
  <c r="D1543" i="5"/>
  <c r="E1543" i="5" s="1"/>
  <c r="B1567" i="5"/>
  <c r="C1567" i="5" s="1"/>
  <c r="D1567" i="5"/>
  <c r="E1567" i="5" s="1"/>
  <c r="B1591" i="5"/>
  <c r="C1591" i="5" s="1"/>
  <c r="D1591" i="5"/>
  <c r="E1591" i="5" s="1"/>
  <c r="B1615" i="5"/>
  <c r="C1615" i="5" s="1"/>
  <c r="D1615" i="5"/>
  <c r="E1615" i="5" s="1"/>
  <c r="B1639" i="5"/>
  <c r="C1639" i="5" s="1"/>
  <c r="D1639" i="5"/>
  <c r="E1639" i="5" s="1"/>
  <c r="B1663" i="5"/>
  <c r="C1663" i="5" s="1"/>
  <c r="D1663" i="5"/>
  <c r="E1663" i="5" s="1"/>
  <c r="B1687" i="5"/>
  <c r="C1687" i="5" s="1"/>
  <c r="D1687" i="5"/>
  <c r="E1687" i="5" s="1"/>
  <c r="B1711" i="5"/>
  <c r="C1711" i="5" s="1"/>
  <c r="D1711" i="5"/>
  <c r="E1711" i="5" s="1"/>
  <c r="B1735" i="5"/>
  <c r="C1735" i="5" s="1"/>
  <c r="D1735" i="5"/>
  <c r="E1735" i="5" s="1"/>
  <c r="B1759" i="5"/>
  <c r="C1759" i="5" s="1"/>
  <c r="D1759" i="5"/>
  <c r="E1759" i="5" s="1"/>
  <c r="B1783" i="5"/>
  <c r="C1783" i="5" s="1"/>
  <c r="D1783" i="5"/>
  <c r="E1783" i="5" s="1"/>
  <c r="B1807" i="5"/>
  <c r="C1807" i="5" s="1"/>
  <c r="D1807" i="5"/>
  <c r="E1807" i="5" s="1"/>
  <c r="B1831" i="5"/>
  <c r="C1831" i="5" s="1"/>
  <c r="D1831" i="5"/>
  <c r="E1831" i="5" s="1"/>
  <c r="B1855" i="5"/>
  <c r="C1855" i="5" s="1"/>
  <c r="D1855" i="5"/>
  <c r="E1855" i="5" s="1"/>
  <c r="B1879" i="5"/>
  <c r="C1879" i="5" s="1"/>
  <c r="D1879" i="5"/>
  <c r="E1879" i="5" s="1"/>
  <c r="B1903" i="5"/>
  <c r="C1903" i="5" s="1"/>
  <c r="D1903" i="5"/>
  <c r="E1903" i="5" s="1"/>
  <c r="B1927" i="5"/>
  <c r="C1927" i="5" s="1"/>
  <c r="D1927" i="5"/>
  <c r="E1927" i="5" s="1"/>
  <c r="B1951" i="5"/>
  <c r="C1951" i="5" s="1"/>
  <c r="D1951" i="5"/>
  <c r="E1951" i="5" s="1"/>
  <c r="B1975" i="5"/>
  <c r="C1975" i="5" s="1"/>
  <c r="D1975" i="5"/>
  <c r="E1975" i="5" s="1"/>
  <c r="B1999" i="5"/>
  <c r="C1999" i="5" s="1"/>
  <c r="D1999" i="5"/>
  <c r="E1999" i="5" s="1"/>
  <c r="B2023" i="5"/>
  <c r="C2023" i="5" s="1"/>
  <c r="D2023" i="5"/>
  <c r="E2023" i="5" s="1"/>
  <c r="B2047" i="5"/>
  <c r="C2047" i="5" s="1"/>
  <c r="D2047" i="5"/>
  <c r="E2047" i="5" s="1"/>
  <c r="B2071" i="5"/>
  <c r="C2071" i="5" s="1"/>
  <c r="D2071" i="5"/>
  <c r="E2071" i="5" s="1"/>
  <c r="B2095" i="5"/>
  <c r="C2095" i="5" s="1"/>
  <c r="D2095" i="5"/>
  <c r="E2095" i="5" s="1"/>
  <c r="B2119" i="5"/>
  <c r="C2119" i="5" s="1"/>
  <c r="D2119" i="5"/>
  <c r="E2119" i="5" s="1"/>
  <c r="D2143" i="5"/>
  <c r="E2143" i="5" s="1"/>
  <c r="B2143" i="5"/>
  <c r="C2143" i="5" s="1"/>
  <c r="D2167" i="5"/>
  <c r="E2167" i="5" s="1"/>
  <c r="B2167" i="5"/>
  <c r="C2167" i="5" s="1"/>
  <c r="B2191" i="5"/>
  <c r="C2191" i="5" s="1"/>
  <c r="D2191" i="5"/>
  <c r="E2191" i="5" s="1"/>
  <c r="B2215" i="5"/>
  <c r="C2215" i="5" s="1"/>
  <c r="D2215" i="5"/>
  <c r="E2215" i="5" s="1"/>
  <c r="B2239" i="5"/>
  <c r="C2239" i="5" s="1"/>
  <c r="D2239" i="5"/>
  <c r="E2239" i="5" s="1"/>
  <c r="B2263" i="5"/>
  <c r="C2263" i="5" s="1"/>
  <c r="D2263" i="5"/>
  <c r="E2263" i="5" s="1"/>
  <c r="B2287" i="5"/>
  <c r="C2287" i="5" s="1"/>
  <c r="D2287" i="5"/>
  <c r="E2287" i="5" s="1"/>
  <c r="B2311" i="5"/>
  <c r="C2311" i="5" s="1"/>
  <c r="D2311" i="5"/>
  <c r="E2311" i="5" s="1"/>
  <c r="B2335" i="5"/>
  <c r="C2335" i="5" s="1"/>
  <c r="D2335" i="5"/>
  <c r="E2335" i="5" s="1"/>
  <c r="B2359" i="5"/>
  <c r="C2359" i="5" s="1"/>
  <c r="D2359" i="5"/>
  <c r="E2359" i="5" s="1"/>
  <c r="B2383" i="5"/>
  <c r="C2383" i="5" s="1"/>
  <c r="D2383" i="5"/>
  <c r="E2383" i="5" s="1"/>
  <c r="B2407" i="5"/>
  <c r="C2407" i="5" s="1"/>
  <c r="D2407" i="5"/>
  <c r="E2407" i="5" s="1"/>
  <c r="B2431" i="5"/>
  <c r="C2431" i="5" s="1"/>
  <c r="D2431" i="5"/>
  <c r="E2431" i="5" s="1"/>
  <c r="B2455" i="5"/>
  <c r="C2455" i="5" s="1"/>
  <c r="D2455" i="5"/>
  <c r="E2455" i="5" s="1"/>
  <c r="B2479" i="5"/>
  <c r="C2479" i="5" s="1"/>
  <c r="D2479" i="5"/>
  <c r="E2479" i="5" s="1"/>
  <c r="B2503" i="5"/>
  <c r="C2503" i="5" s="1"/>
  <c r="D2503" i="5"/>
  <c r="E2503" i="5" s="1"/>
  <c r="B2527" i="5"/>
  <c r="C2527" i="5" s="1"/>
  <c r="D2527" i="5"/>
  <c r="E2527" i="5" s="1"/>
  <c r="B2551" i="5"/>
  <c r="C2551" i="5" s="1"/>
  <c r="D2551" i="5"/>
  <c r="E2551" i="5" s="1"/>
  <c r="B2575" i="5"/>
  <c r="C2575" i="5" s="1"/>
  <c r="D2575" i="5"/>
  <c r="E2575" i="5" s="1"/>
  <c r="B2599" i="5"/>
  <c r="C2599" i="5" s="1"/>
  <c r="D2599" i="5"/>
  <c r="E2599" i="5" s="1"/>
  <c r="B2623" i="5"/>
  <c r="C2623" i="5" s="1"/>
  <c r="D2623" i="5"/>
  <c r="E2623" i="5" s="1"/>
  <c r="B2647" i="5"/>
  <c r="C2647" i="5" s="1"/>
  <c r="D2647" i="5"/>
  <c r="E2647" i="5" s="1"/>
  <c r="B2671" i="5"/>
  <c r="C2671" i="5" s="1"/>
  <c r="D2671" i="5"/>
  <c r="E2671" i="5" s="1"/>
  <c r="B2695" i="5"/>
  <c r="C2695" i="5" s="1"/>
  <c r="D2695" i="5"/>
  <c r="E2695" i="5" s="1"/>
  <c r="B2719" i="5"/>
  <c r="C2719" i="5" s="1"/>
  <c r="D2719" i="5"/>
  <c r="E2719" i="5" s="1"/>
  <c r="B2743" i="5"/>
  <c r="C2743" i="5" s="1"/>
  <c r="D2743" i="5"/>
  <c r="E2743" i="5" s="1"/>
  <c r="B2767" i="5"/>
  <c r="C2767" i="5" s="1"/>
  <c r="D2767" i="5"/>
  <c r="E2767" i="5" s="1"/>
  <c r="B2791" i="5"/>
  <c r="C2791" i="5" s="1"/>
  <c r="D2791" i="5"/>
  <c r="E2791" i="5" s="1"/>
  <c r="B2815" i="5"/>
  <c r="C2815" i="5" s="1"/>
  <c r="D2815" i="5"/>
  <c r="E2815" i="5" s="1"/>
  <c r="B2839" i="5"/>
  <c r="C2839" i="5" s="1"/>
  <c r="D2839" i="5"/>
  <c r="E2839" i="5" s="1"/>
  <c r="B2863" i="5"/>
  <c r="C2863" i="5" s="1"/>
  <c r="D2863" i="5"/>
  <c r="E2863" i="5" s="1"/>
  <c r="B2887" i="5"/>
  <c r="C2887" i="5" s="1"/>
  <c r="D2887" i="5"/>
  <c r="E2887" i="5" s="1"/>
  <c r="B2911" i="5"/>
  <c r="C2911" i="5" s="1"/>
  <c r="D2911" i="5"/>
  <c r="E2911" i="5" s="1"/>
  <c r="B2935" i="5"/>
  <c r="C2935" i="5" s="1"/>
  <c r="D2935" i="5"/>
  <c r="E2935" i="5" s="1"/>
  <c r="B2959" i="5"/>
  <c r="C2959" i="5" s="1"/>
  <c r="D2959" i="5"/>
  <c r="E2959" i="5" s="1"/>
  <c r="B2983" i="5"/>
  <c r="C2983" i="5" s="1"/>
  <c r="D2983" i="5"/>
  <c r="E2983" i="5" s="1"/>
  <c r="B3007" i="5"/>
  <c r="C3007" i="5" s="1"/>
  <c r="D3007" i="5"/>
  <c r="E3007" i="5" s="1"/>
  <c r="B3031" i="5"/>
  <c r="C3031" i="5" s="1"/>
  <c r="D3031" i="5"/>
  <c r="E3031" i="5" s="1"/>
  <c r="B3055" i="5"/>
  <c r="C3055" i="5" s="1"/>
  <c r="D3055" i="5"/>
  <c r="E3055" i="5" s="1"/>
  <c r="B3079" i="5"/>
  <c r="C3079" i="5" s="1"/>
  <c r="D3079" i="5"/>
  <c r="E3079" i="5" s="1"/>
  <c r="B3103" i="5"/>
  <c r="C3103" i="5" s="1"/>
  <c r="D3103" i="5"/>
  <c r="E3103" i="5" s="1"/>
  <c r="B3127" i="5"/>
  <c r="C3127" i="5" s="1"/>
  <c r="D3127" i="5"/>
  <c r="E3127" i="5" s="1"/>
  <c r="B3151" i="5"/>
  <c r="C3151" i="5" s="1"/>
  <c r="D3151" i="5"/>
  <c r="E3151" i="5" s="1"/>
  <c r="B3175" i="5"/>
  <c r="C3175" i="5" s="1"/>
  <c r="D3175" i="5"/>
  <c r="E3175" i="5" s="1"/>
  <c r="B3199" i="5"/>
  <c r="C3199" i="5" s="1"/>
  <c r="D3199" i="5"/>
  <c r="E3199" i="5" s="1"/>
  <c r="B3223" i="5"/>
  <c r="C3223" i="5" s="1"/>
  <c r="D3223" i="5"/>
  <c r="E3223" i="5" s="1"/>
  <c r="B3247" i="5"/>
  <c r="C3247" i="5" s="1"/>
  <c r="D3247" i="5"/>
  <c r="E3247" i="5" s="1"/>
  <c r="B3271" i="5"/>
  <c r="C3271" i="5" s="1"/>
  <c r="D3271" i="5"/>
  <c r="E3271" i="5" s="1"/>
  <c r="B3295" i="5"/>
  <c r="C3295" i="5" s="1"/>
  <c r="D3295" i="5"/>
  <c r="E3295" i="5" s="1"/>
  <c r="B3319" i="5"/>
  <c r="C3319" i="5" s="1"/>
  <c r="D3319" i="5"/>
  <c r="E3319" i="5" s="1"/>
  <c r="B3343" i="5"/>
  <c r="C3343" i="5" s="1"/>
  <c r="D3343" i="5"/>
  <c r="E3343" i="5" s="1"/>
  <c r="B3367" i="5"/>
  <c r="C3367" i="5" s="1"/>
  <c r="D3367" i="5"/>
  <c r="E3367" i="5" s="1"/>
  <c r="B3391" i="5"/>
  <c r="C3391" i="5" s="1"/>
  <c r="D3391" i="5"/>
  <c r="E3391" i="5" s="1"/>
  <c r="B3415" i="5"/>
  <c r="C3415" i="5" s="1"/>
  <c r="D3415" i="5"/>
  <c r="E3415" i="5" s="1"/>
  <c r="B3439" i="5"/>
  <c r="C3439" i="5" s="1"/>
  <c r="D3439" i="5"/>
  <c r="E3439" i="5" s="1"/>
  <c r="B3463" i="5"/>
  <c r="C3463" i="5" s="1"/>
  <c r="D3463" i="5"/>
  <c r="E3463" i="5" s="1"/>
  <c r="B3487" i="5"/>
  <c r="C3487" i="5" s="1"/>
  <c r="D3487" i="5"/>
  <c r="E3487" i="5" s="1"/>
  <c r="B3511" i="5"/>
  <c r="C3511" i="5" s="1"/>
  <c r="D3511" i="5"/>
  <c r="E3511" i="5" s="1"/>
  <c r="B3535" i="5"/>
  <c r="C3535" i="5" s="1"/>
  <c r="D3535" i="5"/>
  <c r="E3535" i="5" s="1"/>
  <c r="B3559" i="5"/>
  <c r="C3559" i="5" s="1"/>
  <c r="D3559" i="5"/>
  <c r="E3559" i="5" s="1"/>
  <c r="B3583" i="5"/>
  <c r="C3583" i="5" s="1"/>
  <c r="D3583" i="5"/>
  <c r="E3583" i="5" s="1"/>
  <c r="B3607" i="5"/>
  <c r="C3607" i="5" s="1"/>
  <c r="D3607" i="5"/>
  <c r="E3607" i="5" s="1"/>
  <c r="B3631" i="5"/>
  <c r="C3631" i="5" s="1"/>
  <c r="D3631" i="5"/>
  <c r="E3631" i="5" s="1"/>
  <c r="B3655" i="5"/>
  <c r="C3655" i="5" s="1"/>
  <c r="D3655" i="5"/>
  <c r="E3655" i="5" s="1"/>
  <c r="B26" i="5"/>
  <c r="C26" i="5" s="1"/>
  <c r="D26" i="5"/>
  <c r="E26" i="5" s="1"/>
  <c r="B242" i="5"/>
  <c r="C242" i="5" s="1"/>
  <c r="D242" i="5"/>
  <c r="E242" i="5" s="1"/>
  <c r="B434" i="5"/>
  <c r="C434" i="5" s="1"/>
  <c r="D434" i="5"/>
  <c r="E434" i="5" s="1"/>
  <c r="B578" i="5"/>
  <c r="C578" i="5" s="1"/>
  <c r="D578" i="5"/>
  <c r="E578" i="5" s="1"/>
  <c r="D794" i="5"/>
  <c r="E794" i="5" s="1"/>
  <c r="B794" i="5"/>
  <c r="C794" i="5" s="1"/>
  <c r="B962" i="5"/>
  <c r="C962" i="5" s="1"/>
  <c r="D962" i="5"/>
  <c r="E962" i="5" s="1"/>
  <c r="B1082" i="5"/>
  <c r="C1082" i="5" s="1"/>
  <c r="D1082" i="5"/>
  <c r="E1082" i="5" s="1"/>
  <c r="B1202" i="5"/>
  <c r="C1202" i="5" s="1"/>
  <c r="D1202" i="5"/>
  <c r="E1202" i="5" s="1"/>
  <c r="B1322" i="5"/>
  <c r="C1322" i="5" s="1"/>
  <c r="D1322" i="5"/>
  <c r="E1322" i="5" s="1"/>
  <c r="B1394" i="5"/>
  <c r="C1394" i="5" s="1"/>
  <c r="D1394" i="5"/>
  <c r="E1394" i="5" s="1"/>
  <c r="B1466" i="5"/>
  <c r="C1466" i="5" s="1"/>
  <c r="D1466" i="5"/>
  <c r="E1466" i="5" s="1"/>
  <c r="B1562" i="5"/>
  <c r="C1562" i="5" s="1"/>
  <c r="D1562" i="5"/>
  <c r="E1562" i="5" s="1"/>
  <c r="B1658" i="5"/>
  <c r="C1658" i="5" s="1"/>
  <c r="D1658" i="5"/>
  <c r="E1658" i="5" s="1"/>
  <c r="B1730" i="5"/>
  <c r="C1730" i="5" s="1"/>
  <c r="D1730" i="5"/>
  <c r="E1730" i="5" s="1"/>
  <c r="B1802" i="5"/>
  <c r="C1802" i="5" s="1"/>
  <c r="D1802" i="5"/>
  <c r="E1802" i="5" s="1"/>
  <c r="B1850" i="5"/>
  <c r="C1850" i="5" s="1"/>
  <c r="D1850" i="5"/>
  <c r="E1850" i="5" s="1"/>
  <c r="B1898" i="5"/>
  <c r="C1898" i="5" s="1"/>
  <c r="D1898" i="5"/>
  <c r="E1898" i="5" s="1"/>
  <c r="B1994" i="5"/>
  <c r="C1994" i="5" s="1"/>
  <c r="D1994" i="5"/>
  <c r="E1994" i="5" s="1"/>
  <c r="B2090" i="5"/>
  <c r="C2090" i="5" s="1"/>
  <c r="D2090" i="5"/>
  <c r="E2090" i="5" s="1"/>
  <c r="B2186" i="5"/>
  <c r="C2186" i="5" s="1"/>
  <c r="D2186" i="5"/>
  <c r="E2186" i="5" s="1"/>
  <c r="B2234" i="5"/>
  <c r="C2234" i="5" s="1"/>
  <c r="D2234" i="5"/>
  <c r="E2234" i="5" s="1"/>
  <c r="B2330" i="5"/>
  <c r="C2330" i="5" s="1"/>
  <c r="D2330" i="5"/>
  <c r="E2330" i="5" s="1"/>
  <c r="B2378" i="5"/>
  <c r="C2378" i="5" s="1"/>
  <c r="D2378" i="5"/>
  <c r="E2378" i="5" s="1"/>
  <c r="B2450" i="5"/>
  <c r="C2450" i="5" s="1"/>
  <c r="D2450" i="5"/>
  <c r="E2450" i="5" s="1"/>
  <c r="B2522" i="5"/>
  <c r="C2522" i="5" s="1"/>
  <c r="D2522" i="5"/>
  <c r="E2522" i="5" s="1"/>
  <c r="B2594" i="5"/>
  <c r="C2594" i="5" s="1"/>
  <c r="D2594" i="5"/>
  <c r="E2594" i="5" s="1"/>
  <c r="B2738" i="5"/>
  <c r="C2738" i="5" s="1"/>
  <c r="D2738" i="5"/>
  <c r="E2738" i="5" s="1"/>
  <c r="B2882" i="5"/>
  <c r="C2882" i="5" s="1"/>
  <c r="D2882" i="5"/>
  <c r="E2882" i="5" s="1"/>
  <c r="B2978" i="5"/>
  <c r="C2978" i="5" s="1"/>
  <c r="D2978" i="5"/>
  <c r="E2978" i="5" s="1"/>
  <c r="B3074" i="5"/>
  <c r="C3074" i="5" s="1"/>
  <c r="D3074" i="5"/>
  <c r="E3074" i="5" s="1"/>
  <c r="B3194" i="5"/>
  <c r="C3194" i="5" s="1"/>
  <c r="D3194" i="5"/>
  <c r="E3194" i="5" s="1"/>
  <c r="B3290" i="5"/>
  <c r="C3290" i="5" s="1"/>
  <c r="D3290" i="5"/>
  <c r="E3290" i="5" s="1"/>
  <c r="B3386" i="5"/>
  <c r="C3386" i="5" s="1"/>
  <c r="D3386" i="5"/>
  <c r="E3386" i="5" s="1"/>
  <c r="B3482" i="5"/>
  <c r="C3482" i="5" s="1"/>
  <c r="D3482" i="5"/>
  <c r="E3482" i="5" s="1"/>
  <c r="B3554" i="5"/>
  <c r="C3554" i="5" s="1"/>
  <c r="D3554" i="5"/>
  <c r="E3554" i="5" s="1"/>
  <c r="B340" i="5"/>
  <c r="C340" i="5" s="1"/>
  <c r="D340" i="5"/>
  <c r="E340" i="5" s="1"/>
  <c r="B1108" i="5"/>
  <c r="C1108" i="5" s="1"/>
  <c r="D1108" i="5"/>
  <c r="E1108" i="5" s="1"/>
  <c r="B8" i="5"/>
  <c r="C8" i="5" s="1"/>
  <c r="D8" i="5"/>
  <c r="E8" i="5" s="1"/>
  <c r="B32" i="5"/>
  <c r="C32" i="5" s="1"/>
  <c r="D32" i="5"/>
  <c r="E32" i="5" s="1"/>
  <c r="B80" i="5"/>
  <c r="C80" i="5" s="1"/>
  <c r="D80" i="5"/>
  <c r="E80" i="5" s="1"/>
  <c r="B104" i="5"/>
  <c r="C104" i="5" s="1"/>
  <c r="D104" i="5"/>
  <c r="E104" i="5" s="1"/>
  <c r="B128" i="5"/>
  <c r="C128" i="5" s="1"/>
  <c r="D128" i="5"/>
  <c r="E128" i="5" s="1"/>
  <c r="B152" i="5"/>
  <c r="C152" i="5" s="1"/>
  <c r="D152" i="5"/>
  <c r="E152" i="5" s="1"/>
  <c r="B176" i="5"/>
  <c r="C176" i="5" s="1"/>
  <c r="D176" i="5"/>
  <c r="E176" i="5" s="1"/>
  <c r="B200" i="5"/>
  <c r="C200" i="5" s="1"/>
  <c r="D200" i="5"/>
  <c r="E200" i="5" s="1"/>
  <c r="B224" i="5"/>
  <c r="C224" i="5" s="1"/>
  <c r="D224" i="5"/>
  <c r="E224" i="5" s="1"/>
  <c r="B248" i="5"/>
  <c r="C248" i="5" s="1"/>
  <c r="D248" i="5"/>
  <c r="E248" i="5" s="1"/>
  <c r="B296" i="5"/>
  <c r="C296" i="5" s="1"/>
  <c r="D296" i="5"/>
  <c r="E296" i="5" s="1"/>
  <c r="B320" i="5"/>
  <c r="C320" i="5" s="1"/>
  <c r="D320" i="5"/>
  <c r="E320" i="5" s="1"/>
  <c r="B344" i="5"/>
  <c r="C344" i="5" s="1"/>
  <c r="D344" i="5"/>
  <c r="E344" i="5" s="1"/>
  <c r="B368" i="5"/>
  <c r="C368" i="5" s="1"/>
  <c r="D368" i="5"/>
  <c r="E368" i="5" s="1"/>
  <c r="B392" i="5"/>
  <c r="C392" i="5" s="1"/>
  <c r="D392" i="5"/>
  <c r="E392" i="5" s="1"/>
  <c r="B416" i="5"/>
  <c r="C416" i="5" s="1"/>
  <c r="D416" i="5"/>
  <c r="E416" i="5" s="1"/>
  <c r="B440" i="5"/>
  <c r="C440" i="5" s="1"/>
  <c r="D440" i="5"/>
  <c r="E440" i="5" s="1"/>
  <c r="B464" i="5"/>
  <c r="C464" i="5" s="1"/>
  <c r="D464" i="5"/>
  <c r="E464" i="5" s="1"/>
  <c r="B488" i="5"/>
  <c r="C488" i="5" s="1"/>
  <c r="D488" i="5"/>
  <c r="E488" i="5" s="1"/>
  <c r="B512" i="5"/>
  <c r="C512" i="5" s="1"/>
  <c r="D512" i="5"/>
  <c r="E512" i="5" s="1"/>
  <c r="B536" i="5"/>
  <c r="C536" i="5" s="1"/>
  <c r="D536" i="5"/>
  <c r="E536" i="5" s="1"/>
  <c r="B560" i="5"/>
  <c r="C560" i="5" s="1"/>
  <c r="D560" i="5"/>
  <c r="E560" i="5" s="1"/>
  <c r="B584" i="5"/>
  <c r="C584" i="5" s="1"/>
  <c r="D584" i="5"/>
  <c r="E584" i="5" s="1"/>
  <c r="B608" i="5"/>
  <c r="C608" i="5" s="1"/>
  <c r="D608" i="5"/>
  <c r="E608" i="5" s="1"/>
  <c r="B632" i="5"/>
  <c r="C632" i="5" s="1"/>
  <c r="D632" i="5"/>
  <c r="E632" i="5" s="1"/>
  <c r="B656" i="5"/>
  <c r="C656" i="5" s="1"/>
  <c r="D656" i="5"/>
  <c r="E656" i="5" s="1"/>
  <c r="B680" i="5"/>
  <c r="C680" i="5" s="1"/>
  <c r="D680" i="5"/>
  <c r="E680" i="5" s="1"/>
  <c r="B704" i="5"/>
  <c r="C704" i="5" s="1"/>
  <c r="D704" i="5"/>
  <c r="E704" i="5" s="1"/>
  <c r="B728" i="5"/>
  <c r="C728" i="5" s="1"/>
  <c r="D728" i="5"/>
  <c r="E728" i="5" s="1"/>
  <c r="B752" i="5"/>
  <c r="C752" i="5" s="1"/>
  <c r="D752" i="5"/>
  <c r="E752" i="5" s="1"/>
  <c r="B776" i="5"/>
  <c r="C776" i="5" s="1"/>
  <c r="D776" i="5"/>
  <c r="E776" i="5" s="1"/>
  <c r="B800" i="5"/>
  <c r="C800" i="5" s="1"/>
  <c r="D800" i="5"/>
  <c r="E800" i="5" s="1"/>
  <c r="B824" i="5"/>
  <c r="C824" i="5" s="1"/>
  <c r="D824" i="5"/>
  <c r="E824" i="5" s="1"/>
  <c r="B848" i="5"/>
  <c r="C848" i="5" s="1"/>
  <c r="D848" i="5"/>
  <c r="E848" i="5" s="1"/>
  <c r="B872" i="5"/>
  <c r="C872" i="5" s="1"/>
  <c r="D872" i="5"/>
  <c r="E872" i="5" s="1"/>
  <c r="B896" i="5"/>
  <c r="C896" i="5" s="1"/>
  <c r="D896" i="5"/>
  <c r="E896" i="5" s="1"/>
  <c r="B920" i="5"/>
  <c r="C920" i="5" s="1"/>
  <c r="D920" i="5"/>
  <c r="E920" i="5" s="1"/>
  <c r="B944" i="5"/>
  <c r="C944" i="5" s="1"/>
  <c r="D944" i="5"/>
  <c r="E944" i="5" s="1"/>
  <c r="B968" i="5"/>
  <c r="C968" i="5" s="1"/>
  <c r="D968" i="5"/>
  <c r="E968" i="5" s="1"/>
  <c r="B992" i="5"/>
  <c r="C992" i="5" s="1"/>
  <c r="D992" i="5"/>
  <c r="E992" i="5" s="1"/>
  <c r="B1016" i="5"/>
  <c r="C1016" i="5" s="1"/>
  <c r="D1016" i="5"/>
  <c r="E1016" i="5" s="1"/>
  <c r="B1040" i="5"/>
  <c r="C1040" i="5" s="1"/>
  <c r="D1040" i="5"/>
  <c r="E1040" i="5" s="1"/>
  <c r="D1064" i="5"/>
  <c r="E1064" i="5" s="1"/>
  <c r="B1064" i="5"/>
  <c r="C1064" i="5" s="1"/>
  <c r="B1088" i="5"/>
  <c r="C1088" i="5" s="1"/>
  <c r="D1088" i="5"/>
  <c r="E1088" i="5" s="1"/>
  <c r="B1112" i="5"/>
  <c r="C1112" i="5" s="1"/>
  <c r="D1112" i="5"/>
  <c r="E1112" i="5" s="1"/>
  <c r="B1136" i="5"/>
  <c r="C1136" i="5" s="1"/>
  <c r="D1136" i="5"/>
  <c r="E1136" i="5" s="1"/>
  <c r="B1160" i="5"/>
  <c r="C1160" i="5" s="1"/>
  <c r="D1160" i="5"/>
  <c r="E1160" i="5" s="1"/>
  <c r="B1184" i="5"/>
  <c r="C1184" i="5" s="1"/>
  <c r="D1184" i="5"/>
  <c r="E1184" i="5" s="1"/>
  <c r="B1208" i="5"/>
  <c r="C1208" i="5" s="1"/>
  <c r="D1208" i="5"/>
  <c r="E1208" i="5" s="1"/>
  <c r="B1232" i="5"/>
  <c r="C1232" i="5" s="1"/>
  <c r="D1232" i="5"/>
  <c r="E1232" i="5" s="1"/>
  <c r="B1256" i="5"/>
  <c r="C1256" i="5" s="1"/>
  <c r="D1256" i="5"/>
  <c r="E1256" i="5" s="1"/>
  <c r="B1280" i="5"/>
  <c r="C1280" i="5" s="1"/>
  <c r="D1280" i="5"/>
  <c r="E1280" i="5" s="1"/>
  <c r="B1304" i="5"/>
  <c r="C1304" i="5" s="1"/>
  <c r="D1304" i="5"/>
  <c r="E1304" i="5" s="1"/>
  <c r="B1328" i="5"/>
  <c r="C1328" i="5" s="1"/>
  <c r="D1328" i="5"/>
  <c r="E1328" i="5" s="1"/>
  <c r="B1352" i="5"/>
  <c r="C1352" i="5" s="1"/>
  <c r="D1352" i="5"/>
  <c r="E1352" i="5" s="1"/>
  <c r="B1376" i="5"/>
  <c r="C1376" i="5" s="1"/>
  <c r="D1376" i="5"/>
  <c r="E1376" i="5" s="1"/>
  <c r="B1400" i="5"/>
  <c r="C1400" i="5" s="1"/>
  <c r="D1400" i="5"/>
  <c r="E1400" i="5" s="1"/>
  <c r="B1424" i="5"/>
  <c r="C1424" i="5" s="1"/>
  <c r="D1424" i="5"/>
  <c r="E1424" i="5" s="1"/>
  <c r="B1448" i="5"/>
  <c r="C1448" i="5" s="1"/>
  <c r="D1448" i="5"/>
  <c r="E1448" i="5" s="1"/>
  <c r="B1472" i="5"/>
  <c r="C1472" i="5" s="1"/>
  <c r="D1472" i="5"/>
  <c r="E1472" i="5" s="1"/>
  <c r="B1496" i="5"/>
  <c r="C1496" i="5" s="1"/>
  <c r="D1496" i="5"/>
  <c r="E1496" i="5" s="1"/>
  <c r="B1520" i="5"/>
  <c r="C1520" i="5" s="1"/>
  <c r="D1520" i="5"/>
  <c r="E1520" i="5" s="1"/>
  <c r="B1544" i="5"/>
  <c r="C1544" i="5" s="1"/>
  <c r="D1544" i="5"/>
  <c r="E1544" i="5" s="1"/>
  <c r="B1568" i="5"/>
  <c r="C1568" i="5" s="1"/>
  <c r="D1568" i="5"/>
  <c r="E1568" i="5" s="1"/>
  <c r="B1592" i="5"/>
  <c r="C1592" i="5" s="1"/>
  <c r="D1592" i="5"/>
  <c r="E1592" i="5" s="1"/>
  <c r="B1616" i="5"/>
  <c r="C1616" i="5" s="1"/>
  <c r="D1616" i="5"/>
  <c r="E1616" i="5" s="1"/>
  <c r="B1640" i="5"/>
  <c r="C1640" i="5" s="1"/>
  <c r="D1640" i="5"/>
  <c r="E1640" i="5" s="1"/>
  <c r="B1664" i="5"/>
  <c r="C1664" i="5" s="1"/>
  <c r="D1664" i="5"/>
  <c r="E1664" i="5" s="1"/>
  <c r="B1688" i="5"/>
  <c r="C1688" i="5" s="1"/>
  <c r="D1688" i="5"/>
  <c r="E1688" i="5" s="1"/>
  <c r="B1712" i="5"/>
  <c r="C1712" i="5" s="1"/>
  <c r="D1712" i="5"/>
  <c r="E1712" i="5" s="1"/>
  <c r="B1736" i="5"/>
  <c r="C1736" i="5" s="1"/>
  <c r="D1736" i="5"/>
  <c r="E1736" i="5" s="1"/>
  <c r="B1760" i="5"/>
  <c r="C1760" i="5" s="1"/>
  <c r="D1760" i="5"/>
  <c r="E1760" i="5" s="1"/>
  <c r="B1784" i="5"/>
  <c r="C1784" i="5" s="1"/>
  <c r="D1784" i="5"/>
  <c r="E1784" i="5" s="1"/>
  <c r="B1808" i="5"/>
  <c r="C1808" i="5" s="1"/>
  <c r="D1808" i="5"/>
  <c r="E1808" i="5" s="1"/>
  <c r="B1832" i="5"/>
  <c r="C1832" i="5" s="1"/>
  <c r="D1832" i="5"/>
  <c r="E1832" i="5" s="1"/>
  <c r="B1856" i="5"/>
  <c r="C1856" i="5" s="1"/>
  <c r="D1856" i="5"/>
  <c r="E1856" i="5" s="1"/>
  <c r="B1880" i="5"/>
  <c r="C1880" i="5" s="1"/>
  <c r="D1880" i="5"/>
  <c r="E1880" i="5" s="1"/>
  <c r="D1904" i="5"/>
  <c r="E1904" i="5" s="1"/>
  <c r="B1904" i="5"/>
  <c r="C1904" i="5" s="1"/>
  <c r="D1928" i="5"/>
  <c r="E1928" i="5" s="1"/>
  <c r="B1928" i="5"/>
  <c r="C1928" i="5" s="1"/>
  <c r="B1952" i="5"/>
  <c r="C1952" i="5" s="1"/>
  <c r="D1952" i="5"/>
  <c r="E1952" i="5" s="1"/>
  <c r="B1976" i="5"/>
  <c r="C1976" i="5" s="1"/>
  <c r="D1976" i="5"/>
  <c r="E1976" i="5" s="1"/>
  <c r="B2000" i="5"/>
  <c r="C2000" i="5" s="1"/>
  <c r="D2000" i="5"/>
  <c r="E2000" i="5" s="1"/>
  <c r="B2024" i="5"/>
  <c r="C2024" i="5" s="1"/>
  <c r="D2024" i="5"/>
  <c r="E2024" i="5" s="1"/>
  <c r="B2048" i="5"/>
  <c r="C2048" i="5" s="1"/>
  <c r="D2048" i="5"/>
  <c r="E2048" i="5" s="1"/>
  <c r="B2072" i="5"/>
  <c r="C2072" i="5" s="1"/>
  <c r="D2072" i="5"/>
  <c r="E2072" i="5" s="1"/>
  <c r="B2096" i="5"/>
  <c r="C2096" i="5" s="1"/>
  <c r="D2096" i="5"/>
  <c r="E2096" i="5" s="1"/>
  <c r="B2120" i="5"/>
  <c r="C2120" i="5" s="1"/>
  <c r="D2120" i="5"/>
  <c r="E2120" i="5" s="1"/>
  <c r="B2144" i="5"/>
  <c r="C2144" i="5" s="1"/>
  <c r="D2144" i="5"/>
  <c r="E2144" i="5" s="1"/>
  <c r="B2168" i="5"/>
  <c r="C2168" i="5" s="1"/>
  <c r="D2168" i="5"/>
  <c r="E2168" i="5" s="1"/>
  <c r="B2192" i="5"/>
  <c r="C2192" i="5" s="1"/>
  <c r="D2192" i="5"/>
  <c r="E2192" i="5" s="1"/>
  <c r="B2216" i="5"/>
  <c r="C2216" i="5" s="1"/>
  <c r="D2216" i="5"/>
  <c r="E2216" i="5" s="1"/>
  <c r="B2240" i="5"/>
  <c r="C2240" i="5" s="1"/>
  <c r="D2240" i="5"/>
  <c r="E2240" i="5" s="1"/>
  <c r="B2264" i="5"/>
  <c r="C2264" i="5" s="1"/>
  <c r="D2264" i="5"/>
  <c r="E2264" i="5" s="1"/>
  <c r="B2288" i="5"/>
  <c r="C2288" i="5" s="1"/>
  <c r="D2288" i="5"/>
  <c r="E2288" i="5" s="1"/>
  <c r="B2312" i="5"/>
  <c r="C2312" i="5" s="1"/>
  <c r="D2312" i="5"/>
  <c r="E2312" i="5" s="1"/>
  <c r="B2336" i="5"/>
  <c r="C2336" i="5" s="1"/>
  <c r="D2336" i="5"/>
  <c r="E2336" i="5" s="1"/>
  <c r="B2360" i="5"/>
  <c r="C2360" i="5" s="1"/>
  <c r="D2360" i="5"/>
  <c r="E2360" i="5" s="1"/>
  <c r="B2384" i="5"/>
  <c r="C2384" i="5" s="1"/>
  <c r="D2384" i="5"/>
  <c r="E2384" i="5" s="1"/>
  <c r="B2408" i="5"/>
  <c r="C2408" i="5" s="1"/>
  <c r="D2408" i="5"/>
  <c r="E2408" i="5" s="1"/>
  <c r="B2432" i="5"/>
  <c r="C2432" i="5" s="1"/>
  <c r="D2432" i="5"/>
  <c r="E2432" i="5" s="1"/>
  <c r="B2456" i="5"/>
  <c r="C2456" i="5" s="1"/>
  <c r="D2456" i="5"/>
  <c r="E2456" i="5" s="1"/>
  <c r="B2480" i="5"/>
  <c r="C2480" i="5" s="1"/>
  <c r="D2480" i="5"/>
  <c r="E2480" i="5" s="1"/>
  <c r="B2504" i="5"/>
  <c r="C2504" i="5" s="1"/>
  <c r="D2504" i="5"/>
  <c r="E2504" i="5" s="1"/>
  <c r="B2528" i="5"/>
  <c r="C2528" i="5" s="1"/>
  <c r="D2528" i="5"/>
  <c r="E2528" i="5" s="1"/>
  <c r="B2552" i="5"/>
  <c r="C2552" i="5" s="1"/>
  <c r="D2552" i="5"/>
  <c r="E2552" i="5" s="1"/>
  <c r="B2576" i="5"/>
  <c r="C2576" i="5" s="1"/>
  <c r="D2576" i="5"/>
  <c r="E2576" i="5" s="1"/>
  <c r="B2600" i="5"/>
  <c r="C2600" i="5" s="1"/>
  <c r="D2600" i="5"/>
  <c r="E2600" i="5" s="1"/>
  <c r="B2624" i="5"/>
  <c r="C2624" i="5" s="1"/>
  <c r="D2624" i="5"/>
  <c r="E2624" i="5" s="1"/>
  <c r="B2648" i="5"/>
  <c r="C2648" i="5" s="1"/>
  <c r="D2648" i="5"/>
  <c r="E2648" i="5" s="1"/>
  <c r="B2672" i="5"/>
  <c r="C2672" i="5" s="1"/>
  <c r="D2672" i="5"/>
  <c r="E2672" i="5" s="1"/>
  <c r="B2696" i="5"/>
  <c r="C2696" i="5" s="1"/>
  <c r="D2696" i="5"/>
  <c r="E2696" i="5" s="1"/>
  <c r="B2720" i="5"/>
  <c r="C2720" i="5" s="1"/>
  <c r="D2720" i="5"/>
  <c r="E2720" i="5" s="1"/>
  <c r="D2744" i="5"/>
  <c r="E2744" i="5" s="1"/>
  <c r="B2744" i="5"/>
  <c r="C2744" i="5" s="1"/>
  <c r="D2768" i="5"/>
  <c r="E2768" i="5" s="1"/>
  <c r="B2768" i="5"/>
  <c r="C2768" i="5" s="1"/>
  <c r="B2792" i="5"/>
  <c r="C2792" i="5" s="1"/>
  <c r="D2792" i="5"/>
  <c r="E2792" i="5" s="1"/>
  <c r="B2816" i="5"/>
  <c r="C2816" i="5" s="1"/>
  <c r="D2816" i="5"/>
  <c r="E2816" i="5" s="1"/>
  <c r="B2840" i="5"/>
  <c r="C2840" i="5" s="1"/>
  <c r="D2840" i="5"/>
  <c r="E2840" i="5" s="1"/>
  <c r="B2864" i="5"/>
  <c r="C2864" i="5" s="1"/>
  <c r="D2864" i="5"/>
  <c r="E2864" i="5" s="1"/>
  <c r="B2888" i="5"/>
  <c r="C2888" i="5" s="1"/>
  <c r="D2888" i="5"/>
  <c r="E2888" i="5" s="1"/>
  <c r="D2912" i="5"/>
  <c r="E2912" i="5" s="1"/>
  <c r="B2912" i="5"/>
  <c r="C2912" i="5" s="1"/>
  <c r="B2936" i="5"/>
  <c r="C2936" i="5" s="1"/>
  <c r="D2936" i="5"/>
  <c r="E2936" i="5" s="1"/>
  <c r="B2960" i="5"/>
  <c r="C2960" i="5" s="1"/>
  <c r="D2960" i="5"/>
  <c r="E2960" i="5" s="1"/>
  <c r="B2984" i="5"/>
  <c r="C2984" i="5" s="1"/>
  <c r="D2984" i="5"/>
  <c r="E2984" i="5" s="1"/>
  <c r="B3008" i="5"/>
  <c r="C3008" i="5" s="1"/>
  <c r="D3008" i="5"/>
  <c r="E3008" i="5" s="1"/>
  <c r="B3032" i="5"/>
  <c r="C3032" i="5" s="1"/>
  <c r="D3032" i="5"/>
  <c r="E3032" i="5" s="1"/>
  <c r="B3056" i="5"/>
  <c r="C3056" i="5" s="1"/>
  <c r="D3056" i="5"/>
  <c r="E3056" i="5" s="1"/>
  <c r="B3080" i="5"/>
  <c r="C3080" i="5" s="1"/>
  <c r="D3080" i="5"/>
  <c r="E3080" i="5" s="1"/>
  <c r="D3104" i="5"/>
  <c r="E3104" i="5" s="1"/>
  <c r="B3104" i="5"/>
  <c r="C3104" i="5" s="1"/>
  <c r="B3128" i="5"/>
  <c r="C3128" i="5" s="1"/>
  <c r="D3128" i="5"/>
  <c r="E3128" i="5" s="1"/>
  <c r="B3152" i="5"/>
  <c r="C3152" i="5" s="1"/>
  <c r="D3152" i="5"/>
  <c r="E3152" i="5" s="1"/>
  <c r="B3176" i="5"/>
  <c r="C3176" i="5" s="1"/>
  <c r="D3176" i="5"/>
  <c r="E3176" i="5" s="1"/>
  <c r="B3200" i="5"/>
  <c r="C3200" i="5" s="1"/>
  <c r="D3200" i="5"/>
  <c r="E3200" i="5" s="1"/>
  <c r="B3224" i="5"/>
  <c r="C3224" i="5" s="1"/>
  <c r="D3224" i="5"/>
  <c r="E3224" i="5" s="1"/>
  <c r="B3248" i="5"/>
  <c r="C3248" i="5" s="1"/>
  <c r="D3248" i="5"/>
  <c r="E3248" i="5" s="1"/>
  <c r="B3272" i="5"/>
  <c r="C3272" i="5" s="1"/>
  <c r="D3272" i="5"/>
  <c r="E3272" i="5" s="1"/>
  <c r="D3296" i="5"/>
  <c r="E3296" i="5" s="1"/>
  <c r="B3296" i="5"/>
  <c r="C3296" i="5" s="1"/>
  <c r="B3320" i="5"/>
  <c r="C3320" i="5" s="1"/>
  <c r="D3320" i="5"/>
  <c r="E3320" i="5" s="1"/>
  <c r="B3344" i="5"/>
  <c r="C3344" i="5" s="1"/>
  <c r="D3344" i="5"/>
  <c r="E3344" i="5" s="1"/>
  <c r="B3368" i="5"/>
  <c r="C3368" i="5" s="1"/>
  <c r="D3368" i="5"/>
  <c r="E3368" i="5" s="1"/>
  <c r="D3392" i="5"/>
  <c r="E3392" i="5" s="1"/>
  <c r="B3392" i="5"/>
  <c r="C3392" i="5" s="1"/>
  <c r="B3416" i="5"/>
  <c r="C3416" i="5" s="1"/>
  <c r="D3416" i="5"/>
  <c r="E3416" i="5" s="1"/>
  <c r="B3440" i="5"/>
  <c r="C3440" i="5" s="1"/>
  <c r="D3440" i="5"/>
  <c r="E3440" i="5" s="1"/>
  <c r="B3464" i="5"/>
  <c r="C3464" i="5" s="1"/>
  <c r="D3464" i="5"/>
  <c r="E3464" i="5" s="1"/>
  <c r="B3488" i="5"/>
  <c r="C3488" i="5" s="1"/>
  <c r="D3488" i="5"/>
  <c r="E3488" i="5" s="1"/>
  <c r="B3512" i="5"/>
  <c r="C3512" i="5" s="1"/>
  <c r="D3512" i="5"/>
  <c r="E3512" i="5" s="1"/>
  <c r="B3536" i="5"/>
  <c r="C3536" i="5" s="1"/>
  <c r="D3536" i="5"/>
  <c r="E3536" i="5" s="1"/>
  <c r="B3560" i="5"/>
  <c r="C3560" i="5" s="1"/>
  <c r="D3560" i="5"/>
  <c r="E3560" i="5" s="1"/>
  <c r="B3584" i="5"/>
  <c r="C3584" i="5" s="1"/>
  <c r="D3584" i="5"/>
  <c r="E3584" i="5" s="1"/>
  <c r="B3608" i="5"/>
  <c r="C3608" i="5" s="1"/>
  <c r="D3608" i="5"/>
  <c r="E3608" i="5" s="1"/>
  <c r="B3632" i="5"/>
  <c r="C3632" i="5" s="1"/>
  <c r="D3632" i="5"/>
  <c r="E3632" i="5" s="1"/>
  <c r="B3656" i="5"/>
  <c r="C3656" i="5" s="1"/>
  <c r="D3656" i="5"/>
  <c r="E3656" i="5" s="1"/>
  <c r="B50" i="5"/>
  <c r="C50" i="5" s="1"/>
  <c r="D50" i="5"/>
  <c r="E50" i="5" s="1"/>
  <c r="B146" i="5"/>
  <c r="C146" i="5" s="1"/>
  <c r="D146" i="5"/>
  <c r="E146" i="5" s="1"/>
  <c r="B194" i="5"/>
  <c r="C194" i="5" s="1"/>
  <c r="D194" i="5"/>
  <c r="E194" i="5" s="1"/>
  <c r="B290" i="5"/>
  <c r="C290" i="5" s="1"/>
  <c r="D290" i="5"/>
  <c r="E290" i="5" s="1"/>
  <c r="B362" i="5"/>
  <c r="C362" i="5" s="1"/>
  <c r="D362" i="5"/>
  <c r="E362" i="5" s="1"/>
  <c r="B458" i="5"/>
  <c r="C458" i="5" s="1"/>
  <c r="D458" i="5"/>
  <c r="E458" i="5" s="1"/>
  <c r="B530" i="5"/>
  <c r="C530" i="5" s="1"/>
  <c r="D530" i="5"/>
  <c r="E530" i="5" s="1"/>
  <c r="B626" i="5"/>
  <c r="C626" i="5" s="1"/>
  <c r="D626" i="5"/>
  <c r="E626" i="5" s="1"/>
  <c r="B722" i="5"/>
  <c r="C722" i="5" s="1"/>
  <c r="D722" i="5"/>
  <c r="E722" i="5" s="1"/>
  <c r="B818" i="5"/>
  <c r="C818" i="5" s="1"/>
  <c r="D818" i="5"/>
  <c r="E818" i="5" s="1"/>
  <c r="B986" i="5"/>
  <c r="C986" i="5" s="1"/>
  <c r="D986" i="5"/>
  <c r="E986" i="5" s="1"/>
  <c r="B1130" i="5"/>
  <c r="C1130" i="5" s="1"/>
  <c r="D1130" i="5"/>
  <c r="E1130" i="5" s="1"/>
  <c r="B1490" i="5"/>
  <c r="C1490" i="5" s="1"/>
  <c r="D1490" i="5"/>
  <c r="E1490" i="5" s="1"/>
  <c r="B2042" i="5"/>
  <c r="C2042" i="5" s="1"/>
  <c r="D2042" i="5"/>
  <c r="E2042" i="5" s="1"/>
  <c r="B2834" i="5"/>
  <c r="C2834" i="5" s="1"/>
  <c r="D2834" i="5"/>
  <c r="E2834" i="5" s="1"/>
  <c r="B172" i="5"/>
  <c r="C172" i="5" s="1"/>
  <c r="D172" i="5"/>
  <c r="E172" i="5" s="1"/>
  <c r="B604" i="5"/>
  <c r="C604" i="5" s="1"/>
  <c r="D604" i="5"/>
  <c r="E604" i="5" s="1"/>
  <c r="B1060" i="5"/>
  <c r="C1060" i="5" s="1"/>
  <c r="D1060" i="5"/>
  <c r="E1060" i="5" s="1"/>
  <c r="B56" i="5"/>
  <c r="C56" i="5" s="1"/>
  <c r="D56" i="5"/>
  <c r="E56" i="5" s="1"/>
  <c r="B272" i="5"/>
  <c r="C272" i="5" s="1"/>
  <c r="D272" i="5"/>
  <c r="E272" i="5" s="1"/>
  <c r="B9" i="5"/>
  <c r="C9" i="5" s="1"/>
  <c r="D9" i="5"/>
  <c r="E9" i="5" s="1"/>
  <c r="B33" i="5"/>
  <c r="C33" i="5" s="1"/>
  <c r="D33" i="5"/>
  <c r="E33" i="5" s="1"/>
  <c r="B57" i="5"/>
  <c r="C57" i="5" s="1"/>
  <c r="D57" i="5"/>
  <c r="E57" i="5" s="1"/>
  <c r="B81" i="5"/>
  <c r="C81" i="5" s="1"/>
  <c r="D81" i="5"/>
  <c r="E81" i="5" s="1"/>
  <c r="B105" i="5"/>
  <c r="C105" i="5" s="1"/>
  <c r="D105" i="5"/>
  <c r="E105" i="5" s="1"/>
  <c r="B129" i="5"/>
  <c r="C129" i="5" s="1"/>
  <c r="D129" i="5"/>
  <c r="E129" i="5" s="1"/>
  <c r="B153" i="5"/>
  <c r="C153" i="5" s="1"/>
  <c r="D153" i="5"/>
  <c r="E153" i="5" s="1"/>
  <c r="B177" i="5"/>
  <c r="C177" i="5" s="1"/>
  <c r="D177" i="5"/>
  <c r="E177" i="5" s="1"/>
  <c r="B201" i="5"/>
  <c r="C201" i="5" s="1"/>
  <c r="D201" i="5"/>
  <c r="E201" i="5" s="1"/>
  <c r="B225" i="5"/>
  <c r="C225" i="5" s="1"/>
  <c r="D225" i="5"/>
  <c r="E225" i="5" s="1"/>
  <c r="B249" i="5"/>
  <c r="C249" i="5" s="1"/>
  <c r="D249" i="5"/>
  <c r="E249" i="5" s="1"/>
  <c r="B273" i="5"/>
  <c r="C273" i="5" s="1"/>
  <c r="D273" i="5"/>
  <c r="E273" i="5" s="1"/>
  <c r="B297" i="5"/>
  <c r="C297" i="5" s="1"/>
  <c r="D297" i="5"/>
  <c r="E297" i="5" s="1"/>
  <c r="B321" i="5"/>
  <c r="C321" i="5" s="1"/>
  <c r="D321" i="5"/>
  <c r="E321" i="5" s="1"/>
  <c r="B345" i="5"/>
  <c r="C345" i="5" s="1"/>
  <c r="D345" i="5"/>
  <c r="E345" i="5" s="1"/>
  <c r="B369" i="5"/>
  <c r="C369" i="5" s="1"/>
  <c r="D369" i="5"/>
  <c r="E369" i="5" s="1"/>
  <c r="B393" i="5"/>
  <c r="C393" i="5" s="1"/>
  <c r="D393" i="5"/>
  <c r="E393" i="5" s="1"/>
  <c r="B417" i="5"/>
  <c r="C417" i="5" s="1"/>
  <c r="D417" i="5"/>
  <c r="E417" i="5" s="1"/>
  <c r="B441" i="5"/>
  <c r="C441" i="5" s="1"/>
  <c r="D441" i="5"/>
  <c r="E441" i="5" s="1"/>
  <c r="B465" i="5"/>
  <c r="C465" i="5" s="1"/>
  <c r="D465" i="5"/>
  <c r="E465" i="5" s="1"/>
  <c r="B489" i="5"/>
  <c r="C489" i="5" s="1"/>
  <c r="D489" i="5"/>
  <c r="E489" i="5" s="1"/>
  <c r="B513" i="5"/>
  <c r="C513" i="5" s="1"/>
  <c r="D513" i="5"/>
  <c r="E513" i="5" s="1"/>
  <c r="B537" i="5"/>
  <c r="C537" i="5" s="1"/>
  <c r="D537" i="5"/>
  <c r="E537" i="5" s="1"/>
  <c r="B561" i="5"/>
  <c r="C561" i="5" s="1"/>
  <c r="D561" i="5"/>
  <c r="E561" i="5" s="1"/>
  <c r="B585" i="5"/>
  <c r="C585" i="5" s="1"/>
  <c r="D585" i="5"/>
  <c r="E585" i="5" s="1"/>
  <c r="B609" i="5"/>
  <c r="C609" i="5" s="1"/>
  <c r="D609" i="5"/>
  <c r="E609" i="5" s="1"/>
  <c r="B633" i="5"/>
  <c r="C633" i="5" s="1"/>
  <c r="D633" i="5"/>
  <c r="E633" i="5" s="1"/>
  <c r="B657" i="5"/>
  <c r="C657" i="5" s="1"/>
  <c r="D657" i="5"/>
  <c r="E657" i="5" s="1"/>
  <c r="B681" i="5"/>
  <c r="C681" i="5" s="1"/>
  <c r="D681" i="5"/>
  <c r="E681" i="5" s="1"/>
  <c r="B705" i="5"/>
  <c r="C705" i="5" s="1"/>
  <c r="D705" i="5"/>
  <c r="E705" i="5" s="1"/>
  <c r="B729" i="5"/>
  <c r="C729" i="5" s="1"/>
  <c r="D729" i="5"/>
  <c r="E729" i="5" s="1"/>
  <c r="B753" i="5"/>
  <c r="C753" i="5" s="1"/>
  <c r="D753" i="5"/>
  <c r="E753" i="5" s="1"/>
  <c r="B777" i="5"/>
  <c r="C777" i="5" s="1"/>
  <c r="D777" i="5"/>
  <c r="E777" i="5" s="1"/>
  <c r="B801" i="5"/>
  <c r="C801" i="5" s="1"/>
  <c r="D801" i="5"/>
  <c r="E801" i="5" s="1"/>
  <c r="B825" i="5"/>
  <c r="C825" i="5" s="1"/>
  <c r="D825" i="5"/>
  <c r="E825" i="5" s="1"/>
  <c r="B849" i="5"/>
  <c r="C849" i="5" s="1"/>
  <c r="D849" i="5"/>
  <c r="E849" i="5" s="1"/>
  <c r="B873" i="5"/>
  <c r="C873" i="5" s="1"/>
  <c r="D873" i="5"/>
  <c r="E873" i="5" s="1"/>
  <c r="B897" i="5"/>
  <c r="C897" i="5" s="1"/>
  <c r="D897" i="5"/>
  <c r="E897" i="5" s="1"/>
  <c r="B921" i="5"/>
  <c r="C921" i="5" s="1"/>
  <c r="D921" i="5"/>
  <c r="E921" i="5" s="1"/>
  <c r="B945" i="5"/>
  <c r="C945" i="5" s="1"/>
  <c r="D945" i="5"/>
  <c r="E945" i="5" s="1"/>
  <c r="B969" i="5"/>
  <c r="C969" i="5" s="1"/>
  <c r="D969" i="5"/>
  <c r="E969" i="5" s="1"/>
  <c r="B993" i="5"/>
  <c r="C993" i="5" s="1"/>
  <c r="D993" i="5"/>
  <c r="E993" i="5" s="1"/>
  <c r="B1017" i="5"/>
  <c r="C1017" i="5" s="1"/>
  <c r="D1017" i="5"/>
  <c r="E1017" i="5" s="1"/>
  <c r="B1041" i="5"/>
  <c r="C1041" i="5" s="1"/>
  <c r="D1041" i="5"/>
  <c r="E1041" i="5" s="1"/>
  <c r="B1065" i="5"/>
  <c r="C1065" i="5" s="1"/>
  <c r="D1065" i="5"/>
  <c r="E1065" i="5" s="1"/>
  <c r="B1089" i="5"/>
  <c r="C1089" i="5" s="1"/>
  <c r="D1089" i="5"/>
  <c r="E1089" i="5" s="1"/>
  <c r="D1113" i="5"/>
  <c r="E1113" i="5" s="1"/>
  <c r="B1113" i="5"/>
  <c r="C1113" i="5" s="1"/>
  <c r="D1137" i="5"/>
  <c r="E1137" i="5" s="1"/>
  <c r="B1137" i="5"/>
  <c r="C1137" i="5" s="1"/>
  <c r="B1161" i="5"/>
  <c r="C1161" i="5" s="1"/>
  <c r="D1161" i="5"/>
  <c r="E1161" i="5" s="1"/>
  <c r="B1185" i="5"/>
  <c r="C1185" i="5" s="1"/>
  <c r="D1185" i="5"/>
  <c r="E1185" i="5" s="1"/>
  <c r="B1209" i="5"/>
  <c r="C1209" i="5" s="1"/>
  <c r="D1209" i="5"/>
  <c r="E1209" i="5" s="1"/>
  <c r="B1233" i="5"/>
  <c r="C1233" i="5" s="1"/>
  <c r="D1233" i="5"/>
  <c r="E1233" i="5" s="1"/>
  <c r="B1257" i="5"/>
  <c r="C1257" i="5" s="1"/>
  <c r="D1257" i="5"/>
  <c r="E1257" i="5" s="1"/>
  <c r="B1281" i="5"/>
  <c r="C1281" i="5" s="1"/>
  <c r="D1281" i="5"/>
  <c r="E1281" i="5" s="1"/>
  <c r="D1305" i="5"/>
  <c r="E1305" i="5" s="1"/>
  <c r="B1305" i="5"/>
  <c r="C1305" i="5" s="1"/>
  <c r="B1329" i="5"/>
  <c r="C1329" i="5" s="1"/>
  <c r="D1329" i="5"/>
  <c r="E1329" i="5" s="1"/>
  <c r="B1353" i="5"/>
  <c r="C1353" i="5" s="1"/>
  <c r="D1353" i="5"/>
  <c r="E1353" i="5" s="1"/>
  <c r="B1377" i="5"/>
  <c r="C1377" i="5" s="1"/>
  <c r="D1377" i="5"/>
  <c r="E1377" i="5" s="1"/>
  <c r="B1401" i="5"/>
  <c r="C1401" i="5" s="1"/>
  <c r="D1401" i="5"/>
  <c r="E1401" i="5" s="1"/>
  <c r="D1425" i="5"/>
  <c r="E1425" i="5" s="1"/>
  <c r="B1425" i="5"/>
  <c r="C1425" i="5" s="1"/>
  <c r="B1449" i="5"/>
  <c r="C1449" i="5" s="1"/>
  <c r="D1449" i="5"/>
  <c r="E1449" i="5" s="1"/>
  <c r="B1473" i="5"/>
  <c r="C1473" i="5" s="1"/>
  <c r="D1473" i="5"/>
  <c r="E1473" i="5" s="1"/>
  <c r="B1497" i="5"/>
  <c r="C1497" i="5" s="1"/>
  <c r="D1497" i="5"/>
  <c r="E1497" i="5" s="1"/>
  <c r="B1521" i="5"/>
  <c r="C1521" i="5" s="1"/>
  <c r="D1521" i="5"/>
  <c r="E1521" i="5" s="1"/>
  <c r="B1545" i="5"/>
  <c r="C1545" i="5" s="1"/>
  <c r="D1545" i="5"/>
  <c r="E1545" i="5" s="1"/>
  <c r="B1569" i="5"/>
  <c r="C1569" i="5" s="1"/>
  <c r="D1569" i="5"/>
  <c r="E1569" i="5" s="1"/>
  <c r="B1593" i="5"/>
  <c r="C1593" i="5" s="1"/>
  <c r="D1593" i="5"/>
  <c r="E1593" i="5" s="1"/>
  <c r="B1617" i="5"/>
  <c r="C1617" i="5" s="1"/>
  <c r="D1617" i="5"/>
  <c r="E1617" i="5" s="1"/>
  <c r="B1641" i="5"/>
  <c r="C1641" i="5" s="1"/>
  <c r="D1641" i="5"/>
  <c r="E1641" i="5" s="1"/>
  <c r="B1665" i="5"/>
  <c r="C1665" i="5" s="1"/>
  <c r="D1665" i="5"/>
  <c r="E1665" i="5" s="1"/>
  <c r="B1689" i="5"/>
  <c r="C1689" i="5" s="1"/>
  <c r="D1689" i="5"/>
  <c r="E1689" i="5" s="1"/>
  <c r="B1713" i="5"/>
  <c r="C1713" i="5" s="1"/>
  <c r="D1713" i="5"/>
  <c r="E1713" i="5" s="1"/>
  <c r="B1737" i="5"/>
  <c r="C1737" i="5" s="1"/>
  <c r="D1737" i="5"/>
  <c r="E1737" i="5" s="1"/>
  <c r="B1761" i="5"/>
  <c r="C1761" i="5" s="1"/>
  <c r="D1761" i="5"/>
  <c r="E1761" i="5" s="1"/>
  <c r="B1785" i="5"/>
  <c r="C1785" i="5" s="1"/>
  <c r="D1785" i="5"/>
  <c r="E1785" i="5" s="1"/>
  <c r="B1809" i="5"/>
  <c r="C1809" i="5" s="1"/>
  <c r="D1809" i="5"/>
  <c r="E1809" i="5" s="1"/>
  <c r="D1833" i="5"/>
  <c r="E1833" i="5" s="1"/>
  <c r="B1833" i="5"/>
  <c r="C1833" i="5" s="1"/>
  <c r="D1857" i="5"/>
  <c r="E1857" i="5" s="1"/>
  <c r="B1857" i="5"/>
  <c r="C1857" i="5" s="1"/>
  <c r="D1881" i="5"/>
  <c r="E1881" i="5" s="1"/>
  <c r="B1881" i="5"/>
  <c r="C1881" i="5" s="1"/>
  <c r="B1905" i="5"/>
  <c r="C1905" i="5" s="1"/>
  <c r="D1905" i="5"/>
  <c r="E1905" i="5" s="1"/>
  <c r="B1929" i="5"/>
  <c r="C1929" i="5" s="1"/>
  <c r="D1929" i="5"/>
  <c r="E1929" i="5" s="1"/>
  <c r="B1953" i="5"/>
  <c r="C1953" i="5" s="1"/>
  <c r="D1953" i="5"/>
  <c r="E1953" i="5" s="1"/>
  <c r="B1977" i="5"/>
  <c r="C1977" i="5" s="1"/>
  <c r="D1977" i="5"/>
  <c r="E1977" i="5" s="1"/>
  <c r="B2001" i="5"/>
  <c r="C2001" i="5" s="1"/>
  <c r="D2001" i="5"/>
  <c r="E2001" i="5" s="1"/>
  <c r="B2025" i="5"/>
  <c r="C2025" i="5" s="1"/>
  <c r="D2025" i="5"/>
  <c r="E2025" i="5" s="1"/>
  <c r="B2049" i="5"/>
  <c r="C2049" i="5" s="1"/>
  <c r="D2049" i="5"/>
  <c r="E2049" i="5" s="1"/>
  <c r="B2073" i="5"/>
  <c r="C2073" i="5" s="1"/>
  <c r="D2073" i="5"/>
  <c r="E2073" i="5" s="1"/>
  <c r="B2097" i="5"/>
  <c r="C2097" i="5" s="1"/>
  <c r="D2097" i="5"/>
  <c r="E2097" i="5" s="1"/>
  <c r="B2121" i="5"/>
  <c r="C2121" i="5" s="1"/>
  <c r="D2121" i="5"/>
  <c r="E2121" i="5" s="1"/>
  <c r="B2145" i="5"/>
  <c r="C2145" i="5" s="1"/>
  <c r="D2145" i="5"/>
  <c r="E2145" i="5" s="1"/>
  <c r="B2169" i="5"/>
  <c r="C2169" i="5" s="1"/>
  <c r="D2169" i="5"/>
  <c r="E2169" i="5" s="1"/>
  <c r="B2193" i="5"/>
  <c r="C2193" i="5" s="1"/>
  <c r="D2193" i="5"/>
  <c r="E2193" i="5" s="1"/>
  <c r="B2217" i="5"/>
  <c r="C2217" i="5" s="1"/>
  <c r="D2217" i="5"/>
  <c r="E2217" i="5" s="1"/>
  <c r="B2241" i="5"/>
  <c r="C2241" i="5" s="1"/>
  <c r="D2241" i="5"/>
  <c r="E2241" i="5" s="1"/>
  <c r="B2265" i="5"/>
  <c r="C2265" i="5" s="1"/>
  <c r="D2265" i="5"/>
  <c r="E2265" i="5" s="1"/>
  <c r="B2289" i="5"/>
  <c r="C2289" i="5" s="1"/>
  <c r="D2289" i="5"/>
  <c r="E2289" i="5" s="1"/>
  <c r="B2313" i="5"/>
  <c r="C2313" i="5" s="1"/>
  <c r="D2313" i="5"/>
  <c r="E2313" i="5" s="1"/>
  <c r="B2337" i="5"/>
  <c r="C2337" i="5" s="1"/>
  <c r="D2337" i="5"/>
  <c r="E2337" i="5" s="1"/>
  <c r="B2361" i="5"/>
  <c r="C2361" i="5" s="1"/>
  <c r="D2361" i="5"/>
  <c r="E2361" i="5" s="1"/>
  <c r="B2385" i="5"/>
  <c r="C2385" i="5" s="1"/>
  <c r="D2385" i="5"/>
  <c r="E2385" i="5" s="1"/>
  <c r="B2409" i="5"/>
  <c r="C2409" i="5" s="1"/>
  <c r="D2409" i="5"/>
  <c r="E2409" i="5" s="1"/>
  <c r="B2433" i="5"/>
  <c r="C2433" i="5" s="1"/>
  <c r="D2433" i="5"/>
  <c r="E2433" i="5" s="1"/>
  <c r="B2457" i="5"/>
  <c r="C2457" i="5" s="1"/>
  <c r="D2457" i="5"/>
  <c r="E2457" i="5" s="1"/>
  <c r="B2481" i="5"/>
  <c r="C2481" i="5" s="1"/>
  <c r="D2481" i="5"/>
  <c r="E2481" i="5" s="1"/>
  <c r="B2505" i="5"/>
  <c r="C2505" i="5" s="1"/>
  <c r="D2505" i="5"/>
  <c r="E2505" i="5" s="1"/>
  <c r="B2529" i="5"/>
  <c r="C2529" i="5" s="1"/>
  <c r="D2529" i="5"/>
  <c r="E2529" i="5" s="1"/>
  <c r="B2553" i="5"/>
  <c r="C2553" i="5" s="1"/>
  <c r="D2553" i="5"/>
  <c r="E2553" i="5" s="1"/>
  <c r="B2577" i="5"/>
  <c r="C2577" i="5" s="1"/>
  <c r="D2577" i="5"/>
  <c r="E2577" i="5" s="1"/>
  <c r="B2601" i="5"/>
  <c r="C2601" i="5" s="1"/>
  <c r="D2601" i="5"/>
  <c r="E2601" i="5" s="1"/>
  <c r="B2625" i="5"/>
  <c r="C2625" i="5" s="1"/>
  <c r="D2625" i="5"/>
  <c r="E2625" i="5" s="1"/>
  <c r="B2649" i="5"/>
  <c r="C2649" i="5" s="1"/>
  <c r="D2649" i="5"/>
  <c r="E2649" i="5" s="1"/>
  <c r="B2673" i="5"/>
  <c r="C2673" i="5" s="1"/>
  <c r="D2673" i="5"/>
  <c r="E2673" i="5" s="1"/>
  <c r="B2697" i="5"/>
  <c r="C2697" i="5" s="1"/>
  <c r="D2697" i="5"/>
  <c r="E2697" i="5" s="1"/>
  <c r="B2721" i="5"/>
  <c r="C2721" i="5" s="1"/>
  <c r="D2721" i="5"/>
  <c r="E2721" i="5" s="1"/>
  <c r="B2745" i="5"/>
  <c r="C2745" i="5" s="1"/>
  <c r="D2745" i="5"/>
  <c r="E2745" i="5" s="1"/>
  <c r="B2769" i="5"/>
  <c r="C2769" i="5" s="1"/>
  <c r="D2769" i="5"/>
  <c r="E2769" i="5" s="1"/>
  <c r="B2793" i="5"/>
  <c r="C2793" i="5" s="1"/>
  <c r="D2793" i="5"/>
  <c r="E2793" i="5" s="1"/>
  <c r="B2817" i="5"/>
  <c r="C2817" i="5" s="1"/>
  <c r="D2817" i="5"/>
  <c r="E2817" i="5" s="1"/>
  <c r="B2841" i="5"/>
  <c r="C2841" i="5" s="1"/>
  <c r="D2841" i="5"/>
  <c r="E2841" i="5" s="1"/>
  <c r="B2865" i="5"/>
  <c r="C2865" i="5" s="1"/>
  <c r="D2865" i="5"/>
  <c r="E2865" i="5" s="1"/>
  <c r="B2889" i="5"/>
  <c r="C2889" i="5" s="1"/>
  <c r="D2889" i="5"/>
  <c r="E2889" i="5" s="1"/>
  <c r="B2913" i="5"/>
  <c r="C2913" i="5" s="1"/>
  <c r="D2913" i="5"/>
  <c r="E2913" i="5" s="1"/>
  <c r="B2937" i="5"/>
  <c r="C2937" i="5" s="1"/>
  <c r="D2937" i="5"/>
  <c r="E2937" i="5" s="1"/>
  <c r="B2961" i="5"/>
  <c r="C2961" i="5" s="1"/>
  <c r="D2961" i="5"/>
  <c r="E2961" i="5" s="1"/>
  <c r="B2985" i="5"/>
  <c r="C2985" i="5" s="1"/>
  <c r="D2985" i="5"/>
  <c r="E2985" i="5" s="1"/>
  <c r="B3009" i="5"/>
  <c r="C3009" i="5" s="1"/>
  <c r="D3009" i="5"/>
  <c r="E3009" i="5" s="1"/>
  <c r="B3033" i="5"/>
  <c r="C3033" i="5" s="1"/>
  <c r="D3033" i="5"/>
  <c r="E3033" i="5" s="1"/>
  <c r="B3057" i="5"/>
  <c r="C3057" i="5" s="1"/>
  <c r="D3057" i="5"/>
  <c r="E3057" i="5" s="1"/>
  <c r="B3081" i="5"/>
  <c r="C3081" i="5" s="1"/>
  <c r="D3081" i="5"/>
  <c r="E3081" i="5" s="1"/>
  <c r="B3105" i="5"/>
  <c r="C3105" i="5" s="1"/>
  <c r="D3105" i="5"/>
  <c r="E3105" i="5" s="1"/>
  <c r="B3129" i="5"/>
  <c r="C3129" i="5" s="1"/>
  <c r="D3129" i="5"/>
  <c r="E3129" i="5" s="1"/>
  <c r="B3153" i="5"/>
  <c r="C3153" i="5" s="1"/>
  <c r="D3153" i="5"/>
  <c r="E3153" i="5" s="1"/>
  <c r="B3177" i="5"/>
  <c r="C3177" i="5" s="1"/>
  <c r="D3177" i="5"/>
  <c r="E3177" i="5" s="1"/>
  <c r="B3201" i="5"/>
  <c r="C3201" i="5" s="1"/>
  <c r="D3201" i="5"/>
  <c r="E3201" i="5" s="1"/>
  <c r="B3225" i="5"/>
  <c r="C3225" i="5" s="1"/>
  <c r="D3225" i="5"/>
  <c r="E3225" i="5" s="1"/>
  <c r="B3249" i="5"/>
  <c r="C3249" i="5" s="1"/>
  <c r="D3249" i="5"/>
  <c r="E3249" i="5" s="1"/>
  <c r="B3273" i="5"/>
  <c r="C3273" i="5" s="1"/>
  <c r="D3273" i="5"/>
  <c r="E3273" i="5" s="1"/>
  <c r="B3297" i="5"/>
  <c r="C3297" i="5" s="1"/>
  <c r="D3297" i="5"/>
  <c r="E3297" i="5" s="1"/>
  <c r="B3321" i="5"/>
  <c r="C3321" i="5" s="1"/>
  <c r="D3321" i="5"/>
  <c r="E3321" i="5" s="1"/>
  <c r="B3345" i="5"/>
  <c r="C3345" i="5" s="1"/>
  <c r="D3345" i="5"/>
  <c r="E3345" i="5" s="1"/>
  <c r="B3369" i="5"/>
  <c r="C3369" i="5" s="1"/>
  <c r="D3369" i="5"/>
  <c r="E3369" i="5" s="1"/>
  <c r="B3393" i="5"/>
  <c r="C3393" i="5" s="1"/>
  <c r="D3393" i="5"/>
  <c r="E3393" i="5" s="1"/>
  <c r="B3417" i="5"/>
  <c r="C3417" i="5" s="1"/>
  <c r="D3417" i="5"/>
  <c r="E3417" i="5" s="1"/>
  <c r="B3441" i="5"/>
  <c r="C3441" i="5" s="1"/>
  <c r="D3441" i="5"/>
  <c r="E3441" i="5" s="1"/>
  <c r="B3465" i="5"/>
  <c r="C3465" i="5" s="1"/>
  <c r="D3465" i="5"/>
  <c r="E3465" i="5" s="1"/>
  <c r="B3489" i="5"/>
  <c r="C3489" i="5" s="1"/>
  <c r="D3489" i="5"/>
  <c r="E3489" i="5" s="1"/>
  <c r="B3513" i="5"/>
  <c r="C3513" i="5" s="1"/>
  <c r="D3513" i="5"/>
  <c r="E3513" i="5" s="1"/>
  <c r="B3537" i="5"/>
  <c r="C3537" i="5" s="1"/>
  <c r="D3537" i="5"/>
  <c r="E3537" i="5" s="1"/>
  <c r="B3561" i="5"/>
  <c r="C3561" i="5" s="1"/>
  <c r="D3561" i="5"/>
  <c r="E3561" i="5" s="1"/>
  <c r="B3585" i="5"/>
  <c r="C3585" i="5" s="1"/>
  <c r="D3585" i="5"/>
  <c r="E3585" i="5" s="1"/>
  <c r="B3609" i="5"/>
  <c r="C3609" i="5" s="1"/>
  <c r="D3609" i="5"/>
  <c r="E3609" i="5" s="1"/>
  <c r="B3633" i="5"/>
  <c r="C3633" i="5" s="1"/>
  <c r="D3633" i="5"/>
  <c r="E3633" i="5" s="1"/>
  <c r="B3657" i="5"/>
  <c r="C3657" i="5" s="1"/>
  <c r="D3657" i="5"/>
  <c r="E3657" i="5" s="1"/>
  <c r="B2642" i="5"/>
  <c r="C2642" i="5" s="1"/>
  <c r="D2642" i="5"/>
  <c r="E2642" i="5" s="1"/>
  <c r="B268" i="5"/>
  <c r="C268" i="5" s="1"/>
  <c r="D268" i="5"/>
  <c r="E268" i="5" s="1"/>
  <c r="B748" i="5"/>
  <c r="C748" i="5" s="1"/>
  <c r="D748" i="5"/>
  <c r="E748" i="5" s="1"/>
  <c r="B58" i="5"/>
  <c r="C58" i="5" s="1"/>
  <c r="D58" i="5"/>
  <c r="E58" i="5" s="1"/>
  <c r="B82" i="5"/>
  <c r="C82" i="5" s="1"/>
  <c r="D82" i="5"/>
  <c r="E82" i="5" s="1"/>
  <c r="B106" i="5"/>
  <c r="C106" i="5" s="1"/>
  <c r="D106" i="5"/>
  <c r="E106" i="5" s="1"/>
  <c r="B130" i="5"/>
  <c r="C130" i="5" s="1"/>
  <c r="D130" i="5"/>
  <c r="E130" i="5" s="1"/>
  <c r="B154" i="5"/>
  <c r="C154" i="5" s="1"/>
  <c r="D154" i="5"/>
  <c r="E154" i="5" s="1"/>
  <c r="B178" i="5"/>
  <c r="C178" i="5" s="1"/>
  <c r="D178" i="5"/>
  <c r="E178" i="5" s="1"/>
  <c r="B202" i="5"/>
  <c r="C202" i="5" s="1"/>
  <c r="D202" i="5"/>
  <c r="E202" i="5" s="1"/>
  <c r="B226" i="5"/>
  <c r="C226" i="5" s="1"/>
  <c r="D226" i="5"/>
  <c r="E226" i="5" s="1"/>
  <c r="B250" i="5"/>
  <c r="C250" i="5" s="1"/>
  <c r="D250" i="5"/>
  <c r="E250" i="5" s="1"/>
  <c r="B274" i="5"/>
  <c r="C274" i="5" s="1"/>
  <c r="D274" i="5"/>
  <c r="E274" i="5" s="1"/>
  <c r="B298" i="5"/>
  <c r="C298" i="5" s="1"/>
  <c r="D298" i="5"/>
  <c r="E298" i="5" s="1"/>
  <c r="B322" i="5"/>
  <c r="C322" i="5" s="1"/>
  <c r="D322" i="5"/>
  <c r="E322" i="5" s="1"/>
  <c r="B346" i="5"/>
  <c r="C346" i="5" s="1"/>
  <c r="D346" i="5"/>
  <c r="E346" i="5" s="1"/>
  <c r="B370" i="5"/>
  <c r="C370" i="5" s="1"/>
  <c r="D370" i="5"/>
  <c r="E370" i="5" s="1"/>
  <c r="B394" i="5"/>
  <c r="C394" i="5" s="1"/>
  <c r="D394" i="5"/>
  <c r="E394" i="5" s="1"/>
  <c r="B418" i="5"/>
  <c r="C418" i="5" s="1"/>
  <c r="D418" i="5"/>
  <c r="E418" i="5" s="1"/>
  <c r="B442" i="5"/>
  <c r="C442" i="5" s="1"/>
  <c r="D442" i="5"/>
  <c r="E442" i="5" s="1"/>
  <c r="B466" i="5"/>
  <c r="C466" i="5" s="1"/>
  <c r="D466" i="5"/>
  <c r="E466" i="5" s="1"/>
  <c r="B490" i="5"/>
  <c r="C490" i="5" s="1"/>
  <c r="D490" i="5"/>
  <c r="E490" i="5" s="1"/>
  <c r="B514" i="5"/>
  <c r="C514" i="5" s="1"/>
  <c r="D514" i="5"/>
  <c r="E514" i="5" s="1"/>
  <c r="B538" i="5"/>
  <c r="C538" i="5" s="1"/>
  <c r="D538" i="5"/>
  <c r="E538" i="5" s="1"/>
  <c r="B562" i="5"/>
  <c r="C562" i="5" s="1"/>
  <c r="D562" i="5"/>
  <c r="E562" i="5" s="1"/>
  <c r="B586" i="5"/>
  <c r="C586" i="5" s="1"/>
  <c r="D586" i="5"/>
  <c r="E586" i="5" s="1"/>
  <c r="B610" i="5"/>
  <c r="C610" i="5" s="1"/>
  <c r="D610" i="5"/>
  <c r="E610" i="5" s="1"/>
  <c r="B634" i="5"/>
  <c r="C634" i="5" s="1"/>
  <c r="D634" i="5"/>
  <c r="E634" i="5" s="1"/>
  <c r="B658" i="5"/>
  <c r="C658" i="5" s="1"/>
  <c r="D658" i="5"/>
  <c r="E658" i="5" s="1"/>
  <c r="B682" i="5"/>
  <c r="C682" i="5" s="1"/>
  <c r="D682" i="5"/>
  <c r="E682" i="5" s="1"/>
  <c r="B706" i="5"/>
  <c r="C706" i="5" s="1"/>
  <c r="D706" i="5"/>
  <c r="E706" i="5" s="1"/>
  <c r="B730" i="5"/>
  <c r="C730" i="5" s="1"/>
  <c r="D730" i="5"/>
  <c r="E730" i="5" s="1"/>
  <c r="B754" i="5"/>
  <c r="C754" i="5" s="1"/>
  <c r="D754" i="5"/>
  <c r="E754" i="5" s="1"/>
  <c r="B778" i="5"/>
  <c r="C778" i="5" s="1"/>
  <c r="D778" i="5"/>
  <c r="E778" i="5" s="1"/>
  <c r="B802" i="5"/>
  <c r="C802" i="5" s="1"/>
  <c r="D802" i="5"/>
  <c r="E802" i="5" s="1"/>
  <c r="B826" i="5"/>
  <c r="C826" i="5" s="1"/>
  <c r="D826" i="5"/>
  <c r="E826" i="5" s="1"/>
  <c r="B850" i="5"/>
  <c r="C850" i="5" s="1"/>
  <c r="D850" i="5"/>
  <c r="E850" i="5" s="1"/>
  <c r="B874" i="5"/>
  <c r="C874" i="5" s="1"/>
  <c r="D874" i="5"/>
  <c r="E874" i="5" s="1"/>
  <c r="B898" i="5"/>
  <c r="C898" i="5" s="1"/>
  <c r="D898" i="5"/>
  <c r="E898" i="5" s="1"/>
  <c r="B922" i="5"/>
  <c r="C922" i="5" s="1"/>
  <c r="D922" i="5"/>
  <c r="E922" i="5" s="1"/>
  <c r="D946" i="5"/>
  <c r="E946" i="5" s="1"/>
  <c r="B946" i="5"/>
  <c r="C946" i="5" s="1"/>
  <c r="B970" i="5"/>
  <c r="C970" i="5" s="1"/>
  <c r="D970" i="5"/>
  <c r="E970" i="5" s="1"/>
  <c r="B994" i="5"/>
  <c r="C994" i="5" s="1"/>
  <c r="D994" i="5"/>
  <c r="E994" i="5" s="1"/>
  <c r="B1018" i="5"/>
  <c r="C1018" i="5" s="1"/>
  <c r="D1018" i="5"/>
  <c r="E1018" i="5" s="1"/>
  <c r="B1042" i="5"/>
  <c r="C1042" i="5" s="1"/>
  <c r="D1042" i="5"/>
  <c r="E1042" i="5" s="1"/>
  <c r="B1066" i="5"/>
  <c r="C1066" i="5" s="1"/>
  <c r="D1066" i="5"/>
  <c r="E1066" i="5" s="1"/>
  <c r="B1090" i="5"/>
  <c r="C1090" i="5" s="1"/>
  <c r="D1090" i="5"/>
  <c r="E1090" i="5" s="1"/>
  <c r="B1114" i="5"/>
  <c r="C1114" i="5" s="1"/>
  <c r="D1114" i="5"/>
  <c r="E1114" i="5" s="1"/>
  <c r="B1138" i="5"/>
  <c r="C1138" i="5" s="1"/>
  <c r="D1138" i="5"/>
  <c r="E1138" i="5" s="1"/>
  <c r="B1162" i="5"/>
  <c r="C1162" i="5" s="1"/>
  <c r="D1162" i="5"/>
  <c r="E1162" i="5" s="1"/>
  <c r="B1186" i="5"/>
  <c r="C1186" i="5" s="1"/>
  <c r="D1186" i="5"/>
  <c r="E1186" i="5" s="1"/>
  <c r="B1210" i="5"/>
  <c r="C1210" i="5" s="1"/>
  <c r="D1210" i="5"/>
  <c r="E1210" i="5" s="1"/>
  <c r="B1234" i="5"/>
  <c r="C1234" i="5" s="1"/>
  <c r="D1234" i="5"/>
  <c r="E1234" i="5" s="1"/>
  <c r="B1258" i="5"/>
  <c r="C1258" i="5" s="1"/>
  <c r="D1258" i="5"/>
  <c r="E1258" i="5" s="1"/>
  <c r="B1282" i="5"/>
  <c r="C1282" i="5" s="1"/>
  <c r="D1282" i="5"/>
  <c r="E1282" i="5" s="1"/>
  <c r="B1306" i="5"/>
  <c r="C1306" i="5" s="1"/>
  <c r="D1306" i="5"/>
  <c r="E1306" i="5" s="1"/>
  <c r="B1330" i="5"/>
  <c r="C1330" i="5" s="1"/>
  <c r="D1330" i="5"/>
  <c r="E1330" i="5" s="1"/>
  <c r="D1354" i="5"/>
  <c r="E1354" i="5" s="1"/>
  <c r="B1354" i="5"/>
  <c r="C1354" i="5" s="1"/>
  <c r="B1378" i="5"/>
  <c r="C1378" i="5" s="1"/>
  <c r="D1378" i="5"/>
  <c r="E1378" i="5" s="1"/>
  <c r="D1402" i="5"/>
  <c r="E1402" i="5" s="1"/>
  <c r="B1402" i="5"/>
  <c r="C1402" i="5" s="1"/>
  <c r="B1426" i="5"/>
  <c r="C1426" i="5" s="1"/>
  <c r="D1426" i="5"/>
  <c r="E1426" i="5" s="1"/>
  <c r="D1450" i="5"/>
  <c r="E1450" i="5" s="1"/>
  <c r="B1450" i="5"/>
  <c r="C1450" i="5" s="1"/>
  <c r="B1474" i="5"/>
  <c r="C1474" i="5" s="1"/>
  <c r="D1474" i="5"/>
  <c r="E1474" i="5" s="1"/>
  <c r="B1498" i="5"/>
  <c r="C1498" i="5" s="1"/>
  <c r="D1498" i="5"/>
  <c r="E1498" i="5" s="1"/>
  <c r="B1522" i="5"/>
  <c r="C1522" i="5" s="1"/>
  <c r="D1522" i="5"/>
  <c r="E1522" i="5" s="1"/>
  <c r="B1546" i="5"/>
  <c r="C1546" i="5" s="1"/>
  <c r="D1546" i="5"/>
  <c r="E1546" i="5" s="1"/>
  <c r="B1570" i="5"/>
  <c r="C1570" i="5" s="1"/>
  <c r="D1570" i="5"/>
  <c r="E1570" i="5" s="1"/>
  <c r="B1594" i="5"/>
  <c r="C1594" i="5" s="1"/>
  <c r="D1594" i="5"/>
  <c r="E1594" i="5" s="1"/>
  <c r="B1618" i="5"/>
  <c r="C1618" i="5" s="1"/>
  <c r="D1618" i="5"/>
  <c r="E1618" i="5" s="1"/>
  <c r="B1642" i="5"/>
  <c r="C1642" i="5" s="1"/>
  <c r="D1642" i="5"/>
  <c r="E1642" i="5" s="1"/>
  <c r="B1666" i="5"/>
  <c r="C1666" i="5" s="1"/>
  <c r="D1666" i="5"/>
  <c r="E1666" i="5" s="1"/>
  <c r="B1690" i="5"/>
  <c r="C1690" i="5" s="1"/>
  <c r="D1690" i="5"/>
  <c r="E1690" i="5" s="1"/>
  <c r="B1714" i="5"/>
  <c r="C1714" i="5" s="1"/>
  <c r="D1714" i="5"/>
  <c r="E1714" i="5" s="1"/>
  <c r="B1738" i="5"/>
  <c r="C1738" i="5" s="1"/>
  <c r="D1738" i="5"/>
  <c r="E1738" i="5" s="1"/>
  <c r="B1762" i="5"/>
  <c r="C1762" i="5" s="1"/>
  <c r="D1762" i="5"/>
  <c r="E1762" i="5" s="1"/>
  <c r="B1786" i="5"/>
  <c r="C1786" i="5" s="1"/>
  <c r="D1786" i="5"/>
  <c r="E1786" i="5" s="1"/>
  <c r="B1810" i="5"/>
  <c r="C1810" i="5" s="1"/>
  <c r="D1810" i="5"/>
  <c r="E1810" i="5" s="1"/>
  <c r="B1834" i="5"/>
  <c r="C1834" i="5" s="1"/>
  <c r="D1834" i="5"/>
  <c r="E1834" i="5" s="1"/>
  <c r="B1858" i="5"/>
  <c r="C1858" i="5" s="1"/>
  <c r="D1858" i="5"/>
  <c r="E1858" i="5" s="1"/>
  <c r="B1882" i="5"/>
  <c r="C1882" i="5" s="1"/>
  <c r="D1882" i="5"/>
  <c r="E1882" i="5" s="1"/>
  <c r="B1906" i="5"/>
  <c r="C1906" i="5" s="1"/>
  <c r="D1906" i="5"/>
  <c r="E1906" i="5" s="1"/>
  <c r="D1930" i="5"/>
  <c r="E1930" i="5" s="1"/>
  <c r="B1930" i="5"/>
  <c r="C1930" i="5" s="1"/>
  <c r="D1954" i="5"/>
  <c r="E1954" i="5" s="1"/>
  <c r="B1954" i="5"/>
  <c r="C1954" i="5" s="1"/>
  <c r="B1978" i="5"/>
  <c r="C1978" i="5" s="1"/>
  <c r="D1978" i="5"/>
  <c r="E1978" i="5" s="1"/>
  <c r="B2002" i="5"/>
  <c r="C2002" i="5" s="1"/>
  <c r="D2002" i="5"/>
  <c r="E2002" i="5" s="1"/>
  <c r="B2026" i="5"/>
  <c r="C2026" i="5" s="1"/>
  <c r="D2026" i="5"/>
  <c r="E2026" i="5" s="1"/>
  <c r="B2050" i="5"/>
  <c r="C2050" i="5" s="1"/>
  <c r="D2050" i="5"/>
  <c r="E2050" i="5" s="1"/>
  <c r="B2074" i="5"/>
  <c r="C2074" i="5" s="1"/>
  <c r="D2074" i="5"/>
  <c r="E2074" i="5" s="1"/>
  <c r="B2098" i="5"/>
  <c r="C2098" i="5" s="1"/>
  <c r="D2098" i="5"/>
  <c r="E2098" i="5" s="1"/>
  <c r="B2122" i="5"/>
  <c r="C2122" i="5" s="1"/>
  <c r="D2122" i="5"/>
  <c r="E2122" i="5" s="1"/>
  <c r="B2146" i="5"/>
  <c r="C2146" i="5" s="1"/>
  <c r="D2146" i="5"/>
  <c r="E2146" i="5" s="1"/>
  <c r="B2170" i="5"/>
  <c r="C2170" i="5" s="1"/>
  <c r="D2170" i="5"/>
  <c r="E2170" i="5" s="1"/>
  <c r="D2194" i="5"/>
  <c r="E2194" i="5" s="1"/>
  <c r="B2194" i="5"/>
  <c r="C2194" i="5" s="1"/>
  <c r="B2218" i="5"/>
  <c r="C2218" i="5" s="1"/>
  <c r="D2218" i="5"/>
  <c r="E2218" i="5" s="1"/>
  <c r="B2242" i="5"/>
  <c r="C2242" i="5" s="1"/>
  <c r="D2242" i="5"/>
  <c r="E2242" i="5" s="1"/>
  <c r="B2266" i="5"/>
  <c r="C2266" i="5" s="1"/>
  <c r="D2266" i="5"/>
  <c r="E2266" i="5" s="1"/>
  <c r="B2290" i="5"/>
  <c r="C2290" i="5" s="1"/>
  <c r="D2290" i="5"/>
  <c r="E2290" i="5" s="1"/>
  <c r="B2314" i="5"/>
  <c r="C2314" i="5" s="1"/>
  <c r="D2314" i="5"/>
  <c r="E2314" i="5" s="1"/>
  <c r="B2338" i="5"/>
  <c r="C2338" i="5" s="1"/>
  <c r="D2338" i="5"/>
  <c r="E2338" i="5" s="1"/>
  <c r="B2362" i="5"/>
  <c r="C2362" i="5" s="1"/>
  <c r="D2362" i="5"/>
  <c r="E2362" i="5" s="1"/>
  <c r="B2386" i="5"/>
  <c r="C2386" i="5" s="1"/>
  <c r="D2386" i="5"/>
  <c r="E2386" i="5" s="1"/>
  <c r="B2410" i="5"/>
  <c r="C2410" i="5" s="1"/>
  <c r="D2410" i="5"/>
  <c r="E2410" i="5" s="1"/>
  <c r="D2434" i="5"/>
  <c r="E2434" i="5" s="1"/>
  <c r="B2434" i="5"/>
  <c r="C2434" i="5" s="1"/>
  <c r="B2458" i="5"/>
  <c r="C2458" i="5" s="1"/>
  <c r="D2458" i="5"/>
  <c r="E2458" i="5" s="1"/>
  <c r="B2482" i="5"/>
  <c r="C2482" i="5" s="1"/>
  <c r="D2482" i="5"/>
  <c r="E2482" i="5" s="1"/>
  <c r="B2506" i="5"/>
  <c r="C2506" i="5" s="1"/>
  <c r="D2506" i="5"/>
  <c r="E2506" i="5" s="1"/>
  <c r="B2530" i="5"/>
  <c r="C2530" i="5" s="1"/>
  <c r="D2530" i="5"/>
  <c r="E2530" i="5" s="1"/>
  <c r="B2554" i="5"/>
  <c r="C2554" i="5" s="1"/>
  <c r="D2554" i="5"/>
  <c r="E2554" i="5" s="1"/>
  <c r="B2578" i="5"/>
  <c r="C2578" i="5" s="1"/>
  <c r="D2578" i="5"/>
  <c r="E2578" i="5" s="1"/>
  <c r="B2602" i="5"/>
  <c r="C2602" i="5" s="1"/>
  <c r="D2602" i="5"/>
  <c r="E2602" i="5" s="1"/>
  <c r="B2626" i="5"/>
  <c r="C2626" i="5" s="1"/>
  <c r="D2626" i="5"/>
  <c r="E2626" i="5" s="1"/>
  <c r="B2650" i="5"/>
  <c r="C2650" i="5" s="1"/>
  <c r="D2650" i="5"/>
  <c r="E2650" i="5" s="1"/>
  <c r="B2674" i="5"/>
  <c r="C2674" i="5" s="1"/>
  <c r="D2674" i="5"/>
  <c r="E2674" i="5" s="1"/>
  <c r="B2698" i="5"/>
  <c r="C2698" i="5" s="1"/>
  <c r="D2698" i="5"/>
  <c r="E2698" i="5" s="1"/>
  <c r="B2722" i="5"/>
  <c r="C2722" i="5" s="1"/>
  <c r="D2722" i="5"/>
  <c r="E2722" i="5" s="1"/>
  <c r="B2746" i="5"/>
  <c r="C2746" i="5" s="1"/>
  <c r="D2746" i="5"/>
  <c r="E2746" i="5" s="1"/>
  <c r="B2770" i="5"/>
  <c r="C2770" i="5" s="1"/>
  <c r="D2770" i="5"/>
  <c r="E2770" i="5" s="1"/>
  <c r="B2794" i="5"/>
  <c r="C2794" i="5" s="1"/>
  <c r="D2794" i="5"/>
  <c r="E2794" i="5" s="1"/>
  <c r="B2818" i="5"/>
  <c r="C2818" i="5" s="1"/>
  <c r="D2818" i="5"/>
  <c r="E2818" i="5" s="1"/>
  <c r="B2842" i="5"/>
  <c r="C2842" i="5" s="1"/>
  <c r="D2842" i="5"/>
  <c r="E2842" i="5" s="1"/>
  <c r="B2866" i="5"/>
  <c r="C2866" i="5" s="1"/>
  <c r="D2866" i="5"/>
  <c r="E2866" i="5" s="1"/>
  <c r="B2890" i="5"/>
  <c r="C2890" i="5" s="1"/>
  <c r="D2890" i="5"/>
  <c r="E2890" i="5" s="1"/>
  <c r="B2914" i="5"/>
  <c r="C2914" i="5" s="1"/>
  <c r="D2914" i="5"/>
  <c r="E2914" i="5" s="1"/>
  <c r="B2938" i="5"/>
  <c r="C2938" i="5" s="1"/>
  <c r="D2938" i="5"/>
  <c r="E2938" i="5" s="1"/>
  <c r="B2962" i="5"/>
  <c r="C2962" i="5" s="1"/>
  <c r="D2962" i="5"/>
  <c r="E2962" i="5" s="1"/>
  <c r="B2986" i="5"/>
  <c r="C2986" i="5" s="1"/>
  <c r="D2986" i="5"/>
  <c r="E2986" i="5" s="1"/>
  <c r="B3010" i="5"/>
  <c r="C3010" i="5" s="1"/>
  <c r="D3010" i="5"/>
  <c r="E3010" i="5" s="1"/>
  <c r="B3034" i="5"/>
  <c r="C3034" i="5" s="1"/>
  <c r="D3034" i="5"/>
  <c r="E3034" i="5" s="1"/>
  <c r="B3058" i="5"/>
  <c r="C3058" i="5" s="1"/>
  <c r="D3058" i="5"/>
  <c r="E3058" i="5" s="1"/>
  <c r="B3082" i="5"/>
  <c r="C3082" i="5" s="1"/>
  <c r="D3082" i="5"/>
  <c r="E3082" i="5" s="1"/>
  <c r="B3106" i="5"/>
  <c r="C3106" i="5" s="1"/>
  <c r="D3106" i="5"/>
  <c r="E3106" i="5" s="1"/>
  <c r="B3130" i="5"/>
  <c r="C3130" i="5" s="1"/>
  <c r="D3130" i="5"/>
  <c r="E3130" i="5" s="1"/>
  <c r="B3154" i="5"/>
  <c r="C3154" i="5" s="1"/>
  <c r="D3154" i="5"/>
  <c r="E3154" i="5" s="1"/>
  <c r="B3178" i="5"/>
  <c r="C3178" i="5" s="1"/>
  <c r="D3178" i="5"/>
  <c r="E3178" i="5" s="1"/>
  <c r="B3202" i="5"/>
  <c r="C3202" i="5" s="1"/>
  <c r="D3202" i="5"/>
  <c r="E3202" i="5" s="1"/>
  <c r="B3226" i="5"/>
  <c r="C3226" i="5" s="1"/>
  <c r="D3226" i="5"/>
  <c r="E3226" i="5" s="1"/>
  <c r="B3250" i="5"/>
  <c r="C3250" i="5" s="1"/>
  <c r="D3250" i="5"/>
  <c r="E3250" i="5" s="1"/>
  <c r="B3274" i="5"/>
  <c r="C3274" i="5" s="1"/>
  <c r="D3274" i="5"/>
  <c r="E3274" i="5" s="1"/>
  <c r="B3298" i="5"/>
  <c r="C3298" i="5" s="1"/>
  <c r="D3298" i="5"/>
  <c r="E3298" i="5" s="1"/>
  <c r="B3322" i="5"/>
  <c r="C3322" i="5" s="1"/>
  <c r="D3322" i="5"/>
  <c r="E3322" i="5" s="1"/>
  <c r="B3346" i="5"/>
  <c r="C3346" i="5" s="1"/>
  <c r="D3346" i="5"/>
  <c r="E3346" i="5" s="1"/>
  <c r="B3370" i="5"/>
  <c r="C3370" i="5" s="1"/>
  <c r="D3370" i="5"/>
  <c r="E3370" i="5" s="1"/>
  <c r="B3394" i="5"/>
  <c r="C3394" i="5" s="1"/>
  <c r="D3394" i="5"/>
  <c r="E3394" i="5" s="1"/>
  <c r="B3418" i="5"/>
  <c r="C3418" i="5" s="1"/>
  <c r="D3418" i="5"/>
  <c r="E3418" i="5" s="1"/>
  <c r="B3442" i="5"/>
  <c r="C3442" i="5" s="1"/>
  <c r="D3442" i="5"/>
  <c r="E3442" i="5" s="1"/>
  <c r="B3466" i="5"/>
  <c r="C3466" i="5" s="1"/>
  <c r="D3466" i="5"/>
  <c r="E3466" i="5" s="1"/>
  <c r="B3490" i="5"/>
  <c r="C3490" i="5" s="1"/>
  <c r="D3490" i="5"/>
  <c r="E3490" i="5" s="1"/>
  <c r="B3514" i="5"/>
  <c r="C3514" i="5" s="1"/>
  <c r="D3514" i="5"/>
  <c r="E3514" i="5" s="1"/>
  <c r="B3538" i="5"/>
  <c r="C3538" i="5" s="1"/>
  <c r="D3538" i="5"/>
  <c r="E3538" i="5" s="1"/>
  <c r="B3562" i="5"/>
  <c r="C3562" i="5" s="1"/>
  <c r="D3562" i="5"/>
  <c r="E3562" i="5" s="1"/>
  <c r="B3586" i="5"/>
  <c r="C3586" i="5" s="1"/>
  <c r="D3586" i="5"/>
  <c r="E3586" i="5" s="1"/>
  <c r="B3610" i="5"/>
  <c r="C3610" i="5" s="1"/>
  <c r="D3610" i="5"/>
  <c r="E3610" i="5" s="1"/>
  <c r="B3634" i="5"/>
  <c r="C3634" i="5" s="1"/>
  <c r="D3634" i="5"/>
  <c r="E3634" i="5" s="1"/>
  <c r="B3658" i="5"/>
  <c r="C3658" i="5" s="1"/>
  <c r="D3658" i="5"/>
  <c r="E3658" i="5" s="1"/>
  <c r="B338" i="5"/>
  <c r="C338" i="5" s="1"/>
  <c r="D338" i="5"/>
  <c r="E338" i="5" s="1"/>
  <c r="B914" i="5"/>
  <c r="C914" i="5" s="1"/>
  <c r="D914" i="5"/>
  <c r="E914" i="5" s="1"/>
  <c r="B1682" i="5"/>
  <c r="C1682" i="5" s="1"/>
  <c r="D1682" i="5"/>
  <c r="E1682" i="5" s="1"/>
  <c r="B2762" i="5"/>
  <c r="C2762" i="5" s="1"/>
  <c r="D2762" i="5"/>
  <c r="E2762" i="5" s="1"/>
  <c r="B244" i="5"/>
  <c r="C244" i="5" s="1"/>
  <c r="D244" i="5"/>
  <c r="E244" i="5" s="1"/>
  <c r="B796" i="5"/>
  <c r="C796" i="5" s="1"/>
  <c r="D796" i="5"/>
  <c r="E796" i="5" s="1"/>
  <c r="B10" i="5"/>
  <c r="C10" i="5" s="1"/>
  <c r="D10" i="5"/>
  <c r="E10" i="5" s="1"/>
  <c r="B34" i="5"/>
  <c r="C34" i="5" s="1"/>
  <c r="D34" i="5"/>
  <c r="E34" i="5" s="1"/>
  <c r="B11" i="5"/>
  <c r="C11" i="5" s="1"/>
  <c r="D11" i="5"/>
  <c r="E11" i="5" s="1"/>
  <c r="B35" i="5"/>
  <c r="C35" i="5" s="1"/>
  <c r="D35" i="5"/>
  <c r="E35" i="5" s="1"/>
  <c r="B59" i="5"/>
  <c r="C59" i="5" s="1"/>
  <c r="D59" i="5"/>
  <c r="E59" i="5" s="1"/>
  <c r="B83" i="5"/>
  <c r="C83" i="5" s="1"/>
  <c r="D83" i="5"/>
  <c r="E83" i="5" s="1"/>
  <c r="B107" i="5"/>
  <c r="C107" i="5" s="1"/>
  <c r="D107" i="5"/>
  <c r="E107" i="5" s="1"/>
  <c r="B131" i="5"/>
  <c r="C131" i="5" s="1"/>
  <c r="D131" i="5"/>
  <c r="E131" i="5" s="1"/>
  <c r="B155" i="5"/>
  <c r="C155" i="5" s="1"/>
  <c r="D155" i="5"/>
  <c r="E155" i="5" s="1"/>
  <c r="B179" i="5"/>
  <c r="C179" i="5" s="1"/>
  <c r="D179" i="5"/>
  <c r="E179" i="5" s="1"/>
  <c r="B203" i="5"/>
  <c r="C203" i="5" s="1"/>
  <c r="D203" i="5"/>
  <c r="E203" i="5" s="1"/>
  <c r="B227" i="5"/>
  <c r="C227" i="5" s="1"/>
  <c r="D227" i="5"/>
  <c r="E227" i="5" s="1"/>
  <c r="B251" i="5"/>
  <c r="C251" i="5" s="1"/>
  <c r="D251" i="5"/>
  <c r="E251" i="5" s="1"/>
  <c r="B275" i="5"/>
  <c r="C275" i="5" s="1"/>
  <c r="D275" i="5"/>
  <c r="E275" i="5" s="1"/>
  <c r="B299" i="5"/>
  <c r="C299" i="5" s="1"/>
  <c r="D299" i="5"/>
  <c r="E299" i="5" s="1"/>
  <c r="B323" i="5"/>
  <c r="C323" i="5" s="1"/>
  <c r="D323" i="5"/>
  <c r="E323" i="5" s="1"/>
  <c r="B347" i="5"/>
  <c r="C347" i="5" s="1"/>
  <c r="D347" i="5"/>
  <c r="E347" i="5" s="1"/>
  <c r="B371" i="5"/>
  <c r="C371" i="5" s="1"/>
  <c r="D371" i="5"/>
  <c r="E371" i="5" s="1"/>
  <c r="B395" i="5"/>
  <c r="C395" i="5" s="1"/>
  <c r="D395" i="5"/>
  <c r="E395" i="5" s="1"/>
  <c r="B419" i="5"/>
  <c r="C419" i="5" s="1"/>
  <c r="D419" i="5"/>
  <c r="E419" i="5" s="1"/>
  <c r="B443" i="5"/>
  <c r="C443" i="5" s="1"/>
  <c r="D443" i="5"/>
  <c r="E443" i="5" s="1"/>
  <c r="B467" i="5"/>
  <c r="C467" i="5" s="1"/>
  <c r="D467" i="5"/>
  <c r="E467" i="5" s="1"/>
  <c r="B491" i="5"/>
  <c r="C491" i="5" s="1"/>
  <c r="D491" i="5"/>
  <c r="E491" i="5" s="1"/>
  <c r="B515" i="5"/>
  <c r="C515" i="5" s="1"/>
  <c r="D515" i="5"/>
  <c r="E515" i="5" s="1"/>
  <c r="B539" i="5"/>
  <c r="C539" i="5" s="1"/>
  <c r="D539" i="5"/>
  <c r="E539" i="5" s="1"/>
  <c r="B563" i="5"/>
  <c r="C563" i="5" s="1"/>
  <c r="D563" i="5"/>
  <c r="E563" i="5" s="1"/>
  <c r="B587" i="5"/>
  <c r="C587" i="5" s="1"/>
  <c r="D587" i="5"/>
  <c r="E587" i="5" s="1"/>
  <c r="B611" i="5"/>
  <c r="C611" i="5" s="1"/>
  <c r="D611" i="5"/>
  <c r="E611" i="5" s="1"/>
  <c r="B635" i="5"/>
  <c r="C635" i="5" s="1"/>
  <c r="D635" i="5"/>
  <c r="E635" i="5" s="1"/>
  <c r="B659" i="5"/>
  <c r="C659" i="5" s="1"/>
  <c r="D659" i="5"/>
  <c r="E659" i="5" s="1"/>
  <c r="B683" i="5"/>
  <c r="C683" i="5" s="1"/>
  <c r="D683" i="5"/>
  <c r="E683" i="5" s="1"/>
  <c r="B707" i="5"/>
  <c r="C707" i="5" s="1"/>
  <c r="D707" i="5"/>
  <c r="E707" i="5" s="1"/>
  <c r="B731" i="5"/>
  <c r="C731" i="5" s="1"/>
  <c r="D731" i="5"/>
  <c r="E731" i="5" s="1"/>
  <c r="B755" i="5"/>
  <c r="C755" i="5" s="1"/>
  <c r="D755" i="5"/>
  <c r="E755" i="5" s="1"/>
  <c r="B779" i="5"/>
  <c r="C779" i="5" s="1"/>
  <c r="D779" i="5"/>
  <c r="E779" i="5" s="1"/>
  <c r="B803" i="5"/>
  <c r="C803" i="5" s="1"/>
  <c r="D803" i="5"/>
  <c r="E803" i="5" s="1"/>
  <c r="B827" i="5"/>
  <c r="C827" i="5" s="1"/>
  <c r="D827" i="5"/>
  <c r="E827" i="5" s="1"/>
  <c r="B851" i="5"/>
  <c r="C851" i="5" s="1"/>
  <c r="D851" i="5"/>
  <c r="E851" i="5" s="1"/>
  <c r="B875" i="5"/>
  <c r="C875" i="5" s="1"/>
  <c r="D875" i="5"/>
  <c r="E875" i="5" s="1"/>
  <c r="B899" i="5"/>
  <c r="C899" i="5" s="1"/>
  <c r="D899" i="5"/>
  <c r="E899" i="5" s="1"/>
  <c r="B923" i="5"/>
  <c r="C923" i="5" s="1"/>
  <c r="D923" i="5"/>
  <c r="E923" i="5" s="1"/>
  <c r="B947" i="5"/>
  <c r="C947" i="5" s="1"/>
  <c r="D947" i="5"/>
  <c r="E947" i="5" s="1"/>
  <c r="B971" i="5"/>
  <c r="C971" i="5" s="1"/>
  <c r="D971" i="5"/>
  <c r="E971" i="5" s="1"/>
  <c r="B995" i="5"/>
  <c r="C995" i="5" s="1"/>
  <c r="D995" i="5"/>
  <c r="E995" i="5" s="1"/>
  <c r="B1019" i="5"/>
  <c r="C1019" i="5" s="1"/>
  <c r="D1019" i="5"/>
  <c r="E1019" i="5" s="1"/>
  <c r="B1043" i="5"/>
  <c r="C1043" i="5" s="1"/>
  <c r="D1043" i="5"/>
  <c r="E1043" i="5" s="1"/>
  <c r="B1067" i="5"/>
  <c r="C1067" i="5" s="1"/>
  <c r="D1067" i="5"/>
  <c r="E1067" i="5" s="1"/>
  <c r="B1091" i="5"/>
  <c r="C1091" i="5" s="1"/>
  <c r="D1091" i="5"/>
  <c r="E1091" i="5" s="1"/>
  <c r="B1115" i="5"/>
  <c r="C1115" i="5" s="1"/>
  <c r="D1115" i="5"/>
  <c r="E1115" i="5" s="1"/>
  <c r="B1139" i="5"/>
  <c r="C1139" i="5" s="1"/>
  <c r="D1139" i="5"/>
  <c r="E1139" i="5" s="1"/>
  <c r="B1163" i="5"/>
  <c r="C1163" i="5" s="1"/>
  <c r="D1163" i="5"/>
  <c r="E1163" i="5" s="1"/>
  <c r="B1187" i="5"/>
  <c r="C1187" i="5" s="1"/>
  <c r="D1187" i="5"/>
  <c r="E1187" i="5" s="1"/>
  <c r="B1211" i="5"/>
  <c r="C1211" i="5" s="1"/>
  <c r="D1211" i="5"/>
  <c r="E1211" i="5" s="1"/>
  <c r="B1235" i="5"/>
  <c r="C1235" i="5" s="1"/>
  <c r="D1235" i="5"/>
  <c r="E1235" i="5" s="1"/>
  <c r="B1259" i="5"/>
  <c r="C1259" i="5" s="1"/>
  <c r="D1259" i="5"/>
  <c r="E1259" i="5" s="1"/>
  <c r="B1283" i="5"/>
  <c r="C1283" i="5" s="1"/>
  <c r="D1283" i="5"/>
  <c r="E1283" i="5" s="1"/>
  <c r="B1307" i="5"/>
  <c r="C1307" i="5" s="1"/>
  <c r="D1307" i="5"/>
  <c r="E1307" i="5" s="1"/>
  <c r="B1331" i="5"/>
  <c r="C1331" i="5" s="1"/>
  <c r="D1331" i="5"/>
  <c r="E1331" i="5" s="1"/>
  <c r="B1355" i="5"/>
  <c r="C1355" i="5" s="1"/>
  <c r="D1355" i="5"/>
  <c r="E1355" i="5" s="1"/>
  <c r="B1379" i="5"/>
  <c r="C1379" i="5" s="1"/>
  <c r="D1379" i="5"/>
  <c r="E1379" i="5" s="1"/>
  <c r="B1403" i="5"/>
  <c r="C1403" i="5" s="1"/>
  <c r="D1403" i="5"/>
  <c r="E1403" i="5" s="1"/>
  <c r="B1427" i="5"/>
  <c r="C1427" i="5" s="1"/>
  <c r="D1427" i="5"/>
  <c r="E1427" i="5" s="1"/>
  <c r="D1451" i="5"/>
  <c r="E1451" i="5" s="1"/>
  <c r="B1451" i="5"/>
  <c r="C1451" i="5" s="1"/>
  <c r="B1475" i="5"/>
  <c r="C1475" i="5" s="1"/>
  <c r="D1475" i="5"/>
  <c r="E1475" i="5" s="1"/>
  <c r="B1499" i="5"/>
  <c r="C1499" i="5" s="1"/>
  <c r="D1499" i="5"/>
  <c r="E1499" i="5" s="1"/>
  <c r="B1523" i="5"/>
  <c r="C1523" i="5" s="1"/>
  <c r="D1523" i="5"/>
  <c r="E1523" i="5" s="1"/>
  <c r="B1547" i="5"/>
  <c r="C1547" i="5" s="1"/>
  <c r="D1547" i="5"/>
  <c r="E1547" i="5" s="1"/>
  <c r="D1571" i="5"/>
  <c r="E1571" i="5" s="1"/>
  <c r="B1571" i="5"/>
  <c r="C1571" i="5" s="1"/>
  <c r="D1595" i="5"/>
  <c r="E1595" i="5" s="1"/>
  <c r="B1595" i="5"/>
  <c r="C1595" i="5" s="1"/>
  <c r="B1619" i="5"/>
  <c r="C1619" i="5" s="1"/>
  <c r="D1619" i="5"/>
  <c r="E1619" i="5" s="1"/>
  <c r="B1643" i="5"/>
  <c r="C1643" i="5" s="1"/>
  <c r="D1643" i="5"/>
  <c r="E1643" i="5" s="1"/>
  <c r="B1667" i="5"/>
  <c r="C1667" i="5" s="1"/>
  <c r="D1667" i="5"/>
  <c r="E1667" i="5" s="1"/>
  <c r="B1691" i="5"/>
  <c r="C1691" i="5" s="1"/>
  <c r="D1691" i="5"/>
  <c r="E1691" i="5" s="1"/>
  <c r="B1715" i="5"/>
  <c r="C1715" i="5" s="1"/>
  <c r="D1715" i="5"/>
  <c r="E1715" i="5" s="1"/>
  <c r="B1739" i="5"/>
  <c r="C1739" i="5" s="1"/>
  <c r="D1739" i="5"/>
  <c r="E1739" i="5" s="1"/>
  <c r="D1763" i="5"/>
  <c r="E1763" i="5" s="1"/>
  <c r="B1763" i="5"/>
  <c r="C1763" i="5" s="1"/>
  <c r="D1787" i="5"/>
  <c r="E1787" i="5" s="1"/>
  <c r="B1787" i="5"/>
  <c r="C1787" i="5" s="1"/>
  <c r="B1811" i="5"/>
  <c r="C1811" i="5" s="1"/>
  <c r="D1811" i="5"/>
  <c r="E1811" i="5" s="1"/>
  <c r="B1835" i="5"/>
  <c r="C1835" i="5" s="1"/>
  <c r="D1835" i="5"/>
  <c r="E1835" i="5" s="1"/>
  <c r="B1859" i="5"/>
  <c r="C1859" i="5" s="1"/>
  <c r="D1859" i="5"/>
  <c r="E1859" i="5" s="1"/>
  <c r="B1883" i="5"/>
  <c r="C1883" i="5" s="1"/>
  <c r="D1883" i="5"/>
  <c r="E1883" i="5" s="1"/>
  <c r="B1907" i="5"/>
  <c r="C1907" i="5" s="1"/>
  <c r="D1907" i="5"/>
  <c r="E1907" i="5" s="1"/>
  <c r="B1931" i="5"/>
  <c r="C1931" i="5" s="1"/>
  <c r="D1931" i="5"/>
  <c r="E1931" i="5" s="1"/>
  <c r="B1955" i="5"/>
  <c r="C1955" i="5" s="1"/>
  <c r="D1955" i="5"/>
  <c r="E1955" i="5" s="1"/>
  <c r="B1979" i="5"/>
  <c r="C1979" i="5" s="1"/>
  <c r="D1979" i="5"/>
  <c r="E1979" i="5" s="1"/>
  <c r="B2003" i="5"/>
  <c r="C2003" i="5" s="1"/>
  <c r="D2003" i="5"/>
  <c r="E2003" i="5" s="1"/>
  <c r="B2027" i="5"/>
  <c r="C2027" i="5" s="1"/>
  <c r="D2027" i="5"/>
  <c r="E2027" i="5" s="1"/>
  <c r="B2051" i="5"/>
  <c r="C2051" i="5" s="1"/>
  <c r="D2051" i="5"/>
  <c r="E2051" i="5" s="1"/>
  <c r="B2075" i="5"/>
  <c r="C2075" i="5" s="1"/>
  <c r="D2075" i="5"/>
  <c r="E2075" i="5" s="1"/>
  <c r="B2099" i="5"/>
  <c r="C2099" i="5" s="1"/>
  <c r="D2099" i="5"/>
  <c r="E2099" i="5" s="1"/>
  <c r="B2123" i="5"/>
  <c r="C2123" i="5" s="1"/>
  <c r="D2123" i="5"/>
  <c r="E2123" i="5" s="1"/>
  <c r="B2147" i="5"/>
  <c r="C2147" i="5" s="1"/>
  <c r="D2147" i="5"/>
  <c r="E2147" i="5" s="1"/>
  <c r="B2171" i="5"/>
  <c r="C2171" i="5" s="1"/>
  <c r="D2171" i="5"/>
  <c r="E2171" i="5" s="1"/>
  <c r="B2195" i="5"/>
  <c r="C2195" i="5" s="1"/>
  <c r="D2195" i="5"/>
  <c r="E2195" i="5" s="1"/>
  <c r="B2219" i="5"/>
  <c r="C2219" i="5" s="1"/>
  <c r="D2219" i="5"/>
  <c r="E2219" i="5" s="1"/>
  <c r="B2243" i="5"/>
  <c r="C2243" i="5" s="1"/>
  <c r="D2243" i="5"/>
  <c r="E2243" i="5" s="1"/>
  <c r="B2267" i="5"/>
  <c r="C2267" i="5" s="1"/>
  <c r="D2267" i="5"/>
  <c r="E2267" i="5" s="1"/>
  <c r="B2291" i="5"/>
  <c r="C2291" i="5" s="1"/>
  <c r="D2291" i="5"/>
  <c r="E2291" i="5" s="1"/>
  <c r="B2315" i="5"/>
  <c r="C2315" i="5" s="1"/>
  <c r="D2315" i="5"/>
  <c r="E2315" i="5" s="1"/>
  <c r="B2339" i="5"/>
  <c r="C2339" i="5" s="1"/>
  <c r="D2339" i="5"/>
  <c r="E2339" i="5" s="1"/>
  <c r="B2363" i="5"/>
  <c r="C2363" i="5" s="1"/>
  <c r="D2363" i="5"/>
  <c r="E2363" i="5" s="1"/>
  <c r="B2387" i="5"/>
  <c r="C2387" i="5" s="1"/>
  <c r="D2387" i="5"/>
  <c r="E2387" i="5" s="1"/>
  <c r="B2411" i="5"/>
  <c r="C2411" i="5" s="1"/>
  <c r="D2411" i="5"/>
  <c r="E2411" i="5" s="1"/>
  <c r="B2435" i="5"/>
  <c r="C2435" i="5" s="1"/>
  <c r="D2435" i="5"/>
  <c r="E2435" i="5" s="1"/>
  <c r="B2459" i="5"/>
  <c r="C2459" i="5" s="1"/>
  <c r="D2459" i="5"/>
  <c r="E2459" i="5" s="1"/>
  <c r="B2483" i="5"/>
  <c r="C2483" i="5" s="1"/>
  <c r="D2483" i="5"/>
  <c r="E2483" i="5" s="1"/>
  <c r="B2507" i="5"/>
  <c r="C2507" i="5" s="1"/>
  <c r="D2507" i="5"/>
  <c r="E2507" i="5" s="1"/>
  <c r="B2531" i="5"/>
  <c r="C2531" i="5" s="1"/>
  <c r="D2531" i="5"/>
  <c r="E2531" i="5" s="1"/>
  <c r="B2555" i="5"/>
  <c r="C2555" i="5" s="1"/>
  <c r="D2555" i="5"/>
  <c r="E2555" i="5" s="1"/>
  <c r="B2579" i="5"/>
  <c r="C2579" i="5" s="1"/>
  <c r="D2579" i="5"/>
  <c r="E2579" i="5" s="1"/>
  <c r="B2603" i="5"/>
  <c r="C2603" i="5" s="1"/>
  <c r="D2603" i="5"/>
  <c r="E2603" i="5" s="1"/>
  <c r="B2627" i="5"/>
  <c r="C2627" i="5" s="1"/>
  <c r="D2627" i="5"/>
  <c r="E2627" i="5" s="1"/>
  <c r="B2651" i="5"/>
  <c r="C2651" i="5" s="1"/>
  <c r="D2651" i="5"/>
  <c r="E2651" i="5" s="1"/>
  <c r="B2675" i="5"/>
  <c r="C2675" i="5" s="1"/>
  <c r="D2675" i="5"/>
  <c r="E2675" i="5" s="1"/>
  <c r="B2699" i="5"/>
  <c r="C2699" i="5" s="1"/>
  <c r="D2699" i="5"/>
  <c r="E2699" i="5" s="1"/>
  <c r="D2723" i="5"/>
  <c r="E2723" i="5" s="1"/>
  <c r="B2723" i="5"/>
  <c r="C2723" i="5" s="1"/>
  <c r="B2747" i="5"/>
  <c r="C2747" i="5" s="1"/>
  <c r="D2747" i="5"/>
  <c r="E2747" i="5" s="1"/>
  <c r="B2771" i="5"/>
  <c r="C2771" i="5" s="1"/>
  <c r="D2771" i="5"/>
  <c r="E2771" i="5" s="1"/>
  <c r="B2795" i="5"/>
  <c r="C2795" i="5" s="1"/>
  <c r="D2795" i="5"/>
  <c r="E2795" i="5" s="1"/>
  <c r="B2819" i="5"/>
  <c r="C2819" i="5" s="1"/>
  <c r="D2819" i="5"/>
  <c r="E2819" i="5" s="1"/>
  <c r="B2843" i="5"/>
  <c r="C2843" i="5" s="1"/>
  <c r="D2843" i="5"/>
  <c r="E2843" i="5" s="1"/>
  <c r="B2867" i="5"/>
  <c r="C2867" i="5" s="1"/>
  <c r="D2867" i="5"/>
  <c r="E2867" i="5" s="1"/>
  <c r="B2891" i="5"/>
  <c r="C2891" i="5" s="1"/>
  <c r="D2891" i="5"/>
  <c r="E2891" i="5" s="1"/>
  <c r="B2915" i="5"/>
  <c r="C2915" i="5" s="1"/>
  <c r="D2915" i="5"/>
  <c r="E2915" i="5" s="1"/>
  <c r="B2939" i="5"/>
  <c r="C2939" i="5" s="1"/>
  <c r="D2939" i="5"/>
  <c r="E2939" i="5" s="1"/>
  <c r="D2963" i="5"/>
  <c r="E2963" i="5" s="1"/>
  <c r="B2963" i="5"/>
  <c r="C2963" i="5" s="1"/>
  <c r="B2987" i="5"/>
  <c r="C2987" i="5" s="1"/>
  <c r="D2987" i="5"/>
  <c r="E2987" i="5" s="1"/>
  <c r="B3011" i="5"/>
  <c r="C3011" i="5" s="1"/>
  <c r="D3011" i="5"/>
  <c r="E3011" i="5" s="1"/>
  <c r="B3035" i="5"/>
  <c r="C3035" i="5" s="1"/>
  <c r="D3035" i="5"/>
  <c r="E3035" i="5" s="1"/>
  <c r="B3059" i="5"/>
  <c r="C3059" i="5" s="1"/>
  <c r="D3059" i="5"/>
  <c r="E3059" i="5" s="1"/>
  <c r="B3083" i="5"/>
  <c r="C3083" i="5" s="1"/>
  <c r="D3083" i="5"/>
  <c r="E3083" i="5" s="1"/>
  <c r="D3107" i="5"/>
  <c r="E3107" i="5" s="1"/>
  <c r="B3107" i="5"/>
  <c r="C3107" i="5" s="1"/>
  <c r="B3131" i="5"/>
  <c r="C3131" i="5" s="1"/>
  <c r="D3131" i="5"/>
  <c r="E3131" i="5" s="1"/>
  <c r="B3155" i="5"/>
  <c r="C3155" i="5" s="1"/>
  <c r="D3155" i="5"/>
  <c r="E3155" i="5" s="1"/>
  <c r="B3179" i="5"/>
  <c r="C3179" i="5" s="1"/>
  <c r="D3179" i="5"/>
  <c r="E3179" i="5" s="1"/>
  <c r="B3203" i="5"/>
  <c r="C3203" i="5" s="1"/>
  <c r="D3203" i="5"/>
  <c r="E3203" i="5" s="1"/>
  <c r="B3227" i="5"/>
  <c r="C3227" i="5" s="1"/>
  <c r="D3227" i="5"/>
  <c r="E3227" i="5" s="1"/>
  <c r="B3251" i="5"/>
  <c r="C3251" i="5" s="1"/>
  <c r="D3251" i="5"/>
  <c r="E3251" i="5" s="1"/>
  <c r="B3275" i="5"/>
  <c r="C3275" i="5" s="1"/>
  <c r="D3275" i="5"/>
  <c r="E3275" i="5" s="1"/>
  <c r="D3299" i="5"/>
  <c r="E3299" i="5" s="1"/>
  <c r="B3299" i="5"/>
  <c r="C3299" i="5" s="1"/>
  <c r="B3323" i="5"/>
  <c r="C3323" i="5" s="1"/>
  <c r="D3323" i="5"/>
  <c r="E3323" i="5" s="1"/>
  <c r="B3347" i="5"/>
  <c r="C3347" i="5" s="1"/>
  <c r="D3347" i="5"/>
  <c r="E3347" i="5" s="1"/>
  <c r="B3371" i="5"/>
  <c r="C3371" i="5" s="1"/>
  <c r="D3371" i="5"/>
  <c r="E3371" i="5" s="1"/>
  <c r="B3395" i="5"/>
  <c r="C3395" i="5" s="1"/>
  <c r="D3395" i="5"/>
  <c r="E3395" i="5" s="1"/>
  <c r="B3419" i="5"/>
  <c r="C3419" i="5" s="1"/>
  <c r="D3419" i="5"/>
  <c r="E3419" i="5" s="1"/>
  <c r="B3443" i="5"/>
  <c r="C3443" i="5" s="1"/>
  <c r="D3443" i="5"/>
  <c r="E3443" i="5" s="1"/>
  <c r="B3467" i="5"/>
  <c r="C3467" i="5" s="1"/>
  <c r="D3467" i="5"/>
  <c r="E3467" i="5" s="1"/>
  <c r="B3491" i="5"/>
  <c r="C3491" i="5" s="1"/>
  <c r="D3491" i="5"/>
  <c r="E3491" i="5" s="1"/>
  <c r="B3515" i="5"/>
  <c r="C3515" i="5" s="1"/>
  <c r="D3515" i="5"/>
  <c r="E3515" i="5" s="1"/>
  <c r="B3539" i="5"/>
  <c r="C3539" i="5" s="1"/>
  <c r="D3539" i="5"/>
  <c r="E3539" i="5" s="1"/>
  <c r="B3563" i="5"/>
  <c r="C3563" i="5" s="1"/>
  <c r="D3563" i="5"/>
  <c r="E3563" i="5" s="1"/>
  <c r="B3587" i="5"/>
  <c r="C3587" i="5" s="1"/>
  <c r="D3587" i="5"/>
  <c r="E3587" i="5" s="1"/>
  <c r="B3611" i="5"/>
  <c r="C3611" i="5" s="1"/>
  <c r="D3611" i="5"/>
  <c r="E3611" i="5" s="1"/>
  <c r="B3635" i="5"/>
  <c r="C3635" i="5" s="1"/>
  <c r="D3635" i="5"/>
  <c r="E3635" i="5" s="1"/>
  <c r="B122" i="6" l="1"/>
  <c r="C79" i="6"/>
  <c r="E26" i="6"/>
  <c r="B72" i="6"/>
  <c r="C26" i="6"/>
  <c r="C55" i="6"/>
  <c r="B78" i="6"/>
  <c r="B25" i="6"/>
  <c r="E55" i="6"/>
  <c r="E81" i="6"/>
  <c r="C81" i="6"/>
  <c r="D91" i="6"/>
  <c r="B100" i="6"/>
  <c r="C72" i="6"/>
  <c r="D100" i="6"/>
  <c r="C102" i="6"/>
  <c r="B80" i="6"/>
  <c r="B27" i="6"/>
  <c r="D80" i="6"/>
  <c r="B71" i="6"/>
  <c r="B101" i="6"/>
  <c r="B125" i="6"/>
  <c r="E102" i="6"/>
  <c r="C103" i="6"/>
  <c r="D72" i="6"/>
  <c r="C118" i="6"/>
  <c r="E45" i="6"/>
  <c r="C115" i="6"/>
  <c r="B64" i="6"/>
  <c r="D63" i="6"/>
  <c r="D38" i="6"/>
  <c r="B13" i="6"/>
  <c r="D84" i="6"/>
  <c r="B34" i="6"/>
  <c r="E101" i="6"/>
  <c r="B98" i="6"/>
  <c r="E57" i="6"/>
  <c r="E105" i="6"/>
  <c r="E32" i="6"/>
  <c r="E125" i="6"/>
  <c r="D71" i="6"/>
  <c r="B51" i="6"/>
  <c r="C50" i="6"/>
  <c r="B59" i="6"/>
  <c r="E47" i="6"/>
  <c r="C105" i="6"/>
  <c r="C32" i="6"/>
  <c r="B102" i="6"/>
  <c r="C125" i="6"/>
  <c r="E72" i="6"/>
  <c r="D51" i="6"/>
  <c r="B49" i="6"/>
  <c r="C73" i="6"/>
  <c r="E60" i="6"/>
  <c r="C47" i="6"/>
  <c r="E118" i="6"/>
  <c r="C45" i="6"/>
  <c r="D114" i="6"/>
  <c r="C65" i="6"/>
  <c r="E64" i="6"/>
  <c r="E39" i="6"/>
  <c r="E14" i="6"/>
  <c r="B84" i="6"/>
  <c r="D34" i="6"/>
  <c r="C60" i="6"/>
  <c r="D46" i="6"/>
  <c r="B117" i="6"/>
  <c r="D20" i="6"/>
  <c r="B115" i="6"/>
  <c r="C91" i="6"/>
  <c r="B40" i="6"/>
  <c r="D39" i="6"/>
  <c r="D14" i="6"/>
  <c r="E85" i="6"/>
  <c r="E35" i="6"/>
  <c r="E28" i="6"/>
  <c r="D122" i="6"/>
  <c r="D25" i="6"/>
  <c r="E73" i="6"/>
  <c r="D59" i="6"/>
  <c r="B46" i="6"/>
  <c r="D117" i="6"/>
  <c r="C21" i="6"/>
  <c r="D115" i="6"/>
  <c r="D90" i="6"/>
  <c r="E41" i="6"/>
  <c r="E40" i="6"/>
  <c r="B14" i="6"/>
  <c r="C85" i="6"/>
  <c r="C35" i="6"/>
  <c r="B48" i="6"/>
  <c r="E36" i="6"/>
  <c r="B105" i="6"/>
  <c r="C23" i="6"/>
  <c r="E94" i="6"/>
  <c r="E21" i="6"/>
  <c r="E116" i="6"/>
  <c r="E91" i="6"/>
  <c r="B113" i="6"/>
  <c r="C41" i="6"/>
  <c r="B39" i="6"/>
  <c r="E15" i="6"/>
  <c r="C61" i="6"/>
  <c r="B10" i="6"/>
  <c r="D48" i="6"/>
  <c r="C36" i="6"/>
  <c r="E106" i="6"/>
  <c r="D22" i="6"/>
  <c r="D93" i="6"/>
  <c r="B20" i="6"/>
  <c r="C116" i="6"/>
  <c r="B90" i="6"/>
  <c r="E114" i="6"/>
  <c r="D40" i="6"/>
  <c r="C40" i="6"/>
  <c r="C15" i="6"/>
  <c r="E61" i="6"/>
  <c r="D10" i="6"/>
  <c r="D56" i="6"/>
  <c r="E49" i="6"/>
  <c r="B35" i="6"/>
  <c r="C106" i="6"/>
  <c r="B22" i="6"/>
  <c r="C94" i="6"/>
  <c r="B91" i="6"/>
  <c r="D66" i="6"/>
  <c r="C114" i="6"/>
  <c r="B16" i="6"/>
  <c r="E16" i="6"/>
  <c r="D109" i="6"/>
  <c r="D60" i="6"/>
  <c r="E11" i="6"/>
  <c r="B56" i="6"/>
  <c r="C49" i="6"/>
  <c r="D35" i="6"/>
  <c r="D105" i="6"/>
  <c r="E23" i="6"/>
  <c r="B93" i="6"/>
  <c r="C92" i="6"/>
  <c r="B66" i="6"/>
  <c r="D113" i="6"/>
  <c r="E17" i="6"/>
  <c r="C16" i="6"/>
  <c r="E110" i="6"/>
  <c r="B60" i="6"/>
  <c r="C11" i="6"/>
  <c r="D54" i="6"/>
  <c r="D89" i="6"/>
  <c r="C17" i="6"/>
  <c r="B15" i="6"/>
  <c r="C110" i="6"/>
  <c r="D36" i="6"/>
  <c r="E77" i="6"/>
  <c r="D98" i="6"/>
  <c r="C25" i="6"/>
  <c r="D11" i="6"/>
  <c r="B81" i="6"/>
  <c r="B69" i="6"/>
  <c r="E92" i="6"/>
  <c r="C67" i="6"/>
  <c r="C90" i="6"/>
  <c r="D16" i="6"/>
  <c r="D15" i="6"/>
  <c r="B109" i="6"/>
  <c r="B36" i="6"/>
  <c r="C57" i="6"/>
  <c r="E82" i="6"/>
  <c r="E70" i="6"/>
  <c r="B116" i="6"/>
  <c r="D67" i="6"/>
  <c r="C43" i="6"/>
  <c r="E90" i="6"/>
  <c r="B110" i="6"/>
  <c r="D85" i="6"/>
  <c r="E37" i="6"/>
  <c r="C82" i="6"/>
  <c r="C70" i="6"/>
  <c r="C117" i="6"/>
  <c r="E68" i="6"/>
  <c r="D42" i="6"/>
  <c r="B89" i="6"/>
  <c r="E111" i="6"/>
  <c r="E86" i="6"/>
  <c r="C37" i="6"/>
  <c r="B45" i="6"/>
  <c r="D116" i="6"/>
  <c r="C68" i="6"/>
  <c r="E43" i="6"/>
  <c r="E66" i="6"/>
  <c r="C111" i="6"/>
  <c r="C86" i="6"/>
  <c r="E13" i="6"/>
  <c r="B106" i="6"/>
  <c r="E117" i="6"/>
  <c r="B67" i="6"/>
  <c r="B42" i="6"/>
  <c r="D65" i="6"/>
  <c r="D110" i="6"/>
  <c r="B85" i="6"/>
  <c r="D12" i="6"/>
  <c r="D106" i="6"/>
  <c r="D125" i="6"/>
  <c r="D70" i="6"/>
  <c r="D101" i="6"/>
  <c r="E122" i="6"/>
  <c r="C12" i="6"/>
  <c r="C122" i="6"/>
  <c r="C46" i="6"/>
  <c r="C9" i="6"/>
  <c r="D79" i="6"/>
  <c r="D53" i="6"/>
  <c r="B28" i="6"/>
  <c r="B99" i="6"/>
  <c r="B50" i="6"/>
  <c r="B97" i="6"/>
  <c r="C48" i="6"/>
  <c r="E58" i="6"/>
  <c r="E46" i="6"/>
  <c r="E93" i="6"/>
  <c r="B43" i="6"/>
  <c r="B18" i="6"/>
  <c r="B65" i="6"/>
  <c r="B112" i="6"/>
  <c r="B111" i="6"/>
  <c r="B86" i="6"/>
  <c r="B61" i="6"/>
  <c r="B12" i="6"/>
  <c r="E107" i="6"/>
  <c r="B76" i="6"/>
  <c r="E104" i="6"/>
  <c r="D121" i="6"/>
  <c r="D52" i="6"/>
  <c r="D57" i="6"/>
  <c r="C8" i="6"/>
  <c r="B79" i="6"/>
  <c r="E54" i="6"/>
  <c r="C29" i="6"/>
  <c r="D99" i="6"/>
  <c r="D50" i="6"/>
  <c r="D97" i="6"/>
  <c r="B47" i="6"/>
  <c r="B57" i="6"/>
  <c r="D45" i="6"/>
  <c r="C93" i="6"/>
  <c r="D43" i="6"/>
  <c r="C19" i="6"/>
  <c r="C66" i="6"/>
  <c r="D112" i="6"/>
  <c r="D111" i="6"/>
  <c r="E87" i="6"/>
  <c r="D61" i="6"/>
  <c r="C13" i="6"/>
  <c r="C107" i="6"/>
  <c r="D76" i="6"/>
  <c r="B11" i="6"/>
  <c r="D123" i="6"/>
  <c r="E75" i="6"/>
  <c r="E33" i="6"/>
  <c r="C58" i="6"/>
  <c r="E80" i="6"/>
  <c r="B53" i="6"/>
  <c r="E120" i="6"/>
  <c r="E29" i="6"/>
  <c r="E100" i="6"/>
  <c r="E51" i="6"/>
  <c r="E98" i="6"/>
  <c r="B120" i="6"/>
  <c r="D47" i="6"/>
  <c r="B107" i="6"/>
  <c r="C34" i="6"/>
  <c r="D21" i="6"/>
  <c r="B92" i="6"/>
  <c r="E44" i="6"/>
  <c r="D18" i="6"/>
  <c r="E42" i="6"/>
  <c r="E113" i="6"/>
  <c r="E112" i="6"/>
  <c r="C87" i="6"/>
  <c r="E62" i="6"/>
  <c r="C83" i="6"/>
  <c r="D78" i="6"/>
  <c r="E99" i="6"/>
  <c r="E25" i="6"/>
  <c r="B54" i="6"/>
  <c r="E53" i="6"/>
  <c r="C53" i="6"/>
  <c r="D24" i="6"/>
  <c r="E31" i="6"/>
  <c r="D103" i="6"/>
  <c r="C54" i="6"/>
  <c r="C51" i="6"/>
  <c r="C98" i="6"/>
  <c r="D120" i="6"/>
  <c r="E48" i="6"/>
  <c r="E108" i="6"/>
  <c r="E34" i="6"/>
  <c r="B21" i="6"/>
  <c r="D92" i="6"/>
  <c r="C44" i="6"/>
  <c r="E19" i="6"/>
  <c r="C42" i="6"/>
  <c r="C113" i="6"/>
  <c r="C112" i="6"/>
  <c r="D86" i="6"/>
  <c r="C62" i="6"/>
  <c r="E83" i="6"/>
  <c r="E79" i="6"/>
  <c r="C101" i="6"/>
  <c r="E71" i="6"/>
  <c r="D81" i="6"/>
  <c r="B103" i="6"/>
  <c r="E124" i="6"/>
  <c r="D77" i="6"/>
  <c r="B77" i="6"/>
  <c r="C80" i="6"/>
  <c r="D28" i="6"/>
  <c r="B7" i="6"/>
  <c r="D55" i="6"/>
  <c r="C96" i="6"/>
  <c r="B29" i="6"/>
  <c r="C120" i="6"/>
  <c r="B75" i="6"/>
  <c r="D26" i="6"/>
  <c r="E74" i="6"/>
  <c r="E121" i="6"/>
  <c r="C108" i="6"/>
  <c r="B33" i="6"/>
  <c r="E22" i="6"/>
  <c r="D68" i="6"/>
  <c r="D19" i="6"/>
  <c r="B41" i="6"/>
  <c r="D88" i="6"/>
  <c r="D87" i="6"/>
  <c r="B62" i="6"/>
  <c r="D37" i="6"/>
  <c r="B82" i="6"/>
  <c r="E123" i="6"/>
  <c r="C71" i="6"/>
  <c r="B30" i="6"/>
  <c r="C78" i="6"/>
  <c r="C75" i="6"/>
  <c r="B32" i="6"/>
  <c r="D119" i="6"/>
  <c r="E9" i="6"/>
  <c r="B55" i="6"/>
  <c r="E96" i="6"/>
  <c r="E30" i="6"/>
  <c r="B119" i="6"/>
  <c r="D75" i="6"/>
  <c r="C27" i="6"/>
  <c r="C74" i="6"/>
  <c r="C121" i="6"/>
  <c r="D107" i="6"/>
  <c r="D33" i="6"/>
  <c r="C22" i="6"/>
  <c r="B68" i="6"/>
  <c r="E20" i="6"/>
  <c r="D41" i="6"/>
  <c r="B88" i="6"/>
  <c r="B87" i="6"/>
  <c r="E63" i="6"/>
  <c r="B37" i="6"/>
  <c r="D82" i="6"/>
  <c r="C123" i="6"/>
  <c r="E78" i="6"/>
  <c r="B24" i="6"/>
  <c r="E12" i="6"/>
  <c r="B52" i="6"/>
  <c r="D74" i="6"/>
  <c r="C100" i="6"/>
  <c r="E56" i="6"/>
  <c r="D95" i="6"/>
  <c r="D29" i="6"/>
  <c r="D23" i="6"/>
  <c r="E76" i="6"/>
  <c r="B26" i="6"/>
  <c r="B94" i="6"/>
  <c r="D73" i="6"/>
  <c r="D96" i="6"/>
  <c r="E84" i="6"/>
  <c r="D9" i="6"/>
  <c r="E119" i="6"/>
  <c r="E69" i="6"/>
  <c r="B19" i="6"/>
  <c r="B17" i="6"/>
  <c r="C89" i="6"/>
  <c r="E88" i="6"/>
  <c r="C63" i="6"/>
  <c r="E38" i="6"/>
  <c r="D108" i="6"/>
  <c r="C59" i="6"/>
  <c r="C28" i="6"/>
  <c r="D27" i="6"/>
  <c r="C99" i="6"/>
  <c r="B70" i="6"/>
  <c r="B74" i="6"/>
  <c r="C33" i="6"/>
  <c r="C124" i="6"/>
  <c r="D30" i="6"/>
  <c r="E8" i="6"/>
  <c r="B8" i="6"/>
  <c r="D8" i="6"/>
  <c r="D7" i="6"/>
  <c r="C56" i="6"/>
  <c r="B95" i="6"/>
  <c r="C30" i="6"/>
  <c r="C24" i="6"/>
  <c r="C76" i="6"/>
  <c r="E27" i="6"/>
  <c r="D94" i="6"/>
  <c r="B73" i="6"/>
  <c r="E97" i="6"/>
  <c r="B83" i="6"/>
  <c r="E10" i="6"/>
  <c r="C119" i="6"/>
  <c r="C69" i="6"/>
  <c r="C20" i="6"/>
  <c r="E18" i="6"/>
  <c r="E89" i="6"/>
  <c r="C88" i="6"/>
  <c r="D62" i="6"/>
  <c r="C38" i="6"/>
  <c r="E109" i="6"/>
  <c r="B58" i="6"/>
  <c r="E67" i="6"/>
  <c r="B121" i="6"/>
  <c r="C104" i="6"/>
  <c r="B123" i="6"/>
  <c r="D104" i="6"/>
  <c r="D31" i="6"/>
  <c r="D102" i="6"/>
  <c r="B23" i="6"/>
  <c r="D124" i="6"/>
  <c r="C52" i="6"/>
  <c r="E95" i="6"/>
  <c r="E50" i="6"/>
  <c r="C97" i="6"/>
  <c r="C84" i="6"/>
  <c r="C10" i="6"/>
  <c r="D118" i="6"/>
  <c r="D44" i="6"/>
  <c r="B114" i="6"/>
  <c r="C18" i="6"/>
  <c r="D64" i="6"/>
  <c r="C64" i="6"/>
  <c r="C39" i="6"/>
  <c r="C14" i="6"/>
  <c r="C109" i="6"/>
  <c r="D58" i="6"/>
  <c r="C77" i="6"/>
  <c r="D69" i="6"/>
  <c r="D32" i="6"/>
  <c r="C31" i="6"/>
  <c r="B104" i="6"/>
  <c r="B31" i="6"/>
  <c r="E103" i="6"/>
  <c r="E24" i="6"/>
  <c r="B124" i="6"/>
  <c r="E52" i="6"/>
  <c r="C95" i="6"/>
  <c r="D49" i="6"/>
  <c r="B96" i="6"/>
  <c r="D83" i="6"/>
  <c r="B9" i="6"/>
  <c r="B118" i="6"/>
  <c r="B44" i="6"/>
  <c r="E115" i="6"/>
  <c r="D17" i="6"/>
  <c r="E65" i="6"/>
  <c r="B63" i="6"/>
  <c r="B38" i="6"/>
  <c r="D13" i="6"/>
  <c r="B108" i="6"/>
  <c r="E59" i="6"/>
</calcChain>
</file>

<file path=xl/sharedStrings.xml><?xml version="1.0" encoding="utf-8"?>
<sst xmlns="http://schemas.openxmlformats.org/spreadsheetml/2006/main" count="168" uniqueCount="163">
  <si>
    <t>Product</t>
  </si>
  <si>
    <t>A</t>
  </si>
  <si>
    <t>B</t>
  </si>
  <si>
    <t>C</t>
  </si>
  <si>
    <t>Return</t>
  </si>
  <si>
    <t>Warranty</t>
  </si>
  <si>
    <t>Reference Sheet</t>
  </si>
  <si>
    <t>D</t>
  </si>
  <si>
    <t>E</t>
  </si>
  <si>
    <t>Avg. Return (%)</t>
  </si>
  <si>
    <t>Avg. Warranty (%)</t>
  </si>
  <si>
    <t>Avg. Price ($)</t>
  </si>
  <si>
    <t>Date</t>
  </si>
  <si>
    <t>Sales Data</t>
  </si>
  <si>
    <t>Type</t>
  </si>
  <si>
    <t>Demanding</t>
  </si>
  <si>
    <t>Clearance</t>
  </si>
  <si>
    <t>Price Occurrence</t>
  </si>
  <si>
    <t>Duplicates?</t>
  </si>
  <si>
    <t>Total Sales</t>
  </si>
  <si>
    <t>Avg.Sales (Daily)</t>
  </si>
  <si>
    <t>Return &amp; Warranty Claims</t>
  </si>
  <si>
    <t>Clearance Sales (%)</t>
  </si>
  <si>
    <t>Seasonal Sales (%)</t>
  </si>
  <si>
    <t>Clearance Discount (%)</t>
  </si>
  <si>
    <t>Units Sold</t>
  </si>
  <si>
    <t>Last Name</t>
  </si>
  <si>
    <t>First Name</t>
  </si>
  <si>
    <t>ID</t>
  </si>
  <si>
    <t>c. percentage returns by month</t>
  </si>
  <si>
    <t>input product A monthly sales for February 2012</t>
  </si>
  <si>
    <t>what was product A average price in February 2012?</t>
  </si>
  <si>
    <t>what was product B average price in December 2019?</t>
  </si>
  <si>
    <t xml:space="preserve">input product A percentage returns for sales in February 2012 </t>
  </si>
  <si>
    <t xml:space="preserve">input product B percentage returns for sales in December 2019 </t>
  </si>
  <si>
    <t xml:space="preserve">input product A percentage warranty exercises for sales in February 2012 </t>
  </si>
  <si>
    <t xml:space="preserve">input product B percentage warranty exercises for sales  in December 2019 </t>
  </si>
  <si>
    <t>January 2011</t>
  </si>
  <si>
    <t>February 2011</t>
  </si>
  <si>
    <t>March 2011</t>
  </si>
  <si>
    <t>April 2011</t>
  </si>
  <si>
    <t>May 2011</t>
  </si>
  <si>
    <t>June 2011</t>
  </si>
  <si>
    <t>July 2011</t>
  </si>
  <si>
    <t>August 2011</t>
  </si>
  <si>
    <t>September 2011</t>
  </si>
  <si>
    <t>October 2011</t>
  </si>
  <si>
    <t>November 2011</t>
  </si>
  <si>
    <t>December 2011</t>
  </si>
  <si>
    <t>January 2012</t>
  </si>
  <si>
    <t>February 2012</t>
  </si>
  <si>
    <t>March 2012</t>
  </si>
  <si>
    <t>April 2012</t>
  </si>
  <si>
    <t>May 2012</t>
  </si>
  <si>
    <t>June 2012</t>
  </si>
  <si>
    <t>July 2012</t>
  </si>
  <si>
    <t>August 2012</t>
  </si>
  <si>
    <t>September 2012</t>
  </si>
  <si>
    <t>October 2012</t>
  </si>
  <si>
    <t>November 2012</t>
  </si>
  <si>
    <t>December 2012</t>
  </si>
  <si>
    <t>January 2013</t>
  </si>
  <si>
    <t>February 2013</t>
  </si>
  <si>
    <t>March 2013</t>
  </si>
  <si>
    <t>April 2013</t>
  </si>
  <si>
    <t>May 2013</t>
  </si>
  <si>
    <t>June 2013</t>
  </si>
  <si>
    <t>July 2013</t>
  </si>
  <si>
    <t>August 2013</t>
  </si>
  <si>
    <t>September 2013</t>
  </si>
  <si>
    <t>October 2013</t>
  </si>
  <si>
    <t>November 2013</t>
  </si>
  <si>
    <t>December 2013</t>
  </si>
  <si>
    <t>January 2014</t>
  </si>
  <si>
    <t>February 2014</t>
  </si>
  <si>
    <t>March 2014</t>
  </si>
  <si>
    <t>April 2014</t>
  </si>
  <si>
    <t>May 2014</t>
  </si>
  <si>
    <t>June 2014</t>
  </si>
  <si>
    <t>July 2014</t>
  </si>
  <si>
    <t>August 2014</t>
  </si>
  <si>
    <t>September 2014</t>
  </si>
  <si>
    <t>October 2014</t>
  </si>
  <si>
    <t>November 2014</t>
  </si>
  <si>
    <t>December 2014</t>
  </si>
  <si>
    <t>January 2015</t>
  </si>
  <si>
    <t>February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</si>
  <si>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</si>
  <si>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</si>
  <si>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</si>
  <si>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</si>
  <si>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</si>
  <si>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</si>
  <si>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</si>
  <si>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</si>
  <si>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</si>
  <si>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</si>
  <si>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January 2016</t>
  </si>
  <si>
    <t>February 2016</t>
  </si>
  <si>
    <t>March 2016</t>
  </si>
  <si>
    <t>April 2016</t>
  </si>
  <si>
    <t>May 2016</t>
  </si>
  <si>
    <t>June 2016</t>
  </si>
  <si>
    <t>July 2016</t>
  </si>
  <si>
    <t>August 2016</t>
  </si>
  <si>
    <t>September 2016</t>
  </si>
  <si>
    <t>October 2016</t>
  </si>
  <si>
    <t>November 2016</t>
  </si>
  <si>
    <t>December 2016</t>
  </si>
  <si>
    <t>January 2017</t>
  </si>
  <si>
    <t>February 2017</t>
  </si>
  <si>
    <t>March 2017</t>
  </si>
  <si>
    <t>April 2017</t>
  </si>
  <si>
    <t>May 2017</t>
  </si>
  <si>
    <t>June 2017</t>
  </si>
  <si>
    <t>July 2017</t>
  </si>
  <si>
    <t>August 2017</t>
  </si>
  <si>
    <t>September 2017</t>
  </si>
  <si>
    <t>October 2017</t>
  </si>
  <si>
    <t>November 2017</t>
  </si>
  <si>
    <t>December 2017</t>
  </si>
  <si>
    <t>January 2018</t>
  </si>
  <si>
    <t>February 2018</t>
  </si>
  <si>
    <t>March 2018</t>
  </si>
  <si>
    <t>April 2018</t>
  </si>
  <si>
    <t>May 2018</t>
  </si>
  <si>
    <t>June 2018</t>
  </si>
  <si>
    <t>July 2018</t>
  </si>
  <si>
    <t>August 2018</t>
  </si>
  <si>
    <t>September 2018</t>
  </si>
  <si>
    <t>October 2018</t>
  </si>
  <si>
    <t>November 2018</t>
  </si>
  <si>
    <t>December 2018</t>
  </si>
  <si>
    <t>January 2019</t>
  </si>
  <si>
    <t>February 2019</t>
  </si>
  <si>
    <t>March 2019</t>
  </si>
  <si>
    <t>April 2019</t>
  </si>
  <si>
    <t>May 2019</t>
  </si>
  <si>
    <t>June 2019</t>
  </si>
  <si>
    <t>July 2019</t>
  </si>
  <si>
    <t>August 2019</t>
  </si>
  <si>
    <t>September 2019</t>
  </si>
  <si>
    <t>October 2019</t>
  </si>
  <si>
    <t>November 2019</t>
  </si>
  <si>
    <t>December 2019</t>
  </si>
  <si>
    <t>January 2020</t>
  </si>
  <si>
    <t>February 2020</t>
  </si>
  <si>
    <t>March 2020</t>
  </si>
  <si>
    <t>April 2020</t>
  </si>
  <si>
    <t>May 2020</t>
  </si>
  <si>
    <t>June 2020</t>
  </si>
  <si>
    <t>July 2020</t>
  </si>
  <si>
    <t>August 2020</t>
  </si>
  <si>
    <t>September 2020</t>
  </si>
  <si>
    <t>October 2020</t>
  </si>
  <si>
    <t>November 2020</t>
  </si>
  <si>
    <t>December 2020</t>
  </si>
  <si>
    <t>which month is the discount month for product A? (Enter the Full Name of Month, i.e. September)</t>
  </si>
  <si>
    <t>which month is the discount month for product B? (Enter the Full Name of Month, i.e. September)</t>
  </si>
  <si>
    <t>b. calculate average monthly price (in USD)</t>
  </si>
  <si>
    <t>a. create a monthly aggregation of sales data (revenue - total dollar value)</t>
  </si>
  <si>
    <t xml:space="preserve">input product B monthly sales for December 2019 </t>
  </si>
  <si>
    <t>d. percentage warranty exercised by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</si>
</sst>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">
    <xf numFmtId="0" fontId="0" fillId="0" borderId="0" xfId="0"/>
    <xf numFmtId="0" fontId="4" fillId="2" borderId="0" xfId="0" applyFont="1" applyFill="1" applyBorder="1"/>
    <xf numFmtId="0" fontId="2" fillId="2" borderId="0" xfId="0" applyFont="1" applyFill="1" applyBorder="1" applyAlignment="1"/>
    <xf numFmtId="0" fontId="2" fillId="2" borderId="0" xfId="0" applyFont="1" applyFill="1" applyBorder="1" applyAlignment="1">
      <alignment horizontal="center"/>
    </xf>
    <xf numFmtId="0" fontId="0" fillId="3" borderId="0" xfId="0" applyFill="1" applyBorder="1"/>
    <xf numFmtId="44" fontId="0" fillId="3" borderId="0" xfId="1" applyFont="1" applyFill="1" applyBorder="1"/>
    <xf numFmtId="10" fontId="0" fillId="3" borderId="0" xfId="2" applyNumberFormat="1" applyFont="1" applyFill="1" applyBorder="1"/>
    <xf numFmtId="0" fontId="5" fillId="0" borderId="1" xfId="0" applyFont="1" applyBorder="1" applyAlignment="1"/>
    <xf numFmtId="0" fontId="0" fillId="0" borderId="0" xfId="0" applyFill="1"/>
    <xf numFmtId="14" fontId="0" fillId="0" borderId="0" xfId="0" applyNumberFormat="1" applyFill="1"/>
    <xf numFmtId="1" fontId="0" fillId="0" borderId="0" xfId="0" applyNumberFormat="1" applyFill="1"/>
    <xf numFmtId="44" fontId="0" fillId="0" borderId="0" xfId="1" applyFont="1" applyFill="1"/>
    <xf numFmtId="0" fontId="5" fillId="0" borderId="0" xfId="0" applyFont="1" applyFill="1" applyBorder="1" applyAlignment="1"/>
    <xf numFmtId="1" fontId="5" fillId="0" borderId="0" xfId="0" applyNumberFormat="1" applyFont="1" applyFill="1" applyBorder="1" applyAlignment="1"/>
    <xf numFmtId="1" fontId="4" fillId="0" borderId="0" xfId="0" applyNumberFormat="1" applyFont="1" applyFill="1" applyAlignment="1"/>
    <xf numFmtId="44" fontId="4" fillId="0" borderId="0" xfId="1" applyFont="1" applyFill="1" applyAlignment="1"/>
    <xf numFmtId="44" fontId="0" fillId="0" borderId="0" xfId="0" applyNumberFormat="1" applyFill="1"/>
    <xf numFmtId="0" fontId="2" fillId="0" borderId="0" xfId="0" applyFont="1" applyFill="1"/>
    <xf numFmtId="0" fontId="4" fillId="0" borderId="0" xfId="0" applyFont="1" applyFill="1"/>
    <xf numFmtId="0" fontId="7" fillId="0" borderId="0" xfId="0" applyFont="1" applyFill="1"/>
    <xf numFmtId="0" fontId="0" fillId="0" borderId="0" xfId="0" applyNumberFormat="1" applyFill="1"/>
    <xf numFmtId="0" fontId="5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0" fillId="4" borderId="0" xfId="0" applyFill="1"/>
    <xf numFmtId="0" fontId="9" fillId="0" borderId="0" xfId="0" applyFont="1"/>
    <xf numFmtId="10" fontId="0" fillId="4" borderId="0" xfId="0" applyNumberFormat="1" applyFill="1"/>
    <xf numFmtId="164" fontId="0" fillId="4" borderId="0" xfId="0" applyNumberFormat="1" applyFill="1"/>
    <xf numFmtId="0" fontId="5" fillId="0" borderId="1" xfId="0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5" fillId="0" borderId="1" xfId="0" applyFont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23</xdr:row>
          <xdr:rowOff>9525</xdr:rowOff>
        </xdr:from>
        <xdr:to>
          <xdr:col>4</xdr:col>
          <xdr:colOff>600075</xdr:colOff>
          <xdr:row>25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Data">
                <anchor moveWithCells="1" sizeWithCells="1">
                  <from>
                    <xdr:col>1</xdr:col>
                    <xdr:colOff>590550</xdr:colOff>
                    <xdr:row>23</xdr:row>
                    <xdr:rowOff>9525</xdr:rowOff>
                  </from>
                  <to>
                    <xdr:col>4</xdr:col>
                    <xdr:colOff>600075</xdr:colOff>
                    <xdr:row>25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25"/>
  <sheetViews>
    <sheetView zoomScale="160" zoomScaleNormal="160" workbookViewId="0"/>
  </sheetViews>
  <sheetFormatPr defaultRowHeight="15" x14ac:dyDescent="0.25"/>
  <cols>
    <col min="1" max="1" width="91.85546875" customWidth="1"/>
    <col min="2" max="2" width="22.7109375" customWidth="1"/>
  </cols>
  <sheetData>
    <row r="1" spans="1:2" x14ac:dyDescent="0.25">
      <c r="A1" s="24" t="s">
        <v>26</v>
      </c>
      <c r="B1" s="23"/>
    </row>
    <row r="2" spans="1:2" x14ac:dyDescent="0.25">
      <c r="A2" s="24" t="s">
        <v>27</v>
      </c>
      <c r="B2" s="23"/>
    </row>
    <row r="3" spans="1:2" x14ac:dyDescent="0.25">
      <c r="A3" s="24" t="s">
        <v>28</v>
      </c>
      <c r="B3" s="23"/>
    </row>
    <row r="6" spans="1:2" x14ac:dyDescent="0.25">
      <c r="A6" s="24" t="s">
        <v>160</v>
      </c>
    </row>
    <row r="7" spans="1:2" x14ac:dyDescent="0.25">
      <c r="A7" t="s">
        <v>30</v>
      </c>
      <c r="B7" s="26"/>
    </row>
    <row r="8" spans="1:2" x14ac:dyDescent="0.25">
      <c r="A8" t="s">
        <v>161</v>
      </c>
      <c r="B8" s="26"/>
    </row>
    <row r="11" spans="1:2" x14ac:dyDescent="0.25">
      <c r="A11" s="24" t="s">
        <v>159</v>
      </c>
    </row>
    <row r="12" spans="1:2" x14ac:dyDescent="0.25">
      <c r="A12" t="s">
        <v>31</v>
      </c>
      <c r="B12" s="26"/>
    </row>
    <row r="13" spans="1:2" x14ac:dyDescent="0.25">
      <c r="A13" t="s">
        <v>32</v>
      </c>
      <c r="B13" s="26"/>
    </row>
    <row r="14" spans="1:2" x14ac:dyDescent="0.25">
      <c r="A14" t="s">
        <v>157</v>
      </c>
      <c r="B14" s="23"/>
    </row>
    <row r="15" spans="1:2" x14ac:dyDescent="0.25">
      <c r="A15" t="s">
        <v>158</v>
      </c>
      <c r="B15" s="23"/>
    </row>
    <row r="18" spans="1:2" x14ac:dyDescent="0.25">
      <c r="A18" s="24" t="s">
        <v>29</v>
      </c>
    </row>
    <row r="19" spans="1:2" x14ac:dyDescent="0.25">
      <c r="A19" t="s">
        <v>33</v>
      </c>
      <c r="B19" s="25"/>
    </row>
    <row r="20" spans="1:2" x14ac:dyDescent="0.25">
      <c r="A20" t="s">
        <v>34</v>
      </c>
      <c r="B20" s="25"/>
    </row>
    <row r="23" spans="1:2" x14ac:dyDescent="0.25">
      <c r="A23" s="24" t="s">
        <v>162</v>
      </c>
    </row>
    <row r="24" spans="1:2" x14ac:dyDescent="0.25">
      <c r="A24" t="s">
        <v>35</v>
      </c>
      <c r="B24" s="25"/>
    </row>
    <row r="25" spans="1:2" x14ac:dyDescent="0.25">
      <c r="A25" t="s">
        <v>36</v>
      </c>
      <c r="B25" s="2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Y3658"/>
  <sheetViews>
    <sheetView workbookViewId="0">
      <selection activeCell="A6" sqref="A6:A3658"/>
    </sheetView>
  </sheetViews>
  <sheetFormatPr defaultRowHeight="15" x14ac:dyDescent="0.25"/>
  <cols>
    <col min="1" max="1" width="10.7109375" style="9" bestFit="1" customWidth="1"/>
    <col min="2" max="2" width="10.7109375" style="10" customWidth="1"/>
    <col min="3" max="3" width="12.5703125" style="11" bestFit="1" customWidth="1"/>
    <col min="4" max="4" width="10.7109375" style="10" bestFit="1" customWidth="1"/>
    <col min="5" max="5" width="12.5703125" style="11" bestFit="1" customWidth="1"/>
    <col min="6" max="6" width="10.7109375" style="10" bestFit="1" customWidth="1"/>
    <col min="7" max="7" width="12.5703125" style="11" bestFit="1" customWidth="1"/>
    <col min="8" max="8" width="10.7109375" style="10" bestFit="1" customWidth="1"/>
    <col min="9" max="9" width="12.5703125" style="11" bestFit="1" customWidth="1"/>
    <col min="10" max="10" width="10.7109375" style="10" bestFit="1" customWidth="1"/>
    <col min="11" max="11" width="12.5703125" style="11" bestFit="1" customWidth="1"/>
    <col min="12" max="13" width="9.140625" style="8"/>
    <col min="14" max="14" width="10.42578125" style="8" bestFit="1" customWidth="1"/>
    <col min="15" max="22" width="12.5703125" style="8" customWidth="1"/>
    <col min="23" max="24" width="12.7109375" style="8" customWidth="1"/>
    <col min="25" max="16384" width="9.140625" style="8"/>
  </cols>
  <sheetData>
    <row r="1" spans="1:25" ht="15" customHeight="1" x14ac:dyDescent="0.25"/>
    <row r="2" spans="1:25" ht="18.75" x14ac:dyDescent="0.3">
      <c r="A2" s="27" t="s">
        <v>13</v>
      </c>
      <c r="B2" s="27"/>
      <c r="C2" s="27"/>
      <c r="D2" s="27"/>
      <c r="E2" s="27"/>
      <c r="F2" s="22"/>
      <c r="G2" s="22"/>
      <c r="H2" s="21"/>
      <c r="I2" s="21"/>
      <c r="J2" s="21"/>
      <c r="K2" s="21"/>
    </row>
    <row r="3" spans="1:25" ht="6.95" customHeight="1" x14ac:dyDescent="0.3">
      <c r="A3" s="12"/>
      <c r="B3" s="13"/>
    </row>
    <row r="4" spans="1:25" x14ac:dyDescent="0.25">
      <c r="A4" s="28" t="s">
        <v>12</v>
      </c>
      <c r="B4" s="28" t="str">
        <f>Reference!$C$3</f>
        <v>A</v>
      </c>
      <c r="C4" s="28"/>
      <c r="D4" s="28" t="str">
        <f>Reference!$D$3</f>
        <v>B</v>
      </c>
      <c r="E4" s="28"/>
      <c r="F4" s="28"/>
      <c r="G4" s="28"/>
      <c r="H4" s="28"/>
      <c r="I4" s="28"/>
      <c r="J4" s="28"/>
      <c r="K4" s="28"/>
    </row>
    <row r="5" spans="1:25" x14ac:dyDescent="0.25">
      <c r="A5" s="28"/>
      <c r="B5" s="14" t="s">
        <v>25</v>
      </c>
      <c r="C5" s="15" t="s">
        <v>19</v>
      </c>
      <c r="D5" s="14" t="s">
        <v>25</v>
      </c>
      <c r="E5" s="15" t="s">
        <v>19</v>
      </c>
      <c r="F5" s="14"/>
      <c r="G5" s="15"/>
      <c r="H5" s="14"/>
      <c r="I5" s="15"/>
      <c r="J5" s="14"/>
      <c r="K5" s="15"/>
      <c r="O5" s="10"/>
      <c r="P5" s="14"/>
      <c r="Q5" s="15"/>
      <c r="R5" s="14"/>
      <c r="S5" s="15"/>
      <c r="T5" s="14"/>
      <c r="U5" s="15"/>
      <c r="V5" s="14"/>
      <c r="W5" s="15"/>
      <c r="X5" s="14"/>
      <c r="Y5" s="15"/>
    </row>
    <row r="6" spans="1:25" x14ac:dyDescent="0.25">
      <c r="A6" s="9">
        <v>40544</v>
      </c>
      <c r="B6" s="10">
        <f ca="1">ROUND(_xlfn.NORM.INV(RAND(),Reference!$C$8,0.1*Reference!$C$8)*(1+Reference!$C$11*(IF(MONTH($A6)=Reference!$C$4,1,0)+IF(MONTH($A6)=Reference!$C$5,1,0))+(IF(MONTH($A6)=Reference!$C$6,Reference!$C$13,0))),0)</f>
        <v>390</v>
      </c>
      <c r="C6" s="11">
        <f ca="1">B6*Reference!$C$7*(1-IF(MONTH($A6)=Reference!$C$6,1,0)*Reference!$C$12)</f>
        <v>362700</v>
      </c>
      <c r="D6" s="10">
        <f ca="1">ROUND(_xlfn.NORM.INV(RAND(),Reference!$D$8,0.1*Reference!$D$8)*(1+Reference!$D$11*(IF(MONTH($A6)=Reference!$D$4,1,0)+IF(MONTH($A6)=Reference!$D$5,1,0))+(IF(MONTH($A6)=Reference!$D$6,Reference!$D$13,0))),0)</f>
        <v>428</v>
      </c>
      <c r="E6" s="11">
        <f ca="1">D6*Reference!$D$7*(1-IF(MONTH($A6)=Reference!$D$6,1,0)*Reference!$D$12)</f>
        <v>321000</v>
      </c>
      <c r="L6" s="16"/>
      <c r="M6" s="20"/>
      <c r="N6" s="20"/>
      <c r="O6" s="19"/>
      <c r="P6" s="10"/>
      <c r="Q6" s="10"/>
      <c r="R6" s="10"/>
      <c r="S6" s="10"/>
      <c r="T6" s="10"/>
      <c r="U6" s="10"/>
      <c r="V6" s="10"/>
      <c r="W6" s="10"/>
      <c r="X6" s="10"/>
      <c r="Y6" s="10"/>
    </row>
    <row r="7" spans="1:25" x14ac:dyDescent="0.25">
      <c r="A7" s="9">
        <v>40545</v>
      </c>
      <c r="B7" s="10">
        <f ca="1">ROUND(_xlfn.NORM.INV(RAND(),Reference!$C$8,0.1*Reference!$C$8)*(1+Reference!$C$11*(IF(MONTH($A7)=Reference!$C$4,1,0)+IF(MONTH($A7)=Reference!$C$5,1,0))+(IF(MONTH($A7)=Reference!$C$6,Reference!$C$13,0))),0)</f>
        <v>337</v>
      </c>
      <c r="C7" s="11">
        <f ca="1">B7*Reference!$C$7*(1-IF(MONTH($A7)=Reference!$C$6,1,0)*Reference!$C$12)</f>
        <v>313410</v>
      </c>
      <c r="D7" s="10">
        <f ca="1">ROUND(_xlfn.NORM.INV(RAND(),Reference!$D$8,0.1*Reference!$D$8)*(1+Reference!$D$11*(IF(MONTH($A7)=Reference!$D$4,1,0)+IF(MONTH($A7)=Reference!$D$5,1,0))+(IF(MONTH($A7)=Reference!$D$6,Reference!$D$13,0))),0)</f>
        <v>406</v>
      </c>
      <c r="E7" s="11">
        <f ca="1">D7*Reference!$D$7*(1-IF(MONTH($A7)=Reference!$D$6,1,0)*Reference!$D$12)</f>
        <v>304500</v>
      </c>
      <c r="L7" s="16"/>
      <c r="M7" s="20"/>
      <c r="N7" s="20"/>
      <c r="O7" s="19"/>
      <c r="P7" s="10"/>
      <c r="Q7" s="10"/>
      <c r="R7" s="10"/>
      <c r="S7" s="10"/>
      <c r="T7" s="10"/>
      <c r="U7" s="10"/>
      <c r="V7" s="10"/>
      <c r="W7" s="10"/>
      <c r="X7" s="10"/>
      <c r="Y7" s="10"/>
    </row>
    <row r="8" spans="1:25" x14ac:dyDescent="0.25">
      <c r="A8" s="9">
        <v>40546</v>
      </c>
      <c r="B8" s="10">
        <f ca="1">ROUND(_xlfn.NORM.INV(RAND(),Reference!$C$8,0.1*Reference!$C$8)*(1+Reference!$C$11*(IF(MONTH($A8)=Reference!$C$4,1,0)+IF(MONTH($A8)=Reference!$C$5,1,0))+(IF(MONTH($A8)=Reference!$C$6,Reference!$C$13,0))),0)</f>
        <v>397</v>
      </c>
      <c r="C8" s="11">
        <f ca="1">B8*Reference!$C$7*(1-IF(MONTH($A8)=Reference!$C$6,1,0)*Reference!$C$12)</f>
        <v>369210</v>
      </c>
      <c r="D8" s="10">
        <f ca="1">ROUND(_xlfn.NORM.INV(RAND(),Reference!$D$8,0.1*Reference!$D$8)*(1+Reference!$D$11*(IF(MONTH($A8)=Reference!$D$4,1,0)+IF(MONTH($A8)=Reference!$D$5,1,0))+(IF(MONTH($A8)=Reference!$D$6,Reference!$D$13,0))),0)</f>
        <v>486</v>
      </c>
      <c r="E8" s="11">
        <f ca="1">D8*Reference!$D$7*(1-IF(MONTH($A8)=Reference!$D$6,1,0)*Reference!$D$12)</f>
        <v>364500</v>
      </c>
      <c r="L8" s="16"/>
      <c r="M8" s="20"/>
      <c r="N8" s="20"/>
      <c r="O8" s="19"/>
      <c r="P8" s="10"/>
      <c r="Q8" s="10"/>
      <c r="R8" s="10"/>
      <c r="S8" s="10"/>
      <c r="T8" s="10"/>
      <c r="U8" s="10"/>
      <c r="V8" s="10"/>
      <c r="W8" s="10"/>
      <c r="X8" s="10"/>
      <c r="Y8" s="10"/>
    </row>
    <row r="9" spans="1:25" x14ac:dyDescent="0.25">
      <c r="A9" s="9">
        <v>40547</v>
      </c>
      <c r="B9" s="10">
        <f ca="1">ROUND(_xlfn.NORM.INV(RAND(),Reference!$C$8,0.1*Reference!$C$8)*(1+Reference!$C$11*(IF(MONTH($A9)=Reference!$C$4,1,0)+IF(MONTH($A9)=Reference!$C$5,1,0))+(IF(MONTH($A9)=Reference!$C$6,Reference!$C$13,0))),0)</f>
        <v>348</v>
      </c>
      <c r="C9" s="11">
        <f ca="1">B9*Reference!$C$7*(1-IF(MONTH($A9)=Reference!$C$6,1,0)*Reference!$C$12)</f>
        <v>323640</v>
      </c>
      <c r="D9" s="10">
        <f ca="1">ROUND(_xlfn.NORM.INV(RAND(),Reference!$D$8,0.1*Reference!$D$8)*(1+Reference!$D$11*(IF(MONTH($A9)=Reference!$D$4,1,0)+IF(MONTH($A9)=Reference!$D$5,1,0))+(IF(MONTH($A9)=Reference!$D$6,Reference!$D$13,0))),0)</f>
        <v>395</v>
      </c>
      <c r="E9" s="11">
        <f ca="1">D9*Reference!$D$7*(1-IF(MONTH($A9)=Reference!$D$6,1,0)*Reference!$D$12)</f>
        <v>296250</v>
      </c>
      <c r="L9" s="16"/>
      <c r="M9" s="20"/>
      <c r="N9" s="20"/>
      <c r="O9" s="19"/>
      <c r="P9" s="10"/>
      <c r="Q9" s="10"/>
      <c r="R9" s="10"/>
      <c r="S9" s="10"/>
      <c r="T9" s="10"/>
      <c r="U9" s="10"/>
      <c r="V9" s="10"/>
      <c r="W9" s="10"/>
      <c r="X9" s="10"/>
      <c r="Y9" s="10"/>
    </row>
    <row r="10" spans="1:25" x14ac:dyDescent="0.25">
      <c r="A10" s="9">
        <v>40548</v>
      </c>
      <c r="B10" s="10">
        <f ca="1">ROUND(_xlfn.NORM.INV(RAND(),Reference!$C$8,0.1*Reference!$C$8)*(1+Reference!$C$11*(IF(MONTH($A10)=Reference!$C$4,1,0)+IF(MONTH($A10)=Reference!$C$5,1,0))+(IF(MONTH($A10)=Reference!$C$6,Reference!$C$13,0))),0)</f>
        <v>365</v>
      </c>
      <c r="C10" s="11">
        <f ca="1">B10*Reference!$C$7*(1-IF(MONTH($A10)=Reference!$C$6,1,0)*Reference!$C$12)</f>
        <v>339450</v>
      </c>
      <c r="D10" s="10">
        <f ca="1">ROUND(_xlfn.NORM.INV(RAND(),Reference!$D$8,0.1*Reference!$D$8)*(1+Reference!$D$11*(IF(MONTH($A10)=Reference!$D$4,1,0)+IF(MONTH($A10)=Reference!$D$5,1,0))+(IF(MONTH($A10)=Reference!$D$6,Reference!$D$13,0))),0)</f>
        <v>430</v>
      </c>
      <c r="E10" s="11">
        <f ca="1">D10*Reference!$D$7*(1-IF(MONTH($A10)=Reference!$D$6,1,0)*Reference!$D$12)</f>
        <v>322500</v>
      </c>
      <c r="L10" s="16"/>
      <c r="M10" s="20"/>
      <c r="N10" s="20"/>
      <c r="O10" s="19"/>
      <c r="P10" s="10"/>
      <c r="Q10" s="10"/>
      <c r="R10" s="10"/>
      <c r="S10" s="10"/>
      <c r="T10" s="10"/>
      <c r="U10" s="10"/>
      <c r="V10" s="10"/>
      <c r="W10" s="10"/>
      <c r="X10" s="10"/>
      <c r="Y10" s="10"/>
    </row>
    <row r="11" spans="1:25" x14ac:dyDescent="0.25">
      <c r="A11" s="9">
        <v>40549</v>
      </c>
      <c r="B11" s="10">
        <f ca="1">ROUND(_xlfn.NORM.INV(RAND(),Reference!$C$8,0.1*Reference!$C$8)*(1+Reference!$C$11*(IF(MONTH($A11)=Reference!$C$4,1,0)+IF(MONTH($A11)=Reference!$C$5,1,0))+(IF(MONTH($A11)=Reference!$C$6,Reference!$C$13,0))),0)</f>
        <v>348</v>
      </c>
      <c r="C11" s="11">
        <f ca="1">B11*Reference!$C$7*(1-IF(MONTH($A11)=Reference!$C$6,1,0)*Reference!$C$12)</f>
        <v>323640</v>
      </c>
      <c r="D11" s="10">
        <f ca="1">ROUND(_xlfn.NORM.INV(RAND(),Reference!$D$8,0.1*Reference!$D$8)*(1+Reference!$D$11*(IF(MONTH($A11)=Reference!$D$4,1,0)+IF(MONTH($A11)=Reference!$D$5,1,0))+(IF(MONTH($A11)=Reference!$D$6,Reference!$D$13,0))),0)</f>
        <v>431</v>
      </c>
      <c r="E11" s="11">
        <f ca="1">D11*Reference!$D$7*(1-IF(MONTH($A11)=Reference!$D$6,1,0)*Reference!$D$12)</f>
        <v>323250</v>
      </c>
      <c r="L11" s="16"/>
      <c r="M11" s="20"/>
      <c r="N11" s="20"/>
      <c r="O11" s="19"/>
      <c r="P11" s="10"/>
      <c r="Q11" s="10"/>
      <c r="R11" s="10"/>
      <c r="S11" s="10"/>
      <c r="T11" s="10"/>
      <c r="U11" s="10"/>
      <c r="V11" s="10"/>
      <c r="W11" s="10"/>
      <c r="X11" s="10"/>
      <c r="Y11" s="10"/>
    </row>
    <row r="12" spans="1:25" x14ac:dyDescent="0.25">
      <c r="A12" s="9">
        <v>40550</v>
      </c>
      <c r="B12" s="10">
        <f ca="1">ROUND(_xlfn.NORM.INV(RAND(),Reference!$C$8,0.1*Reference!$C$8)*(1+Reference!$C$11*(IF(MONTH($A12)=Reference!$C$4,1,0)+IF(MONTH($A12)=Reference!$C$5,1,0))+(IF(MONTH($A12)=Reference!$C$6,Reference!$C$13,0))),0)</f>
        <v>301</v>
      </c>
      <c r="C12" s="11">
        <f ca="1">B12*Reference!$C$7*(1-IF(MONTH($A12)=Reference!$C$6,1,0)*Reference!$C$12)</f>
        <v>279930</v>
      </c>
      <c r="D12" s="10">
        <f ca="1">ROUND(_xlfn.NORM.INV(RAND(),Reference!$D$8,0.1*Reference!$D$8)*(1+Reference!$D$11*(IF(MONTH($A12)=Reference!$D$4,1,0)+IF(MONTH($A12)=Reference!$D$5,1,0))+(IF(MONTH($A12)=Reference!$D$6,Reference!$D$13,0))),0)</f>
        <v>462</v>
      </c>
      <c r="E12" s="11">
        <f ca="1">D12*Reference!$D$7*(1-IF(MONTH($A12)=Reference!$D$6,1,0)*Reference!$D$12)</f>
        <v>346500</v>
      </c>
      <c r="L12" s="16"/>
      <c r="M12" s="20"/>
      <c r="N12" s="20"/>
      <c r="O12" s="19"/>
      <c r="P12" s="10"/>
      <c r="Q12" s="10"/>
      <c r="R12" s="10"/>
      <c r="S12" s="10"/>
      <c r="T12" s="10"/>
      <c r="U12" s="10"/>
      <c r="V12" s="10"/>
      <c r="W12" s="10"/>
      <c r="X12" s="10"/>
      <c r="Y12" s="10"/>
    </row>
    <row r="13" spans="1:25" x14ac:dyDescent="0.25">
      <c r="A13" s="9">
        <v>40551</v>
      </c>
      <c r="B13" s="10">
        <f ca="1">ROUND(_xlfn.NORM.INV(RAND(),Reference!$C$8,0.1*Reference!$C$8)*(1+Reference!$C$11*(IF(MONTH($A13)=Reference!$C$4,1,0)+IF(MONTH($A13)=Reference!$C$5,1,0))+(IF(MONTH($A13)=Reference!$C$6,Reference!$C$13,0))),0)</f>
        <v>367</v>
      </c>
      <c r="C13" s="11">
        <f ca="1">B13*Reference!$C$7*(1-IF(MONTH($A13)=Reference!$C$6,1,0)*Reference!$C$12)</f>
        <v>341310</v>
      </c>
      <c r="D13" s="10">
        <f ca="1">ROUND(_xlfn.NORM.INV(RAND(),Reference!$D$8,0.1*Reference!$D$8)*(1+Reference!$D$11*(IF(MONTH($A13)=Reference!$D$4,1,0)+IF(MONTH($A13)=Reference!$D$5,1,0))+(IF(MONTH($A13)=Reference!$D$6,Reference!$D$13,0))),0)</f>
        <v>395</v>
      </c>
      <c r="E13" s="11">
        <f ca="1">D13*Reference!$D$7*(1-IF(MONTH($A13)=Reference!$D$6,1,0)*Reference!$D$12)</f>
        <v>296250</v>
      </c>
      <c r="L13" s="16"/>
      <c r="M13" s="20"/>
      <c r="N13" s="20"/>
      <c r="O13" s="19"/>
      <c r="P13" s="10"/>
      <c r="Q13" s="10"/>
      <c r="R13" s="10"/>
      <c r="S13" s="10"/>
      <c r="T13" s="10"/>
      <c r="U13" s="10"/>
      <c r="V13" s="10"/>
      <c r="W13" s="10"/>
      <c r="X13" s="10"/>
      <c r="Y13" s="10"/>
    </row>
    <row r="14" spans="1:25" x14ac:dyDescent="0.25">
      <c r="A14" s="9">
        <v>40552</v>
      </c>
      <c r="B14" s="10">
        <f ca="1">ROUND(_xlfn.NORM.INV(RAND(),Reference!$C$8,0.1*Reference!$C$8)*(1+Reference!$C$11*(IF(MONTH($A14)=Reference!$C$4,1,0)+IF(MONTH($A14)=Reference!$C$5,1,0))+(IF(MONTH($A14)=Reference!$C$6,Reference!$C$13,0))),0)</f>
        <v>332</v>
      </c>
      <c r="C14" s="11">
        <f ca="1">B14*Reference!$C$7*(1-IF(MONTH($A14)=Reference!$C$6,1,0)*Reference!$C$12)</f>
        <v>308760</v>
      </c>
      <c r="D14" s="10">
        <f ca="1">ROUND(_xlfn.NORM.INV(RAND(),Reference!$D$8,0.1*Reference!$D$8)*(1+Reference!$D$11*(IF(MONTH($A14)=Reference!$D$4,1,0)+IF(MONTH($A14)=Reference!$D$5,1,0))+(IF(MONTH($A14)=Reference!$D$6,Reference!$D$13,0))),0)</f>
        <v>491</v>
      </c>
      <c r="E14" s="11">
        <f ca="1">D14*Reference!$D$7*(1-IF(MONTH($A14)=Reference!$D$6,1,0)*Reference!$D$12)</f>
        <v>368250</v>
      </c>
      <c r="L14" s="16"/>
      <c r="M14" s="20"/>
      <c r="N14" s="20"/>
      <c r="O14" s="19"/>
      <c r="P14" s="10"/>
      <c r="Q14" s="10"/>
      <c r="R14" s="10"/>
      <c r="S14" s="10"/>
      <c r="T14" s="10"/>
      <c r="U14" s="10"/>
      <c r="V14" s="10"/>
      <c r="W14" s="10"/>
      <c r="X14" s="10"/>
      <c r="Y14" s="10"/>
    </row>
    <row r="15" spans="1:25" x14ac:dyDescent="0.25">
      <c r="A15" s="9">
        <v>40553</v>
      </c>
      <c r="B15" s="10">
        <f ca="1">ROUND(_xlfn.NORM.INV(RAND(),Reference!$C$8,0.1*Reference!$C$8)*(1+Reference!$C$11*(IF(MONTH($A15)=Reference!$C$4,1,0)+IF(MONTH($A15)=Reference!$C$5,1,0))+(IF(MONTH($A15)=Reference!$C$6,Reference!$C$13,0))),0)</f>
        <v>361</v>
      </c>
      <c r="C15" s="11">
        <f ca="1">B15*Reference!$C$7*(1-IF(MONTH($A15)=Reference!$C$6,1,0)*Reference!$C$12)</f>
        <v>335730</v>
      </c>
      <c r="D15" s="10">
        <f ca="1">ROUND(_xlfn.NORM.INV(RAND(),Reference!$D$8,0.1*Reference!$D$8)*(1+Reference!$D$11*(IF(MONTH($A15)=Reference!$D$4,1,0)+IF(MONTH($A15)=Reference!$D$5,1,0))+(IF(MONTH($A15)=Reference!$D$6,Reference!$D$13,0))),0)</f>
        <v>448</v>
      </c>
      <c r="E15" s="11">
        <f ca="1">D15*Reference!$D$7*(1-IF(MONTH($A15)=Reference!$D$6,1,0)*Reference!$D$12)</f>
        <v>336000</v>
      </c>
      <c r="L15" s="16"/>
      <c r="M15" s="20"/>
      <c r="N15" s="20"/>
      <c r="O15" s="19"/>
      <c r="P15" s="10"/>
      <c r="Q15" s="10"/>
      <c r="R15" s="10"/>
      <c r="S15" s="10"/>
      <c r="T15" s="10"/>
      <c r="U15" s="10"/>
      <c r="V15" s="10"/>
      <c r="W15" s="10"/>
      <c r="X15" s="10"/>
      <c r="Y15" s="10"/>
    </row>
    <row r="16" spans="1:25" x14ac:dyDescent="0.25">
      <c r="A16" s="9">
        <v>40554</v>
      </c>
      <c r="B16" s="10">
        <f ca="1">ROUND(_xlfn.NORM.INV(RAND(),Reference!$C$8,0.1*Reference!$C$8)*(1+Reference!$C$11*(IF(MONTH($A16)=Reference!$C$4,1,0)+IF(MONTH($A16)=Reference!$C$5,1,0))+(IF(MONTH($A16)=Reference!$C$6,Reference!$C$13,0))),0)</f>
        <v>360</v>
      </c>
      <c r="C16" s="11">
        <f ca="1">B16*Reference!$C$7*(1-IF(MONTH($A16)=Reference!$C$6,1,0)*Reference!$C$12)</f>
        <v>334800</v>
      </c>
      <c r="D16" s="10">
        <f ca="1">ROUND(_xlfn.NORM.INV(RAND(),Reference!$D$8,0.1*Reference!$D$8)*(1+Reference!$D$11*(IF(MONTH($A16)=Reference!$D$4,1,0)+IF(MONTH($A16)=Reference!$D$5,1,0))+(IF(MONTH($A16)=Reference!$D$6,Reference!$D$13,0))),0)</f>
        <v>405</v>
      </c>
      <c r="E16" s="11">
        <f ca="1">D16*Reference!$D$7*(1-IF(MONTH($A16)=Reference!$D$6,1,0)*Reference!$D$12)</f>
        <v>303750</v>
      </c>
      <c r="L16" s="16"/>
      <c r="M16" s="20"/>
      <c r="N16" s="20"/>
      <c r="O16" s="19"/>
      <c r="P16" s="10"/>
      <c r="Q16" s="10"/>
      <c r="R16" s="10"/>
      <c r="S16" s="10"/>
      <c r="T16" s="10"/>
      <c r="U16" s="10"/>
      <c r="V16" s="10"/>
      <c r="W16" s="10"/>
      <c r="X16" s="10"/>
      <c r="Y16" s="10"/>
    </row>
    <row r="17" spans="1:25" x14ac:dyDescent="0.25">
      <c r="A17" s="9">
        <v>40555</v>
      </c>
      <c r="B17" s="10">
        <f ca="1">ROUND(_xlfn.NORM.INV(RAND(),Reference!$C$8,0.1*Reference!$C$8)*(1+Reference!$C$11*(IF(MONTH($A17)=Reference!$C$4,1,0)+IF(MONTH($A17)=Reference!$C$5,1,0))+(IF(MONTH($A17)=Reference!$C$6,Reference!$C$13,0))),0)</f>
        <v>322</v>
      </c>
      <c r="C17" s="11">
        <f ca="1">B17*Reference!$C$7*(1-IF(MONTH($A17)=Reference!$C$6,1,0)*Reference!$C$12)</f>
        <v>299460</v>
      </c>
      <c r="D17" s="10">
        <f ca="1">ROUND(_xlfn.NORM.INV(RAND(),Reference!$D$8,0.1*Reference!$D$8)*(1+Reference!$D$11*(IF(MONTH($A17)=Reference!$D$4,1,0)+IF(MONTH($A17)=Reference!$D$5,1,0))+(IF(MONTH($A17)=Reference!$D$6,Reference!$D$13,0))),0)</f>
        <v>527</v>
      </c>
      <c r="E17" s="11">
        <f ca="1">D17*Reference!$D$7*(1-IF(MONTH($A17)=Reference!$D$6,1,0)*Reference!$D$12)</f>
        <v>395250</v>
      </c>
      <c r="L17" s="16"/>
      <c r="M17" s="20"/>
      <c r="N17" s="20"/>
      <c r="O17" s="19"/>
      <c r="P17" s="10"/>
      <c r="Q17" s="10"/>
      <c r="R17" s="10"/>
      <c r="S17" s="10"/>
      <c r="T17" s="10"/>
      <c r="U17" s="10"/>
      <c r="V17" s="10"/>
      <c r="W17" s="10"/>
      <c r="X17" s="10"/>
      <c r="Y17" s="10"/>
    </row>
    <row r="18" spans="1:25" x14ac:dyDescent="0.25">
      <c r="A18" s="9">
        <v>40556</v>
      </c>
      <c r="B18" s="10">
        <f ca="1">ROUND(_xlfn.NORM.INV(RAND(),Reference!$C$8,0.1*Reference!$C$8)*(1+Reference!$C$11*(IF(MONTH($A18)=Reference!$C$4,1,0)+IF(MONTH($A18)=Reference!$C$5,1,0))+(IF(MONTH($A18)=Reference!$C$6,Reference!$C$13,0))),0)</f>
        <v>380</v>
      </c>
      <c r="C18" s="11">
        <f ca="1">B18*Reference!$C$7*(1-IF(MONTH($A18)=Reference!$C$6,1,0)*Reference!$C$12)</f>
        <v>353400</v>
      </c>
      <c r="D18" s="10">
        <f ca="1">ROUND(_xlfn.NORM.INV(RAND(),Reference!$D$8,0.1*Reference!$D$8)*(1+Reference!$D$11*(IF(MONTH($A18)=Reference!$D$4,1,0)+IF(MONTH($A18)=Reference!$D$5,1,0))+(IF(MONTH($A18)=Reference!$D$6,Reference!$D$13,0))),0)</f>
        <v>440</v>
      </c>
      <c r="E18" s="11">
        <f ca="1">D18*Reference!$D$7*(1-IF(MONTH($A18)=Reference!$D$6,1,0)*Reference!$D$12)</f>
        <v>330000</v>
      </c>
      <c r="L18" s="16"/>
      <c r="M18" s="20"/>
      <c r="N18" s="20"/>
      <c r="O18" s="19"/>
      <c r="P18" s="10"/>
      <c r="Q18" s="10"/>
      <c r="R18" s="10"/>
      <c r="S18" s="10"/>
      <c r="T18" s="10"/>
      <c r="U18" s="10"/>
      <c r="V18" s="10"/>
      <c r="W18" s="10"/>
      <c r="X18" s="10"/>
      <c r="Y18" s="10"/>
    </row>
    <row r="19" spans="1:25" x14ac:dyDescent="0.25">
      <c r="A19" s="9">
        <v>40557</v>
      </c>
      <c r="B19" s="10">
        <f ca="1">ROUND(_xlfn.NORM.INV(RAND(),Reference!$C$8,0.1*Reference!$C$8)*(1+Reference!$C$11*(IF(MONTH($A19)=Reference!$C$4,1,0)+IF(MONTH($A19)=Reference!$C$5,1,0))+(IF(MONTH($A19)=Reference!$C$6,Reference!$C$13,0))),0)</f>
        <v>389</v>
      </c>
      <c r="C19" s="11">
        <f ca="1">B19*Reference!$C$7*(1-IF(MONTH($A19)=Reference!$C$6,1,0)*Reference!$C$12)</f>
        <v>361770</v>
      </c>
      <c r="D19" s="10">
        <f ca="1">ROUND(_xlfn.NORM.INV(RAND(),Reference!$D$8,0.1*Reference!$D$8)*(1+Reference!$D$11*(IF(MONTH($A19)=Reference!$D$4,1,0)+IF(MONTH($A19)=Reference!$D$5,1,0))+(IF(MONTH($A19)=Reference!$D$6,Reference!$D$13,0))),0)</f>
        <v>351</v>
      </c>
      <c r="E19" s="11">
        <f ca="1">D19*Reference!$D$7*(1-IF(MONTH($A19)=Reference!$D$6,1,0)*Reference!$D$12)</f>
        <v>263250</v>
      </c>
      <c r="L19" s="16"/>
      <c r="M19" s="20"/>
      <c r="N19" s="20"/>
      <c r="O19" s="19"/>
      <c r="P19" s="10"/>
      <c r="Q19" s="10"/>
      <c r="R19" s="10"/>
      <c r="S19" s="10"/>
      <c r="T19" s="10"/>
      <c r="U19" s="10"/>
      <c r="V19" s="10"/>
      <c r="W19" s="10"/>
      <c r="X19" s="10"/>
      <c r="Y19" s="10"/>
    </row>
    <row r="20" spans="1:25" x14ac:dyDescent="0.25">
      <c r="A20" s="9">
        <v>40558</v>
      </c>
      <c r="B20" s="10">
        <f ca="1">ROUND(_xlfn.NORM.INV(RAND(),Reference!$C$8,0.1*Reference!$C$8)*(1+Reference!$C$11*(IF(MONTH($A20)=Reference!$C$4,1,0)+IF(MONTH($A20)=Reference!$C$5,1,0))+(IF(MONTH($A20)=Reference!$C$6,Reference!$C$13,0))),0)</f>
        <v>323</v>
      </c>
      <c r="C20" s="11">
        <f ca="1">B20*Reference!$C$7*(1-IF(MONTH($A20)=Reference!$C$6,1,0)*Reference!$C$12)</f>
        <v>300390</v>
      </c>
      <c r="D20" s="10">
        <f ca="1">ROUND(_xlfn.NORM.INV(RAND(),Reference!$D$8,0.1*Reference!$D$8)*(1+Reference!$D$11*(IF(MONTH($A20)=Reference!$D$4,1,0)+IF(MONTH($A20)=Reference!$D$5,1,0))+(IF(MONTH($A20)=Reference!$D$6,Reference!$D$13,0))),0)</f>
        <v>523</v>
      </c>
      <c r="E20" s="11">
        <f ca="1">D20*Reference!$D$7*(1-IF(MONTH($A20)=Reference!$D$6,1,0)*Reference!$D$12)</f>
        <v>392250</v>
      </c>
      <c r="L20" s="16"/>
      <c r="M20" s="20"/>
      <c r="N20" s="20"/>
      <c r="O20" s="19"/>
      <c r="P20" s="10"/>
      <c r="Q20" s="10"/>
      <c r="R20" s="10"/>
      <c r="S20" s="10"/>
      <c r="T20" s="10"/>
      <c r="U20" s="10"/>
      <c r="V20" s="10"/>
      <c r="W20" s="10"/>
      <c r="X20" s="10"/>
      <c r="Y20" s="10"/>
    </row>
    <row r="21" spans="1:25" x14ac:dyDescent="0.25">
      <c r="A21" s="9">
        <v>40559</v>
      </c>
      <c r="B21" s="10">
        <f ca="1">ROUND(_xlfn.NORM.INV(RAND(),Reference!$C$8,0.1*Reference!$C$8)*(1+Reference!$C$11*(IF(MONTH($A21)=Reference!$C$4,1,0)+IF(MONTH($A21)=Reference!$C$5,1,0))+(IF(MONTH($A21)=Reference!$C$6,Reference!$C$13,0))),0)</f>
        <v>413</v>
      </c>
      <c r="C21" s="11">
        <f ca="1">B21*Reference!$C$7*(1-IF(MONTH($A21)=Reference!$C$6,1,0)*Reference!$C$12)</f>
        <v>384090</v>
      </c>
      <c r="D21" s="10">
        <f ca="1">ROUND(_xlfn.NORM.INV(RAND(),Reference!$D$8,0.1*Reference!$D$8)*(1+Reference!$D$11*(IF(MONTH($A21)=Reference!$D$4,1,0)+IF(MONTH($A21)=Reference!$D$5,1,0))+(IF(MONTH($A21)=Reference!$D$6,Reference!$D$13,0))),0)</f>
        <v>374</v>
      </c>
      <c r="E21" s="11">
        <f ca="1">D21*Reference!$D$7*(1-IF(MONTH($A21)=Reference!$D$6,1,0)*Reference!$D$12)</f>
        <v>280500</v>
      </c>
      <c r="L21" s="16"/>
      <c r="M21" s="20"/>
      <c r="N21" s="20"/>
      <c r="O21" s="19"/>
      <c r="P21" s="10"/>
      <c r="Q21" s="10"/>
      <c r="R21" s="10"/>
      <c r="S21" s="10"/>
      <c r="T21" s="10"/>
      <c r="U21" s="10"/>
      <c r="V21" s="10"/>
      <c r="W21" s="10"/>
      <c r="X21" s="10"/>
      <c r="Y21" s="10"/>
    </row>
    <row r="22" spans="1:25" x14ac:dyDescent="0.25">
      <c r="A22" s="9">
        <v>40560</v>
      </c>
      <c r="B22" s="10">
        <f ca="1">ROUND(_xlfn.NORM.INV(RAND(),Reference!$C$8,0.1*Reference!$C$8)*(1+Reference!$C$11*(IF(MONTH($A22)=Reference!$C$4,1,0)+IF(MONTH($A22)=Reference!$C$5,1,0))+(IF(MONTH($A22)=Reference!$C$6,Reference!$C$13,0))),0)</f>
        <v>377</v>
      </c>
      <c r="C22" s="11">
        <f ca="1">B22*Reference!$C$7*(1-IF(MONTH($A22)=Reference!$C$6,1,0)*Reference!$C$12)</f>
        <v>350610</v>
      </c>
      <c r="D22" s="10">
        <f ca="1">ROUND(_xlfn.NORM.INV(RAND(),Reference!$D$8,0.1*Reference!$D$8)*(1+Reference!$D$11*(IF(MONTH($A22)=Reference!$D$4,1,0)+IF(MONTH($A22)=Reference!$D$5,1,0))+(IF(MONTH($A22)=Reference!$D$6,Reference!$D$13,0))),0)</f>
        <v>465</v>
      </c>
      <c r="E22" s="11">
        <f ca="1">D22*Reference!$D$7*(1-IF(MONTH($A22)=Reference!$D$6,1,0)*Reference!$D$12)</f>
        <v>348750</v>
      </c>
      <c r="L22" s="16"/>
      <c r="M22" s="20"/>
      <c r="N22" s="20"/>
      <c r="O22" s="19"/>
      <c r="P22" s="10"/>
      <c r="Q22" s="10"/>
      <c r="R22" s="10"/>
      <c r="S22" s="10"/>
      <c r="T22" s="10"/>
      <c r="U22" s="10"/>
      <c r="V22" s="10"/>
      <c r="W22" s="10"/>
      <c r="X22" s="10"/>
      <c r="Y22" s="10"/>
    </row>
    <row r="23" spans="1:25" x14ac:dyDescent="0.25">
      <c r="A23" s="9">
        <v>40561</v>
      </c>
      <c r="B23" s="10">
        <f ca="1">ROUND(_xlfn.NORM.INV(RAND(),Reference!$C$8,0.1*Reference!$C$8)*(1+Reference!$C$11*(IF(MONTH($A23)=Reference!$C$4,1,0)+IF(MONTH($A23)=Reference!$C$5,1,0))+(IF(MONTH($A23)=Reference!$C$6,Reference!$C$13,0))),0)</f>
        <v>397</v>
      </c>
      <c r="C23" s="11">
        <f ca="1">B23*Reference!$C$7*(1-IF(MONTH($A23)=Reference!$C$6,1,0)*Reference!$C$12)</f>
        <v>369210</v>
      </c>
      <c r="D23" s="10">
        <f ca="1">ROUND(_xlfn.NORM.INV(RAND(),Reference!$D$8,0.1*Reference!$D$8)*(1+Reference!$D$11*(IF(MONTH($A23)=Reference!$D$4,1,0)+IF(MONTH($A23)=Reference!$D$5,1,0))+(IF(MONTH($A23)=Reference!$D$6,Reference!$D$13,0))),0)</f>
        <v>470</v>
      </c>
      <c r="E23" s="11">
        <f ca="1">D23*Reference!$D$7*(1-IF(MONTH($A23)=Reference!$D$6,1,0)*Reference!$D$12)</f>
        <v>352500</v>
      </c>
      <c r="L23" s="16"/>
      <c r="M23" s="20"/>
      <c r="N23" s="20"/>
      <c r="O23" s="19"/>
      <c r="P23" s="10"/>
      <c r="Q23" s="10"/>
      <c r="R23" s="10"/>
      <c r="S23" s="10"/>
      <c r="T23" s="10"/>
      <c r="U23" s="10"/>
      <c r="V23" s="10"/>
      <c r="W23" s="10"/>
      <c r="X23" s="10"/>
      <c r="Y23" s="10"/>
    </row>
    <row r="24" spans="1:25" x14ac:dyDescent="0.25">
      <c r="A24" s="9">
        <v>40562</v>
      </c>
      <c r="B24" s="10">
        <f ca="1">ROUND(_xlfn.NORM.INV(RAND(),Reference!$C$8,0.1*Reference!$C$8)*(1+Reference!$C$11*(IF(MONTH($A24)=Reference!$C$4,1,0)+IF(MONTH($A24)=Reference!$C$5,1,0))+(IF(MONTH($A24)=Reference!$C$6,Reference!$C$13,0))),0)</f>
        <v>362</v>
      </c>
      <c r="C24" s="11">
        <f ca="1">B24*Reference!$C$7*(1-IF(MONTH($A24)=Reference!$C$6,1,0)*Reference!$C$12)</f>
        <v>336660</v>
      </c>
      <c r="D24" s="10">
        <f ca="1">ROUND(_xlfn.NORM.INV(RAND(),Reference!$D$8,0.1*Reference!$D$8)*(1+Reference!$D$11*(IF(MONTH($A24)=Reference!$D$4,1,0)+IF(MONTH($A24)=Reference!$D$5,1,0))+(IF(MONTH($A24)=Reference!$D$6,Reference!$D$13,0))),0)</f>
        <v>484</v>
      </c>
      <c r="E24" s="11">
        <f ca="1">D24*Reference!$D$7*(1-IF(MONTH($A24)=Reference!$D$6,1,0)*Reference!$D$12)</f>
        <v>363000</v>
      </c>
      <c r="L24" s="16"/>
      <c r="M24" s="20"/>
      <c r="N24" s="20"/>
      <c r="O24" s="19"/>
      <c r="P24" s="10"/>
      <c r="Q24" s="10"/>
      <c r="R24" s="10"/>
      <c r="S24" s="10"/>
      <c r="T24" s="10"/>
      <c r="U24" s="10"/>
      <c r="V24" s="10"/>
      <c r="W24" s="10"/>
      <c r="X24" s="10"/>
      <c r="Y24" s="10"/>
    </row>
    <row r="25" spans="1:25" x14ac:dyDescent="0.25">
      <c r="A25" s="9">
        <v>40563</v>
      </c>
      <c r="B25" s="10">
        <f ca="1">ROUND(_xlfn.NORM.INV(RAND(),Reference!$C$8,0.1*Reference!$C$8)*(1+Reference!$C$11*(IF(MONTH($A25)=Reference!$C$4,1,0)+IF(MONTH($A25)=Reference!$C$5,1,0))+(IF(MONTH($A25)=Reference!$C$6,Reference!$C$13,0))),0)</f>
        <v>341</v>
      </c>
      <c r="C25" s="11">
        <f ca="1">B25*Reference!$C$7*(1-IF(MONTH($A25)=Reference!$C$6,1,0)*Reference!$C$12)</f>
        <v>317130</v>
      </c>
      <c r="D25" s="10">
        <f ca="1">ROUND(_xlfn.NORM.INV(RAND(),Reference!$D$8,0.1*Reference!$D$8)*(1+Reference!$D$11*(IF(MONTH($A25)=Reference!$D$4,1,0)+IF(MONTH($A25)=Reference!$D$5,1,0))+(IF(MONTH($A25)=Reference!$D$6,Reference!$D$13,0))),0)</f>
        <v>509</v>
      </c>
      <c r="E25" s="11">
        <f ca="1">D25*Reference!$D$7*(1-IF(MONTH($A25)=Reference!$D$6,1,0)*Reference!$D$12)</f>
        <v>381750</v>
      </c>
      <c r="L25" s="16"/>
      <c r="M25" s="20"/>
      <c r="N25" s="20"/>
      <c r="O25" s="19"/>
      <c r="P25" s="10"/>
      <c r="Q25" s="10"/>
      <c r="R25" s="10"/>
      <c r="S25" s="10"/>
      <c r="T25" s="10"/>
      <c r="U25" s="10"/>
      <c r="V25" s="10"/>
      <c r="W25" s="10"/>
      <c r="X25" s="10"/>
      <c r="Y25" s="10"/>
    </row>
    <row r="26" spans="1:25" x14ac:dyDescent="0.25">
      <c r="A26" s="9">
        <v>40564</v>
      </c>
      <c r="B26" s="10">
        <f ca="1">ROUND(_xlfn.NORM.INV(RAND(),Reference!$C$8,0.1*Reference!$C$8)*(1+Reference!$C$11*(IF(MONTH($A26)=Reference!$C$4,1,0)+IF(MONTH($A26)=Reference!$C$5,1,0))+(IF(MONTH($A26)=Reference!$C$6,Reference!$C$13,0))),0)</f>
        <v>395</v>
      </c>
      <c r="C26" s="11">
        <f ca="1">B26*Reference!$C$7*(1-IF(MONTH($A26)=Reference!$C$6,1,0)*Reference!$C$12)</f>
        <v>367350</v>
      </c>
      <c r="D26" s="10">
        <f ca="1">ROUND(_xlfn.NORM.INV(RAND(),Reference!$D$8,0.1*Reference!$D$8)*(1+Reference!$D$11*(IF(MONTH($A26)=Reference!$D$4,1,0)+IF(MONTH($A26)=Reference!$D$5,1,0))+(IF(MONTH($A26)=Reference!$D$6,Reference!$D$13,0))),0)</f>
        <v>463</v>
      </c>
      <c r="E26" s="11">
        <f ca="1">D26*Reference!$D$7*(1-IF(MONTH($A26)=Reference!$D$6,1,0)*Reference!$D$12)</f>
        <v>347250</v>
      </c>
      <c r="L26" s="16"/>
      <c r="M26" s="20"/>
      <c r="N26" s="20"/>
      <c r="O26" s="19"/>
      <c r="P26" s="10"/>
      <c r="Q26" s="10"/>
      <c r="R26" s="10"/>
      <c r="S26" s="10"/>
      <c r="T26" s="10"/>
      <c r="U26" s="10"/>
      <c r="V26" s="10"/>
      <c r="W26" s="10"/>
      <c r="X26" s="10"/>
      <c r="Y26" s="10"/>
    </row>
    <row r="27" spans="1:25" x14ac:dyDescent="0.25">
      <c r="A27" s="9">
        <v>40565</v>
      </c>
      <c r="B27" s="10">
        <f ca="1">ROUND(_xlfn.NORM.INV(RAND(),Reference!$C$8,0.1*Reference!$C$8)*(1+Reference!$C$11*(IF(MONTH($A27)=Reference!$C$4,1,0)+IF(MONTH($A27)=Reference!$C$5,1,0))+(IF(MONTH($A27)=Reference!$C$6,Reference!$C$13,0))),0)</f>
        <v>395</v>
      </c>
      <c r="C27" s="11">
        <f ca="1">B27*Reference!$C$7*(1-IF(MONTH($A27)=Reference!$C$6,1,0)*Reference!$C$12)</f>
        <v>367350</v>
      </c>
      <c r="D27" s="10">
        <f ca="1">ROUND(_xlfn.NORM.INV(RAND(),Reference!$D$8,0.1*Reference!$D$8)*(1+Reference!$D$11*(IF(MONTH($A27)=Reference!$D$4,1,0)+IF(MONTH($A27)=Reference!$D$5,1,0))+(IF(MONTH($A27)=Reference!$D$6,Reference!$D$13,0))),0)</f>
        <v>476</v>
      </c>
      <c r="E27" s="11">
        <f ca="1">D27*Reference!$D$7*(1-IF(MONTH($A27)=Reference!$D$6,1,0)*Reference!$D$12)</f>
        <v>357000</v>
      </c>
      <c r="L27" s="16"/>
      <c r="M27" s="20"/>
      <c r="N27" s="20"/>
      <c r="O27" s="19"/>
      <c r="P27" s="10"/>
      <c r="Q27" s="10"/>
      <c r="R27" s="10"/>
      <c r="S27" s="10"/>
      <c r="T27" s="10"/>
      <c r="U27" s="10"/>
      <c r="V27" s="10"/>
      <c r="W27" s="10"/>
      <c r="X27" s="10"/>
      <c r="Y27" s="10"/>
    </row>
    <row r="28" spans="1:25" x14ac:dyDescent="0.25">
      <c r="A28" s="9">
        <v>40566</v>
      </c>
      <c r="B28" s="10">
        <f ca="1">ROUND(_xlfn.NORM.INV(RAND(),Reference!$C$8,0.1*Reference!$C$8)*(1+Reference!$C$11*(IF(MONTH($A28)=Reference!$C$4,1,0)+IF(MONTH($A28)=Reference!$C$5,1,0))+(IF(MONTH($A28)=Reference!$C$6,Reference!$C$13,0))),0)</f>
        <v>358</v>
      </c>
      <c r="C28" s="11">
        <f ca="1">B28*Reference!$C$7*(1-IF(MONTH($A28)=Reference!$C$6,1,0)*Reference!$C$12)</f>
        <v>332940</v>
      </c>
      <c r="D28" s="10">
        <f ca="1">ROUND(_xlfn.NORM.INV(RAND(),Reference!$D$8,0.1*Reference!$D$8)*(1+Reference!$D$11*(IF(MONTH($A28)=Reference!$D$4,1,0)+IF(MONTH($A28)=Reference!$D$5,1,0))+(IF(MONTH($A28)=Reference!$D$6,Reference!$D$13,0))),0)</f>
        <v>469</v>
      </c>
      <c r="E28" s="11">
        <f ca="1">D28*Reference!$D$7*(1-IF(MONTH($A28)=Reference!$D$6,1,0)*Reference!$D$12)</f>
        <v>351750</v>
      </c>
      <c r="L28" s="16"/>
      <c r="M28" s="20"/>
      <c r="N28" s="20"/>
      <c r="O28" s="19"/>
      <c r="P28" s="10"/>
      <c r="Q28" s="10"/>
      <c r="R28" s="10"/>
      <c r="S28" s="10"/>
      <c r="T28" s="10"/>
      <c r="U28" s="10"/>
      <c r="V28" s="10"/>
      <c r="W28" s="10"/>
      <c r="X28" s="10"/>
      <c r="Y28" s="10"/>
    </row>
    <row r="29" spans="1:25" x14ac:dyDescent="0.25">
      <c r="A29" s="9">
        <v>40567</v>
      </c>
      <c r="B29" s="10">
        <f ca="1">ROUND(_xlfn.NORM.INV(RAND(),Reference!$C$8,0.1*Reference!$C$8)*(1+Reference!$C$11*(IF(MONTH($A29)=Reference!$C$4,1,0)+IF(MONTH($A29)=Reference!$C$5,1,0))+(IF(MONTH($A29)=Reference!$C$6,Reference!$C$13,0))),0)</f>
        <v>320</v>
      </c>
      <c r="C29" s="11">
        <f ca="1">B29*Reference!$C$7*(1-IF(MONTH($A29)=Reference!$C$6,1,0)*Reference!$C$12)</f>
        <v>297600</v>
      </c>
      <c r="D29" s="10">
        <f ca="1">ROUND(_xlfn.NORM.INV(RAND(),Reference!$D$8,0.1*Reference!$D$8)*(1+Reference!$D$11*(IF(MONTH($A29)=Reference!$D$4,1,0)+IF(MONTH($A29)=Reference!$D$5,1,0))+(IF(MONTH($A29)=Reference!$D$6,Reference!$D$13,0))),0)</f>
        <v>464</v>
      </c>
      <c r="E29" s="11">
        <f ca="1">D29*Reference!$D$7*(1-IF(MONTH($A29)=Reference!$D$6,1,0)*Reference!$D$12)</f>
        <v>348000</v>
      </c>
      <c r="L29" s="16"/>
      <c r="M29" s="20"/>
      <c r="N29" s="20"/>
      <c r="O29" s="19"/>
      <c r="P29" s="10"/>
      <c r="Q29" s="10"/>
      <c r="R29" s="10"/>
      <c r="S29" s="10"/>
      <c r="T29" s="10"/>
      <c r="U29" s="10"/>
      <c r="V29" s="10"/>
      <c r="W29" s="10"/>
      <c r="X29" s="10"/>
      <c r="Y29" s="10"/>
    </row>
    <row r="30" spans="1:25" x14ac:dyDescent="0.25">
      <c r="A30" s="9">
        <v>40568</v>
      </c>
      <c r="B30" s="10">
        <f ca="1">ROUND(_xlfn.NORM.INV(RAND(),Reference!$C$8,0.1*Reference!$C$8)*(1+Reference!$C$11*(IF(MONTH($A30)=Reference!$C$4,1,0)+IF(MONTH($A30)=Reference!$C$5,1,0))+(IF(MONTH($A30)=Reference!$C$6,Reference!$C$13,0))),0)</f>
        <v>334</v>
      </c>
      <c r="C30" s="11">
        <f ca="1">B30*Reference!$C$7*(1-IF(MONTH($A30)=Reference!$C$6,1,0)*Reference!$C$12)</f>
        <v>310620</v>
      </c>
      <c r="D30" s="10">
        <f ca="1">ROUND(_xlfn.NORM.INV(RAND(),Reference!$D$8,0.1*Reference!$D$8)*(1+Reference!$D$11*(IF(MONTH($A30)=Reference!$D$4,1,0)+IF(MONTH($A30)=Reference!$D$5,1,0))+(IF(MONTH($A30)=Reference!$D$6,Reference!$D$13,0))),0)</f>
        <v>512</v>
      </c>
      <c r="E30" s="11">
        <f ca="1">D30*Reference!$D$7*(1-IF(MONTH($A30)=Reference!$D$6,1,0)*Reference!$D$12)</f>
        <v>384000</v>
      </c>
      <c r="L30" s="16"/>
      <c r="M30" s="20"/>
      <c r="N30" s="20"/>
      <c r="O30" s="19"/>
      <c r="P30" s="10"/>
      <c r="Q30" s="10"/>
      <c r="R30" s="10"/>
      <c r="S30" s="10"/>
      <c r="T30" s="10"/>
      <c r="U30" s="10"/>
      <c r="V30" s="10"/>
      <c r="W30" s="10"/>
      <c r="X30" s="10"/>
      <c r="Y30" s="10"/>
    </row>
    <row r="31" spans="1:25" x14ac:dyDescent="0.25">
      <c r="A31" s="9">
        <v>40569</v>
      </c>
      <c r="B31" s="10">
        <f ca="1">ROUND(_xlfn.NORM.INV(RAND(),Reference!$C$8,0.1*Reference!$C$8)*(1+Reference!$C$11*(IF(MONTH($A31)=Reference!$C$4,1,0)+IF(MONTH($A31)=Reference!$C$5,1,0))+(IF(MONTH($A31)=Reference!$C$6,Reference!$C$13,0))),0)</f>
        <v>343</v>
      </c>
      <c r="C31" s="11">
        <f ca="1">B31*Reference!$C$7*(1-IF(MONTH($A31)=Reference!$C$6,1,0)*Reference!$C$12)</f>
        <v>318990</v>
      </c>
      <c r="D31" s="10">
        <f ca="1">ROUND(_xlfn.NORM.INV(RAND(),Reference!$D$8,0.1*Reference!$D$8)*(1+Reference!$D$11*(IF(MONTH($A31)=Reference!$D$4,1,0)+IF(MONTH($A31)=Reference!$D$5,1,0))+(IF(MONTH($A31)=Reference!$D$6,Reference!$D$13,0))),0)</f>
        <v>445</v>
      </c>
      <c r="E31" s="11">
        <f ca="1">D31*Reference!$D$7*(1-IF(MONTH($A31)=Reference!$D$6,1,0)*Reference!$D$12)</f>
        <v>333750</v>
      </c>
      <c r="L31" s="16"/>
      <c r="M31" s="20"/>
      <c r="N31" s="20"/>
      <c r="O31" s="19"/>
      <c r="P31" s="10"/>
      <c r="Q31" s="10"/>
      <c r="R31" s="10"/>
      <c r="S31" s="10"/>
      <c r="T31" s="10"/>
      <c r="U31" s="10"/>
      <c r="V31" s="10"/>
      <c r="W31" s="10"/>
      <c r="X31" s="10"/>
      <c r="Y31" s="10"/>
    </row>
    <row r="32" spans="1:25" x14ac:dyDescent="0.25">
      <c r="A32" s="9">
        <v>40570</v>
      </c>
      <c r="B32" s="10">
        <f ca="1">ROUND(_xlfn.NORM.INV(RAND(),Reference!$C$8,0.1*Reference!$C$8)*(1+Reference!$C$11*(IF(MONTH($A32)=Reference!$C$4,1,0)+IF(MONTH($A32)=Reference!$C$5,1,0))+(IF(MONTH($A32)=Reference!$C$6,Reference!$C$13,0))),0)</f>
        <v>370</v>
      </c>
      <c r="C32" s="11">
        <f ca="1">B32*Reference!$C$7*(1-IF(MONTH($A32)=Reference!$C$6,1,0)*Reference!$C$12)</f>
        <v>344100</v>
      </c>
      <c r="D32" s="10">
        <f ca="1">ROUND(_xlfn.NORM.INV(RAND(),Reference!$D$8,0.1*Reference!$D$8)*(1+Reference!$D$11*(IF(MONTH($A32)=Reference!$D$4,1,0)+IF(MONTH($A32)=Reference!$D$5,1,0))+(IF(MONTH($A32)=Reference!$D$6,Reference!$D$13,0))),0)</f>
        <v>510</v>
      </c>
      <c r="E32" s="11">
        <f ca="1">D32*Reference!$D$7*(1-IF(MONTH($A32)=Reference!$D$6,1,0)*Reference!$D$12)</f>
        <v>382500</v>
      </c>
      <c r="L32" s="16"/>
      <c r="M32" s="20"/>
      <c r="N32" s="20"/>
      <c r="O32" s="19"/>
      <c r="P32" s="10"/>
      <c r="Q32" s="10"/>
      <c r="R32" s="10"/>
      <c r="S32" s="10"/>
      <c r="T32" s="10"/>
      <c r="U32" s="10"/>
      <c r="V32" s="10"/>
      <c r="W32" s="10"/>
      <c r="X32" s="10"/>
      <c r="Y32" s="10"/>
    </row>
    <row r="33" spans="1:25" x14ac:dyDescent="0.25">
      <c r="A33" s="9">
        <v>40571</v>
      </c>
      <c r="B33" s="10">
        <f ca="1">ROUND(_xlfn.NORM.INV(RAND(),Reference!$C$8,0.1*Reference!$C$8)*(1+Reference!$C$11*(IF(MONTH($A33)=Reference!$C$4,1,0)+IF(MONTH($A33)=Reference!$C$5,1,0))+(IF(MONTH($A33)=Reference!$C$6,Reference!$C$13,0))),0)</f>
        <v>358</v>
      </c>
      <c r="C33" s="11">
        <f ca="1">B33*Reference!$C$7*(1-IF(MONTH($A33)=Reference!$C$6,1,0)*Reference!$C$12)</f>
        <v>332940</v>
      </c>
      <c r="D33" s="10">
        <f ca="1">ROUND(_xlfn.NORM.INV(RAND(),Reference!$D$8,0.1*Reference!$D$8)*(1+Reference!$D$11*(IF(MONTH($A33)=Reference!$D$4,1,0)+IF(MONTH($A33)=Reference!$D$5,1,0))+(IF(MONTH($A33)=Reference!$D$6,Reference!$D$13,0))),0)</f>
        <v>496</v>
      </c>
      <c r="E33" s="11">
        <f ca="1">D33*Reference!$D$7*(1-IF(MONTH($A33)=Reference!$D$6,1,0)*Reference!$D$12)</f>
        <v>372000</v>
      </c>
      <c r="L33" s="16"/>
      <c r="M33" s="20"/>
      <c r="N33" s="20"/>
      <c r="O33" s="19"/>
      <c r="P33" s="10"/>
      <c r="Q33" s="10"/>
      <c r="R33" s="10"/>
      <c r="S33" s="10"/>
      <c r="T33" s="10"/>
      <c r="U33" s="10"/>
      <c r="V33" s="10"/>
      <c r="W33" s="10"/>
      <c r="X33" s="10"/>
      <c r="Y33" s="10"/>
    </row>
    <row r="34" spans="1:25" x14ac:dyDescent="0.25">
      <c r="A34" s="9">
        <v>40572</v>
      </c>
      <c r="B34" s="10">
        <f ca="1">ROUND(_xlfn.NORM.INV(RAND(),Reference!$C$8,0.1*Reference!$C$8)*(1+Reference!$C$11*(IF(MONTH($A34)=Reference!$C$4,1,0)+IF(MONTH($A34)=Reference!$C$5,1,0))+(IF(MONTH($A34)=Reference!$C$6,Reference!$C$13,0))),0)</f>
        <v>378</v>
      </c>
      <c r="C34" s="11">
        <f ca="1">B34*Reference!$C$7*(1-IF(MONTH($A34)=Reference!$C$6,1,0)*Reference!$C$12)</f>
        <v>351540</v>
      </c>
      <c r="D34" s="10">
        <f ca="1">ROUND(_xlfn.NORM.INV(RAND(),Reference!$D$8,0.1*Reference!$D$8)*(1+Reference!$D$11*(IF(MONTH($A34)=Reference!$D$4,1,0)+IF(MONTH($A34)=Reference!$D$5,1,0))+(IF(MONTH($A34)=Reference!$D$6,Reference!$D$13,0))),0)</f>
        <v>370</v>
      </c>
      <c r="E34" s="11">
        <f ca="1">D34*Reference!$D$7*(1-IF(MONTH($A34)=Reference!$D$6,1,0)*Reference!$D$12)</f>
        <v>277500</v>
      </c>
      <c r="L34" s="16"/>
      <c r="M34" s="20"/>
      <c r="N34" s="20"/>
      <c r="O34" s="19"/>
      <c r="P34" s="10"/>
      <c r="Q34" s="10"/>
      <c r="R34" s="10"/>
      <c r="S34" s="10"/>
      <c r="T34" s="10"/>
      <c r="U34" s="10"/>
      <c r="V34" s="10"/>
      <c r="W34" s="10"/>
      <c r="X34" s="10"/>
      <c r="Y34" s="10"/>
    </row>
    <row r="35" spans="1:25" x14ac:dyDescent="0.25">
      <c r="A35" s="9">
        <v>40573</v>
      </c>
      <c r="B35" s="10">
        <f ca="1">ROUND(_xlfn.NORM.INV(RAND(),Reference!$C$8,0.1*Reference!$C$8)*(1+Reference!$C$11*(IF(MONTH($A35)=Reference!$C$4,1,0)+IF(MONTH($A35)=Reference!$C$5,1,0))+(IF(MONTH($A35)=Reference!$C$6,Reference!$C$13,0))),0)</f>
        <v>395</v>
      </c>
      <c r="C35" s="11">
        <f ca="1">B35*Reference!$C$7*(1-IF(MONTH($A35)=Reference!$C$6,1,0)*Reference!$C$12)</f>
        <v>367350</v>
      </c>
      <c r="D35" s="10">
        <f ca="1">ROUND(_xlfn.NORM.INV(RAND(),Reference!$D$8,0.1*Reference!$D$8)*(1+Reference!$D$11*(IF(MONTH($A35)=Reference!$D$4,1,0)+IF(MONTH($A35)=Reference!$D$5,1,0))+(IF(MONTH($A35)=Reference!$D$6,Reference!$D$13,0))),0)</f>
        <v>383</v>
      </c>
      <c r="E35" s="11">
        <f ca="1">D35*Reference!$D$7*(1-IF(MONTH($A35)=Reference!$D$6,1,0)*Reference!$D$12)</f>
        <v>287250</v>
      </c>
      <c r="L35" s="16"/>
      <c r="M35" s="20"/>
      <c r="N35" s="20"/>
      <c r="O35" s="19"/>
      <c r="P35" s="10"/>
      <c r="Q35" s="10"/>
      <c r="R35" s="10"/>
      <c r="S35" s="10"/>
      <c r="T35" s="10"/>
      <c r="U35" s="10"/>
      <c r="V35" s="10"/>
      <c r="W35" s="10"/>
      <c r="X35" s="10"/>
      <c r="Y35" s="10"/>
    </row>
    <row r="36" spans="1:25" x14ac:dyDescent="0.25">
      <c r="A36" s="9">
        <v>40574</v>
      </c>
      <c r="B36" s="10">
        <f ca="1">ROUND(_xlfn.NORM.INV(RAND(),Reference!$C$8,0.1*Reference!$C$8)*(1+Reference!$C$11*(IF(MONTH($A36)=Reference!$C$4,1,0)+IF(MONTH($A36)=Reference!$C$5,1,0))+(IF(MONTH($A36)=Reference!$C$6,Reference!$C$13,0))),0)</f>
        <v>328</v>
      </c>
      <c r="C36" s="11">
        <f ca="1">B36*Reference!$C$7*(1-IF(MONTH($A36)=Reference!$C$6,1,0)*Reference!$C$12)</f>
        <v>305040</v>
      </c>
      <c r="D36" s="10">
        <f ca="1">ROUND(_xlfn.NORM.INV(RAND(),Reference!$D$8,0.1*Reference!$D$8)*(1+Reference!$D$11*(IF(MONTH($A36)=Reference!$D$4,1,0)+IF(MONTH($A36)=Reference!$D$5,1,0))+(IF(MONTH($A36)=Reference!$D$6,Reference!$D$13,0))),0)</f>
        <v>415</v>
      </c>
      <c r="E36" s="11">
        <f ca="1">D36*Reference!$D$7*(1-IF(MONTH($A36)=Reference!$D$6,1,0)*Reference!$D$12)</f>
        <v>311250</v>
      </c>
      <c r="L36" s="16"/>
      <c r="M36" s="20"/>
      <c r="N36" s="20"/>
      <c r="O36" s="19"/>
      <c r="P36" s="10"/>
      <c r="Q36" s="10"/>
      <c r="R36" s="10"/>
      <c r="S36" s="10"/>
      <c r="T36" s="10"/>
      <c r="U36" s="10"/>
      <c r="V36" s="10"/>
      <c r="W36" s="10"/>
      <c r="X36" s="10"/>
      <c r="Y36" s="10"/>
    </row>
    <row r="37" spans="1:25" x14ac:dyDescent="0.25">
      <c r="A37" s="9">
        <v>40575</v>
      </c>
      <c r="B37" s="10">
        <f ca="1">ROUND(_xlfn.NORM.INV(RAND(),Reference!$C$8,0.1*Reference!$C$8)*(1+Reference!$C$11*(IF(MONTH($A37)=Reference!$C$4,1,0)+IF(MONTH($A37)=Reference!$C$5,1,0))+(IF(MONTH($A37)=Reference!$C$6,Reference!$C$13,0))),0)</f>
        <v>341</v>
      </c>
      <c r="C37" s="11">
        <f ca="1">B37*Reference!$C$7*(1-IF(MONTH($A37)=Reference!$C$6,1,0)*Reference!$C$12)</f>
        <v>317130</v>
      </c>
      <c r="D37" s="10">
        <f ca="1">ROUND(_xlfn.NORM.INV(RAND(),Reference!$D$8,0.1*Reference!$D$8)*(1+Reference!$D$11*(IF(MONTH($A37)=Reference!$D$4,1,0)+IF(MONTH($A37)=Reference!$D$5,1,0))+(IF(MONTH($A37)=Reference!$D$6,Reference!$D$13,0))),0)</f>
        <v>463</v>
      </c>
      <c r="E37" s="11">
        <f ca="1">D37*Reference!$D$7*(1-IF(MONTH($A37)=Reference!$D$6,1,0)*Reference!$D$12)</f>
        <v>347250</v>
      </c>
      <c r="L37" s="16"/>
      <c r="M37" s="20"/>
      <c r="N37" s="20"/>
      <c r="O37" s="19"/>
      <c r="P37" s="10"/>
      <c r="Q37" s="10"/>
      <c r="R37" s="10"/>
      <c r="S37" s="10"/>
      <c r="T37" s="10"/>
      <c r="U37" s="10"/>
      <c r="V37" s="10"/>
      <c r="W37" s="10"/>
      <c r="X37" s="10"/>
      <c r="Y37" s="10"/>
    </row>
    <row r="38" spans="1:25" x14ac:dyDescent="0.25">
      <c r="A38" s="9">
        <v>40576</v>
      </c>
      <c r="B38" s="10">
        <f ca="1">ROUND(_xlfn.NORM.INV(RAND(),Reference!$C$8,0.1*Reference!$C$8)*(1+Reference!$C$11*(IF(MONTH($A38)=Reference!$C$4,1,0)+IF(MONTH($A38)=Reference!$C$5,1,0))+(IF(MONTH($A38)=Reference!$C$6,Reference!$C$13,0))),0)</f>
        <v>407</v>
      </c>
      <c r="C38" s="11">
        <f ca="1">B38*Reference!$C$7*(1-IF(MONTH($A38)=Reference!$C$6,1,0)*Reference!$C$12)</f>
        <v>378510</v>
      </c>
      <c r="D38" s="10">
        <f ca="1">ROUND(_xlfn.NORM.INV(RAND(),Reference!$D$8,0.1*Reference!$D$8)*(1+Reference!$D$11*(IF(MONTH($A38)=Reference!$D$4,1,0)+IF(MONTH($A38)=Reference!$D$5,1,0))+(IF(MONTH($A38)=Reference!$D$6,Reference!$D$13,0))),0)</f>
        <v>357</v>
      </c>
      <c r="E38" s="11">
        <f ca="1">D38*Reference!$D$7*(1-IF(MONTH($A38)=Reference!$D$6,1,0)*Reference!$D$12)</f>
        <v>267750</v>
      </c>
      <c r="L38" s="16"/>
      <c r="M38" s="20"/>
      <c r="N38" s="20"/>
      <c r="O38" s="19"/>
      <c r="P38" s="10"/>
      <c r="Q38" s="10"/>
      <c r="R38" s="10"/>
      <c r="S38" s="10"/>
      <c r="T38" s="10"/>
      <c r="U38" s="10"/>
      <c r="V38" s="10"/>
      <c r="W38" s="10"/>
      <c r="X38" s="10"/>
      <c r="Y38" s="10"/>
    </row>
    <row r="39" spans="1:25" x14ac:dyDescent="0.25">
      <c r="A39" s="9">
        <v>40577</v>
      </c>
      <c r="B39" s="10">
        <f ca="1">ROUND(_xlfn.NORM.INV(RAND(),Reference!$C$8,0.1*Reference!$C$8)*(1+Reference!$C$11*(IF(MONTH($A39)=Reference!$C$4,1,0)+IF(MONTH($A39)=Reference!$C$5,1,0))+(IF(MONTH($A39)=Reference!$C$6,Reference!$C$13,0))),0)</f>
        <v>321</v>
      </c>
      <c r="C39" s="11">
        <f ca="1">B39*Reference!$C$7*(1-IF(MONTH($A39)=Reference!$C$6,1,0)*Reference!$C$12)</f>
        <v>298530</v>
      </c>
      <c r="D39" s="10">
        <f ca="1">ROUND(_xlfn.NORM.INV(RAND(),Reference!$D$8,0.1*Reference!$D$8)*(1+Reference!$D$11*(IF(MONTH($A39)=Reference!$D$4,1,0)+IF(MONTH($A39)=Reference!$D$5,1,0))+(IF(MONTH($A39)=Reference!$D$6,Reference!$D$13,0))),0)</f>
        <v>487</v>
      </c>
      <c r="E39" s="11">
        <f ca="1">D39*Reference!$D$7*(1-IF(MONTH($A39)=Reference!$D$6,1,0)*Reference!$D$12)</f>
        <v>365250</v>
      </c>
      <c r="L39" s="16"/>
      <c r="M39" s="20"/>
      <c r="N39" s="20"/>
      <c r="O39" s="19"/>
      <c r="P39" s="10"/>
      <c r="Q39" s="10"/>
      <c r="R39" s="10"/>
      <c r="S39" s="10"/>
      <c r="T39" s="10"/>
      <c r="U39" s="10"/>
      <c r="V39" s="10"/>
      <c r="W39" s="10"/>
      <c r="X39" s="10"/>
      <c r="Y39" s="10"/>
    </row>
    <row r="40" spans="1:25" x14ac:dyDescent="0.25">
      <c r="A40" s="9">
        <v>40578</v>
      </c>
      <c r="B40" s="10">
        <f ca="1">ROUND(_xlfn.NORM.INV(RAND(),Reference!$C$8,0.1*Reference!$C$8)*(1+Reference!$C$11*(IF(MONTH($A40)=Reference!$C$4,1,0)+IF(MONTH($A40)=Reference!$C$5,1,0))+(IF(MONTH($A40)=Reference!$C$6,Reference!$C$13,0))),0)</f>
        <v>345</v>
      </c>
      <c r="C40" s="11">
        <f ca="1">B40*Reference!$C$7*(1-IF(MONTH($A40)=Reference!$C$6,1,0)*Reference!$C$12)</f>
        <v>320850</v>
      </c>
      <c r="D40" s="10">
        <f ca="1">ROUND(_xlfn.NORM.INV(RAND(),Reference!$D$8,0.1*Reference!$D$8)*(1+Reference!$D$11*(IF(MONTH($A40)=Reference!$D$4,1,0)+IF(MONTH($A40)=Reference!$D$5,1,0))+(IF(MONTH($A40)=Reference!$D$6,Reference!$D$13,0))),0)</f>
        <v>493</v>
      </c>
      <c r="E40" s="11">
        <f ca="1">D40*Reference!$D$7*(1-IF(MONTH($A40)=Reference!$D$6,1,0)*Reference!$D$12)</f>
        <v>369750</v>
      </c>
      <c r="L40" s="16"/>
      <c r="M40" s="20"/>
      <c r="N40" s="20"/>
      <c r="O40" s="19"/>
      <c r="P40" s="10"/>
      <c r="Q40" s="10"/>
      <c r="R40" s="10"/>
      <c r="S40" s="10"/>
      <c r="T40" s="10"/>
      <c r="U40" s="10"/>
      <c r="V40" s="10"/>
      <c r="W40" s="10"/>
      <c r="X40" s="10"/>
      <c r="Y40" s="10"/>
    </row>
    <row r="41" spans="1:25" x14ac:dyDescent="0.25">
      <c r="A41" s="9">
        <v>40579</v>
      </c>
      <c r="B41" s="10">
        <f ca="1">ROUND(_xlfn.NORM.INV(RAND(),Reference!$C$8,0.1*Reference!$C$8)*(1+Reference!$C$11*(IF(MONTH($A41)=Reference!$C$4,1,0)+IF(MONTH($A41)=Reference!$C$5,1,0))+(IF(MONTH($A41)=Reference!$C$6,Reference!$C$13,0))),0)</f>
        <v>479</v>
      </c>
      <c r="C41" s="11">
        <f ca="1">B41*Reference!$C$7*(1-IF(MONTH($A41)=Reference!$C$6,1,0)*Reference!$C$12)</f>
        <v>445470</v>
      </c>
      <c r="D41" s="10">
        <f ca="1">ROUND(_xlfn.NORM.INV(RAND(),Reference!$D$8,0.1*Reference!$D$8)*(1+Reference!$D$11*(IF(MONTH($A41)=Reference!$D$4,1,0)+IF(MONTH($A41)=Reference!$D$5,1,0))+(IF(MONTH($A41)=Reference!$D$6,Reference!$D$13,0))),0)</f>
        <v>393</v>
      </c>
      <c r="E41" s="11">
        <f ca="1">D41*Reference!$D$7*(1-IF(MONTH($A41)=Reference!$D$6,1,0)*Reference!$D$12)</f>
        <v>294750</v>
      </c>
      <c r="L41" s="16"/>
      <c r="M41" s="20"/>
      <c r="N41" s="20"/>
      <c r="O41" s="19"/>
      <c r="P41" s="10"/>
      <c r="Q41" s="10"/>
      <c r="R41" s="10"/>
      <c r="S41" s="10"/>
      <c r="T41" s="10"/>
      <c r="U41" s="10"/>
      <c r="V41" s="10"/>
      <c r="W41" s="10"/>
      <c r="X41" s="10"/>
      <c r="Y41" s="10"/>
    </row>
    <row r="42" spans="1:25" x14ac:dyDescent="0.25">
      <c r="A42" s="9">
        <v>40580</v>
      </c>
      <c r="B42" s="10">
        <f ca="1">ROUND(_xlfn.NORM.INV(RAND(),Reference!$C$8,0.1*Reference!$C$8)*(1+Reference!$C$11*(IF(MONTH($A42)=Reference!$C$4,1,0)+IF(MONTH($A42)=Reference!$C$5,1,0))+(IF(MONTH($A42)=Reference!$C$6,Reference!$C$13,0))),0)</f>
        <v>350</v>
      </c>
      <c r="C42" s="11">
        <f ca="1">B42*Reference!$C$7*(1-IF(MONTH($A42)=Reference!$C$6,1,0)*Reference!$C$12)</f>
        <v>325500</v>
      </c>
      <c r="D42" s="10">
        <f ca="1">ROUND(_xlfn.NORM.INV(RAND(),Reference!$D$8,0.1*Reference!$D$8)*(1+Reference!$D$11*(IF(MONTH($A42)=Reference!$D$4,1,0)+IF(MONTH($A42)=Reference!$D$5,1,0))+(IF(MONTH($A42)=Reference!$D$6,Reference!$D$13,0))),0)</f>
        <v>342</v>
      </c>
      <c r="E42" s="11">
        <f ca="1">D42*Reference!$D$7*(1-IF(MONTH($A42)=Reference!$D$6,1,0)*Reference!$D$12)</f>
        <v>256500</v>
      </c>
      <c r="L42" s="16"/>
      <c r="M42" s="20"/>
      <c r="N42" s="20"/>
      <c r="O42" s="19"/>
      <c r="P42" s="10"/>
      <c r="Q42" s="10"/>
      <c r="R42" s="10"/>
      <c r="S42" s="10"/>
      <c r="T42" s="10"/>
      <c r="U42" s="10"/>
      <c r="V42" s="10"/>
      <c r="W42" s="10"/>
      <c r="X42" s="10"/>
      <c r="Y42" s="10"/>
    </row>
    <row r="43" spans="1:25" x14ac:dyDescent="0.25">
      <c r="A43" s="9">
        <v>40581</v>
      </c>
      <c r="B43" s="10">
        <f ca="1">ROUND(_xlfn.NORM.INV(RAND(),Reference!$C$8,0.1*Reference!$C$8)*(1+Reference!$C$11*(IF(MONTH($A43)=Reference!$C$4,1,0)+IF(MONTH($A43)=Reference!$C$5,1,0))+(IF(MONTH($A43)=Reference!$C$6,Reference!$C$13,0))),0)</f>
        <v>410</v>
      </c>
      <c r="C43" s="11">
        <f ca="1">B43*Reference!$C$7*(1-IF(MONTH($A43)=Reference!$C$6,1,0)*Reference!$C$12)</f>
        <v>381300</v>
      </c>
      <c r="D43" s="10">
        <f ca="1">ROUND(_xlfn.NORM.INV(RAND(),Reference!$D$8,0.1*Reference!$D$8)*(1+Reference!$D$11*(IF(MONTH($A43)=Reference!$D$4,1,0)+IF(MONTH($A43)=Reference!$D$5,1,0))+(IF(MONTH($A43)=Reference!$D$6,Reference!$D$13,0))),0)</f>
        <v>419</v>
      </c>
      <c r="E43" s="11">
        <f ca="1">D43*Reference!$D$7*(1-IF(MONTH($A43)=Reference!$D$6,1,0)*Reference!$D$12)</f>
        <v>314250</v>
      </c>
      <c r="L43" s="16"/>
      <c r="M43" s="20"/>
      <c r="N43" s="20"/>
      <c r="O43" s="19"/>
      <c r="P43" s="10"/>
      <c r="Q43" s="10"/>
      <c r="R43" s="10"/>
      <c r="S43" s="10"/>
      <c r="T43" s="10"/>
      <c r="U43" s="10"/>
      <c r="V43" s="10"/>
      <c r="W43" s="10"/>
      <c r="X43" s="10"/>
      <c r="Y43" s="10"/>
    </row>
    <row r="44" spans="1:25" x14ac:dyDescent="0.25">
      <c r="A44" s="9">
        <v>40582</v>
      </c>
      <c r="B44" s="10">
        <f ca="1">ROUND(_xlfn.NORM.INV(RAND(),Reference!$C$8,0.1*Reference!$C$8)*(1+Reference!$C$11*(IF(MONTH($A44)=Reference!$C$4,1,0)+IF(MONTH($A44)=Reference!$C$5,1,0))+(IF(MONTH($A44)=Reference!$C$6,Reference!$C$13,0))),0)</f>
        <v>348</v>
      </c>
      <c r="C44" s="11">
        <f ca="1">B44*Reference!$C$7*(1-IF(MONTH($A44)=Reference!$C$6,1,0)*Reference!$C$12)</f>
        <v>323640</v>
      </c>
      <c r="D44" s="10">
        <f ca="1">ROUND(_xlfn.NORM.INV(RAND(),Reference!$D$8,0.1*Reference!$D$8)*(1+Reference!$D$11*(IF(MONTH($A44)=Reference!$D$4,1,0)+IF(MONTH($A44)=Reference!$D$5,1,0))+(IF(MONTH($A44)=Reference!$D$6,Reference!$D$13,0))),0)</f>
        <v>466</v>
      </c>
      <c r="E44" s="11">
        <f ca="1">D44*Reference!$D$7*(1-IF(MONTH($A44)=Reference!$D$6,1,0)*Reference!$D$12)</f>
        <v>349500</v>
      </c>
      <c r="L44" s="16"/>
      <c r="M44" s="20"/>
      <c r="N44" s="20"/>
      <c r="O44" s="19"/>
      <c r="P44" s="10"/>
      <c r="Q44" s="10"/>
      <c r="R44" s="10"/>
      <c r="S44" s="10"/>
      <c r="T44" s="10"/>
      <c r="U44" s="10"/>
      <c r="V44" s="10"/>
      <c r="W44" s="10"/>
      <c r="X44" s="10"/>
      <c r="Y44" s="10"/>
    </row>
    <row r="45" spans="1:25" x14ac:dyDescent="0.25">
      <c r="A45" s="9">
        <v>40583</v>
      </c>
      <c r="B45" s="10">
        <f ca="1">ROUND(_xlfn.NORM.INV(RAND(),Reference!$C$8,0.1*Reference!$C$8)*(1+Reference!$C$11*(IF(MONTH($A45)=Reference!$C$4,1,0)+IF(MONTH($A45)=Reference!$C$5,1,0))+(IF(MONTH($A45)=Reference!$C$6,Reference!$C$13,0))),0)</f>
        <v>390</v>
      </c>
      <c r="C45" s="11">
        <f ca="1">B45*Reference!$C$7*(1-IF(MONTH($A45)=Reference!$C$6,1,0)*Reference!$C$12)</f>
        <v>362700</v>
      </c>
      <c r="D45" s="10">
        <f ca="1">ROUND(_xlfn.NORM.INV(RAND(),Reference!$D$8,0.1*Reference!$D$8)*(1+Reference!$D$11*(IF(MONTH($A45)=Reference!$D$4,1,0)+IF(MONTH($A45)=Reference!$D$5,1,0))+(IF(MONTH($A45)=Reference!$D$6,Reference!$D$13,0))),0)</f>
        <v>382</v>
      </c>
      <c r="E45" s="11">
        <f ca="1">D45*Reference!$D$7*(1-IF(MONTH($A45)=Reference!$D$6,1,0)*Reference!$D$12)</f>
        <v>286500</v>
      </c>
      <c r="L45" s="16"/>
      <c r="M45" s="20"/>
      <c r="N45" s="20"/>
      <c r="O45" s="19"/>
      <c r="P45" s="10"/>
      <c r="Q45" s="10"/>
      <c r="R45" s="10"/>
      <c r="S45" s="10"/>
      <c r="T45" s="10"/>
      <c r="U45" s="10"/>
      <c r="V45" s="10"/>
      <c r="W45" s="10"/>
      <c r="X45" s="10"/>
      <c r="Y45" s="10"/>
    </row>
    <row r="46" spans="1:25" x14ac:dyDescent="0.25">
      <c r="A46" s="9">
        <v>40584</v>
      </c>
      <c r="B46" s="10">
        <f ca="1">ROUND(_xlfn.NORM.INV(RAND(),Reference!$C$8,0.1*Reference!$C$8)*(1+Reference!$C$11*(IF(MONTH($A46)=Reference!$C$4,1,0)+IF(MONTH($A46)=Reference!$C$5,1,0))+(IF(MONTH($A46)=Reference!$C$6,Reference!$C$13,0))),0)</f>
        <v>277</v>
      </c>
      <c r="C46" s="11">
        <f ca="1">B46*Reference!$C$7*(1-IF(MONTH($A46)=Reference!$C$6,1,0)*Reference!$C$12)</f>
        <v>257610</v>
      </c>
      <c r="D46" s="10">
        <f ca="1">ROUND(_xlfn.NORM.INV(RAND(),Reference!$D$8,0.1*Reference!$D$8)*(1+Reference!$D$11*(IF(MONTH($A46)=Reference!$D$4,1,0)+IF(MONTH($A46)=Reference!$D$5,1,0))+(IF(MONTH($A46)=Reference!$D$6,Reference!$D$13,0))),0)</f>
        <v>400</v>
      </c>
      <c r="E46" s="11">
        <f ca="1">D46*Reference!$D$7*(1-IF(MONTH($A46)=Reference!$D$6,1,0)*Reference!$D$12)</f>
        <v>300000</v>
      </c>
      <c r="L46" s="16"/>
      <c r="M46" s="20"/>
      <c r="N46" s="20"/>
      <c r="O46" s="19"/>
      <c r="P46" s="10"/>
      <c r="Q46" s="10"/>
      <c r="R46" s="10"/>
      <c r="S46" s="10"/>
      <c r="T46" s="10"/>
      <c r="U46" s="10"/>
      <c r="V46" s="10"/>
      <c r="W46" s="10"/>
      <c r="X46" s="10"/>
      <c r="Y46" s="10"/>
    </row>
    <row r="47" spans="1:25" x14ac:dyDescent="0.25">
      <c r="A47" s="9">
        <v>40585</v>
      </c>
      <c r="B47" s="10">
        <f ca="1">ROUND(_xlfn.NORM.INV(RAND(),Reference!$C$8,0.1*Reference!$C$8)*(1+Reference!$C$11*(IF(MONTH($A47)=Reference!$C$4,1,0)+IF(MONTH($A47)=Reference!$C$5,1,0))+(IF(MONTH($A47)=Reference!$C$6,Reference!$C$13,0))),0)</f>
        <v>331</v>
      </c>
      <c r="C47" s="11">
        <f ca="1">B47*Reference!$C$7*(1-IF(MONTH($A47)=Reference!$C$6,1,0)*Reference!$C$12)</f>
        <v>307830</v>
      </c>
      <c r="D47" s="10">
        <f ca="1">ROUND(_xlfn.NORM.INV(RAND(),Reference!$D$8,0.1*Reference!$D$8)*(1+Reference!$D$11*(IF(MONTH($A47)=Reference!$D$4,1,0)+IF(MONTH($A47)=Reference!$D$5,1,0))+(IF(MONTH($A47)=Reference!$D$6,Reference!$D$13,0))),0)</f>
        <v>459</v>
      </c>
      <c r="E47" s="11">
        <f ca="1">D47*Reference!$D$7*(1-IF(MONTH($A47)=Reference!$D$6,1,0)*Reference!$D$12)</f>
        <v>344250</v>
      </c>
      <c r="L47" s="16"/>
      <c r="M47" s="20"/>
      <c r="N47" s="20"/>
      <c r="O47" s="19"/>
      <c r="P47" s="10"/>
      <c r="Q47" s="10"/>
      <c r="R47" s="10"/>
      <c r="S47" s="10"/>
      <c r="T47" s="10"/>
      <c r="U47" s="10"/>
      <c r="V47" s="10"/>
      <c r="W47" s="10"/>
      <c r="X47" s="10"/>
      <c r="Y47" s="10"/>
    </row>
    <row r="48" spans="1:25" x14ac:dyDescent="0.25">
      <c r="A48" s="9">
        <v>40586</v>
      </c>
      <c r="B48" s="10">
        <f ca="1">ROUND(_xlfn.NORM.INV(RAND(),Reference!$C$8,0.1*Reference!$C$8)*(1+Reference!$C$11*(IF(MONTH($A48)=Reference!$C$4,1,0)+IF(MONTH($A48)=Reference!$C$5,1,0))+(IF(MONTH($A48)=Reference!$C$6,Reference!$C$13,0))),0)</f>
        <v>385</v>
      </c>
      <c r="C48" s="11">
        <f ca="1">B48*Reference!$C$7*(1-IF(MONTH($A48)=Reference!$C$6,1,0)*Reference!$C$12)</f>
        <v>358050</v>
      </c>
      <c r="D48" s="10">
        <f ca="1">ROUND(_xlfn.NORM.INV(RAND(),Reference!$D$8,0.1*Reference!$D$8)*(1+Reference!$D$11*(IF(MONTH($A48)=Reference!$D$4,1,0)+IF(MONTH($A48)=Reference!$D$5,1,0))+(IF(MONTH($A48)=Reference!$D$6,Reference!$D$13,0))),0)</f>
        <v>457</v>
      </c>
      <c r="E48" s="11">
        <f ca="1">D48*Reference!$D$7*(1-IF(MONTH($A48)=Reference!$D$6,1,0)*Reference!$D$12)</f>
        <v>342750</v>
      </c>
      <c r="L48" s="16"/>
      <c r="M48" s="20"/>
      <c r="N48" s="20"/>
      <c r="O48" s="19"/>
      <c r="P48" s="10"/>
      <c r="Q48" s="10"/>
      <c r="R48" s="10"/>
      <c r="S48" s="10"/>
      <c r="T48" s="10"/>
      <c r="U48" s="10"/>
      <c r="V48" s="10"/>
      <c r="W48" s="10"/>
      <c r="X48" s="10"/>
      <c r="Y48" s="10"/>
    </row>
    <row r="49" spans="1:25" x14ac:dyDescent="0.25">
      <c r="A49" s="9">
        <v>40587</v>
      </c>
      <c r="B49" s="10">
        <f ca="1">ROUND(_xlfn.NORM.INV(RAND(),Reference!$C$8,0.1*Reference!$C$8)*(1+Reference!$C$11*(IF(MONTH($A49)=Reference!$C$4,1,0)+IF(MONTH($A49)=Reference!$C$5,1,0))+(IF(MONTH($A49)=Reference!$C$6,Reference!$C$13,0))),0)</f>
        <v>402</v>
      </c>
      <c r="C49" s="11">
        <f ca="1">B49*Reference!$C$7*(1-IF(MONTH($A49)=Reference!$C$6,1,0)*Reference!$C$12)</f>
        <v>373860</v>
      </c>
      <c r="D49" s="10">
        <f ca="1">ROUND(_xlfn.NORM.INV(RAND(),Reference!$D$8,0.1*Reference!$D$8)*(1+Reference!$D$11*(IF(MONTH($A49)=Reference!$D$4,1,0)+IF(MONTH($A49)=Reference!$D$5,1,0))+(IF(MONTH($A49)=Reference!$D$6,Reference!$D$13,0))),0)</f>
        <v>428</v>
      </c>
      <c r="E49" s="11">
        <f ca="1">D49*Reference!$D$7*(1-IF(MONTH($A49)=Reference!$D$6,1,0)*Reference!$D$12)</f>
        <v>321000</v>
      </c>
      <c r="L49" s="16"/>
      <c r="M49" s="20"/>
      <c r="N49" s="20"/>
      <c r="O49" s="19"/>
      <c r="P49" s="10"/>
      <c r="Q49" s="10"/>
      <c r="R49" s="10"/>
      <c r="S49" s="10"/>
      <c r="T49" s="10"/>
      <c r="U49" s="10"/>
      <c r="V49" s="10"/>
      <c r="W49" s="10"/>
      <c r="X49" s="10"/>
      <c r="Y49" s="10"/>
    </row>
    <row r="50" spans="1:25" x14ac:dyDescent="0.25">
      <c r="A50" s="9">
        <v>40588</v>
      </c>
      <c r="B50" s="10">
        <f ca="1">ROUND(_xlfn.NORM.INV(RAND(),Reference!$C$8,0.1*Reference!$C$8)*(1+Reference!$C$11*(IF(MONTH($A50)=Reference!$C$4,1,0)+IF(MONTH($A50)=Reference!$C$5,1,0))+(IF(MONTH($A50)=Reference!$C$6,Reference!$C$13,0))),0)</f>
        <v>366</v>
      </c>
      <c r="C50" s="11">
        <f ca="1">B50*Reference!$C$7*(1-IF(MONTH($A50)=Reference!$C$6,1,0)*Reference!$C$12)</f>
        <v>340380</v>
      </c>
      <c r="D50" s="10">
        <f ca="1">ROUND(_xlfn.NORM.INV(RAND(),Reference!$D$8,0.1*Reference!$D$8)*(1+Reference!$D$11*(IF(MONTH($A50)=Reference!$D$4,1,0)+IF(MONTH($A50)=Reference!$D$5,1,0))+(IF(MONTH($A50)=Reference!$D$6,Reference!$D$13,0))),0)</f>
        <v>504</v>
      </c>
      <c r="E50" s="11">
        <f ca="1">D50*Reference!$D$7*(1-IF(MONTH($A50)=Reference!$D$6,1,0)*Reference!$D$12)</f>
        <v>378000</v>
      </c>
      <c r="L50" s="16"/>
      <c r="M50" s="20"/>
      <c r="N50" s="20"/>
      <c r="O50" s="19"/>
      <c r="P50" s="10"/>
      <c r="Q50" s="10"/>
      <c r="R50" s="10"/>
      <c r="S50" s="10"/>
      <c r="T50" s="10"/>
      <c r="U50" s="10"/>
      <c r="V50" s="10"/>
      <c r="W50" s="10"/>
      <c r="X50" s="10"/>
      <c r="Y50" s="10"/>
    </row>
    <row r="51" spans="1:25" x14ac:dyDescent="0.25">
      <c r="A51" s="9">
        <v>40589</v>
      </c>
      <c r="B51" s="10">
        <f ca="1">ROUND(_xlfn.NORM.INV(RAND(),Reference!$C$8,0.1*Reference!$C$8)*(1+Reference!$C$11*(IF(MONTH($A51)=Reference!$C$4,1,0)+IF(MONTH($A51)=Reference!$C$5,1,0))+(IF(MONTH($A51)=Reference!$C$6,Reference!$C$13,0))),0)</f>
        <v>394</v>
      </c>
      <c r="C51" s="11">
        <f ca="1">B51*Reference!$C$7*(1-IF(MONTH($A51)=Reference!$C$6,1,0)*Reference!$C$12)</f>
        <v>366420</v>
      </c>
      <c r="D51" s="10">
        <f ca="1">ROUND(_xlfn.NORM.INV(RAND(),Reference!$D$8,0.1*Reference!$D$8)*(1+Reference!$D$11*(IF(MONTH($A51)=Reference!$D$4,1,0)+IF(MONTH($A51)=Reference!$D$5,1,0))+(IF(MONTH($A51)=Reference!$D$6,Reference!$D$13,0))),0)</f>
        <v>432</v>
      </c>
      <c r="E51" s="11">
        <f ca="1">D51*Reference!$D$7*(1-IF(MONTH($A51)=Reference!$D$6,1,0)*Reference!$D$12)</f>
        <v>324000</v>
      </c>
      <c r="L51" s="16"/>
      <c r="M51" s="20"/>
      <c r="N51" s="20"/>
      <c r="O51" s="19"/>
      <c r="P51" s="10"/>
      <c r="Q51" s="10"/>
      <c r="R51" s="10"/>
      <c r="S51" s="10"/>
      <c r="T51" s="10"/>
      <c r="U51" s="10"/>
      <c r="V51" s="10"/>
      <c r="W51" s="10"/>
      <c r="X51" s="10"/>
      <c r="Y51" s="10"/>
    </row>
    <row r="52" spans="1:25" x14ac:dyDescent="0.25">
      <c r="A52" s="9">
        <v>40590</v>
      </c>
      <c r="B52" s="10">
        <f ca="1">ROUND(_xlfn.NORM.INV(RAND(),Reference!$C$8,0.1*Reference!$C$8)*(1+Reference!$C$11*(IF(MONTH($A52)=Reference!$C$4,1,0)+IF(MONTH($A52)=Reference!$C$5,1,0))+(IF(MONTH($A52)=Reference!$C$6,Reference!$C$13,0))),0)</f>
        <v>331</v>
      </c>
      <c r="C52" s="11">
        <f ca="1">B52*Reference!$C$7*(1-IF(MONTH($A52)=Reference!$C$6,1,0)*Reference!$C$12)</f>
        <v>307830</v>
      </c>
      <c r="D52" s="10">
        <f ca="1">ROUND(_xlfn.NORM.INV(RAND(),Reference!$D$8,0.1*Reference!$D$8)*(1+Reference!$D$11*(IF(MONTH($A52)=Reference!$D$4,1,0)+IF(MONTH($A52)=Reference!$D$5,1,0))+(IF(MONTH($A52)=Reference!$D$6,Reference!$D$13,0))),0)</f>
        <v>421</v>
      </c>
      <c r="E52" s="11">
        <f ca="1">D52*Reference!$D$7*(1-IF(MONTH($A52)=Reference!$D$6,1,0)*Reference!$D$12)</f>
        <v>315750</v>
      </c>
      <c r="L52" s="16"/>
      <c r="M52" s="20"/>
      <c r="N52" s="20"/>
      <c r="O52" s="19"/>
      <c r="P52" s="10"/>
      <c r="Q52" s="10"/>
      <c r="R52" s="10"/>
      <c r="S52" s="10"/>
      <c r="T52" s="10"/>
      <c r="U52" s="10"/>
      <c r="V52" s="10"/>
      <c r="W52" s="10"/>
      <c r="X52" s="10"/>
      <c r="Y52" s="10"/>
    </row>
    <row r="53" spans="1:25" x14ac:dyDescent="0.25">
      <c r="A53" s="9">
        <v>40591</v>
      </c>
      <c r="B53" s="10">
        <f ca="1">ROUND(_xlfn.NORM.INV(RAND(),Reference!$C$8,0.1*Reference!$C$8)*(1+Reference!$C$11*(IF(MONTH($A53)=Reference!$C$4,1,0)+IF(MONTH($A53)=Reference!$C$5,1,0))+(IF(MONTH($A53)=Reference!$C$6,Reference!$C$13,0))),0)</f>
        <v>402</v>
      </c>
      <c r="C53" s="11">
        <f ca="1">B53*Reference!$C$7*(1-IF(MONTH($A53)=Reference!$C$6,1,0)*Reference!$C$12)</f>
        <v>373860</v>
      </c>
      <c r="D53" s="10">
        <f ca="1">ROUND(_xlfn.NORM.INV(RAND(),Reference!$D$8,0.1*Reference!$D$8)*(1+Reference!$D$11*(IF(MONTH($A53)=Reference!$D$4,1,0)+IF(MONTH($A53)=Reference!$D$5,1,0))+(IF(MONTH($A53)=Reference!$D$6,Reference!$D$13,0))),0)</f>
        <v>458</v>
      </c>
      <c r="E53" s="11">
        <f ca="1">D53*Reference!$D$7*(1-IF(MONTH($A53)=Reference!$D$6,1,0)*Reference!$D$12)</f>
        <v>343500</v>
      </c>
      <c r="L53" s="16"/>
      <c r="M53" s="20"/>
      <c r="N53" s="20"/>
      <c r="O53" s="19"/>
      <c r="P53" s="10"/>
      <c r="Q53" s="10"/>
      <c r="R53" s="10"/>
      <c r="S53" s="10"/>
      <c r="T53" s="10"/>
      <c r="U53" s="10"/>
      <c r="V53" s="10"/>
      <c r="W53" s="10"/>
      <c r="X53" s="10"/>
      <c r="Y53" s="10"/>
    </row>
    <row r="54" spans="1:25" x14ac:dyDescent="0.25">
      <c r="A54" s="9">
        <v>40592</v>
      </c>
      <c r="B54" s="10">
        <f ca="1">ROUND(_xlfn.NORM.INV(RAND(),Reference!$C$8,0.1*Reference!$C$8)*(1+Reference!$C$11*(IF(MONTH($A54)=Reference!$C$4,1,0)+IF(MONTH($A54)=Reference!$C$5,1,0))+(IF(MONTH($A54)=Reference!$C$6,Reference!$C$13,0))),0)</f>
        <v>393</v>
      </c>
      <c r="C54" s="11">
        <f ca="1">B54*Reference!$C$7*(1-IF(MONTH($A54)=Reference!$C$6,1,0)*Reference!$C$12)</f>
        <v>365490</v>
      </c>
      <c r="D54" s="10">
        <f ca="1">ROUND(_xlfn.NORM.INV(RAND(),Reference!$D$8,0.1*Reference!$D$8)*(1+Reference!$D$11*(IF(MONTH($A54)=Reference!$D$4,1,0)+IF(MONTH($A54)=Reference!$D$5,1,0))+(IF(MONTH($A54)=Reference!$D$6,Reference!$D$13,0))),0)</f>
        <v>463</v>
      </c>
      <c r="E54" s="11">
        <f ca="1">D54*Reference!$D$7*(1-IF(MONTH($A54)=Reference!$D$6,1,0)*Reference!$D$12)</f>
        <v>347250</v>
      </c>
      <c r="L54" s="16"/>
      <c r="M54" s="20"/>
      <c r="N54" s="20"/>
      <c r="O54" s="19"/>
      <c r="P54" s="10"/>
      <c r="Q54" s="10"/>
      <c r="R54" s="10"/>
      <c r="S54" s="10"/>
      <c r="T54" s="10"/>
      <c r="U54" s="10"/>
      <c r="V54" s="10"/>
      <c r="W54" s="10"/>
      <c r="X54" s="10"/>
      <c r="Y54" s="10"/>
    </row>
    <row r="55" spans="1:25" x14ac:dyDescent="0.25">
      <c r="A55" s="9">
        <v>40593</v>
      </c>
      <c r="B55" s="10">
        <f ca="1">ROUND(_xlfn.NORM.INV(RAND(),Reference!$C$8,0.1*Reference!$C$8)*(1+Reference!$C$11*(IF(MONTH($A55)=Reference!$C$4,1,0)+IF(MONTH($A55)=Reference!$C$5,1,0))+(IF(MONTH($A55)=Reference!$C$6,Reference!$C$13,0))),0)</f>
        <v>378</v>
      </c>
      <c r="C55" s="11">
        <f ca="1">B55*Reference!$C$7*(1-IF(MONTH($A55)=Reference!$C$6,1,0)*Reference!$C$12)</f>
        <v>351540</v>
      </c>
      <c r="D55" s="10">
        <f ca="1">ROUND(_xlfn.NORM.INV(RAND(),Reference!$D$8,0.1*Reference!$D$8)*(1+Reference!$D$11*(IF(MONTH($A55)=Reference!$D$4,1,0)+IF(MONTH($A55)=Reference!$D$5,1,0))+(IF(MONTH($A55)=Reference!$D$6,Reference!$D$13,0))),0)</f>
        <v>494</v>
      </c>
      <c r="E55" s="11">
        <f ca="1">D55*Reference!$D$7*(1-IF(MONTH($A55)=Reference!$D$6,1,0)*Reference!$D$12)</f>
        <v>370500</v>
      </c>
      <c r="L55" s="16"/>
      <c r="M55" s="20"/>
      <c r="N55" s="20"/>
      <c r="O55" s="19"/>
      <c r="P55" s="10"/>
      <c r="Q55" s="10"/>
      <c r="R55" s="10"/>
      <c r="S55" s="10"/>
      <c r="T55" s="10"/>
      <c r="U55" s="10"/>
      <c r="V55" s="10"/>
      <c r="W55" s="10"/>
      <c r="X55" s="10"/>
      <c r="Y55" s="10"/>
    </row>
    <row r="56" spans="1:25" x14ac:dyDescent="0.25">
      <c r="A56" s="9">
        <v>40594</v>
      </c>
      <c r="B56" s="10">
        <f ca="1">ROUND(_xlfn.NORM.INV(RAND(),Reference!$C$8,0.1*Reference!$C$8)*(1+Reference!$C$11*(IF(MONTH($A56)=Reference!$C$4,1,0)+IF(MONTH($A56)=Reference!$C$5,1,0))+(IF(MONTH($A56)=Reference!$C$6,Reference!$C$13,0))),0)</f>
        <v>320</v>
      </c>
      <c r="C56" s="11">
        <f ca="1">B56*Reference!$C$7*(1-IF(MONTH($A56)=Reference!$C$6,1,0)*Reference!$C$12)</f>
        <v>297600</v>
      </c>
      <c r="D56" s="10">
        <f ca="1">ROUND(_xlfn.NORM.INV(RAND(),Reference!$D$8,0.1*Reference!$D$8)*(1+Reference!$D$11*(IF(MONTH($A56)=Reference!$D$4,1,0)+IF(MONTH($A56)=Reference!$D$5,1,0))+(IF(MONTH($A56)=Reference!$D$6,Reference!$D$13,0))),0)</f>
        <v>423</v>
      </c>
      <c r="E56" s="11">
        <f ca="1">D56*Reference!$D$7*(1-IF(MONTH($A56)=Reference!$D$6,1,0)*Reference!$D$12)</f>
        <v>317250</v>
      </c>
      <c r="L56" s="16"/>
      <c r="M56" s="20"/>
      <c r="N56" s="20"/>
      <c r="O56" s="19"/>
      <c r="P56" s="10"/>
      <c r="Q56" s="10"/>
      <c r="R56" s="10"/>
      <c r="S56" s="10"/>
      <c r="T56" s="10"/>
      <c r="U56" s="10"/>
      <c r="V56" s="10"/>
      <c r="W56" s="10"/>
      <c r="X56" s="10"/>
      <c r="Y56" s="10"/>
    </row>
    <row r="57" spans="1:25" x14ac:dyDescent="0.25">
      <c r="A57" s="9">
        <v>40595</v>
      </c>
      <c r="B57" s="10">
        <f ca="1">ROUND(_xlfn.NORM.INV(RAND(),Reference!$C$8,0.1*Reference!$C$8)*(1+Reference!$C$11*(IF(MONTH($A57)=Reference!$C$4,1,0)+IF(MONTH($A57)=Reference!$C$5,1,0))+(IF(MONTH($A57)=Reference!$C$6,Reference!$C$13,0))),0)</f>
        <v>362</v>
      </c>
      <c r="C57" s="11">
        <f ca="1">B57*Reference!$C$7*(1-IF(MONTH($A57)=Reference!$C$6,1,0)*Reference!$C$12)</f>
        <v>336660</v>
      </c>
      <c r="D57" s="10">
        <f ca="1">ROUND(_xlfn.NORM.INV(RAND(),Reference!$D$8,0.1*Reference!$D$8)*(1+Reference!$D$11*(IF(MONTH($A57)=Reference!$D$4,1,0)+IF(MONTH($A57)=Reference!$D$5,1,0))+(IF(MONTH($A57)=Reference!$D$6,Reference!$D$13,0))),0)</f>
        <v>501</v>
      </c>
      <c r="E57" s="11">
        <f ca="1">D57*Reference!$D$7*(1-IF(MONTH($A57)=Reference!$D$6,1,0)*Reference!$D$12)</f>
        <v>375750</v>
      </c>
      <c r="L57" s="16"/>
      <c r="M57" s="20"/>
      <c r="N57" s="20"/>
      <c r="O57" s="19"/>
      <c r="P57" s="10"/>
      <c r="Q57" s="10"/>
      <c r="R57" s="10"/>
      <c r="S57" s="10"/>
      <c r="T57" s="10"/>
      <c r="U57" s="10"/>
      <c r="V57" s="10"/>
      <c r="W57" s="10"/>
      <c r="X57" s="10"/>
      <c r="Y57" s="10"/>
    </row>
    <row r="58" spans="1:25" x14ac:dyDescent="0.25">
      <c r="A58" s="9">
        <v>40596</v>
      </c>
      <c r="B58" s="10">
        <f ca="1">ROUND(_xlfn.NORM.INV(RAND(),Reference!$C$8,0.1*Reference!$C$8)*(1+Reference!$C$11*(IF(MONTH($A58)=Reference!$C$4,1,0)+IF(MONTH($A58)=Reference!$C$5,1,0))+(IF(MONTH($A58)=Reference!$C$6,Reference!$C$13,0))),0)</f>
        <v>399</v>
      </c>
      <c r="C58" s="11">
        <f ca="1">B58*Reference!$C$7*(1-IF(MONTH($A58)=Reference!$C$6,1,0)*Reference!$C$12)</f>
        <v>371070</v>
      </c>
      <c r="D58" s="10">
        <f ca="1">ROUND(_xlfn.NORM.INV(RAND(),Reference!$D$8,0.1*Reference!$D$8)*(1+Reference!$D$11*(IF(MONTH($A58)=Reference!$D$4,1,0)+IF(MONTH($A58)=Reference!$D$5,1,0))+(IF(MONTH($A58)=Reference!$D$6,Reference!$D$13,0))),0)</f>
        <v>424</v>
      </c>
      <c r="E58" s="11">
        <f ca="1">D58*Reference!$D$7*(1-IF(MONTH($A58)=Reference!$D$6,1,0)*Reference!$D$12)</f>
        <v>318000</v>
      </c>
      <c r="L58" s="16"/>
      <c r="M58" s="20"/>
      <c r="N58" s="20"/>
      <c r="O58" s="19"/>
      <c r="P58" s="10"/>
      <c r="Q58" s="10"/>
      <c r="R58" s="10"/>
      <c r="S58" s="10"/>
      <c r="T58" s="10"/>
      <c r="U58" s="10"/>
      <c r="V58" s="10"/>
      <c r="W58" s="10"/>
      <c r="X58" s="10"/>
      <c r="Y58" s="10"/>
    </row>
    <row r="59" spans="1:25" x14ac:dyDescent="0.25">
      <c r="A59" s="9">
        <v>40597</v>
      </c>
      <c r="B59" s="10">
        <f ca="1">ROUND(_xlfn.NORM.INV(RAND(),Reference!$C$8,0.1*Reference!$C$8)*(1+Reference!$C$11*(IF(MONTH($A59)=Reference!$C$4,1,0)+IF(MONTH($A59)=Reference!$C$5,1,0))+(IF(MONTH($A59)=Reference!$C$6,Reference!$C$13,0))),0)</f>
        <v>362</v>
      </c>
      <c r="C59" s="11">
        <f ca="1">B59*Reference!$C$7*(1-IF(MONTH($A59)=Reference!$C$6,1,0)*Reference!$C$12)</f>
        <v>336660</v>
      </c>
      <c r="D59" s="10">
        <f ca="1">ROUND(_xlfn.NORM.INV(RAND(),Reference!$D$8,0.1*Reference!$D$8)*(1+Reference!$D$11*(IF(MONTH($A59)=Reference!$D$4,1,0)+IF(MONTH($A59)=Reference!$D$5,1,0))+(IF(MONTH($A59)=Reference!$D$6,Reference!$D$13,0))),0)</f>
        <v>493</v>
      </c>
      <c r="E59" s="11">
        <f ca="1">D59*Reference!$D$7*(1-IF(MONTH($A59)=Reference!$D$6,1,0)*Reference!$D$12)</f>
        <v>369750</v>
      </c>
      <c r="L59" s="16"/>
      <c r="M59" s="20"/>
      <c r="N59" s="20"/>
      <c r="O59" s="19"/>
      <c r="P59" s="10"/>
      <c r="Q59" s="10"/>
      <c r="R59" s="10"/>
      <c r="S59" s="10"/>
      <c r="T59" s="10"/>
      <c r="U59" s="10"/>
      <c r="V59" s="10"/>
      <c r="W59" s="10"/>
      <c r="X59" s="10"/>
      <c r="Y59" s="10"/>
    </row>
    <row r="60" spans="1:25" x14ac:dyDescent="0.25">
      <c r="A60" s="9">
        <v>40598</v>
      </c>
      <c r="B60" s="10">
        <f ca="1">ROUND(_xlfn.NORM.INV(RAND(),Reference!$C$8,0.1*Reference!$C$8)*(1+Reference!$C$11*(IF(MONTH($A60)=Reference!$C$4,1,0)+IF(MONTH($A60)=Reference!$C$5,1,0))+(IF(MONTH($A60)=Reference!$C$6,Reference!$C$13,0))),0)</f>
        <v>366</v>
      </c>
      <c r="C60" s="11">
        <f ca="1">B60*Reference!$C$7*(1-IF(MONTH($A60)=Reference!$C$6,1,0)*Reference!$C$12)</f>
        <v>340380</v>
      </c>
      <c r="D60" s="10">
        <f ca="1">ROUND(_xlfn.NORM.INV(RAND(),Reference!$D$8,0.1*Reference!$D$8)*(1+Reference!$D$11*(IF(MONTH($A60)=Reference!$D$4,1,0)+IF(MONTH($A60)=Reference!$D$5,1,0))+(IF(MONTH($A60)=Reference!$D$6,Reference!$D$13,0))),0)</f>
        <v>441</v>
      </c>
      <c r="E60" s="11">
        <f ca="1">D60*Reference!$D$7*(1-IF(MONTH($A60)=Reference!$D$6,1,0)*Reference!$D$12)</f>
        <v>330750</v>
      </c>
      <c r="L60" s="16"/>
      <c r="M60" s="20"/>
      <c r="N60" s="20"/>
      <c r="O60" s="19"/>
      <c r="P60" s="10"/>
      <c r="Q60" s="10"/>
      <c r="R60" s="10"/>
      <c r="S60" s="10"/>
      <c r="T60" s="10"/>
      <c r="U60" s="10"/>
      <c r="V60" s="10"/>
      <c r="W60" s="10"/>
      <c r="X60" s="10"/>
      <c r="Y60" s="10"/>
    </row>
    <row r="61" spans="1:25" x14ac:dyDescent="0.25">
      <c r="A61" s="9">
        <v>40599</v>
      </c>
      <c r="B61" s="10">
        <f ca="1">ROUND(_xlfn.NORM.INV(RAND(),Reference!$C$8,0.1*Reference!$C$8)*(1+Reference!$C$11*(IF(MONTH($A61)=Reference!$C$4,1,0)+IF(MONTH($A61)=Reference!$C$5,1,0))+(IF(MONTH($A61)=Reference!$C$6,Reference!$C$13,0))),0)</f>
        <v>386</v>
      </c>
      <c r="C61" s="11">
        <f ca="1">B61*Reference!$C$7*(1-IF(MONTH($A61)=Reference!$C$6,1,0)*Reference!$C$12)</f>
        <v>358980</v>
      </c>
      <c r="D61" s="10">
        <f ca="1">ROUND(_xlfn.NORM.INV(RAND(),Reference!$D$8,0.1*Reference!$D$8)*(1+Reference!$D$11*(IF(MONTH($A61)=Reference!$D$4,1,0)+IF(MONTH($A61)=Reference!$D$5,1,0))+(IF(MONTH($A61)=Reference!$D$6,Reference!$D$13,0))),0)</f>
        <v>499</v>
      </c>
      <c r="E61" s="11">
        <f ca="1">D61*Reference!$D$7*(1-IF(MONTH($A61)=Reference!$D$6,1,0)*Reference!$D$12)</f>
        <v>374250</v>
      </c>
      <c r="L61" s="16"/>
      <c r="M61" s="20"/>
      <c r="N61" s="20"/>
      <c r="O61" s="19"/>
      <c r="P61" s="10"/>
      <c r="Q61" s="10"/>
      <c r="R61" s="10"/>
      <c r="S61" s="10"/>
      <c r="T61" s="10"/>
      <c r="U61" s="10"/>
      <c r="V61" s="10"/>
      <c r="W61" s="10"/>
      <c r="X61" s="10"/>
      <c r="Y61" s="10"/>
    </row>
    <row r="62" spans="1:25" x14ac:dyDescent="0.25">
      <c r="A62" s="9">
        <v>40600</v>
      </c>
      <c r="B62" s="10">
        <f ca="1">ROUND(_xlfn.NORM.INV(RAND(),Reference!$C$8,0.1*Reference!$C$8)*(1+Reference!$C$11*(IF(MONTH($A62)=Reference!$C$4,1,0)+IF(MONTH($A62)=Reference!$C$5,1,0))+(IF(MONTH($A62)=Reference!$C$6,Reference!$C$13,0))),0)</f>
        <v>398</v>
      </c>
      <c r="C62" s="11">
        <f ca="1">B62*Reference!$C$7*(1-IF(MONTH($A62)=Reference!$C$6,1,0)*Reference!$C$12)</f>
        <v>370140</v>
      </c>
      <c r="D62" s="10">
        <f ca="1">ROUND(_xlfn.NORM.INV(RAND(),Reference!$D$8,0.1*Reference!$D$8)*(1+Reference!$D$11*(IF(MONTH($A62)=Reference!$D$4,1,0)+IF(MONTH($A62)=Reference!$D$5,1,0))+(IF(MONTH($A62)=Reference!$D$6,Reference!$D$13,0))),0)</f>
        <v>450</v>
      </c>
      <c r="E62" s="11">
        <f ca="1">D62*Reference!$D$7*(1-IF(MONTH($A62)=Reference!$D$6,1,0)*Reference!$D$12)</f>
        <v>337500</v>
      </c>
      <c r="L62" s="16"/>
      <c r="M62" s="20"/>
      <c r="N62" s="20"/>
      <c r="O62" s="19"/>
      <c r="P62" s="10"/>
      <c r="Q62" s="10"/>
      <c r="R62" s="10"/>
      <c r="S62" s="10"/>
      <c r="T62" s="10"/>
      <c r="U62" s="10"/>
      <c r="V62" s="10"/>
      <c r="W62" s="10"/>
      <c r="X62" s="10"/>
      <c r="Y62" s="10"/>
    </row>
    <row r="63" spans="1:25" x14ac:dyDescent="0.25">
      <c r="A63" s="9">
        <v>40601</v>
      </c>
      <c r="B63" s="10">
        <f ca="1">ROUND(_xlfn.NORM.INV(RAND(),Reference!$C$8,0.1*Reference!$C$8)*(1+Reference!$C$11*(IF(MONTH($A63)=Reference!$C$4,1,0)+IF(MONTH($A63)=Reference!$C$5,1,0))+(IF(MONTH($A63)=Reference!$C$6,Reference!$C$13,0))),0)</f>
        <v>328</v>
      </c>
      <c r="C63" s="11">
        <f ca="1">B63*Reference!$C$7*(1-IF(MONTH($A63)=Reference!$C$6,1,0)*Reference!$C$12)</f>
        <v>305040</v>
      </c>
      <c r="D63" s="10">
        <f ca="1">ROUND(_xlfn.NORM.INV(RAND(),Reference!$D$8,0.1*Reference!$D$8)*(1+Reference!$D$11*(IF(MONTH($A63)=Reference!$D$4,1,0)+IF(MONTH($A63)=Reference!$D$5,1,0))+(IF(MONTH($A63)=Reference!$D$6,Reference!$D$13,0))),0)</f>
        <v>445</v>
      </c>
      <c r="E63" s="11">
        <f ca="1">D63*Reference!$D$7*(1-IF(MONTH($A63)=Reference!$D$6,1,0)*Reference!$D$12)</f>
        <v>333750</v>
      </c>
      <c r="L63" s="16"/>
      <c r="M63" s="20"/>
      <c r="N63" s="20"/>
      <c r="O63" s="19"/>
      <c r="P63" s="10"/>
      <c r="Q63" s="10"/>
      <c r="R63" s="10"/>
      <c r="S63" s="10"/>
      <c r="T63" s="10"/>
      <c r="U63" s="10"/>
      <c r="V63" s="10"/>
      <c r="W63" s="10"/>
      <c r="X63" s="10"/>
      <c r="Y63" s="10"/>
    </row>
    <row r="64" spans="1:25" x14ac:dyDescent="0.25">
      <c r="A64" s="9">
        <v>40602</v>
      </c>
      <c r="B64" s="10">
        <f ca="1">ROUND(_xlfn.NORM.INV(RAND(),Reference!$C$8,0.1*Reference!$C$8)*(1+Reference!$C$11*(IF(MONTH($A64)=Reference!$C$4,1,0)+IF(MONTH($A64)=Reference!$C$5,1,0))+(IF(MONTH($A64)=Reference!$C$6,Reference!$C$13,0))),0)</f>
        <v>332</v>
      </c>
      <c r="C64" s="11">
        <f ca="1">B64*Reference!$C$7*(1-IF(MONTH($A64)=Reference!$C$6,1,0)*Reference!$C$12)</f>
        <v>308760</v>
      </c>
      <c r="D64" s="10">
        <f ca="1">ROUND(_xlfn.NORM.INV(RAND(),Reference!$D$8,0.1*Reference!$D$8)*(1+Reference!$D$11*(IF(MONTH($A64)=Reference!$D$4,1,0)+IF(MONTH($A64)=Reference!$D$5,1,0))+(IF(MONTH($A64)=Reference!$D$6,Reference!$D$13,0))),0)</f>
        <v>400</v>
      </c>
      <c r="E64" s="11">
        <f ca="1">D64*Reference!$D$7*(1-IF(MONTH($A64)=Reference!$D$6,1,0)*Reference!$D$12)</f>
        <v>300000</v>
      </c>
      <c r="L64" s="16"/>
      <c r="M64" s="20"/>
      <c r="N64" s="20"/>
      <c r="O64" s="19"/>
      <c r="P64" s="10"/>
      <c r="Q64" s="10"/>
      <c r="R64" s="10"/>
      <c r="S64" s="10"/>
      <c r="T64" s="10"/>
      <c r="U64" s="10"/>
      <c r="V64" s="10"/>
      <c r="W64" s="10"/>
      <c r="X64" s="10"/>
      <c r="Y64" s="10"/>
    </row>
    <row r="65" spans="1:25" x14ac:dyDescent="0.25">
      <c r="A65" s="9">
        <v>40603</v>
      </c>
      <c r="B65" s="10">
        <f ca="1">ROUND(_xlfn.NORM.INV(RAND(),Reference!$C$8,0.1*Reference!$C$8)*(1+Reference!$C$11*(IF(MONTH($A65)=Reference!$C$4,1,0)+IF(MONTH($A65)=Reference!$C$5,1,0))+(IF(MONTH($A65)=Reference!$C$6,Reference!$C$13,0))),0)</f>
        <v>368</v>
      </c>
      <c r="C65" s="11">
        <f ca="1">B65*Reference!$C$7*(1-IF(MONTH($A65)=Reference!$C$6,1,0)*Reference!$C$12)</f>
        <v>342240</v>
      </c>
      <c r="D65" s="10">
        <f ca="1">ROUND(_xlfn.NORM.INV(RAND(),Reference!$D$8,0.1*Reference!$D$8)*(1+Reference!$D$11*(IF(MONTH($A65)=Reference!$D$4,1,0)+IF(MONTH($A65)=Reference!$D$5,1,0))+(IF(MONTH($A65)=Reference!$D$6,Reference!$D$13,0))),0)</f>
        <v>440</v>
      </c>
      <c r="E65" s="11">
        <f ca="1">D65*Reference!$D$7*(1-IF(MONTH($A65)=Reference!$D$6,1,0)*Reference!$D$12)</f>
        <v>330000</v>
      </c>
      <c r="L65" s="16"/>
      <c r="M65" s="20"/>
      <c r="N65" s="20"/>
      <c r="O65" s="19"/>
      <c r="P65" s="10"/>
      <c r="Q65" s="10"/>
      <c r="R65" s="10"/>
      <c r="S65" s="10"/>
      <c r="T65" s="10"/>
      <c r="U65" s="10"/>
      <c r="V65" s="10"/>
      <c r="W65" s="10"/>
      <c r="X65" s="10"/>
      <c r="Y65" s="10"/>
    </row>
    <row r="66" spans="1:25" x14ac:dyDescent="0.25">
      <c r="A66" s="9">
        <v>40604</v>
      </c>
      <c r="B66" s="10">
        <f ca="1">ROUND(_xlfn.NORM.INV(RAND(),Reference!$C$8,0.1*Reference!$C$8)*(1+Reference!$C$11*(IF(MONTH($A66)=Reference!$C$4,1,0)+IF(MONTH($A66)=Reference!$C$5,1,0))+(IF(MONTH($A66)=Reference!$C$6,Reference!$C$13,0))),0)</f>
        <v>344</v>
      </c>
      <c r="C66" s="11">
        <f ca="1">B66*Reference!$C$7*(1-IF(MONTH($A66)=Reference!$C$6,1,0)*Reference!$C$12)</f>
        <v>319920</v>
      </c>
      <c r="D66" s="10">
        <f ca="1">ROUND(_xlfn.NORM.INV(RAND(),Reference!$D$8,0.1*Reference!$D$8)*(1+Reference!$D$11*(IF(MONTH($A66)=Reference!$D$4,1,0)+IF(MONTH($A66)=Reference!$D$5,1,0))+(IF(MONTH($A66)=Reference!$D$6,Reference!$D$13,0))),0)</f>
        <v>435</v>
      </c>
      <c r="E66" s="11">
        <f ca="1">D66*Reference!$D$7*(1-IF(MONTH($A66)=Reference!$D$6,1,0)*Reference!$D$12)</f>
        <v>326250</v>
      </c>
      <c r="L66" s="16"/>
      <c r="M66" s="20"/>
      <c r="N66" s="20"/>
      <c r="O66" s="19"/>
      <c r="P66" s="10"/>
      <c r="Q66" s="10"/>
      <c r="R66" s="10"/>
      <c r="S66" s="10"/>
      <c r="T66" s="10"/>
      <c r="U66" s="10"/>
      <c r="V66" s="10"/>
      <c r="W66" s="10"/>
      <c r="X66" s="10"/>
      <c r="Y66" s="10"/>
    </row>
    <row r="67" spans="1:25" x14ac:dyDescent="0.25">
      <c r="A67" s="9">
        <v>40605</v>
      </c>
      <c r="B67" s="10">
        <f ca="1">ROUND(_xlfn.NORM.INV(RAND(),Reference!$C$8,0.1*Reference!$C$8)*(1+Reference!$C$11*(IF(MONTH($A67)=Reference!$C$4,1,0)+IF(MONTH($A67)=Reference!$C$5,1,0))+(IF(MONTH($A67)=Reference!$C$6,Reference!$C$13,0))),0)</f>
        <v>343</v>
      </c>
      <c r="C67" s="11">
        <f ca="1">B67*Reference!$C$7*(1-IF(MONTH($A67)=Reference!$C$6,1,0)*Reference!$C$12)</f>
        <v>318990</v>
      </c>
      <c r="D67" s="10">
        <f ca="1">ROUND(_xlfn.NORM.INV(RAND(),Reference!$D$8,0.1*Reference!$D$8)*(1+Reference!$D$11*(IF(MONTH($A67)=Reference!$D$4,1,0)+IF(MONTH($A67)=Reference!$D$5,1,0))+(IF(MONTH($A67)=Reference!$D$6,Reference!$D$13,0))),0)</f>
        <v>536</v>
      </c>
      <c r="E67" s="11">
        <f ca="1">D67*Reference!$D$7*(1-IF(MONTH($A67)=Reference!$D$6,1,0)*Reference!$D$12)</f>
        <v>402000</v>
      </c>
      <c r="L67" s="16"/>
      <c r="M67" s="20"/>
      <c r="N67" s="20"/>
      <c r="O67" s="19"/>
      <c r="P67" s="10"/>
      <c r="Q67" s="10"/>
      <c r="R67" s="10"/>
      <c r="S67" s="10"/>
      <c r="T67" s="10"/>
      <c r="U67" s="10"/>
      <c r="V67" s="10"/>
      <c r="W67" s="10"/>
      <c r="X67" s="10"/>
      <c r="Y67" s="10"/>
    </row>
    <row r="68" spans="1:25" x14ac:dyDescent="0.25">
      <c r="A68" s="9">
        <v>40606</v>
      </c>
      <c r="B68" s="10">
        <f ca="1">ROUND(_xlfn.NORM.INV(RAND(),Reference!$C$8,0.1*Reference!$C$8)*(1+Reference!$C$11*(IF(MONTH($A68)=Reference!$C$4,1,0)+IF(MONTH($A68)=Reference!$C$5,1,0))+(IF(MONTH($A68)=Reference!$C$6,Reference!$C$13,0))),0)</f>
        <v>327</v>
      </c>
      <c r="C68" s="11">
        <f ca="1">B68*Reference!$C$7*(1-IF(MONTH($A68)=Reference!$C$6,1,0)*Reference!$C$12)</f>
        <v>304110</v>
      </c>
      <c r="D68" s="10">
        <f ca="1">ROUND(_xlfn.NORM.INV(RAND(),Reference!$D$8,0.1*Reference!$D$8)*(1+Reference!$D$11*(IF(MONTH($A68)=Reference!$D$4,1,0)+IF(MONTH($A68)=Reference!$D$5,1,0))+(IF(MONTH($A68)=Reference!$D$6,Reference!$D$13,0))),0)</f>
        <v>454</v>
      </c>
      <c r="E68" s="11">
        <f ca="1">D68*Reference!$D$7*(1-IF(MONTH($A68)=Reference!$D$6,1,0)*Reference!$D$12)</f>
        <v>340500</v>
      </c>
      <c r="L68" s="16"/>
      <c r="M68" s="20"/>
      <c r="N68" s="20"/>
      <c r="O68" s="19"/>
      <c r="P68" s="10"/>
      <c r="Q68" s="10"/>
      <c r="R68" s="10"/>
      <c r="S68" s="10"/>
      <c r="T68" s="10"/>
      <c r="U68" s="10"/>
      <c r="V68" s="10"/>
      <c r="W68" s="10"/>
      <c r="X68" s="10"/>
      <c r="Y68" s="10"/>
    </row>
    <row r="69" spans="1:25" x14ac:dyDescent="0.25">
      <c r="A69" s="9">
        <v>40607</v>
      </c>
      <c r="B69" s="10">
        <f ca="1">ROUND(_xlfn.NORM.INV(RAND(),Reference!$C$8,0.1*Reference!$C$8)*(1+Reference!$C$11*(IF(MONTH($A69)=Reference!$C$4,1,0)+IF(MONTH($A69)=Reference!$C$5,1,0))+(IF(MONTH($A69)=Reference!$C$6,Reference!$C$13,0))),0)</f>
        <v>349</v>
      </c>
      <c r="C69" s="11">
        <f ca="1">B69*Reference!$C$7*(1-IF(MONTH($A69)=Reference!$C$6,1,0)*Reference!$C$12)</f>
        <v>324570</v>
      </c>
      <c r="D69" s="10">
        <f ca="1">ROUND(_xlfn.NORM.INV(RAND(),Reference!$D$8,0.1*Reference!$D$8)*(1+Reference!$D$11*(IF(MONTH($A69)=Reference!$D$4,1,0)+IF(MONTH($A69)=Reference!$D$5,1,0))+(IF(MONTH($A69)=Reference!$D$6,Reference!$D$13,0))),0)</f>
        <v>522</v>
      </c>
      <c r="E69" s="11">
        <f ca="1">D69*Reference!$D$7*(1-IF(MONTH($A69)=Reference!$D$6,1,0)*Reference!$D$12)</f>
        <v>391500</v>
      </c>
      <c r="L69" s="16"/>
      <c r="M69" s="20"/>
      <c r="N69" s="20"/>
      <c r="O69" s="19"/>
      <c r="P69" s="10"/>
      <c r="Q69" s="10"/>
      <c r="R69" s="10"/>
      <c r="S69" s="10"/>
      <c r="T69" s="10"/>
      <c r="U69" s="10"/>
      <c r="V69" s="10"/>
      <c r="W69" s="10"/>
      <c r="X69" s="10"/>
      <c r="Y69" s="10"/>
    </row>
    <row r="70" spans="1:25" x14ac:dyDescent="0.25">
      <c r="A70" s="9">
        <v>40608</v>
      </c>
      <c r="B70" s="10">
        <f ca="1">ROUND(_xlfn.NORM.INV(RAND(),Reference!$C$8,0.1*Reference!$C$8)*(1+Reference!$C$11*(IF(MONTH($A70)=Reference!$C$4,1,0)+IF(MONTH($A70)=Reference!$C$5,1,0))+(IF(MONTH($A70)=Reference!$C$6,Reference!$C$13,0))),0)</f>
        <v>382</v>
      </c>
      <c r="C70" s="11">
        <f ca="1">B70*Reference!$C$7*(1-IF(MONTH($A70)=Reference!$C$6,1,0)*Reference!$C$12)</f>
        <v>355260</v>
      </c>
      <c r="D70" s="10">
        <f ca="1">ROUND(_xlfn.NORM.INV(RAND(),Reference!$D$8,0.1*Reference!$D$8)*(1+Reference!$D$11*(IF(MONTH($A70)=Reference!$D$4,1,0)+IF(MONTH($A70)=Reference!$D$5,1,0))+(IF(MONTH($A70)=Reference!$D$6,Reference!$D$13,0))),0)</f>
        <v>380</v>
      </c>
      <c r="E70" s="11">
        <f ca="1">D70*Reference!$D$7*(1-IF(MONTH($A70)=Reference!$D$6,1,0)*Reference!$D$12)</f>
        <v>285000</v>
      </c>
      <c r="L70" s="16"/>
      <c r="M70" s="20"/>
      <c r="N70" s="20"/>
      <c r="O70" s="19"/>
      <c r="P70" s="10"/>
      <c r="Q70" s="10"/>
      <c r="R70" s="10"/>
      <c r="S70" s="10"/>
      <c r="T70" s="10"/>
      <c r="U70" s="10"/>
      <c r="V70" s="10"/>
      <c r="W70" s="10"/>
      <c r="X70" s="10"/>
      <c r="Y70" s="10"/>
    </row>
    <row r="71" spans="1:25" x14ac:dyDescent="0.25">
      <c r="A71" s="9">
        <v>40609</v>
      </c>
      <c r="B71" s="10">
        <f ca="1">ROUND(_xlfn.NORM.INV(RAND(),Reference!$C$8,0.1*Reference!$C$8)*(1+Reference!$C$11*(IF(MONTH($A71)=Reference!$C$4,1,0)+IF(MONTH($A71)=Reference!$C$5,1,0))+(IF(MONTH($A71)=Reference!$C$6,Reference!$C$13,0))),0)</f>
        <v>286</v>
      </c>
      <c r="C71" s="11">
        <f ca="1">B71*Reference!$C$7*(1-IF(MONTH($A71)=Reference!$C$6,1,0)*Reference!$C$12)</f>
        <v>265980</v>
      </c>
      <c r="D71" s="10">
        <f ca="1">ROUND(_xlfn.NORM.INV(RAND(),Reference!$D$8,0.1*Reference!$D$8)*(1+Reference!$D$11*(IF(MONTH($A71)=Reference!$D$4,1,0)+IF(MONTH($A71)=Reference!$D$5,1,0))+(IF(MONTH($A71)=Reference!$D$6,Reference!$D$13,0))),0)</f>
        <v>387</v>
      </c>
      <c r="E71" s="11">
        <f ca="1">D71*Reference!$D$7*(1-IF(MONTH($A71)=Reference!$D$6,1,0)*Reference!$D$12)</f>
        <v>290250</v>
      </c>
      <c r="L71" s="16"/>
      <c r="M71" s="20"/>
      <c r="N71" s="20"/>
      <c r="O71" s="19"/>
      <c r="P71" s="10"/>
      <c r="Q71" s="10"/>
      <c r="R71" s="10"/>
      <c r="S71" s="10"/>
      <c r="T71" s="10"/>
      <c r="U71" s="10"/>
      <c r="V71" s="10"/>
      <c r="W71" s="10"/>
      <c r="X71" s="10"/>
      <c r="Y71" s="10"/>
    </row>
    <row r="72" spans="1:25" x14ac:dyDescent="0.25">
      <c r="A72" s="9">
        <v>40610</v>
      </c>
      <c r="B72" s="10">
        <f ca="1">ROUND(_xlfn.NORM.INV(RAND(),Reference!$C$8,0.1*Reference!$C$8)*(1+Reference!$C$11*(IF(MONTH($A72)=Reference!$C$4,1,0)+IF(MONTH($A72)=Reference!$C$5,1,0))+(IF(MONTH($A72)=Reference!$C$6,Reference!$C$13,0))),0)</f>
        <v>315</v>
      </c>
      <c r="C72" s="11">
        <f ca="1">B72*Reference!$C$7*(1-IF(MONTH($A72)=Reference!$C$6,1,0)*Reference!$C$12)</f>
        <v>292950</v>
      </c>
      <c r="D72" s="10">
        <f ca="1">ROUND(_xlfn.NORM.INV(RAND(),Reference!$D$8,0.1*Reference!$D$8)*(1+Reference!$D$11*(IF(MONTH($A72)=Reference!$D$4,1,0)+IF(MONTH($A72)=Reference!$D$5,1,0))+(IF(MONTH($A72)=Reference!$D$6,Reference!$D$13,0))),0)</f>
        <v>476</v>
      </c>
      <c r="E72" s="11">
        <f ca="1">D72*Reference!$D$7*(1-IF(MONTH($A72)=Reference!$D$6,1,0)*Reference!$D$12)</f>
        <v>357000</v>
      </c>
      <c r="L72" s="16"/>
      <c r="M72" s="20"/>
      <c r="N72" s="20"/>
      <c r="O72" s="19"/>
      <c r="P72" s="10"/>
      <c r="Q72" s="10"/>
      <c r="R72" s="10"/>
      <c r="S72" s="10"/>
      <c r="T72" s="10"/>
      <c r="U72" s="10"/>
      <c r="V72" s="10"/>
      <c r="W72" s="10"/>
      <c r="X72" s="10"/>
      <c r="Y72" s="10"/>
    </row>
    <row r="73" spans="1:25" x14ac:dyDescent="0.25">
      <c r="A73" s="9">
        <v>40611</v>
      </c>
      <c r="B73" s="10">
        <f ca="1">ROUND(_xlfn.NORM.INV(RAND(),Reference!$C$8,0.1*Reference!$C$8)*(1+Reference!$C$11*(IF(MONTH($A73)=Reference!$C$4,1,0)+IF(MONTH($A73)=Reference!$C$5,1,0))+(IF(MONTH($A73)=Reference!$C$6,Reference!$C$13,0))),0)</f>
        <v>361</v>
      </c>
      <c r="C73" s="11">
        <f ca="1">B73*Reference!$C$7*(1-IF(MONTH($A73)=Reference!$C$6,1,0)*Reference!$C$12)</f>
        <v>335730</v>
      </c>
      <c r="D73" s="10">
        <f ca="1">ROUND(_xlfn.NORM.INV(RAND(),Reference!$D$8,0.1*Reference!$D$8)*(1+Reference!$D$11*(IF(MONTH($A73)=Reference!$D$4,1,0)+IF(MONTH($A73)=Reference!$D$5,1,0))+(IF(MONTH($A73)=Reference!$D$6,Reference!$D$13,0))),0)</f>
        <v>457</v>
      </c>
      <c r="E73" s="11">
        <f ca="1">D73*Reference!$D$7*(1-IF(MONTH($A73)=Reference!$D$6,1,0)*Reference!$D$12)</f>
        <v>342750</v>
      </c>
      <c r="L73" s="16"/>
      <c r="M73" s="20"/>
      <c r="N73" s="20"/>
      <c r="O73" s="19"/>
      <c r="P73" s="10"/>
      <c r="Q73" s="10"/>
      <c r="R73" s="10"/>
      <c r="S73" s="10"/>
      <c r="T73" s="10"/>
      <c r="U73" s="10"/>
      <c r="V73" s="10"/>
      <c r="W73" s="10"/>
      <c r="X73" s="10"/>
      <c r="Y73" s="10"/>
    </row>
    <row r="74" spans="1:25" x14ac:dyDescent="0.25">
      <c r="A74" s="9">
        <v>40612</v>
      </c>
      <c r="B74" s="10">
        <f ca="1">ROUND(_xlfn.NORM.INV(RAND(),Reference!$C$8,0.1*Reference!$C$8)*(1+Reference!$C$11*(IF(MONTH($A74)=Reference!$C$4,1,0)+IF(MONTH($A74)=Reference!$C$5,1,0))+(IF(MONTH($A74)=Reference!$C$6,Reference!$C$13,0))),0)</f>
        <v>296</v>
      </c>
      <c r="C74" s="11">
        <f ca="1">B74*Reference!$C$7*(1-IF(MONTH($A74)=Reference!$C$6,1,0)*Reference!$C$12)</f>
        <v>275280</v>
      </c>
      <c r="D74" s="10">
        <f ca="1">ROUND(_xlfn.NORM.INV(RAND(),Reference!$D$8,0.1*Reference!$D$8)*(1+Reference!$D$11*(IF(MONTH($A74)=Reference!$D$4,1,0)+IF(MONTH($A74)=Reference!$D$5,1,0))+(IF(MONTH($A74)=Reference!$D$6,Reference!$D$13,0))),0)</f>
        <v>413</v>
      </c>
      <c r="E74" s="11">
        <f ca="1">D74*Reference!$D$7*(1-IF(MONTH($A74)=Reference!$D$6,1,0)*Reference!$D$12)</f>
        <v>309750</v>
      </c>
      <c r="L74" s="16"/>
      <c r="M74" s="20"/>
      <c r="N74" s="20"/>
      <c r="O74" s="19"/>
      <c r="P74" s="10"/>
      <c r="Q74" s="10"/>
      <c r="R74" s="10"/>
      <c r="S74" s="10"/>
      <c r="T74" s="10"/>
      <c r="U74" s="10"/>
      <c r="V74" s="10"/>
      <c r="W74" s="10"/>
      <c r="X74" s="10"/>
      <c r="Y74" s="10"/>
    </row>
    <row r="75" spans="1:25" x14ac:dyDescent="0.25">
      <c r="A75" s="9">
        <v>40613</v>
      </c>
      <c r="B75" s="10">
        <f ca="1">ROUND(_xlfn.NORM.INV(RAND(),Reference!$C$8,0.1*Reference!$C$8)*(1+Reference!$C$11*(IF(MONTH($A75)=Reference!$C$4,1,0)+IF(MONTH($A75)=Reference!$C$5,1,0))+(IF(MONTH($A75)=Reference!$C$6,Reference!$C$13,0))),0)</f>
        <v>396</v>
      </c>
      <c r="C75" s="11">
        <f ca="1">B75*Reference!$C$7*(1-IF(MONTH($A75)=Reference!$C$6,1,0)*Reference!$C$12)</f>
        <v>368280</v>
      </c>
      <c r="D75" s="10">
        <f ca="1">ROUND(_xlfn.NORM.INV(RAND(),Reference!$D$8,0.1*Reference!$D$8)*(1+Reference!$D$11*(IF(MONTH($A75)=Reference!$D$4,1,0)+IF(MONTH($A75)=Reference!$D$5,1,0))+(IF(MONTH($A75)=Reference!$D$6,Reference!$D$13,0))),0)</f>
        <v>517</v>
      </c>
      <c r="E75" s="11">
        <f ca="1">D75*Reference!$D$7*(1-IF(MONTH($A75)=Reference!$D$6,1,0)*Reference!$D$12)</f>
        <v>387750</v>
      </c>
      <c r="L75" s="16"/>
      <c r="M75" s="20"/>
      <c r="N75" s="20"/>
      <c r="O75" s="19"/>
      <c r="P75" s="10"/>
      <c r="Q75" s="10"/>
      <c r="R75" s="10"/>
      <c r="S75" s="10"/>
      <c r="T75" s="10"/>
      <c r="U75" s="10"/>
      <c r="V75" s="10"/>
      <c r="W75" s="10"/>
      <c r="X75" s="10"/>
      <c r="Y75" s="10"/>
    </row>
    <row r="76" spans="1:25" x14ac:dyDescent="0.25">
      <c r="A76" s="9">
        <v>40614</v>
      </c>
      <c r="B76" s="10">
        <f ca="1">ROUND(_xlfn.NORM.INV(RAND(),Reference!$C$8,0.1*Reference!$C$8)*(1+Reference!$C$11*(IF(MONTH($A76)=Reference!$C$4,1,0)+IF(MONTH($A76)=Reference!$C$5,1,0))+(IF(MONTH($A76)=Reference!$C$6,Reference!$C$13,0))),0)</f>
        <v>324</v>
      </c>
      <c r="C76" s="11">
        <f ca="1">B76*Reference!$C$7*(1-IF(MONTH($A76)=Reference!$C$6,1,0)*Reference!$C$12)</f>
        <v>301320</v>
      </c>
      <c r="D76" s="10">
        <f ca="1">ROUND(_xlfn.NORM.INV(RAND(),Reference!$D$8,0.1*Reference!$D$8)*(1+Reference!$D$11*(IF(MONTH($A76)=Reference!$D$4,1,0)+IF(MONTH($A76)=Reference!$D$5,1,0))+(IF(MONTH($A76)=Reference!$D$6,Reference!$D$13,0))),0)</f>
        <v>529</v>
      </c>
      <c r="E76" s="11">
        <f ca="1">D76*Reference!$D$7*(1-IF(MONTH($A76)=Reference!$D$6,1,0)*Reference!$D$12)</f>
        <v>396750</v>
      </c>
      <c r="L76" s="16"/>
      <c r="M76" s="20"/>
      <c r="N76" s="20"/>
      <c r="O76" s="19"/>
      <c r="P76" s="10"/>
      <c r="Q76" s="10"/>
      <c r="R76" s="10"/>
      <c r="S76" s="10"/>
      <c r="T76" s="10"/>
      <c r="U76" s="10"/>
      <c r="V76" s="10"/>
      <c r="W76" s="10"/>
      <c r="X76" s="10"/>
      <c r="Y76" s="10"/>
    </row>
    <row r="77" spans="1:25" x14ac:dyDescent="0.25">
      <c r="A77" s="9">
        <v>40615</v>
      </c>
      <c r="B77" s="10">
        <f ca="1">ROUND(_xlfn.NORM.INV(RAND(),Reference!$C$8,0.1*Reference!$C$8)*(1+Reference!$C$11*(IF(MONTH($A77)=Reference!$C$4,1,0)+IF(MONTH($A77)=Reference!$C$5,1,0))+(IF(MONTH($A77)=Reference!$C$6,Reference!$C$13,0))),0)</f>
        <v>340</v>
      </c>
      <c r="C77" s="11">
        <f ca="1">B77*Reference!$C$7*(1-IF(MONTH($A77)=Reference!$C$6,1,0)*Reference!$C$12)</f>
        <v>316200</v>
      </c>
      <c r="D77" s="10">
        <f ca="1">ROUND(_xlfn.NORM.INV(RAND(),Reference!$D$8,0.1*Reference!$D$8)*(1+Reference!$D$11*(IF(MONTH($A77)=Reference!$D$4,1,0)+IF(MONTH($A77)=Reference!$D$5,1,0))+(IF(MONTH($A77)=Reference!$D$6,Reference!$D$13,0))),0)</f>
        <v>415</v>
      </c>
      <c r="E77" s="11">
        <f ca="1">D77*Reference!$D$7*(1-IF(MONTH($A77)=Reference!$D$6,1,0)*Reference!$D$12)</f>
        <v>311250</v>
      </c>
      <c r="L77" s="16"/>
      <c r="M77" s="20"/>
      <c r="N77" s="20"/>
      <c r="O77" s="19"/>
      <c r="P77" s="10"/>
      <c r="Q77" s="10"/>
      <c r="R77" s="10"/>
      <c r="S77" s="10"/>
      <c r="T77" s="10"/>
      <c r="U77" s="10"/>
      <c r="V77" s="10"/>
      <c r="W77" s="10"/>
      <c r="X77" s="10"/>
      <c r="Y77" s="10"/>
    </row>
    <row r="78" spans="1:25" x14ac:dyDescent="0.25">
      <c r="A78" s="9">
        <v>40616</v>
      </c>
      <c r="B78" s="10">
        <f ca="1">ROUND(_xlfn.NORM.INV(RAND(),Reference!$C$8,0.1*Reference!$C$8)*(1+Reference!$C$11*(IF(MONTH($A78)=Reference!$C$4,1,0)+IF(MONTH($A78)=Reference!$C$5,1,0))+(IF(MONTH($A78)=Reference!$C$6,Reference!$C$13,0))),0)</f>
        <v>368</v>
      </c>
      <c r="C78" s="11">
        <f ca="1">B78*Reference!$C$7*(1-IF(MONTH($A78)=Reference!$C$6,1,0)*Reference!$C$12)</f>
        <v>342240</v>
      </c>
      <c r="D78" s="10">
        <f ca="1">ROUND(_xlfn.NORM.INV(RAND(),Reference!$D$8,0.1*Reference!$D$8)*(1+Reference!$D$11*(IF(MONTH($A78)=Reference!$D$4,1,0)+IF(MONTH($A78)=Reference!$D$5,1,0))+(IF(MONTH($A78)=Reference!$D$6,Reference!$D$13,0))),0)</f>
        <v>389</v>
      </c>
      <c r="E78" s="11">
        <f ca="1">D78*Reference!$D$7*(1-IF(MONTH($A78)=Reference!$D$6,1,0)*Reference!$D$12)</f>
        <v>291750</v>
      </c>
      <c r="L78" s="16"/>
      <c r="M78" s="20"/>
      <c r="N78" s="20"/>
      <c r="O78" s="19"/>
      <c r="P78" s="10"/>
      <c r="Q78" s="10"/>
      <c r="R78" s="10"/>
      <c r="S78" s="10"/>
      <c r="T78" s="10"/>
      <c r="U78" s="10"/>
      <c r="V78" s="10"/>
      <c r="W78" s="10"/>
      <c r="X78" s="10"/>
      <c r="Y78" s="10"/>
    </row>
    <row r="79" spans="1:25" x14ac:dyDescent="0.25">
      <c r="A79" s="9">
        <v>40617</v>
      </c>
      <c r="B79" s="10">
        <f ca="1">ROUND(_xlfn.NORM.INV(RAND(),Reference!$C$8,0.1*Reference!$C$8)*(1+Reference!$C$11*(IF(MONTH($A79)=Reference!$C$4,1,0)+IF(MONTH($A79)=Reference!$C$5,1,0))+(IF(MONTH($A79)=Reference!$C$6,Reference!$C$13,0))),0)</f>
        <v>365</v>
      </c>
      <c r="C79" s="11">
        <f ca="1">B79*Reference!$C$7*(1-IF(MONTH($A79)=Reference!$C$6,1,0)*Reference!$C$12)</f>
        <v>339450</v>
      </c>
      <c r="D79" s="10">
        <f ca="1">ROUND(_xlfn.NORM.INV(RAND(),Reference!$D$8,0.1*Reference!$D$8)*(1+Reference!$D$11*(IF(MONTH($A79)=Reference!$D$4,1,0)+IF(MONTH($A79)=Reference!$D$5,1,0))+(IF(MONTH($A79)=Reference!$D$6,Reference!$D$13,0))),0)</f>
        <v>421</v>
      </c>
      <c r="E79" s="11">
        <f ca="1">D79*Reference!$D$7*(1-IF(MONTH($A79)=Reference!$D$6,1,0)*Reference!$D$12)</f>
        <v>315750</v>
      </c>
      <c r="L79" s="16"/>
      <c r="M79" s="20"/>
      <c r="N79" s="20"/>
      <c r="O79" s="19"/>
      <c r="P79" s="10"/>
      <c r="Q79" s="10"/>
      <c r="R79" s="10"/>
      <c r="S79" s="10"/>
      <c r="T79" s="10"/>
      <c r="U79" s="10"/>
      <c r="V79" s="10"/>
      <c r="W79" s="10"/>
      <c r="X79" s="10"/>
      <c r="Y79" s="10"/>
    </row>
    <row r="80" spans="1:25" x14ac:dyDescent="0.25">
      <c r="A80" s="9">
        <v>40618</v>
      </c>
      <c r="B80" s="10">
        <f ca="1">ROUND(_xlfn.NORM.INV(RAND(),Reference!$C$8,0.1*Reference!$C$8)*(1+Reference!$C$11*(IF(MONTH($A80)=Reference!$C$4,1,0)+IF(MONTH($A80)=Reference!$C$5,1,0))+(IF(MONTH($A80)=Reference!$C$6,Reference!$C$13,0))),0)</f>
        <v>325</v>
      </c>
      <c r="C80" s="11">
        <f ca="1">B80*Reference!$C$7*(1-IF(MONTH($A80)=Reference!$C$6,1,0)*Reference!$C$12)</f>
        <v>302250</v>
      </c>
      <c r="D80" s="10">
        <f ca="1">ROUND(_xlfn.NORM.INV(RAND(),Reference!$D$8,0.1*Reference!$D$8)*(1+Reference!$D$11*(IF(MONTH($A80)=Reference!$D$4,1,0)+IF(MONTH($A80)=Reference!$D$5,1,0))+(IF(MONTH($A80)=Reference!$D$6,Reference!$D$13,0))),0)</f>
        <v>439</v>
      </c>
      <c r="E80" s="11">
        <f ca="1">D80*Reference!$D$7*(1-IF(MONTH($A80)=Reference!$D$6,1,0)*Reference!$D$12)</f>
        <v>329250</v>
      </c>
      <c r="L80" s="16"/>
      <c r="M80" s="20"/>
      <c r="N80" s="20"/>
      <c r="O80" s="19"/>
      <c r="P80" s="10"/>
      <c r="Q80" s="10"/>
      <c r="R80" s="10"/>
      <c r="S80" s="10"/>
      <c r="T80" s="10"/>
      <c r="U80" s="10"/>
      <c r="V80" s="10"/>
      <c r="W80" s="10"/>
      <c r="X80" s="10"/>
      <c r="Y80" s="10"/>
    </row>
    <row r="81" spans="1:25" x14ac:dyDescent="0.25">
      <c r="A81" s="9">
        <v>40619</v>
      </c>
      <c r="B81" s="10">
        <f ca="1">ROUND(_xlfn.NORM.INV(RAND(),Reference!$C$8,0.1*Reference!$C$8)*(1+Reference!$C$11*(IF(MONTH($A81)=Reference!$C$4,1,0)+IF(MONTH($A81)=Reference!$C$5,1,0))+(IF(MONTH($A81)=Reference!$C$6,Reference!$C$13,0))),0)</f>
        <v>345</v>
      </c>
      <c r="C81" s="11">
        <f ca="1">B81*Reference!$C$7*(1-IF(MONTH($A81)=Reference!$C$6,1,0)*Reference!$C$12)</f>
        <v>320850</v>
      </c>
      <c r="D81" s="10">
        <f ca="1">ROUND(_xlfn.NORM.INV(RAND(),Reference!$D$8,0.1*Reference!$D$8)*(1+Reference!$D$11*(IF(MONTH($A81)=Reference!$D$4,1,0)+IF(MONTH($A81)=Reference!$D$5,1,0))+(IF(MONTH($A81)=Reference!$D$6,Reference!$D$13,0))),0)</f>
        <v>385</v>
      </c>
      <c r="E81" s="11">
        <f ca="1">D81*Reference!$D$7*(1-IF(MONTH($A81)=Reference!$D$6,1,0)*Reference!$D$12)</f>
        <v>288750</v>
      </c>
      <c r="L81" s="16"/>
      <c r="M81" s="20"/>
      <c r="N81" s="20"/>
      <c r="O81" s="19"/>
      <c r="P81" s="10"/>
      <c r="Q81" s="10"/>
      <c r="R81" s="10"/>
      <c r="S81" s="10"/>
      <c r="T81" s="10"/>
      <c r="U81" s="10"/>
      <c r="V81" s="10"/>
      <c r="W81" s="10"/>
      <c r="X81" s="10"/>
      <c r="Y81" s="10"/>
    </row>
    <row r="82" spans="1:25" x14ac:dyDescent="0.25">
      <c r="A82" s="9">
        <v>40620</v>
      </c>
      <c r="B82" s="10">
        <f ca="1">ROUND(_xlfn.NORM.INV(RAND(),Reference!$C$8,0.1*Reference!$C$8)*(1+Reference!$C$11*(IF(MONTH($A82)=Reference!$C$4,1,0)+IF(MONTH($A82)=Reference!$C$5,1,0))+(IF(MONTH($A82)=Reference!$C$6,Reference!$C$13,0))),0)</f>
        <v>345</v>
      </c>
      <c r="C82" s="11">
        <f ca="1">B82*Reference!$C$7*(1-IF(MONTH($A82)=Reference!$C$6,1,0)*Reference!$C$12)</f>
        <v>320850</v>
      </c>
      <c r="D82" s="10">
        <f ca="1">ROUND(_xlfn.NORM.INV(RAND(),Reference!$D$8,0.1*Reference!$D$8)*(1+Reference!$D$11*(IF(MONTH($A82)=Reference!$D$4,1,0)+IF(MONTH($A82)=Reference!$D$5,1,0))+(IF(MONTH($A82)=Reference!$D$6,Reference!$D$13,0))),0)</f>
        <v>490</v>
      </c>
      <c r="E82" s="11">
        <f ca="1">D82*Reference!$D$7*(1-IF(MONTH($A82)=Reference!$D$6,1,0)*Reference!$D$12)</f>
        <v>367500</v>
      </c>
      <c r="L82" s="16"/>
      <c r="M82" s="20"/>
      <c r="N82" s="20"/>
      <c r="O82" s="19"/>
      <c r="P82" s="10"/>
      <c r="Q82" s="10"/>
      <c r="R82" s="10"/>
      <c r="S82" s="10"/>
      <c r="T82" s="10"/>
      <c r="U82" s="10"/>
      <c r="V82" s="10"/>
      <c r="W82" s="10"/>
      <c r="X82" s="10"/>
      <c r="Y82" s="10"/>
    </row>
    <row r="83" spans="1:25" x14ac:dyDescent="0.25">
      <c r="A83" s="9">
        <v>40621</v>
      </c>
      <c r="B83" s="10">
        <f ca="1">ROUND(_xlfn.NORM.INV(RAND(),Reference!$C$8,0.1*Reference!$C$8)*(1+Reference!$C$11*(IF(MONTH($A83)=Reference!$C$4,1,0)+IF(MONTH($A83)=Reference!$C$5,1,0))+(IF(MONTH($A83)=Reference!$C$6,Reference!$C$13,0))),0)</f>
        <v>303</v>
      </c>
      <c r="C83" s="11">
        <f ca="1">B83*Reference!$C$7*(1-IF(MONTH($A83)=Reference!$C$6,1,0)*Reference!$C$12)</f>
        <v>281790</v>
      </c>
      <c r="D83" s="10">
        <f ca="1">ROUND(_xlfn.NORM.INV(RAND(),Reference!$D$8,0.1*Reference!$D$8)*(1+Reference!$D$11*(IF(MONTH($A83)=Reference!$D$4,1,0)+IF(MONTH($A83)=Reference!$D$5,1,0))+(IF(MONTH($A83)=Reference!$D$6,Reference!$D$13,0))),0)</f>
        <v>496</v>
      </c>
      <c r="E83" s="11">
        <f ca="1">D83*Reference!$D$7*(1-IF(MONTH($A83)=Reference!$D$6,1,0)*Reference!$D$12)</f>
        <v>372000</v>
      </c>
      <c r="L83" s="16"/>
      <c r="M83" s="20"/>
      <c r="N83" s="20"/>
      <c r="O83" s="19"/>
      <c r="P83" s="10"/>
      <c r="Q83" s="10"/>
      <c r="R83" s="10"/>
      <c r="S83" s="10"/>
      <c r="T83" s="10"/>
      <c r="U83" s="10"/>
      <c r="V83" s="10"/>
      <c r="W83" s="10"/>
      <c r="X83" s="10"/>
      <c r="Y83" s="10"/>
    </row>
    <row r="84" spans="1:25" x14ac:dyDescent="0.25">
      <c r="A84" s="9">
        <v>40622</v>
      </c>
      <c r="B84" s="10">
        <f ca="1">ROUND(_xlfn.NORM.INV(RAND(),Reference!$C$8,0.1*Reference!$C$8)*(1+Reference!$C$11*(IF(MONTH($A84)=Reference!$C$4,1,0)+IF(MONTH($A84)=Reference!$C$5,1,0))+(IF(MONTH($A84)=Reference!$C$6,Reference!$C$13,0))),0)</f>
        <v>323</v>
      </c>
      <c r="C84" s="11">
        <f ca="1">B84*Reference!$C$7*(1-IF(MONTH($A84)=Reference!$C$6,1,0)*Reference!$C$12)</f>
        <v>300390</v>
      </c>
      <c r="D84" s="10">
        <f ca="1">ROUND(_xlfn.NORM.INV(RAND(),Reference!$D$8,0.1*Reference!$D$8)*(1+Reference!$D$11*(IF(MONTH($A84)=Reference!$D$4,1,0)+IF(MONTH($A84)=Reference!$D$5,1,0))+(IF(MONTH($A84)=Reference!$D$6,Reference!$D$13,0))),0)</f>
        <v>490</v>
      </c>
      <c r="E84" s="11">
        <f ca="1">D84*Reference!$D$7*(1-IF(MONTH($A84)=Reference!$D$6,1,0)*Reference!$D$12)</f>
        <v>367500</v>
      </c>
      <c r="L84" s="16"/>
      <c r="M84" s="20"/>
      <c r="N84" s="20"/>
      <c r="O84" s="19"/>
      <c r="P84" s="10"/>
      <c r="Q84" s="10"/>
      <c r="R84" s="10"/>
      <c r="S84" s="10"/>
      <c r="T84" s="10"/>
      <c r="U84" s="10"/>
      <c r="V84" s="10"/>
      <c r="W84" s="10"/>
      <c r="X84" s="10"/>
      <c r="Y84" s="10"/>
    </row>
    <row r="85" spans="1:25" x14ac:dyDescent="0.25">
      <c r="A85" s="9">
        <v>40623</v>
      </c>
      <c r="B85" s="10">
        <f ca="1">ROUND(_xlfn.NORM.INV(RAND(),Reference!$C$8,0.1*Reference!$C$8)*(1+Reference!$C$11*(IF(MONTH($A85)=Reference!$C$4,1,0)+IF(MONTH($A85)=Reference!$C$5,1,0))+(IF(MONTH($A85)=Reference!$C$6,Reference!$C$13,0))),0)</f>
        <v>389</v>
      </c>
      <c r="C85" s="11">
        <f ca="1">B85*Reference!$C$7*(1-IF(MONTH($A85)=Reference!$C$6,1,0)*Reference!$C$12)</f>
        <v>361770</v>
      </c>
      <c r="D85" s="10">
        <f ca="1">ROUND(_xlfn.NORM.INV(RAND(),Reference!$D$8,0.1*Reference!$D$8)*(1+Reference!$D$11*(IF(MONTH($A85)=Reference!$D$4,1,0)+IF(MONTH($A85)=Reference!$D$5,1,0))+(IF(MONTH($A85)=Reference!$D$6,Reference!$D$13,0))),0)</f>
        <v>434</v>
      </c>
      <c r="E85" s="11">
        <f ca="1">D85*Reference!$D$7*(1-IF(MONTH($A85)=Reference!$D$6,1,0)*Reference!$D$12)</f>
        <v>325500</v>
      </c>
      <c r="L85" s="16"/>
      <c r="M85" s="20"/>
      <c r="N85" s="20"/>
      <c r="O85" s="19"/>
      <c r="P85" s="10"/>
      <c r="Q85" s="10"/>
      <c r="R85" s="10"/>
      <c r="S85" s="10"/>
      <c r="T85" s="10"/>
      <c r="U85" s="10"/>
      <c r="V85" s="10"/>
      <c r="W85" s="10"/>
      <c r="X85" s="10"/>
      <c r="Y85" s="10"/>
    </row>
    <row r="86" spans="1:25" x14ac:dyDescent="0.25">
      <c r="A86" s="9">
        <v>40624</v>
      </c>
      <c r="B86" s="10">
        <f ca="1">ROUND(_xlfn.NORM.INV(RAND(),Reference!$C$8,0.1*Reference!$C$8)*(1+Reference!$C$11*(IF(MONTH($A86)=Reference!$C$4,1,0)+IF(MONTH($A86)=Reference!$C$5,1,0))+(IF(MONTH($A86)=Reference!$C$6,Reference!$C$13,0))),0)</f>
        <v>338</v>
      </c>
      <c r="C86" s="11">
        <f ca="1">B86*Reference!$C$7*(1-IF(MONTH($A86)=Reference!$C$6,1,0)*Reference!$C$12)</f>
        <v>314340</v>
      </c>
      <c r="D86" s="10">
        <f ca="1">ROUND(_xlfn.NORM.INV(RAND(),Reference!$D$8,0.1*Reference!$D$8)*(1+Reference!$D$11*(IF(MONTH($A86)=Reference!$D$4,1,0)+IF(MONTH($A86)=Reference!$D$5,1,0))+(IF(MONTH($A86)=Reference!$D$6,Reference!$D$13,0))),0)</f>
        <v>392</v>
      </c>
      <c r="E86" s="11">
        <f ca="1">D86*Reference!$D$7*(1-IF(MONTH($A86)=Reference!$D$6,1,0)*Reference!$D$12)</f>
        <v>294000</v>
      </c>
      <c r="L86" s="16"/>
      <c r="M86" s="20"/>
      <c r="N86" s="20"/>
      <c r="O86" s="19"/>
      <c r="P86" s="10"/>
      <c r="Q86" s="10"/>
      <c r="R86" s="10"/>
      <c r="S86" s="10"/>
      <c r="T86" s="10"/>
      <c r="U86" s="10"/>
      <c r="V86" s="10"/>
      <c r="W86" s="10"/>
      <c r="X86" s="10"/>
      <c r="Y86" s="10"/>
    </row>
    <row r="87" spans="1:25" x14ac:dyDescent="0.25">
      <c r="A87" s="9">
        <v>40625</v>
      </c>
      <c r="B87" s="10">
        <f ca="1">ROUND(_xlfn.NORM.INV(RAND(),Reference!$C$8,0.1*Reference!$C$8)*(1+Reference!$C$11*(IF(MONTH($A87)=Reference!$C$4,1,0)+IF(MONTH($A87)=Reference!$C$5,1,0))+(IF(MONTH($A87)=Reference!$C$6,Reference!$C$13,0))),0)</f>
        <v>385</v>
      </c>
      <c r="C87" s="11">
        <f ca="1">B87*Reference!$C$7*(1-IF(MONTH($A87)=Reference!$C$6,1,0)*Reference!$C$12)</f>
        <v>358050</v>
      </c>
      <c r="D87" s="10">
        <f ca="1">ROUND(_xlfn.NORM.INV(RAND(),Reference!$D$8,0.1*Reference!$D$8)*(1+Reference!$D$11*(IF(MONTH($A87)=Reference!$D$4,1,0)+IF(MONTH($A87)=Reference!$D$5,1,0))+(IF(MONTH($A87)=Reference!$D$6,Reference!$D$13,0))),0)</f>
        <v>430</v>
      </c>
      <c r="E87" s="11">
        <f ca="1">D87*Reference!$D$7*(1-IF(MONTH($A87)=Reference!$D$6,1,0)*Reference!$D$12)</f>
        <v>322500</v>
      </c>
      <c r="L87" s="16"/>
      <c r="M87" s="20"/>
      <c r="N87" s="20"/>
      <c r="O87" s="19"/>
      <c r="P87" s="10"/>
      <c r="Q87" s="10"/>
      <c r="R87" s="10"/>
      <c r="S87" s="10"/>
      <c r="T87" s="10"/>
      <c r="U87" s="10"/>
      <c r="V87" s="10"/>
      <c r="W87" s="10"/>
      <c r="X87" s="10"/>
      <c r="Y87" s="10"/>
    </row>
    <row r="88" spans="1:25" x14ac:dyDescent="0.25">
      <c r="A88" s="9">
        <v>40626</v>
      </c>
      <c r="B88" s="10">
        <f ca="1">ROUND(_xlfn.NORM.INV(RAND(),Reference!$C$8,0.1*Reference!$C$8)*(1+Reference!$C$11*(IF(MONTH($A88)=Reference!$C$4,1,0)+IF(MONTH($A88)=Reference!$C$5,1,0))+(IF(MONTH($A88)=Reference!$C$6,Reference!$C$13,0))),0)</f>
        <v>334</v>
      </c>
      <c r="C88" s="11">
        <f ca="1">B88*Reference!$C$7*(1-IF(MONTH($A88)=Reference!$C$6,1,0)*Reference!$C$12)</f>
        <v>310620</v>
      </c>
      <c r="D88" s="10">
        <f ca="1">ROUND(_xlfn.NORM.INV(RAND(),Reference!$D$8,0.1*Reference!$D$8)*(1+Reference!$D$11*(IF(MONTH($A88)=Reference!$D$4,1,0)+IF(MONTH($A88)=Reference!$D$5,1,0))+(IF(MONTH($A88)=Reference!$D$6,Reference!$D$13,0))),0)</f>
        <v>376</v>
      </c>
      <c r="E88" s="11">
        <f ca="1">D88*Reference!$D$7*(1-IF(MONTH($A88)=Reference!$D$6,1,0)*Reference!$D$12)</f>
        <v>282000</v>
      </c>
      <c r="L88" s="16"/>
      <c r="M88" s="20"/>
      <c r="N88" s="20"/>
      <c r="O88" s="19"/>
      <c r="P88" s="10"/>
      <c r="Q88" s="10"/>
      <c r="R88" s="10"/>
      <c r="S88" s="10"/>
      <c r="T88" s="10"/>
      <c r="U88" s="10"/>
      <c r="V88" s="10"/>
      <c r="W88" s="10"/>
      <c r="X88" s="10"/>
      <c r="Y88" s="10"/>
    </row>
    <row r="89" spans="1:25" x14ac:dyDescent="0.25">
      <c r="A89" s="9">
        <v>40627</v>
      </c>
      <c r="B89" s="10">
        <f ca="1">ROUND(_xlfn.NORM.INV(RAND(),Reference!$C$8,0.1*Reference!$C$8)*(1+Reference!$C$11*(IF(MONTH($A89)=Reference!$C$4,1,0)+IF(MONTH($A89)=Reference!$C$5,1,0))+(IF(MONTH($A89)=Reference!$C$6,Reference!$C$13,0))),0)</f>
        <v>376</v>
      </c>
      <c r="C89" s="11">
        <f ca="1">B89*Reference!$C$7*(1-IF(MONTH($A89)=Reference!$C$6,1,0)*Reference!$C$12)</f>
        <v>349680</v>
      </c>
      <c r="D89" s="10">
        <f ca="1">ROUND(_xlfn.NORM.INV(RAND(),Reference!$D$8,0.1*Reference!$D$8)*(1+Reference!$D$11*(IF(MONTH($A89)=Reference!$D$4,1,0)+IF(MONTH($A89)=Reference!$D$5,1,0))+(IF(MONTH($A89)=Reference!$D$6,Reference!$D$13,0))),0)</f>
        <v>461</v>
      </c>
      <c r="E89" s="11">
        <f ca="1">D89*Reference!$D$7*(1-IF(MONTH($A89)=Reference!$D$6,1,0)*Reference!$D$12)</f>
        <v>345750</v>
      </c>
      <c r="L89" s="16"/>
      <c r="M89" s="20"/>
      <c r="N89" s="20"/>
      <c r="O89" s="19"/>
      <c r="P89" s="10"/>
      <c r="Q89" s="10"/>
      <c r="R89" s="10"/>
      <c r="S89" s="10"/>
      <c r="T89" s="10"/>
      <c r="U89" s="10"/>
      <c r="V89" s="10"/>
      <c r="W89" s="10"/>
      <c r="X89" s="10"/>
      <c r="Y89" s="10"/>
    </row>
    <row r="90" spans="1:25" x14ac:dyDescent="0.25">
      <c r="A90" s="9">
        <v>40628</v>
      </c>
      <c r="B90" s="10">
        <f ca="1">ROUND(_xlfn.NORM.INV(RAND(),Reference!$C$8,0.1*Reference!$C$8)*(1+Reference!$C$11*(IF(MONTH($A90)=Reference!$C$4,1,0)+IF(MONTH($A90)=Reference!$C$5,1,0))+(IF(MONTH($A90)=Reference!$C$6,Reference!$C$13,0))),0)</f>
        <v>408</v>
      </c>
      <c r="C90" s="11">
        <f ca="1">B90*Reference!$C$7*(1-IF(MONTH($A90)=Reference!$C$6,1,0)*Reference!$C$12)</f>
        <v>379440</v>
      </c>
      <c r="D90" s="10">
        <f ca="1">ROUND(_xlfn.NORM.INV(RAND(),Reference!$D$8,0.1*Reference!$D$8)*(1+Reference!$D$11*(IF(MONTH($A90)=Reference!$D$4,1,0)+IF(MONTH($A90)=Reference!$D$5,1,0))+(IF(MONTH($A90)=Reference!$D$6,Reference!$D$13,0))),0)</f>
        <v>415</v>
      </c>
      <c r="E90" s="11">
        <f ca="1">D90*Reference!$D$7*(1-IF(MONTH($A90)=Reference!$D$6,1,0)*Reference!$D$12)</f>
        <v>311250</v>
      </c>
      <c r="L90" s="16"/>
      <c r="M90" s="20"/>
      <c r="N90" s="20"/>
      <c r="O90" s="19"/>
      <c r="P90" s="10"/>
      <c r="Q90" s="10"/>
      <c r="R90" s="10"/>
      <c r="S90" s="10"/>
      <c r="T90" s="10"/>
      <c r="U90" s="10"/>
      <c r="V90" s="10"/>
      <c r="W90" s="10"/>
      <c r="X90" s="10"/>
      <c r="Y90" s="10"/>
    </row>
    <row r="91" spans="1:25" x14ac:dyDescent="0.25">
      <c r="A91" s="9">
        <v>40629</v>
      </c>
      <c r="B91" s="10">
        <f ca="1">ROUND(_xlfn.NORM.INV(RAND(),Reference!$C$8,0.1*Reference!$C$8)*(1+Reference!$C$11*(IF(MONTH($A91)=Reference!$C$4,1,0)+IF(MONTH($A91)=Reference!$C$5,1,0))+(IF(MONTH($A91)=Reference!$C$6,Reference!$C$13,0))),0)</f>
        <v>350</v>
      </c>
      <c r="C91" s="11">
        <f ca="1">B91*Reference!$C$7*(1-IF(MONTH($A91)=Reference!$C$6,1,0)*Reference!$C$12)</f>
        <v>325500</v>
      </c>
      <c r="D91" s="10">
        <f ca="1">ROUND(_xlfn.NORM.INV(RAND(),Reference!$D$8,0.1*Reference!$D$8)*(1+Reference!$D$11*(IF(MONTH($A91)=Reference!$D$4,1,0)+IF(MONTH($A91)=Reference!$D$5,1,0))+(IF(MONTH($A91)=Reference!$D$6,Reference!$D$13,0))),0)</f>
        <v>456</v>
      </c>
      <c r="E91" s="11">
        <f ca="1">D91*Reference!$D$7*(1-IF(MONTH($A91)=Reference!$D$6,1,0)*Reference!$D$12)</f>
        <v>342000</v>
      </c>
      <c r="L91" s="16"/>
      <c r="M91" s="20"/>
      <c r="N91" s="20"/>
      <c r="O91" s="19"/>
      <c r="P91" s="10"/>
      <c r="Q91" s="10"/>
      <c r="R91" s="10"/>
      <c r="S91" s="10"/>
      <c r="T91" s="10"/>
      <c r="U91" s="10"/>
      <c r="V91" s="10"/>
      <c r="W91" s="10"/>
      <c r="X91" s="10"/>
      <c r="Y91" s="10"/>
    </row>
    <row r="92" spans="1:25" x14ac:dyDescent="0.25">
      <c r="A92" s="9">
        <v>40630</v>
      </c>
      <c r="B92" s="10">
        <f ca="1">ROUND(_xlfn.NORM.INV(RAND(),Reference!$C$8,0.1*Reference!$C$8)*(1+Reference!$C$11*(IF(MONTH($A92)=Reference!$C$4,1,0)+IF(MONTH($A92)=Reference!$C$5,1,0))+(IF(MONTH($A92)=Reference!$C$6,Reference!$C$13,0))),0)</f>
        <v>340</v>
      </c>
      <c r="C92" s="11">
        <f ca="1">B92*Reference!$C$7*(1-IF(MONTH($A92)=Reference!$C$6,1,0)*Reference!$C$12)</f>
        <v>316200</v>
      </c>
      <c r="D92" s="10">
        <f ca="1">ROUND(_xlfn.NORM.INV(RAND(),Reference!$D$8,0.1*Reference!$D$8)*(1+Reference!$D$11*(IF(MONTH($A92)=Reference!$D$4,1,0)+IF(MONTH($A92)=Reference!$D$5,1,0))+(IF(MONTH($A92)=Reference!$D$6,Reference!$D$13,0))),0)</f>
        <v>455</v>
      </c>
      <c r="E92" s="11">
        <f ca="1">D92*Reference!$D$7*(1-IF(MONTH($A92)=Reference!$D$6,1,0)*Reference!$D$12)</f>
        <v>341250</v>
      </c>
      <c r="L92" s="16"/>
      <c r="M92" s="20"/>
      <c r="N92" s="20"/>
      <c r="O92" s="19"/>
      <c r="P92" s="10"/>
      <c r="Q92" s="10"/>
      <c r="R92" s="10"/>
      <c r="S92" s="10"/>
      <c r="T92" s="10"/>
      <c r="U92" s="10"/>
      <c r="V92" s="10"/>
      <c r="W92" s="10"/>
      <c r="X92" s="10"/>
      <c r="Y92" s="10"/>
    </row>
    <row r="93" spans="1:25" x14ac:dyDescent="0.25">
      <c r="A93" s="9">
        <v>40631</v>
      </c>
      <c r="B93" s="10">
        <f ca="1">ROUND(_xlfn.NORM.INV(RAND(),Reference!$C$8,0.1*Reference!$C$8)*(1+Reference!$C$11*(IF(MONTH($A93)=Reference!$C$4,1,0)+IF(MONTH($A93)=Reference!$C$5,1,0))+(IF(MONTH($A93)=Reference!$C$6,Reference!$C$13,0))),0)</f>
        <v>330</v>
      </c>
      <c r="C93" s="11">
        <f ca="1">B93*Reference!$C$7*(1-IF(MONTH($A93)=Reference!$C$6,1,0)*Reference!$C$12)</f>
        <v>306900</v>
      </c>
      <c r="D93" s="10">
        <f ca="1">ROUND(_xlfn.NORM.INV(RAND(),Reference!$D$8,0.1*Reference!$D$8)*(1+Reference!$D$11*(IF(MONTH($A93)=Reference!$D$4,1,0)+IF(MONTH($A93)=Reference!$D$5,1,0))+(IF(MONTH($A93)=Reference!$D$6,Reference!$D$13,0))),0)</f>
        <v>472</v>
      </c>
      <c r="E93" s="11">
        <f ca="1">D93*Reference!$D$7*(1-IF(MONTH($A93)=Reference!$D$6,1,0)*Reference!$D$12)</f>
        <v>354000</v>
      </c>
      <c r="L93" s="16"/>
      <c r="M93" s="20"/>
      <c r="N93" s="20"/>
      <c r="O93" s="19"/>
      <c r="P93" s="10"/>
      <c r="Q93" s="10"/>
      <c r="R93" s="10"/>
      <c r="S93" s="10"/>
      <c r="T93" s="10"/>
      <c r="U93" s="10"/>
      <c r="V93" s="10"/>
      <c r="W93" s="10"/>
      <c r="X93" s="10"/>
      <c r="Y93" s="10"/>
    </row>
    <row r="94" spans="1:25" x14ac:dyDescent="0.25">
      <c r="A94" s="9">
        <v>40632</v>
      </c>
      <c r="B94" s="10">
        <f ca="1">ROUND(_xlfn.NORM.INV(RAND(),Reference!$C$8,0.1*Reference!$C$8)*(1+Reference!$C$11*(IF(MONTH($A94)=Reference!$C$4,1,0)+IF(MONTH($A94)=Reference!$C$5,1,0))+(IF(MONTH($A94)=Reference!$C$6,Reference!$C$13,0))),0)</f>
        <v>436</v>
      </c>
      <c r="C94" s="11">
        <f ca="1">B94*Reference!$C$7*(1-IF(MONTH($A94)=Reference!$C$6,1,0)*Reference!$C$12)</f>
        <v>405480</v>
      </c>
      <c r="D94" s="10">
        <f ca="1">ROUND(_xlfn.NORM.INV(RAND(),Reference!$D$8,0.1*Reference!$D$8)*(1+Reference!$D$11*(IF(MONTH($A94)=Reference!$D$4,1,0)+IF(MONTH($A94)=Reference!$D$5,1,0))+(IF(MONTH($A94)=Reference!$D$6,Reference!$D$13,0))),0)</f>
        <v>464</v>
      </c>
      <c r="E94" s="11">
        <f ca="1">D94*Reference!$D$7*(1-IF(MONTH($A94)=Reference!$D$6,1,0)*Reference!$D$12)</f>
        <v>348000</v>
      </c>
      <c r="L94" s="16"/>
      <c r="M94" s="20"/>
      <c r="N94" s="20"/>
      <c r="O94" s="19"/>
      <c r="P94" s="10"/>
      <c r="Q94" s="10"/>
      <c r="R94" s="10"/>
      <c r="S94" s="10"/>
      <c r="T94" s="10"/>
      <c r="U94" s="10"/>
      <c r="V94" s="10"/>
      <c r="W94" s="10"/>
      <c r="X94" s="10"/>
      <c r="Y94" s="10"/>
    </row>
    <row r="95" spans="1:25" x14ac:dyDescent="0.25">
      <c r="A95" s="9">
        <v>40633</v>
      </c>
      <c r="B95" s="10">
        <f ca="1">ROUND(_xlfn.NORM.INV(RAND(),Reference!$C$8,0.1*Reference!$C$8)*(1+Reference!$C$11*(IF(MONTH($A95)=Reference!$C$4,1,0)+IF(MONTH($A95)=Reference!$C$5,1,0))+(IF(MONTH($A95)=Reference!$C$6,Reference!$C$13,0))),0)</f>
        <v>315</v>
      </c>
      <c r="C95" s="11">
        <f ca="1">B95*Reference!$C$7*(1-IF(MONTH($A95)=Reference!$C$6,1,0)*Reference!$C$12)</f>
        <v>292950</v>
      </c>
      <c r="D95" s="10">
        <f ca="1">ROUND(_xlfn.NORM.INV(RAND(),Reference!$D$8,0.1*Reference!$D$8)*(1+Reference!$D$11*(IF(MONTH($A95)=Reference!$D$4,1,0)+IF(MONTH($A95)=Reference!$D$5,1,0))+(IF(MONTH($A95)=Reference!$D$6,Reference!$D$13,0))),0)</f>
        <v>420</v>
      </c>
      <c r="E95" s="11">
        <f ca="1">D95*Reference!$D$7*(1-IF(MONTH($A95)=Reference!$D$6,1,0)*Reference!$D$12)</f>
        <v>315000</v>
      </c>
      <c r="L95" s="16"/>
      <c r="M95" s="20"/>
      <c r="N95" s="20"/>
      <c r="O95" s="19"/>
      <c r="P95" s="10"/>
      <c r="Q95" s="10"/>
      <c r="R95" s="10"/>
      <c r="S95" s="10"/>
      <c r="T95" s="10"/>
      <c r="U95" s="10"/>
      <c r="V95" s="10"/>
      <c r="W95" s="10"/>
      <c r="X95" s="10"/>
      <c r="Y95" s="10"/>
    </row>
    <row r="96" spans="1:25" x14ac:dyDescent="0.25">
      <c r="A96" s="9">
        <v>40634</v>
      </c>
      <c r="B96" s="10">
        <f ca="1">ROUND(_xlfn.NORM.INV(RAND(),Reference!$C$8,0.1*Reference!$C$8)*(1+Reference!$C$11*(IF(MONTH($A96)=Reference!$C$4,1,0)+IF(MONTH($A96)=Reference!$C$5,1,0))+(IF(MONTH($A96)=Reference!$C$6,Reference!$C$13,0))),0)</f>
        <v>554</v>
      </c>
      <c r="C96" s="11">
        <f ca="1">B96*Reference!$C$7*(1-IF(MONTH($A96)=Reference!$C$6,1,0)*Reference!$C$12)</f>
        <v>515220</v>
      </c>
      <c r="D96" s="10">
        <f ca="1">ROUND(_xlfn.NORM.INV(RAND(),Reference!$D$8,0.1*Reference!$D$8)*(1+Reference!$D$11*(IF(MONTH($A96)=Reference!$D$4,1,0)+IF(MONTH($A96)=Reference!$D$5,1,0))+(IF(MONTH($A96)=Reference!$D$6,Reference!$D$13,0))),0)</f>
        <v>524</v>
      </c>
      <c r="E96" s="11">
        <f ca="1">D96*Reference!$D$7*(1-IF(MONTH($A96)=Reference!$D$6,1,0)*Reference!$D$12)</f>
        <v>393000</v>
      </c>
      <c r="L96" s="16"/>
      <c r="M96" s="20"/>
      <c r="N96" s="20"/>
      <c r="O96" s="19"/>
      <c r="P96" s="10"/>
      <c r="Q96" s="10"/>
      <c r="R96" s="10"/>
      <c r="S96" s="10"/>
      <c r="T96" s="10"/>
      <c r="U96" s="10"/>
      <c r="V96" s="10"/>
      <c r="W96" s="10"/>
      <c r="X96" s="10"/>
      <c r="Y96" s="10"/>
    </row>
    <row r="97" spans="1:25" x14ac:dyDescent="0.25">
      <c r="A97" s="9">
        <v>40635</v>
      </c>
      <c r="B97" s="10">
        <f ca="1">ROUND(_xlfn.NORM.INV(RAND(),Reference!$C$8,0.1*Reference!$C$8)*(1+Reference!$C$11*(IF(MONTH($A97)=Reference!$C$4,1,0)+IF(MONTH($A97)=Reference!$C$5,1,0))+(IF(MONTH($A97)=Reference!$C$6,Reference!$C$13,0))),0)</f>
        <v>628</v>
      </c>
      <c r="C97" s="11">
        <f ca="1">B97*Reference!$C$7*(1-IF(MONTH($A97)=Reference!$C$6,1,0)*Reference!$C$12)</f>
        <v>584040</v>
      </c>
      <c r="D97" s="10">
        <f ca="1">ROUND(_xlfn.NORM.INV(RAND(),Reference!$D$8,0.1*Reference!$D$8)*(1+Reference!$D$11*(IF(MONTH($A97)=Reference!$D$4,1,0)+IF(MONTH($A97)=Reference!$D$5,1,0))+(IF(MONTH($A97)=Reference!$D$6,Reference!$D$13,0))),0)</f>
        <v>408</v>
      </c>
      <c r="E97" s="11">
        <f ca="1">D97*Reference!$D$7*(1-IF(MONTH($A97)=Reference!$D$6,1,0)*Reference!$D$12)</f>
        <v>306000</v>
      </c>
      <c r="L97" s="16"/>
      <c r="M97" s="20"/>
      <c r="N97" s="20"/>
      <c r="O97" s="19"/>
      <c r="P97" s="10"/>
      <c r="Q97" s="10"/>
      <c r="R97" s="10"/>
      <c r="S97" s="10"/>
      <c r="T97" s="10"/>
      <c r="U97" s="10"/>
      <c r="V97" s="10"/>
      <c r="W97" s="10"/>
      <c r="X97" s="10"/>
      <c r="Y97" s="10"/>
    </row>
    <row r="98" spans="1:25" x14ac:dyDescent="0.25">
      <c r="A98" s="9">
        <v>40636</v>
      </c>
      <c r="B98" s="10">
        <f ca="1">ROUND(_xlfn.NORM.INV(RAND(),Reference!$C$8,0.1*Reference!$C$8)*(1+Reference!$C$11*(IF(MONTH($A98)=Reference!$C$4,1,0)+IF(MONTH($A98)=Reference!$C$5,1,0))+(IF(MONTH($A98)=Reference!$C$6,Reference!$C$13,0))),0)</f>
        <v>487</v>
      </c>
      <c r="C98" s="11">
        <f ca="1">B98*Reference!$C$7*(1-IF(MONTH($A98)=Reference!$C$6,1,0)*Reference!$C$12)</f>
        <v>452910</v>
      </c>
      <c r="D98" s="10">
        <f ca="1">ROUND(_xlfn.NORM.INV(RAND(),Reference!$D$8,0.1*Reference!$D$8)*(1+Reference!$D$11*(IF(MONTH($A98)=Reference!$D$4,1,0)+IF(MONTH($A98)=Reference!$D$5,1,0))+(IF(MONTH($A98)=Reference!$D$6,Reference!$D$13,0))),0)</f>
        <v>453</v>
      </c>
      <c r="E98" s="11">
        <f ca="1">D98*Reference!$D$7*(1-IF(MONTH($A98)=Reference!$D$6,1,0)*Reference!$D$12)</f>
        <v>339750</v>
      </c>
      <c r="L98" s="16"/>
      <c r="M98" s="20"/>
      <c r="N98" s="20"/>
      <c r="O98" s="19"/>
      <c r="P98" s="10"/>
      <c r="Q98" s="10"/>
      <c r="R98" s="10"/>
      <c r="S98" s="10"/>
      <c r="T98" s="10"/>
      <c r="U98" s="10"/>
      <c r="V98" s="10"/>
      <c r="W98" s="10"/>
      <c r="X98" s="10"/>
      <c r="Y98" s="10"/>
    </row>
    <row r="99" spans="1:25" x14ac:dyDescent="0.25">
      <c r="A99" s="9">
        <v>40637</v>
      </c>
      <c r="B99" s="10">
        <f ca="1">ROUND(_xlfn.NORM.INV(RAND(),Reference!$C$8,0.1*Reference!$C$8)*(1+Reference!$C$11*(IF(MONTH($A99)=Reference!$C$4,1,0)+IF(MONTH($A99)=Reference!$C$5,1,0))+(IF(MONTH($A99)=Reference!$C$6,Reference!$C$13,0))),0)</f>
        <v>555</v>
      </c>
      <c r="C99" s="11">
        <f ca="1">B99*Reference!$C$7*(1-IF(MONTH($A99)=Reference!$C$6,1,0)*Reference!$C$12)</f>
        <v>516150</v>
      </c>
      <c r="D99" s="10">
        <f ca="1">ROUND(_xlfn.NORM.INV(RAND(),Reference!$D$8,0.1*Reference!$D$8)*(1+Reference!$D$11*(IF(MONTH($A99)=Reference!$D$4,1,0)+IF(MONTH($A99)=Reference!$D$5,1,0))+(IF(MONTH($A99)=Reference!$D$6,Reference!$D$13,0))),0)</f>
        <v>404</v>
      </c>
      <c r="E99" s="11">
        <f ca="1">D99*Reference!$D$7*(1-IF(MONTH($A99)=Reference!$D$6,1,0)*Reference!$D$12)</f>
        <v>303000</v>
      </c>
      <c r="L99" s="16"/>
      <c r="M99" s="20"/>
      <c r="N99" s="20"/>
      <c r="O99" s="19"/>
      <c r="P99" s="10"/>
      <c r="Q99" s="10"/>
      <c r="R99" s="10"/>
      <c r="S99" s="10"/>
      <c r="T99" s="10"/>
      <c r="U99" s="10"/>
      <c r="V99" s="10"/>
      <c r="W99" s="10"/>
      <c r="X99" s="10"/>
      <c r="Y99" s="10"/>
    </row>
    <row r="100" spans="1:25" x14ac:dyDescent="0.25">
      <c r="A100" s="9">
        <v>40638</v>
      </c>
      <c r="B100" s="10">
        <f ca="1">ROUND(_xlfn.NORM.INV(RAND(),Reference!$C$8,0.1*Reference!$C$8)*(1+Reference!$C$11*(IF(MONTH($A100)=Reference!$C$4,1,0)+IF(MONTH($A100)=Reference!$C$5,1,0))+(IF(MONTH($A100)=Reference!$C$6,Reference!$C$13,0))),0)</f>
        <v>496</v>
      </c>
      <c r="C100" s="11">
        <f ca="1">B100*Reference!$C$7*(1-IF(MONTH($A100)=Reference!$C$6,1,0)*Reference!$C$12)</f>
        <v>461280</v>
      </c>
      <c r="D100" s="10">
        <f ca="1">ROUND(_xlfn.NORM.INV(RAND(),Reference!$D$8,0.1*Reference!$D$8)*(1+Reference!$D$11*(IF(MONTH($A100)=Reference!$D$4,1,0)+IF(MONTH($A100)=Reference!$D$5,1,0))+(IF(MONTH($A100)=Reference!$D$6,Reference!$D$13,0))),0)</f>
        <v>473</v>
      </c>
      <c r="E100" s="11">
        <f ca="1">D100*Reference!$D$7*(1-IF(MONTH($A100)=Reference!$D$6,1,0)*Reference!$D$12)</f>
        <v>354750</v>
      </c>
      <c r="L100" s="16"/>
      <c r="M100" s="20"/>
      <c r="N100" s="20"/>
      <c r="O100" s="19"/>
      <c r="P100" s="10"/>
      <c r="Q100" s="10"/>
      <c r="R100" s="10"/>
      <c r="S100" s="10"/>
      <c r="T100" s="10"/>
      <c r="U100" s="10"/>
      <c r="V100" s="10"/>
      <c r="W100" s="10"/>
      <c r="X100" s="10"/>
      <c r="Y100" s="10"/>
    </row>
    <row r="101" spans="1:25" x14ac:dyDescent="0.25">
      <c r="A101" s="9">
        <v>40639</v>
      </c>
      <c r="B101" s="10">
        <f ca="1">ROUND(_xlfn.NORM.INV(RAND(),Reference!$C$8,0.1*Reference!$C$8)*(1+Reference!$C$11*(IF(MONTH($A101)=Reference!$C$4,1,0)+IF(MONTH($A101)=Reference!$C$5,1,0))+(IF(MONTH($A101)=Reference!$C$6,Reference!$C$13,0))),0)</f>
        <v>614</v>
      </c>
      <c r="C101" s="11">
        <f ca="1">B101*Reference!$C$7*(1-IF(MONTH($A101)=Reference!$C$6,1,0)*Reference!$C$12)</f>
        <v>571020</v>
      </c>
      <c r="D101" s="10">
        <f ca="1">ROUND(_xlfn.NORM.INV(RAND(),Reference!$D$8,0.1*Reference!$D$8)*(1+Reference!$D$11*(IF(MONTH($A101)=Reference!$D$4,1,0)+IF(MONTH($A101)=Reference!$D$5,1,0))+(IF(MONTH($A101)=Reference!$D$6,Reference!$D$13,0))),0)</f>
        <v>484</v>
      </c>
      <c r="E101" s="11">
        <f ca="1">D101*Reference!$D$7*(1-IF(MONTH($A101)=Reference!$D$6,1,0)*Reference!$D$12)</f>
        <v>363000</v>
      </c>
      <c r="L101" s="16"/>
      <c r="M101" s="20"/>
      <c r="N101" s="20"/>
      <c r="O101" s="19"/>
      <c r="P101" s="10"/>
      <c r="Q101" s="10"/>
      <c r="R101" s="10"/>
      <c r="S101" s="10"/>
      <c r="T101" s="10"/>
      <c r="U101" s="10"/>
      <c r="V101" s="10"/>
      <c r="W101" s="10"/>
      <c r="X101" s="10"/>
      <c r="Y101" s="10"/>
    </row>
    <row r="102" spans="1:25" x14ac:dyDescent="0.25">
      <c r="A102" s="9">
        <v>40640</v>
      </c>
      <c r="B102" s="10">
        <f ca="1">ROUND(_xlfn.NORM.INV(RAND(),Reference!$C$8,0.1*Reference!$C$8)*(1+Reference!$C$11*(IF(MONTH($A102)=Reference!$C$4,1,0)+IF(MONTH($A102)=Reference!$C$5,1,0))+(IF(MONTH($A102)=Reference!$C$6,Reference!$C$13,0))),0)</f>
        <v>536</v>
      </c>
      <c r="C102" s="11">
        <f ca="1">B102*Reference!$C$7*(1-IF(MONTH($A102)=Reference!$C$6,1,0)*Reference!$C$12)</f>
        <v>498480</v>
      </c>
      <c r="D102" s="10">
        <f ca="1">ROUND(_xlfn.NORM.INV(RAND(),Reference!$D$8,0.1*Reference!$D$8)*(1+Reference!$D$11*(IF(MONTH($A102)=Reference!$D$4,1,0)+IF(MONTH($A102)=Reference!$D$5,1,0))+(IF(MONTH($A102)=Reference!$D$6,Reference!$D$13,0))),0)</f>
        <v>383</v>
      </c>
      <c r="E102" s="11">
        <f ca="1">D102*Reference!$D$7*(1-IF(MONTH($A102)=Reference!$D$6,1,0)*Reference!$D$12)</f>
        <v>287250</v>
      </c>
      <c r="L102" s="16"/>
      <c r="M102" s="20"/>
      <c r="N102" s="20"/>
      <c r="O102" s="19"/>
      <c r="P102" s="10"/>
      <c r="Q102" s="10"/>
      <c r="R102" s="10"/>
      <c r="S102" s="10"/>
      <c r="T102" s="10"/>
      <c r="U102" s="10"/>
      <c r="V102" s="10"/>
      <c r="W102" s="10"/>
      <c r="X102" s="10"/>
      <c r="Y102" s="10"/>
    </row>
    <row r="103" spans="1:25" x14ac:dyDescent="0.25">
      <c r="A103" s="9">
        <v>40641</v>
      </c>
      <c r="B103" s="10">
        <f ca="1">ROUND(_xlfn.NORM.INV(RAND(),Reference!$C$8,0.1*Reference!$C$8)*(1+Reference!$C$11*(IF(MONTH($A103)=Reference!$C$4,1,0)+IF(MONTH($A103)=Reference!$C$5,1,0))+(IF(MONTH($A103)=Reference!$C$6,Reference!$C$13,0))),0)</f>
        <v>572</v>
      </c>
      <c r="C103" s="11">
        <f ca="1">B103*Reference!$C$7*(1-IF(MONTH($A103)=Reference!$C$6,1,0)*Reference!$C$12)</f>
        <v>531960</v>
      </c>
      <c r="D103" s="10">
        <f ca="1">ROUND(_xlfn.NORM.INV(RAND(),Reference!$D$8,0.1*Reference!$D$8)*(1+Reference!$D$11*(IF(MONTH($A103)=Reference!$D$4,1,0)+IF(MONTH($A103)=Reference!$D$5,1,0))+(IF(MONTH($A103)=Reference!$D$6,Reference!$D$13,0))),0)</f>
        <v>427</v>
      </c>
      <c r="E103" s="11">
        <f ca="1">D103*Reference!$D$7*(1-IF(MONTH($A103)=Reference!$D$6,1,0)*Reference!$D$12)</f>
        <v>320250</v>
      </c>
      <c r="L103" s="16"/>
      <c r="M103" s="20"/>
      <c r="N103" s="20"/>
      <c r="O103" s="19"/>
      <c r="P103" s="10"/>
      <c r="Q103" s="10"/>
      <c r="R103" s="10"/>
      <c r="S103" s="10"/>
      <c r="T103" s="10"/>
      <c r="U103" s="10"/>
      <c r="V103" s="10"/>
      <c r="W103" s="10"/>
      <c r="X103" s="10"/>
      <c r="Y103" s="10"/>
    </row>
    <row r="104" spans="1:25" x14ac:dyDescent="0.25">
      <c r="A104" s="9">
        <v>40642</v>
      </c>
      <c r="B104" s="10">
        <f ca="1">ROUND(_xlfn.NORM.INV(RAND(),Reference!$C$8,0.1*Reference!$C$8)*(1+Reference!$C$11*(IF(MONTH($A104)=Reference!$C$4,1,0)+IF(MONTH($A104)=Reference!$C$5,1,0))+(IF(MONTH($A104)=Reference!$C$6,Reference!$C$13,0))),0)</f>
        <v>472</v>
      </c>
      <c r="C104" s="11">
        <f ca="1">B104*Reference!$C$7*(1-IF(MONTH($A104)=Reference!$C$6,1,0)*Reference!$C$12)</f>
        <v>438960</v>
      </c>
      <c r="D104" s="10">
        <f ca="1">ROUND(_xlfn.NORM.INV(RAND(),Reference!$D$8,0.1*Reference!$D$8)*(1+Reference!$D$11*(IF(MONTH($A104)=Reference!$D$4,1,0)+IF(MONTH($A104)=Reference!$D$5,1,0))+(IF(MONTH($A104)=Reference!$D$6,Reference!$D$13,0))),0)</f>
        <v>369</v>
      </c>
      <c r="E104" s="11">
        <f ca="1">D104*Reference!$D$7*(1-IF(MONTH($A104)=Reference!$D$6,1,0)*Reference!$D$12)</f>
        <v>276750</v>
      </c>
      <c r="L104" s="16"/>
      <c r="M104" s="20"/>
      <c r="N104" s="20"/>
      <c r="O104" s="19"/>
      <c r="P104" s="10"/>
      <c r="Q104" s="10"/>
      <c r="R104" s="10"/>
      <c r="S104" s="10"/>
      <c r="T104" s="10"/>
      <c r="U104" s="10"/>
      <c r="V104" s="10"/>
      <c r="W104" s="10"/>
      <c r="X104" s="10"/>
      <c r="Y104" s="10"/>
    </row>
    <row r="105" spans="1:25" x14ac:dyDescent="0.25">
      <c r="A105" s="9">
        <v>40643</v>
      </c>
      <c r="B105" s="10">
        <f ca="1">ROUND(_xlfn.NORM.INV(RAND(),Reference!$C$8,0.1*Reference!$C$8)*(1+Reference!$C$11*(IF(MONTH($A105)=Reference!$C$4,1,0)+IF(MONTH($A105)=Reference!$C$5,1,0))+(IF(MONTH($A105)=Reference!$C$6,Reference!$C$13,0))),0)</f>
        <v>553</v>
      </c>
      <c r="C105" s="11">
        <f ca="1">B105*Reference!$C$7*(1-IF(MONTH($A105)=Reference!$C$6,1,0)*Reference!$C$12)</f>
        <v>514290</v>
      </c>
      <c r="D105" s="10">
        <f ca="1">ROUND(_xlfn.NORM.INV(RAND(),Reference!$D$8,0.1*Reference!$D$8)*(1+Reference!$D$11*(IF(MONTH($A105)=Reference!$D$4,1,0)+IF(MONTH($A105)=Reference!$D$5,1,0))+(IF(MONTH($A105)=Reference!$D$6,Reference!$D$13,0))),0)</f>
        <v>483</v>
      </c>
      <c r="E105" s="11">
        <f ca="1">D105*Reference!$D$7*(1-IF(MONTH($A105)=Reference!$D$6,1,0)*Reference!$D$12)</f>
        <v>362250</v>
      </c>
      <c r="L105" s="16"/>
      <c r="M105" s="20"/>
      <c r="N105" s="20"/>
      <c r="O105" s="19"/>
      <c r="P105" s="10"/>
      <c r="Q105" s="10"/>
      <c r="R105" s="10"/>
      <c r="S105" s="10"/>
      <c r="T105" s="10"/>
      <c r="U105" s="10"/>
      <c r="V105" s="10"/>
      <c r="W105" s="10"/>
      <c r="X105" s="10"/>
      <c r="Y105" s="10"/>
    </row>
    <row r="106" spans="1:25" x14ac:dyDescent="0.25">
      <c r="A106" s="9">
        <v>40644</v>
      </c>
      <c r="B106" s="10">
        <f ca="1">ROUND(_xlfn.NORM.INV(RAND(),Reference!$C$8,0.1*Reference!$C$8)*(1+Reference!$C$11*(IF(MONTH($A106)=Reference!$C$4,1,0)+IF(MONTH($A106)=Reference!$C$5,1,0))+(IF(MONTH($A106)=Reference!$C$6,Reference!$C$13,0))),0)</f>
        <v>567</v>
      </c>
      <c r="C106" s="11">
        <f ca="1">B106*Reference!$C$7*(1-IF(MONTH($A106)=Reference!$C$6,1,0)*Reference!$C$12)</f>
        <v>527310</v>
      </c>
      <c r="D106" s="10">
        <f ca="1">ROUND(_xlfn.NORM.INV(RAND(),Reference!$D$8,0.1*Reference!$D$8)*(1+Reference!$D$11*(IF(MONTH($A106)=Reference!$D$4,1,0)+IF(MONTH($A106)=Reference!$D$5,1,0))+(IF(MONTH($A106)=Reference!$D$6,Reference!$D$13,0))),0)</f>
        <v>422</v>
      </c>
      <c r="E106" s="11">
        <f ca="1">D106*Reference!$D$7*(1-IF(MONTH($A106)=Reference!$D$6,1,0)*Reference!$D$12)</f>
        <v>316500</v>
      </c>
      <c r="L106" s="16"/>
      <c r="M106" s="20"/>
      <c r="N106" s="20"/>
      <c r="O106" s="19"/>
      <c r="P106" s="10"/>
      <c r="Q106" s="10"/>
      <c r="R106" s="10"/>
      <c r="S106" s="10"/>
      <c r="T106" s="10"/>
      <c r="U106" s="10"/>
      <c r="V106" s="10"/>
      <c r="W106" s="10"/>
      <c r="X106" s="10"/>
      <c r="Y106" s="10"/>
    </row>
    <row r="107" spans="1:25" x14ac:dyDescent="0.25">
      <c r="A107" s="9">
        <v>40645</v>
      </c>
      <c r="B107" s="10">
        <f ca="1">ROUND(_xlfn.NORM.INV(RAND(),Reference!$C$8,0.1*Reference!$C$8)*(1+Reference!$C$11*(IF(MONTH($A107)=Reference!$C$4,1,0)+IF(MONTH($A107)=Reference!$C$5,1,0))+(IF(MONTH($A107)=Reference!$C$6,Reference!$C$13,0))),0)</f>
        <v>468</v>
      </c>
      <c r="C107" s="11">
        <f ca="1">B107*Reference!$C$7*(1-IF(MONTH($A107)=Reference!$C$6,1,0)*Reference!$C$12)</f>
        <v>435240</v>
      </c>
      <c r="D107" s="10">
        <f ca="1">ROUND(_xlfn.NORM.INV(RAND(),Reference!$D$8,0.1*Reference!$D$8)*(1+Reference!$D$11*(IF(MONTH($A107)=Reference!$D$4,1,0)+IF(MONTH($A107)=Reference!$D$5,1,0))+(IF(MONTH($A107)=Reference!$D$6,Reference!$D$13,0))),0)</f>
        <v>386</v>
      </c>
      <c r="E107" s="11">
        <f ca="1">D107*Reference!$D$7*(1-IF(MONTH($A107)=Reference!$D$6,1,0)*Reference!$D$12)</f>
        <v>289500</v>
      </c>
      <c r="L107" s="16"/>
      <c r="M107" s="20"/>
      <c r="N107" s="20"/>
      <c r="O107" s="19"/>
      <c r="P107" s="10"/>
      <c r="Q107" s="10"/>
      <c r="R107" s="10"/>
      <c r="S107" s="10"/>
      <c r="T107" s="10"/>
      <c r="U107" s="10"/>
      <c r="V107" s="10"/>
      <c r="W107" s="10"/>
      <c r="X107" s="10"/>
      <c r="Y107" s="10"/>
    </row>
    <row r="108" spans="1:25" x14ac:dyDescent="0.25">
      <c r="A108" s="9">
        <v>40646</v>
      </c>
      <c r="B108" s="10">
        <f ca="1">ROUND(_xlfn.NORM.INV(RAND(),Reference!$C$8,0.1*Reference!$C$8)*(1+Reference!$C$11*(IF(MONTH($A108)=Reference!$C$4,1,0)+IF(MONTH($A108)=Reference!$C$5,1,0))+(IF(MONTH($A108)=Reference!$C$6,Reference!$C$13,0))),0)</f>
        <v>488</v>
      </c>
      <c r="C108" s="11">
        <f ca="1">B108*Reference!$C$7*(1-IF(MONTH($A108)=Reference!$C$6,1,0)*Reference!$C$12)</f>
        <v>453840</v>
      </c>
      <c r="D108" s="10">
        <f ca="1">ROUND(_xlfn.NORM.INV(RAND(),Reference!$D$8,0.1*Reference!$D$8)*(1+Reference!$D$11*(IF(MONTH($A108)=Reference!$D$4,1,0)+IF(MONTH($A108)=Reference!$D$5,1,0))+(IF(MONTH($A108)=Reference!$D$6,Reference!$D$13,0))),0)</f>
        <v>379</v>
      </c>
      <c r="E108" s="11">
        <f ca="1">D108*Reference!$D$7*(1-IF(MONTH($A108)=Reference!$D$6,1,0)*Reference!$D$12)</f>
        <v>284250</v>
      </c>
      <c r="L108" s="16"/>
      <c r="M108" s="20"/>
      <c r="N108" s="20"/>
      <c r="O108" s="19"/>
      <c r="P108" s="10"/>
      <c r="Q108" s="10"/>
      <c r="R108" s="10"/>
      <c r="S108" s="10"/>
      <c r="T108" s="10"/>
      <c r="U108" s="10"/>
      <c r="V108" s="10"/>
      <c r="W108" s="10"/>
      <c r="X108" s="10"/>
      <c r="Y108" s="10"/>
    </row>
    <row r="109" spans="1:25" x14ac:dyDescent="0.25">
      <c r="A109" s="9">
        <v>40647</v>
      </c>
      <c r="B109" s="10">
        <f ca="1">ROUND(_xlfn.NORM.INV(RAND(),Reference!$C$8,0.1*Reference!$C$8)*(1+Reference!$C$11*(IF(MONTH($A109)=Reference!$C$4,1,0)+IF(MONTH($A109)=Reference!$C$5,1,0))+(IF(MONTH($A109)=Reference!$C$6,Reference!$C$13,0))),0)</f>
        <v>548</v>
      </c>
      <c r="C109" s="11">
        <f ca="1">B109*Reference!$C$7*(1-IF(MONTH($A109)=Reference!$C$6,1,0)*Reference!$C$12)</f>
        <v>509640</v>
      </c>
      <c r="D109" s="10">
        <f ca="1">ROUND(_xlfn.NORM.INV(RAND(),Reference!$D$8,0.1*Reference!$D$8)*(1+Reference!$D$11*(IF(MONTH($A109)=Reference!$D$4,1,0)+IF(MONTH($A109)=Reference!$D$5,1,0))+(IF(MONTH($A109)=Reference!$D$6,Reference!$D$13,0))),0)</f>
        <v>431</v>
      </c>
      <c r="E109" s="11">
        <f ca="1">D109*Reference!$D$7*(1-IF(MONTH($A109)=Reference!$D$6,1,0)*Reference!$D$12)</f>
        <v>323250</v>
      </c>
      <c r="L109" s="16"/>
      <c r="M109" s="20"/>
      <c r="N109" s="20"/>
      <c r="O109" s="19"/>
      <c r="P109" s="10"/>
      <c r="Q109" s="10"/>
      <c r="R109" s="10"/>
      <c r="S109" s="10"/>
      <c r="T109" s="10"/>
      <c r="U109" s="10"/>
      <c r="V109" s="10"/>
      <c r="W109" s="10"/>
      <c r="X109" s="10"/>
      <c r="Y109" s="10"/>
    </row>
    <row r="110" spans="1:25" x14ac:dyDescent="0.25">
      <c r="A110" s="9">
        <v>40648</v>
      </c>
      <c r="B110" s="10">
        <f ca="1">ROUND(_xlfn.NORM.INV(RAND(),Reference!$C$8,0.1*Reference!$C$8)*(1+Reference!$C$11*(IF(MONTH($A110)=Reference!$C$4,1,0)+IF(MONTH($A110)=Reference!$C$5,1,0))+(IF(MONTH($A110)=Reference!$C$6,Reference!$C$13,0))),0)</f>
        <v>445</v>
      </c>
      <c r="C110" s="11">
        <f ca="1">B110*Reference!$C$7*(1-IF(MONTH($A110)=Reference!$C$6,1,0)*Reference!$C$12)</f>
        <v>413850</v>
      </c>
      <c r="D110" s="10">
        <f ca="1">ROUND(_xlfn.NORM.INV(RAND(),Reference!$D$8,0.1*Reference!$D$8)*(1+Reference!$D$11*(IF(MONTH($A110)=Reference!$D$4,1,0)+IF(MONTH($A110)=Reference!$D$5,1,0))+(IF(MONTH($A110)=Reference!$D$6,Reference!$D$13,0))),0)</f>
        <v>422</v>
      </c>
      <c r="E110" s="11">
        <f ca="1">D110*Reference!$D$7*(1-IF(MONTH($A110)=Reference!$D$6,1,0)*Reference!$D$12)</f>
        <v>316500</v>
      </c>
      <c r="L110" s="16"/>
      <c r="M110" s="20"/>
      <c r="N110" s="20"/>
      <c r="O110" s="19"/>
      <c r="P110" s="10"/>
      <c r="Q110" s="10"/>
      <c r="R110" s="10"/>
      <c r="S110" s="10"/>
      <c r="T110" s="10"/>
      <c r="U110" s="10"/>
      <c r="V110" s="10"/>
      <c r="W110" s="10"/>
      <c r="X110" s="10"/>
      <c r="Y110" s="10"/>
    </row>
    <row r="111" spans="1:25" x14ac:dyDescent="0.25">
      <c r="A111" s="9">
        <v>40649</v>
      </c>
      <c r="B111" s="10">
        <f ca="1">ROUND(_xlfn.NORM.INV(RAND(),Reference!$C$8,0.1*Reference!$C$8)*(1+Reference!$C$11*(IF(MONTH($A111)=Reference!$C$4,1,0)+IF(MONTH($A111)=Reference!$C$5,1,0))+(IF(MONTH($A111)=Reference!$C$6,Reference!$C$13,0))),0)</f>
        <v>505</v>
      </c>
      <c r="C111" s="11">
        <f ca="1">B111*Reference!$C$7*(1-IF(MONTH($A111)=Reference!$C$6,1,0)*Reference!$C$12)</f>
        <v>469650</v>
      </c>
      <c r="D111" s="10">
        <f ca="1">ROUND(_xlfn.NORM.INV(RAND(),Reference!$D$8,0.1*Reference!$D$8)*(1+Reference!$D$11*(IF(MONTH($A111)=Reference!$D$4,1,0)+IF(MONTH($A111)=Reference!$D$5,1,0))+(IF(MONTH($A111)=Reference!$D$6,Reference!$D$13,0))),0)</f>
        <v>437</v>
      </c>
      <c r="E111" s="11">
        <f ca="1">D111*Reference!$D$7*(1-IF(MONTH($A111)=Reference!$D$6,1,0)*Reference!$D$12)</f>
        <v>327750</v>
      </c>
      <c r="L111" s="16"/>
      <c r="M111" s="20"/>
      <c r="N111" s="20"/>
      <c r="O111" s="19"/>
      <c r="P111" s="10"/>
      <c r="Q111" s="10"/>
      <c r="R111" s="10"/>
      <c r="S111" s="10"/>
      <c r="T111" s="10"/>
      <c r="U111" s="10"/>
      <c r="V111" s="10"/>
      <c r="W111" s="10"/>
      <c r="X111" s="10"/>
      <c r="Y111" s="10"/>
    </row>
    <row r="112" spans="1:25" x14ac:dyDescent="0.25">
      <c r="A112" s="9">
        <v>40650</v>
      </c>
      <c r="B112" s="10">
        <f ca="1">ROUND(_xlfn.NORM.INV(RAND(),Reference!$C$8,0.1*Reference!$C$8)*(1+Reference!$C$11*(IF(MONTH($A112)=Reference!$C$4,1,0)+IF(MONTH($A112)=Reference!$C$5,1,0))+(IF(MONTH($A112)=Reference!$C$6,Reference!$C$13,0))),0)</f>
        <v>578</v>
      </c>
      <c r="C112" s="11">
        <f ca="1">B112*Reference!$C$7*(1-IF(MONTH($A112)=Reference!$C$6,1,0)*Reference!$C$12)</f>
        <v>537540</v>
      </c>
      <c r="D112" s="10">
        <f ca="1">ROUND(_xlfn.NORM.INV(RAND(),Reference!$D$8,0.1*Reference!$D$8)*(1+Reference!$D$11*(IF(MONTH($A112)=Reference!$D$4,1,0)+IF(MONTH($A112)=Reference!$D$5,1,0))+(IF(MONTH($A112)=Reference!$D$6,Reference!$D$13,0))),0)</f>
        <v>520</v>
      </c>
      <c r="E112" s="11">
        <f ca="1">D112*Reference!$D$7*(1-IF(MONTH($A112)=Reference!$D$6,1,0)*Reference!$D$12)</f>
        <v>390000</v>
      </c>
      <c r="L112" s="16"/>
      <c r="M112" s="20"/>
      <c r="N112" s="20"/>
      <c r="O112" s="19"/>
      <c r="P112" s="10"/>
      <c r="Q112" s="10"/>
      <c r="R112" s="10"/>
      <c r="S112" s="10"/>
      <c r="T112" s="10"/>
      <c r="U112" s="10"/>
      <c r="V112" s="10"/>
      <c r="W112" s="10"/>
      <c r="X112" s="10"/>
      <c r="Y112" s="10"/>
    </row>
    <row r="113" spans="1:25" x14ac:dyDescent="0.25">
      <c r="A113" s="9">
        <v>40651</v>
      </c>
      <c r="B113" s="10">
        <f ca="1">ROUND(_xlfn.NORM.INV(RAND(),Reference!$C$8,0.1*Reference!$C$8)*(1+Reference!$C$11*(IF(MONTH($A113)=Reference!$C$4,1,0)+IF(MONTH($A113)=Reference!$C$5,1,0))+(IF(MONTH($A113)=Reference!$C$6,Reference!$C$13,0))),0)</f>
        <v>624</v>
      </c>
      <c r="C113" s="11">
        <f ca="1">B113*Reference!$C$7*(1-IF(MONTH($A113)=Reference!$C$6,1,0)*Reference!$C$12)</f>
        <v>580320</v>
      </c>
      <c r="D113" s="10">
        <f ca="1">ROUND(_xlfn.NORM.INV(RAND(),Reference!$D$8,0.1*Reference!$D$8)*(1+Reference!$D$11*(IF(MONTH($A113)=Reference!$D$4,1,0)+IF(MONTH($A113)=Reference!$D$5,1,0))+(IF(MONTH($A113)=Reference!$D$6,Reference!$D$13,0))),0)</f>
        <v>511</v>
      </c>
      <c r="E113" s="11">
        <f ca="1">D113*Reference!$D$7*(1-IF(MONTH($A113)=Reference!$D$6,1,0)*Reference!$D$12)</f>
        <v>383250</v>
      </c>
      <c r="L113" s="16"/>
      <c r="M113" s="20"/>
      <c r="N113" s="20"/>
      <c r="O113" s="19"/>
      <c r="P113" s="10"/>
      <c r="Q113" s="10"/>
      <c r="R113" s="10"/>
      <c r="S113" s="10"/>
      <c r="T113" s="10"/>
      <c r="U113" s="10"/>
      <c r="V113" s="10"/>
      <c r="W113" s="10"/>
      <c r="X113" s="10"/>
      <c r="Y113" s="10"/>
    </row>
    <row r="114" spans="1:25" x14ac:dyDescent="0.25">
      <c r="A114" s="9">
        <v>40652</v>
      </c>
      <c r="B114" s="10">
        <f ca="1">ROUND(_xlfn.NORM.INV(RAND(),Reference!$C$8,0.1*Reference!$C$8)*(1+Reference!$C$11*(IF(MONTH($A114)=Reference!$C$4,1,0)+IF(MONTH($A114)=Reference!$C$5,1,0))+(IF(MONTH($A114)=Reference!$C$6,Reference!$C$13,0))),0)</f>
        <v>490</v>
      </c>
      <c r="C114" s="11">
        <f ca="1">B114*Reference!$C$7*(1-IF(MONTH($A114)=Reference!$C$6,1,0)*Reference!$C$12)</f>
        <v>455700</v>
      </c>
      <c r="D114" s="10">
        <f ca="1">ROUND(_xlfn.NORM.INV(RAND(),Reference!$D$8,0.1*Reference!$D$8)*(1+Reference!$D$11*(IF(MONTH($A114)=Reference!$D$4,1,0)+IF(MONTH($A114)=Reference!$D$5,1,0))+(IF(MONTH($A114)=Reference!$D$6,Reference!$D$13,0))),0)</f>
        <v>449</v>
      </c>
      <c r="E114" s="11">
        <f ca="1">D114*Reference!$D$7*(1-IF(MONTH($A114)=Reference!$D$6,1,0)*Reference!$D$12)</f>
        <v>336750</v>
      </c>
      <c r="L114" s="16"/>
      <c r="M114" s="20"/>
      <c r="N114" s="20"/>
      <c r="O114" s="19"/>
      <c r="P114" s="10"/>
      <c r="Q114" s="10"/>
      <c r="R114" s="10"/>
      <c r="S114" s="10"/>
      <c r="T114" s="10"/>
      <c r="U114" s="10"/>
      <c r="V114" s="10"/>
      <c r="W114" s="10"/>
      <c r="X114" s="10"/>
      <c r="Y114" s="10"/>
    </row>
    <row r="115" spans="1:25" x14ac:dyDescent="0.25">
      <c r="A115" s="9">
        <v>40653</v>
      </c>
      <c r="B115" s="10">
        <f ca="1">ROUND(_xlfn.NORM.INV(RAND(),Reference!$C$8,0.1*Reference!$C$8)*(1+Reference!$C$11*(IF(MONTH($A115)=Reference!$C$4,1,0)+IF(MONTH($A115)=Reference!$C$5,1,0))+(IF(MONTH($A115)=Reference!$C$6,Reference!$C$13,0))),0)</f>
        <v>583</v>
      </c>
      <c r="C115" s="11">
        <f ca="1">B115*Reference!$C$7*(1-IF(MONTH($A115)=Reference!$C$6,1,0)*Reference!$C$12)</f>
        <v>542190</v>
      </c>
      <c r="D115" s="10">
        <f ca="1">ROUND(_xlfn.NORM.INV(RAND(),Reference!$D$8,0.1*Reference!$D$8)*(1+Reference!$D$11*(IF(MONTH($A115)=Reference!$D$4,1,0)+IF(MONTH($A115)=Reference!$D$5,1,0))+(IF(MONTH($A115)=Reference!$D$6,Reference!$D$13,0))),0)</f>
        <v>458</v>
      </c>
      <c r="E115" s="11">
        <f ca="1">D115*Reference!$D$7*(1-IF(MONTH($A115)=Reference!$D$6,1,0)*Reference!$D$12)</f>
        <v>343500</v>
      </c>
      <c r="L115" s="16"/>
      <c r="M115" s="20"/>
      <c r="N115" s="20"/>
      <c r="O115" s="19"/>
      <c r="P115" s="10"/>
      <c r="Q115" s="10"/>
      <c r="R115" s="10"/>
      <c r="S115" s="10"/>
      <c r="T115" s="10"/>
      <c r="U115" s="10"/>
      <c r="V115" s="10"/>
      <c r="W115" s="10"/>
      <c r="X115" s="10"/>
      <c r="Y115" s="10"/>
    </row>
    <row r="116" spans="1:25" x14ac:dyDescent="0.25">
      <c r="A116" s="9">
        <v>40654</v>
      </c>
      <c r="B116" s="10">
        <f ca="1">ROUND(_xlfn.NORM.INV(RAND(),Reference!$C$8,0.1*Reference!$C$8)*(1+Reference!$C$11*(IF(MONTH($A116)=Reference!$C$4,1,0)+IF(MONTH($A116)=Reference!$C$5,1,0))+(IF(MONTH($A116)=Reference!$C$6,Reference!$C$13,0))),0)</f>
        <v>426</v>
      </c>
      <c r="C116" s="11">
        <f ca="1">B116*Reference!$C$7*(1-IF(MONTH($A116)=Reference!$C$6,1,0)*Reference!$C$12)</f>
        <v>396180</v>
      </c>
      <c r="D116" s="10">
        <f ca="1">ROUND(_xlfn.NORM.INV(RAND(),Reference!$D$8,0.1*Reference!$D$8)*(1+Reference!$D$11*(IF(MONTH($A116)=Reference!$D$4,1,0)+IF(MONTH($A116)=Reference!$D$5,1,0))+(IF(MONTH($A116)=Reference!$D$6,Reference!$D$13,0))),0)</f>
        <v>413</v>
      </c>
      <c r="E116" s="11">
        <f ca="1">D116*Reference!$D$7*(1-IF(MONTH($A116)=Reference!$D$6,1,0)*Reference!$D$12)</f>
        <v>309750</v>
      </c>
      <c r="L116" s="16"/>
      <c r="M116" s="20"/>
      <c r="N116" s="20"/>
      <c r="O116" s="19"/>
      <c r="P116" s="10"/>
      <c r="Q116" s="10"/>
      <c r="R116" s="10"/>
      <c r="S116" s="10"/>
      <c r="T116" s="10"/>
      <c r="U116" s="10"/>
      <c r="V116" s="10"/>
      <c r="W116" s="10"/>
      <c r="X116" s="10"/>
      <c r="Y116" s="10"/>
    </row>
    <row r="117" spans="1:25" x14ac:dyDescent="0.25">
      <c r="A117" s="9">
        <v>40655</v>
      </c>
      <c r="B117" s="10">
        <f ca="1">ROUND(_xlfn.NORM.INV(RAND(),Reference!$C$8,0.1*Reference!$C$8)*(1+Reference!$C$11*(IF(MONTH($A117)=Reference!$C$4,1,0)+IF(MONTH($A117)=Reference!$C$5,1,0))+(IF(MONTH($A117)=Reference!$C$6,Reference!$C$13,0))),0)</f>
        <v>557</v>
      </c>
      <c r="C117" s="11">
        <f ca="1">B117*Reference!$C$7*(1-IF(MONTH($A117)=Reference!$C$6,1,0)*Reference!$C$12)</f>
        <v>518010</v>
      </c>
      <c r="D117" s="10">
        <f ca="1">ROUND(_xlfn.NORM.INV(RAND(),Reference!$D$8,0.1*Reference!$D$8)*(1+Reference!$D$11*(IF(MONTH($A117)=Reference!$D$4,1,0)+IF(MONTH($A117)=Reference!$D$5,1,0))+(IF(MONTH($A117)=Reference!$D$6,Reference!$D$13,0))),0)</f>
        <v>443</v>
      </c>
      <c r="E117" s="11">
        <f ca="1">D117*Reference!$D$7*(1-IF(MONTH($A117)=Reference!$D$6,1,0)*Reference!$D$12)</f>
        <v>332250</v>
      </c>
      <c r="L117" s="16"/>
      <c r="M117" s="20"/>
      <c r="N117" s="20"/>
      <c r="O117" s="19"/>
      <c r="P117" s="10"/>
      <c r="Q117" s="10"/>
      <c r="R117" s="10"/>
      <c r="S117" s="10"/>
      <c r="T117" s="10"/>
      <c r="U117" s="10"/>
      <c r="V117" s="10"/>
      <c r="W117" s="10"/>
      <c r="X117" s="10"/>
      <c r="Y117" s="10"/>
    </row>
    <row r="118" spans="1:25" x14ac:dyDescent="0.25">
      <c r="A118" s="9">
        <v>40656</v>
      </c>
      <c r="B118" s="10">
        <f ca="1">ROUND(_xlfn.NORM.INV(RAND(),Reference!$C$8,0.1*Reference!$C$8)*(1+Reference!$C$11*(IF(MONTH($A118)=Reference!$C$4,1,0)+IF(MONTH($A118)=Reference!$C$5,1,0))+(IF(MONTH($A118)=Reference!$C$6,Reference!$C$13,0))),0)</f>
        <v>574</v>
      </c>
      <c r="C118" s="11">
        <f ca="1">B118*Reference!$C$7*(1-IF(MONTH($A118)=Reference!$C$6,1,0)*Reference!$C$12)</f>
        <v>533820</v>
      </c>
      <c r="D118" s="10">
        <f ca="1">ROUND(_xlfn.NORM.INV(RAND(),Reference!$D$8,0.1*Reference!$D$8)*(1+Reference!$D$11*(IF(MONTH($A118)=Reference!$D$4,1,0)+IF(MONTH($A118)=Reference!$D$5,1,0))+(IF(MONTH($A118)=Reference!$D$6,Reference!$D$13,0))),0)</f>
        <v>361</v>
      </c>
      <c r="E118" s="11">
        <f ca="1">D118*Reference!$D$7*(1-IF(MONTH($A118)=Reference!$D$6,1,0)*Reference!$D$12)</f>
        <v>270750</v>
      </c>
      <c r="L118" s="16"/>
      <c r="M118" s="20"/>
      <c r="N118" s="20"/>
      <c r="O118" s="19"/>
      <c r="P118" s="10"/>
      <c r="Q118" s="10"/>
      <c r="R118" s="10"/>
      <c r="S118" s="10"/>
      <c r="T118" s="10"/>
      <c r="U118" s="10"/>
      <c r="V118" s="10"/>
      <c r="W118" s="10"/>
      <c r="X118" s="10"/>
      <c r="Y118" s="10"/>
    </row>
    <row r="119" spans="1:25" x14ac:dyDescent="0.25">
      <c r="A119" s="9">
        <v>40657</v>
      </c>
      <c r="B119" s="10">
        <f ca="1">ROUND(_xlfn.NORM.INV(RAND(),Reference!$C$8,0.1*Reference!$C$8)*(1+Reference!$C$11*(IF(MONTH($A119)=Reference!$C$4,1,0)+IF(MONTH($A119)=Reference!$C$5,1,0))+(IF(MONTH($A119)=Reference!$C$6,Reference!$C$13,0))),0)</f>
        <v>496</v>
      </c>
      <c r="C119" s="11">
        <f ca="1">B119*Reference!$C$7*(1-IF(MONTH($A119)=Reference!$C$6,1,0)*Reference!$C$12)</f>
        <v>461280</v>
      </c>
      <c r="D119" s="10">
        <f ca="1">ROUND(_xlfn.NORM.INV(RAND(),Reference!$D$8,0.1*Reference!$D$8)*(1+Reference!$D$11*(IF(MONTH($A119)=Reference!$D$4,1,0)+IF(MONTH($A119)=Reference!$D$5,1,0))+(IF(MONTH($A119)=Reference!$D$6,Reference!$D$13,0))),0)</f>
        <v>433</v>
      </c>
      <c r="E119" s="11">
        <f ca="1">D119*Reference!$D$7*(1-IF(MONTH($A119)=Reference!$D$6,1,0)*Reference!$D$12)</f>
        <v>324750</v>
      </c>
      <c r="L119" s="16"/>
      <c r="M119" s="20"/>
      <c r="N119" s="20"/>
      <c r="O119" s="19"/>
      <c r="P119" s="10"/>
      <c r="Q119" s="10"/>
      <c r="R119" s="10"/>
      <c r="S119" s="10"/>
      <c r="T119" s="10"/>
      <c r="U119" s="10"/>
      <c r="V119" s="10"/>
      <c r="W119" s="10"/>
      <c r="X119" s="10"/>
      <c r="Y119" s="10"/>
    </row>
    <row r="120" spans="1:25" x14ac:dyDescent="0.25">
      <c r="A120" s="9">
        <v>40658</v>
      </c>
      <c r="B120" s="10">
        <f ca="1">ROUND(_xlfn.NORM.INV(RAND(),Reference!$C$8,0.1*Reference!$C$8)*(1+Reference!$C$11*(IF(MONTH($A120)=Reference!$C$4,1,0)+IF(MONTH($A120)=Reference!$C$5,1,0))+(IF(MONTH($A120)=Reference!$C$6,Reference!$C$13,0))),0)</f>
        <v>562</v>
      </c>
      <c r="C120" s="11">
        <f ca="1">B120*Reference!$C$7*(1-IF(MONTH($A120)=Reference!$C$6,1,0)*Reference!$C$12)</f>
        <v>522660</v>
      </c>
      <c r="D120" s="10">
        <f ca="1">ROUND(_xlfn.NORM.INV(RAND(),Reference!$D$8,0.1*Reference!$D$8)*(1+Reference!$D$11*(IF(MONTH($A120)=Reference!$D$4,1,0)+IF(MONTH($A120)=Reference!$D$5,1,0))+(IF(MONTH($A120)=Reference!$D$6,Reference!$D$13,0))),0)</f>
        <v>492</v>
      </c>
      <c r="E120" s="11">
        <f ca="1">D120*Reference!$D$7*(1-IF(MONTH($A120)=Reference!$D$6,1,0)*Reference!$D$12)</f>
        <v>369000</v>
      </c>
      <c r="L120" s="16"/>
      <c r="M120" s="20"/>
      <c r="N120" s="20"/>
      <c r="O120" s="19"/>
      <c r="P120" s="10"/>
      <c r="Q120" s="10"/>
      <c r="R120" s="10"/>
      <c r="S120" s="10"/>
      <c r="T120" s="10"/>
      <c r="U120" s="10"/>
      <c r="V120" s="10"/>
      <c r="W120" s="10"/>
      <c r="X120" s="10"/>
      <c r="Y120" s="10"/>
    </row>
    <row r="121" spans="1:25" x14ac:dyDescent="0.25">
      <c r="A121" s="9">
        <v>40659</v>
      </c>
      <c r="B121" s="10">
        <f ca="1">ROUND(_xlfn.NORM.INV(RAND(),Reference!$C$8,0.1*Reference!$C$8)*(1+Reference!$C$11*(IF(MONTH($A121)=Reference!$C$4,1,0)+IF(MONTH($A121)=Reference!$C$5,1,0))+(IF(MONTH($A121)=Reference!$C$6,Reference!$C$13,0))),0)</f>
        <v>494</v>
      </c>
      <c r="C121" s="11">
        <f ca="1">B121*Reference!$C$7*(1-IF(MONTH($A121)=Reference!$C$6,1,0)*Reference!$C$12)</f>
        <v>459420</v>
      </c>
      <c r="D121" s="10">
        <f ca="1">ROUND(_xlfn.NORM.INV(RAND(),Reference!$D$8,0.1*Reference!$D$8)*(1+Reference!$D$11*(IF(MONTH($A121)=Reference!$D$4,1,0)+IF(MONTH($A121)=Reference!$D$5,1,0))+(IF(MONTH($A121)=Reference!$D$6,Reference!$D$13,0))),0)</f>
        <v>510</v>
      </c>
      <c r="E121" s="11">
        <f ca="1">D121*Reference!$D$7*(1-IF(MONTH($A121)=Reference!$D$6,1,0)*Reference!$D$12)</f>
        <v>382500</v>
      </c>
      <c r="L121" s="16"/>
      <c r="M121" s="20"/>
      <c r="N121" s="20"/>
      <c r="O121" s="19"/>
      <c r="P121" s="10"/>
      <c r="Q121" s="10"/>
      <c r="R121" s="10"/>
      <c r="S121" s="10"/>
      <c r="T121" s="10"/>
      <c r="U121" s="10"/>
      <c r="V121" s="10"/>
      <c r="W121" s="10"/>
      <c r="X121" s="10"/>
      <c r="Y121" s="10"/>
    </row>
    <row r="122" spans="1:25" x14ac:dyDescent="0.25">
      <c r="A122" s="9">
        <v>40660</v>
      </c>
      <c r="B122" s="10">
        <f ca="1">ROUND(_xlfn.NORM.INV(RAND(),Reference!$C$8,0.1*Reference!$C$8)*(1+Reference!$C$11*(IF(MONTH($A122)=Reference!$C$4,1,0)+IF(MONTH($A122)=Reference!$C$5,1,0))+(IF(MONTH($A122)=Reference!$C$6,Reference!$C$13,0))),0)</f>
        <v>445</v>
      </c>
      <c r="C122" s="11">
        <f ca="1">B122*Reference!$C$7*(1-IF(MONTH($A122)=Reference!$C$6,1,0)*Reference!$C$12)</f>
        <v>413850</v>
      </c>
      <c r="D122" s="10">
        <f ca="1">ROUND(_xlfn.NORM.INV(RAND(),Reference!$D$8,0.1*Reference!$D$8)*(1+Reference!$D$11*(IF(MONTH($A122)=Reference!$D$4,1,0)+IF(MONTH($A122)=Reference!$D$5,1,0))+(IF(MONTH($A122)=Reference!$D$6,Reference!$D$13,0))),0)</f>
        <v>412</v>
      </c>
      <c r="E122" s="11">
        <f ca="1">D122*Reference!$D$7*(1-IF(MONTH($A122)=Reference!$D$6,1,0)*Reference!$D$12)</f>
        <v>309000</v>
      </c>
      <c r="L122" s="16"/>
      <c r="M122" s="20"/>
      <c r="N122" s="20"/>
      <c r="O122" s="19"/>
      <c r="P122" s="10"/>
      <c r="Q122" s="10"/>
      <c r="R122" s="10"/>
      <c r="S122" s="10"/>
      <c r="T122" s="10"/>
      <c r="U122" s="10"/>
      <c r="V122" s="10"/>
      <c r="W122" s="10"/>
      <c r="X122" s="10"/>
      <c r="Y122" s="10"/>
    </row>
    <row r="123" spans="1:25" x14ac:dyDescent="0.25">
      <c r="A123" s="9">
        <v>40661</v>
      </c>
      <c r="B123" s="10">
        <f ca="1">ROUND(_xlfn.NORM.INV(RAND(),Reference!$C$8,0.1*Reference!$C$8)*(1+Reference!$C$11*(IF(MONTH($A123)=Reference!$C$4,1,0)+IF(MONTH($A123)=Reference!$C$5,1,0))+(IF(MONTH($A123)=Reference!$C$6,Reference!$C$13,0))),0)</f>
        <v>591</v>
      </c>
      <c r="C123" s="11">
        <f ca="1">B123*Reference!$C$7*(1-IF(MONTH($A123)=Reference!$C$6,1,0)*Reference!$C$12)</f>
        <v>549630</v>
      </c>
      <c r="D123" s="10">
        <f ca="1">ROUND(_xlfn.NORM.INV(RAND(),Reference!$D$8,0.1*Reference!$D$8)*(1+Reference!$D$11*(IF(MONTH($A123)=Reference!$D$4,1,0)+IF(MONTH($A123)=Reference!$D$5,1,0))+(IF(MONTH($A123)=Reference!$D$6,Reference!$D$13,0))),0)</f>
        <v>393</v>
      </c>
      <c r="E123" s="11">
        <f ca="1">D123*Reference!$D$7*(1-IF(MONTH($A123)=Reference!$D$6,1,0)*Reference!$D$12)</f>
        <v>294750</v>
      </c>
      <c r="L123" s="16"/>
      <c r="M123" s="20"/>
      <c r="N123" s="20"/>
      <c r="O123" s="19"/>
      <c r="P123" s="10"/>
      <c r="Q123" s="10"/>
      <c r="R123" s="10"/>
      <c r="S123" s="10"/>
      <c r="T123" s="10"/>
      <c r="U123" s="10"/>
      <c r="V123" s="10"/>
      <c r="W123" s="10"/>
      <c r="X123" s="10"/>
      <c r="Y123" s="10"/>
    </row>
    <row r="124" spans="1:25" x14ac:dyDescent="0.25">
      <c r="A124" s="9">
        <v>40662</v>
      </c>
      <c r="B124" s="10">
        <f ca="1">ROUND(_xlfn.NORM.INV(RAND(),Reference!$C$8,0.1*Reference!$C$8)*(1+Reference!$C$11*(IF(MONTH($A124)=Reference!$C$4,1,0)+IF(MONTH($A124)=Reference!$C$5,1,0))+(IF(MONTH($A124)=Reference!$C$6,Reference!$C$13,0))),0)</f>
        <v>470</v>
      </c>
      <c r="C124" s="11">
        <f ca="1">B124*Reference!$C$7*(1-IF(MONTH($A124)=Reference!$C$6,1,0)*Reference!$C$12)</f>
        <v>437100</v>
      </c>
      <c r="D124" s="10">
        <f ca="1">ROUND(_xlfn.NORM.INV(RAND(),Reference!$D$8,0.1*Reference!$D$8)*(1+Reference!$D$11*(IF(MONTH($A124)=Reference!$D$4,1,0)+IF(MONTH($A124)=Reference!$D$5,1,0))+(IF(MONTH($A124)=Reference!$D$6,Reference!$D$13,0))),0)</f>
        <v>370</v>
      </c>
      <c r="E124" s="11">
        <f ca="1">D124*Reference!$D$7*(1-IF(MONTH($A124)=Reference!$D$6,1,0)*Reference!$D$12)</f>
        <v>277500</v>
      </c>
      <c r="L124" s="16"/>
      <c r="M124" s="20"/>
      <c r="N124" s="20"/>
      <c r="O124" s="19"/>
      <c r="P124" s="10"/>
      <c r="Q124" s="10"/>
      <c r="R124" s="10"/>
      <c r="S124" s="10"/>
      <c r="T124" s="10"/>
      <c r="U124" s="10"/>
      <c r="V124" s="10"/>
      <c r="W124" s="10"/>
      <c r="X124" s="10"/>
      <c r="Y124" s="10"/>
    </row>
    <row r="125" spans="1:25" x14ac:dyDescent="0.25">
      <c r="A125" s="9">
        <v>40663</v>
      </c>
      <c r="B125" s="10">
        <f ca="1">ROUND(_xlfn.NORM.INV(RAND(),Reference!$C$8,0.1*Reference!$C$8)*(1+Reference!$C$11*(IF(MONTH($A125)=Reference!$C$4,1,0)+IF(MONTH($A125)=Reference!$C$5,1,0))+(IF(MONTH($A125)=Reference!$C$6,Reference!$C$13,0))),0)</f>
        <v>571</v>
      </c>
      <c r="C125" s="11">
        <f ca="1">B125*Reference!$C$7*(1-IF(MONTH($A125)=Reference!$C$6,1,0)*Reference!$C$12)</f>
        <v>531030</v>
      </c>
      <c r="D125" s="10">
        <f ca="1">ROUND(_xlfn.NORM.INV(RAND(),Reference!$D$8,0.1*Reference!$D$8)*(1+Reference!$D$11*(IF(MONTH($A125)=Reference!$D$4,1,0)+IF(MONTH($A125)=Reference!$D$5,1,0))+(IF(MONTH($A125)=Reference!$D$6,Reference!$D$13,0))),0)</f>
        <v>468</v>
      </c>
      <c r="E125" s="11">
        <f ca="1">D125*Reference!$D$7*(1-IF(MONTH($A125)=Reference!$D$6,1,0)*Reference!$D$12)</f>
        <v>351000</v>
      </c>
      <c r="L125" s="16"/>
      <c r="M125" s="20"/>
      <c r="N125" s="20"/>
      <c r="O125" s="19"/>
      <c r="P125" s="10"/>
      <c r="Q125" s="10"/>
      <c r="R125" s="10"/>
      <c r="S125" s="10"/>
      <c r="T125" s="10"/>
      <c r="U125" s="10"/>
      <c r="V125" s="10"/>
      <c r="W125" s="10"/>
      <c r="X125" s="10"/>
      <c r="Y125" s="10"/>
    </row>
    <row r="126" spans="1:25" x14ac:dyDescent="0.25">
      <c r="A126" s="9">
        <v>40664</v>
      </c>
      <c r="B126" s="10">
        <f ca="1">ROUND(_xlfn.NORM.INV(RAND(),Reference!$C$8,0.1*Reference!$C$8)*(1+Reference!$C$11*(IF(MONTH($A126)=Reference!$C$4,1,0)+IF(MONTH($A126)=Reference!$C$5,1,0))+(IF(MONTH($A126)=Reference!$C$6,Reference!$C$13,0))),0)</f>
        <v>516</v>
      </c>
      <c r="C126" s="11">
        <f ca="1">B126*Reference!$C$7*(1-IF(MONTH($A126)=Reference!$C$6,1,0)*Reference!$C$12)</f>
        <v>479880</v>
      </c>
      <c r="D126" s="10">
        <f ca="1">ROUND(_xlfn.NORM.INV(RAND(),Reference!$D$8,0.1*Reference!$D$8)*(1+Reference!$D$11*(IF(MONTH($A126)=Reference!$D$4,1,0)+IF(MONTH($A126)=Reference!$D$5,1,0))+(IF(MONTH($A126)=Reference!$D$6,Reference!$D$13,0))),0)</f>
        <v>464</v>
      </c>
      <c r="E126" s="11">
        <f ca="1">D126*Reference!$D$7*(1-IF(MONTH($A126)=Reference!$D$6,1,0)*Reference!$D$12)</f>
        <v>348000</v>
      </c>
      <c r="L126" s="16"/>
      <c r="M126" s="20"/>
      <c r="N126" s="20"/>
      <c r="O126" s="19"/>
      <c r="P126" s="10"/>
      <c r="Q126" s="10"/>
      <c r="R126" s="10"/>
      <c r="S126" s="10"/>
      <c r="T126" s="10"/>
      <c r="U126" s="10"/>
      <c r="V126" s="10"/>
      <c r="W126" s="10"/>
      <c r="X126" s="10"/>
      <c r="Y126" s="10"/>
    </row>
    <row r="127" spans="1:25" x14ac:dyDescent="0.25">
      <c r="A127" s="9">
        <v>40665</v>
      </c>
      <c r="B127" s="10">
        <f ca="1">ROUND(_xlfn.NORM.INV(RAND(),Reference!$C$8,0.1*Reference!$C$8)*(1+Reference!$C$11*(IF(MONTH($A127)=Reference!$C$4,1,0)+IF(MONTH($A127)=Reference!$C$5,1,0))+(IF(MONTH($A127)=Reference!$C$6,Reference!$C$13,0))),0)</f>
        <v>523</v>
      </c>
      <c r="C127" s="11">
        <f ca="1">B127*Reference!$C$7*(1-IF(MONTH($A127)=Reference!$C$6,1,0)*Reference!$C$12)</f>
        <v>486390</v>
      </c>
      <c r="D127" s="10">
        <f ca="1">ROUND(_xlfn.NORM.INV(RAND(),Reference!$D$8,0.1*Reference!$D$8)*(1+Reference!$D$11*(IF(MONTH($A127)=Reference!$D$4,1,0)+IF(MONTH($A127)=Reference!$D$5,1,0))+(IF(MONTH($A127)=Reference!$D$6,Reference!$D$13,0))),0)</f>
        <v>411</v>
      </c>
      <c r="E127" s="11">
        <f ca="1">D127*Reference!$D$7*(1-IF(MONTH($A127)=Reference!$D$6,1,0)*Reference!$D$12)</f>
        <v>308250</v>
      </c>
      <c r="L127" s="16"/>
      <c r="M127" s="20"/>
      <c r="N127" s="20"/>
      <c r="O127" s="19"/>
      <c r="P127" s="10"/>
      <c r="Q127" s="10"/>
      <c r="R127" s="10"/>
      <c r="S127" s="10"/>
      <c r="T127" s="10"/>
      <c r="U127" s="10"/>
      <c r="V127" s="10"/>
      <c r="W127" s="10"/>
      <c r="X127" s="10"/>
      <c r="Y127" s="10"/>
    </row>
    <row r="128" spans="1:25" x14ac:dyDescent="0.25">
      <c r="A128" s="9">
        <v>40666</v>
      </c>
      <c r="B128" s="10">
        <f ca="1">ROUND(_xlfn.NORM.INV(RAND(),Reference!$C$8,0.1*Reference!$C$8)*(1+Reference!$C$11*(IF(MONTH($A128)=Reference!$C$4,1,0)+IF(MONTH($A128)=Reference!$C$5,1,0))+(IF(MONTH($A128)=Reference!$C$6,Reference!$C$13,0))),0)</f>
        <v>598</v>
      </c>
      <c r="C128" s="11">
        <f ca="1">B128*Reference!$C$7*(1-IF(MONTH($A128)=Reference!$C$6,1,0)*Reference!$C$12)</f>
        <v>556140</v>
      </c>
      <c r="D128" s="10">
        <f ca="1">ROUND(_xlfn.NORM.INV(RAND(),Reference!$D$8,0.1*Reference!$D$8)*(1+Reference!$D$11*(IF(MONTH($A128)=Reference!$D$4,1,0)+IF(MONTH($A128)=Reference!$D$5,1,0))+(IF(MONTH($A128)=Reference!$D$6,Reference!$D$13,0))),0)</f>
        <v>469</v>
      </c>
      <c r="E128" s="11">
        <f ca="1">D128*Reference!$D$7*(1-IF(MONTH($A128)=Reference!$D$6,1,0)*Reference!$D$12)</f>
        <v>351750</v>
      </c>
      <c r="L128" s="16"/>
      <c r="M128" s="20"/>
      <c r="N128" s="20"/>
      <c r="O128" s="19"/>
      <c r="P128" s="10"/>
      <c r="Q128" s="10"/>
      <c r="R128" s="10"/>
      <c r="S128" s="10"/>
      <c r="T128" s="10"/>
      <c r="U128" s="10"/>
      <c r="V128" s="10"/>
      <c r="W128" s="10"/>
      <c r="X128" s="10"/>
      <c r="Y128" s="10"/>
    </row>
    <row r="129" spans="1:25" x14ac:dyDescent="0.25">
      <c r="A129" s="9">
        <v>40667</v>
      </c>
      <c r="B129" s="10">
        <f ca="1">ROUND(_xlfn.NORM.INV(RAND(),Reference!$C$8,0.1*Reference!$C$8)*(1+Reference!$C$11*(IF(MONTH($A129)=Reference!$C$4,1,0)+IF(MONTH($A129)=Reference!$C$5,1,0))+(IF(MONTH($A129)=Reference!$C$6,Reference!$C$13,0))),0)</f>
        <v>515</v>
      </c>
      <c r="C129" s="11">
        <f ca="1">B129*Reference!$C$7*(1-IF(MONTH($A129)=Reference!$C$6,1,0)*Reference!$C$12)</f>
        <v>478950</v>
      </c>
      <c r="D129" s="10">
        <f ca="1">ROUND(_xlfn.NORM.INV(RAND(),Reference!$D$8,0.1*Reference!$D$8)*(1+Reference!$D$11*(IF(MONTH($A129)=Reference!$D$4,1,0)+IF(MONTH($A129)=Reference!$D$5,1,0))+(IF(MONTH($A129)=Reference!$D$6,Reference!$D$13,0))),0)</f>
        <v>435</v>
      </c>
      <c r="E129" s="11">
        <f ca="1">D129*Reference!$D$7*(1-IF(MONTH($A129)=Reference!$D$6,1,0)*Reference!$D$12)</f>
        <v>326250</v>
      </c>
      <c r="L129" s="16"/>
      <c r="M129" s="20"/>
      <c r="N129" s="20"/>
      <c r="O129" s="19"/>
      <c r="P129" s="10"/>
      <c r="Q129" s="10"/>
      <c r="R129" s="10"/>
      <c r="S129" s="10"/>
      <c r="T129" s="10"/>
      <c r="U129" s="10"/>
      <c r="V129" s="10"/>
      <c r="W129" s="10"/>
      <c r="X129" s="10"/>
      <c r="Y129" s="10"/>
    </row>
    <row r="130" spans="1:25" x14ac:dyDescent="0.25">
      <c r="A130" s="9">
        <v>40668</v>
      </c>
      <c r="B130" s="10">
        <f ca="1">ROUND(_xlfn.NORM.INV(RAND(),Reference!$C$8,0.1*Reference!$C$8)*(1+Reference!$C$11*(IF(MONTH($A130)=Reference!$C$4,1,0)+IF(MONTH($A130)=Reference!$C$5,1,0))+(IF(MONTH($A130)=Reference!$C$6,Reference!$C$13,0))),0)</f>
        <v>494</v>
      </c>
      <c r="C130" s="11">
        <f ca="1">B130*Reference!$C$7*(1-IF(MONTH($A130)=Reference!$C$6,1,0)*Reference!$C$12)</f>
        <v>459420</v>
      </c>
      <c r="D130" s="10">
        <f ca="1">ROUND(_xlfn.NORM.INV(RAND(),Reference!$D$8,0.1*Reference!$D$8)*(1+Reference!$D$11*(IF(MONTH($A130)=Reference!$D$4,1,0)+IF(MONTH($A130)=Reference!$D$5,1,0))+(IF(MONTH($A130)=Reference!$D$6,Reference!$D$13,0))),0)</f>
        <v>497</v>
      </c>
      <c r="E130" s="11">
        <f ca="1">D130*Reference!$D$7*(1-IF(MONTH($A130)=Reference!$D$6,1,0)*Reference!$D$12)</f>
        <v>372750</v>
      </c>
      <c r="L130" s="16"/>
      <c r="M130" s="20"/>
      <c r="N130" s="20"/>
      <c r="O130" s="19"/>
      <c r="P130" s="10"/>
      <c r="Q130" s="10"/>
      <c r="R130" s="10"/>
      <c r="S130" s="10"/>
      <c r="T130" s="10"/>
      <c r="U130" s="10"/>
      <c r="V130" s="10"/>
      <c r="W130" s="10"/>
      <c r="X130" s="10"/>
      <c r="Y130" s="10"/>
    </row>
    <row r="131" spans="1:25" x14ac:dyDescent="0.25">
      <c r="A131" s="9">
        <v>40669</v>
      </c>
      <c r="B131" s="10">
        <f ca="1">ROUND(_xlfn.NORM.INV(RAND(),Reference!$C$8,0.1*Reference!$C$8)*(1+Reference!$C$11*(IF(MONTH($A131)=Reference!$C$4,1,0)+IF(MONTH($A131)=Reference!$C$5,1,0))+(IF(MONTH($A131)=Reference!$C$6,Reference!$C$13,0))),0)</f>
        <v>622</v>
      </c>
      <c r="C131" s="11">
        <f ca="1">B131*Reference!$C$7*(1-IF(MONTH($A131)=Reference!$C$6,1,0)*Reference!$C$12)</f>
        <v>578460</v>
      </c>
      <c r="D131" s="10">
        <f ca="1">ROUND(_xlfn.NORM.INV(RAND(),Reference!$D$8,0.1*Reference!$D$8)*(1+Reference!$D$11*(IF(MONTH($A131)=Reference!$D$4,1,0)+IF(MONTH($A131)=Reference!$D$5,1,0))+(IF(MONTH($A131)=Reference!$D$6,Reference!$D$13,0))),0)</f>
        <v>505</v>
      </c>
      <c r="E131" s="11">
        <f ca="1">D131*Reference!$D$7*(1-IF(MONTH($A131)=Reference!$D$6,1,0)*Reference!$D$12)</f>
        <v>378750</v>
      </c>
      <c r="L131" s="16"/>
      <c r="M131" s="20"/>
      <c r="N131" s="20"/>
      <c r="O131" s="19"/>
      <c r="P131" s="10"/>
      <c r="Q131" s="10"/>
      <c r="R131" s="10"/>
      <c r="S131" s="10"/>
      <c r="T131" s="10"/>
      <c r="U131" s="10"/>
      <c r="V131" s="10"/>
      <c r="W131" s="10"/>
      <c r="X131" s="10"/>
      <c r="Y131" s="10"/>
    </row>
    <row r="132" spans="1:25" x14ac:dyDescent="0.25">
      <c r="A132" s="9">
        <v>40670</v>
      </c>
      <c r="B132" s="10">
        <f ca="1">ROUND(_xlfn.NORM.INV(RAND(),Reference!$C$8,0.1*Reference!$C$8)*(1+Reference!$C$11*(IF(MONTH($A132)=Reference!$C$4,1,0)+IF(MONTH($A132)=Reference!$C$5,1,0))+(IF(MONTH($A132)=Reference!$C$6,Reference!$C$13,0))),0)</f>
        <v>600</v>
      </c>
      <c r="C132" s="11">
        <f ca="1">B132*Reference!$C$7*(1-IF(MONTH($A132)=Reference!$C$6,1,0)*Reference!$C$12)</f>
        <v>558000</v>
      </c>
      <c r="D132" s="10">
        <f ca="1">ROUND(_xlfn.NORM.INV(RAND(),Reference!$D$8,0.1*Reference!$D$8)*(1+Reference!$D$11*(IF(MONTH($A132)=Reference!$D$4,1,0)+IF(MONTH($A132)=Reference!$D$5,1,0))+(IF(MONTH($A132)=Reference!$D$6,Reference!$D$13,0))),0)</f>
        <v>363</v>
      </c>
      <c r="E132" s="11">
        <f ca="1">D132*Reference!$D$7*(1-IF(MONTH($A132)=Reference!$D$6,1,0)*Reference!$D$12)</f>
        <v>272250</v>
      </c>
      <c r="L132" s="16"/>
      <c r="M132" s="20"/>
      <c r="N132" s="20"/>
      <c r="O132" s="19"/>
      <c r="P132" s="10"/>
      <c r="Q132" s="10"/>
      <c r="R132" s="10"/>
      <c r="S132" s="10"/>
      <c r="T132" s="10"/>
      <c r="U132" s="10"/>
      <c r="V132" s="10"/>
      <c r="W132" s="10"/>
      <c r="X132" s="10"/>
      <c r="Y132" s="10"/>
    </row>
    <row r="133" spans="1:25" x14ac:dyDescent="0.25">
      <c r="A133" s="9">
        <v>40671</v>
      </c>
      <c r="B133" s="10">
        <f ca="1">ROUND(_xlfn.NORM.INV(RAND(),Reference!$C$8,0.1*Reference!$C$8)*(1+Reference!$C$11*(IF(MONTH($A133)=Reference!$C$4,1,0)+IF(MONTH($A133)=Reference!$C$5,1,0))+(IF(MONTH($A133)=Reference!$C$6,Reference!$C$13,0))),0)</f>
        <v>613</v>
      </c>
      <c r="C133" s="11">
        <f ca="1">B133*Reference!$C$7*(1-IF(MONTH($A133)=Reference!$C$6,1,0)*Reference!$C$12)</f>
        <v>570090</v>
      </c>
      <c r="D133" s="10">
        <f ca="1">ROUND(_xlfn.NORM.INV(RAND(),Reference!$D$8,0.1*Reference!$D$8)*(1+Reference!$D$11*(IF(MONTH($A133)=Reference!$D$4,1,0)+IF(MONTH($A133)=Reference!$D$5,1,0))+(IF(MONTH($A133)=Reference!$D$6,Reference!$D$13,0))),0)</f>
        <v>495</v>
      </c>
      <c r="E133" s="11">
        <f ca="1">D133*Reference!$D$7*(1-IF(MONTH($A133)=Reference!$D$6,1,0)*Reference!$D$12)</f>
        <v>371250</v>
      </c>
      <c r="L133" s="16"/>
      <c r="M133" s="20"/>
      <c r="N133" s="20"/>
      <c r="O133" s="19"/>
      <c r="P133" s="10"/>
      <c r="Q133" s="10"/>
      <c r="R133" s="10"/>
      <c r="S133" s="10"/>
      <c r="T133" s="10"/>
      <c r="U133" s="10"/>
      <c r="V133" s="10"/>
      <c r="W133" s="10"/>
      <c r="X133" s="10"/>
      <c r="Y133" s="10"/>
    </row>
    <row r="134" spans="1:25" x14ac:dyDescent="0.25">
      <c r="A134" s="9">
        <v>40672</v>
      </c>
      <c r="B134" s="10">
        <f ca="1">ROUND(_xlfn.NORM.INV(RAND(),Reference!$C$8,0.1*Reference!$C$8)*(1+Reference!$C$11*(IF(MONTH($A134)=Reference!$C$4,1,0)+IF(MONTH($A134)=Reference!$C$5,1,0))+(IF(MONTH($A134)=Reference!$C$6,Reference!$C$13,0))),0)</f>
        <v>577</v>
      </c>
      <c r="C134" s="11">
        <f ca="1">B134*Reference!$C$7*(1-IF(MONTH($A134)=Reference!$C$6,1,0)*Reference!$C$12)</f>
        <v>536610</v>
      </c>
      <c r="D134" s="10">
        <f ca="1">ROUND(_xlfn.NORM.INV(RAND(),Reference!$D$8,0.1*Reference!$D$8)*(1+Reference!$D$11*(IF(MONTH($A134)=Reference!$D$4,1,0)+IF(MONTH($A134)=Reference!$D$5,1,0))+(IF(MONTH($A134)=Reference!$D$6,Reference!$D$13,0))),0)</f>
        <v>505</v>
      </c>
      <c r="E134" s="11">
        <f ca="1">D134*Reference!$D$7*(1-IF(MONTH($A134)=Reference!$D$6,1,0)*Reference!$D$12)</f>
        <v>378750</v>
      </c>
      <c r="L134" s="16"/>
      <c r="M134" s="20"/>
      <c r="N134" s="20"/>
      <c r="O134" s="19"/>
      <c r="P134" s="10"/>
      <c r="Q134" s="10"/>
      <c r="R134" s="10"/>
      <c r="S134" s="10"/>
      <c r="T134" s="10"/>
      <c r="U134" s="10"/>
      <c r="V134" s="10"/>
      <c r="W134" s="10"/>
      <c r="X134" s="10"/>
      <c r="Y134" s="10"/>
    </row>
    <row r="135" spans="1:25" x14ac:dyDescent="0.25">
      <c r="A135" s="9">
        <v>40673</v>
      </c>
      <c r="B135" s="10">
        <f ca="1">ROUND(_xlfn.NORM.INV(RAND(),Reference!$C$8,0.1*Reference!$C$8)*(1+Reference!$C$11*(IF(MONTH($A135)=Reference!$C$4,1,0)+IF(MONTH($A135)=Reference!$C$5,1,0))+(IF(MONTH($A135)=Reference!$C$6,Reference!$C$13,0))),0)</f>
        <v>496</v>
      </c>
      <c r="C135" s="11">
        <f ca="1">B135*Reference!$C$7*(1-IF(MONTH($A135)=Reference!$C$6,1,0)*Reference!$C$12)</f>
        <v>461280</v>
      </c>
      <c r="D135" s="10">
        <f ca="1">ROUND(_xlfn.NORM.INV(RAND(),Reference!$D$8,0.1*Reference!$D$8)*(1+Reference!$D$11*(IF(MONTH($A135)=Reference!$D$4,1,0)+IF(MONTH($A135)=Reference!$D$5,1,0))+(IF(MONTH($A135)=Reference!$D$6,Reference!$D$13,0))),0)</f>
        <v>397</v>
      </c>
      <c r="E135" s="11">
        <f ca="1">D135*Reference!$D$7*(1-IF(MONTH($A135)=Reference!$D$6,1,0)*Reference!$D$12)</f>
        <v>297750</v>
      </c>
      <c r="L135" s="16"/>
      <c r="M135" s="20"/>
      <c r="N135" s="20"/>
      <c r="O135" s="19"/>
      <c r="P135" s="10"/>
      <c r="Q135" s="10"/>
      <c r="R135" s="10"/>
      <c r="S135" s="10"/>
      <c r="T135" s="10"/>
      <c r="U135" s="10"/>
      <c r="V135" s="10"/>
      <c r="W135" s="10"/>
      <c r="X135" s="10"/>
      <c r="Y135" s="10"/>
    </row>
    <row r="136" spans="1:25" x14ac:dyDescent="0.25">
      <c r="A136" s="9">
        <v>40674</v>
      </c>
      <c r="B136" s="10">
        <f ca="1">ROUND(_xlfn.NORM.INV(RAND(),Reference!$C$8,0.1*Reference!$C$8)*(1+Reference!$C$11*(IF(MONTH($A136)=Reference!$C$4,1,0)+IF(MONTH($A136)=Reference!$C$5,1,0))+(IF(MONTH($A136)=Reference!$C$6,Reference!$C$13,0))),0)</f>
        <v>599</v>
      </c>
      <c r="C136" s="11">
        <f ca="1">B136*Reference!$C$7*(1-IF(MONTH($A136)=Reference!$C$6,1,0)*Reference!$C$12)</f>
        <v>557070</v>
      </c>
      <c r="D136" s="10">
        <f ca="1">ROUND(_xlfn.NORM.INV(RAND(),Reference!$D$8,0.1*Reference!$D$8)*(1+Reference!$D$11*(IF(MONTH($A136)=Reference!$D$4,1,0)+IF(MONTH($A136)=Reference!$D$5,1,0))+(IF(MONTH($A136)=Reference!$D$6,Reference!$D$13,0))),0)</f>
        <v>417</v>
      </c>
      <c r="E136" s="11">
        <f ca="1">D136*Reference!$D$7*(1-IF(MONTH($A136)=Reference!$D$6,1,0)*Reference!$D$12)</f>
        <v>312750</v>
      </c>
      <c r="L136" s="16"/>
      <c r="M136" s="20"/>
      <c r="N136" s="20"/>
      <c r="O136" s="19"/>
      <c r="P136" s="10"/>
      <c r="Q136" s="10"/>
      <c r="R136" s="10"/>
      <c r="S136" s="10"/>
      <c r="T136" s="10"/>
      <c r="U136" s="10"/>
      <c r="V136" s="10"/>
      <c r="W136" s="10"/>
      <c r="X136" s="10"/>
      <c r="Y136" s="10"/>
    </row>
    <row r="137" spans="1:25" x14ac:dyDescent="0.25">
      <c r="A137" s="9">
        <v>40675</v>
      </c>
      <c r="B137" s="10">
        <f ca="1">ROUND(_xlfn.NORM.INV(RAND(),Reference!$C$8,0.1*Reference!$C$8)*(1+Reference!$C$11*(IF(MONTH($A137)=Reference!$C$4,1,0)+IF(MONTH($A137)=Reference!$C$5,1,0))+(IF(MONTH($A137)=Reference!$C$6,Reference!$C$13,0))),0)</f>
        <v>511</v>
      </c>
      <c r="C137" s="11">
        <f ca="1">B137*Reference!$C$7*(1-IF(MONTH($A137)=Reference!$C$6,1,0)*Reference!$C$12)</f>
        <v>475230</v>
      </c>
      <c r="D137" s="10">
        <f ca="1">ROUND(_xlfn.NORM.INV(RAND(),Reference!$D$8,0.1*Reference!$D$8)*(1+Reference!$D$11*(IF(MONTH($A137)=Reference!$D$4,1,0)+IF(MONTH($A137)=Reference!$D$5,1,0))+(IF(MONTH($A137)=Reference!$D$6,Reference!$D$13,0))),0)</f>
        <v>360</v>
      </c>
      <c r="E137" s="11">
        <f ca="1">D137*Reference!$D$7*(1-IF(MONTH($A137)=Reference!$D$6,1,0)*Reference!$D$12)</f>
        <v>270000</v>
      </c>
      <c r="L137" s="16"/>
      <c r="M137" s="20"/>
      <c r="N137" s="20"/>
      <c r="O137" s="19"/>
      <c r="P137" s="10"/>
      <c r="Q137" s="10"/>
      <c r="R137" s="10"/>
      <c r="S137" s="10"/>
      <c r="T137" s="10"/>
      <c r="U137" s="10"/>
      <c r="V137" s="10"/>
      <c r="W137" s="10"/>
      <c r="X137" s="10"/>
      <c r="Y137" s="10"/>
    </row>
    <row r="138" spans="1:25" x14ac:dyDescent="0.25">
      <c r="A138" s="9">
        <v>40676</v>
      </c>
      <c r="B138" s="10">
        <f ca="1">ROUND(_xlfn.NORM.INV(RAND(),Reference!$C$8,0.1*Reference!$C$8)*(1+Reference!$C$11*(IF(MONTH($A138)=Reference!$C$4,1,0)+IF(MONTH($A138)=Reference!$C$5,1,0))+(IF(MONTH($A138)=Reference!$C$6,Reference!$C$13,0))),0)</f>
        <v>631</v>
      </c>
      <c r="C138" s="11">
        <f ca="1">B138*Reference!$C$7*(1-IF(MONTH($A138)=Reference!$C$6,1,0)*Reference!$C$12)</f>
        <v>586830</v>
      </c>
      <c r="D138" s="10">
        <f ca="1">ROUND(_xlfn.NORM.INV(RAND(),Reference!$D$8,0.1*Reference!$D$8)*(1+Reference!$D$11*(IF(MONTH($A138)=Reference!$D$4,1,0)+IF(MONTH($A138)=Reference!$D$5,1,0))+(IF(MONTH($A138)=Reference!$D$6,Reference!$D$13,0))),0)</f>
        <v>528</v>
      </c>
      <c r="E138" s="11">
        <f ca="1">D138*Reference!$D$7*(1-IF(MONTH($A138)=Reference!$D$6,1,0)*Reference!$D$12)</f>
        <v>396000</v>
      </c>
      <c r="L138" s="16"/>
      <c r="M138" s="20"/>
      <c r="N138" s="20"/>
      <c r="O138" s="19"/>
      <c r="P138" s="10"/>
      <c r="Q138" s="10"/>
      <c r="R138" s="10"/>
      <c r="S138" s="10"/>
      <c r="T138" s="10"/>
      <c r="U138" s="10"/>
      <c r="V138" s="10"/>
      <c r="W138" s="10"/>
      <c r="X138" s="10"/>
      <c r="Y138" s="10"/>
    </row>
    <row r="139" spans="1:25" x14ac:dyDescent="0.25">
      <c r="A139" s="9">
        <v>40677</v>
      </c>
      <c r="B139" s="10">
        <f ca="1">ROUND(_xlfn.NORM.INV(RAND(),Reference!$C$8,0.1*Reference!$C$8)*(1+Reference!$C$11*(IF(MONTH($A139)=Reference!$C$4,1,0)+IF(MONTH($A139)=Reference!$C$5,1,0))+(IF(MONTH($A139)=Reference!$C$6,Reference!$C$13,0))),0)</f>
        <v>460</v>
      </c>
      <c r="C139" s="11">
        <f ca="1">B139*Reference!$C$7*(1-IF(MONTH($A139)=Reference!$C$6,1,0)*Reference!$C$12)</f>
        <v>427800</v>
      </c>
      <c r="D139" s="10">
        <f ca="1">ROUND(_xlfn.NORM.INV(RAND(),Reference!$D$8,0.1*Reference!$D$8)*(1+Reference!$D$11*(IF(MONTH($A139)=Reference!$D$4,1,0)+IF(MONTH($A139)=Reference!$D$5,1,0))+(IF(MONTH($A139)=Reference!$D$6,Reference!$D$13,0))),0)</f>
        <v>401</v>
      </c>
      <c r="E139" s="11">
        <f ca="1">D139*Reference!$D$7*(1-IF(MONTH($A139)=Reference!$D$6,1,0)*Reference!$D$12)</f>
        <v>300750</v>
      </c>
      <c r="L139" s="16"/>
      <c r="M139" s="20"/>
      <c r="N139" s="20"/>
      <c r="O139" s="19"/>
      <c r="P139" s="10"/>
      <c r="Q139" s="10"/>
      <c r="R139" s="10"/>
      <c r="S139" s="10"/>
      <c r="T139" s="10"/>
      <c r="U139" s="10"/>
      <c r="V139" s="10"/>
      <c r="W139" s="10"/>
      <c r="X139" s="10"/>
      <c r="Y139" s="10"/>
    </row>
    <row r="140" spans="1:25" x14ac:dyDescent="0.25">
      <c r="A140" s="9">
        <v>40678</v>
      </c>
      <c r="B140" s="10">
        <f ca="1">ROUND(_xlfn.NORM.INV(RAND(),Reference!$C$8,0.1*Reference!$C$8)*(1+Reference!$C$11*(IF(MONTH($A140)=Reference!$C$4,1,0)+IF(MONTH($A140)=Reference!$C$5,1,0))+(IF(MONTH($A140)=Reference!$C$6,Reference!$C$13,0))),0)</f>
        <v>600</v>
      </c>
      <c r="C140" s="11">
        <f ca="1">B140*Reference!$C$7*(1-IF(MONTH($A140)=Reference!$C$6,1,0)*Reference!$C$12)</f>
        <v>558000</v>
      </c>
      <c r="D140" s="10">
        <f ca="1">ROUND(_xlfn.NORM.INV(RAND(),Reference!$D$8,0.1*Reference!$D$8)*(1+Reference!$D$11*(IF(MONTH($A140)=Reference!$D$4,1,0)+IF(MONTH($A140)=Reference!$D$5,1,0))+(IF(MONTH($A140)=Reference!$D$6,Reference!$D$13,0))),0)</f>
        <v>405</v>
      </c>
      <c r="E140" s="11">
        <f ca="1">D140*Reference!$D$7*(1-IF(MONTH($A140)=Reference!$D$6,1,0)*Reference!$D$12)</f>
        <v>303750</v>
      </c>
      <c r="L140" s="16"/>
      <c r="M140" s="20"/>
      <c r="N140" s="20"/>
      <c r="O140" s="19"/>
      <c r="P140" s="10"/>
      <c r="Q140" s="10"/>
      <c r="R140" s="10"/>
      <c r="S140" s="10"/>
      <c r="T140" s="10"/>
      <c r="U140" s="10"/>
      <c r="V140" s="10"/>
      <c r="W140" s="10"/>
      <c r="X140" s="10"/>
      <c r="Y140" s="10"/>
    </row>
    <row r="141" spans="1:25" x14ac:dyDescent="0.25">
      <c r="A141" s="9">
        <v>40679</v>
      </c>
      <c r="B141" s="10">
        <f ca="1">ROUND(_xlfn.NORM.INV(RAND(),Reference!$C$8,0.1*Reference!$C$8)*(1+Reference!$C$11*(IF(MONTH($A141)=Reference!$C$4,1,0)+IF(MONTH($A141)=Reference!$C$5,1,0))+(IF(MONTH($A141)=Reference!$C$6,Reference!$C$13,0))),0)</f>
        <v>603</v>
      </c>
      <c r="C141" s="11">
        <f ca="1">B141*Reference!$C$7*(1-IF(MONTH($A141)=Reference!$C$6,1,0)*Reference!$C$12)</f>
        <v>560790</v>
      </c>
      <c r="D141" s="10">
        <f ca="1">ROUND(_xlfn.NORM.INV(RAND(),Reference!$D$8,0.1*Reference!$D$8)*(1+Reference!$D$11*(IF(MONTH($A141)=Reference!$D$4,1,0)+IF(MONTH($A141)=Reference!$D$5,1,0))+(IF(MONTH($A141)=Reference!$D$6,Reference!$D$13,0))),0)</f>
        <v>411</v>
      </c>
      <c r="E141" s="11">
        <f ca="1">D141*Reference!$D$7*(1-IF(MONTH($A141)=Reference!$D$6,1,0)*Reference!$D$12)</f>
        <v>308250</v>
      </c>
      <c r="L141" s="16"/>
      <c r="M141" s="20"/>
      <c r="N141" s="20"/>
      <c r="O141" s="19"/>
      <c r="P141" s="10"/>
      <c r="Q141" s="10"/>
      <c r="R141" s="10"/>
      <c r="S141" s="10"/>
      <c r="T141" s="10"/>
      <c r="U141" s="10"/>
      <c r="V141" s="10"/>
      <c r="W141" s="10"/>
      <c r="X141" s="10"/>
      <c r="Y141" s="10"/>
    </row>
    <row r="142" spans="1:25" x14ac:dyDescent="0.25">
      <c r="A142" s="9">
        <v>40680</v>
      </c>
      <c r="B142" s="10">
        <f ca="1">ROUND(_xlfn.NORM.INV(RAND(),Reference!$C$8,0.1*Reference!$C$8)*(1+Reference!$C$11*(IF(MONTH($A142)=Reference!$C$4,1,0)+IF(MONTH($A142)=Reference!$C$5,1,0))+(IF(MONTH($A142)=Reference!$C$6,Reference!$C$13,0))),0)</f>
        <v>511</v>
      </c>
      <c r="C142" s="11">
        <f ca="1">B142*Reference!$C$7*(1-IF(MONTH($A142)=Reference!$C$6,1,0)*Reference!$C$12)</f>
        <v>475230</v>
      </c>
      <c r="D142" s="10">
        <f ca="1">ROUND(_xlfn.NORM.INV(RAND(),Reference!$D$8,0.1*Reference!$D$8)*(1+Reference!$D$11*(IF(MONTH($A142)=Reference!$D$4,1,0)+IF(MONTH($A142)=Reference!$D$5,1,0))+(IF(MONTH($A142)=Reference!$D$6,Reference!$D$13,0))),0)</f>
        <v>427</v>
      </c>
      <c r="E142" s="11">
        <f ca="1">D142*Reference!$D$7*(1-IF(MONTH($A142)=Reference!$D$6,1,0)*Reference!$D$12)</f>
        <v>320250</v>
      </c>
      <c r="L142" s="16"/>
      <c r="M142" s="20"/>
      <c r="N142" s="20"/>
      <c r="O142" s="19"/>
      <c r="P142" s="10"/>
      <c r="Q142" s="10"/>
      <c r="R142" s="10"/>
      <c r="S142" s="10"/>
      <c r="T142" s="10"/>
      <c r="U142" s="10"/>
      <c r="V142" s="10"/>
      <c r="W142" s="10"/>
      <c r="X142" s="10"/>
      <c r="Y142" s="10"/>
    </row>
    <row r="143" spans="1:25" x14ac:dyDescent="0.25">
      <c r="A143" s="9">
        <v>40681</v>
      </c>
      <c r="B143" s="10">
        <f ca="1">ROUND(_xlfn.NORM.INV(RAND(),Reference!$C$8,0.1*Reference!$C$8)*(1+Reference!$C$11*(IF(MONTH($A143)=Reference!$C$4,1,0)+IF(MONTH($A143)=Reference!$C$5,1,0))+(IF(MONTH($A143)=Reference!$C$6,Reference!$C$13,0))),0)</f>
        <v>613</v>
      </c>
      <c r="C143" s="11">
        <f ca="1">B143*Reference!$C$7*(1-IF(MONTH($A143)=Reference!$C$6,1,0)*Reference!$C$12)</f>
        <v>570090</v>
      </c>
      <c r="D143" s="10">
        <f ca="1">ROUND(_xlfn.NORM.INV(RAND(),Reference!$D$8,0.1*Reference!$D$8)*(1+Reference!$D$11*(IF(MONTH($A143)=Reference!$D$4,1,0)+IF(MONTH($A143)=Reference!$D$5,1,0))+(IF(MONTH($A143)=Reference!$D$6,Reference!$D$13,0))),0)</f>
        <v>374</v>
      </c>
      <c r="E143" s="11">
        <f ca="1">D143*Reference!$D$7*(1-IF(MONTH($A143)=Reference!$D$6,1,0)*Reference!$D$12)</f>
        <v>280500</v>
      </c>
      <c r="L143" s="16"/>
      <c r="M143" s="20"/>
      <c r="N143" s="20"/>
      <c r="O143" s="19"/>
      <c r="P143" s="10"/>
      <c r="Q143" s="10"/>
      <c r="R143" s="10"/>
      <c r="S143" s="10"/>
      <c r="T143" s="10"/>
      <c r="U143" s="10"/>
      <c r="V143" s="10"/>
      <c r="W143" s="10"/>
      <c r="X143" s="10"/>
      <c r="Y143" s="10"/>
    </row>
    <row r="144" spans="1:25" x14ac:dyDescent="0.25">
      <c r="A144" s="9">
        <v>40682</v>
      </c>
      <c r="B144" s="10">
        <f ca="1">ROUND(_xlfn.NORM.INV(RAND(),Reference!$C$8,0.1*Reference!$C$8)*(1+Reference!$C$11*(IF(MONTH($A144)=Reference!$C$4,1,0)+IF(MONTH($A144)=Reference!$C$5,1,0))+(IF(MONTH($A144)=Reference!$C$6,Reference!$C$13,0))),0)</f>
        <v>570</v>
      </c>
      <c r="C144" s="11">
        <f ca="1">B144*Reference!$C$7*(1-IF(MONTH($A144)=Reference!$C$6,1,0)*Reference!$C$12)</f>
        <v>530100</v>
      </c>
      <c r="D144" s="10">
        <f ca="1">ROUND(_xlfn.NORM.INV(RAND(),Reference!$D$8,0.1*Reference!$D$8)*(1+Reference!$D$11*(IF(MONTH($A144)=Reference!$D$4,1,0)+IF(MONTH($A144)=Reference!$D$5,1,0))+(IF(MONTH($A144)=Reference!$D$6,Reference!$D$13,0))),0)</f>
        <v>460</v>
      </c>
      <c r="E144" s="11">
        <f ca="1">D144*Reference!$D$7*(1-IF(MONTH($A144)=Reference!$D$6,1,0)*Reference!$D$12)</f>
        <v>345000</v>
      </c>
      <c r="L144" s="16"/>
      <c r="M144" s="20"/>
      <c r="N144" s="20"/>
      <c r="O144" s="19"/>
      <c r="P144" s="10"/>
      <c r="Q144" s="10"/>
      <c r="R144" s="10"/>
      <c r="S144" s="10"/>
      <c r="T144" s="10"/>
      <c r="U144" s="10"/>
      <c r="V144" s="10"/>
      <c r="W144" s="10"/>
      <c r="X144" s="10"/>
      <c r="Y144" s="10"/>
    </row>
    <row r="145" spans="1:25" x14ac:dyDescent="0.25">
      <c r="A145" s="9">
        <v>40683</v>
      </c>
      <c r="B145" s="10">
        <f ca="1">ROUND(_xlfn.NORM.INV(RAND(),Reference!$C$8,0.1*Reference!$C$8)*(1+Reference!$C$11*(IF(MONTH($A145)=Reference!$C$4,1,0)+IF(MONTH($A145)=Reference!$C$5,1,0))+(IF(MONTH($A145)=Reference!$C$6,Reference!$C$13,0))),0)</f>
        <v>514</v>
      </c>
      <c r="C145" s="11">
        <f ca="1">B145*Reference!$C$7*(1-IF(MONTH($A145)=Reference!$C$6,1,0)*Reference!$C$12)</f>
        <v>478020</v>
      </c>
      <c r="D145" s="10">
        <f ca="1">ROUND(_xlfn.NORM.INV(RAND(),Reference!$D$8,0.1*Reference!$D$8)*(1+Reference!$D$11*(IF(MONTH($A145)=Reference!$D$4,1,0)+IF(MONTH($A145)=Reference!$D$5,1,0))+(IF(MONTH($A145)=Reference!$D$6,Reference!$D$13,0))),0)</f>
        <v>522</v>
      </c>
      <c r="E145" s="11">
        <f ca="1">D145*Reference!$D$7*(1-IF(MONTH($A145)=Reference!$D$6,1,0)*Reference!$D$12)</f>
        <v>391500</v>
      </c>
      <c r="L145" s="16"/>
      <c r="M145" s="20"/>
      <c r="N145" s="20"/>
      <c r="O145" s="19"/>
      <c r="P145" s="10"/>
      <c r="Q145" s="10"/>
      <c r="R145" s="10"/>
      <c r="S145" s="10"/>
      <c r="T145" s="10"/>
      <c r="U145" s="10"/>
      <c r="V145" s="10"/>
      <c r="W145" s="10"/>
      <c r="X145" s="10"/>
      <c r="Y145" s="10"/>
    </row>
    <row r="146" spans="1:25" x14ac:dyDescent="0.25">
      <c r="A146" s="9">
        <v>40684</v>
      </c>
      <c r="B146" s="10">
        <f ca="1">ROUND(_xlfn.NORM.INV(RAND(),Reference!$C$8,0.1*Reference!$C$8)*(1+Reference!$C$11*(IF(MONTH($A146)=Reference!$C$4,1,0)+IF(MONTH($A146)=Reference!$C$5,1,0))+(IF(MONTH($A146)=Reference!$C$6,Reference!$C$13,0))),0)</f>
        <v>527</v>
      </c>
      <c r="C146" s="11">
        <f ca="1">B146*Reference!$C$7*(1-IF(MONTH($A146)=Reference!$C$6,1,0)*Reference!$C$12)</f>
        <v>490110</v>
      </c>
      <c r="D146" s="10">
        <f ca="1">ROUND(_xlfn.NORM.INV(RAND(),Reference!$D$8,0.1*Reference!$D$8)*(1+Reference!$D$11*(IF(MONTH($A146)=Reference!$D$4,1,0)+IF(MONTH($A146)=Reference!$D$5,1,0))+(IF(MONTH($A146)=Reference!$D$6,Reference!$D$13,0))),0)</f>
        <v>444</v>
      </c>
      <c r="E146" s="11">
        <f ca="1">D146*Reference!$D$7*(1-IF(MONTH($A146)=Reference!$D$6,1,0)*Reference!$D$12)</f>
        <v>333000</v>
      </c>
      <c r="L146" s="16"/>
      <c r="M146" s="20"/>
      <c r="N146" s="20"/>
      <c r="O146" s="19"/>
      <c r="P146" s="10"/>
      <c r="Q146" s="10"/>
      <c r="R146" s="10"/>
      <c r="S146" s="10"/>
      <c r="T146" s="10"/>
      <c r="U146" s="10"/>
      <c r="V146" s="10"/>
      <c r="W146" s="10"/>
      <c r="X146" s="10"/>
      <c r="Y146" s="10"/>
    </row>
    <row r="147" spans="1:25" x14ac:dyDescent="0.25">
      <c r="A147" s="9">
        <v>40685</v>
      </c>
      <c r="B147" s="10">
        <f ca="1">ROUND(_xlfn.NORM.INV(RAND(),Reference!$C$8,0.1*Reference!$C$8)*(1+Reference!$C$11*(IF(MONTH($A147)=Reference!$C$4,1,0)+IF(MONTH($A147)=Reference!$C$5,1,0))+(IF(MONTH($A147)=Reference!$C$6,Reference!$C$13,0))),0)</f>
        <v>474</v>
      </c>
      <c r="C147" s="11">
        <f ca="1">B147*Reference!$C$7*(1-IF(MONTH($A147)=Reference!$C$6,1,0)*Reference!$C$12)</f>
        <v>440820</v>
      </c>
      <c r="D147" s="10">
        <f ca="1">ROUND(_xlfn.NORM.INV(RAND(),Reference!$D$8,0.1*Reference!$D$8)*(1+Reference!$D$11*(IF(MONTH($A147)=Reference!$D$4,1,0)+IF(MONTH($A147)=Reference!$D$5,1,0))+(IF(MONTH($A147)=Reference!$D$6,Reference!$D$13,0))),0)</f>
        <v>451</v>
      </c>
      <c r="E147" s="11">
        <f ca="1">D147*Reference!$D$7*(1-IF(MONTH($A147)=Reference!$D$6,1,0)*Reference!$D$12)</f>
        <v>338250</v>
      </c>
      <c r="L147" s="16"/>
      <c r="M147" s="20"/>
      <c r="N147" s="20"/>
      <c r="O147" s="19"/>
      <c r="P147" s="10"/>
      <c r="Q147" s="10"/>
      <c r="R147" s="10"/>
      <c r="S147" s="10"/>
      <c r="T147" s="10"/>
      <c r="U147" s="10"/>
      <c r="V147" s="10"/>
      <c r="W147" s="10"/>
      <c r="X147" s="10"/>
      <c r="Y147" s="10"/>
    </row>
    <row r="148" spans="1:25" x14ac:dyDescent="0.25">
      <c r="A148" s="9">
        <v>40686</v>
      </c>
      <c r="B148" s="10">
        <f ca="1">ROUND(_xlfn.NORM.INV(RAND(),Reference!$C$8,0.1*Reference!$C$8)*(1+Reference!$C$11*(IF(MONTH($A148)=Reference!$C$4,1,0)+IF(MONTH($A148)=Reference!$C$5,1,0))+(IF(MONTH($A148)=Reference!$C$6,Reference!$C$13,0))),0)</f>
        <v>477</v>
      </c>
      <c r="C148" s="11">
        <f ca="1">B148*Reference!$C$7*(1-IF(MONTH($A148)=Reference!$C$6,1,0)*Reference!$C$12)</f>
        <v>443610</v>
      </c>
      <c r="D148" s="10">
        <f ca="1">ROUND(_xlfn.NORM.INV(RAND(),Reference!$D$8,0.1*Reference!$D$8)*(1+Reference!$D$11*(IF(MONTH($A148)=Reference!$D$4,1,0)+IF(MONTH($A148)=Reference!$D$5,1,0))+(IF(MONTH($A148)=Reference!$D$6,Reference!$D$13,0))),0)</f>
        <v>443</v>
      </c>
      <c r="E148" s="11">
        <f ca="1">D148*Reference!$D$7*(1-IF(MONTH($A148)=Reference!$D$6,1,0)*Reference!$D$12)</f>
        <v>332250</v>
      </c>
      <c r="L148" s="16"/>
      <c r="M148" s="20"/>
      <c r="N148" s="20"/>
      <c r="O148" s="19"/>
      <c r="P148" s="10"/>
      <c r="Q148" s="10"/>
      <c r="R148" s="10"/>
      <c r="S148" s="10"/>
      <c r="T148" s="10"/>
      <c r="U148" s="10"/>
      <c r="V148" s="10"/>
      <c r="W148" s="10"/>
      <c r="X148" s="10"/>
      <c r="Y148" s="10"/>
    </row>
    <row r="149" spans="1:25" x14ac:dyDescent="0.25">
      <c r="A149" s="9">
        <v>40687</v>
      </c>
      <c r="B149" s="10">
        <f ca="1">ROUND(_xlfn.NORM.INV(RAND(),Reference!$C$8,0.1*Reference!$C$8)*(1+Reference!$C$11*(IF(MONTH($A149)=Reference!$C$4,1,0)+IF(MONTH($A149)=Reference!$C$5,1,0))+(IF(MONTH($A149)=Reference!$C$6,Reference!$C$13,0))),0)</f>
        <v>533</v>
      </c>
      <c r="C149" s="11">
        <f ca="1">B149*Reference!$C$7*(1-IF(MONTH($A149)=Reference!$C$6,1,0)*Reference!$C$12)</f>
        <v>495690</v>
      </c>
      <c r="D149" s="10">
        <f ca="1">ROUND(_xlfn.NORM.INV(RAND(),Reference!$D$8,0.1*Reference!$D$8)*(1+Reference!$D$11*(IF(MONTH($A149)=Reference!$D$4,1,0)+IF(MONTH($A149)=Reference!$D$5,1,0))+(IF(MONTH($A149)=Reference!$D$6,Reference!$D$13,0))),0)</f>
        <v>490</v>
      </c>
      <c r="E149" s="11">
        <f ca="1">D149*Reference!$D$7*(1-IF(MONTH($A149)=Reference!$D$6,1,0)*Reference!$D$12)</f>
        <v>367500</v>
      </c>
      <c r="L149" s="16"/>
      <c r="M149" s="20"/>
      <c r="N149" s="20"/>
      <c r="O149" s="19"/>
      <c r="P149" s="10"/>
      <c r="Q149" s="10"/>
      <c r="R149" s="10"/>
      <c r="S149" s="10"/>
      <c r="T149" s="10"/>
      <c r="U149" s="10"/>
      <c r="V149" s="10"/>
      <c r="W149" s="10"/>
      <c r="X149" s="10"/>
      <c r="Y149" s="10"/>
    </row>
    <row r="150" spans="1:25" x14ac:dyDescent="0.25">
      <c r="A150" s="9">
        <v>40688</v>
      </c>
      <c r="B150" s="10">
        <f ca="1">ROUND(_xlfn.NORM.INV(RAND(),Reference!$C$8,0.1*Reference!$C$8)*(1+Reference!$C$11*(IF(MONTH($A150)=Reference!$C$4,1,0)+IF(MONTH($A150)=Reference!$C$5,1,0))+(IF(MONTH($A150)=Reference!$C$6,Reference!$C$13,0))),0)</f>
        <v>561</v>
      </c>
      <c r="C150" s="11">
        <f ca="1">B150*Reference!$C$7*(1-IF(MONTH($A150)=Reference!$C$6,1,0)*Reference!$C$12)</f>
        <v>521730</v>
      </c>
      <c r="D150" s="10">
        <f ca="1">ROUND(_xlfn.NORM.INV(RAND(),Reference!$D$8,0.1*Reference!$D$8)*(1+Reference!$D$11*(IF(MONTH($A150)=Reference!$D$4,1,0)+IF(MONTH($A150)=Reference!$D$5,1,0))+(IF(MONTH($A150)=Reference!$D$6,Reference!$D$13,0))),0)</f>
        <v>399</v>
      </c>
      <c r="E150" s="11">
        <f ca="1">D150*Reference!$D$7*(1-IF(MONTH($A150)=Reference!$D$6,1,0)*Reference!$D$12)</f>
        <v>299250</v>
      </c>
      <c r="L150" s="16"/>
      <c r="M150" s="20"/>
      <c r="N150" s="20"/>
      <c r="O150" s="19"/>
      <c r="P150" s="10"/>
      <c r="Q150" s="10"/>
      <c r="R150" s="10"/>
      <c r="S150" s="10"/>
      <c r="T150" s="10"/>
      <c r="U150" s="10"/>
      <c r="V150" s="10"/>
      <c r="W150" s="10"/>
      <c r="X150" s="10"/>
      <c r="Y150" s="10"/>
    </row>
    <row r="151" spans="1:25" x14ac:dyDescent="0.25">
      <c r="A151" s="9">
        <v>40689</v>
      </c>
      <c r="B151" s="10">
        <f ca="1">ROUND(_xlfn.NORM.INV(RAND(),Reference!$C$8,0.1*Reference!$C$8)*(1+Reference!$C$11*(IF(MONTH($A151)=Reference!$C$4,1,0)+IF(MONTH($A151)=Reference!$C$5,1,0))+(IF(MONTH($A151)=Reference!$C$6,Reference!$C$13,0))),0)</f>
        <v>585</v>
      </c>
      <c r="C151" s="11">
        <f ca="1">B151*Reference!$C$7*(1-IF(MONTH($A151)=Reference!$C$6,1,0)*Reference!$C$12)</f>
        <v>544050</v>
      </c>
      <c r="D151" s="10">
        <f ca="1">ROUND(_xlfn.NORM.INV(RAND(),Reference!$D$8,0.1*Reference!$D$8)*(1+Reference!$D$11*(IF(MONTH($A151)=Reference!$D$4,1,0)+IF(MONTH($A151)=Reference!$D$5,1,0))+(IF(MONTH($A151)=Reference!$D$6,Reference!$D$13,0))),0)</f>
        <v>519</v>
      </c>
      <c r="E151" s="11">
        <f ca="1">D151*Reference!$D$7*(1-IF(MONTH($A151)=Reference!$D$6,1,0)*Reference!$D$12)</f>
        <v>389250</v>
      </c>
      <c r="L151" s="16"/>
      <c r="M151" s="20"/>
      <c r="N151" s="20"/>
      <c r="O151" s="19"/>
      <c r="P151" s="10"/>
      <c r="Q151" s="10"/>
      <c r="R151" s="10"/>
      <c r="S151" s="10"/>
      <c r="T151" s="10"/>
      <c r="U151" s="10"/>
      <c r="V151" s="10"/>
      <c r="W151" s="10"/>
      <c r="X151" s="10"/>
      <c r="Y151" s="10"/>
    </row>
    <row r="152" spans="1:25" x14ac:dyDescent="0.25">
      <c r="A152" s="9">
        <v>40690</v>
      </c>
      <c r="B152" s="10">
        <f ca="1">ROUND(_xlfn.NORM.INV(RAND(),Reference!$C$8,0.1*Reference!$C$8)*(1+Reference!$C$11*(IF(MONTH($A152)=Reference!$C$4,1,0)+IF(MONTH($A152)=Reference!$C$5,1,0))+(IF(MONTH($A152)=Reference!$C$6,Reference!$C$13,0))),0)</f>
        <v>544</v>
      </c>
      <c r="C152" s="11">
        <f ca="1">B152*Reference!$C$7*(1-IF(MONTH($A152)=Reference!$C$6,1,0)*Reference!$C$12)</f>
        <v>505920</v>
      </c>
      <c r="D152" s="10">
        <f ca="1">ROUND(_xlfn.NORM.INV(RAND(),Reference!$D$8,0.1*Reference!$D$8)*(1+Reference!$D$11*(IF(MONTH($A152)=Reference!$D$4,1,0)+IF(MONTH($A152)=Reference!$D$5,1,0))+(IF(MONTH($A152)=Reference!$D$6,Reference!$D$13,0))),0)</f>
        <v>405</v>
      </c>
      <c r="E152" s="11">
        <f ca="1">D152*Reference!$D$7*(1-IF(MONTH($A152)=Reference!$D$6,1,0)*Reference!$D$12)</f>
        <v>303750</v>
      </c>
      <c r="L152" s="16"/>
      <c r="M152" s="20"/>
      <c r="N152" s="20"/>
      <c r="O152" s="19"/>
      <c r="P152" s="10"/>
      <c r="Q152" s="10"/>
      <c r="R152" s="10"/>
      <c r="S152" s="10"/>
      <c r="T152" s="10"/>
      <c r="U152" s="10"/>
      <c r="V152" s="10"/>
      <c r="W152" s="10"/>
      <c r="X152" s="10"/>
      <c r="Y152" s="10"/>
    </row>
    <row r="153" spans="1:25" x14ac:dyDescent="0.25">
      <c r="A153" s="9">
        <v>40691</v>
      </c>
      <c r="B153" s="10">
        <f ca="1">ROUND(_xlfn.NORM.INV(RAND(),Reference!$C$8,0.1*Reference!$C$8)*(1+Reference!$C$11*(IF(MONTH($A153)=Reference!$C$4,1,0)+IF(MONTH($A153)=Reference!$C$5,1,0))+(IF(MONTH($A153)=Reference!$C$6,Reference!$C$13,0))),0)</f>
        <v>591</v>
      </c>
      <c r="C153" s="11">
        <f ca="1">B153*Reference!$C$7*(1-IF(MONTH($A153)=Reference!$C$6,1,0)*Reference!$C$12)</f>
        <v>549630</v>
      </c>
      <c r="D153" s="10">
        <f ca="1">ROUND(_xlfn.NORM.INV(RAND(),Reference!$D$8,0.1*Reference!$D$8)*(1+Reference!$D$11*(IF(MONTH($A153)=Reference!$D$4,1,0)+IF(MONTH($A153)=Reference!$D$5,1,0))+(IF(MONTH($A153)=Reference!$D$6,Reference!$D$13,0))),0)</f>
        <v>476</v>
      </c>
      <c r="E153" s="11">
        <f ca="1">D153*Reference!$D$7*(1-IF(MONTH($A153)=Reference!$D$6,1,0)*Reference!$D$12)</f>
        <v>357000</v>
      </c>
      <c r="L153" s="16"/>
      <c r="M153" s="20"/>
      <c r="N153" s="20"/>
      <c r="O153" s="19"/>
      <c r="P153" s="10"/>
      <c r="Q153" s="10"/>
      <c r="R153" s="10"/>
      <c r="S153" s="10"/>
      <c r="T153" s="10"/>
      <c r="U153" s="10"/>
      <c r="V153" s="10"/>
      <c r="W153" s="10"/>
      <c r="X153" s="10"/>
      <c r="Y153" s="10"/>
    </row>
    <row r="154" spans="1:25" x14ac:dyDescent="0.25">
      <c r="A154" s="9">
        <v>40692</v>
      </c>
      <c r="B154" s="10">
        <f ca="1">ROUND(_xlfn.NORM.INV(RAND(),Reference!$C$8,0.1*Reference!$C$8)*(1+Reference!$C$11*(IF(MONTH($A154)=Reference!$C$4,1,0)+IF(MONTH($A154)=Reference!$C$5,1,0))+(IF(MONTH($A154)=Reference!$C$6,Reference!$C$13,0))),0)</f>
        <v>532</v>
      </c>
      <c r="C154" s="11">
        <f ca="1">B154*Reference!$C$7*(1-IF(MONTH($A154)=Reference!$C$6,1,0)*Reference!$C$12)</f>
        <v>494760</v>
      </c>
      <c r="D154" s="10">
        <f ca="1">ROUND(_xlfn.NORM.INV(RAND(),Reference!$D$8,0.1*Reference!$D$8)*(1+Reference!$D$11*(IF(MONTH($A154)=Reference!$D$4,1,0)+IF(MONTH($A154)=Reference!$D$5,1,0))+(IF(MONTH($A154)=Reference!$D$6,Reference!$D$13,0))),0)</f>
        <v>418</v>
      </c>
      <c r="E154" s="11">
        <f ca="1">D154*Reference!$D$7*(1-IF(MONTH($A154)=Reference!$D$6,1,0)*Reference!$D$12)</f>
        <v>313500</v>
      </c>
      <c r="L154" s="16"/>
      <c r="M154" s="20"/>
      <c r="N154" s="20"/>
      <c r="O154" s="19"/>
      <c r="P154" s="10"/>
      <c r="Q154" s="10"/>
      <c r="R154" s="10"/>
      <c r="S154" s="10"/>
      <c r="T154" s="10"/>
      <c r="U154" s="10"/>
      <c r="V154" s="10"/>
      <c r="W154" s="10"/>
      <c r="X154" s="10"/>
      <c r="Y154" s="10"/>
    </row>
    <row r="155" spans="1:25" x14ac:dyDescent="0.25">
      <c r="A155" s="9">
        <v>40693</v>
      </c>
      <c r="B155" s="10">
        <f ca="1">ROUND(_xlfn.NORM.INV(RAND(),Reference!$C$8,0.1*Reference!$C$8)*(1+Reference!$C$11*(IF(MONTH($A155)=Reference!$C$4,1,0)+IF(MONTH($A155)=Reference!$C$5,1,0))+(IF(MONTH($A155)=Reference!$C$6,Reference!$C$13,0))),0)</f>
        <v>538</v>
      </c>
      <c r="C155" s="11">
        <f ca="1">B155*Reference!$C$7*(1-IF(MONTH($A155)=Reference!$C$6,1,0)*Reference!$C$12)</f>
        <v>500340</v>
      </c>
      <c r="D155" s="10">
        <f ca="1">ROUND(_xlfn.NORM.INV(RAND(),Reference!$D$8,0.1*Reference!$D$8)*(1+Reference!$D$11*(IF(MONTH($A155)=Reference!$D$4,1,0)+IF(MONTH($A155)=Reference!$D$5,1,0))+(IF(MONTH($A155)=Reference!$D$6,Reference!$D$13,0))),0)</f>
        <v>471</v>
      </c>
      <c r="E155" s="11">
        <f ca="1">D155*Reference!$D$7*(1-IF(MONTH($A155)=Reference!$D$6,1,0)*Reference!$D$12)</f>
        <v>353250</v>
      </c>
      <c r="L155" s="16"/>
      <c r="M155" s="20"/>
      <c r="N155" s="20"/>
      <c r="O155" s="19"/>
      <c r="P155" s="10"/>
      <c r="Q155" s="10"/>
      <c r="R155" s="10"/>
      <c r="S155" s="10"/>
      <c r="T155" s="10"/>
      <c r="U155" s="10"/>
      <c r="V155" s="10"/>
      <c r="W155" s="10"/>
      <c r="X155" s="10"/>
      <c r="Y155" s="10"/>
    </row>
    <row r="156" spans="1:25" x14ac:dyDescent="0.25">
      <c r="A156" s="9">
        <v>40694</v>
      </c>
      <c r="B156" s="10">
        <f ca="1">ROUND(_xlfn.NORM.INV(RAND(),Reference!$C$8,0.1*Reference!$C$8)*(1+Reference!$C$11*(IF(MONTH($A156)=Reference!$C$4,1,0)+IF(MONTH($A156)=Reference!$C$5,1,0))+(IF(MONTH($A156)=Reference!$C$6,Reference!$C$13,0))),0)</f>
        <v>557</v>
      </c>
      <c r="C156" s="11">
        <f ca="1">B156*Reference!$C$7*(1-IF(MONTH($A156)=Reference!$C$6,1,0)*Reference!$C$12)</f>
        <v>518010</v>
      </c>
      <c r="D156" s="10">
        <f ca="1">ROUND(_xlfn.NORM.INV(RAND(),Reference!$D$8,0.1*Reference!$D$8)*(1+Reference!$D$11*(IF(MONTH($A156)=Reference!$D$4,1,0)+IF(MONTH($A156)=Reference!$D$5,1,0))+(IF(MONTH($A156)=Reference!$D$6,Reference!$D$13,0))),0)</f>
        <v>368</v>
      </c>
      <c r="E156" s="11">
        <f ca="1">D156*Reference!$D$7*(1-IF(MONTH($A156)=Reference!$D$6,1,0)*Reference!$D$12)</f>
        <v>276000</v>
      </c>
      <c r="L156" s="16"/>
      <c r="M156" s="20"/>
      <c r="N156" s="20"/>
      <c r="O156" s="19"/>
      <c r="P156" s="10"/>
      <c r="Q156" s="10"/>
      <c r="R156" s="10"/>
      <c r="S156" s="10"/>
      <c r="T156" s="10"/>
      <c r="U156" s="10"/>
      <c r="V156" s="10"/>
      <c r="W156" s="10"/>
      <c r="X156" s="10"/>
      <c r="Y156" s="10"/>
    </row>
    <row r="157" spans="1:25" x14ac:dyDescent="0.25">
      <c r="A157" s="9">
        <v>40695</v>
      </c>
      <c r="B157" s="10">
        <f ca="1">ROUND(_xlfn.NORM.INV(RAND(),Reference!$C$8,0.1*Reference!$C$8)*(1+Reference!$C$11*(IF(MONTH($A157)=Reference!$C$4,1,0)+IF(MONTH($A157)=Reference!$C$5,1,0))+(IF(MONTH($A157)=Reference!$C$6,Reference!$C$13,0))),0)</f>
        <v>492</v>
      </c>
      <c r="C157" s="11">
        <f ca="1">B157*Reference!$C$7*(1-IF(MONTH($A157)=Reference!$C$6,1,0)*Reference!$C$12)</f>
        <v>183024</v>
      </c>
      <c r="D157" s="10">
        <f ca="1">ROUND(_xlfn.NORM.INV(RAND(),Reference!$D$8,0.1*Reference!$D$8)*(1+Reference!$D$11*(IF(MONTH($A157)=Reference!$D$4,1,0)+IF(MONTH($A157)=Reference!$D$5,1,0))+(IF(MONTH($A157)=Reference!$D$6,Reference!$D$13,0))),0)</f>
        <v>459</v>
      </c>
      <c r="E157" s="11">
        <f ca="1">D157*Reference!$D$7*(1-IF(MONTH($A157)=Reference!$D$6,1,0)*Reference!$D$12)</f>
        <v>344250</v>
      </c>
      <c r="L157" s="16"/>
      <c r="M157" s="20"/>
      <c r="N157" s="20"/>
      <c r="O157" s="19"/>
      <c r="P157" s="10"/>
      <c r="Q157" s="10"/>
      <c r="R157" s="10"/>
      <c r="S157" s="10"/>
      <c r="T157" s="10"/>
      <c r="U157" s="10"/>
      <c r="V157" s="10"/>
      <c r="W157" s="10"/>
      <c r="X157" s="10"/>
      <c r="Y157" s="10"/>
    </row>
    <row r="158" spans="1:25" x14ac:dyDescent="0.25">
      <c r="A158" s="9">
        <v>40696</v>
      </c>
      <c r="B158" s="10">
        <f ca="1">ROUND(_xlfn.NORM.INV(RAND(),Reference!$C$8,0.1*Reference!$C$8)*(1+Reference!$C$11*(IF(MONTH($A158)=Reference!$C$4,1,0)+IF(MONTH($A158)=Reference!$C$5,1,0))+(IF(MONTH($A158)=Reference!$C$6,Reference!$C$13,0))),0)</f>
        <v>483</v>
      </c>
      <c r="C158" s="11">
        <f ca="1">B158*Reference!$C$7*(1-IF(MONTH($A158)=Reference!$C$6,1,0)*Reference!$C$12)</f>
        <v>179676</v>
      </c>
      <c r="D158" s="10">
        <f ca="1">ROUND(_xlfn.NORM.INV(RAND(),Reference!$D$8,0.1*Reference!$D$8)*(1+Reference!$D$11*(IF(MONTH($A158)=Reference!$D$4,1,0)+IF(MONTH($A158)=Reference!$D$5,1,0))+(IF(MONTH($A158)=Reference!$D$6,Reference!$D$13,0))),0)</f>
        <v>471</v>
      </c>
      <c r="E158" s="11">
        <f ca="1">D158*Reference!$D$7*(1-IF(MONTH($A158)=Reference!$D$6,1,0)*Reference!$D$12)</f>
        <v>353250</v>
      </c>
      <c r="L158" s="16"/>
      <c r="M158" s="20"/>
      <c r="N158" s="20"/>
      <c r="O158" s="19"/>
      <c r="P158" s="10"/>
      <c r="Q158" s="10"/>
      <c r="R158" s="10"/>
      <c r="S158" s="10"/>
      <c r="T158" s="10"/>
      <c r="U158" s="10"/>
      <c r="V158" s="10"/>
      <c r="W158" s="10"/>
      <c r="X158" s="10"/>
      <c r="Y158" s="10"/>
    </row>
    <row r="159" spans="1:25" x14ac:dyDescent="0.25">
      <c r="A159" s="9">
        <v>40697</v>
      </c>
      <c r="B159" s="10">
        <f ca="1">ROUND(_xlfn.NORM.INV(RAND(),Reference!$C$8,0.1*Reference!$C$8)*(1+Reference!$C$11*(IF(MONTH($A159)=Reference!$C$4,1,0)+IF(MONTH($A159)=Reference!$C$5,1,0))+(IF(MONTH($A159)=Reference!$C$6,Reference!$C$13,0))),0)</f>
        <v>390</v>
      </c>
      <c r="C159" s="11">
        <f ca="1">B159*Reference!$C$7*(1-IF(MONTH($A159)=Reference!$C$6,1,0)*Reference!$C$12)</f>
        <v>145080</v>
      </c>
      <c r="D159" s="10">
        <f ca="1">ROUND(_xlfn.NORM.INV(RAND(),Reference!$D$8,0.1*Reference!$D$8)*(1+Reference!$D$11*(IF(MONTH($A159)=Reference!$D$4,1,0)+IF(MONTH($A159)=Reference!$D$5,1,0))+(IF(MONTH($A159)=Reference!$D$6,Reference!$D$13,0))),0)</f>
        <v>446</v>
      </c>
      <c r="E159" s="11">
        <f ca="1">D159*Reference!$D$7*(1-IF(MONTH($A159)=Reference!$D$6,1,0)*Reference!$D$12)</f>
        <v>334500</v>
      </c>
      <c r="L159" s="16"/>
      <c r="M159" s="20"/>
      <c r="N159" s="20"/>
      <c r="O159" s="19"/>
      <c r="P159" s="10"/>
      <c r="Q159" s="10"/>
      <c r="R159" s="10"/>
      <c r="S159" s="10"/>
      <c r="T159" s="10"/>
      <c r="U159" s="10"/>
      <c r="V159" s="10"/>
      <c r="W159" s="10"/>
      <c r="X159" s="10"/>
      <c r="Y159" s="10"/>
    </row>
    <row r="160" spans="1:25" x14ac:dyDescent="0.25">
      <c r="A160" s="9">
        <v>40698</v>
      </c>
      <c r="B160" s="10">
        <f ca="1">ROUND(_xlfn.NORM.INV(RAND(),Reference!$C$8,0.1*Reference!$C$8)*(1+Reference!$C$11*(IF(MONTH($A160)=Reference!$C$4,1,0)+IF(MONTH($A160)=Reference!$C$5,1,0))+(IF(MONTH($A160)=Reference!$C$6,Reference!$C$13,0))),0)</f>
        <v>433</v>
      </c>
      <c r="C160" s="11">
        <f ca="1">B160*Reference!$C$7*(1-IF(MONTH($A160)=Reference!$C$6,1,0)*Reference!$C$12)</f>
        <v>161076</v>
      </c>
      <c r="D160" s="10">
        <f ca="1">ROUND(_xlfn.NORM.INV(RAND(),Reference!$D$8,0.1*Reference!$D$8)*(1+Reference!$D$11*(IF(MONTH($A160)=Reference!$D$4,1,0)+IF(MONTH($A160)=Reference!$D$5,1,0))+(IF(MONTH($A160)=Reference!$D$6,Reference!$D$13,0))),0)</f>
        <v>392</v>
      </c>
      <c r="E160" s="11">
        <f ca="1">D160*Reference!$D$7*(1-IF(MONTH($A160)=Reference!$D$6,1,0)*Reference!$D$12)</f>
        <v>294000</v>
      </c>
      <c r="L160" s="16"/>
      <c r="M160" s="20"/>
      <c r="N160" s="20"/>
      <c r="O160" s="19"/>
      <c r="P160" s="10"/>
      <c r="Q160" s="10"/>
      <c r="R160" s="10"/>
      <c r="S160" s="10"/>
      <c r="T160" s="10"/>
      <c r="U160" s="10"/>
      <c r="V160" s="10"/>
      <c r="W160" s="10"/>
      <c r="X160" s="10"/>
      <c r="Y160" s="10"/>
    </row>
    <row r="161" spans="1:25" x14ac:dyDescent="0.25">
      <c r="A161" s="9">
        <v>40699</v>
      </c>
      <c r="B161" s="10">
        <f ca="1">ROUND(_xlfn.NORM.INV(RAND(),Reference!$C$8,0.1*Reference!$C$8)*(1+Reference!$C$11*(IF(MONTH($A161)=Reference!$C$4,1,0)+IF(MONTH($A161)=Reference!$C$5,1,0))+(IF(MONTH($A161)=Reference!$C$6,Reference!$C$13,0))),0)</f>
        <v>449</v>
      </c>
      <c r="C161" s="11">
        <f ca="1">B161*Reference!$C$7*(1-IF(MONTH($A161)=Reference!$C$6,1,0)*Reference!$C$12)</f>
        <v>167028</v>
      </c>
      <c r="D161" s="10">
        <f ca="1">ROUND(_xlfn.NORM.INV(RAND(),Reference!$D$8,0.1*Reference!$D$8)*(1+Reference!$D$11*(IF(MONTH($A161)=Reference!$D$4,1,0)+IF(MONTH($A161)=Reference!$D$5,1,0))+(IF(MONTH($A161)=Reference!$D$6,Reference!$D$13,0))),0)</f>
        <v>454</v>
      </c>
      <c r="E161" s="11">
        <f ca="1">D161*Reference!$D$7*(1-IF(MONTH($A161)=Reference!$D$6,1,0)*Reference!$D$12)</f>
        <v>340500</v>
      </c>
      <c r="L161" s="16"/>
      <c r="M161" s="20"/>
      <c r="N161" s="20"/>
      <c r="O161" s="19"/>
      <c r="P161" s="10"/>
      <c r="Q161" s="10"/>
      <c r="R161" s="10"/>
      <c r="S161" s="10"/>
      <c r="T161" s="10"/>
      <c r="U161" s="10"/>
      <c r="V161" s="10"/>
      <c r="W161" s="10"/>
      <c r="X161" s="10"/>
      <c r="Y161" s="10"/>
    </row>
    <row r="162" spans="1:25" x14ac:dyDescent="0.25">
      <c r="A162" s="9">
        <v>40700</v>
      </c>
      <c r="B162" s="10">
        <f ca="1">ROUND(_xlfn.NORM.INV(RAND(),Reference!$C$8,0.1*Reference!$C$8)*(1+Reference!$C$11*(IF(MONTH($A162)=Reference!$C$4,1,0)+IF(MONTH($A162)=Reference!$C$5,1,0))+(IF(MONTH($A162)=Reference!$C$6,Reference!$C$13,0))),0)</f>
        <v>356</v>
      </c>
      <c r="C162" s="11">
        <f ca="1">B162*Reference!$C$7*(1-IF(MONTH($A162)=Reference!$C$6,1,0)*Reference!$C$12)</f>
        <v>132432</v>
      </c>
      <c r="D162" s="10">
        <f ca="1">ROUND(_xlfn.NORM.INV(RAND(),Reference!$D$8,0.1*Reference!$D$8)*(1+Reference!$D$11*(IF(MONTH($A162)=Reference!$D$4,1,0)+IF(MONTH($A162)=Reference!$D$5,1,0))+(IF(MONTH($A162)=Reference!$D$6,Reference!$D$13,0))),0)</f>
        <v>435</v>
      </c>
      <c r="E162" s="11">
        <f ca="1">D162*Reference!$D$7*(1-IF(MONTH($A162)=Reference!$D$6,1,0)*Reference!$D$12)</f>
        <v>326250</v>
      </c>
      <c r="L162" s="16"/>
      <c r="M162" s="20"/>
      <c r="N162" s="20"/>
      <c r="O162" s="19"/>
      <c r="P162" s="10"/>
      <c r="Q162" s="10"/>
      <c r="R162" s="10"/>
      <c r="S162" s="10"/>
      <c r="T162" s="10"/>
      <c r="U162" s="10"/>
      <c r="V162" s="10"/>
      <c r="W162" s="10"/>
      <c r="X162" s="10"/>
      <c r="Y162" s="10"/>
    </row>
    <row r="163" spans="1:25" x14ac:dyDescent="0.25">
      <c r="A163" s="9">
        <v>40701</v>
      </c>
      <c r="B163" s="10">
        <f ca="1">ROUND(_xlfn.NORM.INV(RAND(),Reference!$C$8,0.1*Reference!$C$8)*(1+Reference!$C$11*(IF(MONTH($A163)=Reference!$C$4,1,0)+IF(MONTH($A163)=Reference!$C$5,1,0))+(IF(MONTH($A163)=Reference!$C$6,Reference!$C$13,0))),0)</f>
        <v>430</v>
      </c>
      <c r="C163" s="11">
        <f ca="1">B163*Reference!$C$7*(1-IF(MONTH($A163)=Reference!$C$6,1,0)*Reference!$C$12)</f>
        <v>159960</v>
      </c>
      <c r="D163" s="10">
        <f ca="1">ROUND(_xlfn.NORM.INV(RAND(),Reference!$D$8,0.1*Reference!$D$8)*(1+Reference!$D$11*(IF(MONTH($A163)=Reference!$D$4,1,0)+IF(MONTH($A163)=Reference!$D$5,1,0))+(IF(MONTH($A163)=Reference!$D$6,Reference!$D$13,0))),0)</f>
        <v>532</v>
      </c>
      <c r="E163" s="11">
        <f ca="1">D163*Reference!$D$7*(1-IF(MONTH($A163)=Reference!$D$6,1,0)*Reference!$D$12)</f>
        <v>399000</v>
      </c>
      <c r="L163" s="16"/>
      <c r="M163" s="20"/>
      <c r="N163" s="20"/>
      <c r="O163" s="19"/>
      <c r="P163" s="10"/>
      <c r="Q163" s="10"/>
      <c r="R163" s="10"/>
      <c r="S163" s="10"/>
      <c r="T163" s="10"/>
      <c r="U163" s="10"/>
      <c r="V163" s="10"/>
      <c r="W163" s="10"/>
      <c r="X163" s="10"/>
      <c r="Y163" s="10"/>
    </row>
    <row r="164" spans="1:25" x14ac:dyDescent="0.25">
      <c r="A164" s="9">
        <v>40702</v>
      </c>
      <c r="B164" s="10">
        <f ca="1">ROUND(_xlfn.NORM.INV(RAND(),Reference!$C$8,0.1*Reference!$C$8)*(1+Reference!$C$11*(IF(MONTH($A164)=Reference!$C$4,1,0)+IF(MONTH($A164)=Reference!$C$5,1,0))+(IF(MONTH($A164)=Reference!$C$6,Reference!$C$13,0))),0)</f>
        <v>446</v>
      </c>
      <c r="C164" s="11">
        <f ca="1">B164*Reference!$C$7*(1-IF(MONTH($A164)=Reference!$C$6,1,0)*Reference!$C$12)</f>
        <v>165912</v>
      </c>
      <c r="D164" s="10">
        <f ca="1">ROUND(_xlfn.NORM.INV(RAND(),Reference!$D$8,0.1*Reference!$D$8)*(1+Reference!$D$11*(IF(MONTH($A164)=Reference!$D$4,1,0)+IF(MONTH($A164)=Reference!$D$5,1,0))+(IF(MONTH($A164)=Reference!$D$6,Reference!$D$13,0))),0)</f>
        <v>461</v>
      </c>
      <c r="E164" s="11">
        <f ca="1">D164*Reference!$D$7*(1-IF(MONTH($A164)=Reference!$D$6,1,0)*Reference!$D$12)</f>
        <v>345750</v>
      </c>
      <c r="L164" s="16"/>
      <c r="M164" s="20"/>
      <c r="N164" s="20"/>
      <c r="O164" s="19"/>
      <c r="P164" s="10"/>
      <c r="Q164" s="10"/>
      <c r="R164" s="10"/>
      <c r="S164" s="10"/>
      <c r="T164" s="10"/>
      <c r="U164" s="10"/>
      <c r="V164" s="10"/>
      <c r="W164" s="10"/>
      <c r="X164" s="10"/>
      <c r="Y164" s="10"/>
    </row>
    <row r="165" spans="1:25" x14ac:dyDescent="0.25">
      <c r="A165" s="9">
        <v>40703</v>
      </c>
      <c r="B165" s="10">
        <f ca="1">ROUND(_xlfn.NORM.INV(RAND(),Reference!$C$8,0.1*Reference!$C$8)*(1+Reference!$C$11*(IF(MONTH($A165)=Reference!$C$4,1,0)+IF(MONTH($A165)=Reference!$C$5,1,0))+(IF(MONTH($A165)=Reference!$C$6,Reference!$C$13,0))),0)</f>
        <v>477</v>
      </c>
      <c r="C165" s="11">
        <f ca="1">B165*Reference!$C$7*(1-IF(MONTH($A165)=Reference!$C$6,1,0)*Reference!$C$12)</f>
        <v>177444</v>
      </c>
      <c r="D165" s="10">
        <f ca="1">ROUND(_xlfn.NORM.INV(RAND(),Reference!$D$8,0.1*Reference!$D$8)*(1+Reference!$D$11*(IF(MONTH($A165)=Reference!$D$4,1,0)+IF(MONTH($A165)=Reference!$D$5,1,0))+(IF(MONTH($A165)=Reference!$D$6,Reference!$D$13,0))),0)</f>
        <v>403</v>
      </c>
      <c r="E165" s="11">
        <f ca="1">D165*Reference!$D$7*(1-IF(MONTH($A165)=Reference!$D$6,1,0)*Reference!$D$12)</f>
        <v>302250</v>
      </c>
      <c r="L165" s="16"/>
      <c r="M165" s="20"/>
      <c r="N165" s="20"/>
      <c r="O165" s="19"/>
      <c r="P165" s="10"/>
      <c r="Q165" s="10"/>
      <c r="R165" s="10"/>
      <c r="S165" s="10"/>
      <c r="T165" s="10"/>
      <c r="U165" s="10"/>
      <c r="V165" s="10"/>
      <c r="W165" s="10"/>
      <c r="X165" s="10"/>
      <c r="Y165" s="10"/>
    </row>
    <row r="166" spans="1:25" x14ac:dyDescent="0.25">
      <c r="A166" s="9">
        <v>40704</v>
      </c>
      <c r="B166" s="10">
        <f ca="1">ROUND(_xlfn.NORM.INV(RAND(),Reference!$C$8,0.1*Reference!$C$8)*(1+Reference!$C$11*(IF(MONTH($A166)=Reference!$C$4,1,0)+IF(MONTH($A166)=Reference!$C$5,1,0))+(IF(MONTH($A166)=Reference!$C$6,Reference!$C$13,0))),0)</f>
        <v>427</v>
      </c>
      <c r="C166" s="11">
        <f ca="1">B166*Reference!$C$7*(1-IF(MONTH($A166)=Reference!$C$6,1,0)*Reference!$C$12)</f>
        <v>158844</v>
      </c>
      <c r="D166" s="10">
        <f ca="1">ROUND(_xlfn.NORM.INV(RAND(),Reference!$D$8,0.1*Reference!$D$8)*(1+Reference!$D$11*(IF(MONTH($A166)=Reference!$D$4,1,0)+IF(MONTH($A166)=Reference!$D$5,1,0))+(IF(MONTH($A166)=Reference!$D$6,Reference!$D$13,0))),0)</f>
        <v>380</v>
      </c>
      <c r="E166" s="11">
        <f ca="1">D166*Reference!$D$7*(1-IF(MONTH($A166)=Reference!$D$6,1,0)*Reference!$D$12)</f>
        <v>285000</v>
      </c>
      <c r="L166" s="16"/>
      <c r="M166" s="20"/>
      <c r="N166" s="20"/>
      <c r="O166" s="19"/>
      <c r="P166" s="10"/>
      <c r="Q166" s="10"/>
      <c r="R166" s="10"/>
      <c r="S166" s="10"/>
      <c r="T166" s="10"/>
      <c r="U166" s="10"/>
      <c r="V166" s="10"/>
      <c r="W166" s="10"/>
      <c r="X166" s="10"/>
      <c r="Y166" s="10"/>
    </row>
    <row r="167" spans="1:25" x14ac:dyDescent="0.25">
      <c r="A167" s="9">
        <v>40705</v>
      </c>
      <c r="B167" s="10">
        <f ca="1">ROUND(_xlfn.NORM.INV(RAND(),Reference!$C$8,0.1*Reference!$C$8)*(1+Reference!$C$11*(IF(MONTH($A167)=Reference!$C$4,1,0)+IF(MONTH($A167)=Reference!$C$5,1,0))+(IF(MONTH($A167)=Reference!$C$6,Reference!$C$13,0))),0)</f>
        <v>388</v>
      </c>
      <c r="C167" s="11">
        <f ca="1">B167*Reference!$C$7*(1-IF(MONTH($A167)=Reference!$C$6,1,0)*Reference!$C$12)</f>
        <v>144336</v>
      </c>
      <c r="D167" s="10">
        <f ca="1">ROUND(_xlfn.NORM.INV(RAND(),Reference!$D$8,0.1*Reference!$D$8)*(1+Reference!$D$11*(IF(MONTH($A167)=Reference!$D$4,1,0)+IF(MONTH($A167)=Reference!$D$5,1,0))+(IF(MONTH($A167)=Reference!$D$6,Reference!$D$13,0))),0)</f>
        <v>481</v>
      </c>
      <c r="E167" s="11">
        <f ca="1">D167*Reference!$D$7*(1-IF(MONTH($A167)=Reference!$D$6,1,0)*Reference!$D$12)</f>
        <v>360750</v>
      </c>
      <c r="L167" s="16"/>
      <c r="M167" s="20"/>
      <c r="N167" s="20"/>
      <c r="O167" s="19"/>
      <c r="P167" s="10"/>
      <c r="Q167" s="10"/>
      <c r="R167" s="10"/>
      <c r="S167" s="10"/>
      <c r="T167" s="10"/>
      <c r="U167" s="10"/>
      <c r="V167" s="10"/>
      <c r="W167" s="10"/>
      <c r="X167" s="10"/>
      <c r="Y167" s="10"/>
    </row>
    <row r="168" spans="1:25" x14ac:dyDescent="0.25">
      <c r="A168" s="9">
        <v>40706</v>
      </c>
      <c r="B168" s="10">
        <f ca="1">ROUND(_xlfn.NORM.INV(RAND(),Reference!$C$8,0.1*Reference!$C$8)*(1+Reference!$C$11*(IF(MONTH($A168)=Reference!$C$4,1,0)+IF(MONTH($A168)=Reference!$C$5,1,0))+(IF(MONTH($A168)=Reference!$C$6,Reference!$C$13,0))),0)</f>
        <v>397</v>
      </c>
      <c r="C168" s="11">
        <f ca="1">B168*Reference!$C$7*(1-IF(MONTH($A168)=Reference!$C$6,1,0)*Reference!$C$12)</f>
        <v>147684</v>
      </c>
      <c r="D168" s="10">
        <f ca="1">ROUND(_xlfn.NORM.INV(RAND(),Reference!$D$8,0.1*Reference!$D$8)*(1+Reference!$D$11*(IF(MONTH($A168)=Reference!$D$4,1,0)+IF(MONTH($A168)=Reference!$D$5,1,0))+(IF(MONTH($A168)=Reference!$D$6,Reference!$D$13,0))),0)</f>
        <v>382</v>
      </c>
      <c r="E168" s="11">
        <f ca="1">D168*Reference!$D$7*(1-IF(MONTH($A168)=Reference!$D$6,1,0)*Reference!$D$12)</f>
        <v>286500</v>
      </c>
      <c r="L168" s="16"/>
      <c r="M168" s="20"/>
      <c r="N168" s="20"/>
      <c r="O168" s="19"/>
      <c r="P168" s="10"/>
      <c r="Q168" s="10"/>
      <c r="R168" s="10"/>
      <c r="S168" s="10"/>
      <c r="T168" s="10"/>
      <c r="U168" s="10"/>
      <c r="V168" s="10"/>
      <c r="W168" s="10"/>
      <c r="X168" s="10"/>
      <c r="Y168" s="10"/>
    </row>
    <row r="169" spans="1:25" x14ac:dyDescent="0.25">
      <c r="A169" s="9">
        <v>40707</v>
      </c>
      <c r="B169" s="10">
        <f ca="1">ROUND(_xlfn.NORM.INV(RAND(),Reference!$C$8,0.1*Reference!$C$8)*(1+Reference!$C$11*(IF(MONTH($A169)=Reference!$C$4,1,0)+IF(MONTH($A169)=Reference!$C$5,1,0))+(IF(MONTH($A169)=Reference!$C$6,Reference!$C$13,0))),0)</f>
        <v>478</v>
      </c>
      <c r="C169" s="11">
        <f ca="1">B169*Reference!$C$7*(1-IF(MONTH($A169)=Reference!$C$6,1,0)*Reference!$C$12)</f>
        <v>177816</v>
      </c>
      <c r="D169" s="10">
        <f ca="1">ROUND(_xlfn.NORM.INV(RAND(),Reference!$D$8,0.1*Reference!$D$8)*(1+Reference!$D$11*(IF(MONTH($A169)=Reference!$D$4,1,0)+IF(MONTH($A169)=Reference!$D$5,1,0))+(IF(MONTH($A169)=Reference!$D$6,Reference!$D$13,0))),0)</f>
        <v>443</v>
      </c>
      <c r="E169" s="11">
        <f ca="1">D169*Reference!$D$7*(1-IF(MONTH($A169)=Reference!$D$6,1,0)*Reference!$D$12)</f>
        <v>332250</v>
      </c>
      <c r="L169" s="16"/>
      <c r="M169" s="20"/>
      <c r="N169" s="20"/>
      <c r="O169" s="19"/>
      <c r="P169" s="10"/>
      <c r="Q169" s="10"/>
      <c r="R169" s="10"/>
      <c r="S169" s="10"/>
      <c r="T169" s="10"/>
      <c r="U169" s="10"/>
      <c r="V169" s="10"/>
      <c r="W169" s="10"/>
      <c r="X169" s="10"/>
      <c r="Y169" s="10"/>
    </row>
    <row r="170" spans="1:25" x14ac:dyDescent="0.25">
      <c r="A170" s="9">
        <v>40708</v>
      </c>
      <c r="B170" s="10">
        <f ca="1">ROUND(_xlfn.NORM.INV(RAND(),Reference!$C$8,0.1*Reference!$C$8)*(1+Reference!$C$11*(IF(MONTH($A170)=Reference!$C$4,1,0)+IF(MONTH($A170)=Reference!$C$5,1,0))+(IF(MONTH($A170)=Reference!$C$6,Reference!$C$13,0))),0)</f>
        <v>410</v>
      </c>
      <c r="C170" s="11">
        <f ca="1">B170*Reference!$C$7*(1-IF(MONTH($A170)=Reference!$C$6,1,0)*Reference!$C$12)</f>
        <v>152520</v>
      </c>
      <c r="D170" s="10">
        <f ca="1">ROUND(_xlfn.NORM.INV(RAND(),Reference!$D$8,0.1*Reference!$D$8)*(1+Reference!$D$11*(IF(MONTH($A170)=Reference!$D$4,1,0)+IF(MONTH($A170)=Reference!$D$5,1,0))+(IF(MONTH($A170)=Reference!$D$6,Reference!$D$13,0))),0)</f>
        <v>386</v>
      </c>
      <c r="E170" s="11">
        <f ca="1">D170*Reference!$D$7*(1-IF(MONTH($A170)=Reference!$D$6,1,0)*Reference!$D$12)</f>
        <v>289500</v>
      </c>
      <c r="L170" s="16"/>
      <c r="M170" s="20"/>
      <c r="N170" s="20"/>
      <c r="O170" s="19"/>
      <c r="P170" s="10"/>
      <c r="Q170" s="10"/>
      <c r="R170" s="10"/>
      <c r="S170" s="10"/>
      <c r="T170" s="10"/>
      <c r="U170" s="10"/>
      <c r="V170" s="10"/>
      <c r="W170" s="10"/>
      <c r="X170" s="10"/>
      <c r="Y170" s="10"/>
    </row>
    <row r="171" spans="1:25" x14ac:dyDescent="0.25">
      <c r="A171" s="9">
        <v>40709</v>
      </c>
      <c r="B171" s="10">
        <f ca="1">ROUND(_xlfn.NORM.INV(RAND(),Reference!$C$8,0.1*Reference!$C$8)*(1+Reference!$C$11*(IF(MONTH($A171)=Reference!$C$4,1,0)+IF(MONTH($A171)=Reference!$C$5,1,0))+(IF(MONTH($A171)=Reference!$C$6,Reference!$C$13,0))),0)</f>
        <v>436</v>
      </c>
      <c r="C171" s="11">
        <f ca="1">B171*Reference!$C$7*(1-IF(MONTH($A171)=Reference!$C$6,1,0)*Reference!$C$12)</f>
        <v>162192</v>
      </c>
      <c r="D171" s="10">
        <f ca="1">ROUND(_xlfn.NORM.INV(RAND(),Reference!$D$8,0.1*Reference!$D$8)*(1+Reference!$D$11*(IF(MONTH($A171)=Reference!$D$4,1,0)+IF(MONTH($A171)=Reference!$D$5,1,0))+(IF(MONTH($A171)=Reference!$D$6,Reference!$D$13,0))),0)</f>
        <v>375</v>
      </c>
      <c r="E171" s="11">
        <f ca="1">D171*Reference!$D$7*(1-IF(MONTH($A171)=Reference!$D$6,1,0)*Reference!$D$12)</f>
        <v>281250</v>
      </c>
      <c r="L171" s="16"/>
      <c r="M171" s="20"/>
      <c r="N171" s="20"/>
      <c r="O171" s="19"/>
      <c r="P171" s="10"/>
      <c r="Q171" s="10"/>
      <c r="R171" s="10"/>
      <c r="S171" s="10"/>
      <c r="T171" s="10"/>
      <c r="U171" s="10"/>
      <c r="V171" s="10"/>
      <c r="W171" s="10"/>
      <c r="X171" s="10"/>
      <c r="Y171" s="10"/>
    </row>
    <row r="172" spans="1:25" x14ac:dyDescent="0.25">
      <c r="A172" s="9">
        <v>40710</v>
      </c>
      <c r="B172" s="10">
        <f ca="1">ROUND(_xlfn.NORM.INV(RAND(),Reference!$C$8,0.1*Reference!$C$8)*(1+Reference!$C$11*(IF(MONTH($A172)=Reference!$C$4,1,0)+IF(MONTH($A172)=Reference!$C$5,1,0))+(IF(MONTH($A172)=Reference!$C$6,Reference!$C$13,0))),0)</f>
        <v>482</v>
      </c>
      <c r="C172" s="11">
        <f ca="1">B172*Reference!$C$7*(1-IF(MONTH($A172)=Reference!$C$6,1,0)*Reference!$C$12)</f>
        <v>179304</v>
      </c>
      <c r="D172" s="10">
        <f ca="1">ROUND(_xlfn.NORM.INV(RAND(),Reference!$D$8,0.1*Reference!$D$8)*(1+Reference!$D$11*(IF(MONTH($A172)=Reference!$D$4,1,0)+IF(MONTH($A172)=Reference!$D$5,1,0))+(IF(MONTH($A172)=Reference!$D$6,Reference!$D$13,0))),0)</f>
        <v>432</v>
      </c>
      <c r="E172" s="11">
        <f ca="1">D172*Reference!$D$7*(1-IF(MONTH($A172)=Reference!$D$6,1,0)*Reference!$D$12)</f>
        <v>324000</v>
      </c>
      <c r="L172" s="16"/>
      <c r="M172" s="20"/>
      <c r="N172" s="20"/>
      <c r="O172" s="19"/>
      <c r="P172" s="10"/>
      <c r="Q172" s="10"/>
      <c r="R172" s="10"/>
      <c r="S172" s="10"/>
      <c r="T172" s="10"/>
      <c r="U172" s="10"/>
      <c r="V172" s="10"/>
      <c r="W172" s="10"/>
      <c r="X172" s="10"/>
      <c r="Y172" s="10"/>
    </row>
    <row r="173" spans="1:25" x14ac:dyDescent="0.25">
      <c r="A173" s="9">
        <v>40711</v>
      </c>
      <c r="B173" s="10">
        <f ca="1">ROUND(_xlfn.NORM.INV(RAND(),Reference!$C$8,0.1*Reference!$C$8)*(1+Reference!$C$11*(IF(MONTH($A173)=Reference!$C$4,1,0)+IF(MONTH($A173)=Reference!$C$5,1,0))+(IF(MONTH($A173)=Reference!$C$6,Reference!$C$13,0))),0)</f>
        <v>472</v>
      </c>
      <c r="C173" s="11">
        <f ca="1">B173*Reference!$C$7*(1-IF(MONTH($A173)=Reference!$C$6,1,0)*Reference!$C$12)</f>
        <v>175584</v>
      </c>
      <c r="D173" s="10">
        <f ca="1">ROUND(_xlfn.NORM.INV(RAND(),Reference!$D$8,0.1*Reference!$D$8)*(1+Reference!$D$11*(IF(MONTH($A173)=Reference!$D$4,1,0)+IF(MONTH($A173)=Reference!$D$5,1,0))+(IF(MONTH($A173)=Reference!$D$6,Reference!$D$13,0))),0)</f>
        <v>410</v>
      </c>
      <c r="E173" s="11">
        <f ca="1">D173*Reference!$D$7*(1-IF(MONTH($A173)=Reference!$D$6,1,0)*Reference!$D$12)</f>
        <v>307500</v>
      </c>
      <c r="L173" s="16"/>
      <c r="M173" s="20"/>
      <c r="N173" s="20"/>
      <c r="O173" s="19"/>
      <c r="P173" s="10"/>
      <c r="Q173" s="10"/>
      <c r="R173" s="10"/>
      <c r="S173" s="10"/>
      <c r="T173" s="10"/>
      <c r="U173" s="10"/>
      <c r="V173" s="10"/>
      <c r="W173" s="10"/>
      <c r="X173" s="10"/>
      <c r="Y173" s="10"/>
    </row>
    <row r="174" spans="1:25" x14ac:dyDescent="0.25">
      <c r="A174" s="9">
        <v>40712</v>
      </c>
      <c r="B174" s="10">
        <f ca="1">ROUND(_xlfn.NORM.INV(RAND(),Reference!$C$8,0.1*Reference!$C$8)*(1+Reference!$C$11*(IF(MONTH($A174)=Reference!$C$4,1,0)+IF(MONTH($A174)=Reference!$C$5,1,0))+(IF(MONTH($A174)=Reference!$C$6,Reference!$C$13,0))),0)</f>
        <v>458</v>
      </c>
      <c r="C174" s="11">
        <f ca="1">B174*Reference!$C$7*(1-IF(MONTH($A174)=Reference!$C$6,1,0)*Reference!$C$12)</f>
        <v>170376</v>
      </c>
      <c r="D174" s="10">
        <f ca="1">ROUND(_xlfn.NORM.INV(RAND(),Reference!$D$8,0.1*Reference!$D$8)*(1+Reference!$D$11*(IF(MONTH($A174)=Reference!$D$4,1,0)+IF(MONTH($A174)=Reference!$D$5,1,0))+(IF(MONTH($A174)=Reference!$D$6,Reference!$D$13,0))),0)</f>
        <v>421</v>
      </c>
      <c r="E174" s="11">
        <f ca="1">D174*Reference!$D$7*(1-IF(MONTH($A174)=Reference!$D$6,1,0)*Reference!$D$12)</f>
        <v>315750</v>
      </c>
      <c r="L174" s="16"/>
      <c r="M174" s="20"/>
      <c r="N174" s="20"/>
      <c r="O174" s="19"/>
      <c r="P174" s="10"/>
      <c r="Q174" s="10"/>
      <c r="R174" s="10"/>
      <c r="S174" s="10"/>
      <c r="T174" s="10"/>
      <c r="U174" s="10"/>
      <c r="V174" s="10"/>
      <c r="W174" s="10"/>
      <c r="X174" s="10"/>
      <c r="Y174" s="10"/>
    </row>
    <row r="175" spans="1:25" x14ac:dyDescent="0.25">
      <c r="A175" s="9">
        <v>40713</v>
      </c>
      <c r="B175" s="10">
        <f ca="1">ROUND(_xlfn.NORM.INV(RAND(),Reference!$C$8,0.1*Reference!$C$8)*(1+Reference!$C$11*(IF(MONTH($A175)=Reference!$C$4,1,0)+IF(MONTH($A175)=Reference!$C$5,1,0))+(IF(MONTH($A175)=Reference!$C$6,Reference!$C$13,0))),0)</f>
        <v>468</v>
      </c>
      <c r="C175" s="11">
        <f ca="1">B175*Reference!$C$7*(1-IF(MONTH($A175)=Reference!$C$6,1,0)*Reference!$C$12)</f>
        <v>174096</v>
      </c>
      <c r="D175" s="10">
        <f ca="1">ROUND(_xlfn.NORM.INV(RAND(),Reference!$D$8,0.1*Reference!$D$8)*(1+Reference!$D$11*(IF(MONTH($A175)=Reference!$D$4,1,0)+IF(MONTH($A175)=Reference!$D$5,1,0))+(IF(MONTH($A175)=Reference!$D$6,Reference!$D$13,0))),0)</f>
        <v>418</v>
      </c>
      <c r="E175" s="11">
        <f ca="1">D175*Reference!$D$7*(1-IF(MONTH($A175)=Reference!$D$6,1,0)*Reference!$D$12)</f>
        <v>313500</v>
      </c>
      <c r="L175" s="16"/>
      <c r="M175" s="20"/>
      <c r="N175" s="20"/>
      <c r="O175" s="19"/>
      <c r="P175" s="10"/>
      <c r="Q175" s="10"/>
      <c r="R175" s="10"/>
      <c r="S175" s="10"/>
      <c r="T175" s="10"/>
      <c r="U175" s="10"/>
      <c r="V175" s="10"/>
      <c r="W175" s="10"/>
      <c r="X175" s="10"/>
      <c r="Y175" s="10"/>
    </row>
    <row r="176" spans="1:25" x14ac:dyDescent="0.25">
      <c r="A176" s="9">
        <v>40714</v>
      </c>
      <c r="B176" s="10">
        <f ca="1">ROUND(_xlfn.NORM.INV(RAND(),Reference!$C$8,0.1*Reference!$C$8)*(1+Reference!$C$11*(IF(MONTH($A176)=Reference!$C$4,1,0)+IF(MONTH($A176)=Reference!$C$5,1,0))+(IF(MONTH($A176)=Reference!$C$6,Reference!$C$13,0))),0)</f>
        <v>411</v>
      </c>
      <c r="C176" s="11">
        <f ca="1">B176*Reference!$C$7*(1-IF(MONTH($A176)=Reference!$C$6,1,0)*Reference!$C$12)</f>
        <v>152892</v>
      </c>
      <c r="D176" s="10">
        <f ca="1">ROUND(_xlfn.NORM.INV(RAND(),Reference!$D$8,0.1*Reference!$D$8)*(1+Reference!$D$11*(IF(MONTH($A176)=Reference!$D$4,1,0)+IF(MONTH($A176)=Reference!$D$5,1,0))+(IF(MONTH($A176)=Reference!$D$6,Reference!$D$13,0))),0)</f>
        <v>486</v>
      </c>
      <c r="E176" s="11">
        <f ca="1">D176*Reference!$D$7*(1-IF(MONTH($A176)=Reference!$D$6,1,0)*Reference!$D$12)</f>
        <v>364500</v>
      </c>
      <c r="L176" s="16"/>
      <c r="M176" s="20"/>
      <c r="N176" s="20"/>
      <c r="O176" s="19"/>
      <c r="P176" s="10"/>
      <c r="Q176" s="10"/>
      <c r="R176" s="10"/>
      <c r="S176" s="10"/>
      <c r="T176" s="10"/>
      <c r="U176" s="10"/>
      <c r="V176" s="10"/>
      <c r="W176" s="10"/>
      <c r="X176" s="10"/>
      <c r="Y176" s="10"/>
    </row>
    <row r="177" spans="1:25" x14ac:dyDescent="0.25">
      <c r="A177" s="9">
        <v>40715</v>
      </c>
      <c r="B177" s="10">
        <f ca="1">ROUND(_xlfn.NORM.INV(RAND(),Reference!$C$8,0.1*Reference!$C$8)*(1+Reference!$C$11*(IF(MONTH($A177)=Reference!$C$4,1,0)+IF(MONTH($A177)=Reference!$C$5,1,0))+(IF(MONTH($A177)=Reference!$C$6,Reference!$C$13,0))),0)</f>
        <v>406</v>
      </c>
      <c r="C177" s="11">
        <f ca="1">B177*Reference!$C$7*(1-IF(MONTH($A177)=Reference!$C$6,1,0)*Reference!$C$12)</f>
        <v>151032</v>
      </c>
      <c r="D177" s="10">
        <f ca="1">ROUND(_xlfn.NORM.INV(RAND(),Reference!$D$8,0.1*Reference!$D$8)*(1+Reference!$D$11*(IF(MONTH($A177)=Reference!$D$4,1,0)+IF(MONTH($A177)=Reference!$D$5,1,0))+(IF(MONTH($A177)=Reference!$D$6,Reference!$D$13,0))),0)</f>
        <v>484</v>
      </c>
      <c r="E177" s="11">
        <f ca="1">D177*Reference!$D$7*(1-IF(MONTH($A177)=Reference!$D$6,1,0)*Reference!$D$12)</f>
        <v>363000</v>
      </c>
      <c r="L177" s="16"/>
      <c r="M177" s="20"/>
      <c r="N177" s="20"/>
      <c r="O177" s="19"/>
      <c r="P177" s="10"/>
      <c r="Q177" s="10"/>
      <c r="R177" s="10"/>
      <c r="S177" s="10"/>
      <c r="T177" s="10"/>
      <c r="U177" s="10"/>
      <c r="V177" s="10"/>
      <c r="W177" s="10"/>
      <c r="X177" s="10"/>
      <c r="Y177" s="10"/>
    </row>
    <row r="178" spans="1:25" x14ac:dyDescent="0.25">
      <c r="A178" s="9">
        <v>40716</v>
      </c>
      <c r="B178" s="10">
        <f ca="1">ROUND(_xlfn.NORM.INV(RAND(),Reference!$C$8,0.1*Reference!$C$8)*(1+Reference!$C$11*(IF(MONTH($A178)=Reference!$C$4,1,0)+IF(MONTH($A178)=Reference!$C$5,1,0))+(IF(MONTH($A178)=Reference!$C$6,Reference!$C$13,0))),0)</f>
        <v>412</v>
      </c>
      <c r="C178" s="11">
        <f ca="1">B178*Reference!$C$7*(1-IF(MONTH($A178)=Reference!$C$6,1,0)*Reference!$C$12)</f>
        <v>153264</v>
      </c>
      <c r="D178" s="10">
        <f ca="1">ROUND(_xlfn.NORM.INV(RAND(),Reference!$D$8,0.1*Reference!$D$8)*(1+Reference!$D$11*(IF(MONTH($A178)=Reference!$D$4,1,0)+IF(MONTH($A178)=Reference!$D$5,1,0))+(IF(MONTH($A178)=Reference!$D$6,Reference!$D$13,0))),0)</f>
        <v>489</v>
      </c>
      <c r="E178" s="11">
        <f ca="1">D178*Reference!$D$7*(1-IF(MONTH($A178)=Reference!$D$6,1,0)*Reference!$D$12)</f>
        <v>366750</v>
      </c>
      <c r="L178" s="16"/>
      <c r="M178" s="20"/>
      <c r="N178" s="20"/>
      <c r="O178" s="19"/>
      <c r="P178" s="10"/>
      <c r="Q178" s="10"/>
      <c r="R178" s="10"/>
      <c r="S178" s="10"/>
      <c r="T178" s="10"/>
      <c r="U178" s="10"/>
      <c r="V178" s="10"/>
      <c r="W178" s="10"/>
      <c r="X178" s="10"/>
      <c r="Y178" s="10"/>
    </row>
    <row r="179" spans="1:25" x14ac:dyDescent="0.25">
      <c r="A179" s="9">
        <v>40717</v>
      </c>
      <c r="B179" s="10">
        <f ca="1">ROUND(_xlfn.NORM.INV(RAND(),Reference!$C$8,0.1*Reference!$C$8)*(1+Reference!$C$11*(IF(MONTH($A179)=Reference!$C$4,1,0)+IF(MONTH($A179)=Reference!$C$5,1,0))+(IF(MONTH($A179)=Reference!$C$6,Reference!$C$13,0))),0)</f>
        <v>540</v>
      </c>
      <c r="C179" s="11">
        <f ca="1">B179*Reference!$C$7*(1-IF(MONTH($A179)=Reference!$C$6,1,0)*Reference!$C$12)</f>
        <v>200880</v>
      </c>
      <c r="D179" s="10">
        <f ca="1">ROUND(_xlfn.NORM.INV(RAND(),Reference!$D$8,0.1*Reference!$D$8)*(1+Reference!$D$11*(IF(MONTH($A179)=Reference!$D$4,1,0)+IF(MONTH($A179)=Reference!$D$5,1,0))+(IF(MONTH($A179)=Reference!$D$6,Reference!$D$13,0))),0)</f>
        <v>440</v>
      </c>
      <c r="E179" s="11">
        <f ca="1">D179*Reference!$D$7*(1-IF(MONTH($A179)=Reference!$D$6,1,0)*Reference!$D$12)</f>
        <v>330000</v>
      </c>
      <c r="L179" s="16"/>
      <c r="M179" s="20"/>
      <c r="N179" s="20"/>
      <c r="O179" s="19"/>
      <c r="P179" s="10"/>
      <c r="Q179" s="10"/>
      <c r="R179" s="10"/>
      <c r="S179" s="10"/>
      <c r="T179" s="10"/>
      <c r="U179" s="10"/>
      <c r="V179" s="10"/>
      <c r="W179" s="10"/>
      <c r="X179" s="10"/>
      <c r="Y179" s="10"/>
    </row>
    <row r="180" spans="1:25" x14ac:dyDescent="0.25">
      <c r="A180" s="9">
        <v>40718</v>
      </c>
      <c r="B180" s="10">
        <f ca="1">ROUND(_xlfn.NORM.INV(RAND(),Reference!$C$8,0.1*Reference!$C$8)*(1+Reference!$C$11*(IF(MONTH($A180)=Reference!$C$4,1,0)+IF(MONTH($A180)=Reference!$C$5,1,0))+(IF(MONTH($A180)=Reference!$C$6,Reference!$C$13,0))),0)</f>
        <v>476</v>
      </c>
      <c r="C180" s="11">
        <f ca="1">B180*Reference!$C$7*(1-IF(MONTH($A180)=Reference!$C$6,1,0)*Reference!$C$12)</f>
        <v>177072</v>
      </c>
      <c r="D180" s="10">
        <f ca="1">ROUND(_xlfn.NORM.INV(RAND(),Reference!$D$8,0.1*Reference!$D$8)*(1+Reference!$D$11*(IF(MONTH($A180)=Reference!$D$4,1,0)+IF(MONTH($A180)=Reference!$D$5,1,0))+(IF(MONTH($A180)=Reference!$D$6,Reference!$D$13,0))),0)</f>
        <v>443</v>
      </c>
      <c r="E180" s="11">
        <f ca="1">D180*Reference!$D$7*(1-IF(MONTH($A180)=Reference!$D$6,1,0)*Reference!$D$12)</f>
        <v>332250</v>
      </c>
      <c r="L180" s="16"/>
      <c r="M180" s="20"/>
      <c r="N180" s="20"/>
      <c r="O180" s="19"/>
      <c r="P180" s="10"/>
      <c r="Q180" s="10"/>
      <c r="R180" s="10"/>
      <c r="S180" s="10"/>
      <c r="T180" s="10"/>
      <c r="U180" s="10"/>
      <c r="V180" s="10"/>
      <c r="W180" s="10"/>
      <c r="X180" s="10"/>
      <c r="Y180" s="10"/>
    </row>
    <row r="181" spans="1:25" x14ac:dyDescent="0.25">
      <c r="A181" s="9">
        <v>40719</v>
      </c>
      <c r="B181" s="10">
        <f ca="1">ROUND(_xlfn.NORM.INV(RAND(),Reference!$C$8,0.1*Reference!$C$8)*(1+Reference!$C$11*(IF(MONTH($A181)=Reference!$C$4,1,0)+IF(MONTH($A181)=Reference!$C$5,1,0))+(IF(MONTH($A181)=Reference!$C$6,Reference!$C$13,0))),0)</f>
        <v>425</v>
      </c>
      <c r="C181" s="11">
        <f ca="1">B181*Reference!$C$7*(1-IF(MONTH($A181)=Reference!$C$6,1,0)*Reference!$C$12)</f>
        <v>158100</v>
      </c>
      <c r="D181" s="10">
        <f ca="1">ROUND(_xlfn.NORM.INV(RAND(),Reference!$D$8,0.1*Reference!$D$8)*(1+Reference!$D$11*(IF(MONTH($A181)=Reference!$D$4,1,0)+IF(MONTH($A181)=Reference!$D$5,1,0))+(IF(MONTH($A181)=Reference!$D$6,Reference!$D$13,0))),0)</f>
        <v>461</v>
      </c>
      <c r="E181" s="11">
        <f ca="1">D181*Reference!$D$7*(1-IF(MONTH($A181)=Reference!$D$6,1,0)*Reference!$D$12)</f>
        <v>345750</v>
      </c>
      <c r="L181" s="16"/>
      <c r="M181" s="20"/>
      <c r="N181" s="20"/>
      <c r="O181" s="19"/>
      <c r="P181" s="10"/>
      <c r="Q181" s="10"/>
      <c r="R181" s="10"/>
      <c r="S181" s="10"/>
      <c r="T181" s="10"/>
      <c r="U181" s="10"/>
      <c r="V181" s="10"/>
      <c r="W181" s="10"/>
      <c r="X181" s="10"/>
      <c r="Y181" s="10"/>
    </row>
    <row r="182" spans="1:25" x14ac:dyDescent="0.25">
      <c r="A182" s="9">
        <v>40720</v>
      </c>
      <c r="B182" s="10">
        <f ca="1">ROUND(_xlfn.NORM.INV(RAND(),Reference!$C$8,0.1*Reference!$C$8)*(1+Reference!$C$11*(IF(MONTH($A182)=Reference!$C$4,1,0)+IF(MONTH($A182)=Reference!$C$5,1,0))+(IF(MONTH($A182)=Reference!$C$6,Reference!$C$13,0))),0)</f>
        <v>482</v>
      </c>
      <c r="C182" s="11">
        <f ca="1">B182*Reference!$C$7*(1-IF(MONTH($A182)=Reference!$C$6,1,0)*Reference!$C$12)</f>
        <v>179304</v>
      </c>
      <c r="D182" s="10">
        <f ca="1">ROUND(_xlfn.NORM.INV(RAND(),Reference!$D$8,0.1*Reference!$D$8)*(1+Reference!$D$11*(IF(MONTH($A182)=Reference!$D$4,1,0)+IF(MONTH($A182)=Reference!$D$5,1,0))+(IF(MONTH($A182)=Reference!$D$6,Reference!$D$13,0))),0)</f>
        <v>435</v>
      </c>
      <c r="E182" s="11">
        <f ca="1">D182*Reference!$D$7*(1-IF(MONTH($A182)=Reference!$D$6,1,0)*Reference!$D$12)</f>
        <v>326250</v>
      </c>
      <c r="L182" s="16"/>
      <c r="M182" s="20"/>
      <c r="N182" s="20"/>
      <c r="O182" s="19"/>
      <c r="P182" s="10"/>
      <c r="Q182" s="10"/>
      <c r="R182" s="10"/>
      <c r="S182" s="10"/>
      <c r="T182" s="10"/>
      <c r="U182" s="10"/>
      <c r="V182" s="10"/>
      <c r="W182" s="10"/>
      <c r="X182" s="10"/>
      <c r="Y182" s="10"/>
    </row>
    <row r="183" spans="1:25" x14ac:dyDescent="0.25">
      <c r="A183" s="9">
        <v>40721</v>
      </c>
      <c r="B183" s="10">
        <f ca="1">ROUND(_xlfn.NORM.INV(RAND(),Reference!$C$8,0.1*Reference!$C$8)*(1+Reference!$C$11*(IF(MONTH($A183)=Reference!$C$4,1,0)+IF(MONTH($A183)=Reference!$C$5,1,0))+(IF(MONTH($A183)=Reference!$C$6,Reference!$C$13,0))),0)</f>
        <v>403</v>
      </c>
      <c r="C183" s="11">
        <f ca="1">B183*Reference!$C$7*(1-IF(MONTH($A183)=Reference!$C$6,1,0)*Reference!$C$12)</f>
        <v>149916</v>
      </c>
      <c r="D183" s="10">
        <f ca="1">ROUND(_xlfn.NORM.INV(RAND(),Reference!$D$8,0.1*Reference!$D$8)*(1+Reference!$D$11*(IF(MONTH($A183)=Reference!$D$4,1,0)+IF(MONTH($A183)=Reference!$D$5,1,0))+(IF(MONTH($A183)=Reference!$D$6,Reference!$D$13,0))),0)</f>
        <v>483</v>
      </c>
      <c r="E183" s="11">
        <f ca="1">D183*Reference!$D$7*(1-IF(MONTH($A183)=Reference!$D$6,1,0)*Reference!$D$12)</f>
        <v>362250</v>
      </c>
      <c r="L183" s="16"/>
      <c r="M183" s="20"/>
      <c r="N183" s="20"/>
      <c r="O183" s="19"/>
      <c r="P183" s="10"/>
      <c r="Q183" s="10"/>
      <c r="R183" s="10"/>
      <c r="S183" s="10"/>
      <c r="T183" s="10"/>
      <c r="U183" s="10"/>
      <c r="V183" s="10"/>
      <c r="W183" s="10"/>
      <c r="X183" s="10"/>
      <c r="Y183" s="10"/>
    </row>
    <row r="184" spans="1:25" x14ac:dyDescent="0.25">
      <c r="A184" s="9">
        <v>40722</v>
      </c>
      <c r="B184" s="10">
        <f ca="1">ROUND(_xlfn.NORM.INV(RAND(),Reference!$C$8,0.1*Reference!$C$8)*(1+Reference!$C$11*(IF(MONTH($A184)=Reference!$C$4,1,0)+IF(MONTH($A184)=Reference!$C$5,1,0))+(IF(MONTH($A184)=Reference!$C$6,Reference!$C$13,0))),0)</f>
        <v>447</v>
      </c>
      <c r="C184" s="11">
        <f ca="1">B184*Reference!$C$7*(1-IF(MONTH($A184)=Reference!$C$6,1,0)*Reference!$C$12)</f>
        <v>166284</v>
      </c>
      <c r="D184" s="10">
        <f ca="1">ROUND(_xlfn.NORM.INV(RAND(),Reference!$D$8,0.1*Reference!$D$8)*(1+Reference!$D$11*(IF(MONTH($A184)=Reference!$D$4,1,0)+IF(MONTH($A184)=Reference!$D$5,1,0))+(IF(MONTH($A184)=Reference!$D$6,Reference!$D$13,0))),0)</f>
        <v>441</v>
      </c>
      <c r="E184" s="11">
        <f ca="1">D184*Reference!$D$7*(1-IF(MONTH($A184)=Reference!$D$6,1,0)*Reference!$D$12)</f>
        <v>330750</v>
      </c>
      <c r="L184" s="16"/>
      <c r="M184" s="20"/>
      <c r="N184" s="20"/>
      <c r="O184" s="19"/>
      <c r="P184" s="10"/>
      <c r="Q184" s="10"/>
      <c r="R184" s="10"/>
      <c r="S184" s="10"/>
      <c r="T184" s="10"/>
      <c r="U184" s="10"/>
      <c r="V184" s="10"/>
      <c r="W184" s="10"/>
      <c r="X184" s="10"/>
      <c r="Y184" s="10"/>
    </row>
    <row r="185" spans="1:25" x14ac:dyDescent="0.25">
      <c r="A185" s="9">
        <v>40723</v>
      </c>
      <c r="B185" s="10">
        <f ca="1">ROUND(_xlfn.NORM.INV(RAND(),Reference!$C$8,0.1*Reference!$C$8)*(1+Reference!$C$11*(IF(MONTH($A185)=Reference!$C$4,1,0)+IF(MONTH($A185)=Reference!$C$5,1,0))+(IF(MONTH($A185)=Reference!$C$6,Reference!$C$13,0))),0)</f>
        <v>376</v>
      </c>
      <c r="C185" s="11">
        <f ca="1">B185*Reference!$C$7*(1-IF(MONTH($A185)=Reference!$C$6,1,0)*Reference!$C$12)</f>
        <v>139872</v>
      </c>
      <c r="D185" s="10">
        <f ca="1">ROUND(_xlfn.NORM.INV(RAND(),Reference!$D$8,0.1*Reference!$D$8)*(1+Reference!$D$11*(IF(MONTH($A185)=Reference!$D$4,1,0)+IF(MONTH($A185)=Reference!$D$5,1,0))+(IF(MONTH($A185)=Reference!$D$6,Reference!$D$13,0))),0)</f>
        <v>411</v>
      </c>
      <c r="E185" s="11">
        <f ca="1">D185*Reference!$D$7*(1-IF(MONTH($A185)=Reference!$D$6,1,0)*Reference!$D$12)</f>
        <v>308250</v>
      </c>
      <c r="L185" s="16"/>
      <c r="M185" s="20"/>
      <c r="N185" s="20"/>
      <c r="O185" s="19"/>
      <c r="P185" s="10"/>
      <c r="Q185" s="10"/>
      <c r="R185" s="10"/>
      <c r="S185" s="10"/>
      <c r="T185" s="10"/>
      <c r="U185" s="10"/>
      <c r="V185" s="10"/>
      <c r="W185" s="10"/>
      <c r="X185" s="10"/>
      <c r="Y185" s="10"/>
    </row>
    <row r="186" spans="1:25" x14ac:dyDescent="0.25">
      <c r="A186" s="9">
        <v>40724</v>
      </c>
      <c r="B186" s="10">
        <f ca="1">ROUND(_xlfn.NORM.INV(RAND(),Reference!$C$8,0.1*Reference!$C$8)*(1+Reference!$C$11*(IF(MONTH($A186)=Reference!$C$4,1,0)+IF(MONTH($A186)=Reference!$C$5,1,0))+(IF(MONTH($A186)=Reference!$C$6,Reference!$C$13,0))),0)</f>
        <v>416</v>
      </c>
      <c r="C186" s="11">
        <f ca="1">B186*Reference!$C$7*(1-IF(MONTH($A186)=Reference!$C$6,1,0)*Reference!$C$12)</f>
        <v>154752</v>
      </c>
      <c r="D186" s="10">
        <f ca="1">ROUND(_xlfn.NORM.INV(RAND(),Reference!$D$8,0.1*Reference!$D$8)*(1+Reference!$D$11*(IF(MONTH($A186)=Reference!$D$4,1,0)+IF(MONTH($A186)=Reference!$D$5,1,0))+(IF(MONTH($A186)=Reference!$D$6,Reference!$D$13,0))),0)</f>
        <v>474</v>
      </c>
      <c r="E186" s="11">
        <f ca="1">D186*Reference!$D$7*(1-IF(MONTH($A186)=Reference!$D$6,1,0)*Reference!$D$12)</f>
        <v>355500</v>
      </c>
      <c r="L186" s="16"/>
      <c r="M186" s="20"/>
      <c r="N186" s="20"/>
      <c r="O186" s="19"/>
      <c r="P186" s="10"/>
      <c r="Q186" s="10"/>
      <c r="R186" s="10"/>
      <c r="S186" s="10"/>
      <c r="T186" s="10"/>
      <c r="U186" s="10"/>
      <c r="V186" s="10"/>
      <c r="W186" s="10"/>
      <c r="X186" s="10"/>
      <c r="Y186" s="10"/>
    </row>
    <row r="187" spans="1:25" x14ac:dyDescent="0.25">
      <c r="A187" s="9">
        <v>40725</v>
      </c>
      <c r="B187" s="10">
        <f ca="1">ROUND(_xlfn.NORM.INV(RAND(),Reference!$C$8,0.1*Reference!$C$8)*(1+Reference!$C$11*(IF(MONTH($A187)=Reference!$C$4,1,0)+IF(MONTH($A187)=Reference!$C$5,1,0))+(IF(MONTH($A187)=Reference!$C$6,Reference!$C$13,0))),0)</f>
        <v>372</v>
      </c>
      <c r="C187" s="11">
        <f ca="1">B187*Reference!$C$7*(1-IF(MONTH($A187)=Reference!$C$6,1,0)*Reference!$C$12)</f>
        <v>345960</v>
      </c>
      <c r="D187" s="10">
        <f ca="1">ROUND(_xlfn.NORM.INV(RAND(),Reference!$D$8,0.1*Reference!$D$8)*(1+Reference!$D$11*(IF(MONTH($A187)=Reference!$D$4,1,0)+IF(MONTH($A187)=Reference!$D$5,1,0))+(IF(MONTH($A187)=Reference!$D$6,Reference!$D$13,0))),0)</f>
        <v>520</v>
      </c>
      <c r="E187" s="11">
        <f ca="1">D187*Reference!$D$7*(1-IF(MONTH($A187)=Reference!$D$6,1,0)*Reference!$D$12)</f>
        <v>390000</v>
      </c>
      <c r="L187" s="16"/>
      <c r="M187" s="20"/>
      <c r="N187" s="20"/>
      <c r="O187" s="19"/>
      <c r="P187" s="10"/>
      <c r="Q187" s="10"/>
      <c r="R187" s="10"/>
      <c r="S187" s="10"/>
      <c r="T187" s="10"/>
      <c r="U187" s="10"/>
      <c r="V187" s="10"/>
      <c r="W187" s="10"/>
      <c r="X187" s="10"/>
      <c r="Y187" s="10"/>
    </row>
    <row r="188" spans="1:25" x14ac:dyDescent="0.25">
      <c r="A188" s="9">
        <v>40726</v>
      </c>
      <c r="B188" s="10">
        <f ca="1">ROUND(_xlfn.NORM.INV(RAND(),Reference!$C$8,0.1*Reference!$C$8)*(1+Reference!$C$11*(IF(MONTH($A188)=Reference!$C$4,1,0)+IF(MONTH($A188)=Reference!$C$5,1,0))+(IF(MONTH($A188)=Reference!$C$6,Reference!$C$13,0))),0)</f>
        <v>383</v>
      </c>
      <c r="C188" s="11">
        <f ca="1">B188*Reference!$C$7*(1-IF(MONTH($A188)=Reference!$C$6,1,0)*Reference!$C$12)</f>
        <v>356190</v>
      </c>
      <c r="D188" s="10">
        <f ca="1">ROUND(_xlfn.NORM.INV(RAND(),Reference!$D$8,0.1*Reference!$D$8)*(1+Reference!$D$11*(IF(MONTH($A188)=Reference!$D$4,1,0)+IF(MONTH($A188)=Reference!$D$5,1,0))+(IF(MONTH($A188)=Reference!$D$6,Reference!$D$13,0))),0)</f>
        <v>462</v>
      </c>
      <c r="E188" s="11">
        <f ca="1">D188*Reference!$D$7*(1-IF(MONTH($A188)=Reference!$D$6,1,0)*Reference!$D$12)</f>
        <v>346500</v>
      </c>
      <c r="L188" s="16"/>
      <c r="M188" s="20"/>
      <c r="N188" s="20"/>
      <c r="O188" s="19"/>
      <c r="P188" s="10"/>
      <c r="Q188" s="10"/>
      <c r="R188" s="10"/>
      <c r="S188" s="10"/>
      <c r="T188" s="10"/>
      <c r="U188" s="10"/>
      <c r="V188" s="10"/>
      <c r="W188" s="10"/>
      <c r="X188" s="10"/>
      <c r="Y188" s="10"/>
    </row>
    <row r="189" spans="1:25" x14ac:dyDescent="0.25">
      <c r="A189" s="9">
        <v>40727</v>
      </c>
      <c r="B189" s="10">
        <f ca="1">ROUND(_xlfn.NORM.INV(RAND(),Reference!$C$8,0.1*Reference!$C$8)*(1+Reference!$C$11*(IF(MONTH($A189)=Reference!$C$4,1,0)+IF(MONTH($A189)=Reference!$C$5,1,0))+(IF(MONTH($A189)=Reference!$C$6,Reference!$C$13,0))),0)</f>
        <v>387</v>
      </c>
      <c r="C189" s="11">
        <f ca="1">B189*Reference!$C$7*(1-IF(MONTH($A189)=Reference!$C$6,1,0)*Reference!$C$12)</f>
        <v>359910</v>
      </c>
      <c r="D189" s="10">
        <f ca="1">ROUND(_xlfn.NORM.INV(RAND(),Reference!$D$8,0.1*Reference!$D$8)*(1+Reference!$D$11*(IF(MONTH($A189)=Reference!$D$4,1,0)+IF(MONTH($A189)=Reference!$D$5,1,0))+(IF(MONTH($A189)=Reference!$D$6,Reference!$D$13,0))),0)</f>
        <v>404</v>
      </c>
      <c r="E189" s="11">
        <f ca="1">D189*Reference!$D$7*(1-IF(MONTH($A189)=Reference!$D$6,1,0)*Reference!$D$12)</f>
        <v>303000</v>
      </c>
      <c r="L189" s="16"/>
      <c r="M189" s="20"/>
      <c r="N189" s="20"/>
      <c r="O189" s="19"/>
      <c r="P189" s="10"/>
      <c r="Q189" s="10"/>
      <c r="R189" s="10"/>
      <c r="S189" s="10"/>
      <c r="T189" s="10"/>
      <c r="U189" s="10"/>
      <c r="V189" s="10"/>
      <c r="W189" s="10"/>
      <c r="X189" s="10"/>
      <c r="Y189" s="10"/>
    </row>
    <row r="190" spans="1:25" x14ac:dyDescent="0.25">
      <c r="A190" s="9">
        <v>40728</v>
      </c>
      <c r="B190" s="10">
        <f ca="1">ROUND(_xlfn.NORM.INV(RAND(),Reference!$C$8,0.1*Reference!$C$8)*(1+Reference!$C$11*(IF(MONTH($A190)=Reference!$C$4,1,0)+IF(MONTH($A190)=Reference!$C$5,1,0))+(IF(MONTH($A190)=Reference!$C$6,Reference!$C$13,0))),0)</f>
        <v>244</v>
      </c>
      <c r="C190" s="11">
        <f ca="1">B190*Reference!$C$7*(1-IF(MONTH($A190)=Reference!$C$6,1,0)*Reference!$C$12)</f>
        <v>226920</v>
      </c>
      <c r="D190" s="10">
        <f ca="1">ROUND(_xlfn.NORM.INV(RAND(),Reference!$D$8,0.1*Reference!$D$8)*(1+Reference!$D$11*(IF(MONTH($A190)=Reference!$D$4,1,0)+IF(MONTH($A190)=Reference!$D$5,1,0))+(IF(MONTH($A190)=Reference!$D$6,Reference!$D$13,0))),0)</f>
        <v>510</v>
      </c>
      <c r="E190" s="11">
        <f ca="1">D190*Reference!$D$7*(1-IF(MONTH($A190)=Reference!$D$6,1,0)*Reference!$D$12)</f>
        <v>382500</v>
      </c>
      <c r="L190" s="16"/>
      <c r="M190" s="20"/>
      <c r="N190" s="20"/>
      <c r="O190" s="19"/>
      <c r="P190" s="10"/>
      <c r="Q190" s="10"/>
      <c r="R190" s="10"/>
      <c r="S190" s="10"/>
      <c r="T190" s="10"/>
      <c r="U190" s="10"/>
      <c r="V190" s="10"/>
      <c r="W190" s="10"/>
      <c r="X190" s="10"/>
      <c r="Y190" s="10"/>
    </row>
    <row r="191" spans="1:25" x14ac:dyDescent="0.25">
      <c r="A191" s="9">
        <v>40729</v>
      </c>
      <c r="B191" s="10">
        <f ca="1">ROUND(_xlfn.NORM.INV(RAND(),Reference!$C$8,0.1*Reference!$C$8)*(1+Reference!$C$11*(IF(MONTH($A191)=Reference!$C$4,1,0)+IF(MONTH($A191)=Reference!$C$5,1,0))+(IF(MONTH($A191)=Reference!$C$6,Reference!$C$13,0))),0)</f>
        <v>331</v>
      </c>
      <c r="C191" s="11">
        <f ca="1">B191*Reference!$C$7*(1-IF(MONTH($A191)=Reference!$C$6,1,0)*Reference!$C$12)</f>
        <v>307830</v>
      </c>
      <c r="D191" s="10">
        <f ca="1">ROUND(_xlfn.NORM.INV(RAND(),Reference!$D$8,0.1*Reference!$D$8)*(1+Reference!$D$11*(IF(MONTH($A191)=Reference!$D$4,1,0)+IF(MONTH($A191)=Reference!$D$5,1,0))+(IF(MONTH($A191)=Reference!$D$6,Reference!$D$13,0))),0)</f>
        <v>457</v>
      </c>
      <c r="E191" s="11">
        <f ca="1">D191*Reference!$D$7*(1-IF(MONTH($A191)=Reference!$D$6,1,0)*Reference!$D$12)</f>
        <v>342750</v>
      </c>
      <c r="L191" s="16"/>
      <c r="M191" s="20"/>
      <c r="N191" s="20"/>
      <c r="O191" s="19"/>
      <c r="P191" s="10"/>
      <c r="Q191" s="10"/>
      <c r="R191" s="10"/>
      <c r="S191" s="10"/>
      <c r="T191" s="10"/>
      <c r="U191" s="10"/>
      <c r="V191" s="10"/>
      <c r="W191" s="10"/>
      <c r="X191" s="10"/>
      <c r="Y191" s="10"/>
    </row>
    <row r="192" spans="1:25" x14ac:dyDescent="0.25">
      <c r="A192" s="9">
        <v>40730</v>
      </c>
      <c r="B192" s="10">
        <f ca="1">ROUND(_xlfn.NORM.INV(RAND(),Reference!$C$8,0.1*Reference!$C$8)*(1+Reference!$C$11*(IF(MONTH($A192)=Reference!$C$4,1,0)+IF(MONTH($A192)=Reference!$C$5,1,0))+(IF(MONTH($A192)=Reference!$C$6,Reference!$C$13,0))),0)</f>
        <v>338</v>
      </c>
      <c r="C192" s="11">
        <f ca="1">B192*Reference!$C$7*(1-IF(MONTH($A192)=Reference!$C$6,1,0)*Reference!$C$12)</f>
        <v>314340</v>
      </c>
      <c r="D192" s="10">
        <f ca="1">ROUND(_xlfn.NORM.INV(RAND(),Reference!$D$8,0.1*Reference!$D$8)*(1+Reference!$D$11*(IF(MONTH($A192)=Reference!$D$4,1,0)+IF(MONTH($A192)=Reference!$D$5,1,0))+(IF(MONTH($A192)=Reference!$D$6,Reference!$D$13,0))),0)</f>
        <v>474</v>
      </c>
      <c r="E192" s="11">
        <f ca="1">D192*Reference!$D$7*(1-IF(MONTH($A192)=Reference!$D$6,1,0)*Reference!$D$12)</f>
        <v>355500</v>
      </c>
      <c r="L192" s="16"/>
      <c r="M192" s="20"/>
      <c r="N192" s="20"/>
      <c r="O192" s="19"/>
      <c r="P192" s="10"/>
      <c r="Q192" s="10"/>
      <c r="R192" s="10"/>
      <c r="S192" s="10"/>
      <c r="T192" s="10"/>
      <c r="U192" s="10"/>
      <c r="V192" s="10"/>
      <c r="W192" s="10"/>
      <c r="X192" s="10"/>
      <c r="Y192" s="10"/>
    </row>
    <row r="193" spans="1:25" x14ac:dyDescent="0.25">
      <c r="A193" s="9">
        <v>40731</v>
      </c>
      <c r="B193" s="10">
        <f ca="1">ROUND(_xlfn.NORM.INV(RAND(),Reference!$C$8,0.1*Reference!$C$8)*(1+Reference!$C$11*(IF(MONTH($A193)=Reference!$C$4,1,0)+IF(MONTH($A193)=Reference!$C$5,1,0))+(IF(MONTH($A193)=Reference!$C$6,Reference!$C$13,0))),0)</f>
        <v>332</v>
      </c>
      <c r="C193" s="11">
        <f ca="1">B193*Reference!$C$7*(1-IF(MONTH($A193)=Reference!$C$6,1,0)*Reference!$C$12)</f>
        <v>308760</v>
      </c>
      <c r="D193" s="10">
        <f ca="1">ROUND(_xlfn.NORM.INV(RAND(),Reference!$D$8,0.1*Reference!$D$8)*(1+Reference!$D$11*(IF(MONTH($A193)=Reference!$D$4,1,0)+IF(MONTH($A193)=Reference!$D$5,1,0))+(IF(MONTH($A193)=Reference!$D$6,Reference!$D$13,0))),0)</f>
        <v>587</v>
      </c>
      <c r="E193" s="11">
        <f ca="1">D193*Reference!$D$7*(1-IF(MONTH($A193)=Reference!$D$6,1,0)*Reference!$D$12)</f>
        <v>440250</v>
      </c>
      <c r="L193" s="16"/>
      <c r="M193" s="20"/>
      <c r="N193" s="20"/>
      <c r="O193" s="19"/>
      <c r="P193" s="10"/>
      <c r="Q193" s="10"/>
      <c r="R193" s="10"/>
      <c r="S193" s="10"/>
      <c r="T193" s="10"/>
      <c r="U193" s="10"/>
      <c r="V193" s="10"/>
      <c r="W193" s="10"/>
      <c r="X193" s="10"/>
      <c r="Y193" s="10"/>
    </row>
    <row r="194" spans="1:25" x14ac:dyDescent="0.25">
      <c r="A194" s="9">
        <v>40732</v>
      </c>
      <c r="B194" s="10">
        <f ca="1">ROUND(_xlfn.NORM.INV(RAND(),Reference!$C$8,0.1*Reference!$C$8)*(1+Reference!$C$11*(IF(MONTH($A194)=Reference!$C$4,1,0)+IF(MONTH($A194)=Reference!$C$5,1,0))+(IF(MONTH($A194)=Reference!$C$6,Reference!$C$13,0))),0)</f>
        <v>359</v>
      </c>
      <c r="C194" s="11">
        <f ca="1">B194*Reference!$C$7*(1-IF(MONTH($A194)=Reference!$C$6,1,0)*Reference!$C$12)</f>
        <v>333870</v>
      </c>
      <c r="D194" s="10">
        <f ca="1">ROUND(_xlfn.NORM.INV(RAND(),Reference!$D$8,0.1*Reference!$D$8)*(1+Reference!$D$11*(IF(MONTH($A194)=Reference!$D$4,1,0)+IF(MONTH($A194)=Reference!$D$5,1,0))+(IF(MONTH($A194)=Reference!$D$6,Reference!$D$13,0))),0)</f>
        <v>460</v>
      </c>
      <c r="E194" s="11">
        <f ca="1">D194*Reference!$D$7*(1-IF(MONTH($A194)=Reference!$D$6,1,0)*Reference!$D$12)</f>
        <v>345000</v>
      </c>
      <c r="L194" s="16"/>
      <c r="M194" s="20"/>
      <c r="N194" s="20"/>
      <c r="O194" s="19"/>
      <c r="P194" s="10"/>
      <c r="Q194" s="10"/>
      <c r="R194" s="10"/>
      <c r="S194" s="10"/>
      <c r="T194" s="10"/>
      <c r="U194" s="10"/>
      <c r="V194" s="10"/>
      <c r="W194" s="10"/>
      <c r="X194" s="10"/>
      <c r="Y194" s="10"/>
    </row>
    <row r="195" spans="1:25" x14ac:dyDescent="0.25">
      <c r="A195" s="9">
        <v>40733</v>
      </c>
      <c r="B195" s="10">
        <f ca="1">ROUND(_xlfn.NORM.INV(RAND(),Reference!$C$8,0.1*Reference!$C$8)*(1+Reference!$C$11*(IF(MONTH($A195)=Reference!$C$4,1,0)+IF(MONTH($A195)=Reference!$C$5,1,0))+(IF(MONTH($A195)=Reference!$C$6,Reference!$C$13,0))),0)</f>
        <v>381</v>
      </c>
      <c r="C195" s="11">
        <f ca="1">B195*Reference!$C$7*(1-IF(MONTH($A195)=Reference!$C$6,1,0)*Reference!$C$12)</f>
        <v>354330</v>
      </c>
      <c r="D195" s="10">
        <f ca="1">ROUND(_xlfn.NORM.INV(RAND(),Reference!$D$8,0.1*Reference!$D$8)*(1+Reference!$D$11*(IF(MONTH($A195)=Reference!$D$4,1,0)+IF(MONTH($A195)=Reference!$D$5,1,0))+(IF(MONTH($A195)=Reference!$D$6,Reference!$D$13,0))),0)</f>
        <v>509</v>
      </c>
      <c r="E195" s="11">
        <f ca="1">D195*Reference!$D$7*(1-IF(MONTH($A195)=Reference!$D$6,1,0)*Reference!$D$12)</f>
        <v>381750</v>
      </c>
      <c r="L195" s="16"/>
      <c r="M195" s="20"/>
      <c r="N195" s="20"/>
      <c r="O195" s="19"/>
      <c r="P195" s="10"/>
      <c r="Q195" s="10"/>
      <c r="R195" s="10"/>
      <c r="S195" s="10"/>
      <c r="T195" s="10"/>
      <c r="U195" s="10"/>
      <c r="V195" s="10"/>
      <c r="W195" s="10"/>
      <c r="X195" s="10"/>
      <c r="Y195" s="10"/>
    </row>
    <row r="196" spans="1:25" x14ac:dyDescent="0.25">
      <c r="A196" s="9">
        <v>40734</v>
      </c>
      <c r="B196" s="10">
        <f ca="1">ROUND(_xlfn.NORM.INV(RAND(),Reference!$C$8,0.1*Reference!$C$8)*(1+Reference!$C$11*(IF(MONTH($A196)=Reference!$C$4,1,0)+IF(MONTH($A196)=Reference!$C$5,1,0))+(IF(MONTH($A196)=Reference!$C$6,Reference!$C$13,0))),0)</f>
        <v>341</v>
      </c>
      <c r="C196" s="11">
        <f ca="1">B196*Reference!$C$7*(1-IF(MONTH($A196)=Reference!$C$6,1,0)*Reference!$C$12)</f>
        <v>317130</v>
      </c>
      <c r="D196" s="10">
        <f ca="1">ROUND(_xlfn.NORM.INV(RAND(),Reference!$D$8,0.1*Reference!$D$8)*(1+Reference!$D$11*(IF(MONTH($A196)=Reference!$D$4,1,0)+IF(MONTH($A196)=Reference!$D$5,1,0))+(IF(MONTH($A196)=Reference!$D$6,Reference!$D$13,0))),0)</f>
        <v>550</v>
      </c>
      <c r="E196" s="11">
        <f ca="1">D196*Reference!$D$7*(1-IF(MONTH($A196)=Reference!$D$6,1,0)*Reference!$D$12)</f>
        <v>412500</v>
      </c>
      <c r="L196" s="16"/>
      <c r="M196" s="20"/>
      <c r="N196" s="20"/>
      <c r="O196" s="19"/>
      <c r="P196" s="10"/>
      <c r="Q196" s="10"/>
      <c r="R196" s="10"/>
      <c r="S196" s="10"/>
      <c r="T196" s="10"/>
      <c r="U196" s="10"/>
      <c r="V196" s="10"/>
      <c r="W196" s="10"/>
      <c r="X196" s="10"/>
      <c r="Y196" s="10"/>
    </row>
    <row r="197" spans="1:25" x14ac:dyDescent="0.25">
      <c r="A197" s="9">
        <v>40735</v>
      </c>
      <c r="B197" s="10">
        <f ca="1">ROUND(_xlfn.NORM.INV(RAND(),Reference!$C$8,0.1*Reference!$C$8)*(1+Reference!$C$11*(IF(MONTH($A197)=Reference!$C$4,1,0)+IF(MONTH($A197)=Reference!$C$5,1,0))+(IF(MONTH($A197)=Reference!$C$6,Reference!$C$13,0))),0)</f>
        <v>393</v>
      </c>
      <c r="C197" s="11">
        <f ca="1">B197*Reference!$C$7*(1-IF(MONTH($A197)=Reference!$C$6,1,0)*Reference!$C$12)</f>
        <v>365490</v>
      </c>
      <c r="D197" s="10">
        <f ca="1">ROUND(_xlfn.NORM.INV(RAND(),Reference!$D$8,0.1*Reference!$D$8)*(1+Reference!$D$11*(IF(MONTH($A197)=Reference!$D$4,1,0)+IF(MONTH($A197)=Reference!$D$5,1,0))+(IF(MONTH($A197)=Reference!$D$6,Reference!$D$13,0))),0)</f>
        <v>412</v>
      </c>
      <c r="E197" s="11">
        <f ca="1">D197*Reference!$D$7*(1-IF(MONTH($A197)=Reference!$D$6,1,0)*Reference!$D$12)</f>
        <v>309000</v>
      </c>
      <c r="L197" s="16"/>
      <c r="M197" s="20"/>
      <c r="N197" s="20"/>
      <c r="O197" s="19"/>
      <c r="P197" s="10"/>
      <c r="Q197" s="10"/>
      <c r="R197" s="10"/>
      <c r="S197" s="10"/>
      <c r="T197" s="10"/>
      <c r="U197" s="10"/>
      <c r="V197" s="10"/>
      <c r="W197" s="10"/>
      <c r="X197" s="10"/>
      <c r="Y197" s="10"/>
    </row>
    <row r="198" spans="1:25" x14ac:dyDescent="0.25">
      <c r="A198" s="9">
        <v>40736</v>
      </c>
      <c r="B198" s="10">
        <f ca="1">ROUND(_xlfn.NORM.INV(RAND(),Reference!$C$8,0.1*Reference!$C$8)*(1+Reference!$C$11*(IF(MONTH($A198)=Reference!$C$4,1,0)+IF(MONTH($A198)=Reference!$C$5,1,0))+(IF(MONTH($A198)=Reference!$C$6,Reference!$C$13,0))),0)</f>
        <v>323</v>
      </c>
      <c r="C198" s="11">
        <f ca="1">B198*Reference!$C$7*(1-IF(MONTH($A198)=Reference!$C$6,1,0)*Reference!$C$12)</f>
        <v>300390</v>
      </c>
      <c r="D198" s="10">
        <f ca="1">ROUND(_xlfn.NORM.INV(RAND(),Reference!$D$8,0.1*Reference!$D$8)*(1+Reference!$D$11*(IF(MONTH($A198)=Reference!$D$4,1,0)+IF(MONTH($A198)=Reference!$D$5,1,0))+(IF(MONTH($A198)=Reference!$D$6,Reference!$D$13,0))),0)</f>
        <v>547</v>
      </c>
      <c r="E198" s="11">
        <f ca="1">D198*Reference!$D$7*(1-IF(MONTH($A198)=Reference!$D$6,1,0)*Reference!$D$12)</f>
        <v>410250</v>
      </c>
      <c r="L198" s="16"/>
      <c r="M198" s="20"/>
      <c r="N198" s="20"/>
      <c r="O198" s="19"/>
      <c r="P198" s="10"/>
      <c r="Q198" s="10"/>
      <c r="R198" s="10"/>
      <c r="S198" s="10"/>
      <c r="T198" s="10"/>
      <c r="U198" s="10"/>
      <c r="V198" s="10"/>
      <c r="W198" s="10"/>
      <c r="X198" s="10"/>
      <c r="Y198" s="10"/>
    </row>
    <row r="199" spans="1:25" x14ac:dyDescent="0.25">
      <c r="A199" s="9">
        <v>40737</v>
      </c>
      <c r="B199" s="10">
        <f ca="1">ROUND(_xlfn.NORM.INV(RAND(),Reference!$C$8,0.1*Reference!$C$8)*(1+Reference!$C$11*(IF(MONTH($A199)=Reference!$C$4,1,0)+IF(MONTH($A199)=Reference!$C$5,1,0))+(IF(MONTH($A199)=Reference!$C$6,Reference!$C$13,0))),0)</f>
        <v>332</v>
      </c>
      <c r="C199" s="11">
        <f ca="1">B199*Reference!$C$7*(1-IF(MONTH($A199)=Reference!$C$6,1,0)*Reference!$C$12)</f>
        <v>308760</v>
      </c>
      <c r="D199" s="10">
        <f ca="1">ROUND(_xlfn.NORM.INV(RAND(),Reference!$D$8,0.1*Reference!$D$8)*(1+Reference!$D$11*(IF(MONTH($A199)=Reference!$D$4,1,0)+IF(MONTH($A199)=Reference!$D$5,1,0))+(IF(MONTH($A199)=Reference!$D$6,Reference!$D$13,0))),0)</f>
        <v>473</v>
      </c>
      <c r="E199" s="11">
        <f ca="1">D199*Reference!$D$7*(1-IF(MONTH($A199)=Reference!$D$6,1,0)*Reference!$D$12)</f>
        <v>354750</v>
      </c>
      <c r="L199" s="16"/>
      <c r="M199" s="20"/>
      <c r="N199" s="20"/>
      <c r="O199" s="19"/>
      <c r="P199" s="10"/>
      <c r="Q199" s="10"/>
      <c r="R199" s="10"/>
      <c r="S199" s="10"/>
      <c r="T199" s="10"/>
      <c r="U199" s="10"/>
      <c r="V199" s="10"/>
      <c r="W199" s="10"/>
      <c r="X199" s="10"/>
      <c r="Y199" s="10"/>
    </row>
    <row r="200" spans="1:25" x14ac:dyDescent="0.25">
      <c r="A200" s="9">
        <v>40738</v>
      </c>
      <c r="B200" s="10">
        <f ca="1">ROUND(_xlfn.NORM.INV(RAND(),Reference!$C$8,0.1*Reference!$C$8)*(1+Reference!$C$11*(IF(MONTH($A200)=Reference!$C$4,1,0)+IF(MONTH($A200)=Reference!$C$5,1,0))+(IF(MONTH($A200)=Reference!$C$6,Reference!$C$13,0))),0)</f>
        <v>365</v>
      </c>
      <c r="C200" s="11">
        <f ca="1">B200*Reference!$C$7*(1-IF(MONTH($A200)=Reference!$C$6,1,0)*Reference!$C$12)</f>
        <v>339450</v>
      </c>
      <c r="D200" s="10">
        <f ca="1">ROUND(_xlfn.NORM.INV(RAND(),Reference!$D$8,0.1*Reference!$D$8)*(1+Reference!$D$11*(IF(MONTH($A200)=Reference!$D$4,1,0)+IF(MONTH($A200)=Reference!$D$5,1,0))+(IF(MONTH($A200)=Reference!$D$6,Reference!$D$13,0))),0)</f>
        <v>524</v>
      </c>
      <c r="E200" s="11">
        <f ca="1">D200*Reference!$D$7*(1-IF(MONTH($A200)=Reference!$D$6,1,0)*Reference!$D$12)</f>
        <v>393000</v>
      </c>
      <c r="L200" s="16"/>
      <c r="M200" s="20"/>
      <c r="N200" s="20"/>
      <c r="O200" s="19"/>
      <c r="P200" s="10"/>
      <c r="Q200" s="10"/>
      <c r="R200" s="10"/>
      <c r="S200" s="10"/>
      <c r="T200" s="10"/>
      <c r="U200" s="10"/>
      <c r="V200" s="10"/>
      <c r="W200" s="10"/>
      <c r="X200" s="10"/>
      <c r="Y200" s="10"/>
    </row>
    <row r="201" spans="1:25" x14ac:dyDescent="0.25">
      <c r="A201" s="9">
        <v>40739</v>
      </c>
      <c r="B201" s="10">
        <f ca="1">ROUND(_xlfn.NORM.INV(RAND(),Reference!$C$8,0.1*Reference!$C$8)*(1+Reference!$C$11*(IF(MONTH($A201)=Reference!$C$4,1,0)+IF(MONTH($A201)=Reference!$C$5,1,0))+(IF(MONTH($A201)=Reference!$C$6,Reference!$C$13,0))),0)</f>
        <v>373</v>
      </c>
      <c r="C201" s="11">
        <f ca="1">B201*Reference!$C$7*(1-IF(MONTH($A201)=Reference!$C$6,1,0)*Reference!$C$12)</f>
        <v>346890</v>
      </c>
      <c r="D201" s="10">
        <f ca="1">ROUND(_xlfn.NORM.INV(RAND(),Reference!$D$8,0.1*Reference!$D$8)*(1+Reference!$D$11*(IF(MONTH($A201)=Reference!$D$4,1,0)+IF(MONTH($A201)=Reference!$D$5,1,0))+(IF(MONTH($A201)=Reference!$D$6,Reference!$D$13,0))),0)</f>
        <v>456</v>
      </c>
      <c r="E201" s="11">
        <f ca="1">D201*Reference!$D$7*(1-IF(MONTH($A201)=Reference!$D$6,1,0)*Reference!$D$12)</f>
        <v>342000</v>
      </c>
      <c r="L201" s="16"/>
      <c r="M201" s="20"/>
      <c r="N201" s="20"/>
      <c r="O201" s="19"/>
      <c r="P201" s="10"/>
      <c r="Q201" s="10"/>
      <c r="R201" s="10"/>
      <c r="S201" s="10"/>
      <c r="T201" s="10"/>
      <c r="U201" s="10"/>
      <c r="V201" s="10"/>
      <c r="W201" s="10"/>
      <c r="X201" s="10"/>
      <c r="Y201" s="10"/>
    </row>
    <row r="202" spans="1:25" x14ac:dyDescent="0.25">
      <c r="A202" s="9">
        <v>40740</v>
      </c>
      <c r="B202" s="10">
        <f ca="1">ROUND(_xlfn.NORM.INV(RAND(),Reference!$C$8,0.1*Reference!$C$8)*(1+Reference!$C$11*(IF(MONTH($A202)=Reference!$C$4,1,0)+IF(MONTH($A202)=Reference!$C$5,1,0))+(IF(MONTH($A202)=Reference!$C$6,Reference!$C$13,0))),0)</f>
        <v>360</v>
      </c>
      <c r="C202" s="11">
        <f ca="1">B202*Reference!$C$7*(1-IF(MONTH($A202)=Reference!$C$6,1,0)*Reference!$C$12)</f>
        <v>334800</v>
      </c>
      <c r="D202" s="10">
        <f ca="1">ROUND(_xlfn.NORM.INV(RAND(),Reference!$D$8,0.1*Reference!$D$8)*(1+Reference!$D$11*(IF(MONTH($A202)=Reference!$D$4,1,0)+IF(MONTH($A202)=Reference!$D$5,1,0))+(IF(MONTH($A202)=Reference!$D$6,Reference!$D$13,0))),0)</f>
        <v>496</v>
      </c>
      <c r="E202" s="11">
        <f ca="1">D202*Reference!$D$7*(1-IF(MONTH($A202)=Reference!$D$6,1,0)*Reference!$D$12)</f>
        <v>372000</v>
      </c>
      <c r="L202" s="16"/>
      <c r="M202" s="20"/>
      <c r="N202" s="20"/>
      <c r="O202" s="19"/>
      <c r="P202" s="10"/>
      <c r="Q202" s="10"/>
      <c r="R202" s="10"/>
      <c r="S202" s="10"/>
      <c r="T202" s="10"/>
      <c r="U202" s="10"/>
      <c r="V202" s="10"/>
      <c r="W202" s="10"/>
      <c r="X202" s="10"/>
      <c r="Y202" s="10"/>
    </row>
    <row r="203" spans="1:25" x14ac:dyDescent="0.25">
      <c r="A203" s="9">
        <v>40741</v>
      </c>
      <c r="B203" s="10">
        <f ca="1">ROUND(_xlfn.NORM.INV(RAND(),Reference!$C$8,0.1*Reference!$C$8)*(1+Reference!$C$11*(IF(MONTH($A203)=Reference!$C$4,1,0)+IF(MONTH($A203)=Reference!$C$5,1,0))+(IF(MONTH($A203)=Reference!$C$6,Reference!$C$13,0))),0)</f>
        <v>340</v>
      </c>
      <c r="C203" s="11">
        <f ca="1">B203*Reference!$C$7*(1-IF(MONTH($A203)=Reference!$C$6,1,0)*Reference!$C$12)</f>
        <v>316200</v>
      </c>
      <c r="D203" s="10">
        <f ca="1">ROUND(_xlfn.NORM.INV(RAND(),Reference!$D$8,0.1*Reference!$D$8)*(1+Reference!$D$11*(IF(MONTH($A203)=Reference!$D$4,1,0)+IF(MONTH($A203)=Reference!$D$5,1,0))+(IF(MONTH($A203)=Reference!$D$6,Reference!$D$13,0))),0)</f>
        <v>508</v>
      </c>
      <c r="E203" s="11">
        <f ca="1">D203*Reference!$D$7*(1-IF(MONTH($A203)=Reference!$D$6,1,0)*Reference!$D$12)</f>
        <v>381000</v>
      </c>
      <c r="L203" s="16"/>
      <c r="M203" s="20"/>
      <c r="N203" s="20"/>
      <c r="O203" s="19"/>
      <c r="P203" s="10"/>
      <c r="Q203" s="10"/>
      <c r="R203" s="10"/>
      <c r="S203" s="10"/>
      <c r="T203" s="10"/>
      <c r="U203" s="10"/>
      <c r="V203" s="10"/>
      <c r="W203" s="10"/>
      <c r="X203" s="10"/>
      <c r="Y203" s="10"/>
    </row>
    <row r="204" spans="1:25" x14ac:dyDescent="0.25">
      <c r="A204" s="9">
        <v>40742</v>
      </c>
      <c r="B204" s="10">
        <f ca="1">ROUND(_xlfn.NORM.INV(RAND(),Reference!$C$8,0.1*Reference!$C$8)*(1+Reference!$C$11*(IF(MONTH($A204)=Reference!$C$4,1,0)+IF(MONTH($A204)=Reference!$C$5,1,0))+(IF(MONTH($A204)=Reference!$C$6,Reference!$C$13,0))),0)</f>
        <v>376</v>
      </c>
      <c r="C204" s="11">
        <f ca="1">B204*Reference!$C$7*(1-IF(MONTH($A204)=Reference!$C$6,1,0)*Reference!$C$12)</f>
        <v>349680</v>
      </c>
      <c r="D204" s="10">
        <f ca="1">ROUND(_xlfn.NORM.INV(RAND(),Reference!$D$8,0.1*Reference!$D$8)*(1+Reference!$D$11*(IF(MONTH($A204)=Reference!$D$4,1,0)+IF(MONTH($A204)=Reference!$D$5,1,0))+(IF(MONTH($A204)=Reference!$D$6,Reference!$D$13,0))),0)</f>
        <v>499</v>
      </c>
      <c r="E204" s="11">
        <f ca="1">D204*Reference!$D$7*(1-IF(MONTH($A204)=Reference!$D$6,1,0)*Reference!$D$12)</f>
        <v>374250</v>
      </c>
      <c r="L204" s="16"/>
      <c r="M204" s="20"/>
      <c r="N204" s="20"/>
      <c r="O204" s="19"/>
      <c r="P204" s="10"/>
      <c r="Q204" s="10"/>
      <c r="R204" s="10"/>
      <c r="S204" s="10"/>
      <c r="T204" s="10"/>
      <c r="U204" s="10"/>
      <c r="V204" s="10"/>
      <c r="W204" s="10"/>
      <c r="X204" s="10"/>
      <c r="Y204" s="10"/>
    </row>
    <row r="205" spans="1:25" x14ac:dyDescent="0.25">
      <c r="A205" s="9">
        <v>40743</v>
      </c>
      <c r="B205" s="10">
        <f ca="1">ROUND(_xlfn.NORM.INV(RAND(),Reference!$C$8,0.1*Reference!$C$8)*(1+Reference!$C$11*(IF(MONTH($A205)=Reference!$C$4,1,0)+IF(MONTH($A205)=Reference!$C$5,1,0))+(IF(MONTH($A205)=Reference!$C$6,Reference!$C$13,0))),0)</f>
        <v>349</v>
      </c>
      <c r="C205" s="11">
        <f ca="1">B205*Reference!$C$7*(1-IF(MONTH($A205)=Reference!$C$6,1,0)*Reference!$C$12)</f>
        <v>324570</v>
      </c>
      <c r="D205" s="10">
        <f ca="1">ROUND(_xlfn.NORM.INV(RAND(),Reference!$D$8,0.1*Reference!$D$8)*(1+Reference!$D$11*(IF(MONTH($A205)=Reference!$D$4,1,0)+IF(MONTH($A205)=Reference!$D$5,1,0))+(IF(MONTH($A205)=Reference!$D$6,Reference!$D$13,0))),0)</f>
        <v>502</v>
      </c>
      <c r="E205" s="11">
        <f ca="1">D205*Reference!$D$7*(1-IF(MONTH($A205)=Reference!$D$6,1,0)*Reference!$D$12)</f>
        <v>376500</v>
      </c>
      <c r="L205" s="16"/>
      <c r="M205" s="20"/>
      <c r="N205" s="20"/>
      <c r="O205" s="19"/>
      <c r="P205" s="10"/>
      <c r="Q205" s="10"/>
      <c r="R205" s="10"/>
      <c r="S205" s="10"/>
      <c r="T205" s="10"/>
      <c r="U205" s="10"/>
      <c r="V205" s="10"/>
      <c r="W205" s="10"/>
      <c r="X205" s="10"/>
      <c r="Y205" s="10"/>
    </row>
    <row r="206" spans="1:25" x14ac:dyDescent="0.25">
      <c r="A206" s="9">
        <v>40744</v>
      </c>
      <c r="B206" s="10">
        <f ca="1">ROUND(_xlfn.NORM.INV(RAND(),Reference!$C$8,0.1*Reference!$C$8)*(1+Reference!$C$11*(IF(MONTH($A206)=Reference!$C$4,1,0)+IF(MONTH($A206)=Reference!$C$5,1,0))+(IF(MONTH($A206)=Reference!$C$6,Reference!$C$13,0))),0)</f>
        <v>380</v>
      </c>
      <c r="C206" s="11">
        <f ca="1">B206*Reference!$C$7*(1-IF(MONTH($A206)=Reference!$C$6,1,0)*Reference!$C$12)</f>
        <v>353400</v>
      </c>
      <c r="D206" s="10">
        <f ca="1">ROUND(_xlfn.NORM.INV(RAND(),Reference!$D$8,0.1*Reference!$D$8)*(1+Reference!$D$11*(IF(MONTH($A206)=Reference!$D$4,1,0)+IF(MONTH($A206)=Reference!$D$5,1,0))+(IF(MONTH($A206)=Reference!$D$6,Reference!$D$13,0))),0)</f>
        <v>476</v>
      </c>
      <c r="E206" s="11">
        <f ca="1">D206*Reference!$D$7*(1-IF(MONTH($A206)=Reference!$D$6,1,0)*Reference!$D$12)</f>
        <v>357000</v>
      </c>
      <c r="L206" s="16"/>
      <c r="M206" s="20"/>
      <c r="N206" s="20"/>
      <c r="O206" s="19"/>
      <c r="P206" s="10"/>
      <c r="Q206" s="10"/>
      <c r="R206" s="10"/>
      <c r="S206" s="10"/>
      <c r="T206" s="10"/>
      <c r="U206" s="10"/>
      <c r="V206" s="10"/>
      <c r="W206" s="10"/>
      <c r="X206" s="10"/>
      <c r="Y206" s="10"/>
    </row>
    <row r="207" spans="1:25" x14ac:dyDescent="0.25">
      <c r="A207" s="9">
        <v>40745</v>
      </c>
      <c r="B207" s="10">
        <f ca="1">ROUND(_xlfn.NORM.INV(RAND(),Reference!$C$8,0.1*Reference!$C$8)*(1+Reference!$C$11*(IF(MONTH($A207)=Reference!$C$4,1,0)+IF(MONTH($A207)=Reference!$C$5,1,0))+(IF(MONTH($A207)=Reference!$C$6,Reference!$C$13,0))),0)</f>
        <v>384</v>
      </c>
      <c r="C207" s="11">
        <f ca="1">B207*Reference!$C$7*(1-IF(MONTH($A207)=Reference!$C$6,1,0)*Reference!$C$12)</f>
        <v>357120</v>
      </c>
      <c r="D207" s="10">
        <f ca="1">ROUND(_xlfn.NORM.INV(RAND(),Reference!$D$8,0.1*Reference!$D$8)*(1+Reference!$D$11*(IF(MONTH($A207)=Reference!$D$4,1,0)+IF(MONTH($A207)=Reference!$D$5,1,0))+(IF(MONTH($A207)=Reference!$D$6,Reference!$D$13,0))),0)</f>
        <v>473</v>
      </c>
      <c r="E207" s="11">
        <f ca="1">D207*Reference!$D$7*(1-IF(MONTH($A207)=Reference!$D$6,1,0)*Reference!$D$12)</f>
        <v>354750</v>
      </c>
      <c r="L207" s="16"/>
      <c r="M207" s="20"/>
      <c r="N207" s="20"/>
      <c r="O207" s="19"/>
      <c r="P207" s="10"/>
      <c r="Q207" s="10"/>
      <c r="R207" s="10"/>
      <c r="S207" s="10"/>
      <c r="T207" s="10"/>
      <c r="U207" s="10"/>
      <c r="V207" s="10"/>
      <c r="W207" s="10"/>
      <c r="X207" s="10"/>
      <c r="Y207" s="10"/>
    </row>
    <row r="208" spans="1:25" x14ac:dyDescent="0.25">
      <c r="A208" s="9">
        <v>40746</v>
      </c>
      <c r="B208" s="10">
        <f ca="1">ROUND(_xlfn.NORM.INV(RAND(),Reference!$C$8,0.1*Reference!$C$8)*(1+Reference!$C$11*(IF(MONTH($A208)=Reference!$C$4,1,0)+IF(MONTH($A208)=Reference!$C$5,1,0))+(IF(MONTH($A208)=Reference!$C$6,Reference!$C$13,0))),0)</f>
        <v>342</v>
      </c>
      <c r="C208" s="11">
        <f ca="1">B208*Reference!$C$7*(1-IF(MONTH($A208)=Reference!$C$6,1,0)*Reference!$C$12)</f>
        <v>318060</v>
      </c>
      <c r="D208" s="10">
        <f ca="1">ROUND(_xlfn.NORM.INV(RAND(),Reference!$D$8,0.1*Reference!$D$8)*(1+Reference!$D$11*(IF(MONTH($A208)=Reference!$D$4,1,0)+IF(MONTH($A208)=Reference!$D$5,1,0))+(IF(MONTH($A208)=Reference!$D$6,Reference!$D$13,0))),0)</f>
        <v>509</v>
      </c>
      <c r="E208" s="11">
        <f ca="1">D208*Reference!$D$7*(1-IF(MONTH($A208)=Reference!$D$6,1,0)*Reference!$D$12)</f>
        <v>381750</v>
      </c>
      <c r="L208" s="16"/>
      <c r="M208" s="20"/>
      <c r="N208" s="20"/>
      <c r="O208" s="19"/>
      <c r="P208" s="10"/>
      <c r="Q208" s="10"/>
      <c r="R208" s="10"/>
      <c r="S208" s="10"/>
      <c r="T208" s="10"/>
      <c r="U208" s="10"/>
      <c r="V208" s="10"/>
      <c r="W208" s="10"/>
      <c r="X208" s="10"/>
      <c r="Y208" s="10"/>
    </row>
    <row r="209" spans="1:25" x14ac:dyDescent="0.25">
      <c r="A209" s="9">
        <v>40747</v>
      </c>
      <c r="B209" s="10">
        <f ca="1">ROUND(_xlfn.NORM.INV(RAND(),Reference!$C$8,0.1*Reference!$C$8)*(1+Reference!$C$11*(IF(MONTH($A209)=Reference!$C$4,1,0)+IF(MONTH($A209)=Reference!$C$5,1,0))+(IF(MONTH($A209)=Reference!$C$6,Reference!$C$13,0))),0)</f>
        <v>380</v>
      </c>
      <c r="C209" s="11">
        <f ca="1">B209*Reference!$C$7*(1-IF(MONTH($A209)=Reference!$C$6,1,0)*Reference!$C$12)</f>
        <v>353400</v>
      </c>
      <c r="D209" s="10">
        <f ca="1">ROUND(_xlfn.NORM.INV(RAND(),Reference!$D$8,0.1*Reference!$D$8)*(1+Reference!$D$11*(IF(MONTH($A209)=Reference!$D$4,1,0)+IF(MONTH($A209)=Reference!$D$5,1,0))+(IF(MONTH($A209)=Reference!$D$6,Reference!$D$13,0))),0)</f>
        <v>431</v>
      </c>
      <c r="E209" s="11">
        <f ca="1">D209*Reference!$D$7*(1-IF(MONTH($A209)=Reference!$D$6,1,0)*Reference!$D$12)</f>
        <v>323250</v>
      </c>
      <c r="L209" s="16"/>
      <c r="M209" s="20"/>
      <c r="N209" s="20"/>
      <c r="O209" s="19"/>
      <c r="P209" s="10"/>
      <c r="Q209" s="10"/>
      <c r="R209" s="10"/>
      <c r="S209" s="10"/>
      <c r="T209" s="10"/>
      <c r="U209" s="10"/>
      <c r="V209" s="10"/>
      <c r="W209" s="10"/>
      <c r="X209" s="10"/>
      <c r="Y209" s="10"/>
    </row>
    <row r="210" spans="1:25" x14ac:dyDescent="0.25">
      <c r="A210" s="9">
        <v>40748</v>
      </c>
      <c r="B210" s="10">
        <f ca="1">ROUND(_xlfn.NORM.INV(RAND(),Reference!$C$8,0.1*Reference!$C$8)*(1+Reference!$C$11*(IF(MONTH($A210)=Reference!$C$4,1,0)+IF(MONTH($A210)=Reference!$C$5,1,0))+(IF(MONTH($A210)=Reference!$C$6,Reference!$C$13,0))),0)</f>
        <v>360</v>
      </c>
      <c r="C210" s="11">
        <f ca="1">B210*Reference!$C$7*(1-IF(MONTH($A210)=Reference!$C$6,1,0)*Reference!$C$12)</f>
        <v>334800</v>
      </c>
      <c r="D210" s="10">
        <f ca="1">ROUND(_xlfn.NORM.INV(RAND(),Reference!$D$8,0.1*Reference!$D$8)*(1+Reference!$D$11*(IF(MONTH($A210)=Reference!$D$4,1,0)+IF(MONTH($A210)=Reference!$D$5,1,0))+(IF(MONTH($A210)=Reference!$D$6,Reference!$D$13,0))),0)</f>
        <v>490</v>
      </c>
      <c r="E210" s="11">
        <f ca="1">D210*Reference!$D$7*(1-IF(MONTH($A210)=Reference!$D$6,1,0)*Reference!$D$12)</f>
        <v>367500</v>
      </c>
      <c r="L210" s="16"/>
      <c r="M210" s="20"/>
      <c r="N210" s="20"/>
      <c r="O210" s="19"/>
      <c r="P210" s="10"/>
      <c r="Q210" s="10"/>
      <c r="R210" s="10"/>
      <c r="S210" s="10"/>
      <c r="T210" s="10"/>
      <c r="U210" s="10"/>
      <c r="V210" s="10"/>
      <c r="W210" s="10"/>
      <c r="X210" s="10"/>
      <c r="Y210" s="10"/>
    </row>
    <row r="211" spans="1:25" x14ac:dyDescent="0.25">
      <c r="A211" s="9">
        <v>40749</v>
      </c>
      <c r="B211" s="10">
        <f ca="1">ROUND(_xlfn.NORM.INV(RAND(),Reference!$C$8,0.1*Reference!$C$8)*(1+Reference!$C$11*(IF(MONTH($A211)=Reference!$C$4,1,0)+IF(MONTH($A211)=Reference!$C$5,1,0))+(IF(MONTH($A211)=Reference!$C$6,Reference!$C$13,0))),0)</f>
        <v>354</v>
      </c>
      <c r="C211" s="11">
        <f ca="1">B211*Reference!$C$7*(1-IF(MONTH($A211)=Reference!$C$6,1,0)*Reference!$C$12)</f>
        <v>329220</v>
      </c>
      <c r="D211" s="10">
        <f ca="1">ROUND(_xlfn.NORM.INV(RAND(),Reference!$D$8,0.1*Reference!$D$8)*(1+Reference!$D$11*(IF(MONTH($A211)=Reference!$D$4,1,0)+IF(MONTH($A211)=Reference!$D$5,1,0))+(IF(MONTH($A211)=Reference!$D$6,Reference!$D$13,0))),0)</f>
        <v>528</v>
      </c>
      <c r="E211" s="11">
        <f ca="1">D211*Reference!$D$7*(1-IF(MONTH($A211)=Reference!$D$6,1,0)*Reference!$D$12)</f>
        <v>396000</v>
      </c>
      <c r="L211" s="16"/>
      <c r="M211" s="20"/>
      <c r="N211" s="20"/>
      <c r="O211" s="19"/>
      <c r="P211" s="10"/>
      <c r="Q211" s="10"/>
      <c r="R211" s="10"/>
      <c r="S211" s="10"/>
      <c r="T211" s="10"/>
      <c r="U211" s="10"/>
      <c r="V211" s="10"/>
      <c r="W211" s="10"/>
      <c r="X211" s="10"/>
      <c r="Y211" s="10"/>
    </row>
    <row r="212" spans="1:25" x14ac:dyDescent="0.25">
      <c r="A212" s="9">
        <v>40750</v>
      </c>
      <c r="B212" s="10">
        <f ca="1">ROUND(_xlfn.NORM.INV(RAND(),Reference!$C$8,0.1*Reference!$C$8)*(1+Reference!$C$11*(IF(MONTH($A212)=Reference!$C$4,1,0)+IF(MONTH($A212)=Reference!$C$5,1,0))+(IF(MONTH($A212)=Reference!$C$6,Reference!$C$13,0))),0)</f>
        <v>401</v>
      </c>
      <c r="C212" s="11">
        <f ca="1">B212*Reference!$C$7*(1-IF(MONTH($A212)=Reference!$C$6,1,0)*Reference!$C$12)</f>
        <v>372930</v>
      </c>
      <c r="D212" s="10">
        <f ca="1">ROUND(_xlfn.NORM.INV(RAND(),Reference!$D$8,0.1*Reference!$D$8)*(1+Reference!$D$11*(IF(MONTH($A212)=Reference!$D$4,1,0)+IF(MONTH($A212)=Reference!$D$5,1,0))+(IF(MONTH($A212)=Reference!$D$6,Reference!$D$13,0))),0)</f>
        <v>496</v>
      </c>
      <c r="E212" s="11">
        <f ca="1">D212*Reference!$D$7*(1-IF(MONTH($A212)=Reference!$D$6,1,0)*Reference!$D$12)</f>
        <v>372000</v>
      </c>
      <c r="L212" s="16"/>
      <c r="M212" s="20"/>
      <c r="N212" s="20"/>
      <c r="O212" s="19"/>
      <c r="P212" s="10"/>
      <c r="Q212" s="10"/>
      <c r="R212" s="10"/>
      <c r="S212" s="10"/>
      <c r="T212" s="10"/>
      <c r="U212" s="10"/>
      <c r="V212" s="10"/>
      <c r="W212" s="10"/>
      <c r="X212" s="10"/>
      <c r="Y212" s="10"/>
    </row>
    <row r="213" spans="1:25" x14ac:dyDescent="0.25">
      <c r="A213" s="9">
        <v>40751</v>
      </c>
      <c r="B213" s="10">
        <f ca="1">ROUND(_xlfn.NORM.INV(RAND(),Reference!$C$8,0.1*Reference!$C$8)*(1+Reference!$C$11*(IF(MONTH($A213)=Reference!$C$4,1,0)+IF(MONTH($A213)=Reference!$C$5,1,0))+(IF(MONTH($A213)=Reference!$C$6,Reference!$C$13,0))),0)</f>
        <v>349</v>
      </c>
      <c r="C213" s="11">
        <f ca="1">B213*Reference!$C$7*(1-IF(MONTH($A213)=Reference!$C$6,1,0)*Reference!$C$12)</f>
        <v>324570</v>
      </c>
      <c r="D213" s="10">
        <f ca="1">ROUND(_xlfn.NORM.INV(RAND(),Reference!$D$8,0.1*Reference!$D$8)*(1+Reference!$D$11*(IF(MONTH($A213)=Reference!$D$4,1,0)+IF(MONTH($A213)=Reference!$D$5,1,0))+(IF(MONTH($A213)=Reference!$D$6,Reference!$D$13,0))),0)</f>
        <v>554</v>
      </c>
      <c r="E213" s="11">
        <f ca="1">D213*Reference!$D$7*(1-IF(MONTH($A213)=Reference!$D$6,1,0)*Reference!$D$12)</f>
        <v>415500</v>
      </c>
      <c r="L213" s="16"/>
      <c r="M213" s="20"/>
      <c r="N213" s="20"/>
      <c r="O213" s="19"/>
      <c r="P213" s="10"/>
      <c r="Q213" s="10"/>
      <c r="R213" s="10"/>
      <c r="S213" s="10"/>
      <c r="T213" s="10"/>
      <c r="U213" s="10"/>
      <c r="V213" s="10"/>
      <c r="W213" s="10"/>
      <c r="X213" s="10"/>
      <c r="Y213" s="10"/>
    </row>
    <row r="214" spans="1:25" x14ac:dyDescent="0.25">
      <c r="A214" s="9">
        <v>40752</v>
      </c>
      <c r="B214" s="10">
        <f ca="1">ROUND(_xlfn.NORM.INV(RAND(),Reference!$C$8,0.1*Reference!$C$8)*(1+Reference!$C$11*(IF(MONTH($A214)=Reference!$C$4,1,0)+IF(MONTH($A214)=Reference!$C$5,1,0))+(IF(MONTH($A214)=Reference!$C$6,Reference!$C$13,0))),0)</f>
        <v>287</v>
      </c>
      <c r="C214" s="11">
        <f ca="1">B214*Reference!$C$7*(1-IF(MONTH($A214)=Reference!$C$6,1,0)*Reference!$C$12)</f>
        <v>266910</v>
      </c>
      <c r="D214" s="10">
        <f ca="1">ROUND(_xlfn.NORM.INV(RAND(),Reference!$D$8,0.1*Reference!$D$8)*(1+Reference!$D$11*(IF(MONTH($A214)=Reference!$D$4,1,0)+IF(MONTH($A214)=Reference!$D$5,1,0))+(IF(MONTH($A214)=Reference!$D$6,Reference!$D$13,0))),0)</f>
        <v>532</v>
      </c>
      <c r="E214" s="11">
        <f ca="1">D214*Reference!$D$7*(1-IF(MONTH($A214)=Reference!$D$6,1,0)*Reference!$D$12)</f>
        <v>399000</v>
      </c>
      <c r="L214" s="16"/>
      <c r="M214" s="20"/>
      <c r="N214" s="20"/>
      <c r="O214" s="19"/>
      <c r="P214" s="10"/>
      <c r="Q214" s="10"/>
      <c r="R214" s="10"/>
      <c r="S214" s="10"/>
      <c r="T214" s="10"/>
      <c r="U214" s="10"/>
      <c r="V214" s="10"/>
      <c r="W214" s="10"/>
      <c r="X214" s="10"/>
      <c r="Y214" s="10"/>
    </row>
    <row r="215" spans="1:25" x14ac:dyDescent="0.25">
      <c r="A215" s="9">
        <v>40753</v>
      </c>
      <c r="B215" s="10">
        <f ca="1">ROUND(_xlfn.NORM.INV(RAND(),Reference!$C$8,0.1*Reference!$C$8)*(1+Reference!$C$11*(IF(MONTH($A215)=Reference!$C$4,1,0)+IF(MONTH($A215)=Reference!$C$5,1,0))+(IF(MONTH($A215)=Reference!$C$6,Reference!$C$13,0))),0)</f>
        <v>346</v>
      </c>
      <c r="C215" s="11">
        <f ca="1">B215*Reference!$C$7*(1-IF(MONTH($A215)=Reference!$C$6,1,0)*Reference!$C$12)</f>
        <v>321780</v>
      </c>
      <c r="D215" s="10">
        <f ca="1">ROUND(_xlfn.NORM.INV(RAND(),Reference!$D$8,0.1*Reference!$D$8)*(1+Reference!$D$11*(IF(MONTH($A215)=Reference!$D$4,1,0)+IF(MONTH($A215)=Reference!$D$5,1,0))+(IF(MONTH($A215)=Reference!$D$6,Reference!$D$13,0))),0)</f>
        <v>456</v>
      </c>
      <c r="E215" s="11">
        <f ca="1">D215*Reference!$D$7*(1-IF(MONTH($A215)=Reference!$D$6,1,0)*Reference!$D$12)</f>
        <v>342000</v>
      </c>
      <c r="L215" s="16"/>
      <c r="M215" s="20"/>
      <c r="N215" s="20"/>
      <c r="O215" s="19"/>
      <c r="P215" s="10"/>
      <c r="Q215" s="10"/>
      <c r="R215" s="10"/>
      <c r="S215" s="10"/>
      <c r="T215" s="10"/>
      <c r="U215" s="10"/>
      <c r="V215" s="10"/>
      <c r="W215" s="10"/>
      <c r="X215" s="10"/>
      <c r="Y215" s="10"/>
    </row>
    <row r="216" spans="1:25" x14ac:dyDescent="0.25">
      <c r="A216" s="9">
        <v>40754</v>
      </c>
      <c r="B216" s="10">
        <f ca="1">ROUND(_xlfn.NORM.INV(RAND(),Reference!$C$8,0.1*Reference!$C$8)*(1+Reference!$C$11*(IF(MONTH($A216)=Reference!$C$4,1,0)+IF(MONTH($A216)=Reference!$C$5,1,0))+(IF(MONTH($A216)=Reference!$C$6,Reference!$C$13,0))),0)</f>
        <v>349</v>
      </c>
      <c r="C216" s="11">
        <f ca="1">B216*Reference!$C$7*(1-IF(MONTH($A216)=Reference!$C$6,1,0)*Reference!$C$12)</f>
        <v>324570</v>
      </c>
      <c r="D216" s="10">
        <f ca="1">ROUND(_xlfn.NORM.INV(RAND(),Reference!$D$8,0.1*Reference!$D$8)*(1+Reference!$D$11*(IF(MONTH($A216)=Reference!$D$4,1,0)+IF(MONTH($A216)=Reference!$D$5,1,0))+(IF(MONTH($A216)=Reference!$D$6,Reference!$D$13,0))),0)</f>
        <v>427</v>
      </c>
      <c r="E216" s="11">
        <f ca="1">D216*Reference!$D$7*(1-IF(MONTH($A216)=Reference!$D$6,1,0)*Reference!$D$12)</f>
        <v>320250</v>
      </c>
      <c r="L216" s="16"/>
      <c r="M216" s="20"/>
      <c r="N216" s="20"/>
      <c r="O216" s="19"/>
      <c r="P216" s="10"/>
      <c r="Q216" s="10"/>
      <c r="R216" s="10"/>
      <c r="S216" s="10"/>
      <c r="T216" s="10"/>
      <c r="U216" s="10"/>
      <c r="V216" s="10"/>
      <c r="W216" s="10"/>
      <c r="X216" s="10"/>
      <c r="Y216" s="10"/>
    </row>
    <row r="217" spans="1:25" x14ac:dyDescent="0.25">
      <c r="A217" s="9">
        <v>40755</v>
      </c>
      <c r="B217" s="10">
        <f ca="1">ROUND(_xlfn.NORM.INV(RAND(),Reference!$C$8,0.1*Reference!$C$8)*(1+Reference!$C$11*(IF(MONTH($A217)=Reference!$C$4,1,0)+IF(MONTH($A217)=Reference!$C$5,1,0))+(IF(MONTH($A217)=Reference!$C$6,Reference!$C$13,0))),0)</f>
        <v>324</v>
      </c>
      <c r="C217" s="11">
        <f ca="1">B217*Reference!$C$7*(1-IF(MONTH($A217)=Reference!$C$6,1,0)*Reference!$C$12)</f>
        <v>301320</v>
      </c>
      <c r="D217" s="10">
        <f ca="1">ROUND(_xlfn.NORM.INV(RAND(),Reference!$D$8,0.1*Reference!$D$8)*(1+Reference!$D$11*(IF(MONTH($A217)=Reference!$D$4,1,0)+IF(MONTH($A217)=Reference!$D$5,1,0))+(IF(MONTH($A217)=Reference!$D$6,Reference!$D$13,0))),0)</f>
        <v>483</v>
      </c>
      <c r="E217" s="11">
        <f ca="1">D217*Reference!$D$7*(1-IF(MONTH($A217)=Reference!$D$6,1,0)*Reference!$D$12)</f>
        <v>362250</v>
      </c>
      <c r="L217" s="16"/>
      <c r="M217" s="20"/>
      <c r="N217" s="20"/>
      <c r="O217" s="19"/>
      <c r="P217" s="10"/>
      <c r="Q217" s="10"/>
      <c r="R217" s="10"/>
      <c r="S217" s="10"/>
      <c r="T217" s="10"/>
      <c r="U217" s="10"/>
      <c r="V217" s="10"/>
      <c r="W217" s="10"/>
      <c r="X217" s="10"/>
      <c r="Y217" s="10"/>
    </row>
    <row r="218" spans="1:25" x14ac:dyDescent="0.25">
      <c r="A218" s="9">
        <v>40756</v>
      </c>
      <c r="B218" s="10">
        <f ca="1">ROUND(_xlfn.NORM.INV(RAND(),Reference!$C$8,0.1*Reference!$C$8)*(1+Reference!$C$11*(IF(MONTH($A218)=Reference!$C$4,1,0)+IF(MONTH($A218)=Reference!$C$5,1,0))+(IF(MONTH($A218)=Reference!$C$6,Reference!$C$13,0))),0)</f>
        <v>375</v>
      </c>
      <c r="C218" s="11">
        <f ca="1">B218*Reference!$C$7*(1-IF(MONTH($A218)=Reference!$C$6,1,0)*Reference!$C$12)</f>
        <v>348750</v>
      </c>
      <c r="D218" s="10">
        <f ca="1">ROUND(_xlfn.NORM.INV(RAND(),Reference!$D$8,0.1*Reference!$D$8)*(1+Reference!$D$11*(IF(MONTH($A218)=Reference!$D$4,1,0)+IF(MONTH($A218)=Reference!$D$5,1,0))+(IF(MONTH($A218)=Reference!$D$6,Reference!$D$13,0))),0)</f>
        <v>487</v>
      </c>
      <c r="E218" s="11">
        <f ca="1">D218*Reference!$D$7*(1-IF(MONTH($A218)=Reference!$D$6,1,0)*Reference!$D$12)</f>
        <v>365250</v>
      </c>
      <c r="L218" s="16"/>
      <c r="M218" s="20"/>
      <c r="N218" s="20"/>
      <c r="O218" s="19"/>
      <c r="P218" s="10"/>
      <c r="Q218" s="10"/>
      <c r="R218" s="10"/>
      <c r="S218" s="10"/>
      <c r="T218" s="10"/>
      <c r="U218" s="10"/>
      <c r="V218" s="10"/>
      <c r="W218" s="10"/>
      <c r="X218" s="10"/>
      <c r="Y218" s="10"/>
    </row>
    <row r="219" spans="1:25" x14ac:dyDescent="0.25">
      <c r="A219" s="9">
        <v>40757</v>
      </c>
      <c r="B219" s="10">
        <f ca="1">ROUND(_xlfn.NORM.INV(RAND(),Reference!$C$8,0.1*Reference!$C$8)*(1+Reference!$C$11*(IF(MONTH($A219)=Reference!$C$4,1,0)+IF(MONTH($A219)=Reference!$C$5,1,0))+(IF(MONTH($A219)=Reference!$C$6,Reference!$C$13,0))),0)</f>
        <v>319</v>
      </c>
      <c r="C219" s="11">
        <f ca="1">B219*Reference!$C$7*(1-IF(MONTH($A219)=Reference!$C$6,1,0)*Reference!$C$12)</f>
        <v>296670</v>
      </c>
      <c r="D219" s="10">
        <f ca="1">ROUND(_xlfn.NORM.INV(RAND(),Reference!$D$8,0.1*Reference!$D$8)*(1+Reference!$D$11*(IF(MONTH($A219)=Reference!$D$4,1,0)+IF(MONTH($A219)=Reference!$D$5,1,0))+(IF(MONTH($A219)=Reference!$D$6,Reference!$D$13,0))),0)</f>
        <v>392</v>
      </c>
      <c r="E219" s="11">
        <f ca="1">D219*Reference!$D$7*(1-IF(MONTH($A219)=Reference!$D$6,1,0)*Reference!$D$12)</f>
        <v>294000</v>
      </c>
      <c r="L219" s="16"/>
      <c r="M219" s="20"/>
      <c r="N219" s="20"/>
      <c r="O219" s="19"/>
      <c r="P219" s="10"/>
      <c r="Q219" s="10"/>
      <c r="R219" s="10"/>
      <c r="S219" s="10"/>
      <c r="T219" s="10"/>
      <c r="U219" s="10"/>
      <c r="V219" s="10"/>
      <c r="W219" s="10"/>
      <c r="X219" s="10"/>
      <c r="Y219" s="10"/>
    </row>
    <row r="220" spans="1:25" x14ac:dyDescent="0.25">
      <c r="A220" s="9">
        <v>40758</v>
      </c>
      <c r="B220" s="10">
        <f ca="1">ROUND(_xlfn.NORM.INV(RAND(),Reference!$C$8,0.1*Reference!$C$8)*(1+Reference!$C$11*(IF(MONTH($A220)=Reference!$C$4,1,0)+IF(MONTH($A220)=Reference!$C$5,1,0))+(IF(MONTH($A220)=Reference!$C$6,Reference!$C$13,0))),0)</f>
        <v>287</v>
      </c>
      <c r="C220" s="11">
        <f ca="1">B220*Reference!$C$7*(1-IF(MONTH($A220)=Reference!$C$6,1,0)*Reference!$C$12)</f>
        <v>266910</v>
      </c>
      <c r="D220" s="10">
        <f ca="1">ROUND(_xlfn.NORM.INV(RAND(),Reference!$D$8,0.1*Reference!$D$8)*(1+Reference!$D$11*(IF(MONTH($A220)=Reference!$D$4,1,0)+IF(MONTH($A220)=Reference!$D$5,1,0))+(IF(MONTH($A220)=Reference!$D$6,Reference!$D$13,0))),0)</f>
        <v>523</v>
      </c>
      <c r="E220" s="11">
        <f ca="1">D220*Reference!$D$7*(1-IF(MONTH($A220)=Reference!$D$6,1,0)*Reference!$D$12)</f>
        <v>392250</v>
      </c>
      <c r="L220" s="16"/>
      <c r="M220" s="20"/>
      <c r="N220" s="20"/>
      <c r="O220" s="19"/>
      <c r="P220" s="10"/>
      <c r="Q220" s="10"/>
      <c r="R220" s="10"/>
      <c r="S220" s="10"/>
      <c r="T220" s="10"/>
      <c r="U220" s="10"/>
      <c r="V220" s="10"/>
      <c r="W220" s="10"/>
      <c r="X220" s="10"/>
      <c r="Y220" s="10"/>
    </row>
    <row r="221" spans="1:25" x14ac:dyDescent="0.25">
      <c r="A221" s="9">
        <v>40759</v>
      </c>
      <c r="B221" s="10">
        <f ca="1">ROUND(_xlfn.NORM.INV(RAND(),Reference!$C$8,0.1*Reference!$C$8)*(1+Reference!$C$11*(IF(MONTH($A221)=Reference!$C$4,1,0)+IF(MONTH($A221)=Reference!$C$5,1,0))+(IF(MONTH($A221)=Reference!$C$6,Reference!$C$13,0))),0)</f>
        <v>362</v>
      </c>
      <c r="C221" s="11">
        <f ca="1">B221*Reference!$C$7*(1-IF(MONTH($A221)=Reference!$C$6,1,0)*Reference!$C$12)</f>
        <v>336660</v>
      </c>
      <c r="D221" s="10">
        <f ca="1">ROUND(_xlfn.NORM.INV(RAND(),Reference!$D$8,0.1*Reference!$D$8)*(1+Reference!$D$11*(IF(MONTH($A221)=Reference!$D$4,1,0)+IF(MONTH($A221)=Reference!$D$5,1,0))+(IF(MONTH($A221)=Reference!$D$6,Reference!$D$13,0))),0)</f>
        <v>452</v>
      </c>
      <c r="E221" s="11">
        <f ca="1">D221*Reference!$D$7*(1-IF(MONTH($A221)=Reference!$D$6,1,0)*Reference!$D$12)</f>
        <v>339000</v>
      </c>
      <c r="L221" s="16"/>
      <c r="M221" s="20"/>
      <c r="N221" s="20"/>
      <c r="O221" s="19"/>
      <c r="P221" s="10"/>
      <c r="Q221" s="10"/>
      <c r="R221" s="10"/>
      <c r="S221" s="10"/>
      <c r="T221" s="10"/>
      <c r="U221" s="10"/>
      <c r="V221" s="10"/>
      <c r="W221" s="10"/>
      <c r="X221" s="10"/>
      <c r="Y221" s="10"/>
    </row>
    <row r="222" spans="1:25" x14ac:dyDescent="0.25">
      <c r="A222" s="9">
        <v>40760</v>
      </c>
      <c r="B222" s="10">
        <f ca="1">ROUND(_xlfn.NORM.INV(RAND(),Reference!$C$8,0.1*Reference!$C$8)*(1+Reference!$C$11*(IF(MONTH($A222)=Reference!$C$4,1,0)+IF(MONTH($A222)=Reference!$C$5,1,0))+(IF(MONTH($A222)=Reference!$C$6,Reference!$C$13,0))),0)</f>
        <v>356</v>
      </c>
      <c r="C222" s="11">
        <f ca="1">B222*Reference!$C$7*(1-IF(MONTH($A222)=Reference!$C$6,1,0)*Reference!$C$12)</f>
        <v>331080</v>
      </c>
      <c r="D222" s="10">
        <f ca="1">ROUND(_xlfn.NORM.INV(RAND(),Reference!$D$8,0.1*Reference!$D$8)*(1+Reference!$D$11*(IF(MONTH($A222)=Reference!$D$4,1,0)+IF(MONTH($A222)=Reference!$D$5,1,0))+(IF(MONTH($A222)=Reference!$D$6,Reference!$D$13,0))),0)</f>
        <v>477</v>
      </c>
      <c r="E222" s="11">
        <f ca="1">D222*Reference!$D$7*(1-IF(MONTH($A222)=Reference!$D$6,1,0)*Reference!$D$12)</f>
        <v>357750</v>
      </c>
      <c r="L222" s="16"/>
      <c r="M222" s="20"/>
      <c r="N222" s="20"/>
      <c r="O222" s="19"/>
      <c r="P222" s="10"/>
      <c r="Q222" s="10"/>
      <c r="R222" s="10"/>
      <c r="S222" s="10"/>
      <c r="T222" s="10"/>
      <c r="U222" s="10"/>
      <c r="V222" s="10"/>
      <c r="W222" s="10"/>
      <c r="X222" s="10"/>
      <c r="Y222" s="10"/>
    </row>
    <row r="223" spans="1:25" x14ac:dyDescent="0.25">
      <c r="A223" s="9">
        <v>40761</v>
      </c>
      <c r="B223" s="10">
        <f ca="1">ROUND(_xlfn.NORM.INV(RAND(),Reference!$C$8,0.1*Reference!$C$8)*(1+Reference!$C$11*(IF(MONTH($A223)=Reference!$C$4,1,0)+IF(MONTH($A223)=Reference!$C$5,1,0))+(IF(MONTH($A223)=Reference!$C$6,Reference!$C$13,0))),0)</f>
        <v>351</v>
      </c>
      <c r="C223" s="11">
        <f ca="1">B223*Reference!$C$7*(1-IF(MONTH($A223)=Reference!$C$6,1,0)*Reference!$C$12)</f>
        <v>326430</v>
      </c>
      <c r="D223" s="10">
        <f ca="1">ROUND(_xlfn.NORM.INV(RAND(),Reference!$D$8,0.1*Reference!$D$8)*(1+Reference!$D$11*(IF(MONTH($A223)=Reference!$D$4,1,0)+IF(MONTH($A223)=Reference!$D$5,1,0))+(IF(MONTH($A223)=Reference!$D$6,Reference!$D$13,0))),0)</f>
        <v>421</v>
      </c>
      <c r="E223" s="11">
        <f ca="1">D223*Reference!$D$7*(1-IF(MONTH($A223)=Reference!$D$6,1,0)*Reference!$D$12)</f>
        <v>315750</v>
      </c>
      <c r="L223" s="16"/>
      <c r="M223" s="20"/>
      <c r="N223" s="20"/>
      <c r="O223" s="19"/>
      <c r="P223" s="10"/>
      <c r="Q223" s="10"/>
      <c r="R223" s="10"/>
      <c r="S223" s="10"/>
      <c r="T223" s="10"/>
      <c r="U223" s="10"/>
      <c r="V223" s="10"/>
      <c r="W223" s="10"/>
      <c r="X223" s="10"/>
      <c r="Y223" s="10"/>
    </row>
    <row r="224" spans="1:25" x14ac:dyDescent="0.25">
      <c r="A224" s="9">
        <v>40762</v>
      </c>
      <c r="B224" s="10">
        <f ca="1">ROUND(_xlfn.NORM.INV(RAND(),Reference!$C$8,0.1*Reference!$C$8)*(1+Reference!$C$11*(IF(MONTH($A224)=Reference!$C$4,1,0)+IF(MONTH($A224)=Reference!$C$5,1,0))+(IF(MONTH($A224)=Reference!$C$6,Reference!$C$13,0))),0)</f>
        <v>373</v>
      </c>
      <c r="C224" s="11">
        <f ca="1">B224*Reference!$C$7*(1-IF(MONTH($A224)=Reference!$C$6,1,0)*Reference!$C$12)</f>
        <v>346890</v>
      </c>
      <c r="D224" s="10">
        <f ca="1">ROUND(_xlfn.NORM.INV(RAND(),Reference!$D$8,0.1*Reference!$D$8)*(1+Reference!$D$11*(IF(MONTH($A224)=Reference!$D$4,1,0)+IF(MONTH($A224)=Reference!$D$5,1,0))+(IF(MONTH($A224)=Reference!$D$6,Reference!$D$13,0))),0)</f>
        <v>449</v>
      </c>
      <c r="E224" s="11">
        <f ca="1">D224*Reference!$D$7*(1-IF(MONTH($A224)=Reference!$D$6,1,0)*Reference!$D$12)</f>
        <v>336750</v>
      </c>
      <c r="L224" s="16"/>
      <c r="M224" s="20"/>
      <c r="N224" s="20"/>
      <c r="O224" s="19"/>
      <c r="P224" s="10"/>
      <c r="Q224" s="10"/>
      <c r="R224" s="10"/>
      <c r="S224" s="10"/>
      <c r="T224" s="10"/>
      <c r="U224" s="10"/>
      <c r="V224" s="10"/>
      <c r="W224" s="10"/>
      <c r="X224" s="10"/>
      <c r="Y224" s="10"/>
    </row>
    <row r="225" spans="1:25" x14ac:dyDescent="0.25">
      <c r="A225" s="9">
        <v>40763</v>
      </c>
      <c r="B225" s="10">
        <f ca="1">ROUND(_xlfn.NORM.INV(RAND(),Reference!$C$8,0.1*Reference!$C$8)*(1+Reference!$C$11*(IF(MONTH($A225)=Reference!$C$4,1,0)+IF(MONTH($A225)=Reference!$C$5,1,0))+(IF(MONTH($A225)=Reference!$C$6,Reference!$C$13,0))),0)</f>
        <v>397</v>
      </c>
      <c r="C225" s="11">
        <f ca="1">B225*Reference!$C$7*(1-IF(MONTH($A225)=Reference!$C$6,1,0)*Reference!$C$12)</f>
        <v>369210</v>
      </c>
      <c r="D225" s="10">
        <f ca="1">ROUND(_xlfn.NORM.INV(RAND(),Reference!$D$8,0.1*Reference!$D$8)*(1+Reference!$D$11*(IF(MONTH($A225)=Reference!$D$4,1,0)+IF(MONTH($A225)=Reference!$D$5,1,0))+(IF(MONTH($A225)=Reference!$D$6,Reference!$D$13,0))),0)</f>
        <v>445</v>
      </c>
      <c r="E225" s="11">
        <f ca="1">D225*Reference!$D$7*(1-IF(MONTH($A225)=Reference!$D$6,1,0)*Reference!$D$12)</f>
        <v>333750</v>
      </c>
      <c r="L225" s="16"/>
      <c r="M225" s="20"/>
      <c r="N225" s="20"/>
      <c r="O225" s="19"/>
      <c r="P225" s="10"/>
      <c r="Q225" s="10"/>
      <c r="R225" s="10"/>
      <c r="S225" s="10"/>
      <c r="T225" s="10"/>
      <c r="U225" s="10"/>
      <c r="V225" s="10"/>
      <c r="W225" s="10"/>
      <c r="X225" s="10"/>
      <c r="Y225" s="10"/>
    </row>
    <row r="226" spans="1:25" x14ac:dyDescent="0.25">
      <c r="A226" s="9">
        <v>40764</v>
      </c>
      <c r="B226" s="10">
        <f ca="1">ROUND(_xlfn.NORM.INV(RAND(),Reference!$C$8,0.1*Reference!$C$8)*(1+Reference!$C$11*(IF(MONTH($A226)=Reference!$C$4,1,0)+IF(MONTH($A226)=Reference!$C$5,1,0))+(IF(MONTH($A226)=Reference!$C$6,Reference!$C$13,0))),0)</f>
        <v>389</v>
      </c>
      <c r="C226" s="11">
        <f ca="1">B226*Reference!$C$7*(1-IF(MONTH($A226)=Reference!$C$6,1,0)*Reference!$C$12)</f>
        <v>361770</v>
      </c>
      <c r="D226" s="10">
        <f ca="1">ROUND(_xlfn.NORM.INV(RAND(),Reference!$D$8,0.1*Reference!$D$8)*(1+Reference!$D$11*(IF(MONTH($A226)=Reference!$D$4,1,0)+IF(MONTH($A226)=Reference!$D$5,1,0))+(IF(MONTH($A226)=Reference!$D$6,Reference!$D$13,0))),0)</f>
        <v>558</v>
      </c>
      <c r="E226" s="11">
        <f ca="1">D226*Reference!$D$7*(1-IF(MONTH($A226)=Reference!$D$6,1,0)*Reference!$D$12)</f>
        <v>418500</v>
      </c>
      <c r="L226" s="16"/>
      <c r="M226" s="20"/>
      <c r="N226" s="20"/>
      <c r="O226" s="19"/>
      <c r="P226" s="10"/>
      <c r="Q226" s="10"/>
      <c r="R226" s="10"/>
      <c r="S226" s="10"/>
      <c r="T226" s="10"/>
      <c r="U226" s="10"/>
      <c r="V226" s="10"/>
      <c r="W226" s="10"/>
      <c r="X226" s="10"/>
      <c r="Y226" s="10"/>
    </row>
    <row r="227" spans="1:25" x14ac:dyDescent="0.25">
      <c r="A227" s="9">
        <v>40765</v>
      </c>
      <c r="B227" s="10">
        <f ca="1">ROUND(_xlfn.NORM.INV(RAND(),Reference!$C$8,0.1*Reference!$C$8)*(1+Reference!$C$11*(IF(MONTH($A227)=Reference!$C$4,1,0)+IF(MONTH($A227)=Reference!$C$5,1,0))+(IF(MONTH($A227)=Reference!$C$6,Reference!$C$13,0))),0)</f>
        <v>397</v>
      </c>
      <c r="C227" s="11">
        <f ca="1">B227*Reference!$C$7*(1-IF(MONTH($A227)=Reference!$C$6,1,0)*Reference!$C$12)</f>
        <v>369210</v>
      </c>
      <c r="D227" s="10">
        <f ca="1">ROUND(_xlfn.NORM.INV(RAND(),Reference!$D$8,0.1*Reference!$D$8)*(1+Reference!$D$11*(IF(MONTH($A227)=Reference!$D$4,1,0)+IF(MONTH($A227)=Reference!$D$5,1,0))+(IF(MONTH($A227)=Reference!$D$6,Reference!$D$13,0))),0)</f>
        <v>573</v>
      </c>
      <c r="E227" s="11">
        <f ca="1">D227*Reference!$D$7*(1-IF(MONTH($A227)=Reference!$D$6,1,0)*Reference!$D$12)</f>
        <v>429750</v>
      </c>
      <c r="L227" s="16"/>
      <c r="M227" s="20"/>
      <c r="N227" s="20"/>
      <c r="O227" s="19"/>
      <c r="P227" s="10"/>
      <c r="Q227" s="10"/>
      <c r="R227" s="10"/>
      <c r="S227" s="10"/>
      <c r="T227" s="10"/>
      <c r="U227" s="10"/>
      <c r="V227" s="10"/>
      <c r="W227" s="10"/>
      <c r="X227" s="10"/>
      <c r="Y227" s="10"/>
    </row>
    <row r="228" spans="1:25" x14ac:dyDescent="0.25">
      <c r="A228" s="9">
        <v>40766</v>
      </c>
      <c r="B228" s="10">
        <f ca="1">ROUND(_xlfn.NORM.INV(RAND(),Reference!$C$8,0.1*Reference!$C$8)*(1+Reference!$C$11*(IF(MONTH($A228)=Reference!$C$4,1,0)+IF(MONTH($A228)=Reference!$C$5,1,0))+(IF(MONTH($A228)=Reference!$C$6,Reference!$C$13,0))),0)</f>
        <v>356</v>
      </c>
      <c r="C228" s="11">
        <f ca="1">B228*Reference!$C$7*(1-IF(MONTH($A228)=Reference!$C$6,1,0)*Reference!$C$12)</f>
        <v>331080</v>
      </c>
      <c r="D228" s="10">
        <f ca="1">ROUND(_xlfn.NORM.INV(RAND(),Reference!$D$8,0.1*Reference!$D$8)*(1+Reference!$D$11*(IF(MONTH($A228)=Reference!$D$4,1,0)+IF(MONTH($A228)=Reference!$D$5,1,0))+(IF(MONTH($A228)=Reference!$D$6,Reference!$D$13,0))),0)</f>
        <v>472</v>
      </c>
      <c r="E228" s="11">
        <f ca="1">D228*Reference!$D$7*(1-IF(MONTH($A228)=Reference!$D$6,1,0)*Reference!$D$12)</f>
        <v>354000</v>
      </c>
      <c r="L228" s="16"/>
      <c r="M228" s="20"/>
      <c r="N228" s="20"/>
      <c r="O228" s="19"/>
      <c r="P228" s="10"/>
      <c r="Q228" s="10"/>
      <c r="R228" s="10"/>
      <c r="S228" s="10"/>
      <c r="T228" s="10"/>
      <c r="U228" s="10"/>
      <c r="V228" s="10"/>
      <c r="W228" s="10"/>
      <c r="X228" s="10"/>
      <c r="Y228" s="10"/>
    </row>
    <row r="229" spans="1:25" x14ac:dyDescent="0.25">
      <c r="A229" s="9">
        <v>40767</v>
      </c>
      <c r="B229" s="10">
        <f ca="1">ROUND(_xlfn.NORM.INV(RAND(),Reference!$C$8,0.1*Reference!$C$8)*(1+Reference!$C$11*(IF(MONTH($A229)=Reference!$C$4,1,0)+IF(MONTH($A229)=Reference!$C$5,1,0))+(IF(MONTH($A229)=Reference!$C$6,Reference!$C$13,0))),0)</f>
        <v>289</v>
      </c>
      <c r="C229" s="11">
        <f ca="1">B229*Reference!$C$7*(1-IF(MONTH($A229)=Reference!$C$6,1,0)*Reference!$C$12)</f>
        <v>268770</v>
      </c>
      <c r="D229" s="10">
        <f ca="1">ROUND(_xlfn.NORM.INV(RAND(),Reference!$D$8,0.1*Reference!$D$8)*(1+Reference!$D$11*(IF(MONTH($A229)=Reference!$D$4,1,0)+IF(MONTH($A229)=Reference!$D$5,1,0))+(IF(MONTH($A229)=Reference!$D$6,Reference!$D$13,0))),0)</f>
        <v>413</v>
      </c>
      <c r="E229" s="11">
        <f ca="1">D229*Reference!$D$7*(1-IF(MONTH($A229)=Reference!$D$6,1,0)*Reference!$D$12)</f>
        <v>309750</v>
      </c>
      <c r="L229" s="16"/>
      <c r="M229" s="20"/>
      <c r="N229" s="20"/>
      <c r="O229" s="19"/>
      <c r="P229" s="10"/>
      <c r="Q229" s="10"/>
      <c r="R229" s="10"/>
      <c r="S229" s="10"/>
      <c r="T229" s="10"/>
      <c r="U229" s="10"/>
      <c r="V229" s="10"/>
      <c r="W229" s="10"/>
      <c r="X229" s="10"/>
      <c r="Y229" s="10"/>
    </row>
    <row r="230" spans="1:25" x14ac:dyDescent="0.25">
      <c r="A230" s="9">
        <v>40768</v>
      </c>
      <c r="B230" s="10">
        <f ca="1">ROUND(_xlfn.NORM.INV(RAND(),Reference!$C$8,0.1*Reference!$C$8)*(1+Reference!$C$11*(IF(MONTH($A230)=Reference!$C$4,1,0)+IF(MONTH($A230)=Reference!$C$5,1,0))+(IF(MONTH($A230)=Reference!$C$6,Reference!$C$13,0))),0)</f>
        <v>263</v>
      </c>
      <c r="C230" s="11">
        <f ca="1">B230*Reference!$C$7*(1-IF(MONTH($A230)=Reference!$C$6,1,0)*Reference!$C$12)</f>
        <v>244590</v>
      </c>
      <c r="D230" s="10">
        <f ca="1">ROUND(_xlfn.NORM.INV(RAND(),Reference!$D$8,0.1*Reference!$D$8)*(1+Reference!$D$11*(IF(MONTH($A230)=Reference!$D$4,1,0)+IF(MONTH($A230)=Reference!$D$5,1,0))+(IF(MONTH($A230)=Reference!$D$6,Reference!$D$13,0))),0)</f>
        <v>585</v>
      </c>
      <c r="E230" s="11">
        <f ca="1">D230*Reference!$D$7*(1-IF(MONTH($A230)=Reference!$D$6,1,0)*Reference!$D$12)</f>
        <v>438750</v>
      </c>
      <c r="L230" s="16"/>
      <c r="M230" s="20"/>
      <c r="N230" s="20"/>
      <c r="O230" s="19"/>
      <c r="P230" s="10"/>
      <c r="Q230" s="10"/>
      <c r="R230" s="10"/>
      <c r="S230" s="10"/>
      <c r="T230" s="10"/>
      <c r="U230" s="10"/>
      <c r="V230" s="10"/>
      <c r="W230" s="10"/>
      <c r="X230" s="10"/>
      <c r="Y230" s="10"/>
    </row>
    <row r="231" spans="1:25" x14ac:dyDescent="0.25">
      <c r="A231" s="9">
        <v>40769</v>
      </c>
      <c r="B231" s="10">
        <f ca="1">ROUND(_xlfn.NORM.INV(RAND(),Reference!$C$8,0.1*Reference!$C$8)*(1+Reference!$C$11*(IF(MONTH($A231)=Reference!$C$4,1,0)+IF(MONTH($A231)=Reference!$C$5,1,0))+(IF(MONTH($A231)=Reference!$C$6,Reference!$C$13,0))),0)</f>
        <v>280</v>
      </c>
      <c r="C231" s="11">
        <f ca="1">B231*Reference!$C$7*(1-IF(MONTH($A231)=Reference!$C$6,1,0)*Reference!$C$12)</f>
        <v>260400</v>
      </c>
      <c r="D231" s="10">
        <f ca="1">ROUND(_xlfn.NORM.INV(RAND(),Reference!$D$8,0.1*Reference!$D$8)*(1+Reference!$D$11*(IF(MONTH($A231)=Reference!$D$4,1,0)+IF(MONTH($A231)=Reference!$D$5,1,0))+(IF(MONTH($A231)=Reference!$D$6,Reference!$D$13,0))),0)</f>
        <v>491</v>
      </c>
      <c r="E231" s="11">
        <f ca="1">D231*Reference!$D$7*(1-IF(MONTH($A231)=Reference!$D$6,1,0)*Reference!$D$12)</f>
        <v>368250</v>
      </c>
      <c r="L231" s="16"/>
      <c r="M231" s="20"/>
      <c r="N231" s="20"/>
      <c r="O231" s="19"/>
      <c r="P231" s="10"/>
      <c r="Q231" s="10"/>
      <c r="R231" s="10"/>
      <c r="S231" s="10"/>
      <c r="T231" s="10"/>
      <c r="U231" s="10"/>
      <c r="V231" s="10"/>
      <c r="W231" s="10"/>
      <c r="X231" s="10"/>
      <c r="Y231" s="10"/>
    </row>
    <row r="232" spans="1:25" x14ac:dyDescent="0.25">
      <c r="A232" s="9">
        <v>40770</v>
      </c>
      <c r="B232" s="10">
        <f ca="1">ROUND(_xlfn.NORM.INV(RAND(),Reference!$C$8,0.1*Reference!$C$8)*(1+Reference!$C$11*(IF(MONTH($A232)=Reference!$C$4,1,0)+IF(MONTH($A232)=Reference!$C$5,1,0))+(IF(MONTH($A232)=Reference!$C$6,Reference!$C$13,0))),0)</f>
        <v>344</v>
      </c>
      <c r="C232" s="11">
        <f ca="1">B232*Reference!$C$7*(1-IF(MONTH($A232)=Reference!$C$6,1,0)*Reference!$C$12)</f>
        <v>319920</v>
      </c>
      <c r="D232" s="10">
        <f ca="1">ROUND(_xlfn.NORM.INV(RAND(),Reference!$D$8,0.1*Reference!$D$8)*(1+Reference!$D$11*(IF(MONTH($A232)=Reference!$D$4,1,0)+IF(MONTH($A232)=Reference!$D$5,1,0))+(IF(MONTH($A232)=Reference!$D$6,Reference!$D$13,0))),0)</f>
        <v>482</v>
      </c>
      <c r="E232" s="11">
        <f ca="1">D232*Reference!$D$7*(1-IF(MONTH($A232)=Reference!$D$6,1,0)*Reference!$D$12)</f>
        <v>361500</v>
      </c>
      <c r="L232" s="16"/>
      <c r="M232" s="20"/>
      <c r="N232" s="20"/>
      <c r="O232" s="19"/>
      <c r="P232" s="10"/>
      <c r="Q232" s="10"/>
      <c r="R232" s="10"/>
      <c r="S232" s="10"/>
      <c r="T232" s="10"/>
      <c r="U232" s="10"/>
      <c r="V232" s="10"/>
      <c r="W232" s="10"/>
      <c r="X232" s="10"/>
      <c r="Y232" s="10"/>
    </row>
    <row r="233" spans="1:25" x14ac:dyDescent="0.25">
      <c r="A233" s="9">
        <v>40771</v>
      </c>
      <c r="B233" s="10">
        <f ca="1">ROUND(_xlfn.NORM.INV(RAND(),Reference!$C$8,0.1*Reference!$C$8)*(1+Reference!$C$11*(IF(MONTH($A233)=Reference!$C$4,1,0)+IF(MONTH($A233)=Reference!$C$5,1,0))+(IF(MONTH($A233)=Reference!$C$6,Reference!$C$13,0))),0)</f>
        <v>349</v>
      </c>
      <c r="C233" s="11">
        <f ca="1">B233*Reference!$C$7*(1-IF(MONTH($A233)=Reference!$C$6,1,0)*Reference!$C$12)</f>
        <v>324570</v>
      </c>
      <c r="D233" s="10">
        <f ca="1">ROUND(_xlfn.NORM.INV(RAND(),Reference!$D$8,0.1*Reference!$D$8)*(1+Reference!$D$11*(IF(MONTH($A233)=Reference!$D$4,1,0)+IF(MONTH($A233)=Reference!$D$5,1,0))+(IF(MONTH($A233)=Reference!$D$6,Reference!$D$13,0))),0)</f>
        <v>484</v>
      </c>
      <c r="E233" s="11">
        <f ca="1">D233*Reference!$D$7*(1-IF(MONTH($A233)=Reference!$D$6,1,0)*Reference!$D$12)</f>
        <v>363000</v>
      </c>
      <c r="L233" s="16"/>
      <c r="M233" s="20"/>
      <c r="N233" s="20"/>
      <c r="O233" s="19"/>
      <c r="P233" s="10"/>
      <c r="Q233" s="10"/>
      <c r="R233" s="10"/>
      <c r="S233" s="10"/>
      <c r="T233" s="10"/>
      <c r="U233" s="10"/>
      <c r="V233" s="10"/>
      <c r="W233" s="10"/>
      <c r="X233" s="10"/>
      <c r="Y233" s="10"/>
    </row>
    <row r="234" spans="1:25" x14ac:dyDescent="0.25">
      <c r="A234" s="9">
        <v>40772</v>
      </c>
      <c r="B234" s="10">
        <f ca="1">ROUND(_xlfn.NORM.INV(RAND(),Reference!$C$8,0.1*Reference!$C$8)*(1+Reference!$C$11*(IF(MONTH($A234)=Reference!$C$4,1,0)+IF(MONTH($A234)=Reference!$C$5,1,0))+(IF(MONTH($A234)=Reference!$C$6,Reference!$C$13,0))),0)</f>
        <v>341</v>
      </c>
      <c r="C234" s="11">
        <f ca="1">B234*Reference!$C$7*(1-IF(MONTH($A234)=Reference!$C$6,1,0)*Reference!$C$12)</f>
        <v>317130</v>
      </c>
      <c r="D234" s="10">
        <f ca="1">ROUND(_xlfn.NORM.INV(RAND(),Reference!$D$8,0.1*Reference!$D$8)*(1+Reference!$D$11*(IF(MONTH($A234)=Reference!$D$4,1,0)+IF(MONTH($A234)=Reference!$D$5,1,0))+(IF(MONTH($A234)=Reference!$D$6,Reference!$D$13,0))),0)</f>
        <v>499</v>
      </c>
      <c r="E234" s="11">
        <f ca="1">D234*Reference!$D$7*(1-IF(MONTH($A234)=Reference!$D$6,1,0)*Reference!$D$12)</f>
        <v>374250</v>
      </c>
      <c r="L234" s="16"/>
      <c r="M234" s="20"/>
      <c r="N234" s="20"/>
      <c r="O234" s="19"/>
      <c r="P234" s="10"/>
      <c r="Q234" s="10"/>
      <c r="R234" s="10"/>
      <c r="S234" s="10"/>
      <c r="T234" s="10"/>
      <c r="U234" s="10"/>
      <c r="V234" s="10"/>
      <c r="W234" s="10"/>
      <c r="X234" s="10"/>
      <c r="Y234" s="10"/>
    </row>
    <row r="235" spans="1:25" x14ac:dyDescent="0.25">
      <c r="A235" s="9">
        <v>40773</v>
      </c>
      <c r="B235" s="10">
        <f ca="1">ROUND(_xlfn.NORM.INV(RAND(),Reference!$C$8,0.1*Reference!$C$8)*(1+Reference!$C$11*(IF(MONTH($A235)=Reference!$C$4,1,0)+IF(MONTH($A235)=Reference!$C$5,1,0))+(IF(MONTH($A235)=Reference!$C$6,Reference!$C$13,0))),0)</f>
        <v>307</v>
      </c>
      <c r="C235" s="11">
        <f ca="1">B235*Reference!$C$7*(1-IF(MONTH($A235)=Reference!$C$6,1,0)*Reference!$C$12)</f>
        <v>285510</v>
      </c>
      <c r="D235" s="10">
        <f ca="1">ROUND(_xlfn.NORM.INV(RAND(),Reference!$D$8,0.1*Reference!$D$8)*(1+Reference!$D$11*(IF(MONTH($A235)=Reference!$D$4,1,0)+IF(MONTH($A235)=Reference!$D$5,1,0))+(IF(MONTH($A235)=Reference!$D$6,Reference!$D$13,0))),0)</f>
        <v>478</v>
      </c>
      <c r="E235" s="11">
        <f ca="1">D235*Reference!$D$7*(1-IF(MONTH($A235)=Reference!$D$6,1,0)*Reference!$D$12)</f>
        <v>358500</v>
      </c>
      <c r="L235" s="16"/>
      <c r="M235" s="20"/>
      <c r="N235" s="20"/>
      <c r="O235" s="19"/>
      <c r="P235" s="10"/>
      <c r="Q235" s="10"/>
      <c r="R235" s="10"/>
      <c r="S235" s="10"/>
      <c r="T235" s="10"/>
      <c r="U235" s="10"/>
      <c r="V235" s="10"/>
      <c r="W235" s="10"/>
      <c r="X235" s="10"/>
      <c r="Y235" s="10"/>
    </row>
    <row r="236" spans="1:25" x14ac:dyDescent="0.25">
      <c r="A236" s="9">
        <v>40774</v>
      </c>
      <c r="B236" s="10">
        <f ca="1">ROUND(_xlfn.NORM.INV(RAND(),Reference!$C$8,0.1*Reference!$C$8)*(1+Reference!$C$11*(IF(MONTH($A236)=Reference!$C$4,1,0)+IF(MONTH($A236)=Reference!$C$5,1,0))+(IF(MONTH($A236)=Reference!$C$6,Reference!$C$13,0))),0)</f>
        <v>351</v>
      </c>
      <c r="C236" s="11">
        <f ca="1">B236*Reference!$C$7*(1-IF(MONTH($A236)=Reference!$C$6,1,0)*Reference!$C$12)</f>
        <v>326430</v>
      </c>
      <c r="D236" s="10">
        <f ca="1">ROUND(_xlfn.NORM.INV(RAND(),Reference!$D$8,0.1*Reference!$D$8)*(1+Reference!$D$11*(IF(MONTH($A236)=Reference!$D$4,1,0)+IF(MONTH($A236)=Reference!$D$5,1,0))+(IF(MONTH($A236)=Reference!$D$6,Reference!$D$13,0))),0)</f>
        <v>469</v>
      </c>
      <c r="E236" s="11">
        <f ca="1">D236*Reference!$D$7*(1-IF(MONTH($A236)=Reference!$D$6,1,0)*Reference!$D$12)</f>
        <v>351750</v>
      </c>
      <c r="L236" s="16"/>
      <c r="M236" s="20"/>
      <c r="N236" s="20"/>
      <c r="O236" s="19"/>
      <c r="P236" s="10"/>
      <c r="Q236" s="10"/>
      <c r="R236" s="10"/>
      <c r="S236" s="10"/>
      <c r="T236" s="10"/>
      <c r="U236" s="10"/>
      <c r="V236" s="10"/>
      <c r="W236" s="10"/>
      <c r="X236" s="10"/>
      <c r="Y236" s="10"/>
    </row>
    <row r="237" spans="1:25" x14ac:dyDescent="0.25">
      <c r="A237" s="9">
        <v>40775</v>
      </c>
      <c r="B237" s="10">
        <f ca="1">ROUND(_xlfn.NORM.INV(RAND(),Reference!$C$8,0.1*Reference!$C$8)*(1+Reference!$C$11*(IF(MONTH($A237)=Reference!$C$4,1,0)+IF(MONTH($A237)=Reference!$C$5,1,0))+(IF(MONTH($A237)=Reference!$C$6,Reference!$C$13,0))),0)</f>
        <v>428</v>
      </c>
      <c r="C237" s="11">
        <f ca="1">B237*Reference!$C$7*(1-IF(MONTH($A237)=Reference!$C$6,1,0)*Reference!$C$12)</f>
        <v>398040</v>
      </c>
      <c r="D237" s="10">
        <f ca="1">ROUND(_xlfn.NORM.INV(RAND(),Reference!$D$8,0.1*Reference!$D$8)*(1+Reference!$D$11*(IF(MONTH($A237)=Reference!$D$4,1,0)+IF(MONTH($A237)=Reference!$D$5,1,0))+(IF(MONTH($A237)=Reference!$D$6,Reference!$D$13,0))),0)</f>
        <v>480</v>
      </c>
      <c r="E237" s="11">
        <f ca="1">D237*Reference!$D$7*(1-IF(MONTH($A237)=Reference!$D$6,1,0)*Reference!$D$12)</f>
        <v>360000</v>
      </c>
      <c r="L237" s="16"/>
      <c r="M237" s="20"/>
      <c r="N237" s="20"/>
      <c r="O237" s="19"/>
      <c r="P237" s="10"/>
      <c r="Q237" s="10"/>
      <c r="R237" s="10"/>
      <c r="S237" s="10"/>
      <c r="T237" s="10"/>
      <c r="U237" s="10"/>
      <c r="V237" s="10"/>
      <c r="W237" s="10"/>
      <c r="X237" s="10"/>
      <c r="Y237" s="10"/>
    </row>
    <row r="238" spans="1:25" x14ac:dyDescent="0.25">
      <c r="A238" s="9">
        <v>40776</v>
      </c>
      <c r="B238" s="10">
        <f ca="1">ROUND(_xlfn.NORM.INV(RAND(),Reference!$C$8,0.1*Reference!$C$8)*(1+Reference!$C$11*(IF(MONTH($A238)=Reference!$C$4,1,0)+IF(MONTH($A238)=Reference!$C$5,1,0))+(IF(MONTH($A238)=Reference!$C$6,Reference!$C$13,0))),0)</f>
        <v>381</v>
      </c>
      <c r="C238" s="11">
        <f ca="1">B238*Reference!$C$7*(1-IF(MONTH($A238)=Reference!$C$6,1,0)*Reference!$C$12)</f>
        <v>354330</v>
      </c>
      <c r="D238" s="10">
        <f ca="1">ROUND(_xlfn.NORM.INV(RAND(),Reference!$D$8,0.1*Reference!$D$8)*(1+Reference!$D$11*(IF(MONTH($A238)=Reference!$D$4,1,0)+IF(MONTH($A238)=Reference!$D$5,1,0))+(IF(MONTH($A238)=Reference!$D$6,Reference!$D$13,0))),0)</f>
        <v>500</v>
      </c>
      <c r="E238" s="11">
        <f ca="1">D238*Reference!$D$7*(1-IF(MONTH($A238)=Reference!$D$6,1,0)*Reference!$D$12)</f>
        <v>375000</v>
      </c>
      <c r="L238" s="16"/>
      <c r="M238" s="20"/>
      <c r="N238" s="20"/>
      <c r="O238" s="19"/>
      <c r="P238" s="10"/>
      <c r="Q238" s="10"/>
      <c r="R238" s="10"/>
      <c r="S238" s="10"/>
      <c r="T238" s="10"/>
      <c r="U238" s="10"/>
      <c r="V238" s="10"/>
      <c r="W238" s="10"/>
      <c r="X238" s="10"/>
      <c r="Y238" s="10"/>
    </row>
    <row r="239" spans="1:25" x14ac:dyDescent="0.25">
      <c r="A239" s="9">
        <v>40777</v>
      </c>
      <c r="B239" s="10">
        <f ca="1">ROUND(_xlfn.NORM.INV(RAND(),Reference!$C$8,0.1*Reference!$C$8)*(1+Reference!$C$11*(IF(MONTH($A239)=Reference!$C$4,1,0)+IF(MONTH($A239)=Reference!$C$5,1,0))+(IF(MONTH($A239)=Reference!$C$6,Reference!$C$13,0))),0)</f>
        <v>309</v>
      </c>
      <c r="C239" s="11">
        <f ca="1">B239*Reference!$C$7*(1-IF(MONTH($A239)=Reference!$C$6,1,0)*Reference!$C$12)</f>
        <v>287370</v>
      </c>
      <c r="D239" s="10">
        <f ca="1">ROUND(_xlfn.NORM.INV(RAND(),Reference!$D$8,0.1*Reference!$D$8)*(1+Reference!$D$11*(IF(MONTH($A239)=Reference!$D$4,1,0)+IF(MONTH($A239)=Reference!$D$5,1,0))+(IF(MONTH($A239)=Reference!$D$6,Reference!$D$13,0))),0)</f>
        <v>510</v>
      </c>
      <c r="E239" s="11">
        <f ca="1">D239*Reference!$D$7*(1-IF(MONTH($A239)=Reference!$D$6,1,0)*Reference!$D$12)</f>
        <v>382500</v>
      </c>
      <c r="L239" s="16"/>
      <c r="M239" s="20"/>
      <c r="N239" s="20"/>
      <c r="O239" s="19"/>
      <c r="P239" s="10"/>
      <c r="Q239" s="10"/>
      <c r="R239" s="10"/>
      <c r="S239" s="10"/>
      <c r="T239" s="10"/>
      <c r="U239" s="10"/>
      <c r="V239" s="10"/>
      <c r="W239" s="10"/>
      <c r="X239" s="10"/>
      <c r="Y239" s="10"/>
    </row>
    <row r="240" spans="1:25" x14ac:dyDescent="0.25">
      <c r="A240" s="9">
        <v>40778</v>
      </c>
      <c r="B240" s="10">
        <f ca="1">ROUND(_xlfn.NORM.INV(RAND(),Reference!$C$8,0.1*Reference!$C$8)*(1+Reference!$C$11*(IF(MONTH($A240)=Reference!$C$4,1,0)+IF(MONTH($A240)=Reference!$C$5,1,0))+(IF(MONTH($A240)=Reference!$C$6,Reference!$C$13,0))),0)</f>
        <v>307</v>
      </c>
      <c r="C240" s="11">
        <f ca="1">B240*Reference!$C$7*(1-IF(MONTH($A240)=Reference!$C$6,1,0)*Reference!$C$12)</f>
        <v>285510</v>
      </c>
      <c r="D240" s="10">
        <f ca="1">ROUND(_xlfn.NORM.INV(RAND(),Reference!$D$8,0.1*Reference!$D$8)*(1+Reference!$D$11*(IF(MONTH($A240)=Reference!$D$4,1,0)+IF(MONTH($A240)=Reference!$D$5,1,0))+(IF(MONTH($A240)=Reference!$D$6,Reference!$D$13,0))),0)</f>
        <v>473</v>
      </c>
      <c r="E240" s="11">
        <f ca="1">D240*Reference!$D$7*(1-IF(MONTH($A240)=Reference!$D$6,1,0)*Reference!$D$12)</f>
        <v>354750</v>
      </c>
      <c r="L240" s="16"/>
      <c r="M240" s="20"/>
      <c r="N240" s="20"/>
      <c r="O240" s="19"/>
      <c r="P240" s="10"/>
      <c r="Q240" s="10"/>
      <c r="R240" s="10"/>
      <c r="S240" s="10"/>
      <c r="T240" s="10"/>
      <c r="U240" s="10"/>
      <c r="V240" s="10"/>
      <c r="W240" s="10"/>
      <c r="X240" s="10"/>
      <c r="Y240" s="10"/>
    </row>
    <row r="241" spans="1:25" x14ac:dyDescent="0.25">
      <c r="A241" s="9">
        <v>40779</v>
      </c>
      <c r="B241" s="10">
        <f ca="1">ROUND(_xlfn.NORM.INV(RAND(),Reference!$C$8,0.1*Reference!$C$8)*(1+Reference!$C$11*(IF(MONTH($A241)=Reference!$C$4,1,0)+IF(MONTH($A241)=Reference!$C$5,1,0))+(IF(MONTH($A241)=Reference!$C$6,Reference!$C$13,0))),0)</f>
        <v>355</v>
      </c>
      <c r="C241" s="11">
        <f ca="1">B241*Reference!$C$7*(1-IF(MONTH($A241)=Reference!$C$6,1,0)*Reference!$C$12)</f>
        <v>330150</v>
      </c>
      <c r="D241" s="10">
        <f ca="1">ROUND(_xlfn.NORM.INV(RAND(),Reference!$D$8,0.1*Reference!$D$8)*(1+Reference!$D$11*(IF(MONTH($A241)=Reference!$D$4,1,0)+IF(MONTH($A241)=Reference!$D$5,1,0))+(IF(MONTH($A241)=Reference!$D$6,Reference!$D$13,0))),0)</f>
        <v>532</v>
      </c>
      <c r="E241" s="11">
        <f ca="1">D241*Reference!$D$7*(1-IF(MONTH($A241)=Reference!$D$6,1,0)*Reference!$D$12)</f>
        <v>399000</v>
      </c>
      <c r="L241" s="16"/>
      <c r="M241" s="20"/>
      <c r="N241" s="20"/>
      <c r="O241" s="19"/>
      <c r="P241" s="10"/>
      <c r="Q241" s="10"/>
      <c r="R241" s="10"/>
      <c r="S241" s="10"/>
      <c r="T241" s="10"/>
      <c r="U241" s="10"/>
      <c r="V241" s="10"/>
      <c r="W241" s="10"/>
      <c r="X241" s="10"/>
      <c r="Y241" s="10"/>
    </row>
    <row r="242" spans="1:25" x14ac:dyDescent="0.25">
      <c r="A242" s="9">
        <v>40780</v>
      </c>
      <c r="B242" s="10">
        <f ca="1">ROUND(_xlfn.NORM.INV(RAND(),Reference!$C$8,0.1*Reference!$C$8)*(1+Reference!$C$11*(IF(MONTH($A242)=Reference!$C$4,1,0)+IF(MONTH($A242)=Reference!$C$5,1,0))+(IF(MONTH($A242)=Reference!$C$6,Reference!$C$13,0))),0)</f>
        <v>366</v>
      </c>
      <c r="C242" s="11">
        <f ca="1">B242*Reference!$C$7*(1-IF(MONTH($A242)=Reference!$C$6,1,0)*Reference!$C$12)</f>
        <v>340380</v>
      </c>
      <c r="D242" s="10">
        <f ca="1">ROUND(_xlfn.NORM.INV(RAND(),Reference!$D$8,0.1*Reference!$D$8)*(1+Reference!$D$11*(IF(MONTH($A242)=Reference!$D$4,1,0)+IF(MONTH($A242)=Reference!$D$5,1,0))+(IF(MONTH($A242)=Reference!$D$6,Reference!$D$13,0))),0)</f>
        <v>535</v>
      </c>
      <c r="E242" s="11">
        <f ca="1">D242*Reference!$D$7*(1-IF(MONTH($A242)=Reference!$D$6,1,0)*Reference!$D$12)</f>
        <v>401250</v>
      </c>
      <c r="L242" s="16"/>
      <c r="M242" s="20"/>
      <c r="N242" s="20"/>
      <c r="O242" s="19"/>
      <c r="P242" s="10"/>
      <c r="Q242" s="10"/>
      <c r="R242" s="10"/>
      <c r="S242" s="10"/>
      <c r="T242" s="10"/>
      <c r="U242" s="10"/>
      <c r="V242" s="10"/>
      <c r="W242" s="10"/>
      <c r="X242" s="10"/>
      <c r="Y242" s="10"/>
    </row>
    <row r="243" spans="1:25" x14ac:dyDescent="0.25">
      <c r="A243" s="9">
        <v>40781</v>
      </c>
      <c r="B243" s="10">
        <f ca="1">ROUND(_xlfn.NORM.INV(RAND(),Reference!$C$8,0.1*Reference!$C$8)*(1+Reference!$C$11*(IF(MONTH($A243)=Reference!$C$4,1,0)+IF(MONTH($A243)=Reference!$C$5,1,0))+(IF(MONTH($A243)=Reference!$C$6,Reference!$C$13,0))),0)</f>
        <v>352</v>
      </c>
      <c r="C243" s="11">
        <f ca="1">B243*Reference!$C$7*(1-IF(MONTH($A243)=Reference!$C$6,1,0)*Reference!$C$12)</f>
        <v>327360</v>
      </c>
      <c r="D243" s="10">
        <f ca="1">ROUND(_xlfn.NORM.INV(RAND(),Reference!$D$8,0.1*Reference!$D$8)*(1+Reference!$D$11*(IF(MONTH($A243)=Reference!$D$4,1,0)+IF(MONTH($A243)=Reference!$D$5,1,0))+(IF(MONTH($A243)=Reference!$D$6,Reference!$D$13,0))),0)</f>
        <v>422</v>
      </c>
      <c r="E243" s="11">
        <f ca="1">D243*Reference!$D$7*(1-IF(MONTH($A243)=Reference!$D$6,1,0)*Reference!$D$12)</f>
        <v>316500</v>
      </c>
      <c r="L243" s="16"/>
      <c r="M243" s="20"/>
      <c r="N243" s="20"/>
      <c r="O243" s="19"/>
      <c r="P243" s="10"/>
      <c r="Q243" s="10"/>
      <c r="R243" s="10"/>
      <c r="S243" s="10"/>
      <c r="T243" s="10"/>
      <c r="U243" s="10"/>
      <c r="V243" s="10"/>
      <c r="W243" s="10"/>
      <c r="X243" s="10"/>
      <c r="Y243" s="10"/>
    </row>
    <row r="244" spans="1:25" x14ac:dyDescent="0.25">
      <c r="A244" s="9">
        <v>40782</v>
      </c>
      <c r="B244" s="10">
        <f ca="1">ROUND(_xlfn.NORM.INV(RAND(),Reference!$C$8,0.1*Reference!$C$8)*(1+Reference!$C$11*(IF(MONTH($A244)=Reference!$C$4,1,0)+IF(MONTH($A244)=Reference!$C$5,1,0))+(IF(MONTH($A244)=Reference!$C$6,Reference!$C$13,0))),0)</f>
        <v>288</v>
      </c>
      <c r="C244" s="11">
        <f ca="1">B244*Reference!$C$7*(1-IF(MONTH($A244)=Reference!$C$6,1,0)*Reference!$C$12)</f>
        <v>267840</v>
      </c>
      <c r="D244" s="10">
        <f ca="1">ROUND(_xlfn.NORM.INV(RAND(),Reference!$D$8,0.1*Reference!$D$8)*(1+Reference!$D$11*(IF(MONTH($A244)=Reference!$D$4,1,0)+IF(MONTH($A244)=Reference!$D$5,1,0))+(IF(MONTH($A244)=Reference!$D$6,Reference!$D$13,0))),0)</f>
        <v>457</v>
      </c>
      <c r="E244" s="11">
        <f ca="1">D244*Reference!$D$7*(1-IF(MONTH($A244)=Reference!$D$6,1,0)*Reference!$D$12)</f>
        <v>342750</v>
      </c>
      <c r="L244" s="16"/>
      <c r="M244" s="20"/>
      <c r="N244" s="20"/>
      <c r="O244" s="19"/>
      <c r="P244" s="10"/>
      <c r="Q244" s="10"/>
      <c r="R244" s="10"/>
      <c r="S244" s="10"/>
      <c r="T244" s="10"/>
      <c r="U244" s="10"/>
      <c r="V244" s="10"/>
      <c r="W244" s="10"/>
      <c r="X244" s="10"/>
      <c r="Y244" s="10"/>
    </row>
    <row r="245" spans="1:25" x14ac:dyDescent="0.25">
      <c r="A245" s="9">
        <v>40783</v>
      </c>
      <c r="B245" s="10">
        <f ca="1">ROUND(_xlfn.NORM.INV(RAND(),Reference!$C$8,0.1*Reference!$C$8)*(1+Reference!$C$11*(IF(MONTH($A245)=Reference!$C$4,1,0)+IF(MONTH($A245)=Reference!$C$5,1,0))+(IF(MONTH($A245)=Reference!$C$6,Reference!$C$13,0))),0)</f>
        <v>369</v>
      </c>
      <c r="C245" s="11">
        <f ca="1">B245*Reference!$C$7*(1-IF(MONTH($A245)=Reference!$C$6,1,0)*Reference!$C$12)</f>
        <v>343170</v>
      </c>
      <c r="D245" s="10">
        <f ca="1">ROUND(_xlfn.NORM.INV(RAND(),Reference!$D$8,0.1*Reference!$D$8)*(1+Reference!$D$11*(IF(MONTH($A245)=Reference!$D$4,1,0)+IF(MONTH($A245)=Reference!$D$5,1,0))+(IF(MONTH($A245)=Reference!$D$6,Reference!$D$13,0))),0)</f>
        <v>496</v>
      </c>
      <c r="E245" s="11">
        <f ca="1">D245*Reference!$D$7*(1-IF(MONTH($A245)=Reference!$D$6,1,0)*Reference!$D$12)</f>
        <v>372000</v>
      </c>
      <c r="L245" s="16"/>
      <c r="M245" s="20"/>
      <c r="N245" s="20"/>
      <c r="O245" s="19"/>
      <c r="P245" s="10"/>
      <c r="Q245" s="10"/>
      <c r="R245" s="10"/>
      <c r="S245" s="10"/>
      <c r="T245" s="10"/>
      <c r="U245" s="10"/>
      <c r="V245" s="10"/>
      <c r="W245" s="10"/>
      <c r="X245" s="10"/>
      <c r="Y245" s="10"/>
    </row>
    <row r="246" spans="1:25" x14ac:dyDescent="0.25">
      <c r="A246" s="9">
        <v>40784</v>
      </c>
      <c r="B246" s="10">
        <f ca="1">ROUND(_xlfn.NORM.INV(RAND(),Reference!$C$8,0.1*Reference!$C$8)*(1+Reference!$C$11*(IF(MONTH($A246)=Reference!$C$4,1,0)+IF(MONTH($A246)=Reference!$C$5,1,0))+(IF(MONTH($A246)=Reference!$C$6,Reference!$C$13,0))),0)</f>
        <v>390</v>
      </c>
      <c r="C246" s="11">
        <f ca="1">B246*Reference!$C$7*(1-IF(MONTH($A246)=Reference!$C$6,1,0)*Reference!$C$12)</f>
        <v>362700</v>
      </c>
      <c r="D246" s="10">
        <f ca="1">ROUND(_xlfn.NORM.INV(RAND(),Reference!$D$8,0.1*Reference!$D$8)*(1+Reference!$D$11*(IF(MONTH($A246)=Reference!$D$4,1,0)+IF(MONTH($A246)=Reference!$D$5,1,0))+(IF(MONTH($A246)=Reference!$D$6,Reference!$D$13,0))),0)</f>
        <v>450</v>
      </c>
      <c r="E246" s="11">
        <f ca="1">D246*Reference!$D$7*(1-IF(MONTH($A246)=Reference!$D$6,1,0)*Reference!$D$12)</f>
        <v>337500</v>
      </c>
      <c r="L246" s="16"/>
      <c r="M246" s="20"/>
      <c r="N246" s="20"/>
      <c r="O246" s="19"/>
      <c r="P246" s="10"/>
      <c r="Q246" s="10"/>
      <c r="R246" s="10"/>
      <c r="S246" s="10"/>
      <c r="T246" s="10"/>
      <c r="U246" s="10"/>
      <c r="V246" s="10"/>
      <c r="W246" s="10"/>
      <c r="X246" s="10"/>
      <c r="Y246" s="10"/>
    </row>
    <row r="247" spans="1:25" x14ac:dyDescent="0.25">
      <c r="A247" s="9">
        <v>40785</v>
      </c>
      <c r="B247" s="10">
        <f ca="1">ROUND(_xlfn.NORM.INV(RAND(),Reference!$C$8,0.1*Reference!$C$8)*(1+Reference!$C$11*(IF(MONTH($A247)=Reference!$C$4,1,0)+IF(MONTH($A247)=Reference!$C$5,1,0))+(IF(MONTH($A247)=Reference!$C$6,Reference!$C$13,0))),0)</f>
        <v>386</v>
      </c>
      <c r="C247" s="11">
        <f ca="1">B247*Reference!$C$7*(1-IF(MONTH($A247)=Reference!$C$6,1,0)*Reference!$C$12)</f>
        <v>358980</v>
      </c>
      <c r="D247" s="10">
        <f ca="1">ROUND(_xlfn.NORM.INV(RAND(),Reference!$D$8,0.1*Reference!$D$8)*(1+Reference!$D$11*(IF(MONTH($A247)=Reference!$D$4,1,0)+IF(MONTH($A247)=Reference!$D$5,1,0))+(IF(MONTH($A247)=Reference!$D$6,Reference!$D$13,0))),0)</f>
        <v>441</v>
      </c>
      <c r="E247" s="11">
        <f ca="1">D247*Reference!$D$7*(1-IF(MONTH($A247)=Reference!$D$6,1,0)*Reference!$D$12)</f>
        <v>330750</v>
      </c>
      <c r="L247" s="16"/>
      <c r="M247" s="20"/>
      <c r="N247" s="20"/>
      <c r="O247" s="19"/>
      <c r="P247" s="10"/>
      <c r="Q247" s="10"/>
      <c r="R247" s="10"/>
      <c r="S247" s="10"/>
      <c r="T247" s="10"/>
      <c r="U247" s="10"/>
      <c r="V247" s="10"/>
      <c r="W247" s="10"/>
      <c r="X247" s="10"/>
      <c r="Y247" s="10"/>
    </row>
    <row r="248" spans="1:25" x14ac:dyDescent="0.25">
      <c r="A248" s="9">
        <v>40786</v>
      </c>
      <c r="B248" s="10">
        <f ca="1">ROUND(_xlfn.NORM.INV(RAND(),Reference!$C$8,0.1*Reference!$C$8)*(1+Reference!$C$11*(IF(MONTH($A248)=Reference!$C$4,1,0)+IF(MONTH($A248)=Reference!$C$5,1,0))+(IF(MONTH($A248)=Reference!$C$6,Reference!$C$13,0))),0)</f>
        <v>376</v>
      </c>
      <c r="C248" s="11">
        <f ca="1">B248*Reference!$C$7*(1-IF(MONTH($A248)=Reference!$C$6,1,0)*Reference!$C$12)</f>
        <v>349680</v>
      </c>
      <c r="D248" s="10">
        <f ca="1">ROUND(_xlfn.NORM.INV(RAND(),Reference!$D$8,0.1*Reference!$D$8)*(1+Reference!$D$11*(IF(MONTH($A248)=Reference!$D$4,1,0)+IF(MONTH($A248)=Reference!$D$5,1,0))+(IF(MONTH($A248)=Reference!$D$6,Reference!$D$13,0))),0)</f>
        <v>459</v>
      </c>
      <c r="E248" s="11">
        <f ca="1">D248*Reference!$D$7*(1-IF(MONTH($A248)=Reference!$D$6,1,0)*Reference!$D$12)</f>
        <v>344250</v>
      </c>
      <c r="L248" s="16"/>
      <c r="M248" s="20"/>
      <c r="N248" s="20"/>
      <c r="O248" s="19"/>
      <c r="P248" s="10"/>
      <c r="Q248" s="10"/>
      <c r="R248" s="10"/>
      <c r="S248" s="10"/>
      <c r="T248" s="10"/>
      <c r="U248" s="10"/>
      <c r="V248" s="10"/>
      <c r="W248" s="10"/>
      <c r="X248" s="10"/>
      <c r="Y248" s="10"/>
    </row>
    <row r="249" spans="1:25" x14ac:dyDescent="0.25">
      <c r="A249" s="9">
        <v>40787</v>
      </c>
      <c r="B249" s="10">
        <f ca="1">ROUND(_xlfn.NORM.INV(RAND(),Reference!$C$8,0.1*Reference!$C$8)*(1+Reference!$C$11*(IF(MONTH($A249)=Reference!$C$4,1,0)+IF(MONTH($A249)=Reference!$C$5,1,0))+(IF(MONTH($A249)=Reference!$C$6,Reference!$C$13,0))),0)</f>
        <v>370</v>
      </c>
      <c r="C249" s="11">
        <f ca="1">B249*Reference!$C$7*(1-IF(MONTH($A249)=Reference!$C$6,1,0)*Reference!$C$12)</f>
        <v>344100</v>
      </c>
      <c r="D249" s="10">
        <f ca="1">ROUND(_xlfn.NORM.INV(RAND(),Reference!$D$8,0.1*Reference!$D$8)*(1+Reference!$D$11*(IF(MONTH($A249)=Reference!$D$4,1,0)+IF(MONTH($A249)=Reference!$D$5,1,0))+(IF(MONTH($A249)=Reference!$D$6,Reference!$D$13,0))),0)</f>
        <v>592</v>
      </c>
      <c r="E249" s="11">
        <f ca="1">D249*Reference!$D$7*(1-IF(MONTH($A249)=Reference!$D$6,1,0)*Reference!$D$12)</f>
        <v>421800</v>
      </c>
      <c r="L249" s="16"/>
      <c r="M249" s="20"/>
      <c r="N249" s="20"/>
      <c r="O249" s="19"/>
      <c r="P249" s="10"/>
      <c r="Q249" s="10"/>
      <c r="R249" s="10"/>
      <c r="S249" s="10"/>
      <c r="T249" s="10"/>
      <c r="U249" s="10"/>
      <c r="V249" s="10"/>
      <c r="W249" s="10"/>
      <c r="X249" s="10"/>
      <c r="Y249" s="10"/>
    </row>
    <row r="250" spans="1:25" x14ac:dyDescent="0.25">
      <c r="A250" s="9">
        <v>40788</v>
      </c>
      <c r="B250" s="10">
        <f ca="1">ROUND(_xlfn.NORM.INV(RAND(),Reference!$C$8,0.1*Reference!$C$8)*(1+Reference!$C$11*(IF(MONTH($A250)=Reference!$C$4,1,0)+IF(MONTH($A250)=Reference!$C$5,1,0))+(IF(MONTH($A250)=Reference!$C$6,Reference!$C$13,0))),0)</f>
        <v>311</v>
      </c>
      <c r="C250" s="11">
        <f ca="1">B250*Reference!$C$7*(1-IF(MONTH($A250)=Reference!$C$6,1,0)*Reference!$C$12)</f>
        <v>289230</v>
      </c>
      <c r="D250" s="10">
        <f ca="1">ROUND(_xlfn.NORM.INV(RAND(),Reference!$D$8,0.1*Reference!$D$8)*(1+Reference!$D$11*(IF(MONTH($A250)=Reference!$D$4,1,0)+IF(MONTH($A250)=Reference!$D$5,1,0))+(IF(MONTH($A250)=Reference!$D$6,Reference!$D$13,0))),0)</f>
        <v>492</v>
      </c>
      <c r="E250" s="11">
        <f ca="1">D250*Reference!$D$7*(1-IF(MONTH($A250)=Reference!$D$6,1,0)*Reference!$D$12)</f>
        <v>350550</v>
      </c>
      <c r="L250" s="16"/>
      <c r="M250" s="20"/>
      <c r="N250" s="20"/>
      <c r="O250" s="19"/>
      <c r="P250" s="10"/>
      <c r="Q250" s="10"/>
      <c r="R250" s="10"/>
      <c r="S250" s="10"/>
      <c r="T250" s="10"/>
      <c r="U250" s="10"/>
      <c r="V250" s="10"/>
      <c r="W250" s="10"/>
      <c r="X250" s="10"/>
      <c r="Y250" s="10"/>
    </row>
    <row r="251" spans="1:25" x14ac:dyDescent="0.25">
      <c r="A251" s="9">
        <v>40789</v>
      </c>
      <c r="B251" s="10">
        <f ca="1">ROUND(_xlfn.NORM.INV(RAND(),Reference!$C$8,0.1*Reference!$C$8)*(1+Reference!$C$11*(IF(MONTH($A251)=Reference!$C$4,1,0)+IF(MONTH($A251)=Reference!$C$5,1,0))+(IF(MONTH($A251)=Reference!$C$6,Reference!$C$13,0))),0)</f>
        <v>435</v>
      </c>
      <c r="C251" s="11">
        <f ca="1">B251*Reference!$C$7*(1-IF(MONTH($A251)=Reference!$C$6,1,0)*Reference!$C$12)</f>
        <v>404550</v>
      </c>
      <c r="D251" s="10">
        <f ca="1">ROUND(_xlfn.NORM.INV(RAND(),Reference!$D$8,0.1*Reference!$D$8)*(1+Reference!$D$11*(IF(MONTH($A251)=Reference!$D$4,1,0)+IF(MONTH($A251)=Reference!$D$5,1,0))+(IF(MONTH($A251)=Reference!$D$6,Reference!$D$13,0))),0)</f>
        <v>502</v>
      </c>
      <c r="E251" s="11">
        <f ca="1">D251*Reference!$D$7*(1-IF(MONTH($A251)=Reference!$D$6,1,0)*Reference!$D$12)</f>
        <v>357675</v>
      </c>
      <c r="L251" s="16"/>
      <c r="M251" s="20"/>
      <c r="N251" s="20"/>
      <c r="O251" s="19"/>
      <c r="P251" s="10"/>
      <c r="Q251" s="10"/>
      <c r="R251" s="10"/>
      <c r="S251" s="10"/>
      <c r="T251" s="10"/>
      <c r="U251" s="10"/>
      <c r="V251" s="10"/>
      <c r="W251" s="10"/>
      <c r="X251" s="10"/>
      <c r="Y251" s="10"/>
    </row>
    <row r="252" spans="1:25" x14ac:dyDescent="0.25">
      <c r="A252" s="9">
        <v>40790</v>
      </c>
      <c r="B252" s="10">
        <f ca="1">ROUND(_xlfn.NORM.INV(RAND(),Reference!$C$8,0.1*Reference!$C$8)*(1+Reference!$C$11*(IF(MONTH($A252)=Reference!$C$4,1,0)+IF(MONTH($A252)=Reference!$C$5,1,0))+(IF(MONTH($A252)=Reference!$C$6,Reference!$C$13,0))),0)</f>
        <v>361</v>
      </c>
      <c r="C252" s="11">
        <f ca="1">B252*Reference!$C$7*(1-IF(MONTH($A252)=Reference!$C$6,1,0)*Reference!$C$12)</f>
        <v>335730</v>
      </c>
      <c r="D252" s="10">
        <f ca="1">ROUND(_xlfn.NORM.INV(RAND(),Reference!$D$8,0.1*Reference!$D$8)*(1+Reference!$D$11*(IF(MONTH($A252)=Reference!$D$4,1,0)+IF(MONTH($A252)=Reference!$D$5,1,0))+(IF(MONTH($A252)=Reference!$D$6,Reference!$D$13,0))),0)</f>
        <v>531</v>
      </c>
      <c r="E252" s="11">
        <f ca="1">D252*Reference!$D$7*(1-IF(MONTH($A252)=Reference!$D$6,1,0)*Reference!$D$12)</f>
        <v>378337.5</v>
      </c>
      <c r="L252" s="16"/>
      <c r="M252" s="20"/>
      <c r="N252" s="20"/>
      <c r="O252" s="19"/>
      <c r="P252" s="10"/>
      <c r="Q252" s="10"/>
      <c r="R252" s="10"/>
      <c r="S252" s="10"/>
      <c r="T252" s="10"/>
      <c r="U252" s="10"/>
      <c r="V252" s="10"/>
      <c r="W252" s="10"/>
      <c r="X252" s="10"/>
      <c r="Y252" s="10"/>
    </row>
    <row r="253" spans="1:25" x14ac:dyDescent="0.25">
      <c r="A253" s="9">
        <v>40791</v>
      </c>
      <c r="B253" s="10">
        <f ca="1">ROUND(_xlfn.NORM.INV(RAND(),Reference!$C$8,0.1*Reference!$C$8)*(1+Reference!$C$11*(IF(MONTH($A253)=Reference!$C$4,1,0)+IF(MONTH($A253)=Reference!$C$5,1,0))+(IF(MONTH($A253)=Reference!$C$6,Reference!$C$13,0))),0)</f>
        <v>346</v>
      </c>
      <c r="C253" s="11">
        <f ca="1">B253*Reference!$C$7*(1-IF(MONTH($A253)=Reference!$C$6,1,0)*Reference!$C$12)</f>
        <v>321780</v>
      </c>
      <c r="D253" s="10">
        <f ca="1">ROUND(_xlfn.NORM.INV(RAND(),Reference!$D$8,0.1*Reference!$D$8)*(1+Reference!$D$11*(IF(MONTH($A253)=Reference!$D$4,1,0)+IF(MONTH($A253)=Reference!$D$5,1,0))+(IF(MONTH($A253)=Reference!$D$6,Reference!$D$13,0))),0)</f>
        <v>528</v>
      </c>
      <c r="E253" s="11">
        <f ca="1">D253*Reference!$D$7*(1-IF(MONTH($A253)=Reference!$D$6,1,0)*Reference!$D$12)</f>
        <v>376200</v>
      </c>
      <c r="L253" s="16"/>
      <c r="M253" s="20"/>
      <c r="N253" s="20"/>
      <c r="O253" s="19"/>
      <c r="P253" s="10"/>
      <c r="Q253" s="10"/>
      <c r="R253" s="10"/>
      <c r="S253" s="10"/>
      <c r="T253" s="10"/>
      <c r="U253" s="10"/>
      <c r="V253" s="10"/>
      <c r="W253" s="10"/>
      <c r="X253" s="10"/>
      <c r="Y253" s="10"/>
    </row>
    <row r="254" spans="1:25" x14ac:dyDescent="0.25">
      <c r="A254" s="9">
        <v>40792</v>
      </c>
      <c r="B254" s="10">
        <f ca="1">ROUND(_xlfn.NORM.INV(RAND(),Reference!$C$8,0.1*Reference!$C$8)*(1+Reference!$C$11*(IF(MONTH($A254)=Reference!$C$4,1,0)+IF(MONTH($A254)=Reference!$C$5,1,0))+(IF(MONTH($A254)=Reference!$C$6,Reference!$C$13,0))),0)</f>
        <v>390</v>
      </c>
      <c r="C254" s="11">
        <f ca="1">B254*Reference!$C$7*(1-IF(MONTH($A254)=Reference!$C$6,1,0)*Reference!$C$12)</f>
        <v>362700</v>
      </c>
      <c r="D254" s="10">
        <f ca="1">ROUND(_xlfn.NORM.INV(RAND(),Reference!$D$8,0.1*Reference!$D$8)*(1+Reference!$D$11*(IF(MONTH($A254)=Reference!$D$4,1,0)+IF(MONTH($A254)=Reference!$D$5,1,0))+(IF(MONTH($A254)=Reference!$D$6,Reference!$D$13,0))),0)</f>
        <v>471</v>
      </c>
      <c r="E254" s="11">
        <f ca="1">D254*Reference!$D$7*(1-IF(MONTH($A254)=Reference!$D$6,1,0)*Reference!$D$12)</f>
        <v>335587.5</v>
      </c>
      <c r="L254" s="16"/>
      <c r="M254" s="20"/>
      <c r="N254" s="20"/>
      <c r="O254" s="19"/>
      <c r="P254" s="10"/>
      <c r="Q254" s="10"/>
      <c r="R254" s="10"/>
      <c r="S254" s="10"/>
      <c r="T254" s="10"/>
      <c r="U254" s="10"/>
      <c r="V254" s="10"/>
      <c r="W254" s="10"/>
      <c r="X254" s="10"/>
      <c r="Y254" s="10"/>
    </row>
    <row r="255" spans="1:25" x14ac:dyDescent="0.25">
      <c r="A255" s="9">
        <v>40793</v>
      </c>
      <c r="B255" s="10">
        <f ca="1">ROUND(_xlfn.NORM.INV(RAND(),Reference!$C$8,0.1*Reference!$C$8)*(1+Reference!$C$11*(IF(MONTH($A255)=Reference!$C$4,1,0)+IF(MONTH($A255)=Reference!$C$5,1,0))+(IF(MONTH($A255)=Reference!$C$6,Reference!$C$13,0))),0)</f>
        <v>339</v>
      </c>
      <c r="C255" s="11">
        <f ca="1">B255*Reference!$C$7*(1-IF(MONTH($A255)=Reference!$C$6,1,0)*Reference!$C$12)</f>
        <v>315270</v>
      </c>
      <c r="D255" s="10">
        <f ca="1">ROUND(_xlfn.NORM.INV(RAND(),Reference!$D$8,0.1*Reference!$D$8)*(1+Reference!$D$11*(IF(MONTH($A255)=Reference!$D$4,1,0)+IF(MONTH($A255)=Reference!$D$5,1,0))+(IF(MONTH($A255)=Reference!$D$6,Reference!$D$13,0))),0)</f>
        <v>510</v>
      </c>
      <c r="E255" s="11">
        <f ca="1">D255*Reference!$D$7*(1-IF(MONTH($A255)=Reference!$D$6,1,0)*Reference!$D$12)</f>
        <v>363375</v>
      </c>
      <c r="L255" s="16"/>
      <c r="M255" s="20"/>
      <c r="N255" s="20"/>
      <c r="O255" s="19"/>
      <c r="P255" s="10"/>
      <c r="Q255" s="10"/>
      <c r="R255" s="10"/>
      <c r="S255" s="10"/>
      <c r="T255" s="10"/>
      <c r="U255" s="10"/>
      <c r="V255" s="10"/>
      <c r="W255" s="10"/>
      <c r="X255" s="10"/>
      <c r="Y255" s="10"/>
    </row>
    <row r="256" spans="1:25" x14ac:dyDescent="0.25">
      <c r="A256" s="9">
        <v>40794</v>
      </c>
      <c r="B256" s="10">
        <f ca="1">ROUND(_xlfn.NORM.INV(RAND(),Reference!$C$8,0.1*Reference!$C$8)*(1+Reference!$C$11*(IF(MONTH($A256)=Reference!$C$4,1,0)+IF(MONTH($A256)=Reference!$C$5,1,0))+(IF(MONTH($A256)=Reference!$C$6,Reference!$C$13,0))),0)</f>
        <v>378</v>
      </c>
      <c r="C256" s="11">
        <f ca="1">B256*Reference!$C$7*(1-IF(MONTH($A256)=Reference!$C$6,1,0)*Reference!$C$12)</f>
        <v>351540</v>
      </c>
      <c r="D256" s="10">
        <f ca="1">ROUND(_xlfn.NORM.INV(RAND(),Reference!$D$8,0.1*Reference!$D$8)*(1+Reference!$D$11*(IF(MONTH($A256)=Reference!$D$4,1,0)+IF(MONTH($A256)=Reference!$D$5,1,0))+(IF(MONTH($A256)=Reference!$D$6,Reference!$D$13,0))),0)</f>
        <v>628</v>
      </c>
      <c r="E256" s="11">
        <f ca="1">D256*Reference!$D$7*(1-IF(MONTH($A256)=Reference!$D$6,1,0)*Reference!$D$12)</f>
        <v>447450</v>
      </c>
      <c r="L256" s="16"/>
      <c r="M256" s="20"/>
      <c r="N256" s="20"/>
      <c r="O256" s="19"/>
      <c r="P256" s="10"/>
      <c r="Q256" s="10"/>
      <c r="R256" s="10"/>
      <c r="S256" s="10"/>
      <c r="T256" s="10"/>
      <c r="U256" s="10"/>
      <c r="V256" s="10"/>
      <c r="W256" s="10"/>
      <c r="X256" s="10"/>
      <c r="Y256" s="10"/>
    </row>
    <row r="257" spans="1:25" x14ac:dyDescent="0.25">
      <c r="A257" s="9">
        <v>40795</v>
      </c>
      <c r="B257" s="10">
        <f ca="1">ROUND(_xlfn.NORM.INV(RAND(),Reference!$C$8,0.1*Reference!$C$8)*(1+Reference!$C$11*(IF(MONTH($A257)=Reference!$C$4,1,0)+IF(MONTH($A257)=Reference!$C$5,1,0))+(IF(MONTH($A257)=Reference!$C$6,Reference!$C$13,0))),0)</f>
        <v>339</v>
      </c>
      <c r="C257" s="11">
        <f ca="1">B257*Reference!$C$7*(1-IF(MONTH($A257)=Reference!$C$6,1,0)*Reference!$C$12)</f>
        <v>315270</v>
      </c>
      <c r="D257" s="10">
        <f ca="1">ROUND(_xlfn.NORM.INV(RAND(),Reference!$D$8,0.1*Reference!$D$8)*(1+Reference!$D$11*(IF(MONTH($A257)=Reference!$D$4,1,0)+IF(MONTH($A257)=Reference!$D$5,1,0))+(IF(MONTH($A257)=Reference!$D$6,Reference!$D$13,0))),0)</f>
        <v>543</v>
      </c>
      <c r="E257" s="11">
        <f ca="1">D257*Reference!$D$7*(1-IF(MONTH($A257)=Reference!$D$6,1,0)*Reference!$D$12)</f>
        <v>386887.5</v>
      </c>
      <c r="L257" s="16"/>
      <c r="M257" s="20"/>
      <c r="N257" s="20"/>
      <c r="O257" s="19"/>
      <c r="P257" s="10"/>
      <c r="Q257" s="10"/>
      <c r="R257" s="10"/>
      <c r="S257" s="10"/>
      <c r="T257" s="10"/>
      <c r="U257" s="10"/>
      <c r="V257" s="10"/>
      <c r="W257" s="10"/>
      <c r="X257" s="10"/>
      <c r="Y257" s="10"/>
    </row>
    <row r="258" spans="1:25" x14ac:dyDescent="0.25">
      <c r="A258" s="9">
        <v>40796</v>
      </c>
      <c r="B258" s="10">
        <f ca="1">ROUND(_xlfn.NORM.INV(RAND(),Reference!$C$8,0.1*Reference!$C$8)*(1+Reference!$C$11*(IF(MONTH($A258)=Reference!$C$4,1,0)+IF(MONTH($A258)=Reference!$C$5,1,0))+(IF(MONTH($A258)=Reference!$C$6,Reference!$C$13,0))),0)</f>
        <v>345</v>
      </c>
      <c r="C258" s="11">
        <f ca="1">B258*Reference!$C$7*(1-IF(MONTH($A258)=Reference!$C$6,1,0)*Reference!$C$12)</f>
        <v>320850</v>
      </c>
      <c r="D258" s="10">
        <f ca="1">ROUND(_xlfn.NORM.INV(RAND(),Reference!$D$8,0.1*Reference!$D$8)*(1+Reference!$D$11*(IF(MONTH($A258)=Reference!$D$4,1,0)+IF(MONTH($A258)=Reference!$D$5,1,0))+(IF(MONTH($A258)=Reference!$D$6,Reference!$D$13,0))),0)</f>
        <v>566</v>
      </c>
      <c r="E258" s="11">
        <f ca="1">D258*Reference!$D$7*(1-IF(MONTH($A258)=Reference!$D$6,1,0)*Reference!$D$12)</f>
        <v>403275</v>
      </c>
      <c r="L258" s="16"/>
      <c r="M258" s="20"/>
      <c r="N258" s="20"/>
      <c r="O258" s="19"/>
      <c r="P258" s="10"/>
      <c r="Q258" s="10"/>
      <c r="R258" s="10"/>
      <c r="S258" s="10"/>
      <c r="T258" s="10"/>
      <c r="U258" s="10"/>
      <c r="V258" s="10"/>
      <c r="W258" s="10"/>
      <c r="X258" s="10"/>
      <c r="Y258" s="10"/>
    </row>
    <row r="259" spans="1:25" x14ac:dyDescent="0.25">
      <c r="A259" s="9">
        <v>40797</v>
      </c>
      <c r="B259" s="10">
        <f ca="1">ROUND(_xlfn.NORM.INV(RAND(),Reference!$C$8,0.1*Reference!$C$8)*(1+Reference!$C$11*(IF(MONTH($A259)=Reference!$C$4,1,0)+IF(MONTH($A259)=Reference!$C$5,1,0))+(IF(MONTH($A259)=Reference!$C$6,Reference!$C$13,0))),0)</f>
        <v>370</v>
      </c>
      <c r="C259" s="11">
        <f ca="1">B259*Reference!$C$7*(1-IF(MONTH($A259)=Reference!$C$6,1,0)*Reference!$C$12)</f>
        <v>344100</v>
      </c>
      <c r="D259" s="10">
        <f ca="1">ROUND(_xlfn.NORM.INV(RAND(),Reference!$D$8,0.1*Reference!$D$8)*(1+Reference!$D$11*(IF(MONTH($A259)=Reference!$D$4,1,0)+IF(MONTH($A259)=Reference!$D$5,1,0))+(IF(MONTH($A259)=Reference!$D$6,Reference!$D$13,0))),0)</f>
        <v>466</v>
      </c>
      <c r="E259" s="11">
        <f ca="1">D259*Reference!$D$7*(1-IF(MONTH($A259)=Reference!$D$6,1,0)*Reference!$D$12)</f>
        <v>332025</v>
      </c>
      <c r="L259" s="16"/>
      <c r="M259" s="20"/>
      <c r="N259" s="20"/>
      <c r="O259" s="19"/>
      <c r="P259" s="10"/>
      <c r="Q259" s="10"/>
      <c r="R259" s="10"/>
      <c r="S259" s="10"/>
      <c r="T259" s="10"/>
      <c r="U259" s="10"/>
      <c r="V259" s="10"/>
      <c r="W259" s="10"/>
      <c r="X259" s="10"/>
      <c r="Y259" s="10"/>
    </row>
    <row r="260" spans="1:25" x14ac:dyDescent="0.25">
      <c r="A260" s="9">
        <v>40798</v>
      </c>
      <c r="B260" s="10">
        <f ca="1">ROUND(_xlfn.NORM.INV(RAND(),Reference!$C$8,0.1*Reference!$C$8)*(1+Reference!$C$11*(IF(MONTH($A260)=Reference!$C$4,1,0)+IF(MONTH($A260)=Reference!$C$5,1,0))+(IF(MONTH($A260)=Reference!$C$6,Reference!$C$13,0))),0)</f>
        <v>406</v>
      </c>
      <c r="C260" s="11">
        <f ca="1">B260*Reference!$C$7*(1-IF(MONTH($A260)=Reference!$C$6,1,0)*Reference!$C$12)</f>
        <v>377580</v>
      </c>
      <c r="D260" s="10">
        <f ca="1">ROUND(_xlfn.NORM.INV(RAND(),Reference!$D$8,0.1*Reference!$D$8)*(1+Reference!$D$11*(IF(MONTH($A260)=Reference!$D$4,1,0)+IF(MONTH($A260)=Reference!$D$5,1,0))+(IF(MONTH($A260)=Reference!$D$6,Reference!$D$13,0))),0)</f>
        <v>536</v>
      </c>
      <c r="E260" s="11">
        <f ca="1">D260*Reference!$D$7*(1-IF(MONTH($A260)=Reference!$D$6,1,0)*Reference!$D$12)</f>
        <v>381900</v>
      </c>
      <c r="L260" s="16"/>
      <c r="M260" s="20"/>
      <c r="N260" s="20"/>
      <c r="O260" s="19"/>
      <c r="P260" s="10"/>
      <c r="Q260" s="10"/>
      <c r="R260" s="10"/>
      <c r="S260" s="10"/>
      <c r="T260" s="10"/>
      <c r="U260" s="10"/>
      <c r="V260" s="10"/>
      <c r="W260" s="10"/>
      <c r="X260" s="10"/>
      <c r="Y260" s="10"/>
    </row>
    <row r="261" spans="1:25" x14ac:dyDescent="0.25">
      <c r="A261" s="9">
        <v>40799</v>
      </c>
      <c r="B261" s="10">
        <f ca="1">ROUND(_xlfn.NORM.INV(RAND(),Reference!$C$8,0.1*Reference!$C$8)*(1+Reference!$C$11*(IF(MONTH($A261)=Reference!$C$4,1,0)+IF(MONTH($A261)=Reference!$C$5,1,0))+(IF(MONTH($A261)=Reference!$C$6,Reference!$C$13,0))),0)</f>
        <v>366</v>
      </c>
      <c r="C261" s="11">
        <f ca="1">B261*Reference!$C$7*(1-IF(MONTH($A261)=Reference!$C$6,1,0)*Reference!$C$12)</f>
        <v>340380</v>
      </c>
      <c r="D261" s="10">
        <f ca="1">ROUND(_xlfn.NORM.INV(RAND(),Reference!$D$8,0.1*Reference!$D$8)*(1+Reference!$D$11*(IF(MONTH($A261)=Reference!$D$4,1,0)+IF(MONTH($A261)=Reference!$D$5,1,0))+(IF(MONTH($A261)=Reference!$D$6,Reference!$D$13,0))),0)</f>
        <v>387</v>
      </c>
      <c r="E261" s="11">
        <f ca="1">D261*Reference!$D$7*(1-IF(MONTH($A261)=Reference!$D$6,1,0)*Reference!$D$12)</f>
        <v>275737.5</v>
      </c>
      <c r="L261" s="16"/>
      <c r="M261" s="20"/>
      <c r="N261" s="20"/>
      <c r="O261" s="19"/>
      <c r="P261" s="10"/>
      <c r="Q261" s="10"/>
      <c r="R261" s="10"/>
      <c r="S261" s="10"/>
      <c r="T261" s="10"/>
      <c r="U261" s="10"/>
      <c r="V261" s="10"/>
      <c r="W261" s="10"/>
      <c r="X261" s="10"/>
      <c r="Y261" s="10"/>
    </row>
    <row r="262" spans="1:25" x14ac:dyDescent="0.25">
      <c r="A262" s="9">
        <v>40800</v>
      </c>
      <c r="B262" s="10">
        <f ca="1">ROUND(_xlfn.NORM.INV(RAND(),Reference!$C$8,0.1*Reference!$C$8)*(1+Reference!$C$11*(IF(MONTH($A262)=Reference!$C$4,1,0)+IF(MONTH($A262)=Reference!$C$5,1,0))+(IF(MONTH($A262)=Reference!$C$6,Reference!$C$13,0))),0)</f>
        <v>369</v>
      </c>
      <c r="C262" s="11">
        <f ca="1">B262*Reference!$C$7*(1-IF(MONTH($A262)=Reference!$C$6,1,0)*Reference!$C$12)</f>
        <v>343170</v>
      </c>
      <c r="D262" s="10">
        <f ca="1">ROUND(_xlfn.NORM.INV(RAND(),Reference!$D$8,0.1*Reference!$D$8)*(1+Reference!$D$11*(IF(MONTH($A262)=Reference!$D$4,1,0)+IF(MONTH($A262)=Reference!$D$5,1,0))+(IF(MONTH($A262)=Reference!$D$6,Reference!$D$13,0))),0)</f>
        <v>372</v>
      </c>
      <c r="E262" s="11">
        <f ca="1">D262*Reference!$D$7*(1-IF(MONTH($A262)=Reference!$D$6,1,0)*Reference!$D$12)</f>
        <v>265050</v>
      </c>
      <c r="L262" s="16"/>
      <c r="M262" s="20"/>
      <c r="N262" s="20"/>
      <c r="O262" s="19"/>
      <c r="P262" s="10"/>
      <c r="Q262" s="10"/>
      <c r="R262" s="10"/>
      <c r="S262" s="10"/>
      <c r="T262" s="10"/>
      <c r="U262" s="10"/>
      <c r="V262" s="10"/>
      <c r="W262" s="10"/>
      <c r="X262" s="10"/>
      <c r="Y262" s="10"/>
    </row>
    <row r="263" spans="1:25" x14ac:dyDescent="0.25">
      <c r="A263" s="9">
        <v>40801</v>
      </c>
      <c r="B263" s="10">
        <f ca="1">ROUND(_xlfn.NORM.INV(RAND(),Reference!$C$8,0.1*Reference!$C$8)*(1+Reference!$C$11*(IF(MONTH($A263)=Reference!$C$4,1,0)+IF(MONTH($A263)=Reference!$C$5,1,0))+(IF(MONTH($A263)=Reference!$C$6,Reference!$C$13,0))),0)</f>
        <v>367</v>
      </c>
      <c r="C263" s="11">
        <f ca="1">B263*Reference!$C$7*(1-IF(MONTH($A263)=Reference!$C$6,1,0)*Reference!$C$12)</f>
        <v>341310</v>
      </c>
      <c r="D263" s="10">
        <f ca="1">ROUND(_xlfn.NORM.INV(RAND(),Reference!$D$8,0.1*Reference!$D$8)*(1+Reference!$D$11*(IF(MONTH($A263)=Reference!$D$4,1,0)+IF(MONTH($A263)=Reference!$D$5,1,0))+(IF(MONTH($A263)=Reference!$D$6,Reference!$D$13,0))),0)</f>
        <v>438</v>
      </c>
      <c r="E263" s="11">
        <f ca="1">D263*Reference!$D$7*(1-IF(MONTH($A263)=Reference!$D$6,1,0)*Reference!$D$12)</f>
        <v>312075</v>
      </c>
      <c r="L263" s="16"/>
      <c r="M263" s="20"/>
      <c r="N263" s="20"/>
      <c r="O263" s="19"/>
      <c r="P263" s="10"/>
      <c r="Q263" s="10"/>
      <c r="R263" s="10"/>
      <c r="S263" s="10"/>
      <c r="T263" s="10"/>
      <c r="U263" s="10"/>
      <c r="V263" s="10"/>
      <c r="W263" s="10"/>
      <c r="X263" s="10"/>
      <c r="Y263" s="10"/>
    </row>
    <row r="264" spans="1:25" x14ac:dyDescent="0.25">
      <c r="A264" s="9">
        <v>40802</v>
      </c>
      <c r="B264" s="10">
        <f ca="1">ROUND(_xlfn.NORM.INV(RAND(),Reference!$C$8,0.1*Reference!$C$8)*(1+Reference!$C$11*(IF(MONTH($A264)=Reference!$C$4,1,0)+IF(MONTH($A264)=Reference!$C$5,1,0))+(IF(MONTH($A264)=Reference!$C$6,Reference!$C$13,0))),0)</f>
        <v>361</v>
      </c>
      <c r="C264" s="11">
        <f ca="1">B264*Reference!$C$7*(1-IF(MONTH($A264)=Reference!$C$6,1,0)*Reference!$C$12)</f>
        <v>335730</v>
      </c>
      <c r="D264" s="10">
        <f ca="1">ROUND(_xlfn.NORM.INV(RAND(),Reference!$D$8,0.1*Reference!$D$8)*(1+Reference!$D$11*(IF(MONTH($A264)=Reference!$D$4,1,0)+IF(MONTH($A264)=Reference!$D$5,1,0))+(IF(MONTH($A264)=Reference!$D$6,Reference!$D$13,0))),0)</f>
        <v>470</v>
      </c>
      <c r="E264" s="11">
        <f ca="1">D264*Reference!$D$7*(1-IF(MONTH($A264)=Reference!$D$6,1,0)*Reference!$D$12)</f>
        <v>334875</v>
      </c>
      <c r="L264" s="16"/>
      <c r="M264" s="20"/>
      <c r="N264" s="20"/>
      <c r="O264" s="19"/>
      <c r="P264" s="10"/>
      <c r="Q264" s="10"/>
      <c r="R264" s="10"/>
      <c r="S264" s="10"/>
      <c r="T264" s="10"/>
      <c r="U264" s="10"/>
      <c r="V264" s="10"/>
      <c r="W264" s="10"/>
      <c r="X264" s="10"/>
      <c r="Y264" s="10"/>
    </row>
    <row r="265" spans="1:25" x14ac:dyDescent="0.25">
      <c r="A265" s="9">
        <v>40803</v>
      </c>
      <c r="B265" s="10">
        <f ca="1">ROUND(_xlfn.NORM.INV(RAND(),Reference!$C$8,0.1*Reference!$C$8)*(1+Reference!$C$11*(IF(MONTH($A265)=Reference!$C$4,1,0)+IF(MONTH($A265)=Reference!$C$5,1,0))+(IF(MONTH($A265)=Reference!$C$6,Reference!$C$13,0))),0)</f>
        <v>418</v>
      </c>
      <c r="C265" s="11">
        <f ca="1">B265*Reference!$C$7*(1-IF(MONTH($A265)=Reference!$C$6,1,0)*Reference!$C$12)</f>
        <v>388740</v>
      </c>
      <c r="D265" s="10">
        <f ca="1">ROUND(_xlfn.NORM.INV(RAND(),Reference!$D$8,0.1*Reference!$D$8)*(1+Reference!$D$11*(IF(MONTH($A265)=Reference!$D$4,1,0)+IF(MONTH($A265)=Reference!$D$5,1,0))+(IF(MONTH($A265)=Reference!$D$6,Reference!$D$13,0))),0)</f>
        <v>517</v>
      </c>
      <c r="E265" s="11">
        <f ca="1">D265*Reference!$D$7*(1-IF(MONTH($A265)=Reference!$D$6,1,0)*Reference!$D$12)</f>
        <v>368362.5</v>
      </c>
      <c r="L265" s="16"/>
      <c r="M265" s="20"/>
      <c r="N265" s="20"/>
      <c r="O265" s="19"/>
      <c r="P265" s="10"/>
      <c r="Q265" s="10"/>
      <c r="R265" s="10"/>
      <c r="S265" s="10"/>
      <c r="T265" s="10"/>
      <c r="U265" s="10"/>
      <c r="V265" s="10"/>
      <c r="W265" s="10"/>
      <c r="X265" s="10"/>
      <c r="Y265" s="10"/>
    </row>
    <row r="266" spans="1:25" x14ac:dyDescent="0.25">
      <c r="A266" s="9">
        <v>40804</v>
      </c>
      <c r="B266" s="10">
        <f ca="1">ROUND(_xlfn.NORM.INV(RAND(),Reference!$C$8,0.1*Reference!$C$8)*(1+Reference!$C$11*(IF(MONTH($A266)=Reference!$C$4,1,0)+IF(MONTH($A266)=Reference!$C$5,1,0))+(IF(MONTH($A266)=Reference!$C$6,Reference!$C$13,0))),0)</f>
        <v>392</v>
      </c>
      <c r="C266" s="11">
        <f ca="1">B266*Reference!$C$7*(1-IF(MONTH($A266)=Reference!$C$6,1,0)*Reference!$C$12)</f>
        <v>364560</v>
      </c>
      <c r="D266" s="10">
        <f ca="1">ROUND(_xlfn.NORM.INV(RAND(),Reference!$D$8,0.1*Reference!$D$8)*(1+Reference!$D$11*(IF(MONTH($A266)=Reference!$D$4,1,0)+IF(MONTH($A266)=Reference!$D$5,1,0))+(IF(MONTH($A266)=Reference!$D$6,Reference!$D$13,0))),0)</f>
        <v>490</v>
      </c>
      <c r="E266" s="11">
        <f ca="1">D266*Reference!$D$7*(1-IF(MONTH($A266)=Reference!$D$6,1,0)*Reference!$D$12)</f>
        <v>349125</v>
      </c>
      <c r="L266" s="16"/>
      <c r="M266" s="20"/>
      <c r="N266" s="20"/>
      <c r="O266" s="19"/>
      <c r="P266" s="10"/>
      <c r="Q266" s="10"/>
      <c r="R266" s="10"/>
      <c r="S266" s="10"/>
      <c r="T266" s="10"/>
      <c r="U266" s="10"/>
      <c r="V266" s="10"/>
      <c r="W266" s="10"/>
      <c r="X266" s="10"/>
      <c r="Y266" s="10"/>
    </row>
    <row r="267" spans="1:25" x14ac:dyDescent="0.25">
      <c r="A267" s="9">
        <v>40805</v>
      </c>
      <c r="B267" s="10">
        <f ca="1">ROUND(_xlfn.NORM.INV(RAND(),Reference!$C$8,0.1*Reference!$C$8)*(1+Reference!$C$11*(IF(MONTH($A267)=Reference!$C$4,1,0)+IF(MONTH($A267)=Reference!$C$5,1,0))+(IF(MONTH($A267)=Reference!$C$6,Reference!$C$13,0))),0)</f>
        <v>391</v>
      </c>
      <c r="C267" s="11">
        <f ca="1">B267*Reference!$C$7*(1-IF(MONTH($A267)=Reference!$C$6,1,0)*Reference!$C$12)</f>
        <v>363630</v>
      </c>
      <c r="D267" s="10">
        <f ca="1">ROUND(_xlfn.NORM.INV(RAND(),Reference!$D$8,0.1*Reference!$D$8)*(1+Reference!$D$11*(IF(MONTH($A267)=Reference!$D$4,1,0)+IF(MONTH($A267)=Reference!$D$5,1,0))+(IF(MONTH($A267)=Reference!$D$6,Reference!$D$13,0))),0)</f>
        <v>549</v>
      </c>
      <c r="E267" s="11">
        <f ca="1">D267*Reference!$D$7*(1-IF(MONTH($A267)=Reference!$D$6,1,0)*Reference!$D$12)</f>
        <v>391162.5</v>
      </c>
      <c r="L267" s="16"/>
      <c r="M267" s="20"/>
      <c r="N267" s="20"/>
      <c r="O267" s="19"/>
      <c r="P267" s="10"/>
      <c r="Q267" s="10"/>
      <c r="R267" s="10"/>
      <c r="S267" s="10"/>
      <c r="T267" s="10"/>
      <c r="U267" s="10"/>
      <c r="V267" s="10"/>
      <c r="W267" s="10"/>
      <c r="X267" s="10"/>
      <c r="Y267" s="10"/>
    </row>
    <row r="268" spans="1:25" x14ac:dyDescent="0.25">
      <c r="A268" s="9">
        <v>40806</v>
      </c>
      <c r="B268" s="10">
        <f ca="1">ROUND(_xlfn.NORM.INV(RAND(),Reference!$C$8,0.1*Reference!$C$8)*(1+Reference!$C$11*(IF(MONTH($A268)=Reference!$C$4,1,0)+IF(MONTH($A268)=Reference!$C$5,1,0))+(IF(MONTH($A268)=Reference!$C$6,Reference!$C$13,0))),0)</f>
        <v>435</v>
      </c>
      <c r="C268" s="11">
        <f ca="1">B268*Reference!$C$7*(1-IF(MONTH($A268)=Reference!$C$6,1,0)*Reference!$C$12)</f>
        <v>404550</v>
      </c>
      <c r="D268" s="10">
        <f ca="1">ROUND(_xlfn.NORM.INV(RAND(),Reference!$D$8,0.1*Reference!$D$8)*(1+Reference!$D$11*(IF(MONTH($A268)=Reference!$D$4,1,0)+IF(MONTH($A268)=Reference!$D$5,1,0))+(IF(MONTH($A268)=Reference!$D$6,Reference!$D$13,0))),0)</f>
        <v>481</v>
      </c>
      <c r="E268" s="11">
        <f ca="1">D268*Reference!$D$7*(1-IF(MONTH($A268)=Reference!$D$6,1,0)*Reference!$D$12)</f>
        <v>342712.5</v>
      </c>
      <c r="L268" s="16"/>
      <c r="M268" s="20"/>
      <c r="N268" s="20"/>
      <c r="O268" s="19"/>
      <c r="P268" s="10"/>
      <c r="Q268" s="10"/>
      <c r="R268" s="10"/>
      <c r="S268" s="10"/>
      <c r="T268" s="10"/>
      <c r="U268" s="10"/>
      <c r="V268" s="10"/>
      <c r="W268" s="10"/>
      <c r="X268" s="10"/>
      <c r="Y268" s="10"/>
    </row>
    <row r="269" spans="1:25" x14ac:dyDescent="0.25">
      <c r="A269" s="9">
        <v>40807</v>
      </c>
      <c r="B269" s="10">
        <f ca="1">ROUND(_xlfn.NORM.INV(RAND(),Reference!$C$8,0.1*Reference!$C$8)*(1+Reference!$C$11*(IF(MONTH($A269)=Reference!$C$4,1,0)+IF(MONTH($A269)=Reference!$C$5,1,0))+(IF(MONTH($A269)=Reference!$C$6,Reference!$C$13,0))),0)</f>
        <v>385</v>
      </c>
      <c r="C269" s="11">
        <f ca="1">B269*Reference!$C$7*(1-IF(MONTH($A269)=Reference!$C$6,1,0)*Reference!$C$12)</f>
        <v>358050</v>
      </c>
      <c r="D269" s="10">
        <f ca="1">ROUND(_xlfn.NORM.INV(RAND(),Reference!$D$8,0.1*Reference!$D$8)*(1+Reference!$D$11*(IF(MONTH($A269)=Reference!$D$4,1,0)+IF(MONTH($A269)=Reference!$D$5,1,0))+(IF(MONTH($A269)=Reference!$D$6,Reference!$D$13,0))),0)</f>
        <v>507</v>
      </c>
      <c r="E269" s="11">
        <f ca="1">D269*Reference!$D$7*(1-IF(MONTH($A269)=Reference!$D$6,1,0)*Reference!$D$12)</f>
        <v>361237.5</v>
      </c>
      <c r="L269" s="16"/>
      <c r="M269" s="20"/>
      <c r="N269" s="20"/>
      <c r="O269" s="19"/>
      <c r="P269" s="10"/>
      <c r="Q269" s="10"/>
      <c r="R269" s="10"/>
      <c r="S269" s="10"/>
      <c r="T269" s="10"/>
      <c r="U269" s="10"/>
      <c r="V269" s="10"/>
      <c r="W269" s="10"/>
      <c r="X269" s="10"/>
      <c r="Y269" s="10"/>
    </row>
    <row r="270" spans="1:25" x14ac:dyDescent="0.25">
      <c r="A270" s="9">
        <v>40808</v>
      </c>
      <c r="B270" s="10">
        <f ca="1">ROUND(_xlfn.NORM.INV(RAND(),Reference!$C$8,0.1*Reference!$C$8)*(1+Reference!$C$11*(IF(MONTH($A270)=Reference!$C$4,1,0)+IF(MONTH($A270)=Reference!$C$5,1,0))+(IF(MONTH($A270)=Reference!$C$6,Reference!$C$13,0))),0)</f>
        <v>327</v>
      </c>
      <c r="C270" s="11">
        <f ca="1">B270*Reference!$C$7*(1-IF(MONTH($A270)=Reference!$C$6,1,0)*Reference!$C$12)</f>
        <v>304110</v>
      </c>
      <c r="D270" s="10">
        <f ca="1">ROUND(_xlfn.NORM.INV(RAND(),Reference!$D$8,0.1*Reference!$D$8)*(1+Reference!$D$11*(IF(MONTH($A270)=Reference!$D$4,1,0)+IF(MONTH($A270)=Reference!$D$5,1,0))+(IF(MONTH($A270)=Reference!$D$6,Reference!$D$13,0))),0)</f>
        <v>511</v>
      </c>
      <c r="E270" s="11">
        <f ca="1">D270*Reference!$D$7*(1-IF(MONTH($A270)=Reference!$D$6,1,0)*Reference!$D$12)</f>
        <v>364087.5</v>
      </c>
      <c r="L270" s="16"/>
      <c r="M270" s="20"/>
      <c r="N270" s="20"/>
      <c r="O270" s="19"/>
      <c r="P270" s="10"/>
      <c r="Q270" s="10"/>
      <c r="R270" s="10"/>
      <c r="S270" s="10"/>
      <c r="T270" s="10"/>
      <c r="U270" s="10"/>
      <c r="V270" s="10"/>
      <c r="W270" s="10"/>
      <c r="X270" s="10"/>
      <c r="Y270" s="10"/>
    </row>
    <row r="271" spans="1:25" x14ac:dyDescent="0.25">
      <c r="A271" s="9">
        <v>40809</v>
      </c>
      <c r="B271" s="10">
        <f ca="1">ROUND(_xlfn.NORM.INV(RAND(),Reference!$C$8,0.1*Reference!$C$8)*(1+Reference!$C$11*(IF(MONTH($A271)=Reference!$C$4,1,0)+IF(MONTH($A271)=Reference!$C$5,1,0))+(IF(MONTH($A271)=Reference!$C$6,Reference!$C$13,0))),0)</f>
        <v>352</v>
      </c>
      <c r="C271" s="11">
        <f ca="1">B271*Reference!$C$7*(1-IF(MONTH($A271)=Reference!$C$6,1,0)*Reference!$C$12)</f>
        <v>327360</v>
      </c>
      <c r="D271" s="10">
        <f ca="1">ROUND(_xlfn.NORM.INV(RAND(),Reference!$D$8,0.1*Reference!$D$8)*(1+Reference!$D$11*(IF(MONTH($A271)=Reference!$D$4,1,0)+IF(MONTH($A271)=Reference!$D$5,1,0))+(IF(MONTH($A271)=Reference!$D$6,Reference!$D$13,0))),0)</f>
        <v>451</v>
      </c>
      <c r="E271" s="11">
        <f ca="1">D271*Reference!$D$7*(1-IF(MONTH($A271)=Reference!$D$6,1,0)*Reference!$D$12)</f>
        <v>321337.5</v>
      </c>
      <c r="L271" s="16"/>
      <c r="M271" s="20"/>
      <c r="N271" s="20"/>
      <c r="O271" s="19"/>
      <c r="P271" s="10"/>
      <c r="Q271" s="10"/>
      <c r="R271" s="10"/>
      <c r="S271" s="10"/>
      <c r="T271" s="10"/>
      <c r="U271" s="10"/>
      <c r="V271" s="10"/>
      <c r="W271" s="10"/>
      <c r="X271" s="10"/>
      <c r="Y271" s="10"/>
    </row>
    <row r="272" spans="1:25" x14ac:dyDescent="0.25">
      <c r="A272" s="9">
        <v>40810</v>
      </c>
      <c r="B272" s="10">
        <f ca="1">ROUND(_xlfn.NORM.INV(RAND(),Reference!$C$8,0.1*Reference!$C$8)*(1+Reference!$C$11*(IF(MONTH($A272)=Reference!$C$4,1,0)+IF(MONTH($A272)=Reference!$C$5,1,0))+(IF(MONTH($A272)=Reference!$C$6,Reference!$C$13,0))),0)</f>
        <v>335</v>
      </c>
      <c r="C272" s="11">
        <f ca="1">B272*Reference!$C$7*(1-IF(MONTH($A272)=Reference!$C$6,1,0)*Reference!$C$12)</f>
        <v>311550</v>
      </c>
      <c r="D272" s="10">
        <f ca="1">ROUND(_xlfn.NORM.INV(RAND(),Reference!$D$8,0.1*Reference!$D$8)*(1+Reference!$D$11*(IF(MONTH($A272)=Reference!$D$4,1,0)+IF(MONTH($A272)=Reference!$D$5,1,0))+(IF(MONTH($A272)=Reference!$D$6,Reference!$D$13,0))),0)</f>
        <v>470</v>
      </c>
      <c r="E272" s="11">
        <f ca="1">D272*Reference!$D$7*(1-IF(MONTH($A272)=Reference!$D$6,1,0)*Reference!$D$12)</f>
        <v>334875</v>
      </c>
      <c r="L272" s="16"/>
      <c r="M272" s="20"/>
      <c r="N272" s="20"/>
      <c r="O272" s="19"/>
      <c r="P272" s="10"/>
      <c r="Q272" s="10"/>
      <c r="R272" s="10"/>
      <c r="S272" s="10"/>
      <c r="T272" s="10"/>
      <c r="U272" s="10"/>
      <c r="V272" s="10"/>
      <c r="W272" s="10"/>
      <c r="X272" s="10"/>
      <c r="Y272" s="10"/>
    </row>
    <row r="273" spans="1:25" x14ac:dyDescent="0.25">
      <c r="A273" s="9">
        <v>40811</v>
      </c>
      <c r="B273" s="10">
        <f ca="1">ROUND(_xlfn.NORM.INV(RAND(),Reference!$C$8,0.1*Reference!$C$8)*(1+Reference!$C$11*(IF(MONTH($A273)=Reference!$C$4,1,0)+IF(MONTH($A273)=Reference!$C$5,1,0))+(IF(MONTH($A273)=Reference!$C$6,Reference!$C$13,0))),0)</f>
        <v>355</v>
      </c>
      <c r="C273" s="11">
        <f ca="1">B273*Reference!$C$7*(1-IF(MONTH($A273)=Reference!$C$6,1,0)*Reference!$C$12)</f>
        <v>330150</v>
      </c>
      <c r="D273" s="10">
        <f ca="1">ROUND(_xlfn.NORM.INV(RAND(),Reference!$D$8,0.1*Reference!$D$8)*(1+Reference!$D$11*(IF(MONTH($A273)=Reference!$D$4,1,0)+IF(MONTH($A273)=Reference!$D$5,1,0))+(IF(MONTH($A273)=Reference!$D$6,Reference!$D$13,0))),0)</f>
        <v>546</v>
      </c>
      <c r="E273" s="11">
        <f ca="1">D273*Reference!$D$7*(1-IF(MONTH($A273)=Reference!$D$6,1,0)*Reference!$D$12)</f>
        <v>389025</v>
      </c>
      <c r="L273" s="16"/>
      <c r="M273" s="20"/>
      <c r="N273" s="20"/>
      <c r="O273" s="19"/>
      <c r="P273" s="10"/>
      <c r="Q273" s="10"/>
      <c r="R273" s="10"/>
      <c r="S273" s="10"/>
      <c r="T273" s="10"/>
      <c r="U273" s="10"/>
      <c r="V273" s="10"/>
      <c r="W273" s="10"/>
      <c r="X273" s="10"/>
      <c r="Y273" s="10"/>
    </row>
    <row r="274" spans="1:25" x14ac:dyDescent="0.25">
      <c r="A274" s="9">
        <v>40812</v>
      </c>
      <c r="B274" s="10">
        <f ca="1">ROUND(_xlfn.NORM.INV(RAND(),Reference!$C$8,0.1*Reference!$C$8)*(1+Reference!$C$11*(IF(MONTH($A274)=Reference!$C$4,1,0)+IF(MONTH($A274)=Reference!$C$5,1,0))+(IF(MONTH($A274)=Reference!$C$6,Reference!$C$13,0))),0)</f>
        <v>323</v>
      </c>
      <c r="C274" s="11">
        <f ca="1">B274*Reference!$C$7*(1-IF(MONTH($A274)=Reference!$C$6,1,0)*Reference!$C$12)</f>
        <v>300390</v>
      </c>
      <c r="D274" s="10">
        <f ca="1">ROUND(_xlfn.NORM.INV(RAND(),Reference!$D$8,0.1*Reference!$D$8)*(1+Reference!$D$11*(IF(MONTH($A274)=Reference!$D$4,1,0)+IF(MONTH($A274)=Reference!$D$5,1,0))+(IF(MONTH($A274)=Reference!$D$6,Reference!$D$13,0))),0)</f>
        <v>475</v>
      </c>
      <c r="E274" s="11">
        <f ca="1">D274*Reference!$D$7*(1-IF(MONTH($A274)=Reference!$D$6,1,0)*Reference!$D$12)</f>
        <v>338437.5</v>
      </c>
      <c r="L274" s="16"/>
      <c r="M274" s="20"/>
      <c r="N274" s="20"/>
      <c r="O274" s="19"/>
      <c r="P274" s="10"/>
      <c r="Q274" s="10"/>
      <c r="R274" s="10"/>
      <c r="S274" s="10"/>
      <c r="T274" s="10"/>
      <c r="U274" s="10"/>
      <c r="V274" s="10"/>
      <c r="W274" s="10"/>
      <c r="X274" s="10"/>
      <c r="Y274" s="10"/>
    </row>
    <row r="275" spans="1:25" x14ac:dyDescent="0.25">
      <c r="A275" s="9">
        <v>40813</v>
      </c>
      <c r="B275" s="10">
        <f ca="1">ROUND(_xlfn.NORM.INV(RAND(),Reference!$C$8,0.1*Reference!$C$8)*(1+Reference!$C$11*(IF(MONTH($A275)=Reference!$C$4,1,0)+IF(MONTH($A275)=Reference!$C$5,1,0))+(IF(MONTH($A275)=Reference!$C$6,Reference!$C$13,0))),0)</f>
        <v>309</v>
      </c>
      <c r="C275" s="11">
        <f ca="1">B275*Reference!$C$7*(1-IF(MONTH($A275)=Reference!$C$6,1,0)*Reference!$C$12)</f>
        <v>287370</v>
      </c>
      <c r="D275" s="10">
        <f ca="1">ROUND(_xlfn.NORM.INV(RAND(),Reference!$D$8,0.1*Reference!$D$8)*(1+Reference!$D$11*(IF(MONTH($A275)=Reference!$D$4,1,0)+IF(MONTH($A275)=Reference!$D$5,1,0))+(IF(MONTH($A275)=Reference!$D$6,Reference!$D$13,0))),0)</f>
        <v>514</v>
      </c>
      <c r="E275" s="11">
        <f ca="1">D275*Reference!$D$7*(1-IF(MONTH($A275)=Reference!$D$6,1,0)*Reference!$D$12)</f>
        <v>366225</v>
      </c>
      <c r="L275" s="16"/>
      <c r="M275" s="20"/>
      <c r="N275" s="20"/>
      <c r="O275" s="19"/>
      <c r="P275" s="10"/>
      <c r="Q275" s="10"/>
      <c r="R275" s="10"/>
      <c r="S275" s="10"/>
      <c r="T275" s="10"/>
      <c r="U275" s="10"/>
      <c r="V275" s="10"/>
      <c r="W275" s="10"/>
      <c r="X275" s="10"/>
      <c r="Y275" s="10"/>
    </row>
    <row r="276" spans="1:25" x14ac:dyDescent="0.25">
      <c r="A276" s="9">
        <v>40814</v>
      </c>
      <c r="B276" s="10">
        <f ca="1">ROUND(_xlfn.NORM.INV(RAND(),Reference!$C$8,0.1*Reference!$C$8)*(1+Reference!$C$11*(IF(MONTH($A276)=Reference!$C$4,1,0)+IF(MONTH($A276)=Reference!$C$5,1,0))+(IF(MONTH($A276)=Reference!$C$6,Reference!$C$13,0))),0)</f>
        <v>407</v>
      </c>
      <c r="C276" s="11">
        <f ca="1">B276*Reference!$C$7*(1-IF(MONTH($A276)=Reference!$C$6,1,0)*Reference!$C$12)</f>
        <v>378510</v>
      </c>
      <c r="D276" s="10">
        <f ca="1">ROUND(_xlfn.NORM.INV(RAND(),Reference!$D$8,0.1*Reference!$D$8)*(1+Reference!$D$11*(IF(MONTH($A276)=Reference!$D$4,1,0)+IF(MONTH($A276)=Reference!$D$5,1,0))+(IF(MONTH($A276)=Reference!$D$6,Reference!$D$13,0))),0)</f>
        <v>467</v>
      </c>
      <c r="E276" s="11">
        <f ca="1">D276*Reference!$D$7*(1-IF(MONTH($A276)=Reference!$D$6,1,0)*Reference!$D$12)</f>
        <v>332737.5</v>
      </c>
      <c r="L276" s="16"/>
      <c r="M276" s="20"/>
      <c r="N276" s="20"/>
      <c r="O276" s="19"/>
      <c r="P276" s="10"/>
      <c r="Q276" s="10"/>
      <c r="R276" s="10"/>
      <c r="S276" s="10"/>
      <c r="T276" s="10"/>
      <c r="U276" s="10"/>
      <c r="V276" s="10"/>
      <c r="W276" s="10"/>
      <c r="X276" s="10"/>
      <c r="Y276" s="10"/>
    </row>
    <row r="277" spans="1:25" x14ac:dyDescent="0.25">
      <c r="A277" s="9">
        <v>40815</v>
      </c>
      <c r="B277" s="10">
        <f ca="1">ROUND(_xlfn.NORM.INV(RAND(),Reference!$C$8,0.1*Reference!$C$8)*(1+Reference!$C$11*(IF(MONTH($A277)=Reference!$C$4,1,0)+IF(MONTH($A277)=Reference!$C$5,1,0))+(IF(MONTH($A277)=Reference!$C$6,Reference!$C$13,0))),0)</f>
        <v>357</v>
      </c>
      <c r="C277" s="11">
        <f ca="1">B277*Reference!$C$7*(1-IF(MONTH($A277)=Reference!$C$6,1,0)*Reference!$C$12)</f>
        <v>332010</v>
      </c>
      <c r="D277" s="10">
        <f ca="1">ROUND(_xlfn.NORM.INV(RAND(),Reference!$D$8,0.1*Reference!$D$8)*(1+Reference!$D$11*(IF(MONTH($A277)=Reference!$D$4,1,0)+IF(MONTH($A277)=Reference!$D$5,1,0))+(IF(MONTH($A277)=Reference!$D$6,Reference!$D$13,0))),0)</f>
        <v>513</v>
      </c>
      <c r="E277" s="11">
        <f ca="1">D277*Reference!$D$7*(1-IF(MONTH($A277)=Reference!$D$6,1,0)*Reference!$D$12)</f>
        <v>365512.5</v>
      </c>
      <c r="L277" s="16"/>
      <c r="M277" s="20"/>
      <c r="N277" s="20"/>
      <c r="O277" s="19"/>
      <c r="P277" s="10"/>
      <c r="Q277" s="10"/>
      <c r="R277" s="10"/>
      <c r="S277" s="10"/>
      <c r="T277" s="10"/>
      <c r="U277" s="10"/>
      <c r="V277" s="10"/>
      <c r="W277" s="10"/>
      <c r="X277" s="10"/>
      <c r="Y277" s="10"/>
    </row>
    <row r="278" spans="1:25" x14ac:dyDescent="0.25">
      <c r="A278" s="9">
        <v>40816</v>
      </c>
      <c r="B278" s="10">
        <f ca="1">ROUND(_xlfn.NORM.INV(RAND(),Reference!$C$8,0.1*Reference!$C$8)*(1+Reference!$C$11*(IF(MONTH($A278)=Reference!$C$4,1,0)+IF(MONTH($A278)=Reference!$C$5,1,0))+(IF(MONTH($A278)=Reference!$C$6,Reference!$C$13,0))),0)</f>
        <v>392</v>
      </c>
      <c r="C278" s="11">
        <f ca="1">B278*Reference!$C$7*(1-IF(MONTH($A278)=Reference!$C$6,1,0)*Reference!$C$12)</f>
        <v>364560</v>
      </c>
      <c r="D278" s="10">
        <f ca="1">ROUND(_xlfn.NORM.INV(RAND(),Reference!$D$8,0.1*Reference!$D$8)*(1+Reference!$D$11*(IF(MONTH($A278)=Reference!$D$4,1,0)+IF(MONTH($A278)=Reference!$D$5,1,0))+(IF(MONTH($A278)=Reference!$D$6,Reference!$D$13,0))),0)</f>
        <v>536</v>
      </c>
      <c r="E278" s="11">
        <f ca="1">D278*Reference!$D$7*(1-IF(MONTH($A278)=Reference!$D$6,1,0)*Reference!$D$12)</f>
        <v>381900</v>
      </c>
      <c r="L278" s="16"/>
      <c r="M278" s="20"/>
      <c r="N278" s="20"/>
      <c r="O278" s="19"/>
      <c r="P278" s="10"/>
      <c r="Q278" s="10"/>
      <c r="R278" s="10"/>
      <c r="S278" s="10"/>
      <c r="T278" s="10"/>
      <c r="U278" s="10"/>
      <c r="V278" s="10"/>
      <c r="W278" s="10"/>
      <c r="X278" s="10"/>
      <c r="Y278" s="10"/>
    </row>
    <row r="279" spans="1:25" x14ac:dyDescent="0.25">
      <c r="A279" s="9">
        <v>40817</v>
      </c>
      <c r="B279" s="10">
        <f ca="1">ROUND(_xlfn.NORM.INV(RAND(),Reference!$C$8,0.1*Reference!$C$8)*(1+Reference!$C$11*(IF(MONTH($A279)=Reference!$C$4,1,0)+IF(MONTH($A279)=Reference!$C$5,1,0))+(IF(MONTH($A279)=Reference!$C$6,Reference!$C$13,0))),0)</f>
        <v>385</v>
      </c>
      <c r="C279" s="11">
        <f ca="1">B279*Reference!$C$7*(1-IF(MONTH($A279)=Reference!$C$6,1,0)*Reference!$C$12)</f>
        <v>358050</v>
      </c>
      <c r="D279" s="10">
        <f ca="1">ROUND(_xlfn.NORM.INV(RAND(),Reference!$D$8,0.1*Reference!$D$8)*(1+Reference!$D$11*(IF(MONTH($A279)=Reference!$D$4,1,0)+IF(MONTH($A279)=Reference!$D$5,1,0))+(IF(MONTH($A279)=Reference!$D$6,Reference!$D$13,0))),0)</f>
        <v>550</v>
      </c>
      <c r="E279" s="11">
        <f ca="1">D279*Reference!$D$7*(1-IF(MONTH($A279)=Reference!$D$6,1,0)*Reference!$D$12)</f>
        <v>412500</v>
      </c>
      <c r="L279" s="16"/>
      <c r="M279" s="20"/>
      <c r="N279" s="20"/>
      <c r="O279" s="19"/>
      <c r="P279" s="10"/>
      <c r="Q279" s="10"/>
      <c r="R279" s="10"/>
      <c r="S279" s="10"/>
      <c r="T279" s="10"/>
      <c r="U279" s="10"/>
      <c r="V279" s="10"/>
      <c r="W279" s="10"/>
      <c r="X279" s="10"/>
      <c r="Y279" s="10"/>
    </row>
    <row r="280" spans="1:25" x14ac:dyDescent="0.25">
      <c r="A280" s="9">
        <v>40818</v>
      </c>
      <c r="B280" s="10">
        <f ca="1">ROUND(_xlfn.NORM.INV(RAND(),Reference!$C$8,0.1*Reference!$C$8)*(1+Reference!$C$11*(IF(MONTH($A280)=Reference!$C$4,1,0)+IF(MONTH($A280)=Reference!$C$5,1,0))+(IF(MONTH($A280)=Reference!$C$6,Reference!$C$13,0))),0)</f>
        <v>343</v>
      </c>
      <c r="C280" s="11">
        <f ca="1">B280*Reference!$C$7*(1-IF(MONTH($A280)=Reference!$C$6,1,0)*Reference!$C$12)</f>
        <v>318990</v>
      </c>
      <c r="D280" s="10">
        <f ca="1">ROUND(_xlfn.NORM.INV(RAND(),Reference!$D$8,0.1*Reference!$D$8)*(1+Reference!$D$11*(IF(MONTH($A280)=Reference!$D$4,1,0)+IF(MONTH($A280)=Reference!$D$5,1,0))+(IF(MONTH($A280)=Reference!$D$6,Reference!$D$13,0))),0)</f>
        <v>466</v>
      </c>
      <c r="E280" s="11">
        <f ca="1">D280*Reference!$D$7*(1-IF(MONTH($A280)=Reference!$D$6,1,0)*Reference!$D$12)</f>
        <v>349500</v>
      </c>
      <c r="L280" s="16"/>
      <c r="M280" s="20"/>
      <c r="N280" s="20"/>
      <c r="O280" s="19"/>
      <c r="P280" s="10"/>
      <c r="Q280" s="10"/>
      <c r="R280" s="10"/>
      <c r="S280" s="10"/>
      <c r="T280" s="10"/>
      <c r="U280" s="10"/>
      <c r="V280" s="10"/>
      <c r="W280" s="10"/>
      <c r="X280" s="10"/>
      <c r="Y280" s="10"/>
    </row>
    <row r="281" spans="1:25" x14ac:dyDescent="0.25">
      <c r="A281" s="9">
        <v>40819</v>
      </c>
      <c r="B281" s="10">
        <f ca="1">ROUND(_xlfn.NORM.INV(RAND(),Reference!$C$8,0.1*Reference!$C$8)*(1+Reference!$C$11*(IF(MONTH($A281)=Reference!$C$4,1,0)+IF(MONTH($A281)=Reference!$C$5,1,0))+(IF(MONTH($A281)=Reference!$C$6,Reference!$C$13,0))),0)</f>
        <v>395</v>
      </c>
      <c r="C281" s="11">
        <f ca="1">B281*Reference!$C$7*(1-IF(MONTH($A281)=Reference!$C$6,1,0)*Reference!$C$12)</f>
        <v>367350</v>
      </c>
      <c r="D281" s="10">
        <f ca="1">ROUND(_xlfn.NORM.INV(RAND(),Reference!$D$8,0.1*Reference!$D$8)*(1+Reference!$D$11*(IF(MONTH($A281)=Reference!$D$4,1,0)+IF(MONTH($A281)=Reference!$D$5,1,0))+(IF(MONTH($A281)=Reference!$D$6,Reference!$D$13,0))),0)</f>
        <v>391</v>
      </c>
      <c r="E281" s="11">
        <f ca="1">D281*Reference!$D$7*(1-IF(MONTH($A281)=Reference!$D$6,1,0)*Reference!$D$12)</f>
        <v>293250</v>
      </c>
      <c r="L281" s="16"/>
      <c r="M281" s="20"/>
      <c r="N281" s="20"/>
      <c r="O281" s="19"/>
      <c r="P281" s="10"/>
      <c r="Q281" s="10"/>
      <c r="R281" s="10"/>
      <c r="S281" s="10"/>
      <c r="T281" s="10"/>
      <c r="U281" s="10"/>
      <c r="V281" s="10"/>
      <c r="W281" s="10"/>
      <c r="X281" s="10"/>
      <c r="Y281" s="10"/>
    </row>
    <row r="282" spans="1:25" x14ac:dyDescent="0.25">
      <c r="A282" s="9">
        <v>40820</v>
      </c>
      <c r="B282" s="10">
        <f ca="1">ROUND(_xlfn.NORM.INV(RAND(),Reference!$C$8,0.1*Reference!$C$8)*(1+Reference!$C$11*(IF(MONTH($A282)=Reference!$C$4,1,0)+IF(MONTH($A282)=Reference!$C$5,1,0))+(IF(MONTH($A282)=Reference!$C$6,Reference!$C$13,0))),0)</f>
        <v>357</v>
      </c>
      <c r="C282" s="11">
        <f ca="1">B282*Reference!$C$7*(1-IF(MONTH($A282)=Reference!$C$6,1,0)*Reference!$C$12)</f>
        <v>332010</v>
      </c>
      <c r="D282" s="10">
        <f ca="1">ROUND(_xlfn.NORM.INV(RAND(),Reference!$D$8,0.1*Reference!$D$8)*(1+Reference!$D$11*(IF(MONTH($A282)=Reference!$D$4,1,0)+IF(MONTH($A282)=Reference!$D$5,1,0))+(IF(MONTH($A282)=Reference!$D$6,Reference!$D$13,0))),0)</f>
        <v>412</v>
      </c>
      <c r="E282" s="11">
        <f ca="1">D282*Reference!$D$7*(1-IF(MONTH($A282)=Reference!$D$6,1,0)*Reference!$D$12)</f>
        <v>309000</v>
      </c>
      <c r="L282" s="16"/>
      <c r="M282" s="20"/>
      <c r="N282" s="20"/>
      <c r="O282" s="19"/>
      <c r="P282" s="10"/>
      <c r="Q282" s="10"/>
      <c r="R282" s="10"/>
      <c r="S282" s="10"/>
      <c r="T282" s="10"/>
      <c r="U282" s="10"/>
      <c r="V282" s="10"/>
      <c r="W282" s="10"/>
      <c r="X282" s="10"/>
      <c r="Y282" s="10"/>
    </row>
    <row r="283" spans="1:25" x14ac:dyDescent="0.25">
      <c r="A283" s="9">
        <v>40821</v>
      </c>
      <c r="B283" s="10">
        <f ca="1">ROUND(_xlfn.NORM.INV(RAND(),Reference!$C$8,0.1*Reference!$C$8)*(1+Reference!$C$11*(IF(MONTH($A283)=Reference!$C$4,1,0)+IF(MONTH($A283)=Reference!$C$5,1,0))+(IF(MONTH($A283)=Reference!$C$6,Reference!$C$13,0))),0)</f>
        <v>330</v>
      </c>
      <c r="C283" s="11">
        <f ca="1">B283*Reference!$C$7*(1-IF(MONTH($A283)=Reference!$C$6,1,0)*Reference!$C$12)</f>
        <v>306900</v>
      </c>
      <c r="D283" s="10">
        <f ca="1">ROUND(_xlfn.NORM.INV(RAND(),Reference!$D$8,0.1*Reference!$D$8)*(1+Reference!$D$11*(IF(MONTH($A283)=Reference!$D$4,1,0)+IF(MONTH($A283)=Reference!$D$5,1,0))+(IF(MONTH($A283)=Reference!$D$6,Reference!$D$13,0))),0)</f>
        <v>535</v>
      </c>
      <c r="E283" s="11">
        <f ca="1">D283*Reference!$D$7*(1-IF(MONTH($A283)=Reference!$D$6,1,0)*Reference!$D$12)</f>
        <v>401250</v>
      </c>
      <c r="L283" s="16"/>
      <c r="M283" s="20"/>
      <c r="N283" s="20"/>
      <c r="O283" s="19"/>
      <c r="P283" s="10"/>
      <c r="Q283" s="10"/>
      <c r="R283" s="10"/>
      <c r="S283" s="10"/>
      <c r="T283" s="10"/>
      <c r="U283" s="10"/>
      <c r="V283" s="10"/>
      <c r="W283" s="10"/>
      <c r="X283" s="10"/>
      <c r="Y283" s="10"/>
    </row>
    <row r="284" spans="1:25" x14ac:dyDescent="0.25">
      <c r="A284" s="9">
        <v>40822</v>
      </c>
      <c r="B284" s="10">
        <f ca="1">ROUND(_xlfn.NORM.INV(RAND(),Reference!$C$8,0.1*Reference!$C$8)*(1+Reference!$C$11*(IF(MONTH($A284)=Reference!$C$4,1,0)+IF(MONTH($A284)=Reference!$C$5,1,0))+(IF(MONTH($A284)=Reference!$C$6,Reference!$C$13,0))),0)</f>
        <v>394</v>
      </c>
      <c r="C284" s="11">
        <f ca="1">B284*Reference!$C$7*(1-IF(MONTH($A284)=Reference!$C$6,1,0)*Reference!$C$12)</f>
        <v>366420</v>
      </c>
      <c r="D284" s="10">
        <f ca="1">ROUND(_xlfn.NORM.INV(RAND(),Reference!$D$8,0.1*Reference!$D$8)*(1+Reference!$D$11*(IF(MONTH($A284)=Reference!$D$4,1,0)+IF(MONTH($A284)=Reference!$D$5,1,0))+(IF(MONTH($A284)=Reference!$D$6,Reference!$D$13,0))),0)</f>
        <v>481</v>
      </c>
      <c r="E284" s="11">
        <f ca="1">D284*Reference!$D$7*(1-IF(MONTH($A284)=Reference!$D$6,1,0)*Reference!$D$12)</f>
        <v>360750</v>
      </c>
      <c r="L284" s="16"/>
      <c r="M284" s="20"/>
      <c r="N284" s="20"/>
      <c r="O284" s="19"/>
      <c r="P284" s="10"/>
      <c r="Q284" s="10"/>
      <c r="R284" s="10"/>
      <c r="S284" s="10"/>
      <c r="T284" s="10"/>
      <c r="U284" s="10"/>
      <c r="V284" s="10"/>
      <c r="W284" s="10"/>
      <c r="X284" s="10"/>
      <c r="Y284" s="10"/>
    </row>
    <row r="285" spans="1:25" x14ac:dyDescent="0.25">
      <c r="A285" s="9">
        <v>40823</v>
      </c>
      <c r="B285" s="10">
        <f ca="1">ROUND(_xlfn.NORM.INV(RAND(),Reference!$C$8,0.1*Reference!$C$8)*(1+Reference!$C$11*(IF(MONTH($A285)=Reference!$C$4,1,0)+IF(MONTH($A285)=Reference!$C$5,1,0))+(IF(MONTH($A285)=Reference!$C$6,Reference!$C$13,0))),0)</f>
        <v>313</v>
      </c>
      <c r="C285" s="11">
        <f ca="1">B285*Reference!$C$7*(1-IF(MONTH($A285)=Reference!$C$6,1,0)*Reference!$C$12)</f>
        <v>291090</v>
      </c>
      <c r="D285" s="10">
        <f ca="1">ROUND(_xlfn.NORM.INV(RAND(),Reference!$D$8,0.1*Reference!$D$8)*(1+Reference!$D$11*(IF(MONTH($A285)=Reference!$D$4,1,0)+IF(MONTH($A285)=Reference!$D$5,1,0))+(IF(MONTH($A285)=Reference!$D$6,Reference!$D$13,0))),0)</f>
        <v>408</v>
      </c>
      <c r="E285" s="11">
        <f ca="1">D285*Reference!$D$7*(1-IF(MONTH($A285)=Reference!$D$6,1,0)*Reference!$D$12)</f>
        <v>306000</v>
      </c>
      <c r="L285" s="16"/>
      <c r="M285" s="20"/>
      <c r="N285" s="20"/>
      <c r="O285" s="19"/>
      <c r="P285" s="10"/>
      <c r="Q285" s="10"/>
      <c r="R285" s="10"/>
      <c r="S285" s="10"/>
      <c r="T285" s="10"/>
      <c r="U285" s="10"/>
      <c r="V285" s="10"/>
      <c r="W285" s="10"/>
      <c r="X285" s="10"/>
      <c r="Y285" s="10"/>
    </row>
    <row r="286" spans="1:25" x14ac:dyDescent="0.25">
      <c r="A286" s="9">
        <v>40824</v>
      </c>
      <c r="B286" s="10">
        <f ca="1">ROUND(_xlfn.NORM.INV(RAND(),Reference!$C$8,0.1*Reference!$C$8)*(1+Reference!$C$11*(IF(MONTH($A286)=Reference!$C$4,1,0)+IF(MONTH($A286)=Reference!$C$5,1,0))+(IF(MONTH($A286)=Reference!$C$6,Reference!$C$13,0))),0)</f>
        <v>399</v>
      </c>
      <c r="C286" s="11">
        <f ca="1">B286*Reference!$C$7*(1-IF(MONTH($A286)=Reference!$C$6,1,0)*Reference!$C$12)</f>
        <v>371070</v>
      </c>
      <c r="D286" s="10">
        <f ca="1">ROUND(_xlfn.NORM.INV(RAND(),Reference!$D$8,0.1*Reference!$D$8)*(1+Reference!$D$11*(IF(MONTH($A286)=Reference!$D$4,1,0)+IF(MONTH($A286)=Reference!$D$5,1,0))+(IF(MONTH($A286)=Reference!$D$6,Reference!$D$13,0))),0)</f>
        <v>493</v>
      </c>
      <c r="E286" s="11">
        <f ca="1">D286*Reference!$D$7*(1-IF(MONTH($A286)=Reference!$D$6,1,0)*Reference!$D$12)</f>
        <v>369750</v>
      </c>
      <c r="L286" s="16"/>
      <c r="M286" s="20"/>
      <c r="N286" s="20"/>
      <c r="O286" s="19"/>
      <c r="P286" s="10"/>
      <c r="Q286" s="10"/>
      <c r="R286" s="10"/>
      <c r="S286" s="10"/>
      <c r="T286" s="10"/>
      <c r="U286" s="10"/>
      <c r="V286" s="10"/>
      <c r="W286" s="10"/>
      <c r="X286" s="10"/>
      <c r="Y286" s="10"/>
    </row>
    <row r="287" spans="1:25" x14ac:dyDescent="0.25">
      <c r="A287" s="9">
        <v>40825</v>
      </c>
      <c r="B287" s="10">
        <f ca="1">ROUND(_xlfn.NORM.INV(RAND(),Reference!$C$8,0.1*Reference!$C$8)*(1+Reference!$C$11*(IF(MONTH($A287)=Reference!$C$4,1,0)+IF(MONTH($A287)=Reference!$C$5,1,0))+(IF(MONTH($A287)=Reference!$C$6,Reference!$C$13,0))),0)</f>
        <v>285</v>
      </c>
      <c r="C287" s="11">
        <f ca="1">B287*Reference!$C$7*(1-IF(MONTH($A287)=Reference!$C$6,1,0)*Reference!$C$12)</f>
        <v>265050</v>
      </c>
      <c r="D287" s="10">
        <f ca="1">ROUND(_xlfn.NORM.INV(RAND(),Reference!$D$8,0.1*Reference!$D$8)*(1+Reference!$D$11*(IF(MONTH($A287)=Reference!$D$4,1,0)+IF(MONTH($A287)=Reference!$D$5,1,0))+(IF(MONTH($A287)=Reference!$D$6,Reference!$D$13,0))),0)</f>
        <v>461</v>
      </c>
      <c r="E287" s="11">
        <f ca="1">D287*Reference!$D$7*(1-IF(MONTH($A287)=Reference!$D$6,1,0)*Reference!$D$12)</f>
        <v>345750</v>
      </c>
      <c r="L287" s="16"/>
      <c r="M287" s="20"/>
      <c r="N287" s="20"/>
      <c r="O287" s="19"/>
      <c r="P287" s="10"/>
      <c r="Q287" s="10"/>
      <c r="R287" s="10"/>
      <c r="S287" s="10"/>
      <c r="T287" s="10"/>
      <c r="U287" s="10"/>
      <c r="V287" s="10"/>
      <c r="W287" s="10"/>
      <c r="X287" s="10"/>
      <c r="Y287" s="10"/>
    </row>
    <row r="288" spans="1:25" x14ac:dyDescent="0.25">
      <c r="A288" s="9">
        <v>40826</v>
      </c>
      <c r="B288" s="10">
        <f ca="1">ROUND(_xlfn.NORM.INV(RAND(),Reference!$C$8,0.1*Reference!$C$8)*(1+Reference!$C$11*(IF(MONTH($A288)=Reference!$C$4,1,0)+IF(MONTH($A288)=Reference!$C$5,1,0))+(IF(MONTH($A288)=Reference!$C$6,Reference!$C$13,0))),0)</f>
        <v>328</v>
      </c>
      <c r="C288" s="11">
        <f ca="1">B288*Reference!$C$7*(1-IF(MONTH($A288)=Reference!$C$6,1,0)*Reference!$C$12)</f>
        <v>305040</v>
      </c>
      <c r="D288" s="10">
        <f ca="1">ROUND(_xlfn.NORM.INV(RAND(),Reference!$D$8,0.1*Reference!$D$8)*(1+Reference!$D$11*(IF(MONTH($A288)=Reference!$D$4,1,0)+IF(MONTH($A288)=Reference!$D$5,1,0))+(IF(MONTH($A288)=Reference!$D$6,Reference!$D$13,0))),0)</f>
        <v>528</v>
      </c>
      <c r="E288" s="11">
        <f ca="1">D288*Reference!$D$7*(1-IF(MONTH($A288)=Reference!$D$6,1,0)*Reference!$D$12)</f>
        <v>396000</v>
      </c>
      <c r="L288" s="16"/>
      <c r="M288" s="20"/>
      <c r="N288" s="20"/>
      <c r="O288" s="19"/>
      <c r="P288" s="10"/>
      <c r="Q288" s="10"/>
      <c r="R288" s="10"/>
      <c r="S288" s="10"/>
      <c r="T288" s="10"/>
      <c r="U288" s="10"/>
      <c r="V288" s="10"/>
      <c r="W288" s="10"/>
      <c r="X288" s="10"/>
      <c r="Y288" s="10"/>
    </row>
    <row r="289" spans="1:25" x14ac:dyDescent="0.25">
      <c r="A289" s="9">
        <v>40827</v>
      </c>
      <c r="B289" s="10">
        <f ca="1">ROUND(_xlfn.NORM.INV(RAND(),Reference!$C$8,0.1*Reference!$C$8)*(1+Reference!$C$11*(IF(MONTH($A289)=Reference!$C$4,1,0)+IF(MONTH($A289)=Reference!$C$5,1,0))+(IF(MONTH($A289)=Reference!$C$6,Reference!$C$13,0))),0)</f>
        <v>385</v>
      </c>
      <c r="C289" s="11">
        <f ca="1">B289*Reference!$C$7*(1-IF(MONTH($A289)=Reference!$C$6,1,0)*Reference!$C$12)</f>
        <v>358050</v>
      </c>
      <c r="D289" s="10">
        <f ca="1">ROUND(_xlfn.NORM.INV(RAND(),Reference!$D$8,0.1*Reference!$D$8)*(1+Reference!$D$11*(IF(MONTH($A289)=Reference!$D$4,1,0)+IF(MONTH($A289)=Reference!$D$5,1,0))+(IF(MONTH($A289)=Reference!$D$6,Reference!$D$13,0))),0)</f>
        <v>458</v>
      </c>
      <c r="E289" s="11">
        <f ca="1">D289*Reference!$D$7*(1-IF(MONTH($A289)=Reference!$D$6,1,0)*Reference!$D$12)</f>
        <v>343500</v>
      </c>
      <c r="L289" s="16"/>
      <c r="M289" s="20"/>
      <c r="N289" s="20"/>
      <c r="O289" s="19"/>
      <c r="P289" s="10"/>
      <c r="Q289" s="10"/>
      <c r="R289" s="10"/>
      <c r="S289" s="10"/>
      <c r="T289" s="10"/>
      <c r="U289" s="10"/>
      <c r="V289" s="10"/>
      <c r="W289" s="10"/>
      <c r="X289" s="10"/>
      <c r="Y289" s="10"/>
    </row>
    <row r="290" spans="1:25" x14ac:dyDescent="0.25">
      <c r="A290" s="9">
        <v>40828</v>
      </c>
      <c r="B290" s="10">
        <f ca="1">ROUND(_xlfn.NORM.INV(RAND(),Reference!$C$8,0.1*Reference!$C$8)*(1+Reference!$C$11*(IF(MONTH($A290)=Reference!$C$4,1,0)+IF(MONTH($A290)=Reference!$C$5,1,0))+(IF(MONTH($A290)=Reference!$C$6,Reference!$C$13,0))),0)</f>
        <v>370</v>
      </c>
      <c r="C290" s="11">
        <f ca="1">B290*Reference!$C$7*(1-IF(MONTH($A290)=Reference!$C$6,1,0)*Reference!$C$12)</f>
        <v>344100</v>
      </c>
      <c r="D290" s="10">
        <f ca="1">ROUND(_xlfn.NORM.INV(RAND(),Reference!$D$8,0.1*Reference!$D$8)*(1+Reference!$D$11*(IF(MONTH($A290)=Reference!$D$4,1,0)+IF(MONTH($A290)=Reference!$D$5,1,0))+(IF(MONTH($A290)=Reference!$D$6,Reference!$D$13,0))),0)</f>
        <v>473</v>
      </c>
      <c r="E290" s="11">
        <f ca="1">D290*Reference!$D$7*(1-IF(MONTH($A290)=Reference!$D$6,1,0)*Reference!$D$12)</f>
        <v>354750</v>
      </c>
      <c r="L290" s="16"/>
      <c r="M290" s="20"/>
      <c r="N290" s="20"/>
      <c r="O290" s="19"/>
      <c r="P290" s="10"/>
      <c r="Q290" s="10"/>
      <c r="R290" s="10"/>
      <c r="S290" s="10"/>
      <c r="T290" s="10"/>
      <c r="U290" s="10"/>
      <c r="V290" s="10"/>
      <c r="W290" s="10"/>
      <c r="X290" s="10"/>
      <c r="Y290" s="10"/>
    </row>
    <row r="291" spans="1:25" x14ac:dyDescent="0.25">
      <c r="A291" s="9">
        <v>40829</v>
      </c>
      <c r="B291" s="10">
        <f ca="1">ROUND(_xlfn.NORM.INV(RAND(),Reference!$C$8,0.1*Reference!$C$8)*(1+Reference!$C$11*(IF(MONTH($A291)=Reference!$C$4,1,0)+IF(MONTH($A291)=Reference!$C$5,1,0))+(IF(MONTH($A291)=Reference!$C$6,Reference!$C$13,0))),0)</f>
        <v>340</v>
      </c>
      <c r="C291" s="11">
        <f ca="1">B291*Reference!$C$7*(1-IF(MONTH($A291)=Reference!$C$6,1,0)*Reference!$C$12)</f>
        <v>316200</v>
      </c>
      <c r="D291" s="10">
        <f ca="1">ROUND(_xlfn.NORM.INV(RAND(),Reference!$D$8,0.1*Reference!$D$8)*(1+Reference!$D$11*(IF(MONTH($A291)=Reference!$D$4,1,0)+IF(MONTH($A291)=Reference!$D$5,1,0))+(IF(MONTH($A291)=Reference!$D$6,Reference!$D$13,0))),0)</f>
        <v>443</v>
      </c>
      <c r="E291" s="11">
        <f ca="1">D291*Reference!$D$7*(1-IF(MONTH($A291)=Reference!$D$6,1,0)*Reference!$D$12)</f>
        <v>332250</v>
      </c>
      <c r="L291" s="16"/>
      <c r="M291" s="20"/>
      <c r="N291" s="20"/>
      <c r="O291" s="19"/>
      <c r="P291" s="10"/>
      <c r="Q291" s="10"/>
      <c r="R291" s="10"/>
      <c r="S291" s="10"/>
      <c r="T291" s="10"/>
      <c r="U291" s="10"/>
      <c r="V291" s="10"/>
      <c r="W291" s="10"/>
      <c r="X291" s="10"/>
      <c r="Y291" s="10"/>
    </row>
    <row r="292" spans="1:25" x14ac:dyDescent="0.25">
      <c r="A292" s="9">
        <v>40830</v>
      </c>
      <c r="B292" s="10">
        <f ca="1">ROUND(_xlfn.NORM.INV(RAND(),Reference!$C$8,0.1*Reference!$C$8)*(1+Reference!$C$11*(IF(MONTH($A292)=Reference!$C$4,1,0)+IF(MONTH($A292)=Reference!$C$5,1,0))+(IF(MONTH($A292)=Reference!$C$6,Reference!$C$13,0))),0)</f>
        <v>380</v>
      </c>
      <c r="C292" s="11">
        <f ca="1">B292*Reference!$C$7*(1-IF(MONTH($A292)=Reference!$C$6,1,0)*Reference!$C$12)</f>
        <v>353400</v>
      </c>
      <c r="D292" s="10">
        <f ca="1">ROUND(_xlfn.NORM.INV(RAND(),Reference!$D$8,0.1*Reference!$D$8)*(1+Reference!$D$11*(IF(MONTH($A292)=Reference!$D$4,1,0)+IF(MONTH($A292)=Reference!$D$5,1,0))+(IF(MONTH($A292)=Reference!$D$6,Reference!$D$13,0))),0)</f>
        <v>439</v>
      </c>
      <c r="E292" s="11">
        <f ca="1">D292*Reference!$D$7*(1-IF(MONTH($A292)=Reference!$D$6,1,0)*Reference!$D$12)</f>
        <v>329250</v>
      </c>
      <c r="L292" s="16"/>
      <c r="M292" s="20"/>
      <c r="N292" s="20"/>
      <c r="O292" s="19"/>
      <c r="P292" s="10"/>
      <c r="Q292" s="10"/>
      <c r="R292" s="10"/>
      <c r="S292" s="10"/>
      <c r="T292" s="10"/>
      <c r="U292" s="10"/>
      <c r="V292" s="10"/>
      <c r="W292" s="10"/>
      <c r="X292" s="10"/>
      <c r="Y292" s="10"/>
    </row>
    <row r="293" spans="1:25" x14ac:dyDescent="0.25">
      <c r="A293" s="9">
        <v>40831</v>
      </c>
      <c r="B293" s="10">
        <f ca="1">ROUND(_xlfn.NORM.INV(RAND(),Reference!$C$8,0.1*Reference!$C$8)*(1+Reference!$C$11*(IF(MONTH($A293)=Reference!$C$4,1,0)+IF(MONTH($A293)=Reference!$C$5,1,0))+(IF(MONTH($A293)=Reference!$C$6,Reference!$C$13,0))),0)</f>
        <v>378</v>
      </c>
      <c r="C293" s="11">
        <f ca="1">B293*Reference!$C$7*(1-IF(MONTH($A293)=Reference!$C$6,1,0)*Reference!$C$12)</f>
        <v>351540</v>
      </c>
      <c r="D293" s="10">
        <f ca="1">ROUND(_xlfn.NORM.INV(RAND(),Reference!$D$8,0.1*Reference!$D$8)*(1+Reference!$D$11*(IF(MONTH($A293)=Reference!$D$4,1,0)+IF(MONTH($A293)=Reference!$D$5,1,0))+(IF(MONTH($A293)=Reference!$D$6,Reference!$D$13,0))),0)</f>
        <v>486</v>
      </c>
      <c r="E293" s="11">
        <f ca="1">D293*Reference!$D$7*(1-IF(MONTH($A293)=Reference!$D$6,1,0)*Reference!$D$12)</f>
        <v>364500</v>
      </c>
      <c r="L293" s="16"/>
      <c r="M293" s="20"/>
      <c r="N293" s="20"/>
      <c r="O293" s="19"/>
      <c r="P293" s="10"/>
      <c r="Q293" s="10"/>
      <c r="R293" s="10"/>
      <c r="S293" s="10"/>
      <c r="T293" s="10"/>
      <c r="U293" s="10"/>
      <c r="V293" s="10"/>
      <c r="W293" s="10"/>
      <c r="X293" s="10"/>
      <c r="Y293" s="10"/>
    </row>
    <row r="294" spans="1:25" x14ac:dyDescent="0.25">
      <c r="A294" s="9">
        <v>40832</v>
      </c>
      <c r="B294" s="10">
        <f ca="1">ROUND(_xlfn.NORM.INV(RAND(),Reference!$C$8,0.1*Reference!$C$8)*(1+Reference!$C$11*(IF(MONTH($A294)=Reference!$C$4,1,0)+IF(MONTH($A294)=Reference!$C$5,1,0))+(IF(MONTH($A294)=Reference!$C$6,Reference!$C$13,0))),0)</f>
        <v>390</v>
      </c>
      <c r="C294" s="11">
        <f ca="1">B294*Reference!$C$7*(1-IF(MONTH($A294)=Reference!$C$6,1,0)*Reference!$C$12)</f>
        <v>362700</v>
      </c>
      <c r="D294" s="10">
        <f ca="1">ROUND(_xlfn.NORM.INV(RAND(),Reference!$D$8,0.1*Reference!$D$8)*(1+Reference!$D$11*(IF(MONTH($A294)=Reference!$D$4,1,0)+IF(MONTH($A294)=Reference!$D$5,1,0))+(IF(MONTH($A294)=Reference!$D$6,Reference!$D$13,0))),0)</f>
        <v>428</v>
      </c>
      <c r="E294" s="11">
        <f ca="1">D294*Reference!$D$7*(1-IF(MONTH($A294)=Reference!$D$6,1,0)*Reference!$D$12)</f>
        <v>321000</v>
      </c>
      <c r="L294" s="16"/>
      <c r="M294" s="20"/>
      <c r="N294" s="20"/>
      <c r="O294" s="19"/>
      <c r="P294" s="10"/>
      <c r="Q294" s="10"/>
      <c r="R294" s="10"/>
      <c r="S294" s="10"/>
      <c r="T294" s="10"/>
      <c r="U294" s="10"/>
      <c r="V294" s="10"/>
      <c r="W294" s="10"/>
      <c r="X294" s="10"/>
      <c r="Y294" s="10"/>
    </row>
    <row r="295" spans="1:25" x14ac:dyDescent="0.25">
      <c r="A295" s="9">
        <v>40833</v>
      </c>
      <c r="B295" s="10">
        <f ca="1">ROUND(_xlfn.NORM.INV(RAND(),Reference!$C$8,0.1*Reference!$C$8)*(1+Reference!$C$11*(IF(MONTH($A295)=Reference!$C$4,1,0)+IF(MONTH($A295)=Reference!$C$5,1,0))+(IF(MONTH($A295)=Reference!$C$6,Reference!$C$13,0))),0)</f>
        <v>397</v>
      </c>
      <c r="C295" s="11">
        <f ca="1">B295*Reference!$C$7*(1-IF(MONTH($A295)=Reference!$C$6,1,0)*Reference!$C$12)</f>
        <v>369210</v>
      </c>
      <c r="D295" s="10">
        <f ca="1">ROUND(_xlfn.NORM.INV(RAND(),Reference!$D$8,0.1*Reference!$D$8)*(1+Reference!$D$11*(IF(MONTH($A295)=Reference!$D$4,1,0)+IF(MONTH($A295)=Reference!$D$5,1,0))+(IF(MONTH($A295)=Reference!$D$6,Reference!$D$13,0))),0)</f>
        <v>473</v>
      </c>
      <c r="E295" s="11">
        <f ca="1">D295*Reference!$D$7*(1-IF(MONTH($A295)=Reference!$D$6,1,0)*Reference!$D$12)</f>
        <v>354750</v>
      </c>
      <c r="L295" s="16"/>
      <c r="M295" s="20"/>
      <c r="N295" s="20"/>
      <c r="O295" s="19"/>
      <c r="P295" s="10"/>
      <c r="Q295" s="10"/>
      <c r="R295" s="10"/>
      <c r="S295" s="10"/>
      <c r="T295" s="10"/>
      <c r="U295" s="10"/>
      <c r="V295" s="10"/>
      <c r="W295" s="10"/>
      <c r="X295" s="10"/>
      <c r="Y295" s="10"/>
    </row>
    <row r="296" spans="1:25" x14ac:dyDescent="0.25">
      <c r="A296" s="9">
        <v>40834</v>
      </c>
      <c r="B296" s="10">
        <f ca="1">ROUND(_xlfn.NORM.INV(RAND(),Reference!$C$8,0.1*Reference!$C$8)*(1+Reference!$C$11*(IF(MONTH($A296)=Reference!$C$4,1,0)+IF(MONTH($A296)=Reference!$C$5,1,0))+(IF(MONTH($A296)=Reference!$C$6,Reference!$C$13,0))),0)</f>
        <v>356</v>
      </c>
      <c r="C296" s="11">
        <f ca="1">B296*Reference!$C$7*(1-IF(MONTH($A296)=Reference!$C$6,1,0)*Reference!$C$12)</f>
        <v>331080</v>
      </c>
      <c r="D296" s="10">
        <f ca="1">ROUND(_xlfn.NORM.INV(RAND(),Reference!$D$8,0.1*Reference!$D$8)*(1+Reference!$D$11*(IF(MONTH($A296)=Reference!$D$4,1,0)+IF(MONTH($A296)=Reference!$D$5,1,0))+(IF(MONTH($A296)=Reference!$D$6,Reference!$D$13,0))),0)</f>
        <v>396</v>
      </c>
      <c r="E296" s="11">
        <f ca="1">D296*Reference!$D$7*(1-IF(MONTH($A296)=Reference!$D$6,1,0)*Reference!$D$12)</f>
        <v>297000</v>
      </c>
      <c r="L296" s="16"/>
      <c r="M296" s="20"/>
      <c r="N296" s="20"/>
      <c r="O296" s="19"/>
      <c r="P296" s="10"/>
      <c r="Q296" s="10"/>
      <c r="R296" s="10"/>
      <c r="S296" s="10"/>
      <c r="T296" s="10"/>
      <c r="U296" s="10"/>
      <c r="V296" s="10"/>
      <c r="W296" s="10"/>
      <c r="X296" s="10"/>
      <c r="Y296" s="10"/>
    </row>
    <row r="297" spans="1:25" x14ac:dyDescent="0.25">
      <c r="A297" s="9">
        <v>40835</v>
      </c>
      <c r="B297" s="10">
        <f ca="1">ROUND(_xlfn.NORM.INV(RAND(),Reference!$C$8,0.1*Reference!$C$8)*(1+Reference!$C$11*(IF(MONTH($A297)=Reference!$C$4,1,0)+IF(MONTH($A297)=Reference!$C$5,1,0))+(IF(MONTH($A297)=Reference!$C$6,Reference!$C$13,0))),0)</f>
        <v>280</v>
      </c>
      <c r="C297" s="11">
        <f ca="1">B297*Reference!$C$7*(1-IF(MONTH($A297)=Reference!$C$6,1,0)*Reference!$C$12)</f>
        <v>260400</v>
      </c>
      <c r="D297" s="10">
        <f ca="1">ROUND(_xlfn.NORM.INV(RAND(),Reference!$D$8,0.1*Reference!$D$8)*(1+Reference!$D$11*(IF(MONTH($A297)=Reference!$D$4,1,0)+IF(MONTH($A297)=Reference!$D$5,1,0))+(IF(MONTH($A297)=Reference!$D$6,Reference!$D$13,0))),0)</f>
        <v>433</v>
      </c>
      <c r="E297" s="11">
        <f ca="1">D297*Reference!$D$7*(1-IF(MONTH($A297)=Reference!$D$6,1,0)*Reference!$D$12)</f>
        <v>324750</v>
      </c>
      <c r="L297" s="16"/>
      <c r="M297" s="20"/>
      <c r="N297" s="20"/>
      <c r="O297" s="19"/>
      <c r="P297" s="10"/>
      <c r="Q297" s="10"/>
      <c r="R297" s="10"/>
      <c r="S297" s="10"/>
      <c r="T297" s="10"/>
      <c r="U297" s="10"/>
      <c r="V297" s="10"/>
      <c r="W297" s="10"/>
      <c r="X297" s="10"/>
      <c r="Y297" s="10"/>
    </row>
    <row r="298" spans="1:25" x14ac:dyDescent="0.25">
      <c r="A298" s="9">
        <v>40836</v>
      </c>
      <c r="B298" s="10">
        <f ca="1">ROUND(_xlfn.NORM.INV(RAND(),Reference!$C$8,0.1*Reference!$C$8)*(1+Reference!$C$11*(IF(MONTH($A298)=Reference!$C$4,1,0)+IF(MONTH($A298)=Reference!$C$5,1,0))+(IF(MONTH($A298)=Reference!$C$6,Reference!$C$13,0))),0)</f>
        <v>356</v>
      </c>
      <c r="C298" s="11">
        <f ca="1">B298*Reference!$C$7*(1-IF(MONTH($A298)=Reference!$C$6,1,0)*Reference!$C$12)</f>
        <v>331080</v>
      </c>
      <c r="D298" s="10">
        <f ca="1">ROUND(_xlfn.NORM.INV(RAND(),Reference!$D$8,0.1*Reference!$D$8)*(1+Reference!$D$11*(IF(MONTH($A298)=Reference!$D$4,1,0)+IF(MONTH($A298)=Reference!$D$5,1,0))+(IF(MONTH($A298)=Reference!$D$6,Reference!$D$13,0))),0)</f>
        <v>510</v>
      </c>
      <c r="E298" s="11">
        <f ca="1">D298*Reference!$D$7*(1-IF(MONTH($A298)=Reference!$D$6,1,0)*Reference!$D$12)</f>
        <v>382500</v>
      </c>
      <c r="L298" s="16"/>
      <c r="M298" s="20"/>
      <c r="N298" s="20"/>
      <c r="O298" s="19"/>
      <c r="P298" s="10"/>
      <c r="Q298" s="10"/>
      <c r="R298" s="10"/>
      <c r="S298" s="10"/>
      <c r="T298" s="10"/>
      <c r="U298" s="10"/>
      <c r="V298" s="10"/>
      <c r="W298" s="10"/>
      <c r="X298" s="10"/>
      <c r="Y298" s="10"/>
    </row>
    <row r="299" spans="1:25" x14ac:dyDescent="0.25">
      <c r="A299" s="9">
        <v>40837</v>
      </c>
      <c r="B299" s="10">
        <f ca="1">ROUND(_xlfn.NORM.INV(RAND(),Reference!$C$8,0.1*Reference!$C$8)*(1+Reference!$C$11*(IF(MONTH($A299)=Reference!$C$4,1,0)+IF(MONTH($A299)=Reference!$C$5,1,0))+(IF(MONTH($A299)=Reference!$C$6,Reference!$C$13,0))),0)</f>
        <v>442</v>
      </c>
      <c r="C299" s="11">
        <f ca="1">B299*Reference!$C$7*(1-IF(MONTH($A299)=Reference!$C$6,1,0)*Reference!$C$12)</f>
        <v>411060</v>
      </c>
      <c r="D299" s="10">
        <f ca="1">ROUND(_xlfn.NORM.INV(RAND(),Reference!$D$8,0.1*Reference!$D$8)*(1+Reference!$D$11*(IF(MONTH($A299)=Reference!$D$4,1,0)+IF(MONTH($A299)=Reference!$D$5,1,0))+(IF(MONTH($A299)=Reference!$D$6,Reference!$D$13,0))),0)</f>
        <v>389</v>
      </c>
      <c r="E299" s="11">
        <f ca="1">D299*Reference!$D$7*(1-IF(MONTH($A299)=Reference!$D$6,1,0)*Reference!$D$12)</f>
        <v>291750</v>
      </c>
      <c r="L299" s="16"/>
      <c r="M299" s="20"/>
      <c r="N299" s="20"/>
      <c r="O299" s="19"/>
      <c r="P299" s="10"/>
      <c r="Q299" s="10"/>
      <c r="R299" s="10"/>
      <c r="S299" s="10"/>
      <c r="T299" s="10"/>
      <c r="U299" s="10"/>
      <c r="V299" s="10"/>
      <c r="W299" s="10"/>
      <c r="X299" s="10"/>
      <c r="Y299" s="10"/>
    </row>
    <row r="300" spans="1:25" x14ac:dyDescent="0.25">
      <c r="A300" s="9">
        <v>40838</v>
      </c>
      <c r="B300" s="10">
        <f ca="1">ROUND(_xlfn.NORM.INV(RAND(),Reference!$C$8,0.1*Reference!$C$8)*(1+Reference!$C$11*(IF(MONTH($A300)=Reference!$C$4,1,0)+IF(MONTH($A300)=Reference!$C$5,1,0))+(IF(MONTH($A300)=Reference!$C$6,Reference!$C$13,0))),0)</f>
        <v>337</v>
      </c>
      <c r="C300" s="11">
        <f ca="1">B300*Reference!$C$7*(1-IF(MONTH($A300)=Reference!$C$6,1,0)*Reference!$C$12)</f>
        <v>313410</v>
      </c>
      <c r="D300" s="10">
        <f ca="1">ROUND(_xlfn.NORM.INV(RAND(),Reference!$D$8,0.1*Reference!$D$8)*(1+Reference!$D$11*(IF(MONTH($A300)=Reference!$D$4,1,0)+IF(MONTH($A300)=Reference!$D$5,1,0))+(IF(MONTH($A300)=Reference!$D$6,Reference!$D$13,0))),0)</f>
        <v>412</v>
      </c>
      <c r="E300" s="11">
        <f ca="1">D300*Reference!$D$7*(1-IF(MONTH($A300)=Reference!$D$6,1,0)*Reference!$D$12)</f>
        <v>309000</v>
      </c>
      <c r="L300" s="16"/>
      <c r="M300" s="20"/>
      <c r="N300" s="20"/>
      <c r="O300" s="19"/>
      <c r="P300" s="10"/>
      <c r="Q300" s="10"/>
      <c r="R300" s="10"/>
      <c r="S300" s="10"/>
      <c r="T300" s="10"/>
      <c r="U300" s="10"/>
      <c r="V300" s="10"/>
      <c r="W300" s="10"/>
      <c r="X300" s="10"/>
      <c r="Y300" s="10"/>
    </row>
    <row r="301" spans="1:25" x14ac:dyDescent="0.25">
      <c r="A301" s="9">
        <v>40839</v>
      </c>
      <c r="B301" s="10">
        <f ca="1">ROUND(_xlfn.NORM.INV(RAND(),Reference!$C$8,0.1*Reference!$C$8)*(1+Reference!$C$11*(IF(MONTH($A301)=Reference!$C$4,1,0)+IF(MONTH($A301)=Reference!$C$5,1,0))+(IF(MONTH($A301)=Reference!$C$6,Reference!$C$13,0))),0)</f>
        <v>291</v>
      </c>
      <c r="C301" s="11">
        <f ca="1">B301*Reference!$C$7*(1-IF(MONTH($A301)=Reference!$C$6,1,0)*Reference!$C$12)</f>
        <v>270630</v>
      </c>
      <c r="D301" s="10">
        <f ca="1">ROUND(_xlfn.NORM.INV(RAND(),Reference!$D$8,0.1*Reference!$D$8)*(1+Reference!$D$11*(IF(MONTH($A301)=Reference!$D$4,1,0)+IF(MONTH($A301)=Reference!$D$5,1,0))+(IF(MONTH($A301)=Reference!$D$6,Reference!$D$13,0))),0)</f>
        <v>413</v>
      </c>
      <c r="E301" s="11">
        <f ca="1">D301*Reference!$D$7*(1-IF(MONTH($A301)=Reference!$D$6,1,0)*Reference!$D$12)</f>
        <v>309750</v>
      </c>
      <c r="L301" s="16"/>
      <c r="M301" s="20"/>
      <c r="N301" s="20"/>
      <c r="O301" s="19"/>
      <c r="P301" s="10"/>
      <c r="Q301" s="10"/>
      <c r="R301" s="10"/>
      <c r="S301" s="10"/>
      <c r="T301" s="10"/>
      <c r="U301" s="10"/>
      <c r="V301" s="10"/>
      <c r="W301" s="10"/>
      <c r="X301" s="10"/>
      <c r="Y301" s="10"/>
    </row>
    <row r="302" spans="1:25" x14ac:dyDescent="0.25">
      <c r="A302" s="9">
        <v>40840</v>
      </c>
      <c r="B302" s="10">
        <f ca="1">ROUND(_xlfn.NORM.INV(RAND(),Reference!$C$8,0.1*Reference!$C$8)*(1+Reference!$C$11*(IF(MONTH($A302)=Reference!$C$4,1,0)+IF(MONTH($A302)=Reference!$C$5,1,0))+(IF(MONTH($A302)=Reference!$C$6,Reference!$C$13,0))),0)</f>
        <v>344</v>
      </c>
      <c r="C302" s="11">
        <f ca="1">B302*Reference!$C$7*(1-IF(MONTH($A302)=Reference!$C$6,1,0)*Reference!$C$12)</f>
        <v>319920</v>
      </c>
      <c r="D302" s="10">
        <f ca="1">ROUND(_xlfn.NORM.INV(RAND(),Reference!$D$8,0.1*Reference!$D$8)*(1+Reference!$D$11*(IF(MONTH($A302)=Reference!$D$4,1,0)+IF(MONTH($A302)=Reference!$D$5,1,0))+(IF(MONTH($A302)=Reference!$D$6,Reference!$D$13,0))),0)</f>
        <v>494</v>
      </c>
      <c r="E302" s="11">
        <f ca="1">D302*Reference!$D$7*(1-IF(MONTH($A302)=Reference!$D$6,1,0)*Reference!$D$12)</f>
        <v>370500</v>
      </c>
      <c r="L302" s="16"/>
      <c r="M302" s="20"/>
      <c r="N302" s="20"/>
      <c r="O302" s="19"/>
      <c r="P302" s="10"/>
      <c r="Q302" s="10"/>
      <c r="R302" s="10"/>
      <c r="S302" s="10"/>
      <c r="T302" s="10"/>
      <c r="U302" s="10"/>
      <c r="V302" s="10"/>
      <c r="W302" s="10"/>
      <c r="X302" s="10"/>
      <c r="Y302" s="10"/>
    </row>
    <row r="303" spans="1:25" x14ac:dyDescent="0.25">
      <c r="A303" s="9">
        <v>40841</v>
      </c>
      <c r="B303" s="10">
        <f ca="1">ROUND(_xlfn.NORM.INV(RAND(),Reference!$C$8,0.1*Reference!$C$8)*(1+Reference!$C$11*(IF(MONTH($A303)=Reference!$C$4,1,0)+IF(MONTH($A303)=Reference!$C$5,1,0))+(IF(MONTH($A303)=Reference!$C$6,Reference!$C$13,0))),0)</f>
        <v>395</v>
      </c>
      <c r="C303" s="11">
        <f ca="1">B303*Reference!$C$7*(1-IF(MONTH($A303)=Reference!$C$6,1,0)*Reference!$C$12)</f>
        <v>367350</v>
      </c>
      <c r="D303" s="10">
        <f ca="1">ROUND(_xlfn.NORM.INV(RAND(),Reference!$D$8,0.1*Reference!$D$8)*(1+Reference!$D$11*(IF(MONTH($A303)=Reference!$D$4,1,0)+IF(MONTH($A303)=Reference!$D$5,1,0))+(IF(MONTH($A303)=Reference!$D$6,Reference!$D$13,0))),0)</f>
        <v>421</v>
      </c>
      <c r="E303" s="11">
        <f ca="1">D303*Reference!$D$7*(1-IF(MONTH($A303)=Reference!$D$6,1,0)*Reference!$D$12)</f>
        <v>315750</v>
      </c>
      <c r="L303" s="16"/>
      <c r="M303" s="20"/>
      <c r="N303" s="20"/>
      <c r="O303" s="19"/>
      <c r="P303" s="10"/>
      <c r="Q303" s="10"/>
      <c r="R303" s="10"/>
      <c r="S303" s="10"/>
      <c r="T303" s="10"/>
      <c r="U303" s="10"/>
      <c r="V303" s="10"/>
      <c r="W303" s="10"/>
      <c r="X303" s="10"/>
      <c r="Y303" s="10"/>
    </row>
    <row r="304" spans="1:25" x14ac:dyDescent="0.25">
      <c r="A304" s="9">
        <v>40842</v>
      </c>
      <c r="B304" s="10">
        <f ca="1">ROUND(_xlfn.NORM.INV(RAND(),Reference!$C$8,0.1*Reference!$C$8)*(1+Reference!$C$11*(IF(MONTH($A304)=Reference!$C$4,1,0)+IF(MONTH($A304)=Reference!$C$5,1,0))+(IF(MONTH($A304)=Reference!$C$6,Reference!$C$13,0))),0)</f>
        <v>336</v>
      </c>
      <c r="C304" s="11">
        <f ca="1">B304*Reference!$C$7*(1-IF(MONTH($A304)=Reference!$C$6,1,0)*Reference!$C$12)</f>
        <v>312480</v>
      </c>
      <c r="D304" s="10">
        <f ca="1">ROUND(_xlfn.NORM.INV(RAND(),Reference!$D$8,0.1*Reference!$D$8)*(1+Reference!$D$11*(IF(MONTH($A304)=Reference!$D$4,1,0)+IF(MONTH($A304)=Reference!$D$5,1,0))+(IF(MONTH($A304)=Reference!$D$6,Reference!$D$13,0))),0)</f>
        <v>492</v>
      </c>
      <c r="E304" s="11">
        <f ca="1">D304*Reference!$D$7*(1-IF(MONTH($A304)=Reference!$D$6,1,0)*Reference!$D$12)</f>
        <v>369000</v>
      </c>
      <c r="L304" s="16"/>
      <c r="M304" s="20"/>
      <c r="N304" s="20"/>
      <c r="O304" s="19"/>
      <c r="P304" s="10"/>
      <c r="Q304" s="10"/>
      <c r="R304" s="10"/>
      <c r="S304" s="10"/>
      <c r="T304" s="10"/>
      <c r="U304" s="10"/>
      <c r="V304" s="10"/>
      <c r="W304" s="10"/>
      <c r="X304" s="10"/>
      <c r="Y304" s="10"/>
    </row>
    <row r="305" spans="1:25" x14ac:dyDescent="0.25">
      <c r="A305" s="9">
        <v>40843</v>
      </c>
      <c r="B305" s="10">
        <f ca="1">ROUND(_xlfn.NORM.INV(RAND(),Reference!$C$8,0.1*Reference!$C$8)*(1+Reference!$C$11*(IF(MONTH($A305)=Reference!$C$4,1,0)+IF(MONTH($A305)=Reference!$C$5,1,0))+(IF(MONTH($A305)=Reference!$C$6,Reference!$C$13,0))),0)</f>
        <v>352</v>
      </c>
      <c r="C305" s="11">
        <f ca="1">B305*Reference!$C$7*(1-IF(MONTH($A305)=Reference!$C$6,1,0)*Reference!$C$12)</f>
        <v>327360</v>
      </c>
      <c r="D305" s="10">
        <f ca="1">ROUND(_xlfn.NORM.INV(RAND(),Reference!$D$8,0.1*Reference!$D$8)*(1+Reference!$D$11*(IF(MONTH($A305)=Reference!$D$4,1,0)+IF(MONTH($A305)=Reference!$D$5,1,0))+(IF(MONTH($A305)=Reference!$D$6,Reference!$D$13,0))),0)</f>
        <v>492</v>
      </c>
      <c r="E305" s="11">
        <f ca="1">D305*Reference!$D$7*(1-IF(MONTH($A305)=Reference!$D$6,1,0)*Reference!$D$12)</f>
        <v>369000</v>
      </c>
      <c r="L305" s="16"/>
      <c r="M305" s="20"/>
      <c r="N305" s="20"/>
      <c r="O305" s="19"/>
      <c r="P305" s="10"/>
      <c r="Q305" s="10"/>
      <c r="R305" s="10"/>
      <c r="S305" s="10"/>
      <c r="T305" s="10"/>
      <c r="U305" s="10"/>
      <c r="V305" s="10"/>
      <c r="W305" s="10"/>
      <c r="X305" s="10"/>
      <c r="Y305" s="10"/>
    </row>
    <row r="306" spans="1:25" x14ac:dyDescent="0.25">
      <c r="A306" s="9">
        <v>40844</v>
      </c>
      <c r="B306" s="10">
        <f ca="1">ROUND(_xlfn.NORM.INV(RAND(),Reference!$C$8,0.1*Reference!$C$8)*(1+Reference!$C$11*(IF(MONTH($A306)=Reference!$C$4,1,0)+IF(MONTH($A306)=Reference!$C$5,1,0))+(IF(MONTH($A306)=Reference!$C$6,Reference!$C$13,0))),0)</f>
        <v>330</v>
      </c>
      <c r="C306" s="11">
        <f ca="1">B306*Reference!$C$7*(1-IF(MONTH($A306)=Reference!$C$6,1,0)*Reference!$C$12)</f>
        <v>306900</v>
      </c>
      <c r="D306" s="10">
        <f ca="1">ROUND(_xlfn.NORM.INV(RAND(),Reference!$D$8,0.1*Reference!$D$8)*(1+Reference!$D$11*(IF(MONTH($A306)=Reference!$D$4,1,0)+IF(MONTH($A306)=Reference!$D$5,1,0))+(IF(MONTH($A306)=Reference!$D$6,Reference!$D$13,0))),0)</f>
        <v>435</v>
      </c>
      <c r="E306" s="11">
        <f ca="1">D306*Reference!$D$7*(1-IF(MONTH($A306)=Reference!$D$6,1,0)*Reference!$D$12)</f>
        <v>326250</v>
      </c>
      <c r="L306" s="16"/>
      <c r="M306" s="20"/>
      <c r="N306" s="20"/>
      <c r="O306" s="19"/>
      <c r="P306" s="10"/>
      <c r="Q306" s="10"/>
      <c r="R306" s="10"/>
      <c r="S306" s="10"/>
      <c r="T306" s="10"/>
      <c r="U306" s="10"/>
      <c r="V306" s="10"/>
      <c r="W306" s="10"/>
      <c r="X306" s="10"/>
      <c r="Y306" s="10"/>
    </row>
    <row r="307" spans="1:25" x14ac:dyDescent="0.25">
      <c r="A307" s="9">
        <v>40845</v>
      </c>
      <c r="B307" s="10">
        <f ca="1">ROUND(_xlfn.NORM.INV(RAND(),Reference!$C$8,0.1*Reference!$C$8)*(1+Reference!$C$11*(IF(MONTH($A307)=Reference!$C$4,1,0)+IF(MONTH($A307)=Reference!$C$5,1,0))+(IF(MONTH($A307)=Reference!$C$6,Reference!$C$13,0))),0)</f>
        <v>368</v>
      </c>
      <c r="C307" s="11">
        <f ca="1">B307*Reference!$C$7*(1-IF(MONTH($A307)=Reference!$C$6,1,0)*Reference!$C$12)</f>
        <v>342240</v>
      </c>
      <c r="D307" s="10">
        <f ca="1">ROUND(_xlfn.NORM.INV(RAND(),Reference!$D$8,0.1*Reference!$D$8)*(1+Reference!$D$11*(IF(MONTH($A307)=Reference!$D$4,1,0)+IF(MONTH($A307)=Reference!$D$5,1,0))+(IF(MONTH($A307)=Reference!$D$6,Reference!$D$13,0))),0)</f>
        <v>409</v>
      </c>
      <c r="E307" s="11">
        <f ca="1">D307*Reference!$D$7*(1-IF(MONTH($A307)=Reference!$D$6,1,0)*Reference!$D$12)</f>
        <v>306750</v>
      </c>
      <c r="L307" s="16"/>
      <c r="M307" s="20"/>
      <c r="N307" s="20"/>
      <c r="O307" s="19"/>
      <c r="P307" s="10"/>
      <c r="Q307" s="10"/>
      <c r="R307" s="10"/>
      <c r="S307" s="10"/>
      <c r="T307" s="10"/>
      <c r="U307" s="10"/>
      <c r="V307" s="10"/>
      <c r="W307" s="10"/>
      <c r="X307" s="10"/>
      <c r="Y307" s="10"/>
    </row>
    <row r="308" spans="1:25" x14ac:dyDescent="0.25">
      <c r="A308" s="9">
        <v>40846</v>
      </c>
      <c r="B308" s="10">
        <f ca="1">ROUND(_xlfn.NORM.INV(RAND(),Reference!$C$8,0.1*Reference!$C$8)*(1+Reference!$C$11*(IF(MONTH($A308)=Reference!$C$4,1,0)+IF(MONTH($A308)=Reference!$C$5,1,0))+(IF(MONTH($A308)=Reference!$C$6,Reference!$C$13,0))),0)</f>
        <v>374</v>
      </c>
      <c r="C308" s="11">
        <f ca="1">B308*Reference!$C$7*(1-IF(MONTH($A308)=Reference!$C$6,1,0)*Reference!$C$12)</f>
        <v>347820</v>
      </c>
      <c r="D308" s="10">
        <f ca="1">ROUND(_xlfn.NORM.INV(RAND(),Reference!$D$8,0.1*Reference!$D$8)*(1+Reference!$D$11*(IF(MONTH($A308)=Reference!$D$4,1,0)+IF(MONTH($A308)=Reference!$D$5,1,0))+(IF(MONTH($A308)=Reference!$D$6,Reference!$D$13,0))),0)</f>
        <v>439</v>
      </c>
      <c r="E308" s="11">
        <f ca="1">D308*Reference!$D$7*(1-IF(MONTH($A308)=Reference!$D$6,1,0)*Reference!$D$12)</f>
        <v>329250</v>
      </c>
      <c r="L308" s="16"/>
      <c r="M308" s="20"/>
      <c r="N308" s="20"/>
      <c r="O308" s="19"/>
      <c r="P308" s="10"/>
      <c r="Q308" s="10"/>
      <c r="R308" s="10"/>
      <c r="S308" s="10"/>
      <c r="T308" s="10"/>
      <c r="U308" s="10"/>
      <c r="V308" s="10"/>
      <c r="W308" s="10"/>
      <c r="X308" s="10"/>
      <c r="Y308" s="10"/>
    </row>
    <row r="309" spans="1:25" x14ac:dyDescent="0.25">
      <c r="A309" s="9">
        <v>40847</v>
      </c>
      <c r="B309" s="10">
        <f ca="1">ROUND(_xlfn.NORM.INV(RAND(),Reference!$C$8,0.1*Reference!$C$8)*(1+Reference!$C$11*(IF(MONTH($A309)=Reference!$C$4,1,0)+IF(MONTH($A309)=Reference!$C$5,1,0))+(IF(MONTH($A309)=Reference!$C$6,Reference!$C$13,0))),0)</f>
        <v>348</v>
      </c>
      <c r="C309" s="11">
        <f ca="1">B309*Reference!$C$7*(1-IF(MONTH($A309)=Reference!$C$6,1,0)*Reference!$C$12)</f>
        <v>323640</v>
      </c>
      <c r="D309" s="10">
        <f ca="1">ROUND(_xlfn.NORM.INV(RAND(),Reference!$D$8,0.1*Reference!$D$8)*(1+Reference!$D$11*(IF(MONTH($A309)=Reference!$D$4,1,0)+IF(MONTH($A309)=Reference!$D$5,1,0))+(IF(MONTH($A309)=Reference!$D$6,Reference!$D$13,0))),0)</f>
        <v>491</v>
      </c>
      <c r="E309" s="11">
        <f ca="1">D309*Reference!$D$7*(1-IF(MONTH($A309)=Reference!$D$6,1,0)*Reference!$D$12)</f>
        <v>368250</v>
      </c>
      <c r="L309" s="16"/>
      <c r="M309" s="20"/>
      <c r="N309" s="20"/>
      <c r="O309" s="19"/>
      <c r="P309" s="10"/>
      <c r="Q309" s="10"/>
      <c r="R309" s="10"/>
      <c r="S309" s="10"/>
      <c r="T309" s="10"/>
      <c r="U309" s="10"/>
      <c r="V309" s="10"/>
      <c r="W309" s="10"/>
      <c r="X309" s="10"/>
      <c r="Y309" s="10"/>
    </row>
    <row r="310" spans="1:25" x14ac:dyDescent="0.25">
      <c r="A310" s="9">
        <v>40848</v>
      </c>
      <c r="B310" s="10">
        <f ca="1">ROUND(_xlfn.NORM.INV(RAND(),Reference!$C$8,0.1*Reference!$C$8)*(1+Reference!$C$11*(IF(MONTH($A310)=Reference!$C$4,1,0)+IF(MONTH($A310)=Reference!$C$5,1,0))+(IF(MONTH($A310)=Reference!$C$6,Reference!$C$13,0))),0)</f>
        <v>380</v>
      </c>
      <c r="C310" s="11">
        <f ca="1">B310*Reference!$C$7*(1-IF(MONTH($A310)=Reference!$C$6,1,0)*Reference!$C$12)</f>
        <v>353400</v>
      </c>
      <c r="D310" s="10">
        <f ca="1">ROUND(_xlfn.NORM.INV(RAND(),Reference!$D$8,0.1*Reference!$D$8)*(1+Reference!$D$11*(IF(MONTH($A310)=Reference!$D$4,1,0)+IF(MONTH($A310)=Reference!$D$5,1,0))+(IF(MONTH($A310)=Reference!$D$6,Reference!$D$13,0))),0)</f>
        <v>397</v>
      </c>
      <c r="E310" s="11">
        <f ca="1">D310*Reference!$D$7*(1-IF(MONTH($A310)=Reference!$D$6,1,0)*Reference!$D$12)</f>
        <v>297750</v>
      </c>
      <c r="L310" s="16"/>
      <c r="M310" s="20"/>
      <c r="N310" s="20"/>
      <c r="O310" s="19"/>
      <c r="P310" s="10"/>
      <c r="Q310" s="10"/>
      <c r="R310" s="10"/>
      <c r="S310" s="10"/>
      <c r="T310" s="10"/>
      <c r="U310" s="10"/>
      <c r="V310" s="10"/>
      <c r="W310" s="10"/>
      <c r="X310" s="10"/>
      <c r="Y310" s="10"/>
    </row>
    <row r="311" spans="1:25" x14ac:dyDescent="0.25">
      <c r="A311" s="9">
        <v>40849</v>
      </c>
      <c r="B311" s="10">
        <f ca="1">ROUND(_xlfn.NORM.INV(RAND(),Reference!$C$8,0.1*Reference!$C$8)*(1+Reference!$C$11*(IF(MONTH($A311)=Reference!$C$4,1,0)+IF(MONTH($A311)=Reference!$C$5,1,0))+(IF(MONTH($A311)=Reference!$C$6,Reference!$C$13,0))),0)</f>
        <v>392</v>
      </c>
      <c r="C311" s="11">
        <f ca="1">B311*Reference!$C$7*(1-IF(MONTH($A311)=Reference!$C$6,1,0)*Reference!$C$12)</f>
        <v>364560</v>
      </c>
      <c r="D311" s="10">
        <f ca="1">ROUND(_xlfn.NORM.INV(RAND(),Reference!$D$8,0.1*Reference!$D$8)*(1+Reference!$D$11*(IF(MONTH($A311)=Reference!$D$4,1,0)+IF(MONTH($A311)=Reference!$D$5,1,0))+(IF(MONTH($A311)=Reference!$D$6,Reference!$D$13,0))),0)</f>
        <v>519</v>
      </c>
      <c r="E311" s="11">
        <f ca="1">D311*Reference!$D$7*(1-IF(MONTH($A311)=Reference!$D$6,1,0)*Reference!$D$12)</f>
        <v>389250</v>
      </c>
      <c r="L311" s="16"/>
      <c r="M311" s="20"/>
      <c r="N311" s="20"/>
      <c r="O311" s="19"/>
      <c r="P311" s="10"/>
      <c r="Q311" s="10"/>
      <c r="R311" s="10"/>
      <c r="S311" s="10"/>
      <c r="T311" s="10"/>
      <c r="U311" s="10"/>
      <c r="V311" s="10"/>
      <c r="W311" s="10"/>
      <c r="X311" s="10"/>
      <c r="Y311" s="10"/>
    </row>
    <row r="312" spans="1:25" x14ac:dyDescent="0.25">
      <c r="A312" s="9">
        <v>40850</v>
      </c>
      <c r="B312" s="10">
        <f ca="1">ROUND(_xlfn.NORM.INV(RAND(),Reference!$C$8,0.1*Reference!$C$8)*(1+Reference!$C$11*(IF(MONTH($A312)=Reference!$C$4,1,0)+IF(MONTH($A312)=Reference!$C$5,1,0))+(IF(MONTH($A312)=Reference!$C$6,Reference!$C$13,0))),0)</f>
        <v>391</v>
      </c>
      <c r="C312" s="11">
        <f ca="1">B312*Reference!$C$7*(1-IF(MONTH($A312)=Reference!$C$6,1,0)*Reference!$C$12)</f>
        <v>363630</v>
      </c>
      <c r="D312" s="10">
        <f ca="1">ROUND(_xlfn.NORM.INV(RAND(),Reference!$D$8,0.1*Reference!$D$8)*(1+Reference!$D$11*(IF(MONTH($A312)=Reference!$D$4,1,0)+IF(MONTH($A312)=Reference!$D$5,1,0))+(IF(MONTH($A312)=Reference!$D$6,Reference!$D$13,0))),0)</f>
        <v>497</v>
      </c>
      <c r="E312" s="11">
        <f ca="1">D312*Reference!$D$7*(1-IF(MONTH($A312)=Reference!$D$6,1,0)*Reference!$D$12)</f>
        <v>372750</v>
      </c>
      <c r="L312" s="16"/>
      <c r="M312" s="20"/>
      <c r="N312" s="20"/>
      <c r="O312" s="19"/>
      <c r="P312" s="10"/>
      <c r="Q312" s="10"/>
      <c r="R312" s="10"/>
      <c r="S312" s="10"/>
      <c r="T312" s="10"/>
      <c r="U312" s="10"/>
      <c r="V312" s="10"/>
      <c r="W312" s="10"/>
      <c r="X312" s="10"/>
      <c r="Y312" s="10"/>
    </row>
    <row r="313" spans="1:25" x14ac:dyDescent="0.25">
      <c r="A313" s="9">
        <v>40851</v>
      </c>
      <c r="B313" s="10">
        <f ca="1">ROUND(_xlfn.NORM.INV(RAND(),Reference!$C$8,0.1*Reference!$C$8)*(1+Reference!$C$11*(IF(MONTH($A313)=Reference!$C$4,1,0)+IF(MONTH($A313)=Reference!$C$5,1,0))+(IF(MONTH($A313)=Reference!$C$6,Reference!$C$13,0))),0)</f>
        <v>349</v>
      </c>
      <c r="C313" s="11">
        <f ca="1">B313*Reference!$C$7*(1-IF(MONTH($A313)=Reference!$C$6,1,0)*Reference!$C$12)</f>
        <v>324570</v>
      </c>
      <c r="D313" s="10">
        <f ca="1">ROUND(_xlfn.NORM.INV(RAND(),Reference!$D$8,0.1*Reference!$D$8)*(1+Reference!$D$11*(IF(MONTH($A313)=Reference!$D$4,1,0)+IF(MONTH($A313)=Reference!$D$5,1,0))+(IF(MONTH($A313)=Reference!$D$6,Reference!$D$13,0))),0)</f>
        <v>409</v>
      </c>
      <c r="E313" s="11">
        <f ca="1">D313*Reference!$D$7*(1-IF(MONTH($A313)=Reference!$D$6,1,0)*Reference!$D$12)</f>
        <v>306750</v>
      </c>
      <c r="L313" s="16"/>
      <c r="M313" s="20"/>
      <c r="N313" s="20"/>
      <c r="O313" s="19"/>
      <c r="P313" s="10"/>
      <c r="Q313" s="10"/>
      <c r="R313" s="10"/>
      <c r="S313" s="10"/>
      <c r="T313" s="10"/>
      <c r="U313" s="10"/>
      <c r="V313" s="10"/>
      <c r="W313" s="10"/>
      <c r="X313" s="10"/>
      <c r="Y313" s="10"/>
    </row>
    <row r="314" spans="1:25" x14ac:dyDescent="0.25">
      <c r="A314" s="9">
        <v>40852</v>
      </c>
      <c r="B314" s="10">
        <f ca="1">ROUND(_xlfn.NORM.INV(RAND(),Reference!$C$8,0.1*Reference!$C$8)*(1+Reference!$C$11*(IF(MONTH($A314)=Reference!$C$4,1,0)+IF(MONTH($A314)=Reference!$C$5,1,0))+(IF(MONTH($A314)=Reference!$C$6,Reference!$C$13,0))),0)</f>
        <v>377</v>
      </c>
      <c r="C314" s="11">
        <f ca="1">B314*Reference!$C$7*(1-IF(MONTH($A314)=Reference!$C$6,1,0)*Reference!$C$12)</f>
        <v>350610</v>
      </c>
      <c r="D314" s="10">
        <f ca="1">ROUND(_xlfn.NORM.INV(RAND(),Reference!$D$8,0.1*Reference!$D$8)*(1+Reference!$D$11*(IF(MONTH($A314)=Reference!$D$4,1,0)+IF(MONTH($A314)=Reference!$D$5,1,0))+(IF(MONTH($A314)=Reference!$D$6,Reference!$D$13,0))),0)</f>
        <v>507</v>
      </c>
      <c r="E314" s="11">
        <f ca="1">D314*Reference!$D$7*(1-IF(MONTH($A314)=Reference!$D$6,1,0)*Reference!$D$12)</f>
        <v>380250</v>
      </c>
      <c r="L314" s="16"/>
      <c r="M314" s="20"/>
      <c r="N314" s="20"/>
      <c r="O314" s="19"/>
      <c r="P314" s="10"/>
      <c r="Q314" s="10"/>
      <c r="R314" s="10"/>
      <c r="S314" s="10"/>
      <c r="T314" s="10"/>
      <c r="U314" s="10"/>
      <c r="V314" s="10"/>
      <c r="W314" s="10"/>
      <c r="X314" s="10"/>
      <c r="Y314" s="10"/>
    </row>
    <row r="315" spans="1:25" x14ac:dyDescent="0.25">
      <c r="A315" s="9">
        <v>40853</v>
      </c>
      <c r="B315" s="10">
        <f ca="1">ROUND(_xlfn.NORM.INV(RAND(),Reference!$C$8,0.1*Reference!$C$8)*(1+Reference!$C$11*(IF(MONTH($A315)=Reference!$C$4,1,0)+IF(MONTH($A315)=Reference!$C$5,1,0))+(IF(MONTH($A315)=Reference!$C$6,Reference!$C$13,0))),0)</f>
        <v>319</v>
      </c>
      <c r="C315" s="11">
        <f ca="1">B315*Reference!$C$7*(1-IF(MONTH($A315)=Reference!$C$6,1,0)*Reference!$C$12)</f>
        <v>296670</v>
      </c>
      <c r="D315" s="10">
        <f ca="1">ROUND(_xlfn.NORM.INV(RAND(),Reference!$D$8,0.1*Reference!$D$8)*(1+Reference!$D$11*(IF(MONTH($A315)=Reference!$D$4,1,0)+IF(MONTH($A315)=Reference!$D$5,1,0))+(IF(MONTH($A315)=Reference!$D$6,Reference!$D$13,0))),0)</f>
        <v>436</v>
      </c>
      <c r="E315" s="11">
        <f ca="1">D315*Reference!$D$7*(1-IF(MONTH($A315)=Reference!$D$6,1,0)*Reference!$D$12)</f>
        <v>327000</v>
      </c>
      <c r="L315" s="16"/>
      <c r="M315" s="20"/>
      <c r="N315" s="20"/>
      <c r="O315" s="19"/>
      <c r="P315" s="10"/>
      <c r="Q315" s="10"/>
      <c r="R315" s="10"/>
      <c r="S315" s="10"/>
      <c r="T315" s="10"/>
      <c r="U315" s="10"/>
      <c r="V315" s="10"/>
      <c r="W315" s="10"/>
      <c r="X315" s="10"/>
      <c r="Y315" s="10"/>
    </row>
    <row r="316" spans="1:25" x14ac:dyDescent="0.25">
      <c r="A316" s="9">
        <v>40854</v>
      </c>
      <c r="B316" s="10">
        <f ca="1">ROUND(_xlfn.NORM.INV(RAND(),Reference!$C$8,0.1*Reference!$C$8)*(1+Reference!$C$11*(IF(MONTH($A316)=Reference!$C$4,1,0)+IF(MONTH($A316)=Reference!$C$5,1,0))+(IF(MONTH($A316)=Reference!$C$6,Reference!$C$13,0))),0)</f>
        <v>355</v>
      </c>
      <c r="C316" s="11">
        <f ca="1">B316*Reference!$C$7*(1-IF(MONTH($A316)=Reference!$C$6,1,0)*Reference!$C$12)</f>
        <v>330150</v>
      </c>
      <c r="D316" s="10">
        <f ca="1">ROUND(_xlfn.NORM.INV(RAND(),Reference!$D$8,0.1*Reference!$D$8)*(1+Reference!$D$11*(IF(MONTH($A316)=Reference!$D$4,1,0)+IF(MONTH($A316)=Reference!$D$5,1,0))+(IF(MONTH($A316)=Reference!$D$6,Reference!$D$13,0))),0)</f>
        <v>385</v>
      </c>
      <c r="E316" s="11">
        <f ca="1">D316*Reference!$D$7*(1-IF(MONTH($A316)=Reference!$D$6,1,0)*Reference!$D$12)</f>
        <v>288750</v>
      </c>
      <c r="L316" s="16"/>
      <c r="M316" s="20"/>
      <c r="N316" s="20"/>
      <c r="O316" s="19"/>
      <c r="P316" s="10"/>
      <c r="Q316" s="10"/>
      <c r="R316" s="10"/>
      <c r="S316" s="10"/>
      <c r="T316" s="10"/>
      <c r="U316" s="10"/>
      <c r="V316" s="10"/>
      <c r="W316" s="10"/>
      <c r="X316" s="10"/>
      <c r="Y316" s="10"/>
    </row>
    <row r="317" spans="1:25" x14ac:dyDescent="0.25">
      <c r="A317" s="9">
        <v>40855</v>
      </c>
      <c r="B317" s="10">
        <f ca="1">ROUND(_xlfn.NORM.INV(RAND(),Reference!$C$8,0.1*Reference!$C$8)*(1+Reference!$C$11*(IF(MONTH($A317)=Reference!$C$4,1,0)+IF(MONTH($A317)=Reference!$C$5,1,0))+(IF(MONTH($A317)=Reference!$C$6,Reference!$C$13,0))),0)</f>
        <v>320</v>
      </c>
      <c r="C317" s="11">
        <f ca="1">B317*Reference!$C$7*(1-IF(MONTH($A317)=Reference!$C$6,1,0)*Reference!$C$12)</f>
        <v>297600</v>
      </c>
      <c r="D317" s="10">
        <f ca="1">ROUND(_xlfn.NORM.INV(RAND(),Reference!$D$8,0.1*Reference!$D$8)*(1+Reference!$D$11*(IF(MONTH($A317)=Reference!$D$4,1,0)+IF(MONTH($A317)=Reference!$D$5,1,0))+(IF(MONTH($A317)=Reference!$D$6,Reference!$D$13,0))),0)</f>
        <v>411</v>
      </c>
      <c r="E317" s="11">
        <f ca="1">D317*Reference!$D$7*(1-IF(MONTH($A317)=Reference!$D$6,1,0)*Reference!$D$12)</f>
        <v>308250</v>
      </c>
      <c r="L317" s="16"/>
      <c r="M317" s="20"/>
      <c r="N317" s="20"/>
      <c r="O317" s="19"/>
      <c r="P317" s="10"/>
      <c r="Q317" s="10"/>
      <c r="R317" s="10"/>
      <c r="S317" s="10"/>
      <c r="T317" s="10"/>
      <c r="U317" s="10"/>
      <c r="V317" s="10"/>
      <c r="W317" s="10"/>
      <c r="X317" s="10"/>
      <c r="Y317" s="10"/>
    </row>
    <row r="318" spans="1:25" x14ac:dyDescent="0.25">
      <c r="A318" s="9">
        <v>40856</v>
      </c>
      <c r="B318" s="10">
        <f ca="1">ROUND(_xlfn.NORM.INV(RAND(),Reference!$C$8,0.1*Reference!$C$8)*(1+Reference!$C$11*(IF(MONTH($A318)=Reference!$C$4,1,0)+IF(MONTH($A318)=Reference!$C$5,1,0))+(IF(MONTH($A318)=Reference!$C$6,Reference!$C$13,0))),0)</f>
        <v>357</v>
      </c>
      <c r="C318" s="11">
        <f ca="1">B318*Reference!$C$7*(1-IF(MONTH($A318)=Reference!$C$6,1,0)*Reference!$C$12)</f>
        <v>332010</v>
      </c>
      <c r="D318" s="10">
        <f ca="1">ROUND(_xlfn.NORM.INV(RAND(),Reference!$D$8,0.1*Reference!$D$8)*(1+Reference!$D$11*(IF(MONTH($A318)=Reference!$D$4,1,0)+IF(MONTH($A318)=Reference!$D$5,1,0))+(IF(MONTH($A318)=Reference!$D$6,Reference!$D$13,0))),0)</f>
        <v>519</v>
      </c>
      <c r="E318" s="11">
        <f ca="1">D318*Reference!$D$7*(1-IF(MONTH($A318)=Reference!$D$6,1,0)*Reference!$D$12)</f>
        <v>389250</v>
      </c>
      <c r="L318" s="16"/>
      <c r="M318" s="20"/>
      <c r="N318" s="20"/>
      <c r="O318" s="19"/>
      <c r="P318" s="10"/>
      <c r="Q318" s="10"/>
      <c r="R318" s="10"/>
      <c r="S318" s="10"/>
      <c r="T318" s="10"/>
      <c r="U318" s="10"/>
      <c r="V318" s="10"/>
      <c r="W318" s="10"/>
      <c r="X318" s="10"/>
      <c r="Y318" s="10"/>
    </row>
    <row r="319" spans="1:25" x14ac:dyDescent="0.25">
      <c r="A319" s="9">
        <v>40857</v>
      </c>
      <c r="B319" s="10">
        <f ca="1">ROUND(_xlfn.NORM.INV(RAND(),Reference!$C$8,0.1*Reference!$C$8)*(1+Reference!$C$11*(IF(MONTH($A319)=Reference!$C$4,1,0)+IF(MONTH($A319)=Reference!$C$5,1,0))+(IF(MONTH($A319)=Reference!$C$6,Reference!$C$13,0))),0)</f>
        <v>322</v>
      </c>
      <c r="C319" s="11">
        <f ca="1">B319*Reference!$C$7*(1-IF(MONTH($A319)=Reference!$C$6,1,0)*Reference!$C$12)</f>
        <v>299460</v>
      </c>
      <c r="D319" s="10">
        <f ca="1">ROUND(_xlfn.NORM.INV(RAND(),Reference!$D$8,0.1*Reference!$D$8)*(1+Reference!$D$11*(IF(MONTH($A319)=Reference!$D$4,1,0)+IF(MONTH($A319)=Reference!$D$5,1,0))+(IF(MONTH($A319)=Reference!$D$6,Reference!$D$13,0))),0)</f>
        <v>432</v>
      </c>
      <c r="E319" s="11">
        <f ca="1">D319*Reference!$D$7*(1-IF(MONTH($A319)=Reference!$D$6,1,0)*Reference!$D$12)</f>
        <v>324000</v>
      </c>
      <c r="L319" s="16"/>
      <c r="M319" s="20"/>
      <c r="N319" s="20"/>
      <c r="O319" s="19"/>
      <c r="P319" s="10"/>
      <c r="Q319" s="10"/>
      <c r="R319" s="10"/>
      <c r="S319" s="10"/>
      <c r="T319" s="10"/>
      <c r="U319" s="10"/>
      <c r="V319" s="10"/>
      <c r="W319" s="10"/>
      <c r="X319" s="10"/>
      <c r="Y319" s="10"/>
    </row>
    <row r="320" spans="1:25" x14ac:dyDescent="0.25">
      <c r="A320" s="9">
        <v>40858</v>
      </c>
      <c r="B320" s="10">
        <f ca="1">ROUND(_xlfn.NORM.INV(RAND(),Reference!$C$8,0.1*Reference!$C$8)*(1+Reference!$C$11*(IF(MONTH($A320)=Reference!$C$4,1,0)+IF(MONTH($A320)=Reference!$C$5,1,0))+(IF(MONTH($A320)=Reference!$C$6,Reference!$C$13,0))),0)</f>
        <v>337</v>
      </c>
      <c r="C320" s="11">
        <f ca="1">B320*Reference!$C$7*(1-IF(MONTH($A320)=Reference!$C$6,1,0)*Reference!$C$12)</f>
        <v>313410</v>
      </c>
      <c r="D320" s="10">
        <f ca="1">ROUND(_xlfn.NORM.INV(RAND(),Reference!$D$8,0.1*Reference!$D$8)*(1+Reference!$D$11*(IF(MONTH($A320)=Reference!$D$4,1,0)+IF(MONTH($A320)=Reference!$D$5,1,0))+(IF(MONTH($A320)=Reference!$D$6,Reference!$D$13,0))),0)</f>
        <v>447</v>
      </c>
      <c r="E320" s="11">
        <f ca="1">D320*Reference!$D$7*(1-IF(MONTH($A320)=Reference!$D$6,1,0)*Reference!$D$12)</f>
        <v>335250</v>
      </c>
      <c r="L320" s="16"/>
      <c r="M320" s="20"/>
      <c r="N320" s="20"/>
      <c r="O320" s="19"/>
      <c r="P320" s="10"/>
      <c r="Q320" s="10"/>
      <c r="R320" s="10"/>
      <c r="S320" s="10"/>
      <c r="T320" s="10"/>
      <c r="U320" s="10"/>
      <c r="V320" s="10"/>
      <c r="W320" s="10"/>
      <c r="X320" s="10"/>
      <c r="Y320" s="10"/>
    </row>
    <row r="321" spans="1:25" x14ac:dyDescent="0.25">
      <c r="A321" s="9">
        <v>40859</v>
      </c>
      <c r="B321" s="10">
        <f ca="1">ROUND(_xlfn.NORM.INV(RAND(),Reference!$C$8,0.1*Reference!$C$8)*(1+Reference!$C$11*(IF(MONTH($A321)=Reference!$C$4,1,0)+IF(MONTH($A321)=Reference!$C$5,1,0))+(IF(MONTH($A321)=Reference!$C$6,Reference!$C$13,0))),0)</f>
        <v>335</v>
      </c>
      <c r="C321" s="11">
        <f ca="1">B321*Reference!$C$7*(1-IF(MONTH($A321)=Reference!$C$6,1,0)*Reference!$C$12)</f>
        <v>311550</v>
      </c>
      <c r="D321" s="10">
        <f ca="1">ROUND(_xlfn.NORM.INV(RAND(),Reference!$D$8,0.1*Reference!$D$8)*(1+Reference!$D$11*(IF(MONTH($A321)=Reference!$D$4,1,0)+IF(MONTH($A321)=Reference!$D$5,1,0))+(IF(MONTH($A321)=Reference!$D$6,Reference!$D$13,0))),0)</f>
        <v>476</v>
      </c>
      <c r="E321" s="11">
        <f ca="1">D321*Reference!$D$7*(1-IF(MONTH($A321)=Reference!$D$6,1,0)*Reference!$D$12)</f>
        <v>357000</v>
      </c>
      <c r="L321" s="16"/>
      <c r="M321" s="20"/>
      <c r="N321" s="20"/>
      <c r="O321" s="19"/>
      <c r="P321" s="10"/>
      <c r="Q321" s="10"/>
      <c r="R321" s="10"/>
      <c r="S321" s="10"/>
      <c r="T321" s="10"/>
      <c r="U321" s="10"/>
      <c r="V321" s="10"/>
      <c r="W321" s="10"/>
      <c r="X321" s="10"/>
      <c r="Y321" s="10"/>
    </row>
    <row r="322" spans="1:25" x14ac:dyDescent="0.25">
      <c r="A322" s="9">
        <v>40860</v>
      </c>
      <c r="B322" s="10">
        <f ca="1">ROUND(_xlfn.NORM.INV(RAND(),Reference!$C$8,0.1*Reference!$C$8)*(1+Reference!$C$11*(IF(MONTH($A322)=Reference!$C$4,1,0)+IF(MONTH($A322)=Reference!$C$5,1,0))+(IF(MONTH($A322)=Reference!$C$6,Reference!$C$13,0))),0)</f>
        <v>409</v>
      </c>
      <c r="C322" s="11">
        <f ca="1">B322*Reference!$C$7*(1-IF(MONTH($A322)=Reference!$C$6,1,0)*Reference!$C$12)</f>
        <v>380370</v>
      </c>
      <c r="D322" s="10">
        <f ca="1">ROUND(_xlfn.NORM.INV(RAND(),Reference!$D$8,0.1*Reference!$D$8)*(1+Reference!$D$11*(IF(MONTH($A322)=Reference!$D$4,1,0)+IF(MONTH($A322)=Reference!$D$5,1,0))+(IF(MONTH($A322)=Reference!$D$6,Reference!$D$13,0))),0)</f>
        <v>416</v>
      </c>
      <c r="E322" s="11">
        <f ca="1">D322*Reference!$D$7*(1-IF(MONTH($A322)=Reference!$D$6,1,0)*Reference!$D$12)</f>
        <v>312000</v>
      </c>
      <c r="L322" s="16"/>
      <c r="M322" s="20"/>
      <c r="N322" s="20"/>
      <c r="O322" s="19"/>
      <c r="P322" s="10"/>
      <c r="Q322" s="10"/>
      <c r="R322" s="10"/>
      <c r="S322" s="10"/>
      <c r="T322" s="10"/>
      <c r="U322" s="10"/>
      <c r="V322" s="10"/>
      <c r="W322" s="10"/>
      <c r="X322" s="10"/>
      <c r="Y322" s="10"/>
    </row>
    <row r="323" spans="1:25" x14ac:dyDescent="0.25">
      <c r="A323" s="9">
        <v>40861</v>
      </c>
      <c r="B323" s="10">
        <f ca="1">ROUND(_xlfn.NORM.INV(RAND(),Reference!$C$8,0.1*Reference!$C$8)*(1+Reference!$C$11*(IF(MONTH($A323)=Reference!$C$4,1,0)+IF(MONTH($A323)=Reference!$C$5,1,0))+(IF(MONTH($A323)=Reference!$C$6,Reference!$C$13,0))),0)</f>
        <v>334</v>
      </c>
      <c r="C323" s="11">
        <f ca="1">B323*Reference!$C$7*(1-IF(MONTH($A323)=Reference!$C$6,1,0)*Reference!$C$12)</f>
        <v>310620</v>
      </c>
      <c r="D323" s="10">
        <f ca="1">ROUND(_xlfn.NORM.INV(RAND(),Reference!$D$8,0.1*Reference!$D$8)*(1+Reference!$D$11*(IF(MONTH($A323)=Reference!$D$4,1,0)+IF(MONTH($A323)=Reference!$D$5,1,0))+(IF(MONTH($A323)=Reference!$D$6,Reference!$D$13,0))),0)</f>
        <v>394</v>
      </c>
      <c r="E323" s="11">
        <f ca="1">D323*Reference!$D$7*(1-IF(MONTH($A323)=Reference!$D$6,1,0)*Reference!$D$12)</f>
        <v>295500</v>
      </c>
      <c r="L323" s="16"/>
      <c r="M323" s="20"/>
      <c r="N323" s="20"/>
      <c r="O323" s="19"/>
      <c r="P323" s="10"/>
      <c r="Q323" s="10"/>
      <c r="R323" s="10"/>
      <c r="S323" s="10"/>
      <c r="T323" s="10"/>
      <c r="U323" s="10"/>
      <c r="V323" s="10"/>
      <c r="W323" s="10"/>
      <c r="X323" s="10"/>
      <c r="Y323" s="10"/>
    </row>
    <row r="324" spans="1:25" x14ac:dyDescent="0.25">
      <c r="A324" s="9">
        <v>40862</v>
      </c>
      <c r="B324" s="10">
        <f ca="1">ROUND(_xlfn.NORM.INV(RAND(),Reference!$C$8,0.1*Reference!$C$8)*(1+Reference!$C$11*(IF(MONTH($A324)=Reference!$C$4,1,0)+IF(MONTH($A324)=Reference!$C$5,1,0))+(IF(MONTH($A324)=Reference!$C$6,Reference!$C$13,0))),0)</f>
        <v>360</v>
      </c>
      <c r="C324" s="11">
        <f ca="1">B324*Reference!$C$7*(1-IF(MONTH($A324)=Reference!$C$6,1,0)*Reference!$C$12)</f>
        <v>334800</v>
      </c>
      <c r="D324" s="10">
        <f ca="1">ROUND(_xlfn.NORM.INV(RAND(),Reference!$D$8,0.1*Reference!$D$8)*(1+Reference!$D$11*(IF(MONTH($A324)=Reference!$D$4,1,0)+IF(MONTH($A324)=Reference!$D$5,1,0))+(IF(MONTH($A324)=Reference!$D$6,Reference!$D$13,0))),0)</f>
        <v>456</v>
      </c>
      <c r="E324" s="11">
        <f ca="1">D324*Reference!$D$7*(1-IF(MONTH($A324)=Reference!$D$6,1,0)*Reference!$D$12)</f>
        <v>342000</v>
      </c>
      <c r="L324" s="16"/>
      <c r="M324" s="20"/>
      <c r="N324" s="20"/>
      <c r="O324" s="19"/>
      <c r="P324" s="10"/>
      <c r="Q324" s="10"/>
      <c r="R324" s="10"/>
      <c r="S324" s="10"/>
      <c r="T324" s="10"/>
      <c r="U324" s="10"/>
      <c r="V324" s="10"/>
      <c r="W324" s="10"/>
      <c r="X324" s="10"/>
      <c r="Y324" s="10"/>
    </row>
    <row r="325" spans="1:25" x14ac:dyDescent="0.25">
      <c r="A325" s="9">
        <v>40863</v>
      </c>
      <c r="B325" s="10">
        <f ca="1">ROUND(_xlfn.NORM.INV(RAND(),Reference!$C$8,0.1*Reference!$C$8)*(1+Reference!$C$11*(IF(MONTH($A325)=Reference!$C$4,1,0)+IF(MONTH($A325)=Reference!$C$5,1,0))+(IF(MONTH($A325)=Reference!$C$6,Reference!$C$13,0))),0)</f>
        <v>321</v>
      </c>
      <c r="C325" s="11">
        <f ca="1">B325*Reference!$C$7*(1-IF(MONTH($A325)=Reference!$C$6,1,0)*Reference!$C$12)</f>
        <v>298530</v>
      </c>
      <c r="D325" s="10">
        <f ca="1">ROUND(_xlfn.NORM.INV(RAND(),Reference!$D$8,0.1*Reference!$D$8)*(1+Reference!$D$11*(IF(MONTH($A325)=Reference!$D$4,1,0)+IF(MONTH($A325)=Reference!$D$5,1,0))+(IF(MONTH($A325)=Reference!$D$6,Reference!$D$13,0))),0)</f>
        <v>394</v>
      </c>
      <c r="E325" s="11">
        <f ca="1">D325*Reference!$D$7*(1-IF(MONTH($A325)=Reference!$D$6,1,0)*Reference!$D$12)</f>
        <v>295500</v>
      </c>
      <c r="L325" s="16"/>
      <c r="M325" s="20"/>
      <c r="N325" s="20"/>
      <c r="O325" s="19"/>
      <c r="P325" s="10"/>
      <c r="Q325" s="10"/>
      <c r="R325" s="10"/>
      <c r="S325" s="10"/>
      <c r="T325" s="10"/>
      <c r="U325" s="10"/>
      <c r="V325" s="10"/>
      <c r="W325" s="10"/>
      <c r="X325" s="10"/>
      <c r="Y325" s="10"/>
    </row>
    <row r="326" spans="1:25" x14ac:dyDescent="0.25">
      <c r="A326" s="9">
        <v>40864</v>
      </c>
      <c r="B326" s="10">
        <f ca="1">ROUND(_xlfn.NORM.INV(RAND(),Reference!$C$8,0.1*Reference!$C$8)*(1+Reference!$C$11*(IF(MONTH($A326)=Reference!$C$4,1,0)+IF(MONTH($A326)=Reference!$C$5,1,0))+(IF(MONTH($A326)=Reference!$C$6,Reference!$C$13,0))),0)</f>
        <v>379</v>
      </c>
      <c r="C326" s="11">
        <f ca="1">B326*Reference!$C$7*(1-IF(MONTH($A326)=Reference!$C$6,1,0)*Reference!$C$12)</f>
        <v>352470</v>
      </c>
      <c r="D326" s="10">
        <f ca="1">ROUND(_xlfn.NORM.INV(RAND(),Reference!$D$8,0.1*Reference!$D$8)*(1+Reference!$D$11*(IF(MONTH($A326)=Reference!$D$4,1,0)+IF(MONTH($A326)=Reference!$D$5,1,0))+(IF(MONTH($A326)=Reference!$D$6,Reference!$D$13,0))),0)</f>
        <v>466</v>
      </c>
      <c r="E326" s="11">
        <f ca="1">D326*Reference!$D$7*(1-IF(MONTH($A326)=Reference!$D$6,1,0)*Reference!$D$12)</f>
        <v>349500</v>
      </c>
      <c r="L326" s="16"/>
      <c r="M326" s="20"/>
      <c r="N326" s="20"/>
      <c r="O326" s="19"/>
      <c r="P326" s="10"/>
      <c r="Q326" s="10"/>
      <c r="R326" s="10"/>
      <c r="S326" s="10"/>
      <c r="T326" s="10"/>
      <c r="U326" s="10"/>
      <c r="V326" s="10"/>
      <c r="W326" s="10"/>
      <c r="X326" s="10"/>
      <c r="Y326" s="10"/>
    </row>
    <row r="327" spans="1:25" x14ac:dyDescent="0.25">
      <c r="A327" s="9">
        <v>40865</v>
      </c>
      <c r="B327" s="10">
        <f ca="1">ROUND(_xlfn.NORM.INV(RAND(),Reference!$C$8,0.1*Reference!$C$8)*(1+Reference!$C$11*(IF(MONTH($A327)=Reference!$C$4,1,0)+IF(MONTH($A327)=Reference!$C$5,1,0))+(IF(MONTH($A327)=Reference!$C$6,Reference!$C$13,0))),0)</f>
        <v>330</v>
      </c>
      <c r="C327" s="11">
        <f ca="1">B327*Reference!$C$7*(1-IF(MONTH($A327)=Reference!$C$6,1,0)*Reference!$C$12)</f>
        <v>306900</v>
      </c>
      <c r="D327" s="10">
        <f ca="1">ROUND(_xlfn.NORM.INV(RAND(),Reference!$D$8,0.1*Reference!$D$8)*(1+Reference!$D$11*(IF(MONTH($A327)=Reference!$D$4,1,0)+IF(MONTH($A327)=Reference!$D$5,1,0))+(IF(MONTH($A327)=Reference!$D$6,Reference!$D$13,0))),0)</f>
        <v>391</v>
      </c>
      <c r="E327" s="11">
        <f ca="1">D327*Reference!$D$7*(1-IF(MONTH($A327)=Reference!$D$6,1,0)*Reference!$D$12)</f>
        <v>293250</v>
      </c>
      <c r="L327" s="16"/>
      <c r="M327" s="20"/>
      <c r="N327" s="20"/>
      <c r="O327" s="19"/>
      <c r="P327" s="10"/>
      <c r="Q327" s="10"/>
      <c r="R327" s="10"/>
      <c r="S327" s="10"/>
      <c r="T327" s="10"/>
      <c r="U327" s="10"/>
      <c r="V327" s="10"/>
      <c r="W327" s="10"/>
      <c r="X327" s="10"/>
      <c r="Y327" s="10"/>
    </row>
    <row r="328" spans="1:25" x14ac:dyDescent="0.25">
      <c r="A328" s="9">
        <v>40866</v>
      </c>
      <c r="B328" s="10">
        <f ca="1">ROUND(_xlfn.NORM.INV(RAND(),Reference!$C$8,0.1*Reference!$C$8)*(1+Reference!$C$11*(IF(MONTH($A328)=Reference!$C$4,1,0)+IF(MONTH($A328)=Reference!$C$5,1,0))+(IF(MONTH($A328)=Reference!$C$6,Reference!$C$13,0))),0)</f>
        <v>380</v>
      </c>
      <c r="C328" s="11">
        <f ca="1">B328*Reference!$C$7*(1-IF(MONTH($A328)=Reference!$C$6,1,0)*Reference!$C$12)</f>
        <v>353400</v>
      </c>
      <c r="D328" s="10">
        <f ca="1">ROUND(_xlfn.NORM.INV(RAND(),Reference!$D$8,0.1*Reference!$D$8)*(1+Reference!$D$11*(IF(MONTH($A328)=Reference!$D$4,1,0)+IF(MONTH($A328)=Reference!$D$5,1,0))+(IF(MONTH($A328)=Reference!$D$6,Reference!$D$13,0))),0)</f>
        <v>378</v>
      </c>
      <c r="E328" s="11">
        <f ca="1">D328*Reference!$D$7*(1-IF(MONTH($A328)=Reference!$D$6,1,0)*Reference!$D$12)</f>
        <v>283500</v>
      </c>
      <c r="L328" s="16"/>
      <c r="M328" s="20"/>
      <c r="N328" s="20"/>
      <c r="O328" s="19"/>
      <c r="P328" s="10"/>
      <c r="Q328" s="10"/>
      <c r="R328" s="10"/>
      <c r="S328" s="10"/>
      <c r="T328" s="10"/>
      <c r="U328" s="10"/>
      <c r="V328" s="10"/>
      <c r="W328" s="10"/>
      <c r="X328" s="10"/>
      <c r="Y328" s="10"/>
    </row>
    <row r="329" spans="1:25" x14ac:dyDescent="0.25">
      <c r="A329" s="9">
        <v>40867</v>
      </c>
      <c r="B329" s="10">
        <f ca="1">ROUND(_xlfn.NORM.INV(RAND(),Reference!$C$8,0.1*Reference!$C$8)*(1+Reference!$C$11*(IF(MONTH($A329)=Reference!$C$4,1,0)+IF(MONTH($A329)=Reference!$C$5,1,0))+(IF(MONTH($A329)=Reference!$C$6,Reference!$C$13,0))),0)</f>
        <v>331</v>
      </c>
      <c r="C329" s="11">
        <f ca="1">B329*Reference!$C$7*(1-IF(MONTH($A329)=Reference!$C$6,1,0)*Reference!$C$12)</f>
        <v>307830</v>
      </c>
      <c r="D329" s="10">
        <f ca="1">ROUND(_xlfn.NORM.INV(RAND(),Reference!$D$8,0.1*Reference!$D$8)*(1+Reference!$D$11*(IF(MONTH($A329)=Reference!$D$4,1,0)+IF(MONTH($A329)=Reference!$D$5,1,0))+(IF(MONTH($A329)=Reference!$D$6,Reference!$D$13,0))),0)</f>
        <v>442</v>
      </c>
      <c r="E329" s="11">
        <f ca="1">D329*Reference!$D$7*(1-IF(MONTH($A329)=Reference!$D$6,1,0)*Reference!$D$12)</f>
        <v>331500</v>
      </c>
      <c r="L329" s="16"/>
      <c r="M329" s="20"/>
      <c r="N329" s="20"/>
      <c r="O329" s="19"/>
      <c r="P329" s="10"/>
      <c r="Q329" s="10"/>
      <c r="R329" s="10"/>
      <c r="S329" s="10"/>
      <c r="T329" s="10"/>
      <c r="U329" s="10"/>
      <c r="V329" s="10"/>
      <c r="W329" s="10"/>
      <c r="X329" s="10"/>
      <c r="Y329" s="10"/>
    </row>
    <row r="330" spans="1:25" x14ac:dyDescent="0.25">
      <c r="A330" s="9">
        <v>40868</v>
      </c>
      <c r="B330" s="10">
        <f ca="1">ROUND(_xlfn.NORM.INV(RAND(),Reference!$C$8,0.1*Reference!$C$8)*(1+Reference!$C$11*(IF(MONTH($A330)=Reference!$C$4,1,0)+IF(MONTH($A330)=Reference!$C$5,1,0))+(IF(MONTH($A330)=Reference!$C$6,Reference!$C$13,0))),0)</f>
        <v>293</v>
      </c>
      <c r="C330" s="11">
        <f ca="1">B330*Reference!$C$7*(1-IF(MONTH($A330)=Reference!$C$6,1,0)*Reference!$C$12)</f>
        <v>272490</v>
      </c>
      <c r="D330" s="10">
        <f ca="1">ROUND(_xlfn.NORM.INV(RAND(),Reference!$D$8,0.1*Reference!$D$8)*(1+Reference!$D$11*(IF(MONTH($A330)=Reference!$D$4,1,0)+IF(MONTH($A330)=Reference!$D$5,1,0))+(IF(MONTH($A330)=Reference!$D$6,Reference!$D$13,0))),0)</f>
        <v>459</v>
      </c>
      <c r="E330" s="11">
        <f ca="1">D330*Reference!$D$7*(1-IF(MONTH($A330)=Reference!$D$6,1,0)*Reference!$D$12)</f>
        <v>344250</v>
      </c>
      <c r="L330" s="16"/>
      <c r="M330" s="20"/>
      <c r="N330" s="20"/>
      <c r="O330" s="19"/>
      <c r="P330" s="10"/>
      <c r="Q330" s="10"/>
      <c r="R330" s="10"/>
      <c r="S330" s="10"/>
      <c r="T330" s="10"/>
      <c r="U330" s="10"/>
      <c r="V330" s="10"/>
      <c r="W330" s="10"/>
      <c r="X330" s="10"/>
      <c r="Y330" s="10"/>
    </row>
    <row r="331" spans="1:25" x14ac:dyDescent="0.25">
      <c r="A331" s="9">
        <v>40869</v>
      </c>
      <c r="B331" s="10">
        <f ca="1">ROUND(_xlfn.NORM.INV(RAND(),Reference!$C$8,0.1*Reference!$C$8)*(1+Reference!$C$11*(IF(MONTH($A331)=Reference!$C$4,1,0)+IF(MONTH($A331)=Reference!$C$5,1,0))+(IF(MONTH($A331)=Reference!$C$6,Reference!$C$13,0))),0)</f>
        <v>357</v>
      </c>
      <c r="C331" s="11">
        <f ca="1">B331*Reference!$C$7*(1-IF(MONTH($A331)=Reference!$C$6,1,0)*Reference!$C$12)</f>
        <v>332010</v>
      </c>
      <c r="D331" s="10">
        <f ca="1">ROUND(_xlfn.NORM.INV(RAND(),Reference!$D$8,0.1*Reference!$D$8)*(1+Reference!$D$11*(IF(MONTH($A331)=Reference!$D$4,1,0)+IF(MONTH($A331)=Reference!$D$5,1,0))+(IF(MONTH($A331)=Reference!$D$6,Reference!$D$13,0))),0)</f>
        <v>433</v>
      </c>
      <c r="E331" s="11">
        <f ca="1">D331*Reference!$D$7*(1-IF(MONTH($A331)=Reference!$D$6,1,0)*Reference!$D$12)</f>
        <v>324750</v>
      </c>
      <c r="L331" s="16"/>
      <c r="M331" s="20"/>
      <c r="N331" s="20"/>
      <c r="O331" s="19"/>
      <c r="P331" s="10"/>
      <c r="Q331" s="10"/>
      <c r="R331" s="10"/>
      <c r="S331" s="10"/>
      <c r="T331" s="10"/>
      <c r="U331" s="10"/>
      <c r="V331" s="10"/>
      <c r="W331" s="10"/>
      <c r="X331" s="10"/>
      <c r="Y331" s="10"/>
    </row>
    <row r="332" spans="1:25" x14ac:dyDescent="0.25">
      <c r="A332" s="9">
        <v>40870</v>
      </c>
      <c r="B332" s="10">
        <f ca="1">ROUND(_xlfn.NORM.INV(RAND(),Reference!$C$8,0.1*Reference!$C$8)*(1+Reference!$C$11*(IF(MONTH($A332)=Reference!$C$4,1,0)+IF(MONTH($A332)=Reference!$C$5,1,0))+(IF(MONTH($A332)=Reference!$C$6,Reference!$C$13,0))),0)</f>
        <v>341</v>
      </c>
      <c r="C332" s="11">
        <f ca="1">B332*Reference!$C$7*(1-IF(MONTH($A332)=Reference!$C$6,1,0)*Reference!$C$12)</f>
        <v>317130</v>
      </c>
      <c r="D332" s="10">
        <f ca="1">ROUND(_xlfn.NORM.INV(RAND(),Reference!$D$8,0.1*Reference!$D$8)*(1+Reference!$D$11*(IF(MONTH($A332)=Reference!$D$4,1,0)+IF(MONTH($A332)=Reference!$D$5,1,0))+(IF(MONTH($A332)=Reference!$D$6,Reference!$D$13,0))),0)</f>
        <v>470</v>
      </c>
      <c r="E332" s="11">
        <f ca="1">D332*Reference!$D$7*(1-IF(MONTH($A332)=Reference!$D$6,1,0)*Reference!$D$12)</f>
        <v>352500</v>
      </c>
      <c r="L332" s="16"/>
      <c r="M332" s="20"/>
      <c r="N332" s="20"/>
      <c r="O332" s="19"/>
      <c r="P332" s="10"/>
      <c r="Q332" s="10"/>
      <c r="R332" s="10"/>
      <c r="S332" s="10"/>
      <c r="T332" s="10"/>
      <c r="U332" s="10"/>
      <c r="V332" s="10"/>
      <c r="W332" s="10"/>
      <c r="X332" s="10"/>
      <c r="Y332" s="10"/>
    </row>
    <row r="333" spans="1:25" x14ac:dyDescent="0.25">
      <c r="A333" s="9">
        <v>40871</v>
      </c>
      <c r="B333" s="10">
        <f ca="1">ROUND(_xlfn.NORM.INV(RAND(),Reference!$C$8,0.1*Reference!$C$8)*(1+Reference!$C$11*(IF(MONTH($A333)=Reference!$C$4,1,0)+IF(MONTH($A333)=Reference!$C$5,1,0))+(IF(MONTH($A333)=Reference!$C$6,Reference!$C$13,0))),0)</f>
        <v>375</v>
      </c>
      <c r="C333" s="11">
        <f ca="1">B333*Reference!$C$7*(1-IF(MONTH($A333)=Reference!$C$6,1,0)*Reference!$C$12)</f>
        <v>348750</v>
      </c>
      <c r="D333" s="10">
        <f ca="1">ROUND(_xlfn.NORM.INV(RAND(),Reference!$D$8,0.1*Reference!$D$8)*(1+Reference!$D$11*(IF(MONTH($A333)=Reference!$D$4,1,0)+IF(MONTH($A333)=Reference!$D$5,1,0))+(IF(MONTH($A333)=Reference!$D$6,Reference!$D$13,0))),0)</f>
        <v>495</v>
      </c>
      <c r="E333" s="11">
        <f ca="1">D333*Reference!$D$7*(1-IF(MONTH($A333)=Reference!$D$6,1,0)*Reference!$D$12)</f>
        <v>371250</v>
      </c>
      <c r="L333" s="16"/>
      <c r="M333" s="20"/>
      <c r="N333" s="20"/>
      <c r="O333" s="19"/>
      <c r="P333" s="10"/>
      <c r="Q333" s="10"/>
      <c r="R333" s="10"/>
      <c r="S333" s="10"/>
      <c r="T333" s="10"/>
      <c r="U333" s="10"/>
      <c r="V333" s="10"/>
      <c r="W333" s="10"/>
      <c r="X333" s="10"/>
      <c r="Y333" s="10"/>
    </row>
    <row r="334" spans="1:25" x14ac:dyDescent="0.25">
      <c r="A334" s="9">
        <v>40872</v>
      </c>
      <c r="B334" s="10">
        <f ca="1">ROUND(_xlfn.NORM.INV(RAND(),Reference!$C$8,0.1*Reference!$C$8)*(1+Reference!$C$11*(IF(MONTH($A334)=Reference!$C$4,1,0)+IF(MONTH($A334)=Reference!$C$5,1,0))+(IF(MONTH($A334)=Reference!$C$6,Reference!$C$13,0))),0)</f>
        <v>387</v>
      </c>
      <c r="C334" s="11">
        <f ca="1">B334*Reference!$C$7*(1-IF(MONTH($A334)=Reference!$C$6,1,0)*Reference!$C$12)</f>
        <v>359910</v>
      </c>
      <c r="D334" s="10">
        <f ca="1">ROUND(_xlfn.NORM.INV(RAND(),Reference!$D$8,0.1*Reference!$D$8)*(1+Reference!$D$11*(IF(MONTH($A334)=Reference!$D$4,1,0)+IF(MONTH($A334)=Reference!$D$5,1,0))+(IF(MONTH($A334)=Reference!$D$6,Reference!$D$13,0))),0)</f>
        <v>500</v>
      </c>
      <c r="E334" s="11">
        <f ca="1">D334*Reference!$D$7*(1-IF(MONTH($A334)=Reference!$D$6,1,0)*Reference!$D$12)</f>
        <v>375000</v>
      </c>
      <c r="L334" s="16"/>
      <c r="M334" s="20"/>
      <c r="N334" s="20"/>
      <c r="O334" s="19"/>
      <c r="P334" s="10"/>
      <c r="Q334" s="10"/>
      <c r="R334" s="10"/>
      <c r="S334" s="10"/>
      <c r="T334" s="10"/>
      <c r="U334" s="10"/>
      <c r="V334" s="10"/>
      <c r="W334" s="10"/>
      <c r="X334" s="10"/>
      <c r="Y334" s="10"/>
    </row>
    <row r="335" spans="1:25" x14ac:dyDescent="0.25">
      <c r="A335" s="9">
        <v>40873</v>
      </c>
      <c r="B335" s="10">
        <f ca="1">ROUND(_xlfn.NORM.INV(RAND(),Reference!$C$8,0.1*Reference!$C$8)*(1+Reference!$C$11*(IF(MONTH($A335)=Reference!$C$4,1,0)+IF(MONTH($A335)=Reference!$C$5,1,0))+(IF(MONTH($A335)=Reference!$C$6,Reference!$C$13,0))),0)</f>
        <v>283</v>
      </c>
      <c r="C335" s="11">
        <f ca="1">B335*Reference!$C$7*(1-IF(MONTH($A335)=Reference!$C$6,1,0)*Reference!$C$12)</f>
        <v>263190</v>
      </c>
      <c r="D335" s="10">
        <f ca="1">ROUND(_xlfn.NORM.INV(RAND(),Reference!$D$8,0.1*Reference!$D$8)*(1+Reference!$D$11*(IF(MONTH($A335)=Reference!$D$4,1,0)+IF(MONTH($A335)=Reference!$D$5,1,0))+(IF(MONTH($A335)=Reference!$D$6,Reference!$D$13,0))),0)</f>
        <v>511</v>
      </c>
      <c r="E335" s="11">
        <f ca="1">D335*Reference!$D$7*(1-IF(MONTH($A335)=Reference!$D$6,1,0)*Reference!$D$12)</f>
        <v>383250</v>
      </c>
      <c r="L335" s="16"/>
      <c r="M335" s="20"/>
      <c r="N335" s="20"/>
      <c r="O335" s="19"/>
      <c r="P335" s="10"/>
      <c r="Q335" s="10"/>
      <c r="R335" s="10"/>
      <c r="S335" s="10"/>
      <c r="T335" s="10"/>
      <c r="U335" s="10"/>
      <c r="V335" s="10"/>
      <c r="W335" s="10"/>
      <c r="X335" s="10"/>
      <c r="Y335" s="10"/>
    </row>
    <row r="336" spans="1:25" x14ac:dyDescent="0.25">
      <c r="A336" s="9">
        <v>40874</v>
      </c>
      <c r="B336" s="10">
        <f ca="1">ROUND(_xlfn.NORM.INV(RAND(),Reference!$C$8,0.1*Reference!$C$8)*(1+Reference!$C$11*(IF(MONTH($A336)=Reference!$C$4,1,0)+IF(MONTH($A336)=Reference!$C$5,1,0))+(IF(MONTH($A336)=Reference!$C$6,Reference!$C$13,0))),0)</f>
        <v>344</v>
      </c>
      <c r="C336" s="11">
        <f ca="1">B336*Reference!$C$7*(1-IF(MONTH($A336)=Reference!$C$6,1,0)*Reference!$C$12)</f>
        <v>319920</v>
      </c>
      <c r="D336" s="10">
        <f ca="1">ROUND(_xlfn.NORM.INV(RAND(),Reference!$D$8,0.1*Reference!$D$8)*(1+Reference!$D$11*(IF(MONTH($A336)=Reference!$D$4,1,0)+IF(MONTH($A336)=Reference!$D$5,1,0))+(IF(MONTH($A336)=Reference!$D$6,Reference!$D$13,0))),0)</f>
        <v>476</v>
      </c>
      <c r="E336" s="11">
        <f ca="1">D336*Reference!$D$7*(1-IF(MONTH($A336)=Reference!$D$6,1,0)*Reference!$D$12)</f>
        <v>357000</v>
      </c>
      <c r="L336" s="16"/>
      <c r="M336" s="20"/>
      <c r="N336" s="20"/>
      <c r="O336" s="19"/>
      <c r="P336" s="10"/>
      <c r="Q336" s="10"/>
      <c r="R336" s="10"/>
      <c r="S336" s="10"/>
      <c r="T336" s="10"/>
      <c r="U336" s="10"/>
      <c r="V336" s="10"/>
      <c r="W336" s="10"/>
      <c r="X336" s="10"/>
      <c r="Y336" s="10"/>
    </row>
    <row r="337" spans="1:25" x14ac:dyDescent="0.25">
      <c r="A337" s="9">
        <v>40875</v>
      </c>
      <c r="B337" s="10">
        <f ca="1">ROUND(_xlfn.NORM.INV(RAND(),Reference!$C$8,0.1*Reference!$C$8)*(1+Reference!$C$11*(IF(MONTH($A337)=Reference!$C$4,1,0)+IF(MONTH($A337)=Reference!$C$5,1,0))+(IF(MONTH($A337)=Reference!$C$6,Reference!$C$13,0))),0)</f>
        <v>432</v>
      </c>
      <c r="C337" s="11">
        <f ca="1">B337*Reference!$C$7*(1-IF(MONTH($A337)=Reference!$C$6,1,0)*Reference!$C$12)</f>
        <v>401760</v>
      </c>
      <c r="D337" s="10">
        <f ca="1">ROUND(_xlfn.NORM.INV(RAND(),Reference!$D$8,0.1*Reference!$D$8)*(1+Reference!$D$11*(IF(MONTH($A337)=Reference!$D$4,1,0)+IF(MONTH($A337)=Reference!$D$5,1,0))+(IF(MONTH($A337)=Reference!$D$6,Reference!$D$13,0))),0)</f>
        <v>357</v>
      </c>
      <c r="E337" s="11">
        <f ca="1">D337*Reference!$D$7*(1-IF(MONTH($A337)=Reference!$D$6,1,0)*Reference!$D$12)</f>
        <v>267750</v>
      </c>
      <c r="L337" s="16"/>
      <c r="M337" s="20"/>
      <c r="N337" s="20"/>
      <c r="O337" s="19"/>
      <c r="P337" s="10"/>
      <c r="Q337" s="10"/>
      <c r="R337" s="10"/>
      <c r="S337" s="10"/>
      <c r="T337" s="10"/>
      <c r="U337" s="10"/>
      <c r="V337" s="10"/>
      <c r="W337" s="10"/>
      <c r="X337" s="10"/>
      <c r="Y337" s="10"/>
    </row>
    <row r="338" spans="1:25" x14ac:dyDescent="0.25">
      <c r="A338" s="9">
        <v>40876</v>
      </c>
      <c r="B338" s="10">
        <f ca="1">ROUND(_xlfn.NORM.INV(RAND(),Reference!$C$8,0.1*Reference!$C$8)*(1+Reference!$C$11*(IF(MONTH($A338)=Reference!$C$4,1,0)+IF(MONTH($A338)=Reference!$C$5,1,0))+(IF(MONTH($A338)=Reference!$C$6,Reference!$C$13,0))),0)</f>
        <v>368</v>
      </c>
      <c r="C338" s="11">
        <f ca="1">B338*Reference!$C$7*(1-IF(MONTH($A338)=Reference!$C$6,1,0)*Reference!$C$12)</f>
        <v>342240</v>
      </c>
      <c r="D338" s="10">
        <f ca="1">ROUND(_xlfn.NORM.INV(RAND(),Reference!$D$8,0.1*Reference!$D$8)*(1+Reference!$D$11*(IF(MONTH($A338)=Reference!$D$4,1,0)+IF(MONTH($A338)=Reference!$D$5,1,0))+(IF(MONTH($A338)=Reference!$D$6,Reference!$D$13,0))),0)</f>
        <v>458</v>
      </c>
      <c r="E338" s="11">
        <f ca="1">D338*Reference!$D$7*(1-IF(MONTH($A338)=Reference!$D$6,1,0)*Reference!$D$12)</f>
        <v>343500</v>
      </c>
      <c r="L338" s="16"/>
      <c r="M338" s="20"/>
      <c r="N338" s="20"/>
      <c r="O338" s="19"/>
      <c r="P338" s="10"/>
      <c r="Q338" s="10"/>
      <c r="R338" s="10"/>
      <c r="S338" s="10"/>
      <c r="T338" s="10"/>
      <c r="U338" s="10"/>
      <c r="V338" s="10"/>
      <c r="W338" s="10"/>
      <c r="X338" s="10"/>
      <c r="Y338" s="10"/>
    </row>
    <row r="339" spans="1:25" x14ac:dyDescent="0.25">
      <c r="A339" s="9">
        <v>40877</v>
      </c>
      <c r="B339" s="10">
        <f ca="1">ROUND(_xlfn.NORM.INV(RAND(),Reference!$C$8,0.1*Reference!$C$8)*(1+Reference!$C$11*(IF(MONTH($A339)=Reference!$C$4,1,0)+IF(MONTH($A339)=Reference!$C$5,1,0))+(IF(MONTH($A339)=Reference!$C$6,Reference!$C$13,0))),0)</f>
        <v>353</v>
      </c>
      <c r="C339" s="11">
        <f ca="1">B339*Reference!$C$7*(1-IF(MONTH($A339)=Reference!$C$6,1,0)*Reference!$C$12)</f>
        <v>328290</v>
      </c>
      <c r="D339" s="10">
        <f ca="1">ROUND(_xlfn.NORM.INV(RAND(),Reference!$D$8,0.1*Reference!$D$8)*(1+Reference!$D$11*(IF(MONTH($A339)=Reference!$D$4,1,0)+IF(MONTH($A339)=Reference!$D$5,1,0))+(IF(MONTH($A339)=Reference!$D$6,Reference!$D$13,0))),0)</f>
        <v>443</v>
      </c>
      <c r="E339" s="11">
        <f ca="1">D339*Reference!$D$7*(1-IF(MONTH($A339)=Reference!$D$6,1,0)*Reference!$D$12)</f>
        <v>332250</v>
      </c>
      <c r="L339" s="16"/>
      <c r="M339" s="20"/>
      <c r="N339" s="20"/>
      <c r="O339" s="19"/>
      <c r="P339" s="10"/>
      <c r="Q339" s="10"/>
      <c r="R339" s="10"/>
      <c r="S339" s="10"/>
      <c r="T339" s="10"/>
      <c r="U339" s="10"/>
      <c r="V339" s="10"/>
      <c r="W339" s="10"/>
      <c r="X339" s="10"/>
      <c r="Y339" s="10"/>
    </row>
    <row r="340" spans="1:25" x14ac:dyDescent="0.25">
      <c r="A340" s="9">
        <v>40878</v>
      </c>
      <c r="B340" s="10">
        <f ca="1">ROUND(_xlfn.NORM.INV(RAND(),Reference!$C$8,0.1*Reference!$C$8)*(1+Reference!$C$11*(IF(MONTH($A340)=Reference!$C$4,1,0)+IF(MONTH($A340)=Reference!$C$5,1,0))+(IF(MONTH($A340)=Reference!$C$6,Reference!$C$13,0))),0)</f>
        <v>414</v>
      </c>
      <c r="C340" s="11">
        <f ca="1">B340*Reference!$C$7*(1-IF(MONTH($A340)=Reference!$C$6,1,0)*Reference!$C$12)</f>
        <v>385020</v>
      </c>
      <c r="D340" s="10">
        <f ca="1">ROUND(_xlfn.NORM.INV(RAND(),Reference!$D$8,0.1*Reference!$D$8)*(1+Reference!$D$11*(IF(MONTH($A340)=Reference!$D$4,1,0)+IF(MONTH($A340)=Reference!$D$5,1,0))+(IF(MONTH($A340)=Reference!$D$6,Reference!$D$13,0))),0)</f>
        <v>468</v>
      </c>
      <c r="E340" s="11">
        <f ca="1">D340*Reference!$D$7*(1-IF(MONTH($A340)=Reference!$D$6,1,0)*Reference!$D$12)</f>
        <v>351000</v>
      </c>
      <c r="L340" s="16"/>
      <c r="M340" s="20"/>
      <c r="N340" s="20"/>
      <c r="O340" s="19"/>
      <c r="P340" s="10"/>
      <c r="Q340" s="10"/>
      <c r="R340" s="10"/>
      <c r="S340" s="10"/>
      <c r="T340" s="10"/>
      <c r="U340" s="10"/>
      <c r="V340" s="10"/>
      <c r="W340" s="10"/>
      <c r="X340" s="10"/>
      <c r="Y340" s="10"/>
    </row>
    <row r="341" spans="1:25" x14ac:dyDescent="0.25">
      <c r="A341" s="9">
        <v>40879</v>
      </c>
      <c r="B341" s="10">
        <f ca="1">ROUND(_xlfn.NORM.INV(RAND(),Reference!$C$8,0.1*Reference!$C$8)*(1+Reference!$C$11*(IF(MONTH($A341)=Reference!$C$4,1,0)+IF(MONTH($A341)=Reference!$C$5,1,0))+(IF(MONTH($A341)=Reference!$C$6,Reference!$C$13,0))),0)</f>
        <v>361</v>
      </c>
      <c r="C341" s="11">
        <f ca="1">B341*Reference!$C$7*(1-IF(MONTH($A341)=Reference!$C$6,1,0)*Reference!$C$12)</f>
        <v>335730</v>
      </c>
      <c r="D341" s="10">
        <f ca="1">ROUND(_xlfn.NORM.INV(RAND(),Reference!$D$8,0.1*Reference!$D$8)*(1+Reference!$D$11*(IF(MONTH($A341)=Reference!$D$4,1,0)+IF(MONTH($A341)=Reference!$D$5,1,0))+(IF(MONTH($A341)=Reference!$D$6,Reference!$D$13,0))),0)</f>
        <v>450</v>
      </c>
      <c r="E341" s="11">
        <f ca="1">D341*Reference!$D$7*(1-IF(MONTH($A341)=Reference!$D$6,1,0)*Reference!$D$12)</f>
        <v>337500</v>
      </c>
      <c r="L341" s="16"/>
      <c r="M341" s="20"/>
      <c r="N341" s="20"/>
      <c r="O341" s="19"/>
      <c r="P341" s="10"/>
      <c r="Q341" s="10"/>
      <c r="R341" s="10"/>
      <c r="S341" s="10"/>
      <c r="T341" s="10"/>
      <c r="U341" s="10"/>
      <c r="V341" s="10"/>
      <c r="W341" s="10"/>
      <c r="X341" s="10"/>
      <c r="Y341" s="10"/>
    </row>
    <row r="342" spans="1:25" x14ac:dyDescent="0.25">
      <c r="A342" s="9">
        <v>40880</v>
      </c>
      <c r="B342" s="10">
        <f ca="1">ROUND(_xlfn.NORM.INV(RAND(),Reference!$C$8,0.1*Reference!$C$8)*(1+Reference!$C$11*(IF(MONTH($A342)=Reference!$C$4,1,0)+IF(MONTH($A342)=Reference!$C$5,1,0))+(IF(MONTH($A342)=Reference!$C$6,Reference!$C$13,0))),0)</f>
        <v>377</v>
      </c>
      <c r="C342" s="11">
        <f ca="1">B342*Reference!$C$7*(1-IF(MONTH($A342)=Reference!$C$6,1,0)*Reference!$C$12)</f>
        <v>350610</v>
      </c>
      <c r="D342" s="10">
        <f ca="1">ROUND(_xlfn.NORM.INV(RAND(),Reference!$D$8,0.1*Reference!$D$8)*(1+Reference!$D$11*(IF(MONTH($A342)=Reference!$D$4,1,0)+IF(MONTH($A342)=Reference!$D$5,1,0))+(IF(MONTH($A342)=Reference!$D$6,Reference!$D$13,0))),0)</f>
        <v>367</v>
      </c>
      <c r="E342" s="11">
        <f ca="1">D342*Reference!$D$7*(1-IF(MONTH($A342)=Reference!$D$6,1,0)*Reference!$D$12)</f>
        <v>275250</v>
      </c>
      <c r="L342" s="16"/>
      <c r="M342" s="20"/>
      <c r="N342" s="20"/>
      <c r="O342" s="19"/>
      <c r="P342" s="10"/>
      <c r="Q342" s="10"/>
      <c r="R342" s="10"/>
      <c r="S342" s="10"/>
      <c r="T342" s="10"/>
      <c r="U342" s="10"/>
      <c r="V342" s="10"/>
      <c r="W342" s="10"/>
      <c r="X342" s="10"/>
      <c r="Y342" s="10"/>
    </row>
    <row r="343" spans="1:25" x14ac:dyDescent="0.25">
      <c r="A343" s="9">
        <v>40881</v>
      </c>
      <c r="B343" s="10">
        <f ca="1">ROUND(_xlfn.NORM.INV(RAND(),Reference!$C$8,0.1*Reference!$C$8)*(1+Reference!$C$11*(IF(MONTH($A343)=Reference!$C$4,1,0)+IF(MONTH($A343)=Reference!$C$5,1,0))+(IF(MONTH($A343)=Reference!$C$6,Reference!$C$13,0))),0)</f>
        <v>366</v>
      </c>
      <c r="C343" s="11">
        <f ca="1">B343*Reference!$C$7*(1-IF(MONTH($A343)=Reference!$C$6,1,0)*Reference!$C$12)</f>
        <v>340380</v>
      </c>
      <c r="D343" s="10">
        <f ca="1">ROUND(_xlfn.NORM.INV(RAND(),Reference!$D$8,0.1*Reference!$D$8)*(1+Reference!$D$11*(IF(MONTH($A343)=Reference!$D$4,1,0)+IF(MONTH($A343)=Reference!$D$5,1,0))+(IF(MONTH($A343)=Reference!$D$6,Reference!$D$13,0))),0)</f>
        <v>444</v>
      </c>
      <c r="E343" s="11">
        <f ca="1">D343*Reference!$D$7*(1-IF(MONTH($A343)=Reference!$D$6,1,0)*Reference!$D$12)</f>
        <v>333000</v>
      </c>
      <c r="L343" s="16"/>
      <c r="M343" s="20"/>
      <c r="N343" s="20"/>
      <c r="O343" s="19"/>
      <c r="P343" s="10"/>
      <c r="Q343" s="10"/>
      <c r="R343" s="10"/>
      <c r="S343" s="10"/>
      <c r="T343" s="10"/>
      <c r="U343" s="10"/>
      <c r="V343" s="10"/>
      <c r="W343" s="10"/>
      <c r="X343" s="10"/>
      <c r="Y343" s="10"/>
    </row>
    <row r="344" spans="1:25" x14ac:dyDescent="0.25">
      <c r="A344" s="9">
        <v>40882</v>
      </c>
      <c r="B344" s="10">
        <f ca="1">ROUND(_xlfn.NORM.INV(RAND(),Reference!$C$8,0.1*Reference!$C$8)*(1+Reference!$C$11*(IF(MONTH($A344)=Reference!$C$4,1,0)+IF(MONTH($A344)=Reference!$C$5,1,0))+(IF(MONTH($A344)=Reference!$C$6,Reference!$C$13,0))),0)</f>
        <v>350</v>
      </c>
      <c r="C344" s="11">
        <f ca="1">B344*Reference!$C$7*(1-IF(MONTH($A344)=Reference!$C$6,1,0)*Reference!$C$12)</f>
        <v>325500</v>
      </c>
      <c r="D344" s="10">
        <f ca="1">ROUND(_xlfn.NORM.INV(RAND(),Reference!$D$8,0.1*Reference!$D$8)*(1+Reference!$D$11*(IF(MONTH($A344)=Reference!$D$4,1,0)+IF(MONTH($A344)=Reference!$D$5,1,0))+(IF(MONTH($A344)=Reference!$D$6,Reference!$D$13,0))),0)</f>
        <v>461</v>
      </c>
      <c r="E344" s="11">
        <f ca="1">D344*Reference!$D$7*(1-IF(MONTH($A344)=Reference!$D$6,1,0)*Reference!$D$12)</f>
        <v>345750</v>
      </c>
      <c r="L344" s="16"/>
      <c r="M344" s="20"/>
      <c r="N344" s="20"/>
      <c r="O344" s="19"/>
      <c r="P344" s="10"/>
      <c r="Q344" s="10"/>
      <c r="R344" s="10"/>
      <c r="S344" s="10"/>
      <c r="T344" s="10"/>
      <c r="U344" s="10"/>
      <c r="V344" s="10"/>
      <c r="W344" s="10"/>
      <c r="X344" s="10"/>
      <c r="Y344" s="10"/>
    </row>
    <row r="345" spans="1:25" x14ac:dyDescent="0.25">
      <c r="A345" s="9">
        <v>40883</v>
      </c>
      <c r="B345" s="10">
        <f ca="1">ROUND(_xlfn.NORM.INV(RAND(),Reference!$C$8,0.1*Reference!$C$8)*(1+Reference!$C$11*(IF(MONTH($A345)=Reference!$C$4,1,0)+IF(MONTH($A345)=Reference!$C$5,1,0))+(IF(MONTH($A345)=Reference!$C$6,Reference!$C$13,0))),0)</f>
        <v>352</v>
      </c>
      <c r="C345" s="11">
        <f ca="1">B345*Reference!$C$7*(1-IF(MONTH($A345)=Reference!$C$6,1,0)*Reference!$C$12)</f>
        <v>327360</v>
      </c>
      <c r="D345" s="10">
        <f ca="1">ROUND(_xlfn.NORM.INV(RAND(),Reference!$D$8,0.1*Reference!$D$8)*(1+Reference!$D$11*(IF(MONTH($A345)=Reference!$D$4,1,0)+IF(MONTH($A345)=Reference!$D$5,1,0))+(IF(MONTH($A345)=Reference!$D$6,Reference!$D$13,0))),0)</f>
        <v>454</v>
      </c>
      <c r="E345" s="11">
        <f ca="1">D345*Reference!$D$7*(1-IF(MONTH($A345)=Reference!$D$6,1,0)*Reference!$D$12)</f>
        <v>340500</v>
      </c>
      <c r="L345" s="16"/>
      <c r="M345" s="20"/>
      <c r="N345" s="20"/>
      <c r="O345" s="19"/>
      <c r="P345" s="10"/>
      <c r="Q345" s="10"/>
      <c r="R345" s="10"/>
      <c r="S345" s="10"/>
      <c r="T345" s="10"/>
      <c r="U345" s="10"/>
      <c r="V345" s="10"/>
      <c r="W345" s="10"/>
      <c r="X345" s="10"/>
      <c r="Y345" s="10"/>
    </row>
    <row r="346" spans="1:25" x14ac:dyDescent="0.25">
      <c r="A346" s="9">
        <v>40884</v>
      </c>
      <c r="B346" s="10">
        <f ca="1">ROUND(_xlfn.NORM.INV(RAND(),Reference!$C$8,0.1*Reference!$C$8)*(1+Reference!$C$11*(IF(MONTH($A346)=Reference!$C$4,1,0)+IF(MONTH($A346)=Reference!$C$5,1,0))+(IF(MONTH($A346)=Reference!$C$6,Reference!$C$13,0))),0)</f>
        <v>319</v>
      </c>
      <c r="C346" s="11">
        <f ca="1">B346*Reference!$C$7*(1-IF(MONTH($A346)=Reference!$C$6,1,0)*Reference!$C$12)</f>
        <v>296670</v>
      </c>
      <c r="D346" s="10">
        <f ca="1">ROUND(_xlfn.NORM.INV(RAND(),Reference!$D$8,0.1*Reference!$D$8)*(1+Reference!$D$11*(IF(MONTH($A346)=Reference!$D$4,1,0)+IF(MONTH($A346)=Reference!$D$5,1,0))+(IF(MONTH($A346)=Reference!$D$6,Reference!$D$13,0))),0)</f>
        <v>434</v>
      </c>
      <c r="E346" s="11">
        <f ca="1">D346*Reference!$D$7*(1-IF(MONTH($A346)=Reference!$D$6,1,0)*Reference!$D$12)</f>
        <v>325500</v>
      </c>
      <c r="L346" s="16"/>
      <c r="M346" s="20"/>
      <c r="N346" s="20"/>
      <c r="O346" s="19"/>
      <c r="P346" s="10"/>
      <c r="Q346" s="10"/>
      <c r="R346" s="10"/>
      <c r="S346" s="10"/>
      <c r="T346" s="10"/>
      <c r="U346" s="10"/>
      <c r="V346" s="10"/>
      <c r="W346" s="10"/>
      <c r="X346" s="10"/>
      <c r="Y346" s="10"/>
    </row>
    <row r="347" spans="1:25" x14ac:dyDescent="0.25">
      <c r="A347" s="9">
        <v>40885</v>
      </c>
      <c r="B347" s="10">
        <f ca="1">ROUND(_xlfn.NORM.INV(RAND(),Reference!$C$8,0.1*Reference!$C$8)*(1+Reference!$C$11*(IF(MONTH($A347)=Reference!$C$4,1,0)+IF(MONTH($A347)=Reference!$C$5,1,0))+(IF(MONTH($A347)=Reference!$C$6,Reference!$C$13,0))),0)</f>
        <v>343</v>
      </c>
      <c r="C347" s="11">
        <f ca="1">B347*Reference!$C$7*(1-IF(MONTH($A347)=Reference!$C$6,1,0)*Reference!$C$12)</f>
        <v>318990</v>
      </c>
      <c r="D347" s="10">
        <f ca="1">ROUND(_xlfn.NORM.INV(RAND(),Reference!$D$8,0.1*Reference!$D$8)*(1+Reference!$D$11*(IF(MONTH($A347)=Reference!$D$4,1,0)+IF(MONTH($A347)=Reference!$D$5,1,0))+(IF(MONTH($A347)=Reference!$D$6,Reference!$D$13,0))),0)</f>
        <v>498</v>
      </c>
      <c r="E347" s="11">
        <f ca="1">D347*Reference!$D$7*(1-IF(MONTH($A347)=Reference!$D$6,1,0)*Reference!$D$12)</f>
        <v>373500</v>
      </c>
      <c r="L347" s="16"/>
      <c r="M347" s="20"/>
      <c r="N347" s="20"/>
      <c r="O347" s="19"/>
      <c r="P347" s="10"/>
      <c r="Q347" s="10"/>
      <c r="R347" s="10"/>
      <c r="S347" s="10"/>
      <c r="T347" s="10"/>
      <c r="U347" s="10"/>
      <c r="V347" s="10"/>
      <c r="W347" s="10"/>
      <c r="X347" s="10"/>
      <c r="Y347" s="10"/>
    </row>
    <row r="348" spans="1:25" x14ac:dyDescent="0.25">
      <c r="A348" s="9">
        <v>40886</v>
      </c>
      <c r="B348" s="10">
        <f ca="1">ROUND(_xlfn.NORM.INV(RAND(),Reference!$C$8,0.1*Reference!$C$8)*(1+Reference!$C$11*(IF(MONTH($A348)=Reference!$C$4,1,0)+IF(MONTH($A348)=Reference!$C$5,1,0))+(IF(MONTH($A348)=Reference!$C$6,Reference!$C$13,0))),0)</f>
        <v>404</v>
      </c>
      <c r="C348" s="11">
        <f ca="1">B348*Reference!$C$7*(1-IF(MONTH($A348)=Reference!$C$6,1,0)*Reference!$C$12)</f>
        <v>375720</v>
      </c>
      <c r="D348" s="10">
        <f ca="1">ROUND(_xlfn.NORM.INV(RAND(),Reference!$D$8,0.1*Reference!$D$8)*(1+Reference!$D$11*(IF(MONTH($A348)=Reference!$D$4,1,0)+IF(MONTH($A348)=Reference!$D$5,1,0))+(IF(MONTH($A348)=Reference!$D$6,Reference!$D$13,0))),0)</f>
        <v>462</v>
      </c>
      <c r="E348" s="11">
        <f ca="1">D348*Reference!$D$7*(1-IF(MONTH($A348)=Reference!$D$6,1,0)*Reference!$D$12)</f>
        <v>346500</v>
      </c>
      <c r="L348" s="16"/>
      <c r="M348" s="20"/>
      <c r="N348" s="20"/>
      <c r="O348" s="19"/>
      <c r="P348" s="10"/>
      <c r="Q348" s="10"/>
      <c r="R348" s="10"/>
      <c r="S348" s="10"/>
      <c r="T348" s="10"/>
      <c r="U348" s="10"/>
      <c r="V348" s="10"/>
      <c r="W348" s="10"/>
      <c r="X348" s="10"/>
      <c r="Y348" s="10"/>
    </row>
    <row r="349" spans="1:25" x14ac:dyDescent="0.25">
      <c r="A349" s="9">
        <v>40887</v>
      </c>
      <c r="B349" s="10">
        <f ca="1">ROUND(_xlfn.NORM.INV(RAND(),Reference!$C$8,0.1*Reference!$C$8)*(1+Reference!$C$11*(IF(MONTH($A349)=Reference!$C$4,1,0)+IF(MONTH($A349)=Reference!$C$5,1,0))+(IF(MONTH($A349)=Reference!$C$6,Reference!$C$13,0))),0)</f>
        <v>367</v>
      </c>
      <c r="C349" s="11">
        <f ca="1">B349*Reference!$C$7*(1-IF(MONTH($A349)=Reference!$C$6,1,0)*Reference!$C$12)</f>
        <v>341310</v>
      </c>
      <c r="D349" s="10">
        <f ca="1">ROUND(_xlfn.NORM.INV(RAND(),Reference!$D$8,0.1*Reference!$D$8)*(1+Reference!$D$11*(IF(MONTH($A349)=Reference!$D$4,1,0)+IF(MONTH($A349)=Reference!$D$5,1,0))+(IF(MONTH($A349)=Reference!$D$6,Reference!$D$13,0))),0)</f>
        <v>435</v>
      </c>
      <c r="E349" s="11">
        <f ca="1">D349*Reference!$D$7*(1-IF(MONTH($A349)=Reference!$D$6,1,0)*Reference!$D$12)</f>
        <v>326250</v>
      </c>
      <c r="L349" s="16"/>
      <c r="M349" s="20"/>
      <c r="N349" s="20"/>
      <c r="O349" s="19"/>
      <c r="P349" s="10"/>
      <c r="Q349" s="10"/>
      <c r="R349" s="10"/>
      <c r="S349" s="10"/>
      <c r="T349" s="10"/>
      <c r="U349" s="10"/>
      <c r="V349" s="10"/>
      <c r="W349" s="10"/>
      <c r="X349" s="10"/>
      <c r="Y349" s="10"/>
    </row>
    <row r="350" spans="1:25" x14ac:dyDescent="0.25">
      <c r="A350" s="9">
        <v>40888</v>
      </c>
      <c r="B350" s="10">
        <f ca="1">ROUND(_xlfn.NORM.INV(RAND(),Reference!$C$8,0.1*Reference!$C$8)*(1+Reference!$C$11*(IF(MONTH($A350)=Reference!$C$4,1,0)+IF(MONTH($A350)=Reference!$C$5,1,0))+(IF(MONTH($A350)=Reference!$C$6,Reference!$C$13,0))),0)</f>
        <v>400</v>
      </c>
      <c r="C350" s="11">
        <f ca="1">B350*Reference!$C$7*(1-IF(MONTH($A350)=Reference!$C$6,1,0)*Reference!$C$12)</f>
        <v>372000</v>
      </c>
      <c r="D350" s="10">
        <f ca="1">ROUND(_xlfn.NORM.INV(RAND(),Reference!$D$8,0.1*Reference!$D$8)*(1+Reference!$D$11*(IF(MONTH($A350)=Reference!$D$4,1,0)+IF(MONTH($A350)=Reference!$D$5,1,0))+(IF(MONTH($A350)=Reference!$D$6,Reference!$D$13,0))),0)</f>
        <v>419</v>
      </c>
      <c r="E350" s="11">
        <f ca="1">D350*Reference!$D$7*(1-IF(MONTH($A350)=Reference!$D$6,1,0)*Reference!$D$12)</f>
        <v>314250</v>
      </c>
      <c r="L350" s="16"/>
      <c r="M350" s="20"/>
      <c r="N350" s="20"/>
      <c r="O350" s="19"/>
      <c r="P350" s="10"/>
      <c r="Q350" s="10"/>
      <c r="R350" s="10"/>
      <c r="S350" s="10"/>
      <c r="T350" s="10"/>
      <c r="U350" s="10"/>
      <c r="V350" s="10"/>
      <c r="W350" s="10"/>
      <c r="X350" s="10"/>
      <c r="Y350" s="10"/>
    </row>
    <row r="351" spans="1:25" x14ac:dyDescent="0.25">
      <c r="A351" s="9">
        <v>40889</v>
      </c>
      <c r="B351" s="10">
        <f ca="1">ROUND(_xlfn.NORM.INV(RAND(),Reference!$C$8,0.1*Reference!$C$8)*(1+Reference!$C$11*(IF(MONTH($A351)=Reference!$C$4,1,0)+IF(MONTH($A351)=Reference!$C$5,1,0))+(IF(MONTH($A351)=Reference!$C$6,Reference!$C$13,0))),0)</f>
        <v>354</v>
      </c>
      <c r="C351" s="11">
        <f ca="1">B351*Reference!$C$7*(1-IF(MONTH($A351)=Reference!$C$6,1,0)*Reference!$C$12)</f>
        <v>329220</v>
      </c>
      <c r="D351" s="10">
        <f ca="1">ROUND(_xlfn.NORM.INV(RAND(),Reference!$D$8,0.1*Reference!$D$8)*(1+Reference!$D$11*(IF(MONTH($A351)=Reference!$D$4,1,0)+IF(MONTH($A351)=Reference!$D$5,1,0))+(IF(MONTH($A351)=Reference!$D$6,Reference!$D$13,0))),0)</f>
        <v>483</v>
      </c>
      <c r="E351" s="11">
        <f ca="1">D351*Reference!$D$7*(1-IF(MONTH($A351)=Reference!$D$6,1,0)*Reference!$D$12)</f>
        <v>362250</v>
      </c>
      <c r="L351" s="16"/>
      <c r="M351" s="20"/>
      <c r="N351" s="20"/>
      <c r="O351" s="19"/>
      <c r="P351" s="10"/>
      <c r="Q351" s="10"/>
      <c r="R351" s="10"/>
      <c r="S351" s="10"/>
      <c r="T351" s="10"/>
      <c r="U351" s="10"/>
      <c r="V351" s="10"/>
      <c r="W351" s="10"/>
      <c r="X351" s="10"/>
      <c r="Y351" s="10"/>
    </row>
    <row r="352" spans="1:25" x14ac:dyDescent="0.25">
      <c r="A352" s="9">
        <v>40890</v>
      </c>
      <c r="B352" s="10">
        <f ca="1">ROUND(_xlfn.NORM.INV(RAND(),Reference!$C$8,0.1*Reference!$C$8)*(1+Reference!$C$11*(IF(MONTH($A352)=Reference!$C$4,1,0)+IF(MONTH($A352)=Reference!$C$5,1,0))+(IF(MONTH($A352)=Reference!$C$6,Reference!$C$13,0))),0)</f>
        <v>358</v>
      </c>
      <c r="C352" s="11">
        <f ca="1">B352*Reference!$C$7*(1-IF(MONTH($A352)=Reference!$C$6,1,0)*Reference!$C$12)</f>
        <v>332940</v>
      </c>
      <c r="D352" s="10">
        <f ca="1">ROUND(_xlfn.NORM.INV(RAND(),Reference!$D$8,0.1*Reference!$D$8)*(1+Reference!$D$11*(IF(MONTH($A352)=Reference!$D$4,1,0)+IF(MONTH($A352)=Reference!$D$5,1,0))+(IF(MONTH($A352)=Reference!$D$6,Reference!$D$13,0))),0)</f>
        <v>481</v>
      </c>
      <c r="E352" s="11">
        <f ca="1">D352*Reference!$D$7*(1-IF(MONTH($A352)=Reference!$D$6,1,0)*Reference!$D$12)</f>
        <v>360750</v>
      </c>
      <c r="L352" s="16"/>
      <c r="M352" s="20"/>
      <c r="N352" s="20"/>
      <c r="O352" s="19"/>
      <c r="P352" s="10"/>
      <c r="Q352" s="10"/>
      <c r="R352" s="10"/>
      <c r="S352" s="10"/>
      <c r="T352" s="10"/>
      <c r="U352" s="10"/>
      <c r="V352" s="10"/>
      <c r="W352" s="10"/>
      <c r="X352" s="10"/>
      <c r="Y352" s="10"/>
    </row>
    <row r="353" spans="1:25" x14ac:dyDescent="0.25">
      <c r="A353" s="9">
        <v>40891</v>
      </c>
      <c r="B353" s="10">
        <f ca="1">ROUND(_xlfn.NORM.INV(RAND(),Reference!$C$8,0.1*Reference!$C$8)*(1+Reference!$C$11*(IF(MONTH($A353)=Reference!$C$4,1,0)+IF(MONTH($A353)=Reference!$C$5,1,0))+(IF(MONTH($A353)=Reference!$C$6,Reference!$C$13,0))),0)</f>
        <v>382</v>
      </c>
      <c r="C353" s="11">
        <f ca="1">B353*Reference!$C$7*(1-IF(MONTH($A353)=Reference!$C$6,1,0)*Reference!$C$12)</f>
        <v>355260</v>
      </c>
      <c r="D353" s="10">
        <f ca="1">ROUND(_xlfn.NORM.INV(RAND(),Reference!$D$8,0.1*Reference!$D$8)*(1+Reference!$D$11*(IF(MONTH($A353)=Reference!$D$4,1,0)+IF(MONTH($A353)=Reference!$D$5,1,0))+(IF(MONTH($A353)=Reference!$D$6,Reference!$D$13,0))),0)</f>
        <v>384</v>
      </c>
      <c r="E353" s="11">
        <f ca="1">D353*Reference!$D$7*(1-IF(MONTH($A353)=Reference!$D$6,1,0)*Reference!$D$12)</f>
        <v>288000</v>
      </c>
      <c r="L353" s="16"/>
      <c r="M353" s="20"/>
      <c r="N353" s="20"/>
      <c r="O353" s="19"/>
      <c r="P353" s="10"/>
      <c r="Q353" s="10"/>
      <c r="R353" s="10"/>
      <c r="S353" s="10"/>
      <c r="T353" s="10"/>
      <c r="U353" s="10"/>
      <c r="V353" s="10"/>
      <c r="W353" s="10"/>
      <c r="X353" s="10"/>
      <c r="Y353" s="10"/>
    </row>
    <row r="354" spans="1:25" x14ac:dyDescent="0.25">
      <c r="A354" s="9">
        <v>40892</v>
      </c>
      <c r="B354" s="10">
        <f ca="1">ROUND(_xlfn.NORM.INV(RAND(),Reference!$C$8,0.1*Reference!$C$8)*(1+Reference!$C$11*(IF(MONTH($A354)=Reference!$C$4,1,0)+IF(MONTH($A354)=Reference!$C$5,1,0))+(IF(MONTH($A354)=Reference!$C$6,Reference!$C$13,0))),0)</f>
        <v>422</v>
      </c>
      <c r="C354" s="11">
        <f ca="1">B354*Reference!$C$7*(1-IF(MONTH($A354)=Reference!$C$6,1,0)*Reference!$C$12)</f>
        <v>392460</v>
      </c>
      <c r="D354" s="10">
        <f ca="1">ROUND(_xlfn.NORM.INV(RAND(),Reference!$D$8,0.1*Reference!$D$8)*(1+Reference!$D$11*(IF(MONTH($A354)=Reference!$D$4,1,0)+IF(MONTH($A354)=Reference!$D$5,1,0))+(IF(MONTH($A354)=Reference!$D$6,Reference!$D$13,0))),0)</f>
        <v>451</v>
      </c>
      <c r="E354" s="11">
        <f ca="1">D354*Reference!$D$7*(1-IF(MONTH($A354)=Reference!$D$6,1,0)*Reference!$D$12)</f>
        <v>338250</v>
      </c>
      <c r="L354" s="16"/>
      <c r="M354" s="20"/>
      <c r="N354" s="20"/>
      <c r="O354" s="19"/>
      <c r="P354" s="10"/>
      <c r="Q354" s="10"/>
      <c r="R354" s="10"/>
      <c r="S354" s="10"/>
      <c r="T354" s="10"/>
      <c r="U354" s="10"/>
      <c r="V354" s="10"/>
      <c r="W354" s="10"/>
      <c r="X354" s="10"/>
      <c r="Y354" s="10"/>
    </row>
    <row r="355" spans="1:25" x14ac:dyDescent="0.25">
      <c r="A355" s="9">
        <v>40893</v>
      </c>
      <c r="B355" s="10">
        <f ca="1">ROUND(_xlfn.NORM.INV(RAND(),Reference!$C$8,0.1*Reference!$C$8)*(1+Reference!$C$11*(IF(MONTH($A355)=Reference!$C$4,1,0)+IF(MONTH($A355)=Reference!$C$5,1,0))+(IF(MONTH($A355)=Reference!$C$6,Reference!$C$13,0))),0)</f>
        <v>304</v>
      </c>
      <c r="C355" s="11">
        <f ca="1">B355*Reference!$C$7*(1-IF(MONTH($A355)=Reference!$C$6,1,0)*Reference!$C$12)</f>
        <v>282720</v>
      </c>
      <c r="D355" s="10">
        <f ca="1">ROUND(_xlfn.NORM.INV(RAND(),Reference!$D$8,0.1*Reference!$D$8)*(1+Reference!$D$11*(IF(MONTH($A355)=Reference!$D$4,1,0)+IF(MONTH($A355)=Reference!$D$5,1,0))+(IF(MONTH($A355)=Reference!$D$6,Reference!$D$13,0))),0)</f>
        <v>429</v>
      </c>
      <c r="E355" s="11">
        <f ca="1">D355*Reference!$D$7*(1-IF(MONTH($A355)=Reference!$D$6,1,0)*Reference!$D$12)</f>
        <v>321750</v>
      </c>
      <c r="L355" s="16"/>
      <c r="M355" s="20"/>
      <c r="N355" s="20"/>
      <c r="O355" s="19"/>
      <c r="P355" s="10"/>
      <c r="Q355" s="10"/>
      <c r="R355" s="10"/>
      <c r="S355" s="10"/>
      <c r="T355" s="10"/>
      <c r="U355" s="10"/>
      <c r="V355" s="10"/>
      <c r="W355" s="10"/>
      <c r="X355" s="10"/>
      <c r="Y355" s="10"/>
    </row>
    <row r="356" spans="1:25" x14ac:dyDescent="0.25">
      <c r="A356" s="9">
        <v>40894</v>
      </c>
      <c r="B356" s="10">
        <f ca="1">ROUND(_xlfn.NORM.INV(RAND(),Reference!$C$8,0.1*Reference!$C$8)*(1+Reference!$C$11*(IF(MONTH($A356)=Reference!$C$4,1,0)+IF(MONTH($A356)=Reference!$C$5,1,0))+(IF(MONTH($A356)=Reference!$C$6,Reference!$C$13,0))),0)</f>
        <v>403</v>
      </c>
      <c r="C356" s="11">
        <f ca="1">B356*Reference!$C$7*(1-IF(MONTH($A356)=Reference!$C$6,1,0)*Reference!$C$12)</f>
        <v>374790</v>
      </c>
      <c r="D356" s="10">
        <f ca="1">ROUND(_xlfn.NORM.INV(RAND(),Reference!$D$8,0.1*Reference!$D$8)*(1+Reference!$D$11*(IF(MONTH($A356)=Reference!$D$4,1,0)+IF(MONTH($A356)=Reference!$D$5,1,0))+(IF(MONTH($A356)=Reference!$D$6,Reference!$D$13,0))),0)</f>
        <v>426</v>
      </c>
      <c r="E356" s="11">
        <f ca="1">D356*Reference!$D$7*(1-IF(MONTH($A356)=Reference!$D$6,1,0)*Reference!$D$12)</f>
        <v>319500</v>
      </c>
      <c r="L356" s="16"/>
      <c r="M356" s="20"/>
      <c r="N356" s="20"/>
      <c r="O356" s="19"/>
      <c r="P356" s="10"/>
      <c r="Q356" s="10"/>
      <c r="R356" s="10"/>
      <c r="S356" s="10"/>
      <c r="T356" s="10"/>
      <c r="U356" s="10"/>
      <c r="V356" s="10"/>
      <c r="W356" s="10"/>
      <c r="X356" s="10"/>
      <c r="Y356" s="10"/>
    </row>
    <row r="357" spans="1:25" x14ac:dyDescent="0.25">
      <c r="A357" s="9">
        <v>40895</v>
      </c>
      <c r="B357" s="10">
        <f ca="1">ROUND(_xlfn.NORM.INV(RAND(),Reference!$C$8,0.1*Reference!$C$8)*(1+Reference!$C$11*(IF(MONTH($A357)=Reference!$C$4,1,0)+IF(MONTH($A357)=Reference!$C$5,1,0))+(IF(MONTH($A357)=Reference!$C$6,Reference!$C$13,0))),0)</f>
        <v>388</v>
      </c>
      <c r="C357" s="11">
        <f ca="1">B357*Reference!$C$7*(1-IF(MONTH($A357)=Reference!$C$6,1,0)*Reference!$C$12)</f>
        <v>360840</v>
      </c>
      <c r="D357" s="10">
        <f ca="1">ROUND(_xlfn.NORM.INV(RAND(),Reference!$D$8,0.1*Reference!$D$8)*(1+Reference!$D$11*(IF(MONTH($A357)=Reference!$D$4,1,0)+IF(MONTH($A357)=Reference!$D$5,1,0))+(IF(MONTH($A357)=Reference!$D$6,Reference!$D$13,0))),0)</f>
        <v>474</v>
      </c>
      <c r="E357" s="11">
        <f ca="1">D357*Reference!$D$7*(1-IF(MONTH($A357)=Reference!$D$6,1,0)*Reference!$D$12)</f>
        <v>355500</v>
      </c>
      <c r="L357" s="16"/>
      <c r="M357" s="20"/>
      <c r="N357" s="20"/>
      <c r="O357" s="19"/>
      <c r="P357" s="10"/>
      <c r="Q357" s="10"/>
      <c r="R357" s="10"/>
      <c r="S357" s="10"/>
      <c r="T357" s="10"/>
      <c r="U357" s="10"/>
      <c r="V357" s="10"/>
      <c r="W357" s="10"/>
      <c r="X357" s="10"/>
      <c r="Y357" s="10"/>
    </row>
    <row r="358" spans="1:25" x14ac:dyDescent="0.25">
      <c r="A358" s="9">
        <v>40896</v>
      </c>
      <c r="B358" s="10">
        <f ca="1">ROUND(_xlfn.NORM.INV(RAND(),Reference!$C$8,0.1*Reference!$C$8)*(1+Reference!$C$11*(IF(MONTH($A358)=Reference!$C$4,1,0)+IF(MONTH($A358)=Reference!$C$5,1,0))+(IF(MONTH($A358)=Reference!$C$6,Reference!$C$13,0))),0)</f>
        <v>316</v>
      </c>
      <c r="C358" s="11">
        <f ca="1">B358*Reference!$C$7*(1-IF(MONTH($A358)=Reference!$C$6,1,0)*Reference!$C$12)</f>
        <v>293880</v>
      </c>
      <c r="D358" s="10">
        <f ca="1">ROUND(_xlfn.NORM.INV(RAND(),Reference!$D$8,0.1*Reference!$D$8)*(1+Reference!$D$11*(IF(MONTH($A358)=Reference!$D$4,1,0)+IF(MONTH($A358)=Reference!$D$5,1,0))+(IF(MONTH($A358)=Reference!$D$6,Reference!$D$13,0))),0)</f>
        <v>512</v>
      </c>
      <c r="E358" s="11">
        <f ca="1">D358*Reference!$D$7*(1-IF(MONTH($A358)=Reference!$D$6,1,0)*Reference!$D$12)</f>
        <v>384000</v>
      </c>
      <c r="L358" s="16"/>
      <c r="M358" s="20"/>
      <c r="N358" s="20"/>
      <c r="O358" s="19"/>
      <c r="P358" s="10"/>
      <c r="Q358" s="10"/>
      <c r="R358" s="10"/>
      <c r="S358" s="10"/>
      <c r="T358" s="10"/>
      <c r="U358" s="10"/>
      <c r="V358" s="10"/>
      <c r="W358" s="10"/>
      <c r="X358" s="10"/>
      <c r="Y358" s="10"/>
    </row>
    <row r="359" spans="1:25" x14ac:dyDescent="0.25">
      <c r="A359" s="9">
        <v>40897</v>
      </c>
      <c r="B359" s="10">
        <f ca="1">ROUND(_xlfn.NORM.INV(RAND(),Reference!$C$8,0.1*Reference!$C$8)*(1+Reference!$C$11*(IF(MONTH($A359)=Reference!$C$4,1,0)+IF(MONTH($A359)=Reference!$C$5,1,0))+(IF(MONTH($A359)=Reference!$C$6,Reference!$C$13,0))),0)</f>
        <v>391</v>
      </c>
      <c r="C359" s="11">
        <f ca="1">B359*Reference!$C$7*(1-IF(MONTH($A359)=Reference!$C$6,1,0)*Reference!$C$12)</f>
        <v>363630</v>
      </c>
      <c r="D359" s="10">
        <f ca="1">ROUND(_xlfn.NORM.INV(RAND(),Reference!$D$8,0.1*Reference!$D$8)*(1+Reference!$D$11*(IF(MONTH($A359)=Reference!$D$4,1,0)+IF(MONTH($A359)=Reference!$D$5,1,0))+(IF(MONTH($A359)=Reference!$D$6,Reference!$D$13,0))),0)</f>
        <v>495</v>
      </c>
      <c r="E359" s="11">
        <f ca="1">D359*Reference!$D$7*(1-IF(MONTH($A359)=Reference!$D$6,1,0)*Reference!$D$12)</f>
        <v>371250</v>
      </c>
      <c r="L359" s="16"/>
      <c r="M359" s="20"/>
      <c r="N359" s="20"/>
      <c r="O359" s="19"/>
      <c r="P359" s="10"/>
      <c r="Q359" s="10"/>
      <c r="R359" s="10"/>
      <c r="S359" s="10"/>
      <c r="T359" s="10"/>
      <c r="U359" s="10"/>
      <c r="V359" s="10"/>
      <c r="W359" s="10"/>
      <c r="X359" s="10"/>
      <c r="Y359" s="10"/>
    </row>
    <row r="360" spans="1:25" x14ac:dyDescent="0.25">
      <c r="A360" s="9">
        <v>40898</v>
      </c>
      <c r="B360" s="10">
        <f ca="1">ROUND(_xlfn.NORM.INV(RAND(),Reference!$C$8,0.1*Reference!$C$8)*(1+Reference!$C$11*(IF(MONTH($A360)=Reference!$C$4,1,0)+IF(MONTH($A360)=Reference!$C$5,1,0))+(IF(MONTH($A360)=Reference!$C$6,Reference!$C$13,0))),0)</f>
        <v>348</v>
      </c>
      <c r="C360" s="11">
        <f ca="1">B360*Reference!$C$7*(1-IF(MONTH($A360)=Reference!$C$6,1,0)*Reference!$C$12)</f>
        <v>323640</v>
      </c>
      <c r="D360" s="10">
        <f ca="1">ROUND(_xlfn.NORM.INV(RAND(),Reference!$D$8,0.1*Reference!$D$8)*(1+Reference!$D$11*(IF(MONTH($A360)=Reference!$D$4,1,0)+IF(MONTH($A360)=Reference!$D$5,1,0))+(IF(MONTH($A360)=Reference!$D$6,Reference!$D$13,0))),0)</f>
        <v>376</v>
      </c>
      <c r="E360" s="11">
        <f ca="1">D360*Reference!$D$7*(1-IF(MONTH($A360)=Reference!$D$6,1,0)*Reference!$D$12)</f>
        <v>282000</v>
      </c>
      <c r="L360" s="16"/>
      <c r="M360" s="20"/>
      <c r="N360" s="20"/>
      <c r="O360" s="19"/>
      <c r="P360" s="10"/>
      <c r="Q360" s="10"/>
      <c r="R360" s="10"/>
      <c r="S360" s="10"/>
      <c r="T360" s="10"/>
      <c r="U360" s="10"/>
      <c r="V360" s="10"/>
      <c r="W360" s="10"/>
      <c r="X360" s="10"/>
      <c r="Y360" s="10"/>
    </row>
    <row r="361" spans="1:25" x14ac:dyDescent="0.25">
      <c r="A361" s="9">
        <v>40899</v>
      </c>
      <c r="B361" s="10">
        <f ca="1">ROUND(_xlfn.NORM.INV(RAND(),Reference!$C$8,0.1*Reference!$C$8)*(1+Reference!$C$11*(IF(MONTH($A361)=Reference!$C$4,1,0)+IF(MONTH($A361)=Reference!$C$5,1,0))+(IF(MONTH($A361)=Reference!$C$6,Reference!$C$13,0))),0)</f>
        <v>399</v>
      </c>
      <c r="C361" s="11">
        <f ca="1">B361*Reference!$C$7*(1-IF(MONTH($A361)=Reference!$C$6,1,0)*Reference!$C$12)</f>
        <v>371070</v>
      </c>
      <c r="D361" s="10">
        <f ca="1">ROUND(_xlfn.NORM.INV(RAND(),Reference!$D$8,0.1*Reference!$D$8)*(1+Reference!$D$11*(IF(MONTH($A361)=Reference!$D$4,1,0)+IF(MONTH($A361)=Reference!$D$5,1,0))+(IF(MONTH($A361)=Reference!$D$6,Reference!$D$13,0))),0)</f>
        <v>416</v>
      </c>
      <c r="E361" s="11">
        <f ca="1">D361*Reference!$D$7*(1-IF(MONTH($A361)=Reference!$D$6,1,0)*Reference!$D$12)</f>
        <v>312000</v>
      </c>
      <c r="L361" s="16"/>
      <c r="M361" s="20"/>
      <c r="N361" s="20"/>
      <c r="O361" s="19"/>
      <c r="P361" s="10"/>
      <c r="Q361" s="10"/>
      <c r="R361" s="10"/>
      <c r="S361" s="10"/>
      <c r="T361" s="10"/>
      <c r="U361" s="10"/>
      <c r="V361" s="10"/>
      <c r="W361" s="10"/>
      <c r="X361" s="10"/>
      <c r="Y361" s="10"/>
    </row>
    <row r="362" spans="1:25" x14ac:dyDescent="0.25">
      <c r="A362" s="9">
        <v>40900</v>
      </c>
      <c r="B362" s="10">
        <f ca="1">ROUND(_xlfn.NORM.INV(RAND(),Reference!$C$8,0.1*Reference!$C$8)*(1+Reference!$C$11*(IF(MONTH($A362)=Reference!$C$4,1,0)+IF(MONTH($A362)=Reference!$C$5,1,0))+(IF(MONTH($A362)=Reference!$C$6,Reference!$C$13,0))),0)</f>
        <v>332</v>
      </c>
      <c r="C362" s="11">
        <f ca="1">B362*Reference!$C$7*(1-IF(MONTH($A362)=Reference!$C$6,1,0)*Reference!$C$12)</f>
        <v>308760</v>
      </c>
      <c r="D362" s="10">
        <f ca="1">ROUND(_xlfn.NORM.INV(RAND(),Reference!$D$8,0.1*Reference!$D$8)*(1+Reference!$D$11*(IF(MONTH($A362)=Reference!$D$4,1,0)+IF(MONTH($A362)=Reference!$D$5,1,0))+(IF(MONTH($A362)=Reference!$D$6,Reference!$D$13,0))),0)</f>
        <v>363</v>
      </c>
      <c r="E362" s="11">
        <f ca="1">D362*Reference!$D$7*(1-IF(MONTH($A362)=Reference!$D$6,1,0)*Reference!$D$12)</f>
        <v>272250</v>
      </c>
      <c r="L362" s="16"/>
      <c r="M362" s="20"/>
      <c r="N362" s="20"/>
      <c r="O362" s="19"/>
      <c r="P362" s="10"/>
      <c r="Q362" s="10"/>
      <c r="R362" s="10"/>
      <c r="S362" s="10"/>
      <c r="T362" s="10"/>
      <c r="U362" s="10"/>
      <c r="V362" s="10"/>
      <c r="W362" s="10"/>
      <c r="X362" s="10"/>
      <c r="Y362" s="10"/>
    </row>
    <row r="363" spans="1:25" x14ac:dyDescent="0.25">
      <c r="A363" s="9">
        <v>40901</v>
      </c>
      <c r="B363" s="10">
        <f ca="1">ROUND(_xlfn.NORM.INV(RAND(),Reference!$C$8,0.1*Reference!$C$8)*(1+Reference!$C$11*(IF(MONTH($A363)=Reference!$C$4,1,0)+IF(MONTH($A363)=Reference!$C$5,1,0))+(IF(MONTH($A363)=Reference!$C$6,Reference!$C$13,0))),0)</f>
        <v>425</v>
      </c>
      <c r="C363" s="11">
        <f ca="1">B363*Reference!$C$7*(1-IF(MONTH($A363)=Reference!$C$6,1,0)*Reference!$C$12)</f>
        <v>395250</v>
      </c>
      <c r="D363" s="10">
        <f ca="1">ROUND(_xlfn.NORM.INV(RAND(),Reference!$D$8,0.1*Reference!$D$8)*(1+Reference!$D$11*(IF(MONTH($A363)=Reference!$D$4,1,0)+IF(MONTH($A363)=Reference!$D$5,1,0))+(IF(MONTH($A363)=Reference!$D$6,Reference!$D$13,0))),0)</f>
        <v>445</v>
      </c>
      <c r="E363" s="11">
        <f ca="1">D363*Reference!$D$7*(1-IF(MONTH($A363)=Reference!$D$6,1,0)*Reference!$D$12)</f>
        <v>333750</v>
      </c>
      <c r="L363" s="16"/>
      <c r="M363" s="20"/>
      <c r="N363" s="20"/>
      <c r="O363" s="19"/>
      <c r="P363" s="10"/>
      <c r="Q363" s="10"/>
      <c r="R363" s="10"/>
      <c r="S363" s="10"/>
      <c r="T363" s="10"/>
      <c r="U363" s="10"/>
      <c r="V363" s="10"/>
      <c r="W363" s="10"/>
      <c r="X363" s="10"/>
      <c r="Y363" s="10"/>
    </row>
    <row r="364" spans="1:25" x14ac:dyDescent="0.25">
      <c r="A364" s="9">
        <v>40902</v>
      </c>
      <c r="B364" s="10">
        <f ca="1">ROUND(_xlfn.NORM.INV(RAND(),Reference!$C$8,0.1*Reference!$C$8)*(1+Reference!$C$11*(IF(MONTH($A364)=Reference!$C$4,1,0)+IF(MONTH($A364)=Reference!$C$5,1,0))+(IF(MONTH($A364)=Reference!$C$6,Reference!$C$13,0))),0)</f>
        <v>377</v>
      </c>
      <c r="C364" s="11">
        <f ca="1">B364*Reference!$C$7*(1-IF(MONTH($A364)=Reference!$C$6,1,0)*Reference!$C$12)</f>
        <v>350610</v>
      </c>
      <c r="D364" s="10">
        <f ca="1">ROUND(_xlfn.NORM.INV(RAND(),Reference!$D$8,0.1*Reference!$D$8)*(1+Reference!$D$11*(IF(MONTH($A364)=Reference!$D$4,1,0)+IF(MONTH($A364)=Reference!$D$5,1,0))+(IF(MONTH($A364)=Reference!$D$6,Reference!$D$13,0))),0)</f>
        <v>404</v>
      </c>
      <c r="E364" s="11">
        <f ca="1">D364*Reference!$D$7*(1-IF(MONTH($A364)=Reference!$D$6,1,0)*Reference!$D$12)</f>
        <v>303000</v>
      </c>
      <c r="L364" s="16"/>
      <c r="M364" s="20"/>
      <c r="N364" s="20"/>
      <c r="O364" s="19"/>
      <c r="P364" s="10"/>
      <c r="Q364" s="10"/>
      <c r="R364" s="10"/>
      <c r="S364" s="10"/>
      <c r="T364" s="10"/>
      <c r="U364" s="10"/>
      <c r="V364" s="10"/>
      <c r="W364" s="10"/>
      <c r="X364" s="10"/>
      <c r="Y364" s="10"/>
    </row>
    <row r="365" spans="1:25" x14ac:dyDescent="0.25">
      <c r="A365" s="9">
        <v>40903</v>
      </c>
      <c r="B365" s="10">
        <f ca="1">ROUND(_xlfn.NORM.INV(RAND(),Reference!$C$8,0.1*Reference!$C$8)*(1+Reference!$C$11*(IF(MONTH($A365)=Reference!$C$4,1,0)+IF(MONTH($A365)=Reference!$C$5,1,0))+(IF(MONTH($A365)=Reference!$C$6,Reference!$C$13,0))),0)</f>
        <v>283</v>
      </c>
      <c r="C365" s="11">
        <f ca="1">B365*Reference!$C$7*(1-IF(MONTH($A365)=Reference!$C$6,1,0)*Reference!$C$12)</f>
        <v>263190</v>
      </c>
      <c r="D365" s="10">
        <f ca="1">ROUND(_xlfn.NORM.INV(RAND(),Reference!$D$8,0.1*Reference!$D$8)*(1+Reference!$D$11*(IF(MONTH($A365)=Reference!$D$4,1,0)+IF(MONTH($A365)=Reference!$D$5,1,0))+(IF(MONTH($A365)=Reference!$D$6,Reference!$D$13,0))),0)</f>
        <v>523</v>
      </c>
      <c r="E365" s="11">
        <f ca="1">D365*Reference!$D$7*(1-IF(MONTH($A365)=Reference!$D$6,1,0)*Reference!$D$12)</f>
        <v>392250</v>
      </c>
      <c r="L365" s="16"/>
      <c r="M365" s="20"/>
      <c r="N365" s="20"/>
      <c r="O365" s="19"/>
      <c r="P365" s="10"/>
      <c r="Q365" s="10"/>
      <c r="R365" s="10"/>
      <c r="S365" s="10"/>
      <c r="T365" s="10"/>
      <c r="U365" s="10"/>
      <c r="V365" s="10"/>
      <c r="W365" s="10"/>
      <c r="X365" s="10"/>
      <c r="Y365" s="10"/>
    </row>
    <row r="366" spans="1:25" x14ac:dyDescent="0.25">
      <c r="A366" s="9">
        <v>40904</v>
      </c>
      <c r="B366" s="10">
        <f ca="1">ROUND(_xlfn.NORM.INV(RAND(),Reference!$C$8,0.1*Reference!$C$8)*(1+Reference!$C$11*(IF(MONTH($A366)=Reference!$C$4,1,0)+IF(MONTH($A366)=Reference!$C$5,1,0))+(IF(MONTH($A366)=Reference!$C$6,Reference!$C$13,0))),0)</f>
        <v>401</v>
      </c>
      <c r="C366" s="11">
        <f ca="1">B366*Reference!$C$7*(1-IF(MONTH($A366)=Reference!$C$6,1,0)*Reference!$C$12)</f>
        <v>372930</v>
      </c>
      <c r="D366" s="10">
        <f ca="1">ROUND(_xlfn.NORM.INV(RAND(),Reference!$D$8,0.1*Reference!$D$8)*(1+Reference!$D$11*(IF(MONTH($A366)=Reference!$D$4,1,0)+IF(MONTH($A366)=Reference!$D$5,1,0))+(IF(MONTH($A366)=Reference!$D$6,Reference!$D$13,0))),0)</f>
        <v>446</v>
      </c>
      <c r="E366" s="11">
        <f ca="1">D366*Reference!$D$7*(1-IF(MONTH($A366)=Reference!$D$6,1,0)*Reference!$D$12)</f>
        <v>334500</v>
      </c>
      <c r="L366" s="16"/>
      <c r="M366" s="20"/>
      <c r="N366" s="20"/>
      <c r="O366" s="19"/>
      <c r="P366" s="10"/>
      <c r="Q366" s="10"/>
      <c r="R366" s="10"/>
      <c r="S366" s="10"/>
      <c r="T366" s="10"/>
      <c r="U366" s="10"/>
      <c r="V366" s="10"/>
      <c r="W366" s="10"/>
      <c r="X366" s="10"/>
      <c r="Y366" s="10"/>
    </row>
    <row r="367" spans="1:25" x14ac:dyDescent="0.25">
      <c r="A367" s="9">
        <v>40905</v>
      </c>
      <c r="B367" s="10">
        <f ca="1">ROUND(_xlfn.NORM.INV(RAND(),Reference!$C$8,0.1*Reference!$C$8)*(1+Reference!$C$11*(IF(MONTH($A367)=Reference!$C$4,1,0)+IF(MONTH($A367)=Reference!$C$5,1,0))+(IF(MONTH($A367)=Reference!$C$6,Reference!$C$13,0))),0)</f>
        <v>424</v>
      </c>
      <c r="C367" s="11">
        <f ca="1">B367*Reference!$C$7*(1-IF(MONTH($A367)=Reference!$C$6,1,0)*Reference!$C$12)</f>
        <v>394320</v>
      </c>
      <c r="D367" s="10">
        <f ca="1">ROUND(_xlfn.NORM.INV(RAND(),Reference!$D$8,0.1*Reference!$D$8)*(1+Reference!$D$11*(IF(MONTH($A367)=Reference!$D$4,1,0)+IF(MONTH($A367)=Reference!$D$5,1,0))+(IF(MONTH($A367)=Reference!$D$6,Reference!$D$13,0))),0)</f>
        <v>368</v>
      </c>
      <c r="E367" s="11">
        <f ca="1">D367*Reference!$D$7*(1-IF(MONTH($A367)=Reference!$D$6,1,0)*Reference!$D$12)</f>
        <v>276000</v>
      </c>
      <c r="L367" s="16"/>
      <c r="M367" s="20"/>
      <c r="N367" s="20"/>
      <c r="O367" s="19"/>
      <c r="P367" s="10"/>
      <c r="Q367" s="10"/>
      <c r="R367" s="10"/>
      <c r="S367" s="10"/>
      <c r="T367" s="10"/>
      <c r="U367" s="10"/>
      <c r="V367" s="10"/>
      <c r="W367" s="10"/>
      <c r="X367" s="10"/>
      <c r="Y367" s="10"/>
    </row>
    <row r="368" spans="1:25" x14ac:dyDescent="0.25">
      <c r="A368" s="9">
        <v>40906</v>
      </c>
      <c r="B368" s="10">
        <f ca="1">ROUND(_xlfn.NORM.INV(RAND(),Reference!$C$8,0.1*Reference!$C$8)*(1+Reference!$C$11*(IF(MONTH($A368)=Reference!$C$4,1,0)+IF(MONTH($A368)=Reference!$C$5,1,0))+(IF(MONTH($A368)=Reference!$C$6,Reference!$C$13,0))),0)</f>
        <v>321</v>
      </c>
      <c r="C368" s="11">
        <f ca="1">B368*Reference!$C$7*(1-IF(MONTH($A368)=Reference!$C$6,1,0)*Reference!$C$12)</f>
        <v>298530</v>
      </c>
      <c r="D368" s="10">
        <f ca="1">ROUND(_xlfn.NORM.INV(RAND(),Reference!$D$8,0.1*Reference!$D$8)*(1+Reference!$D$11*(IF(MONTH($A368)=Reference!$D$4,1,0)+IF(MONTH($A368)=Reference!$D$5,1,0))+(IF(MONTH($A368)=Reference!$D$6,Reference!$D$13,0))),0)</f>
        <v>435</v>
      </c>
      <c r="E368" s="11">
        <f ca="1">D368*Reference!$D$7*(1-IF(MONTH($A368)=Reference!$D$6,1,0)*Reference!$D$12)</f>
        <v>326250</v>
      </c>
      <c r="L368" s="16"/>
      <c r="M368" s="20"/>
      <c r="N368" s="20"/>
      <c r="O368" s="19"/>
      <c r="P368" s="10"/>
      <c r="Q368" s="10"/>
      <c r="R368" s="10"/>
      <c r="S368" s="10"/>
      <c r="T368" s="10"/>
      <c r="U368" s="10"/>
      <c r="V368" s="10"/>
      <c r="W368" s="10"/>
      <c r="X368" s="10"/>
      <c r="Y368" s="10"/>
    </row>
    <row r="369" spans="1:25" x14ac:dyDescent="0.25">
      <c r="A369" s="9">
        <v>40907</v>
      </c>
      <c r="B369" s="10">
        <f ca="1">ROUND(_xlfn.NORM.INV(RAND(),Reference!$C$8,0.1*Reference!$C$8)*(1+Reference!$C$11*(IF(MONTH($A369)=Reference!$C$4,1,0)+IF(MONTH($A369)=Reference!$C$5,1,0))+(IF(MONTH($A369)=Reference!$C$6,Reference!$C$13,0))),0)</f>
        <v>366</v>
      </c>
      <c r="C369" s="11">
        <f ca="1">B369*Reference!$C$7*(1-IF(MONTH($A369)=Reference!$C$6,1,0)*Reference!$C$12)</f>
        <v>340380</v>
      </c>
      <c r="D369" s="10">
        <f ca="1">ROUND(_xlfn.NORM.INV(RAND(),Reference!$D$8,0.1*Reference!$D$8)*(1+Reference!$D$11*(IF(MONTH($A369)=Reference!$D$4,1,0)+IF(MONTH($A369)=Reference!$D$5,1,0))+(IF(MONTH($A369)=Reference!$D$6,Reference!$D$13,0))),0)</f>
        <v>482</v>
      </c>
      <c r="E369" s="11">
        <f ca="1">D369*Reference!$D$7*(1-IF(MONTH($A369)=Reference!$D$6,1,0)*Reference!$D$12)</f>
        <v>361500</v>
      </c>
      <c r="M369" s="20"/>
      <c r="N369" s="20"/>
      <c r="O369" s="19"/>
      <c r="P369" s="10"/>
      <c r="Q369" s="10"/>
      <c r="R369" s="10"/>
      <c r="S369" s="10"/>
      <c r="T369" s="10"/>
      <c r="U369" s="10"/>
      <c r="V369" s="10"/>
      <c r="W369" s="10"/>
      <c r="X369" s="10"/>
      <c r="Y369" s="10"/>
    </row>
    <row r="370" spans="1:25" x14ac:dyDescent="0.25">
      <c r="A370" s="9">
        <v>40908</v>
      </c>
      <c r="B370" s="10">
        <f ca="1">ROUND(_xlfn.NORM.INV(RAND(),Reference!$C$8,0.1*Reference!$C$8)*(1+Reference!$C$11*(IF(MONTH($A370)=Reference!$C$4,1,0)+IF(MONTH($A370)=Reference!$C$5,1,0))+(IF(MONTH($A370)=Reference!$C$6,Reference!$C$13,0))),0)</f>
        <v>335</v>
      </c>
      <c r="C370" s="11">
        <f ca="1">B370*Reference!$C$7*(1-IF(MONTH($A370)=Reference!$C$6,1,0)*Reference!$C$12)</f>
        <v>311550</v>
      </c>
      <c r="D370" s="10">
        <f ca="1">ROUND(_xlfn.NORM.INV(RAND(),Reference!$D$8,0.1*Reference!$D$8)*(1+Reference!$D$11*(IF(MONTH($A370)=Reference!$D$4,1,0)+IF(MONTH($A370)=Reference!$D$5,1,0))+(IF(MONTH($A370)=Reference!$D$6,Reference!$D$13,0))),0)</f>
        <v>442</v>
      </c>
      <c r="E370" s="11">
        <f ca="1">D370*Reference!$D$7*(1-IF(MONTH($A370)=Reference!$D$6,1,0)*Reference!$D$12)</f>
        <v>331500</v>
      </c>
      <c r="M370" s="20"/>
      <c r="N370" s="20"/>
      <c r="O370" s="19"/>
      <c r="P370" s="10"/>
      <c r="Q370" s="10"/>
      <c r="R370" s="10"/>
      <c r="S370" s="10"/>
      <c r="T370" s="10"/>
      <c r="U370" s="10"/>
      <c r="V370" s="10"/>
      <c r="W370" s="10"/>
      <c r="X370" s="10"/>
      <c r="Y370" s="10"/>
    </row>
    <row r="371" spans="1:25" x14ac:dyDescent="0.25">
      <c r="A371" s="9">
        <v>40909</v>
      </c>
      <c r="B371" s="10">
        <f ca="1">ROUND(_xlfn.NORM.INV(RAND(),Reference!$C$8,0.1*Reference!$C$8)*(1+Reference!$C$11*(IF(MONTH($A371)=Reference!$C$4,1,0)+IF(MONTH($A371)=Reference!$C$5,1,0))+(IF(MONTH($A371)=Reference!$C$6,Reference!$C$13,0))),0)</f>
        <v>317</v>
      </c>
      <c r="C371" s="11">
        <f ca="1">B371*Reference!$C$7*(1-IF(MONTH($A371)=Reference!$C$6,1,0)*Reference!$C$12)</f>
        <v>294810</v>
      </c>
      <c r="D371" s="10">
        <f ca="1">ROUND(_xlfn.NORM.INV(RAND(),Reference!$D$8,0.1*Reference!$D$8)*(1+Reference!$D$11*(IF(MONTH($A371)=Reference!$D$4,1,0)+IF(MONTH($A371)=Reference!$D$5,1,0))+(IF(MONTH($A371)=Reference!$D$6,Reference!$D$13,0))),0)</f>
        <v>414</v>
      </c>
      <c r="E371" s="11">
        <f ca="1">D371*Reference!$D$7*(1-IF(MONTH($A371)=Reference!$D$6,1,0)*Reference!$D$12)</f>
        <v>310500</v>
      </c>
      <c r="M371" s="20"/>
      <c r="N371" s="20"/>
      <c r="O371" s="19"/>
      <c r="P371" s="10"/>
      <c r="Q371" s="10"/>
      <c r="R371" s="10"/>
      <c r="S371" s="10"/>
      <c r="T371" s="10"/>
      <c r="U371" s="10"/>
      <c r="V371" s="10"/>
      <c r="W371" s="10"/>
      <c r="X371" s="10"/>
      <c r="Y371" s="10"/>
    </row>
    <row r="372" spans="1:25" x14ac:dyDescent="0.25">
      <c r="A372" s="9">
        <v>40910</v>
      </c>
      <c r="B372" s="10">
        <f ca="1">ROUND(_xlfn.NORM.INV(RAND(),Reference!$C$8,0.1*Reference!$C$8)*(1+Reference!$C$11*(IF(MONTH($A372)=Reference!$C$4,1,0)+IF(MONTH($A372)=Reference!$C$5,1,0))+(IF(MONTH($A372)=Reference!$C$6,Reference!$C$13,0))),0)</f>
        <v>315</v>
      </c>
      <c r="C372" s="11">
        <f ca="1">B372*Reference!$C$7*(1-IF(MONTH($A372)=Reference!$C$6,1,0)*Reference!$C$12)</f>
        <v>292950</v>
      </c>
      <c r="D372" s="10">
        <f ca="1">ROUND(_xlfn.NORM.INV(RAND(),Reference!$D$8,0.1*Reference!$D$8)*(1+Reference!$D$11*(IF(MONTH($A372)=Reference!$D$4,1,0)+IF(MONTH($A372)=Reference!$D$5,1,0))+(IF(MONTH($A372)=Reference!$D$6,Reference!$D$13,0))),0)</f>
        <v>440</v>
      </c>
      <c r="E372" s="11">
        <f ca="1">D372*Reference!$D$7*(1-IF(MONTH($A372)=Reference!$D$6,1,0)*Reference!$D$12)</f>
        <v>330000</v>
      </c>
      <c r="M372" s="20"/>
      <c r="N372" s="20"/>
      <c r="O372" s="19"/>
      <c r="P372" s="10"/>
      <c r="Q372" s="10"/>
      <c r="R372" s="10"/>
      <c r="S372" s="10"/>
      <c r="T372" s="10"/>
      <c r="U372" s="10"/>
      <c r="V372" s="10"/>
      <c r="W372" s="10"/>
      <c r="X372" s="10"/>
      <c r="Y372" s="10"/>
    </row>
    <row r="373" spans="1:25" x14ac:dyDescent="0.25">
      <c r="A373" s="9">
        <v>40911</v>
      </c>
      <c r="B373" s="10">
        <f ca="1">ROUND(_xlfn.NORM.INV(RAND(),Reference!$C$8,0.1*Reference!$C$8)*(1+Reference!$C$11*(IF(MONTH($A373)=Reference!$C$4,1,0)+IF(MONTH($A373)=Reference!$C$5,1,0))+(IF(MONTH($A373)=Reference!$C$6,Reference!$C$13,0))),0)</f>
        <v>320</v>
      </c>
      <c r="C373" s="11">
        <f ca="1">B373*Reference!$C$7*(1-IF(MONTH($A373)=Reference!$C$6,1,0)*Reference!$C$12)</f>
        <v>297600</v>
      </c>
      <c r="D373" s="10">
        <f ca="1">ROUND(_xlfn.NORM.INV(RAND(),Reference!$D$8,0.1*Reference!$D$8)*(1+Reference!$D$11*(IF(MONTH($A373)=Reference!$D$4,1,0)+IF(MONTH($A373)=Reference!$D$5,1,0))+(IF(MONTH($A373)=Reference!$D$6,Reference!$D$13,0))),0)</f>
        <v>391</v>
      </c>
      <c r="E373" s="11">
        <f ca="1">D373*Reference!$D$7*(1-IF(MONTH($A373)=Reference!$D$6,1,0)*Reference!$D$12)</f>
        <v>293250</v>
      </c>
      <c r="M373" s="20"/>
      <c r="N373" s="20"/>
      <c r="O373" s="19"/>
      <c r="P373" s="10"/>
      <c r="Q373" s="10"/>
      <c r="R373" s="10"/>
      <c r="S373" s="10"/>
      <c r="T373" s="10"/>
      <c r="U373" s="10"/>
      <c r="V373" s="10"/>
      <c r="W373" s="10"/>
      <c r="X373" s="10"/>
      <c r="Y373" s="10"/>
    </row>
    <row r="374" spans="1:25" x14ac:dyDescent="0.25">
      <c r="A374" s="9">
        <v>40912</v>
      </c>
      <c r="B374" s="10">
        <f ca="1">ROUND(_xlfn.NORM.INV(RAND(),Reference!$C$8,0.1*Reference!$C$8)*(1+Reference!$C$11*(IF(MONTH($A374)=Reference!$C$4,1,0)+IF(MONTH($A374)=Reference!$C$5,1,0))+(IF(MONTH($A374)=Reference!$C$6,Reference!$C$13,0))),0)</f>
        <v>363</v>
      </c>
      <c r="C374" s="11">
        <f ca="1">B374*Reference!$C$7*(1-IF(MONTH($A374)=Reference!$C$6,1,0)*Reference!$C$12)</f>
        <v>337590</v>
      </c>
      <c r="D374" s="10">
        <f ca="1">ROUND(_xlfn.NORM.INV(RAND(),Reference!$D$8,0.1*Reference!$D$8)*(1+Reference!$D$11*(IF(MONTH($A374)=Reference!$D$4,1,0)+IF(MONTH($A374)=Reference!$D$5,1,0))+(IF(MONTH($A374)=Reference!$D$6,Reference!$D$13,0))),0)</f>
        <v>401</v>
      </c>
      <c r="E374" s="11">
        <f ca="1">D374*Reference!$D$7*(1-IF(MONTH($A374)=Reference!$D$6,1,0)*Reference!$D$12)</f>
        <v>300750</v>
      </c>
      <c r="M374" s="20"/>
      <c r="N374" s="20"/>
      <c r="O374" s="19"/>
      <c r="P374" s="10"/>
      <c r="Q374" s="10"/>
      <c r="R374" s="10"/>
      <c r="S374" s="10"/>
      <c r="T374" s="10"/>
      <c r="U374" s="10"/>
      <c r="V374" s="10"/>
      <c r="W374" s="10"/>
      <c r="X374" s="10"/>
      <c r="Y374" s="10"/>
    </row>
    <row r="375" spans="1:25" x14ac:dyDescent="0.25">
      <c r="A375" s="9">
        <v>40913</v>
      </c>
      <c r="B375" s="10">
        <f ca="1">ROUND(_xlfn.NORM.INV(RAND(),Reference!$C$8,0.1*Reference!$C$8)*(1+Reference!$C$11*(IF(MONTH($A375)=Reference!$C$4,1,0)+IF(MONTH($A375)=Reference!$C$5,1,0))+(IF(MONTH($A375)=Reference!$C$6,Reference!$C$13,0))),0)</f>
        <v>315</v>
      </c>
      <c r="C375" s="11">
        <f ca="1">B375*Reference!$C$7*(1-IF(MONTH($A375)=Reference!$C$6,1,0)*Reference!$C$12)</f>
        <v>292950</v>
      </c>
      <c r="D375" s="10">
        <f ca="1">ROUND(_xlfn.NORM.INV(RAND(),Reference!$D$8,0.1*Reference!$D$8)*(1+Reference!$D$11*(IF(MONTH($A375)=Reference!$D$4,1,0)+IF(MONTH($A375)=Reference!$D$5,1,0))+(IF(MONTH($A375)=Reference!$D$6,Reference!$D$13,0))),0)</f>
        <v>471</v>
      </c>
      <c r="E375" s="11">
        <f ca="1">D375*Reference!$D$7*(1-IF(MONTH($A375)=Reference!$D$6,1,0)*Reference!$D$12)</f>
        <v>353250</v>
      </c>
      <c r="M375" s="20"/>
      <c r="N375" s="20"/>
      <c r="O375" s="19"/>
      <c r="P375" s="10"/>
      <c r="Q375" s="10"/>
      <c r="R375" s="10"/>
      <c r="S375" s="10"/>
      <c r="T375" s="10"/>
      <c r="U375" s="10"/>
      <c r="V375" s="10"/>
      <c r="W375" s="10"/>
      <c r="X375" s="10"/>
      <c r="Y375" s="10"/>
    </row>
    <row r="376" spans="1:25" x14ac:dyDescent="0.25">
      <c r="A376" s="9">
        <v>40914</v>
      </c>
      <c r="B376" s="10">
        <f ca="1">ROUND(_xlfn.NORM.INV(RAND(),Reference!$C$8,0.1*Reference!$C$8)*(1+Reference!$C$11*(IF(MONTH($A376)=Reference!$C$4,1,0)+IF(MONTH($A376)=Reference!$C$5,1,0))+(IF(MONTH($A376)=Reference!$C$6,Reference!$C$13,0))),0)</f>
        <v>294</v>
      </c>
      <c r="C376" s="11">
        <f ca="1">B376*Reference!$C$7*(1-IF(MONTH($A376)=Reference!$C$6,1,0)*Reference!$C$12)</f>
        <v>273420</v>
      </c>
      <c r="D376" s="10">
        <f ca="1">ROUND(_xlfn.NORM.INV(RAND(),Reference!$D$8,0.1*Reference!$D$8)*(1+Reference!$D$11*(IF(MONTH($A376)=Reference!$D$4,1,0)+IF(MONTH($A376)=Reference!$D$5,1,0))+(IF(MONTH($A376)=Reference!$D$6,Reference!$D$13,0))),0)</f>
        <v>431</v>
      </c>
      <c r="E376" s="11">
        <f ca="1">D376*Reference!$D$7*(1-IF(MONTH($A376)=Reference!$D$6,1,0)*Reference!$D$12)</f>
        <v>323250</v>
      </c>
      <c r="M376" s="20"/>
      <c r="N376" s="20"/>
      <c r="O376" s="19"/>
      <c r="P376" s="10"/>
      <c r="Q376" s="10"/>
      <c r="R376" s="10"/>
      <c r="S376" s="10"/>
      <c r="T376" s="10"/>
      <c r="U376" s="10"/>
      <c r="V376" s="10"/>
      <c r="W376" s="10"/>
      <c r="X376" s="10"/>
      <c r="Y376" s="10"/>
    </row>
    <row r="377" spans="1:25" x14ac:dyDescent="0.25">
      <c r="A377" s="9">
        <v>40915</v>
      </c>
      <c r="B377" s="10">
        <f ca="1">ROUND(_xlfn.NORM.INV(RAND(),Reference!$C$8,0.1*Reference!$C$8)*(1+Reference!$C$11*(IF(MONTH($A377)=Reference!$C$4,1,0)+IF(MONTH($A377)=Reference!$C$5,1,0))+(IF(MONTH($A377)=Reference!$C$6,Reference!$C$13,0))),0)</f>
        <v>357</v>
      </c>
      <c r="C377" s="11">
        <f ca="1">B377*Reference!$C$7*(1-IF(MONTH($A377)=Reference!$C$6,1,0)*Reference!$C$12)</f>
        <v>332010</v>
      </c>
      <c r="D377" s="10">
        <f ca="1">ROUND(_xlfn.NORM.INV(RAND(),Reference!$D$8,0.1*Reference!$D$8)*(1+Reference!$D$11*(IF(MONTH($A377)=Reference!$D$4,1,0)+IF(MONTH($A377)=Reference!$D$5,1,0))+(IF(MONTH($A377)=Reference!$D$6,Reference!$D$13,0))),0)</f>
        <v>401</v>
      </c>
      <c r="E377" s="11">
        <f ca="1">D377*Reference!$D$7*(1-IF(MONTH($A377)=Reference!$D$6,1,0)*Reference!$D$12)</f>
        <v>300750</v>
      </c>
      <c r="M377" s="20"/>
      <c r="N377" s="20"/>
      <c r="O377" s="19"/>
      <c r="P377" s="10"/>
      <c r="Q377" s="10"/>
      <c r="R377" s="10"/>
      <c r="S377" s="10"/>
      <c r="T377" s="10"/>
      <c r="U377" s="10"/>
      <c r="V377" s="10"/>
      <c r="W377" s="10"/>
      <c r="X377" s="10"/>
      <c r="Y377" s="10"/>
    </row>
    <row r="378" spans="1:25" x14ac:dyDescent="0.25">
      <c r="A378" s="9">
        <v>40916</v>
      </c>
      <c r="B378" s="10">
        <f ca="1">ROUND(_xlfn.NORM.INV(RAND(),Reference!$C$8,0.1*Reference!$C$8)*(1+Reference!$C$11*(IF(MONTH($A378)=Reference!$C$4,1,0)+IF(MONTH($A378)=Reference!$C$5,1,0))+(IF(MONTH($A378)=Reference!$C$6,Reference!$C$13,0))),0)</f>
        <v>412</v>
      </c>
      <c r="C378" s="11">
        <f ca="1">B378*Reference!$C$7*(1-IF(MONTH($A378)=Reference!$C$6,1,0)*Reference!$C$12)</f>
        <v>383160</v>
      </c>
      <c r="D378" s="10">
        <f ca="1">ROUND(_xlfn.NORM.INV(RAND(),Reference!$D$8,0.1*Reference!$D$8)*(1+Reference!$D$11*(IF(MONTH($A378)=Reference!$D$4,1,0)+IF(MONTH($A378)=Reference!$D$5,1,0))+(IF(MONTH($A378)=Reference!$D$6,Reference!$D$13,0))),0)</f>
        <v>403</v>
      </c>
      <c r="E378" s="11">
        <f ca="1">D378*Reference!$D$7*(1-IF(MONTH($A378)=Reference!$D$6,1,0)*Reference!$D$12)</f>
        <v>302250</v>
      </c>
      <c r="M378" s="20"/>
      <c r="N378" s="20"/>
      <c r="O378" s="19"/>
      <c r="P378" s="10"/>
      <c r="Q378" s="10"/>
      <c r="R378" s="10"/>
      <c r="S378" s="10"/>
      <c r="T378" s="10"/>
      <c r="U378" s="10"/>
      <c r="V378" s="10"/>
      <c r="W378" s="10"/>
      <c r="X378" s="10"/>
      <c r="Y378" s="10"/>
    </row>
    <row r="379" spans="1:25" x14ac:dyDescent="0.25">
      <c r="A379" s="9">
        <v>40917</v>
      </c>
      <c r="B379" s="10">
        <f ca="1">ROUND(_xlfn.NORM.INV(RAND(),Reference!$C$8,0.1*Reference!$C$8)*(1+Reference!$C$11*(IF(MONTH($A379)=Reference!$C$4,1,0)+IF(MONTH($A379)=Reference!$C$5,1,0))+(IF(MONTH($A379)=Reference!$C$6,Reference!$C$13,0))),0)</f>
        <v>338</v>
      </c>
      <c r="C379" s="11">
        <f ca="1">B379*Reference!$C$7*(1-IF(MONTH($A379)=Reference!$C$6,1,0)*Reference!$C$12)</f>
        <v>314340</v>
      </c>
      <c r="D379" s="10">
        <f ca="1">ROUND(_xlfn.NORM.INV(RAND(),Reference!$D$8,0.1*Reference!$D$8)*(1+Reference!$D$11*(IF(MONTH($A379)=Reference!$D$4,1,0)+IF(MONTH($A379)=Reference!$D$5,1,0))+(IF(MONTH($A379)=Reference!$D$6,Reference!$D$13,0))),0)</f>
        <v>515</v>
      </c>
      <c r="E379" s="11">
        <f ca="1">D379*Reference!$D$7*(1-IF(MONTH($A379)=Reference!$D$6,1,0)*Reference!$D$12)</f>
        <v>386250</v>
      </c>
      <c r="M379" s="20"/>
      <c r="N379" s="20"/>
      <c r="O379" s="19"/>
      <c r="P379" s="10"/>
      <c r="Q379" s="10"/>
      <c r="R379" s="10"/>
      <c r="S379" s="10"/>
      <c r="T379" s="10"/>
      <c r="U379" s="10"/>
      <c r="V379" s="10"/>
      <c r="W379" s="10"/>
      <c r="X379" s="10"/>
      <c r="Y379" s="10"/>
    </row>
    <row r="380" spans="1:25" x14ac:dyDescent="0.25">
      <c r="A380" s="9">
        <v>40918</v>
      </c>
      <c r="B380" s="10">
        <f ca="1">ROUND(_xlfn.NORM.INV(RAND(),Reference!$C$8,0.1*Reference!$C$8)*(1+Reference!$C$11*(IF(MONTH($A380)=Reference!$C$4,1,0)+IF(MONTH($A380)=Reference!$C$5,1,0))+(IF(MONTH($A380)=Reference!$C$6,Reference!$C$13,0))),0)</f>
        <v>344</v>
      </c>
      <c r="C380" s="11">
        <f ca="1">B380*Reference!$C$7*(1-IF(MONTH($A380)=Reference!$C$6,1,0)*Reference!$C$12)</f>
        <v>319920</v>
      </c>
      <c r="D380" s="10">
        <f ca="1">ROUND(_xlfn.NORM.INV(RAND(),Reference!$D$8,0.1*Reference!$D$8)*(1+Reference!$D$11*(IF(MONTH($A380)=Reference!$D$4,1,0)+IF(MONTH($A380)=Reference!$D$5,1,0))+(IF(MONTH($A380)=Reference!$D$6,Reference!$D$13,0))),0)</f>
        <v>397</v>
      </c>
      <c r="E380" s="11">
        <f ca="1">D380*Reference!$D$7*(1-IF(MONTH($A380)=Reference!$D$6,1,0)*Reference!$D$12)</f>
        <v>297750</v>
      </c>
      <c r="M380" s="20"/>
      <c r="N380" s="20"/>
      <c r="O380" s="19"/>
      <c r="P380" s="10"/>
      <c r="Q380" s="10"/>
      <c r="R380" s="10"/>
      <c r="S380" s="10"/>
      <c r="T380" s="10"/>
      <c r="U380" s="10"/>
      <c r="V380" s="10"/>
      <c r="W380" s="10"/>
      <c r="X380" s="10"/>
      <c r="Y380" s="10"/>
    </row>
    <row r="381" spans="1:25" x14ac:dyDescent="0.25">
      <c r="A381" s="9">
        <v>40919</v>
      </c>
      <c r="B381" s="10">
        <f ca="1">ROUND(_xlfn.NORM.INV(RAND(),Reference!$C$8,0.1*Reference!$C$8)*(1+Reference!$C$11*(IF(MONTH($A381)=Reference!$C$4,1,0)+IF(MONTH($A381)=Reference!$C$5,1,0))+(IF(MONTH($A381)=Reference!$C$6,Reference!$C$13,0))),0)</f>
        <v>360</v>
      </c>
      <c r="C381" s="11">
        <f ca="1">B381*Reference!$C$7*(1-IF(MONTH($A381)=Reference!$C$6,1,0)*Reference!$C$12)</f>
        <v>334800</v>
      </c>
      <c r="D381" s="10">
        <f ca="1">ROUND(_xlfn.NORM.INV(RAND(),Reference!$D$8,0.1*Reference!$D$8)*(1+Reference!$D$11*(IF(MONTH($A381)=Reference!$D$4,1,0)+IF(MONTH($A381)=Reference!$D$5,1,0))+(IF(MONTH($A381)=Reference!$D$6,Reference!$D$13,0))),0)</f>
        <v>460</v>
      </c>
      <c r="E381" s="11">
        <f ca="1">D381*Reference!$D$7*(1-IF(MONTH($A381)=Reference!$D$6,1,0)*Reference!$D$12)</f>
        <v>345000</v>
      </c>
      <c r="M381" s="20"/>
      <c r="N381" s="20"/>
      <c r="O381" s="19"/>
      <c r="P381" s="10"/>
      <c r="Q381" s="10"/>
      <c r="R381" s="10"/>
      <c r="S381" s="10"/>
      <c r="T381" s="10"/>
      <c r="U381" s="10"/>
      <c r="V381" s="10"/>
      <c r="W381" s="10"/>
      <c r="X381" s="10"/>
      <c r="Y381" s="10"/>
    </row>
    <row r="382" spans="1:25" x14ac:dyDescent="0.25">
      <c r="A382" s="9">
        <v>40920</v>
      </c>
      <c r="B382" s="10">
        <f ca="1">ROUND(_xlfn.NORM.INV(RAND(),Reference!$C$8,0.1*Reference!$C$8)*(1+Reference!$C$11*(IF(MONTH($A382)=Reference!$C$4,1,0)+IF(MONTH($A382)=Reference!$C$5,1,0))+(IF(MONTH($A382)=Reference!$C$6,Reference!$C$13,0))),0)</f>
        <v>351</v>
      </c>
      <c r="C382" s="11">
        <f ca="1">B382*Reference!$C$7*(1-IF(MONTH($A382)=Reference!$C$6,1,0)*Reference!$C$12)</f>
        <v>326430</v>
      </c>
      <c r="D382" s="10">
        <f ca="1">ROUND(_xlfn.NORM.INV(RAND(),Reference!$D$8,0.1*Reference!$D$8)*(1+Reference!$D$11*(IF(MONTH($A382)=Reference!$D$4,1,0)+IF(MONTH($A382)=Reference!$D$5,1,0))+(IF(MONTH($A382)=Reference!$D$6,Reference!$D$13,0))),0)</f>
        <v>412</v>
      </c>
      <c r="E382" s="11">
        <f ca="1">D382*Reference!$D$7*(1-IF(MONTH($A382)=Reference!$D$6,1,0)*Reference!$D$12)</f>
        <v>309000</v>
      </c>
      <c r="M382" s="20"/>
      <c r="N382" s="20"/>
      <c r="O382" s="19"/>
      <c r="P382" s="10"/>
      <c r="Q382" s="10"/>
      <c r="R382" s="10"/>
      <c r="S382" s="10"/>
      <c r="T382" s="10"/>
      <c r="U382" s="10"/>
      <c r="V382" s="10"/>
      <c r="W382" s="10"/>
      <c r="X382" s="10"/>
      <c r="Y382" s="10"/>
    </row>
    <row r="383" spans="1:25" x14ac:dyDescent="0.25">
      <c r="A383" s="9">
        <v>40921</v>
      </c>
      <c r="B383" s="10">
        <f ca="1">ROUND(_xlfn.NORM.INV(RAND(),Reference!$C$8,0.1*Reference!$C$8)*(1+Reference!$C$11*(IF(MONTH($A383)=Reference!$C$4,1,0)+IF(MONTH($A383)=Reference!$C$5,1,0))+(IF(MONTH($A383)=Reference!$C$6,Reference!$C$13,0))),0)</f>
        <v>276</v>
      </c>
      <c r="C383" s="11">
        <f ca="1">B383*Reference!$C$7*(1-IF(MONTH($A383)=Reference!$C$6,1,0)*Reference!$C$12)</f>
        <v>256680</v>
      </c>
      <c r="D383" s="10">
        <f ca="1">ROUND(_xlfn.NORM.INV(RAND(),Reference!$D$8,0.1*Reference!$D$8)*(1+Reference!$D$11*(IF(MONTH($A383)=Reference!$D$4,1,0)+IF(MONTH($A383)=Reference!$D$5,1,0))+(IF(MONTH($A383)=Reference!$D$6,Reference!$D$13,0))),0)</f>
        <v>484</v>
      </c>
      <c r="E383" s="11">
        <f ca="1">D383*Reference!$D$7*(1-IF(MONTH($A383)=Reference!$D$6,1,0)*Reference!$D$12)</f>
        <v>363000</v>
      </c>
      <c r="M383" s="20"/>
      <c r="N383" s="20"/>
      <c r="O383" s="19"/>
      <c r="P383" s="10"/>
      <c r="Q383" s="10"/>
      <c r="R383" s="10"/>
      <c r="S383" s="10"/>
      <c r="T383" s="10"/>
      <c r="U383" s="10"/>
      <c r="V383" s="10"/>
      <c r="W383" s="10"/>
      <c r="X383" s="10"/>
      <c r="Y383" s="10"/>
    </row>
    <row r="384" spans="1:25" x14ac:dyDescent="0.25">
      <c r="A384" s="9">
        <v>40922</v>
      </c>
      <c r="B384" s="10">
        <f ca="1">ROUND(_xlfn.NORM.INV(RAND(),Reference!$C$8,0.1*Reference!$C$8)*(1+Reference!$C$11*(IF(MONTH($A384)=Reference!$C$4,1,0)+IF(MONTH($A384)=Reference!$C$5,1,0))+(IF(MONTH($A384)=Reference!$C$6,Reference!$C$13,0))),0)</f>
        <v>358</v>
      </c>
      <c r="C384" s="11">
        <f ca="1">B384*Reference!$C$7*(1-IF(MONTH($A384)=Reference!$C$6,1,0)*Reference!$C$12)</f>
        <v>332940</v>
      </c>
      <c r="D384" s="10">
        <f ca="1">ROUND(_xlfn.NORM.INV(RAND(),Reference!$D$8,0.1*Reference!$D$8)*(1+Reference!$D$11*(IF(MONTH($A384)=Reference!$D$4,1,0)+IF(MONTH($A384)=Reference!$D$5,1,0))+(IF(MONTH($A384)=Reference!$D$6,Reference!$D$13,0))),0)</f>
        <v>434</v>
      </c>
      <c r="E384" s="11">
        <f ca="1">D384*Reference!$D$7*(1-IF(MONTH($A384)=Reference!$D$6,1,0)*Reference!$D$12)</f>
        <v>325500</v>
      </c>
      <c r="M384" s="20"/>
      <c r="N384" s="20"/>
      <c r="O384" s="19"/>
      <c r="P384" s="10"/>
      <c r="Q384" s="10"/>
      <c r="R384" s="10"/>
      <c r="S384" s="10"/>
      <c r="T384" s="10"/>
      <c r="U384" s="10"/>
      <c r="V384" s="10"/>
      <c r="W384" s="10"/>
      <c r="X384" s="10"/>
      <c r="Y384" s="10"/>
    </row>
    <row r="385" spans="1:25" x14ac:dyDescent="0.25">
      <c r="A385" s="9">
        <v>40923</v>
      </c>
      <c r="B385" s="10">
        <f ca="1">ROUND(_xlfn.NORM.INV(RAND(),Reference!$C$8,0.1*Reference!$C$8)*(1+Reference!$C$11*(IF(MONTH($A385)=Reference!$C$4,1,0)+IF(MONTH($A385)=Reference!$C$5,1,0))+(IF(MONTH($A385)=Reference!$C$6,Reference!$C$13,0))),0)</f>
        <v>331</v>
      </c>
      <c r="C385" s="11">
        <f ca="1">B385*Reference!$C$7*(1-IF(MONTH($A385)=Reference!$C$6,1,0)*Reference!$C$12)</f>
        <v>307830</v>
      </c>
      <c r="D385" s="10">
        <f ca="1">ROUND(_xlfn.NORM.INV(RAND(),Reference!$D$8,0.1*Reference!$D$8)*(1+Reference!$D$11*(IF(MONTH($A385)=Reference!$D$4,1,0)+IF(MONTH($A385)=Reference!$D$5,1,0))+(IF(MONTH($A385)=Reference!$D$6,Reference!$D$13,0))),0)</f>
        <v>342</v>
      </c>
      <c r="E385" s="11">
        <f ca="1">D385*Reference!$D$7*(1-IF(MONTH($A385)=Reference!$D$6,1,0)*Reference!$D$12)</f>
        <v>256500</v>
      </c>
      <c r="M385" s="20"/>
      <c r="N385" s="20"/>
      <c r="O385" s="19"/>
      <c r="P385" s="10"/>
      <c r="Q385" s="10"/>
      <c r="R385" s="10"/>
      <c r="S385" s="10"/>
      <c r="T385" s="10"/>
      <c r="U385" s="10"/>
      <c r="V385" s="10"/>
      <c r="W385" s="10"/>
      <c r="X385" s="10"/>
      <c r="Y385" s="10"/>
    </row>
    <row r="386" spans="1:25" x14ac:dyDescent="0.25">
      <c r="A386" s="9">
        <v>40924</v>
      </c>
      <c r="B386" s="10">
        <f ca="1">ROUND(_xlfn.NORM.INV(RAND(),Reference!$C$8,0.1*Reference!$C$8)*(1+Reference!$C$11*(IF(MONTH($A386)=Reference!$C$4,1,0)+IF(MONTH($A386)=Reference!$C$5,1,0))+(IF(MONTH($A386)=Reference!$C$6,Reference!$C$13,0))),0)</f>
        <v>384</v>
      </c>
      <c r="C386" s="11">
        <f ca="1">B386*Reference!$C$7*(1-IF(MONTH($A386)=Reference!$C$6,1,0)*Reference!$C$12)</f>
        <v>357120</v>
      </c>
      <c r="D386" s="10">
        <f ca="1">ROUND(_xlfn.NORM.INV(RAND(),Reference!$D$8,0.1*Reference!$D$8)*(1+Reference!$D$11*(IF(MONTH($A386)=Reference!$D$4,1,0)+IF(MONTH($A386)=Reference!$D$5,1,0))+(IF(MONTH($A386)=Reference!$D$6,Reference!$D$13,0))),0)</f>
        <v>427</v>
      </c>
      <c r="E386" s="11">
        <f ca="1">D386*Reference!$D$7*(1-IF(MONTH($A386)=Reference!$D$6,1,0)*Reference!$D$12)</f>
        <v>320250</v>
      </c>
      <c r="M386" s="20"/>
      <c r="N386" s="20"/>
      <c r="O386" s="19"/>
      <c r="P386" s="10"/>
      <c r="Q386" s="10"/>
      <c r="R386" s="10"/>
      <c r="S386" s="10"/>
      <c r="T386" s="10"/>
      <c r="U386" s="10"/>
      <c r="V386" s="10"/>
      <c r="W386" s="10"/>
      <c r="X386" s="10"/>
      <c r="Y386" s="10"/>
    </row>
    <row r="387" spans="1:25" x14ac:dyDescent="0.25">
      <c r="A387" s="9">
        <v>40925</v>
      </c>
      <c r="B387" s="10">
        <f ca="1">ROUND(_xlfn.NORM.INV(RAND(),Reference!$C$8,0.1*Reference!$C$8)*(1+Reference!$C$11*(IF(MONTH($A387)=Reference!$C$4,1,0)+IF(MONTH($A387)=Reference!$C$5,1,0))+(IF(MONTH($A387)=Reference!$C$6,Reference!$C$13,0))),0)</f>
        <v>338</v>
      </c>
      <c r="C387" s="11">
        <f ca="1">B387*Reference!$C$7*(1-IF(MONTH($A387)=Reference!$C$6,1,0)*Reference!$C$12)</f>
        <v>314340</v>
      </c>
      <c r="D387" s="10">
        <f ca="1">ROUND(_xlfn.NORM.INV(RAND(),Reference!$D$8,0.1*Reference!$D$8)*(1+Reference!$D$11*(IF(MONTH($A387)=Reference!$D$4,1,0)+IF(MONTH($A387)=Reference!$D$5,1,0))+(IF(MONTH($A387)=Reference!$D$6,Reference!$D$13,0))),0)</f>
        <v>522</v>
      </c>
      <c r="E387" s="11">
        <f ca="1">D387*Reference!$D$7*(1-IF(MONTH($A387)=Reference!$D$6,1,0)*Reference!$D$12)</f>
        <v>391500</v>
      </c>
      <c r="M387" s="20"/>
      <c r="N387" s="20"/>
      <c r="O387" s="19"/>
      <c r="P387" s="10"/>
      <c r="Q387" s="10"/>
      <c r="R387" s="10"/>
      <c r="S387" s="10"/>
      <c r="T387" s="10"/>
      <c r="U387" s="10"/>
      <c r="V387" s="10"/>
      <c r="W387" s="10"/>
      <c r="X387" s="10"/>
      <c r="Y387" s="10"/>
    </row>
    <row r="388" spans="1:25" x14ac:dyDescent="0.25">
      <c r="A388" s="9">
        <v>40926</v>
      </c>
      <c r="B388" s="10">
        <f ca="1">ROUND(_xlfn.NORM.INV(RAND(),Reference!$C$8,0.1*Reference!$C$8)*(1+Reference!$C$11*(IF(MONTH($A388)=Reference!$C$4,1,0)+IF(MONTH($A388)=Reference!$C$5,1,0))+(IF(MONTH($A388)=Reference!$C$6,Reference!$C$13,0))),0)</f>
        <v>320</v>
      </c>
      <c r="C388" s="11">
        <f ca="1">B388*Reference!$C$7*(1-IF(MONTH($A388)=Reference!$C$6,1,0)*Reference!$C$12)</f>
        <v>297600</v>
      </c>
      <c r="D388" s="10">
        <f ca="1">ROUND(_xlfn.NORM.INV(RAND(),Reference!$D$8,0.1*Reference!$D$8)*(1+Reference!$D$11*(IF(MONTH($A388)=Reference!$D$4,1,0)+IF(MONTH($A388)=Reference!$D$5,1,0))+(IF(MONTH($A388)=Reference!$D$6,Reference!$D$13,0))),0)</f>
        <v>514</v>
      </c>
      <c r="E388" s="11">
        <f ca="1">D388*Reference!$D$7*(1-IF(MONTH($A388)=Reference!$D$6,1,0)*Reference!$D$12)</f>
        <v>385500</v>
      </c>
      <c r="M388" s="20"/>
      <c r="N388" s="20"/>
      <c r="O388" s="19"/>
      <c r="P388" s="10"/>
      <c r="Q388" s="10"/>
      <c r="R388" s="10"/>
      <c r="S388" s="10"/>
      <c r="T388" s="10"/>
      <c r="U388" s="10"/>
      <c r="V388" s="10"/>
      <c r="W388" s="10"/>
      <c r="X388" s="10"/>
      <c r="Y388" s="10"/>
    </row>
    <row r="389" spans="1:25" x14ac:dyDescent="0.25">
      <c r="A389" s="9">
        <v>40927</v>
      </c>
      <c r="B389" s="10">
        <f ca="1">ROUND(_xlfn.NORM.INV(RAND(),Reference!$C$8,0.1*Reference!$C$8)*(1+Reference!$C$11*(IF(MONTH($A389)=Reference!$C$4,1,0)+IF(MONTH($A389)=Reference!$C$5,1,0))+(IF(MONTH($A389)=Reference!$C$6,Reference!$C$13,0))),0)</f>
        <v>339</v>
      </c>
      <c r="C389" s="11">
        <f ca="1">B389*Reference!$C$7*(1-IF(MONTH($A389)=Reference!$C$6,1,0)*Reference!$C$12)</f>
        <v>315270</v>
      </c>
      <c r="D389" s="10">
        <f ca="1">ROUND(_xlfn.NORM.INV(RAND(),Reference!$D$8,0.1*Reference!$D$8)*(1+Reference!$D$11*(IF(MONTH($A389)=Reference!$D$4,1,0)+IF(MONTH($A389)=Reference!$D$5,1,0))+(IF(MONTH($A389)=Reference!$D$6,Reference!$D$13,0))),0)</f>
        <v>512</v>
      </c>
      <c r="E389" s="11">
        <f ca="1">D389*Reference!$D$7*(1-IF(MONTH($A389)=Reference!$D$6,1,0)*Reference!$D$12)</f>
        <v>384000</v>
      </c>
      <c r="M389" s="20"/>
      <c r="N389" s="20"/>
      <c r="O389" s="19"/>
      <c r="P389" s="10"/>
      <c r="Q389" s="10"/>
      <c r="R389" s="10"/>
      <c r="S389" s="10"/>
      <c r="T389" s="10"/>
      <c r="U389" s="10"/>
      <c r="V389" s="10"/>
      <c r="W389" s="10"/>
      <c r="X389" s="10"/>
      <c r="Y389" s="10"/>
    </row>
    <row r="390" spans="1:25" x14ac:dyDescent="0.25">
      <c r="A390" s="9">
        <v>40928</v>
      </c>
      <c r="B390" s="10">
        <f ca="1">ROUND(_xlfn.NORM.INV(RAND(),Reference!$C$8,0.1*Reference!$C$8)*(1+Reference!$C$11*(IF(MONTH($A390)=Reference!$C$4,1,0)+IF(MONTH($A390)=Reference!$C$5,1,0))+(IF(MONTH($A390)=Reference!$C$6,Reference!$C$13,0))),0)</f>
        <v>403</v>
      </c>
      <c r="C390" s="11">
        <f ca="1">B390*Reference!$C$7*(1-IF(MONTH($A390)=Reference!$C$6,1,0)*Reference!$C$12)</f>
        <v>374790</v>
      </c>
      <c r="D390" s="10">
        <f ca="1">ROUND(_xlfn.NORM.INV(RAND(),Reference!$D$8,0.1*Reference!$D$8)*(1+Reference!$D$11*(IF(MONTH($A390)=Reference!$D$4,1,0)+IF(MONTH($A390)=Reference!$D$5,1,0))+(IF(MONTH($A390)=Reference!$D$6,Reference!$D$13,0))),0)</f>
        <v>479</v>
      </c>
      <c r="E390" s="11">
        <f ca="1">D390*Reference!$D$7*(1-IF(MONTH($A390)=Reference!$D$6,1,0)*Reference!$D$12)</f>
        <v>359250</v>
      </c>
      <c r="M390" s="20"/>
      <c r="N390" s="20"/>
      <c r="O390" s="19"/>
      <c r="P390" s="10"/>
      <c r="Q390" s="10"/>
      <c r="R390" s="10"/>
      <c r="S390" s="10"/>
      <c r="T390" s="10"/>
      <c r="U390" s="10"/>
      <c r="V390" s="10"/>
      <c r="W390" s="10"/>
      <c r="X390" s="10"/>
      <c r="Y390" s="10"/>
    </row>
    <row r="391" spans="1:25" x14ac:dyDescent="0.25">
      <c r="A391" s="9">
        <v>40929</v>
      </c>
      <c r="B391" s="10">
        <f ca="1">ROUND(_xlfn.NORM.INV(RAND(),Reference!$C$8,0.1*Reference!$C$8)*(1+Reference!$C$11*(IF(MONTH($A391)=Reference!$C$4,1,0)+IF(MONTH($A391)=Reference!$C$5,1,0))+(IF(MONTH($A391)=Reference!$C$6,Reference!$C$13,0))),0)</f>
        <v>355</v>
      </c>
      <c r="C391" s="11">
        <f ca="1">B391*Reference!$C$7*(1-IF(MONTH($A391)=Reference!$C$6,1,0)*Reference!$C$12)</f>
        <v>330150</v>
      </c>
      <c r="D391" s="10">
        <f ca="1">ROUND(_xlfn.NORM.INV(RAND(),Reference!$D$8,0.1*Reference!$D$8)*(1+Reference!$D$11*(IF(MONTH($A391)=Reference!$D$4,1,0)+IF(MONTH($A391)=Reference!$D$5,1,0))+(IF(MONTH($A391)=Reference!$D$6,Reference!$D$13,0))),0)</f>
        <v>423</v>
      </c>
      <c r="E391" s="11">
        <f ca="1">D391*Reference!$D$7*(1-IF(MONTH($A391)=Reference!$D$6,1,0)*Reference!$D$12)</f>
        <v>317250</v>
      </c>
      <c r="M391" s="20"/>
      <c r="N391" s="20"/>
      <c r="O391" s="19"/>
      <c r="P391" s="10"/>
      <c r="Q391" s="10"/>
      <c r="R391" s="10"/>
      <c r="S391" s="10"/>
      <c r="T391" s="10"/>
      <c r="U391" s="10"/>
      <c r="V391" s="10"/>
      <c r="W391" s="10"/>
      <c r="X391" s="10"/>
      <c r="Y391" s="10"/>
    </row>
    <row r="392" spans="1:25" x14ac:dyDescent="0.25">
      <c r="A392" s="9">
        <v>40930</v>
      </c>
      <c r="B392" s="10">
        <f ca="1">ROUND(_xlfn.NORM.INV(RAND(),Reference!$C$8,0.1*Reference!$C$8)*(1+Reference!$C$11*(IF(MONTH($A392)=Reference!$C$4,1,0)+IF(MONTH($A392)=Reference!$C$5,1,0))+(IF(MONTH($A392)=Reference!$C$6,Reference!$C$13,0))),0)</f>
        <v>407</v>
      </c>
      <c r="C392" s="11">
        <f ca="1">B392*Reference!$C$7*(1-IF(MONTH($A392)=Reference!$C$6,1,0)*Reference!$C$12)</f>
        <v>378510</v>
      </c>
      <c r="D392" s="10">
        <f ca="1">ROUND(_xlfn.NORM.INV(RAND(),Reference!$D$8,0.1*Reference!$D$8)*(1+Reference!$D$11*(IF(MONTH($A392)=Reference!$D$4,1,0)+IF(MONTH($A392)=Reference!$D$5,1,0))+(IF(MONTH($A392)=Reference!$D$6,Reference!$D$13,0))),0)</f>
        <v>511</v>
      </c>
      <c r="E392" s="11">
        <f ca="1">D392*Reference!$D$7*(1-IF(MONTH($A392)=Reference!$D$6,1,0)*Reference!$D$12)</f>
        <v>383250</v>
      </c>
      <c r="M392" s="20"/>
      <c r="N392" s="20"/>
      <c r="O392" s="19"/>
      <c r="P392" s="10"/>
      <c r="Q392" s="10"/>
      <c r="R392" s="10"/>
      <c r="S392" s="10"/>
      <c r="T392" s="10"/>
      <c r="U392" s="10"/>
      <c r="V392" s="10"/>
      <c r="W392" s="10"/>
      <c r="X392" s="10"/>
      <c r="Y392" s="10"/>
    </row>
    <row r="393" spans="1:25" x14ac:dyDescent="0.25">
      <c r="A393" s="9">
        <v>40931</v>
      </c>
      <c r="B393" s="10">
        <f ca="1">ROUND(_xlfn.NORM.INV(RAND(),Reference!$C$8,0.1*Reference!$C$8)*(1+Reference!$C$11*(IF(MONTH($A393)=Reference!$C$4,1,0)+IF(MONTH($A393)=Reference!$C$5,1,0))+(IF(MONTH($A393)=Reference!$C$6,Reference!$C$13,0))),0)</f>
        <v>378</v>
      </c>
      <c r="C393" s="11">
        <f ca="1">B393*Reference!$C$7*(1-IF(MONTH($A393)=Reference!$C$6,1,0)*Reference!$C$12)</f>
        <v>351540</v>
      </c>
      <c r="D393" s="10">
        <f ca="1">ROUND(_xlfn.NORM.INV(RAND(),Reference!$D$8,0.1*Reference!$D$8)*(1+Reference!$D$11*(IF(MONTH($A393)=Reference!$D$4,1,0)+IF(MONTH($A393)=Reference!$D$5,1,0))+(IF(MONTH($A393)=Reference!$D$6,Reference!$D$13,0))),0)</f>
        <v>419</v>
      </c>
      <c r="E393" s="11">
        <f ca="1">D393*Reference!$D$7*(1-IF(MONTH($A393)=Reference!$D$6,1,0)*Reference!$D$12)</f>
        <v>314250</v>
      </c>
      <c r="M393" s="20"/>
      <c r="N393" s="20"/>
      <c r="O393" s="19"/>
      <c r="P393" s="10"/>
      <c r="Q393" s="10"/>
      <c r="R393" s="10"/>
      <c r="S393" s="10"/>
      <c r="T393" s="10"/>
      <c r="U393" s="10"/>
      <c r="V393" s="10"/>
      <c r="W393" s="10"/>
      <c r="X393" s="10"/>
      <c r="Y393" s="10"/>
    </row>
    <row r="394" spans="1:25" x14ac:dyDescent="0.25">
      <c r="A394" s="9">
        <v>40932</v>
      </c>
      <c r="B394" s="10">
        <f ca="1">ROUND(_xlfn.NORM.INV(RAND(),Reference!$C$8,0.1*Reference!$C$8)*(1+Reference!$C$11*(IF(MONTH($A394)=Reference!$C$4,1,0)+IF(MONTH($A394)=Reference!$C$5,1,0))+(IF(MONTH($A394)=Reference!$C$6,Reference!$C$13,0))),0)</f>
        <v>406</v>
      </c>
      <c r="C394" s="11">
        <f ca="1">B394*Reference!$C$7*(1-IF(MONTH($A394)=Reference!$C$6,1,0)*Reference!$C$12)</f>
        <v>377580</v>
      </c>
      <c r="D394" s="10">
        <f ca="1">ROUND(_xlfn.NORM.INV(RAND(),Reference!$D$8,0.1*Reference!$D$8)*(1+Reference!$D$11*(IF(MONTH($A394)=Reference!$D$4,1,0)+IF(MONTH($A394)=Reference!$D$5,1,0))+(IF(MONTH($A394)=Reference!$D$6,Reference!$D$13,0))),0)</f>
        <v>349</v>
      </c>
      <c r="E394" s="11">
        <f ca="1">D394*Reference!$D$7*(1-IF(MONTH($A394)=Reference!$D$6,1,0)*Reference!$D$12)</f>
        <v>261750</v>
      </c>
      <c r="M394" s="20"/>
      <c r="N394" s="20"/>
      <c r="O394" s="19"/>
      <c r="P394" s="10"/>
      <c r="Q394" s="10"/>
      <c r="R394" s="10"/>
      <c r="S394" s="10"/>
      <c r="T394" s="10"/>
      <c r="U394" s="10"/>
      <c r="V394" s="10"/>
      <c r="W394" s="10"/>
      <c r="X394" s="10"/>
      <c r="Y394" s="10"/>
    </row>
    <row r="395" spans="1:25" x14ac:dyDescent="0.25">
      <c r="A395" s="9">
        <v>40933</v>
      </c>
      <c r="B395" s="10">
        <f ca="1">ROUND(_xlfn.NORM.INV(RAND(),Reference!$C$8,0.1*Reference!$C$8)*(1+Reference!$C$11*(IF(MONTH($A395)=Reference!$C$4,1,0)+IF(MONTH($A395)=Reference!$C$5,1,0))+(IF(MONTH($A395)=Reference!$C$6,Reference!$C$13,0))),0)</f>
        <v>367</v>
      </c>
      <c r="C395" s="11">
        <f ca="1">B395*Reference!$C$7*(1-IF(MONTH($A395)=Reference!$C$6,1,0)*Reference!$C$12)</f>
        <v>341310</v>
      </c>
      <c r="D395" s="10">
        <f ca="1">ROUND(_xlfn.NORM.INV(RAND(),Reference!$D$8,0.1*Reference!$D$8)*(1+Reference!$D$11*(IF(MONTH($A395)=Reference!$D$4,1,0)+IF(MONTH($A395)=Reference!$D$5,1,0))+(IF(MONTH($A395)=Reference!$D$6,Reference!$D$13,0))),0)</f>
        <v>436</v>
      </c>
      <c r="E395" s="11">
        <f ca="1">D395*Reference!$D$7*(1-IF(MONTH($A395)=Reference!$D$6,1,0)*Reference!$D$12)</f>
        <v>327000</v>
      </c>
      <c r="M395" s="20"/>
      <c r="N395" s="20"/>
      <c r="O395" s="19"/>
      <c r="P395" s="10"/>
      <c r="Q395" s="10"/>
      <c r="R395" s="10"/>
      <c r="S395" s="10"/>
      <c r="T395" s="10"/>
      <c r="U395" s="10"/>
      <c r="V395" s="10"/>
      <c r="W395" s="10"/>
      <c r="X395" s="10"/>
      <c r="Y395" s="10"/>
    </row>
    <row r="396" spans="1:25" x14ac:dyDescent="0.25">
      <c r="A396" s="9">
        <v>40934</v>
      </c>
      <c r="B396" s="10">
        <f ca="1">ROUND(_xlfn.NORM.INV(RAND(),Reference!$C$8,0.1*Reference!$C$8)*(1+Reference!$C$11*(IF(MONTH($A396)=Reference!$C$4,1,0)+IF(MONTH($A396)=Reference!$C$5,1,0))+(IF(MONTH($A396)=Reference!$C$6,Reference!$C$13,0))),0)</f>
        <v>415</v>
      </c>
      <c r="C396" s="11">
        <f ca="1">B396*Reference!$C$7*(1-IF(MONTH($A396)=Reference!$C$6,1,0)*Reference!$C$12)</f>
        <v>385950</v>
      </c>
      <c r="D396" s="10">
        <f ca="1">ROUND(_xlfn.NORM.INV(RAND(),Reference!$D$8,0.1*Reference!$D$8)*(1+Reference!$D$11*(IF(MONTH($A396)=Reference!$D$4,1,0)+IF(MONTH($A396)=Reference!$D$5,1,0))+(IF(MONTH($A396)=Reference!$D$6,Reference!$D$13,0))),0)</f>
        <v>405</v>
      </c>
      <c r="E396" s="11">
        <f ca="1">D396*Reference!$D$7*(1-IF(MONTH($A396)=Reference!$D$6,1,0)*Reference!$D$12)</f>
        <v>303750</v>
      </c>
      <c r="M396" s="20"/>
      <c r="N396" s="20"/>
      <c r="O396" s="19"/>
      <c r="P396" s="10"/>
      <c r="Q396" s="10"/>
      <c r="R396" s="10"/>
      <c r="S396" s="10"/>
      <c r="T396" s="10"/>
      <c r="U396" s="10"/>
      <c r="V396" s="10"/>
      <c r="W396" s="10"/>
      <c r="X396" s="10"/>
      <c r="Y396" s="10"/>
    </row>
    <row r="397" spans="1:25" x14ac:dyDescent="0.25">
      <c r="A397" s="9">
        <v>40935</v>
      </c>
      <c r="B397" s="10">
        <f ca="1">ROUND(_xlfn.NORM.INV(RAND(),Reference!$C$8,0.1*Reference!$C$8)*(1+Reference!$C$11*(IF(MONTH($A397)=Reference!$C$4,1,0)+IF(MONTH($A397)=Reference!$C$5,1,0))+(IF(MONTH($A397)=Reference!$C$6,Reference!$C$13,0))),0)</f>
        <v>355</v>
      </c>
      <c r="C397" s="11">
        <f ca="1">B397*Reference!$C$7*(1-IF(MONTH($A397)=Reference!$C$6,1,0)*Reference!$C$12)</f>
        <v>330150</v>
      </c>
      <c r="D397" s="10">
        <f ca="1">ROUND(_xlfn.NORM.INV(RAND(),Reference!$D$8,0.1*Reference!$D$8)*(1+Reference!$D$11*(IF(MONTH($A397)=Reference!$D$4,1,0)+IF(MONTH($A397)=Reference!$D$5,1,0))+(IF(MONTH($A397)=Reference!$D$6,Reference!$D$13,0))),0)</f>
        <v>502</v>
      </c>
      <c r="E397" s="11">
        <f ca="1">D397*Reference!$D$7*(1-IF(MONTH($A397)=Reference!$D$6,1,0)*Reference!$D$12)</f>
        <v>376500</v>
      </c>
      <c r="M397" s="20"/>
      <c r="N397" s="20"/>
      <c r="O397" s="19"/>
      <c r="P397" s="10"/>
      <c r="Q397" s="10"/>
      <c r="R397" s="10"/>
      <c r="S397" s="10"/>
      <c r="T397" s="10"/>
      <c r="U397" s="10"/>
      <c r="V397" s="10"/>
      <c r="W397" s="10"/>
      <c r="X397" s="10"/>
      <c r="Y397" s="10"/>
    </row>
    <row r="398" spans="1:25" x14ac:dyDescent="0.25">
      <c r="A398" s="9">
        <v>40936</v>
      </c>
      <c r="B398" s="10">
        <f ca="1">ROUND(_xlfn.NORM.INV(RAND(),Reference!$C$8,0.1*Reference!$C$8)*(1+Reference!$C$11*(IF(MONTH($A398)=Reference!$C$4,1,0)+IF(MONTH($A398)=Reference!$C$5,1,0))+(IF(MONTH($A398)=Reference!$C$6,Reference!$C$13,0))),0)</f>
        <v>305</v>
      </c>
      <c r="C398" s="11">
        <f ca="1">B398*Reference!$C$7*(1-IF(MONTH($A398)=Reference!$C$6,1,0)*Reference!$C$12)</f>
        <v>283650</v>
      </c>
      <c r="D398" s="10">
        <f ca="1">ROUND(_xlfn.NORM.INV(RAND(),Reference!$D$8,0.1*Reference!$D$8)*(1+Reference!$D$11*(IF(MONTH($A398)=Reference!$D$4,1,0)+IF(MONTH($A398)=Reference!$D$5,1,0))+(IF(MONTH($A398)=Reference!$D$6,Reference!$D$13,0))),0)</f>
        <v>458</v>
      </c>
      <c r="E398" s="11">
        <f ca="1">D398*Reference!$D$7*(1-IF(MONTH($A398)=Reference!$D$6,1,0)*Reference!$D$12)</f>
        <v>343500</v>
      </c>
      <c r="M398" s="20"/>
      <c r="N398" s="20"/>
      <c r="O398" s="19"/>
      <c r="P398" s="10"/>
      <c r="Q398" s="10"/>
      <c r="R398" s="10"/>
      <c r="S398" s="10"/>
      <c r="T398" s="10"/>
      <c r="U398" s="10"/>
      <c r="V398" s="10"/>
      <c r="W398" s="10"/>
      <c r="X398" s="10"/>
      <c r="Y398" s="10"/>
    </row>
    <row r="399" spans="1:25" x14ac:dyDescent="0.25">
      <c r="A399" s="9">
        <v>40937</v>
      </c>
      <c r="B399" s="10">
        <f ca="1">ROUND(_xlfn.NORM.INV(RAND(),Reference!$C$8,0.1*Reference!$C$8)*(1+Reference!$C$11*(IF(MONTH($A399)=Reference!$C$4,1,0)+IF(MONTH($A399)=Reference!$C$5,1,0))+(IF(MONTH($A399)=Reference!$C$6,Reference!$C$13,0))),0)</f>
        <v>371</v>
      </c>
      <c r="C399" s="11">
        <f ca="1">B399*Reference!$C$7*(1-IF(MONTH($A399)=Reference!$C$6,1,0)*Reference!$C$12)</f>
        <v>345030</v>
      </c>
      <c r="D399" s="10">
        <f ca="1">ROUND(_xlfn.NORM.INV(RAND(),Reference!$D$8,0.1*Reference!$D$8)*(1+Reference!$D$11*(IF(MONTH($A399)=Reference!$D$4,1,0)+IF(MONTH($A399)=Reference!$D$5,1,0))+(IF(MONTH($A399)=Reference!$D$6,Reference!$D$13,0))),0)</f>
        <v>406</v>
      </c>
      <c r="E399" s="11">
        <f ca="1">D399*Reference!$D$7*(1-IF(MONTH($A399)=Reference!$D$6,1,0)*Reference!$D$12)</f>
        <v>304500</v>
      </c>
      <c r="M399" s="20"/>
      <c r="N399" s="20"/>
      <c r="O399" s="19"/>
      <c r="P399" s="10"/>
      <c r="Q399" s="10"/>
      <c r="R399" s="10"/>
      <c r="S399" s="10"/>
      <c r="T399" s="10"/>
      <c r="U399" s="10"/>
      <c r="V399" s="10"/>
      <c r="W399" s="10"/>
      <c r="X399" s="10"/>
      <c r="Y399" s="10"/>
    </row>
    <row r="400" spans="1:25" x14ac:dyDescent="0.25">
      <c r="A400" s="9">
        <v>40938</v>
      </c>
      <c r="B400" s="10">
        <f ca="1">ROUND(_xlfn.NORM.INV(RAND(),Reference!$C$8,0.1*Reference!$C$8)*(1+Reference!$C$11*(IF(MONTH($A400)=Reference!$C$4,1,0)+IF(MONTH($A400)=Reference!$C$5,1,0))+(IF(MONTH($A400)=Reference!$C$6,Reference!$C$13,0))),0)</f>
        <v>292</v>
      </c>
      <c r="C400" s="11">
        <f ca="1">B400*Reference!$C$7*(1-IF(MONTH($A400)=Reference!$C$6,1,0)*Reference!$C$12)</f>
        <v>271560</v>
      </c>
      <c r="D400" s="10">
        <f ca="1">ROUND(_xlfn.NORM.INV(RAND(),Reference!$D$8,0.1*Reference!$D$8)*(1+Reference!$D$11*(IF(MONTH($A400)=Reference!$D$4,1,0)+IF(MONTH($A400)=Reference!$D$5,1,0))+(IF(MONTH($A400)=Reference!$D$6,Reference!$D$13,0))),0)</f>
        <v>461</v>
      </c>
      <c r="E400" s="11">
        <f ca="1">D400*Reference!$D$7*(1-IF(MONTH($A400)=Reference!$D$6,1,0)*Reference!$D$12)</f>
        <v>345750</v>
      </c>
      <c r="M400" s="20"/>
      <c r="N400" s="20"/>
      <c r="O400" s="19"/>
      <c r="P400" s="10"/>
      <c r="Q400" s="10"/>
      <c r="R400" s="10"/>
      <c r="S400" s="10"/>
      <c r="T400" s="10"/>
      <c r="U400" s="10"/>
      <c r="V400" s="10"/>
      <c r="W400" s="10"/>
      <c r="X400" s="10"/>
      <c r="Y400" s="10"/>
    </row>
    <row r="401" spans="1:25" x14ac:dyDescent="0.25">
      <c r="A401" s="9">
        <v>40939</v>
      </c>
      <c r="B401" s="10">
        <f ca="1">ROUND(_xlfn.NORM.INV(RAND(),Reference!$C$8,0.1*Reference!$C$8)*(1+Reference!$C$11*(IF(MONTH($A401)=Reference!$C$4,1,0)+IF(MONTH($A401)=Reference!$C$5,1,0))+(IF(MONTH($A401)=Reference!$C$6,Reference!$C$13,0))),0)</f>
        <v>367</v>
      </c>
      <c r="C401" s="11">
        <f ca="1">B401*Reference!$C$7*(1-IF(MONTH($A401)=Reference!$C$6,1,0)*Reference!$C$12)</f>
        <v>341310</v>
      </c>
      <c r="D401" s="10">
        <f ca="1">ROUND(_xlfn.NORM.INV(RAND(),Reference!$D$8,0.1*Reference!$D$8)*(1+Reference!$D$11*(IF(MONTH($A401)=Reference!$D$4,1,0)+IF(MONTH($A401)=Reference!$D$5,1,0))+(IF(MONTH($A401)=Reference!$D$6,Reference!$D$13,0))),0)</f>
        <v>552</v>
      </c>
      <c r="E401" s="11">
        <f ca="1">D401*Reference!$D$7*(1-IF(MONTH($A401)=Reference!$D$6,1,0)*Reference!$D$12)</f>
        <v>414000</v>
      </c>
      <c r="M401" s="20"/>
      <c r="N401" s="20"/>
      <c r="O401" s="19"/>
      <c r="P401" s="10"/>
      <c r="Q401" s="10"/>
      <c r="R401" s="10"/>
      <c r="S401" s="10"/>
      <c r="T401" s="10"/>
      <c r="U401" s="10"/>
      <c r="V401" s="10"/>
      <c r="W401" s="10"/>
      <c r="X401" s="10"/>
      <c r="Y401" s="10"/>
    </row>
    <row r="402" spans="1:25" x14ac:dyDescent="0.25">
      <c r="A402" s="9">
        <v>40940</v>
      </c>
      <c r="B402" s="10">
        <f ca="1">ROUND(_xlfn.NORM.INV(RAND(),Reference!$C$8,0.1*Reference!$C$8)*(1+Reference!$C$11*(IF(MONTH($A402)=Reference!$C$4,1,0)+IF(MONTH($A402)=Reference!$C$5,1,0))+(IF(MONTH($A402)=Reference!$C$6,Reference!$C$13,0))),0)</f>
        <v>308</v>
      </c>
      <c r="C402" s="11">
        <f ca="1">B402*Reference!$C$7*(1-IF(MONTH($A402)=Reference!$C$6,1,0)*Reference!$C$12)</f>
        <v>286440</v>
      </c>
      <c r="D402" s="10">
        <f ca="1">ROUND(_xlfn.NORM.INV(RAND(),Reference!$D$8,0.1*Reference!$D$8)*(1+Reference!$D$11*(IF(MONTH($A402)=Reference!$D$4,1,0)+IF(MONTH($A402)=Reference!$D$5,1,0))+(IF(MONTH($A402)=Reference!$D$6,Reference!$D$13,0))),0)</f>
        <v>464</v>
      </c>
      <c r="E402" s="11">
        <f ca="1">D402*Reference!$D$7*(1-IF(MONTH($A402)=Reference!$D$6,1,0)*Reference!$D$12)</f>
        <v>348000</v>
      </c>
      <c r="M402" s="20"/>
      <c r="N402" s="20"/>
      <c r="O402" s="19"/>
      <c r="P402" s="10"/>
      <c r="Q402" s="10"/>
      <c r="R402" s="10"/>
      <c r="S402" s="10"/>
      <c r="T402" s="10"/>
      <c r="U402" s="10"/>
      <c r="V402" s="10"/>
      <c r="W402" s="10"/>
      <c r="X402" s="10"/>
      <c r="Y402" s="10"/>
    </row>
    <row r="403" spans="1:25" x14ac:dyDescent="0.25">
      <c r="A403" s="9">
        <v>40941</v>
      </c>
      <c r="B403" s="10">
        <f ca="1">ROUND(_xlfn.NORM.INV(RAND(),Reference!$C$8,0.1*Reference!$C$8)*(1+Reference!$C$11*(IF(MONTH($A403)=Reference!$C$4,1,0)+IF(MONTH($A403)=Reference!$C$5,1,0))+(IF(MONTH($A403)=Reference!$C$6,Reference!$C$13,0))),0)</f>
        <v>316</v>
      </c>
      <c r="C403" s="11">
        <f ca="1">B403*Reference!$C$7*(1-IF(MONTH($A403)=Reference!$C$6,1,0)*Reference!$C$12)</f>
        <v>293880</v>
      </c>
      <c r="D403" s="10">
        <f ca="1">ROUND(_xlfn.NORM.INV(RAND(),Reference!$D$8,0.1*Reference!$D$8)*(1+Reference!$D$11*(IF(MONTH($A403)=Reference!$D$4,1,0)+IF(MONTH($A403)=Reference!$D$5,1,0))+(IF(MONTH($A403)=Reference!$D$6,Reference!$D$13,0))),0)</f>
        <v>425</v>
      </c>
      <c r="E403" s="11">
        <f ca="1">D403*Reference!$D$7*(1-IF(MONTH($A403)=Reference!$D$6,1,0)*Reference!$D$12)</f>
        <v>318750</v>
      </c>
      <c r="M403" s="20"/>
      <c r="N403" s="20"/>
      <c r="O403" s="19"/>
      <c r="P403" s="10"/>
      <c r="Q403" s="10"/>
      <c r="R403" s="10"/>
      <c r="S403" s="10"/>
      <c r="T403" s="10"/>
      <c r="U403" s="10"/>
      <c r="V403" s="10"/>
      <c r="W403" s="10"/>
      <c r="X403" s="10"/>
      <c r="Y403" s="10"/>
    </row>
    <row r="404" spans="1:25" x14ac:dyDescent="0.25">
      <c r="A404" s="9">
        <v>40942</v>
      </c>
      <c r="B404" s="10">
        <f ca="1">ROUND(_xlfn.NORM.INV(RAND(),Reference!$C$8,0.1*Reference!$C$8)*(1+Reference!$C$11*(IF(MONTH($A404)=Reference!$C$4,1,0)+IF(MONTH($A404)=Reference!$C$5,1,0))+(IF(MONTH($A404)=Reference!$C$6,Reference!$C$13,0))),0)</f>
        <v>351</v>
      </c>
      <c r="C404" s="11">
        <f ca="1">B404*Reference!$C$7*(1-IF(MONTH($A404)=Reference!$C$6,1,0)*Reference!$C$12)</f>
        <v>326430</v>
      </c>
      <c r="D404" s="10">
        <f ca="1">ROUND(_xlfn.NORM.INV(RAND(),Reference!$D$8,0.1*Reference!$D$8)*(1+Reference!$D$11*(IF(MONTH($A404)=Reference!$D$4,1,0)+IF(MONTH($A404)=Reference!$D$5,1,0))+(IF(MONTH($A404)=Reference!$D$6,Reference!$D$13,0))),0)</f>
        <v>415</v>
      </c>
      <c r="E404" s="11">
        <f ca="1">D404*Reference!$D$7*(1-IF(MONTH($A404)=Reference!$D$6,1,0)*Reference!$D$12)</f>
        <v>311250</v>
      </c>
      <c r="M404" s="20"/>
      <c r="N404" s="20"/>
      <c r="O404" s="19"/>
      <c r="P404" s="10"/>
      <c r="Q404" s="10"/>
      <c r="R404" s="10"/>
      <c r="S404" s="10"/>
      <c r="T404" s="10"/>
      <c r="U404" s="10"/>
      <c r="V404" s="10"/>
      <c r="W404" s="10"/>
      <c r="X404" s="10"/>
      <c r="Y404" s="10"/>
    </row>
    <row r="405" spans="1:25" x14ac:dyDescent="0.25">
      <c r="A405" s="9">
        <v>40943</v>
      </c>
      <c r="B405" s="10">
        <f ca="1">ROUND(_xlfn.NORM.INV(RAND(),Reference!$C$8,0.1*Reference!$C$8)*(1+Reference!$C$11*(IF(MONTH($A405)=Reference!$C$4,1,0)+IF(MONTH($A405)=Reference!$C$5,1,0))+(IF(MONTH($A405)=Reference!$C$6,Reference!$C$13,0))),0)</f>
        <v>392</v>
      </c>
      <c r="C405" s="11">
        <f ca="1">B405*Reference!$C$7*(1-IF(MONTH($A405)=Reference!$C$6,1,0)*Reference!$C$12)</f>
        <v>364560</v>
      </c>
      <c r="D405" s="10">
        <f ca="1">ROUND(_xlfn.NORM.INV(RAND(),Reference!$D$8,0.1*Reference!$D$8)*(1+Reference!$D$11*(IF(MONTH($A405)=Reference!$D$4,1,0)+IF(MONTH($A405)=Reference!$D$5,1,0))+(IF(MONTH($A405)=Reference!$D$6,Reference!$D$13,0))),0)</f>
        <v>397</v>
      </c>
      <c r="E405" s="11">
        <f ca="1">D405*Reference!$D$7*(1-IF(MONTH($A405)=Reference!$D$6,1,0)*Reference!$D$12)</f>
        <v>297750</v>
      </c>
      <c r="M405" s="20"/>
      <c r="N405" s="20"/>
      <c r="O405" s="19"/>
      <c r="P405" s="10"/>
      <c r="Q405" s="10"/>
      <c r="R405" s="10"/>
      <c r="S405" s="10"/>
      <c r="T405" s="10"/>
      <c r="U405" s="10"/>
      <c r="V405" s="10"/>
      <c r="W405" s="10"/>
      <c r="X405" s="10"/>
      <c r="Y405" s="10"/>
    </row>
    <row r="406" spans="1:25" x14ac:dyDescent="0.25">
      <c r="A406" s="9">
        <v>40944</v>
      </c>
      <c r="B406" s="10">
        <f ca="1">ROUND(_xlfn.NORM.INV(RAND(),Reference!$C$8,0.1*Reference!$C$8)*(1+Reference!$C$11*(IF(MONTH($A406)=Reference!$C$4,1,0)+IF(MONTH($A406)=Reference!$C$5,1,0))+(IF(MONTH($A406)=Reference!$C$6,Reference!$C$13,0))),0)</f>
        <v>407</v>
      </c>
      <c r="C406" s="11">
        <f ca="1">B406*Reference!$C$7*(1-IF(MONTH($A406)=Reference!$C$6,1,0)*Reference!$C$12)</f>
        <v>378510</v>
      </c>
      <c r="D406" s="10">
        <f ca="1">ROUND(_xlfn.NORM.INV(RAND(),Reference!$D$8,0.1*Reference!$D$8)*(1+Reference!$D$11*(IF(MONTH($A406)=Reference!$D$4,1,0)+IF(MONTH($A406)=Reference!$D$5,1,0))+(IF(MONTH($A406)=Reference!$D$6,Reference!$D$13,0))),0)</f>
        <v>448</v>
      </c>
      <c r="E406" s="11">
        <f ca="1">D406*Reference!$D$7*(1-IF(MONTH($A406)=Reference!$D$6,1,0)*Reference!$D$12)</f>
        <v>336000</v>
      </c>
      <c r="M406" s="20"/>
      <c r="N406" s="20"/>
      <c r="O406" s="19"/>
      <c r="P406" s="10"/>
      <c r="Q406" s="10"/>
      <c r="R406" s="10"/>
      <c r="S406" s="10"/>
      <c r="T406" s="10"/>
      <c r="U406" s="10"/>
      <c r="V406" s="10"/>
      <c r="W406" s="10"/>
      <c r="X406" s="10"/>
      <c r="Y406" s="10"/>
    </row>
    <row r="407" spans="1:25" x14ac:dyDescent="0.25">
      <c r="A407" s="9">
        <v>40945</v>
      </c>
      <c r="B407" s="10">
        <f ca="1">ROUND(_xlfn.NORM.INV(RAND(),Reference!$C$8,0.1*Reference!$C$8)*(1+Reference!$C$11*(IF(MONTH($A407)=Reference!$C$4,1,0)+IF(MONTH($A407)=Reference!$C$5,1,0))+(IF(MONTH($A407)=Reference!$C$6,Reference!$C$13,0))),0)</f>
        <v>351</v>
      </c>
      <c r="C407" s="11">
        <f ca="1">B407*Reference!$C$7*(1-IF(MONTH($A407)=Reference!$C$6,1,0)*Reference!$C$12)</f>
        <v>326430</v>
      </c>
      <c r="D407" s="10">
        <f ca="1">ROUND(_xlfn.NORM.INV(RAND(),Reference!$D$8,0.1*Reference!$D$8)*(1+Reference!$D$11*(IF(MONTH($A407)=Reference!$D$4,1,0)+IF(MONTH($A407)=Reference!$D$5,1,0))+(IF(MONTH($A407)=Reference!$D$6,Reference!$D$13,0))),0)</f>
        <v>494</v>
      </c>
      <c r="E407" s="11">
        <f ca="1">D407*Reference!$D$7*(1-IF(MONTH($A407)=Reference!$D$6,1,0)*Reference!$D$12)</f>
        <v>370500</v>
      </c>
      <c r="M407" s="20"/>
      <c r="N407" s="20"/>
      <c r="O407" s="19"/>
      <c r="P407" s="10"/>
      <c r="Q407" s="10"/>
      <c r="R407" s="10"/>
      <c r="S407" s="10"/>
      <c r="T407" s="10"/>
      <c r="U407" s="10"/>
      <c r="V407" s="10"/>
      <c r="W407" s="10"/>
      <c r="X407" s="10"/>
      <c r="Y407" s="10"/>
    </row>
    <row r="408" spans="1:25" x14ac:dyDescent="0.25">
      <c r="A408" s="9">
        <v>40946</v>
      </c>
      <c r="B408" s="10">
        <f ca="1">ROUND(_xlfn.NORM.INV(RAND(),Reference!$C$8,0.1*Reference!$C$8)*(1+Reference!$C$11*(IF(MONTH($A408)=Reference!$C$4,1,0)+IF(MONTH($A408)=Reference!$C$5,1,0))+(IF(MONTH($A408)=Reference!$C$6,Reference!$C$13,0))),0)</f>
        <v>395</v>
      </c>
      <c r="C408" s="11">
        <f ca="1">B408*Reference!$C$7*(1-IF(MONTH($A408)=Reference!$C$6,1,0)*Reference!$C$12)</f>
        <v>367350</v>
      </c>
      <c r="D408" s="10">
        <f ca="1">ROUND(_xlfn.NORM.INV(RAND(),Reference!$D$8,0.1*Reference!$D$8)*(1+Reference!$D$11*(IF(MONTH($A408)=Reference!$D$4,1,0)+IF(MONTH($A408)=Reference!$D$5,1,0))+(IF(MONTH($A408)=Reference!$D$6,Reference!$D$13,0))),0)</f>
        <v>373</v>
      </c>
      <c r="E408" s="11">
        <f ca="1">D408*Reference!$D$7*(1-IF(MONTH($A408)=Reference!$D$6,1,0)*Reference!$D$12)</f>
        <v>279750</v>
      </c>
      <c r="M408" s="20"/>
      <c r="N408" s="20"/>
      <c r="O408" s="19"/>
      <c r="P408" s="10"/>
      <c r="Q408" s="10"/>
      <c r="R408" s="10"/>
      <c r="S408" s="10"/>
      <c r="T408" s="10"/>
      <c r="U408" s="10"/>
      <c r="V408" s="10"/>
      <c r="W408" s="10"/>
      <c r="X408" s="10"/>
      <c r="Y408" s="10"/>
    </row>
    <row r="409" spans="1:25" x14ac:dyDescent="0.25">
      <c r="A409" s="9">
        <v>40947</v>
      </c>
      <c r="B409" s="10">
        <f ca="1">ROUND(_xlfn.NORM.INV(RAND(),Reference!$C$8,0.1*Reference!$C$8)*(1+Reference!$C$11*(IF(MONTH($A409)=Reference!$C$4,1,0)+IF(MONTH($A409)=Reference!$C$5,1,0))+(IF(MONTH($A409)=Reference!$C$6,Reference!$C$13,0))),0)</f>
        <v>274</v>
      </c>
      <c r="C409" s="11">
        <f ca="1">B409*Reference!$C$7*(1-IF(MONTH($A409)=Reference!$C$6,1,0)*Reference!$C$12)</f>
        <v>254820</v>
      </c>
      <c r="D409" s="10">
        <f ca="1">ROUND(_xlfn.NORM.INV(RAND(),Reference!$D$8,0.1*Reference!$D$8)*(1+Reference!$D$11*(IF(MONTH($A409)=Reference!$D$4,1,0)+IF(MONTH($A409)=Reference!$D$5,1,0))+(IF(MONTH($A409)=Reference!$D$6,Reference!$D$13,0))),0)</f>
        <v>509</v>
      </c>
      <c r="E409" s="11">
        <f ca="1">D409*Reference!$D$7*(1-IF(MONTH($A409)=Reference!$D$6,1,0)*Reference!$D$12)</f>
        <v>381750</v>
      </c>
      <c r="M409" s="20"/>
      <c r="N409" s="20"/>
      <c r="O409" s="19"/>
      <c r="P409" s="10"/>
      <c r="Q409" s="10"/>
      <c r="R409" s="10"/>
      <c r="S409" s="10"/>
      <c r="T409" s="10"/>
      <c r="U409" s="10"/>
      <c r="V409" s="10"/>
      <c r="W409" s="10"/>
      <c r="X409" s="10"/>
      <c r="Y409" s="10"/>
    </row>
    <row r="410" spans="1:25" x14ac:dyDescent="0.25">
      <c r="A410" s="9">
        <v>40948</v>
      </c>
      <c r="B410" s="10">
        <f ca="1">ROUND(_xlfn.NORM.INV(RAND(),Reference!$C$8,0.1*Reference!$C$8)*(1+Reference!$C$11*(IF(MONTH($A410)=Reference!$C$4,1,0)+IF(MONTH($A410)=Reference!$C$5,1,0))+(IF(MONTH($A410)=Reference!$C$6,Reference!$C$13,0))),0)</f>
        <v>359</v>
      </c>
      <c r="C410" s="11">
        <f ca="1">B410*Reference!$C$7*(1-IF(MONTH($A410)=Reference!$C$6,1,0)*Reference!$C$12)</f>
        <v>333870</v>
      </c>
      <c r="D410" s="10">
        <f ca="1">ROUND(_xlfn.NORM.INV(RAND(),Reference!$D$8,0.1*Reference!$D$8)*(1+Reference!$D$11*(IF(MONTH($A410)=Reference!$D$4,1,0)+IF(MONTH($A410)=Reference!$D$5,1,0))+(IF(MONTH($A410)=Reference!$D$6,Reference!$D$13,0))),0)</f>
        <v>406</v>
      </c>
      <c r="E410" s="11">
        <f ca="1">D410*Reference!$D$7*(1-IF(MONTH($A410)=Reference!$D$6,1,0)*Reference!$D$12)</f>
        <v>304500</v>
      </c>
      <c r="M410" s="20"/>
      <c r="N410" s="20"/>
      <c r="O410" s="19"/>
      <c r="P410" s="10"/>
      <c r="Q410" s="10"/>
      <c r="R410" s="10"/>
      <c r="S410" s="10"/>
      <c r="T410" s="10"/>
      <c r="U410" s="10"/>
      <c r="V410" s="10"/>
      <c r="W410" s="10"/>
      <c r="X410" s="10"/>
      <c r="Y410" s="10"/>
    </row>
    <row r="411" spans="1:25" x14ac:dyDescent="0.25">
      <c r="A411" s="9">
        <v>40949</v>
      </c>
      <c r="B411" s="10">
        <f ca="1">ROUND(_xlfn.NORM.INV(RAND(),Reference!$C$8,0.1*Reference!$C$8)*(1+Reference!$C$11*(IF(MONTH($A411)=Reference!$C$4,1,0)+IF(MONTH($A411)=Reference!$C$5,1,0))+(IF(MONTH($A411)=Reference!$C$6,Reference!$C$13,0))),0)</f>
        <v>377</v>
      </c>
      <c r="C411" s="11">
        <f ca="1">B411*Reference!$C$7*(1-IF(MONTH($A411)=Reference!$C$6,1,0)*Reference!$C$12)</f>
        <v>350610</v>
      </c>
      <c r="D411" s="10">
        <f ca="1">ROUND(_xlfn.NORM.INV(RAND(),Reference!$D$8,0.1*Reference!$D$8)*(1+Reference!$D$11*(IF(MONTH($A411)=Reference!$D$4,1,0)+IF(MONTH($A411)=Reference!$D$5,1,0))+(IF(MONTH($A411)=Reference!$D$6,Reference!$D$13,0))),0)</f>
        <v>505</v>
      </c>
      <c r="E411" s="11">
        <f ca="1">D411*Reference!$D$7*(1-IF(MONTH($A411)=Reference!$D$6,1,0)*Reference!$D$12)</f>
        <v>378750</v>
      </c>
      <c r="M411" s="20"/>
      <c r="N411" s="20"/>
      <c r="O411" s="19"/>
      <c r="P411" s="10"/>
      <c r="Q411" s="10"/>
      <c r="R411" s="10"/>
      <c r="S411" s="10"/>
      <c r="T411" s="10"/>
      <c r="U411" s="10"/>
      <c r="V411" s="10"/>
      <c r="W411" s="10"/>
      <c r="X411" s="10"/>
      <c r="Y411" s="10"/>
    </row>
    <row r="412" spans="1:25" x14ac:dyDescent="0.25">
      <c r="A412" s="9">
        <v>40950</v>
      </c>
      <c r="B412" s="10">
        <f ca="1">ROUND(_xlfn.NORM.INV(RAND(),Reference!$C$8,0.1*Reference!$C$8)*(1+Reference!$C$11*(IF(MONTH($A412)=Reference!$C$4,1,0)+IF(MONTH($A412)=Reference!$C$5,1,0))+(IF(MONTH($A412)=Reference!$C$6,Reference!$C$13,0))),0)</f>
        <v>427</v>
      </c>
      <c r="C412" s="11">
        <f ca="1">B412*Reference!$C$7*(1-IF(MONTH($A412)=Reference!$C$6,1,0)*Reference!$C$12)</f>
        <v>397110</v>
      </c>
      <c r="D412" s="10">
        <f ca="1">ROUND(_xlfn.NORM.INV(RAND(),Reference!$D$8,0.1*Reference!$D$8)*(1+Reference!$D$11*(IF(MONTH($A412)=Reference!$D$4,1,0)+IF(MONTH($A412)=Reference!$D$5,1,0))+(IF(MONTH($A412)=Reference!$D$6,Reference!$D$13,0))),0)</f>
        <v>475</v>
      </c>
      <c r="E412" s="11">
        <f ca="1">D412*Reference!$D$7*(1-IF(MONTH($A412)=Reference!$D$6,1,0)*Reference!$D$12)</f>
        <v>356250</v>
      </c>
      <c r="M412" s="20"/>
      <c r="N412" s="20"/>
      <c r="O412" s="19"/>
      <c r="P412" s="10"/>
      <c r="Q412" s="10"/>
      <c r="R412" s="10"/>
      <c r="S412" s="10"/>
      <c r="T412" s="10"/>
      <c r="U412" s="10"/>
      <c r="V412" s="10"/>
      <c r="W412" s="10"/>
      <c r="X412" s="10"/>
      <c r="Y412" s="10"/>
    </row>
    <row r="413" spans="1:25" x14ac:dyDescent="0.25">
      <c r="A413" s="9">
        <v>40951</v>
      </c>
      <c r="B413" s="10">
        <f ca="1">ROUND(_xlfn.NORM.INV(RAND(),Reference!$C$8,0.1*Reference!$C$8)*(1+Reference!$C$11*(IF(MONTH($A413)=Reference!$C$4,1,0)+IF(MONTH($A413)=Reference!$C$5,1,0))+(IF(MONTH($A413)=Reference!$C$6,Reference!$C$13,0))),0)</f>
        <v>341</v>
      </c>
      <c r="C413" s="11">
        <f ca="1">B413*Reference!$C$7*(1-IF(MONTH($A413)=Reference!$C$6,1,0)*Reference!$C$12)</f>
        <v>317130</v>
      </c>
      <c r="D413" s="10">
        <f ca="1">ROUND(_xlfn.NORM.INV(RAND(),Reference!$D$8,0.1*Reference!$D$8)*(1+Reference!$D$11*(IF(MONTH($A413)=Reference!$D$4,1,0)+IF(MONTH($A413)=Reference!$D$5,1,0))+(IF(MONTH($A413)=Reference!$D$6,Reference!$D$13,0))),0)</f>
        <v>579</v>
      </c>
      <c r="E413" s="11">
        <f ca="1">D413*Reference!$D$7*(1-IF(MONTH($A413)=Reference!$D$6,1,0)*Reference!$D$12)</f>
        <v>434250</v>
      </c>
      <c r="M413" s="20"/>
      <c r="N413" s="20"/>
      <c r="O413" s="19"/>
      <c r="P413" s="10"/>
      <c r="Q413" s="10"/>
      <c r="R413" s="10"/>
      <c r="S413" s="10"/>
      <c r="T413" s="10"/>
      <c r="U413" s="10"/>
      <c r="V413" s="10"/>
      <c r="W413" s="10"/>
      <c r="X413" s="10"/>
      <c r="Y413" s="10"/>
    </row>
    <row r="414" spans="1:25" x14ac:dyDescent="0.25">
      <c r="A414" s="9">
        <v>40952</v>
      </c>
      <c r="B414" s="10">
        <f ca="1">ROUND(_xlfn.NORM.INV(RAND(),Reference!$C$8,0.1*Reference!$C$8)*(1+Reference!$C$11*(IF(MONTH($A414)=Reference!$C$4,1,0)+IF(MONTH($A414)=Reference!$C$5,1,0))+(IF(MONTH($A414)=Reference!$C$6,Reference!$C$13,0))),0)</f>
        <v>358</v>
      </c>
      <c r="C414" s="11">
        <f ca="1">B414*Reference!$C$7*(1-IF(MONTH($A414)=Reference!$C$6,1,0)*Reference!$C$12)</f>
        <v>332940</v>
      </c>
      <c r="D414" s="10">
        <f ca="1">ROUND(_xlfn.NORM.INV(RAND(),Reference!$D$8,0.1*Reference!$D$8)*(1+Reference!$D$11*(IF(MONTH($A414)=Reference!$D$4,1,0)+IF(MONTH($A414)=Reference!$D$5,1,0))+(IF(MONTH($A414)=Reference!$D$6,Reference!$D$13,0))),0)</f>
        <v>510</v>
      </c>
      <c r="E414" s="11">
        <f ca="1">D414*Reference!$D$7*(1-IF(MONTH($A414)=Reference!$D$6,1,0)*Reference!$D$12)</f>
        <v>382500</v>
      </c>
      <c r="M414" s="20"/>
      <c r="N414" s="20"/>
      <c r="O414" s="19"/>
      <c r="P414" s="10"/>
      <c r="Q414" s="10"/>
      <c r="R414" s="10"/>
      <c r="S414" s="10"/>
      <c r="T414" s="10"/>
      <c r="U414" s="10"/>
      <c r="V414" s="10"/>
      <c r="W414" s="10"/>
      <c r="X414" s="10"/>
      <c r="Y414" s="10"/>
    </row>
    <row r="415" spans="1:25" x14ac:dyDescent="0.25">
      <c r="A415" s="9">
        <v>40953</v>
      </c>
      <c r="B415" s="10">
        <f ca="1">ROUND(_xlfn.NORM.INV(RAND(),Reference!$C$8,0.1*Reference!$C$8)*(1+Reference!$C$11*(IF(MONTH($A415)=Reference!$C$4,1,0)+IF(MONTH($A415)=Reference!$C$5,1,0))+(IF(MONTH($A415)=Reference!$C$6,Reference!$C$13,0))),0)</f>
        <v>393</v>
      </c>
      <c r="C415" s="11">
        <f ca="1">B415*Reference!$C$7*(1-IF(MONTH($A415)=Reference!$C$6,1,0)*Reference!$C$12)</f>
        <v>365490</v>
      </c>
      <c r="D415" s="10">
        <f ca="1">ROUND(_xlfn.NORM.INV(RAND(),Reference!$D$8,0.1*Reference!$D$8)*(1+Reference!$D$11*(IF(MONTH($A415)=Reference!$D$4,1,0)+IF(MONTH($A415)=Reference!$D$5,1,0))+(IF(MONTH($A415)=Reference!$D$6,Reference!$D$13,0))),0)</f>
        <v>445</v>
      </c>
      <c r="E415" s="11">
        <f ca="1">D415*Reference!$D$7*(1-IF(MONTH($A415)=Reference!$D$6,1,0)*Reference!$D$12)</f>
        <v>333750</v>
      </c>
      <c r="M415" s="20"/>
      <c r="N415" s="20"/>
      <c r="O415" s="19"/>
      <c r="P415" s="10"/>
      <c r="Q415" s="10"/>
      <c r="R415" s="10"/>
      <c r="S415" s="10"/>
      <c r="T415" s="10"/>
      <c r="U415" s="10"/>
      <c r="V415" s="10"/>
      <c r="W415" s="10"/>
      <c r="X415" s="10"/>
      <c r="Y415" s="10"/>
    </row>
    <row r="416" spans="1:25" x14ac:dyDescent="0.25">
      <c r="A416" s="9">
        <v>40954</v>
      </c>
      <c r="B416" s="10">
        <f ca="1">ROUND(_xlfn.NORM.INV(RAND(),Reference!$C$8,0.1*Reference!$C$8)*(1+Reference!$C$11*(IF(MONTH($A416)=Reference!$C$4,1,0)+IF(MONTH($A416)=Reference!$C$5,1,0))+(IF(MONTH($A416)=Reference!$C$6,Reference!$C$13,0))),0)</f>
        <v>386</v>
      </c>
      <c r="C416" s="11">
        <f ca="1">B416*Reference!$C$7*(1-IF(MONTH($A416)=Reference!$C$6,1,0)*Reference!$C$12)</f>
        <v>358980</v>
      </c>
      <c r="D416" s="10">
        <f ca="1">ROUND(_xlfn.NORM.INV(RAND(),Reference!$D$8,0.1*Reference!$D$8)*(1+Reference!$D$11*(IF(MONTH($A416)=Reference!$D$4,1,0)+IF(MONTH($A416)=Reference!$D$5,1,0))+(IF(MONTH($A416)=Reference!$D$6,Reference!$D$13,0))),0)</f>
        <v>516</v>
      </c>
      <c r="E416" s="11">
        <f ca="1">D416*Reference!$D$7*(1-IF(MONTH($A416)=Reference!$D$6,1,0)*Reference!$D$12)</f>
        <v>387000</v>
      </c>
      <c r="M416" s="20"/>
      <c r="N416" s="20"/>
      <c r="O416" s="19"/>
      <c r="P416" s="10"/>
      <c r="Q416" s="10"/>
      <c r="R416" s="10"/>
      <c r="S416" s="10"/>
      <c r="T416" s="10"/>
      <c r="U416" s="10"/>
      <c r="V416" s="10"/>
      <c r="W416" s="10"/>
      <c r="X416" s="10"/>
      <c r="Y416" s="10"/>
    </row>
    <row r="417" spans="1:25" x14ac:dyDescent="0.25">
      <c r="A417" s="9">
        <v>40955</v>
      </c>
      <c r="B417" s="10">
        <f ca="1">ROUND(_xlfn.NORM.INV(RAND(),Reference!$C$8,0.1*Reference!$C$8)*(1+Reference!$C$11*(IF(MONTH($A417)=Reference!$C$4,1,0)+IF(MONTH($A417)=Reference!$C$5,1,0))+(IF(MONTH($A417)=Reference!$C$6,Reference!$C$13,0))),0)</f>
        <v>370</v>
      </c>
      <c r="C417" s="11">
        <f ca="1">B417*Reference!$C$7*(1-IF(MONTH($A417)=Reference!$C$6,1,0)*Reference!$C$12)</f>
        <v>344100</v>
      </c>
      <c r="D417" s="10">
        <f ca="1">ROUND(_xlfn.NORM.INV(RAND(),Reference!$D$8,0.1*Reference!$D$8)*(1+Reference!$D$11*(IF(MONTH($A417)=Reference!$D$4,1,0)+IF(MONTH($A417)=Reference!$D$5,1,0))+(IF(MONTH($A417)=Reference!$D$6,Reference!$D$13,0))),0)</f>
        <v>485</v>
      </c>
      <c r="E417" s="11">
        <f ca="1">D417*Reference!$D$7*(1-IF(MONTH($A417)=Reference!$D$6,1,0)*Reference!$D$12)</f>
        <v>363750</v>
      </c>
      <c r="M417" s="20"/>
      <c r="N417" s="20"/>
      <c r="O417" s="19"/>
      <c r="P417" s="10"/>
      <c r="Q417" s="10"/>
      <c r="R417" s="10"/>
      <c r="S417" s="10"/>
      <c r="T417" s="10"/>
      <c r="U417" s="10"/>
      <c r="V417" s="10"/>
      <c r="W417" s="10"/>
      <c r="X417" s="10"/>
      <c r="Y417" s="10"/>
    </row>
    <row r="418" spans="1:25" x14ac:dyDescent="0.25">
      <c r="A418" s="9">
        <v>40956</v>
      </c>
      <c r="B418" s="10">
        <f ca="1">ROUND(_xlfn.NORM.INV(RAND(),Reference!$C$8,0.1*Reference!$C$8)*(1+Reference!$C$11*(IF(MONTH($A418)=Reference!$C$4,1,0)+IF(MONTH($A418)=Reference!$C$5,1,0))+(IF(MONTH($A418)=Reference!$C$6,Reference!$C$13,0))),0)</f>
        <v>329</v>
      </c>
      <c r="C418" s="11">
        <f ca="1">B418*Reference!$C$7*(1-IF(MONTH($A418)=Reference!$C$6,1,0)*Reference!$C$12)</f>
        <v>305970</v>
      </c>
      <c r="D418" s="10">
        <f ca="1">ROUND(_xlfn.NORM.INV(RAND(),Reference!$D$8,0.1*Reference!$D$8)*(1+Reference!$D$11*(IF(MONTH($A418)=Reference!$D$4,1,0)+IF(MONTH($A418)=Reference!$D$5,1,0))+(IF(MONTH($A418)=Reference!$D$6,Reference!$D$13,0))),0)</f>
        <v>460</v>
      </c>
      <c r="E418" s="11">
        <f ca="1">D418*Reference!$D$7*(1-IF(MONTH($A418)=Reference!$D$6,1,0)*Reference!$D$12)</f>
        <v>345000</v>
      </c>
      <c r="M418" s="20"/>
      <c r="N418" s="20"/>
      <c r="O418" s="19"/>
      <c r="P418" s="10"/>
      <c r="Q418" s="10"/>
      <c r="R418" s="10"/>
      <c r="S418" s="10"/>
      <c r="T418" s="10"/>
      <c r="U418" s="10"/>
      <c r="V418" s="10"/>
      <c r="W418" s="10"/>
      <c r="X418" s="10"/>
      <c r="Y418" s="10"/>
    </row>
    <row r="419" spans="1:25" x14ac:dyDescent="0.25">
      <c r="A419" s="9">
        <v>40957</v>
      </c>
      <c r="B419" s="10">
        <f ca="1">ROUND(_xlfn.NORM.INV(RAND(),Reference!$C$8,0.1*Reference!$C$8)*(1+Reference!$C$11*(IF(MONTH($A419)=Reference!$C$4,1,0)+IF(MONTH($A419)=Reference!$C$5,1,0))+(IF(MONTH($A419)=Reference!$C$6,Reference!$C$13,0))),0)</f>
        <v>301</v>
      </c>
      <c r="C419" s="11">
        <f ca="1">B419*Reference!$C$7*(1-IF(MONTH($A419)=Reference!$C$6,1,0)*Reference!$C$12)</f>
        <v>279930</v>
      </c>
      <c r="D419" s="10">
        <f ca="1">ROUND(_xlfn.NORM.INV(RAND(),Reference!$D$8,0.1*Reference!$D$8)*(1+Reference!$D$11*(IF(MONTH($A419)=Reference!$D$4,1,0)+IF(MONTH($A419)=Reference!$D$5,1,0))+(IF(MONTH($A419)=Reference!$D$6,Reference!$D$13,0))),0)</f>
        <v>469</v>
      </c>
      <c r="E419" s="11">
        <f ca="1">D419*Reference!$D$7*(1-IF(MONTH($A419)=Reference!$D$6,1,0)*Reference!$D$12)</f>
        <v>351750</v>
      </c>
      <c r="M419" s="20"/>
      <c r="N419" s="20"/>
      <c r="O419" s="19"/>
      <c r="P419" s="10"/>
      <c r="Q419" s="10"/>
      <c r="R419" s="10"/>
      <c r="S419" s="10"/>
      <c r="T419" s="10"/>
      <c r="U419" s="10"/>
      <c r="V419" s="10"/>
      <c r="W419" s="10"/>
      <c r="X419" s="10"/>
      <c r="Y419" s="10"/>
    </row>
    <row r="420" spans="1:25" x14ac:dyDescent="0.25">
      <c r="A420" s="9">
        <v>40958</v>
      </c>
      <c r="B420" s="10">
        <f ca="1">ROUND(_xlfn.NORM.INV(RAND(),Reference!$C$8,0.1*Reference!$C$8)*(1+Reference!$C$11*(IF(MONTH($A420)=Reference!$C$4,1,0)+IF(MONTH($A420)=Reference!$C$5,1,0))+(IF(MONTH($A420)=Reference!$C$6,Reference!$C$13,0))),0)</f>
        <v>298</v>
      </c>
      <c r="C420" s="11">
        <f ca="1">B420*Reference!$C$7*(1-IF(MONTH($A420)=Reference!$C$6,1,0)*Reference!$C$12)</f>
        <v>277140</v>
      </c>
      <c r="D420" s="10">
        <f ca="1">ROUND(_xlfn.NORM.INV(RAND(),Reference!$D$8,0.1*Reference!$D$8)*(1+Reference!$D$11*(IF(MONTH($A420)=Reference!$D$4,1,0)+IF(MONTH($A420)=Reference!$D$5,1,0))+(IF(MONTH($A420)=Reference!$D$6,Reference!$D$13,0))),0)</f>
        <v>407</v>
      </c>
      <c r="E420" s="11">
        <f ca="1">D420*Reference!$D$7*(1-IF(MONTH($A420)=Reference!$D$6,1,0)*Reference!$D$12)</f>
        <v>305250</v>
      </c>
      <c r="M420" s="20"/>
      <c r="N420" s="20"/>
      <c r="O420" s="19"/>
      <c r="P420" s="10"/>
      <c r="Q420" s="10"/>
      <c r="R420" s="10"/>
      <c r="S420" s="10"/>
      <c r="T420" s="10"/>
      <c r="U420" s="10"/>
      <c r="V420" s="10"/>
      <c r="W420" s="10"/>
      <c r="X420" s="10"/>
      <c r="Y420" s="10"/>
    </row>
    <row r="421" spans="1:25" x14ac:dyDescent="0.25">
      <c r="A421" s="9">
        <v>40959</v>
      </c>
      <c r="B421" s="10">
        <f ca="1">ROUND(_xlfn.NORM.INV(RAND(),Reference!$C$8,0.1*Reference!$C$8)*(1+Reference!$C$11*(IF(MONTH($A421)=Reference!$C$4,1,0)+IF(MONTH($A421)=Reference!$C$5,1,0))+(IF(MONTH($A421)=Reference!$C$6,Reference!$C$13,0))),0)</f>
        <v>405</v>
      </c>
      <c r="C421" s="11">
        <f ca="1">B421*Reference!$C$7*(1-IF(MONTH($A421)=Reference!$C$6,1,0)*Reference!$C$12)</f>
        <v>376650</v>
      </c>
      <c r="D421" s="10">
        <f ca="1">ROUND(_xlfn.NORM.INV(RAND(),Reference!$D$8,0.1*Reference!$D$8)*(1+Reference!$D$11*(IF(MONTH($A421)=Reference!$D$4,1,0)+IF(MONTH($A421)=Reference!$D$5,1,0))+(IF(MONTH($A421)=Reference!$D$6,Reference!$D$13,0))),0)</f>
        <v>469</v>
      </c>
      <c r="E421" s="11">
        <f ca="1">D421*Reference!$D$7*(1-IF(MONTH($A421)=Reference!$D$6,1,0)*Reference!$D$12)</f>
        <v>351750</v>
      </c>
      <c r="M421" s="20"/>
      <c r="N421" s="20"/>
      <c r="O421" s="19"/>
      <c r="P421" s="10"/>
      <c r="Q421" s="10"/>
      <c r="R421" s="10"/>
      <c r="S421" s="10"/>
      <c r="T421" s="10"/>
      <c r="U421" s="10"/>
      <c r="V421" s="10"/>
      <c r="W421" s="10"/>
      <c r="X421" s="10"/>
      <c r="Y421" s="10"/>
    </row>
    <row r="422" spans="1:25" x14ac:dyDescent="0.25">
      <c r="A422" s="9">
        <v>40960</v>
      </c>
      <c r="B422" s="10">
        <f ca="1">ROUND(_xlfn.NORM.INV(RAND(),Reference!$C$8,0.1*Reference!$C$8)*(1+Reference!$C$11*(IF(MONTH($A422)=Reference!$C$4,1,0)+IF(MONTH($A422)=Reference!$C$5,1,0))+(IF(MONTH($A422)=Reference!$C$6,Reference!$C$13,0))),0)</f>
        <v>382</v>
      </c>
      <c r="C422" s="11">
        <f ca="1">B422*Reference!$C$7*(1-IF(MONTH($A422)=Reference!$C$6,1,0)*Reference!$C$12)</f>
        <v>355260</v>
      </c>
      <c r="D422" s="10">
        <f ca="1">ROUND(_xlfn.NORM.INV(RAND(),Reference!$D$8,0.1*Reference!$D$8)*(1+Reference!$D$11*(IF(MONTH($A422)=Reference!$D$4,1,0)+IF(MONTH($A422)=Reference!$D$5,1,0))+(IF(MONTH($A422)=Reference!$D$6,Reference!$D$13,0))),0)</f>
        <v>484</v>
      </c>
      <c r="E422" s="11">
        <f ca="1">D422*Reference!$D$7*(1-IF(MONTH($A422)=Reference!$D$6,1,0)*Reference!$D$12)</f>
        <v>363000</v>
      </c>
      <c r="M422" s="20"/>
      <c r="N422" s="20"/>
      <c r="O422" s="19"/>
      <c r="P422" s="10"/>
      <c r="Q422" s="10"/>
      <c r="R422" s="10"/>
      <c r="S422" s="10"/>
      <c r="T422" s="10"/>
      <c r="U422" s="10"/>
      <c r="V422" s="10"/>
      <c r="W422" s="10"/>
      <c r="X422" s="10"/>
      <c r="Y422" s="10"/>
    </row>
    <row r="423" spans="1:25" x14ac:dyDescent="0.25">
      <c r="A423" s="9">
        <v>40961</v>
      </c>
      <c r="B423" s="10">
        <f ca="1">ROUND(_xlfn.NORM.INV(RAND(),Reference!$C$8,0.1*Reference!$C$8)*(1+Reference!$C$11*(IF(MONTH($A423)=Reference!$C$4,1,0)+IF(MONTH($A423)=Reference!$C$5,1,0))+(IF(MONTH($A423)=Reference!$C$6,Reference!$C$13,0))),0)</f>
        <v>355</v>
      </c>
      <c r="C423" s="11">
        <f ca="1">B423*Reference!$C$7*(1-IF(MONTH($A423)=Reference!$C$6,1,0)*Reference!$C$12)</f>
        <v>330150</v>
      </c>
      <c r="D423" s="10">
        <f ca="1">ROUND(_xlfn.NORM.INV(RAND(),Reference!$D$8,0.1*Reference!$D$8)*(1+Reference!$D$11*(IF(MONTH($A423)=Reference!$D$4,1,0)+IF(MONTH($A423)=Reference!$D$5,1,0))+(IF(MONTH($A423)=Reference!$D$6,Reference!$D$13,0))),0)</f>
        <v>431</v>
      </c>
      <c r="E423" s="11">
        <f ca="1">D423*Reference!$D$7*(1-IF(MONTH($A423)=Reference!$D$6,1,0)*Reference!$D$12)</f>
        <v>323250</v>
      </c>
      <c r="M423" s="20"/>
      <c r="N423" s="20"/>
      <c r="O423" s="19"/>
      <c r="P423" s="10"/>
      <c r="Q423" s="10"/>
      <c r="R423" s="10"/>
      <c r="S423" s="10"/>
      <c r="T423" s="10"/>
      <c r="U423" s="10"/>
      <c r="V423" s="10"/>
      <c r="W423" s="10"/>
      <c r="X423" s="10"/>
      <c r="Y423" s="10"/>
    </row>
    <row r="424" spans="1:25" x14ac:dyDescent="0.25">
      <c r="A424" s="9">
        <v>40962</v>
      </c>
      <c r="B424" s="10">
        <f ca="1">ROUND(_xlfn.NORM.INV(RAND(),Reference!$C$8,0.1*Reference!$C$8)*(1+Reference!$C$11*(IF(MONTH($A424)=Reference!$C$4,1,0)+IF(MONTH($A424)=Reference!$C$5,1,0))+(IF(MONTH($A424)=Reference!$C$6,Reference!$C$13,0))),0)</f>
        <v>287</v>
      </c>
      <c r="C424" s="11">
        <f ca="1">B424*Reference!$C$7*(1-IF(MONTH($A424)=Reference!$C$6,1,0)*Reference!$C$12)</f>
        <v>266910</v>
      </c>
      <c r="D424" s="10">
        <f ca="1">ROUND(_xlfn.NORM.INV(RAND(),Reference!$D$8,0.1*Reference!$D$8)*(1+Reference!$D$11*(IF(MONTH($A424)=Reference!$D$4,1,0)+IF(MONTH($A424)=Reference!$D$5,1,0))+(IF(MONTH($A424)=Reference!$D$6,Reference!$D$13,0))),0)</f>
        <v>462</v>
      </c>
      <c r="E424" s="11">
        <f ca="1">D424*Reference!$D$7*(1-IF(MONTH($A424)=Reference!$D$6,1,0)*Reference!$D$12)</f>
        <v>346500</v>
      </c>
      <c r="M424" s="20"/>
      <c r="N424" s="20"/>
      <c r="O424" s="19"/>
      <c r="P424" s="10"/>
      <c r="Q424" s="10"/>
      <c r="R424" s="10"/>
      <c r="S424" s="10"/>
      <c r="T424" s="10"/>
      <c r="U424" s="10"/>
      <c r="V424" s="10"/>
      <c r="W424" s="10"/>
      <c r="X424" s="10"/>
      <c r="Y424" s="10"/>
    </row>
    <row r="425" spans="1:25" x14ac:dyDescent="0.25">
      <c r="A425" s="9">
        <v>40963</v>
      </c>
      <c r="B425" s="10">
        <f ca="1">ROUND(_xlfn.NORM.INV(RAND(),Reference!$C$8,0.1*Reference!$C$8)*(1+Reference!$C$11*(IF(MONTH($A425)=Reference!$C$4,1,0)+IF(MONTH($A425)=Reference!$C$5,1,0))+(IF(MONTH($A425)=Reference!$C$6,Reference!$C$13,0))),0)</f>
        <v>421</v>
      </c>
      <c r="C425" s="11">
        <f ca="1">B425*Reference!$C$7*(1-IF(MONTH($A425)=Reference!$C$6,1,0)*Reference!$C$12)</f>
        <v>391530</v>
      </c>
      <c r="D425" s="10">
        <f ca="1">ROUND(_xlfn.NORM.INV(RAND(),Reference!$D$8,0.1*Reference!$D$8)*(1+Reference!$D$11*(IF(MONTH($A425)=Reference!$D$4,1,0)+IF(MONTH($A425)=Reference!$D$5,1,0))+(IF(MONTH($A425)=Reference!$D$6,Reference!$D$13,0))),0)</f>
        <v>496</v>
      </c>
      <c r="E425" s="11">
        <f ca="1">D425*Reference!$D$7*(1-IF(MONTH($A425)=Reference!$D$6,1,0)*Reference!$D$12)</f>
        <v>372000</v>
      </c>
      <c r="M425" s="20"/>
      <c r="N425" s="20"/>
      <c r="O425" s="19"/>
      <c r="P425" s="10"/>
      <c r="Q425" s="10"/>
      <c r="R425" s="10"/>
      <c r="S425" s="10"/>
      <c r="T425" s="10"/>
      <c r="U425" s="10"/>
      <c r="V425" s="10"/>
      <c r="W425" s="10"/>
      <c r="X425" s="10"/>
      <c r="Y425" s="10"/>
    </row>
    <row r="426" spans="1:25" x14ac:dyDescent="0.25">
      <c r="A426" s="9">
        <v>40964</v>
      </c>
      <c r="B426" s="10">
        <f ca="1">ROUND(_xlfn.NORM.INV(RAND(),Reference!$C$8,0.1*Reference!$C$8)*(1+Reference!$C$11*(IF(MONTH($A426)=Reference!$C$4,1,0)+IF(MONTH($A426)=Reference!$C$5,1,0))+(IF(MONTH($A426)=Reference!$C$6,Reference!$C$13,0))),0)</f>
        <v>323</v>
      </c>
      <c r="C426" s="11">
        <f ca="1">B426*Reference!$C$7*(1-IF(MONTH($A426)=Reference!$C$6,1,0)*Reference!$C$12)</f>
        <v>300390</v>
      </c>
      <c r="D426" s="10">
        <f ca="1">ROUND(_xlfn.NORM.INV(RAND(),Reference!$D$8,0.1*Reference!$D$8)*(1+Reference!$D$11*(IF(MONTH($A426)=Reference!$D$4,1,0)+IF(MONTH($A426)=Reference!$D$5,1,0))+(IF(MONTH($A426)=Reference!$D$6,Reference!$D$13,0))),0)</f>
        <v>442</v>
      </c>
      <c r="E426" s="11">
        <f ca="1">D426*Reference!$D$7*(1-IF(MONTH($A426)=Reference!$D$6,1,0)*Reference!$D$12)</f>
        <v>331500</v>
      </c>
      <c r="M426" s="20"/>
      <c r="N426" s="20"/>
      <c r="O426" s="19"/>
      <c r="P426" s="10"/>
      <c r="Q426" s="10"/>
      <c r="R426" s="10"/>
      <c r="S426" s="10"/>
      <c r="T426" s="10"/>
      <c r="U426" s="10"/>
      <c r="V426" s="10"/>
      <c r="W426" s="10"/>
      <c r="X426" s="10"/>
      <c r="Y426" s="10"/>
    </row>
    <row r="427" spans="1:25" x14ac:dyDescent="0.25">
      <c r="A427" s="9">
        <v>40965</v>
      </c>
      <c r="B427" s="10">
        <f ca="1">ROUND(_xlfn.NORM.INV(RAND(),Reference!$C$8,0.1*Reference!$C$8)*(1+Reference!$C$11*(IF(MONTH($A427)=Reference!$C$4,1,0)+IF(MONTH($A427)=Reference!$C$5,1,0))+(IF(MONTH($A427)=Reference!$C$6,Reference!$C$13,0))),0)</f>
        <v>362</v>
      </c>
      <c r="C427" s="11">
        <f ca="1">B427*Reference!$C$7*(1-IF(MONTH($A427)=Reference!$C$6,1,0)*Reference!$C$12)</f>
        <v>336660</v>
      </c>
      <c r="D427" s="10">
        <f ca="1">ROUND(_xlfn.NORM.INV(RAND(),Reference!$D$8,0.1*Reference!$D$8)*(1+Reference!$D$11*(IF(MONTH($A427)=Reference!$D$4,1,0)+IF(MONTH($A427)=Reference!$D$5,1,0))+(IF(MONTH($A427)=Reference!$D$6,Reference!$D$13,0))),0)</f>
        <v>537</v>
      </c>
      <c r="E427" s="11">
        <f ca="1">D427*Reference!$D$7*(1-IF(MONTH($A427)=Reference!$D$6,1,0)*Reference!$D$12)</f>
        <v>402750</v>
      </c>
      <c r="M427" s="20"/>
      <c r="N427" s="20"/>
      <c r="O427" s="19"/>
      <c r="P427" s="10"/>
      <c r="Q427" s="10"/>
      <c r="R427" s="10"/>
      <c r="S427" s="10"/>
      <c r="T427" s="10"/>
      <c r="U427" s="10"/>
      <c r="V427" s="10"/>
      <c r="W427" s="10"/>
      <c r="X427" s="10"/>
      <c r="Y427" s="10"/>
    </row>
    <row r="428" spans="1:25" x14ac:dyDescent="0.25">
      <c r="A428" s="9">
        <v>40966</v>
      </c>
      <c r="B428" s="10">
        <f ca="1">ROUND(_xlfn.NORM.INV(RAND(),Reference!$C$8,0.1*Reference!$C$8)*(1+Reference!$C$11*(IF(MONTH($A428)=Reference!$C$4,1,0)+IF(MONTH($A428)=Reference!$C$5,1,0))+(IF(MONTH($A428)=Reference!$C$6,Reference!$C$13,0))),0)</f>
        <v>380</v>
      </c>
      <c r="C428" s="11">
        <f ca="1">B428*Reference!$C$7*(1-IF(MONTH($A428)=Reference!$C$6,1,0)*Reference!$C$12)</f>
        <v>353400</v>
      </c>
      <c r="D428" s="10">
        <f ca="1">ROUND(_xlfn.NORM.INV(RAND(),Reference!$D$8,0.1*Reference!$D$8)*(1+Reference!$D$11*(IF(MONTH($A428)=Reference!$D$4,1,0)+IF(MONTH($A428)=Reference!$D$5,1,0))+(IF(MONTH($A428)=Reference!$D$6,Reference!$D$13,0))),0)</f>
        <v>429</v>
      </c>
      <c r="E428" s="11">
        <f ca="1">D428*Reference!$D$7*(1-IF(MONTH($A428)=Reference!$D$6,1,0)*Reference!$D$12)</f>
        <v>321750</v>
      </c>
      <c r="M428" s="20"/>
      <c r="N428" s="20"/>
      <c r="O428" s="19"/>
      <c r="P428" s="10"/>
      <c r="Q428" s="10"/>
      <c r="R428" s="10"/>
      <c r="S428" s="10"/>
      <c r="T428" s="10"/>
      <c r="U428" s="10"/>
      <c r="V428" s="10"/>
      <c r="W428" s="10"/>
      <c r="X428" s="10"/>
      <c r="Y428" s="10"/>
    </row>
    <row r="429" spans="1:25" x14ac:dyDescent="0.25">
      <c r="A429" s="9">
        <v>40967</v>
      </c>
      <c r="B429" s="10">
        <f ca="1">ROUND(_xlfn.NORM.INV(RAND(),Reference!$C$8,0.1*Reference!$C$8)*(1+Reference!$C$11*(IF(MONTH($A429)=Reference!$C$4,1,0)+IF(MONTH($A429)=Reference!$C$5,1,0))+(IF(MONTH($A429)=Reference!$C$6,Reference!$C$13,0))),0)</f>
        <v>354</v>
      </c>
      <c r="C429" s="11">
        <f ca="1">B429*Reference!$C$7*(1-IF(MONTH($A429)=Reference!$C$6,1,0)*Reference!$C$12)</f>
        <v>329220</v>
      </c>
      <c r="D429" s="10">
        <f ca="1">ROUND(_xlfn.NORM.INV(RAND(),Reference!$D$8,0.1*Reference!$D$8)*(1+Reference!$D$11*(IF(MONTH($A429)=Reference!$D$4,1,0)+IF(MONTH($A429)=Reference!$D$5,1,0))+(IF(MONTH($A429)=Reference!$D$6,Reference!$D$13,0))),0)</f>
        <v>461</v>
      </c>
      <c r="E429" s="11">
        <f ca="1">D429*Reference!$D$7*(1-IF(MONTH($A429)=Reference!$D$6,1,0)*Reference!$D$12)</f>
        <v>345750</v>
      </c>
      <c r="M429" s="20"/>
      <c r="N429" s="20"/>
      <c r="O429" s="19"/>
      <c r="P429" s="10"/>
      <c r="Q429" s="10"/>
      <c r="R429" s="10"/>
      <c r="S429" s="10"/>
      <c r="T429" s="10"/>
      <c r="U429" s="10"/>
      <c r="V429" s="10"/>
      <c r="W429" s="10"/>
      <c r="X429" s="10"/>
      <c r="Y429" s="10"/>
    </row>
    <row r="430" spans="1:25" x14ac:dyDescent="0.25">
      <c r="A430" s="9">
        <v>40968</v>
      </c>
      <c r="B430" s="10">
        <f ca="1">ROUND(_xlfn.NORM.INV(RAND(),Reference!$C$8,0.1*Reference!$C$8)*(1+Reference!$C$11*(IF(MONTH($A430)=Reference!$C$4,1,0)+IF(MONTH($A430)=Reference!$C$5,1,0))+(IF(MONTH($A430)=Reference!$C$6,Reference!$C$13,0))),0)</f>
        <v>293</v>
      </c>
      <c r="C430" s="11">
        <f ca="1">B430*Reference!$C$7*(1-IF(MONTH($A430)=Reference!$C$6,1,0)*Reference!$C$12)</f>
        <v>272490</v>
      </c>
      <c r="D430" s="10">
        <f ca="1">ROUND(_xlfn.NORM.INV(RAND(),Reference!$D$8,0.1*Reference!$D$8)*(1+Reference!$D$11*(IF(MONTH($A430)=Reference!$D$4,1,0)+IF(MONTH($A430)=Reference!$D$5,1,0))+(IF(MONTH($A430)=Reference!$D$6,Reference!$D$13,0))),0)</f>
        <v>474</v>
      </c>
      <c r="E430" s="11">
        <f ca="1">D430*Reference!$D$7*(1-IF(MONTH($A430)=Reference!$D$6,1,0)*Reference!$D$12)</f>
        <v>355500</v>
      </c>
      <c r="M430" s="20"/>
      <c r="N430" s="20"/>
      <c r="O430" s="19"/>
      <c r="P430" s="10"/>
      <c r="Q430" s="10"/>
      <c r="R430" s="10"/>
      <c r="S430" s="10"/>
      <c r="T430" s="10"/>
      <c r="U430" s="10"/>
      <c r="V430" s="10"/>
      <c r="W430" s="10"/>
      <c r="X430" s="10"/>
      <c r="Y430" s="10"/>
    </row>
    <row r="431" spans="1:25" x14ac:dyDescent="0.25">
      <c r="A431" s="9">
        <v>40969</v>
      </c>
      <c r="B431" s="10">
        <f ca="1">ROUND(_xlfn.NORM.INV(RAND(),Reference!$C$8,0.1*Reference!$C$8)*(1+Reference!$C$11*(IF(MONTH($A431)=Reference!$C$4,1,0)+IF(MONTH($A431)=Reference!$C$5,1,0))+(IF(MONTH($A431)=Reference!$C$6,Reference!$C$13,0))),0)</f>
        <v>335</v>
      </c>
      <c r="C431" s="11">
        <f ca="1">B431*Reference!$C$7*(1-IF(MONTH($A431)=Reference!$C$6,1,0)*Reference!$C$12)</f>
        <v>311550</v>
      </c>
      <c r="D431" s="10">
        <f ca="1">ROUND(_xlfn.NORM.INV(RAND(),Reference!$D$8,0.1*Reference!$D$8)*(1+Reference!$D$11*(IF(MONTH($A431)=Reference!$D$4,1,0)+IF(MONTH($A431)=Reference!$D$5,1,0))+(IF(MONTH($A431)=Reference!$D$6,Reference!$D$13,0))),0)</f>
        <v>406</v>
      </c>
      <c r="E431" s="11">
        <f ca="1">D431*Reference!$D$7*(1-IF(MONTH($A431)=Reference!$D$6,1,0)*Reference!$D$12)</f>
        <v>304500</v>
      </c>
      <c r="M431" s="20"/>
      <c r="N431" s="20"/>
      <c r="O431" s="19"/>
      <c r="P431" s="10"/>
      <c r="Q431" s="10"/>
      <c r="R431" s="10"/>
      <c r="S431" s="10"/>
      <c r="T431" s="10"/>
      <c r="U431" s="10"/>
      <c r="V431" s="10"/>
      <c r="W431" s="10"/>
      <c r="X431" s="10"/>
      <c r="Y431" s="10"/>
    </row>
    <row r="432" spans="1:25" x14ac:dyDescent="0.25">
      <c r="A432" s="9">
        <v>40970</v>
      </c>
      <c r="B432" s="10">
        <f ca="1">ROUND(_xlfn.NORM.INV(RAND(),Reference!$C$8,0.1*Reference!$C$8)*(1+Reference!$C$11*(IF(MONTH($A432)=Reference!$C$4,1,0)+IF(MONTH($A432)=Reference!$C$5,1,0))+(IF(MONTH($A432)=Reference!$C$6,Reference!$C$13,0))),0)</f>
        <v>394</v>
      </c>
      <c r="C432" s="11">
        <f ca="1">B432*Reference!$C$7*(1-IF(MONTH($A432)=Reference!$C$6,1,0)*Reference!$C$12)</f>
        <v>366420</v>
      </c>
      <c r="D432" s="10">
        <f ca="1">ROUND(_xlfn.NORM.INV(RAND(),Reference!$D$8,0.1*Reference!$D$8)*(1+Reference!$D$11*(IF(MONTH($A432)=Reference!$D$4,1,0)+IF(MONTH($A432)=Reference!$D$5,1,0))+(IF(MONTH($A432)=Reference!$D$6,Reference!$D$13,0))),0)</f>
        <v>432</v>
      </c>
      <c r="E432" s="11">
        <f ca="1">D432*Reference!$D$7*(1-IF(MONTH($A432)=Reference!$D$6,1,0)*Reference!$D$12)</f>
        <v>324000</v>
      </c>
      <c r="M432" s="20"/>
      <c r="N432" s="20"/>
      <c r="O432" s="19"/>
      <c r="P432" s="10"/>
      <c r="Q432" s="10"/>
      <c r="R432" s="10"/>
      <c r="S432" s="10"/>
      <c r="T432" s="10"/>
      <c r="U432" s="10"/>
      <c r="V432" s="10"/>
      <c r="W432" s="10"/>
      <c r="X432" s="10"/>
      <c r="Y432" s="10"/>
    </row>
    <row r="433" spans="1:25" x14ac:dyDescent="0.25">
      <c r="A433" s="9">
        <v>40971</v>
      </c>
      <c r="B433" s="10">
        <f ca="1">ROUND(_xlfn.NORM.INV(RAND(),Reference!$C$8,0.1*Reference!$C$8)*(1+Reference!$C$11*(IF(MONTH($A433)=Reference!$C$4,1,0)+IF(MONTH($A433)=Reference!$C$5,1,0))+(IF(MONTH($A433)=Reference!$C$6,Reference!$C$13,0))),0)</f>
        <v>358</v>
      </c>
      <c r="C433" s="11">
        <f ca="1">B433*Reference!$C$7*(1-IF(MONTH($A433)=Reference!$C$6,1,0)*Reference!$C$12)</f>
        <v>332940</v>
      </c>
      <c r="D433" s="10">
        <f ca="1">ROUND(_xlfn.NORM.INV(RAND(),Reference!$D$8,0.1*Reference!$D$8)*(1+Reference!$D$11*(IF(MONTH($A433)=Reference!$D$4,1,0)+IF(MONTH($A433)=Reference!$D$5,1,0))+(IF(MONTH($A433)=Reference!$D$6,Reference!$D$13,0))),0)</f>
        <v>450</v>
      </c>
      <c r="E433" s="11">
        <f ca="1">D433*Reference!$D$7*(1-IF(MONTH($A433)=Reference!$D$6,1,0)*Reference!$D$12)</f>
        <v>337500</v>
      </c>
      <c r="M433" s="20"/>
      <c r="N433" s="20"/>
      <c r="O433" s="19"/>
      <c r="P433" s="10"/>
      <c r="Q433" s="10"/>
      <c r="R433" s="10"/>
      <c r="S433" s="10"/>
      <c r="T433" s="10"/>
      <c r="U433" s="10"/>
      <c r="V433" s="10"/>
      <c r="W433" s="10"/>
      <c r="X433" s="10"/>
      <c r="Y433" s="10"/>
    </row>
    <row r="434" spans="1:25" x14ac:dyDescent="0.25">
      <c r="A434" s="9">
        <v>40972</v>
      </c>
      <c r="B434" s="10">
        <f ca="1">ROUND(_xlfn.NORM.INV(RAND(),Reference!$C$8,0.1*Reference!$C$8)*(1+Reference!$C$11*(IF(MONTH($A434)=Reference!$C$4,1,0)+IF(MONTH($A434)=Reference!$C$5,1,0))+(IF(MONTH($A434)=Reference!$C$6,Reference!$C$13,0))),0)</f>
        <v>334</v>
      </c>
      <c r="C434" s="11">
        <f ca="1">B434*Reference!$C$7*(1-IF(MONTH($A434)=Reference!$C$6,1,0)*Reference!$C$12)</f>
        <v>310620</v>
      </c>
      <c r="D434" s="10">
        <f ca="1">ROUND(_xlfn.NORM.INV(RAND(),Reference!$D$8,0.1*Reference!$D$8)*(1+Reference!$D$11*(IF(MONTH($A434)=Reference!$D$4,1,0)+IF(MONTH($A434)=Reference!$D$5,1,0))+(IF(MONTH($A434)=Reference!$D$6,Reference!$D$13,0))),0)</f>
        <v>455</v>
      </c>
      <c r="E434" s="11">
        <f ca="1">D434*Reference!$D$7*(1-IF(MONTH($A434)=Reference!$D$6,1,0)*Reference!$D$12)</f>
        <v>341250</v>
      </c>
      <c r="M434" s="20"/>
      <c r="N434" s="20"/>
      <c r="O434" s="19"/>
      <c r="P434" s="10"/>
      <c r="Q434" s="10"/>
      <c r="R434" s="10"/>
      <c r="S434" s="10"/>
      <c r="T434" s="10"/>
      <c r="U434" s="10"/>
      <c r="V434" s="10"/>
      <c r="W434" s="10"/>
      <c r="X434" s="10"/>
      <c r="Y434" s="10"/>
    </row>
    <row r="435" spans="1:25" x14ac:dyDescent="0.25">
      <c r="A435" s="9">
        <v>40973</v>
      </c>
      <c r="B435" s="10">
        <f ca="1">ROUND(_xlfn.NORM.INV(RAND(),Reference!$C$8,0.1*Reference!$C$8)*(1+Reference!$C$11*(IF(MONTH($A435)=Reference!$C$4,1,0)+IF(MONTH($A435)=Reference!$C$5,1,0))+(IF(MONTH($A435)=Reference!$C$6,Reference!$C$13,0))),0)</f>
        <v>409</v>
      </c>
      <c r="C435" s="11">
        <f ca="1">B435*Reference!$C$7*(1-IF(MONTH($A435)=Reference!$C$6,1,0)*Reference!$C$12)</f>
        <v>380370</v>
      </c>
      <c r="D435" s="10">
        <f ca="1">ROUND(_xlfn.NORM.INV(RAND(),Reference!$D$8,0.1*Reference!$D$8)*(1+Reference!$D$11*(IF(MONTH($A435)=Reference!$D$4,1,0)+IF(MONTH($A435)=Reference!$D$5,1,0))+(IF(MONTH($A435)=Reference!$D$6,Reference!$D$13,0))),0)</f>
        <v>461</v>
      </c>
      <c r="E435" s="11">
        <f ca="1">D435*Reference!$D$7*(1-IF(MONTH($A435)=Reference!$D$6,1,0)*Reference!$D$12)</f>
        <v>345750</v>
      </c>
      <c r="M435" s="20"/>
      <c r="N435" s="20"/>
      <c r="O435" s="19"/>
      <c r="P435" s="10"/>
      <c r="Q435" s="10"/>
      <c r="R435" s="10"/>
      <c r="S435" s="10"/>
      <c r="T435" s="10"/>
      <c r="U435" s="10"/>
      <c r="V435" s="10"/>
      <c r="W435" s="10"/>
      <c r="X435" s="10"/>
      <c r="Y435" s="10"/>
    </row>
    <row r="436" spans="1:25" x14ac:dyDescent="0.25">
      <c r="A436" s="9">
        <v>40974</v>
      </c>
      <c r="B436" s="10">
        <f ca="1">ROUND(_xlfn.NORM.INV(RAND(),Reference!$C$8,0.1*Reference!$C$8)*(1+Reference!$C$11*(IF(MONTH($A436)=Reference!$C$4,1,0)+IF(MONTH($A436)=Reference!$C$5,1,0))+(IF(MONTH($A436)=Reference!$C$6,Reference!$C$13,0))),0)</f>
        <v>329</v>
      </c>
      <c r="C436" s="11">
        <f ca="1">B436*Reference!$C$7*(1-IF(MONTH($A436)=Reference!$C$6,1,0)*Reference!$C$12)</f>
        <v>305970</v>
      </c>
      <c r="D436" s="10">
        <f ca="1">ROUND(_xlfn.NORM.INV(RAND(),Reference!$D$8,0.1*Reference!$D$8)*(1+Reference!$D$11*(IF(MONTH($A436)=Reference!$D$4,1,0)+IF(MONTH($A436)=Reference!$D$5,1,0))+(IF(MONTH($A436)=Reference!$D$6,Reference!$D$13,0))),0)</f>
        <v>421</v>
      </c>
      <c r="E436" s="11">
        <f ca="1">D436*Reference!$D$7*(1-IF(MONTH($A436)=Reference!$D$6,1,0)*Reference!$D$12)</f>
        <v>315750</v>
      </c>
      <c r="M436" s="20"/>
      <c r="N436" s="20"/>
      <c r="O436" s="19"/>
      <c r="P436" s="10"/>
      <c r="Q436" s="10"/>
      <c r="R436" s="10"/>
      <c r="S436" s="10"/>
      <c r="T436" s="10"/>
      <c r="U436" s="10"/>
      <c r="V436" s="10"/>
      <c r="W436" s="10"/>
      <c r="X436" s="10"/>
      <c r="Y436" s="10"/>
    </row>
    <row r="437" spans="1:25" x14ac:dyDescent="0.25">
      <c r="A437" s="9">
        <v>40975</v>
      </c>
      <c r="B437" s="10">
        <f ca="1">ROUND(_xlfn.NORM.INV(RAND(),Reference!$C$8,0.1*Reference!$C$8)*(1+Reference!$C$11*(IF(MONTH($A437)=Reference!$C$4,1,0)+IF(MONTH($A437)=Reference!$C$5,1,0))+(IF(MONTH($A437)=Reference!$C$6,Reference!$C$13,0))),0)</f>
        <v>321</v>
      </c>
      <c r="C437" s="11">
        <f ca="1">B437*Reference!$C$7*(1-IF(MONTH($A437)=Reference!$C$6,1,0)*Reference!$C$12)</f>
        <v>298530</v>
      </c>
      <c r="D437" s="10">
        <f ca="1">ROUND(_xlfn.NORM.INV(RAND(),Reference!$D$8,0.1*Reference!$D$8)*(1+Reference!$D$11*(IF(MONTH($A437)=Reference!$D$4,1,0)+IF(MONTH($A437)=Reference!$D$5,1,0))+(IF(MONTH($A437)=Reference!$D$6,Reference!$D$13,0))),0)</f>
        <v>482</v>
      </c>
      <c r="E437" s="11">
        <f ca="1">D437*Reference!$D$7*(1-IF(MONTH($A437)=Reference!$D$6,1,0)*Reference!$D$12)</f>
        <v>361500</v>
      </c>
      <c r="M437" s="20"/>
      <c r="N437" s="20"/>
      <c r="O437" s="19"/>
      <c r="P437" s="10"/>
      <c r="Q437" s="10"/>
      <c r="R437" s="10"/>
      <c r="S437" s="10"/>
      <c r="T437" s="10"/>
      <c r="U437" s="10"/>
      <c r="V437" s="10"/>
      <c r="W437" s="10"/>
      <c r="X437" s="10"/>
      <c r="Y437" s="10"/>
    </row>
    <row r="438" spans="1:25" x14ac:dyDescent="0.25">
      <c r="A438" s="9">
        <v>40976</v>
      </c>
      <c r="B438" s="10">
        <f ca="1">ROUND(_xlfn.NORM.INV(RAND(),Reference!$C$8,0.1*Reference!$C$8)*(1+Reference!$C$11*(IF(MONTH($A438)=Reference!$C$4,1,0)+IF(MONTH($A438)=Reference!$C$5,1,0))+(IF(MONTH($A438)=Reference!$C$6,Reference!$C$13,0))),0)</f>
        <v>366</v>
      </c>
      <c r="C438" s="11">
        <f ca="1">B438*Reference!$C$7*(1-IF(MONTH($A438)=Reference!$C$6,1,0)*Reference!$C$12)</f>
        <v>340380</v>
      </c>
      <c r="D438" s="10">
        <f ca="1">ROUND(_xlfn.NORM.INV(RAND(),Reference!$D$8,0.1*Reference!$D$8)*(1+Reference!$D$11*(IF(MONTH($A438)=Reference!$D$4,1,0)+IF(MONTH($A438)=Reference!$D$5,1,0))+(IF(MONTH($A438)=Reference!$D$6,Reference!$D$13,0))),0)</f>
        <v>490</v>
      </c>
      <c r="E438" s="11">
        <f ca="1">D438*Reference!$D$7*(1-IF(MONTH($A438)=Reference!$D$6,1,0)*Reference!$D$12)</f>
        <v>367500</v>
      </c>
      <c r="M438" s="20"/>
      <c r="N438" s="20"/>
      <c r="O438" s="19"/>
      <c r="P438" s="10"/>
      <c r="Q438" s="10"/>
      <c r="R438" s="10"/>
      <c r="S438" s="10"/>
      <c r="T438" s="10"/>
      <c r="U438" s="10"/>
      <c r="V438" s="10"/>
      <c r="W438" s="10"/>
      <c r="X438" s="10"/>
      <c r="Y438" s="10"/>
    </row>
    <row r="439" spans="1:25" x14ac:dyDescent="0.25">
      <c r="A439" s="9">
        <v>40977</v>
      </c>
      <c r="B439" s="10">
        <f ca="1">ROUND(_xlfn.NORM.INV(RAND(),Reference!$C$8,0.1*Reference!$C$8)*(1+Reference!$C$11*(IF(MONTH($A439)=Reference!$C$4,1,0)+IF(MONTH($A439)=Reference!$C$5,1,0))+(IF(MONTH($A439)=Reference!$C$6,Reference!$C$13,0))),0)</f>
        <v>374</v>
      </c>
      <c r="C439" s="11">
        <f ca="1">B439*Reference!$C$7*(1-IF(MONTH($A439)=Reference!$C$6,1,0)*Reference!$C$12)</f>
        <v>347820</v>
      </c>
      <c r="D439" s="10">
        <f ca="1">ROUND(_xlfn.NORM.INV(RAND(),Reference!$D$8,0.1*Reference!$D$8)*(1+Reference!$D$11*(IF(MONTH($A439)=Reference!$D$4,1,0)+IF(MONTH($A439)=Reference!$D$5,1,0))+(IF(MONTH($A439)=Reference!$D$6,Reference!$D$13,0))),0)</f>
        <v>508</v>
      </c>
      <c r="E439" s="11">
        <f ca="1">D439*Reference!$D$7*(1-IF(MONTH($A439)=Reference!$D$6,1,0)*Reference!$D$12)</f>
        <v>381000</v>
      </c>
      <c r="M439" s="20"/>
      <c r="N439" s="20"/>
      <c r="O439" s="19"/>
      <c r="P439" s="10"/>
      <c r="Q439" s="10"/>
      <c r="R439" s="10"/>
      <c r="S439" s="10"/>
      <c r="T439" s="10"/>
      <c r="U439" s="10"/>
      <c r="V439" s="10"/>
      <c r="W439" s="10"/>
      <c r="X439" s="10"/>
      <c r="Y439" s="10"/>
    </row>
    <row r="440" spans="1:25" x14ac:dyDescent="0.25">
      <c r="A440" s="9">
        <v>40978</v>
      </c>
      <c r="B440" s="10">
        <f ca="1">ROUND(_xlfn.NORM.INV(RAND(),Reference!$C$8,0.1*Reference!$C$8)*(1+Reference!$C$11*(IF(MONTH($A440)=Reference!$C$4,1,0)+IF(MONTH($A440)=Reference!$C$5,1,0))+(IF(MONTH($A440)=Reference!$C$6,Reference!$C$13,0))),0)</f>
        <v>315</v>
      </c>
      <c r="C440" s="11">
        <f ca="1">B440*Reference!$C$7*(1-IF(MONTH($A440)=Reference!$C$6,1,0)*Reference!$C$12)</f>
        <v>292950</v>
      </c>
      <c r="D440" s="10">
        <f ca="1">ROUND(_xlfn.NORM.INV(RAND(),Reference!$D$8,0.1*Reference!$D$8)*(1+Reference!$D$11*(IF(MONTH($A440)=Reference!$D$4,1,0)+IF(MONTH($A440)=Reference!$D$5,1,0))+(IF(MONTH($A440)=Reference!$D$6,Reference!$D$13,0))),0)</f>
        <v>490</v>
      </c>
      <c r="E440" s="11">
        <f ca="1">D440*Reference!$D$7*(1-IF(MONTH($A440)=Reference!$D$6,1,0)*Reference!$D$12)</f>
        <v>367500</v>
      </c>
      <c r="M440" s="20"/>
      <c r="N440" s="20"/>
      <c r="O440" s="19"/>
      <c r="P440" s="10"/>
      <c r="Q440" s="10"/>
      <c r="R440" s="10"/>
      <c r="S440" s="10"/>
      <c r="T440" s="10"/>
      <c r="U440" s="10"/>
      <c r="V440" s="10"/>
      <c r="W440" s="10"/>
      <c r="X440" s="10"/>
      <c r="Y440" s="10"/>
    </row>
    <row r="441" spans="1:25" x14ac:dyDescent="0.25">
      <c r="A441" s="9">
        <v>40979</v>
      </c>
      <c r="B441" s="10">
        <f ca="1">ROUND(_xlfn.NORM.INV(RAND(),Reference!$C$8,0.1*Reference!$C$8)*(1+Reference!$C$11*(IF(MONTH($A441)=Reference!$C$4,1,0)+IF(MONTH($A441)=Reference!$C$5,1,0))+(IF(MONTH($A441)=Reference!$C$6,Reference!$C$13,0))),0)</f>
        <v>402</v>
      </c>
      <c r="C441" s="11">
        <f ca="1">B441*Reference!$C$7*(1-IF(MONTH($A441)=Reference!$C$6,1,0)*Reference!$C$12)</f>
        <v>373860</v>
      </c>
      <c r="D441" s="10">
        <f ca="1">ROUND(_xlfn.NORM.INV(RAND(),Reference!$D$8,0.1*Reference!$D$8)*(1+Reference!$D$11*(IF(MONTH($A441)=Reference!$D$4,1,0)+IF(MONTH($A441)=Reference!$D$5,1,0))+(IF(MONTH($A441)=Reference!$D$6,Reference!$D$13,0))),0)</f>
        <v>474</v>
      </c>
      <c r="E441" s="11">
        <f ca="1">D441*Reference!$D$7*(1-IF(MONTH($A441)=Reference!$D$6,1,0)*Reference!$D$12)</f>
        <v>355500</v>
      </c>
      <c r="M441" s="20"/>
      <c r="N441" s="20"/>
      <c r="O441" s="19"/>
      <c r="P441" s="10"/>
      <c r="Q441" s="10"/>
      <c r="R441" s="10"/>
      <c r="S441" s="10"/>
      <c r="T441" s="10"/>
      <c r="U441" s="10"/>
      <c r="V441" s="10"/>
      <c r="W441" s="10"/>
      <c r="X441" s="10"/>
      <c r="Y441" s="10"/>
    </row>
    <row r="442" spans="1:25" x14ac:dyDescent="0.25">
      <c r="A442" s="9">
        <v>40980</v>
      </c>
      <c r="B442" s="10">
        <f ca="1">ROUND(_xlfn.NORM.INV(RAND(),Reference!$C$8,0.1*Reference!$C$8)*(1+Reference!$C$11*(IF(MONTH($A442)=Reference!$C$4,1,0)+IF(MONTH($A442)=Reference!$C$5,1,0))+(IF(MONTH($A442)=Reference!$C$6,Reference!$C$13,0))),0)</f>
        <v>325</v>
      </c>
      <c r="C442" s="11">
        <f ca="1">B442*Reference!$C$7*(1-IF(MONTH($A442)=Reference!$C$6,1,0)*Reference!$C$12)</f>
        <v>302250</v>
      </c>
      <c r="D442" s="10">
        <f ca="1">ROUND(_xlfn.NORM.INV(RAND(),Reference!$D$8,0.1*Reference!$D$8)*(1+Reference!$D$11*(IF(MONTH($A442)=Reference!$D$4,1,0)+IF(MONTH($A442)=Reference!$D$5,1,0))+(IF(MONTH($A442)=Reference!$D$6,Reference!$D$13,0))),0)</f>
        <v>388</v>
      </c>
      <c r="E442" s="11">
        <f ca="1">D442*Reference!$D$7*(1-IF(MONTH($A442)=Reference!$D$6,1,0)*Reference!$D$12)</f>
        <v>291000</v>
      </c>
      <c r="M442" s="20"/>
      <c r="N442" s="20"/>
      <c r="O442" s="19"/>
      <c r="P442" s="10"/>
      <c r="Q442" s="10"/>
      <c r="R442" s="10"/>
      <c r="S442" s="10"/>
      <c r="T442" s="10"/>
      <c r="U442" s="10"/>
      <c r="V442" s="10"/>
      <c r="W442" s="10"/>
      <c r="X442" s="10"/>
      <c r="Y442" s="10"/>
    </row>
    <row r="443" spans="1:25" x14ac:dyDescent="0.25">
      <c r="A443" s="9">
        <v>40981</v>
      </c>
      <c r="B443" s="10">
        <f ca="1">ROUND(_xlfn.NORM.INV(RAND(),Reference!$C$8,0.1*Reference!$C$8)*(1+Reference!$C$11*(IF(MONTH($A443)=Reference!$C$4,1,0)+IF(MONTH($A443)=Reference!$C$5,1,0))+(IF(MONTH($A443)=Reference!$C$6,Reference!$C$13,0))),0)</f>
        <v>378</v>
      </c>
      <c r="C443" s="11">
        <f ca="1">B443*Reference!$C$7*(1-IF(MONTH($A443)=Reference!$C$6,1,0)*Reference!$C$12)</f>
        <v>351540</v>
      </c>
      <c r="D443" s="10">
        <f ca="1">ROUND(_xlfn.NORM.INV(RAND(),Reference!$D$8,0.1*Reference!$D$8)*(1+Reference!$D$11*(IF(MONTH($A443)=Reference!$D$4,1,0)+IF(MONTH($A443)=Reference!$D$5,1,0))+(IF(MONTH($A443)=Reference!$D$6,Reference!$D$13,0))),0)</f>
        <v>440</v>
      </c>
      <c r="E443" s="11">
        <f ca="1">D443*Reference!$D$7*(1-IF(MONTH($A443)=Reference!$D$6,1,0)*Reference!$D$12)</f>
        <v>330000</v>
      </c>
      <c r="M443" s="20"/>
      <c r="N443" s="20"/>
      <c r="O443" s="19"/>
      <c r="P443" s="10"/>
      <c r="Q443" s="10"/>
      <c r="R443" s="10"/>
      <c r="S443" s="10"/>
      <c r="T443" s="10"/>
      <c r="U443" s="10"/>
      <c r="V443" s="10"/>
      <c r="W443" s="10"/>
      <c r="X443" s="10"/>
      <c r="Y443" s="10"/>
    </row>
    <row r="444" spans="1:25" x14ac:dyDescent="0.25">
      <c r="A444" s="9">
        <v>40982</v>
      </c>
      <c r="B444" s="10">
        <f ca="1">ROUND(_xlfn.NORM.INV(RAND(),Reference!$C$8,0.1*Reference!$C$8)*(1+Reference!$C$11*(IF(MONTH($A444)=Reference!$C$4,1,0)+IF(MONTH($A444)=Reference!$C$5,1,0))+(IF(MONTH($A444)=Reference!$C$6,Reference!$C$13,0))),0)</f>
        <v>374</v>
      </c>
      <c r="C444" s="11">
        <f ca="1">B444*Reference!$C$7*(1-IF(MONTH($A444)=Reference!$C$6,1,0)*Reference!$C$12)</f>
        <v>347820</v>
      </c>
      <c r="D444" s="10">
        <f ca="1">ROUND(_xlfn.NORM.INV(RAND(),Reference!$D$8,0.1*Reference!$D$8)*(1+Reference!$D$11*(IF(MONTH($A444)=Reference!$D$4,1,0)+IF(MONTH($A444)=Reference!$D$5,1,0))+(IF(MONTH($A444)=Reference!$D$6,Reference!$D$13,0))),0)</f>
        <v>560</v>
      </c>
      <c r="E444" s="11">
        <f ca="1">D444*Reference!$D$7*(1-IF(MONTH($A444)=Reference!$D$6,1,0)*Reference!$D$12)</f>
        <v>420000</v>
      </c>
      <c r="M444" s="20"/>
      <c r="N444" s="20"/>
      <c r="O444" s="19"/>
      <c r="P444" s="10"/>
      <c r="Q444" s="10"/>
      <c r="R444" s="10"/>
      <c r="S444" s="10"/>
      <c r="T444" s="10"/>
      <c r="U444" s="10"/>
      <c r="V444" s="10"/>
      <c r="W444" s="10"/>
      <c r="X444" s="10"/>
      <c r="Y444" s="10"/>
    </row>
    <row r="445" spans="1:25" x14ac:dyDescent="0.25">
      <c r="A445" s="9">
        <v>40983</v>
      </c>
      <c r="B445" s="10">
        <f ca="1">ROUND(_xlfn.NORM.INV(RAND(),Reference!$C$8,0.1*Reference!$C$8)*(1+Reference!$C$11*(IF(MONTH($A445)=Reference!$C$4,1,0)+IF(MONTH($A445)=Reference!$C$5,1,0))+(IF(MONTH($A445)=Reference!$C$6,Reference!$C$13,0))),0)</f>
        <v>359</v>
      </c>
      <c r="C445" s="11">
        <f ca="1">B445*Reference!$C$7*(1-IF(MONTH($A445)=Reference!$C$6,1,0)*Reference!$C$12)</f>
        <v>333870</v>
      </c>
      <c r="D445" s="10">
        <f ca="1">ROUND(_xlfn.NORM.INV(RAND(),Reference!$D$8,0.1*Reference!$D$8)*(1+Reference!$D$11*(IF(MONTH($A445)=Reference!$D$4,1,0)+IF(MONTH($A445)=Reference!$D$5,1,0))+(IF(MONTH($A445)=Reference!$D$6,Reference!$D$13,0))),0)</f>
        <v>427</v>
      </c>
      <c r="E445" s="11">
        <f ca="1">D445*Reference!$D$7*(1-IF(MONTH($A445)=Reference!$D$6,1,0)*Reference!$D$12)</f>
        <v>320250</v>
      </c>
      <c r="M445" s="20"/>
      <c r="N445" s="20"/>
      <c r="O445" s="19"/>
      <c r="P445" s="10"/>
      <c r="Q445" s="10"/>
      <c r="R445" s="10"/>
      <c r="S445" s="10"/>
      <c r="T445" s="10"/>
      <c r="U445" s="10"/>
      <c r="V445" s="10"/>
      <c r="W445" s="10"/>
      <c r="X445" s="10"/>
      <c r="Y445" s="10"/>
    </row>
    <row r="446" spans="1:25" x14ac:dyDescent="0.25">
      <c r="A446" s="9">
        <v>40984</v>
      </c>
      <c r="B446" s="10">
        <f ca="1">ROUND(_xlfn.NORM.INV(RAND(),Reference!$C$8,0.1*Reference!$C$8)*(1+Reference!$C$11*(IF(MONTH($A446)=Reference!$C$4,1,0)+IF(MONTH($A446)=Reference!$C$5,1,0))+(IF(MONTH($A446)=Reference!$C$6,Reference!$C$13,0))),0)</f>
        <v>396</v>
      </c>
      <c r="C446" s="11">
        <f ca="1">B446*Reference!$C$7*(1-IF(MONTH($A446)=Reference!$C$6,1,0)*Reference!$C$12)</f>
        <v>368280</v>
      </c>
      <c r="D446" s="10">
        <f ca="1">ROUND(_xlfn.NORM.INV(RAND(),Reference!$D$8,0.1*Reference!$D$8)*(1+Reference!$D$11*(IF(MONTH($A446)=Reference!$D$4,1,0)+IF(MONTH($A446)=Reference!$D$5,1,0))+(IF(MONTH($A446)=Reference!$D$6,Reference!$D$13,0))),0)</f>
        <v>486</v>
      </c>
      <c r="E446" s="11">
        <f ca="1">D446*Reference!$D$7*(1-IF(MONTH($A446)=Reference!$D$6,1,0)*Reference!$D$12)</f>
        <v>364500</v>
      </c>
      <c r="M446" s="20"/>
      <c r="N446" s="20"/>
      <c r="O446" s="19"/>
      <c r="P446" s="10"/>
      <c r="Q446" s="10"/>
      <c r="R446" s="10"/>
      <c r="S446" s="10"/>
      <c r="T446" s="10"/>
      <c r="U446" s="10"/>
      <c r="V446" s="10"/>
      <c r="W446" s="10"/>
      <c r="X446" s="10"/>
      <c r="Y446" s="10"/>
    </row>
    <row r="447" spans="1:25" x14ac:dyDescent="0.25">
      <c r="A447" s="9">
        <v>40985</v>
      </c>
      <c r="B447" s="10">
        <f ca="1">ROUND(_xlfn.NORM.INV(RAND(),Reference!$C$8,0.1*Reference!$C$8)*(1+Reference!$C$11*(IF(MONTH($A447)=Reference!$C$4,1,0)+IF(MONTH($A447)=Reference!$C$5,1,0))+(IF(MONTH($A447)=Reference!$C$6,Reference!$C$13,0))),0)</f>
        <v>397</v>
      </c>
      <c r="C447" s="11">
        <f ca="1">B447*Reference!$C$7*(1-IF(MONTH($A447)=Reference!$C$6,1,0)*Reference!$C$12)</f>
        <v>369210</v>
      </c>
      <c r="D447" s="10">
        <f ca="1">ROUND(_xlfn.NORM.INV(RAND(),Reference!$D$8,0.1*Reference!$D$8)*(1+Reference!$D$11*(IF(MONTH($A447)=Reference!$D$4,1,0)+IF(MONTH($A447)=Reference!$D$5,1,0))+(IF(MONTH($A447)=Reference!$D$6,Reference!$D$13,0))),0)</f>
        <v>459</v>
      </c>
      <c r="E447" s="11">
        <f ca="1">D447*Reference!$D$7*(1-IF(MONTH($A447)=Reference!$D$6,1,0)*Reference!$D$12)</f>
        <v>344250</v>
      </c>
      <c r="M447" s="20"/>
      <c r="N447" s="20"/>
      <c r="O447" s="19"/>
      <c r="P447" s="10"/>
      <c r="Q447" s="10"/>
      <c r="R447" s="10"/>
      <c r="S447" s="10"/>
      <c r="T447" s="10"/>
      <c r="U447" s="10"/>
      <c r="V447" s="10"/>
      <c r="W447" s="10"/>
      <c r="X447" s="10"/>
      <c r="Y447" s="10"/>
    </row>
    <row r="448" spans="1:25" x14ac:dyDescent="0.25">
      <c r="A448" s="9">
        <v>40986</v>
      </c>
      <c r="B448" s="10">
        <f ca="1">ROUND(_xlfn.NORM.INV(RAND(),Reference!$C$8,0.1*Reference!$C$8)*(1+Reference!$C$11*(IF(MONTH($A448)=Reference!$C$4,1,0)+IF(MONTH($A448)=Reference!$C$5,1,0))+(IF(MONTH($A448)=Reference!$C$6,Reference!$C$13,0))),0)</f>
        <v>357</v>
      </c>
      <c r="C448" s="11">
        <f ca="1">B448*Reference!$C$7*(1-IF(MONTH($A448)=Reference!$C$6,1,0)*Reference!$C$12)</f>
        <v>332010</v>
      </c>
      <c r="D448" s="10">
        <f ca="1">ROUND(_xlfn.NORM.INV(RAND(),Reference!$D$8,0.1*Reference!$D$8)*(1+Reference!$D$11*(IF(MONTH($A448)=Reference!$D$4,1,0)+IF(MONTH($A448)=Reference!$D$5,1,0))+(IF(MONTH($A448)=Reference!$D$6,Reference!$D$13,0))),0)</f>
        <v>460</v>
      </c>
      <c r="E448" s="11">
        <f ca="1">D448*Reference!$D$7*(1-IF(MONTH($A448)=Reference!$D$6,1,0)*Reference!$D$12)</f>
        <v>345000</v>
      </c>
      <c r="M448" s="20"/>
      <c r="N448" s="20"/>
      <c r="O448" s="19"/>
      <c r="P448" s="10"/>
      <c r="Q448" s="10"/>
      <c r="R448" s="10"/>
      <c r="S448" s="10"/>
      <c r="T448" s="10"/>
      <c r="U448" s="10"/>
      <c r="V448" s="10"/>
      <c r="W448" s="10"/>
      <c r="X448" s="10"/>
      <c r="Y448" s="10"/>
    </row>
    <row r="449" spans="1:25" x14ac:dyDescent="0.25">
      <c r="A449" s="9">
        <v>40987</v>
      </c>
      <c r="B449" s="10">
        <f ca="1">ROUND(_xlfn.NORM.INV(RAND(),Reference!$C$8,0.1*Reference!$C$8)*(1+Reference!$C$11*(IF(MONTH($A449)=Reference!$C$4,1,0)+IF(MONTH($A449)=Reference!$C$5,1,0))+(IF(MONTH($A449)=Reference!$C$6,Reference!$C$13,0))),0)</f>
        <v>352</v>
      </c>
      <c r="C449" s="11">
        <f ca="1">B449*Reference!$C$7*(1-IF(MONTH($A449)=Reference!$C$6,1,0)*Reference!$C$12)</f>
        <v>327360</v>
      </c>
      <c r="D449" s="10">
        <f ca="1">ROUND(_xlfn.NORM.INV(RAND(),Reference!$D$8,0.1*Reference!$D$8)*(1+Reference!$D$11*(IF(MONTH($A449)=Reference!$D$4,1,0)+IF(MONTH($A449)=Reference!$D$5,1,0))+(IF(MONTH($A449)=Reference!$D$6,Reference!$D$13,0))),0)</f>
        <v>419</v>
      </c>
      <c r="E449" s="11">
        <f ca="1">D449*Reference!$D$7*(1-IF(MONTH($A449)=Reference!$D$6,1,0)*Reference!$D$12)</f>
        <v>314250</v>
      </c>
      <c r="M449" s="20"/>
      <c r="N449" s="20"/>
      <c r="O449" s="19"/>
      <c r="P449" s="10"/>
      <c r="Q449" s="10"/>
      <c r="R449" s="10"/>
      <c r="S449" s="10"/>
      <c r="T449" s="10"/>
      <c r="U449" s="10"/>
      <c r="V449" s="10"/>
      <c r="W449" s="10"/>
      <c r="X449" s="10"/>
      <c r="Y449" s="10"/>
    </row>
    <row r="450" spans="1:25" x14ac:dyDescent="0.25">
      <c r="A450" s="9">
        <v>40988</v>
      </c>
      <c r="B450" s="10">
        <f ca="1">ROUND(_xlfn.NORM.INV(RAND(),Reference!$C$8,0.1*Reference!$C$8)*(1+Reference!$C$11*(IF(MONTH($A450)=Reference!$C$4,1,0)+IF(MONTH($A450)=Reference!$C$5,1,0))+(IF(MONTH($A450)=Reference!$C$6,Reference!$C$13,0))),0)</f>
        <v>319</v>
      </c>
      <c r="C450" s="11">
        <f ca="1">B450*Reference!$C$7*(1-IF(MONTH($A450)=Reference!$C$6,1,0)*Reference!$C$12)</f>
        <v>296670</v>
      </c>
      <c r="D450" s="10">
        <f ca="1">ROUND(_xlfn.NORM.INV(RAND(),Reference!$D$8,0.1*Reference!$D$8)*(1+Reference!$D$11*(IF(MONTH($A450)=Reference!$D$4,1,0)+IF(MONTH($A450)=Reference!$D$5,1,0))+(IF(MONTH($A450)=Reference!$D$6,Reference!$D$13,0))),0)</f>
        <v>492</v>
      </c>
      <c r="E450" s="11">
        <f ca="1">D450*Reference!$D$7*(1-IF(MONTH($A450)=Reference!$D$6,1,0)*Reference!$D$12)</f>
        <v>369000</v>
      </c>
      <c r="M450" s="20"/>
      <c r="N450" s="20"/>
      <c r="O450" s="19"/>
      <c r="P450" s="10"/>
      <c r="Q450" s="10"/>
      <c r="R450" s="10"/>
      <c r="S450" s="10"/>
      <c r="T450" s="10"/>
      <c r="U450" s="10"/>
      <c r="V450" s="10"/>
      <c r="W450" s="10"/>
      <c r="X450" s="10"/>
      <c r="Y450" s="10"/>
    </row>
    <row r="451" spans="1:25" x14ac:dyDescent="0.25">
      <c r="A451" s="9">
        <v>40989</v>
      </c>
      <c r="B451" s="10">
        <f ca="1">ROUND(_xlfn.NORM.INV(RAND(),Reference!$C$8,0.1*Reference!$C$8)*(1+Reference!$C$11*(IF(MONTH($A451)=Reference!$C$4,1,0)+IF(MONTH($A451)=Reference!$C$5,1,0))+(IF(MONTH($A451)=Reference!$C$6,Reference!$C$13,0))),0)</f>
        <v>411</v>
      </c>
      <c r="C451" s="11">
        <f ca="1">B451*Reference!$C$7*(1-IF(MONTH($A451)=Reference!$C$6,1,0)*Reference!$C$12)</f>
        <v>382230</v>
      </c>
      <c r="D451" s="10">
        <f ca="1">ROUND(_xlfn.NORM.INV(RAND(),Reference!$D$8,0.1*Reference!$D$8)*(1+Reference!$D$11*(IF(MONTH($A451)=Reference!$D$4,1,0)+IF(MONTH($A451)=Reference!$D$5,1,0))+(IF(MONTH($A451)=Reference!$D$6,Reference!$D$13,0))),0)</f>
        <v>408</v>
      </c>
      <c r="E451" s="11">
        <f ca="1">D451*Reference!$D$7*(1-IF(MONTH($A451)=Reference!$D$6,1,0)*Reference!$D$12)</f>
        <v>306000</v>
      </c>
      <c r="M451" s="20"/>
      <c r="N451" s="20"/>
      <c r="O451" s="19"/>
      <c r="P451" s="10"/>
      <c r="Q451" s="10"/>
      <c r="R451" s="10"/>
      <c r="S451" s="10"/>
      <c r="T451" s="10"/>
      <c r="U451" s="10"/>
      <c r="V451" s="10"/>
      <c r="W451" s="10"/>
      <c r="X451" s="10"/>
      <c r="Y451" s="10"/>
    </row>
    <row r="452" spans="1:25" x14ac:dyDescent="0.25">
      <c r="A452" s="9">
        <v>40990</v>
      </c>
      <c r="B452" s="10">
        <f ca="1">ROUND(_xlfn.NORM.INV(RAND(),Reference!$C$8,0.1*Reference!$C$8)*(1+Reference!$C$11*(IF(MONTH($A452)=Reference!$C$4,1,0)+IF(MONTH($A452)=Reference!$C$5,1,0))+(IF(MONTH($A452)=Reference!$C$6,Reference!$C$13,0))),0)</f>
        <v>370</v>
      </c>
      <c r="C452" s="11">
        <f ca="1">B452*Reference!$C$7*(1-IF(MONTH($A452)=Reference!$C$6,1,0)*Reference!$C$12)</f>
        <v>344100</v>
      </c>
      <c r="D452" s="10">
        <f ca="1">ROUND(_xlfn.NORM.INV(RAND(),Reference!$D$8,0.1*Reference!$D$8)*(1+Reference!$D$11*(IF(MONTH($A452)=Reference!$D$4,1,0)+IF(MONTH($A452)=Reference!$D$5,1,0))+(IF(MONTH($A452)=Reference!$D$6,Reference!$D$13,0))),0)</f>
        <v>464</v>
      </c>
      <c r="E452" s="11">
        <f ca="1">D452*Reference!$D$7*(1-IF(MONTH($A452)=Reference!$D$6,1,0)*Reference!$D$12)</f>
        <v>348000</v>
      </c>
      <c r="M452" s="20"/>
      <c r="N452" s="20"/>
      <c r="O452" s="19"/>
      <c r="P452" s="10"/>
      <c r="Q452" s="10"/>
      <c r="R452" s="10"/>
      <c r="S452" s="10"/>
      <c r="T452" s="10"/>
      <c r="U452" s="10"/>
      <c r="V452" s="10"/>
      <c r="W452" s="10"/>
      <c r="X452" s="10"/>
      <c r="Y452" s="10"/>
    </row>
    <row r="453" spans="1:25" x14ac:dyDescent="0.25">
      <c r="A453" s="9">
        <v>40991</v>
      </c>
      <c r="B453" s="10">
        <f ca="1">ROUND(_xlfn.NORM.INV(RAND(),Reference!$C$8,0.1*Reference!$C$8)*(1+Reference!$C$11*(IF(MONTH($A453)=Reference!$C$4,1,0)+IF(MONTH($A453)=Reference!$C$5,1,0))+(IF(MONTH($A453)=Reference!$C$6,Reference!$C$13,0))),0)</f>
        <v>420</v>
      </c>
      <c r="C453" s="11">
        <f ca="1">B453*Reference!$C$7*(1-IF(MONTH($A453)=Reference!$C$6,1,0)*Reference!$C$12)</f>
        <v>390600</v>
      </c>
      <c r="D453" s="10">
        <f ca="1">ROUND(_xlfn.NORM.INV(RAND(),Reference!$D$8,0.1*Reference!$D$8)*(1+Reference!$D$11*(IF(MONTH($A453)=Reference!$D$4,1,0)+IF(MONTH($A453)=Reference!$D$5,1,0))+(IF(MONTH($A453)=Reference!$D$6,Reference!$D$13,0))),0)</f>
        <v>412</v>
      </c>
      <c r="E453" s="11">
        <f ca="1">D453*Reference!$D$7*(1-IF(MONTH($A453)=Reference!$D$6,1,0)*Reference!$D$12)</f>
        <v>309000</v>
      </c>
      <c r="M453" s="20"/>
      <c r="N453" s="20"/>
      <c r="O453" s="19"/>
      <c r="P453" s="10"/>
      <c r="Q453" s="10"/>
      <c r="R453" s="10"/>
      <c r="S453" s="10"/>
      <c r="T453" s="10"/>
      <c r="U453" s="10"/>
      <c r="V453" s="10"/>
      <c r="W453" s="10"/>
      <c r="X453" s="10"/>
      <c r="Y453" s="10"/>
    </row>
    <row r="454" spans="1:25" x14ac:dyDescent="0.25">
      <c r="A454" s="9">
        <v>40992</v>
      </c>
      <c r="B454" s="10">
        <f ca="1">ROUND(_xlfn.NORM.INV(RAND(),Reference!$C$8,0.1*Reference!$C$8)*(1+Reference!$C$11*(IF(MONTH($A454)=Reference!$C$4,1,0)+IF(MONTH($A454)=Reference!$C$5,1,0))+(IF(MONTH($A454)=Reference!$C$6,Reference!$C$13,0))),0)</f>
        <v>356</v>
      </c>
      <c r="C454" s="11">
        <f ca="1">B454*Reference!$C$7*(1-IF(MONTH($A454)=Reference!$C$6,1,0)*Reference!$C$12)</f>
        <v>331080</v>
      </c>
      <c r="D454" s="10">
        <f ca="1">ROUND(_xlfn.NORM.INV(RAND(),Reference!$D$8,0.1*Reference!$D$8)*(1+Reference!$D$11*(IF(MONTH($A454)=Reference!$D$4,1,0)+IF(MONTH($A454)=Reference!$D$5,1,0))+(IF(MONTH($A454)=Reference!$D$6,Reference!$D$13,0))),0)</f>
        <v>435</v>
      </c>
      <c r="E454" s="11">
        <f ca="1">D454*Reference!$D$7*(1-IF(MONTH($A454)=Reference!$D$6,1,0)*Reference!$D$12)</f>
        <v>326250</v>
      </c>
      <c r="M454" s="20"/>
      <c r="N454" s="20"/>
      <c r="O454" s="19"/>
      <c r="P454" s="10"/>
      <c r="Q454" s="10"/>
      <c r="R454" s="10"/>
      <c r="S454" s="10"/>
      <c r="T454" s="10"/>
      <c r="U454" s="10"/>
      <c r="V454" s="10"/>
      <c r="W454" s="10"/>
      <c r="X454" s="10"/>
      <c r="Y454" s="10"/>
    </row>
    <row r="455" spans="1:25" x14ac:dyDescent="0.25">
      <c r="A455" s="9">
        <v>40993</v>
      </c>
      <c r="B455" s="10">
        <f ca="1">ROUND(_xlfn.NORM.INV(RAND(),Reference!$C$8,0.1*Reference!$C$8)*(1+Reference!$C$11*(IF(MONTH($A455)=Reference!$C$4,1,0)+IF(MONTH($A455)=Reference!$C$5,1,0))+(IF(MONTH($A455)=Reference!$C$6,Reference!$C$13,0))),0)</f>
        <v>357</v>
      </c>
      <c r="C455" s="11">
        <f ca="1">B455*Reference!$C$7*(1-IF(MONTH($A455)=Reference!$C$6,1,0)*Reference!$C$12)</f>
        <v>332010</v>
      </c>
      <c r="D455" s="10">
        <f ca="1">ROUND(_xlfn.NORM.INV(RAND(),Reference!$D$8,0.1*Reference!$D$8)*(1+Reference!$D$11*(IF(MONTH($A455)=Reference!$D$4,1,0)+IF(MONTH($A455)=Reference!$D$5,1,0))+(IF(MONTH($A455)=Reference!$D$6,Reference!$D$13,0))),0)</f>
        <v>467</v>
      </c>
      <c r="E455" s="11">
        <f ca="1">D455*Reference!$D$7*(1-IF(MONTH($A455)=Reference!$D$6,1,0)*Reference!$D$12)</f>
        <v>350250</v>
      </c>
      <c r="M455" s="20"/>
      <c r="N455" s="20"/>
      <c r="O455" s="19"/>
      <c r="P455" s="10"/>
      <c r="Q455" s="10"/>
      <c r="R455" s="10"/>
      <c r="S455" s="10"/>
      <c r="T455" s="10"/>
      <c r="U455" s="10"/>
      <c r="V455" s="10"/>
      <c r="W455" s="10"/>
      <c r="X455" s="10"/>
      <c r="Y455" s="10"/>
    </row>
    <row r="456" spans="1:25" x14ac:dyDescent="0.25">
      <c r="A456" s="9">
        <v>40994</v>
      </c>
      <c r="B456" s="10">
        <f ca="1">ROUND(_xlfn.NORM.INV(RAND(),Reference!$C$8,0.1*Reference!$C$8)*(1+Reference!$C$11*(IF(MONTH($A456)=Reference!$C$4,1,0)+IF(MONTH($A456)=Reference!$C$5,1,0))+(IF(MONTH($A456)=Reference!$C$6,Reference!$C$13,0))),0)</f>
        <v>376</v>
      </c>
      <c r="C456" s="11">
        <f ca="1">B456*Reference!$C$7*(1-IF(MONTH($A456)=Reference!$C$6,1,0)*Reference!$C$12)</f>
        <v>349680</v>
      </c>
      <c r="D456" s="10">
        <f ca="1">ROUND(_xlfn.NORM.INV(RAND(),Reference!$D$8,0.1*Reference!$D$8)*(1+Reference!$D$11*(IF(MONTH($A456)=Reference!$D$4,1,0)+IF(MONTH($A456)=Reference!$D$5,1,0))+(IF(MONTH($A456)=Reference!$D$6,Reference!$D$13,0))),0)</f>
        <v>485</v>
      </c>
      <c r="E456" s="11">
        <f ca="1">D456*Reference!$D$7*(1-IF(MONTH($A456)=Reference!$D$6,1,0)*Reference!$D$12)</f>
        <v>363750</v>
      </c>
      <c r="M456" s="20"/>
      <c r="N456" s="20"/>
      <c r="O456" s="19"/>
      <c r="P456" s="10"/>
      <c r="Q456" s="10"/>
      <c r="R456" s="10"/>
      <c r="S456" s="10"/>
      <c r="T456" s="10"/>
      <c r="U456" s="10"/>
      <c r="V456" s="10"/>
      <c r="W456" s="10"/>
      <c r="X456" s="10"/>
      <c r="Y456" s="10"/>
    </row>
    <row r="457" spans="1:25" x14ac:dyDescent="0.25">
      <c r="A457" s="9">
        <v>40995</v>
      </c>
      <c r="B457" s="10">
        <f ca="1">ROUND(_xlfn.NORM.INV(RAND(),Reference!$C$8,0.1*Reference!$C$8)*(1+Reference!$C$11*(IF(MONTH($A457)=Reference!$C$4,1,0)+IF(MONTH($A457)=Reference!$C$5,1,0))+(IF(MONTH($A457)=Reference!$C$6,Reference!$C$13,0))),0)</f>
        <v>385</v>
      </c>
      <c r="C457" s="11">
        <f ca="1">B457*Reference!$C$7*(1-IF(MONTH($A457)=Reference!$C$6,1,0)*Reference!$C$12)</f>
        <v>358050</v>
      </c>
      <c r="D457" s="10">
        <f ca="1">ROUND(_xlfn.NORM.INV(RAND(),Reference!$D$8,0.1*Reference!$D$8)*(1+Reference!$D$11*(IF(MONTH($A457)=Reference!$D$4,1,0)+IF(MONTH($A457)=Reference!$D$5,1,0))+(IF(MONTH($A457)=Reference!$D$6,Reference!$D$13,0))),0)</f>
        <v>363</v>
      </c>
      <c r="E457" s="11">
        <f ca="1">D457*Reference!$D$7*(1-IF(MONTH($A457)=Reference!$D$6,1,0)*Reference!$D$12)</f>
        <v>272250</v>
      </c>
      <c r="M457" s="20"/>
      <c r="N457" s="20"/>
      <c r="O457" s="19"/>
      <c r="P457" s="10"/>
      <c r="Q457" s="10"/>
      <c r="R457" s="10"/>
      <c r="S457" s="10"/>
      <c r="T457" s="10"/>
      <c r="U457" s="10"/>
      <c r="V457" s="10"/>
      <c r="W457" s="10"/>
      <c r="X457" s="10"/>
      <c r="Y457" s="10"/>
    </row>
    <row r="458" spans="1:25" x14ac:dyDescent="0.25">
      <c r="A458" s="9">
        <v>40996</v>
      </c>
      <c r="B458" s="10">
        <f ca="1">ROUND(_xlfn.NORM.INV(RAND(),Reference!$C$8,0.1*Reference!$C$8)*(1+Reference!$C$11*(IF(MONTH($A458)=Reference!$C$4,1,0)+IF(MONTH($A458)=Reference!$C$5,1,0))+(IF(MONTH($A458)=Reference!$C$6,Reference!$C$13,0))),0)</f>
        <v>331</v>
      </c>
      <c r="C458" s="11">
        <f ca="1">B458*Reference!$C$7*(1-IF(MONTH($A458)=Reference!$C$6,1,0)*Reference!$C$12)</f>
        <v>307830</v>
      </c>
      <c r="D458" s="10">
        <f ca="1">ROUND(_xlfn.NORM.INV(RAND(),Reference!$D$8,0.1*Reference!$D$8)*(1+Reference!$D$11*(IF(MONTH($A458)=Reference!$D$4,1,0)+IF(MONTH($A458)=Reference!$D$5,1,0))+(IF(MONTH($A458)=Reference!$D$6,Reference!$D$13,0))),0)</f>
        <v>468</v>
      </c>
      <c r="E458" s="11">
        <f ca="1">D458*Reference!$D$7*(1-IF(MONTH($A458)=Reference!$D$6,1,0)*Reference!$D$12)</f>
        <v>351000</v>
      </c>
      <c r="M458" s="20"/>
      <c r="N458" s="20"/>
      <c r="O458" s="19"/>
      <c r="P458" s="10"/>
      <c r="Q458" s="10"/>
      <c r="R458" s="10"/>
      <c r="S458" s="10"/>
      <c r="T458" s="10"/>
      <c r="U458" s="10"/>
      <c r="V458" s="10"/>
      <c r="W458" s="10"/>
      <c r="X458" s="10"/>
      <c r="Y458" s="10"/>
    </row>
    <row r="459" spans="1:25" x14ac:dyDescent="0.25">
      <c r="A459" s="9">
        <v>40997</v>
      </c>
      <c r="B459" s="10">
        <f ca="1">ROUND(_xlfn.NORM.INV(RAND(),Reference!$C$8,0.1*Reference!$C$8)*(1+Reference!$C$11*(IF(MONTH($A459)=Reference!$C$4,1,0)+IF(MONTH($A459)=Reference!$C$5,1,0))+(IF(MONTH($A459)=Reference!$C$6,Reference!$C$13,0))),0)</f>
        <v>372</v>
      </c>
      <c r="C459" s="11">
        <f ca="1">B459*Reference!$C$7*(1-IF(MONTH($A459)=Reference!$C$6,1,0)*Reference!$C$12)</f>
        <v>345960</v>
      </c>
      <c r="D459" s="10">
        <f ca="1">ROUND(_xlfn.NORM.INV(RAND(),Reference!$D$8,0.1*Reference!$D$8)*(1+Reference!$D$11*(IF(MONTH($A459)=Reference!$D$4,1,0)+IF(MONTH($A459)=Reference!$D$5,1,0))+(IF(MONTH($A459)=Reference!$D$6,Reference!$D$13,0))),0)</f>
        <v>379</v>
      </c>
      <c r="E459" s="11">
        <f ca="1">D459*Reference!$D$7*(1-IF(MONTH($A459)=Reference!$D$6,1,0)*Reference!$D$12)</f>
        <v>284250</v>
      </c>
      <c r="M459" s="20"/>
      <c r="N459" s="20"/>
      <c r="O459" s="19"/>
      <c r="P459" s="10"/>
      <c r="Q459" s="10"/>
      <c r="R459" s="10"/>
      <c r="S459" s="10"/>
      <c r="T459" s="10"/>
      <c r="U459" s="10"/>
      <c r="V459" s="10"/>
      <c r="W459" s="10"/>
      <c r="X459" s="10"/>
      <c r="Y459" s="10"/>
    </row>
    <row r="460" spans="1:25" x14ac:dyDescent="0.25">
      <c r="A460" s="9">
        <v>40998</v>
      </c>
      <c r="B460" s="10">
        <f ca="1">ROUND(_xlfn.NORM.INV(RAND(),Reference!$C$8,0.1*Reference!$C$8)*(1+Reference!$C$11*(IF(MONTH($A460)=Reference!$C$4,1,0)+IF(MONTH($A460)=Reference!$C$5,1,0))+(IF(MONTH($A460)=Reference!$C$6,Reference!$C$13,0))),0)</f>
        <v>323</v>
      </c>
      <c r="C460" s="11">
        <f ca="1">B460*Reference!$C$7*(1-IF(MONTH($A460)=Reference!$C$6,1,0)*Reference!$C$12)</f>
        <v>300390</v>
      </c>
      <c r="D460" s="10">
        <f ca="1">ROUND(_xlfn.NORM.INV(RAND(),Reference!$D$8,0.1*Reference!$D$8)*(1+Reference!$D$11*(IF(MONTH($A460)=Reference!$D$4,1,0)+IF(MONTH($A460)=Reference!$D$5,1,0))+(IF(MONTH($A460)=Reference!$D$6,Reference!$D$13,0))),0)</f>
        <v>366</v>
      </c>
      <c r="E460" s="11">
        <f ca="1">D460*Reference!$D$7*(1-IF(MONTH($A460)=Reference!$D$6,1,0)*Reference!$D$12)</f>
        <v>274500</v>
      </c>
      <c r="M460" s="20"/>
      <c r="N460" s="20"/>
      <c r="O460" s="19"/>
      <c r="P460" s="10"/>
      <c r="Q460" s="10"/>
      <c r="R460" s="10"/>
      <c r="S460" s="10"/>
      <c r="T460" s="10"/>
      <c r="U460" s="10"/>
      <c r="V460" s="10"/>
      <c r="W460" s="10"/>
      <c r="X460" s="10"/>
      <c r="Y460" s="10"/>
    </row>
    <row r="461" spans="1:25" x14ac:dyDescent="0.25">
      <c r="A461" s="9">
        <v>40999</v>
      </c>
      <c r="B461" s="10">
        <f ca="1">ROUND(_xlfn.NORM.INV(RAND(),Reference!$C$8,0.1*Reference!$C$8)*(1+Reference!$C$11*(IF(MONTH($A461)=Reference!$C$4,1,0)+IF(MONTH($A461)=Reference!$C$5,1,0))+(IF(MONTH($A461)=Reference!$C$6,Reference!$C$13,0))),0)</f>
        <v>326</v>
      </c>
      <c r="C461" s="11">
        <f ca="1">B461*Reference!$C$7*(1-IF(MONTH($A461)=Reference!$C$6,1,0)*Reference!$C$12)</f>
        <v>303180</v>
      </c>
      <c r="D461" s="10">
        <f ca="1">ROUND(_xlfn.NORM.INV(RAND(),Reference!$D$8,0.1*Reference!$D$8)*(1+Reference!$D$11*(IF(MONTH($A461)=Reference!$D$4,1,0)+IF(MONTH($A461)=Reference!$D$5,1,0))+(IF(MONTH($A461)=Reference!$D$6,Reference!$D$13,0))),0)</f>
        <v>380</v>
      </c>
      <c r="E461" s="11">
        <f ca="1">D461*Reference!$D$7*(1-IF(MONTH($A461)=Reference!$D$6,1,0)*Reference!$D$12)</f>
        <v>285000</v>
      </c>
      <c r="M461" s="20"/>
      <c r="N461" s="20"/>
      <c r="O461" s="19"/>
      <c r="P461" s="10"/>
      <c r="Q461" s="10"/>
      <c r="R461" s="10"/>
      <c r="S461" s="10"/>
      <c r="T461" s="10"/>
      <c r="U461" s="10"/>
      <c r="V461" s="10"/>
      <c r="W461" s="10"/>
      <c r="X461" s="10"/>
      <c r="Y461" s="10"/>
    </row>
    <row r="462" spans="1:25" x14ac:dyDescent="0.25">
      <c r="A462" s="9">
        <v>41000</v>
      </c>
      <c r="B462" s="10">
        <f ca="1">ROUND(_xlfn.NORM.INV(RAND(),Reference!$C$8,0.1*Reference!$C$8)*(1+Reference!$C$11*(IF(MONTH($A462)=Reference!$C$4,1,0)+IF(MONTH($A462)=Reference!$C$5,1,0))+(IF(MONTH($A462)=Reference!$C$6,Reference!$C$13,0))),0)</f>
        <v>536</v>
      </c>
      <c r="C462" s="11">
        <f ca="1">B462*Reference!$C$7*(1-IF(MONTH($A462)=Reference!$C$6,1,0)*Reference!$C$12)</f>
        <v>498480</v>
      </c>
      <c r="D462" s="10">
        <f ca="1">ROUND(_xlfn.NORM.INV(RAND(),Reference!$D$8,0.1*Reference!$D$8)*(1+Reference!$D$11*(IF(MONTH($A462)=Reference!$D$4,1,0)+IF(MONTH($A462)=Reference!$D$5,1,0))+(IF(MONTH($A462)=Reference!$D$6,Reference!$D$13,0))),0)</f>
        <v>504</v>
      </c>
      <c r="E462" s="11">
        <f ca="1">D462*Reference!$D$7*(1-IF(MONTH($A462)=Reference!$D$6,1,0)*Reference!$D$12)</f>
        <v>378000</v>
      </c>
      <c r="M462" s="20"/>
      <c r="N462" s="20"/>
      <c r="O462" s="19"/>
      <c r="P462" s="10"/>
      <c r="Q462" s="10"/>
      <c r="R462" s="10"/>
      <c r="S462" s="10"/>
      <c r="T462" s="10"/>
      <c r="U462" s="10"/>
      <c r="V462" s="10"/>
      <c r="W462" s="10"/>
      <c r="X462" s="10"/>
      <c r="Y462" s="10"/>
    </row>
    <row r="463" spans="1:25" x14ac:dyDescent="0.25">
      <c r="A463" s="9">
        <v>41001</v>
      </c>
      <c r="B463" s="10">
        <f ca="1">ROUND(_xlfn.NORM.INV(RAND(),Reference!$C$8,0.1*Reference!$C$8)*(1+Reference!$C$11*(IF(MONTH($A463)=Reference!$C$4,1,0)+IF(MONTH($A463)=Reference!$C$5,1,0))+(IF(MONTH($A463)=Reference!$C$6,Reference!$C$13,0))),0)</f>
        <v>540</v>
      </c>
      <c r="C463" s="11">
        <f ca="1">B463*Reference!$C$7*(1-IF(MONTH($A463)=Reference!$C$6,1,0)*Reference!$C$12)</f>
        <v>502200</v>
      </c>
      <c r="D463" s="10">
        <f ca="1">ROUND(_xlfn.NORM.INV(RAND(),Reference!$D$8,0.1*Reference!$D$8)*(1+Reference!$D$11*(IF(MONTH($A463)=Reference!$D$4,1,0)+IF(MONTH($A463)=Reference!$D$5,1,0))+(IF(MONTH($A463)=Reference!$D$6,Reference!$D$13,0))),0)</f>
        <v>444</v>
      </c>
      <c r="E463" s="11">
        <f ca="1">D463*Reference!$D$7*(1-IF(MONTH($A463)=Reference!$D$6,1,0)*Reference!$D$12)</f>
        <v>333000</v>
      </c>
      <c r="M463" s="20"/>
      <c r="N463" s="20"/>
      <c r="O463" s="19"/>
      <c r="P463" s="10"/>
      <c r="Q463" s="10"/>
      <c r="R463" s="10"/>
      <c r="S463" s="10"/>
      <c r="T463" s="10"/>
      <c r="U463" s="10"/>
      <c r="V463" s="10"/>
      <c r="W463" s="10"/>
      <c r="X463" s="10"/>
      <c r="Y463" s="10"/>
    </row>
    <row r="464" spans="1:25" x14ac:dyDescent="0.25">
      <c r="A464" s="9">
        <v>41002</v>
      </c>
      <c r="B464" s="10">
        <f ca="1">ROUND(_xlfn.NORM.INV(RAND(),Reference!$C$8,0.1*Reference!$C$8)*(1+Reference!$C$11*(IF(MONTH($A464)=Reference!$C$4,1,0)+IF(MONTH($A464)=Reference!$C$5,1,0))+(IF(MONTH($A464)=Reference!$C$6,Reference!$C$13,0))),0)</f>
        <v>617</v>
      </c>
      <c r="C464" s="11">
        <f ca="1">B464*Reference!$C$7*(1-IF(MONTH($A464)=Reference!$C$6,1,0)*Reference!$C$12)</f>
        <v>573810</v>
      </c>
      <c r="D464" s="10">
        <f ca="1">ROUND(_xlfn.NORM.INV(RAND(),Reference!$D$8,0.1*Reference!$D$8)*(1+Reference!$D$11*(IF(MONTH($A464)=Reference!$D$4,1,0)+IF(MONTH($A464)=Reference!$D$5,1,0))+(IF(MONTH($A464)=Reference!$D$6,Reference!$D$13,0))),0)</f>
        <v>532</v>
      </c>
      <c r="E464" s="11">
        <f ca="1">D464*Reference!$D$7*(1-IF(MONTH($A464)=Reference!$D$6,1,0)*Reference!$D$12)</f>
        <v>399000</v>
      </c>
      <c r="M464" s="20"/>
      <c r="N464" s="20"/>
      <c r="O464" s="19"/>
      <c r="P464" s="10"/>
      <c r="Q464" s="10"/>
      <c r="R464" s="10"/>
      <c r="S464" s="10"/>
      <c r="T464" s="10"/>
      <c r="U464" s="10"/>
      <c r="V464" s="10"/>
      <c r="W464" s="10"/>
      <c r="X464" s="10"/>
      <c r="Y464" s="10"/>
    </row>
    <row r="465" spans="1:25" x14ac:dyDescent="0.25">
      <c r="A465" s="9">
        <v>41003</v>
      </c>
      <c r="B465" s="10">
        <f ca="1">ROUND(_xlfn.NORM.INV(RAND(),Reference!$C$8,0.1*Reference!$C$8)*(1+Reference!$C$11*(IF(MONTH($A465)=Reference!$C$4,1,0)+IF(MONTH($A465)=Reference!$C$5,1,0))+(IF(MONTH($A465)=Reference!$C$6,Reference!$C$13,0))),0)</f>
        <v>485</v>
      </c>
      <c r="C465" s="11">
        <f ca="1">B465*Reference!$C$7*(1-IF(MONTH($A465)=Reference!$C$6,1,0)*Reference!$C$12)</f>
        <v>451050</v>
      </c>
      <c r="D465" s="10">
        <f ca="1">ROUND(_xlfn.NORM.INV(RAND(),Reference!$D$8,0.1*Reference!$D$8)*(1+Reference!$D$11*(IF(MONTH($A465)=Reference!$D$4,1,0)+IF(MONTH($A465)=Reference!$D$5,1,0))+(IF(MONTH($A465)=Reference!$D$6,Reference!$D$13,0))),0)</f>
        <v>459</v>
      </c>
      <c r="E465" s="11">
        <f ca="1">D465*Reference!$D$7*(1-IF(MONTH($A465)=Reference!$D$6,1,0)*Reference!$D$12)</f>
        <v>344250</v>
      </c>
      <c r="M465" s="20"/>
      <c r="N465" s="20"/>
      <c r="O465" s="19"/>
      <c r="P465" s="10"/>
      <c r="Q465" s="10"/>
      <c r="R465" s="10"/>
      <c r="S465" s="10"/>
      <c r="T465" s="10"/>
      <c r="U465" s="10"/>
      <c r="V465" s="10"/>
      <c r="W465" s="10"/>
      <c r="X465" s="10"/>
      <c r="Y465" s="10"/>
    </row>
    <row r="466" spans="1:25" x14ac:dyDescent="0.25">
      <c r="A466" s="9">
        <v>41004</v>
      </c>
      <c r="B466" s="10">
        <f ca="1">ROUND(_xlfn.NORM.INV(RAND(),Reference!$C$8,0.1*Reference!$C$8)*(1+Reference!$C$11*(IF(MONTH($A466)=Reference!$C$4,1,0)+IF(MONTH($A466)=Reference!$C$5,1,0))+(IF(MONTH($A466)=Reference!$C$6,Reference!$C$13,0))),0)</f>
        <v>499</v>
      </c>
      <c r="C466" s="11">
        <f ca="1">B466*Reference!$C$7*(1-IF(MONTH($A466)=Reference!$C$6,1,0)*Reference!$C$12)</f>
        <v>464070</v>
      </c>
      <c r="D466" s="10">
        <f ca="1">ROUND(_xlfn.NORM.INV(RAND(),Reference!$D$8,0.1*Reference!$D$8)*(1+Reference!$D$11*(IF(MONTH($A466)=Reference!$D$4,1,0)+IF(MONTH($A466)=Reference!$D$5,1,0))+(IF(MONTH($A466)=Reference!$D$6,Reference!$D$13,0))),0)</f>
        <v>368</v>
      </c>
      <c r="E466" s="11">
        <f ca="1">D466*Reference!$D$7*(1-IF(MONTH($A466)=Reference!$D$6,1,0)*Reference!$D$12)</f>
        <v>276000</v>
      </c>
      <c r="M466" s="20"/>
      <c r="N466" s="20"/>
      <c r="O466" s="19"/>
      <c r="P466" s="10"/>
      <c r="Q466" s="10"/>
      <c r="R466" s="10"/>
      <c r="S466" s="10"/>
      <c r="T466" s="10"/>
      <c r="U466" s="10"/>
      <c r="V466" s="10"/>
      <c r="W466" s="10"/>
      <c r="X466" s="10"/>
      <c r="Y466" s="10"/>
    </row>
    <row r="467" spans="1:25" x14ac:dyDescent="0.25">
      <c r="A467" s="9">
        <v>41005</v>
      </c>
      <c r="B467" s="10">
        <f ca="1">ROUND(_xlfn.NORM.INV(RAND(),Reference!$C$8,0.1*Reference!$C$8)*(1+Reference!$C$11*(IF(MONTH($A467)=Reference!$C$4,1,0)+IF(MONTH($A467)=Reference!$C$5,1,0))+(IF(MONTH($A467)=Reference!$C$6,Reference!$C$13,0))),0)</f>
        <v>458</v>
      </c>
      <c r="C467" s="11">
        <f ca="1">B467*Reference!$C$7*(1-IF(MONTH($A467)=Reference!$C$6,1,0)*Reference!$C$12)</f>
        <v>425940</v>
      </c>
      <c r="D467" s="10">
        <f ca="1">ROUND(_xlfn.NORM.INV(RAND(),Reference!$D$8,0.1*Reference!$D$8)*(1+Reference!$D$11*(IF(MONTH($A467)=Reference!$D$4,1,0)+IF(MONTH($A467)=Reference!$D$5,1,0))+(IF(MONTH($A467)=Reference!$D$6,Reference!$D$13,0))),0)</f>
        <v>457</v>
      </c>
      <c r="E467" s="11">
        <f ca="1">D467*Reference!$D$7*(1-IF(MONTH($A467)=Reference!$D$6,1,0)*Reference!$D$12)</f>
        <v>342750</v>
      </c>
      <c r="M467" s="20"/>
      <c r="N467" s="20"/>
      <c r="O467" s="19"/>
      <c r="P467" s="10"/>
      <c r="Q467" s="10"/>
      <c r="R467" s="10"/>
      <c r="S467" s="10"/>
      <c r="T467" s="10"/>
      <c r="U467" s="10"/>
      <c r="V467" s="10"/>
      <c r="W467" s="10"/>
      <c r="X467" s="10"/>
      <c r="Y467" s="10"/>
    </row>
    <row r="468" spans="1:25" x14ac:dyDescent="0.25">
      <c r="A468" s="9">
        <v>41006</v>
      </c>
      <c r="B468" s="10">
        <f ca="1">ROUND(_xlfn.NORM.INV(RAND(),Reference!$C$8,0.1*Reference!$C$8)*(1+Reference!$C$11*(IF(MONTH($A468)=Reference!$C$4,1,0)+IF(MONTH($A468)=Reference!$C$5,1,0))+(IF(MONTH($A468)=Reference!$C$6,Reference!$C$13,0))),0)</f>
        <v>582</v>
      </c>
      <c r="C468" s="11">
        <f ca="1">B468*Reference!$C$7*(1-IF(MONTH($A468)=Reference!$C$6,1,0)*Reference!$C$12)</f>
        <v>541260</v>
      </c>
      <c r="D468" s="10">
        <f ca="1">ROUND(_xlfn.NORM.INV(RAND(),Reference!$D$8,0.1*Reference!$D$8)*(1+Reference!$D$11*(IF(MONTH($A468)=Reference!$D$4,1,0)+IF(MONTH($A468)=Reference!$D$5,1,0))+(IF(MONTH($A468)=Reference!$D$6,Reference!$D$13,0))),0)</f>
        <v>467</v>
      </c>
      <c r="E468" s="11">
        <f ca="1">D468*Reference!$D$7*(1-IF(MONTH($A468)=Reference!$D$6,1,0)*Reference!$D$12)</f>
        <v>350250</v>
      </c>
      <c r="M468" s="20"/>
      <c r="N468" s="20"/>
      <c r="O468" s="19"/>
      <c r="P468" s="10"/>
      <c r="Q468" s="10"/>
      <c r="R468" s="10"/>
      <c r="S468" s="10"/>
      <c r="T468" s="10"/>
      <c r="U468" s="10"/>
      <c r="V468" s="10"/>
      <c r="W468" s="10"/>
      <c r="X468" s="10"/>
      <c r="Y468" s="10"/>
    </row>
    <row r="469" spans="1:25" x14ac:dyDescent="0.25">
      <c r="A469" s="9">
        <v>41007</v>
      </c>
      <c r="B469" s="10">
        <f ca="1">ROUND(_xlfn.NORM.INV(RAND(),Reference!$C$8,0.1*Reference!$C$8)*(1+Reference!$C$11*(IF(MONTH($A469)=Reference!$C$4,1,0)+IF(MONTH($A469)=Reference!$C$5,1,0))+(IF(MONTH($A469)=Reference!$C$6,Reference!$C$13,0))),0)</f>
        <v>505</v>
      </c>
      <c r="C469" s="11">
        <f ca="1">B469*Reference!$C$7*(1-IF(MONTH($A469)=Reference!$C$6,1,0)*Reference!$C$12)</f>
        <v>469650</v>
      </c>
      <c r="D469" s="10">
        <f ca="1">ROUND(_xlfn.NORM.INV(RAND(),Reference!$D$8,0.1*Reference!$D$8)*(1+Reference!$D$11*(IF(MONTH($A469)=Reference!$D$4,1,0)+IF(MONTH($A469)=Reference!$D$5,1,0))+(IF(MONTH($A469)=Reference!$D$6,Reference!$D$13,0))),0)</f>
        <v>485</v>
      </c>
      <c r="E469" s="11">
        <f ca="1">D469*Reference!$D$7*(1-IF(MONTH($A469)=Reference!$D$6,1,0)*Reference!$D$12)</f>
        <v>363750</v>
      </c>
      <c r="M469" s="20"/>
      <c r="N469" s="20"/>
      <c r="O469" s="19"/>
      <c r="P469" s="10"/>
      <c r="Q469" s="10"/>
      <c r="R469" s="10"/>
      <c r="S469" s="10"/>
      <c r="T469" s="10"/>
      <c r="U469" s="10"/>
      <c r="V469" s="10"/>
      <c r="W469" s="10"/>
      <c r="X469" s="10"/>
      <c r="Y469" s="10"/>
    </row>
    <row r="470" spans="1:25" x14ac:dyDescent="0.25">
      <c r="A470" s="9">
        <v>41008</v>
      </c>
      <c r="B470" s="10">
        <f ca="1">ROUND(_xlfn.NORM.INV(RAND(),Reference!$C$8,0.1*Reference!$C$8)*(1+Reference!$C$11*(IF(MONTH($A470)=Reference!$C$4,1,0)+IF(MONTH($A470)=Reference!$C$5,1,0))+(IF(MONTH($A470)=Reference!$C$6,Reference!$C$13,0))),0)</f>
        <v>575</v>
      </c>
      <c r="C470" s="11">
        <f ca="1">B470*Reference!$C$7*(1-IF(MONTH($A470)=Reference!$C$6,1,0)*Reference!$C$12)</f>
        <v>534750</v>
      </c>
      <c r="D470" s="10">
        <f ca="1">ROUND(_xlfn.NORM.INV(RAND(),Reference!$D$8,0.1*Reference!$D$8)*(1+Reference!$D$11*(IF(MONTH($A470)=Reference!$D$4,1,0)+IF(MONTH($A470)=Reference!$D$5,1,0))+(IF(MONTH($A470)=Reference!$D$6,Reference!$D$13,0))),0)</f>
        <v>433</v>
      </c>
      <c r="E470" s="11">
        <f ca="1">D470*Reference!$D$7*(1-IF(MONTH($A470)=Reference!$D$6,1,0)*Reference!$D$12)</f>
        <v>324750</v>
      </c>
      <c r="M470" s="20"/>
      <c r="N470" s="20"/>
      <c r="O470" s="19"/>
      <c r="P470" s="10"/>
      <c r="Q470" s="10"/>
      <c r="R470" s="10"/>
      <c r="S470" s="10"/>
      <c r="T470" s="10"/>
      <c r="U470" s="10"/>
      <c r="V470" s="10"/>
      <c r="W470" s="10"/>
      <c r="X470" s="10"/>
      <c r="Y470" s="10"/>
    </row>
    <row r="471" spans="1:25" x14ac:dyDescent="0.25">
      <c r="A471" s="9">
        <v>41009</v>
      </c>
      <c r="B471" s="10">
        <f ca="1">ROUND(_xlfn.NORM.INV(RAND(),Reference!$C$8,0.1*Reference!$C$8)*(1+Reference!$C$11*(IF(MONTH($A471)=Reference!$C$4,1,0)+IF(MONTH($A471)=Reference!$C$5,1,0))+(IF(MONTH($A471)=Reference!$C$6,Reference!$C$13,0))),0)</f>
        <v>450</v>
      </c>
      <c r="C471" s="11">
        <f ca="1">B471*Reference!$C$7*(1-IF(MONTH($A471)=Reference!$C$6,1,0)*Reference!$C$12)</f>
        <v>418500</v>
      </c>
      <c r="D471" s="10">
        <f ca="1">ROUND(_xlfn.NORM.INV(RAND(),Reference!$D$8,0.1*Reference!$D$8)*(1+Reference!$D$11*(IF(MONTH($A471)=Reference!$D$4,1,0)+IF(MONTH($A471)=Reference!$D$5,1,0))+(IF(MONTH($A471)=Reference!$D$6,Reference!$D$13,0))),0)</f>
        <v>426</v>
      </c>
      <c r="E471" s="11">
        <f ca="1">D471*Reference!$D$7*(1-IF(MONTH($A471)=Reference!$D$6,1,0)*Reference!$D$12)</f>
        <v>319500</v>
      </c>
      <c r="M471" s="20"/>
      <c r="N471" s="20"/>
      <c r="O471" s="19"/>
      <c r="P471" s="10"/>
      <c r="Q471" s="10"/>
      <c r="R471" s="10"/>
      <c r="S471" s="10"/>
      <c r="T471" s="10"/>
      <c r="U471" s="10"/>
      <c r="V471" s="10"/>
      <c r="W471" s="10"/>
      <c r="X471" s="10"/>
      <c r="Y471" s="10"/>
    </row>
    <row r="472" spans="1:25" x14ac:dyDescent="0.25">
      <c r="A472" s="9">
        <v>41010</v>
      </c>
      <c r="B472" s="10">
        <f ca="1">ROUND(_xlfn.NORM.INV(RAND(),Reference!$C$8,0.1*Reference!$C$8)*(1+Reference!$C$11*(IF(MONTH($A472)=Reference!$C$4,1,0)+IF(MONTH($A472)=Reference!$C$5,1,0))+(IF(MONTH($A472)=Reference!$C$6,Reference!$C$13,0))),0)</f>
        <v>601</v>
      </c>
      <c r="C472" s="11">
        <f ca="1">B472*Reference!$C$7*(1-IF(MONTH($A472)=Reference!$C$6,1,0)*Reference!$C$12)</f>
        <v>558930</v>
      </c>
      <c r="D472" s="10">
        <f ca="1">ROUND(_xlfn.NORM.INV(RAND(),Reference!$D$8,0.1*Reference!$D$8)*(1+Reference!$D$11*(IF(MONTH($A472)=Reference!$D$4,1,0)+IF(MONTH($A472)=Reference!$D$5,1,0))+(IF(MONTH($A472)=Reference!$D$6,Reference!$D$13,0))),0)</f>
        <v>496</v>
      </c>
      <c r="E472" s="11">
        <f ca="1">D472*Reference!$D$7*(1-IF(MONTH($A472)=Reference!$D$6,1,0)*Reference!$D$12)</f>
        <v>372000</v>
      </c>
      <c r="M472" s="20"/>
      <c r="N472" s="20"/>
      <c r="O472" s="19"/>
      <c r="P472" s="10"/>
      <c r="Q472" s="10"/>
      <c r="R472" s="10"/>
      <c r="S472" s="10"/>
      <c r="T472" s="10"/>
      <c r="U472" s="10"/>
      <c r="V472" s="10"/>
      <c r="W472" s="10"/>
      <c r="X472" s="10"/>
      <c r="Y472" s="10"/>
    </row>
    <row r="473" spans="1:25" x14ac:dyDescent="0.25">
      <c r="A473" s="9">
        <v>41011</v>
      </c>
      <c r="B473" s="10">
        <f ca="1">ROUND(_xlfn.NORM.INV(RAND(),Reference!$C$8,0.1*Reference!$C$8)*(1+Reference!$C$11*(IF(MONTH($A473)=Reference!$C$4,1,0)+IF(MONTH($A473)=Reference!$C$5,1,0))+(IF(MONTH($A473)=Reference!$C$6,Reference!$C$13,0))),0)</f>
        <v>493</v>
      </c>
      <c r="C473" s="11">
        <f ca="1">B473*Reference!$C$7*(1-IF(MONTH($A473)=Reference!$C$6,1,0)*Reference!$C$12)</f>
        <v>458490</v>
      </c>
      <c r="D473" s="10">
        <f ca="1">ROUND(_xlfn.NORM.INV(RAND(),Reference!$D$8,0.1*Reference!$D$8)*(1+Reference!$D$11*(IF(MONTH($A473)=Reference!$D$4,1,0)+IF(MONTH($A473)=Reference!$D$5,1,0))+(IF(MONTH($A473)=Reference!$D$6,Reference!$D$13,0))),0)</f>
        <v>383</v>
      </c>
      <c r="E473" s="11">
        <f ca="1">D473*Reference!$D$7*(1-IF(MONTH($A473)=Reference!$D$6,1,0)*Reference!$D$12)</f>
        <v>287250</v>
      </c>
      <c r="M473" s="20"/>
      <c r="N473" s="20"/>
      <c r="O473" s="19"/>
      <c r="P473" s="10"/>
      <c r="Q473" s="10"/>
      <c r="R473" s="10"/>
      <c r="S473" s="10"/>
      <c r="T473" s="10"/>
      <c r="U473" s="10"/>
      <c r="V473" s="10"/>
      <c r="W473" s="10"/>
      <c r="X473" s="10"/>
      <c r="Y473" s="10"/>
    </row>
    <row r="474" spans="1:25" x14ac:dyDescent="0.25">
      <c r="A474" s="9">
        <v>41012</v>
      </c>
      <c r="B474" s="10">
        <f ca="1">ROUND(_xlfn.NORM.INV(RAND(),Reference!$C$8,0.1*Reference!$C$8)*(1+Reference!$C$11*(IF(MONTH($A474)=Reference!$C$4,1,0)+IF(MONTH($A474)=Reference!$C$5,1,0))+(IF(MONTH($A474)=Reference!$C$6,Reference!$C$13,0))),0)</f>
        <v>537</v>
      </c>
      <c r="C474" s="11">
        <f ca="1">B474*Reference!$C$7*(1-IF(MONTH($A474)=Reference!$C$6,1,0)*Reference!$C$12)</f>
        <v>499410</v>
      </c>
      <c r="D474" s="10">
        <f ca="1">ROUND(_xlfn.NORM.INV(RAND(),Reference!$D$8,0.1*Reference!$D$8)*(1+Reference!$D$11*(IF(MONTH($A474)=Reference!$D$4,1,0)+IF(MONTH($A474)=Reference!$D$5,1,0))+(IF(MONTH($A474)=Reference!$D$6,Reference!$D$13,0))),0)</f>
        <v>504</v>
      </c>
      <c r="E474" s="11">
        <f ca="1">D474*Reference!$D$7*(1-IF(MONTH($A474)=Reference!$D$6,1,0)*Reference!$D$12)</f>
        <v>378000</v>
      </c>
      <c r="M474" s="20"/>
      <c r="N474" s="20"/>
      <c r="O474" s="19"/>
      <c r="P474" s="10"/>
      <c r="Q474" s="10"/>
      <c r="R474" s="10"/>
      <c r="S474" s="10"/>
      <c r="T474" s="10"/>
      <c r="U474" s="10"/>
      <c r="V474" s="10"/>
      <c r="W474" s="10"/>
      <c r="X474" s="10"/>
      <c r="Y474" s="10"/>
    </row>
    <row r="475" spans="1:25" x14ac:dyDescent="0.25">
      <c r="A475" s="9">
        <v>41013</v>
      </c>
      <c r="B475" s="10">
        <f ca="1">ROUND(_xlfn.NORM.INV(RAND(),Reference!$C$8,0.1*Reference!$C$8)*(1+Reference!$C$11*(IF(MONTH($A475)=Reference!$C$4,1,0)+IF(MONTH($A475)=Reference!$C$5,1,0))+(IF(MONTH($A475)=Reference!$C$6,Reference!$C$13,0))),0)</f>
        <v>492</v>
      </c>
      <c r="C475" s="11">
        <f ca="1">B475*Reference!$C$7*(1-IF(MONTH($A475)=Reference!$C$6,1,0)*Reference!$C$12)</f>
        <v>457560</v>
      </c>
      <c r="D475" s="10">
        <f ca="1">ROUND(_xlfn.NORM.INV(RAND(),Reference!$D$8,0.1*Reference!$D$8)*(1+Reference!$D$11*(IF(MONTH($A475)=Reference!$D$4,1,0)+IF(MONTH($A475)=Reference!$D$5,1,0))+(IF(MONTH($A475)=Reference!$D$6,Reference!$D$13,0))),0)</f>
        <v>479</v>
      </c>
      <c r="E475" s="11">
        <f ca="1">D475*Reference!$D$7*(1-IF(MONTH($A475)=Reference!$D$6,1,0)*Reference!$D$12)</f>
        <v>359250</v>
      </c>
      <c r="M475" s="20"/>
      <c r="N475" s="20"/>
      <c r="O475" s="19"/>
      <c r="P475" s="10"/>
      <c r="Q475" s="10"/>
      <c r="R475" s="10"/>
      <c r="S475" s="10"/>
      <c r="T475" s="10"/>
      <c r="U475" s="10"/>
      <c r="V475" s="10"/>
      <c r="W475" s="10"/>
      <c r="X475" s="10"/>
      <c r="Y475" s="10"/>
    </row>
    <row r="476" spans="1:25" x14ac:dyDescent="0.25">
      <c r="A476" s="9">
        <v>41014</v>
      </c>
      <c r="B476" s="10">
        <f ca="1">ROUND(_xlfn.NORM.INV(RAND(),Reference!$C$8,0.1*Reference!$C$8)*(1+Reference!$C$11*(IF(MONTH($A476)=Reference!$C$4,1,0)+IF(MONTH($A476)=Reference!$C$5,1,0))+(IF(MONTH($A476)=Reference!$C$6,Reference!$C$13,0))),0)</f>
        <v>611</v>
      </c>
      <c r="C476" s="11">
        <f ca="1">B476*Reference!$C$7*(1-IF(MONTH($A476)=Reference!$C$6,1,0)*Reference!$C$12)</f>
        <v>568230</v>
      </c>
      <c r="D476" s="10">
        <f ca="1">ROUND(_xlfn.NORM.INV(RAND(),Reference!$D$8,0.1*Reference!$D$8)*(1+Reference!$D$11*(IF(MONTH($A476)=Reference!$D$4,1,0)+IF(MONTH($A476)=Reference!$D$5,1,0))+(IF(MONTH($A476)=Reference!$D$6,Reference!$D$13,0))),0)</f>
        <v>476</v>
      </c>
      <c r="E476" s="11">
        <f ca="1">D476*Reference!$D$7*(1-IF(MONTH($A476)=Reference!$D$6,1,0)*Reference!$D$12)</f>
        <v>357000</v>
      </c>
      <c r="M476" s="20"/>
      <c r="N476" s="20"/>
      <c r="O476" s="19"/>
      <c r="P476" s="10"/>
      <c r="Q476" s="10"/>
      <c r="R476" s="10"/>
      <c r="S476" s="10"/>
      <c r="T476" s="10"/>
      <c r="U476" s="10"/>
      <c r="V476" s="10"/>
      <c r="W476" s="10"/>
      <c r="X476" s="10"/>
      <c r="Y476" s="10"/>
    </row>
    <row r="477" spans="1:25" x14ac:dyDescent="0.25">
      <c r="A477" s="9">
        <v>41015</v>
      </c>
      <c r="B477" s="10">
        <f ca="1">ROUND(_xlfn.NORM.INV(RAND(),Reference!$C$8,0.1*Reference!$C$8)*(1+Reference!$C$11*(IF(MONTH($A477)=Reference!$C$4,1,0)+IF(MONTH($A477)=Reference!$C$5,1,0))+(IF(MONTH($A477)=Reference!$C$6,Reference!$C$13,0))),0)</f>
        <v>510</v>
      </c>
      <c r="C477" s="11">
        <f ca="1">B477*Reference!$C$7*(1-IF(MONTH($A477)=Reference!$C$6,1,0)*Reference!$C$12)</f>
        <v>474300</v>
      </c>
      <c r="D477" s="10">
        <f ca="1">ROUND(_xlfn.NORM.INV(RAND(),Reference!$D$8,0.1*Reference!$D$8)*(1+Reference!$D$11*(IF(MONTH($A477)=Reference!$D$4,1,0)+IF(MONTH($A477)=Reference!$D$5,1,0))+(IF(MONTH($A477)=Reference!$D$6,Reference!$D$13,0))),0)</f>
        <v>487</v>
      </c>
      <c r="E477" s="11">
        <f ca="1">D477*Reference!$D$7*(1-IF(MONTH($A477)=Reference!$D$6,1,0)*Reference!$D$12)</f>
        <v>365250</v>
      </c>
      <c r="M477" s="20"/>
      <c r="N477" s="20"/>
      <c r="O477" s="19"/>
      <c r="P477" s="10"/>
      <c r="Q477" s="10"/>
      <c r="R477" s="10"/>
      <c r="S477" s="10"/>
      <c r="T477" s="10"/>
      <c r="U477" s="10"/>
      <c r="V477" s="10"/>
      <c r="W477" s="10"/>
      <c r="X477" s="10"/>
      <c r="Y477" s="10"/>
    </row>
    <row r="478" spans="1:25" x14ac:dyDescent="0.25">
      <c r="A478" s="9">
        <v>41016</v>
      </c>
      <c r="B478" s="10">
        <f ca="1">ROUND(_xlfn.NORM.INV(RAND(),Reference!$C$8,0.1*Reference!$C$8)*(1+Reference!$C$11*(IF(MONTH($A478)=Reference!$C$4,1,0)+IF(MONTH($A478)=Reference!$C$5,1,0))+(IF(MONTH($A478)=Reference!$C$6,Reference!$C$13,0))),0)</f>
        <v>396</v>
      </c>
      <c r="C478" s="11">
        <f ca="1">B478*Reference!$C$7*(1-IF(MONTH($A478)=Reference!$C$6,1,0)*Reference!$C$12)</f>
        <v>368280</v>
      </c>
      <c r="D478" s="10">
        <f ca="1">ROUND(_xlfn.NORM.INV(RAND(),Reference!$D$8,0.1*Reference!$D$8)*(1+Reference!$D$11*(IF(MONTH($A478)=Reference!$D$4,1,0)+IF(MONTH($A478)=Reference!$D$5,1,0))+(IF(MONTH($A478)=Reference!$D$6,Reference!$D$13,0))),0)</f>
        <v>504</v>
      </c>
      <c r="E478" s="11">
        <f ca="1">D478*Reference!$D$7*(1-IF(MONTH($A478)=Reference!$D$6,1,0)*Reference!$D$12)</f>
        <v>378000</v>
      </c>
      <c r="M478" s="20"/>
      <c r="N478" s="20"/>
      <c r="O478" s="19"/>
      <c r="P478" s="10"/>
      <c r="Q478" s="10"/>
      <c r="R478" s="10"/>
      <c r="S478" s="10"/>
      <c r="T478" s="10"/>
      <c r="U478" s="10"/>
      <c r="V478" s="10"/>
      <c r="W478" s="10"/>
      <c r="X478" s="10"/>
      <c r="Y478" s="10"/>
    </row>
    <row r="479" spans="1:25" x14ac:dyDescent="0.25">
      <c r="A479" s="9">
        <v>41017</v>
      </c>
      <c r="B479" s="10">
        <f ca="1">ROUND(_xlfn.NORM.INV(RAND(),Reference!$C$8,0.1*Reference!$C$8)*(1+Reference!$C$11*(IF(MONTH($A479)=Reference!$C$4,1,0)+IF(MONTH($A479)=Reference!$C$5,1,0))+(IF(MONTH($A479)=Reference!$C$6,Reference!$C$13,0))),0)</f>
        <v>472</v>
      </c>
      <c r="C479" s="11">
        <f ca="1">B479*Reference!$C$7*(1-IF(MONTH($A479)=Reference!$C$6,1,0)*Reference!$C$12)</f>
        <v>438960</v>
      </c>
      <c r="D479" s="10">
        <f ca="1">ROUND(_xlfn.NORM.INV(RAND(),Reference!$D$8,0.1*Reference!$D$8)*(1+Reference!$D$11*(IF(MONTH($A479)=Reference!$D$4,1,0)+IF(MONTH($A479)=Reference!$D$5,1,0))+(IF(MONTH($A479)=Reference!$D$6,Reference!$D$13,0))),0)</f>
        <v>425</v>
      </c>
      <c r="E479" s="11">
        <f ca="1">D479*Reference!$D$7*(1-IF(MONTH($A479)=Reference!$D$6,1,0)*Reference!$D$12)</f>
        <v>318750</v>
      </c>
      <c r="M479" s="20"/>
      <c r="N479" s="20"/>
      <c r="O479" s="19"/>
      <c r="P479" s="10"/>
      <c r="Q479" s="10"/>
      <c r="R479" s="10"/>
      <c r="S479" s="10"/>
      <c r="T479" s="10"/>
      <c r="U479" s="10"/>
      <c r="V479" s="10"/>
      <c r="W479" s="10"/>
      <c r="X479" s="10"/>
      <c r="Y479" s="10"/>
    </row>
    <row r="480" spans="1:25" x14ac:dyDescent="0.25">
      <c r="A480" s="9">
        <v>41018</v>
      </c>
      <c r="B480" s="10">
        <f ca="1">ROUND(_xlfn.NORM.INV(RAND(),Reference!$C$8,0.1*Reference!$C$8)*(1+Reference!$C$11*(IF(MONTH($A480)=Reference!$C$4,1,0)+IF(MONTH($A480)=Reference!$C$5,1,0))+(IF(MONTH($A480)=Reference!$C$6,Reference!$C$13,0))),0)</f>
        <v>550</v>
      </c>
      <c r="C480" s="11">
        <f ca="1">B480*Reference!$C$7*(1-IF(MONTH($A480)=Reference!$C$6,1,0)*Reference!$C$12)</f>
        <v>511500</v>
      </c>
      <c r="D480" s="10">
        <f ca="1">ROUND(_xlfn.NORM.INV(RAND(),Reference!$D$8,0.1*Reference!$D$8)*(1+Reference!$D$11*(IF(MONTH($A480)=Reference!$D$4,1,0)+IF(MONTH($A480)=Reference!$D$5,1,0))+(IF(MONTH($A480)=Reference!$D$6,Reference!$D$13,0))),0)</f>
        <v>417</v>
      </c>
      <c r="E480" s="11">
        <f ca="1">D480*Reference!$D$7*(1-IF(MONTH($A480)=Reference!$D$6,1,0)*Reference!$D$12)</f>
        <v>312750</v>
      </c>
      <c r="M480" s="20"/>
      <c r="N480" s="20"/>
      <c r="O480" s="19"/>
      <c r="P480" s="10"/>
      <c r="Q480" s="10"/>
      <c r="R480" s="10"/>
      <c r="S480" s="10"/>
      <c r="T480" s="10"/>
      <c r="U480" s="10"/>
      <c r="V480" s="10"/>
      <c r="W480" s="10"/>
      <c r="X480" s="10"/>
      <c r="Y480" s="10"/>
    </row>
    <row r="481" spans="1:25" x14ac:dyDescent="0.25">
      <c r="A481" s="9">
        <v>41019</v>
      </c>
      <c r="B481" s="10">
        <f ca="1">ROUND(_xlfn.NORM.INV(RAND(),Reference!$C$8,0.1*Reference!$C$8)*(1+Reference!$C$11*(IF(MONTH($A481)=Reference!$C$4,1,0)+IF(MONTH($A481)=Reference!$C$5,1,0))+(IF(MONTH($A481)=Reference!$C$6,Reference!$C$13,0))),0)</f>
        <v>526</v>
      </c>
      <c r="C481" s="11">
        <f ca="1">B481*Reference!$C$7*(1-IF(MONTH($A481)=Reference!$C$6,1,0)*Reference!$C$12)</f>
        <v>489180</v>
      </c>
      <c r="D481" s="10">
        <f ca="1">ROUND(_xlfn.NORM.INV(RAND(),Reference!$D$8,0.1*Reference!$D$8)*(1+Reference!$D$11*(IF(MONTH($A481)=Reference!$D$4,1,0)+IF(MONTH($A481)=Reference!$D$5,1,0))+(IF(MONTH($A481)=Reference!$D$6,Reference!$D$13,0))),0)</f>
        <v>507</v>
      </c>
      <c r="E481" s="11">
        <f ca="1">D481*Reference!$D$7*(1-IF(MONTH($A481)=Reference!$D$6,1,0)*Reference!$D$12)</f>
        <v>380250</v>
      </c>
      <c r="M481" s="20"/>
      <c r="N481" s="20"/>
      <c r="O481" s="19"/>
      <c r="P481" s="10"/>
      <c r="Q481" s="10"/>
      <c r="R481" s="10"/>
      <c r="S481" s="10"/>
      <c r="T481" s="10"/>
      <c r="U481" s="10"/>
      <c r="V481" s="10"/>
      <c r="W481" s="10"/>
      <c r="X481" s="10"/>
      <c r="Y481" s="10"/>
    </row>
    <row r="482" spans="1:25" x14ac:dyDescent="0.25">
      <c r="A482" s="9">
        <v>41020</v>
      </c>
      <c r="B482" s="10">
        <f ca="1">ROUND(_xlfn.NORM.INV(RAND(),Reference!$C$8,0.1*Reference!$C$8)*(1+Reference!$C$11*(IF(MONTH($A482)=Reference!$C$4,1,0)+IF(MONTH($A482)=Reference!$C$5,1,0))+(IF(MONTH($A482)=Reference!$C$6,Reference!$C$13,0))),0)</f>
        <v>492</v>
      </c>
      <c r="C482" s="11">
        <f ca="1">B482*Reference!$C$7*(1-IF(MONTH($A482)=Reference!$C$6,1,0)*Reference!$C$12)</f>
        <v>457560</v>
      </c>
      <c r="D482" s="10">
        <f ca="1">ROUND(_xlfn.NORM.INV(RAND(),Reference!$D$8,0.1*Reference!$D$8)*(1+Reference!$D$11*(IF(MONTH($A482)=Reference!$D$4,1,0)+IF(MONTH($A482)=Reference!$D$5,1,0))+(IF(MONTH($A482)=Reference!$D$6,Reference!$D$13,0))),0)</f>
        <v>458</v>
      </c>
      <c r="E482" s="11">
        <f ca="1">D482*Reference!$D$7*(1-IF(MONTH($A482)=Reference!$D$6,1,0)*Reference!$D$12)</f>
        <v>343500</v>
      </c>
      <c r="M482" s="20"/>
      <c r="N482" s="20"/>
      <c r="O482" s="19"/>
      <c r="P482" s="10"/>
      <c r="Q482" s="10"/>
      <c r="R482" s="10"/>
      <c r="S482" s="10"/>
      <c r="T482" s="10"/>
      <c r="U482" s="10"/>
      <c r="V482" s="10"/>
      <c r="W482" s="10"/>
      <c r="X482" s="10"/>
      <c r="Y482" s="10"/>
    </row>
    <row r="483" spans="1:25" x14ac:dyDescent="0.25">
      <c r="A483" s="9">
        <v>41021</v>
      </c>
      <c r="B483" s="10">
        <f ca="1">ROUND(_xlfn.NORM.INV(RAND(),Reference!$C$8,0.1*Reference!$C$8)*(1+Reference!$C$11*(IF(MONTH($A483)=Reference!$C$4,1,0)+IF(MONTH($A483)=Reference!$C$5,1,0))+(IF(MONTH($A483)=Reference!$C$6,Reference!$C$13,0))),0)</f>
        <v>603</v>
      </c>
      <c r="C483" s="11">
        <f ca="1">B483*Reference!$C$7*(1-IF(MONTH($A483)=Reference!$C$6,1,0)*Reference!$C$12)</f>
        <v>560790</v>
      </c>
      <c r="D483" s="10">
        <f ca="1">ROUND(_xlfn.NORM.INV(RAND(),Reference!$D$8,0.1*Reference!$D$8)*(1+Reference!$D$11*(IF(MONTH($A483)=Reference!$D$4,1,0)+IF(MONTH($A483)=Reference!$D$5,1,0))+(IF(MONTH($A483)=Reference!$D$6,Reference!$D$13,0))),0)</f>
        <v>482</v>
      </c>
      <c r="E483" s="11">
        <f ca="1">D483*Reference!$D$7*(1-IF(MONTH($A483)=Reference!$D$6,1,0)*Reference!$D$12)</f>
        <v>361500</v>
      </c>
      <c r="M483" s="20"/>
      <c r="N483" s="20"/>
      <c r="O483" s="19"/>
      <c r="P483" s="10"/>
      <c r="Q483" s="10"/>
      <c r="R483" s="10"/>
      <c r="S483" s="10"/>
      <c r="T483" s="10"/>
      <c r="U483" s="10"/>
      <c r="V483" s="10"/>
      <c r="W483" s="10"/>
      <c r="X483" s="10"/>
      <c r="Y483" s="10"/>
    </row>
    <row r="484" spans="1:25" x14ac:dyDescent="0.25">
      <c r="A484" s="9">
        <v>41022</v>
      </c>
      <c r="B484" s="10">
        <f ca="1">ROUND(_xlfn.NORM.INV(RAND(),Reference!$C$8,0.1*Reference!$C$8)*(1+Reference!$C$11*(IF(MONTH($A484)=Reference!$C$4,1,0)+IF(MONTH($A484)=Reference!$C$5,1,0))+(IF(MONTH($A484)=Reference!$C$6,Reference!$C$13,0))),0)</f>
        <v>502</v>
      </c>
      <c r="C484" s="11">
        <f ca="1">B484*Reference!$C$7*(1-IF(MONTH($A484)=Reference!$C$6,1,0)*Reference!$C$12)</f>
        <v>466860</v>
      </c>
      <c r="D484" s="10">
        <f ca="1">ROUND(_xlfn.NORM.INV(RAND(),Reference!$D$8,0.1*Reference!$D$8)*(1+Reference!$D$11*(IF(MONTH($A484)=Reference!$D$4,1,0)+IF(MONTH($A484)=Reference!$D$5,1,0))+(IF(MONTH($A484)=Reference!$D$6,Reference!$D$13,0))),0)</f>
        <v>485</v>
      </c>
      <c r="E484" s="11">
        <f ca="1">D484*Reference!$D$7*(1-IF(MONTH($A484)=Reference!$D$6,1,0)*Reference!$D$12)</f>
        <v>363750</v>
      </c>
      <c r="M484" s="20"/>
      <c r="N484" s="20"/>
      <c r="O484" s="19"/>
      <c r="P484" s="10"/>
      <c r="Q484" s="10"/>
      <c r="R484" s="10"/>
      <c r="S484" s="10"/>
      <c r="T484" s="10"/>
      <c r="U484" s="10"/>
      <c r="V484" s="10"/>
      <c r="W484" s="10"/>
      <c r="X484" s="10"/>
      <c r="Y484" s="10"/>
    </row>
    <row r="485" spans="1:25" x14ac:dyDescent="0.25">
      <c r="A485" s="9">
        <v>41023</v>
      </c>
      <c r="B485" s="10">
        <f ca="1">ROUND(_xlfn.NORM.INV(RAND(),Reference!$C$8,0.1*Reference!$C$8)*(1+Reference!$C$11*(IF(MONTH($A485)=Reference!$C$4,1,0)+IF(MONTH($A485)=Reference!$C$5,1,0))+(IF(MONTH($A485)=Reference!$C$6,Reference!$C$13,0))),0)</f>
        <v>539</v>
      </c>
      <c r="C485" s="11">
        <f ca="1">B485*Reference!$C$7*(1-IF(MONTH($A485)=Reference!$C$6,1,0)*Reference!$C$12)</f>
        <v>501270</v>
      </c>
      <c r="D485" s="10">
        <f ca="1">ROUND(_xlfn.NORM.INV(RAND(),Reference!$D$8,0.1*Reference!$D$8)*(1+Reference!$D$11*(IF(MONTH($A485)=Reference!$D$4,1,0)+IF(MONTH($A485)=Reference!$D$5,1,0))+(IF(MONTH($A485)=Reference!$D$6,Reference!$D$13,0))),0)</f>
        <v>464</v>
      </c>
      <c r="E485" s="11">
        <f ca="1">D485*Reference!$D$7*(1-IF(MONTH($A485)=Reference!$D$6,1,0)*Reference!$D$12)</f>
        <v>348000</v>
      </c>
      <c r="M485" s="20"/>
      <c r="N485" s="20"/>
      <c r="O485" s="19"/>
      <c r="P485" s="10"/>
      <c r="Q485" s="10"/>
      <c r="R485" s="10"/>
      <c r="S485" s="10"/>
      <c r="T485" s="10"/>
      <c r="U485" s="10"/>
      <c r="V485" s="10"/>
      <c r="W485" s="10"/>
      <c r="X485" s="10"/>
      <c r="Y485" s="10"/>
    </row>
    <row r="486" spans="1:25" x14ac:dyDescent="0.25">
      <c r="A486" s="9">
        <v>41024</v>
      </c>
      <c r="B486" s="10">
        <f ca="1">ROUND(_xlfn.NORM.INV(RAND(),Reference!$C$8,0.1*Reference!$C$8)*(1+Reference!$C$11*(IF(MONTH($A486)=Reference!$C$4,1,0)+IF(MONTH($A486)=Reference!$C$5,1,0))+(IF(MONTH($A486)=Reference!$C$6,Reference!$C$13,0))),0)</f>
        <v>635</v>
      </c>
      <c r="C486" s="11">
        <f ca="1">B486*Reference!$C$7*(1-IF(MONTH($A486)=Reference!$C$6,1,0)*Reference!$C$12)</f>
        <v>590550</v>
      </c>
      <c r="D486" s="10">
        <f ca="1">ROUND(_xlfn.NORM.INV(RAND(),Reference!$D$8,0.1*Reference!$D$8)*(1+Reference!$D$11*(IF(MONTH($A486)=Reference!$D$4,1,0)+IF(MONTH($A486)=Reference!$D$5,1,0))+(IF(MONTH($A486)=Reference!$D$6,Reference!$D$13,0))),0)</f>
        <v>431</v>
      </c>
      <c r="E486" s="11">
        <f ca="1">D486*Reference!$D$7*(1-IF(MONTH($A486)=Reference!$D$6,1,0)*Reference!$D$12)</f>
        <v>323250</v>
      </c>
      <c r="M486" s="20"/>
      <c r="N486" s="20"/>
      <c r="O486" s="19"/>
      <c r="P486" s="10"/>
      <c r="Q486" s="10"/>
      <c r="R486" s="10"/>
      <c r="S486" s="10"/>
      <c r="T486" s="10"/>
      <c r="U486" s="10"/>
      <c r="V486" s="10"/>
      <c r="W486" s="10"/>
      <c r="X486" s="10"/>
      <c r="Y486" s="10"/>
    </row>
    <row r="487" spans="1:25" x14ac:dyDescent="0.25">
      <c r="A487" s="9">
        <v>41025</v>
      </c>
      <c r="B487" s="10">
        <f ca="1">ROUND(_xlfn.NORM.INV(RAND(),Reference!$C$8,0.1*Reference!$C$8)*(1+Reference!$C$11*(IF(MONTH($A487)=Reference!$C$4,1,0)+IF(MONTH($A487)=Reference!$C$5,1,0))+(IF(MONTH($A487)=Reference!$C$6,Reference!$C$13,0))),0)</f>
        <v>586</v>
      </c>
      <c r="C487" s="11">
        <f ca="1">B487*Reference!$C$7*(1-IF(MONTH($A487)=Reference!$C$6,1,0)*Reference!$C$12)</f>
        <v>544980</v>
      </c>
      <c r="D487" s="10">
        <f ca="1">ROUND(_xlfn.NORM.INV(RAND(),Reference!$D$8,0.1*Reference!$D$8)*(1+Reference!$D$11*(IF(MONTH($A487)=Reference!$D$4,1,0)+IF(MONTH($A487)=Reference!$D$5,1,0))+(IF(MONTH($A487)=Reference!$D$6,Reference!$D$13,0))),0)</f>
        <v>437</v>
      </c>
      <c r="E487" s="11">
        <f ca="1">D487*Reference!$D$7*(1-IF(MONTH($A487)=Reference!$D$6,1,0)*Reference!$D$12)</f>
        <v>327750</v>
      </c>
      <c r="M487" s="20"/>
      <c r="N487" s="20"/>
      <c r="O487" s="19"/>
      <c r="P487" s="10"/>
      <c r="Q487" s="10"/>
      <c r="R487" s="10"/>
      <c r="S487" s="10"/>
      <c r="T487" s="10"/>
      <c r="U487" s="10"/>
      <c r="V487" s="10"/>
      <c r="W487" s="10"/>
      <c r="X487" s="10"/>
      <c r="Y487" s="10"/>
    </row>
    <row r="488" spans="1:25" x14ac:dyDescent="0.25">
      <c r="A488" s="9">
        <v>41026</v>
      </c>
      <c r="B488" s="10">
        <f ca="1">ROUND(_xlfn.NORM.INV(RAND(),Reference!$C$8,0.1*Reference!$C$8)*(1+Reference!$C$11*(IF(MONTH($A488)=Reference!$C$4,1,0)+IF(MONTH($A488)=Reference!$C$5,1,0))+(IF(MONTH($A488)=Reference!$C$6,Reference!$C$13,0))),0)</f>
        <v>410</v>
      </c>
      <c r="C488" s="11">
        <f ca="1">B488*Reference!$C$7*(1-IF(MONTH($A488)=Reference!$C$6,1,0)*Reference!$C$12)</f>
        <v>381300</v>
      </c>
      <c r="D488" s="10">
        <f ca="1">ROUND(_xlfn.NORM.INV(RAND(),Reference!$D$8,0.1*Reference!$D$8)*(1+Reference!$D$11*(IF(MONTH($A488)=Reference!$D$4,1,0)+IF(MONTH($A488)=Reference!$D$5,1,0))+(IF(MONTH($A488)=Reference!$D$6,Reference!$D$13,0))),0)</f>
        <v>398</v>
      </c>
      <c r="E488" s="11">
        <f ca="1">D488*Reference!$D$7*(1-IF(MONTH($A488)=Reference!$D$6,1,0)*Reference!$D$12)</f>
        <v>298500</v>
      </c>
      <c r="M488" s="20"/>
      <c r="N488" s="20"/>
      <c r="O488" s="19"/>
      <c r="P488" s="10"/>
      <c r="Q488" s="10"/>
      <c r="R488" s="10"/>
      <c r="S488" s="10"/>
      <c r="T488" s="10"/>
      <c r="U488" s="10"/>
      <c r="V488" s="10"/>
      <c r="W488" s="10"/>
      <c r="X488" s="10"/>
      <c r="Y488" s="10"/>
    </row>
    <row r="489" spans="1:25" x14ac:dyDescent="0.25">
      <c r="A489" s="9">
        <v>41027</v>
      </c>
      <c r="B489" s="10">
        <f ca="1">ROUND(_xlfn.NORM.INV(RAND(),Reference!$C$8,0.1*Reference!$C$8)*(1+Reference!$C$11*(IF(MONTH($A489)=Reference!$C$4,1,0)+IF(MONTH($A489)=Reference!$C$5,1,0))+(IF(MONTH($A489)=Reference!$C$6,Reference!$C$13,0))),0)</f>
        <v>517</v>
      </c>
      <c r="C489" s="11">
        <f ca="1">B489*Reference!$C$7*(1-IF(MONTH($A489)=Reference!$C$6,1,0)*Reference!$C$12)</f>
        <v>480810</v>
      </c>
      <c r="D489" s="10">
        <f ca="1">ROUND(_xlfn.NORM.INV(RAND(),Reference!$D$8,0.1*Reference!$D$8)*(1+Reference!$D$11*(IF(MONTH($A489)=Reference!$D$4,1,0)+IF(MONTH($A489)=Reference!$D$5,1,0))+(IF(MONTH($A489)=Reference!$D$6,Reference!$D$13,0))),0)</f>
        <v>364</v>
      </c>
      <c r="E489" s="11">
        <f ca="1">D489*Reference!$D$7*(1-IF(MONTH($A489)=Reference!$D$6,1,0)*Reference!$D$12)</f>
        <v>273000</v>
      </c>
      <c r="M489" s="20"/>
      <c r="N489" s="20"/>
      <c r="O489" s="19"/>
      <c r="P489" s="10"/>
      <c r="Q489" s="10"/>
      <c r="R489" s="10"/>
      <c r="S489" s="10"/>
      <c r="T489" s="10"/>
      <c r="U489" s="10"/>
      <c r="V489" s="10"/>
      <c r="W489" s="10"/>
      <c r="X489" s="10"/>
      <c r="Y489" s="10"/>
    </row>
    <row r="490" spans="1:25" x14ac:dyDescent="0.25">
      <c r="A490" s="9">
        <v>41028</v>
      </c>
      <c r="B490" s="10">
        <f ca="1">ROUND(_xlfn.NORM.INV(RAND(),Reference!$C$8,0.1*Reference!$C$8)*(1+Reference!$C$11*(IF(MONTH($A490)=Reference!$C$4,1,0)+IF(MONTH($A490)=Reference!$C$5,1,0))+(IF(MONTH($A490)=Reference!$C$6,Reference!$C$13,0))),0)</f>
        <v>532</v>
      </c>
      <c r="C490" s="11">
        <f ca="1">B490*Reference!$C$7*(1-IF(MONTH($A490)=Reference!$C$6,1,0)*Reference!$C$12)</f>
        <v>494760</v>
      </c>
      <c r="D490" s="10">
        <f ca="1">ROUND(_xlfn.NORM.INV(RAND(),Reference!$D$8,0.1*Reference!$D$8)*(1+Reference!$D$11*(IF(MONTH($A490)=Reference!$D$4,1,0)+IF(MONTH($A490)=Reference!$D$5,1,0))+(IF(MONTH($A490)=Reference!$D$6,Reference!$D$13,0))),0)</f>
        <v>429</v>
      </c>
      <c r="E490" s="11">
        <f ca="1">D490*Reference!$D$7*(1-IF(MONTH($A490)=Reference!$D$6,1,0)*Reference!$D$12)</f>
        <v>321750</v>
      </c>
      <c r="M490" s="20"/>
      <c r="N490" s="20"/>
      <c r="O490" s="19"/>
      <c r="P490" s="10"/>
      <c r="Q490" s="10"/>
      <c r="R490" s="10"/>
      <c r="S490" s="10"/>
      <c r="T490" s="10"/>
      <c r="U490" s="10"/>
      <c r="V490" s="10"/>
      <c r="W490" s="10"/>
      <c r="X490" s="10"/>
      <c r="Y490" s="10"/>
    </row>
    <row r="491" spans="1:25" x14ac:dyDescent="0.25">
      <c r="A491" s="9">
        <v>41029</v>
      </c>
      <c r="B491" s="10">
        <f ca="1">ROUND(_xlfn.NORM.INV(RAND(),Reference!$C$8,0.1*Reference!$C$8)*(1+Reference!$C$11*(IF(MONTH($A491)=Reference!$C$4,1,0)+IF(MONTH($A491)=Reference!$C$5,1,0))+(IF(MONTH($A491)=Reference!$C$6,Reference!$C$13,0))),0)</f>
        <v>551</v>
      </c>
      <c r="C491" s="11">
        <f ca="1">B491*Reference!$C$7*(1-IF(MONTH($A491)=Reference!$C$6,1,0)*Reference!$C$12)</f>
        <v>512430</v>
      </c>
      <c r="D491" s="10">
        <f ca="1">ROUND(_xlfn.NORM.INV(RAND(),Reference!$D$8,0.1*Reference!$D$8)*(1+Reference!$D$11*(IF(MONTH($A491)=Reference!$D$4,1,0)+IF(MONTH($A491)=Reference!$D$5,1,0))+(IF(MONTH($A491)=Reference!$D$6,Reference!$D$13,0))),0)</f>
        <v>483</v>
      </c>
      <c r="E491" s="11">
        <f ca="1">D491*Reference!$D$7*(1-IF(MONTH($A491)=Reference!$D$6,1,0)*Reference!$D$12)</f>
        <v>362250</v>
      </c>
      <c r="M491" s="20"/>
      <c r="N491" s="20"/>
      <c r="O491" s="19"/>
      <c r="P491" s="10"/>
      <c r="Q491" s="10"/>
      <c r="R491" s="10"/>
      <c r="S491" s="10"/>
      <c r="T491" s="10"/>
      <c r="U491" s="10"/>
      <c r="V491" s="10"/>
      <c r="W491" s="10"/>
      <c r="X491" s="10"/>
      <c r="Y491" s="10"/>
    </row>
    <row r="492" spans="1:25" x14ac:dyDescent="0.25">
      <c r="A492" s="9">
        <v>41030</v>
      </c>
      <c r="B492" s="10">
        <f ca="1">ROUND(_xlfn.NORM.INV(RAND(),Reference!$C$8,0.1*Reference!$C$8)*(1+Reference!$C$11*(IF(MONTH($A492)=Reference!$C$4,1,0)+IF(MONTH($A492)=Reference!$C$5,1,0))+(IF(MONTH($A492)=Reference!$C$6,Reference!$C$13,0))),0)</f>
        <v>559</v>
      </c>
      <c r="C492" s="11">
        <f ca="1">B492*Reference!$C$7*(1-IF(MONTH($A492)=Reference!$C$6,1,0)*Reference!$C$12)</f>
        <v>519870</v>
      </c>
      <c r="D492" s="10">
        <f ca="1">ROUND(_xlfn.NORM.INV(RAND(),Reference!$D$8,0.1*Reference!$D$8)*(1+Reference!$D$11*(IF(MONTH($A492)=Reference!$D$4,1,0)+IF(MONTH($A492)=Reference!$D$5,1,0))+(IF(MONTH($A492)=Reference!$D$6,Reference!$D$13,0))),0)</f>
        <v>524</v>
      </c>
      <c r="E492" s="11">
        <f ca="1">D492*Reference!$D$7*(1-IF(MONTH($A492)=Reference!$D$6,1,0)*Reference!$D$12)</f>
        <v>393000</v>
      </c>
      <c r="M492" s="20"/>
      <c r="N492" s="20"/>
      <c r="O492" s="19"/>
      <c r="P492" s="10"/>
      <c r="Q492" s="10"/>
      <c r="R492" s="10"/>
      <c r="S492" s="10"/>
      <c r="T492" s="10"/>
      <c r="U492" s="10"/>
      <c r="V492" s="10"/>
      <c r="W492" s="10"/>
      <c r="X492" s="10"/>
      <c r="Y492" s="10"/>
    </row>
    <row r="493" spans="1:25" x14ac:dyDescent="0.25">
      <c r="A493" s="9">
        <v>41031</v>
      </c>
      <c r="B493" s="10">
        <f ca="1">ROUND(_xlfn.NORM.INV(RAND(),Reference!$C$8,0.1*Reference!$C$8)*(1+Reference!$C$11*(IF(MONTH($A493)=Reference!$C$4,1,0)+IF(MONTH($A493)=Reference!$C$5,1,0))+(IF(MONTH($A493)=Reference!$C$6,Reference!$C$13,0))),0)</f>
        <v>463</v>
      </c>
      <c r="C493" s="11">
        <f ca="1">B493*Reference!$C$7*(1-IF(MONTH($A493)=Reference!$C$6,1,0)*Reference!$C$12)</f>
        <v>430590</v>
      </c>
      <c r="D493" s="10">
        <f ca="1">ROUND(_xlfn.NORM.INV(RAND(),Reference!$D$8,0.1*Reference!$D$8)*(1+Reference!$D$11*(IF(MONTH($A493)=Reference!$D$4,1,0)+IF(MONTH($A493)=Reference!$D$5,1,0))+(IF(MONTH($A493)=Reference!$D$6,Reference!$D$13,0))),0)</f>
        <v>439</v>
      </c>
      <c r="E493" s="11">
        <f ca="1">D493*Reference!$D$7*(1-IF(MONTH($A493)=Reference!$D$6,1,0)*Reference!$D$12)</f>
        <v>329250</v>
      </c>
      <c r="M493" s="20"/>
      <c r="N493" s="20"/>
      <c r="O493" s="19"/>
      <c r="P493" s="10"/>
      <c r="Q493" s="10"/>
      <c r="R493" s="10"/>
      <c r="S493" s="10"/>
      <c r="T493" s="10"/>
      <c r="U493" s="10"/>
      <c r="V493" s="10"/>
      <c r="W493" s="10"/>
      <c r="X493" s="10"/>
      <c r="Y493" s="10"/>
    </row>
    <row r="494" spans="1:25" x14ac:dyDescent="0.25">
      <c r="A494" s="9">
        <v>41032</v>
      </c>
      <c r="B494" s="10">
        <f ca="1">ROUND(_xlfn.NORM.INV(RAND(),Reference!$C$8,0.1*Reference!$C$8)*(1+Reference!$C$11*(IF(MONTH($A494)=Reference!$C$4,1,0)+IF(MONTH($A494)=Reference!$C$5,1,0))+(IF(MONTH($A494)=Reference!$C$6,Reference!$C$13,0))),0)</f>
        <v>628</v>
      </c>
      <c r="C494" s="11">
        <f ca="1">B494*Reference!$C$7*(1-IF(MONTH($A494)=Reference!$C$6,1,0)*Reference!$C$12)</f>
        <v>584040</v>
      </c>
      <c r="D494" s="10">
        <f ca="1">ROUND(_xlfn.NORM.INV(RAND(),Reference!$D$8,0.1*Reference!$D$8)*(1+Reference!$D$11*(IF(MONTH($A494)=Reference!$D$4,1,0)+IF(MONTH($A494)=Reference!$D$5,1,0))+(IF(MONTH($A494)=Reference!$D$6,Reference!$D$13,0))),0)</f>
        <v>460</v>
      </c>
      <c r="E494" s="11">
        <f ca="1">D494*Reference!$D$7*(1-IF(MONTH($A494)=Reference!$D$6,1,0)*Reference!$D$12)</f>
        <v>345000</v>
      </c>
      <c r="M494" s="20"/>
      <c r="N494" s="20"/>
      <c r="O494" s="19"/>
      <c r="P494" s="10"/>
      <c r="Q494" s="10"/>
      <c r="R494" s="10"/>
      <c r="S494" s="10"/>
      <c r="T494" s="10"/>
      <c r="U494" s="10"/>
      <c r="V494" s="10"/>
      <c r="W494" s="10"/>
      <c r="X494" s="10"/>
      <c r="Y494" s="10"/>
    </row>
    <row r="495" spans="1:25" x14ac:dyDescent="0.25">
      <c r="A495" s="9">
        <v>41033</v>
      </c>
      <c r="B495" s="10">
        <f ca="1">ROUND(_xlfn.NORM.INV(RAND(),Reference!$C$8,0.1*Reference!$C$8)*(1+Reference!$C$11*(IF(MONTH($A495)=Reference!$C$4,1,0)+IF(MONTH($A495)=Reference!$C$5,1,0))+(IF(MONTH($A495)=Reference!$C$6,Reference!$C$13,0))),0)</f>
        <v>582</v>
      </c>
      <c r="C495" s="11">
        <f ca="1">B495*Reference!$C$7*(1-IF(MONTH($A495)=Reference!$C$6,1,0)*Reference!$C$12)</f>
        <v>541260</v>
      </c>
      <c r="D495" s="10">
        <f ca="1">ROUND(_xlfn.NORM.INV(RAND(),Reference!$D$8,0.1*Reference!$D$8)*(1+Reference!$D$11*(IF(MONTH($A495)=Reference!$D$4,1,0)+IF(MONTH($A495)=Reference!$D$5,1,0))+(IF(MONTH($A495)=Reference!$D$6,Reference!$D$13,0))),0)</f>
        <v>346</v>
      </c>
      <c r="E495" s="11">
        <f ca="1">D495*Reference!$D$7*(1-IF(MONTH($A495)=Reference!$D$6,1,0)*Reference!$D$12)</f>
        <v>259500</v>
      </c>
      <c r="M495" s="20"/>
      <c r="N495" s="20"/>
      <c r="O495" s="19"/>
      <c r="P495" s="10"/>
      <c r="Q495" s="10"/>
      <c r="R495" s="10"/>
      <c r="S495" s="10"/>
      <c r="T495" s="10"/>
      <c r="U495" s="10"/>
      <c r="V495" s="10"/>
      <c r="W495" s="10"/>
      <c r="X495" s="10"/>
      <c r="Y495" s="10"/>
    </row>
    <row r="496" spans="1:25" x14ac:dyDescent="0.25">
      <c r="A496" s="9">
        <v>41034</v>
      </c>
      <c r="B496" s="10">
        <f ca="1">ROUND(_xlfn.NORM.INV(RAND(),Reference!$C$8,0.1*Reference!$C$8)*(1+Reference!$C$11*(IF(MONTH($A496)=Reference!$C$4,1,0)+IF(MONTH($A496)=Reference!$C$5,1,0))+(IF(MONTH($A496)=Reference!$C$6,Reference!$C$13,0))),0)</f>
        <v>562</v>
      </c>
      <c r="C496" s="11">
        <f ca="1">B496*Reference!$C$7*(1-IF(MONTH($A496)=Reference!$C$6,1,0)*Reference!$C$12)</f>
        <v>522660</v>
      </c>
      <c r="D496" s="10">
        <f ca="1">ROUND(_xlfn.NORM.INV(RAND(),Reference!$D$8,0.1*Reference!$D$8)*(1+Reference!$D$11*(IF(MONTH($A496)=Reference!$D$4,1,0)+IF(MONTH($A496)=Reference!$D$5,1,0))+(IF(MONTH($A496)=Reference!$D$6,Reference!$D$13,0))),0)</f>
        <v>418</v>
      </c>
      <c r="E496" s="11">
        <f ca="1">D496*Reference!$D$7*(1-IF(MONTH($A496)=Reference!$D$6,1,0)*Reference!$D$12)</f>
        <v>313500</v>
      </c>
      <c r="M496" s="20"/>
      <c r="N496" s="20"/>
      <c r="O496" s="19"/>
      <c r="P496" s="10"/>
      <c r="Q496" s="10"/>
      <c r="R496" s="10"/>
      <c r="S496" s="10"/>
      <c r="T496" s="10"/>
      <c r="U496" s="10"/>
      <c r="V496" s="10"/>
      <c r="W496" s="10"/>
      <c r="X496" s="10"/>
      <c r="Y496" s="10"/>
    </row>
    <row r="497" spans="1:25" x14ac:dyDescent="0.25">
      <c r="A497" s="9">
        <v>41035</v>
      </c>
      <c r="B497" s="10">
        <f ca="1">ROUND(_xlfn.NORM.INV(RAND(),Reference!$C$8,0.1*Reference!$C$8)*(1+Reference!$C$11*(IF(MONTH($A497)=Reference!$C$4,1,0)+IF(MONTH($A497)=Reference!$C$5,1,0))+(IF(MONTH($A497)=Reference!$C$6,Reference!$C$13,0))),0)</f>
        <v>505</v>
      </c>
      <c r="C497" s="11">
        <f ca="1">B497*Reference!$C$7*(1-IF(MONTH($A497)=Reference!$C$6,1,0)*Reference!$C$12)</f>
        <v>469650</v>
      </c>
      <c r="D497" s="10">
        <f ca="1">ROUND(_xlfn.NORM.INV(RAND(),Reference!$D$8,0.1*Reference!$D$8)*(1+Reference!$D$11*(IF(MONTH($A497)=Reference!$D$4,1,0)+IF(MONTH($A497)=Reference!$D$5,1,0))+(IF(MONTH($A497)=Reference!$D$6,Reference!$D$13,0))),0)</f>
        <v>428</v>
      </c>
      <c r="E497" s="11">
        <f ca="1">D497*Reference!$D$7*(1-IF(MONTH($A497)=Reference!$D$6,1,0)*Reference!$D$12)</f>
        <v>321000</v>
      </c>
      <c r="M497" s="20"/>
      <c r="N497" s="20"/>
      <c r="O497" s="19"/>
      <c r="P497" s="10"/>
      <c r="Q497" s="10"/>
      <c r="R497" s="10"/>
      <c r="S497" s="10"/>
      <c r="T497" s="10"/>
      <c r="U497" s="10"/>
      <c r="V497" s="10"/>
      <c r="W497" s="10"/>
      <c r="X497" s="10"/>
      <c r="Y497" s="10"/>
    </row>
    <row r="498" spans="1:25" x14ac:dyDescent="0.25">
      <c r="A498" s="9">
        <v>41036</v>
      </c>
      <c r="B498" s="10">
        <f ca="1">ROUND(_xlfn.NORM.INV(RAND(),Reference!$C$8,0.1*Reference!$C$8)*(1+Reference!$C$11*(IF(MONTH($A498)=Reference!$C$4,1,0)+IF(MONTH($A498)=Reference!$C$5,1,0))+(IF(MONTH($A498)=Reference!$C$6,Reference!$C$13,0))),0)</f>
        <v>549</v>
      </c>
      <c r="C498" s="11">
        <f ca="1">B498*Reference!$C$7*(1-IF(MONTH($A498)=Reference!$C$6,1,0)*Reference!$C$12)</f>
        <v>510570</v>
      </c>
      <c r="D498" s="10">
        <f ca="1">ROUND(_xlfn.NORM.INV(RAND(),Reference!$D$8,0.1*Reference!$D$8)*(1+Reference!$D$11*(IF(MONTH($A498)=Reference!$D$4,1,0)+IF(MONTH($A498)=Reference!$D$5,1,0))+(IF(MONTH($A498)=Reference!$D$6,Reference!$D$13,0))),0)</f>
        <v>430</v>
      </c>
      <c r="E498" s="11">
        <f ca="1">D498*Reference!$D$7*(1-IF(MONTH($A498)=Reference!$D$6,1,0)*Reference!$D$12)</f>
        <v>322500</v>
      </c>
      <c r="M498" s="20"/>
      <c r="N498" s="20"/>
      <c r="O498" s="19"/>
      <c r="P498" s="10"/>
      <c r="Q498" s="10"/>
      <c r="R498" s="10"/>
      <c r="S498" s="10"/>
      <c r="T498" s="10"/>
      <c r="U498" s="10"/>
      <c r="V498" s="10"/>
      <c r="W498" s="10"/>
      <c r="X498" s="10"/>
      <c r="Y498" s="10"/>
    </row>
    <row r="499" spans="1:25" x14ac:dyDescent="0.25">
      <c r="A499" s="9">
        <v>41037</v>
      </c>
      <c r="B499" s="10">
        <f ca="1">ROUND(_xlfn.NORM.INV(RAND(),Reference!$C$8,0.1*Reference!$C$8)*(1+Reference!$C$11*(IF(MONTH($A499)=Reference!$C$4,1,0)+IF(MONTH($A499)=Reference!$C$5,1,0))+(IF(MONTH($A499)=Reference!$C$6,Reference!$C$13,0))),0)</f>
        <v>539</v>
      </c>
      <c r="C499" s="11">
        <f ca="1">B499*Reference!$C$7*(1-IF(MONTH($A499)=Reference!$C$6,1,0)*Reference!$C$12)</f>
        <v>501270</v>
      </c>
      <c r="D499" s="10">
        <f ca="1">ROUND(_xlfn.NORM.INV(RAND(),Reference!$D$8,0.1*Reference!$D$8)*(1+Reference!$D$11*(IF(MONTH($A499)=Reference!$D$4,1,0)+IF(MONTH($A499)=Reference!$D$5,1,0))+(IF(MONTH($A499)=Reference!$D$6,Reference!$D$13,0))),0)</f>
        <v>431</v>
      </c>
      <c r="E499" s="11">
        <f ca="1">D499*Reference!$D$7*(1-IF(MONTH($A499)=Reference!$D$6,1,0)*Reference!$D$12)</f>
        <v>323250</v>
      </c>
      <c r="M499" s="20"/>
      <c r="N499" s="20"/>
      <c r="O499" s="19"/>
      <c r="P499" s="10"/>
      <c r="Q499" s="10"/>
      <c r="R499" s="10"/>
      <c r="S499" s="10"/>
      <c r="T499" s="10"/>
      <c r="U499" s="10"/>
      <c r="V499" s="10"/>
      <c r="W499" s="10"/>
      <c r="X499" s="10"/>
      <c r="Y499" s="10"/>
    </row>
    <row r="500" spans="1:25" x14ac:dyDescent="0.25">
      <c r="A500" s="9">
        <v>41038</v>
      </c>
      <c r="B500" s="10">
        <f ca="1">ROUND(_xlfn.NORM.INV(RAND(),Reference!$C$8,0.1*Reference!$C$8)*(1+Reference!$C$11*(IF(MONTH($A500)=Reference!$C$4,1,0)+IF(MONTH($A500)=Reference!$C$5,1,0))+(IF(MONTH($A500)=Reference!$C$6,Reference!$C$13,0))),0)</f>
        <v>494</v>
      </c>
      <c r="C500" s="11">
        <f ca="1">B500*Reference!$C$7*(1-IF(MONTH($A500)=Reference!$C$6,1,0)*Reference!$C$12)</f>
        <v>459420</v>
      </c>
      <c r="D500" s="10">
        <f ca="1">ROUND(_xlfn.NORM.INV(RAND(),Reference!$D$8,0.1*Reference!$D$8)*(1+Reference!$D$11*(IF(MONTH($A500)=Reference!$D$4,1,0)+IF(MONTH($A500)=Reference!$D$5,1,0))+(IF(MONTH($A500)=Reference!$D$6,Reference!$D$13,0))),0)</f>
        <v>468</v>
      </c>
      <c r="E500" s="11">
        <f ca="1">D500*Reference!$D$7*(1-IF(MONTH($A500)=Reference!$D$6,1,0)*Reference!$D$12)</f>
        <v>351000</v>
      </c>
      <c r="M500" s="20"/>
      <c r="N500" s="20"/>
      <c r="O500" s="19"/>
      <c r="P500" s="10"/>
      <c r="Q500" s="10"/>
      <c r="R500" s="10"/>
      <c r="S500" s="10"/>
      <c r="T500" s="10"/>
      <c r="U500" s="10"/>
      <c r="V500" s="10"/>
      <c r="W500" s="10"/>
      <c r="X500" s="10"/>
      <c r="Y500" s="10"/>
    </row>
    <row r="501" spans="1:25" x14ac:dyDescent="0.25">
      <c r="A501" s="9">
        <v>41039</v>
      </c>
      <c r="B501" s="10">
        <f ca="1">ROUND(_xlfn.NORM.INV(RAND(),Reference!$C$8,0.1*Reference!$C$8)*(1+Reference!$C$11*(IF(MONTH($A501)=Reference!$C$4,1,0)+IF(MONTH($A501)=Reference!$C$5,1,0))+(IF(MONTH($A501)=Reference!$C$6,Reference!$C$13,0))),0)</f>
        <v>539</v>
      </c>
      <c r="C501" s="11">
        <f ca="1">B501*Reference!$C$7*(1-IF(MONTH($A501)=Reference!$C$6,1,0)*Reference!$C$12)</f>
        <v>501270</v>
      </c>
      <c r="D501" s="10">
        <f ca="1">ROUND(_xlfn.NORM.INV(RAND(),Reference!$D$8,0.1*Reference!$D$8)*(1+Reference!$D$11*(IF(MONTH($A501)=Reference!$D$4,1,0)+IF(MONTH($A501)=Reference!$D$5,1,0))+(IF(MONTH($A501)=Reference!$D$6,Reference!$D$13,0))),0)</f>
        <v>461</v>
      </c>
      <c r="E501" s="11">
        <f ca="1">D501*Reference!$D$7*(1-IF(MONTH($A501)=Reference!$D$6,1,0)*Reference!$D$12)</f>
        <v>345750</v>
      </c>
      <c r="M501" s="20"/>
      <c r="N501" s="20"/>
      <c r="O501" s="19"/>
      <c r="P501" s="10"/>
      <c r="Q501" s="10"/>
      <c r="R501" s="10"/>
      <c r="S501" s="10"/>
      <c r="T501" s="10"/>
      <c r="U501" s="10"/>
      <c r="V501" s="10"/>
      <c r="W501" s="10"/>
      <c r="X501" s="10"/>
      <c r="Y501" s="10"/>
    </row>
    <row r="502" spans="1:25" x14ac:dyDescent="0.25">
      <c r="A502" s="9">
        <v>41040</v>
      </c>
      <c r="B502" s="10">
        <f ca="1">ROUND(_xlfn.NORM.INV(RAND(),Reference!$C$8,0.1*Reference!$C$8)*(1+Reference!$C$11*(IF(MONTH($A502)=Reference!$C$4,1,0)+IF(MONTH($A502)=Reference!$C$5,1,0))+(IF(MONTH($A502)=Reference!$C$6,Reference!$C$13,0))),0)</f>
        <v>543</v>
      </c>
      <c r="C502" s="11">
        <f ca="1">B502*Reference!$C$7*(1-IF(MONTH($A502)=Reference!$C$6,1,0)*Reference!$C$12)</f>
        <v>504990</v>
      </c>
      <c r="D502" s="10">
        <f ca="1">ROUND(_xlfn.NORM.INV(RAND(),Reference!$D$8,0.1*Reference!$D$8)*(1+Reference!$D$11*(IF(MONTH($A502)=Reference!$D$4,1,0)+IF(MONTH($A502)=Reference!$D$5,1,0))+(IF(MONTH($A502)=Reference!$D$6,Reference!$D$13,0))),0)</f>
        <v>437</v>
      </c>
      <c r="E502" s="11">
        <f ca="1">D502*Reference!$D$7*(1-IF(MONTH($A502)=Reference!$D$6,1,0)*Reference!$D$12)</f>
        <v>327750</v>
      </c>
      <c r="M502" s="20"/>
      <c r="N502" s="20"/>
      <c r="O502" s="19"/>
      <c r="P502" s="10"/>
      <c r="Q502" s="10"/>
      <c r="R502" s="10"/>
      <c r="S502" s="10"/>
      <c r="T502" s="10"/>
      <c r="U502" s="10"/>
      <c r="V502" s="10"/>
      <c r="W502" s="10"/>
      <c r="X502" s="10"/>
      <c r="Y502" s="10"/>
    </row>
    <row r="503" spans="1:25" x14ac:dyDescent="0.25">
      <c r="A503" s="9">
        <v>41041</v>
      </c>
      <c r="B503" s="10">
        <f ca="1">ROUND(_xlfn.NORM.INV(RAND(),Reference!$C$8,0.1*Reference!$C$8)*(1+Reference!$C$11*(IF(MONTH($A503)=Reference!$C$4,1,0)+IF(MONTH($A503)=Reference!$C$5,1,0))+(IF(MONTH($A503)=Reference!$C$6,Reference!$C$13,0))),0)</f>
        <v>580</v>
      </c>
      <c r="C503" s="11">
        <f ca="1">B503*Reference!$C$7*(1-IF(MONTH($A503)=Reference!$C$6,1,0)*Reference!$C$12)</f>
        <v>539400</v>
      </c>
      <c r="D503" s="10">
        <f ca="1">ROUND(_xlfn.NORM.INV(RAND(),Reference!$D$8,0.1*Reference!$D$8)*(1+Reference!$D$11*(IF(MONTH($A503)=Reference!$D$4,1,0)+IF(MONTH($A503)=Reference!$D$5,1,0))+(IF(MONTH($A503)=Reference!$D$6,Reference!$D$13,0))),0)</f>
        <v>428</v>
      </c>
      <c r="E503" s="11">
        <f ca="1">D503*Reference!$D$7*(1-IF(MONTH($A503)=Reference!$D$6,1,0)*Reference!$D$12)</f>
        <v>321000</v>
      </c>
      <c r="M503" s="20"/>
      <c r="N503" s="20"/>
      <c r="O503" s="19"/>
      <c r="P503" s="10"/>
      <c r="Q503" s="10"/>
      <c r="R503" s="10"/>
      <c r="S503" s="10"/>
      <c r="T503" s="10"/>
      <c r="U503" s="10"/>
      <c r="V503" s="10"/>
      <c r="W503" s="10"/>
      <c r="X503" s="10"/>
      <c r="Y503" s="10"/>
    </row>
    <row r="504" spans="1:25" x14ac:dyDescent="0.25">
      <c r="A504" s="9">
        <v>41042</v>
      </c>
      <c r="B504" s="10">
        <f ca="1">ROUND(_xlfn.NORM.INV(RAND(),Reference!$C$8,0.1*Reference!$C$8)*(1+Reference!$C$11*(IF(MONTH($A504)=Reference!$C$4,1,0)+IF(MONTH($A504)=Reference!$C$5,1,0))+(IF(MONTH($A504)=Reference!$C$6,Reference!$C$13,0))),0)</f>
        <v>541</v>
      </c>
      <c r="C504" s="11">
        <f ca="1">B504*Reference!$C$7*(1-IF(MONTH($A504)=Reference!$C$6,1,0)*Reference!$C$12)</f>
        <v>503130</v>
      </c>
      <c r="D504" s="10">
        <f ca="1">ROUND(_xlfn.NORM.INV(RAND(),Reference!$D$8,0.1*Reference!$D$8)*(1+Reference!$D$11*(IF(MONTH($A504)=Reference!$D$4,1,0)+IF(MONTH($A504)=Reference!$D$5,1,0))+(IF(MONTH($A504)=Reference!$D$6,Reference!$D$13,0))),0)</f>
        <v>518</v>
      </c>
      <c r="E504" s="11">
        <f ca="1">D504*Reference!$D$7*(1-IF(MONTH($A504)=Reference!$D$6,1,0)*Reference!$D$12)</f>
        <v>388500</v>
      </c>
      <c r="M504" s="20"/>
      <c r="N504" s="20"/>
      <c r="O504" s="19"/>
      <c r="P504" s="10"/>
      <c r="Q504" s="10"/>
      <c r="R504" s="10"/>
      <c r="S504" s="10"/>
      <c r="T504" s="10"/>
      <c r="U504" s="10"/>
      <c r="V504" s="10"/>
      <c r="W504" s="10"/>
      <c r="X504" s="10"/>
      <c r="Y504" s="10"/>
    </row>
    <row r="505" spans="1:25" x14ac:dyDescent="0.25">
      <c r="A505" s="9">
        <v>41043</v>
      </c>
      <c r="B505" s="10">
        <f ca="1">ROUND(_xlfn.NORM.INV(RAND(),Reference!$C$8,0.1*Reference!$C$8)*(1+Reference!$C$11*(IF(MONTH($A505)=Reference!$C$4,1,0)+IF(MONTH($A505)=Reference!$C$5,1,0))+(IF(MONTH($A505)=Reference!$C$6,Reference!$C$13,0))),0)</f>
        <v>570</v>
      </c>
      <c r="C505" s="11">
        <f ca="1">B505*Reference!$C$7*(1-IF(MONTH($A505)=Reference!$C$6,1,0)*Reference!$C$12)</f>
        <v>530100</v>
      </c>
      <c r="D505" s="10">
        <f ca="1">ROUND(_xlfn.NORM.INV(RAND(),Reference!$D$8,0.1*Reference!$D$8)*(1+Reference!$D$11*(IF(MONTH($A505)=Reference!$D$4,1,0)+IF(MONTH($A505)=Reference!$D$5,1,0))+(IF(MONTH($A505)=Reference!$D$6,Reference!$D$13,0))),0)</f>
        <v>417</v>
      </c>
      <c r="E505" s="11">
        <f ca="1">D505*Reference!$D$7*(1-IF(MONTH($A505)=Reference!$D$6,1,0)*Reference!$D$12)</f>
        <v>312750</v>
      </c>
      <c r="M505" s="20"/>
      <c r="N505" s="20"/>
      <c r="O505" s="19"/>
      <c r="P505" s="10"/>
      <c r="Q505" s="10"/>
      <c r="R505" s="10"/>
      <c r="S505" s="10"/>
      <c r="T505" s="10"/>
      <c r="U505" s="10"/>
      <c r="V505" s="10"/>
      <c r="W505" s="10"/>
      <c r="X505" s="10"/>
      <c r="Y505" s="10"/>
    </row>
    <row r="506" spans="1:25" x14ac:dyDescent="0.25">
      <c r="A506" s="9">
        <v>41044</v>
      </c>
      <c r="B506" s="10">
        <f ca="1">ROUND(_xlfn.NORM.INV(RAND(),Reference!$C$8,0.1*Reference!$C$8)*(1+Reference!$C$11*(IF(MONTH($A506)=Reference!$C$4,1,0)+IF(MONTH($A506)=Reference!$C$5,1,0))+(IF(MONTH($A506)=Reference!$C$6,Reference!$C$13,0))),0)</f>
        <v>640</v>
      </c>
      <c r="C506" s="11">
        <f ca="1">B506*Reference!$C$7*(1-IF(MONTH($A506)=Reference!$C$6,1,0)*Reference!$C$12)</f>
        <v>595200</v>
      </c>
      <c r="D506" s="10">
        <f ca="1">ROUND(_xlfn.NORM.INV(RAND(),Reference!$D$8,0.1*Reference!$D$8)*(1+Reference!$D$11*(IF(MONTH($A506)=Reference!$D$4,1,0)+IF(MONTH($A506)=Reference!$D$5,1,0))+(IF(MONTH($A506)=Reference!$D$6,Reference!$D$13,0))),0)</f>
        <v>490</v>
      </c>
      <c r="E506" s="11">
        <f ca="1">D506*Reference!$D$7*(1-IF(MONTH($A506)=Reference!$D$6,1,0)*Reference!$D$12)</f>
        <v>367500</v>
      </c>
      <c r="M506" s="20"/>
      <c r="N506" s="20"/>
      <c r="O506" s="19"/>
      <c r="P506" s="10"/>
      <c r="Q506" s="10"/>
      <c r="R506" s="10"/>
      <c r="S506" s="10"/>
      <c r="T506" s="10"/>
      <c r="U506" s="10"/>
      <c r="V506" s="10"/>
      <c r="W506" s="10"/>
      <c r="X506" s="10"/>
      <c r="Y506" s="10"/>
    </row>
    <row r="507" spans="1:25" x14ac:dyDescent="0.25">
      <c r="A507" s="9">
        <v>41045</v>
      </c>
      <c r="B507" s="10">
        <f ca="1">ROUND(_xlfn.NORM.INV(RAND(),Reference!$C$8,0.1*Reference!$C$8)*(1+Reference!$C$11*(IF(MONTH($A507)=Reference!$C$4,1,0)+IF(MONTH($A507)=Reference!$C$5,1,0))+(IF(MONTH($A507)=Reference!$C$6,Reference!$C$13,0))),0)</f>
        <v>487</v>
      </c>
      <c r="C507" s="11">
        <f ca="1">B507*Reference!$C$7*(1-IF(MONTH($A507)=Reference!$C$6,1,0)*Reference!$C$12)</f>
        <v>452910</v>
      </c>
      <c r="D507" s="10">
        <f ca="1">ROUND(_xlfn.NORM.INV(RAND(),Reference!$D$8,0.1*Reference!$D$8)*(1+Reference!$D$11*(IF(MONTH($A507)=Reference!$D$4,1,0)+IF(MONTH($A507)=Reference!$D$5,1,0))+(IF(MONTH($A507)=Reference!$D$6,Reference!$D$13,0))),0)</f>
        <v>463</v>
      </c>
      <c r="E507" s="11">
        <f ca="1">D507*Reference!$D$7*(1-IF(MONTH($A507)=Reference!$D$6,1,0)*Reference!$D$12)</f>
        <v>347250</v>
      </c>
      <c r="M507" s="20"/>
      <c r="N507" s="20"/>
      <c r="O507" s="19"/>
      <c r="P507" s="10"/>
      <c r="Q507" s="10"/>
      <c r="R507" s="10"/>
      <c r="S507" s="10"/>
      <c r="T507" s="10"/>
      <c r="U507" s="10"/>
      <c r="V507" s="10"/>
      <c r="W507" s="10"/>
      <c r="X507" s="10"/>
      <c r="Y507" s="10"/>
    </row>
    <row r="508" spans="1:25" x14ac:dyDescent="0.25">
      <c r="A508" s="9">
        <v>41046</v>
      </c>
      <c r="B508" s="10">
        <f ca="1">ROUND(_xlfn.NORM.INV(RAND(),Reference!$C$8,0.1*Reference!$C$8)*(1+Reference!$C$11*(IF(MONTH($A508)=Reference!$C$4,1,0)+IF(MONTH($A508)=Reference!$C$5,1,0))+(IF(MONTH($A508)=Reference!$C$6,Reference!$C$13,0))),0)</f>
        <v>513</v>
      </c>
      <c r="C508" s="11">
        <f ca="1">B508*Reference!$C$7*(1-IF(MONTH($A508)=Reference!$C$6,1,0)*Reference!$C$12)</f>
        <v>477090</v>
      </c>
      <c r="D508" s="10">
        <f ca="1">ROUND(_xlfn.NORM.INV(RAND(),Reference!$D$8,0.1*Reference!$D$8)*(1+Reference!$D$11*(IF(MONTH($A508)=Reference!$D$4,1,0)+IF(MONTH($A508)=Reference!$D$5,1,0))+(IF(MONTH($A508)=Reference!$D$6,Reference!$D$13,0))),0)</f>
        <v>378</v>
      </c>
      <c r="E508" s="11">
        <f ca="1">D508*Reference!$D$7*(1-IF(MONTH($A508)=Reference!$D$6,1,0)*Reference!$D$12)</f>
        <v>283500</v>
      </c>
      <c r="M508" s="20"/>
      <c r="N508" s="20"/>
      <c r="O508" s="19"/>
      <c r="P508" s="10"/>
      <c r="Q508" s="10"/>
      <c r="R508" s="10"/>
      <c r="S508" s="10"/>
      <c r="T508" s="10"/>
      <c r="U508" s="10"/>
      <c r="V508" s="10"/>
      <c r="W508" s="10"/>
      <c r="X508" s="10"/>
      <c r="Y508" s="10"/>
    </row>
    <row r="509" spans="1:25" x14ac:dyDescent="0.25">
      <c r="A509" s="9">
        <v>41047</v>
      </c>
      <c r="B509" s="10">
        <f ca="1">ROUND(_xlfn.NORM.INV(RAND(),Reference!$C$8,0.1*Reference!$C$8)*(1+Reference!$C$11*(IF(MONTH($A509)=Reference!$C$4,1,0)+IF(MONTH($A509)=Reference!$C$5,1,0))+(IF(MONTH($A509)=Reference!$C$6,Reference!$C$13,0))),0)</f>
        <v>581</v>
      </c>
      <c r="C509" s="11">
        <f ca="1">B509*Reference!$C$7*(1-IF(MONTH($A509)=Reference!$C$6,1,0)*Reference!$C$12)</f>
        <v>540330</v>
      </c>
      <c r="D509" s="10">
        <f ca="1">ROUND(_xlfn.NORM.INV(RAND(),Reference!$D$8,0.1*Reference!$D$8)*(1+Reference!$D$11*(IF(MONTH($A509)=Reference!$D$4,1,0)+IF(MONTH($A509)=Reference!$D$5,1,0))+(IF(MONTH($A509)=Reference!$D$6,Reference!$D$13,0))),0)</f>
        <v>474</v>
      </c>
      <c r="E509" s="11">
        <f ca="1">D509*Reference!$D$7*(1-IF(MONTH($A509)=Reference!$D$6,1,0)*Reference!$D$12)</f>
        <v>355500</v>
      </c>
      <c r="M509" s="20"/>
      <c r="N509" s="20"/>
      <c r="O509" s="19"/>
      <c r="P509" s="10"/>
      <c r="Q509" s="10"/>
      <c r="R509" s="10"/>
      <c r="S509" s="10"/>
      <c r="T509" s="10"/>
      <c r="U509" s="10"/>
      <c r="V509" s="10"/>
      <c r="W509" s="10"/>
      <c r="X509" s="10"/>
      <c r="Y509" s="10"/>
    </row>
    <row r="510" spans="1:25" x14ac:dyDescent="0.25">
      <c r="A510" s="9">
        <v>41048</v>
      </c>
      <c r="B510" s="10">
        <f ca="1">ROUND(_xlfn.NORM.INV(RAND(),Reference!$C$8,0.1*Reference!$C$8)*(1+Reference!$C$11*(IF(MONTH($A510)=Reference!$C$4,1,0)+IF(MONTH($A510)=Reference!$C$5,1,0))+(IF(MONTH($A510)=Reference!$C$6,Reference!$C$13,0))),0)</f>
        <v>554</v>
      </c>
      <c r="C510" s="11">
        <f ca="1">B510*Reference!$C$7*(1-IF(MONTH($A510)=Reference!$C$6,1,0)*Reference!$C$12)</f>
        <v>515220</v>
      </c>
      <c r="D510" s="10">
        <f ca="1">ROUND(_xlfn.NORM.INV(RAND(),Reference!$D$8,0.1*Reference!$D$8)*(1+Reference!$D$11*(IF(MONTH($A510)=Reference!$D$4,1,0)+IF(MONTH($A510)=Reference!$D$5,1,0))+(IF(MONTH($A510)=Reference!$D$6,Reference!$D$13,0))),0)</f>
        <v>419</v>
      </c>
      <c r="E510" s="11">
        <f ca="1">D510*Reference!$D$7*(1-IF(MONTH($A510)=Reference!$D$6,1,0)*Reference!$D$12)</f>
        <v>314250</v>
      </c>
      <c r="M510" s="20"/>
      <c r="N510" s="20"/>
      <c r="O510" s="19"/>
      <c r="P510" s="10"/>
      <c r="Q510" s="10"/>
      <c r="R510" s="10"/>
      <c r="S510" s="10"/>
      <c r="T510" s="10"/>
      <c r="U510" s="10"/>
      <c r="V510" s="10"/>
      <c r="W510" s="10"/>
      <c r="X510" s="10"/>
      <c r="Y510" s="10"/>
    </row>
    <row r="511" spans="1:25" x14ac:dyDescent="0.25">
      <c r="A511" s="9">
        <v>41049</v>
      </c>
      <c r="B511" s="10">
        <f ca="1">ROUND(_xlfn.NORM.INV(RAND(),Reference!$C$8,0.1*Reference!$C$8)*(1+Reference!$C$11*(IF(MONTH($A511)=Reference!$C$4,1,0)+IF(MONTH($A511)=Reference!$C$5,1,0))+(IF(MONTH($A511)=Reference!$C$6,Reference!$C$13,0))),0)</f>
        <v>498</v>
      </c>
      <c r="C511" s="11">
        <f ca="1">B511*Reference!$C$7*(1-IF(MONTH($A511)=Reference!$C$6,1,0)*Reference!$C$12)</f>
        <v>463140</v>
      </c>
      <c r="D511" s="10">
        <f ca="1">ROUND(_xlfn.NORM.INV(RAND(),Reference!$D$8,0.1*Reference!$D$8)*(1+Reference!$D$11*(IF(MONTH($A511)=Reference!$D$4,1,0)+IF(MONTH($A511)=Reference!$D$5,1,0))+(IF(MONTH($A511)=Reference!$D$6,Reference!$D$13,0))),0)</f>
        <v>458</v>
      </c>
      <c r="E511" s="11">
        <f ca="1">D511*Reference!$D$7*(1-IF(MONTH($A511)=Reference!$D$6,1,0)*Reference!$D$12)</f>
        <v>343500</v>
      </c>
      <c r="M511" s="20"/>
      <c r="N511" s="20"/>
      <c r="O511" s="19"/>
      <c r="P511" s="10"/>
      <c r="Q511" s="10"/>
      <c r="R511" s="10"/>
      <c r="S511" s="10"/>
      <c r="T511" s="10"/>
      <c r="U511" s="10"/>
      <c r="V511" s="10"/>
      <c r="W511" s="10"/>
      <c r="X511" s="10"/>
      <c r="Y511" s="10"/>
    </row>
    <row r="512" spans="1:25" x14ac:dyDescent="0.25">
      <c r="A512" s="9">
        <v>41050</v>
      </c>
      <c r="B512" s="10">
        <f ca="1">ROUND(_xlfn.NORM.INV(RAND(),Reference!$C$8,0.1*Reference!$C$8)*(1+Reference!$C$11*(IF(MONTH($A512)=Reference!$C$4,1,0)+IF(MONTH($A512)=Reference!$C$5,1,0))+(IF(MONTH($A512)=Reference!$C$6,Reference!$C$13,0))),0)</f>
        <v>668</v>
      </c>
      <c r="C512" s="11">
        <f ca="1">B512*Reference!$C$7*(1-IF(MONTH($A512)=Reference!$C$6,1,0)*Reference!$C$12)</f>
        <v>621240</v>
      </c>
      <c r="D512" s="10">
        <f ca="1">ROUND(_xlfn.NORM.INV(RAND(),Reference!$D$8,0.1*Reference!$D$8)*(1+Reference!$D$11*(IF(MONTH($A512)=Reference!$D$4,1,0)+IF(MONTH($A512)=Reference!$D$5,1,0))+(IF(MONTH($A512)=Reference!$D$6,Reference!$D$13,0))),0)</f>
        <v>417</v>
      </c>
      <c r="E512" s="11">
        <f ca="1">D512*Reference!$D$7*(1-IF(MONTH($A512)=Reference!$D$6,1,0)*Reference!$D$12)</f>
        <v>312750</v>
      </c>
      <c r="M512" s="20"/>
      <c r="N512" s="20"/>
      <c r="O512" s="19"/>
      <c r="P512" s="10"/>
      <c r="Q512" s="10"/>
      <c r="R512" s="10"/>
      <c r="S512" s="10"/>
      <c r="T512" s="10"/>
      <c r="U512" s="10"/>
      <c r="V512" s="10"/>
      <c r="W512" s="10"/>
      <c r="X512" s="10"/>
      <c r="Y512" s="10"/>
    </row>
    <row r="513" spans="1:25" x14ac:dyDescent="0.25">
      <c r="A513" s="9">
        <v>41051</v>
      </c>
      <c r="B513" s="10">
        <f ca="1">ROUND(_xlfn.NORM.INV(RAND(),Reference!$C$8,0.1*Reference!$C$8)*(1+Reference!$C$11*(IF(MONTH($A513)=Reference!$C$4,1,0)+IF(MONTH($A513)=Reference!$C$5,1,0))+(IF(MONTH($A513)=Reference!$C$6,Reference!$C$13,0))),0)</f>
        <v>508</v>
      </c>
      <c r="C513" s="11">
        <f ca="1">B513*Reference!$C$7*(1-IF(MONTH($A513)=Reference!$C$6,1,0)*Reference!$C$12)</f>
        <v>472440</v>
      </c>
      <c r="D513" s="10">
        <f ca="1">ROUND(_xlfn.NORM.INV(RAND(),Reference!$D$8,0.1*Reference!$D$8)*(1+Reference!$D$11*(IF(MONTH($A513)=Reference!$D$4,1,0)+IF(MONTH($A513)=Reference!$D$5,1,0))+(IF(MONTH($A513)=Reference!$D$6,Reference!$D$13,0))),0)</f>
        <v>448</v>
      </c>
      <c r="E513" s="11">
        <f ca="1">D513*Reference!$D$7*(1-IF(MONTH($A513)=Reference!$D$6,1,0)*Reference!$D$12)</f>
        <v>336000</v>
      </c>
      <c r="M513" s="20"/>
      <c r="N513" s="20"/>
      <c r="O513" s="19"/>
      <c r="P513" s="10"/>
      <c r="Q513" s="10"/>
      <c r="R513" s="10"/>
      <c r="S513" s="10"/>
      <c r="T513" s="10"/>
      <c r="U513" s="10"/>
      <c r="V513" s="10"/>
      <c r="W513" s="10"/>
      <c r="X513" s="10"/>
      <c r="Y513" s="10"/>
    </row>
    <row r="514" spans="1:25" x14ac:dyDescent="0.25">
      <c r="A514" s="9">
        <v>41052</v>
      </c>
      <c r="B514" s="10">
        <f ca="1">ROUND(_xlfn.NORM.INV(RAND(),Reference!$C$8,0.1*Reference!$C$8)*(1+Reference!$C$11*(IF(MONTH($A514)=Reference!$C$4,1,0)+IF(MONTH($A514)=Reference!$C$5,1,0))+(IF(MONTH($A514)=Reference!$C$6,Reference!$C$13,0))),0)</f>
        <v>493</v>
      </c>
      <c r="C514" s="11">
        <f ca="1">B514*Reference!$C$7*(1-IF(MONTH($A514)=Reference!$C$6,1,0)*Reference!$C$12)</f>
        <v>458490</v>
      </c>
      <c r="D514" s="10">
        <f ca="1">ROUND(_xlfn.NORM.INV(RAND(),Reference!$D$8,0.1*Reference!$D$8)*(1+Reference!$D$11*(IF(MONTH($A514)=Reference!$D$4,1,0)+IF(MONTH($A514)=Reference!$D$5,1,0))+(IF(MONTH($A514)=Reference!$D$6,Reference!$D$13,0))),0)</f>
        <v>396</v>
      </c>
      <c r="E514" s="11">
        <f ca="1">D514*Reference!$D$7*(1-IF(MONTH($A514)=Reference!$D$6,1,0)*Reference!$D$12)</f>
        <v>297000</v>
      </c>
      <c r="M514" s="20"/>
      <c r="N514" s="20"/>
      <c r="O514" s="19"/>
      <c r="P514" s="10"/>
      <c r="Q514" s="10"/>
      <c r="R514" s="10"/>
      <c r="S514" s="10"/>
      <c r="T514" s="10"/>
      <c r="U514" s="10"/>
      <c r="V514" s="10"/>
      <c r="W514" s="10"/>
      <c r="X514" s="10"/>
      <c r="Y514" s="10"/>
    </row>
    <row r="515" spans="1:25" x14ac:dyDescent="0.25">
      <c r="A515" s="9">
        <v>41053</v>
      </c>
      <c r="B515" s="10">
        <f ca="1">ROUND(_xlfn.NORM.INV(RAND(),Reference!$C$8,0.1*Reference!$C$8)*(1+Reference!$C$11*(IF(MONTH($A515)=Reference!$C$4,1,0)+IF(MONTH($A515)=Reference!$C$5,1,0))+(IF(MONTH($A515)=Reference!$C$6,Reference!$C$13,0))),0)</f>
        <v>566</v>
      </c>
      <c r="C515" s="11">
        <f ca="1">B515*Reference!$C$7*(1-IF(MONTH($A515)=Reference!$C$6,1,0)*Reference!$C$12)</f>
        <v>526380</v>
      </c>
      <c r="D515" s="10">
        <f ca="1">ROUND(_xlfn.NORM.INV(RAND(),Reference!$D$8,0.1*Reference!$D$8)*(1+Reference!$D$11*(IF(MONTH($A515)=Reference!$D$4,1,0)+IF(MONTH($A515)=Reference!$D$5,1,0))+(IF(MONTH($A515)=Reference!$D$6,Reference!$D$13,0))),0)</f>
        <v>431</v>
      </c>
      <c r="E515" s="11">
        <f ca="1">D515*Reference!$D$7*(1-IF(MONTH($A515)=Reference!$D$6,1,0)*Reference!$D$12)</f>
        <v>323250</v>
      </c>
      <c r="M515" s="20"/>
      <c r="N515" s="20"/>
      <c r="O515" s="19"/>
      <c r="P515" s="10"/>
      <c r="Q515" s="10"/>
      <c r="R515" s="10"/>
      <c r="S515" s="10"/>
      <c r="T515" s="10"/>
      <c r="U515" s="10"/>
      <c r="V515" s="10"/>
      <c r="W515" s="10"/>
      <c r="X515" s="10"/>
      <c r="Y515" s="10"/>
    </row>
    <row r="516" spans="1:25" x14ac:dyDescent="0.25">
      <c r="A516" s="9">
        <v>41054</v>
      </c>
      <c r="B516" s="10">
        <f ca="1">ROUND(_xlfn.NORM.INV(RAND(),Reference!$C$8,0.1*Reference!$C$8)*(1+Reference!$C$11*(IF(MONTH($A516)=Reference!$C$4,1,0)+IF(MONTH($A516)=Reference!$C$5,1,0))+(IF(MONTH($A516)=Reference!$C$6,Reference!$C$13,0))),0)</f>
        <v>480</v>
      </c>
      <c r="C516" s="11">
        <f ca="1">B516*Reference!$C$7*(1-IF(MONTH($A516)=Reference!$C$6,1,0)*Reference!$C$12)</f>
        <v>446400</v>
      </c>
      <c r="D516" s="10">
        <f ca="1">ROUND(_xlfn.NORM.INV(RAND(),Reference!$D$8,0.1*Reference!$D$8)*(1+Reference!$D$11*(IF(MONTH($A516)=Reference!$D$4,1,0)+IF(MONTH($A516)=Reference!$D$5,1,0))+(IF(MONTH($A516)=Reference!$D$6,Reference!$D$13,0))),0)</f>
        <v>438</v>
      </c>
      <c r="E516" s="11">
        <f ca="1">D516*Reference!$D$7*(1-IF(MONTH($A516)=Reference!$D$6,1,0)*Reference!$D$12)</f>
        <v>328500</v>
      </c>
      <c r="M516" s="20"/>
      <c r="N516" s="20"/>
      <c r="O516" s="19"/>
      <c r="P516" s="10"/>
      <c r="Q516" s="10"/>
      <c r="R516" s="10"/>
      <c r="S516" s="10"/>
      <c r="T516" s="10"/>
      <c r="U516" s="10"/>
      <c r="V516" s="10"/>
      <c r="W516" s="10"/>
      <c r="X516" s="10"/>
      <c r="Y516" s="10"/>
    </row>
    <row r="517" spans="1:25" x14ac:dyDescent="0.25">
      <c r="A517" s="9">
        <v>41055</v>
      </c>
      <c r="B517" s="10">
        <f ca="1">ROUND(_xlfn.NORM.INV(RAND(),Reference!$C$8,0.1*Reference!$C$8)*(1+Reference!$C$11*(IF(MONTH($A517)=Reference!$C$4,1,0)+IF(MONTH($A517)=Reference!$C$5,1,0))+(IF(MONTH($A517)=Reference!$C$6,Reference!$C$13,0))),0)</f>
        <v>498</v>
      </c>
      <c r="C517" s="11">
        <f ca="1">B517*Reference!$C$7*(1-IF(MONTH($A517)=Reference!$C$6,1,0)*Reference!$C$12)</f>
        <v>463140</v>
      </c>
      <c r="D517" s="10">
        <f ca="1">ROUND(_xlfn.NORM.INV(RAND(),Reference!$D$8,0.1*Reference!$D$8)*(1+Reference!$D$11*(IF(MONTH($A517)=Reference!$D$4,1,0)+IF(MONTH($A517)=Reference!$D$5,1,0))+(IF(MONTH($A517)=Reference!$D$6,Reference!$D$13,0))),0)</f>
        <v>387</v>
      </c>
      <c r="E517" s="11">
        <f ca="1">D517*Reference!$D$7*(1-IF(MONTH($A517)=Reference!$D$6,1,0)*Reference!$D$12)</f>
        <v>290250</v>
      </c>
      <c r="M517" s="20"/>
      <c r="N517" s="20"/>
      <c r="O517" s="19"/>
      <c r="P517" s="10"/>
      <c r="Q517" s="10"/>
      <c r="R517" s="10"/>
      <c r="S517" s="10"/>
      <c r="T517" s="10"/>
      <c r="U517" s="10"/>
      <c r="V517" s="10"/>
      <c r="W517" s="10"/>
      <c r="X517" s="10"/>
      <c r="Y517" s="10"/>
    </row>
    <row r="518" spans="1:25" x14ac:dyDescent="0.25">
      <c r="A518" s="9">
        <v>41056</v>
      </c>
      <c r="B518" s="10">
        <f ca="1">ROUND(_xlfn.NORM.INV(RAND(),Reference!$C$8,0.1*Reference!$C$8)*(1+Reference!$C$11*(IF(MONTH($A518)=Reference!$C$4,1,0)+IF(MONTH($A518)=Reference!$C$5,1,0))+(IF(MONTH($A518)=Reference!$C$6,Reference!$C$13,0))),0)</f>
        <v>530</v>
      </c>
      <c r="C518" s="11">
        <f ca="1">B518*Reference!$C$7*(1-IF(MONTH($A518)=Reference!$C$6,1,0)*Reference!$C$12)</f>
        <v>492900</v>
      </c>
      <c r="D518" s="10">
        <f ca="1">ROUND(_xlfn.NORM.INV(RAND(),Reference!$D$8,0.1*Reference!$D$8)*(1+Reference!$D$11*(IF(MONTH($A518)=Reference!$D$4,1,0)+IF(MONTH($A518)=Reference!$D$5,1,0))+(IF(MONTH($A518)=Reference!$D$6,Reference!$D$13,0))),0)</f>
        <v>516</v>
      </c>
      <c r="E518" s="11">
        <f ca="1">D518*Reference!$D$7*(1-IF(MONTH($A518)=Reference!$D$6,1,0)*Reference!$D$12)</f>
        <v>387000</v>
      </c>
      <c r="M518" s="20"/>
      <c r="N518" s="20"/>
      <c r="O518" s="19"/>
      <c r="P518" s="10"/>
      <c r="Q518" s="10"/>
      <c r="R518" s="10"/>
      <c r="S518" s="10"/>
      <c r="T518" s="10"/>
      <c r="U518" s="10"/>
      <c r="V518" s="10"/>
      <c r="W518" s="10"/>
      <c r="X518" s="10"/>
      <c r="Y518" s="10"/>
    </row>
    <row r="519" spans="1:25" x14ac:dyDescent="0.25">
      <c r="A519" s="9">
        <v>41057</v>
      </c>
      <c r="B519" s="10">
        <f ca="1">ROUND(_xlfn.NORM.INV(RAND(),Reference!$C$8,0.1*Reference!$C$8)*(1+Reference!$C$11*(IF(MONTH($A519)=Reference!$C$4,1,0)+IF(MONTH($A519)=Reference!$C$5,1,0))+(IF(MONTH($A519)=Reference!$C$6,Reference!$C$13,0))),0)</f>
        <v>489</v>
      </c>
      <c r="C519" s="11">
        <f ca="1">B519*Reference!$C$7*(1-IF(MONTH($A519)=Reference!$C$6,1,0)*Reference!$C$12)</f>
        <v>454770</v>
      </c>
      <c r="D519" s="10">
        <f ca="1">ROUND(_xlfn.NORM.INV(RAND(),Reference!$D$8,0.1*Reference!$D$8)*(1+Reference!$D$11*(IF(MONTH($A519)=Reference!$D$4,1,0)+IF(MONTH($A519)=Reference!$D$5,1,0))+(IF(MONTH($A519)=Reference!$D$6,Reference!$D$13,0))),0)</f>
        <v>450</v>
      </c>
      <c r="E519" s="11">
        <f ca="1">D519*Reference!$D$7*(1-IF(MONTH($A519)=Reference!$D$6,1,0)*Reference!$D$12)</f>
        <v>337500</v>
      </c>
      <c r="M519" s="20"/>
      <c r="N519" s="20"/>
      <c r="O519" s="19"/>
      <c r="P519" s="10"/>
      <c r="Q519" s="10"/>
      <c r="R519" s="10"/>
      <c r="S519" s="10"/>
      <c r="T519" s="10"/>
      <c r="U519" s="10"/>
      <c r="V519" s="10"/>
      <c r="W519" s="10"/>
      <c r="X519" s="10"/>
      <c r="Y519" s="10"/>
    </row>
    <row r="520" spans="1:25" x14ac:dyDescent="0.25">
      <c r="A520" s="9">
        <v>41058</v>
      </c>
      <c r="B520" s="10">
        <f ca="1">ROUND(_xlfn.NORM.INV(RAND(),Reference!$C$8,0.1*Reference!$C$8)*(1+Reference!$C$11*(IF(MONTH($A520)=Reference!$C$4,1,0)+IF(MONTH($A520)=Reference!$C$5,1,0))+(IF(MONTH($A520)=Reference!$C$6,Reference!$C$13,0))),0)</f>
        <v>563</v>
      </c>
      <c r="C520" s="11">
        <f ca="1">B520*Reference!$C$7*(1-IF(MONTH($A520)=Reference!$C$6,1,0)*Reference!$C$12)</f>
        <v>523590</v>
      </c>
      <c r="D520" s="10">
        <f ca="1">ROUND(_xlfn.NORM.INV(RAND(),Reference!$D$8,0.1*Reference!$D$8)*(1+Reference!$D$11*(IF(MONTH($A520)=Reference!$D$4,1,0)+IF(MONTH($A520)=Reference!$D$5,1,0))+(IF(MONTH($A520)=Reference!$D$6,Reference!$D$13,0))),0)</f>
        <v>463</v>
      </c>
      <c r="E520" s="11">
        <f ca="1">D520*Reference!$D$7*(1-IF(MONTH($A520)=Reference!$D$6,1,0)*Reference!$D$12)</f>
        <v>347250</v>
      </c>
      <c r="M520" s="20"/>
      <c r="N520" s="20"/>
      <c r="O520" s="19"/>
      <c r="P520" s="10"/>
      <c r="Q520" s="10"/>
      <c r="R520" s="10"/>
      <c r="S520" s="10"/>
      <c r="T520" s="10"/>
      <c r="U520" s="10"/>
      <c r="V520" s="10"/>
      <c r="W520" s="10"/>
      <c r="X520" s="10"/>
      <c r="Y520" s="10"/>
    </row>
    <row r="521" spans="1:25" x14ac:dyDescent="0.25">
      <c r="A521" s="9">
        <v>41059</v>
      </c>
      <c r="B521" s="10">
        <f ca="1">ROUND(_xlfn.NORM.INV(RAND(),Reference!$C$8,0.1*Reference!$C$8)*(1+Reference!$C$11*(IF(MONTH($A521)=Reference!$C$4,1,0)+IF(MONTH($A521)=Reference!$C$5,1,0))+(IF(MONTH($A521)=Reference!$C$6,Reference!$C$13,0))),0)</f>
        <v>502</v>
      </c>
      <c r="C521" s="11">
        <f ca="1">B521*Reference!$C$7*(1-IF(MONTH($A521)=Reference!$C$6,1,0)*Reference!$C$12)</f>
        <v>466860</v>
      </c>
      <c r="D521" s="10">
        <f ca="1">ROUND(_xlfn.NORM.INV(RAND(),Reference!$D$8,0.1*Reference!$D$8)*(1+Reference!$D$11*(IF(MONTH($A521)=Reference!$D$4,1,0)+IF(MONTH($A521)=Reference!$D$5,1,0))+(IF(MONTH($A521)=Reference!$D$6,Reference!$D$13,0))),0)</f>
        <v>447</v>
      </c>
      <c r="E521" s="11">
        <f ca="1">D521*Reference!$D$7*(1-IF(MONTH($A521)=Reference!$D$6,1,0)*Reference!$D$12)</f>
        <v>335250</v>
      </c>
      <c r="M521" s="20"/>
      <c r="N521" s="20"/>
      <c r="O521" s="19"/>
      <c r="P521" s="10"/>
      <c r="Q521" s="10"/>
      <c r="R521" s="10"/>
      <c r="S521" s="10"/>
      <c r="T521" s="10"/>
      <c r="U521" s="10"/>
      <c r="V521" s="10"/>
      <c r="W521" s="10"/>
      <c r="X521" s="10"/>
      <c r="Y521" s="10"/>
    </row>
    <row r="522" spans="1:25" x14ac:dyDescent="0.25">
      <c r="A522" s="9">
        <v>41060</v>
      </c>
      <c r="B522" s="10">
        <f ca="1">ROUND(_xlfn.NORM.INV(RAND(),Reference!$C$8,0.1*Reference!$C$8)*(1+Reference!$C$11*(IF(MONTH($A522)=Reference!$C$4,1,0)+IF(MONTH($A522)=Reference!$C$5,1,0))+(IF(MONTH($A522)=Reference!$C$6,Reference!$C$13,0))),0)</f>
        <v>503</v>
      </c>
      <c r="C522" s="11">
        <f ca="1">B522*Reference!$C$7*(1-IF(MONTH($A522)=Reference!$C$6,1,0)*Reference!$C$12)</f>
        <v>467790</v>
      </c>
      <c r="D522" s="10">
        <f ca="1">ROUND(_xlfn.NORM.INV(RAND(),Reference!$D$8,0.1*Reference!$D$8)*(1+Reference!$D$11*(IF(MONTH($A522)=Reference!$D$4,1,0)+IF(MONTH($A522)=Reference!$D$5,1,0))+(IF(MONTH($A522)=Reference!$D$6,Reference!$D$13,0))),0)</f>
        <v>429</v>
      </c>
      <c r="E522" s="11">
        <f ca="1">D522*Reference!$D$7*(1-IF(MONTH($A522)=Reference!$D$6,1,0)*Reference!$D$12)</f>
        <v>321750</v>
      </c>
      <c r="M522" s="20"/>
      <c r="N522" s="20"/>
      <c r="O522" s="19"/>
      <c r="P522" s="10"/>
      <c r="Q522" s="10"/>
      <c r="R522" s="10"/>
      <c r="S522" s="10"/>
      <c r="T522" s="10"/>
      <c r="U522" s="10"/>
      <c r="V522" s="10"/>
      <c r="W522" s="10"/>
      <c r="X522" s="10"/>
      <c r="Y522" s="10"/>
    </row>
    <row r="523" spans="1:25" x14ac:dyDescent="0.25">
      <c r="A523" s="9">
        <v>41061</v>
      </c>
      <c r="B523" s="10">
        <f ca="1">ROUND(_xlfn.NORM.INV(RAND(),Reference!$C$8,0.1*Reference!$C$8)*(1+Reference!$C$11*(IF(MONTH($A523)=Reference!$C$4,1,0)+IF(MONTH($A523)=Reference!$C$5,1,0))+(IF(MONTH($A523)=Reference!$C$6,Reference!$C$13,0))),0)</f>
        <v>467</v>
      </c>
      <c r="C523" s="11">
        <f ca="1">B523*Reference!$C$7*(1-IF(MONTH($A523)=Reference!$C$6,1,0)*Reference!$C$12)</f>
        <v>173724</v>
      </c>
      <c r="D523" s="10">
        <f ca="1">ROUND(_xlfn.NORM.INV(RAND(),Reference!$D$8,0.1*Reference!$D$8)*(1+Reference!$D$11*(IF(MONTH($A523)=Reference!$D$4,1,0)+IF(MONTH($A523)=Reference!$D$5,1,0))+(IF(MONTH($A523)=Reference!$D$6,Reference!$D$13,0))),0)</f>
        <v>463</v>
      </c>
      <c r="E523" s="11">
        <f ca="1">D523*Reference!$D$7*(1-IF(MONTH($A523)=Reference!$D$6,1,0)*Reference!$D$12)</f>
        <v>347250</v>
      </c>
      <c r="M523" s="20"/>
      <c r="N523" s="20"/>
      <c r="O523" s="19"/>
      <c r="P523" s="10"/>
      <c r="Q523" s="10"/>
      <c r="R523" s="10"/>
      <c r="S523" s="10"/>
      <c r="T523" s="10"/>
      <c r="U523" s="10"/>
      <c r="V523" s="10"/>
      <c r="W523" s="10"/>
      <c r="X523" s="10"/>
      <c r="Y523" s="10"/>
    </row>
    <row r="524" spans="1:25" x14ac:dyDescent="0.25">
      <c r="A524" s="9">
        <v>41062</v>
      </c>
      <c r="B524" s="10">
        <f ca="1">ROUND(_xlfn.NORM.INV(RAND(),Reference!$C$8,0.1*Reference!$C$8)*(1+Reference!$C$11*(IF(MONTH($A524)=Reference!$C$4,1,0)+IF(MONTH($A524)=Reference!$C$5,1,0))+(IF(MONTH($A524)=Reference!$C$6,Reference!$C$13,0))),0)</f>
        <v>485</v>
      </c>
      <c r="C524" s="11">
        <f ca="1">B524*Reference!$C$7*(1-IF(MONTH($A524)=Reference!$C$6,1,0)*Reference!$C$12)</f>
        <v>180420</v>
      </c>
      <c r="D524" s="10">
        <f ca="1">ROUND(_xlfn.NORM.INV(RAND(),Reference!$D$8,0.1*Reference!$D$8)*(1+Reference!$D$11*(IF(MONTH($A524)=Reference!$D$4,1,0)+IF(MONTH($A524)=Reference!$D$5,1,0))+(IF(MONTH($A524)=Reference!$D$6,Reference!$D$13,0))),0)</f>
        <v>475</v>
      </c>
      <c r="E524" s="11">
        <f ca="1">D524*Reference!$D$7*(1-IF(MONTH($A524)=Reference!$D$6,1,0)*Reference!$D$12)</f>
        <v>356250</v>
      </c>
      <c r="M524" s="20"/>
      <c r="N524" s="20"/>
      <c r="O524" s="19"/>
      <c r="P524" s="10"/>
      <c r="Q524" s="10"/>
      <c r="R524" s="10"/>
      <c r="S524" s="10"/>
      <c r="T524" s="10"/>
      <c r="U524" s="10"/>
      <c r="V524" s="10"/>
      <c r="W524" s="10"/>
      <c r="X524" s="10"/>
      <c r="Y524" s="10"/>
    </row>
    <row r="525" spans="1:25" x14ac:dyDescent="0.25">
      <c r="A525" s="9">
        <v>41063</v>
      </c>
      <c r="B525" s="10">
        <f ca="1">ROUND(_xlfn.NORM.INV(RAND(),Reference!$C$8,0.1*Reference!$C$8)*(1+Reference!$C$11*(IF(MONTH($A525)=Reference!$C$4,1,0)+IF(MONTH($A525)=Reference!$C$5,1,0))+(IF(MONTH($A525)=Reference!$C$6,Reference!$C$13,0))),0)</f>
        <v>455</v>
      </c>
      <c r="C525" s="11">
        <f ca="1">B525*Reference!$C$7*(1-IF(MONTH($A525)=Reference!$C$6,1,0)*Reference!$C$12)</f>
        <v>169260</v>
      </c>
      <c r="D525" s="10">
        <f ca="1">ROUND(_xlfn.NORM.INV(RAND(),Reference!$D$8,0.1*Reference!$D$8)*(1+Reference!$D$11*(IF(MONTH($A525)=Reference!$D$4,1,0)+IF(MONTH($A525)=Reference!$D$5,1,0))+(IF(MONTH($A525)=Reference!$D$6,Reference!$D$13,0))),0)</f>
        <v>455</v>
      </c>
      <c r="E525" s="11">
        <f ca="1">D525*Reference!$D$7*(1-IF(MONTH($A525)=Reference!$D$6,1,0)*Reference!$D$12)</f>
        <v>341250</v>
      </c>
      <c r="M525" s="20"/>
      <c r="N525" s="20"/>
      <c r="O525" s="19"/>
      <c r="P525" s="10"/>
      <c r="Q525" s="10"/>
      <c r="R525" s="10"/>
      <c r="S525" s="10"/>
      <c r="T525" s="10"/>
      <c r="U525" s="10"/>
      <c r="V525" s="10"/>
      <c r="W525" s="10"/>
      <c r="X525" s="10"/>
      <c r="Y525" s="10"/>
    </row>
    <row r="526" spans="1:25" x14ac:dyDescent="0.25">
      <c r="A526" s="9">
        <v>41064</v>
      </c>
      <c r="B526" s="10">
        <f ca="1">ROUND(_xlfn.NORM.INV(RAND(),Reference!$C$8,0.1*Reference!$C$8)*(1+Reference!$C$11*(IF(MONTH($A526)=Reference!$C$4,1,0)+IF(MONTH($A526)=Reference!$C$5,1,0))+(IF(MONTH($A526)=Reference!$C$6,Reference!$C$13,0))),0)</f>
        <v>479</v>
      </c>
      <c r="C526" s="11">
        <f ca="1">B526*Reference!$C$7*(1-IF(MONTH($A526)=Reference!$C$6,1,0)*Reference!$C$12)</f>
        <v>178188</v>
      </c>
      <c r="D526" s="10">
        <f ca="1">ROUND(_xlfn.NORM.INV(RAND(),Reference!$D$8,0.1*Reference!$D$8)*(1+Reference!$D$11*(IF(MONTH($A526)=Reference!$D$4,1,0)+IF(MONTH($A526)=Reference!$D$5,1,0))+(IF(MONTH($A526)=Reference!$D$6,Reference!$D$13,0))),0)</f>
        <v>459</v>
      </c>
      <c r="E526" s="11">
        <f ca="1">D526*Reference!$D$7*(1-IF(MONTH($A526)=Reference!$D$6,1,0)*Reference!$D$12)</f>
        <v>344250</v>
      </c>
      <c r="M526" s="20"/>
      <c r="N526" s="20"/>
      <c r="O526" s="19"/>
      <c r="P526" s="10"/>
      <c r="Q526" s="10"/>
      <c r="R526" s="10"/>
      <c r="S526" s="10"/>
      <c r="T526" s="10"/>
      <c r="U526" s="10"/>
      <c r="V526" s="10"/>
      <c r="W526" s="10"/>
      <c r="X526" s="10"/>
      <c r="Y526" s="10"/>
    </row>
    <row r="527" spans="1:25" x14ac:dyDescent="0.25">
      <c r="A527" s="9">
        <v>41065</v>
      </c>
      <c r="B527" s="10">
        <f ca="1">ROUND(_xlfn.NORM.INV(RAND(),Reference!$C$8,0.1*Reference!$C$8)*(1+Reference!$C$11*(IF(MONTH($A527)=Reference!$C$4,1,0)+IF(MONTH($A527)=Reference!$C$5,1,0))+(IF(MONTH($A527)=Reference!$C$6,Reference!$C$13,0))),0)</f>
        <v>436</v>
      </c>
      <c r="C527" s="11">
        <f ca="1">B527*Reference!$C$7*(1-IF(MONTH($A527)=Reference!$C$6,1,0)*Reference!$C$12)</f>
        <v>162192</v>
      </c>
      <c r="D527" s="10">
        <f ca="1">ROUND(_xlfn.NORM.INV(RAND(),Reference!$D$8,0.1*Reference!$D$8)*(1+Reference!$D$11*(IF(MONTH($A527)=Reference!$D$4,1,0)+IF(MONTH($A527)=Reference!$D$5,1,0))+(IF(MONTH($A527)=Reference!$D$6,Reference!$D$13,0))),0)</f>
        <v>457</v>
      </c>
      <c r="E527" s="11">
        <f ca="1">D527*Reference!$D$7*(1-IF(MONTH($A527)=Reference!$D$6,1,0)*Reference!$D$12)</f>
        <v>342750</v>
      </c>
      <c r="M527" s="20"/>
      <c r="N527" s="20"/>
      <c r="O527" s="19"/>
      <c r="P527" s="10"/>
      <c r="Q527" s="10"/>
      <c r="R527" s="10"/>
      <c r="S527" s="10"/>
      <c r="T527" s="10"/>
      <c r="U527" s="10"/>
      <c r="V527" s="10"/>
      <c r="W527" s="10"/>
      <c r="X527" s="10"/>
      <c r="Y527" s="10"/>
    </row>
    <row r="528" spans="1:25" x14ac:dyDescent="0.25">
      <c r="A528" s="9">
        <v>41066</v>
      </c>
      <c r="B528" s="10">
        <f ca="1">ROUND(_xlfn.NORM.INV(RAND(),Reference!$C$8,0.1*Reference!$C$8)*(1+Reference!$C$11*(IF(MONTH($A528)=Reference!$C$4,1,0)+IF(MONTH($A528)=Reference!$C$5,1,0))+(IF(MONTH($A528)=Reference!$C$6,Reference!$C$13,0))),0)</f>
        <v>450</v>
      </c>
      <c r="C528" s="11">
        <f ca="1">B528*Reference!$C$7*(1-IF(MONTH($A528)=Reference!$C$6,1,0)*Reference!$C$12)</f>
        <v>167400</v>
      </c>
      <c r="D528" s="10">
        <f ca="1">ROUND(_xlfn.NORM.INV(RAND(),Reference!$D$8,0.1*Reference!$D$8)*(1+Reference!$D$11*(IF(MONTH($A528)=Reference!$D$4,1,0)+IF(MONTH($A528)=Reference!$D$5,1,0))+(IF(MONTH($A528)=Reference!$D$6,Reference!$D$13,0))),0)</f>
        <v>420</v>
      </c>
      <c r="E528" s="11">
        <f ca="1">D528*Reference!$D$7*(1-IF(MONTH($A528)=Reference!$D$6,1,0)*Reference!$D$12)</f>
        <v>315000</v>
      </c>
      <c r="M528" s="20"/>
      <c r="N528" s="20"/>
      <c r="O528" s="19"/>
      <c r="P528" s="10"/>
      <c r="Q528" s="10"/>
      <c r="R528" s="10"/>
      <c r="S528" s="10"/>
      <c r="T528" s="10"/>
      <c r="U528" s="10"/>
      <c r="V528" s="10"/>
      <c r="W528" s="10"/>
      <c r="X528" s="10"/>
      <c r="Y528" s="10"/>
    </row>
    <row r="529" spans="1:25" x14ac:dyDescent="0.25">
      <c r="A529" s="9">
        <v>41067</v>
      </c>
      <c r="B529" s="10">
        <f ca="1">ROUND(_xlfn.NORM.INV(RAND(),Reference!$C$8,0.1*Reference!$C$8)*(1+Reference!$C$11*(IF(MONTH($A529)=Reference!$C$4,1,0)+IF(MONTH($A529)=Reference!$C$5,1,0))+(IF(MONTH($A529)=Reference!$C$6,Reference!$C$13,0))),0)</f>
        <v>538</v>
      </c>
      <c r="C529" s="11">
        <f ca="1">B529*Reference!$C$7*(1-IF(MONTH($A529)=Reference!$C$6,1,0)*Reference!$C$12)</f>
        <v>200136</v>
      </c>
      <c r="D529" s="10">
        <f ca="1">ROUND(_xlfn.NORM.INV(RAND(),Reference!$D$8,0.1*Reference!$D$8)*(1+Reference!$D$11*(IF(MONTH($A529)=Reference!$D$4,1,0)+IF(MONTH($A529)=Reference!$D$5,1,0))+(IF(MONTH($A529)=Reference!$D$6,Reference!$D$13,0))),0)</f>
        <v>437</v>
      </c>
      <c r="E529" s="11">
        <f ca="1">D529*Reference!$D$7*(1-IF(MONTH($A529)=Reference!$D$6,1,0)*Reference!$D$12)</f>
        <v>327750</v>
      </c>
      <c r="M529" s="20"/>
      <c r="N529" s="20"/>
      <c r="O529" s="19"/>
      <c r="P529" s="10"/>
      <c r="Q529" s="10"/>
      <c r="R529" s="10"/>
      <c r="S529" s="10"/>
      <c r="T529" s="10"/>
      <c r="U529" s="10"/>
      <c r="V529" s="10"/>
      <c r="W529" s="10"/>
      <c r="X529" s="10"/>
      <c r="Y529" s="10"/>
    </row>
    <row r="530" spans="1:25" x14ac:dyDescent="0.25">
      <c r="A530" s="9">
        <v>41068</v>
      </c>
      <c r="B530" s="10">
        <f ca="1">ROUND(_xlfn.NORM.INV(RAND(),Reference!$C$8,0.1*Reference!$C$8)*(1+Reference!$C$11*(IF(MONTH($A530)=Reference!$C$4,1,0)+IF(MONTH($A530)=Reference!$C$5,1,0))+(IF(MONTH($A530)=Reference!$C$6,Reference!$C$13,0))),0)</f>
        <v>471</v>
      </c>
      <c r="C530" s="11">
        <f ca="1">B530*Reference!$C$7*(1-IF(MONTH($A530)=Reference!$C$6,1,0)*Reference!$C$12)</f>
        <v>175212</v>
      </c>
      <c r="D530" s="10">
        <f ca="1">ROUND(_xlfn.NORM.INV(RAND(),Reference!$D$8,0.1*Reference!$D$8)*(1+Reference!$D$11*(IF(MONTH($A530)=Reference!$D$4,1,0)+IF(MONTH($A530)=Reference!$D$5,1,0))+(IF(MONTH($A530)=Reference!$D$6,Reference!$D$13,0))),0)</f>
        <v>398</v>
      </c>
      <c r="E530" s="11">
        <f ca="1">D530*Reference!$D$7*(1-IF(MONTH($A530)=Reference!$D$6,1,0)*Reference!$D$12)</f>
        <v>298500</v>
      </c>
      <c r="M530" s="20"/>
      <c r="N530" s="20"/>
      <c r="O530" s="19"/>
      <c r="P530" s="10"/>
      <c r="Q530" s="10"/>
      <c r="R530" s="10"/>
      <c r="S530" s="10"/>
      <c r="T530" s="10"/>
      <c r="U530" s="10"/>
      <c r="V530" s="10"/>
      <c r="W530" s="10"/>
      <c r="X530" s="10"/>
      <c r="Y530" s="10"/>
    </row>
    <row r="531" spans="1:25" x14ac:dyDescent="0.25">
      <c r="A531" s="9">
        <v>41069</v>
      </c>
      <c r="B531" s="10">
        <f ca="1">ROUND(_xlfn.NORM.INV(RAND(),Reference!$C$8,0.1*Reference!$C$8)*(1+Reference!$C$11*(IF(MONTH($A531)=Reference!$C$4,1,0)+IF(MONTH($A531)=Reference!$C$5,1,0))+(IF(MONTH($A531)=Reference!$C$6,Reference!$C$13,0))),0)</f>
        <v>382</v>
      </c>
      <c r="C531" s="11">
        <f ca="1">B531*Reference!$C$7*(1-IF(MONTH($A531)=Reference!$C$6,1,0)*Reference!$C$12)</f>
        <v>142104</v>
      </c>
      <c r="D531" s="10">
        <f ca="1">ROUND(_xlfn.NORM.INV(RAND(),Reference!$D$8,0.1*Reference!$D$8)*(1+Reference!$D$11*(IF(MONTH($A531)=Reference!$D$4,1,0)+IF(MONTH($A531)=Reference!$D$5,1,0))+(IF(MONTH($A531)=Reference!$D$6,Reference!$D$13,0))),0)</f>
        <v>499</v>
      </c>
      <c r="E531" s="11">
        <f ca="1">D531*Reference!$D$7*(1-IF(MONTH($A531)=Reference!$D$6,1,0)*Reference!$D$12)</f>
        <v>374250</v>
      </c>
      <c r="M531" s="20"/>
      <c r="N531" s="20"/>
      <c r="O531" s="19"/>
      <c r="P531" s="10"/>
      <c r="Q531" s="10"/>
      <c r="R531" s="10"/>
      <c r="S531" s="10"/>
      <c r="T531" s="10"/>
      <c r="U531" s="10"/>
      <c r="V531" s="10"/>
      <c r="W531" s="10"/>
      <c r="X531" s="10"/>
      <c r="Y531" s="10"/>
    </row>
    <row r="532" spans="1:25" x14ac:dyDescent="0.25">
      <c r="A532" s="9">
        <v>41070</v>
      </c>
      <c r="B532" s="10">
        <f ca="1">ROUND(_xlfn.NORM.INV(RAND(),Reference!$C$8,0.1*Reference!$C$8)*(1+Reference!$C$11*(IF(MONTH($A532)=Reference!$C$4,1,0)+IF(MONTH($A532)=Reference!$C$5,1,0))+(IF(MONTH($A532)=Reference!$C$6,Reference!$C$13,0))),0)</f>
        <v>424</v>
      </c>
      <c r="C532" s="11">
        <f ca="1">B532*Reference!$C$7*(1-IF(MONTH($A532)=Reference!$C$6,1,0)*Reference!$C$12)</f>
        <v>157728</v>
      </c>
      <c r="D532" s="10">
        <f ca="1">ROUND(_xlfn.NORM.INV(RAND(),Reference!$D$8,0.1*Reference!$D$8)*(1+Reference!$D$11*(IF(MONTH($A532)=Reference!$D$4,1,0)+IF(MONTH($A532)=Reference!$D$5,1,0))+(IF(MONTH($A532)=Reference!$D$6,Reference!$D$13,0))),0)</f>
        <v>512</v>
      </c>
      <c r="E532" s="11">
        <f ca="1">D532*Reference!$D$7*(1-IF(MONTH($A532)=Reference!$D$6,1,0)*Reference!$D$12)</f>
        <v>384000</v>
      </c>
      <c r="M532" s="20"/>
      <c r="N532" s="20"/>
      <c r="O532" s="19"/>
      <c r="P532" s="10"/>
      <c r="Q532" s="10"/>
      <c r="R532" s="10"/>
      <c r="S532" s="10"/>
      <c r="T532" s="10"/>
      <c r="U532" s="10"/>
      <c r="V532" s="10"/>
      <c r="W532" s="10"/>
      <c r="X532" s="10"/>
      <c r="Y532" s="10"/>
    </row>
    <row r="533" spans="1:25" x14ac:dyDescent="0.25">
      <c r="A533" s="9">
        <v>41071</v>
      </c>
      <c r="B533" s="10">
        <f ca="1">ROUND(_xlfn.NORM.INV(RAND(),Reference!$C$8,0.1*Reference!$C$8)*(1+Reference!$C$11*(IF(MONTH($A533)=Reference!$C$4,1,0)+IF(MONTH($A533)=Reference!$C$5,1,0))+(IF(MONTH($A533)=Reference!$C$6,Reference!$C$13,0))),0)</f>
        <v>442</v>
      </c>
      <c r="C533" s="11">
        <f ca="1">B533*Reference!$C$7*(1-IF(MONTH($A533)=Reference!$C$6,1,0)*Reference!$C$12)</f>
        <v>164424</v>
      </c>
      <c r="D533" s="10">
        <f ca="1">ROUND(_xlfn.NORM.INV(RAND(),Reference!$D$8,0.1*Reference!$D$8)*(1+Reference!$D$11*(IF(MONTH($A533)=Reference!$D$4,1,0)+IF(MONTH($A533)=Reference!$D$5,1,0))+(IF(MONTH($A533)=Reference!$D$6,Reference!$D$13,0))),0)</f>
        <v>395</v>
      </c>
      <c r="E533" s="11">
        <f ca="1">D533*Reference!$D$7*(1-IF(MONTH($A533)=Reference!$D$6,1,0)*Reference!$D$12)</f>
        <v>296250</v>
      </c>
      <c r="M533" s="20"/>
      <c r="N533" s="20"/>
      <c r="O533" s="19"/>
      <c r="P533" s="10"/>
      <c r="Q533" s="10"/>
      <c r="R533" s="10"/>
      <c r="S533" s="10"/>
      <c r="T533" s="10"/>
      <c r="U533" s="10"/>
      <c r="V533" s="10"/>
      <c r="W533" s="10"/>
      <c r="X533" s="10"/>
      <c r="Y533" s="10"/>
    </row>
    <row r="534" spans="1:25" x14ac:dyDescent="0.25">
      <c r="A534" s="9">
        <v>41072</v>
      </c>
      <c r="B534" s="10">
        <f ca="1">ROUND(_xlfn.NORM.INV(RAND(),Reference!$C$8,0.1*Reference!$C$8)*(1+Reference!$C$11*(IF(MONTH($A534)=Reference!$C$4,1,0)+IF(MONTH($A534)=Reference!$C$5,1,0))+(IF(MONTH($A534)=Reference!$C$6,Reference!$C$13,0))),0)</f>
        <v>510</v>
      </c>
      <c r="C534" s="11">
        <f ca="1">B534*Reference!$C$7*(1-IF(MONTH($A534)=Reference!$C$6,1,0)*Reference!$C$12)</f>
        <v>189720</v>
      </c>
      <c r="D534" s="10">
        <f ca="1">ROUND(_xlfn.NORM.INV(RAND(),Reference!$D$8,0.1*Reference!$D$8)*(1+Reference!$D$11*(IF(MONTH($A534)=Reference!$D$4,1,0)+IF(MONTH($A534)=Reference!$D$5,1,0))+(IF(MONTH($A534)=Reference!$D$6,Reference!$D$13,0))),0)</f>
        <v>518</v>
      </c>
      <c r="E534" s="11">
        <f ca="1">D534*Reference!$D$7*(1-IF(MONTH($A534)=Reference!$D$6,1,0)*Reference!$D$12)</f>
        <v>388500</v>
      </c>
      <c r="M534" s="20"/>
      <c r="N534" s="20"/>
      <c r="O534" s="19"/>
      <c r="P534" s="10"/>
      <c r="Q534" s="10"/>
      <c r="R534" s="10"/>
      <c r="S534" s="10"/>
      <c r="T534" s="10"/>
      <c r="U534" s="10"/>
      <c r="V534" s="10"/>
      <c r="W534" s="10"/>
      <c r="X534" s="10"/>
      <c r="Y534" s="10"/>
    </row>
    <row r="535" spans="1:25" x14ac:dyDescent="0.25">
      <c r="A535" s="9">
        <v>41073</v>
      </c>
      <c r="B535" s="10">
        <f ca="1">ROUND(_xlfn.NORM.INV(RAND(),Reference!$C$8,0.1*Reference!$C$8)*(1+Reference!$C$11*(IF(MONTH($A535)=Reference!$C$4,1,0)+IF(MONTH($A535)=Reference!$C$5,1,0))+(IF(MONTH($A535)=Reference!$C$6,Reference!$C$13,0))),0)</f>
        <v>445</v>
      </c>
      <c r="C535" s="11">
        <f ca="1">B535*Reference!$C$7*(1-IF(MONTH($A535)=Reference!$C$6,1,0)*Reference!$C$12)</f>
        <v>165540</v>
      </c>
      <c r="D535" s="10">
        <f ca="1">ROUND(_xlfn.NORM.INV(RAND(),Reference!$D$8,0.1*Reference!$D$8)*(1+Reference!$D$11*(IF(MONTH($A535)=Reference!$D$4,1,0)+IF(MONTH($A535)=Reference!$D$5,1,0))+(IF(MONTH($A535)=Reference!$D$6,Reference!$D$13,0))),0)</f>
        <v>443</v>
      </c>
      <c r="E535" s="11">
        <f ca="1">D535*Reference!$D$7*(1-IF(MONTH($A535)=Reference!$D$6,1,0)*Reference!$D$12)</f>
        <v>332250</v>
      </c>
      <c r="M535" s="20"/>
      <c r="N535" s="20"/>
      <c r="O535" s="19"/>
      <c r="P535" s="10"/>
      <c r="Q535" s="10"/>
      <c r="R535" s="10"/>
      <c r="S535" s="10"/>
      <c r="T535" s="10"/>
      <c r="U535" s="10"/>
      <c r="V535" s="10"/>
      <c r="W535" s="10"/>
      <c r="X535" s="10"/>
      <c r="Y535" s="10"/>
    </row>
    <row r="536" spans="1:25" x14ac:dyDescent="0.25">
      <c r="A536" s="9">
        <v>41074</v>
      </c>
      <c r="B536" s="10">
        <f ca="1">ROUND(_xlfn.NORM.INV(RAND(),Reference!$C$8,0.1*Reference!$C$8)*(1+Reference!$C$11*(IF(MONTH($A536)=Reference!$C$4,1,0)+IF(MONTH($A536)=Reference!$C$5,1,0))+(IF(MONTH($A536)=Reference!$C$6,Reference!$C$13,0))),0)</f>
        <v>448</v>
      </c>
      <c r="C536" s="11">
        <f ca="1">B536*Reference!$C$7*(1-IF(MONTH($A536)=Reference!$C$6,1,0)*Reference!$C$12)</f>
        <v>166656</v>
      </c>
      <c r="D536" s="10">
        <f ca="1">ROUND(_xlfn.NORM.INV(RAND(),Reference!$D$8,0.1*Reference!$D$8)*(1+Reference!$D$11*(IF(MONTH($A536)=Reference!$D$4,1,0)+IF(MONTH($A536)=Reference!$D$5,1,0))+(IF(MONTH($A536)=Reference!$D$6,Reference!$D$13,0))),0)</f>
        <v>442</v>
      </c>
      <c r="E536" s="11">
        <f ca="1">D536*Reference!$D$7*(1-IF(MONTH($A536)=Reference!$D$6,1,0)*Reference!$D$12)</f>
        <v>331500</v>
      </c>
      <c r="M536" s="20"/>
      <c r="N536" s="20"/>
      <c r="O536" s="19"/>
      <c r="P536" s="10"/>
      <c r="Q536" s="10"/>
      <c r="R536" s="10"/>
      <c r="S536" s="10"/>
      <c r="T536" s="10"/>
      <c r="U536" s="10"/>
      <c r="V536" s="10"/>
      <c r="W536" s="10"/>
      <c r="X536" s="10"/>
      <c r="Y536" s="10"/>
    </row>
    <row r="537" spans="1:25" x14ac:dyDescent="0.25">
      <c r="A537" s="9">
        <v>41075</v>
      </c>
      <c r="B537" s="10">
        <f ca="1">ROUND(_xlfn.NORM.INV(RAND(),Reference!$C$8,0.1*Reference!$C$8)*(1+Reference!$C$11*(IF(MONTH($A537)=Reference!$C$4,1,0)+IF(MONTH($A537)=Reference!$C$5,1,0))+(IF(MONTH($A537)=Reference!$C$6,Reference!$C$13,0))),0)</f>
        <v>506</v>
      </c>
      <c r="C537" s="11">
        <f ca="1">B537*Reference!$C$7*(1-IF(MONTH($A537)=Reference!$C$6,1,0)*Reference!$C$12)</f>
        <v>188232</v>
      </c>
      <c r="D537" s="10">
        <f ca="1">ROUND(_xlfn.NORM.INV(RAND(),Reference!$D$8,0.1*Reference!$D$8)*(1+Reference!$D$11*(IF(MONTH($A537)=Reference!$D$4,1,0)+IF(MONTH($A537)=Reference!$D$5,1,0))+(IF(MONTH($A537)=Reference!$D$6,Reference!$D$13,0))),0)</f>
        <v>480</v>
      </c>
      <c r="E537" s="11">
        <f ca="1">D537*Reference!$D$7*(1-IF(MONTH($A537)=Reference!$D$6,1,0)*Reference!$D$12)</f>
        <v>360000</v>
      </c>
      <c r="M537" s="20"/>
      <c r="N537" s="20"/>
      <c r="O537" s="19"/>
      <c r="P537" s="10"/>
      <c r="Q537" s="10"/>
      <c r="R537" s="10"/>
      <c r="S537" s="10"/>
      <c r="T537" s="10"/>
      <c r="U537" s="10"/>
      <c r="V537" s="10"/>
      <c r="W537" s="10"/>
      <c r="X537" s="10"/>
      <c r="Y537" s="10"/>
    </row>
    <row r="538" spans="1:25" x14ac:dyDescent="0.25">
      <c r="A538" s="9">
        <v>41076</v>
      </c>
      <c r="B538" s="10">
        <f ca="1">ROUND(_xlfn.NORM.INV(RAND(),Reference!$C$8,0.1*Reference!$C$8)*(1+Reference!$C$11*(IF(MONTH($A538)=Reference!$C$4,1,0)+IF(MONTH($A538)=Reference!$C$5,1,0))+(IF(MONTH($A538)=Reference!$C$6,Reference!$C$13,0))),0)</f>
        <v>463</v>
      </c>
      <c r="C538" s="11">
        <f ca="1">B538*Reference!$C$7*(1-IF(MONTH($A538)=Reference!$C$6,1,0)*Reference!$C$12)</f>
        <v>172236</v>
      </c>
      <c r="D538" s="10">
        <f ca="1">ROUND(_xlfn.NORM.INV(RAND(),Reference!$D$8,0.1*Reference!$D$8)*(1+Reference!$D$11*(IF(MONTH($A538)=Reference!$D$4,1,0)+IF(MONTH($A538)=Reference!$D$5,1,0))+(IF(MONTH($A538)=Reference!$D$6,Reference!$D$13,0))),0)</f>
        <v>325</v>
      </c>
      <c r="E538" s="11">
        <f ca="1">D538*Reference!$D$7*(1-IF(MONTH($A538)=Reference!$D$6,1,0)*Reference!$D$12)</f>
        <v>243750</v>
      </c>
      <c r="M538" s="20"/>
      <c r="N538" s="20"/>
      <c r="O538" s="19"/>
      <c r="P538" s="10"/>
      <c r="Q538" s="10"/>
      <c r="R538" s="10"/>
      <c r="S538" s="10"/>
      <c r="T538" s="10"/>
      <c r="U538" s="10"/>
      <c r="V538" s="10"/>
      <c r="W538" s="10"/>
      <c r="X538" s="10"/>
      <c r="Y538" s="10"/>
    </row>
    <row r="539" spans="1:25" x14ac:dyDescent="0.25">
      <c r="A539" s="9">
        <v>41077</v>
      </c>
      <c r="B539" s="10">
        <f ca="1">ROUND(_xlfn.NORM.INV(RAND(),Reference!$C$8,0.1*Reference!$C$8)*(1+Reference!$C$11*(IF(MONTH($A539)=Reference!$C$4,1,0)+IF(MONTH($A539)=Reference!$C$5,1,0))+(IF(MONTH($A539)=Reference!$C$6,Reference!$C$13,0))),0)</f>
        <v>467</v>
      </c>
      <c r="C539" s="11">
        <f ca="1">B539*Reference!$C$7*(1-IF(MONTH($A539)=Reference!$C$6,1,0)*Reference!$C$12)</f>
        <v>173724</v>
      </c>
      <c r="D539" s="10">
        <f ca="1">ROUND(_xlfn.NORM.INV(RAND(),Reference!$D$8,0.1*Reference!$D$8)*(1+Reference!$D$11*(IF(MONTH($A539)=Reference!$D$4,1,0)+IF(MONTH($A539)=Reference!$D$5,1,0))+(IF(MONTH($A539)=Reference!$D$6,Reference!$D$13,0))),0)</f>
        <v>434</v>
      </c>
      <c r="E539" s="11">
        <f ca="1">D539*Reference!$D$7*(1-IF(MONTH($A539)=Reference!$D$6,1,0)*Reference!$D$12)</f>
        <v>325500</v>
      </c>
      <c r="M539" s="20"/>
      <c r="N539" s="20"/>
      <c r="O539" s="19"/>
      <c r="P539" s="10"/>
      <c r="Q539" s="10"/>
      <c r="R539" s="10"/>
      <c r="S539" s="10"/>
      <c r="T539" s="10"/>
      <c r="U539" s="10"/>
      <c r="V539" s="10"/>
      <c r="W539" s="10"/>
      <c r="X539" s="10"/>
      <c r="Y539" s="10"/>
    </row>
    <row r="540" spans="1:25" x14ac:dyDescent="0.25">
      <c r="A540" s="9">
        <v>41078</v>
      </c>
      <c r="B540" s="10">
        <f ca="1">ROUND(_xlfn.NORM.INV(RAND(),Reference!$C$8,0.1*Reference!$C$8)*(1+Reference!$C$11*(IF(MONTH($A540)=Reference!$C$4,1,0)+IF(MONTH($A540)=Reference!$C$5,1,0))+(IF(MONTH($A540)=Reference!$C$6,Reference!$C$13,0))),0)</f>
        <v>427</v>
      </c>
      <c r="C540" s="11">
        <f ca="1">B540*Reference!$C$7*(1-IF(MONTH($A540)=Reference!$C$6,1,0)*Reference!$C$12)</f>
        <v>158844</v>
      </c>
      <c r="D540" s="10">
        <f ca="1">ROUND(_xlfn.NORM.INV(RAND(),Reference!$D$8,0.1*Reference!$D$8)*(1+Reference!$D$11*(IF(MONTH($A540)=Reference!$D$4,1,0)+IF(MONTH($A540)=Reference!$D$5,1,0))+(IF(MONTH($A540)=Reference!$D$6,Reference!$D$13,0))),0)</f>
        <v>479</v>
      </c>
      <c r="E540" s="11">
        <f ca="1">D540*Reference!$D$7*(1-IF(MONTH($A540)=Reference!$D$6,1,0)*Reference!$D$12)</f>
        <v>359250</v>
      </c>
      <c r="M540" s="20"/>
      <c r="N540" s="20"/>
      <c r="O540" s="19"/>
      <c r="P540" s="10"/>
      <c r="Q540" s="10"/>
      <c r="R540" s="10"/>
      <c r="S540" s="10"/>
      <c r="T540" s="10"/>
      <c r="U540" s="10"/>
      <c r="V540" s="10"/>
      <c r="W540" s="10"/>
      <c r="X540" s="10"/>
      <c r="Y540" s="10"/>
    </row>
    <row r="541" spans="1:25" x14ac:dyDescent="0.25">
      <c r="A541" s="9">
        <v>41079</v>
      </c>
      <c r="B541" s="10">
        <f ca="1">ROUND(_xlfn.NORM.INV(RAND(),Reference!$C$8,0.1*Reference!$C$8)*(1+Reference!$C$11*(IF(MONTH($A541)=Reference!$C$4,1,0)+IF(MONTH($A541)=Reference!$C$5,1,0))+(IF(MONTH($A541)=Reference!$C$6,Reference!$C$13,0))),0)</f>
        <v>487</v>
      </c>
      <c r="C541" s="11">
        <f ca="1">B541*Reference!$C$7*(1-IF(MONTH($A541)=Reference!$C$6,1,0)*Reference!$C$12)</f>
        <v>181164</v>
      </c>
      <c r="D541" s="10">
        <f ca="1">ROUND(_xlfn.NORM.INV(RAND(),Reference!$D$8,0.1*Reference!$D$8)*(1+Reference!$D$11*(IF(MONTH($A541)=Reference!$D$4,1,0)+IF(MONTH($A541)=Reference!$D$5,1,0))+(IF(MONTH($A541)=Reference!$D$6,Reference!$D$13,0))),0)</f>
        <v>434</v>
      </c>
      <c r="E541" s="11">
        <f ca="1">D541*Reference!$D$7*(1-IF(MONTH($A541)=Reference!$D$6,1,0)*Reference!$D$12)</f>
        <v>325500</v>
      </c>
      <c r="M541" s="20"/>
      <c r="N541" s="20"/>
      <c r="O541" s="19"/>
      <c r="P541" s="10"/>
      <c r="Q541" s="10"/>
      <c r="R541" s="10"/>
      <c r="S541" s="10"/>
      <c r="T541" s="10"/>
      <c r="U541" s="10"/>
      <c r="V541" s="10"/>
      <c r="W541" s="10"/>
      <c r="X541" s="10"/>
      <c r="Y541" s="10"/>
    </row>
    <row r="542" spans="1:25" x14ac:dyDescent="0.25">
      <c r="A542" s="9">
        <v>41080</v>
      </c>
      <c r="B542" s="10">
        <f ca="1">ROUND(_xlfn.NORM.INV(RAND(),Reference!$C$8,0.1*Reference!$C$8)*(1+Reference!$C$11*(IF(MONTH($A542)=Reference!$C$4,1,0)+IF(MONTH($A542)=Reference!$C$5,1,0))+(IF(MONTH($A542)=Reference!$C$6,Reference!$C$13,0))),0)</f>
        <v>491</v>
      </c>
      <c r="C542" s="11">
        <f ca="1">B542*Reference!$C$7*(1-IF(MONTH($A542)=Reference!$C$6,1,0)*Reference!$C$12)</f>
        <v>182652</v>
      </c>
      <c r="D542" s="10">
        <f ca="1">ROUND(_xlfn.NORM.INV(RAND(),Reference!$D$8,0.1*Reference!$D$8)*(1+Reference!$D$11*(IF(MONTH($A542)=Reference!$D$4,1,0)+IF(MONTH($A542)=Reference!$D$5,1,0))+(IF(MONTH($A542)=Reference!$D$6,Reference!$D$13,0))),0)</f>
        <v>508</v>
      </c>
      <c r="E542" s="11">
        <f ca="1">D542*Reference!$D$7*(1-IF(MONTH($A542)=Reference!$D$6,1,0)*Reference!$D$12)</f>
        <v>381000</v>
      </c>
      <c r="M542" s="20"/>
      <c r="N542" s="20"/>
      <c r="O542" s="19"/>
      <c r="P542" s="10"/>
      <c r="Q542" s="10"/>
      <c r="R542" s="10"/>
      <c r="S542" s="10"/>
      <c r="T542" s="10"/>
      <c r="U542" s="10"/>
      <c r="V542" s="10"/>
      <c r="W542" s="10"/>
      <c r="X542" s="10"/>
      <c r="Y542" s="10"/>
    </row>
    <row r="543" spans="1:25" x14ac:dyDescent="0.25">
      <c r="A543" s="9">
        <v>41081</v>
      </c>
      <c r="B543" s="10">
        <f ca="1">ROUND(_xlfn.NORM.INV(RAND(),Reference!$C$8,0.1*Reference!$C$8)*(1+Reference!$C$11*(IF(MONTH($A543)=Reference!$C$4,1,0)+IF(MONTH($A543)=Reference!$C$5,1,0))+(IF(MONTH($A543)=Reference!$C$6,Reference!$C$13,0))),0)</f>
        <v>417</v>
      </c>
      <c r="C543" s="11">
        <f ca="1">B543*Reference!$C$7*(1-IF(MONTH($A543)=Reference!$C$6,1,0)*Reference!$C$12)</f>
        <v>155124</v>
      </c>
      <c r="D543" s="10">
        <f ca="1">ROUND(_xlfn.NORM.INV(RAND(),Reference!$D$8,0.1*Reference!$D$8)*(1+Reference!$D$11*(IF(MONTH($A543)=Reference!$D$4,1,0)+IF(MONTH($A543)=Reference!$D$5,1,0))+(IF(MONTH($A543)=Reference!$D$6,Reference!$D$13,0))),0)</f>
        <v>467</v>
      </c>
      <c r="E543" s="11">
        <f ca="1">D543*Reference!$D$7*(1-IF(MONTH($A543)=Reference!$D$6,1,0)*Reference!$D$12)</f>
        <v>350250</v>
      </c>
      <c r="M543" s="20"/>
      <c r="N543" s="20"/>
      <c r="O543" s="19"/>
      <c r="P543" s="10"/>
      <c r="Q543" s="10"/>
      <c r="R543" s="10"/>
      <c r="S543" s="10"/>
      <c r="T543" s="10"/>
      <c r="U543" s="10"/>
      <c r="V543" s="10"/>
      <c r="W543" s="10"/>
      <c r="X543" s="10"/>
      <c r="Y543" s="10"/>
    </row>
    <row r="544" spans="1:25" x14ac:dyDescent="0.25">
      <c r="A544" s="9">
        <v>41082</v>
      </c>
      <c r="B544" s="10">
        <f ca="1">ROUND(_xlfn.NORM.INV(RAND(),Reference!$C$8,0.1*Reference!$C$8)*(1+Reference!$C$11*(IF(MONTH($A544)=Reference!$C$4,1,0)+IF(MONTH($A544)=Reference!$C$5,1,0))+(IF(MONTH($A544)=Reference!$C$6,Reference!$C$13,0))),0)</f>
        <v>457</v>
      </c>
      <c r="C544" s="11">
        <f ca="1">B544*Reference!$C$7*(1-IF(MONTH($A544)=Reference!$C$6,1,0)*Reference!$C$12)</f>
        <v>170004</v>
      </c>
      <c r="D544" s="10">
        <f ca="1">ROUND(_xlfn.NORM.INV(RAND(),Reference!$D$8,0.1*Reference!$D$8)*(1+Reference!$D$11*(IF(MONTH($A544)=Reference!$D$4,1,0)+IF(MONTH($A544)=Reference!$D$5,1,0))+(IF(MONTH($A544)=Reference!$D$6,Reference!$D$13,0))),0)</f>
        <v>481</v>
      </c>
      <c r="E544" s="11">
        <f ca="1">D544*Reference!$D$7*(1-IF(MONTH($A544)=Reference!$D$6,1,0)*Reference!$D$12)</f>
        <v>360750</v>
      </c>
      <c r="M544" s="20"/>
      <c r="N544" s="20"/>
      <c r="O544" s="19"/>
      <c r="P544" s="10"/>
      <c r="Q544" s="10"/>
      <c r="R544" s="10"/>
      <c r="S544" s="10"/>
      <c r="T544" s="10"/>
      <c r="U544" s="10"/>
      <c r="V544" s="10"/>
      <c r="W544" s="10"/>
      <c r="X544" s="10"/>
      <c r="Y544" s="10"/>
    </row>
    <row r="545" spans="1:25" x14ac:dyDescent="0.25">
      <c r="A545" s="9">
        <v>41083</v>
      </c>
      <c r="B545" s="10">
        <f ca="1">ROUND(_xlfn.NORM.INV(RAND(),Reference!$C$8,0.1*Reference!$C$8)*(1+Reference!$C$11*(IF(MONTH($A545)=Reference!$C$4,1,0)+IF(MONTH($A545)=Reference!$C$5,1,0))+(IF(MONTH($A545)=Reference!$C$6,Reference!$C$13,0))),0)</f>
        <v>437</v>
      </c>
      <c r="C545" s="11">
        <f ca="1">B545*Reference!$C$7*(1-IF(MONTH($A545)=Reference!$C$6,1,0)*Reference!$C$12)</f>
        <v>162564</v>
      </c>
      <c r="D545" s="10">
        <f ca="1">ROUND(_xlfn.NORM.INV(RAND(),Reference!$D$8,0.1*Reference!$D$8)*(1+Reference!$D$11*(IF(MONTH($A545)=Reference!$D$4,1,0)+IF(MONTH($A545)=Reference!$D$5,1,0))+(IF(MONTH($A545)=Reference!$D$6,Reference!$D$13,0))),0)</f>
        <v>438</v>
      </c>
      <c r="E545" s="11">
        <f ca="1">D545*Reference!$D$7*(1-IF(MONTH($A545)=Reference!$D$6,1,0)*Reference!$D$12)</f>
        <v>328500</v>
      </c>
      <c r="M545" s="20"/>
      <c r="N545" s="20"/>
      <c r="O545" s="19"/>
      <c r="P545" s="10"/>
      <c r="Q545" s="10"/>
      <c r="R545" s="10"/>
      <c r="S545" s="10"/>
      <c r="T545" s="10"/>
      <c r="U545" s="10"/>
      <c r="V545" s="10"/>
      <c r="W545" s="10"/>
      <c r="X545" s="10"/>
      <c r="Y545" s="10"/>
    </row>
    <row r="546" spans="1:25" x14ac:dyDescent="0.25">
      <c r="A546" s="9">
        <v>41084</v>
      </c>
      <c r="B546" s="10">
        <f ca="1">ROUND(_xlfn.NORM.INV(RAND(),Reference!$C$8,0.1*Reference!$C$8)*(1+Reference!$C$11*(IF(MONTH($A546)=Reference!$C$4,1,0)+IF(MONTH($A546)=Reference!$C$5,1,0))+(IF(MONTH($A546)=Reference!$C$6,Reference!$C$13,0))),0)</f>
        <v>400</v>
      </c>
      <c r="C546" s="11">
        <f ca="1">B546*Reference!$C$7*(1-IF(MONTH($A546)=Reference!$C$6,1,0)*Reference!$C$12)</f>
        <v>148800</v>
      </c>
      <c r="D546" s="10">
        <f ca="1">ROUND(_xlfn.NORM.INV(RAND(),Reference!$D$8,0.1*Reference!$D$8)*(1+Reference!$D$11*(IF(MONTH($A546)=Reference!$D$4,1,0)+IF(MONTH($A546)=Reference!$D$5,1,0))+(IF(MONTH($A546)=Reference!$D$6,Reference!$D$13,0))),0)</f>
        <v>483</v>
      </c>
      <c r="E546" s="11">
        <f ca="1">D546*Reference!$D$7*(1-IF(MONTH($A546)=Reference!$D$6,1,0)*Reference!$D$12)</f>
        <v>362250</v>
      </c>
      <c r="M546" s="20"/>
      <c r="N546" s="20"/>
      <c r="O546" s="19"/>
      <c r="P546" s="10"/>
      <c r="Q546" s="10"/>
      <c r="R546" s="10"/>
      <c r="S546" s="10"/>
      <c r="T546" s="10"/>
      <c r="U546" s="10"/>
      <c r="V546" s="10"/>
      <c r="W546" s="10"/>
      <c r="X546" s="10"/>
      <c r="Y546" s="10"/>
    </row>
    <row r="547" spans="1:25" x14ac:dyDescent="0.25">
      <c r="A547" s="9">
        <v>41085</v>
      </c>
      <c r="B547" s="10">
        <f ca="1">ROUND(_xlfn.NORM.INV(RAND(),Reference!$C$8,0.1*Reference!$C$8)*(1+Reference!$C$11*(IF(MONTH($A547)=Reference!$C$4,1,0)+IF(MONTH($A547)=Reference!$C$5,1,0))+(IF(MONTH($A547)=Reference!$C$6,Reference!$C$13,0))),0)</f>
        <v>403</v>
      </c>
      <c r="C547" s="11">
        <f ca="1">B547*Reference!$C$7*(1-IF(MONTH($A547)=Reference!$C$6,1,0)*Reference!$C$12)</f>
        <v>149916</v>
      </c>
      <c r="D547" s="10">
        <f ca="1">ROUND(_xlfn.NORM.INV(RAND(),Reference!$D$8,0.1*Reference!$D$8)*(1+Reference!$D$11*(IF(MONTH($A547)=Reference!$D$4,1,0)+IF(MONTH($A547)=Reference!$D$5,1,0))+(IF(MONTH($A547)=Reference!$D$6,Reference!$D$13,0))),0)</f>
        <v>349</v>
      </c>
      <c r="E547" s="11">
        <f ca="1">D547*Reference!$D$7*(1-IF(MONTH($A547)=Reference!$D$6,1,0)*Reference!$D$12)</f>
        <v>261750</v>
      </c>
      <c r="M547" s="20"/>
      <c r="N547" s="20"/>
      <c r="O547" s="19"/>
      <c r="P547" s="10"/>
      <c r="Q547" s="10"/>
      <c r="R547" s="10"/>
      <c r="S547" s="10"/>
      <c r="T547" s="10"/>
      <c r="U547" s="10"/>
      <c r="V547" s="10"/>
      <c r="W547" s="10"/>
      <c r="X547" s="10"/>
      <c r="Y547" s="10"/>
    </row>
    <row r="548" spans="1:25" x14ac:dyDescent="0.25">
      <c r="A548" s="9">
        <v>41086</v>
      </c>
      <c r="B548" s="10">
        <f ca="1">ROUND(_xlfn.NORM.INV(RAND(),Reference!$C$8,0.1*Reference!$C$8)*(1+Reference!$C$11*(IF(MONTH($A548)=Reference!$C$4,1,0)+IF(MONTH($A548)=Reference!$C$5,1,0))+(IF(MONTH($A548)=Reference!$C$6,Reference!$C$13,0))),0)</f>
        <v>515</v>
      </c>
      <c r="C548" s="11">
        <f ca="1">B548*Reference!$C$7*(1-IF(MONTH($A548)=Reference!$C$6,1,0)*Reference!$C$12)</f>
        <v>191580</v>
      </c>
      <c r="D548" s="10">
        <f ca="1">ROUND(_xlfn.NORM.INV(RAND(),Reference!$D$8,0.1*Reference!$D$8)*(1+Reference!$D$11*(IF(MONTH($A548)=Reference!$D$4,1,0)+IF(MONTH($A548)=Reference!$D$5,1,0))+(IF(MONTH($A548)=Reference!$D$6,Reference!$D$13,0))),0)</f>
        <v>427</v>
      </c>
      <c r="E548" s="11">
        <f ca="1">D548*Reference!$D$7*(1-IF(MONTH($A548)=Reference!$D$6,1,0)*Reference!$D$12)</f>
        <v>320250</v>
      </c>
      <c r="M548" s="20"/>
      <c r="N548" s="20"/>
      <c r="O548" s="19"/>
      <c r="P548" s="10"/>
      <c r="Q548" s="10"/>
      <c r="R548" s="10"/>
      <c r="S548" s="10"/>
      <c r="T548" s="10"/>
      <c r="U548" s="10"/>
      <c r="V548" s="10"/>
      <c r="W548" s="10"/>
      <c r="X548" s="10"/>
      <c r="Y548" s="10"/>
    </row>
    <row r="549" spans="1:25" x14ac:dyDescent="0.25">
      <c r="A549" s="9">
        <v>41087</v>
      </c>
      <c r="B549" s="10">
        <f ca="1">ROUND(_xlfn.NORM.INV(RAND(),Reference!$C$8,0.1*Reference!$C$8)*(1+Reference!$C$11*(IF(MONTH($A549)=Reference!$C$4,1,0)+IF(MONTH($A549)=Reference!$C$5,1,0))+(IF(MONTH($A549)=Reference!$C$6,Reference!$C$13,0))),0)</f>
        <v>462</v>
      </c>
      <c r="C549" s="11">
        <f ca="1">B549*Reference!$C$7*(1-IF(MONTH($A549)=Reference!$C$6,1,0)*Reference!$C$12)</f>
        <v>171864</v>
      </c>
      <c r="D549" s="10">
        <f ca="1">ROUND(_xlfn.NORM.INV(RAND(),Reference!$D$8,0.1*Reference!$D$8)*(1+Reference!$D$11*(IF(MONTH($A549)=Reference!$D$4,1,0)+IF(MONTH($A549)=Reference!$D$5,1,0))+(IF(MONTH($A549)=Reference!$D$6,Reference!$D$13,0))),0)</f>
        <v>472</v>
      </c>
      <c r="E549" s="11">
        <f ca="1">D549*Reference!$D$7*(1-IF(MONTH($A549)=Reference!$D$6,1,0)*Reference!$D$12)</f>
        <v>354000</v>
      </c>
      <c r="M549" s="20"/>
      <c r="N549" s="20"/>
      <c r="O549" s="19"/>
      <c r="P549" s="10"/>
      <c r="Q549" s="10"/>
      <c r="R549" s="10"/>
      <c r="S549" s="10"/>
      <c r="T549" s="10"/>
      <c r="U549" s="10"/>
      <c r="V549" s="10"/>
      <c r="W549" s="10"/>
      <c r="X549" s="10"/>
      <c r="Y549" s="10"/>
    </row>
    <row r="550" spans="1:25" x14ac:dyDescent="0.25">
      <c r="A550" s="9">
        <v>41088</v>
      </c>
      <c r="B550" s="10">
        <f ca="1">ROUND(_xlfn.NORM.INV(RAND(),Reference!$C$8,0.1*Reference!$C$8)*(1+Reference!$C$11*(IF(MONTH($A550)=Reference!$C$4,1,0)+IF(MONTH($A550)=Reference!$C$5,1,0))+(IF(MONTH($A550)=Reference!$C$6,Reference!$C$13,0))),0)</f>
        <v>543</v>
      </c>
      <c r="C550" s="11">
        <f ca="1">B550*Reference!$C$7*(1-IF(MONTH($A550)=Reference!$C$6,1,0)*Reference!$C$12)</f>
        <v>201996</v>
      </c>
      <c r="D550" s="10">
        <f ca="1">ROUND(_xlfn.NORM.INV(RAND(),Reference!$D$8,0.1*Reference!$D$8)*(1+Reference!$D$11*(IF(MONTH($A550)=Reference!$D$4,1,0)+IF(MONTH($A550)=Reference!$D$5,1,0))+(IF(MONTH($A550)=Reference!$D$6,Reference!$D$13,0))),0)</f>
        <v>452</v>
      </c>
      <c r="E550" s="11">
        <f ca="1">D550*Reference!$D$7*(1-IF(MONTH($A550)=Reference!$D$6,1,0)*Reference!$D$12)</f>
        <v>339000</v>
      </c>
      <c r="M550" s="20"/>
      <c r="N550" s="20"/>
      <c r="O550" s="19"/>
      <c r="P550" s="10"/>
      <c r="Q550" s="10"/>
      <c r="R550" s="10"/>
      <c r="S550" s="10"/>
      <c r="T550" s="10"/>
      <c r="U550" s="10"/>
      <c r="V550" s="10"/>
      <c r="W550" s="10"/>
      <c r="X550" s="10"/>
      <c r="Y550" s="10"/>
    </row>
    <row r="551" spans="1:25" x14ac:dyDescent="0.25">
      <c r="A551" s="9">
        <v>41089</v>
      </c>
      <c r="B551" s="10">
        <f ca="1">ROUND(_xlfn.NORM.INV(RAND(),Reference!$C$8,0.1*Reference!$C$8)*(1+Reference!$C$11*(IF(MONTH($A551)=Reference!$C$4,1,0)+IF(MONTH($A551)=Reference!$C$5,1,0))+(IF(MONTH($A551)=Reference!$C$6,Reference!$C$13,0))),0)</f>
        <v>422</v>
      </c>
      <c r="C551" s="11">
        <f ca="1">B551*Reference!$C$7*(1-IF(MONTH($A551)=Reference!$C$6,1,0)*Reference!$C$12)</f>
        <v>156984</v>
      </c>
      <c r="D551" s="10">
        <f ca="1">ROUND(_xlfn.NORM.INV(RAND(),Reference!$D$8,0.1*Reference!$D$8)*(1+Reference!$D$11*(IF(MONTH($A551)=Reference!$D$4,1,0)+IF(MONTH($A551)=Reference!$D$5,1,0))+(IF(MONTH($A551)=Reference!$D$6,Reference!$D$13,0))),0)</f>
        <v>440</v>
      </c>
      <c r="E551" s="11">
        <f ca="1">D551*Reference!$D$7*(1-IF(MONTH($A551)=Reference!$D$6,1,0)*Reference!$D$12)</f>
        <v>330000</v>
      </c>
      <c r="M551" s="20"/>
      <c r="N551" s="20"/>
      <c r="O551" s="19"/>
      <c r="P551" s="10"/>
      <c r="Q551" s="10"/>
      <c r="R551" s="10"/>
      <c r="S551" s="10"/>
      <c r="T551" s="10"/>
      <c r="U551" s="10"/>
      <c r="V551" s="10"/>
      <c r="W551" s="10"/>
      <c r="X551" s="10"/>
      <c r="Y551" s="10"/>
    </row>
    <row r="552" spans="1:25" x14ac:dyDescent="0.25">
      <c r="A552" s="9">
        <v>41090</v>
      </c>
      <c r="B552" s="10">
        <f ca="1">ROUND(_xlfn.NORM.INV(RAND(),Reference!$C$8,0.1*Reference!$C$8)*(1+Reference!$C$11*(IF(MONTH($A552)=Reference!$C$4,1,0)+IF(MONTH($A552)=Reference!$C$5,1,0))+(IF(MONTH($A552)=Reference!$C$6,Reference!$C$13,0))),0)</f>
        <v>384</v>
      </c>
      <c r="C552" s="11">
        <f ca="1">B552*Reference!$C$7*(1-IF(MONTH($A552)=Reference!$C$6,1,0)*Reference!$C$12)</f>
        <v>142848</v>
      </c>
      <c r="D552" s="10">
        <f ca="1">ROUND(_xlfn.NORM.INV(RAND(),Reference!$D$8,0.1*Reference!$D$8)*(1+Reference!$D$11*(IF(MONTH($A552)=Reference!$D$4,1,0)+IF(MONTH($A552)=Reference!$D$5,1,0))+(IF(MONTH($A552)=Reference!$D$6,Reference!$D$13,0))),0)</f>
        <v>414</v>
      </c>
      <c r="E552" s="11">
        <f ca="1">D552*Reference!$D$7*(1-IF(MONTH($A552)=Reference!$D$6,1,0)*Reference!$D$12)</f>
        <v>310500</v>
      </c>
      <c r="M552" s="20"/>
      <c r="N552" s="20"/>
      <c r="O552" s="19"/>
      <c r="P552" s="10"/>
      <c r="Q552" s="10"/>
      <c r="R552" s="10"/>
      <c r="S552" s="10"/>
      <c r="T552" s="10"/>
      <c r="U552" s="10"/>
      <c r="V552" s="10"/>
      <c r="W552" s="10"/>
      <c r="X552" s="10"/>
      <c r="Y552" s="10"/>
    </row>
    <row r="553" spans="1:25" x14ac:dyDescent="0.25">
      <c r="A553" s="9">
        <v>41091</v>
      </c>
      <c r="B553" s="10">
        <f ca="1">ROUND(_xlfn.NORM.INV(RAND(),Reference!$C$8,0.1*Reference!$C$8)*(1+Reference!$C$11*(IF(MONTH($A553)=Reference!$C$4,1,0)+IF(MONTH($A553)=Reference!$C$5,1,0))+(IF(MONTH($A553)=Reference!$C$6,Reference!$C$13,0))),0)</f>
        <v>440</v>
      </c>
      <c r="C553" s="11">
        <f ca="1">B553*Reference!$C$7*(1-IF(MONTH($A553)=Reference!$C$6,1,0)*Reference!$C$12)</f>
        <v>409200</v>
      </c>
      <c r="D553" s="10">
        <f ca="1">ROUND(_xlfn.NORM.INV(RAND(),Reference!$D$8,0.1*Reference!$D$8)*(1+Reference!$D$11*(IF(MONTH($A553)=Reference!$D$4,1,0)+IF(MONTH($A553)=Reference!$D$5,1,0))+(IF(MONTH($A553)=Reference!$D$6,Reference!$D$13,0))),0)</f>
        <v>509</v>
      </c>
      <c r="E553" s="11">
        <f ca="1">D553*Reference!$D$7*(1-IF(MONTH($A553)=Reference!$D$6,1,0)*Reference!$D$12)</f>
        <v>381750</v>
      </c>
      <c r="M553" s="20"/>
      <c r="N553" s="20"/>
      <c r="O553" s="19"/>
      <c r="P553" s="10"/>
      <c r="Q553" s="10"/>
      <c r="R553" s="10"/>
      <c r="S553" s="10"/>
      <c r="T553" s="10"/>
      <c r="U553" s="10"/>
      <c r="V553" s="10"/>
      <c r="W553" s="10"/>
      <c r="X553" s="10"/>
      <c r="Y553" s="10"/>
    </row>
    <row r="554" spans="1:25" x14ac:dyDescent="0.25">
      <c r="A554" s="9">
        <v>41092</v>
      </c>
      <c r="B554" s="10">
        <f ca="1">ROUND(_xlfn.NORM.INV(RAND(),Reference!$C$8,0.1*Reference!$C$8)*(1+Reference!$C$11*(IF(MONTH($A554)=Reference!$C$4,1,0)+IF(MONTH($A554)=Reference!$C$5,1,0))+(IF(MONTH($A554)=Reference!$C$6,Reference!$C$13,0))),0)</f>
        <v>369</v>
      </c>
      <c r="C554" s="11">
        <f ca="1">B554*Reference!$C$7*(1-IF(MONTH($A554)=Reference!$C$6,1,0)*Reference!$C$12)</f>
        <v>343170</v>
      </c>
      <c r="D554" s="10">
        <f ca="1">ROUND(_xlfn.NORM.INV(RAND(),Reference!$D$8,0.1*Reference!$D$8)*(1+Reference!$D$11*(IF(MONTH($A554)=Reference!$D$4,1,0)+IF(MONTH($A554)=Reference!$D$5,1,0))+(IF(MONTH($A554)=Reference!$D$6,Reference!$D$13,0))),0)</f>
        <v>537</v>
      </c>
      <c r="E554" s="11">
        <f ca="1">D554*Reference!$D$7*(1-IF(MONTH($A554)=Reference!$D$6,1,0)*Reference!$D$12)</f>
        <v>402750</v>
      </c>
      <c r="M554" s="20"/>
      <c r="N554" s="20"/>
      <c r="O554" s="19"/>
      <c r="P554" s="10"/>
      <c r="Q554" s="10"/>
      <c r="R554" s="10"/>
      <c r="S554" s="10"/>
      <c r="T554" s="10"/>
      <c r="U554" s="10"/>
      <c r="V554" s="10"/>
      <c r="W554" s="10"/>
      <c r="X554" s="10"/>
      <c r="Y554" s="10"/>
    </row>
    <row r="555" spans="1:25" x14ac:dyDescent="0.25">
      <c r="A555" s="9">
        <v>41093</v>
      </c>
      <c r="B555" s="10">
        <f ca="1">ROUND(_xlfn.NORM.INV(RAND(),Reference!$C$8,0.1*Reference!$C$8)*(1+Reference!$C$11*(IF(MONTH($A555)=Reference!$C$4,1,0)+IF(MONTH($A555)=Reference!$C$5,1,0))+(IF(MONTH($A555)=Reference!$C$6,Reference!$C$13,0))),0)</f>
        <v>386</v>
      </c>
      <c r="C555" s="11">
        <f ca="1">B555*Reference!$C$7*(1-IF(MONTH($A555)=Reference!$C$6,1,0)*Reference!$C$12)</f>
        <v>358980</v>
      </c>
      <c r="D555" s="10">
        <f ca="1">ROUND(_xlfn.NORM.INV(RAND(),Reference!$D$8,0.1*Reference!$D$8)*(1+Reference!$D$11*(IF(MONTH($A555)=Reference!$D$4,1,0)+IF(MONTH($A555)=Reference!$D$5,1,0))+(IF(MONTH($A555)=Reference!$D$6,Reference!$D$13,0))),0)</f>
        <v>465</v>
      </c>
      <c r="E555" s="11">
        <f ca="1">D555*Reference!$D$7*(1-IF(MONTH($A555)=Reference!$D$6,1,0)*Reference!$D$12)</f>
        <v>348750</v>
      </c>
      <c r="M555" s="20"/>
      <c r="N555" s="20"/>
      <c r="O555" s="19"/>
      <c r="P555" s="10"/>
      <c r="Q555" s="10"/>
      <c r="R555" s="10"/>
      <c r="S555" s="10"/>
      <c r="T555" s="10"/>
      <c r="U555" s="10"/>
      <c r="V555" s="10"/>
      <c r="W555" s="10"/>
      <c r="X555" s="10"/>
      <c r="Y555" s="10"/>
    </row>
    <row r="556" spans="1:25" x14ac:dyDescent="0.25">
      <c r="A556" s="9">
        <v>41094</v>
      </c>
      <c r="B556" s="10">
        <f ca="1">ROUND(_xlfn.NORM.INV(RAND(),Reference!$C$8,0.1*Reference!$C$8)*(1+Reference!$C$11*(IF(MONTH($A556)=Reference!$C$4,1,0)+IF(MONTH($A556)=Reference!$C$5,1,0))+(IF(MONTH($A556)=Reference!$C$6,Reference!$C$13,0))),0)</f>
        <v>397</v>
      </c>
      <c r="C556" s="11">
        <f ca="1">B556*Reference!$C$7*(1-IF(MONTH($A556)=Reference!$C$6,1,0)*Reference!$C$12)</f>
        <v>369210</v>
      </c>
      <c r="D556" s="10">
        <f ca="1">ROUND(_xlfn.NORM.INV(RAND(),Reference!$D$8,0.1*Reference!$D$8)*(1+Reference!$D$11*(IF(MONTH($A556)=Reference!$D$4,1,0)+IF(MONTH($A556)=Reference!$D$5,1,0))+(IF(MONTH($A556)=Reference!$D$6,Reference!$D$13,0))),0)</f>
        <v>472</v>
      </c>
      <c r="E556" s="11">
        <f ca="1">D556*Reference!$D$7*(1-IF(MONTH($A556)=Reference!$D$6,1,0)*Reference!$D$12)</f>
        <v>354000</v>
      </c>
      <c r="M556" s="20"/>
      <c r="N556" s="20"/>
      <c r="O556" s="19"/>
      <c r="P556" s="10"/>
      <c r="Q556" s="10"/>
      <c r="R556" s="10"/>
      <c r="S556" s="10"/>
      <c r="T556" s="10"/>
      <c r="U556" s="10"/>
      <c r="V556" s="10"/>
      <c r="W556" s="10"/>
      <c r="X556" s="10"/>
      <c r="Y556" s="10"/>
    </row>
    <row r="557" spans="1:25" x14ac:dyDescent="0.25">
      <c r="A557" s="9">
        <v>41095</v>
      </c>
      <c r="B557" s="10">
        <f ca="1">ROUND(_xlfn.NORM.INV(RAND(),Reference!$C$8,0.1*Reference!$C$8)*(1+Reference!$C$11*(IF(MONTH($A557)=Reference!$C$4,1,0)+IF(MONTH($A557)=Reference!$C$5,1,0))+(IF(MONTH($A557)=Reference!$C$6,Reference!$C$13,0))),0)</f>
        <v>319</v>
      </c>
      <c r="C557" s="11">
        <f ca="1">B557*Reference!$C$7*(1-IF(MONTH($A557)=Reference!$C$6,1,0)*Reference!$C$12)</f>
        <v>296670</v>
      </c>
      <c r="D557" s="10">
        <f ca="1">ROUND(_xlfn.NORM.INV(RAND(),Reference!$D$8,0.1*Reference!$D$8)*(1+Reference!$D$11*(IF(MONTH($A557)=Reference!$D$4,1,0)+IF(MONTH($A557)=Reference!$D$5,1,0))+(IF(MONTH($A557)=Reference!$D$6,Reference!$D$13,0))),0)</f>
        <v>453</v>
      </c>
      <c r="E557" s="11">
        <f ca="1">D557*Reference!$D$7*(1-IF(MONTH($A557)=Reference!$D$6,1,0)*Reference!$D$12)</f>
        <v>339750</v>
      </c>
      <c r="M557" s="20"/>
      <c r="N557" s="20"/>
      <c r="O557" s="19"/>
      <c r="P557" s="10"/>
      <c r="Q557" s="10"/>
      <c r="R557" s="10"/>
      <c r="S557" s="10"/>
      <c r="T557" s="10"/>
      <c r="U557" s="10"/>
      <c r="V557" s="10"/>
      <c r="W557" s="10"/>
      <c r="X557" s="10"/>
      <c r="Y557" s="10"/>
    </row>
    <row r="558" spans="1:25" x14ac:dyDescent="0.25">
      <c r="A558" s="9">
        <v>41096</v>
      </c>
      <c r="B558" s="10">
        <f ca="1">ROUND(_xlfn.NORM.INV(RAND(),Reference!$C$8,0.1*Reference!$C$8)*(1+Reference!$C$11*(IF(MONTH($A558)=Reference!$C$4,1,0)+IF(MONTH($A558)=Reference!$C$5,1,0))+(IF(MONTH($A558)=Reference!$C$6,Reference!$C$13,0))),0)</f>
        <v>335</v>
      </c>
      <c r="C558" s="11">
        <f ca="1">B558*Reference!$C$7*(1-IF(MONTH($A558)=Reference!$C$6,1,0)*Reference!$C$12)</f>
        <v>311550</v>
      </c>
      <c r="D558" s="10">
        <f ca="1">ROUND(_xlfn.NORM.INV(RAND(),Reference!$D$8,0.1*Reference!$D$8)*(1+Reference!$D$11*(IF(MONTH($A558)=Reference!$D$4,1,0)+IF(MONTH($A558)=Reference!$D$5,1,0))+(IF(MONTH($A558)=Reference!$D$6,Reference!$D$13,0))),0)</f>
        <v>481</v>
      </c>
      <c r="E558" s="11">
        <f ca="1">D558*Reference!$D$7*(1-IF(MONTH($A558)=Reference!$D$6,1,0)*Reference!$D$12)</f>
        <v>360750</v>
      </c>
      <c r="M558" s="20"/>
      <c r="N558" s="20"/>
      <c r="O558" s="19"/>
      <c r="P558" s="10"/>
      <c r="Q558" s="10"/>
      <c r="R558" s="10"/>
      <c r="S558" s="10"/>
      <c r="T558" s="10"/>
      <c r="U558" s="10"/>
      <c r="V558" s="10"/>
      <c r="W558" s="10"/>
      <c r="X558" s="10"/>
      <c r="Y558" s="10"/>
    </row>
    <row r="559" spans="1:25" x14ac:dyDescent="0.25">
      <c r="A559" s="9">
        <v>41097</v>
      </c>
      <c r="B559" s="10">
        <f ca="1">ROUND(_xlfn.NORM.INV(RAND(),Reference!$C$8,0.1*Reference!$C$8)*(1+Reference!$C$11*(IF(MONTH($A559)=Reference!$C$4,1,0)+IF(MONTH($A559)=Reference!$C$5,1,0))+(IF(MONTH($A559)=Reference!$C$6,Reference!$C$13,0))),0)</f>
        <v>325</v>
      </c>
      <c r="C559" s="11">
        <f ca="1">B559*Reference!$C$7*(1-IF(MONTH($A559)=Reference!$C$6,1,0)*Reference!$C$12)</f>
        <v>302250</v>
      </c>
      <c r="D559" s="10">
        <f ca="1">ROUND(_xlfn.NORM.INV(RAND(),Reference!$D$8,0.1*Reference!$D$8)*(1+Reference!$D$11*(IF(MONTH($A559)=Reference!$D$4,1,0)+IF(MONTH($A559)=Reference!$D$5,1,0))+(IF(MONTH($A559)=Reference!$D$6,Reference!$D$13,0))),0)</f>
        <v>520</v>
      </c>
      <c r="E559" s="11">
        <f ca="1">D559*Reference!$D$7*(1-IF(MONTH($A559)=Reference!$D$6,1,0)*Reference!$D$12)</f>
        <v>390000</v>
      </c>
      <c r="M559" s="20"/>
      <c r="N559" s="20"/>
      <c r="O559" s="19"/>
      <c r="P559" s="10"/>
      <c r="Q559" s="10"/>
      <c r="R559" s="10"/>
      <c r="S559" s="10"/>
      <c r="T559" s="10"/>
      <c r="U559" s="10"/>
      <c r="V559" s="10"/>
      <c r="W559" s="10"/>
      <c r="X559" s="10"/>
      <c r="Y559" s="10"/>
    </row>
    <row r="560" spans="1:25" x14ac:dyDescent="0.25">
      <c r="A560" s="9">
        <v>41098</v>
      </c>
      <c r="B560" s="10">
        <f ca="1">ROUND(_xlfn.NORM.INV(RAND(),Reference!$C$8,0.1*Reference!$C$8)*(1+Reference!$C$11*(IF(MONTH($A560)=Reference!$C$4,1,0)+IF(MONTH($A560)=Reference!$C$5,1,0))+(IF(MONTH($A560)=Reference!$C$6,Reference!$C$13,0))),0)</f>
        <v>383</v>
      </c>
      <c r="C560" s="11">
        <f ca="1">B560*Reference!$C$7*(1-IF(MONTH($A560)=Reference!$C$6,1,0)*Reference!$C$12)</f>
        <v>356190</v>
      </c>
      <c r="D560" s="10">
        <f ca="1">ROUND(_xlfn.NORM.INV(RAND(),Reference!$D$8,0.1*Reference!$D$8)*(1+Reference!$D$11*(IF(MONTH($A560)=Reference!$D$4,1,0)+IF(MONTH($A560)=Reference!$D$5,1,0))+(IF(MONTH($A560)=Reference!$D$6,Reference!$D$13,0))),0)</f>
        <v>543</v>
      </c>
      <c r="E560" s="11">
        <f ca="1">D560*Reference!$D$7*(1-IF(MONTH($A560)=Reference!$D$6,1,0)*Reference!$D$12)</f>
        <v>407250</v>
      </c>
      <c r="M560" s="20"/>
      <c r="N560" s="20"/>
      <c r="O560" s="19"/>
      <c r="P560" s="10"/>
      <c r="Q560" s="10"/>
      <c r="R560" s="10"/>
      <c r="S560" s="10"/>
      <c r="T560" s="10"/>
      <c r="U560" s="10"/>
      <c r="V560" s="10"/>
      <c r="W560" s="10"/>
      <c r="X560" s="10"/>
      <c r="Y560" s="10"/>
    </row>
    <row r="561" spans="1:25" x14ac:dyDescent="0.25">
      <c r="A561" s="9">
        <v>41099</v>
      </c>
      <c r="B561" s="10">
        <f ca="1">ROUND(_xlfn.NORM.INV(RAND(),Reference!$C$8,0.1*Reference!$C$8)*(1+Reference!$C$11*(IF(MONTH($A561)=Reference!$C$4,1,0)+IF(MONTH($A561)=Reference!$C$5,1,0))+(IF(MONTH($A561)=Reference!$C$6,Reference!$C$13,0))),0)</f>
        <v>426</v>
      </c>
      <c r="C561" s="11">
        <f ca="1">B561*Reference!$C$7*(1-IF(MONTH($A561)=Reference!$C$6,1,0)*Reference!$C$12)</f>
        <v>396180</v>
      </c>
      <c r="D561" s="10">
        <f ca="1">ROUND(_xlfn.NORM.INV(RAND(),Reference!$D$8,0.1*Reference!$D$8)*(1+Reference!$D$11*(IF(MONTH($A561)=Reference!$D$4,1,0)+IF(MONTH($A561)=Reference!$D$5,1,0))+(IF(MONTH($A561)=Reference!$D$6,Reference!$D$13,0))),0)</f>
        <v>511</v>
      </c>
      <c r="E561" s="11">
        <f ca="1">D561*Reference!$D$7*(1-IF(MONTH($A561)=Reference!$D$6,1,0)*Reference!$D$12)</f>
        <v>383250</v>
      </c>
      <c r="M561" s="20"/>
      <c r="N561" s="20"/>
      <c r="O561" s="19"/>
      <c r="P561" s="10"/>
      <c r="Q561" s="10"/>
      <c r="R561" s="10"/>
      <c r="S561" s="10"/>
      <c r="T561" s="10"/>
      <c r="U561" s="10"/>
      <c r="V561" s="10"/>
      <c r="W561" s="10"/>
      <c r="X561" s="10"/>
      <c r="Y561" s="10"/>
    </row>
    <row r="562" spans="1:25" x14ac:dyDescent="0.25">
      <c r="A562" s="9">
        <v>41100</v>
      </c>
      <c r="B562" s="10">
        <f ca="1">ROUND(_xlfn.NORM.INV(RAND(),Reference!$C$8,0.1*Reference!$C$8)*(1+Reference!$C$11*(IF(MONTH($A562)=Reference!$C$4,1,0)+IF(MONTH($A562)=Reference!$C$5,1,0))+(IF(MONTH($A562)=Reference!$C$6,Reference!$C$13,0))),0)</f>
        <v>348</v>
      </c>
      <c r="C562" s="11">
        <f ca="1">B562*Reference!$C$7*(1-IF(MONTH($A562)=Reference!$C$6,1,0)*Reference!$C$12)</f>
        <v>323640</v>
      </c>
      <c r="D562" s="10">
        <f ca="1">ROUND(_xlfn.NORM.INV(RAND(),Reference!$D$8,0.1*Reference!$D$8)*(1+Reference!$D$11*(IF(MONTH($A562)=Reference!$D$4,1,0)+IF(MONTH($A562)=Reference!$D$5,1,0))+(IF(MONTH($A562)=Reference!$D$6,Reference!$D$13,0))),0)</f>
        <v>412</v>
      </c>
      <c r="E562" s="11">
        <f ca="1">D562*Reference!$D$7*(1-IF(MONTH($A562)=Reference!$D$6,1,0)*Reference!$D$12)</f>
        <v>309000</v>
      </c>
      <c r="M562" s="20"/>
      <c r="N562" s="20"/>
      <c r="O562" s="19"/>
      <c r="P562" s="10"/>
      <c r="Q562" s="10"/>
      <c r="R562" s="10"/>
      <c r="S562" s="10"/>
      <c r="T562" s="10"/>
      <c r="U562" s="10"/>
      <c r="V562" s="10"/>
      <c r="W562" s="10"/>
      <c r="X562" s="10"/>
      <c r="Y562" s="10"/>
    </row>
    <row r="563" spans="1:25" x14ac:dyDescent="0.25">
      <c r="A563" s="9">
        <v>41101</v>
      </c>
      <c r="B563" s="10">
        <f ca="1">ROUND(_xlfn.NORM.INV(RAND(),Reference!$C$8,0.1*Reference!$C$8)*(1+Reference!$C$11*(IF(MONTH($A563)=Reference!$C$4,1,0)+IF(MONTH($A563)=Reference!$C$5,1,0))+(IF(MONTH($A563)=Reference!$C$6,Reference!$C$13,0))),0)</f>
        <v>384</v>
      </c>
      <c r="C563" s="11">
        <f ca="1">B563*Reference!$C$7*(1-IF(MONTH($A563)=Reference!$C$6,1,0)*Reference!$C$12)</f>
        <v>357120</v>
      </c>
      <c r="D563" s="10">
        <f ca="1">ROUND(_xlfn.NORM.INV(RAND(),Reference!$D$8,0.1*Reference!$D$8)*(1+Reference!$D$11*(IF(MONTH($A563)=Reference!$D$4,1,0)+IF(MONTH($A563)=Reference!$D$5,1,0))+(IF(MONTH($A563)=Reference!$D$6,Reference!$D$13,0))),0)</f>
        <v>475</v>
      </c>
      <c r="E563" s="11">
        <f ca="1">D563*Reference!$D$7*(1-IF(MONTH($A563)=Reference!$D$6,1,0)*Reference!$D$12)</f>
        <v>356250</v>
      </c>
      <c r="M563" s="20"/>
      <c r="N563" s="20"/>
      <c r="O563" s="19"/>
      <c r="P563" s="10"/>
      <c r="Q563" s="10"/>
      <c r="R563" s="10"/>
      <c r="S563" s="10"/>
      <c r="T563" s="10"/>
      <c r="U563" s="10"/>
      <c r="V563" s="10"/>
      <c r="W563" s="10"/>
      <c r="X563" s="10"/>
      <c r="Y563" s="10"/>
    </row>
    <row r="564" spans="1:25" x14ac:dyDescent="0.25">
      <c r="A564" s="9">
        <v>41102</v>
      </c>
      <c r="B564" s="10">
        <f ca="1">ROUND(_xlfn.NORM.INV(RAND(),Reference!$C$8,0.1*Reference!$C$8)*(1+Reference!$C$11*(IF(MONTH($A564)=Reference!$C$4,1,0)+IF(MONTH($A564)=Reference!$C$5,1,0))+(IF(MONTH($A564)=Reference!$C$6,Reference!$C$13,0))),0)</f>
        <v>385</v>
      </c>
      <c r="C564" s="11">
        <f ca="1">B564*Reference!$C$7*(1-IF(MONTH($A564)=Reference!$C$6,1,0)*Reference!$C$12)</f>
        <v>358050</v>
      </c>
      <c r="D564" s="10">
        <f ca="1">ROUND(_xlfn.NORM.INV(RAND(),Reference!$D$8,0.1*Reference!$D$8)*(1+Reference!$D$11*(IF(MONTH($A564)=Reference!$D$4,1,0)+IF(MONTH($A564)=Reference!$D$5,1,0))+(IF(MONTH($A564)=Reference!$D$6,Reference!$D$13,0))),0)</f>
        <v>486</v>
      </c>
      <c r="E564" s="11">
        <f ca="1">D564*Reference!$D$7*(1-IF(MONTH($A564)=Reference!$D$6,1,0)*Reference!$D$12)</f>
        <v>364500</v>
      </c>
      <c r="M564" s="20"/>
      <c r="N564" s="20"/>
      <c r="O564" s="19"/>
      <c r="P564" s="10"/>
      <c r="Q564" s="10"/>
      <c r="R564" s="10"/>
      <c r="S564" s="10"/>
      <c r="T564" s="10"/>
      <c r="U564" s="10"/>
      <c r="V564" s="10"/>
      <c r="W564" s="10"/>
      <c r="X564" s="10"/>
      <c r="Y564" s="10"/>
    </row>
    <row r="565" spans="1:25" x14ac:dyDescent="0.25">
      <c r="A565" s="9">
        <v>41103</v>
      </c>
      <c r="B565" s="10">
        <f ca="1">ROUND(_xlfn.NORM.INV(RAND(),Reference!$C$8,0.1*Reference!$C$8)*(1+Reference!$C$11*(IF(MONTH($A565)=Reference!$C$4,1,0)+IF(MONTH($A565)=Reference!$C$5,1,0))+(IF(MONTH($A565)=Reference!$C$6,Reference!$C$13,0))),0)</f>
        <v>265</v>
      </c>
      <c r="C565" s="11">
        <f ca="1">B565*Reference!$C$7*(1-IF(MONTH($A565)=Reference!$C$6,1,0)*Reference!$C$12)</f>
        <v>246450</v>
      </c>
      <c r="D565" s="10">
        <f ca="1">ROUND(_xlfn.NORM.INV(RAND(),Reference!$D$8,0.1*Reference!$D$8)*(1+Reference!$D$11*(IF(MONTH($A565)=Reference!$D$4,1,0)+IF(MONTH($A565)=Reference!$D$5,1,0))+(IF(MONTH($A565)=Reference!$D$6,Reference!$D$13,0))),0)</f>
        <v>378</v>
      </c>
      <c r="E565" s="11">
        <f ca="1">D565*Reference!$D$7*(1-IF(MONTH($A565)=Reference!$D$6,1,0)*Reference!$D$12)</f>
        <v>283500</v>
      </c>
      <c r="M565" s="20"/>
      <c r="N565" s="20"/>
      <c r="O565" s="19"/>
      <c r="P565" s="10"/>
      <c r="Q565" s="10"/>
      <c r="R565" s="10"/>
      <c r="S565" s="10"/>
      <c r="T565" s="10"/>
      <c r="U565" s="10"/>
      <c r="V565" s="10"/>
      <c r="W565" s="10"/>
      <c r="X565" s="10"/>
      <c r="Y565" s="10"/>
    </row>
    <row r="566" spans="1:25" x14ac:dyDescent="0.25">
      <c r="A566" s="9">
        <v>41104</v>
      </c>
      <c r="B566" s="10">
        <f ca="1">ROUND(_xlfn.NORM.INV(RAND(),Reference!$C$8,0.1*Reference!$C$8)*(1+Reference!$C$11*(IF(MONTH($A566)=Reference!$C$4,1,0)+IF(MONTH($A566)=Reference!$C$5,1,0))+(IF(MONTH($A566)=Reference!$C$6,Reference!$C$13,0))),0)</f>
        <v>368</v>
      </c>
      <c r="C566" s="11">
        <f ca="1">B566*Reference!$C$7*(1-IF(MONTH($A566)=Reference!$C$6,1,0)*Reference!$C$12)</f>
        <v>342240</v>
      </c>
      <c r="D566" s="10">
        <f ca="1">ROUND(_xlfn.NORM.INV(RAND(),Reference!$D$8,0.1*Reference!$D$8)*(1+Reference!$D$11*(IF(MONTH($A566)=Reference!$D$4,1,0)+IF(MONTH($A566)=Reference!$D$5,1,0))+(IF(MONTH($A566)=Reference!$D$6,Reference!$D$13,0))),0)</f>
        <v>529</v>
      </c>
      <c r="E566" s="11">
        <f ca="1">D566*Reference!$D$7*(1-IF(MONTH($A566)=Reference!$D$6,1,0)*Reference!$D$12)</f>
        <v>396750</v>
      </c>
      <c r="M566" s="20"/>
      <c r="N566" s="20"/>
      <c r="O566" s="19"/>
      <c r="P566" s="10"/>
      <c r="Q566" s="10"/>
      <c r="R566" s="10"/>
      <c r="S566" s="10"/>
      <c r="T566" s="10"/>
      <c r="U566" s="10"/>
      <c r="V566" s="10"/>
      <c r="W566" s="10"/>
      <c r="X566" s="10"/>
      <c r="Y566" s="10"/>
    </row>
    <row r="567" spans="1:25" x14ac:dyDescent="0.25">
      <c r="A567" s="9">
        <v>41105</v>
      </c>
      <c r="B567" s="10">
        <f ca="1">ROUND(_xlfn.NORM.INV(RAND(),Reference!$C$8,0.1*Reference!$C$8)*(1+Reference!$C$11*(IF(MONTH($A567)=Reference!$C$4,1,0)+IF(MONTH($A567)=Reference!$C$5,1,0))+(IF(MONTH($A567)=Reference!$C$6,Reference!$C$13,0))),0)</f>
        <v>340</v>
      </c>
      <c r="C567" s="11">
        <f ca="1">B567*Reference!$C$7*(1-IF(MONTH($A567)=Reference!$C$6,1,0)*Reference!$C$12)</f>
        <v>316200</v>
      </c>
      <c r="D567" s="10">
        <f ca="1">ROUND(_xlfn.NORM.INV(RAND(),Reference!$D$8,0.1*Reference!$D$8)*(1+Reference!$D$11*(IF(MONTH($A567)=Reference!$D$4,1,0)+IF(MONTH($A567)=Reference!$D$5,1,0))+(IF(MONTH($A567)=Reference!$D$6,Reference!$D$13,0))),0)</f>
        <v>440</v>
      </c>
      <c r="E567" s="11">
        <f ca="1">D567*Reference!$D$7*(1-IF(MONTH($A567)=Reference!$D$6,1,0)*Reference!$D$12)</f>
        <v>330000</v>
      </c>
      <c r="M567" s="20"/>
      <c r="N567" s="20"/>
      <c r="O567" s="19"/>
      <c r="P567" s="10"/>
      <c r="Q567" s="10"/>
      <c r="R567" s="10"/>
      <c r="S567" s="10"/>
      <c r="T567" s="10"/>
      <c r="U567" s="10"/>
      <c r="V567" s="10"/>
      <c r="W567" s="10"/>
      <c r="X567" s="10"/>
      <c r="Y567" s="10"/>
    </row>
    <row r="568" spans="1:25" x14ac:dyDescent="0.25">
      <c r="A568" s="9">
        <v>41106</v>
      </c>
      <c r="B568" s="10">
        <f ca="1">ROUND(_xlfn.NORM.INV(RAND(),Reference!$C$8,0.1*Reference!$C$8)*(1+Reference!$C$11*(IF(MONTH($A568)=Reference!$C$4,1,0)+IF(MONTH($A568)=Reference!$C$5,1,0))+(IF(MONTH($A568)=Reference!$C$6,Reference!$C$13,0))),0)</f>
        <v>292</v>
      </c>
      <c r="C568" s="11">
        <f ca="1">B568*Reference!$C$7*(1-IF(MONTH($A568)=Reference!$C$6,1,0)*Reference!$C$12)</f>
        <v>271560</v>
      </c>
      <c r="D568" s="10">
        <f ca="1">ROUND(_xlfn.NORM.INV(RAND(),Reference!$D$8,0.1*Reference!$D$8)*(1+Reference!$D$11*(IF(MONTH($A568)=Reference!$D$4,1,0)+IF(MONTH($A568)=Reference!$D$5,1,0))+(IF(MONTH($A568)=Reference!$D$6,Reference!$D$13,0))),0)</f>
        <v>459</v>
      </c>
      <c r="E568" s="11">
        <f ca="1">D568*Reference!$D$7*(1-IF(MONTH($A568)=Reference!$D$6,1,0)*Reference!$D$12)</f>
        <v>344250</v>
      </c>
      <c r="M568" s="20"/>
      <c r="N568" s="20"/>
      <c r="O568" s="19"/>
      <c r="P568" s="10"/>
      <c r="Q568" s="10"/>
      <c r="R568" s="10"/>
      <c r="S568" s="10"/>
      <c r="T568" s="10"/>
      <c r="U568" s="10"/>
      <c r="V568" s="10"/>
      <c r="W568" s="10"/>
      <c r="X568" s="10"/>
      <c r="Y568" s="10"/>
    </row>
    <row r="569" spans="1:25" x14ac:dyDescent="0.25">
      <c r="A569" s="9">
        <v>41107</v>
      </c>
      <c r="B569" s="10">
        <f ca="1">ROUND(_xlfn.NORM.INV(RAND(),Reference!$C$8,0.1*Reference!$C$8)*(1+Reference!$C$11*(IF(MONTH($A569)=Reference!$C$4,1,0)+IF(MONTH($A569)=Reference!$C$5,1,0))+(IF(MONTH($A569)=Reference!$C$6,Reference!$C$13,0))),0)</f>
        <v>350</v>
      </c>
      <c r="C569" s="11">
        <f ca="1">B569*Reference!$C$7*(1-IF(MONTH($A569)=Reference!$C$6,1,0)*Reference!$C$12)</f>
        <v>325500</v>
      </c>
      <c r="D569" s="10">
        <f ca="1">ROUND(_xlfn.NORM.INV(RAND(),Reference!$D$8,0.1*Reference!$D$8)*(1+Reference!$D$11*(IF(MONTH($A569)=Reference!$D$4,1,0)+IF(MONTH($A569)=Reference!$D$5,1,0))+(IF(MONTH($A569)=Reference!$D$6,Reference!$D$13,0))),0)</f>
        <v>489</v>
      </c>
      <c r="E569" s="11">
        <f ca="1">D569*Reference!$D$7*(1-IF(MONTH($A569)=Reference!$D$6,1,0)*Reference!$D$12)</f>
        <v>366750</v>
      </c>
      <c r="M569" s="20"/>
      <c r="N569" s="20"/>
      <c r="O569" s="19"/>
      <c r="P569" s="10"/>
      <c r="Q569" s="10"/>
      <c r="R569" s="10"/>
      <c r="S569" s="10"/>
      <c r="T569" s="10"/>
      <c r="U569" s="10"/>
      <c r="V569" s="10"/>
      <c r="W569" s="10"/>
      <c r="X569" s="10"/>
      <c r="Y569" s="10"/>
    </row>
    <row r="570" spans="1:25" x14ac:dyDescent="0.25">
      <c r="A570" s="9">
        <v>41108</v>
      </c>
      <c r="B570" s="10">
        <f ca="1">ROUND(_xlfn.NORM.INV(RAND(),Reference!$C$8,0.1*Reference!$C$8)*(1+Reference!$C$11*(IF(MONTH($A570)=Reference!$C$4,1,0)+IF(MONTH($A570)=Reference!$C$5,1,0))+(IF(MONTH($A570)=Reference!$C$6,Reference!$C$13,0))),0)</f>
        <v>332</v>
      </c>
      <c r="C570" s="11">
        <f ca="1">B570*Reference!$C$7*(1-IF(MONTH($A570)=Reference!$C$6,1,0)*Reference!$C$12)</f>
        <v>308760</v>
      </c>
      <c r="D570" s="10">
        <f ca="1">ROUND(_xlfn.NORM.INV(RAND(),Reference!$D$8,0.1*Reference!$D$8)*(1+Reference!$D$11*(IF(MONTH($A570)=Reference!$D$4,1,0)+IF(MONTH($A570)=Reference!$D$5,1,0))+(IF(MONTH($A570)=Reference!$D$6,Reference!$D$13,0))),0)</f>
        <v>393</v>
      </c>
      <c r="E570" s="11">
        <f ca="1">D570*Reference!$D$7*(1-IF(MONTH($A570)=Reference!$D$6,1,0)*Reference!$D$12)</f>
        <v>294750</v>
      </c>
      <c r="M570" s="20"/>
      <c r="N570" s="20"/>
      <c r="O570" s="19"/>
      <c r="P570" s="10"/>
      <c r="Q570" s="10"/>
      <c r="R570" s="10"/>
      <c r="S570" s="10"/>
      <c r="T570" s="10"/>
      <c r="U570" s="10"/>
      <c r="V570" s="10"/>
      <c r="W570" s="10"/>
      <c r="X570" s="10"/>
      <c r="Y570" s="10"/>
    </row>
    <row r="571" spans="1:25" x14ac:dyDescent="0.25">
      <c r="A571" s="9">
        <v>41109</v>
      </c>
      <c r="B571" s="10">
        <f ca="1">ROUND(_xlfn.NORM.INV(RAND(),Reference!$C$8,0.1*Reference!$C$8)*(1+Reference!$C$11*(IF(MONTH($A571)=Reference!$C$4,1,0)+IF(MONTH($A571)=Reference!$C$5,1,0))+(IF(MONTH($A571)=Reference!$C$6,Reference!$C$13,0))),0)</f>
        <v>328</v>
      </c>
      <c r="C571" s="11">
        <f ca="1">B571*Reference!$C$7*(1-IF(MONTH($A571)=Reference!$C$6,1,0)*Reference!$C$12)</f>
        <v>305040</v>
      </c>
      <c r="D571" s="10">
        <f ca="1">ROUND(_xlfn.NORM.INV(RAND(),Reference!$D$8,0.1*Reference!$D$8)*(1+Reference!$D$11*(IF(MONTH($A571)=Reference!$D$4,1,0)+IF(MONTH($A571)=Reference!$D$5,1,0))+(IF(MONTH($A571)=Reference!$D$6,Reference!$D$13,0))),0)</f>
        <v>491</v>
      </c>
      <c r="E571" s="11">
        <f ca="1">D571*Reference!$D$7*(1-IF(MONTH($A571)=Reference!$D$6,1,0)*Reference!$D$12)</f>
        <v>368250</v>
      </c>
      <c r="M571" s="20"/>
      <c r="N571" s="20"/>
      <c r="O571" s="19"/>
      <c r="P571" s="10"/>
      <c r="Q571" s="10"/>
      <c r="R571" s="10"/>
      <c r="S571" s="10"/>
      <c r="T571" s="10"/>
      <c r="U571" s="10"/>
      <c r="V571" s="10"/>
      <c r="W571" s="10"/>
      <c r="X571" s="10"/>
      <c r="Y571" s="10"/>
    </row>
    <row r="572" spans="1:25" x14ac:dyDescent="0.25">
      <c r="A572" s="9">
        <v>41110</v>
      </c>
      <c r="B572" s="10">
        <f ca="1">ROUND(_xlfn.NORM.INV(RAND(),Reference!$C$8,0.1*Reference!$C$8)*(1+Reference!$C$11*(IF(MONTH($A572)=Reference!$C$4,1,0)+IF(MONTH($A572)=Reference!$C$5,1,0))+(IF(MONTH($A572)=Reference!$C$6,Reference!$C$13,0))),0)</f>
        <v>328</v>
      </c>
      <c r="C572" s="11">
        <f ca="1">B572*Reference!$C$7*(1-IF(MONTH($A572)=Reference!$C$6,1,0)*Reference!$C$12)</f>
        <v>305040</v>
      </c>
      <c r="D572" s="10">
        <f ca="1">ROUND(_xlfn.NORM.INV(RAND(),Reference!$D$8,0.1*Reference!$D$8)*(1+Reference!$D$11*(IF(MONTH($A572)=Reference!$D$4,1,0)+IF(MONTH($A572)=Reference!$D$5,1,0))+(IF(MONTH($A572)=Reference!$D$6,Reference!$D$13,0))),0)</f>
        <v>479</v>
      </c>
      <c r="E572" s="11">
        <f ca="1">D572*Reference!$D$7*(1-IF(MONTH($A572)=Reference!$D$6,1,0)*Reference!$D$12)</f>
        <v>359250</v>
      </c>
      <c r="M572" s="20"/>
      <c r="N572" s="20"/>
      <c r="O572" s="19"/>
      <c r="P572" s="10"/>
      <c r="Q572" s="10"/>
      <c r="R572" s="10"/>
      <c r="S572" s="10"/>
      <c r="T572" s="10"/>
      <c r="U572" s="10"/>
      <c r="V572" s="10"/>
      <c r="W572" s="10"/>
      <c r="X572" s="10"/>
      <c r="Y572" s="10"/>
    </row>
    <row r="573" spans="1:25" x14ac:dyDescent="0.25">
      <c r="A573" s="9">
        <v>41111</v>
      </c>
      <c r="B573" s="10">
        <f ca="1">ROUND(_xlfn.NORM.INV(RAND(),Reference!$C$8,0.1*Reference!$C$8)*(1+Reference!$C$11*(IF(MONTH($A573)=Reference!$C$4,1,0)+IF(MONTH($A573)=Reference!$C$5,1,0))+(IF(MONTH($A573)=Reference!$C$6,Reference!$C$13,0))),0)</f>
        <v>352</v>
      </c>
      <c r="C573" s="11">
        <f ca="1">B573*Reference!$C$7*(1-IF(MONTH($A573)=Reference!$C$6,1,0)*Reference!$C$12)</f>
        <v>327360</v>
      </c>
      <c r="D573" s="10">
        <f ca="1">ROUND(_xlfn.NORM.INV(RAND(),Reference!$D$8,0.1*Reference!$D$8)*(1+Reference!$D$11*(IF(MONTH($A573)=Reference!$D$4,1,0)+IF(MONTH($A573)=Reference!$D$5,1,0))+(IF(MONTH($A573)=Reference!$D$6,Reference!$D$13,0))),0)</f>
        <v>465</v>
      </c>
      <c r="E573" s="11">
        <f ca="1">D573*Reference!$D$7*(1-IF(MONTH($A573)=Reference!$D$6,1,0)*Reference!$D$12)</f>
        <v>348750</v>
      </c>
      <c r="M573" s="20"/>
      <c r="N573" s="20"/>
      <c r="O573" s="19"/>
      <c r="P573" s="10"/>
      <c r="Q573" s="10"/>
      <c r="R573" s="10"/>
      <c r="S573" s="10"/>
      <c r="T573" s="10"/>
      <c r="U573" s="10"/>
      <c r="V573" s="10"/>
      <c r="W573" s="10"/>
      <c r="X573" s="10"/>
      <c r="Y573" s="10"/>
    </row>
    <row r="574" spans="1:25" x14ac:dyDescent="0.25">
      <c r="A574" s="9">
        <v>41112</v>
      </c>
      <c r="B574" s="10">
        <f ca="1">ROUND(_xlfn.NORM.INV(RAND(),Reference!$C$8,0.1*Reference!$C$8)*(1+Reference!$C$11*(IF(MONTH($A574)=Reference!$C$4,1,0)+IF(MONTH($A574)=Reference!$C$5,1,0))+(IF(MONTH($A574)=Reference!$C$6,Reference!$C$13,0))),0)</f>
        <v>368</v>
      </c>
      <c r="C574" s="11">
        <f ca="1">B574*Reference!$C$7*(1-IF(MONTH($A574)=Reference!$C$6,1,0)*Reference!$C$12)</f>
        <v>342240</v>
      </c>
      <c r="D574" s="10">
        <f ca="1">ROUND(_xlfn.NORM.INV(RAND(),Reference!$D$8,0.1*Reference!$D$8)*(1+Reference!$D$11*(IF(MONTH($A574)=Reference!$D$4,1,0)+IF(MONTH($A574)=Reference!$D$5,1,0))+(IF(MONTH($A574)=Reference!$D$6,Reference!$D$13,0))),0)</f>
        <v>477</v>
      </c>
      <c r="E574" s="11">
        <f ca="1">D574*Reference!$D$7*(1-IF(MONTH($A574)=Reference!$D$6,1,0)*Reference!$D$12)</f>
        <v>357750</v>
      </c>
      <c r="M574" s="20"/>
      <c r="N574" s="20"/>
      <c r="O574" s="19"/>
      <c r="P574" s="10"/>
      <c r="Q574" s="10"/>
      <c r="R574" s="10"/>
      <c r="S574" s="10"/>
      <c r="T574" s="10"/>
      <c r="U574" s="10"/>
      <c r="V574" s="10"/>
      <c r="W574" s="10"/>
      <c r="X574" s="10"/>
      <c r="Y574" s="10"/>
    </row>
    <row r="575" spans="1:25" x14ac:dyDescent="0.25">
      <c r="A575" s="9">
        <v>41113</v>
      </c>
      <c r="B575" s="10">
        <f ca="1">ROUND(_xlfn.NORM.INV(RAND(),Reference!$C$8,0.1*Reference!$C$8)*(1+Reference!$C$11*(IF(MONTH($A575)=Reference!$C$4,1,0)+IF(MONTH($A575)=Reference!$C$5,1,0))+(IF(MONTH($A575)=Reference!$C$6,Reference!$C$13,0))),0)</f>
        <v>374</v>
      </c>
      <c r="C575" s="11">
        <f ca="1">B575*Reference!$C$7*(1-IF(MONTH($A575)=Reference!$C$6,1,0)*Reference!$C$12)</f>
        <v>347820</v>
      </c>
      <c r="D575" s="10">
        <f ca="1">ROUND(_xlfn.NORM.INV(RAND(),Reference!$D$8,0.1*Reference!$D$8)*(1+Reference!$D$11*(IF(MONTH($A575)=Reference!$D$4,1,0)+IF(MONTH($A575)=Reference!$D$5,1,0))+(IF(MONTH($A575)=Reference!$D$6,Reference!$D$13,0))),0)</f>
        <v>470</v>
      </c>
      <c r="E575" s="11">
        <f ca="1">D575*Reference!$D$7*(1-IF(MONTH($A575)=Reference!$D$6,1,0)*Reference!$D$12)</f>
        <v>352500</v>
      </c>
      <c r="M575" s="20"/>
      <c r="N575" s="20"/>
      <c r="O575" s="19"/>
      <c r="P575" s="10"/>
      <c r="Q575" s="10"/>
      <c r="R575" s="10"/>
      <c r="S575" s="10"/>
      <c r="T575" s="10"/>
      <c r="U575" s="10"/>
      <c r="V575" s="10"/>
      <c r="W575" s="10"/>
      <c r="X575" s="10"/>
      <c r="Y575" s="10"/>
    </row>
    <row r="576" spans="1:25" x14ac:dyDescent="0.25">
      <c r="A576" s="9">
        <v>41114</v>
      </c>
      <c r="B576" s="10">
        <f ca="1">ROUND(_xlfn.NORM.INV(RAND(),Reference!$C$8,0.1*Reference!$C$8)*(1+Reference!$C$11*(IF(MONTH($A576)=Reference!$C$4,1,0)+IF(MONTH($A576)=Reference!$C$5,1,0))+(IF(MONTH($A576)=Reference!$C$6,Reference!$C$13,0))),0)</f>
        <v>353</v>
      </c>
      <c r="C576" s="11">
        <f ca="1">B576*Reference!$C$7*(1-IF(MONTH($A576)=Reference!$C$6,1,0)*Reference!$C$12)</f>
        <v>328290</v>
      </c>
      <c r="D576" s="10">
        <f ca="1">ROUND(_xlfn.NORM.INV(RAND(),Reference!$D$8,0.1*Reference!$D$8)*(1+Reference!$D$11*(IF(MONTH($A576)=Reference!$D$4,1,0)+IF(MONTH($A576)=Reference!$D$5,1,0))+(IF(MONTH($A576)=Reference!$D$6,Reference!$D$13,0))),0)</f>
        <v>479</v>
      </c>
      <c r="E576" s="11">
        <f ca="1">D576*Reference!$D$7*(1-IF(MONTH($A576)=Reference!$D$6,1,0)*Reference!$D$12)</f>
        <v>359250</v>
      </c>
      <c r="M576" s="20"/>
      <c r="N576" s="20"/>
      <c r="O576" s="19"/>
      <c r="P576" s="10"/>
      <c r="Q576" s="10"/>
      <c r="R576" s="10"/>
      <c r="S576" s="10"/>
      <c r="T576" s="10"/>
      <c r="U576" s="10"/>
      <c r="V576" s="10"/>
      <c r="W576" s="10"/>
      <c r="X576" s="10"/>
      <c r="Y576" s="10"/>
    </row>
    <row r="577" spans="1:25" x14ac:dyDescent="0.25">
      <c r="A577" s="9">
        <v>41115</v>
      </c>
      <c r="B577" s="10">
        <f ca="1">ROUND(_xlfn.NORM.INV(RAND(),Reference!$C$8,0.1*Reference!$C$8)*(1+Reference!$C$11*(IF(MONTH($A577)=Reference!$C$4,1,0)+IF(MONTH($A577)=Reference!$C$5,1,0))+(IF(MONTH($A577)=Reference!$C$6,Reference!$C$13,0))),0)</f>
        <v>419</v>
      </c>
      <c r="C577" s="11">
        <f ca="1">B577*Reference!$C$7*(1-IF(MONTH($A577)=Reference!$C$6,1,0)*Reference!$C$12)</f>
        <v>389670</v>
      </c>
      <c r="D577" s="10">
        <f ca="1">ROUND(_xlfn.NORM.INV(RAND(),Reference!$D$8,0.1*Reference!$D$8)*(1+Reference!$D$11*(IF(MONTH($A577)=Reference!$D$4,1,0)+IF(MONTH($A577)=Reference!$D$5,1,0))+(IF(MONTH($A577)=Reference!$D$6,Reference!$D$13,0))),0)</f>
        <v>446</v>
      </c>
      <c r="E577" s="11">
        <f ca="1">D577*Reference!$D$7*(1-IF(MONTH($A577)=Reference!$D$6,1,0)*Reference!$D$12)</f>
        <v>334500</v>
      </c>
      <c r="M577" s="20"/>
      <c r="N577" s="20"/>
      <c r="O577" s="19"/>
      <c r="P577" s="10"/>
      <c r="Q577" s="10"/>
      <c r="R577" s="10"/>
      <c r="S577" s="10"/>
      <c r="T577" s="10"/>
      <c r="U577" s="10"/>
      <c r="V577" s="10"/>
      <c r="W577" s="10"/>
      <c r="X577" s="10"/>
      <c r="Y577" s="10"/>
    </row>
    <row r="578" spans="1:25" x14ac:dyDescent="0.25">
      <c r="A578" s="9">
        <v>41116</v>
      </c>
      <c r="B578" s="10">
        <f ca="1">ROUND(_xlfn.NORM.INV(RAND(),Reference!$C$8,0.1*Reference!$C$8)*(1+Reference!$C$11*(IF(MONTH($A578)=Reference!$C$4,1,0)+IF(MONTH($A578)=Reference!$C$5,1,0))+(IF(MONTH($A578)=Reference!$C$6,Reference!$C$13,0))),0)</f>
        <v>275</v>
      </c>
      <c r="C578" s="11">
        <f ca="1">B578*Reference!$C$7*(1-IF(MONTH($A578)=Reference!$C$6,1,0)*Reference!$C$12)</f>
        <v>255750</v>
      </c>
      <c r="D578" s="10">
        <f ca="1">ROUND(_xlfn.NORM.INV(RAND(),Reference!$D$8,0.1*Reference!$D$8)*(1+Reference!$D$11*(IF(MONTH($A578)=Reference!$D$4,1,0)+IF(MONTH($A578)=Reference!$D$5,1,0))+(IF(MONTH($A578)=Reference!$D$6,Reference!$D$13,0))),0)</f>
        <v>545</v>
      </c>
      <c r="E578" s="11">
        <f ca="1">D578*Reference!$D$7*(1-IF(MONTH($A578)=Reference!$D$6,1,0)*Reference!$D$12)</f>
        <v>408750</v>
      </c>
      <c r="M578" s="20"/>
      <c r="N578" s="20"/>
      <c r="O578" s="19"/>
      <c r="P578" s="10"/>
      <c r="Q578" s="10"/>
      <c r="R578" s="10"/>
      <c r="S578" s="10"/>
      <c r="T578" s="10"/>
      <c r="U578" s="10"/>
      <c r="V578" s="10"/>
      <c r="W578" s="10"/>
      <c r="X578" s="10"/>
      <c r="Y578" s="10"/>
    </row>
    <row r="579" spans="1:25" x14ac:dyDescent="0.25">
      <c r="A579" s="9">
        <v>41117</v>
      </c>
      <c r="B579" s="10">
        <f ca="1">ROUND(_xlfn.NORM.INV(RAND(),Reference!$C$8,0.1*Reference!$C$8)*(1+Reference!$C$11*(IF(MONTH($A579)=Reference!$C$4,1,0)+IF(MONTH($A579)=Reference!$C$5,1,0))+(IF(MONTH($A579)=Reference!$C$6,Reference!$C$13,0))),0)</f>
        <v>325</v>
      </c>
      <c r="C579" s="11">
        <f ca="1">B579*Reference!$C$7*(1-IF(MONTH($A579)=Reference!$C$6,1,0)*Reference!$C$12)</f>
        <v>302250</v>
      </c>
      <c r="D579" s="10">
        <f ca="1">ROUND(_xlfn.NORM.INV(RAND(),Reference!$D$8,0.1*Reference!$D$8)*(1+Reference!$D$11*(IF(MONTH($A579)=Reference!$D$4,1,0)+IF(MONTH($A579)=Reference!$D$5,1,0))+(IF(MONTH($A579)=Reference!$D$6,Reference!$D$13,0))),0)</f>
        <v>474</v>
      </c>
      <c r="E579" s="11">
        <f ca="1">D579*Reference!$D$7*(1-IF(MONTH($A579)=Reference!$D$6,1,0)*Reference!$D$12)</f>
        <v>355500</v>
      </c>
      <c r="M579" s="20"/>
      <c r="N579" s="20"/>
      <c r="O579" s="19"/>
      <c r="P579" s="10"/>
      <c r="Q579" s="10"/>
      <c r="R579" s="10"/>
      <c r="S579" s="10"/>
      <c r="T579" s="10"/>
      <c r="U579" s="10"/>
      <c r="V579" s="10"/>
      <c r="W579" s="10"/>
      <c r="X579" s="10"/>
      <c r="Y579" s="10"/>
    </row>
    <row r="580" spans="1:25" x14ac:dyDescent="0.25">
      <c r="A580" s="9">
        <v>41118</v>
      </c>
      <c r="B580" s="10">
        <f ca="1">ROUND(_xlfn.NORM.INV(RAND(),Reference!$C$8,0.1*Reference!$C$8)*(1+Reference!$C$11*(IF(MONTH($A580)=Reference!$C$4,1,0)+IF(MONTH($A580)=Reference!$C$5,1,0))+(IF(MONTH($A580)=Reference!$C$6,Reference!$C$13,0))),0)</f>
        <v>351</v>
      </c>
      <c r="C580" s="11">
        <f ca="1">B580*Reference!$C$7*(1-IF(MONTH($A580)=Reference!$C$6,1,0)*Reference!$C$12)</f>
        <v>326430</v>
      </c>
      <c r="D580" s="10">
        <f ca="1">ROUND(_xlfn.NORM.INV(RAND(),Reference!$D$8,0.1*Reference!$D$8)*(1+Reference!$D$11*(IF(MONTH($A580)=Reference!$D$4,1,0)+IF(MONTH($A580)=Reference!$D$5,1,0))+(IF(MONTH($A580)=Reference!$D$6,Reference!$D$13,0))),0)</f>
        <v>570</v>
      </c>
      <c r="E580" s="11">
        <f ca="1">D580*Reference!$D$7*(1-IF(MONTH($A580)=Reference!$D$6,1,0)*Reference!$D$12)</f>
        <v>427500</v>
      </c>
      <c r="M580" s="20"/>
      <c r="N580" s="20"/>
      <c r="O580" s="19"/>
      <c r="P580" s="10"/>
      <c r="Q580" s="10"/>
      <c r="R580" s="10"/>
      <c r="S580" s="10"/>
      <c r="T580" s="10"/>
      <c r="U580" s="10"/>
      <c r="V580" s="10"/>
      <c r="W580" s="10"/>
      <c r="X580" s="10"/>
      <c r="Y580" s="10"/>
    </row>
    <row r="581" spans="1:25" x14ac:dyDescent="0.25">
      <c r="A581" s="9">
        <v>41119</v>
      </c>
      <c r="B581" s="10">
        <f ca="1">ROUND(_xlfn.NORM.INV(RAND(),Reference!$C$8,0.1*Reference!$C$8)*(1+Reference!$C$11*(IF(MONTH($A581)=Reference!$C$4,1,0)+IF(MONTH($A581)=Reference!$C$5,1,0))+(IF(MONTH($A581)=Reference!$C$6,Reference!$C$13,0))),0)</f>
        <v>236</v>
      </c>
      <c r="C581" s="11">
        <f ca="1">B581*Reference!$C$7*(1-IF(MONTH($A581)=Reference!$C$6,1,0)*Reference!$C$12)</f>
        <v>219480</v>
      </c>
      <c r="D581" s="10">
        <f ca="1">ROUND(_xlfn.NORM.INV(RAND(),Reference!$D$8,0.1*Reference!$D$8)*(1+Reference!$D$11*(IF(MONTH($A581)=Reference!$D$4,1,0)+IF(MONTH($A581)=Reference!$D$5,1,0))+(IF(MONTH($A581)=Reference!$D$6,Reference!$D$13,0))),0)</f>
        <v>500</v>
      </c>
      <c r="E581" s="11">
        <f ca="1">D581*Reference!$D$7*(1-IF(MONTH($A581)=Reference!$D$6,1,0)*Reference!$D$12)</f>
        <v>375000</v>
      </c>
      <c r="M581" s="20"/>
      <c r="N581" s="20"/>
      <c r="O581" s="19"/>
      <c r="P581" s="10"/>
      <c r="Q581" s="10"/>
      <c r="R581" s="10"/>
      <c r="S581" s="10"/>
      <c r="T581" s="10"/>
      <c r="U581" s="10"/>
      <c r="V581" s="10"/>
      <c r="W581" s="10"/>
      <c r="X581" s="10"/>
      <c r="Y581" s="10"/>
    </row>
    <row r="582" spans="1:25" x14ac:dyDescent="0.25">
      <c r="A582" s="9">
        <v>41120</v>
      </c>
      <c r="B582" s="10">
        <f ca="1">ROUND(_xlfn.NORM.INV(RAND(),Reference!$C$8,0.1*Reference!$C$8)*(1+Reference!$C$11*(IF(MONTH($A582)=Reference!$C$4,1,0)+IF(MONTH($A582)=Reference!$C$5,1,0))+(IF(MONTH($A582)=Reference!$C$6,Reference!$C$13,0))),0)</f>
        <v>413</v>
      </c>
      <c r="C582" s="11">
        <f ca="1">B582*Reference!$C$7*(1-IF(MONTH($A582)=Reference!$C$6,1,0)*Reference!$C$12)</f>
        <v>384090</v>
      </c>
      <c r="D582" s="10">
        <f ca="1">ROUND(_xlfn.NORM.INV(RAND(),Reference!$D$8,0.1*Reference!$D$8)*(1+Reference!$D$11*(IF(MONTH($A582)=Reference!$D$4,1,0)+IF(MONTH($A582)=Reference!$D$5,1,0))+(IF(MONTH($A582)=Reference!$D$6,Reference!$D$13,0))),0)</f>
        <v>513</v>
      </c>
      <c r="E582" s="11">
        <f ca="1">D582*Reference!$D$7*(1-IF(MONTH($A582)=Reference!$D$6,1,0)*Reference!$D$12)</f>
        <v>384750</v>
      </c>
      <c r="M582" s="20"/>
      <c r="N582" s="20"/>
      <c r="O582" s="19"/>
      <c r="P582" s="10"/>
      <c r="Q582" s="10"/>
      <c r="R582" s="10"/>
      <c r="S582" s="10"/>
      <c r="T582" s="10"/>
      <c r="U582" s="10"/>
      <c r="V582" s="10"/>
      <c r="W582" s="10"/>
      <c r="X582" s="10"/>
      <c r="Y582" s="10"/>
    </row>
    <row r="583" spans="1:25" x14ac:dyDescent="0.25">
      <c r="A583" s="9">
        <v>41121</v>
      </c>
      <c r="B583" s="10">
        <f ca="1">ROUND(_xlfn.NORM.INV(RAND(),Reference!$C$8,0.1*Reference!$C$8)*(1+Reference!$C$11*(IF(MONTH($A583)=Reference!$C$4,1,0)+IF(MONTH($A583)=Reference!$C$5,1,0))+(IF(MONTH($A583)=Reference!$C$6,Reference!$C$13,0))),0)</f>
        <v>388</v>
      </c>
      <c r="C583" s="11">
        <f ca="1">B583*Reference!$C$7*(1-IF(MONTH($A583)=Reference!$C$6,1,0)*Reference!$C$12)</f>
        <v>360840</v>
      </c>
      <c r="D583" s="10">
        <f ca="1">ROUND(_xlfn.NORM.INV(RAND(),Reference!$D$8,0.1*Reference!$D$8)*(1+Reference!$D$11*(IF(MONTH($A583)=Reference!$D$4,1,0)+IF(MONTH($A583)=Reference!$D$5,1,0))+(IF(MONTH($A583)=Reference!$D$6,Reference!$D$13,0))),0)</f>
        <v>508</v>
      </c>
      <c r="E583" s="11">
        <f ca="1">D583*Reference!$D$7*(1-IF(MONTH($A583)=Reference!$D$6,1,0)*Reference!$D$12)</f>
        <v>381000</v>
      </c>
      <c r="M583" s="20"/>
      <c r="N583" s="20"/>
      <c r="O583" s="19"/>
      <c r="P583" s="10"/>
      <c r="Q583" s="10"/>
      <c r="R583" s="10"/>
      <c r="S583" s="10"/>
      <c r="T583" s="10"/>
      <c r="U583" s="10"/>
      <c r="V583" s="10"/>
      <c r="W583" s="10"/>
      <c r="X583" s="10"/>
      <c r="Y583" s="10"/>
    </row>
    <row r="584" spans="1:25" x14ac:dyDescent="0.25">
      <c r="A584" s="9">
        <v>41122</v>
      </c>
      <c r="B584" s="10">
        <f ca="1">ROUND(_xlfn.NORM.INV(RAND(),Reference!$C$8,0.1*Reference!$C$8)*(1+Reference!$C$11*(IF(MONTH($A584)=Reference!$C$4,1,0)+IF(MONTH($A584)=Reference!$C$5,1,0))+(IF(MONTH($A584)=Reference!$C$6,Reference!$C$13,0))),0)</f>
        <v>387</v>
      </c>
      <c r="C584" s="11">
        <f ca="1">B584*Reference!$C$7*(1-IF(MONTH($A584)=Reference!$C$6,1,0)*Reference!$C$12)</f>
        <v>359910</v>
      </c>
      <c r="D584" s="10">
        <f ca="1">ROUND(_xlfn.NORM.INV(RAND(),Reference!$D$8,0.1*Reference!$D$8)*(1+Reference!$D$11*(IF(MONTH($A584)=Reference!$D$4,1,0)+IF(MONTH($A584)=Reference!$D$5,1,0))+(IF(MONTH($A584)=Reference!$D$6,Reference!$D$13,0))),0)</f>
        <v>442</v>
      </c>
      <c r="E584" s="11">
        <f ca="1">D584*Reference!$D$7*(1-IF(MONTH($A584)=Reference!$D$6,1,0)*Reference!$D$12)</f>
        <v>331500</v>
      </c>
      <c r="M584" s="20"/>
      <c r="N584" s="20"/>
      <c r="O584" s="19"/>
      <c r="P584" s="10"/>
      <c r="Q584" s="10"/>
      <c r="R584" s="10"/>
      <c r="S584" s="10"/>
      <c r="T584" s="10"/>
      <c r="U584" s="10"/>
      <c r="V584" s="10"/>
      <c r="W584" s="10"/>
      <c r="X584" s="10"/>
      <c r="Y584" s="10"/>
    </row>
    <row r="585" spans="1:25" x14ac:dyDescent="0.25">
      <c r="A585" s="9">
        <v>41123</v>
      </c>
      <c r="B585" s="10">
        <f ca="1">ROUND(_xlfn.NORM.INV(RAND(),Reference!$C$8,0.1*Reference!$C$8)*(1+Reference!$C$11*(IF(MONTH($A585)=Reference!$C$4,1,0)+IF(MONTH($A585)=Reference!$C$5,1,0))+(IF(MONTH($A585)=Reference!$C$6,Reference!$C$13,0))),0)</f>
        <v>369</v>
      </c>
      <c r="C585" s="11">
        <f ca="1">B585*Reference!$C$7*(1-IF(MONTH($A585)=Reference!$C$6,1,0)*Reference!$C$12)</f>
        <v>343170</v>
      </c>
      <c r="D585" s="10">
        <f ca="1">ROUND(_xlfn.NORM.INV(RAND(),Reference!$D$8,0.1*Reference!$D$8)*(1+Reference!$D$11*(IF(MONTH($A585)=Reference!$D$4,1,0)+IF(MONTH($A585)=Reference!$D$5,1,0))+(IF(MONTH($A585)=Reference!$D$6,Reference!$D$13,0))),0)</f>
        <v>616</v>
      </c>
      <c r="E585" s="11">
        <f ca="1">D585*Reference!$D$7*(1-IF(MONTH($A585)=Reference!$D$6,1,0)*Reference!$D$12)</f>
        <v>462000</v>
      </c>
      <c r="M585" s="20"/>
      <c r="N585" s="20"/>
      <c r="O585" s="19"/>
      <c r="P585" s="10"/>
      <c r="Q585" s="10"/>
      <c r="R585" s="10"/>
      <c r="S585" s="10"/>
      <c r="T585" s="10"/>
      <c r="U585" s="10"/>
      <c r="V585" s="10"/>
      <c r="W585" s="10"/>
      <c r="X585" s="10"/>
      <c r="Y585" s="10"/>
    </row>
    <row r="586" spans="1:25" x14ac:dyDescent="0.25">
      <c r="A586" s="9">
        <v>41124</v>
      </c>
      <c r="B586" s="10">
        <f ca="1">ROUND(_xlfn.NORM.INV(RAND(),Reference!$C$8,0.1*Reference!$C$8)*(1+Reference!$C$11*(IF(MONTH($A586)=Reference!$C$4,1,0)+IF(MONTH($A586)=Reference!$C$5,1,0))+(IF(MONTH($A586)=Reference!$C$6,Reference!$C$13,0))),0)</f>
        <v>400</v>
      </c>
      <c r="C586" s="11">
        <f ca="1">B586*Reference!$C$7*(1-IF(MONTH($A586)=Reference!$C$6,1,0)*Reference!$C$12)</f>
        <v>372000</v>
      </c>
      <c r="D586" s="10">
        <f ca="1">ROUND(_xlfn.NORM.INV(RAND(),Reference!$D$8,0.1*Reference!$D$8)*(1+Reference!$D$11*(IF(MONTH($A586)=Reference!$D$4,1,0)+IF(MONTH($A586)=Reference!$D$5,1,0))+(IF(MONTH($A586)=Reference!$D$6,Reference!$D$13,0))),0)</f>
        <v>465</v>
      </c>
      <c r="E586" s="11">
        <f ca="1">D586*Reference!$D$7*(1-IF(MONTH($A586)=Reference!$D$6,1,0)*Reference!$D$12)</f>
        <v>348750</v>
      </c>
      <c r="M586" s="20"/>
      <c r="N586" s="20"/>
      <c r="O586" s="19"/>
      <c r="P586" s="10"/>
      <c r="Q586" s="10"/>
      <c r="R586" s="10"/>
      <c r="S586" s="10"/>
      <c r="T586" s="10"/>
      <c r="U586" s="10"/>
      <c r="V586" s="10"/>
      <c r="W586" s="10"/>
      <c r="X586" s="10"/>
      <c r="Y586" s="10"/>
    </row>
    <row r="587" spans="1:25" x14ac:dyDescent="0.25">
      <c r="A587" s="9">
        <v>41125</v>
      </c>
      <c r="B587" s="10">
        <f ca="1">ROUND(_xlfn.NORM.INV(RAND(),Reference!$C$8,0.1*Reference!$C$8)*(1+Reference!$C$11*(IF(MONTH($A587)=Reference!$C$4,1,0)+IF(MONTH($A587)=Reference!$C$5,1,0))+(IF(MONTH($A587)=Reference!$C$6,Reference!$C$13,0))),0)</f>
        <v>390</v>
      </c>
      <c r="C587" s="11">
        <f ca="1">B587*Reference!$C$7*(1-IF(MONTH($A587)=Reference!$C$6,1,0)*Reference!$C$12)</f>
        <v>362700</v>
      </c>
      <c r="D587" s="10">
        <f ca="1">ROUND(_xlfn.NORM.INV(RAND(),Reference!$D$8,0.1*Reference!$D$8)*(1+Reference!$D$11*(IF(MONTH($A587)=Reference!$D$4,1,0)+IF(MONTH($A587)=Reference!$D$5,1,0))+(IF(MONTH($A587)=Reference!$D$6,Reference!$D$13,0))),0)</f>
        <v>492</v>
      </c>
      <c r="E587" s="11">
        <f ca="1">D587*Reference!$D$7*(1-IF(MONTH($A587)=Reference!$D$6,1,0)*Reference!$D$12)</f>
        <v>369000</v>
      </c>
      <c r="M587" s="20"/>
      <c r="N587" s="20"/>
      <c r="O587" s="19"/>
      <c r="P587" s="10"/>
      <c r="Q587" s="10"/>
      <c r="R587" s="10"/>
      <c r="S587" s="10"/>
      <c r="T587" s="10"/>
      <c r="U587" s="10"/>
      <c r="V587" s="10"/>
      <c r="W587" s="10"/>
      <c r="X587" s="10"/>
      <c r="Y587" s="10"/>
    </row>
    <row r="588" spans="1:25" x14ac:dyDescent="0.25">
      <c r="A588" s="9">
        <v>41126</v>
      </c>
      <c r="B588" s="10">
        <f ca="1">ROUND(_xlfn.NORM.INV(RAND(),Reference!$C$8,0.1*Reference!$C$8)*(1+Reference!$C$11*(IF(MONTH($A588)=Reference!$C$4,1,0)+IF(MONTH($A588)=Reference!$C$5,1,0))+(IF(MONTH($A588)=Reference!$C$6,Reference!$C$13,0))),0)</f>
        <v>400</v>
      </c>
      <c r="C588" s="11">
        <f ca="1">B588*Reference!$C$7*(1-IF(MONTH($A588)=Reference!$C$6,1,0)*Reference!$C$12)</f>
        <v>372000</v>
      </c>
      <c r="D588" s="10">
        <f ca="1">ROUND(_xlfn.NORM.INV(RAND(),Reference!$D$8,0.1*Reference!$D$8)*(1+Reference!$D$11*(IF(MONTH($A588)=Reference!$D$4,1,0)+IF(MONTH($A588)=Reference!$D$5,1,0))+(IF(MONTH($A588)=Reference!$D$6,Reference!$D$13,0))),0)</f>
        <v>456</v>
      </c>
      <c r="E588" s="11">
        <f ca="1">D588*Reference!$D$7*(1-IF(MONTH($A588)=Reference!$D$6,1,0)*Reference!$D$12)</f>
        <v>342000</v>
      </c>
      <c r="M588" s="20"/>
      <c r="N588" s="20"/>
      <c r="O588" s="19"/>
      <c r="P588" s="10"/>
      <c r="Q588" s="10"/>
      <c r="R588" s="10"/>
      <c r="S588" s="10"/>
      <c r="T588" s="10"/>
      <c r="U588" s="10"/>
      <c r="V588" s="10"/>
      <c r="W588" s="10"/>
      <c r="X588" s="10"/>
      <c r="Y588" s="10"/>
    </row>
    <row r="589" spans="1:25" x14ac:dyDescent="0.25">
      <c r="A589" s="9">
        <v>41127</v>
      </c>
      <c r="B589" s="10">
        <f ca="1">ROUND(_xlfn.NORM.INV(RAND(),Reference!$C$8,0.1*Reference!$C$8)*(1+Reference!$C$11*(IF(MONTH($A589)=Reference!$C$4,1,0)+IF(MONTH($A589)=Reference!$C$5,1,0))+(IF(MONTH($A589)=Reference!$C$6,Reference!$C$13,0))),0)</f>
        <v>367</v>
      </c>
      <c r="C589" s="11">
        <f ca="1">B589*Reference!$C$7*(1-IF(MONTH($A589)=Reference!$C$6,1,0)*Reference!$C$12)</f>
        <v>341310</v>
      </c>
      <c r="D589" s="10">
        <f ca="1">ROUND(_xlfn.NORM.INV(RAND(),Reference!$D$8,0.1*Reference!$D$8)*(1+Reference!$D$11*(IF(MONTH($A589)=Reference!$D$4,1,0)+IF(MONTH($A589)=Reference!$D$5,1,0))+(IF(MONTH($A589)=Reference!$D$6,Reference!$D$13,0))),0)</f>
        <v>462</v>
      </c>
      <c r="E589" s="11">
        <f ca="1">D589*Reference!$D$7*(1-IF(MONTH($A589)=Reference!$D$6,1,0)*Reference!$D$12)</f>
        <v>346500</v>
      </c>
      <c r="M589" s="20"/>
      <c r="N589" s="20"/>
      <c r="O589" s="19"/>
      <c r="P589" s="10"/>
      <c r="Q589" s="10"/>
      <c r="R589" s="10"/>
      <c r="S589" s="10"/>
      <c r="T589" s="10"/>
      <c r="U589" s="10"/>
      <c r="V589" s="10"/>
      <c r="W589" s="10"/>
      <c r="X589" s="10"/>
      <c r="Y589" s="10"/>
    </row>
    <row r="590" spans="1:25" x14ac:dyDescent="0.25">
      <c r="A590" s="9">
        <v>41128</v>
      </c>
      <c r="B590" s="10">
        <f ca="1">ROUND(_xlfn.NORM.INV(RAND(),Reference!$C$8,0.1*Reference!$C$8)*(1+Reference!$C$11*(IF(MONTH($A590)=Reference!$C$4,1,0)+IF(MONTH($A590)=Reference!$C$5,1,0))+(IF(MONTH($A590)=Reference!$C$6,Reference!$C$13,0))),0)</f>
        <v>424</v>
      </c>
      <c r="C590" s="11">
        <f ca="1">B590*Reference!$C$7*(1-IF(MONTH($A590)=Reference!$C$6,1,0)*Reference!$C$12)</f>
        <v>394320</v>
      </c>
      <c r="D590" s="10">
        <f ca="1">ROUND(_xlfn.NORM.INV(RAND(),Reference!$D$8,0.1*Reference!$D$8)*(1+Reference!$D$11*(IF(MONTH($A590)=Reference!$D$4,1,0)+IF(MONTH($A590)=Reference!$D$5,1,0))+(IF(MONTH($A590)=Reference!$D$6,Reference!$D$13,0))),0)</f>
        <v>541</v>
      </c>
      <c r="E590" s="11">
        <f ca="1">D590*Reference!$D$7*(1-IF(MONTH($A590)=Reference!$D$6,1,0)*Reference!$D$12)</f>
        <v>405750</v>
      </c>
      <c r="M590" s="20"/>
      <c r="N590" s="20"/>
      <c r="O590" s="19"/>
      <c r="P590" s="10"/>
      <c r="Q590" s="10"/>
      <c r="R590" s="10"/>
      <c r="S590" s="10"/>
      <c r="T590" s="10"/>
      <c r="U590" s="10"/>
      <c r="V590" s="10"/>
      <c r="W590" s="10"/>
      <c r="X590" s="10"/>
      <c r="Y590" s="10"/>
    </row>
    <row r="591" spans="1:25" x14ac:dyDescent="0.25">
      <c r="A591" s="9">
        <v>41129</v>
      </c>
      <c r="B591" s="10">
        <f ca="1">ROUND(_xlfn.NORM.INV(RAND(),Reference!$C$8,0.1*Reference!$C$8)*(1+Reference!$C$11*(IF(MONTH($A591)=Reference!$C$4,1,0)+IF(MONTH($A591)=Reference!$C$5,1,0))+(IF(MONTH($A591)=Reference!$C$6,Reference!$C$13,0))),0)</f>
        <v>359</v>
      </c>
      <c r="C591" s="11">
        <f ca="1">B591*Reference!$C$7*(1-IF(MONTH($A591)=Reference!$C$6,1,0)*Reference!$C$12)</f>
        <v>333870</v>
      </c>
      <c r="D591" s="10">
        <f ca="1">ROUND(_xlfn.NORM.INV(RAND(),Reference!$D$8,0.1*Reference!$D$8)*(1+Reference!$D$11*(IF(MONTH($A591)=Reference!$D$4,1,0)+IF(MONTH($A591)=Reference!$D$5,1,0))+(IF(MONTH($A591)=Reference!$D$6,Reference!$D$13,0))),0)</f>
        <v>546</v>
      </c>
      <c r="E591" s="11">
        <f ca="1">D591*Reference!$D$7*(1-IF(MONTH($A591)=Reference!$D$6,1,0)*Reference!$D$12)</f>
        <v>409500</v>
      </c>
      <c r="M591" s="20"/>
      <c r="N591" s="20"/>
      <c r="O591" s="19"/>
      <c r="P591" s="10"/>
      <c r="Q591" s="10"/>
      <c r="R591" s="10"/>
      <c r="S591" s="10"/>
      <c r="T591" s="10"/>
      <c r="U591" s="10"/>
      <c r="V591" s="10"/>
      <c r="W591" s="10"/>
      <c r="X591" s="10"/>
      <c r="Y591" s="10"/>
    </row>
    <row r="592" spans="1:25" x14ac:dyDescent="0.25">
      <c r="A592" s="9">
        <v>41130</v>
      </c>
      <c r="B592" s="10">
        <f ca="1">ROUND(_xlfn.NORM.INV(RAND(),Reference!$C$8,0.1*Reference!$C$8)*(1+Reference!$C$11*(IF(MONTH($A592)=Reference!$C$4,1,0)+IF(MONTH($A592)=Reference!$C$5,1,0))+(IF(MONTH($A592)=Reference!$C$6,Reference!$C$13,0))),0)</f>
        <v>353</v>
      </c>
      <c r="C592" s="11">
        <f ca="1">B592*Reference!$C$7*(1-IF(MONTH($A592)=Reference!$C$6,1,0)*Reference!$C$12)</f>
        <v>328290</v>
      </c>
      <c r="D592" s="10">
        <f ca="1">ROUND(_xlfn.NORM.INV(RAND(),Reference!$D$8,0.1*Reference!$D$8)*(1+Reference!$D$11*(IF(MONTH($A592)=Reference!$D$4,1,0)+IF(MONTH($A592)=Reference!$D$5,1,0))+(IF(MONTH($A592)=Reference!$D$6,Reference!$D$13,0))),0)</f>
        <v>489</v>
      </c>
      <c r="E592" s="11">
        <f ca="1">D592*Reference!$D$7*(1-IF(MONTH($A592)=Reference!$D$6,1,0)*Reference!$D$12)</f>
        <v>366750</v>
      </c>
      <c r="M592" s="20"/>
      <c r="N592" s="20"/>
      <c r="O592" s="19"/>
      <c r="P592" s="10"/>
      <c r="Q592" s="10"/>
      <c r="R592" s="10"/>
      <c r="S592" s="10"/>
      <c r="T592" s="10"/>
      <c r="U592" s="10"/>
      <c r="V592" s="10"/>
      <c r="W592" s="10"/>
      <c r="X592" s="10"/>
      <c r="Y592" s="10"/>
    </row>
    <row r="593" spans="1:25" x14ac:dyDescent="0.25">
      <c r="A593" s="9">
        <v>41131</v>
      </c>
      <c r="B593" s="10">
        <f ca="1">ROUND(_xlfn.NORM.INV(RAND(),Reference!$C$8,0.1*Reference!$C$8)*(1+Reference!$C$11*(IF(MONTH($A593)=Reference!$C$4,1,0)+IF(MONTH($A593)=Reference!$C$5,1,0))+(IF(MONTH($A593)=Reference!$C$6,Reference!$C$13,0))),0)</f>
        <v>404</v>
      </c>
      <c r="C593" s="11">
        <f ca="1">B593*Reference!$C$7*(1-IF(MONTH($A593)=Reference!$C$6,1,0)*Reference!$C$12)</f>
        <v>375720</v>
      </c>
      <c r="D593" s="10">
        <f ca="1">ROUND(_xlfn.NORM.INV(RAND(),Reference!$D$8,0.1*Reference!$D$8)*(1+Reference!$D$11*(IF(MONTH($A593)=Reference!$D$4,1,0)+IF(MONTH($A593)=Reference!$D$5,1,0))+(IF(MONTH($A593)=Reference!$D$6,Reference!$D$13,0))),0)</f>
        <v>510</v>
      </c>
      <c r="E593" s="11">
        <f ca="1">D593*Reference!$D$7*(1-IF(MONTH($A593)=Reference!$D$6,1,0)*Reference!$D$12)</f>
        <v>382500</v>
      </c>
      <c r="M593" s="20"/>
      <c r="N593" s="20"/>
      <c r="O593" s="19"/>
      <c r="P593" s="10"/>
      <c r="Q593" s="10"/>
      <c r="R593" s="10"/>
      <c r="S593" s="10"/>
      <c r="T593" s="10"/>
      <c r="U593" s="10"/>
      <c r="V593" s="10"/>
      <c r="W593" s="10"/>
      <c r="X593" s="10"/>
      <c r="Y593" s="10"/>
    </row>
    <row r="594" spans="1:25" x14ac:dyDescent="0.25">
      <c r="A594" s="9">
        <v>41132</v>
      </c>
      <c r="B594" s="10">
        <f ca="1">ROUND(_xlfn.NORM.INV(RAND(),Reference!$C$8,0.1*Reference!$C$8)*(1+Reference!$C$11*(IF(MONTH($A594)=Reference!$C$4,1,0)+IF(MONTH($A594)=Reference!$C$5,1,0))+(IF(MONTH($A594)=Reference!$C$6,Reference!$C$13,0))),0)</f>
        <v>384</v>
      </c>
      <c r="C594" s="11">
        <f ca="1">B594*Reference!$C$7*(1-IF(MONTH($A594)=Reference!$C$6,1,0)*Reference!$C$12)</f>
        <v>357120</v>
      </c>
      <c r="D594" s="10">
        <f ca="1">ROUND(_xlfn.NORM.INV(RAND(),Reference!$D$8,0.1*Reference!$D$8)*(1+Reference!$D$11*(IF(MONTH($A594)=Reference!$D$4,1,0)+IF(MONTH($A594)=Reference!$D$5,1,0))+(IF(MONTH($A594)=Reference!$D$6,Reference!$D$13,0))),0)</f>
        <v>449</v>
      </c>
      <c r="E594" s="11">
        <f ca="1">D594*Reference!$D$7*(1-IF(MONTH($A594)=Reference!$D$6,1,0)*Reference!$D$12)</f>
        <v>336750</v>
      </c>
      <c r="M594" s="20"/>
      <c r="N594" s="20"/>
      <c r="O594" s="19"/>
      <c r="P594" s="10"/>
      <c r="Q594" s="10"/>
      <c r="R594" s="10"/>
      <c r="S594" s="10"/>
      <c r="T594" s="10"/>
      <c r="U594" s="10"/>
      <c r="V594" s="10"/>
      <c r="W594" s="10"/>
      <c r="X594" s="10"/>
      <c r="Y594" s="10"/>
    </row>
    <row r="595" spans="1:25" x14ac:dyDescent="0.25">
      <c r="A595" s="9">
        <v>41133</v>
      </c>
      <c r="B595" s="10">
        <f ca="1">ROUND(_xlfn.NORM.INV(RAND(),Reference!$C$8,0.1*Reference!$C$8)*(1+Reference!$C$11*(IF(MONTH($A595)=Reference!$C$4,1,0)+IF(MONTH($A595)=Reference!$C$5,1,0))+(IF(MONTH($A595)=Reference!$C$6,Reference!$C$13,0))),0)</f>
        <v>412</v>
      </c>
      <c r="C595" s="11">
        <f ca="1">B595*Reference!$C$7*(1-IF(MONTH($A595)=Reference!$C$6,1,0)*Reference!$C$12)</f>
        <v>383160</v>
      </c>
      <c r="D595" s="10">
        <f ca="1">ROUND(_xlfn.NORM.INV(RAND(),Reference!$D$8,0.1*Reference!$D$8)*(1+Reference!$D$11*(IF(MONTH($A595)=Reference!$D$4,1,0)+IF(MONTH($A595)=Reference!$D$5,1,0))+(IF(MONTH($A595)=Reference!$D$6,Reference!$D$13,0))),0)</f>
        <v>483</v>
      </c>
      <c r="E595" s="11">
        <f ca="1">D595*Reference!$D$7*(1-IF(MONTH($A595)=Reference!$D$6,1,0)*Reference!$D$12)</f>
        <v>362250</v>
      </c>
      <c r="M595" s="20"/>
      <c r="N595" s="20"/>
      <c r="O595" s="19"/>
      <c r="P595" s="10"/>
      <c r="Q595" s="10"/>
      <c r="R595" s="10"/>
      <c r="S595" s="10"/>
      <c r="T595" s="10"/>
      <c r="U595" s="10"/>
      <c r="V595" s="10"/>
      <c r="W595" s="10"/>
      <c r="X595" s="10"/>
      <c r="Y595" s="10"/>
    </row>
    <row r="596" spans="1:25" x14ac:dyDescent="0.25">
      <c r="A596" s="9">
        <v>41134</v>
      </c>
      <c r="B596" s="10">
        <f ca="1">ROUND(_xlfn.NORM.INV(RAND(),Reference!$C$8,0.1*Reference!$C$8)*(1+Reference!$C$11*(IF(MONTH($A596)=Reference!$C$4,1,0)+IF(MONTH($A596)=Reference!$C$5,1,0))+(IF(MONTH($A596)=Reference!$C$6,Reference!$C$13,0))),0)</f>
        <v>377</v>
      </c>
      <c r="C596" s="11">
        <f ca="1">B596*Reference!$C$7*(1-IF(MONTH($A596)=Reference!$C$6,1,0)*Reference!$C$12)</f>
        <v>350610</v>
      </c>
      <c r="D596" s="10">
        <f ca="1">ROUND(_xlfn.NORM.INV(RAND(),Reference!$D$8,0.1*Reference!$D$8)*(1+Reference!$D$11*(IF(MONTH($A596)=Reference!$D$4,1,0)+IF(MONTH($A596)=Reference!$D$5,1,0))+(IF(MONTH($A596)=Reference!$D$6,Reference!$D$13,0))),0)</f>
        <v>481</v>
      </c>
      <c r="E596" s="11">
        <f ca="1">D596*Reference!$D$7*(1-IF(MONTH($A596)=Reference!$D$6,1,0)*Reference!$D$12)</f>
        <v>360750</v>
      </c>
      <c r="M596" s="20"/>
      <c r="N596" s="20"/>
      <c r="O596" s="19"/>
      <c r="P596" s="10"/>
      <c r="Q596" s="10"/>
      <c r="R596" s="10"/>
      <c r="S596" s="10"/>
      <c r="T596" s="10"/>
      <c r="U596" s="10"/>
      <c r="V596" s="10"/>
      <c r="W596" s="10"/>
      <c r="X596" s="10"/>
      <c r="Y596" s="10"/>
    </row>
    <row r="597" spans="1:25" x14ac:dyDescent="0.25">
      <c r="A597" s="9">
        <v>41135</v>
      </c>
      <c r="B597" s="10">
        <f ca="1">ROUND(_xlfn.NORM.INV(RAND(),Reference!$C$8,0.1*Reference!$C$8)*(1+Reference!$C$11*(IF(MONTH($A597)=Reference!$C$4,1,0)+IF(MONTH($A597)=Reference!$C$5,1,0))+(IF(MONTH($A597)=Reference!$C$6,Reference!$C$13,0))),0)</f>
        <v>352</v>
      </c>
      <c r="C597" s="11">
        <f ca="1">B597*Reference!$C$7*(1-IF(MONTH($A597)=Reference!$C$6,1,0)*Reference!$C$12)</f>
        <v>327360</v>
      </c>
      <c r="D597" s="10">
        <f ca="1">ROUND(_xlfn.NORM.INV(RAND(),Reference!$D$8,0.1*Reference!$D$8)*(1+Reference!$D$11*(IF(MONTH($A597)=Reference!$D$4,1,0)+IF(MONTH($A597)=Reference!$D$5,1,0))+(IF(MONTH($A597)=Reference!$D$6,Reference!$D$13,0))),0)</f>
        <v>553</v>
      </c>
      <c r="E597" s="11">
        <f ca="1">D597*Reference!$D$7*(1-IF(MONTH($A597)=Reference!$D$6,1,0)*Reference!$D$12)</f>
        <v>414750</v>
      </c>
      <c r="M597" s="20"/>
      <c r="N597" s="20"/>
      <c r="O597" s="19"/>
      <c r="P597" s="10"/>
      <c r="Q597" s="10"/>
      <c r="R597" s="10"/>
      <c r="S597" s="10"/>
      <c r="T597" s="10"/>
      <c r="U597" s="10"/>
      <c r="V597" s="10"/>
      <c r="W597" s="10"/>
      <c r="X597" s="10"/>
      <c r="Y597" s="10"/>
    </row>
    <row r="598" spans="1:25" x14ac:dyDescent="0.25">
      <c r="A598" s="9">
        <v>41136</v>
      </c>
      <c r="B598" s="10">
        <f ca="1">ROUND(_xlfn.NORM.INV(RAND(),Reference!$C$8,0.1*Reference!$C$8)*(1+Reference!$C$11*(IF(MONTH($A598)=Reference!$C$4,1,0)+IF(MONTH($A598)=Reference!$C$5,1,0))+(IF(MONTH($A598)=Reference!$C$6,Reference!$C$13,0))),0)</f>
        <v>425</v>
      </c>
      <c r="C598" s="11">
        <f ca="1">B598*Reference!$C$7*(1-IF(MONTH($A598)=Reference!$C$6,1,0)*Reference!$C$12)</f>
        <v>395250</v>
      </c>
      <c r="D598" s="10">
        <f ca="1">ROUND(_xlfn.NORM.INV(RAND(),Reference!$D$8,0.1*Reference!$D$8)*(1+Reference!$D$11*(IF(MONTH($A598)=Reference!$D$4,1,0)+IF(MONTH($A598)=Reference!$D$5,1,0))+(IF(MONTH($A598)=Reference!$D$6,Reference!$D$13,0))),0)</f>
        <v>469</v>
      </c>
      <c r="E598" s="11">
        <f ca="1">D598*Reference!$D$7*(1-IF(MONTH($A598)=Reference!$D$6,1,0)*Reference!$D$12)</f>
        <v>351750</v>
      </c>
      <c r="M598" s="20"/>
      <c r="N598" s="20"/>
      <c r="O598" s="19"/>
      <c r="P598" s="10"/>
      <c r="Q598" s="10"/>
      <c r="R598" s="10"/>
      <c r="S598" s="10"/>
      <c r="T598" s="10"/>
      <c r="U598" s="10"/>
      <c r="V598" s="10"/>
      <c r="W598" s="10"/>
      <c r="X598" s="10"/>
      <c r="Y598" s="10"/>
    </row>
    <row r="599" spans="1:25" x14ac:dyDescent="0.25">
      <c r="A599" s="9">
        <v>41137</v>
      </c>
      <c r="B599" s="10">
        <f ca="1">ROUND(_xlfn.NORM.INV(RAND(),Reference!$C$8,0.1*Reference!$C$8)*(1+Reference!$C$11*(IF(MONTH($A599)=Reference!$C$4,1,0)+IF(MONTH($A599)=Reference!$C$5,1,0))+(IF(MONTH($A599)=Reference!$C$6,Reference!$C$13,0))),0)</f>
        <v>359</v>
      </c>
      <c r="C599" s="11">
        <f ca="1">B599*Reference!$C$7*(1-IF(MONTH($A599)=Reference!$C$6,1,0)*Reference!$C$12)</f>
        <v>333870</v>
      </c>
      <c r="D599" s="10">
        <f ca="1">ROUND(_xlfn.NORM.INV(RAND(),Reference!$D$8,0.1*Reference!$D$8)*(1+Reference!$D$11*(IF(MONTH($A599)=Reference!$D$4,1,0)+IF(MONTH($A599)=Reference!$D$5,1,0))+(IF(MONTH($A599)=Reference!$D$6,Reference!$D$13,0))),0)</f>
        <v>465</v>
      </c>
      <c r="E599" s="11">
        <f ca="1">D599*Reference!$D$7*(1-IF(MONTH($A599)=Reference!$D$6,1,0)*Reference!$D$12)</f>
        <v>348750</v>
      </c>
      <c r="M599" s="20"/>
      <c r="N599" s="20"/>
      <c r="O599" s="19"/>
      <c r="P599" s="10"/>
      <c r="Q599" s="10"/>
      <c r="R599" s="10"/>
      <c r="S599" s="10"/>
      <c r="T599" s="10"/>
      <c r="U599" s="10"/>
      <c r="V599" s="10"/>
      <c r="W599" s="10"/>
      <c r="X599" s="10"/>
      <c r="Y599" s="10"/>
    </row>
    <row r="600" spans="1:25" x14ac:dyDescent="0.25">
      <c r="A600" s="9">
        <v>41138</v>
      </c>
      <c r="B600" s="10">
        <f ca="1">ROUND(_xlfn.NORM.INV(RAND(),Reference!$C$8,0.1*Reference!$C$8)*(1+Reference!$C$11*(IF(MONTH($A600)=Reference!$C$4,1,0)+IF(MONTH($A600)=Reference!$C$5,1,0))+(IF(MONTH($A600)=Reference!$C$6,Reference!$C$13,0))),0)</f>
        <v>365</v>
      </c>
      <c r="C600" s="11">
        <f ca="1">B600*Reference!$C$7*(1-IF(MONTH($A600)=Reference!$C$6,1,0)*Reference!$C$12)</f>
        <v>339450</v>
      </c>
      <c r="D600" s="10">
        <f ca="1">ROUND(_xlfn.NORM.INV(RAND(),Reference!$D$8,0.1*Reference!$D$8)*(1+Reference!$D$11*(IF(MONTH($A600)=Reference!$D$4,1,0)+IF(MONTH($A600)=Reference!$D$5,1,0))+(IF(MONTH($A600)=Reference!$D$6,Reference!$D$13,0))),0)</f>
        <v>468</v>
      </c>
      <c r="E600" s="11">
        <f ca="1">D600*Reference!$D$7*(1-IF(MONTH($A600)=Reference!$D$6,1,0)*Reference!$D$12)</f>
        <v>351000</v>
      </c>
      <c r="M600" s="20"/>
      <c r="N600" s="20"/>
      <c r="O600" s="19"/>
      <c r="P600" s="10"/>
      <c r="Q600" s="10"/>
      <c r="R600" s="10"/>
      <c r="S600" s="10"/>
      <c r="T600" s="10"/>
      <c r="U600" s="10"/>
      <c r="V600" s="10"/>
      <c r="W600" s="10"/>
      <c r="X600" s="10"/>
      <c r="Y600" s="10"/>
    </row>
    <row r="601" spans="1:25" x14ac:dyDescent="0.25">
      <c r="A601" s="9">
        <v>41139</v>
      </c>
      <c r="B601" s="10">
        <f ca="1">ROUND(_xlfn.NORM.INV(RAND(),Reference!$C$8,0.1*Reference!$C$8)*(1+Reference!$C$11*(IF(MONTH($A601)=Reference!$C$4,1,0)+IF(MONTH($A601)=Reference!$C$5,1,0))+(IF(MONTH($A601)=Reference!$C$6,Reference!$C$13,0))),0)</f>
        <v>411</v>
      </c>
      <c r="C601" s="11">
        <f ca="1">B601*Reference!$C$7*(1-IF(MONTH($A601)=Reference!$C$6,1,0)*Reference!$C$12)</f>
        <v>382230</v>
      </c>
      <c r="D601" s="10">
        <f ca="1">ROUND(_xlfn.NORM.INV(RAND(),Reference!$D$8,0.1*Reference!$D$8)*(1+Reference!$D$11*(IF(MONTH($A601)=Reference!$D$4,1,0)+IF(MONTH($A601)=Reference!$D$5,1,0))+(IF(MONTH($A601)=Reference!$D$6,Reference!$D$13,0))),0)</f>
        <v>533</v>
      </c>
      <c r="E601" s="11">
        <f ca="1">D601*Reference!$D$7*(1-IF(MONTH($A601)=Reference!$D$6,1,0)*Reference!$D$12)</f>
        <v>399750</v>
      </c>
      <c r="M601" s="20"/>
      <c r="N601" s="20"/>
      <c r="O601" s="19"/>
      <c r="P601" s="10"/>
      <c r="Q601" s="10"/>
      <c r="R601" s="10"/>
      <c r="S601" s="10"/>
      <c r="T601" s="10"/>
      <c r="U601" s="10"/>
      <c r="V601" s="10"/>
      <c r="W601" s="10"/>
      <c r="X601" s="10"/>
      <c r="Y601" s="10"/>
    </row>
    <row r="602" spans="1:25" x14ac:dyDescent="0.25">
      <c r="A602" s="9">
        <v>41140</v>
      </c>
      <c r="B602" s="10">
        <f ca="1">ROUND(_xlfn.NORM.INV(RAND(),Reference!$C$8,0.1*Reference!$C$8)*(1+Reference!$C$11*(IF(MONTH($A602)=Reference!$C$4,1,0)+IF(MONTH($A602)=Reference!$C$5,1,0))+(IF(MONTH($A602)=Reference!$C$6,Reference!$C$13,0))),0)</f>
        <v>346</v>
      </c>
      <c r="C602" s="11">
        <f ca="1">B602*Reference!$C$7*(1-IF(MONTH($A602)=Reference!$C$6,1,0)*Reference!$C$12)</f>
        <v>321780</v>
      </c>
      <c r="D602" s="10">
        <f ca="1">ROUND(_xlfn.NORM.INV(RAND(),Reference!$D$8,0.1*Reference!$D$8)*(1+Reference!$D$11*(IF(MONTH($A602)=Reference!$D$4,1,0)+IF(MONTH($A602)=Reference!$D$5,1,0))+(IF(MONTH($A602)=Reference!$D$6,Reference!$D$13,0))),0)</f>
        <v>477</v>
      </c>
      <c r="E602" s="11">
        <f ca="1">D602*Reference!$D$7*(1-IF(MONTH($A602)=Reference!$D$6,1,0)*Reference!$D$12)</f>
        <v>357750</v>
      </c>
      <c r="M602" s="20"/>
      <c r="N602" s="20"/>
      <c r="O602" s="19"/>
      <c r="P602" s="10"/>
      <c r="Q602" s="10"/>
      <c r="R602" s="10"/>
      <c r="S602" s="10"/>
      <c r="T602" s="10"/>
      <c r="U602" s="10"/>
      <c r="V602" s="10"/>
      <c r="W602" s="10"/>
      <c r="X602" s="10"/>
      <c r="Y602" s="10"/>
    </row>
    <row r="603" spans="1:25" x14ac:dyDescent="0.25">
      <c r="A603" s="9">
        <v>41141</v>
      </c>
      <c r="B603" s="10">
        <f ca="1">ROUND(_xlfn.NORM.INV(RAND(),Reference!$C$8,0.1*Reference!$C$8)*(1+Reference!$C$11*(IF(MONTH($A603)=Reference!$C$4,1,0)+IF(MONTH($A603)=Reference!$C$5,1,0))+(IF(MONTH($A603)=Reference!$C$6,Reference!$C$13,0))),0)</f>
        <v>302</v>
      </c>
      <c r="C603" s="11">
        <f ca="1">B603*Reference!$C$7*(1-IF(MONTH($A603)=Reference!$C$6,1,0)*Reference!$C$12)</f>
        <v>280860</v>
      </c>
      <c r="D603" s="10">
        <f ca="1">ROUND(_xlfn.NORM.INV(RAND(),Reference!$D$8,0.1*Reference!$D$8)*(1+Reference!$D$11*(IF(MONTH($A603)=Reference!$D$4,1,0)+IF(MONTH($A603)=Reference!$D$5,1,0))+(IF(MONTH($A603)=Reference!$D$6,Reference!$D$13,0))),0)</f>
        <v>552</v>
      </c>
      <c r="E603" s="11">
        <f ca="1">D603*Reference!$D$7*(1-IF(MONTH($A603)=Reference!$D$6,1,0)*Reference!$D$12)</f>
        <v>414000</v>
      </c>
      <c r="M603" s="20"/>
      <c r="N603" s="20"/>
      <c r="O603" s="19"/>
      <c r="P603" s="10"/>
      <c r="Q603" s="10"/>
      <c r="R603" s="10"/>
      <c r="S603" s="10"/>
      <c r="T603" s="10"/>
      <c r="U603" s="10"/>
      <c r="V603" s="10"/>
      <c r="W603" s="10"/>
      <c r="X603" s="10"/>
      <c r="Y603" s="10"/>
    </row>
    <row r="604" spans="1:25" x14ac:dyDescent="0.25">
      <c r="A604" s="9">
        <v>41142</v>
      </c>
      <c r="B604" s="10">
        <f ca="1">ROUND(_xlfn.NORM.INV(RAND(),Reference!$C$8,0.1*Reference!$C$8)*(1+Reference!$C$11*(IF(MONTH($A604)=Reference!$C$4,1,0)+IF(MONTH($A604)=Reference!$C$5,1,0))+(IF(MONTH($A604)=Reference!$C$6,Reference!$C$13,0))),0)</f>
        <v>324</v>
      </c>
      <c r="C604" s="11">
        <f ca="1">B604*Reference!$C$7*(1-IF(MONTH($A604)=Reference!$C$6,1,0)*Reference!$C$12)</f>
        <v>301320</v>
      </c>
      <c r="D604" s="10">
        <f ca="1">ROUND(_xlfn.NORM.INV(RAND(),Reference!$D$8,0.1*Reference!$D$8)*(1+Reference!$D$11*(IF(MONTH($A604)=Reference!$D$4,1,0)+IF(MONTH($A604)=Reference!$D$5,1,0))+(IF(MONTH($A604)=Reference!$D$6,Reference!$D$13,0))),0)</f>
        <v>429</v>
      </c>
      <c r="E604" s="11">
        <f ca="1">D604*Reference!$D$7*(1-IF(MONTH($A604)=Reference!$D$6,1,0)*Reference!$D$12)</f>
        <v>321750</v>
      </c>
      <c r="M604" s="20"/>
      <c r="N604" s="20"/>
      <c r="O604" s="19"/>
      <c r="P604" s="10"/>
      <c r="Q604" s="10"/>
      <c r="R604" s="10"/>
      <c r="S604" s="10"/>
      <c r="T604" s="10"/>
      <c r="U604" s="10"/>
      <c r="V604" s="10"/>
      <c r="W604" s="10"/>
      <c r="X604" s="10"/>
      <c r="Y604" s="10"/>
    </row>
    <row r="605" spans="1:25" x14ac:dyDescent="0.25">
      <c r="A605" s="9">
        <v>41143</v>
      </c>
      <c r="B605" s="10">
        <f ca="1">ROUND(_xlfn.NORM.INV(RAND(),Reference!$C$8,0.1*Reference!$C$8)*(1+Reference!$C$11*(IF(MONTH($A605)=Reference!$C$4,1,0)+IF(MONTH($A605)=Reference!$C$5,1,0))+(IF(MONTH($A605)=Reference!$C$6,Reference!$C$13,0))),0)</f>
        <v>313</v>
      </c>
      <c r="C605" s="11">
        <f ca="1">B605*Reference!$C$7*(1-IF(MONTH($A605)=Reference!$C$6,1,0)*Reference!$C$12)</f>
        <v>291090</v>
      </c>
      <c r="D605" s="10">
        <f ca="1">ROUND(_xlfn.NORM.INV(RAND(),Reference!$D$8,0.1*Reference!$D$8)*(1+Reference!$D$11*(IF(MONTH($A605)=Reference!$D$4,1,0)+IF(MONTH($A605)=Reference!$D$5,1,0))+(IF(MONTH($A605)=Reference!$D$6,Reference!$D$13,0))),0)</f>
        <v>418</v>
      </c>
      <c r="E605" s="11">
        <f ca="1">D605*Reference!$D$7*(1-IF(MONTH($A605)=Reference!$D$6,1,0)*Reference!$D$12)</f>
        <v>313500</v>
      </c>
      <c r="M605" s="20"/>
      <c r="N605" s="20"/>
      <c r="O605" s="19"/>
      <c r="P605" s="10"/>
      <c r="Q605" s="10"/>
      <c r="R605" s="10"/>
      <c r="S605" s="10"/>
      <c r="T605" s="10"/>
      <c r="U605" s="10"/>
      <c r="V605" s="10"/>
      <c r="W605" s="10"/>
      <c r="X605" s="10"/>
      <c r="Y605" s="10"/>
    </row>
    <row r="606" spans="1:25" x14ac:dyDescent="0.25">
      <c r="A606" s="9">
        <v>41144</v>
      </c>
      <c r="B606" s="10">
        <f ca="1">ROUND(_xlfn.NORM.INV(RAND(),Reference!$C$8,0.1*Reference!$C$8)*(1+Reference!$C$11*(IF(MONTH($A606)=Reference!$C$4,1,0)+IF(MONTH($A606)=Reference!$C$5,1,0))+(IF(MONTH($A606)=Reference!$C$6,Reference!$C$13,0))),0)</f>
        <v>378</v>
      </c>
      <c r="C606" s="11">
        <f ca="1">B606*Reference!$C$7*(1-IF(MONTH($A606)=Reference!$C$6,1,0)*Reference!$C$12)</f>
        <v>351540</v>
      </c>
      <c r="D606" s="10">
        <f ca="1">ROUND(_xlfn.NORM.INV(RAND(),Reference!$D$8,0.1*Reference!$D$8)*(1+Reference!$D$11*(IF(MONTH($A606)=Reference!$D$4,1,0)+IF(MONTH($A606)=Reference!$D$5,1,0))+(IF(MONTH($A606)=Reference!$D$6,Reference!$D$13,0))),0)</f>
        <v>493</v>
      </c>
      <c r="E606" s="11">
        <f ca="1">D606*Reference!$D$7*(1-IF(MONTH($A606)=Reference!$D$6,1,0)*Reference!$D$12)</f>
        <v>369750</v>
      </c>
      <c r="M606" s="20"/>
      <c r="N606" s="20"/>
      <c r="O606" s="19"/>
      <c r="P606" s="10"/>
      <c r="Q606" s="10"/>
      <c r="R606" s="10"/>
      <c r="S606" s="10"/>
      <c r="T606" s="10"/>
      <c r="U606" s="10"/>
      <c r="V606" s="10"/>
      <c r="W606" s="10"/>
      <c r="X606" s="10"/>
      <c r="Y606" s="10"/>
    </row>
    <row r="607" spans="1:25" x14ac:dyDescent="0.25">
      <c r="A607" s="9">
        <v>41145</v>
      </c>
      <c r="B607" s="10">
        <f ca="1">ROUND(_xlfn.NORM.INV(RAND(),Reference!$C$8,0.1*Reference!$C$8)*(1+Reference!$C$11*(IF(MONTH($A607)=Reference!$C$4,1,0)+IF(MONTH($A607)=Reference!$C$5,1,0))+(IF(MONTH($A607)=Reference!$C$6,Reference!$C$13,0))),0)</f>
        <v>405</v>
      </c>
      <c r="C607" s="11">
        <f ca="1">B607*Reference!$C$7*(1-IF(MONTH($A607)=Reference!$C$6,1,0)*Reference!$C$12)</f>
        <v>376650</v>
      </c>
      <c r="D607" s="10">
        <f ca="1">ROUND(_xlfn.NORM.INV(RAND(),Reference!$D$8,0.1*Reference!$D$8)*(1+Reference!$D$11*(IF(MONTH($A607)=Reference!$D$4,1,0)+IF(MONTH($A607)=Reference!$D$5,1,0))+(IF(MONTH($A607)=Reference!$D$6,Reference!$D$13,0))),0)</f>
        <v>581</v>
      </c>
      <c r="E607" s="11">
        <f ca="1">D607*Reference!$D$7*(1-IF(MONTH($A607)=Reference!$D$6,1,0)*Reference!$D$12)</f>
        <v>435750</v>
      </c>
      <c r="M607" s="20"/>
      <c r="N607" s="20"/>
      <c r="O607" s="19"/>
      <c r="P607" s="10"/>
      <c r="Q607" s="10"/>
      <c r="R607" s="10"/>
      <c r="S607" s="10"/>
      <c r="T607" s="10"/>
      <c r="U607" s="10"/>
      <c r="V607" s="10"/>
      <c r="W607" s="10"/>
      <c r="X607" s="10"/>
      <c r="Y607" s="10"/>
    </row>
    <row r="608" spans="1:25" x14ac:dyDescent="0.25">
      <c r="A608" s="9">
        <v>41146</v>
      </c>
      <c r="B608" s="10">
        <f ca="1">ROUND(_xlfn.NORM.INV(RAND(),Reference!$C$8,0.1*Reference!$C$8)*(1+Reference!$C$11*(IF(MONTH($A608)=Reference!$C$4,1,0)+IF(MONTH($A608)=Reference!$C$5,1,0))+(IF(MONTH($A608)=Reference!$C$6,Reference!$C$13,0))),0)</f>
        <v>393</v>
      </c>
      <c r="C608" s="11">
        <f ca="1">B608*Reference!$C$7*(1-IF(MONTH($A608)=Reference!$C$6,1,0)*Reference!$C$12)</f>
        <v>365490</v>
      </c>
      <c r="D608" s="10">
        <f ca="1">ROUND(_xlfn.NORM.INV(RAND(),Reference!$D$8,0.1*Reference!$D$8)*(1+Reference!$D$11*(IF(MONTH($A608)=Reference!$D$4,1,0)+IF(MONTH($A608)=Reference!$D$5,1,0))+(IF(MONTH($A608)=Reference!$D$6,Reference!$D$13,0))),0)</f>
        <v>481</v>
      </c>
      <c r="E608" s="11">
        <f ca="1">D608*Reference!$D$7*(1-IF(MONTH($A608)=Reference!$D$6,1,0)*Reference!$D$12)</f>
        <v>360750</v>
      </c>
      <c r="M608" s="20"/>
      <c r="N608" s="20"/>
      <c r="O608" s="19"/>
      <c r="P608" s="10"/>
      <c r="Q608" s="10"/>
      <c r="R608" s="10"/>
      <c r="S608" s="10"/>
      <c r="T608" s="10"/>
      <c r="U608" s="10"/>
      <c r="V608" s="10"/>
      <c r="W608" s="10"/>
      <c r="X608" s="10"/>
      <c r="Y608" s="10"/>
    </row>
    <row r="609" spans="1:25" x14ac:dyDescent="0.25">
      <c r="A609" s="9">
        <v>41147</v>
      </c>
      <c r="B609" s="10">
        <f ca="1">ROUND(_xlfn.NORM.INV(RAND(),Reference!$C$8,0.1*Reference!$C$8)*(1+Reference!$C$11*(IF(MONTH($A609)=Reference!$C$4,1,0)+IF(MONTH($A609)=Reference!$C$5,1,0))+(IF(MONTH($A609)=Reference!$C$6,Reference!$C$13,0))),0)</f>
        <v>348</v>
      </c>
      <c r="C609" s="11">
        <f ca="1">B609*Reference!$C$7*(1-IF(MONTH($A609)=Reference!$C$6,1,0)*Reference!$C$12)</f>
        <v>323640</v>
      </c>
      <c r="D609" s="10">
        <f ca="1">ROUND(_xlfn.NORM.INV(RAND(),Reference!$D$8,0.1*Reference!$D$8)*(1+Reference!$D$11*(IF(MONTH($A609)=Reference!$D$4,1,0)+IF(MONTH($A609)=Reference!$D$5,1,0))+(IF(MONTH($A609)=Reference!$D$6,Reference!$D$13,0))),0)</f>
        <v>414</v>
      </c>
      <c r="E609" s="11">
        <f ca="1">D609*Reference!$D$7*(1-IF(MONTH($A609)=Reference!$D$6,1,0)*Reference!$D$12)</f>
        <v>310500</v>
      </c>
      <c r="M609" s="20"/>
      <c r="N609" s="20"/>
      <c r="O609" s="19"/>
      <c r="P609" s="10"/>
      <c r="Q609" s="10"/>
      <c r="R609" s="10"/>
      <c r="S609" s="10"/>
      <c r="T609" s="10"/>
      <c r="U609" s="10"/>
      <c r="V609" s="10"/>
      <c r="W609" s="10"/>
      <c r="X609" s="10"/>
      <c r="Y609" s="10"/>
    </row>
    <row r="610" spans="1:25" x14ac:dyDescent="0.25">
      <c r="A610" s="9">
        <v>41148</v>
      </c>
      <c r="B610" s="10">
        <f ca="1">ROUND(_xlfn.NORM.INV(RAND(),Reference!$C$8,0.1*Reference!$C$8)*(1+Reference!$C$11*(IF(MONTH($A610)=Reference!$C$4,1,0)+IF(MONTH($A610)=Reference!$C$5,1,0))+(IF(MONTH($A610)=Reference!$C$6,Reference!$C$13,0))),0)</f>
        <v>363</v>
      </c>
      <c r="C610" s="11">
        <f ca="1">B610*Reference!$C$7*(1-IF(MONTH($A610)=Reference!$C$6,1,0)*Reference!$C$12)</f>
        <v>337590</v>
      </c>
      <c r="D610" s="10">
        <f ca="1">ROUND(_xlfn.NORM.INV(RAND(),Reference!$D$8,0.1*Reference!$D$8)*(1+Reference!$D$11*(IF(MONTH($A610)=Reference!$D$4,1,0)+IF(MONTH($A610)=Reference!$D$5,1,0))+(IF(MONTH($A610)=Reference!$D$6,Reference!$D$13,0))),0)</f>
        <v>471</v>
      </c>
      <c r="E610" s="11">
        <f ca="1">D610*Reference!$D$7*(1-IF(MONTH($A610)=Reference!$D$6,1,0)*Reference!$D$12)</f>
        <v>353250</v>
      </c>
      <c r="M610" s="20"/>
      <c r="N610" s="20"/>
      <c r="O610" s="19"/>
      <c r="P610" s="10"/>
      <c r="Q610" s="10"/>
      <c r="R610" s="10"/>
      <c r="S610" s="10"/>
      <c r="T610" s="10"/>
      <c r="U610" s="10"/>
      <c r="V610" s="10"/>
      <c r="W610" s="10"/>
      <c r="X610" s="10"/>
      <c r="Y610" s="10"/>
    </row>
    <row r="611" spans="1:25" x14ac:dyDescent="0.25">
      <c r="A611" s="9">
        <v>41149</v>
      </c>
      <c r="B611" s="10">
        <f ca="1">ROUND(_xlfn.NORM.INV(RAND(),Reference!$C$8,0.1*Reference!$C$8)*(1+Reference!$C$11*(IF(MONTH($A611)=Reference!$C$4,1,0)+IF(MONTH($A611)=Reference!$C$5,1,0))+(IF(MONTH($A611)=Reference!$C$6,Reference!$C$13,0))),0)</f>
        <v>369</v>
      </c>
      <c r="C611" s="11">
        <f ca="1">B611*Reference!$C$7*(1-IF(MONTH($A611)=Reference!$C$6,1,0)*Reference!$C$12)</f>
        <v>343170</v>
      </c>
      <c r="D611" s="10">
        <f ca="1">ROUND(_xlfn.NORM.INV(RAND(),Reference!$D$8,0.1*Reference!$D$8)*(1+Reference!$D$11*(IF(MONTH($A611)=Reference!$D$4,1,0)+IF(MONTH($A611)=Reference!$D$5,1,0))+(IF(MONTH($A611)=Reference!$D$6,Reference!$D$13,0))),0)</f>
        <v>517</v>
      </c>
      <c r="E611" s="11">
        <f ca="1">D611*Reference!$D$7*(1-IF(MONTH($A611)=Reference!$D$6,1,0)*Reference!$D$12)</f>
        <v>387750</v>
      </c>
      <c r="M611" s="20"/>
      <c r="N611" s="20"/>
      <c r="O611" s="19"/>
      <c r="P611" s="10"/>
      <c r="Q611" s="10"/>
      <c r="R611" s="10"/>
      <c r="S611" s="10"/>
      <c r="T611" s="10"/>
      <c r="U611" s="10"/>
      <c r="V611" s="10"/>
      <c r="W611" s="10"/>
      <c r="X611" s="10"/>
      <c r="Y611" s="10"/>
    </row>
    <row r="612" spans="1:25" x14ac:dyDescent="0.25">
      <c r="A612" s="9">
        <v>41150</v>
      </c>
      <c r="B612" s="10">
        <f ca="1">ROUND(_xlfn.NORM.INV(RAND(),Reference!$C$8,0.1*Reference!$C$8)*(1+Reference!$C$11*(IF(MONTH($A612)=Reference!$C$4,1,0)+IF(MONTH($A612)=Reference!$C$5,1,0))+(IF(MONTH($A612)=Reference!$C$6,Reference!$C$13,0))),0)</f>
        <v>375</v>
      </c>
      <c r="C612" s="11">
        <f ca="1">B612*Reference!$C$7*(1-IF(MONTH($A612)=Reference!$C$6,1,0)*Reference!$C$12)</f>
        <v>348750</v>
      </c>
      <c r="D612" s="10">
        <f ca="1">ROUND(_xlfn.NORM.INV(RAND(),Reference!$D$8,0.1*Reference!$D$8)*(1+Reference!$D$11*(IF(MONTH($A612)=Reference!$D$4,1,0)+IF(MONTH($A612)=Reference!$D$5,1,0))+(IF(MONTH($A612)=Reference!$D$6,Reference!$D$13,0))),0)</f>
        <v>463</v>
      </c>
      <c r="E612" s="11">
        <f ca="1">D612*Reference!$D$7*(1-IF(MONTH($A612)=Reference!$D$6,1,0)*Reference!$D$12)</f>
        <v>347250</v>
      </c>
      <c r="M612" s="20"/>
      <c r="N612" s="20"/>
      <c r="O612" s="19"/>
      <c r="P612" s="10"/>
      <c r="Q612" s="10"/>
      <c r="R612" s="10"/>
      <c r="S612" s="10"/>
      <c r="T612" s="10"/>
      <c r="U612" s="10"/>
      <c r="V612" s="10"/>
      <c r="W612" s="10"/>
      <c r="X612" s="10"/>
      <c r="Y612" s="10"/>
    </row>
    <row r="613" spans="1:25" x14ac:dyDescent="0.25">
      <c r="A613" s="9">
        <v>41151</v>
      </c>
      <c r="B613" s="10">
        <f ca="1">ROUND(_xlfn.NORM.INV(RAND(),Reference!$C$8,0.1*Reference!$C$8)*(1+Reference!$C$11*(IF(MONTH($A613)=Reference!$C$4,1,0)+IF(MONTH($A613)=Reference!$C$5,1,0))+(IF(MONTH($A613)=Reference!$C$6,Reference!$C$13,0))),0)</f>
        <v>338</v>
      </c>
      <c r="C613" s="11">
        <f ca="1">B613*Reference!$C$7*(1-IF(MONTH($A613)=Reference!$C$6,1,0)*Reference!$C$12)</f>
        <v>314340</v>
      </c>
      <c r="D613" s="10">
        <f ca="1">ROUND(_xlfn.NORM.INV(RAND(),Reference!$D$8,0.1*Reference!$D$8)*(1+Reference!$D$11*(IF(MONTH($A613)=Reference!$D$4,1,0)+IF(MONTH($A613)=Reference!$D$5,1,0))+(IF(MONTH($A613)=Reference!$D$6,Reference!$D$13,0))),0)</f>
        <v>559</v>
      </c>
      <c r="E613" s="11">
        <f ca="1">D613*Reference!$D$7*(1-IF(MONTH($A613)=Reference!$D$6,1,0)*Reference!$D$12)</f>
        <v>419250</v>
      </c>
      <c r="M613" s="20"/>
      <c r="N613" s="20"/>
      <c r="O613" s="19"/>
      <c r="P613" s="10"/>
      <c r="Q613" s="10"/>
      <c r="R613" s="10"/>
      <c r="S613" s="10"/>
      <c r="T613" s="10"/>
      <c r="U613" s="10"/>
      <c r="V613" s="10"/>
      <c r="W613" s="10"/>
      <c r="X613" s="10"/>
      <c r="Y613" s="10"/>
    </row>
    <row r="614" spans="1:25" x14ac:dyDescent="0.25">
      <c r="A614" s="9">
        <v>41152</v>
      </c>
      <c r="B614" s="10">
        <f ca="1">ROUND(_xlfn.NORM.INV(RAND(),Reference!$C$8,0.1*Reference!$C$8)*(1+Reference!$C$11*(IF(MONTH($A614)=Reference!$C$4,1,0)+IF(MONTH($A614)=Reference!$C$5,1,0))+(IF(MONTH($A614)=Reference!$C$6,Reference!$C$13,0))),0)</f>
        <v>338</v>
      </c>
      <c r="C614" s="11">
        <f ca="1">B614*Reference!$C$7*(1-IF(MONTH($A614)=Reference!$C$6,1,0)*Reference!$C$12)</f>
        <v>314340</v>
      </c>
      <c r="D614" s="10">
        <f ca="1">ROUND(_xlfn.NORM.INV(RAND(),Reference!$D$8,0.1*Reference!$D$8)*(1+Reference!$D$11*(IF(MONTH($A614)=Reference!$D$4,1,0)+IF(MONTH($A614)=Reference!$D$5,1,0))+(IF(MONTH($A614)=Reference!$D$6,Reference!$D$13,0))),0)</f>
        <v>507</v>
      </c>
      <c r="E614" s="11">
        <f ca="1">D614*Reference!$D$7*(1-IF(MONTH($A614)=Reference!$D$6,1,0)*Reference!$D$12)</f>
        <v>380250</v>
      </c>
      <c r="M614" s="20"/>
      <c r="N614" s="20"/>
      <c r="O614" s="19"/>
      <c r="P614" s="10"/>
      <c r="Q614" s="10"/>
      <c r="R614" s="10"/>
      <c r="S614" s="10"/>
      <c r="T614" s="10"/>
      <c r="U614" s="10"/>
      <c r="V614" s="10"/>
      <c r="W614" s="10"/>
      <c r="X614" s="10"/>
      <c r="Y614" s="10"/>
    </row>
    <row r="615" spans="1:25" x14ac:dyDescent="0.25">
      <c r="A615" s="9">
        <v>41153</v>
      </c>
      <c r="B615" s="10">
        <f ca="1">ROUND(_xlfn.NORM.INV(RAND(),Reference!$C$8,0.1*Reference!$C$8)*(1+Reference!$C$11*(IF(MONTH($A615)=Reference!$C$4,1,0)+IF(MONTH($A615)=Reference!$C$5,1,0))+(IF(MONTH($A615)=Reference!$C$6,Reference!$C$13,0))),0)</f>
        <v>360</v>
      </c>
      <c r="C615" s="11">
        <f ca="1">B615*Reference!$C$7*(1-IF(MONTH($A615)=Reference!$C$6,1,0)*Reference!$C$12)</f>
        <v>334800</v>
      </c>
      <c r="D615" s="10">
        <f ca="1">ROUND(_xlfn.NORM.INV(RAND(),Reference!$D$8,0.1*Reference!$D$8)*(1+Reference!$D$11*(IF(MONTH($A615)=Reference!$D$4,1,0)+IF(MONTH($A615)=Reference!$D$5,1,0))+(IF(MONTH($A615)=Reference!$D$6,Reference!$D$13,0))),0)</f>
        <v>488</v>
      </c>
      <c r="E615" s="11">
        <f ca="1">D615*Reference!$D$7*(1-IF(MONTH($A615)=Reference!$D$6,1,0)*Reference!$D$12)</f>
        <v>347700</v>
      </c>
      <c r="M615" s="20"/>
      <c r="N615" s="20"/>
      <c r="O615" s="19"/>
      <c r="P615" s="10"/>
      <c r="Q615" s="10"/>
      <c r="R615" s="10"/>
      <c r="S615" s="10"/>
      <c r="T615" s="10"/>
      <c r="U615" s="10"/>
      <c r="V615" s="10"/>
      <c r="W615" s="10"/>
      <c r="X615" s="10"/>
      <c r="Y615" s="10"/>
    </row>
    <row r="616" spans="1:25" x14ac:dyDescent="0.25">
      <c r="A616" s="9">
        <v>41154</v>
      </c>
      <c r="B616" s="10">
        <f ca="1">ROUND(_xlfn.NORM.INV(RAND(),Reference!$C$8,0.1*Reference!$C$8)*(1+Reference!$C$11*(IF(MONTH($A616)=Reference!$C$4,1,0)+IF(MONTH($A616)=Reference!$C$5,1,0))+(IF(MONTH($A616)=Reference!$C$6,Reference!$C$13,0))),0)</f>
        <v>306</v>
      </c>
      <c r="C616" s="11">
        <f ca="1">B616*Reference!$C$7*(1-IF(MONTH($A616)=Reference!$C$6,1,0)*Reference!$C$12)</f>
        <v>284580</v>
      </c>
      <c r="D616" s="10">
        <f ca="1">ROUND(_xlfn.NORM.INV(RAND(),Reference!$D$8,0.1*Reference!$D$8)*(1+Reference!$D$11*(IF(MONTH($A616)=Reference!$D$4,1,0)+IF(MONTH($A616)=Reference!$D$5,1,0))+(IF(MONTH($A616)=Reference!$D$6,Reference!$D$13,0))),0)</f>
        <v>525</v>
      </c>
      <c r="E616" s="11">
        <f ca="1">D616*Reference!$D$7*(1-IF(MONTH($A616)=Reference!$D$6,1,0)*Reference!$D$12)</f>
        <v>374062.5</v>
      </c>
      <c r="M616" s="20"/>
      <c r="N616" s="20"/>
      <c r="O616" s="19"/>
      <c r="P616" s="10"/>
      <c r="Q616" s="10"/>
      <c r="R616" s="10"/>
      <c r="S616" s="10"/>
      <c r="T616" s="10"/>
      <c r="U616" s="10"/>
      <c r="V616" s="10"/>
      <c r="W616" s="10"/>
      <c r="X616" s="10"/>
      <c r="Y616" s="10"/>
    </row>
    <row r="617" spans="1:25" x14ac:dyDescent="0.25">
      <c r="A617" s="9">
        <v>41155</v>
      </c>
      <c r="B617" s="10">
        <f ca="1">ROUND(_xlfn.NORM.INV(RAND(),Reference!$C$8,0.1*Reference!$C$8)*(1+Reference!$C$11*(IF(MONTH($A617)=Reference!$C$4,1,0)+IF(MONTH($A617)=Reference!$C$5,1,0))+(IF(MONTH($A617)=Reference!$C$6,Reference!$C$13,0))),0)</f>
        <v>361</v>
      </c>
      <c r="C617" s="11">
        <f ca="1">B617*Reference!$C$7*(1-IF(MONTH($A617)=Reference!$C$6,1,0)*Reference!$C$12)</f>
        <v>335730</v>
      </c>
      <c r="D617" s="10">
        <f ca="1">ROUND(_xlfn.NORM.INV(RAND(),Reference!$D$8,0.1*Reference!$D$8)*(1+Reference!$D$11*(IF(MONTH($A617)=Reference!$D$4,1,0)+IF(MONTH($A617)=Reference!$D$5,1,0))+(IF(MONTH($A617)=Reference!$D$6,Reference!$D$13,0))),0)</f>
        <v>452</v>
      </c>
      <c r="E617" s="11">
        <f ca="1">D617*Reference!$D$7*(1-IF(MONTH($A617)=Reference!$D$6,1,0)*Reference!$D$12)</f>
        <v>322050</v>
      </c>
      <c r="M617" s="20"/>
      <c r="N617" s="20"/>
      <c r="O617" s="19"/>
      <c r="P617" s="10"/>
      <c r="Q617" s="10"/>
      <c r="R617" s="10"/>
      <c r="S617" s="10"/>
      <c r="T617" s="10"/>
      <c r="U617" s="10"/>
      <c r="V617" s="10"/>
      <c r="W617" s="10"/>
      <c r="X617" s="10"/>
      <c r="Y617" s="10"/>
    </row>
    <row r="618" spans="1:25" x14ac:dyDescent="0.25">
      <c r="A618" s="9">
        <v>41156</v>
      </c>
      <c r="B618" s="10">
        <f ca="1">ROUND(_xlfn.NORM.INV(RAND(),Reference!$C$8,0.1*Reference!$C$8)*(1+Reference!$C$11*(IF(MONTH($A618)=Reference!$C$4,1,0)+IF(MONTH($A618)=Reference!$C$5,1,0))+(IF(MONTH($A618)=Reference!$C$6,Reference!$C$13,0))),0)</f>
        <v>439</v>
      </c>
      <c r="C618" s="11">
        <f ca="1">B618*Reference!$C$7*(1-IF(MONTH($A618)=Reference!$C$6,1,0)*Reference!$C$12)</f>
        <v>408270</v>
      </c>
      <c r="D618" s="10">
        <f ca="1">ROUND(_xlfn.NORM.INV(RAND(),Reference!$D$8,0.1*Reference!$D$8)*(1+Reference!$D$11*(IF(MONTH($A618)=Reference!$D$4,1,0)+IF(MONTH($A618)=Reference!$D$5,1,0))+(IF(MONTH($A618)=Reference!$D$6,Reference!$D$13,0))),0)</f>
        <v>576</v>
      </c>
      <c r="E618" s="11">
        <f ca="1">D618*Reference!$D$7*(1-IF(MONTH($A618)=Reference!$D$6,1,0)*Reference!$D$12)</f>
        <v>410400</v>
      </c>
      <c r="M618" s="20"/>
      <c r="N618" s="20"/>
      <c r="O618" s="19"/>
      <c r="P618" s="10"/>
      <c r="Q618" s="10"/>
      <c r="R618" s="10"/>
      <c r="S618" s="10"/>
      <c r="T618" s="10"/>
      <c r="U618" s="10"/>
      <c r="V618" s="10"/>
      <c r="W618" s="10"/>
      <c r="X618" s="10"/>
      <c r="Y618" s="10"/>
    </row>
    <row r="619" spans="1:25" x14ac:dyDescent="0.25">
      <c r="A619" s="9">
        <v>41157</v>
      </c>
      <c r="B619" s="10">
        <f ca="1">ROUND(_xlfn.NORM.INV(RAND(),Reference!$C$8,0.1*Reference!$C$8)*(1+Reference!$C$11*(IF(MONTH($A619)=Reference!$C$4,1,0)+IF(MONTH($A619)=Reference!$C$5,1,0))+(IF(MONTH($A619)=Reference!$C$6,Reference!$C$13,0))),0)</f>
        <v>367</v>
      </c>
      <c r="C619" s="11">
        <f ca="1">B619*Reference!$C$7*(1-IF(MONTH($A619)=Reference!$C$6,1,0)*Reference!$C$12)</f>
        <v>341310</v>
      </c>
      <c r="D619" s="10">
        <f ca="1">ROUND(_xlfn.NORM.INV(RAND(),Reference!$D$8,0.1*Reference!$D$8)*(1+Reference!$D$11*(IF(MONTH($A619)=Reference!$D$4,1,0)+IF(MONTH($A619)=Reference!$D$5,1,0))+(IF(MONTH($A619)=Reference!$D$6,Reference!$D$13,0))),0)</f>
        <v>569</v>
      </c>
      <c r="E619" s="11">
        <f ca="1">D619*Reference!$D$7*(1-IF(MONTH($A619)=Reference!$D$6,1,0)*Reference!$D$12)</f>
        <v>405412.5</v>
      </c>
      <c r="M619" s="20"/>
      <c r="N619" s="20"/>
      <c r="O619" s="19"/>
      <c r="P619" s="10"/>
      <c r="Q619" s="10"/>
      <c r="R619" s="10"/>
      <c r="S619" s="10"/>
      <c r="T619" s="10"/>
      <c r="U619" s="10"/>
      <c r="V619" s="10"/>
      <c r="W619" s="10"/>
      <c r="X619" s="10"/>
      <c r="Y619" s="10"/>
    </row>
    <row r="620" spans="1:25" x14ac:dyDescent="0.25">
      <c r="A620" s="9">
        <v>41158</v>
      </c>
      <c r="B620" s="10">
        <f ca="1">ROUND(_xlfn.NORM.INV(RAND(),Reference!$C$8,0.1*Reference!$C$8)*(1+Reference!$C$11*(IF(MONTH($A620)=Reference!$C$4,1,0)+IF(MONTH($A620)=Reference!$C$5,1,0))+(IF(MONTH($A620)=Reference!$C$6,Reference!$C$13,0))),0)</f>
        <v>366</v>
      </c>
      <c r="C620" s="11">
        <f ca="1">B620*Reference!$C$7*(1-IF(MONTH($A620)=Reference!$C$6,1,0)*Reference!$C$12)</f>
        <v>340380</v>
      </c>
      <c r="D620" s="10">
        <f ca="1">ROUND(_xlfn.NORM.INV(RAND(),Reference!$D$8,0.1*Reference!$D$8)*(1+Reference!$D$11*(IF(MONTH($A620)=Reference!$D$4,1,0)+IF(MONTH($A620)=Reference!$D$5,1,0))+(IF(MONTH($A620)=Reference!$D$6,Reference!$D$13,0))),0)</f>
        <v>417</v>
      </c>
      <c r="E620" s="11">
        <f ca="1">D620*Reference!$D$7*(1-IF(MONTH($A620)=Reference!$D$6,1,0)*Reference!$D$12)</f>
        <v>297112.5</v>
      </c>
      <c r="M620" s="20"/>
      <c r="N620" s="20"/>
      <c r="O620" s="19"/>
      <c r="P620" s="10"/>
      <c r="Q620" s="10"/>
      <c r="R620" s="10"/>
      <c r="S620" s="10"/>
      <c r="T620" s="10"/>
      <c r="U620" s="10"/>
      <c r="V620" s="10"/>
      <c r="W620" s="10"/>
      <c r="X620" s="10"/>
      <c r="Y620" s="10"/>
    </row>
    <row r="621" spans="1:25" x14ac:dyDescent="0.25">
      <c r="A621" s="9">
        <v>41159</v>
      </c>
      <c r="B621" s="10">
        <f ca="1">ROUND(_xlfn.NORM.INV(RAND(),Reference!$C$8,0.1*Reference!$C$8)*(1+Reference!$C$11*(IF(MONTH($A621)=Reference!$C$4,1,0)+IF(MONTH($A621)=Reference!$C$5,1,0))+(IF(MONTH($A621)=Reference!$C$6,Reference!$C$13,0))),0)</f>
        <v>330</v>
      </c>
      <c r="C621" s="11">
        <f ca="1">B621*Reference!$C$7*(1-IF(MONTH($A621)=Reference!$C$6,1,0)*Reference!$C$12)</f>
        <v>306900</v>
      </c>
      <c r="D621" s="10">
        <f ca="1">ROUND(_xlfn.NORM.INV(RAND(),Reference!$D$8,0.1*Reference!$D$8)*(1+Reference!$D$11*(IF(MONTH($A621)=Reference!$D$4,1,0)+IF(MONTH($A621)=Reference!$D$5,1,0))+(IF(MONTH($A621)=Reference!$D$6,Reference!$D$13,0))),0)</f>
        <v>507</v>
      </c>
      <c r="E621" s="11">
        <f ca="1">D621*Reference!$D$7*(1-IF(MONTH($A621)=Reference!$D$6,1,0)*Reference!$D$12)</f>
        <v>361237.5</v>
      </c>
      <c r="M621" s="20"/>
      <c r="N621" s="20"/>
      <c r="O621" s="19"/>
      <c r="P621" s="10"/>
      <c r="Q621" s="10"/>
      <c r="R621" s="10"/>
      <c r="S621" s="10"/>
      <c r="T621" s="10"/>
      <c r="U621" s="10"/>
      <c r="V621" s="10"/>
      <c r="W621" s="10"/>
      <c r="X621" s="10"/>
      <c r="Y621" s="10"/>
    </row>
    <row r="622" spans="1:25" x14ac:dyDescent="0.25">
      <c r="A622" s="9">
        <v>41160</v>
      </c>
      <c r="B622" s="10">
        <f ca="1">ROUND(_xlfn.NORM.INV(RAND(),Reference!$C$8,0.1*Reference!$C$8)*(1+Reference!$C$11*(IF(MONTH($A622)=Reference!$C$4,1,0)+IF(MONTH($A622)=Reference!$C$5,1,0))+(IF(MONTH($A622)=Reference!$C$6,Reference!$C$13,0))),0)</f>
        <v>350</v>
      </c>
      <c r="C622" s="11">
        <f ca="1">B622*Reference!$C$7*(1-IF(MONTH($A622)=Reference!$C$6,1,0)*Reference!$C$12)</f>
        <v>325500</v>
      </c>
      <c r="D622" s="10">
        <f ca="1">ROUND(_xlfn.NORM.INV(RAND(),Reference!$D$8,0.1*Reference!$D$8)*(1+Reference!$D$11*(IF(MONTH($A622)=Reference!$D$4,1,0)+IF(MONTH($A622)=Reference!$D$5,1,0))+(IF(MONTH($A622)=Reference!$D$6,Reference!$D$13,0))),0)</f>
        <v>545</v>
      </c>
      <c r="E622" s="11">
        <f ca="1">D622*Reference!$D$7*(1-IF(MONTH($A622)=Reference!$D$6,1,0)*Reference!$D$12)</f>
        <v>388312.5</v>
      </c>
      <c r="M622" s="20"/>
      <c r="N622" s="20"/>
      <c r="O622" s="19"/>
      <c r="P622" s="10"/>
      <c r="Q622" s="10"/>
      <c r="R622" s="10"/>
      <c r="S622" s="10"/>
      <c r="T622" s="10"/>
      <c r="U622" s="10"/>
      <c r="V622" s="10"/>
      <c r="W622" s="10"/>
      <c r="X622" s="10"/>
      <c r="Y622" s="10"/>
    </row>
    <row r="623" spans="1:25" x14ac:dyDescent="0.25">
      <c r="A623" s="9">
        <v>41161</v>
      </c>
      <c r="B623" s="10">
        <f ca="1">ROUND(_xlfn.NORM.INV(RAND(),Reference!$C$8,0.1*Reference!$C$8)*(1+Reference!$C$11*(IF(MONTH($A623)=Reference!$C$4,1,0)+IF(MONTH($A623)=Reference!$C$5,1,0))+(IF(MONTH($A623)=Reference!$C$6,Reference!$C$13,0))),0)</f>
        <v>405</v>
      </c>
      <c r="C623" s="11">
        <f ca="1">B623*Reference!$C$7*(1-IF(MONTH($A623)=Reference!$C$6,1,0)*Reference!$C$12)</f>
        <v>376650</v>
      </c>
      <c r="D623" s="10">
        <f ca="1">ROUND(_xlfn.NORM.INV(RAND(),Reference!$D$8,0.1*Reference!$D$8)*(1+Reference!$D$11*(IF(MONTH($A623)=Reference!$D$4,1,0)+IF(MONTH($A623)=Reference!$D$5,1,0))+(IF(MONTH($A623)=Reference!$D$6,Reference!$D$13,0))),0)</f>
        <v>512</v>
      </c>
      <c r="E623" s="11">
        <f ca="1">D623*Reference!$D$7*(1-IF(MONTH($A623)=Reference!$D$6,1,0)*Reference!$D$12)</f>
        <v>364800</v>
      </c>
      <c r="M623" s="20"/>
      <c r="N623" s="20"/>
      <c r="O623" s="19"/>
      <c r="P623" s="10"/>
      <c r="Q623" s="10"/>
      <c r="R623" s="10"/>
      <c r="S623" s="10"/>
      <c r="T623" s="10"/>
      <c r="U623" s="10"/>
      <c r="V623" s="10"/>
      <c r="W623" s="10"/>
      <c r="X623" s="10"/>
      <c r="Y623" s="10"/>
    </row>
    <row r="624" spans="1:25" x14ac:dyDescent="0.25">
      <c r="A624" s="9">
        <v>41162</v>
      </c>
      <c r="B624" s="10">
        <f ca="1">ROUND(_xlfn.NORM.INV(RAND(),Reference!$C$8,0.1*Reference!$C$8)*(1+Reference!$C$11*(IF(MONTH($A624)=Reference!$C$4,1,0)+IF(MONTH($A624)=Reference!$C$5,1,0))+(IF(MONTH($A624)=Reference!$C$6,Reference!$C$13,0))),0)</f>
        <v>339</v>
      </c>
      <c r="C624" s="11">
        <f ca="1">B624*Reference!$C$7*(1-IF(MONTH($A624)=Reference!$C$6,1,0)*Reference!$C$12)</f>
        <v>315270</v>
      </c>
      <c r="D624" s="10">
        <f ca="1">ROUND(_xlfn.NORM.INV(RAND(),Reference!$D$8,0.1*Reference!$D$8)*(1+Reference!$D$11*(IF(MONTH($A624)=Reference!$D$4,1,0)+IF(MONTH($A624)=Reference!$D$5,1,0))+(IF(MONTH($A624)=Reference!$D$6,Reference!$D$13,0))),0)</f>
        <v>482</v>
      </c>
      <c r="E624" s="11">
        <f ca="1">D624*Reference!$D$7*(1-IF(MONTH($A624)=Reference!$D$6,1,0)*Reference!$D$12)</f>
        <v>343425</v>
      </c>
      <c r="M624" s="20"/>
      <c r="N624" s="20"/>
      <c r="O624" s="19"/>
      <c r="P624" s="10"/>
      <c r="Q624" s="10"/>
      <c r="R624" s="10"/>
      <c r="S624" s="10"/>
      <c r="T624" s="10"/>
      <c r="U624" s="10"/>
      <c r="V624" s="10"/>
      <c r="W624" s="10"/>
      <c r="X624" s="10"/>
      <c r="Y624" s="10"/>
    </row>
    <row r="625" spans="1:25" x14ac:dyDescent="0.25">
      <c r="A625" s="9">
        <v>41163</v>
      </c>
      <c r="B625" s="10">
        <f ca="1">ROUND(_xlfn.NORM.INV(RAND(),Reference!$C$8,0.1*Reference!$C$8)*(1+Reference!$C$11*(IF(MONTH($A625)=Reference!$C$4,1,0)+IF(MONTH($A625)=Reference!$C$5,1,0))+(IF(MONTH($A625)=Reference!$C$6,Reference!$C$13,0))),0)</f>
        <v>321</v>
      </c>
      <c r="C625" s="11">
        <f ca="1">B625*Reference!$C$7*(1-IF(MONTH($A625)=Reference!$C$6,1,0)*Reference!$C$12)</f>
        <v>298530</v>
      </c>
      <c r="D625" s="10">
        <f ca="1">ROUND(_xlfn.NORM.INV(RAND(),Reference!$D$8,0.1*Reference!$D$8)*(1+Reference!$D$11*(IF(MONTH($A625)=Reference!$D$4,1,0)+IF(MONTH($A625)=Reference!$D$5,1,0))+(IF(MONTH($A625)=Reference!$D$6,Reference!$D$13,0))),0)</f>
        <v>501</v>
      </c>
      <c r="E625" s="11">
        <f ca="1">D625*Reference!$D$7*(1-IF(MONTH($A625)=Reference!$D$6,1,0)*Reference!$D$12)</f>
        <v>356962.5</v>
      </c>
      <c r="M625" s="20"/>
      <c r="N625" s="20"/>
      <c r="O625" s="19"/>
      <c r="P625" s="10"/>
      <c r="Q625" s="10"/>
      <c r="R625" s="10"/>
      <c r="S625" s="10"/>
      <c r="T625" s="10"/>
      <c r="U625" s="10"/>
      <c r="V625" s="10"/>
      <c r="W625" s="10"/>
      <c r="X625" s="10"/>
      <c r="Y625" s="10"/>
    </row>
    <row r="626" spans="1:25" x14ac:dyDescent="0.25">
      <c r="A626" s="9">
        <v>41164</v>
      </c>
      <c r="B626" s="10">
        <f ca="1">ROUND(_xlfn.NORM.INV(RAND(),Reference!$C$8,0.1*Reference!$C$8)*(1+Reference!$C$11*(IF(MONTH($A626)=Reference!$C$4,1,0)+IF(MONTH($A626)=Reference!$C$5,1,0))+(IF(MONTH($A626)=Reference!$C$6,Reference!$C$13,0))),0)</f>
        <v>374</v>
      </c>
      <c r="C626" s="11">
        <f ca="1">B626*Reference!$C$7*(1-IF(MONTH($A626)=Reference!$C$6,1,0)*Reference!$C$12)</f>
        <v>347820</v>
      </c>
      <c r="D626" s="10">
        <f ca="1">ROUND(_xlfn.NORM.INV(RAND(),Reference!$D$8,0.1*Reference!$D$8)*(1+Reference!$D$11*(IF(MONTH($A626)=Reference!$D$4,1,0)+IF(MONTH($A626)=Reference!$D$5,1,0))+(IF(MONTH($A626)=Reference!$D$6,Reference!$D$13,0))),0)</f>
        <v>487</v>
      </c>
      <c r="E626" s="11">
        <f ca="1">D626*Reference!$D$7*(1-IF(MONTH($A626)=Reference!$D$6,1,0)*Reference!$D$12)</f>
        <v>346987.5</v>
      </c>
      <c r="M626" s="20"/>
      <c r="N626" s="20"/>
      <c r="O626" s="19"/>
      <c r="P626" s="10"/>
      <c r="Q626" s="10"/>
      <c r="R626" s="10"/>
      <c r="S626" s="10"/>
      <c r="T626" s="10"/>
      <c r="U626" s="10"/>
      <c r="V626" s="10"/>
      <c r="W626" s="10"/>
      <c r="X626" s="10"/>
      <c r="Y626" s="10"/>
    </row>
    <row r="627" spans="1:25" x14ac:dyDescent="0.25">
      <c r="A627" s="9">
        <v>41165</v>
      </c>
      <c r="B627" s="10">
        <f ca="1">ROUND(_xlfn.NORM.INV(RAND(),Reference!$C$8,0.1*Reference!$C$8)*(1+Reference!$C$11*(IF(MONTH($A627)=Reference!$C$4,1,0)+IF(MONTH($A627)=Reference!$C$5,1,0))+(IF(MONTH($A627)=Reference!$C$6,Reference!$C$13,0))),0)</f>
        <v>300</v>
      </c>
      <c r="C627" s="11">
        <f ca="1">B627*Reference!$C$7*(1-IF(MONTH($A627)=Reference!$C$6,1,0)*Reference!$C$12)</f>
        <v>279000</v>
      </c>
      <c r="D627" s="10">
        <f ca="1">ROUND(_xlfn.NORM.INV(RAND(),Reference!$D$8,0.1*Reference!$D$8)*(1+Reference!$D$11*(IF(MONTH($A627)=Reference!$D$4,1,0)+IF(MONTH($A627)=Reference!$D$5,1,0))+(IF(MONTH($A627)=Reference!$D$6,Reference!$D$13,0))),0)</f>
        <v>499</v>
      </c>
      <c r="E627" s="11">
        <f ca="1">D627*Reference!$D$7*(1-IF(MONTH($A627)=Reference!$D$6,1,0)*Reference!$D$12)</f>
        <v>355537.5</v>
      </c>
      <c r="M627" s="20"/>
      <c r="N627" s="20"/>
      <c r="O627" s="19"/>
      <c r="P627" s="10"/>
      <c r="Q627" s="10"/>
      <c r="R627" s="10"/>
      <c r="S627" s="10"/>
      <c r="T627" s="10"/>
      <c r="U627" s="10"/>
      <c r="V627" s="10"/>
      <c r="W627" s="10"/>
      <c r="X627" s="10"/>
      <c r="Y627" s="10"/>
    </row>
    <row r="628" spans="1:25" x14ac:dyDescent="0.25">
      <c r="A628" s="9">
        <v>41166</v>
      </c>
      <c r="B628" s="10">
        <f ca="1">ROUND(_xlfn.NORM.INV(RAND(),Reference!$C$8,0.1*Reference!$C$8)*(1+Reference!$C$11*(IF(MONTH($A628)=Reference!$C$4,1,0)+IF(MONTH($A628)=Reference!$C$5,1,0))+(IF(MONTH($A628)=Reference!$C$6,Reference!$C$13,0))),0)</f>
        <v>335</v>
      </c>
      <c r="C628" s="11">
        <f ca="1">B628*Reference!$C$7*(1-IF(MONTH($A628)=Reference!$C$6,1,0)*Reference!$C$12)</f>
        <v>311550</v>
      </c>
      <c r="D628" s="10">
        <f ca="1">ROUND(_xlfn.NORM.INV(RAND(),Reference!$D$8,0.1*Reference!$D$8)*(1+Reference!$D$11*(IF(MONTH($A628)=Reference!$D$4,1,0)+IF(MONTH($A628)=Reference!$D$5,1,0))+(IF(MONTH($A628)=Reference!$D$6,Reference!$D$13,0))),0)</f>
        <v>616</v>
      </c>
      <c r="E628" s="11">
        <f ca="1">D628*Reference!$D$7*(1-IF(MONTH($A628)=Reference!$D$6,1,0)*Reference!$D$12)</f>
        <v>438900</v>
      </c>
      <c r="M628" s="20"/>
      <c r="N628" s="20"/>
      <c r="O628" s="19"/>
      <c r="P628" s="10"/>
      <c r="Q628" s="10"/>
      <c r="R628" s="10"/>
      <c r="S628" s="10"/>
      <c r="T628" s="10"/>
      <c r="U628" s="10"/>
      <c r="V628" s="10"/>
      <c r="W628" s="10"/>
      <c r="X628" s="10"/>
      <c r="Y628" s="10"/>
    </row>
    <row r="629" spans="1:25" x14ac:dyDescent="0.25">
      <c r="A629" s="9">
        <v>41167</v>
      </c>
      <c r="B629" s="10">
        <f ca="1">ROUND(_xlfn.NORM.INV(RAND(),Reference!$C$8,0.1*Reference!$C$8)*(1+Reference!$C$11*(IF(MONTH($A629)=Reference!$C$4,1,0)+IF(MONTH($A629)=Reference!$C$5,1,0))+(IF(MONTH($A629)=Reference!$C$6,Reference!$C$13,0))),0)</f>
        <v>322</v>
      </c>
      <c r="C629" s="11">
        <f ca="1">B629*Reference!$C$7*(1-IF(MONTH($A629)=Reference!$C$6,1,0)*Reference!$C$12)</f>
        <v>299460</v>
      </c>
      <c r="D629" s="10">
        <f ca="1">ROUND(_xlfn.NORM.INV(RAND(),Reference!$D$8,0.1*Reference!$D$8)*(1+Reference!$D$11*(IF(MONTH($A629)=Reference!$D$4,1,0)+IF(MONTH($A629)=Reference!$D$5,1,0))+(IF(MONTH($A629)=Reference!$D$6,Reference!$D$13,0))),0)</f>
        <v>549</v>
      </c>
      <c r="E629" s="11">
        <f ca="1">D629*Reference!$D$7*(1-IF(MONTH($A629)=Reference!$D$6,1,0)*Reference!$D$12)</f>
        <v>391162.5</v>
      </c>
      <c r="M629" s="20"/>
      <c r="N629" s="20"/>
      <c r="O629" s="19"/>
      <c r="P629" s="10"/>
      <c r="Q629" s="10"/>
      <c r="R629" s="10"/>
      <c r="S629" s="10"/>
      <c r="T629" s="10"/>
      <c r="U629" s="10"/>
      <c r="V629" s="10"/>
      <c r="W629" s="10"/>
      <c r="X629" s="10"/>
      <c r="Y629" s="10"/>
    </row>
    <row r="630" spans="1:25" x14ac:dyDescent="0.25">
      <c r="A630" s="9">
        <v>41168</v>
      </c>
      <c r="B630" s="10">
        <f ca="1">ROUND(_xlfn.NORM.INV(RAND(),Reference!$C$8,0.1*Reference!$C$8)*(1+Reference!$C$11*(IF(MONTH($A630)=Reference!$C$4,1,0)+IF(MONTH($A630)=Reference!$C$5,1,0))+(IF(MONTH($A630)=Reference!$C$6,Reference!$C$13,0))),0)</f>
        <v>364</v>
      </c>
      <c r="C630" s="11">
        <f ca="1">B630*Reference!$C$7*(1-IF(MONTH($A630)=Reference!$C$6,1,0)*Reference!$C$12)</f>
        <v>338520</v>
      </c>
      <c r="D630" s="10">
        <f ca="1">ROUND(_xlfn.NORM.INV(RAND(),Reference!$D$8,0.1*Reference!$D$8)*(1+Reference!$D$11*(IF(MONTH($A630)=Reference!$D$4,1,0)+IF(MONTH($A630)=Reference!$D$5,1,0))+(IF(MONTH($A630)=Reference!$D$6,Reference!$D$13,0))),0)</f>
        <v>582</v>
      </c>
      <c r="E630" s="11">
        <f ca="1">D630*Reference!$D$7*(1-IF(MONTH($A630)=Reference!$D$6,1,0)*Reference!$D$12)</f>
        <v>414675</v>
      </c>
      <c r="M630" s="20"/>
      <c r="N630" s="20"/>
      <c r="O630" s="19"/>
      <c r="P630" s="10"/>
      <c r="Q630" s="10"/>
      <c r="R630" s="10"/>
      <c r="S630" s="10"/>
      <c r="T630" s="10"/>
      <c r="U630" s="10"/>
      <c r="V630" s="10"/>
      <c r="W630" s="10"/>
      <c r="X630" s="10"/>
      <c r="Y630" s="10"/>
    </row>
    <row r="631" spans="1:25" x14ac:dyDescent="0.25">
      <c r="A631" s="9">
        <v>41169</v>
      </c>
      <c r="B631" s="10">
        <f ca="1">ROUND(_xlfn.NORM.INV(RAND(),Reference!$C$8,0.1*Reference!$C$8)*(1+Reference!$C$11*(IF(MONTH($A631)=Reference!$C$4,1,0)+IF(MONTH($A631)=Reference!$C$5,1,0))+(IF(MONTH($A631)=Reference!$C$6,Reference!$C$13,0))),0)</f>
        <v>388</v>
      </c>
      <c r="C631" s="11">
        <f ca="1">B631*Reference!$C$7*(1-IF(MONTH($A631)=Reference!$C$6,1,0)*Reference!$C$12)</f>
        <v>360840</v>
      </c>
      <c r="D631" s="10">
        <f ca="1">ROUND(_xlfn.NORM.INV(RAND(),Reference!$D$8,0.1*Reference!$D$8)*(1+Reference!$D$11*(IF(MONTH($A631)=Reference!$D$4,1,0)+IF(MONTH($A631)=Reference!$D$5,1,0))+(IF(MONTH($A631)=Reference!$D$6,Reference!$D$13,0))),0)</f>
        <v>446</v>
      </c>
      <c r="E631" s="11">
        <f ca="1">D631*Reference!$D$7*(1-IF(MONTH($A631)=Reference!$D$6,1,0)*Reference!$D$12)</f>
        <v>317775</v>
      </c>
      <c r="M631" s="20"/>
      <c r="N631" s="20"/>
      <c r="O631" s="19"/>
      <c r="P631" s="10"/>
      <c r="Q631" s="10"/>
      <c r="R631" s="10"/>
      <c r="S631" s="10"/>
      <c r="T631" s="10"/>
      <c r="U631" s="10"/>
      <c r="V631" s="10"/>
      <c r="W631" s="10"/>
      <c r="X631" s="10"/>
      <c r="Y631" s="10"/>
    </row>
    <row r="632" spans="1:25" x14ac:dyDescent="0.25">
      <c r="A632" s="9">
        <v>41170</v>
      </c>
      <c r="B632" s="10">
        <f ca="1">ROUND(_xlfn.NORM.INV(RAND(),Reference!$C$8,0.1*Reference!$C$8)*(1+Reference!$C$11*(IF(MONTH($A632)=Reference!$C$4,1,0)+IF(MONTH($A632)=Reference!$C$5,1,0))+(IF(MONTH($A632)=Reference!$C$6,Reference!$C$13,0))),0)</f>
        <v>382</v>
      </c>
      <c r="C632" s="11">
        <f ca="1">B632*Reference!$C$7*(1-IF(MONTH($A632)=Reference!$C$6,1,0)*Reference!$C$12)</f>
        <v>355260</v>
      </c>
      <c r="D632" s="10">
        <f ca="1">ROUND(_xlfn.NORM.INV(RAND(),Reference!$D$8,0.1*Reference!$D$8)*(1+Reference!$D$11*(IF(MONTH($A632)=Reference!$D$4,1,0)+IF(MONTH($A632)=Reference!$D$5,1,0))+(IF(MONTH($A632)=Reference!$D$6,Reference!$D$13,0))),0)</f>
        <v>483</v>
      </c>
      <c r="E632" s="11">
        <f ca="1">D632*Reference!$D$7*(1-IF(MONTH($A632)=Reference!$D$6,1,0)*Reference!$D$12)</f>
        <v>344137.5</v>
      </c>
      <c r="M632" s="20"/>
      <c r="N632" s="20"/>
      <c r="O632" s="19"/>
      <c r="P632" s="10"/>
      <c r="Q632" s="10"/>
      <c r="R632" s="10"/>
      <c r="S632" s="10"/>
      <c r="T632" s="10"/>
      <c r="U632" s="10"/>
      <c r="V632" s="10"/>
      <c r="W632" s="10"/>
      <c r="X632" s="10"/>
      <c r="Y632" s="10"/>
    </row>
    <row r="633" spans="1:25" x14ac:dyDescent="0.25">
      <c r="A633" s="9">
        <v>41171</v>
      </c>
      <c r="B633" s="10">
        <f ca="1">ROUND(_xlfn.NORM.INV(RAND(),Reference!$C$8,0.1*Reference!$C$8)*(1+Reference!$C$11*(IF(MONTH($A633)=Reference!$C$4,1,0)+IF(MONTH($A633)=Reference!$C$5,1,0))+(IF(MONTH($A633)=Reference!$C$6,Reference!$C$13,0))),0)</f>
        <v>345</v>
      </c>
      <c r="C633" s="11">
        <f ca="1">B633*Reference!$C$7*(1-IF(MONTH($A633)=Reference!$C$6,1,0)*Reference!$C$12)</f>
        <v>320850</v>
      </c>
      <c r="D633" s="10">
        <f ca="1">ROUND(_xlfn.NORM.INV(RAND(),Reference!$D$8,0.1*Reference!$D$8)*(1+Reference!$D$11*(IF(MONTH($A633)=Reference!$D$4,1,0)+IF(MONTH($A633)=Reference!$D$5,1,0))+(IF(MONTH($A633)=Reference!$D$6,Reference!$D$13,0))),0)</f>
        <v>471</v>
      </c>
      <c r="E633" s="11">
        <f ca="1">D633*Reference!$D$7*(1-IF(MONTH($A633)=Reference!$D$6,1,0)*Reference!$D$12)</f>
        <v>335587.5</v>
      </c>
      <c r="M633" s="20"/>
      <c r="N633" s="20"/>
      <c r="O633" s="19"/>
      <c r="P633" s="10"/>
      <c r="Q633" s="10"/>
      <c r="R633" s="10"/>
      <c r="S633" s="10"/>
      <c r="T633" s="10"/>
      <c r="U633" s="10"/>
      <c r="V633" s="10"/>
      <c r="W633" s="10"/>
      <c r="X633" s="10"/>
      <c r="Y633" s="10"/>
    </row>
    <row r="634" spans="1:25" x14ac:dyDescent="0.25">
      <c r="A634" s="9">
        <v>41172</v>
      </c>
      <c r="B634" s="10">
        <f ca="1">ROUND(_xlfn.NORM.INV(RAND(),Reference!$C$8,0.1*Reference!$C$8)*(1+Reference!$C$11*(IF(MONTH($A634)=Reference!$C$4,1,0)+IF(MONTH($A634)=Reference!$C$5,1,0))+(IF(MONTH($A634)=Reference!$C$6,Reference!$C$13,0))),0)</f>
        <v>346</v>
      </c>
      <c r="C634" s="11">
        <f ca="1">B634*Reference!$C$7*(1-IF(MONTH($A634)=Reference!$C$6,1,0)*Reference!$C$12)</f>
        <v>321780</v>
      </c>
      <c r="D634" s="10">
        <f ca="1">ROUND(_xlfn.NORM.INV(RAND(),Reference!$D$8,0.1*Reference!$D$8)*(1+Reference!$D$11*(IF(MONTH($A634)=Reference!$D$4,1,0)+IF(MONTH($A634)=Reference!$D$5,1,0))+(IF(MONTH($A634)=Reference!$D$6,Reference!$D$13,0))),0)</f>
        <v>537</v>
      </c>
      <c r="E634" s="11">
        <f ca="1">D634*Reference!$D$7*(1-IF(MONTH($A634)=Reference!$D$6,1,0)*Reference!$D$12)</f>
        <v>382612.5</v>
      </c>
      <c r="M634" s="20"/>
      <c r="N634" s="20"/>
      <c r="O634" s="19"/>
      <c r="P634" s="10"/>
      <c r="Q634" s="10"/>
      <c r="R634" s="10"/>
      <c r="S634" s="10"/>
      <c r="T634" s="10"/>
      <c r="U634" s="10"/>
      <c r="V634" s="10"/>
      <c r="W634" s="10"/>
      <c r="X634" s="10"/>
      <c r="Y634" s="10"/>
    </row>
    <row r="635" spans="1:25" x14ac:dyDescent="0.25">
      <c r="A635" s="9">
        <v>41173</v>
      </c>
      <c r="B635" s="10">
        <f ca="1">ROUND(_xlfn.NORM.INV(RAND(),Reference!$C$8,0.1*Reference!$C$8)*(1+Reference!$C$11*(IF(MONTH($A635)=Reference!$C$4,1,0)+IF(MONTH($A635)=Reference!$C$5,1,0))+(IF(MONTH($A635)=Reference!$C$6,Reference!$C$13,0))),0)</f>
        <v>416</v>
      </c>
      <c r="C635" s="11">
        <f ca="1">B635*Reference!$C$7*(1-IF(MONTH($A635)=Reference!$C$6,1,0)*Reference!$C$12)</f>
        <v>386880</v>
      </c>
      <c r="D635" s="10">
        <f ca="1">ROUND(_xlfn.NORM.INV(RAND(),Reference!$D$8,0.1*Reference!$D$8)*(1+Reference!$D$11*(IF(MONTH($A635)=Reference!$D$4,1,0)+IF(MONTH($A635)=Reference!$D$5,1,0))+(IF(MONTH($A635)=Reference!$D$6,Reference!$D$13,0))),0)</f>
        <v>528</v>
      </c>
      <c r="E635" s="11">
        <f ca="1">D635*Reference!$D$7*(1-IF(MONTH($A635)=Reference!$D$6,1,0)*Reference!$D$12)</f>
        <v>376200</v>
      </c>
      <c r="M635" s="20"/>
      <c r="N635" s="20"/>
      <c r="O635" s="19"/>
      <c r="P635" s="10"/>
      <c r="Q635" s="10"/>
      <c r="R635" s="10"/>
      <c r="S635" s="10"/>
      <c r="T635" s="10"/>
      <c r="U635" s="10"/>
      <c r="V635" s="10"/>
      <c r="W635" s="10"/>
      <c r="X635" s="10"/>
      <c r="Y635" s="10"/>
    </row>
    <row r="636" spans="1:25" x14ac:dyDescent="0.25">
      <c r="A636" s="9">
        <v>41174</v>
      </c>
      <c r="B636" s="10">
        <f ca="1">ROUND(_xlfn.NORM.INV(RAND(),Reference!$C$8,0.1*Reference!$C$8)*(1+Reference!$C$11*(IF(MONTH($A636)=Reference!$C$4,1,0)+IF(MONTH($A636)=Reference!$C$5,1,0))+(IF(MONTH($A636)=Reference!$C$6,Reference!$C$13,0))),0)</f>
        <v>408</v>
      </c>
      <c r="C636" s="11">
        <f ca="1">B636*Reference!$C$7*(1-IF(MONTH($A636)=Reference!$C$6,1,0)*Reference!$C$12)</f>
        <v>379440</v>
      </c>
      <c r="D636" s="10">
        <f ca="1">ROUND(_xlfn.NORM.INV(RAND(),Reference!$D$8,0.1*Reference!$D$8)*(1+Reference!$D$11*(IF(MONTH($A636)=Reference!$D$4,1,0)+IF(MONTH($A636)=Reference!$D$5,1,0))+(IF(MONTH($A636)=Reference!$D$6,Reference!$D$13,0))),0)</f>
        <v>437</v>
      </c>
      <c r="E636" s="11">
        <f ca="1">D636*Reference!$D$7*(1-IF(MONTH($A636)=Reference!$D$6,1,0)*Reference!$D$12)</f>
        <v>311362.5</v>
      </c>
      <c r="M636" s="20"/>
      <c r="N636" s="20"/>
      <c r="O636" s="19"/>
      <c r="P636" s="10"/>
      <c r="Q636" s="10"/>
      <c r="R636" s="10"/>
      <c r="S636" s="10"/>
      <c r="T636" s="10"/>
      <c r="U636" s="10"/>
      <c r="V636" s="10"/>
      <c r="W636" s="10"/>
      <c r="X636" s="10"/>
      <c r="Y636" s="10"/>
    </row>
    <row r="637" spans="1:25" x14ac:dyDescent="0.25">
      <c r="A637" s="9">
        <v>41175</v>
      </c>
      <c r="B637" s="10">
        <f ca="1">ROUND(_xlfn.NORM.INV(RAND(),Reference!$C$8,0.1*Reference!$C$8)*(1+Reference!$C$11*(IF(MONTH($A637)=Reference!$C$4,1,0)+IF(MONTH($A637)=Reference!$C$5,1,0))+(IF(MONTH($A637)=Reference!$C$6,Reference!$C$13,0))),0)</f>
        <v>360</v>
      </c>
      <c r="C637" s="11">
        <f ca="1">B637*Reference!$C$7*(1-IF(MONTH($A637)=Reference!$C$6,1,0)*Reference!$C$12)</f>
        <v>334800</v>
      </c>
      <c r="D637" s="10">
        <f ca="1">ROUND(_xlfn.NORM.INV(RAND(),Reference!$D$8,0.1*Reference!$D$8)*(1+Reference!$D$11*(IF(MONTH($A637)=Reference!$D$4,1,0)+IF(MONTH($A637)=Reference!$D$5,1,0))+(IF(MONTH($A637)=Reference!$D$6,Reference!$D$13,0))),0)</f>
        <v>456</v>
      </c>
      <c r="E637" s="11">
        <f ca="1">D637*Reference!$D$7*(1-IF(MONTH($A637)=Reference!$D$6,1,0)*Reference!$D$12)</f>
        <v>324900</v>
      </c>
      <c r="M637" s="20"/>
      <c r="N637" s="20"/>
      <c r="O637" s="19"/>
      <c r="P637" s="10"/>
      <c r="Q637" s="10"/>
      <c r="R637" s="10"/>
      <c r="S637" s="10"/>
      <c r="T637" s="10"/>
      <c r="U637" s="10"/>
      <c r="V637" s="10"/>
      <c r="W637" s="10"/>
      <c r="X637" s="10"/>
      <c r="Y637" s="10"/>
    </row>
    <row r="638" spans="1:25" x14ac:dyDescent="0.25">
      <c r="A638" s="9">
        <v>41176</v>
      </c>
      <c r="B638" s="10">
        <f ca="1">ROUND(_xlfn.NORM.INV(RAND(),Reference!$C$8,0.1*Reference!$C$8)*(1+Reference!$C$11*(IF(MONTH($A638)=Reference!$C$4,1,0)+IF(MONTH($A638)=Reference!$C$5,1,0))+(IF(MONTH($A638)=Reference!$C$6,Reference!$C$13,0))),0)</f>
        <v>351</v>
      </c>
      <c r="C638" s="11">
        <f ca="1">B638*Reference!$C$7*(1-IF(MONTH($A638)=Reference!$C$6,1,0)*Reference!$C$12)</f>
        <v>326430</v>
      </c>
      <c r="D638" s="10">
        <f ca="1">ROUND(_xlfn.NORM.INV(RAND(),Reference!$D$8,0.1*Reference!$D$8)*(1+Reference!$D$11*(IF(MONTH($A638)=Reference!$D$4,1,0)+IF(MONTH($A638)=Reference!$D$5,1,0))+(IF(MONTH($A638)=Reference!$D$6,Reference!$D$13,0))),0)</f>
        <v>555</v>
      </c>
      <c r="E638" s="11">
        <f ca="1">D638*Reference!$D$7*(1-IF(MONTH($A638)=Reference!$D$6,1,0)*Reference!$D$12)</f>
        <v>395437.5</v>
      </c>
      <c r="M638" s="20"/>
      <c r="N638" s="20"/>
      <c r="O638" s="19"/>
      <c r="P638" s="10"/>
      <c r="Q638" s="10"/>
      <c r="R638" s="10"/>
      <c r="S638" s="10"/>
      <c r="T638" s="10"/>
      <c r="U638" s="10"/>
      <c r="V638" s="10"/>
      <c r="W638" s="10"/>
      <c r="X638" s="10"/>
      <c r="Y638" s="10"/>
    </row>
    <row r="639" spans="1:25" x14ac:dyDescent="0.25">
      <c r="A639" s="9">
        <v>41177</v>
      </c>
      <c r="B639" s="10">
        <f ca="1">ROUND(_xlfn.NORM.INV(RAND(),Reference!$C$8,0.1*Reference!$C$8)*(1+Reference!$C$11*(IF(MONTH($A639)=Reference!$C$4,1,0)+IF(MONTH($A639)=Reference!$C$5,1,0))+(IF(MONTH($A639)=Reference!$C$6,Reference!$C$13,0))),0)</f>
        <v>374</v>
      </c>
      <c r="C639" s="11">
        <f ca="1">B639*Reference!$C$7*(1-IF(MONTH($A639)=Reference!$C$6,1,0)*Reference!$C$12)</f>
        <v>347820</v>
      </c>
      <c r="D639" s="10">
        <f ca="1">ROUND(_xlfn.NORM.INV(RAND(),Reference!$D$8,0.1*Reference!$D$8)*(1+Reference!$D$11*(IF(MONTH($A639)=Reference!$D$4,1,0)+IF(MONTH($A639)=Reference!$D$5,1,0))+(IF(MONTH($A639)=Reference!$D$6,Reference!$D$13,0))),0)</f>
        <v>514</v>
      </c>
      <c r="E639" s="11">
        <f ca="1">D639*Reference!$D$7*(1-IF(MONTH($A639)=Reference!$D$6,1,0)*Reference!$D$12)</f>
        <v>366225</v>
      </c>
      <c r="M639" s="20"/>
      <c r="N639" s="20"/>
      <c r="O639" s="19"/>
      <c r="P639" s="10"/>
      <c r="Q639" s="10"/>
      <c r="R639" s="10"/>
      <c r="S639" s="10"/>
      <c r="T639" s="10"/>
      <c r="U639" s="10"/>
      <c r="V639" s="10"/>
      <c r="W639" s="10"/>
      <c r="X639" s="10"/>
      <c r="Y639" s="10"/>
    </row>
    <row r="640" spans="1:25" x14ac:dyDescent="0.25">
      <c r="A640" s="9">
        <v>41178</v>
      </c>
      <c r="B640" s="10">
        <f ca="1">ROUND(_xlfn.NORM.INV(RAND(),Reference!$C$8,0.1*Reference!$C$8)*(1+Reference!$C$11*(IF(MONTH($A640)=Reference!$C$4,1,0)+IF(MONTH($A640)=Reference!$C$5,1,0))+(IF(MONTH($A640)=Reference!$C$6,Reference!$C$13,0))),0)</f>
        <v>325</v>
      </c>
      <c r="C640" s="11">
        <f ca="1">B640*Reference!$C$7*(1-IF(MONTH($A640)=Reference!$C$6,1,0)*Reference!$C$12)</f>
        <v>302250</v>
      </c>
      <c r="D640" s="10">
        <f ca="1">ROUND(_xlfn.NORM.INV(RAND(),Reference!$D$8,0.1*Reference!$D$8)*(1+Reference!$D$11*(IF(MONTH($A640)=Reference!$D$4,1,0)+IF(MONTH($A640)=Reference!$D$5,1,0))+(IF(MONTH($A640)=Reference!$D$6,Reference!$D$13,0))),0)</f>
        <v>466</v>
      </c>
      <c r="E640" s="11">
        <f ca="1">D640*Reference!$D$7*(1-IF(MONTH($A640)=Reference!$D$6,1,0)*Reference!$D$12)</f>
        <v>332025</v>
      </c>
      <c r="M640" s="20"/>
      <c r="N640" s="20"/>
      <c r="O640" s="19"/>
      <c r="P640" s="10"/>
      <c r="Q640" s="10"/>
      <c r="R640" s="10"/>
      <c r="S640" s="10"/>
      <c r="T640" s="10"/>
      <c r="U640" s="10"/>
      <c r="V640" s="10"/>
      <c r="W640" s="10"/>
      <c r="X640" s="10"/>
      <c r="Y640" s="10"/>
    </row>
    <row r="641" spans="1:25" x14ac:dyDescent="0.25">
      <c r="A641" s="9">
        <v>41179</v>
      </c>
      <c r="B641" s="10">
        <f ca="1">ROUND(_xlfn.NORM.INV(RAND(),Reference!$C$8,0.1*Reference!$C$8)*(1+Reference!$C$11*(IF(MONTH($A641)=Reference!$C$4,1,0)+IF(MONTH($A641)=Reference!$C$5,1,0))+(IF(MONTH($A641)=Reference!$C$6,Reference!$C$13,0))),0)</f>
        <v>326</v>
      </c>
      <c r="C641" s="11">
        <f ca="1">B641*Reference!$C$7*(1-IF(MONTH($A641)=Reference!$C$6,1,0)*Reference!$C$12)</f>
        <v>303180</v>
      </c>
      <c r="D641" s="10">
        <f ca="1">ROUND(_xlfn.NORM.INV(RAND(),Reference!$D$8,0.1*Reference!$D$8)*(1+Reference!$D$11*(IF(MONTH($A641)=Reference!$D$4,1,0)+IF(MONTH($A641)=Reference!$D$5,1,0))+(IF(MONTH($A641)=Reference!$D$6,Reference!$D$13,0))),0)</f>
        <v>549</v>
      </c>
      <c r="E641" s="11">
        <f ca="1">D641*Reference!$D$7*(1-IF(MONTH($A641)=Reference!$D$6,1,0)*Reference!$D$12)</f>
        <v>391162.5</v>
      </c>
      <c r="M641" s="20"/>
      <c r="N641" s="20"/>
      <c r="O641" s="19"/>
      <c r="P641" s="10"/>
      <c r="Q641" s="10"/>
      <c r="R641" s="10"/>
      <c r="S641" s="10"/>
      <c r="T641" s="10"/>
      <c r="U641" s="10"/>
      <c r="V641" s="10"/>
      <c r="W641" s="10"/>
      <c r="X641" s="10"/>
      <c r="Y641" s="10"/>
    </row>
    <row r="642" spans="1:25" x14ac:dyDescent="0.25">
      <c r="A642" s="9">
        <v>41180</v>
      </c>
      <c r="B642" s="10">
        <f ca="1">ROUND(_xlfn.NORM.INV(RAND(),Reference!$C$8,0.1*Reference!$C$8)*(1+Reference!$C$11*(IF(MONTH($A642)=Reference!$C$4,1,0)+IF(MONTH($A642)=Reference!$C$5,1,0))+(IF(MONTH($A642)=Reference!$C$6,Reference!$C$13,0))),0)</f>
        <v>344</v>
      </c>
      <c r="C642" s="11">
        <f ca="1">B642*Reference!$C$7*(1-IF(MONTH($A642)=Reference!$C$6,1,0)*Reference!$C$12)</f>
        <v>319920</v>
      </c>
      <c r="D642" s="10">
        <f ca="1">ROUND(_xlfn.NORM.INV(RAND(),Reference!$D$8,0.1*Reference!$D$8)*(1+Reference!$D$11*(IF(MONTH($A642)=Reference!$D$4,1,0)+IF(MONTH($A642)=Reference!$D$5,1,0))+(IF(MONTH($A642)=Reference!$D$6,Reference!$D$13,0))),0)</f>
        <v>547</v>
      </c>
      <c r="E642" s="11">
        <f ca="1">D642*Reference!$D$7*(1-IF(MONTH($A642)=Reference!$D$6,1,0)*Reference!$D$12)</f>
        <v>389737.5</v>
      </c>
      <c r="M642" s="20"/>
      <c r="N642" s="20"/>
      <c r="O642" s="19"/>
      <c r="P642" s="10"/>
      <c r="Q642" s="10"/>
      <c r="R642" s="10"/>
      <c r="S642" s="10"/>
      <c r="T642" s="10"/>
      <c r="U642" s="10"/>
      <c r="V642" s="10"/>
      <c r="W642" s="10"/>
      <c r="X642" s="10"/>
      <c r="Y642" s="10"/>
    </row>
    <row r="643" spans="1:25" x14ac:dyDescent="0.25">
      <c r="A643" s="9">
        <v>41181</v>
      </c>
      <c r="B643" s="10">
        <f ca="1">ROUND(_xlfn.NORM.INV(RAND(),Reference!$C$8,0.1*Reference!$C$8)*(1+Reference!$C$11*(IF(MONTH($A643)=Reference!$C$4,1,0)+IF(MONTH($A643)=Reference!$C$5,1,0))+(IF(MONTH($A643)=Reference!$C$6,Reference!$C$13,0))),0)</f>
        <v>362</v>
      </c>
      <c r="C643" s="11">
        <f ca="1">B643*Reference!$C$7*(1-IF(MONTH($A643)=Reference!$C$6,1,0)*Reference!$C$12)</f>
        <v>336660</v>
      </c>
      <c r="D643" s="10">
        <f ca="1">ROUND(_xlfn.NORM.INV(RAND(),Reference!$D$8,0.1*Reference!$D$8)*(1+Reference!$D$11*(IF(MONTH($A643)=Reference!$D$4,1,0)+IF(MONTH($A643)=Reference!$D$5,1,0))+(IF(MONTH($A643)=Reference!$D$6,Reference!$D$13,0))),0)</f>
        <v>504</v>
      </c>
      <c r="E643" s="11">
        <f ca="1">D643*Reference!$D$7*(1-IF(MONTH($A643)=Reference!$D$6,1,0)*Reference!$D$12)</f>
        <v>359100</v>
      </c>
      <c r="M643" s="20"/>
      <c r="N643" s="20"/>
      <c r="O643" s="19"/>
      <c r="P643" s="10"/>
      <c r="Q643" s="10"/>
      <c r="R643" s="10"/>
      <c r="S643" s="10"/>
      <c r="T643" s="10"/>
      <c r="U643" s="10"/>
      <c r="V643" s="10"/>
      <c r="W643" s="10"/>
      <c r="X643" s="10"/>
      <c r="Y643" s="10"/>
    </row>
    <row r="644" spans="1:25" x14ac:dyDescent="0.25">
      <c r="A644" s="9">
        <v>41182</v>
      </c>
      <c r="B644" s="10">
        <f ca="1">ROUND(_xlfn.NORM.INV(RAND(),Reference!$C$8,0.1*Reference!$C$8)*(1+Reference!$C$11*(IF(MONTH($A644)=Reference!$C$4,1,0)+IF(MONTH($A644)=Reference!$C$5,1,0))+(IF(MONTH($A644)=Reference!$C$6,Reference!$C$13,0))),0)</f>
        <v>373</v>
      </c>
      <c r="C644" s="11">
        <f ca="1">B644*Reference!$C$7*(1-IF(MONTH($A644)=Reference!$C$6,1,0)*Reference!$C$12)</f>
        <v>346890</v>
      </c>
      <c r="D644" s="10">
        <f ca="1">ROUND(_xlfn.NORM.INV(RAND(),Reference!$D$8,0.1*Reference!$D$8)*(1+Reference!$D$11*(IF(MONTH($A644)=Reference!$D$4,1,0)+IF(MONTH($A644)=Reference!$D$5,1,0))+(IF(MONTH($A644)=Reference!$D$6,Reference!$D$13,0))),0)</f>
        <v>458</v>
      </c>
      <c r="E644" s="11">
        <f ca="1">D644*Reference!$D$7*(1-IF(MONTH($A644)=Reference!$D$6,1,0)*Reference!$D$12)</f>
        <v>326325</v>
      </c>
      <c r="M644" s="20"/>
      <c r="N644" s="20"/>
      <c r="O644" s="19"/>
      <c r="P644" s="10"/>
      <c r="Q644" s="10"/>
      <c r="R644" s="10"/>
      <c r="S644" s="10"/>
      <c r="T644" s="10"/>
      <c r="U644" s="10"/>
      <c r="V644" s="10"/>
      <c r="W644" s="10"/>
      <c r="X644" s="10"/>
      <c r="Y644" s="10"/>
    </row>
    <row r="645" spans="1:25" x14ac:dyDescent="0.25">
      <c r="A645" s="9">
        <v>41183</v>
      </c>
      <c r="B645" s="10">
        <f ca="1">ROUND(_xlfn.NORM.INV(RAND(),Reference!$C$8,0.1*Reference!$C$8)*(1+Reference!$C$11*(IF(MONTH($A645)=Reference!$C$4,1,0)+IF(MONTH($A645)=Reference!$C$5,1,0))+(IF(MONTH($A645)=Reference!$C$6,Reference!$C$13,0))),0)</f>
        <v>309</v>
      </c>
      <c r="C645" s="11">
        <f ca="1">B645*Reference!$C$7*(1-IF(MONTH($A645)=Reference!$C$6,1,0)*Reference!$C$12)</f>
        <v>287370</v>
      </c>
      <c r="D645" s="10">
        <f ca="1">ROUND(_xlfn.NORM.INV(RAND(),Reference!$D$8,0.1*Reference!$D$8)*(1+Reference!$D$11*(IF(MONTH($A645)=Reference!$D$4,1,0)+IF(MONTH($A645)=Reference!$D$5,1,0))+(IF(MONTH($A645)=Reference!$D$6,Reference!$D$13,0))),0)</f>
        <v>458</v>
      </c>
      <c r="E645" s="11">
        <f ca="1">D645*Reference!$D$7*(1-IF(MONTH($A645)=Reference!$D$6,1,0)*Reference!$D$12)</f>
        <v>343500</v>
      </c>
      <c r="M645" s="20"/>
      <c r="N645" s="20"/>
      <c r="O645" s="19"/>
      <c r="P645" s="10"/>
      <c r="Q645" s="10"/>
      <c r="R645" s="10"/>
      <c r="S645" s="10"/>
      <c r="T645" s="10"/>
      <c r="U645" s="10"/>
      <c r="V645" s="10"/>
      <c r="W645" s="10"/>
      <c r="X645" s="10"/>
      <c r="Y645" s="10"/>
    </row>
    <row r="646" spans="1:25" x14ac:dyDescent="0.25">
      <c r="A646" s="9">
        <v>41184</v>
      </c>
      <c r="B646" s="10">
        <f ca="1">ROUND(_xlfn.NORM.INV(RAND(),Reference!$C$8,0.1*Reference!$C$8)*(1+Reference!$C$11*(IF(MONTH($A646)=Reference!$C$4,1,0)+IF(MONTH($A646)=Reference!$C$5,1,0))+(IF(MONTH($A646)=Reference!$C$6,Reference!$C$13,0))),0)</f>
        <v>334</v>
      </c>
      <c r="C646" s="11">
        <f ca="1">B646*Reference!$C$7*(1-IF(MONTH($A646)=Reference!$C$6,1,0)*Reference!$C$12)</f>
        <v>310620</v>
      </c>
      <c r="D646" s="10">
        <f ca="1">ROUND(_xlfn.NORM.INV(RAND(),Reference!$D$8,0.1*Reference!$D$8)*(1+Reference!$D$11*(IF(MONTH($A646)=Reference!$D$4,1,0)+IF(MONTH($A646)=Reference!$D$5,1,0))+(IF(MONTH($A646)=Reference!$D$6,Reference!$D$13,0))),0)</f>
        <v>404</v>
      </c>
      <c r="E646" s="11">
        <f ca="1">D646*Reference!$D$7*(1-IF(MONTH($A646)=Reference!$D$6,1,0)*Reference!$D$12)</f>
        <v>303000</v>
      </c>
      <c r="M646" s="20"/>
      <c r="N646" s="20"/>
      <c r="O646" s="19"/>
      <c r="P646" s="10"/>
      <c r="Q646" s="10"/>
      <c r="R646" s="10"/>
      <c r="S646" s="10"/>
      <c r="T646" s="10"/>
      <c r="U646" s="10"/>
      <c r="V646" s="10"/>
      <c r="W646" s="10"/>
      <c r="X646" s="10"/>
      <c r="Y646" s="10"/>
    </row>
    <row r="647" spans="1:25" x14ac:dyDescent="0.25">
      <c r="A647" s="9">
        <v>41185</v>
      </c>
      <c r="B647" s="10">
        <f ca="1">ROUND(_xlfn.NORM.INV(RAND(),Reference!$C$8,0.1*Reference!$C$8)*(1+Reference!$C$11*(IF(MONTH($A647)=Reference!$C$4,1,0)+IF(MONTH($A647)=Reference!$C$5,1,0))+(IF(MONTH($A647)=Reference!$C$6,Reference!$C$13,0))),0)</f>
        <v>350</v>
      </c>
      <c r="C647" s="11">
        <f ca="1">B647*Reference!$C$7*(1-IF(MONTH($A647)=Reference!$C$6,1,0)*Reference!$C$12)</f>
        <v>325500</v>
      </c>
      <c r="D647" s="10">
        <f ca="1">ROUND(_xlfn.NORM.INV(RAND(),Reference!$D$8,0.1*Reference!$D$8)*(1+Reference!$D$11*(IF(MONTH($A647)=Reference!$D$4,1,0)+IF(MONTH($A647)=Reference!$D$5,1,0))+(IF(MONTH($A647)=Reference!$D$6,Reference!$D$13,0))),0)</f>
        <v>410</v>
      </c>
      <c r="E647" s="11">
        <f ca="1">D647*Reference!$D$7*(1-IF(MONTH($A647)=Reference!$D$6,1,0)*Reference!$D$12)</f>
        <v>307500</v>
      </c>
      <c r="M647" s="20"/>
      <c r="N647" s="20"/>
      <c r="O647" s="19"/>
      <c r="P647" s="10"/>
      <c r="Q647" s="10"/>
      <c r="R647" s="10"/>
      <c r="S647" s="10"/>
      <c r="T647" s="10"/>
      <c r="U647" s="10"/>
      <c r="V647" s="10"/>
      <c r="W647" s="10"/>
      <c r="X647" s="10"/>
      <c r="Y647" s="10"/>
    </row>
    <row r="648" spans="1:25" x14ac:dyDescent="0.25">
      <c r="A648" s="9">
        <v>41186</v>
      </c>
      <c r="B648" s="10">
        <f ca="1">ROUND(_xlfn.NORM.INV(RAND(),Reference!$C$8,0.1*Reference!$C$8)*(1+Reference!$C$11*(IF(MONTH($A648)=Reference!$C$4,1,0)+IF(MONTH($A648)=Reference!$C$5,1,0))+(IF(MONTH($A648)=Reference!$C$6,Reference!$C$13,0))),0)</f>
        <v>323</v>
      </c>
      <c r="C648" s="11">
        <f ca="1">B648*Reference!$C$7*(1-IF(MONTH($A648)=Reference!$C$6,1,0)*Reference!$C$12)</f>
        <v>300390</v>
      </c>
      <c r="D648" s="10">
        <f ca="1">ROUND(_xlfn.NORM.INV(RAND(),Reference!$D$8,0.1*Reference!$D$8)*(1+Reference!$D$11*(IF(MONTH($A648)=Reference!$D$4,1,0)+IF(MONTH($A648)=Reference!$D$5,1,0))+(IF(MONTH($A648)=Reference!$D$6,Reference!$D$13,0))),0)</f>
        <v>445</v>
      </c>
      <c r="E648" s="11">
        <f ca="1">D648*Reference!$D$7*(1-IF(MONTH($A648)=Reference!$D$6,1,0)*Reference!$D$12)</f>
        <v>333750</v>
      </c>
      <c r="M648" s="20"/>
      <c r="N648" s="20"/>
      <c r="O648" s="19"/>
      <c r="P648" s="10"/>
      <c r="Q648" s="10"/>
      <c r="R648" s="10"/>
      <c r="S648" s="10"/>
      <c r="T648" s="10"/>
      <c r="U648" s="10"/>
      <c r="V648" s="10"/>
      <c r="W648" s="10"/>
      <c r="X648" s="10"/>
      <c r="Y648" s="10"/>
    </row>
    <row r="649" spans="1:25" x14ac:dyDescent="0.25">
      <c r="A649" s="9">
        <v>41187</v>
      </c>
      <c r="B649" s="10">
        <f ca="1">ROUND(_xlfn.NORM.INV(RAND(),Reference!$C$8,0.1*Reference!$C$8)*(1+Reference!$C$11*(IF(MONTH($A649)=Reference!$C$4,1,0)+IF(MONTH($A649)=Reference!$C$5,1,0))+(IF(MONTH($A649)=Reference!$C$6,Reference!$C$13,0))),0)</f>
        <v>414</v>
      </c>
      <c r="C649" s="11">
        <f ca="1">B649*Reference!$C$7*(1-IF(MONTH($A649)=Reference!$C$6,1,0)*Reference!$C$12)</f>
        <v>385020</v>
      </c>
      <c r="D649" s="10">
        <f ca="1">ROUND(_xlfn.NORM.INV(RAND(),Reference!$D$8,0.1*Reference!$D$8)*(1+Reference!$D$11*(IF(MONTH($A649)=Reference!$D$4,1,0)+IF(MONTH($A649)=Reference!$D$5,1,0))+(IF(MONTH($A649)=Reference!$D$6,Reference!$D$13,0))),0)</f>
        <v>481</v>
      </c>
      <c r="E649" s="11">
        <f ca="1">D649*Reference!$D$7*(1-IF(MONTH($A649)=Reference!$D$6,1,0)*Reference!$D$12)</f>
        <v>360750</v>
      </c>
      <c r="M649" s="20"/>
      <c r="N649" s="20"/>
      <c r="O649" s="19"/>
      <c r="P649" s="10"/>
      <c r="Q649" s="10"/>
      <c r="R649" s="10"/>
      <c r="S649" s="10"/>
      <c r="T649" s="10"/>
      <c r="U649" s="10"/>
      <c r="V649" s="10"/>
      <c r="W649" s="10"/>
      <c r="X649" s="10"/>
      <c r="Y649" s="10"/>
    </row>
    <row r="650" spans="1:25" x14ac:dyDescent="0.25">
      <c r="A650" s="9">
        <v>41188</v>
      </c>
      <c r="B650" s="10">
        <f ca="1">ROUND(_xlfn.NORM.INV(RAND(),Reference!$C$8,0.1*Reference!$C$8)*(1+Reference!$C$11*(IF(MONTH($A650)=Reference!$C$4,1,0)+IF(MONTH($A650)=Reference!$C$5,1,0))+(IF(MONTH($A650)=Reference!$C$6,Reference!$C$13,0))),0)</f>
        <v>429</v>
      </c>
      <c r="C650" s="11">
        <f ca="1">B650*Reference!$C$7*(1-IF(MONTH($A650)=Reference!$C$6,1,0)*Reference!$C$12)</f>
        <v>398970</v>
      </c>
      <c r="D650" s="10">
        <f ca="1">ROUND(_xlfn.NORM.INV(RAND(),Reference!$D$8,0.1*Reference!$D$8)*(1+Reference!$D$11*(IF(MONTH($A650)=Reference!$D$4,1,0)+IF(MONTH($A650)=Reference!$D$5,1,0))+(IF(MONTH($A650)=Reference!$D$6,Reference!$D$13,0))),0)</f>
        <v>515</v>
      </c>
      <c r="E650" s="11">
        <f ca="1">D650*Reference!$D$7*(1-IF(MONTH($A650)=Reference!$D$6,1,0)*Reference!$D$12)</f>
        <v>386250</v>
      </c>
      <c r="M650" s="20"/>
      <c r="N650" s="20"/>
      <c r="O650" s="19"/>
      <c r="P650" s="10"/>
      <c r="Q650" s="10"/>
      <c r="R650" s="10"/>
      <c r="S650" s="10"/>
      <c r="T650" s="10"/>
      <c r="U650" s="10"/>
      <c r="V650" s="10"/>
      <c r="W650" s="10"/>
      <c r="X650" s="10"/>
      <c r="Y650" s="10"/>
    </row>
    <row r="651" spans="1:25" x14ac:dyDescent="0.25">
      <c r="A651" s="9">
        <v>41189</v>
      </c>
      <c r="B651" s="10">
        <f ca="1">ROUND(_xlfn.NORM.INV(RAND(),Reference!$C$8,0.1*Reference!$C$8)*(1+Reference!$C$11*(IF(MONTH($A651)=Reference!$C$4,1,0)+IF(MONTH($A651)=Reference!$C$5,1,0))+(IF(MONTH($A651)=Reference!$C$6,Reference!$C$13,0))),0)</f>
        <v>341</v>
      </c>
      <c r="C651" s="11">
        <f ca="1">B651*Reference!$C$7*(1-IF(MONTH($A651)=Reference!$C$6,1,0)*Reference!$C$12)</f>
        <v>317130</v>
      </c>
      <c r="D651" s="10">
        <f ca="1">ROUND(_xlfn.NORM.INV(RAND(),Reference!$D$8,0.1*Reference!$D$8)*(1+Reference!$D$11*(IF(MONTH($A651)=Reference!$D$4,1,0)+IF(MONTH($A651)=Reference!$D$5,1,0))+(IF(MONTH($A651)=Reference!$D$6,Reference!$D$13,0))),0)</f>
        <v>406</v>
      </c>
      <c r="E651" s="11">
        <f ca="1">D651*Reference!$D$7*(1-IF(MONTH($A651)=Reference!$D$6,1,0)*Reference!$D$12)</f>
        <v>304500</v>
      </c>
      <c r="M651" s="20"/>
      <c r="N651" s="20"/>
      <c r="O651" s="19"/>
      <c r="P651" s="10"/>
      <c r="Q651" s="10"/>
      <c r="R651" s="10"/>
      <c r="S651" s="10"/>
      <c r="T651" s="10"/>
      <c r="U651" s="10"/>
      <c r="V651" s="10"/>
      <c r="W651" s="10"/>
      <c r="X651" s="10"/>
      <c r="Y651" s="10"/>
    </row>
    <row r="652" spans="1:25" x14ac:dyDescent="0.25">
      <c r="A652" s="9">
        <v>41190</v>
      </c>
      <c r="B652" s="10">
        <f ca="1">ROUND(_xlfn.NORM.INV(RAND(),Reference!$C$8,0.1*Reference!$C$8)*(1+Reference!$C$11*(IF(MONTH($A652)=Reference!$C$4,1,0)+IF(MONTH($A652)=Reference!$C$5,1,0))+(IF(MONTH($A652)=Reference!$C$6,Reference!$C$13,0))),0)</f>
        <v>312</v>
      </c>
      <c r="C652" s="11">
        <f ca="1">B652*Reference!$C$7*(1-IF(MONTH($A652)=Reference!$C$6,1,0)*Reference!$C$12)</f>
        <v>290160</v>
      </c>
      <c r="D652" s="10">
        <f ca="1">ROUND(_xlfn.NORM.INV(RAND(),Reference!$D$8,0.1*Reference!$D$8)*(1+Reference!$D$11*(IF(MONTH($A652)=Reference!$D$4,1,0)+IF(MONTH($A652)=Reference!$D$5,1,0))+(IF(MONTH($A652)=Reference!$D$6,Reference!$D$13,0))),0)</f>
        <v>346</v>
      </c>
      <c r="E652" s="11">
        <f ca="1">D652*Reference!$D$7*(1-IF(MONTH($A652)=Reference!$D$6,1,0)*Reference!$D$12)</f>
        <v>259500</v>
      </c>
      <c r="M652" s="20"/>
      <c r="N652" s="20"/>
      <c r="O652" s="19"/>
      <c r="P652" s="10"/>
      <c r="Q652" s="10"/>
      <c r="R652" s="10"/>
      <c r="S652" s="10"/>
      <c r="T652" s="10"/>
      <c r="U652" s="10"/>
      <c r="V652" s="10"/>
      <c r="W652" s="10"/>
      <c r="X652" s="10"/>
      <c r="Y652" s="10"/>
    </row>
    <row r="653" spans="1:25" x14ac:dyDescent="0.25">
      <c r="A653" s="9">
        <v>41191</v>
      </c>
      <c r="B653" s="10">
        <f ca="1">ROUND(_xlfn.NORM.INV(RAND(),Reference!$C$8,0.1*Reference!$C$8)*(1+Reference!$C$11*(IF(MONTH($A653)=Reference!$C$4,1,0)+IF(MONTH($A653)=Reference!$C$5,1,0))+(IF(MONTH($A653)=Reference!$C$6,Reference!$C$13,0))),0)</f>
        <v>286</v>
      </c>
      <c r="C653" s="11">
        <f ca="1">B653*Reference!$C$7*(1-IF(MONTH($A653)=Reference!$C$6,1,0)*Reference!$C$12)</f>
        <v>265980</v>
      </c>
      <c r="D653" s="10">
        <f ca="1">ROUND(_xlfn.NORM.INV(RAND(),Reference!$D$8,0.1*Reference!$D$8)*(1+Reference!$D$11*(IF(MONTH($A653)=Reference!$D$4,1,0)+IF(MONTH($A653)=Reference!$D$5,1,0))+(IF(MONTH($A653)=Reference!$D$6,Reference!$D$13,0))),0)</f>
        <v>476</v>
      </c>
      <c r="E653" s="11">
        <f ca="1">D653*Reference!$D$7*(1-IF(MONTH($A653)=Reference!$D$6,1,0)*Reference!$D$12)</f>
        <v>357000</v>
      </c>
      <c r="M653" s="20"/>
      <c r="N653" s="20"/>
      <c r="O653" s="19"/>
      <c r="P653" s="10"/>
      <c r="Q653" s="10"/>
      <c r="R653" s="10"/>
      <c r="S653" s="10"/>
      <c r="T653" s="10"/>
      <c r="U653" s="10"/>
      <c r="V653" s="10"/>
      <c r="W653" s="10"/>
      <c r="X653" s="10"/>
      <c r="Y653" s="10"/>
    </row>
    <row r="654" spans="1:25" x14ac:dyDescent="0.25">
      <c r="A654" s="9">
        <v>41192</v>
      </c>
      <c r="B654" s="10">
        <f ca="1">ROUND(_xlfn.NORM.INV(RAND(),Reference!$C$8,0.1*Reference!$C$8)*(1+Reference!$C$11*(IF(MONTH($A654)=Reference!$C$4,1,0)+IF(MONTH($A654)=Reference!$C$5,1,0))+(IF(MONTH($A654)=Reference!$C$6,Reference!$C$13,0))),0)</f>
        <v>345</v>
      </c>
      <c r="C654" s="11">
        <f ca="1">B654*Reference!$C$7*(1-IF(MONTH($A654)=Reference!$C$6,1,0)*Reference!$C$12)</f>
        <v>320850</v>
      </c>
      <c r="D654" s="10">
        <f ca="1">ROUND(_xlfn.NORM.INV(RAND(),Reference!$D$8,0.1*Reference!$D$8)*(1+Reference!$D$11*(IF(MONTH($A654)=Reference!$D$4,1,0)+IF(MONTH($A654)=Reference!$D$5,1,0))+(IF(MONTH($A654)=Reference!$D$6,Reference!$D$13,0))),0)</f>
        <v>478</v>
      </c>
      <c r="E654" s="11">
        <f ca="1">D654*Reference!$D$7*(1-IF(MONTH($A654)=Reference!$D$6,1,0)*Reference!$D$12)</f>
        <v>358500</v>
      </c>
      <c r="M654" s="20"/>
      <c r="N654" s="20"/>
      <c r="O654" s="19"/>
      <c r="P654" s="10"/>
      <c r="Q654" s="10"/>
      <c r="R654" s="10"/>
      <c r="S654" s="10"/>
      <c r="T654" s="10"/>
      <c r="U654" s="10"/>
      <c r="V654" s="10"/>
      <c r="W654" s="10"/>
      <c r="X654" s="10"/>
      <c r="Y654" s="10"/>
    </row>
    <row r="655" spans="1:25" x14ac:dyDescent="0.25">
      <c r="A655" s="9">
        <v>41193</v>
      </c>
      <c r="B655" s="10">
        <f ca="1">ROUND(_xlfn.NORM.INV(RAND(),Reference!$C$8,0.1*Reference!$C$8)*(1+Reference!$C$11*(IF(MONTH($A655)=Reference!$C$4,1,0)+IF(MONTH($A655)=Reference!$C$5,1,0))+(IF(MONTH($A655)=Reference!$C$6,Reference!$C$13,0))),0)</f>
        <v>400</v>
      </c>
      <c r="C655" s="11">
        <f ca="1">B655*Reference!$C$7*(1-IF(MONTH($A655)=Reference!$C$6,1,0)*Reference!$C$12)</f>
        <v>372000</v>
      </c>
      <c r="D655" s="10">
        <f ca="1">ROUND(_xlfn.NORM.INV(RAND(),Reference!$D$8,0.1*Reference!$D$8)*(1+Reference!$D$11*(IF(MONTH($A655)=Reference!$D$4,1,0)+IF(MONTH($A655)=Reference!$D$5,1,0))+(IF(MONTH($A655)=Reference!$D$6,Reference!$D$13,0))),0)</f>
        <v>437</v>
      </c>
      <c r="E655" s="11">
        <f ca="1">D655*Reference!$D$7*(1-IF(MONTH($A655)=Reference!$D$6,1,0)*Reference!$D$12)</f>
        <v>327750</v>
      </c>
      <c r="M655" s="20"/>
      <c r="N655" s="20"/>
      <c r="O655" s="19"/>
      <c r="P655" s="10"/>
      <c r="Q655" s="10"/>
      <c r="R655" s="10"/>
      <c r="S655" s="10"/>
      <c r="T655" s="10"/>
      <c r="U655" s="10"/>
      <c r="V655" s="10"/>
      <c r="W655" s="10"/>
      <c r="X655" s="10"/>
      <c r="Y655" s="10"/>
    </row>
    <row r="656" spans="1:25" x14ac:dyDescent="0.25">
      <c r="A656" s="9">
        <v>41194</v>
      </c>
      <c r="B656" s="10">
        <f ca="1">ROUND(_xlfn.NORM.INV(RAND(),Reference!$C$8,0.1*Reference!$C$8)*(1+Reference!$C$11*(IF(MONTH($A656)=Reference!$C$4,1,0)+IF(MONTH($A656)=Reference!$C$5,1,0))+(IF(MONTH($A656)=Reference!$C$6,Reference!$C$13,0))),0)</f>
        <v>317</v>
      </c>
      <c r="C656" s="11">
        <f ca="1">B656*Reference!$C$7*(1-IF(MONTH($A656)=Reference!$C$6,1,0)*Reference!$C$12)</f>
        <v>294810</v>
      </c>
      <c r="D656" s="10">
        <f ca="1">ROUND(_xlfn.NORM.INV(RAND(),Reference!$D$8,0.1*Reference!$D$8)*(1+Reference!$D$11*(IF(MONTH($A656)=Reference!$D$4,1,0)+IF(MONTH($A656)=Reference!$D$5,1,0))+(IF(MONTH($A656)=Reference!$D$6,Reference!$D$13,0))),0)</f>
        <v>479</v>
      </c>
      <c r="E656" s="11">
        <f ca="1">D656*Reference!$D$7*(1-IF(MONTH($A656)=Reference!$D$6,1,0)*Reference!$D$12)</f>
        <v>359250</v>
      </c>
      <c r="M656" s="20"/>
      <c r="N656" s="20"/>
      <c r="O656" s="19"/>
      <c r="P656" s="10"/>
      <c r="Q656" s="10"/>
      <c r="R656" s="10"/>
      <c r="S656" s="10"/>
      <c r="T656" s="10"/>
      <c r="U656" s="10"/>
      <c r="V656" s="10"/>
      <c r="W656" s="10"/>
      <c r="X656" s="10"/>
      <c r="Y656" s="10"/>
    </row>
    <row r="657" spans="1:25" x14ac:dyDescent="0.25">
      <c r="A657" s="9">
        <v>41195</v>
      </c>
      <c r="B657" s="10">
        <f ca="1">ROUND(_xlfn.NORM.INV(RAND(),Reference!$C$8,0.1*Reference!$C$8)*(1+Reference!$C$11*(IF(MONTH($A657)=Reference!$C$4,1,0)+IF(MONTH($A657)=Reference!$C$5,1,0))+(IF(MONTH($A657)=Reference!$C$6,Reference!$C$13,0))),0)</f>
        <v>368</v>
      </c>
      <c r="C657" s="11">
        <f ca="1">B657*Reference!$C$7*(1-IF(MONTH($A657)=Reference!$C$6,1,0)*Reference!$C$12)</f>
        <v>342240</v>
      </c>
      <c r="D657" s="10">
        <f ca="1">ROUND(_xlfn.NORM.INV(RAND(),Reference!$D$8,0.1*Reference!$D$8)*(1+Reference!$D$11*(IF(MONTH($A657)=Reference!$D$4,1,0)+IF(MONTH($A657)=Reference!$D$5,1,0))+(IF(MONTH($A657)=Reference!$D$6,Reference!$D$13,0))),0)</f>
        <v>374</v>
      </c>
      <c r="E657" s="11">
        <f ca="1">D657*Reference!$D$7*(1-IF(MONTH($A657)=Reference!$D$6,1,0)*Reference!$D$12)</f>
        <v>280500</v>
      </c>
      <c r="M657" s="20"/>
      <c r="N657" s="20"/>
      <c r="O657" s="19"/>
      <c r="P657" s="10"/>
      <c r="Q657" s="10"/>
      <c r="R657" s="10"/>
      <c r="S657" s="10"/>
      <c r="T657" s="10"/>
      <c r="U657" s="10"/>
      <c r="V657" s="10"/>
      <c r="W657" s="10"/>
      <c r="X657" s="10"/>
      <c r="Y657" s="10"/>
    </row>
    <row r="658" spans="1:25" x14ac:dyDescent="0.25">
      <c r="A658" s="9">
        <v>41196</v>
      </c>
      <c r="B658" s="10">
        <f ca="1">ROUND(_xlfn.NORM.INV(RAND(),Reference!$C$8,0.1*Reference!$C$8)*(1+Reference!$C$11*(IF(MONTH($A658)=Reference!$C$4,1,0)+IF(MONTH($A658)=Reference!$C$5,1,0))+(IF(MONTH($A658)=Reference!$C$6,Reference!$C$13,0))),0)</f>
        <v>340</v>
      </c>
      <c r="C658" s="11">
        <f ca="1">B658*Reference!$C$7*(1-IF(MONTH($A658)=Reference!$C$6,1,0)*Reference!$C$12)</f>
        <v>316200</v>
      </c>
      <c r="D658" s="10">
        <f ca="1">ROUND(_xlfn.NORM.INV(RAND(),Reference!$D$8,0.1*Reference!$D$8)*(1+Reference!$D$11*(IF(MONTH($A658)=Reference!$D$4,1,0)+IF(MONTH($A658)=Reference!$D$5,1,0))+(IF(MONTH($A658)=Reference!$D$6,Reference!$D$13,0))),0)</f>
        <v>329</v>
      </c>
      <c r="E658" s="11">
        <f ca="1">D658*Reference!$D$7*(1-IF(MONTH($A658)=Reference!$D$6,1,0)*Reference!$D$12)</f>
        <v>246750</v>
      </c>
      <c r="M658" s="20"/>
      <c r="N658" s="20"/>
      <c r="O658" s="19"/>
      <c r="P658" s="10"/>
      <c r="Q658" s="10"/>
      <c r="R658" s="10"/>
      <c r="S658" s="10"/>
      <c r="T658" s="10"/>
      <c r="U658" s="10"/>
      <c r="V658" s="10"/>
      <c r="W658" s="10"/>
      <c r="X658" s="10"/>
      <c r="Y658" s="10"/>
    </row>
    <row r="659" spans="1:25" x14ac:dyDescent="0.25">
      <c r="A659" s="9">
        <v>41197</v>
      </c>
      <c r="B659" s="10">
        <f ca="1">ROUND(_xlfn.NORM.INV(RAND(),Reference!$C$8,0.1*Reference!$C$8)*(1+Reference!$C$11*(IF(MONTH($A659)=Reference!$C$4,1,0)+IF(MONTH($A659)=Reference!$C$5,1,0))+(IF(MONTH($A659)=Reference!$C$6,Reference!$C$13,0))),0)</f>
        <v>350</v>
      </c>
      <c r="C659" s="11">
        <f ca="1">B659*Reference!$C$7*(1-IF(MONTH($A659)=Reference!$C$6,1,0)*Reference!$C$12)</f>
        <v>325500</v>
      </c>
      <c r="D659" s="10">
        <f ca="1">ROUND(_xlfn.NORM.INV(RAND(),Reference!$D$8,0.1*Reference!$D$8)*(1+Reference!$D$11*(IF(MONTH($A659)=Reference!$D$4,1,0)+IF(MONTH($A659)=Reference!$D$5,1,0))+(IF(MONTH($A659)=Reference!$D$6,Reference!$D$13,0))),0)</f>
        <v>552</v>
      </c>
      <c r="E659" s="11">
        <f ca="1">D659*Reference!$D$7*(1-IF(MONTH($A659)=Reference!$D$6,1,0)*Reference!$D$12)</f>
        <v>414000</v>
      </c>
      <c r="M659" s="20"/>
      <c r="N659" s="20"/>
      <c r="O659" s="19"/>
      <c r="P659" s="10"/>
      <c r="Q659" s="10"/>
      <c r="R659" s="10"/>
      <c r="S659" s="10"/>
      <c r="T659" s="10"/>
      <c r="U659" s="10"/>
      <c r="V659" s="10"/>
      <c r="W659" s="10"/>
      <c r="X659" s="10"/>
      <c r="Y659" s="10"/>
    </row>
    <row r="660" spans="1:25" x14ac:dyDescent="0.25">
      <c r="A660" s="9">
        <v>41198</v>
      </c>
      <c r="B660" s="10">
        <f ca="1">ROUND(_xlfn.NORM.INV(RAND(),Reference!$C$8,0.1*Reference!$C$8)*(1+Reference!$C$11*(IF(MONTH($A660)=Reference!$C$4,1,0)+IF(MONTH($A660)=Reference!$C$5,1,0))+(IF(MONTH($A660)=Reference!$C$6,Reference!$C$13,0))),0)</f>
        <v>377</v>
      </c>
      <c r="C660" s="11">
        <f ca="1">B660*Reference!$C$7*(1-IF(MONTH($A660)=Reference!$C$6,1,0)*Reference!$C$12)</f>
        <v>350610</v>
      </c>
      <c r="D660" s="10">
        <f ca="1">ROUND(_xlfn.NORM.INV(RAND(),Reference!$D$8,0.1*Reference!$D$8)*(1+Reference!$D$11*(IF(MONTH($A660)=Reference!$D$4,1,0)+IF(MONTH($A660)=Reference!$D$5,1,0))+(IF(MONTH($A660)=Reference!$D$6,Reference!$D$13,0))),0)</f>
        <v>471</v>
      </c>
      <c r="E660" s="11">
        <f ca="1">D660*Reference!$D$7*(1-IF(MONTH($A660)=Reference!$D$6,1,0)*Reference!$D$12)</f>
        <v>353250</v>
      </c>
      <c r="M660" s="20"/>
      <c r="N660" s="20"/>
      <c r="O660" s="19"/>
      <c r="P660" s="10"/>
      <c r="Q660" s="10"/>
      <c r="R660" s="10"/>
      <c r="S660" s="10"/>
      <c r="T660" s="10"/>
      <c r="U660" s="10"/>
      <c r="V660" s="10"/>
      <c r="W660" s="10"/>
      <c r="X660" s="10"/>
      <c r="Y660" s="10"/>
    </row>
    <row r="661" spans="1:25" x14ac:dyDescent="0.25">
      <c r="A661" s="9">
        <v>41199</v>
      </c>
      <c r="B661" s="10">
        <f ca="1">ROUND(_xlfn.NORM.INV(RAND(),Reference!$C$8,0.1*Reference!$C$8)*(1+Reference!$C$11*(IF(MONTH($A661)=Reference!$C$4,1,0)+IF(MONTH($A661)=Reference!$C$5,1,0))+(IF(MONTH($A661)=Reference!$C$6,Reference!$C$13,0))),0)</f>
        <v>351</v>
      </c>
      <c r="C661" s="11">
        <f ca="1">B661*Reference!$C$7*(1-IF(MONTH($A661)=Reference!$C$6,1,0)*Reference!$C$12)</f>
        <v>326430</v>
      </c>
      <c r="D661" s="10">
        <f ca="1">ROUND(_xlfn.NORM.INV(RAND(),Reference!$D$8,0.1*Reference!$D$8)*(1+Reference!$D$11*(IF(MONTH($A661)=Reference!$D$4,1,0)+IF(MONTH($A661)=Reference!$D$5,1,0))+(IF(MONTH($A661)=Reference!$D$6,Reference!$D$13,0))),0)</f>
        <v>432</v>
      </c>
      <c r="E661" s="11">
        <f ca="1">D661*Reference!$D$7*(1-IF(MONTH($A661)=Reference!$D$6,1,0)*Reference!$D$12)</f>
        <v>324000</v>
      </c>
      <c r="M661" s="20"/>
      <c r="N661" s="20"/>
      <c r="O661" s="19"/>
      <c r="P661" s="10"/>
      <c r="Q661" s="10"/>
      <c r="R661" s="10"/>
      <c r="S661" s="10"/>
      <c r="T661" s="10"/>
      <c r="U661" s="10"/>
      <c r="V661" s="10"/>
      <c r="W661" s="10"/>
      <c r="X661" s="10"/>
      <c r="Y661" s="10"/>
    </row>
    <row r="662" spans="1:25" x14ac:dyDescent="0.25">
      <c r="A662" s="9">
        <v>41200</v>
      </c>
      <c r="B662" s="10">
        <f ca="1">ROUND(_xlfn.NORM.INV(RAND(),Reference!$C$8,0.1*Reference!$C$8)*(1+Reference!$C$11*(IF(MONTH($A662)=Reference!$C$4,1,0)+IF(MONTH($A662)=Reference!$C$5,1,0))+(IF(MONTH($A662)=Reference!$C$6,Reference!$C$13,0))),0)</f>
        <v>359</v>
      </c>
      <c r="C662" s="11">
        <f ca="1">B662*Reference!$C$7*(1-IF(MONTH($A662)=Reference!$C$6,1,0)*Reference!$C$12)</f>
        <v>333870</v>
      </c>
      <c r="D662" s="10">
        <f ca="1">ROUND(_xlfn.NORM.INV(RAND(),Reference!$D$8,0.1*Reference!$D$8)*(1+Reference!$D$11*(IF(MONTH($A662)=Reference!$D$4,1,0)+IF(MONTH($A662)=Reference!$D$5,1,0))+(IF(MONTH($A662)=Reference!$D$6,Reference!$D$13,0))),0)</f>
        <v>427</v>
      </c>
      <c r="E662" s="11">
        <f ca="1">D662*Reference!$D$7*(1-IF(MONTH($A662)=Reference!$D$6,1,0)*Reference!$D$12)</f>
        <v>320250</v>
      </c>
      <c r="M662" s="20"/>
      <c r="N662" s="20"/>
      <c r="O662" s="19"/>
      <c r="P662" s="10"/>
      <c r="Q662" s="10"/>
      <c r="R662" s="10"/>
      <c r="S662" s="10"/>
      <c r="T662" s="10"/>
      <c r="U662" s="10"/>
      <c r="V662" s="10"/>
      <c r="W662" s="10"/>
      <c r="X662" s="10"/>
      <c r="Y662" s="10"/>
    </row>
    <row r="663" spans="1:25" x14ac:dyDescent="0.25">
      <c r="A663" s="9">
        <v>41201</v>
      </c>
      <c r="B663" s="10">
        <f ca="1">ROUND(_xlfn.NORM.INV(RAND(),Reference!$C$8,0.1*Reference!$C$8)*(1+Reference!$C$11*(IF(MONTH($A663)=Reference!$C$4,1,0)+IF(MONTH($A663)=Reference!$C$5,1,0))+(IF(MONTH($A663)=Reference!$C$6,Reference!$C$13,0))),0)</f>
        <v>349</v>
      </c>
      <c r="C663" s="11">
        <f ca="1">B663*Reference!$C$7*(1-IF(MONTH($A663)=Reference!$C$6,1,0)*Reference!$C$12)</f>
        <v>324570</v>
      </c>
      <c r="D663" s="10">
        <f ca="1">ROUND(_xlfn.NORM.INV(RAND(),Reference!$D$8,0.1*Reference!$D$8)*(1+Reference!$D$11*(IF(MONTH($A663)=Reference!$D$4,1,0)+IF(MONTH($A663)=Reference!$D$5,1,0))+(IF(MONTH($A663)=Reference!$D$6,Reference!$D$13,0))),0)</f>
        <v>431</v>
      </c>
      <c r="E663" s="11">
        <f ca="1">D663*Reference!$D$7*(1-IF(MONTH($A663)=Reference!$D$6,1,0)*Reference!$D$12)</f>
        <v>323250</v>
      </c>
      <c r="M663" s="20"/>
      <c r="N663" s="20"/>
      <c r="O663" s="19"/>
      <c r="P663" s="10"/>
      <c r="Q663" s="10"/>
      <c r="R663" s="10"/>
      <c r="S663" s="10"/>
      <c r="T663" s="10"/>
      <c r="U663" s="10"/>
      <c r="V663" s="10"/>
      <c r="W663" s="10"/>
      <c r="X663" s="10"/>
      <c r="Y663" s="10"/>
    </row>
    <row r="664" spans="1:25" x14ac:dyDescent="0.25">
      <c r="A664" s="9">
        <v>41202</v>
      </c>
      <c r="B664" s="10">
        <f ca="1">ROUND(_xlfn.NORM.INV(RAND(),Reference!$C$8,0.1*Reference!$C$8)*(1+Reference!$C$11*(IF(MONTH($A664)=Reference!$C$4,1,0)+IF(MONTH($A664)=Reference!$C$5,1,0))+(IF(MONTH($A664)=Reference!$C$6,Reference!$C$13,0))),0)</f>
        <v>321</v>
      </c>
      <c r="C664" s="11">
        <f ca="1">B664*Reference!$C$7*(1-IF(MONTH($A664)=Reference!$C$6,1,0)*Reference!$C$12)</f>
        <v>298530</v>
      </c>
      <c r="D664" s="10">
        <f ca="1">ROUND(_xlfn.NORM.INV(RAND(),Reference!$D$8,0.1*Reference!$D$8)*(1+Reference!$D$11*(IF(MONTH($A664)=Reference!$D$4,1,0)+IF(MONTH($A664)=Reference!$D$5,1,0))+(IF(MONTH($A664)=Reference!$D$6,Reference!$D$13,0))),0)</f>
        <v>497</v>
      </c>
      <c r="E664" s="11">
        <f ca="1">D664*Reference!$D$7*(1-IF(MONTH($A664)=Reference!$D$6,1,0)*Reference!$D$12)</f>
        <v>372750</v>
      </c>
      <c r="M664" s="20"/>
      <c r="N664" s="20"/>
      <c r="O664" s="19"/>
      <c r="P664" s="10"/>
      <c r="Q664" s="10"/>
      <c r="R664" s="10"/>
      <c r="S664" s="10"/>
      <c r="T664" s="10"/>
      <c r="U664" s="10"/>
      <c r="V664" s="10"/>
      <c r="W664" s="10"/>
      <c r="X664" s="10"/>
      <c r="Y664" s="10"/>
    </row>
    <row r="665" spans="1:25" x14ac:dyDescent="0.25">
      <c r="A665" s="9">
        <v>41203</v>
      </c>
      <c r="B665" s="10">
        <f ca="1">ROUND(_xlfn.NORM.INV(RAND(),Reference!$C$8,0.1*Reference!$C$8)*(1+Reference!$C$11*(IF(MONTH($A665)=Reference!$C$4,1,0)+IF(MONTH($A665)=Reference!$C$5,1,0))+(IF(MONTH($A665)=Reference!$C$6,Reference!$C$13,0))),0)</f>
        <v>334</v>
      </c>
      <c r="C665" s="11">
        <f ca="1">B665*Reference!$C$7*(1-IF(MONTH($A665)=Reference!$C$6,1,0)*Reference!$C$12)</f>
        <v>310620</v>
      </c>
      <c r="D665" s="10">
        <f ca="1">ROUND(_xlfn.NORM.INV(RAND(),Reference!$D$8,0.1*Reference!$D$8)*(1+Reference!$D$11*(IF(MONTH($A665)=Reference!$D$4,1,0)+IF(MONTH($A665)=Reference!$D$5,1,0))+(IF(MONTH($A665)=Reference!$D$6,Reference!$D$13,0))),0)</f>
        <v>377</v>
      </c>
      <c r="E665" s="11">
        <f ca="1">D665*Reference!$D$7*(1-IF(MONTH($A665)=Reference!$D$6,1,0)*Reference!$D$12)</f>
        <v>282750</v>
      </c>
      <c r="M665" s="20"/>
      <c r="N665" s="20"/>
      <c r="O665" s="19"/>
      <c r="P665" s="10"/>
      <c r="Q665" s="10"/>
      <c r="R665" s="10"/>
      <c r="S665" s="10"/>
      <c r="T665" s="10"/>
      <c r="U665" s="10"/>
      <c r="V665" s="10"/>
      <c r="W665" s="10"/>
      <c r="X665" s="10"/>
      <c r="Y665" s="10"/>
    </row>
    <row r="666" spans="1:25" x14ac:dyDescent="0.25">
      <c r="A666" s="9">
        <v>41204</v>
      </c>
      <c r="B666" s="10">
        <f ca="1">ROUND(_xlfn.NORM.INV(RAND(),Reference!$C$8,0.1*Reference!$C$8)*(1+Reference!$C$11*(IF(MONTH($A666)=Reference!$C$4,1,0)+IF(MONTH($A666)=Reference!$C$5,1,0))+(IF(MONTH($A666)=Reference!$C$6,Reference!$C$13,0))),0)</f>
        <v>426</v>
      </c>
      <c r="C666" s="11">
        <f ca="1">B666*Reference!$C$7*(1-IF(MONTH($A666)=Reference!$C$6,1,0)*Reference!$C$12)</f>
        <v>396180</v>
      </c>
      <c r="D666" s="10">
        <f ca="1">ROUND(_xlfn.NORM.INV(RAND(),Reference!$D$8,0.1*Reference!$D$8)*(1+Reference!$D$11*(IF(MONTH($A666)=Reference!$D$4,1,0)+IF(MONTH($A666)=Reference!$D$5,1,0))+(IF(MONTH($A666)=Reference!$D$6,Reference!$D$13,0))),0)</f>
        <v>466</v>
      </c>
      <c r="E666" s="11">
        <f ca="1">D666*Reference!$D$7*(1-IF(MONTH($A666)=Reference!$D$6,1,0)*Reference!$D$12)</f>
        <v>349500</v>
      </c>
      <c r="M666" s="20"/>
      <c r="N666" s="20"/>
      <c r="O666" s="19"/>
      <c r="P666" s="10"/>
      <c r="Q666" s="10"/>
      <c r="R666" s="10"/>
      <c r="S666" s="10"/>
      <c r="T666" s="10"/>
      <c r="U666" s="10"/>
      <c r="V666" s="10"/>
      <c r="W666" s="10"/>
      <c r="X666" s="10"/>
      <c r="Y666" s="10"/>
    </row>
    <row r="667" spans="1:25" x14ac:dyDescent="0.25">
      <c r="A667" s="9">
        <v>41205</v>
      </c>
      <c r="B667" s="10">
        <f ca="1">ROUND(_xlfn.NORM.INV(RAND(),Reference!$C$8,0.1*Reference!$C$8)*(1+Reference!$C$11*(IF(MONTH($A667)=Reference!$C$4,1,0)+IF(MONTH($A667)=Reference!$C$5,1,0))+(IF(MONTH($A667)=Reference!$C$6,Reference!$C$13,0))),0)</f>
        <v>367</v>
      </c>
      <c r="C667" s="11">
        <f ca="1">B667*Reference!$C$7*(1-IF(MONTH($A667)=Reference!$C$6,1,0)*Reference!$C$12)</f>
        <v>341310</v>
      </c>
      <c r="D667" s="10">
        <f ca="1">ROUND(_xlfn.NORM.INV(RAND(),Reference!$D$8,0.1*Reference!$D$8)*(1+Reference!$D$11*(IF(MONTH($A667)=Reference!$D$4,1,0)+IF(MONTH($A667)=Reference!$D$5,1,0))+(IF(MONTH($A667)=Reference!$D$6,Reference!$D$13,0))),0)</f>
        <v>445</v>
      </c>
      <c r="E667" s="11">
        <f ca="1">D667*Reference!$D$7*(1-IF(MONTH($A667)=Reference!$D$6,1,0)*Reference!$D$12)</f>
        <v>333750</v>
      </c>
      <c r="M667" s="20"/>
      <c r="N667" s="20"/>
      <c r="O667" s="19"/>
      <c r="P667" s="10"/>
      <c r="Q667" s="10"/>
      <c r="R667" s="10"/>
      <c r="S667" s="10"/>
      <c r="T667" s="10"/>
      <c r="U667" s="10"/>
      <c r="V667" s="10"/>
      <c r="W667" s="10"/>
      <c r="X667" s="10"/>
      <c r="Y667" s="10"/>
    </row>
    <row r="668" spans="1:25" x14ac:dyDescent="0.25">
      <c r="A668" s="9">
        <v>41206</v>
      </c>
      <c r="B668" s="10">
        <f ca="1">ROUND(_xlfn.NORM.INV(RAND(),Reference!$C$8,0.1*Reference!$C$8)*(1+Reference!$C$11*(IF(MONTH($A668)=Reference!$C$4,1,0)+IF(MONTH($A668)=Reference!$C$5,1,0))+(IF(MONTH($A668)=Reference!$C$6,Reference!$C$13,0))),0)</f>
        <v>448</v>
      </c>
      <c r="C668" s="11">
        <f ca="1">B668*Reference!$C$7*(1-IF(MONTH($A668)=Reference!$C$6,1,0)*Reference!$C$12)</f>
        <v>416640</v>
      </c>
      <c r="D668" s="10">
        <f ca="1">ROUND(_xlfn.NORM.INV(RAND(),Reference!$D$8,0.1*Reference!$D$8)*(1+Reference!$D$11*(IF(MONTH($A668)=Reference!$D$4,1,0)+IF(MONTH($A668)=Reference!$D$5,1,0))+(IF(MONTH($A668)=Reference!$D$6,Reference!$D$13,0))),0)</f>
        <v>497</v>
      </c>
      <c r="E668" s="11">
        <f ca="1">D668*Reference!$D$7*(1-IF(MONTH($A668)=Reference!$D$6,1,0)*Reference!$D$12)</f>
        <v>372750</v>
      </c>
      <c r="M668" s="20"/>
      <c r="N668" s="20"/>
      <c r="O668" s="19"/>
      <c r="P668" s="10"/>
      <c r="Q668" s="10"/>
      <c r="R668" s="10"/>
      <c r="S668" s="10"/>
      <c r="T668" s="10"/>
      <c r="U668" s="10"/>
      <c r="V668" s="10"/>
      <c r="W668" s="10"/>
      <c r="X668" s="10"/>
      <c r="Y668" s="10"/>
    </row>
    <row r="669" spans="1:25" x14ac:dyDescent="0.25">
      <c r="A669" s="9">
        <v>41207</v>
      </c>
      <c r="B669" s="10">
        <f ca="1">ROUND(_xlfn.NORM.INV(RAND(),Reference!$C$8,0.1*Reference!$C$8)*(1+Reference!$C$11*(IF(MONTH($A669)=Reference!$C$4,1,0)+IF(MONTH($A669)=Reference!$C$5,1,0))+(IF(MONTH($A669)=Reference!$C$6,Reference!$C$13,0))),0)</f>
        <v>347</v>
      </c>
      <c r="C669" s="11">
        <f ca="1">B669*Reference!$C$7*(1-IF(MONTH($A669)=Reference!$C$6,1,0)*Reference!$C$12)</f>
        <v>322710</v>
      </c>
      <c r="D669" s="10">
        <f ca="1">ROUND(_xlfn.NORM.INV(RAND(),Reference!$D$8,0.1*Reference!$D$8)*(1+Reference!$D$11*(IF(MONTH($A669)=Reference!$D$4,1,0)+IF(MONTH($A669)=Reference!$D$5,1,0))+(IF(MONTH($A669)=Reference!$D$6,Reference!$D$13,0))),0)</f>
        <v>441</v>
      </c>
      <c r="E669" s="11">
        <f ca="1">D669*Reference!$D$7*(1-IF(MONTH($A669)=Reference!$D$6,1,0)*Reference!$D$12)</f>
        <v>330750</v>
      </c>
      <c r="M669" s="20"/>
      <c r="N669" s="20"/>
      <c r="O669" s="19"/>
      <c r="P669" s="10"/>
      <c r="Q669" s="10"/>
      <c r="R669" s="10"/>
      <c r="S669" s="10"/>
      <c r="T669" s="10"/>
      <c r="U669" s="10"/>
      <c r="V669" s="10"/>
      <c r="W669" s="10"/>
      <c r="X669" s="10"/>
      <c r="Y669" s="10"/>
    </row>
    <row r="670" spans="1:25" x14ac:dyDescent="0.25">
      <c r="A670" s="9">
        <v>41208</v>
      </c>
      <c r="B670" s="10">
        <f ca="1">ROUND(_xlfn.NORM.INV(RAND(),Reference!$C$8,0.1*Reference!$C$8)*(1+Reference!$C$11*(IF(MONTH($A670)=Reference!$C$4,1,0)+IF(MONTH($A670)=Reference!$C$5,1,0))+(IF(MONTH($A670)=Reference!$C$6,Reference!$C$13,0))),0)</f>
        <v>357</v>
      </c>
      <c r="C670" s="11">
        <f ca="1">B670*Reference!$C$7*(1-IF(MONTH($A670)=Reference!$C$6,1,0)*Reference!$C$12)</f>
        <v>332010</v>
      </c>
      <c r="D670" s="10">
        <f ca="1">ROUND(_xlfn.NORM.INV(RAND(),Reference!$D$8,0.1*Reference!$D$8)*(1+Reference!$D$11*(IF(MONTH($A670)=Reference!$D$4,1,0)+IF(MONTH($A670)=Reference!$D$5,1,0))+(IF(MONTH($A670)=Reference!$D$6,Reference!$D$13,0))),0)</f>
        <v>434</v>
      </c>
      <c r="E670" s="11">
        <f ca="1">D670*Reference!$D$7*(1-IF(MONTH($A670)=Reference!$D$6,1,0)*Reference!$D$12)</f>
        <v>325500</v>
      </c>
      <c r="M670" s="20"/>
      <c r="N670" s="20"/>
      <c r="O670" s="19"/>
      <c r="P670" s="10"/>
      <c r="Q670" s="10"/>
      <c r="R670" s="10"/>
      <c r="S670" s="10"/>
      <c r="T670" s="10"/>
      <c r="U670" s="10"/>
      <c r="V670" s="10"/>
      <c r="W670" s="10"/>
      <c r="X670" s="10"/>
      <c r="Y670" s="10"/>
    </row>
    <row r="671" spans="1:25" x14ac:dyDescent="0.25">
      <c r="A671" s="9">
        <v>41209</v>
      </c>
      <c r="B671" s="10">
        <f ca="1">ROUND(_xlfn.NORM.INV(RAND(),Reference!$C$8,0.1*Reference!$C$8)*(1+Reference!$C$11*(IF(MONTH($A671)=Reference!$C$4,1,0)+IF(MONTH($A671)=Reference!$C$5,1,0))+(IF(MONTH($A671)=Reference!$C$6,Reference!$C$13,0))),0)</f>
        <v>375</v>
      </c>
      <c r="C671" s="11">
        <f ca="1">B671*Reference!$C$7*(1-IF(MONTH($A671)=Reference!$C$6,1,0)*Reference!$C$12)</f>
        <v>348750</v>
      </c>
      <c r="D671" s="10">
        <f ca="1">ROUND(_xlfn.NORM.INV(RAND(),Reference!$D$8,0.1*Reference!$D$8)*(1+Reference!$D$11*(IF(MONTH($A671)=Reference!$D$4,1,0)+IF(MONTH($A671)=Reference!$D$5,1,0))+(IF(MONTH($A671)=Reference!$D$6,Reference!$D$13,0))),0)</f>
        <v>429</v>
      </c>
      <c r="E671" s="11">
        <f ca="1">D671*Reference!$D$7*(1-IF(MONTH($A671)=Reference!$D$6,1,0)*Reference!$D$12)</f>
        <v>321750</v>
      </c>
      <c r="M671" s="20"/>
      <c r="N671" s="20"/>
      <c r="O671" s="19"/>
      <c r="P671" s="10"/>
      <c r="Q671" s="10"/>
      <c r="R671" s="10"/>
      <c r="S671" s="10"/>
      <c r="T671" s="10"/>
      <c r="U671" s="10"/>
      <c r="V671" s="10"/>
      <c r="W671" s="10"/>
      <c r="X671" s="10"/>
      <c r="Y671" s="10"/>
    </row>
    <row r="672" spans="1:25" x14ac:dyDescent="0.25">
      <c r="A672" s="9">
        <v>41210</v>
      </c>
      <c r="B672" s="10">
        <f ca="1">ROUND(_xlfn.NORM.INV(RAND(),Reference!$C$8,0.1*Reference!$C$8)*(1+Reference!$C$11*(IF(MONTH($A672)=Reference!$C$4,1,0)+IF(MONTH($A672)=Reference!$C$5,1,0))+(IF(MONTH($A672)=Reference!$C$6,Reference!$C$13,0))),0)</f>
        <v>361</v>
      </c>
      <c r="C672" s="11">
        <f ca="1">B672*Reference!$C$7*(1-IF(MONTH($A672)=Reference!$C$6,1,0)*Reference!$C$12)</f>
        <v>335730</v>
      </c>
      <c r="D672" s="10">
        <f ca="1">ROUND(_xlfn.NORM.INV(RAND(),Reference!$D$8,0.1*Reference!$D$8)*(1+Reference!$D$11*(IF(MONTH($A672)=Reference!$D$4,1,0)+IF(MONTH($A672)=Reference!$D$5,1,0))+(IF(MONTH($A672)=Reference!$D$6,Reference!$D$13,0))),0)</f>
        <v>449</v>
      </c>
      <c r="E672" s="11">
        <f ca="1">D672*Reference!$D$7*(1-IF(MONTH($A672)=Reference!$D$6,1,0)*Reference!$D$12)</f>
        <v>336750</v>
      </c>
      <c r="M672" s="20"/>
      <c r="N672" s="20"/>
      <c r="O672" s="19"/>
      <c r="P672" s="10"/>
      <c r="Q672" s="10"/>
      <c r="R672" s="10"/>
      <c r="S672" s="10"/>
      <c r="T672" s="10"/>
      <c r="U672" s="10"/>
      <c r="V672" s="10"/>
      <c r="W672" s="10"/>
      <c r="X672" s="10"/>
      <c r="Y672" s="10"/>
    </row>
    <row r="673" spans="1:25" x14ac:dyDescent="0.25">
      <c r="A673" s="9">
        <v>41211</v>
      </c>
      <c r="B673" s="10">
        <f ca="1">ROUND(_xlfn.NORM.INV(RAND(),Reference!$C$8,0.1*Reference!$C$8)*(1+Reference!$C$11*(IF(MONTH($A673)=Reference!$C$4,1,0)+IF(MONTH($A673)=Reference!$C$5,1,0))+(IF(MONTH($A673)=Reference!$C$6,Reference!$C$13,0))),0)</f>
        <v>346</v>
      </c>
      <c r="C673" s="11">
        <f ca="1">B673*Reference!$C$7*(1-IF(MONTH($A673)=Reference!$C$6,1,0)*Reference!$C$12)</f>
        <v>321780</v>
      </c>
      <c r="D673" s="10">
        <f ca="1">ROUND(_xlfn.NORM.INV(RAND(),Reference!$D$8,0.1*Reference!$D$8)*(1+Reference!$D$11*(IF(MONTH($A673)=Reference!$D$4,1,0)+IF(MONTH($A673)=Reference!$D$5,1,0))+(IF(MONTH($A673)=Reference!$D$6,Reference!$D$13,0))),0)</f>
        <v>508</v>
      </c>
      <c r="E673" s="11">
        <f ca="1">D673*Reference!$D$7*(1-IF(MONTH($A673)=Reference!$D$6,1,0)*Reference!$D$12)</f>
        <v>381000</v>
      </c>
      <c r="M673" s="20"/>
      <c r="N673" s="20"/>
      <c r="O673" s="19"/>
      <c r="P673" s="10"/>
      <c r="Q673" s="10"/>
      <c r="R673" s="10"/>
      <c r="S673" s="10"/>
      <c r="T673" s="10"/>
      <c r="U673" s="10"/>
      <c r="V673" s="10"/>
      <c r="W673" s="10"/>
      <c r="X673" s="10"/>
      <c r="Y673" s="10"/>
    </row>
    <row r="674" spans="1:25" x14ac:dyDescent="0.25">
      <c r="A674" s="9">
        <v>41212</v>
      </c>
      <c r="B674" s="10">
        <f ca="1">ROUND(_xlfn.NORM.INV(RAND(),Reference!$C$8,0.1*Reference!$C$8)*(1+Reference!$C$11*(IF(MONTH($A674)=Reference!$C$4,1,0)+IF(MONTH($A674)=Reference!$C$5,1,0))+(IF(MONTH($A674)=Reference!$C$6,Reference!$C$13,0))),0)</f>
        <v>396</v>
      </c>
      <c r="C674" s="11">
        <f ca="1">B674*Reference!$C$7*(1-IF(MONTH($A674)=Reference!$C$6,1,0)*Reference!$C$12)</f>
        <v>368280</v>
      </c>
      <c r="D674" s="10">
        <f ca="1">ROUND(_xlfn.NORM.INV(RAND(),Reference!$D$8,0.1*Reference!$D$8)*(1+Reference!$D$11*(IF(MONTH($A674)=Reference!$D$4,1,0)+IF(MONTH($A674)=Reference!$D$5,1,0))+(IF(MONTH($A674)=Reference!$D$6,Reference!$D$13,0))),0)</f>
        <v>423</v>
      </c>
      <c r="E674" s="11">
        <f ca="1">D674*Reference!$D$7*(1-IF(MONTH($A674)=Reference!$D$6,1,0)*Reference!$D$12)</f>
        <v>317250</v>
      </c>
      <c r="M674" s="20"/>
      <c r="N674" s="20"/>
      <c r="O674" s="19"/>
      <c r="P674" s="10"/>
      <c r="Q674" s="10"/>
      <c r="R674" s="10"/>
      <c r="S674" s="10"/>
      <c r="T674" s="10"/>
      <c r="U674" s="10"/>
      <c r="V674" s="10"/>
      <c r="W674" s="10"/>
      <c r="X674" s="10"/>
      <c r="Y674" s="10"/>
    </row>
    <row r="675" spans="1:25" x14ac:dyDescent="0.25">
      <c r="A675" s="9">
        <v>41213</v>
      </c>
      <c r="B675" s="10">
        <f ca="1">ROUND(_xlfn.NORM.INV(RAND(),Reference!$C$8,0.1*Reference!$C$8)*(1+Reference!$C$11*(IF(MONTH($A675)=Reference!$C$4,1,0)+IF(MONTH($A675)=Reference!$C$5,1,0))+(IF(MONTH($A675)=Reference!$C$6,Reference!$C$13,0))),0)</f>
        <v>392</v>
      </c>
      <c r="C675" s="11">
        <f ca="1">B675*Reference!$C$7*(1-IF(MONTH($A675)=Reference!$C$6,1,0)*Reference!$C$12)</f>
        <v>364560</v>
      </c>
      <c r="D675" s="10">
        <f ca="1">ROUND(_xlfn.NORM.INV(RAND(),Reference!$D$8,0.1*Reference!$D$8)*(1+Reference!$D$11*(IF(MONTH($A675)=Reference!$D$4,1,0)+IF(MONTH($A675)=Reference!$D$5,1,0))+(IF(MONTH($A675)=Reference!$D$6,Reference!$D$13,0))),0)</f>
        <v>432</v>
      </c>
      <c r="E675" s="11">
        <f ca="1">D675*Reference!$D$7*(1-IF(MONTH($A675)=Reference!$D$6,1,0)*Reference!$D$12)</f>
        <v>324000</v>
      </c>
      <c r="M675" s="20"/>
      <c r="N675" s="20"/>
      <c r="O675" s="19"/>
      <c r="P675" s="10"/>
      <c r="Q675" s="10"/>
      <c r="R675" s="10"/>
      <c r="S675" s="10"/>
      <c r="T675" s="10"/>
      <c r="U675" s="10"/>
      <c r="V675" s="10"/>
      <c r="W675" s="10"/>
      <c r="X675" s="10"/>
      <c r="Y675" s="10"/>
    </row>
    <row r="676" spans="1:25" x14ac:dyDescent="0.25">
      <c r="A676" s="9">
        <v>41214</v>
      </c>
      <c r="B676" s="10">
        <f ca="1">ROUND(_xlfn.NORM.INV(RAND(),Reference!$C$8,0.1*Reference!$C$8)*(1+Reference!$C$11*(IF(MONTH($A676)=Reference!$C$4,1,0)+IF(MONTH($A676)=Reference!$C$5,1,0))+(IF(MONTH($A676)=Reference!$C$6,Reference!$C$13,0))),0)</f>
        <v>399</v>
      </c>
      <c r="C676" s="11">
        <f ca="1">B676*Reference!$C$7*(1-IF(MONTH($A676)=Reference!$C$6,1,0)*Reference!$C$12)</f>
        <v>371070</v>
      </c>
      <c r="D676" s="10">
        <f ca="1">ROUND(_xlfn.NORM.INV(RAND(),Reference!$D$8,0.1*Reference!$D$8)*(1+Reference!$D$11*(IF(MONTH($A676)=Reference!$D$4,1,0)+IF(MONTH($A676)=Reference!$D$5,1,0))+(IF(MONTH($A676)=Reference!$D$6,Reference!$D$13,0))),0)</f>
        <v>474</v>
      </c>
      <c r="E676" s="11">
        <f ca="1">D676*Reference!$D$7*(1-IF(MONTH($A676)=Reference!$D$6,1,0)*Reference!$D$12)</f>
        <v>355500</v>
      </c>
      <c r="M676" s="20"/>
      <c r="N676" s="20"/>
      <c r="O676" s="19"/>
      <c r="P676" s="10"/>
      <c r="Q676" s="10"/>
      <c r="R676" s="10"/>
      <c r="S676" s="10"/>
      <c r="T676" s="10"/>
      <c r="U676" s="10"/>
      <c r="V676" s="10"/>
      <c r="W676" s="10"/>
      <c r="X676" s="10"/>
      <c r="Y676" s="10"/>
    </row>
    <row r="677" spans="1:25" x14ac:dyDescent="0.25">
      <c r="A677" s="9">
        <v>41215</v>
      </c>
      <c r="B677" s="10">
        <f ca="1">ROUND(_xlfn.NORM.INV(RAND(),Reference!$C$8,0.1*Reference!$C$8)*(1+Reference!$C$11*(IF(MONTH($A677)=Reference!$C$4,1,0)+IF(MONTH($A677)=Reference!$C$5,1,0))+(IF(MONTH($A677)=Reference!$C$6,Reference!$C$13,0))),0)</f>
        <v>414</v>
      </c>
      <c r="C677" s="11">
        <f ca="1">B677*Reference!$C$7*(1-IF(MONTH($A677)=Reference!$C$6,1,0)*Reference!$C$12)</f>
        <v>385020</v>
      </c>
      <c r="D677" s="10">
        <f ca="1">ROUND(_xlfn.NORM.INV(RAND(),Reference!$D$8,0.1*Reference!$D$8)*(1+Reference!$D$11*(IF(MONTH($A677)=Reference!$D$4,1,0)+IF(MONTH($A677)=Reference!$D$5,1,0))+(IF(MONTH($A677)=Reference!$D$6,Reference!$D$13,0))),0)</f>
        <v>429</v>
      </c>
      <c r="E677" s="11">
        <f ca="1">D677*Reference!$D$7*(1-IF(MONTH($A677)=Reference!$D$6,1,0)*Reference!$D$12)</f>
        <v>321750</v>
      </c>
      <c r="M677" s="20"/>
      <c r="N677" s="20"/>
      <c r="O677" s="19"/>
      <c r="P677" s="10"/>
      <c r="Q677" s="10"/>
      <c r="R677" s="10"/>
      <c r="S677" s="10"/>
      <c r="T677" s="10"/>
      <c r="U677" s="10"/>
      <c r="V677" s="10"/>
      <c r="W677" s="10"/>
      <c r="X677" s="10"/>
      <c r="Y677" s="10"/>
    </row>
    <row r="678" spans="1:25" x14ac:dyDescent="0.25">
      <c r="A678" s="9">
        <v>41216</v>
      </c>
      <c r="B678" s="10">
        <f ca="1">ROUND(_xlfn.NORM.INV(RAND(),Reference!$C$8,0.1*Reference!$C$8)*(1+Reference!$C$11*(IF(MONTH($A678)=Reference!$C$4,1,0)+IF(MONTH($A678)=Reference!$C$5,1,0))+(IF(MONTH($A678)=Reference!$C$6,Reference!$C$13,0))),0)</f>
        <v>353</v>
      </c>
      <c r="C678" s="11">
        <f ca="1">B678*Reference!$C$7*(1-IF(MONTH($A678)=Reference!$C$6,1,0)*Reference!$C$12)</f>
        <v>328290</v>
      </c>
      <c r="D678" s="10">
        <f ca="1">ROUND(_xlfn.NORM.INV(RAND(),Reference!$D$8,0.1*Reference!$D$8)*(1+Reference!$D$11*(IF(MONTH($A678)=Reference!$D$4,1,0)+IF(MONTH($A678)=Reference!$D$5,1,0))+(IF(MONTH($A678)=Reference!$D$6,Reference!$D$13,0))),0)</f>
        <v>426</v>
      </c>
      <c r="E678" s="11">
        <f ca="1">D678*Reference!$D$7*(1-IF(MONTH($A678)=Reference!$D$6,1,0)*Reference!$D$12)</f>
        <v>319500</v>
      </c>
      <c r="M678" s="20"/>
      <c r="N678" s="20"/>
      <c r="O678" s="19"/>
      <c r="P678" s="10"/>
      <c r="Q678" s="10"/>
      <c r="R678" s="10"/>
      <c r="S678" s="10"/>
      <c r="T678" s="10"/>
      <c r="U678" s="10"/>
      <c r="V678" s="10"/>
      <c r="W678" s="10"/>
      <c r="X678" s="10"/>
      <c r="Y678" s="10"/>
    </row>
    <row r="679" spans="1:25" x14ac:dyDescent="0.25">
      <c r="A679" s="9">
        <v>41217</v>
      </c>
      <c r="B679" s="10">
        <f ca="1">ROUND(_xlfn.NORM.INV(RAND(),Reference!$C$8,0.1*Reference!$C$8)*(1+Reference!$C$11*(IF(MONTH($A679)=Reference!$C$4,1,0)+IF(MONTH($A679)=Reference!$C$5,1,0))+(IF(MONTH($A679)=Reference!$C$6,Reference!$C$13,0))),0)</f>
        <v>333</v>
      </c>
      <c r="C679" s="11">
        <f ca="1">B679*Reference!$C$7*(1-IF(MONTH($A679)=Reference!$C$6,1,0)*Reference!$C$12)</f>
        <v>309690</v>
      </c>
      <c r="D679" s="10">
        <f ca="1">ROUND(_xlfn.NORM.INV(RAND(),Reference!$D$8,0.1*Reference!$D$8)*(1+Reference!$D$11*(IF(MONTH($A679)=Reference!$D$4,1,0)+IF(MONTH($A679)=Reference!$D$5,1,0))+(IF(MONTH($A679)=Reference!$D$6,Reference!$D$13,0))),0)</f>
        <v>462</v>
      </c>
      <c r="E679" s="11">
        <f ca="1">D679*Reference!$D$7*(1-IF(MONTH($A679)=Reference!$D$6,1,0)*Reference!$D$12)</f>
        <v>346500</v>
      </c>
      <c r="M679" s="20"/>
      <c r="N679" s="20"/>
      <c r="O679" s="19"/>
      <c r="P679" s="10"/>
      <c r="Q679" s="10"/>
      <c r="R679" s="10"/>
      <c r="S679" s="10"/>
      <c r="T679" s="10"/>
      <c r="U679" s="10"/>
      <c r="V679" s="10"/>
      <c r="W679" s="10"/>
      <c r="X679" s="10"/>
      <c r="Y679" s="10"/>
    </row>
    <row r="680" spans="1:25" x14ac:dyDescent="0.25">
      <c r="A680" s="9">
        <v>41218</v>
      </c>
      <c r="B680" s="10">
        <f ca="1">ROUND(_xlfn.NORM.INV(RAND(),Reference!$C$8,0.1*Reference!$C$8)*(1+Reference!$C$11*(IF(MONTH($A680)=Reference!$C$4,1,0)+IF(MONTH($A680)=Reference!$C$5,1,0))+(IF(MONTH($A680)=Reference!$C$6,Reference!$C$13,0))),0)</f>
        <v>374</v>
      </c>
      <c r="C680" s="11">
        <f ca="1">B680*Reference!$C$7*(1-IF(MONTH($A680)=Reference!$C$6,1,0)*Reference!$C$12)</f>
        <v>347820</v>
      </c>
      <c r="D680" s="10">
        <f ca="1">ROUND(_xlfn.NORM.INV(RAND(),Reference!$D$8,0.1*Reference!$D$8)*(1+Reference!$D$11*(IF(MONTH($A680)=Reference!$D$4,1,0)+IF(MONTH($A680)=Reference!$D$5,1,0))+(IF(MONTH($A680)=Reference!$D$6,Reference!$D$13,0))),0)</f>
        <v>521</v>
      </c>
      <c r="E680" s="11">
        <f ca="1">D680*Reference!$D$7*(1-IF(MONTH($A680)=Reference!$D$6,1,0)*Reference!$D$12)</f>
        <v>390750</v>
      </c>
      <c r="M680" s="20"/>
      <c r="N680" s="20"/>
      <c r="O680" s="19"/>
      <c r="P680" s="10"/>
      <c r="Q680" s="10"/>
      <c r="R680" s="10"/>
      <c r="S680" s="10"/>
      <c r="T680" s="10"/>
      <c r="U680" s="10"/>
      <c r="V680" s="10"/>
      <c r="W680" s="10"/>
      <c r="X680" s="10"/>
      <c r="Y680" s="10"/>
    </row>
    <row r="681" spans="1:25" x14ac:dyDescent="0.25">
      <c r="A681" s="9">
        <v>41219</v>
      </c>
      <c r="B681" s="10">
        <f ca="1">ROUND(_xlfn.NORM.INV(RAND(),Reference!$C$8,0.1*Reference!$C$8)*(1+Reference!$C$11*(IF(MONTH($A681)=Reference!$C$4,1,0)+IF(MONTH($A681)=Reference!$C$5,1,0))+(IF(MONTH($A681)=Reference!$C$6,Reference!$C$13,0))),0)</f>
        <v>397</v>
      </c>
      <c r="C681" s="11">
        <f ca="1">B681*Reference!$C$7*(1-IF(MONTH($A681)=Reference!$C$6,1,0)*Reference!$C$12)</f>
        <v>369210</v>
      </c>
      <c r="D681" s="10">
        <f ca="1">ROUND(_xlfn.NORM.INV(RAND(),Reference!$D$8,0.1*Reference!$D$8)*(1+Reference!$D$11*(IF(MONTH($A681)=Reference!$D$4,1,0)+IF(MONTH($A681)=Reference!$D$5,1,0))+(IF(MONTH($A681)=Reference!$D$6,Reference!$D$13,0))),0)</f>
        <v>536</v>
      </c>
      <c r="E681" s="11">
        <f ca="1">D681*Reference!$D$7*(1-IF(MONTH($A681)=Reference!$D$6,1,0)*Reference!$D$12)</f>
        <v>402000</v>
      </c>
      <c r="M681" s="20"/>
      <c r="N681" s="20"/>
      <c r="O681" s="19"/>
      <c r="P681" s="10"/>
      <c r="Q681" s="10"/>
      <c r="R681" s="10"/>
      <c r="S681" s="10"/>
      <c r="T681" s="10"/>
      <c r="U681" s="10"/>
      <c r="V681" s="10"/>
      <c r="W681" s="10"/>
      <c r="X681" s="10"/>
      <c r="Y681" s="10"/>
    </row>
    <row r="682" spans="1:25" x14ac:dyDescent="0.25">
      <c r="A682" s="9">
        <v>41220</v>
      </c>
      <c r="B682" s="10">
        <f ca="1">ROUND(_xlfn.NORM.INV(RAND(),Reference!$C$8,0.1*Reference!$C$8)*(1+Reference!$C$11*(IF(MONTH($A682)=Reference!$C$4,1,0)+IF(MONTH($A682)=Reference!$C$5,1,0))+(IF(MONTH($A682)=Reference!$C$6,Reference!$C$13,0))),0)</f>
        <v>279</v>
      </c>
      <c r="C682" s="11">
        <f ca="1">B682*Reference!$C$7*(1-IF(MONTH($A682)=Reference!$C$6,1,0)*Reference!$C$12)</f>
        <v>259470</v>
      </c>
      <c r="D682" s="10">
        <f ca="1">ROUND(_xlfn.NORM.INV(RAND(),Reference!$D$8,0.1*Reference!$D$8)*(1+Reference!$D$11*(IF(MONTH($A682)=Reference!$D$4,1,0)+IF(MONTH($A682)=Reference!$D$5,1,0))+(IF(MONTH($A682)=Reference!$D$6,Reference!$D$13,0))),0)</f>
        <v>502</v>
      </c>
      <c r="E682" s="11">
        <f ca="1">D682*Reference!$D$7*(1-IF(MONTH($A682)=Reference!$D$6,1,0)*Reference!$D$12)</f>
        <v>376500</v>
      </c>
      <c r="M682" s="20"/>
      <c r="N682" s="20"/>
      <c r="O682" s="19"/>
      <c r="P682" s="10"/>
      <c r="Q682" s="10"/>
      <c r="R682" s="10"/>
      <c r="S682" s="10"/>
      <c r="T682" s="10"/>
      <c r="U682" s="10"/>
      <c r="V682" s="10"/>
      <c r="W682" s="10"/>
      <c r="X682" s="10"/>
      <c r="Y682" s="10"/>
    </row>
    <row r="683" spans="1:25" x14ac:dyDescent="0.25">
      <c r="A683" s="9">
        <v>41221</v>
      </c>
      <c r="B683" s="10">
        <f ca="1">ROUND(_xlfn.NORM.INV(RAND(),Reference!$C$8,0.1*Reference!$C$8)*(1+Reference!$C$11*(IF(MONTH($A683)=Reference!$C$4,1,0)+IF(MONTH($A683)=Reference!$C$5,1,0))+(IF(MONTH($A683)=Reference!$C$6,Reference!$C$13,0))),0)</f>
        <v>383</v>
      </c>
      <c r="C683" s="11">
        <f ca="1">B683*Reference!$C$7*(1-IF(MONTH($A683)=Reference!$C$6,1,0)*Reference!$C$12)</f>
        <v>356190</v>
      </c>
      <c r="D683" s="10">
        <f ca="1">ROUND(_xlfn.NORM.INV(RAND(),Reference!$D$8,0.1*Reference!$D$8)*(1+Reference!$D$11*(IF(MONTH($A683)=Reference!$D$4,1,0)+IF(MONTH($A683)=Reference!$D$5,1,0))+(IF(MONTH($A683)=Reference!$D$6,Reference!$D$13,0))),0)</f>
        <v>412</v>
      </c>
      <c r="E683" s="11">
        <f ca="1">D683*Reference!$D$7*(1-IF(MONTH($A683)=Reference!$D$6,1,0)*Reference!$D$12)</f>
        <v>309000</v>
      </c>
      <c r="M683" s="20"/>
      <c r="N683" s="20"/>
      <c r="O683" s="19"/>
      <c r="P683" s="10"/>
      <c r="Q683" s="10"/>
      <c r="R683" s="10"/>
      <c r="S683" s="10"/>
      <c r="T683" s="10"/>
      <c r="U683" s="10"/>
      <c r="V683" s="10"/>
      <c r="W683" s="10"/>
      <c r="X683" s="10"/>
      <c r="Y683" s="10"/>
    </row>
    <row r="684" spans="1:25" x14ac:dyDescent="0.25">
      <c r="A684" s="9">
        <v>41222</v>
      </c>
      <c r="B684" s="10">
        <f ca="1">ROUND(_xlfn.NORM.INV(RAND(),Reference!$C$8,0.1*Reference!$C$8)*(1+Reference!$C$11*(IF(MONTH($A684)=Reference!$C$4,1,0)+IF(MONTH($A684)=Reference!$C$5,1,0))+(IF(MONTH($A684)=Reference!$C$6,Reference!$C$13,0))),0)</f>
        <v>372</v>
      </c>
      <c r="C684" s="11">
        <f ca="1">B684*Reference!$C$7*(1-IF(MONTH($A684)=Reference!$C$6,1,0)*Reference!$C$12)</f>
        <v>345960</v>
      </c>
      <c r="D684" s="10">
        <f ca="1">ROUND(_xlfn.NORM.INV(RAND(),Reference!$D$8,0.1*Reference!$D$8)*(1+Reference!$D$11*(IF(MONTH($A684)=Reference!$D$4,1,0)+IF(MONTH($A684)=Reference!$D$5,1,0))+(IF(MONTH($A684)=Reference!$D$6,Reference!$D$13,0))),0)</f>
        <v>434</v>
      </c>
      <c r="E684" s="11">
        <f ca="1">D684*Reference!$D$7*(1-IF(MONTH($A684)=Reference!$D$6,1,0)*Reference!$D$12)</f>
        <v>325500</v>
      </c>
      <c r="M684" s="20"/>
      <c r="N684" s="20"/>
      <c r="O684" s="19"/>
      <c r="P684" s="10"/>
      <c r="Q684" s="10"/>
      <c r="R684" s="10"/>
      <c r="S684" s="10"/>
      <c r="T684" s="10"/>
      <c r="U684" s="10"/>
      <c r="V684" s="10"/>
      <c r="W684" s="10"/>
      <c r="X684" s="10"/>
      <c r="Y684" s="10"/>
    </row>
    <row r="685" spans="1:25" x14ac:dyDescent="0.25">
      <c r="A685" s="9">
        <v>41223</v>
      </c>
      <c r="B685" s="10">
        <f ca="1">ROUND(_xlfn.NORM.INV(RAND(),Reference!$C$8,0.1*Reference!$C$8)*(1+Reference!$C$11*(IF(MONTH($A685)=Reference!$C$4,1,0)+IF(MONTH($A685)=Reference!$C$5,1,0))+(IF(MONTH($A685)=Reference!$C$6,Reference!$C$13,0))),0)</f>
        <v>321</v>
      </c>
      <c r="C685" s="11">
        <f ca="1">B685*Reference!$C$7*(1-IF(MONTH($A685)=Reference!$C$6,1,0)*Reference!$C$12)</f>
        <v>298530</v>
      </c>
      <c r="D685" s="10">
        <f ca="1">ROUND(_xlfn.NORM.INV(RAND(),Reference!$D$8,0.1*Reference!$D$8)*(1+Reference!$D$11*(IF(MONTH($A685)=Reference!$D$4,1,0)+IF(MONTH($A685)=Reference!$D$5,1,0))+(IF(MONTH($A685)=Reference!$D$6,Reference!$D$13,0))),0)</f>
        <v>460</v>
      </c>
      <c r="E685" s="11">
        <f ca="1">D685*Reference!$D$7*(1-IF(MONTH($A685)=Reference!$D$6,1,0)*Reference!$D$12)</f>
        <v>345000</v>
      </c>
      <c r="M685" s="20"/>
      <c r="N685" s="20"/>
      <c r="O685" s="19"/>
      <c r="P685" s="10"/>
      <c r="Q685" s="10"/>
      <c r="R685" s="10"/>
      <c r="S685" s="10"/>
      <c r="T685" s="10"/>
      <c r="U685" s="10"/>
      <c r="V685" s="10"/>
      <c r="W685" s="10"/>
      <c r="X685" s="10"/>
      <c r="Y685" s="10"/>
    </row>
    <row r="686" spans="1:25" x14ac:dyDescent="0.25">
      <c r="A686" s="9">
        <v>41224</v>
      </c>
      <c r="B686" s="10">
        <f ca="1">ROUND(_xlfn.NORM.INV(RAND(),Reference!$C$8,0.1*Reference!$C$8)*(1+Reference!$C$11*(IF(MONTH($A686)=Reference!$C$4,1,0)+IF(MONTH($A686)=Reference!$C$5,1,0))+(IF(MONTH($A686)=Reference!$C$6,Reference!$C$13,0))),0)</f>
        <v>321</v>
      </c>
      <c r="C686" s="11">
        <f ca="1">B686*Reference!$C$7*(1-IF(MONTH($A686)=Reference!$C$6,1,0)*Reference!$C$12)</f>
        <v>298530</v>
      </c>
      <c r="D686" s="10">
        <f ca="1">ROUND(_xlfn.NORM.INV(RAND(),Reference!$D$8,0.1*Reference!$D$8)*(1+Reference!$D$11*(IF(MONTH($A686)=Reference!$D$4,1,0)+IF(MONTH($A686)=Reference!$D$5,1,0))+(IF(MONTH($A686)=Reference!$D$6,Reference!$D$13,0))),0)</f>
        <v>467</v>
      </c>
      <c r="E686" s="11">
        <f ca="1">D686*Reference!$D$7*(1-IF(MONTH($A686)=Reference!$D$6,1,0)*Reference!$D$12)</f>
        <v>350250</v>
      </c>
      <c r="M686" s="20"/>
      <c r="N686" s="20"/>
      <c r="O686" s="19"/>
      <c r="P686" s="10"/>
      <c r="Q686" s="10"/>
      <c r="R686" s="10"/>
      <c r="S686" s="10"/>
      <c r="T686" s="10"/>
      <c r="U686" s="10"/>
      <c r="V686" s="10"/>
      <c r="W686" s="10"/>
      <c r="X686" s="10"/>
      <c r="Y686" s="10"/>
    </row>
    <row r="687" spans="1:25" x14ac:dyDescent="0.25">
      <c r="A687" s="9">
        <v>41225</v>
      </c>
      <c r="B687" s="10">
        <f ca="1">ROUND(_xlfn.NORM.INV(RAND(),Reference!$C$8,0.1*Reference!$C$8)*(1+Reference!$C$11*(IF(MONTH($A687)=Reference!$C$4,1,0)+IF(MONTH($A687)=Reference!$C$5,1,0))+(IF(MONTH($A687)=Reference!$C$6,Reference!$C$13,0))),0)</f>
        <v>389</v>
      </c>
      <c r="C687" s="11">
        <f ca="1">B687*Reference!$C$7*(1-IF(MONTH($A687)=Reference!$C$6,1,0)*Reference!$C$12)</f>
        <v>361770</v>
      </c>
      <c r="D687" s="10">
        <f ca="1">ROUND(_xlfn.NORM.INV(RAND(),Reference!$D$8,0.1*Reference!$D$8)*(1+Reference!$D$11*(IF(MONTH($A687)=Reference!$D$4,1,0)+IF(MONTH($A687)=Reference!$D$5,1,0))+(IF(MONTH($A687)=Reference!$D$6,Reference!$D$13,0))),0)</f>
        <v>417</v>
      </c>
      <c r="E687" s="11">
        <f ca="1">D687*Reference!$D$7*(1-IF(MONTH($A687)=Reference!$D$6,1,0)*Reference!$D$12)</f>
        <v>312750</v>
      </c>
      <c r="M687" s="20"/>
      <c r="N687" s="20"/>
      <c r="O687" s="19"/>
      <c r="P687" s="10"/>
      <c r="Q687" s="10"/>
      <c r="R687" s="10"/>
      <c r="S687" s="10"/>
      <c r="T687" s="10"/>
      <c r="U687" s="10"/>
      <c r="V687" s="10"/>
      <c r="W687" s="10"/>
      <c r="X687" s="10"/>
      <c r="Y687" s="10"/>
    </row>
    <row r="688" spans="1:25" x14ac:dyDescent="0.25">
      <c r="A688" s="9">
        <v>41226</v>
      </c>
      <c r="B688" s="10">
        <f ca="1">ROUND(_xlfn.NORM.INV(RAND(),Reference!$C$8,0.1*Reference!$C$8)*(1+Reference!$C$11*(IF(MONTH($A688)=Reference!$C$4,1,0)+IF(MONTH($A688)=Reference!$C$5,1,0))+(IF(MONTH($A688)=Reference!$C$6,Reference!$C$13,0))),0)</f>
        <v>438</v>
      </c>
      <c r="C688" s="11">
        <f ca="1">B688*Reference!$C$7*(1-IF(MONTH($A688)=Reference!$C$6,1,0)*Reference!$C$12)</f>
        <v>407340</v>
      </c>
      <c r="D688" s="10">
        <f ca="1">ROUND(_xlfn.NORM.INV(RAND(),Reference!$D$8,0.1*Reference!$D$8)*(1+Reference!$D$11*(IF(MONTH($A688)=Reference!$D$4,1,0)+IF(MONTH($A688)=Reference!$D$5,1,0))+(IF(MONTH($A688)=Reference!$D$6,Reference!$D$13,0))),0)</f>
        <v>396</v>
      </c>
      <c r="E688" s="11">
        <f ca="1">D688*Reference!$D$7*(1-IF(MONTH($A688)=Reference!$D$6,1,0)*Reference!$D$12)</f>
        <v>297000</v>
      </c>
      <c r="M688" s="20"/>
      <c r="N688" s="20"/>
      <c r="O688" s="19"/>
      <c r="P688" s="10"/>
      <c r="Q688" s="10"/>
      <c r="R688" s="10"/>
      <c r="S688" s="10"/>
      <c r="T688" s="10"/>
      <c r="U688" s="10"/>
      <c r="V688" s="10"/>
      <c r="W688" s="10"/>
      <c r="X688" s="10"/>
      <c r="Y688" s="10"/>
    </row>
    <row r="689" spans="1:25" x14ac:dyDescent="0.25">
      <c r="A689" s="9">
        <v>41227</v>
      </c>
      <c r="B689" s="10">
        <f ca="1">ROUND(_xlfn.NORM.INV(RAND(),Reference!$C$8,0.1*Reference!$C$8)*(1+Reference!$C$11*(IF(MONTH($A689)=Reference!$C$4,1,0)+IF(MONTH($A689)=Reference!$C$5,1,0))+(IF(MONTH($A689)=Reference!$C$6,Reference!$C$13,0))),0)</f>
        <v>258</v>
      </c>
      <c r="C689" s="11">
        <f ca="1">B689*Reference!$C$7*(1-IF(MONTH($A689)=Reference!$C$6,1,0)*Reference!$C$12)</f>
        <v>239940</v>
      </c>
      <c r="D689" s="10">
        <f ca="1">ROUND(_xlfn.NORM.INV(RAND(),Reference!$D$8,0.1*Reference!$D$8)*(1+Reference!$D$11*(IF(MONTH($A689)=Reference!$D$4,1,0)+IF(MONTH($A689)=Reference!$D$5,1,0))+(IF(MONTH($A689)=Reference!$D$6,Reference!$D$13,0))),0)</f>
        <v>359</v>
      </c>
      <c r="E689" s="11">
        <f ca="1">D689*Reference!$D$7*(1-IF(MONTH($A689)=Reference!$D$6,1,0)*Reference!$D$12)</f>
        <v>269250</v>
      </c>
      <c r="M689" s="20"/>
      <c r="N689" s="20"/>
      <c r="O689" s="19"/>
      <c r="P689" s="10"/>
      <c r="Q689" s="10"/>
      <c r="R689" s="10"/>
      <c r="S689" s="10"/>
      <c r="T689" s="10"/>
      <c r="U689" s="10"/>
      <c r="V689" s="10"/>
      <c r="W689" s="10"/>
      <c r="X689" s="10"/>
      <c r="Y689" s="10"/>
    </row>
    <row r="690" spans="1:25" x14ac:dyDescent="0.25">
      <c r="A690" s="9">
        <v>41228</v>
      </c>
      <c r="B690" s="10">
        <f ca="1">ROUND(_xlfn.NORM.INV(RAND(),Reference!$C$8,0.1*Reference!$C$8)*(1+Reference!$C$11*(IF(MONTH($A690)=Reference!$C$4,1,0)+IF(MONTH($A690)=Reference!$C$5,1,0))+(IF(MONTH($A690)=Reference!$C$6,Reference!$C$13,0))),0)</f>
        <v>295</v>
      </c>
      <c r="C690" s="11">
        <f ca="1">B690*Reference!$C$7*(1-IF(MONTH($A690)=Reference!$C$6,1,0)*Reference!$C$12)</f>
        <v>274350</v>
      </c>
      <c r="D690" s="10">
        <f ca="1">ROUND(_xlfn.NORM.INV(RAND(),Reference!$D$8,0.1*Reference!$D$8)*(1+Reference!$D$11*(IF(MONTH($A690)=Reference!$D$4,1,0)+IF(MONTH($A690)=Reference!$D$5,1,0))+(IF(MONTH($A690)=Reference!$D$6,Reference!$D$13,0))),0)</f>
        <v>455</v>
      </c>
      <c r="E690" s="11">
        <f ca="1">D690*Reference!$D$7*(1-IF(MONTH($A690)=Reference!$D$6,1,0)*Reference!$D$12)</f>
        <v>341250</v>
      </c>
      <c r="M690" s="20"/>
      <c r="N690" s="20"/>
      <c r="O690" s="19"/>
      <c r="P690" s="10"/>
      <c r="Q690" s="10"/>
      <c r="R690" s="10"/>
      <c r="S690" s="10"/>
      <c r="T690" s="10"/>
      <c r="U690" s="10"/>
      <c r="V690" s="10"/>
      <c r="W690" s="10"/>
      <c r="X690" s="10"/>
      <c r="Y690" s="10"/>
    </row>
    <row r="691" spans="1:25" x14ac:dyDescent="0.25">
      <c r="A691" s="9">
        <v>41229</v>
      </c>
      <c r="B691" s="10">
        <f ca="1">ROUND(_xlfn.NORM.INV(RAND(),Reference!$C$8,0.1*Reference!$C$8)*(1+Reference!$C$11*(IF(MONTH($A691)=Reference!$C$4,1,0)+IF(MONTH($A691)=Reference!$C$5,1,0))+(IF(MONTH($A691)=Reference!$C$6,Reference!$C$13,0))),0)</f>
        <v>315</v>
      </c>
      <c r="C691" s="11">
        <f ca="1">B691*Reference!$C$7*(1-IF(MONTH($A691)=Reference!$C$6,1,0)*Reference!$C$12)</f>
        <v>292950</v>
      </c>
      <c r="D691" s="10">
        <f ca="1">ROUND(_xlfn.NORM.INV(RAND(),Reference!$D$8,0.1*Reference!$D$8)*(1+Reference!$D$11*(IF(MONTH($A691)=Reference!$D$4,1,0)+IF(MONTH($A691)=Reference!$D$5,1,0))+(IF(MONTH($A691)=Reference!$D$6,Reference!$D$13,0))),0)</f>
        <v>416</v>
      </c>
      <c r="E691" s="11">
        <f ca="1">D691*Reference!$D$7*(1-IF(MONTH($A691)=Reference!$D$6,1,0)*Reference!$D$12)</f>
        <v>312000</v>
      </c>
      <c r="M691" s="20"/>
      <c r="N691" s="20"/>
      <c r="O691" s="19"/>
      <c r="P691" s="10"/>
      <c r="Q691" s="10"/>
      <c r="R691" s="10"/>
      <c r="S691" s="10"/>
      <c r="T691" s="10"/>
      <c r="U691" s="10"/>
      <c r="V691" s="10"/>
      <c r="W691" s="10"/>
      <c r="X691" s="10"/>
      <c r="Y691" s="10"/>
    </row>
    <row r="692" spans="1:25" x14ac:dyDescent="0.25">
      <c r="A692" s="9">
        <v>41230</v>
      </c>
      <c r="B692" s="10">
        <f ca="1">ROUND(_xlfn.NORM.INV(RAND(),Reference!$C$8,0.1*Reference!$C$8)*(1+Reference!$C$11*(IF(MONTH($A692)=Reference!$C$4,1,0)+IF(MONTH($A692)=Reference!$C$5,1,0))+(IF(MONTH($A692)=Reference!$C$6,Reference!$C$13,0))),0)</f>
        <v>410</v>
      </c>
      <c r="C692" s="11">
        <f ca="1">B692*Reference!$C$7*(1-IF(MONTH($A692)=Reference!$C$6,1,0)*Reference!$C$12)</f>
        <v>381300</v>
      </c>
      <c r="D692" s="10">
        <f ca="1">ROUND(_xlfn.NORM.INV(RAND(),Reference!$D$8,0.1*Reference!$D$8)*(1+Reference!$D$11*(IF(MONTH($A692)=Reference!$D$4,1,0)+IF(MONTH($A692)=Reference!$D$5,1,0))+(IF(MONTH($A692)=Reference!$D$6,Reference!$D$13,0))),0)</f>
        <v>453</v>
      </c>
      <c r="E692" s="11">
        <f ca="1">D692*Reference!$D$7*(1-IF(MONTH($A692)=Reference!$D$6,1,0)*Reference!$D$12)</f>
        <v>339750</v>
      </c>
      <c r="M692" s="20"/>
      <c r="N692" s="20"/>
      <c r="O692" s="19"/>
      <c r="P692" s="10"/>
      <c r="Q692" s="10"/>
      <c r="R692" s="10"/>
      <c r="S692" s="10"/>
      <c r="T692" s="10"/>
      <c r="U692" s="10"/>
      <c r="V692" s="10"/>
      <c r="W692" s="10"/>
      <c r="X692" s="10"/>
      <c r="Y692" s="10"/>
    </row>
    <row r="693" spans="1:25" x14ac:dyDescent="0.25">
      <c r="A693" s="9">
        <v>41231</v>
      </c>
      <c r="B693" s="10">
        <f ca="1">ROUND(_xlfn.NORM.INV(RAND(),Reference!$C$8,0.1*Reference!$C$8)*(1+Reference!$C$11*(IF(MONTH($A693)=Reference!$C$4,1,0)+IF(MONTH($A693)=Reference!$C$5,1,0))+(IF(MONTH($A693)=Reference!$C$6,Reference!$C$13,0))),0)</f>
        <v>423</v>
      </c>
      <c r="C693" s="11">
        <f ca="1">B693*Reference!$C$7*(1-IF(MONTH($A693)=Reference!$C$6,1,0)*Reference!$C$12)</f>
        <v>393390</v>
      </c>
      <c r="D693" s="10">
        <f ca="1">ROUND(_xlfn.NORM.INV(RAND(),Reference!$D$8,0.1*Reference!$D$8)*(1+Reference!$D$11*(IF(MONTH($A693)=Reference!$D$4,1,0)+IF(MONTH($A693)=Reference!$D$5,1,0))+(IF(MONTH($A693)=Reference!$D$6,Reference!$D$13,0))),0)</f>
        <v>395</v>
      </c>
      <c r="E693" s="11">
        <f ca="1">D693*Reference!$D$7*(1-IF(MONTH($A693)=Reference!$D$6,1,0)*Reference!$D$12)</f>
        <v>296250</v>
      </c>
      <c r="M693" s="20"/>
      <c r="N693" s="20"/>
      <c r="O693" s="19"/>
      <c r="P693" s="10"/>
      <c r="Q693" s="10"/>
      <c r="R693" s="10"/>
      <c r="S693" s="10"/>
      <c r="T693" s="10"/>
      <c r="U693" s="10"/>
      <c r="V693" s="10"/>
      <c r="W693" s="10"/>
      <c r="X693" s="10"/>
      <c r="Y693" s="10"/>
    </row>
    <row r="694" spans="1:25" x14ac:dyDescent="0.25">
      <c r="A694" s="9">
        <v>41232</v>
      </c>
      <c r="B694" s="10">
        <f ca="1">ROUND(_xlfn.NORM.INV(RAND(),Reference!$C$8,0.1*Reference!$C$8)*(1+Reference!$C$11*(IF(MONTH($A694)=Reference!$C$4,1,0)+IF(MONTH($A694)=Reference!$C$5,1,0))+(IF(MONTH($A694)=Reference!$C$6,Reference!$C$13,0))),0)</f>
        <v>364</v>
      </c>
      <c r="C694" s="11">
        <f ca="1">B694*Reference!$C$7*(1-IF(MONTH($A694)=Reference!$C$6,1,0)*Reference!$C$12)</f>
        <v>338520</v>
      </c>
      <c r="D694" s="10">
        <f ca="1">ROUND(_xlfn.NORM.INV(RAND(),Reference!$D$8,0.1*Reference!$D$8)*(1+Reference!$D$11*(IF(MONTH($A694)=Reference!$D$4,1,0)+IF(MONTH($A694)=Reference!$D$5,1,0))+(IF(MONTH($A694)=Reference!$D$6,Reference!$D$13,0))),0)</f>
        <v>404</v>
      </c>
      <c r="E694" s="11">
        <f ca="1">D694*Reference!$D$7*(1-IF(MONTH($A694)=Reference!$D$6,1,0)*Reference!$D$12)</f>
        <v>303000</v>
      </c>
      <c r="M694" s="20"/>
      <c r="N694" s="20"/>
      <c r="O694" s="19"/>
      <c r="P694" s="10"/>
      <c r="Q694" s="10"/>
      <c r="R694" s="10"/>
      <c r="S694" s="10"/>
      <c r="T694" s="10"/>
      <c r="U694" s="10"/>
      <c r="V694" s="10"/>
      <c r="W694" s="10"/>
      <c r="X694" s="10"/>
      <c r="Y694" s="10"/>
    </row>
    <row r="695" spans="1:25" x14ac:dyDescent="0.25">
      <c r="A695" s="9">
        <v>41233</v>
      </c>
      <c r="B695" s="10">
        <f ca="1">ROUND(_xlfn.NORM.INV(RAND(),Reference!$C$8,0.1*Reference!$C$8)*(1+Reference!$C$11*(IF(MONTH($A695)=Reference!$C$4,1,0)+IF(MONTH($A695)=Reference!$C$5,1,0))+(IF(MONTH($A695)=Reference!$C$6,Reference!$C$13,0))),0)</f>
        <v>354</v>
      </c>
      <c r="C695" s="11">
        <f ca="1">B695*Reference!$C$7*(1-IF(MONTH($A695)=Reference!$C$6,1,0)*Reference!$C$12)</f>
        <v>329220</v>
      </c>
      <c r="D695" s="10">
        <f ca="1">ROUND(_xlfn.NORM.INV(RAND(),Reference!$D$8,0.1*Reference!$D$8)*(1+Reference!$D$11*(IF(MONTH($A695)=Reference!$D$4,1,0)+IF(MONTH($A695)=Reference!$D$5,1,0))+(IF(MONTH($A695)=Reference!$D$6,Reference!$D$13,0))),0)</f>
        <v>422</v>
      </c>
      <c r="E695" s="11">
        <f ca="1">D695*Reference!$D$7*(1-IF(MONTH($A695)=Reference!$D$6,1,0)*Reference!$D$12)</f>
        <v>316500</v>
      </c>
      <c r="M695" s="20"/>
      <c r="N695" s="20"/>
      <c r="O695" s="19"/>
      <c r="P695" s="10"/>
      <c r="Q695" s="10"/>
      <c r="R695" s="10"/>
      <c r="S695" s="10"/>
      <c r="T695" s="10"/>
      <c r="U695" s="10"/>
      <c r="V695" s="10"/>
      <c r="W695" s="10"/>
      <c r="X695" s="10"/>
      <c r="Y695" s="10"/>
    </row>
    <row r="696" spans="1:25" x14ac:dyDescent="0.25">
      <c r="A696" s="9">
        <v>41234</v>
      </c>
      <c r="B696" s="10">
        <f ca="1">ROUND(_xlfn.NORM.INV(RAND(),Reference!$C$8,0.1*Reference!$C$8)*(1+Reference!$C$11*(IF(MONTH($A696)=Reference!$C$4,1,0)+IF(MONTH($A696)=Reference!$C$5,1,0))+(IF(MONTH($A696)=Reference!$C$6,Reference!$C$13,0))),0)</f>
        <v>365</v>
      </c>
      <c r="C696" s="11">
        <f ca="1">B696*Reference!$C$7*(1-IF(MONTH($A696)=Reference!$C$6,1,0)*Reference!$C$12)</f>
        <v>339450</v>
      </c>
      <c r="D696" s="10">
        <f ca="1">ROUND(_xlfn.NORM.INV(RAND(),Reference!$D$8,0.1*Reference!$D$8)*(1+Reference!$D$11*(IF(MONTH($A696)=Reference!$D$4,1,0)+IF(MONTH($A696)=Reference!$D$5,1,0))+(IF(MONTH($A696)=Reference!$D$6,Reference!$D$13,0))),0)</f>
        <v>453</v>
      </c>
      <c r="E696" s="11">
        <f ca="1">D696*Reference!$D$7*(1-IF(MONTH($A696)=Reference!$D$6,1,0)*Reference!$D$12)</f>
        <v>339750</v>
      </c>
      <c r="M696" s="20"/>
      <c r="N696" s="20"/>
      <c r="O696" s="19"/>
      <c r="P696" s="10"/>
      <c r="Q696" s="10"/>
      <c r="R696" s="10"/>
      <c r="S696" s="10"/>
      <c r="T696" s="10"/>
      <c r="U696" s="10"/>
      <c r="V696" s="10"/>
      <c r="W696" s="10"/>
      <c r="X696" s="10"/>
      <c r="Y696" s="10"/>
    </row>
    <row r="697" spans="1:25" x14ac:dyDescent="0.25">
      <c r="A697" s="9">
        <v>41235</v>
      </c>
      <c r="B697" s="10">
        <f ca="1">ROUND(_xlfn.NORM.INV(RAND(),Reference!$C$8,0.1*Reference!$C$8)*(1+Reference!$C$11*(IF(MONTH($A697)=Reference!$C$4,1,0)+IF(MONTH($A697)=Reference!$C$5,1,0))+(IF(MONTH($A697)=Reference!$C$6,Reference!$C$13,0))),0)</f>
        <v>349</v>
      </c>
      <c r="C697" s="11">
        <f ca="1">B697*Reference!$C$7*(1-IF(MONTH($A697)=Reference!$C$6,1,0)*Reference!$C$12)</f>
        <v>324570</v>
      </c>
      <c r="D697" s="10">
        <f ca="1">ROUND(_xlfn.NORM.INV(RAND(),Reference!$D$8,0.1*Reference!$D$8)*(1+Reference!$D$11*(IF(MONTH($A697)=Reference!$D$4,1,0)+IF(MONTH($A697)=Reference!$D$5,1,0))+(IF(MONTH($A697)=Reference!$D$6,Reference!$D$13,0))),0)</f>
        <v>446</v>
      </c>
      <c r="E697" s="11">
        <f ca="1">D697*Reference!$D$7*(1-IF(MONTH($A697)=Reference!$D$6,1,0)*Reference!$D$12)</f>
        <v>334500</v>
      </c>
      <c r="M697" s="20"/>
      <c r="N697" s="20"/>
      <c r="O697" s="19"/>
      <c r="P697" s="10"/>
      <c r="Q697" s="10"/>
      <c r="R697" s="10"/>
      <c r="S697" s="10"/>
      <c r="T697" s="10"/>
      <c r="U697" s="10"/>
      <c r="V697" s="10"/>
      <c r="W697" s="10"/>
      <c r="X697" s="10"/>
      <c r="Y697" s="10"/>
    </row>
    <row r="698" spans="1:25" x14ac:dyDescent="0.25">
      <c r="A698" s="9">
        <v>41236</v>
      </c>
      <c r="B698" s="10">
        <f ca="1">ROUND(_xlfn.NORM.INV(RAND(),Reference!$C$8,0.1*Reference!$C$8)*(1+Reference!$C$11*(IF(MONTH($A698)=Reference!$C$4,1,0)+IF(MONTH($A698)=Reference!$C$5,1,0))+(IF(MONTH($A698)=Reference!$C$6,Reference!$C$13,0))),0)</f>
        <v>386</v>
      </c>
      <c r="C698" s="11">
        <f ca="1">B698*Reference!$C$7*(1-IF(MONTH($A698)=Reference!$C$6,1,0)*Reference!$C$12)</f>
        <v>358980</v>
      </c>
      <c r="D698" s="10">
        <f ca="1">ROUND(_xlfn.NORM.INV(RAND(),Reference!$D$8,0.1*Reference!$D$8)*(1+Reference!$D$11*(IF(MONTH($A698)=Reference!$D$4,1,0)+IF(MONTH($A698)=Reference!$D$5,1,0))+(IF(MONTH($A698)=Reference!$D$6,Reference!$D$13,0))),0)</f>
        <v>432</v>
      </c>
      <c r="E698" s="11">
        <f ca="1">D698*Reference!$D$7*(1-IF(MONTH($A698)=Reference!$D$6,1,0)*Reference!$D$12)</f>
        <v>324000</v>
      </c>
      <c r="M698" s="20"/>
      <c r="N698" s="20"/>
      <c r="O698" s="19"/>
      <c r="P698" s="10"/>
      <c r="Q698" s="10"/>
      <c r="R698" s="10"/>
      <c r="S698" s="10"/>
      <c r="T698" s="10"/>
      <c r="U698" s="10"/>
      <c r="V698" s="10"/>
      <c r="W698" s="10"/>
      <c r="X698" s="10"/>
      <c r="Y698" s="10"/>
    </row>
    <row r="699" spans="1:25" x14ac:dyDescent="0.25">
      <c r="A699" s="9">
        <v>41237</v>
      </c>
      <c r="B699" s="10">
        <f ca="1">ROUND(_xlfn.NORM.INV(RAND(),Reference!$C$8,0.1*Reference!$C$8)*(1+Reference!$C$11*(IF(MONTH($A699)=Reference!$C$4,1,0)+IF(MONTH($A699)=Reference!$C$5,1,0))+(IF(MONTH($A699)=Reference!$C$6,Reference!$C$13,0))),0)</f>
        <v>344</v>
      </c>
      <c r="C699" s="11">
        <f ca="1">B699*Reference!$C$7*(1-IF(MONTH($A699)=Reference!$C$6,1,0)*Reference!$C$12)</f>
        <v>319920</v>
      </c>
      <c r="D699" s="10">
        <f ca="1">ROUND(_xlfn.NORM.INV(RAND(),Reference!$D$8,0.1*Reference!$D$8)*(1+Reference!$D$11*(IF(MONTH($A699)=Reference!$D$4,1,0)+IF(MONTH($A699)=Reference!$D$5,1,0))+(IF(MONTH($A699)=Reference!$D$6,Reference!$D$13,0))),0)</f>
        <v>553</v>
      </c>
      <c r="E699" s="11">
        <f ca="1">D699*Reference!$D$7*(1-IF(MONTH($A699)=Reference!$D$6,1,0)*Reference!$D$12)</f>
        <v>414750</v>
      </c>
      <c r="M699" s="20"/>
      <c r="N699" s="20"/>
      <c r="O699" s="19"/>
      <c r="P699" s="10"/>
      <c r="Q699" s="10"/>
      <c r="R699" s="10"/>
      <c r="S699" s="10"/>
      <c r="T699" s="10"/>
      <c r="U699" s="10"/>
      <c r="V699" s="10"/>
      <c r="W699" s="10"/>
      <c r="X699" s="10"/>
      <c r="Y699" s="10"/>
    </row>
    <row r="700" spans="1:25" x14ac:dyDescent="0.25">
      <c r="A700" s="9">
        <v>41238</v>
      </c>
      <c r="B700" s="10">
        <f ca="1">ROUND(_xlfn.NORM.INV(RAND(),Reference!$C$8,0.1*Reference!$C$8)*(1+Reference!$C$11*(IF(MONTH($A700)=Reference!$C$4,1,0)+IF(MONTH($A700)=Reference!$C$5,1,0))+(IF(MONTH($A700)=Reference!$C$6,Reference!$C$13,0))),0)</f>
        <v>384</v>
      </c>
      <c r="C700" s="11">
        <f ca="1">B700*Reference!$C$7*(1-IF(MONTH($A700)=Reference!$C$6,1,0)*Reference!$C$12)</f>
        <v>357120</v>
      </c>
      <c r="D700" s="10">
        <f ca="1">ROUND(_xlfn.NORM.INV(RAND(),Reference!$D$8,0.1*Reference!$D$8)*(1+Reference!$D$11*(IF(MONTH($A700)=Reference!$D$4,1,0)+IF(MONTH($A700)=Reference!$D$5,1,0))+(IF(MONTH($A700)=Reference!$D$6,Reference!$D$13,0))),0)</f>
        <v>416</v>
      </c>
      <c r="E700" s="11">
        <f ca="1">D700*Reference!$D$7*(1-IF(MONTH($A700)=Reference!$D$6,1,0)*Reference!$D$12)</f>
        <v>312000</v>
      </c>
      <c r="M700" s="20"/>
      <c r="N700" s="20"/>
      <c r="O700" s="19"/>
      <c r="P700" s="10"/>
      <c r="Q700" s="10"/>
      <c r="R700" s="10"/>
      <c r="S700" s="10"/>
      <c r="T700" s="10"/>
      <c r="U700" s="10"/>
      <c r="V700" s="10"/>
      <c r="W700" s="10"/>
      <c r="X700" s="10"/>
      <c r="Y700" s="10"/>
    </row>
    <row r="701" spans="1:25" x14ac:dyDescent="0.25">
      <c r="A701" s="9">
        <v>41239</v>
      </c>
      <c r="B701" s="10">
        <f ca="1">ROUND(_xlfn.NORM.INV(RAND(),Reference!$C$8,0.1*Reference!$C$8)*(1+Reference!$C$11*(IF(MONTH($A701)=Reference!$C$4,1,0)+IF(MONTH($A701)=Reference!$C$5,1,0))+(IF(MONTH($A701)=Reference!$C$6,Reference!$C$13,0))),0)</f>
        <v>354</v>
      </c>
      <c r="C701" s="11">
        <f ca="1">B701*Reference!$C$7*(1-IF(MONTH($A701)=Reference!$C$6,1,0)*Reference!$C$12)</f>
        <v>329220</v>
      </c>
      <c r="D701" s="10">
        <f ca="1">ROUND(_xlfn.NORM.INV(RAND(),Reference!$D$8,0.1*Reference!$D$8)*(1+Reference!$D$11*(IF(MONTH($A701)=Reference!$D$4,1,0)+IF(MONTH($A701)=Reference!$D$5,1,0))+(IF(MONTH($A701)=Reference!$D$6,Reference!$D$13,0))),0)</f>
        <v>397</v>
      </c>
      <c r="E701" s="11">
        <f ca="1">D701*Reference!$D$7*(1-IF(MONTH($A701)=Reference!$D$6,1,0)*Reference!$D$12)</f>
        <v>297750</v>
      </c>
      <c r="M701" s="20"/>
      <c r="N701" s="20"/>
      <c r="O701" s="19"/>
      <c r="P701" s="10"/>
      <c r="Q701" s="10"/>
      <c r="R701" s="10"/>
      <c r="S701" s="10"/>
      <c r="T701" s="10"/>
      <c r="U701" s="10"/>
      <c r="V701" s="10"/>
      <c r="W701" s="10"/>
      <c r="X701" s="10"/>
      <c r="Y701" s="10"/>
    </row>
    <row r="702" spans="1:25" x14ac:dyDescent="0.25">
      <c r="A702" s="9">
        <v>41240</v>
      </c>
      <c r="B702" s="10">
        <f ca="1">ROUND(_xlfn.NORM.INV(RAND(),Reference!$C$8,0.1*Reference!$C$8)*(1+Reference!$C$11*(IF(MONTH($A702)=Reference!$C$4,1,0)+IF(MONTH($A702)=Reference!$C$5,1,0))+(IF(MONTH($A702)=Reference!$C$6,Reference!$C$13,0))),0)</f>
        <v>360</v>
      </c>
      <c r="C702" s="11">
        <f ca="1">B702*Reference!$C$7*(1-IF(MONTH($A702)=Reference!$C$6,1,0)*Reference!$C$12)</f>
        <v>334800</v>
      </c>
      <c r="D702" s="10">
        <f ca="1">ROUND(_xlfn.NORM.INV(RAND(),Reference!$D$8,0.1*Reference!$D$8)*(1+Reference!$D$11*(IF(MONTH($A702)=Reference!$D$4,1,0)+IF(MONTH($A702)=Reference!$D$5,1,0))+(IF(MONTH($A702)=Reference!$D$6,Reference!$D$13,0))),0)</f>
        <v>454</v>
      </c>
      <c r="E702" s="11">
        <f ca="1">D702*Reference!$D$7*(1-IF(MONTH($A702)=Reference!$D$6,1,0)*Reference!$D$12)</f>
        <v>340500</v>
      </c>
      <c r="M702" s="20"/>
      <c r="N702" s="20"/>
      <c r="O702" s="19"/>
      <c r="P702" s="10"/>
      <c r="Q702" s="10"/>
      <c r="R702" s="10"/>
      <c r="S702" s="10"/>
      <c r="T702" s="10"/>
      <c r="U702" s="10"/>
      <c r="V702" s="10"/>
      <c r="W702" s="10"/>
      <c r="X702" s="10"/>
      <c r="Y702" s="10"/>
    </row>
    <row r="703" spans="1:25" x14ac:dyDescent="0.25">
      <c r="A703" s="9">
        <v>41241</v>
      </c>
      <c r="B703" s="10">
        <f ca="1">ROUND(_xlfn.NORM.INV(RAND(),Reference!$C$8,0.1*Reference!$C$8)*(1+Reference!$C$11*(IF(MONTH($A703)=Reference!$C$4,1,0)+IF(MONTH($A703)=Reference!$C$5,1,0))+(IF(MONTH($A703)=Reference!$C$6,Reference!$C$13,0))),0)</f>
        <v>380</v>
      </c>
      <c r="C703" s="11">
        <f ca="1">B703*Reference!$C$7*(1-IF(MONTH($A703)=Reference!$C$6,1,0)*Reference!$C$12)</f>
        <v>353400</v>
      </c>
      <c r="D703" s="10">
        <f ca="1">ROUND(_xlfn.NORM.INV(RAND(),Reference!$D$8,0.1*Reference!$D$8)*(1+Reference!$D$11*(IF(MONTH($A703)=Reference!$D$4,1,0)+IF(MONTH($A703)=Reference!$D$5,1,0))+(IF(MONTH($A703)=Reference!$D$6,Reference!$D$13,0))),0)</f>
        <v>465</v>
      </c>
      <c r="E703" s="11">
        <f ca="1">D703*Reference!$D$7*(1-IF(MONTH($A703)=Reference!$D$6,1,0)*Reference!$D$12)</f>
        <v>348750</v>
      </c>
      <c r="M703" s="20"/>
      <c r="N703" s="20"/>
      <c r="O703" s="19"/>
      <c r="P703" s="10"/>
      <c r="Q703" s="10"/>
      <c r="R703" s="10"/>
      <c r="S703" s="10"/>
      <c r="T703" s="10"/>
      <c r="U703" s="10"/>
      <c r="V703" s="10"/>
      <c r="W703" s="10"/>
      <c r="X703" s="10"/>
      <c r="Y703" s="10"/>
    </row>
    <row r="704" spans="1:25" x14ac:dyDescent="0.25">
      <c r="A704" s="9">
        <v>41242</v>
      </c>
      <c r="B704" s="10">
        <f ca="1">ROUND(_xlfn.NORM.INV(RAND(),Reference!$C$8,0.1*Reference!$C$8)*(1+Reference!$C$11*(IF(MONTH($A704)=Reference!$C$4,1,0)+IF(MONTH($A704)=Reference!$C$5,1,0))+(IF(MONTH($A704)=Reference!$C$6,Reference!$C$13,0))),0)</f>
        <v>336</v>
      </c>
      <c r="C704" s="11">
        <f ca="1">B704*Reference!$C$7*(1-IF(MONTH($A704)=Reference!$C$6,1,0)*Reference!$C$12)</f>
        <v>312480</v>
      </c>
      <c r="D704" s="10">
        <f ca="1">ROUND(_xlfn.NORM.INV(RAND(),Reference!$D$8,0.1*Reference!$D$8)*(1+Reference!$D$11*(IF(MONTH($A704)=Reference!$D$4,1,0)+IF(MONTH($A704)=Reference!$D$5,1,0))+(IF(MONTH($A704)=Reference!$D$6,Reference!$D$13,0))),0)</f>
        <v>459</v>
      </c>
      <c r="E704" s="11">
        <f ca="1">D704*Reference!$D$7*(1-IF(MONTH($A704)=Reference!$D$6,1,0)*Reference!$D$12)</f>
        <v>344250</v>
      </c>
      <c r="M704" s="20"/>
      <c r="N704" s="20"/>
      <c r="O704" s="19"/>
      <c r="P704" s="10"/>
      <c r="Q704" s="10"/>
      <c r="R704" s="10"/>
      <c r="S704" s="10"/>
      <c r="T704" s="10"/>
      <c r="U704" s="10"/>
      <c r="V704" s="10"/>
      <c r="W704" s="10"/>
      <c r="X704" s="10"/>
      <c r="Y704" s="10"/>
    </row>
    <row r="705" spans="1:25" x14ac:dyDescent="0.25">
      <c r="A705" s="9">
        <v>41243</v>
      </c>
      <c r="B705" s="10">
        <f ca="1">ROUND(_xlfn.NORM.INV(RAND(),Reference!$C$8,0.1*Reference!$C$8)*(1+Reference!$C$11*(IF(MONTH($A705)=Reference!$C$4,1,0)+IF(MONTH($A705)=Reference!$C$5,1,0))+(IF(MONTH($A705)=Reference!$C$6,Reference!$C$13,0))),0)</f>
        <v>304</v>
      </c>
      <c r="C705" s="11">
        <f ca="1">B705*Reference!$C$7*(1-IF(MONTH($A705)=Reference!$C$6,1,0)*Reference!$C$12)</f>
        <v>282720</v>
      </c>
      <c r="D705" s="10">
        <f ca="1">ROUND(_xlfn.NORM.INV(RAND(),Reference!$D$8,0.1*Reference!$D$8)*(1+Reference!$D$11*(IF(MONTH($A705)=Reference!$D$4,1,0)+IF(MONTH($A705)=Reference!$D$5,1,0))+(IF(MONTH($A705)=Reference!$D$6,Reference!$D$13,0))),0)</f>
        <v>408</v>
      </c>
      <c r="E705" s="11">
        <f ca="1">D705*Reference!$D$7*(1-IF(MONTH($A705)=Reference!$D$6,1,0)*Reference!$D$12)</f>
        <v>306000</v>
      </c>
      <c r="M705" s="20"/>
      <c r="N705" s="20"/>
      <c r="O705" s="19"/>
      <c r="P705" s="10"/>
      <c r="Q705" s="10"/>
      <c r="R705" s="10"/>
      <c r="S705" s="10"/>
      <c r="T705" s="10"/>
      <c r="U705" s="10"/>
      <c r="V705" s="10"/>
      <c r="W705" s="10"/>
      <c r="X705" s="10"/>
      <c r="Y705" s="10"/>
    </row>
    <row r="706" spans="1:25" x14ac:dyDescent="0.25">
      <c r="A706" s="9">
        <v>41244</v>
      </c>
      <c r="B706" s="10">
        <f ca="1">ROUND(_xlfn.NORM.INV(RAND(),Reference!$C$8,0.1*Reference!$C$8)*(1+Reference!$C$11*(IF(MONTH($A706)=Reference!$C$4,1,0)+IF(MONTH($A706)=Reference!$C$5,1,0))+(IF(MONTH($A706)=Reference!$C$6,Reference!$C$13,0))),0)</f>
        <v>376</v>
      </c>
      <c r="C706" s="11">
        <f ca="1">B706*Reference!$C$7*(1-IF(MONTH($A706)=Reference!$C$6,1,0)*Reference!$C$12)</f>
        <v>349680</v>
      </c>
      <c r="D706" s="10">
        <f ca="1">ROUND(_xlfn.NORM.INV(RAND(),Reference!$D$8,0.1*Reference!$D$8)*(1+Reference!$D$11*(IF(MONTH($A706)=Reference!$D$4,1,0)+IF(MONTH($A706)=Reference!$D$5,1,0))+(IF(MONTH($A706)=Reference!$D$6,Reference!$D$13,0))),0)</f>
        <v>448</v>
      </c>
      <c r="E706" s="11">
        <f ca="1">D706*Reference!$D$7*(1-IF(MONTH($A706)=Reference!$D$6,1,0)*Reference!$D$12)</f>
        <v>336000</v>
      </c>
      <c r="M706" s="20"/>
      <c r="N706" s="20"/>
      <c r="O706" s="19"/>
      <c r="P706" s="10"/>
      <c r="Q706" s="10"/>
      <c r="R706" s="10"/>
      <c r="S706" s="10"/>
      <c r="T706" s="10"/>
      <c r="U706" s="10"/>
      <c r="V706" s="10"/>
      <c r="W706" s="10"/>
      <c r="X706" s="10"/>
      <c r="Y706" s="10"/>
    </row>
    <row r="707" spans="1:25" x14ac:dyDescent="0.25">
      <c r="A707" s="9">
        <v>41245</v>
      </c>
      <c r="B707" s="10">
        <f ca="1">ROUND(_xlfn.NORM.INV(RAND(),Reference!$C$8,0.1*Reference!$C$8)*(1+Reference!$C$11*(IF(MONTH($A707)=Reference!$C$4,1,0)+IF(MONTH($A707)=Reference!$C$5,1,0))+(IF(MONTH($A707)=Reference!$C$6,Reference!$C$13,0))),0)</f>
        <v>329</v>
      </c>
      <c r="C707" s="11">
        <f ca="1">B707*Reference!$C$7*(1-IF(MONTH($A707)=Reference!$C$6,1,0)*Reference!$C$12)</f>
        <v>305970</v>
      </c>
      <c r="D707" s="10">
        <f ca="1">ROUND(_xlfn.NORM.INV(RAND(),Reference!$D$8,0.1*Reference!$D$8)*(1+Reference!$D$11*(IF(MONTH($A707)=Reference!$D$4,1,0)+IF(MONTH($A707)=Reference!$D$5,1,0))+(IF(MONTH($A707)=Reference!$D$6,Reference!$D$13,0))),0)</f>
        <v>356</v>
      </c>
      <c r="E707" s="11">
        <f ca="1">D707*Reference!$D$7*(1-IF(MONTH($A707)=Reference!$D$6,1,0)*Reference!$D$12)</f>
        <v>267000</v>
      </c>
      <c r="M707" s="20"/>
      <c r="N707" s="20"/>
      <c r="O707" s="19"/>
      <c r="P707" s="10"/>
      <c r="Q707" s="10"/>
      <c r="R707" s="10"/>
      <c r="S707" s="10"/>
      <c r="T707" s="10"/>
      <c r="U707" s="10"/>
      <c r="V707" s="10"/>
      <c r="W707" s="10"/>
      <c r="X707" s="10"/>
      <c r="Y707" s="10"/>
    </row>
    <row r="708" spans="1:25" x14ac:dyDescent="0.25">
      <c r="A708" s="9">
        <v>41246</v>
      </c>
      <c r="B708" s="10">
        <f ca="1">ROUND(_xlfn.NORM.INV(RAND(),Reference!$C$8,0.1*Reference!$C$8)*(1+Reference!$C$11*(IF(MONTH($A708)=Reference!$C$4,1,0)+IF(MONTH($A708)=Reference!$C$5,1,0))+(IF(MONTH($A708)=Reference!$C$6,Reference!$C$13,0))),0)</f>
        <v>394</v>
      </c>
      <c r="C708" s="11">
        <f ca="1">B708*Reference!$C$7*(1-IF(MONTH($A708)=Reference!$C$6,1,0)*Reference!$C$12)</f>
        <v>366420</v>
      </c>
      <c r="D708" s="10">
        <f ca="1">ROUND(_xlfn.NORM.INV(RAND(),Reference!$D$8,0.1*Reference!$D$8)*(1+Reference!$D$11*(IF(MONTH($A708)=Reference!$D$4,1,0)+IF(MONTH($A708)=Reference!$D$5,1,0))+(IF(MONTH($A708)=Reference!$D$6,Reference!$D$13,0))),0)</f>
        <v>494</v>
      </c>
      <c r="E708" s="11">
        <f ca="1">D708*Reference!$D$7*(1-IF(MONTH($A708)=Reference!$D$6,1,0)*Reference!$D$12)</f>
        <v>370500</v>
      </c>
      <c r="M708" s="20"/>
      <c r="N708" s="20"/>
      <c r="O708" s="19"/>
      <c r="P708" s="10"/>
      <c r="Q708" s="10"/>
      <c r="R708" s="10"/>
      <c r="S708" s="10"/>
      <c r="T708" s="10"/>
      <c r="U708" s="10"/>
      <c r="V708" s="10"/>
      <c r="W708" s="10"/>
      <c r="X708" s="10"/>
      <c r="Y708" s="10"/>
    </row>
    <row r="709" spans="1:25" x14ac:dyDescent="0.25">
      <c r="A709" s="9">
        <v>41247</v>
      </c>
      <c r="B709" s="10">
        <f ca="1">ROUND(_xlfn.NORM.INV(RAND(),Reference!$C$8,0.1*Reference!$C$8)*(1+Reference!$C$11*(IF(MONTH($A709)=Reference!$C$4,1,0)+IF(MONTH($A709)=Reference!$C$5,1,0))+(IF(MONTH($A709)=Reference!$C$6,Reference!$C$13,0))),0)</f>
        <v>368</v>
      </c>
      <c r="C709" s="11">
        <f ca="1">B709*Reference!$C$7*(1-IF(MONTH($A709)=Reference!$C$6,1,0)*Reference!$C$12)</f>
        <v>342240</v>
      </c>
      <c r="D709" s="10">
        <f ca="1">ROUND(_xlfn.NORM.INV(RAND(),Reference!$D$8,0.1*Reference!$D$8)*(1+Reference!$D$11*(IF(MONTH($A709)=Reference!$D$4,1,0)+IF(MONTH($A709)=Reference!$D$5,1,0))+(IF(MONTH($A709)=Reference!$D$6,Reference!$D$13,0))),0)</f>
        <v>387</v>
      </c>
      <c r="E709" s="11">
        <f ca="1">D709*Reference!$D$7*(1-IF(MONTH($A709)=Reference!$D$6,1,0)*Reference!$D$12)</f>
        <v>290250</v>
      </c>
      <c r="M709" s="20"/>
      <c r="N709" s="20"/>
      <c r="O709" s="19"/>
      <c r="P709" s="10"/>
      <c r="Q709" s="10"/>
      <c r="R709" s="10"/>
      <c r="S709" s="10"/>
      <c r="T709" s="10"/>
      <c r="U709" s="10"/>
      <c r="V709" s="10"/>
      <c r="W709" s="10"/>
      <c r="X709" s="10"/>
      <c r="Y709" s="10"/>
    </row>
    <row r="710" spans="1:25" x14ac:dyDescent="0.25">
      <c r="A710" s="9">
        <v>41248</v>
      </c>
      <c r="B710" s="10">
        <f ca="1">ROUND(_xlfn.NORM.INV(RAND(),Reference!$C$8,0.1*Reference!$C$8)*(1+Reference!$C$11*(IF(MONTH($A710)=Reference!$C$4,1,0)+IF(MONTH($A710)=Reference!$C$5,1,0))+(IF(MONTH($A710)=Reference!$C$6,Reference!$C$13,0))),0)</f>
        <v>410</v>
      </c>
      <c r="C710" s="11">
        <f ca="1">B710*Reference!$C$7*(1-IF(MONTH($A710)=Reference!$C$6,1,0)*Reference!$C$12)</f>
        <v>381300</v>
      </c>
      <c r="D710" s="10">
        <f ca="1">ROUND(_xlfn.NORM.INV(RAND(),Reference!$D$8,0.1*Reference!$D$8)*(1+Reference!$D$11*(IF(MONTH($A710)=Reference!$D$4,1,0)+IF(MONTH($A710)=Reference!$D$5,1,0))+(IF(MONTH($A710)=Reference!$D$6,Reference!$D$13,0))),0)</f>
        <v>481</v>
      </c>
      <c r="E710" s="11">
        <f ca="1">D710*Reference!$D$7*(1-IF(MONTH($A710)=Reference!$D$6,1,0)*Reference!$D$12)</f>
        <v>360750</v>
      </c>
      <c r="M710" s="20"/>
      <c r="N710" s="20"/>
      <c r="O710" s="19"/>
      <c r="P710" s="10"/>
      <c r="Q710" s="10"/>
      <c r="R710" s="10"/>
      <c r="S710" s="10"/>
      <c r="T710" s="10"/>
      <c r="U710" s="10"/>
      <c r="V710" s="10"/>
      <c r="W710" s="10"/>
      <c r="X710" s="10"/>
      <c r="Y710" s="10"/>
    </row>
    <row r="711" spans="1:25" x14ac:dyDescent="0.25">
      <c r="A711" s="9">
        <v>41249</v>
      </c>
      <c r="B711" s="10">
        <f ca="1">ROUND(_xlfn.NORM.INV(RAND(),Reference!$C$8,0.1*Reference!$C$8)*(1+Reference!$C$11*(IF(MONTH($A711)=Reference!$C$4,1,0)+IF(MONTH($A711)=Reference!$C$5,1,0))+(IF(MONTH($A711)=Reference!$C$6,Reference!$C$13,0))),0)</f>
        <v>328</v>
      </c>
      <c r="C711" s="11">
        <f ca="1">B711*Reference!$C$7*(1-IF(MONTH($A711)=Reference!$C$6,1,0)*Reference!$C$12)</f>
        <v>305040</v>
      </c>
      <c r="D711" s="10">
        <f ca="1">ROUND(_xlfn.NORM.INV(RAND(),Reference!$D$8,0.1*Reference!$D$8)*(1+Reference!$D$11*(IF(MONTH($A711)=Reference!$D$4,1,0)+IF(MONTH($A711)=Reference!$D$5,1,0))+(IF(MONTH($A711)=Reference!$D$6,Reference!$D$13,0))),0)</f>
        <v>405</v>
      </c>
      <c r="E711" s="11">
        <f ca="1">D711*Reference!$D$7*(1-IF(MONTH($A711)=Reference!$D$6,1,0)*Reference!$D$12)</f>
        <v>303750</v>
      </c>
      <c r="M711" s="20"/>
      <c r="N711" s="20"/>
      <c r="O711" s="19"/>
      <c r="P711" s="10"/>
      <c r="Q711" s="10"/>
      <c r="R711" s="10"/>
      <c r="S711" s="10"/>
      <c r="T711" s="10"/>
      <c r="U711" s="10"/>
      <c r="V711" s="10"/>
      <c r="W711" s="10"/>
      <c r="X711" s="10"/>
      <c r="Y711" s="10"/>
    </row>
    <row r="712" spans="1:25" x14ac:dyDescent="0.25">
      <c r="A712" s="9">
        <v>41250</v>
      </c>
      <c r="B712" s="10">
        <f ca="1">ROUND(_xlfn.NORM.INV(RAND(),Reference!$C$8,0.1*Reference!$C$8)*(1+Reference!$C$11*(IF(MONTH($A712)=Reference!$C$4,1,0)+IF(MONTH($A712)=Reference!$C$5,1,0))+(IF(MONTH($A712)=Reference!$C$6,Reference!$C$13,0))),0)</f>
        <v>414</v>
      </c>
      <c r="C712" s="11">
        <f ca="1">B712*Reference!$C$7*(1-IF(MONTH($A712)=Reference!$C$6,1,0)*Reference!$C$12)</f>
        <v>385020</v>
      </c>
      <c r="D712" s="10">
        <f ca="1">ROUND(_xlfn.NORM.INV(RAND(),Reference!$D$8,0.1*Reference!$D$8)*(1+Reference!$D$11*(IF(MONTH($A712)=Reference!$D$4,1,0)+IF(MONTH($A712)=Reference!$D$5,1,0))+(IF(MONTH($A712)=Reference!$D$6,Reference!$D$13,0))),0)</f>
        <v>516</v>
      </c>
      <c r="E712" s="11">
        <f ca="1">D712*Reference!$D$7*(1-IF(MONTH($A712)=Reference!$D$6,1,0)*Reference!$D$12)</f>
        <v>387000</v>
      </c>
      <c r="M712" s="20"/>
      <c r="N712" s="20"/>
      <c r="O712" s="19"/>
      <c r="P712" s="10"/>
      <c r="Q712" s="10"/>
      <c r="R712" s="10"/>
      <c r="S712" s="10"/>
      <c r="T712" s="10"/>
      <c r="U712" s="10"/>
      <c r="V712" s="10"/>
      <c r="W712" s="10"/>
      <c r="X712" s="10"/>
      <c r="Y712" s="10"/>
    </row>
    <row r="713" spans="1:25" x14ac:dyDescent="0.25">
      <c r="A713" s="9">
        <v>41251</v>
      </c>
      <c r="B713" s="10">
        <f ca="1">ROUND(_xlfn.NORM.INV(RAND(),Reference!$C$8,0.1*Reference!$C$8)*(1+Reference!$C$11*(IF(MONTH($A713)=Reference!$C$4,1,0)+IF(MONTH($A713)=Reference!$C$5,1,0))+(IF(MONTH($A713)=Reference!$C$6,Reference!$C$13,0))),0)</f>
        <v>420</v>
      </c>
      <c r="C713" s="11">
        <f ca="1">B713*Reference!$C$7*(1-IF(MONTH($A713)=Reference!$C$6,1,0)*Reference!$C$12)</f>
        <v>390600</v>
      </c>
      <c r="D713" s="10">
        <f ca="1">ROUND(_xlfn.NORM.INV(RAND(),Reference!$D$8,0.1*Reference!$D$8)*(1+Reference!$D$11*(IF(MONTH($A713)=Reference!$D$4,1,0)+IF(MONTH($A713)=Reference!$D$5,1,0))+(IF(MONTH($A713)=Reference!$D$6,Reference!$D$13,0))),0)</f>
        <v>471</v>
      </c>
      <c r="E713" s="11">
        <f ca="1">D713*Reference!$D$7*(1-IF(MONTH($A713)=Reference!$D$6,1,0)*Reference!$D$12)</f>
        <v>353250</v>
      </c>
      <c r="M713" s="20"/>
      <c r="N713" s="20"/>
      <c r="O713" s="19"/>
      <c r="P713" s="10"/>
      <c r="Q713" s="10"/>
      <c r="R713" s="10"/>
      <c r="S713" s="10"/>
      <c r="T713" s="10"/>
      <c r="U713" s="10"/>
      <c r="V713" s="10"/>
      <c r="W713" s="10"/>
      <c r="X713" s="10"/>
      <c r="Y713" s="10"/>
    </row>
    <row r="714" spans="1:25" x14ac:dyDescent="0.25">
      <c r="A714" s="9">
        <v>41252</v>
      </c>
      <c r="B714" s="10">
        <f ca="1">ROUND(_xlfn.NORM.INV(RAND(),Reference!$C$8,0.1*Reference!$C$8)*(1+Reference!$C$11*(IF(MONTH($A714)=Reference!$C$4,1,0)+IF(MONTH($A714)=Reference!$C$5,1,0))+(IF(MONTH($A714)=Reference!$C$6,Reference!$C$13,0))),0)</f>
        <v>396</v>
      </c>
      <c r="C714" s="11">
        <f ca="1">B714*Reference!$C$7*(1-IF(MONTH($A714)=Reference!$C$6,1,0)*Reference!$C$12)</f>
        <v>368280</v>
      </c>
      <c r="D714" s="10">
        <f ca="1">ROUND(_xlfn.NORM.INV(RAND(),Reference!$D$8,0.1*Reference!$D$8)*(1+Reference!$D$11*(IF(MONTH($A714)=Reference!$D$4,1,0)+IF(MONTH($A714)=Reference!$D$5,1,0))+(IF(MONTH($A714)=Reference!$D$6,Reference!$D$13,0))),0)</f>
        <v>399</v>
      </c>
      <c r="E714" s="11">
        <f ca="1">D714*Reference!$D$7*(1-IF(MONTH($A714)=Reference!$D$6,1,0)*Reference!$D$12)</f>
        <v>299250</v>
      </c>
      <c r="M714" s="20"/>
      <c r="N714" s="20"/>
      <c r="O714" s="19"/>
      <c r="P714" s="10"/>
      <c r="Q714" s="10"/>
      <c r="R714" s="10"/>
      <c r="S714" s="10"/>
      <c r="T714" s="10"/>
      <c r="U714" s="10"/>
      <c r="V714" s="10"/>
      <c r="W714" s="10"/>
      <c r="X714" s="10"/>
      <c r="Y714" s="10"/>
    </row>
    <row r="715" spans="1:25" x14ac:dyDescent="0.25">
      <c r="A715" s="9">
        <v>41253</v>
      </c>
      <c r="B715" s="10">
        <f ca="1">ROUND(_xlfn.NORM.INV(RAND(),Reference!$C$8,0.1*Reference!$C$8)*(1+Reference!$C$11*(IF(MONTH($A715)=Reference!$C$4,1,0)+IF(MONTH($A715)=Reference!$C$5,1,0))+(IF(MONTH($A715)=Reference!$C$6,Reference!$C$13,0))),0)</f>
        <v>364</v>
      </c>
      <c r="C715" s="11">
        <f ca="1">B715*Reference!$C$7*(1-IF(MONTH($A715)=Reference!$C$6,1,0)*Reference!$C$12)</f>
        <v>338520</v>
      </c>
      <c r="D715" s="10">
        <f ca="1">ROUND(_xlfn.NORM.INV(RAND(),Reference!$D$8,0.1*Reference!$D$8)*(1+Reference!$D$11*(IF(MONTH($A715)=Reference!$D$4,1,0)+IF(MONTH($A715)=Reference!$D$5,1,0))+(IF(MONTH($A715)=Reference!$D$6,Reference!$D$13,0))),0)</f>
        <v>501</v>
      </c>
      <c r="E715" s="11">
        <f ca="1">D715*Reference!$D$7*(1-IF(MONTH($A715)=Reference!$D$6,1,0)*Reference!$D$12)</f>
        <v>375750</v>
      </c>
      <c r="M715" s="20"/>
      <c r="N715" s="20"/>
      <c r="O715" s="19"/>
      <c r="P715" s="10"/>
      <c r="Q715" s="10"/>
      <c r="R715" s="10"/>
      <c r="S715" s="10"/>
      <c r="T715" s="10"/>
      <c r="U715" s="10"/>
      <c r="V715" s="10"/>
      <c r="W715" s="10"/>
      <c r="X715" s="10"/>
      <c r="Y715" s="10"/>
    </row>
    <row r="716" spans="1:25" x14ac:dyDescent="0.25">
      <c r="A716" s="9">
        <v>41254</v>
      </c>
      <c r="B716" s="10">
        <f ca="1">ROUND(_xlfn.NORM.INV(RAND(),Reference!$C$8,0.1*Reference!$C$8)*(1+Reference!$C$11*(IF(MONTH($A716)=Reference!$C$4,1,0)+IF(MONTH($A716)=Reference!$C$5,1,0))+(IF(MONTH($A716)=Reference!$C$6,Reference!$C$13,0))),0)</f>
        <v>369</v>
      </c>
      <c r="C716" s="11">
        <f ca="1">B716*Reference!$C$7*(1-IF(MONTH($A716)=Reference!$C$6,1,0)*Reference!$C$12)</f>
        <v>343170</v>
      </c>
      <c r="D716" s="10">
        <f ca="1">ROUND(_xlfn.NORM.INV(RAND(),Reference!$D$8,0.1*Reference!$D$8)*(1+Reference!$D$11*(IF(MONTH($A716)=Reference!$D$4,1,0)+IF(MONTH($A716)=Reference!$D$5,1,0))+(IF(MONTH($A716)=Reference!$D$6,Reference!$D$13,0))),0)</f>
        <v>390</v>
      </c>
      <c r="E716" s="11">
        <f ca="1">D716*Reference!$D$7*(1-IF(MONTH($A716)=Reference!$D$6,1,0)*Reference!$D$12)</f>
        <v>292500</v>
      </c>
      <c r="M716" s="20"/>
      <c r="N716" s="20"/>
      <c r="O716" s="19"/>
      <c r="P716" s="10"/>
      <c r="Q716" s="10"/>
      <c r="R716" s="10"/>
      <c r="S716" s="10"/>
      <c r="T716" s="10"/>
      <c r="U716" s="10"/>
      <c r="V716" s="10"/>
      <c r="W716" s="10"/>
      <c r="X716" s="10"/>
      <c r="Y716" s="10"/>
    </row>
    <row r="717" spans="1:25" x14ac:dyDescent="0.25">
      <c r="A717" s="9">
        <v>41255</v>
      </c>
      <c r="B717" s="10">
        <f ca="1">ROUND(_xlfn.NORM.INV(RAND(),Reference!$C$8,0.1*Reference!$C$8)*(1+Reference!$C$11*(IF(MONTH($A717)=Reference!$C$4,1,0)+IF(MONTH($A717)=Reference!$C$5,1,0))+(IF(MONTH($A717)=Reference!$C$6,Reference!$C$13,0))),0)</f>
        <v>318</v>
      </c>
      <c r="C717" s="11">
        <f ca="1">B717*Reference!$C$7*(1-IF(MONTH($A717)=Reference!$C$6,1,0)*Reference!$C$12)</f>
        <v>295740</v>
      </c>
      <c r="D717" s="10">
        <f ca="1">ROUND(_xlfn.NORM.INV(RAND(),Reference!$D$8,0.1*Reference!$D$8)*(1+Reference!$D$11*(IF(MONTH($A717)=Reference!$D$4,1,0)+IF(MONTH($A717)=Reference!$D$5,1,0))+(IF(MONTH($A717)=Reference!$D$6,Reference!$D$13,0))),0)</f>
        <v>418</v>
      </c>
      <c r="E717" s="11">
        <f ca="1">D717*Reference!$D$7*(1-IF(MONTH($A717)=Reference!$D$6,1,0)*Reference!$D$12)</f>
        <v>313500</v>
      </c>
      <c r="M717" s="20"/>
      <c r="N717" s="20"/>
      <c r="O717" s="19"/>
      <c r="P717" s="10"/>
      <c r="Q717" s="10"/>
      <c r="R717" s="10"/>
      <c r="S717" s="10"/>
      <c r="T717" s="10"/>
      <c r="U717" s="10"/>
      <c r="V717" s="10"/>
      <c r="W717" s="10"/>
      <c r="X717" s="10"/>
      <c r="Y717" s="10"/>
    </row>
    <row r="718" spans="1:25" x14ac:dyDescent="0.25">
      <c r="A718" s="9">
        <v>41256</v>
      </c>
      <c r="B718" s="10">
        <f ca="1">ROUND(_xlfn.NORM.INV(RAND(),Reference!$C$8,0.1*Reference!$C$8)*(1+Reference!$C$11*(IF(MONTH($A718)=Reference!$C$4,1,0)+IF(MONTH($A718)=Reference!$C$5,1,0))+(IF(MONTH($A718)=Reference!$C$6,Reference!$C$13,0))),0)</f>
        <v>342</v>
      </c>
      <c r="C718" s="11">
        <f ca="1">B718*Reference!$C$7*(1-IF(MONTH($A718)=Reference!$C$6,1,0)*Reference!$C$12)</f>
        <v>318060</v>
      </c>
      <c r="D718" s="10">
        <f ca="1">ROUND(_xlfn.NORM.INV(RAND(),Reference!$D$8,0.1*Reference!$D$8)*(1+Reference!$D$11*(IF(MONTH($A718)=Reference!$D$4,1,0)+IF(MONTH($A718)=Reference!$D$5,1,0))+(IF(MONTH($A718)=Reference!$D$6,Reference!$D$13,0))),0)</f>
        <v>455</v>
      </c>
      <c r="E718" s="11">
        <f ca="1">D718*Reference!$D$7*(1-IF(MONTH($A718)=Reference!$D$6,1,0)*Reference!$D$12)</f>
        <v>341250</v>
      </c>
      <c r="M718" s="20"/>
      <c r="N718" s="20"/>
      <c r="O718" s="19"/>
      <c r="P718" s="10"/>
      <c r="Q718" s="10"/>
      <c r="R718" s="10"/>
      <c r="S718" s="10"/>
      <c r="T718" s="10"/>
      <c r="U718" s="10"/>
      <c r="V718" s="10"/>
      <c r="W718" s="10"/>
      <c r="X718" s="10"/>
      <c r="Y718" s="10"/>
    </row>
    <row r="719" spans="1:25" x14ac:dyDescent="0.25">
      <c r="A719" s="9">
        <v>41257</v>
      </c>
      <c r="B719" s="10">
        <f ca="1">ROUND(_xlfn.NORM.INV(RAND(),Reference!$C$8,0.1*Reference!$C$8)*(1+Reference!$C$11*(IF(MONTH($A719)=Reference!$C$4,1,0)+IF(MONTH($A719)=Reference!$C$5,1,0))+(IF(MONTH($A719)=Reference!$C$6,Reference!$C$13,0))),0)</f>
        <v>331</v>
      </c>
      <c r="C719" s="11">
        <f ca="1">B719*Reference!$C$7*(1-IF(MONTH($A719)=Reference!$C$6,1,0)*Reference!$C$12)</f>
        <v>307830</v>
      </c>
      <c r="D719" s="10">
        <f ca="1">ROUND(_xlfn.NORM.INV(RAND(),Reference!$D$8,0.1*Reference!$D$8)*(1+Reference!$D$11*(IF(MONTH($A719)=Reference!$D$4,1,0)+IF(MONTH($A719)=Reference!$D$5,1,0))+(IF(MONTH($A719)=Reference!$D$6,Reference!$D$13,0))),0)</f>
        <v>445</v>
      </c>
      <c r="E719" s="11">
        <f ca="1">D719*Reference!$D$7*(1-IF(MONTH($A719)=Reference!$D$6,1,0)*Reference!$D$12)</f>
        <v>333750</v>
      </c>
      <c r="M719" s="20"/>
      <c r="N719" s="20"/>
      <c r="O719" s="19"/>
      <c r="P719" s="10"/>
      <c r="Q719" s="10"/>
      <c r="R719" s="10"/>
      <c r="S719" s="10"/>
      <c r="T719" s="10"/>
      <c r="U719" s="10"/>
      <c r="V719" s="10"/>
      <c r="W719" s="10"/>
      <c r="X719" s="10"/>
      <c r="Y719" s="10"/>
    </row>
    <row r="720" spans="1:25" x14ac:dyDescent="0.25">
      <c r="A720" s="9">
        <v>41258</v>
      </c>
      <c r="B720" s="10">
        <f ca="1">ROUND(_xlfn.NORM.INV(RAND(),Reference!$C$8,0.1*Reference!$C$8)*(1+Reference!$C$11*(IF(MONTH($A720)=Reference!$C$4,1,0)+IF(MONTH($A720)=Reference!$C$5,1,0))+(IF(MONTH($A720)=Reference!$C$6,Reference!$C$13,0))),0)</f>
        <v>344</v>
      </c>
      <c r="C720" s="11">
        <f ca="1">B720*Reference!$C$7*(1-IF(MONTH($A720)=Reference!$C$6,1,0)*Reference!$C$12)</f>
        <v>319920</v>
      </c>
      <c r="D720" s="10">
        <f ca="1">ROUND(_xlfn.NORM.INV(RAND(),Reference!$D$8,0.1*Reference!$D$8)*(1+Reference!$D$11*(IF(MONTH($A720)=Reference!$D$4,1,0)+IF(MONTH($A720)=Reference!$D$5,1,0))+(IF(MONTH($A720)=Reference!$D$6,Reference!$D$13,0))),0)</f>
        <v>433</v>
      </c>
      <c r="E720" s="11">
        <f ca="1">D720*Reference!$D$7*(1-IF(MONTH($A720)=Reference!$D$6,1,0)*Reference!$D$12)</f>
        <v>324750</v>
      </c>
      <c r="M720" s="20"/>
      <c r="N720" s="20"/>
      <c r="O720" s="19"/>
      <c r="P720" s="10"/>
      <c r="Q720" s="10"/>
      <c r="R720" s="10"/>
      <c r="S720" s="10"/>
      <c r="T720" s="10"/>
      <c r="U720" s="10"/>
      <c r="V720" s="10"/>
      <c r="W720" s="10"/>
      <c r="X720" s="10"/>
      <c r="Y720" s="10"/>
    </row>
    <row r="721" spans="1:25" x14ac:dyDescent="0.25">
      <c r="A721" s="9">
        <v>41259</v>
      </c>
      <c r="B721" s="10">
        <f ca="1">ROUND(_xlfn.NORM.INV(RAND(),Reference!$C$8,0.1*Reference!$C$8)*(1+Reference!$C$11*(IF(MONTH($A721)=Reference!$C$4,1,0)+IF(MONTH($A721)=Reference!$C$5,1,0))+(IF(MONTH($A721)=Reference!$C$6,Reference!$C$13,0))),0)</f>
        <v>343</v>
      </c>
      <c r="C721" s="11">
        <f ca="1">B721*Reference!$C$7*(1-IF(MONTH($A721)=Reference!$C$6,1,0)*Reference!$C$12)</f>
        <v>318990</v>
      </c>
      <c r="D721" s="10">
        <f ca="1">ROUND(_xlfn.NORM.INV(RAND(),Reference!$D$8,0.1*Reference!$D$8)*(1+Reference!$D$11*(IF(MONTH($A721)=Reference!$D$4,1,0)+IF(MONTH($A721)=Reference!$D$5,1,0))+(IF(MONTH($A721)=Reference!$D$6,Reference!$D$13,0))),0)</f>
        <v>376</v>
      </c>
      <c r="E721" s="11">
        <f ca="1">D721*Reference!$D$7*(1-IF(MONTH($A721)=Reference!$D$6,1,0)*Reference!$D$12)</f>
        <v>282000</v>
      </c>
      <c r="M721" s="20"/>
      <c r="N721" s="20"/>
      <c r="O721" s="19"/>
      <c r="P721" s="10"/>
      <c r="Q721" s="10"/>
      <c r="R721" s="10"/>
      <c r="S721" s="10"/>
      <c r="T721" s="10"/>
      <c r="U721" s="10"/>
      <c r="V721" s="10"/>
      <c r="W721" s="10"/>
      <c r="X721" s="10"/>
      <c r="Y721" s="10"/>
    </row>
    <row r="722" spans="1:25" x14ac:dyDescent="0.25">
      <c r="A722" s="9">
        <v>41260</v>
      </c>
      <c r="B722" s="10">
        <f ca="1">ROUND(_xlfn.NORM.INV(RAND(),Reference!$C$8,0.1*Reference!$C$8)*(1+Reference!$C$11*(IF(MONTH($A722)=Reference!$C$4,1,0)+IF(MONTH($A722)=Reference!$C$5,1,0))+(IF(MONTH($A722)=Reference!$C$6,Reference!$C$13,0))),0)</f>
        <v>312</v>
      </c>
      <c r="C722" s="11">
        <f ca="1">B722*Reference!$C$7*(1-IF(MONTH($A722)=Reference!$C$6,1,0)*Reference!$C$12)</f>
        <v>290160</v>
      </c>
      <c r="D722" s="10">
        <f ca="1">ROUND(_xlfn.NORM.INV(RAND(),Reference!$D$8,0.1*Reference!$D$8)*(1+Reference!$D$11*(IF(MONTH($A722)=Reference!$D$4,1,0)+IF(MONTH($A722)=Reference!$D$5,1,0))+(IF(MONTH($A722)=Reference!$D$6,Reference!$D$13,0))),0)</f>
        <v>411</v>
      </c>
      <c r="E722" s="11">
        <f ca="1">D722*Reference!$D$7*(1-IF(MONTH($A722)=Reference!$D$6,1,0)*Reference!$D$12)</f>
        <v>308250</v>
      </c>
      <c r="M722" s="20"/>
      <c r="N722" s="20"/>
      <c r="O722" s="19"/>
      <c r="P722" s="10"/>
      <c r="Q722" s="10"/>
      <c r="R722" s="10"/>
      <c r="S722" s="10"/>
      <c r="T722" s="10"/>
      <c r="U722" s="10"/>
      <c r="V722" s="10"/>
      <c r="W722" s="10"/>
      <c r="X722" s="10"/>
      <c r="Y722" s="10"/>
    </row>
    <row r="723" spans="1:25" x14ac:dyDescent="0.25">
      <c r="A723" s="9">
        <v>41261</v>
      </c>
      <c r="B723" s="10">
        <f ca="1">ROUND(_xlfn.NORM.INV(RAND(),Reference!$C$8,0.1*Reference!$C$8)*(1+Reference!$C$11*(IF(MONTH($A723)=Reference!$C$4,1,0)+IF(MONTH($A723)=Reference!$C$5,1,0))+(IF(MONTH($A723)=Reference!$C$6,Reference!$C$13,0))),0)</f>
        <v>379</v>
      </c>
      <c r="C723" s="11">
        <f ca="1">B723*Reference!$C$7*(1-IF(MONTH($A723)=Reference!$C$6,1,0)*Reference!$C$12)</f>
        <v>352470</v>
      </c>
      <c r="D723" s="10">
        <f ca="1">ROUND(_xlfn.NORM.INV(RAND(),Reference!$D$8,0.1*Reference!$D$8)*(1+Reference!$D$11*(IF(MONTH($A723)=Reference!$D$4,1,0)+IF(MONTH($A723)=Reference!$D$5,1,0))+(IF(MONTH($A723)=Reference!$D$6,Reference!$D$13,0))),0)</f>
        <v>368</v>
      </c>
      <c r="E723" s="11">
        <f ca="1">D723*Reference!$D$7*(1-IF(MONTH($A723)=Reference!$D$6,1,0)*Reference!$D$12)</f>
        <v>276000</v>
      </c>
      <c r="M723" s="20"/>
      <c r="N723" s="20"/>
      <c r="O723" s="19"/>
      <c r="P723" s="10"/>
      <c r="Q723" s="10"/>
      <c r="R723" s="10"/>
      <c r="S723" s="10"/>
      <c r="T723" s="10"/>
      <c r="U723" s="10"/>
      <c r="V723" s="10"/>
      <c r="W723" s="10"/>
      <c r="X723" s="10"/>
      <c r="Y723" s="10"/>
    </row>
    <row r="724" spans="1:25" x14ac:dyDescent="0.25">
      <c r="A724" s="9">
        <v>41262</v>
      </c>
      <c r="B724" s="10">
        <f ca="1">ROUND(_xlfn.NORM.INV(RAND(),Reference!$C$8,0.1*Reference!$C$8)*(1+Reference!$C$11*(IF(MONTH($A724)=Reference!$C$4,1,0)+IF(MONTH($A724)=Reference!$C$5,1,0))+(IF(MONTH($A724)=Reference!$C$6,Reference!$C$13,0))),0)</f>
        <v>382</v>
      </c>
      <c r="C724" s="11">
        <f ca="1">B724*Reference!$C$7*(1-IF(MONTH($A724)=Reference!$C$6,1,0)*Reference!$C$12)</f>
        <v>355260</v>
      </c>
      <c r="D724" s="10">
        <f ca="1">ROUND(_xlfn.NORM.INV(RAND(),Reference!$D$8,0.1*Reference!$D$8)*(1+Reference!$D$11*(IF(MONTH($A724)=Reference!$D$4,1,0)+IF(MONTH($A724)=Reference!$D$5,1,0))+(IF(MONTH($A724)=Reference!$D$6,Reference!$D$13,0))),0)</f>
        <v>382</v>
      </c>
      <c r="E724" s="11">
        <f ca="1">D724*Reference!$D$7*(1-IF(MONTH($A724)=Reference!$D$6,1,0)*Reference!$D$12)</f>
        <v>286500</v>
      </c>
      <c r="M724" s="20"/>
      <c r="N724" s="20"/>
      <c r="O724" s="19"/>
      <c r="P724" s="10"/>
      <c r="Q724" s="10"/>
      <c r="R724" s="10"/>
      <c r="S724" s="10"/>
      <c r="T724" s="10"/>
      <c r="U724" s="10"/>
      <c r="V724" s="10"/>
      <c r="W724" s="10"/>
      <c r="X724" s="10"/>
      <c r="Y724" s="10"/>
    </row>
    <row r="725" spans="1:25" x14ac:dyDescent="0.25">
      <c r="A725" s="9">
        <v>41263</v>
      </c>
      <c r="B725" s="10">
        <f ca="1">ROUND(_xlfn.NORM.INV(RAND(),Reference!$C$8,0.1*Reference!$C$8)*(1+Reference!$C$11*(IF(MONTH($A725)=Reference!$C$4,1,0)+IF(MONTH($A725)=Reference!$C$5,1,0))+(IF(MONTH($A725)=Reference!$C$6,Reference!$C$13,0))),0)</f>
        <v>425</v>
      </c>
      <c r="C725" s="11">
        <f ca="1">B725*Reference!$C$7*(1-IF(MONTH($A725)=Reference!$C$6,1,0)*Reference!$C$12)</f>
        <v>395250</v>
      </c>
      <c r="D725" s="10">
        <f ca="1">ROUND(_xlfn.NORM.INV(RAND(),Reference!$D$8,0.1*Reference!$D$8)*(1+Reference!$D$11*(IF(MONTH($A725)=Reference!$D$4,1,0)+IF(MONTH($A725)=Reference!$D$5,1,0))+(IF(MONTH($A725)=Reference!$D$6,Reference!$D$13,0))),0)</f>
        <v>422</v>
      </c>
      <c r="E725" s="11">
        <f ca="1">D725*Reference!$D$7*(1-IF(MONTH($A725)=Reference!$D$6,1,0)*Reference!$D$12)</f>
        <v>316500</v>
      </c>
      <c r="M725" s="20"/>
      <c r="N725" s="20"/>
      <c r="O725" s="19"/>
      <c r="P725" s="10"/>
      <c r="Q725" s="10"/>
      <c r="R725" s="10"/>
      <c r="S725" s="10"/>
      <c r="T725" s="10"/>
      <c r="U725" s="10"/>
      <c r="V725" s="10"/>
      <c r="W725" s="10"/>
      <c r="X725" s="10"/>
      <c r="Y725" s="10"/>
    </row>
    <row r="726" spans="1:25" x14ac:dyDescent="0.25">
      <c r="A726" s="9">
        <v>41264</v>
      </c>
      <c r="B726" s="10">
        <f ca="1">ROUND(_xlfn.NORM.INV(RAND(),Reference!$C$8,0.1*Reference!$C$8)*(1+Reference!$C$11*(IF(MONTH($A726)=Reference!$C$4,1,0)+IF(MONTH($A726)=Reference!$C$5,1,0))+(IF(MONTH($A726)=Reference!$C$6,Reference!$C$13,0))),0)</f>
        <v>316</v>
      </c>
      <c r="C726" s="11">
        <f ca="1">B726*Reference!$C$7*(1-IF(MONTH($A726)=Reference!$C$6,1,0)*Reference!$C$12)</f>
        <v>293880</v>
      </c>
      <c r="D726" s="10">
        <f ca="1">ROUND(_xlfn.NORM.INV(RAND(),Reference!$D$8,0.1*Reference!$D$8)*(1+Reference!$D$11*(IF(MONTH($A726)=Reference!$D$4,1,0)+IF(MONTH($A726)=Reference!$D$5,1,0))+(IF(MONTH($A726)=Reference!$D$6,Reference!$D$13,0))),0)</f>
        <v>434</v>
      </c>
      <c r="E726" s="11">
        <f ca="1">D726*Reference!$D$7*(1-IF(MONTH($A726)=Reference!$D$6,1,0)*Reference!$D$12)</f>
        <v>325500</v>
      </c>
      <c r="M726" s="20"/>
      <c r="N726" s="20"/>
      <c r="O726" s="19"/>
      <c r="P726" s="10"/>
      <c r="Q726" s="10"/>
      <c r="R726" s="10"/>
      <c r="S726" s="10"/>
      <c r="T726" s="10"/>
      <c r="U726" s="10"/>
      <c r="V726" s="10"/>
      <c r="W726" s="10"/>
      <c r="X726" s="10"/>
      <c r="Y726" s="10"/>
    </row>
    <row r="727" spans="1:25" x14ac:dyDescent="0.25">
      <c r="A727" s="9">
        <v>41265</v>
      </c>
      <c r="B727" s="10">
        <f ca="1">ROUND(_xlfn.NORM.INV(RAND(),Reference!$C$8,0.1*Reference!$C$8)*(1+Reference!$C$11*(IF(MONTH($A727)=Reference!$C$4,1,0)+IF(MONTH($A727)=Reference!$C$5,1,0))+(IF(MONTH($A727)=Reference!$C$6,Reference!$C$13,0))),0)</f>
        <v>333</v>
      </c>
      <c r="C727" s="11">
        <f ca="1">B727*Reference!$C$7*(1-IF(MONTH($A727)=Reference!$C$6,1,0)*Reference!$C$12)</f>
        <v>309690</v>
      </c>
      <c r="D727" s="10">
        <f ca="1">ROUND(_xlfn.NORM.INV(RAND(),Reference!$D$8,0.1*Reference!$D$8)*(1+Reference!$D$11*(IF(MONTH($A727)=Reference!$D$4,1,0)+IF(MONTH($A727)=Reference!$D$5,1,0))+(IF(MONTH($A727)=Reference!$D$6,Reference!$D$13,0))),0)</f>
        <v>350</v>
      </c>
      <c r="E727" s="11">
        <f ca="1">D727*Reference!$D$7*(1-IF(MONTH($A727)=Reference!$D$6,1,0)*Reference!$D$12)</f>
        <v>262500</v>
      </c>
      <c r="M727" s="20"/>
      <c r="N727" s="20"/>
      <c r="O727" s="19"/>
      <c r="P727" s="10"/>
      <c r="Q727" s="10"/>
      <c r="R727" s="10"/>
      <c r="S727" s="10"/>
      <c r="T727" s="10"/>
      <c r="U727" s="10"/>
      <c r="V727" s="10"/>
      <c r="W727" s="10"/>
      <c r="X727" s="10"/>
      <c r="Y727" s="10"/>
    </row>
    <row r="728" spans="1:25" x14ac:dyDescent="0.25">
      <c r="A728" s="9">
        <v>41266</v>
      </c>
      <c r="B728" s="10">
        <f ca="1">ROUND(_xlfn.NORM.INV(RAND(),Reference!$C$8,0.1*Reference!$C$8)*(1+Reference!$C$11*(IF(MONTH($A728)=Reference!$C$4,1,0)+IF(MONTH($A728)=Reference!$C$5,1,0))+(IF(MONTH($A728)=Reference!$C$6,Reference!$C$13,0))),0)</f>
        <v>282</v>
      </c>
      <c r="C728" s="11">
        <f ca="1">B728*Reference!$C$7*(1-IF(MONTH($A728)=Reference!$C$6,1,0)*Reference!$C$12)</f>
        <v>262260</v>
      </c>
      <c r="D728" s="10">
        <f ca="1">ROUND(_xlfn.NORM.INV(RAND(),Reference!$D$8,0.1*Reference!$D$8)*(1+Reference!$D$11*(IF(MONTH($A728)=Reference!$D$4,1,0)+IF(MONTH($A728)=Reference!$D$5,1,0))+(IF(MONTH($A728)=Reference!$D$6,Reference!$D$13,0))),0)</f>
        <v>462</v>
      </c>
      <c r="E728" s="11">
        <f ca="1">D728*Reference!$D$7*(1-IF(MONTH($A728)=Reference!$D$6,1,0)*Reference!$D$12)</f>
        <v>346500</v>
      </c>
      <c r="M728" s="20"/>
      <c r="N728" s="20"/>
      <c r="O728" s="19"/>
      <c r="P728" s="10"/>
      <c r="Q728" s="10"/>
      <c r="R728" s="10"/>
      <c r="S728" s="10"/>
      <c r="T728" s="10"/>
      <c r="U728" s="10"/>
      <c r="V728" s="10"/>
      <c r="W728" s="10"/>
      <c r="X728" s="10"/>
      <c r="Y728" s="10"/>
    </row>
    <row r="729" spans="1:25" x14ac:dyDescent="0.25">
      <c r="A729" s="9">
        <v>41267</v>
      </c>
      <c r="B729" s="10">
        <f ca="1">ROUND(_xlfn.NORM.INV(RAND(),Reference!$C$8,0.1*Reference!$C$8)*(1+Reference!$C$11*(IF(MONTH($A729)=Reference!$C$4,1,0)+IF(MONTH($A729)=Reference!$C$5,1,0))+(IF(MONTH($A729)=Reference!$C$6,Reference!$C$13,0))),0)</f>
        <v>362</v>
      </c>
      <c r="C729" s="11">
        <f ca="1">B729*Reference!$C$7*(1-IF(MONTH($A729)=Reference!$C$6,1,0)*Reference!$C$12)</f>
        <v>336660</v>
      </c>
      <c r="D729" s="10">
        <f ca="1">ROUND(_xlfn.NORM.INV(RAND(),Reference!$D$8,0.1*Reference!$D$8)*(1+Reference!$D$11*(IF(MONTH($A729)=Reference!$D$4,1,0)+IF(MONTH($A729)=Reference!$D$5,1,0))+(IF(MONTH($A729)=Reference!$D$6,Reference!$D$13,0))),0)</f>
        <v>516</v>
      </c>
      <c r="E729" s="11">
        <f ca="1">D729*Reference!$D$7*(1-IF(MONTH($A729)=Reference!$D$6,1,0)*Reference!$D$12)</f>
        <v>387000</v>
      </c>
      <c r="M729" s="20"/>
      <c r="N729" s="20"/>
      <c r="O729" s="19"/>
      <c r="P729" s="10"/>
      <c r="Q729" s="10"/>
      <c r="R729" s="10"/>
      <c r="S729" s="10"/>
      <c r="T729" s="10"/>
      <c r="U729" s="10"/>
      <c r="V729" s="10"/>
      <c r="W729" s="10"/>
      <c r="X729" s="10"/>
      <c r="Y729" s="10"/>
    </row>
    <row r="730" spans="1:25" x14ac:dyDescent="0.25">
      <c r="A730" s="9">
        <v>41268</v>
      </c>
      <c r="B730" s="10">
        <f ca="1">ROUND(_xlfn.NORM.INV(RAND(),Reference!$C$8,0.1*Reference!$C$8)*(1+Reference!$C$11*(IF(MONTH($A730)=Reference!$C$4,1,0)+IF(MONTH($A730)=Reference!$C$5,1,0))+(IF(MONTH($A730)=Reference!$C$6,Reference!$C$13,0))),0)</f>
        <v>357</v>
      </c>
      <c r="C730" s="11">
        <f ca="1">B730*Reference!$C$7*(1-IF(MONTH($A730)=Reference!$C$6,1,0)*Reference!$C$12)</f>
        <v>332010</v>
      </c>
      <c r="D730" s="10">
        <f ca="1">ROUND(_xlfn.NORM.INV(RAND(),Reference!$D$8,0.1*Reference!$D$8)*(1+Reference!$D$11*(IF(MONTH($A730)=Reference!$D$4,1,0)+IF(MONTH($A730)=Reference!$D$5,1,0))+(IF(MONTH($A730)=Reference!$D$6,Reference!$D$13,0))),0)</f>
        <v>474</v>
      </c>
      <c r="E730" s="11">
        <f ca="1">D730*Reference!$D$7*(1-IF(MONTH($A730)=Reference!$D$6,1,0)*Reference!$D$12)</f>
        <v>355500</v>
      </c>
      <c r="M730" s="20"/>
      <c r="N730" s="20"/>
      <c r="O730" s="19"/>
      <c r="P730" s="10"/>
      <c r="Q730" s="10"/>
      <c r="R730" s="10"/>
      <c r="S730" s="10"/>
      <c r="T730" s="10"/>
      <c r="U730" s="10"/>
      <c r="V730" s="10"/>
      <c r="W730" s="10"/>
      <c r="X730" s="10"/>
      <c r="Y730" s="10"/>
    </row>
    <row r="731" spans="1:25" x14ac:dyDescent="0.25">
      <c r="A731" s="9">
        <v>41269</v>
      </c>
      <c r="B731" s="10">
        <f ca="1">ROUND(_xlfn.NORM.INV(RAND(),Reference!$C$8,0.1*Reference!$C$8)*(1+Reference!$C$11*(IF(MONTH($A731)=Reference!$C$4,1,0)+IF(MONTH($A731)=Reference!$C$5,1,0))+(IF(MONTH($A731)=Reference!$C$6,Reference!$C$13,0))),0)</f>
        <v>349</v>
      </c>
      <c r="C731" s="11">
        <f ca="1">B731*Reference!$C$7*(1-IF(MONTH($A731)=Reference!$C$6,1,0)*Reference!$C$12)</f>
        <v>324570</v>
      </c>
      <c r="D731" s="10">
        <f ca="1">ROUND(_xlfn.NORM.INV(RAND(),Reference!$D$8,0.1*Reference!$D$8)*(1+Reference!$D$11*(IF(MONTH($A731)=Reference!$D$4,1,0)+IF(MONTH($A731)=Reference!$D$5,1,0))+(IF(MONTH($A731)=Reference!$D$6,Reference!$D$13,0))),0)</f>
        <v>437</v>
      </c>
      <c r="E731" s="11">
        <f ca="1">D731*Reference!$D$7*(1-IF(MONTH($A731)=Reference!$D$6,1,0)*Reference!$D$12)</f>
        <v>327750</v>
      </c>
      <c r="M731" s="20"/>
      <c r="N731" s="20"/>
      <c r="O731" s="19"/>
      <c r="P731" s="10"/>
      <c r="Q731" s="10"/>
      <c r="R731" s="10"/>
      <c r="S731" s="10"/>
      <c r="T731" s="10"/>
      <c r="U731" s="10"/>
      <c r="V731" s="10"/>
      <c r="W731" s="10"/>
      <c r="X731" s="10"/>
      <c r="Y731" s="10"/>
    </row>
    <row r="732" spans="1:25" x14ac:dyDescent="0.25">
      <c r="A732" s="9">
        <v>41270</v>
      </c>
      <c r="B732" s="10">
        <f ca="1">ROUND(_xlfn.NORM.INV(RAND(),Reference!$C$8,0.1*Reference!$C$8)*(1+Reference!$C$11*(IF(MONTH($A732)=Reference!$C$4,1,0)+IF(MONTH($A732)=Reference!$C$5,1,0))+(IF(MONTH($A732)=Reference!$C$6,Reference!$C$13,0))),0)</f>
        <v>304</v>
      </c>
      <c r="C732" s="11">
        <f ca="1">B732*Reference!$C$7*(1-IF(MONTH($A732)=Reference!$C$6,1,0)*Reference!$C$12)</f>
        <v>282720</v>
      </c>
      <c r="D732" s="10">
        <f ca="1">ROUND(_xlfn.NORM.INV(RAND(),Reference!$D$8,0.1*Reference!$D$8)*(1+Reference!$D$11*(IF(MONTH($A732)=Reference!$D$4,1,0)+IF(MONTH($A732)=Reference!$D$5,1,0))+(IF(MONTH($A732)=Reference!$D$6,Reference!$D$13,0))),0)</f>
        <v>464</v>
      </c>
      <c r="E732" s="11">
        <f ca="1">D732*Reference!$D$7*(1-IF(MONTH($A732)=Reference!$D$6,1,0)*Reference!$D$12)</f>
        <v>348000</v>
      </c>
      <c r="M732" s="20"/>
      <c r="N732" s="20"/>
      <c r="O732" s="19"/>
      <c r="P732" s="10"/>
      <c r="Q732" s="10"/>
      <c r="R732" s="10"/>
      <c r="S732" s="10"/>
      <c r="T732" s="10"/>
      <c r="U732" s="10"/>
      <c r="V732" s="10"/>
      <c r="W732" s="10"/>
      <c r="X732" s="10"/>
      <c r="Y732" s="10"/>
    </row>
    <row r="733" spans="1:25" x14ac:dyDescent="0.25">
      <c r="A733" s="9">
        <v>41271</v>
      </c>
      <c r="B733" s="10">
        <f ca="1">ROUND(_xlfn.NORM.INV(RAND(),Reference!$C$8,0.1*Reference!$C$8)*(1+Reference!$C$11*(IF(MONTH($A733)=Reference!$C$4,1,0)+IF(MONTH($A733)=Reference!$C$5,1,0))+(IF(MONTH($A733)=Reference!$C$6,Reference!$C$13,0))),0)</f>
        <v>385</v>
      </c>
      <c r="C733" s="11">
        <f ca="1">B733*Reference!$C$7*(1-IF(MONTH($A733)=Reference!$C$6,1,0)*Reference!$C$12)</f>
        <v>358050</v>
      </c>
      <c r="D733" s="10">
        <f ca="1">ROUND(_xlfn.NORM.INV(RAND(),Reference!$D$8,0.1*Reference!$D$8)*(1+Reference!$D$11*(IF(MONTH($A733)=Reference!$D$4,1,0)+IF(MONTH($A733)=Reference!$D$5,1,0))+(IF(MONTH($A733)=Reference!$D$6,Reference!$D$13,0))),0)</f>
        <v>492</v>
      </c>
      <c r="E733" s="11">
        <f ca="1">D733*Reference!$D$7*(1-IF(MONTH($A733)=Reference!$D$6,1,0)*Reference!$D$12)</f>
        <v>369000</v>
      </c>
      <c r="M733" s="20"/>
      <c r="N733" s="20"/>
      <c r="O733" s="19"/>
      <c r="P733" s="10"/>
      <c r="Q733" s="10"/>
      <c r="R733" s="10"/>
      <c r="S733" s="10"/>
      <c r="T733" s="10"/>
      <c r="U733" s="10"/>
      <c r="V733" s="10"/>
      <c r="W733" s="10"/>
      <c r="X733" s="10"/>
      <c r="Y733" s="10"/>
    </row>
    <row r="734" spans="1:25" x14ac:dyDescent="0.25">
      <c r="A734" s="9">
        <v>41272</v>
      </c>
      <c r="B734" s="10">
        <f ca="1">ROUND(_xlfn.NORM.INV(RAND(),Reference!$C$8,0.1*Reference!$C$8)*(1+Reference!$C$11*(IF(MONTH($A734)=Reference!$C$4,1,0)+IF(MONTH($A734)=Reference!$C$5,1,0))+(IF(MONTH($A734)=Reference!$C$6,Reference!$C$13,0))),0)</f>
        <v>303</v>
      </c>
      <c r="C734" s="11">
        <f ca="1">B734*Reference!$C$7*(1-IF(MONTH($A734)=Reference!$C$6,1,0)*Reference!$C$12)</f>
        <v>281790</v>
      </c>
      <c r="D734" s="10">
        <f ca="1">ROUND(_xlfn.NORM.INV(RAND(),Reference!$D$8,0.1*Reference!$D$8)*(1+Reference!$D$11*(IF(MONTH($A734)=Reference!$D$4,1,0)+IF(MONTH($A734)=Reference!$D$5,1,0))+(IF(MONTH($A734)=Reference!$D$6,Reference!$D$13,0))),0)</f>
        <v>442</v>
      </c>
      <c r="E734" s="11">
        <f ca="1">D734*Reference!$D$7*(1-IF(MONTH($A734)=Reference!$D$6,1,0)*Reference!$D$12)</f>
        <v>331500</v>
      </c>
      <c r="M734" s="20"/>
      <c r="N734" s="20"/>
      <c r="O734" s="19"/>
      <c r="P734" s="10"/>
      <c r="Q734" s="10"/>
      <c r="R734" s="10"/>
      <c r="S734" s="10"/>
      <c r="T734" s="10"/>
      <c r="U734" s="10"/>
      <c r="V734" s="10"/>
      <c r="W734" s="10"/>
      <c r="X734" s="10"/>
      <c r="Y734" s="10"/>
    </row>
    <row r="735" spans="1:25" x14ac:dyDescent="0.25">
      <c r="A735" s="9">
        <v>41273</v>
      </c>
      <c r="B735" s="10">
        <f ca="1">ROUND(_xlfn.NORM.INV(RAND(),Reference!$C$8,0.1*Reference!$C$8)*(1+Reference!$C$11*(IF(MONTH($A735)=Reference!$C$4,1,0)+IF(MONTH($A735)=Reference!$C$5,1,0))+(IF(MONTH($A735)=Reference!$C$6,Reference!$C$13,0))),0)</f>
        <v>336</v>
      </c>
      <c r="C735" s="11">
        <f ca="1">B735*Reference!$C$7*(1-IF(MONTH($A735)=Reference!$C$6,1,0)*Reference!$C$12)</f>
        <v>312480</v>
      </c>
      <c r="D735" s="10">
        <f ca="1">ROUND(_xlfn.NORM.INV(RAND(),Reference!$D$8,0.1*Reference!$D$8)*(1+Reference!$D$11*(IF(MONTH($A735)=Reference!$D$4,1,0)+IF(MONTH($A735)=Reference!$D$5,1,0))+(IF(MONTH($A735)=Reference!$D$6,Reference!$D$13,0))),0)</f>
        <v>451</v>
      </c>
      <c r="E735" s="11">
        <f ca="1">D735*Reference!$D$7*(1-IF(MONTH($A735)=Reference!$D$6,1,0)*Reference!$D$12)</f>
        <v>338250</v>
      </c>
      <c r="M735" s="20"/>
      <c r="N735" s="20"/>
      <c r="O735" s="19"/>
      <c r="P735" s="10"/>
      <c r="Q735" s="10"/>
      <c r="R735" s="10"/>
      <c r="S735" s="10"/>
      <c r="T735" s="10"/>
      <c r="U735" s="10"/>
      <c r="V735" s="10"/>
      <c r="W735" s="10"/>
      <c r="X735" s="10"/>
      <c r="Y735" s="10"/>
    </row>
    <row r="736" spans="1:25" x14ac:dyDescent="0.25">
      <c r="A736" s="9">
        <v>41274</v>
      </c>
      <c r="B736" s="10">
        <f ca="1">ROUND(_xlfn.NORM.INV(RAND(),Reference!$C$8,0.1*Reference!$C$8)*(1+Reference!$C$11*(IF(MONTH($A736)=Reference!$C$4,1,0)+IF(MONTH($A736)=Reference!$C$5,1,0))+(IF(MONTH($A736)=Reference!$C$6,Reference!$C$13,0))),0)</f>
        <v>349</v>
      </c>
      <c r="C736" s="11">
        <f ca="1">B736*Reference!$C$7*(1-IF(MONTH($A736)=Reference!$C$6,1,0)*Reference!$C$12)</f>
        <v>324570</v>
      </c>
      <c r="D736" s="10">
        <f ca="1">ROUND(_xlfn.NORM.INV(RAND(),Reference!$D$8,0.1*Reference!$D$8)*(1+Reference!$D$11*(IF(MONTH($A736)=Reference!$D$4,1,0)+IF(MONTH($A736)=Reference!$D$5,1,0))+(IF(MONTH($A736)=Reference!$D$6,Reference!$D$13,0))),0)</f>
        <v>443</v>
      </c>
      <c r="E736" s="11">
        <f ca="1">D736*Reference!$D$7*(1-IF(MONTH($A736)=Reference!$D$6,1,0)*Reference!$D$12)</f>
        <v>332250</v>
      </c>
      <c r="M736" s="20"/>
      <c r="N736" s="20"/>
      <c r="O736" s="19"/>
      <c r="P736" s="10"/>
      <c r="Q736" s="10"/>
      <c r="R736" s="10"/>
      <c r="S736" s="10"/>
      <c r="T736" s="10"/>
      <c r="U736" s="10"/>
      <c r="V736" s="10"/>
      <c r="W736" s="10"/>
      <c r="X736" s="10"/>
      <c r="Y736" s="10"/>
    </row>
    <row r="737" spans="1:25" x14ac:dyDescent="0.25">
      <c r="A737" s="9">
        <v>41275</v>
      </c>
      <c r="B737" s="10">
        <f ca="1">ROUND(_xlfn.NORM.INV(RAND(),Reference!$C$8,0.1*Reference!$C$8)*(1+Reference!$C$11*(IF(MONTH($A737)=Reference!$C$4,1,0)+IF(MONTH($A737)=Reference!$C$5,1,0))+(IF(MONTH($A737)=Reference!$C$6,Reference!$C$13,0))),0)</f>
        <v>337</v>
      </c>
      <c r="C737" s="11">
        <f ca="1">B737*Reference!$C$7*(1-IF(MONTH($A737)=Reference!$C$6,1,0)*Reference!$C$12)</f>
        <v>313410</v>
      </c>
      <c r="D737" s="10">
        <f ca="1">ROUND(_xlfn.NORM.INV(RAND(),Reference!$D$8,0.1*Reference!$D$8)*(1+Reference!$D$11*(IF(MONTH($A737)=Reference!$D$4,1,0)+IF(MONTH($A737)=Reference!$D$5,1,0))+(IF(MONTH($A737)=Reference!$D$6,Reference!$D$13,0))),0)</f>
        <v>425</v>
      </c>
      <c r="E737" s="11">
        <f ca="1">D737*Reference!$D$7*(1-IF(MONTH($A737)=Reference!$D$6,1,0)*Reference!$D$12)</f>
        <v>318750</v>
      </c>
      <c r="M737" s="20"/>
      <c r="N737" s="20"/>
      <c r="O737" s="19"/>
      <c r="P737" s="10"/>
      <c r="Q737" s="10"/>
      <c r="R737" s="10"/>
      <c r="S737" s="10"/>
      <c r="T737" s="10"/>
      <c r="U737" s="10"/>
      <c r="V737" s="10"/>
      <c r="W737" s="10"/>
      <c r="X737" s="10"/>
      <c r="Y737" s="10"/>
    </row>
    <row r="738" spans="1:25" x14ac:dyDescent="0.25">
      <c r="A738" s="9">
        <v>41276</v>
      </c>
      <c r="B738" s="10">
        <f ca="1">ROUND(_xlfn.NORM.INV(RAND(),Reference!$C$8,0.1*Reference!$C$8)*(1+Reference!$C$11*(IF(MONTH($A738)=Reference!$C$4,1,0)+IF(MONTH($A738)=Reference!$C$5,1,0))+(IF(MONTH($A738)=Reference!$C$6,Reference!$C$13,0))),0)</f>
        <v>395</v>
      </c>
      <c r="C738" s="11">
        <f ca="1">B738*Reference!$C$7*(1-IF(MONTH($A738)=Reference!$C$6,1,0)*Reference!$C$12)</f>
        <v>367350</v>
      </c>
      <c r="D738" s="10">
        <f ca="1">ROUND(_xlfn.NORM.INV(RAND(),Reference!$D$8,0.1*Reference!$D$8)*(1+Reference!$D$11*(IF(MONTH($A738)=Reference!$D$4,1,0)+IF(MONTH($A738)=Reference!$D$5,1,0))+(IF(MONTH($A738)=Reference!$D$6,Reference!$D$13,0))),0)</f>
        <v>472</v>
      </c>
      <c r="E738" s="11">
        <f ca="1">D738*Reference!$D$7*(1-IF(MONTH($A738)=Reference!$D$6,1,0)*Reference!$D$12)</f>
        <v>354000</v>
      </c>
      <c r="M738" s="20"/>
      <c r="N738" s="20"/>
      <c r="O738" s="19"/>
      <c r="P738" s="10"/>
      <c r="Q738" s="10"/>
      <c r="R738" s="10"/>
      <c r="S738" s="10"/>
      <c r="T738" s="10"/>
      <c r="U738" s="10"/>
      <c r="V738" s="10"/>
      <c r="W738" s="10"/>
      <c r="X738" s="10"/>
      <c r="Y738" s="10"/>
    </row>
    <row r="739" spans="1:25" x14ac:dyDescent="0.25">
      <c r="A739" s="9">
        <v>41277</v>
      </c>
      <c r="B739" s="10">
        <f ca="1">ROUND(_xlfn.NORM.INV(RAND(),Reference!$C$8,0.1*Reference!$C$8)*(1+Reference!$C$11*(IF(MONTH($A739)=Reference!$C$4,1,0)+IF(MONTH($A739)=Reference!$C$5,1,0))+(IF(MONTH($A739)=Reference!$C$6,Reference!$C$13,0))),0)</f>
        <v>350</v>
      </c>
      <c r="C739" s="11">
        <f ca="1">B739*Reference!$C$7*(1-IF(MONTH($A739)=Reference!$C$6,1,0)*Reference!$C$12)</f>
        <v>325500</v>
      </c>
      <c r="D739" s="10">
        <f ca="1">ROUND(_xlfn.NORM.INV(RAND(),Reference!$D$8,0.1*Reference!$D$8)*(1+Reference!$D$11*(IF(MONTH($A739)=Reference!$D$4,1,0)+IF(MONTH($A739)=Reference!$D$5,1,0))+(IF(MONTH($A739)=Reference!$D$6,Reference!$D$13,0))),0)</f>
        <v>384</v>
      </c>
      <c r="E739" s="11">
        <f ca="1">D739*Reference!$D$7*(1-IF(MONTH($A739)=Reference!$D$6,1,0)*Reference!$D$12)</f>
        <v>288000</v>
      </c>
      <c r="M739" s="20"/>
      <c r="N739" s="20"/>
      <c r="O739" s="19"/>
      <c r="P739" s="10"/>
      <c r="Q739" s="10"/>
      <c r="R739" s="10"/>
      <c r="S739" s="10"/>
      <c r="T739" s="10"/>
      <c r="U739" s="10"/>
      <c r="V739" s="10"/>
      <c r="W739" s="10"/>
      <c r="X739" s="10"/>
      <c r="Y739" s="10"/>
    </row>
    <row r="740" spans="1:25" x14ac:dyDescent="0.25">
      <c r="A740" s="9">
        <v>41278</v>
      </c>
      <c r="B740" s="10">
        <f ca="1">ROUND(_xlfn.NORM.INV(RAND(),Reference!$C$8,0.1*Reference!$C$8)*(1+Reference!$C$11*(IF(MONTH($A740)=Reference!$C$4,1,0)+IF(MONTH($A740)=Reference!$C$5,1,0))+(IF(MONTH($A740)=Reference!$C$6,Reference!$C$13,0))),0)</f>
        <v>330</v>
      </c>
      <c r="C740" s="11">
        <f ca="1">B740*Reference!$C$7*(1-IF(MONTH($A740)=Reference!$C$6,1,0)*Reference!$C$12)</f>
        <v>306900</v>
      </c>
      <c r="D740" s="10">
        <f ca="1">ROUND(_xlfn.NORM.INV(RAND(),Reference!$D$8,0.1*Reference!$D$8)*(1+Reference!$D$11*(IF(MONTH($A740)=Reference!$D$4,1,0)+IF(MONTH($A740)=Reference!$D$5,1,0))+(IF(MONTH($A740)=Reference!$D$6,Reference!$D$13,0))),0)</f>
        <v>516</v>
      </c>
      <c r="E740" s="11">
        <f ca="1">D740*Reference!$D$7*(1-IF(MONTH($A740)=Reference!$D$6,1,0)*Reference!$D$12)</f>
        <v>387000</v>
      </c>
      <c r="M740" s="20"/>
      <c r="N740" s="20"/>
      <c r="O740" s="19"/>
      <c r="P740" s="10"/>
      <c r="Q740" s="10"/>
      <c r="R740" s="10"/>
      <c r="S740" s="10"/>
      <c r="T740" s="10"/>
      <c r="U740" s="10"/>
      <c r="V740" s="10"/>
      <c r="W740" s="10"/>
      <c r="X740" s="10"/>
      <c r="Y740" s="10"/>
    </row>
    <row r="741" spans="1:25" x14ac:dyDescent="0.25">
      <c r="A741" s="9">
        <v>41279</v>
      </c>
      <c r="B741" s="10">
        <f ca="1">ROUND(_xlfn.NORM.INV(RAND(),Reference!$C$8,0.1*Reference!$C$8)*(1+Reference!$C$11*(IF(MONTH($A741)=Reference!$C$4,1,0)+IF(MONTH($A741)=Reference!$C$5,1,0))+(IF(MONTH($A741)=Reference!$C$6,Reference!$C$13,0))),0)</f>
        <v>324</v>
      </c>
      <c r="C741" s="11">
        <f ca="1">B741*Reference!$C$7*(1-IF(MONTH($A741)=Reference!$C$6,1,0)*Reference!$C$12)</f>
        <v>301320</v>
      </c>
      <c r="D741" s="10">
        <f ca="1">ROUND(_xlfn.NORM.INV(RAND(),Reference!$D$8,0.1*Reference!$D$8)*(1+Reference!$D$11*(IF(MONTH($A741)=Reference!$D$4,1,0)+IF(MONTH($A741)=Reference!$D$5,1,0))+(IF(MONTH($A741)=Reference!$D$6,Reference!$D$13,0))),0)</f>
        <v>484</v>
      </c>
      <c r="E741" s="11">
        <f ca="1">D741*Reference!$D$7*(1-IF(MONTH($A741)=Reference!$D$6,1,0)*Reference!$D$12)</f>
        <v>363000</v>
      </c>
      <c r="M741" s="20"/>
      <c r="N741" s="20"/>
      <c r="O741" s="19"/>
      <c r="P741" s="10"/>
      <c r="Q741" s="10"/>
      <c r="R741" s="10"/>
      <c r="S741" s="10"/>
      <c r="T741" s="10"/>
      <c r="U741" s="10"/>
      <c r="V741" s="10"/>
      <c r="W741" s="10"/>
      <c r="X741" s="10"/>
      <c r="Y741" s="10"/>
    </row>
    <row r="742" spans="1:25" x14ac:dyDescent="0.25">
      <c r="A742" s="9">
        <v>41280</v>
      </c>
      <c r="B742" s="10">
        <f ca="1">ROUND(_xlfn.NORM.INV(RAND(),Reference!$C$8,0.1*Reference!$C$8)*(1+Reference!$C$11*(IF(MONTH($A742)=Reference!$C$4,1,0)+IF(MONTH($A742)=Reference!$C$5,1,0))+(IF(MONTH($A742)=Reference!$C$6,Reference!$C$13,0))),0)</f>
        <v>413</v>
      </c>
      <c r="C742" s="11">
        <f ca="1">B742*Reference!$C$7*(1-IF(MONTH($A742)=Reference!$C$6,1,0)*Reference!$C$12)</f>
        <v>384090</v>
      </c>
      <c r="D742" s="10">
        <f ca="1">ROUND(_xlfn.NORM.INV(RAND(),Reference!$D$8,0.1*Reference!$D$8)*(1+Reference!$D$11*(IF(MONTH($A742)=Reference!$D$4,1,0)+IF(MONTH($A742)=Reference!$D$5,1,0))+(IF(MONTH($A742)=Reference!$D$6,Reference!$D$13,0))),0)</f>
        <v>480</v>
      </c>
      <c r="E742" s="11">
        <f ca="1">D742*Reference!$D$7*(1-IF(MONTH($A742)=Reference!$D$6,1,0)*Reference!$D$12)</f>
        <v>360000</v>
      </c>
      <c r="M742" s="20"/>
      <c r="N742" s="20"/>
      <c r="O742" s="19"/>
      <c r="P742" s="10"/>
      <c r="Q742" s="10"/>
      <c r="R742" s="10"/>
      <c r="S742" s="10"/>
      <c r="T742" s="10"/>
      <c r="U742" s="10"/>
      <c r="V742" s="10"/>
      <c r="W742" s="10"/>
      <c r="X742" s="10"/>
      <c r="Y742" s="10"/>
    </row>
    <row r="743" spans="1:25" x14ac:dyDescent="0.25">
      <c r="A743" s="9">
        <v>41281</v>
      </c>
      <c r="B743" s="10">
        <f ca="1">ROUND(_xlfn.NORM.INV(RAND(),Reference!$C$8,0.1*Reference!$C$8)*(1+Reference!$C$11*(IF(MONTH($A743)=Reference!$C$4,1,0)+IF(MONTH($A743)=Reference!$C$5,1,0))+(IF(MONTH($A743)=Reference!$C$6,Reference!$C$13,0))),0)</f>
        <v>396</v>
      </c>
      <c r="C743" s="11">
        <f ca="1">B743*Reference!$C$7*(1-IF(MONTH($A743)=Reference!$C$6,1,0)*Reference!$C$12)</f>
        <v>368280</v>
      </c>
      <c r="D743" s="10">
        <f ca="1">ROUND(_xlfn.NORM.INV(RAND(),Reference!$D$8,0.1*Reference!$D$8)*(1+Reference!$D$11*(IF(MONTH($A743)=Reference!$D$4,1,0)+IF(MONTH($A743)=Reference!$D$5,1,0))+(IF(MONTH($A743)=Reference!$D$6,Reference!$D$13,0))),0)</f>
        <v>454</v>
      </c>
      <c r="E743" s="11">
        <f ca="1">D743*Reference!$D$7*(1-IF(MONTH($A743)=Reference!$D$6,1,0)*Reference!$D$12)</f>
        <v>340500</v>
      </c>
      <c r="M743" s="20"/>
      <c r="N743" s="20"/>
      <c r="O743" s="19"/>
      <c r="P743" s="10"/>
      <c r="Q743" s="10"/>
      <c r="R743" s="10"/>
      <c r="S743" s="10"/>
      <c r="T743" s="10"/>
      <c r="U743" s="10"/>
      <c r="V743" s="10"/>
      <c r="W743" s="10"/>
      <c r="X743" s="10"/>
      <c r="Y743" s="10"/>
    </row>
    <row r="744" spans="1:25" x14ac:dyDescent="0.25">
      <c r="A744" s="9">
        <v>41282</v>
      </c>
      <c r="B744" s="10">
        <f ca="1">ROUND(_xlfn.NORM.INV(RAND(),Reference!$C$8,0.1*Reference!$C$8)*(1+Reference!$C$11*(IF(MONTH($A744)=Reference!$C$4,1,0)+IF(MONTH($A744)=Reference!$C$5,1,0))+(IF(MONTH($A744)=Reference!$C$6,Reference!$C$13,0))),0)</f>
        <v>350</v>
      </c>
      <c r="C744" s="11">
        <f ca="1">B744*Reference!$C$7*(1-IF(MONTH($A744)=Reference!$C$6,1,0)*Reference!$C$12)</f>
        <v>325500</v>
      </c>
      <c r="D744" s="10">
        <f ca="1">ROUND(_xlfn.NORM.INV(RAND(),Reference!$D$8,0.1*Reference!$D$8)*(1+Reference!$D$11*(IF(MONTH($A744)=Reference!$D$4,1,0)+IF(MONTH($A744)=Reference!$D$5,1,0))+(IF(MONTH($A744)=Reference!$D$6,Reference!$D$13,0))),0)</f>
        <v>398</v>
      </c>
      <c r="E744" s="11">
        <f ca="1">D744*Reference!$D$7*(1-IF(MONTH($A744)=Reference!$D$6,1,0)*Reference!$D$12)</f>
        <v>298500</v>
      </c>
      <c r="M744" s="20"/>
      <c r="N744" s="20"/>
      <c r="O744" s="19"/>
      <c r="P744" s="10"/>
      <c r="Q744" s="10"/>
      <c r="R744" s="10"/>
      <c r="S744" s="10"/>
      <c r="T744" s="10"/>
      <c r="U744" s="10"/>
      <c r="V744" s="10"/>
      <c r="W744" s="10"/>
      <c r="X744" s="10"/>
      <c r="Y744" s="10"/>
    </row>
    <row r="745" spans="1:25" x14ac:dyDescent="0.25">
      <c r="A745" s="9">
        <v>41283</v>
      </c>
      <c r="B745" s="10">
        <f ca="1">ROUND(_xlfn.NORM.INV(RAND(),Reference!$C$8,0.1*Reference!$C$8)*(1+Reference!$C$11*(IF(MONTH($A745)=Reference!$C$4,1,0)+IF(MONTH($A745)=Reference!$C$5,1,0))+(IF(MONTH($A745)=Reference!$C$6,Reference!$C$13,0))),0)</f>
        <v>380</v>
      </c>
      <c r="C745" s="11">
        <f ca="1">B745*Reference!$C$7*(1-IF(MONTH($A745)=Reference!$C$6,1,0)*Reference!$C$12)</f>
        <v>353400</v>
      </c>
      <c r="D745" s="10">
        <f ca="1">ROUND(_xlfn.NORM.INV(RAND(),Reference!$D$8,0.1*Reference!$D$8)*(1+Reference!$D$11*(IF(MONTH($A745)=Reference!$D$4,1,0)+IF(MONTH($A745)=Reference!$D$5,1,0))+(IF(MONTH($A745)=Reference!$D$6,Reference!$D$13,0))),0)</f>
        <v>389</v>
      </c>
      <c r="E745" s="11">
        <f ca="1">D745*Reference!$D$7*(1-IF(MONTH($A745)=Reference!$D$6,1,0)*Reference!$D$12)</f>
        <v>291750</v>
      </c>
      <c r="M745" s="20"/>
      <c r="N745" s="20"/>
      <c r="O745" s="19"/>
      <c r="P745" s="10"/>
      <c r="Q745" s="10"/>
      <c r="R745" s="10"/>
      <c r="S745" s="10"/>
      <c r="T745" s="10"/>
      <c r="U745" s="10"/>
      <c r="V745" s="10"/>
      <c r="W745" s="10"/>
      <c r="X745" s="10"/>
      <c r="Y745" s="10"/>
    </row>
    <row r="746" spans="1:25" x14ac:dyDescent="0.25">
      <c r="A746" s="9">
        <v>41284</v>
      </c>
      <c r="B746" s="10">
        <f ca="1">ROUND(_xlfn.NORM.INV(RAND(),Reference!$C$8,0.1*Reference!$C$8)*(1+Reference!$C$11*(IF(MONTH($A746)=Reference!$C$4,1,0)+IF(MONTH($A746)=Reference!$C$5,1,0))+(IF(MONTH($A746)=Reference!$C$6,Reference!$C$13,0))),0)</f>
        <v>316</v>
      </c>
      <c r="C746" s="11">
        <f ca="1">B746*Reference!$C$7*(1-IF(MONTH($A746)=Reference!$C$6,1,0)*Reference!$C$12)</f>
        <v>293880</v>
      </c>
      <c r="D746" s="10">
        <f ca="1">ROUND(_xlfn.NORM.INV(RAND(),Reference!$D$8,0.1*Reference!$D$8)*(1+Reference!$D$11*(IF(MONTH($A746)=Reference!$D$4,1,0)+IF(MONTH($A746)=Reference!$D$5,1,0))+(IF(MONTH($A746)=Reference!$D$6,Reference!$D$13,0))),0)</f>
        <v>432</v>
      </c>
      <c r="E746" s="11">
        <f ca="1">D746*Reference!$D$7*(1-IF(MONTH($A746)=Reference!$D$6,1,0)*Reference!$D$12)</f>
        <v>324000</v>
      </c>
      <c r="M746" s="20"/>
      <c r="N746" s="20"/>
      <c r="O746" s="19"/>
      <c r="P746" s="10"/>
      <c r="Q746" s="10"/>
      <c r="R746" s="10"/>
      <c r="S746" s="10"/>
      <c r="T746" s="10"/>
      <c r="U746" s="10"/>
      <c r="V746" s="10"/>
      <c r="W746" s="10"/>
      <c r="X746" s="10"/>
      <c r="Y746" s="10"/>
    </row>
    <row r="747" spans="1:25" x14ac:dyDescent="0.25">
      <c r="A747" s="9">
        <v>41285</v>
      </c>
      <c r="B747" s="10">
        <f ca="1">ROUND(_xlfn.NORM.INV(RAND(),Reference!$C$8,0.1*Reference!$C$8)*(1+Reference!$C$11*(IF(MONTH($A747)=Reference!$C$4,1,0)+IF(MONTH($A747)=Reference!$C$5,1,0))+(IF(MONTH($A747)=Reference!$C$6,Reference!$C$13,0))),0)</f>
        <v>301</v>
      </c>
      <c r="C747" s="11">
        <f ca="1">B747*Reference!$C$7*(1-IF(MONTH($A747)=Reference!$C$6,1,0)*Reference!$C$12)</f>
        <v>279930</v>
      </c>
      <c r="D747" s="10">
        <f ca="1">ROUND(_xlfn.NORM.INV(RAND(),Reference!$D$8,0.1*Reference!$D$8)*(1+Reference!$D$11*(IF(MONTH($A747)=Reference!$D$4,1,0)+IF(MONTH($A747)=Reference!$D$5,1,0))+(IF(MONTH($A747)=Reference!$D$6,Reference!$D$13,0))),0)</f>
        <v>449</v>
      </c>
      <c r="E747" s="11">
        <f ca="1">D747*Reference!$D$7*(1-IF(MONTH($A747)=Reference!$D$6,1,0)*Reference!$D$12)</f>
        <v>336750</v>
      </c>
      <c r="M747" s="20"/>
      <c r="N747" s="20"/>
      <c r="O747" s="19"/>
      <c r="P747" s="10"/>
      <c r="Q747" s="10"/>
      <c r="R747" s="10"/>
      <c r="S747" s="10"/>
      <c r="T747" s="10"/>
      <c r="U747" s="10"/>
      <c r="V747" s="10"/>
      <c r="W747" s="10"/>
      <c r="X747" s="10"/>
      <c r="Y747" s="10"/>
    </row>
    <row r="748" spans="1:25" x14ac:dyDescent="0.25">
      <c r="A748" s="9">
        <v>41286</v>
      </c>
      <c r="B748" s="10">
        <f ca="1">ROUND(_xlfn.NORM.INV(RAND(),Reference!$C$8,0.1*Reference!$C$8)*(1+Reference!$C$11*(IF(MONTH($A748)=Reference!$C$4,1,0)+IF(MONTH($A748)=Reference!$C$5,1,0))+(IF(MONTH($A748)=Reference!$C$6,Reference!$C$13,0))),0)</f>
        <v>390</v>
      </c>
      <c r="C748" s="11">
        <f ca="1">B748*Reference!$C$7*(1-IF(MONTH($A748)=Reference!$C$6,1,0)*Reference!$C$12)</f>
        <v>362700</v>
      </c>
      <c r="D748" s="10">
        <f ca="1">ROUND(_xlfn.NORM.INV(RAND(),Reference!$D$8,0.1*Reference!$D$8)*(1+Reference!$D$11*(IF(MONTH($A748)=Reference!$D$4,1,0)+IF(MONTH($A748)=Reference!$D$5,1,0))+(IF(MONTH($A748)=Reference!$D$6,Reference!$D$13,0))),0)</f>
        <v>410</v>
      </c>
      <c r="E748" s="11">
        <f ca="1">D748*Reference!$D$7*(1-IF(MONTH($A748)=Reference!$D$6,1,0)*Reference!$D$12)</f>
        <v>307500</v>
      </c>
      <c r="M748" s="20"/>
      <c r="N748" s="20"/>
      <c r="O748" s="19"/>
      <c r="P748" s="10"/>
      <c r="Q748" s="10"/>
      <c r="R748" s="10"/>
      <c r="S748" s="10"/>
      <c r="T748" s="10"/>
      <c r="U748" s="10"/>
      <c r="V748" s="10"/>
      <c r="W748" s="10"/>
      <c r="X748" s="10"/>
      <c r="Y748" s="10"/>
    </row>
    <row r="749" spans="1:25" x14ac:dyDescent="0.25">
      <c r="A749" s="9">
        <v>41287</v>
      </c>
      <c r="B749" s="10">
        <f ca="1">ROUND(_xlfn.NORM.INV(RAND(),Reference!$C$8,0.1*Reference!$C$8)*(1+Reference!$C$11*(IF(MONTH($A749)=Reference!$C$4,1,0)+IF(MONTH($A749)=Reference!$C$5,1,0))+(IF(MONTH($A749)=Reference!$C$6,Reference!$C$13,0))),0)</f>
        <v>417</v>
      </c>
      <c r="C749" s="11">
        <f ca="1">B749*Reference!$C$7*(1-IF(MONTH($A749)=Reference!$C$6,1,0)*Reference!$C$12)</f>
        <v>387810</v>
      </c>
      <c r="D749" s="10">
        <f ca="1">ROUND(_xlfn.NORM.INV(RAND(),Reference!$D$8,0.1*Reference!$D$8)*(1+Reference!$D$11*(IF(MONTH($A749)=Reference!$D$4,1,0)+IF(MONTH($A749)=Reference!$D$5,1,0))+(IF(MONTH($A749)=Reference!$D$6,Reference!$D$13,0))),0)</f>
        <v>500</v>
      </c>
      <c r="E749" s="11">
        <f ca="1">D749*Reference!$D$7*(1-IF(MONTH($A749)=Reference!$D$6,1,0)*Reference!$D$12)</f>
        <v>375000</v>
      </c>
      <c r="M749" s="20"/>
      <c r="N749" s="20"/>
      <c r="O749" s="19"/>
      <c r="P749" s="10"/>
      <c r="Q749" s="10"/>
      <c r="R749" s="10"/>
      <c r="S749" s="10"/>
      <c r="T749" s="10"/>
      <c r="U749" s="10"/>
      <c r="V749" s="10"/>
      <c r="W749" s="10"/>
      <c r="X749" s="10"/>
      <c r="Y749" s="10"/>
    </row>
    <row r="750" spans="1:25" x14ac:dyDescent="0.25">
      <c r="A750" s="9">
        <v>41288</v>
      </c>
      <c r="B750" s="10">
        <f ca="1">ROUND(_xlfn.NORM.INV(RAND(),Reference!$C$8,0.1*Reference!$C$8)*(1+Reference!$C$11*(IF(MONTH($A750)=Reference!$C$4,1,0)+IF(MONTH($A750)=Reference!$C$5,1,0))+(IF(MONTH($A750)=Reference!$C$6,Reference!$C$13,0))),0)</f>
        <v>359</v>
      </c>
      <c r="C750" s="11">
        <f ca="1">B750*Reference!$C$7*(1-IF(MONTH($A750)=Reference!$C$6,1,0)*Reference!$C$12)</f>
        <v>333870</v>
      </c>
      <c r="D750" s="10">
        <f ca="1">ROUND(_xlfn.NORM.INV(RAND(),Reference!$D$8,0.1*Reference!$D$8)*(1+Reference!$D$11*(IF(MONTH($A750)=Reference!$D$4,1,0)+IF(MONTH($A750)=Reference!$D$5,1,0))+(IF(MONTH($A750)=Reference!$D$6,Reference!$D$13,0))),0)</f>
        <v>469</v>
      </c>
      <c r="E750" s="11">
        <f ca="1">D750*Reference!$D$7*(1-IF(MONTH($A750)=Reference!$D$6,1,0)*Reference!$D$12)</f>
        <v>351750</v>
      </c>
      <c r="M750" s="20"/>
      <c r="N750" s="20"/>
      <c r="O750" s="19"/>
      <c r="P750" s="10"/>
      <c r="Q750" s="10"/>
      <c r="R750" s="10"/>
      <c r="S750" s="10"/>
      <c r="T750" s="10"/>
      <c r="U750" s="10"/>
      <c r="V750" s="10"/>
      <c r="W750" s="10"/>
      <c r="X750" s="10"/>
      <c r="Y750" s="10"/>
    </row>
    <row r="751" spans="1:25" x14ac:dyDescent="0.25">
      <c r="A751" s="9">
        <v>41289</v>
      </c>
      <c r="B751" s="10">
        <f ca="1">ROUND(_xlfn.NORM.INV(RAND(),Reference!$C$8,0.1*Reference!$C$8)*(1+Reference!$C$11*(IF(MONTH($A751)=Reference!$C$4,1,0)+IF(MONTH($A751)=Reference!$C$5,1,0))+(IF(MONTH($A751)=Reference!$C$6,Reference!$C$13,0))),0)</f>
        <v>357</v>
      </c>
      <c r="C751" s="11">
        <f ca="1">B751*Reference!$C$7*(1-IF(MONTH($A751)=Reference!$C$6,1,0)*Reference!$C$12)</f>
        <v>332010</v>
      </c>
      <c r="D751" s="10">
        <f ca="1">ROUND(_xlfn.NORM.INV(RAND(),Reference!$D$8,0.1*Reference!$D$8)*(1+Reference!$D$11*(IF(MONTH($A751)=Reference!$D$4,1,0)+IF(MONTH($A751)=Reference!$D$5,1,0))+(IF(MONTH($A751)=Reference!$D$6,Reference!$D$13,0))),0)</f>
        <v>340</v>
      </c>
      <c r="E751" s="11">
        <f ca="1">D751*Reference!$D$7*(1-IF(MONTH($A751)=Reference!$D$6,1,0)*Reference!$D$12)</f>
        <v>255000</v>
      </c>
      <c r="M751" s="20"/>
      <c r="N751" s="20"/>
      <c r="O751" s="19"/>
      <c r="P751" s="10"/>
      <c r="Q751" s="10"/>
      <c r="R751" s="10"/>
      <c r="S751" s="10"/>
      <c r="T751" s="10"/>
      <c r="U751" s="10"/>
      <c r="V751" s="10"/>
      <c r="W751" s="10"/>
      <c r="X751" s="10"/>
      <c r="Y751" s="10"/>
    </row>
    <row r="752" spans="1:25" x14ac:dyDescent="0.25">
      <c r="A752" s="9">
        <v>41290</v>
      </c>
      <c r="B752" s="10">
        <f ca="1">ROUND(_xlfn.NORM.INV(RAND(),Reference!$C$8,0.1*Reference!$C$8)*(1+Reference!$C$11*(IF(MONTH($A752)=Reference!$C$4,1,0)+IF(MONTH($A752)=Reference!$C$5,1,0))+(IF(MONTH($A752)=Reference!$C$6,Reference!$C$13,0))),0)</f>
        <v>391</v>
      </c>
      <c r="C752" s="11">
        <f ca="1">B752*Reference!$C$7*(1-IF(MONTH($A752)=Reference!$C$6,1,0)*Reference!$C$12)</f>
        <v>363630</v>
      </c>
      <c r="D752" s="10">
        <f ca="1">ROUND(_xlfn.NORM.INV(RAND(),Reference!$D$8,0.1*Reference!$D$8)*(1+Reference!$D$11*(IF(MONTH($A752)=Reference!$D$4,1,0)+IF(MONTH($A752)=Reference!$D$5,1,0))+(IF(MONTH($A752)=Reference!$D$6,Reference!$D$13,0))),0)</f>
        <v>479</v>
      </c>
      <c r="E752" s="11">
        <f ca="1">D752*Reference!$D$7*(1-IF(MONTH($A752)=Reference!$D$6,1,0)*Reference!$D$12)</f>
        <v>359250</v>
      </c>
      <c r="M752" s="20"/>
      <c r="N752" s="20"/>
      <c r="O752" s="19"/>
      <c r="P752" s="10"/>
      <c r="Q752" s="10"/>
      <c r="R752" s="10"/>
      <c r="S752" s="10"/>
      <c r="T752" s="10"/>
      <c r="U752" s="10"/>
      <c r="V752" s="10"/>
      <c r="W752" s="10"/>
      <c r="X752" s="10"/>
      <c r="Y752" s="10"/>
    </row>
    <row r="753" spans="1:25" x14ac:dyDescent="0.25">
      <c r="A753" s="9">
        <v>41291</v>
      </c>
      <c r="B753" s="10">
        <f ca="1">ROUND(_xlfn.NORM.INV(RAND(),Reference!$C$8,0.1*Reference!$C$8)*(1+Reference!$C$11*(IF(MONTH($A753)=Reference!$C$4,1,0)+IF(MONTH($A753)=Reference!$C$5,1,0))+(IF(MONTH($A753)=Reference!$C$6,Reference!$C$13,0))),0)</f>
        <v>352</v>
      </c>
      <c r="C753" s="11">
        <f ca="1">B753*Reference!$C$7*(1-IF(MONTH($A753)=Reference!$C$6,1,0)*Reference!$C$12)</f>
        <v>327360</v>
      </c>
      <c r="D753" s="10">
        <f ca="1">ROUND(_xlfn.NORM.INV(RAND(),Reference!$D$8,0.1*Reference!$D$8)*(1+Reference!$D$11*(IF(MONTH($A753)=Reference!$D$4,1,0)+IF(MONTH($A753)=Reference!$D$5,1,0))+(IF(MONTH($A753)=Reference!$D$6,Reference!$D$13,0))),0)</f>
        <v>566</v>
      </c>
      <c r="E753" s="11">
        <f ca="1">D753*Reference!$D$7*(1-IF(MONTH($A753)=Reference!$D$6,1,0)*Reference!$D$12)</f>
        <v>424500</v>
      </c>
      <c r="M753" s="20"/>
      <c r="N753" s="20"/>
      <c r="O753" s="19"/>
      <c r="P753" s="10"/>
      <c r="Q753" s="10"/>
      <c r="R753" s="10"/>
      <c r="S753" s="10"/>
      <c r="T753" s="10"/>
      <c r="U753" s="10"/>
      <c r="V753" s="10"/>
      <c r="W753" s="10"/>
      <c r="X753" s="10"/>
      <c r="Y753" s="10"/>
    </row>
    <row r="754" spans="1:25" x14ac:dyDescent="0.25">
      <c r="A754" s="9">
        <v>41292</v>
      </c>
      <c r="B754" s="10">
        <f ca="1">ROUND(_xlfn.NORM.INV(RAND(),Reference!$C$8,0.1*Reference!$C$8)*(1+Reference!$C$11*(IF(MONTH($A754)=Reference!$C$4,1,0)+IF(MONTH($A754)=Reference!$C$5,1,0))+(IF(MONTH($A754)=Reference!$C$6,Reference!$C$13,0))),0)</f>
        <v>360</v>
      </c>
      <c r="C754" s="11">
        <f ca="1">B754*Reference!$C$7*(1-IF(MONTH($A754)=Reference!$C$6,1,0)*Reference!$C$12)</f>
        <v>334800</v>
      </c>
      <c r="D754" s="10">
        <f ca="1">ROUND(_xlfn.NORM.INV(RAND(),Reference!$D$8,0.1*Reference!$D$8)*(1+Reference!$D$11*(IF(MONTH($A754)=Reference!$D$4,1,0)+IF(MONTH($A754)=Reference!$D$5,1,0))+(IF(MONTH($A754)=Reference!$D$6,Reference!$D$13,0))),0)</f>
        <v>483</v>
      </c>
      <c r="E754" s="11">
        <f ca="1">D754*Reference!$D$7*(1-IF(MONTH($A754)=Reference!$D$6,1,0)*Reference!$D$12)</f>
        <v>362250</v>
      </c>
      <c r="M754" s="20"/>
      <c r="N754" s="20"/>
      <c r="O754" s="19"/>
      <c r="P754" s="10"/>
      <c r="Q754" s="10"/>
      <c r="R754" s="10"/>
      <c r="S754" s="10"/>
      <c r="T754" s="10"/>
      <c r="U754" s="10"/>
      <c r="V754" s="10"/>
      <c r="W754" s="10"/>
      <c r="X754" s="10"/>
      <c r="Y754" s="10"/>
    </row>
    <row r="755" spans="1:25" x14ac:dyDescent="0.25">
      <c r="A755" s="9">
        <v>41293</v>
      </c>
      <c r="B755" s="10">
        <f ca="1">ROUND(_xlfn.NORM.INV(RAND(),Reference!$C$8,0.1*Reference!$C$8)*(1+Reference!$C$11*(IF(MONTH($A755)=Reference!$C$4,1,0)+IF(MONTH($A755)=Reference!$C$5,1,0))+(IF(MONTH($A755)=Reference!$C$6,Reference!$C$13,0))),0)</f>
        <v>316</v>
      </c>
      <c r="C755" s="11">
        <f ca="1">B755*Reference!$C$7*(1-IF(MONTH($A755)=Reference!$C$6,1,0)*Reference!$C$12)</f>
        <v>293880</v>
      </c>
      <c r="D755" s="10">
        <f ca="1">ROUND(_xlfn.NORM.INV(RAND(),Reference!$D$8,0.1*Reference!$D$8)*(1+Reference!$D$11*(IF(MONTH($A755)=Reference!$D$4,1,0)+IF(MONTH($A755)=Reference!$D$5,1,0))+(IF(MONTH($A755)=Reference!$D$6,Reference!$D$13,0))),0)</f>
        <v>392</v>
      </c>
      <c r="E755" s="11">
        <f ca="1">D755*Reference!$D$7*(1-IF(MONTH($A755)=Reference!$D$6,1,0)*Reference!$D$12)</f>
        <v>294000</v>
      </c>
      <c r="M755" s="20"/>
      <c r="N755" s="20"/>
      <c r="O755" s="19"/>
      <c r="P755" s="10"/>
      <c r="Q755" s="10"/>
      <c r="R755" s="10"/>
      <c r="S755" s="10"/>
      <c r="T755" s="10"/>
      <c r="U755" s="10"/>
      <c r="V755" s="10"/>
      <c r="W755" s="10"/>
      <c r="X755" s="10"/>
      <c r="Y755" s="10"/>
    </row>
    <row r="756" spans="1:25" x14ac:dyDescent="0.25">
      <c r="A756" s="9">
        <v>41294</v>
      </c>
      <c r="B756" s="10">
        <f ca="1">ROUND(_xlfn.NORM.INV(RAND(),Reference!$C$8,0.1*Reference!$C$8)*(1+Reference!$C$11*(IF(MONTH($A756)=Reference!$C$4,1,0)+IF(MONTH($A756)=Reference!$C$5,1,0))+(IF(MONTH($A756)=Reference!$C$6,Reference!$C$13,0))),0)</f>
        <v>339</v>
      </c>
      <c r="C756" s="11">
        <f ca="1">B756*Reference!$C$7*(1-IF(MONTH($A756)=Reference!$C$6,1,0)*Reference!$C$12)</f>
        <v>315270</v>
      </c>
      <c r="D756" s="10">
        <f ca="1">ROUND(_xlfn.NORM.INV(RAND(),Reference!$D$8,0.1*Reference!$D$8)*(1+Reference!$D$11*(IF(MONTH($A756)=Reference!$D$4,1,0)+IF(MONTH($A756)=Reference!$D$5,1,0))+(IF(MONTH($A756)=Reference!$D$6,Reference!$D$13,0))),0)</f>
        <v>472</v>
      </c>
      <c r="E756" s="11">
        <f ca="1">D756*Reference!$D$7*(1-IF(MONTH($A756)=Reference!$D$6,1,0)*Reference!$D$12)</f>
        <v>354000</v>
      </c>
      <c r="M756" s="20"/>
      <c r="N756" s="20"/>
      <c r="O756" s="19"/>
      <c r="P756" s="10"/>
      <c r="Q756" s="10"/>
      <c r="R756" s="10"/>
      <c r="S756" s="10"/>
      <c r="T756" s="10"/>
      <c r="U756" s="10"/>
      <c r="V756" s="10"/>
      <c r="W756" s="10"/>
      <c r="X756" s="10"/>
      <c r="Y756" s="10"/>
    </row>
    <row r="757" spans="1:25" x14ac:dyDescent="0.25">
      <c r="A757" s="9">
        <v>41295</v>
      </c>
      <c r="B757" s="10">
        <f ca="1">ROUND(_xlfn.NORM.INV(RAND(),Reference!$C$8,0.1*Reference!$C$8)*(1+Reference!$C$11*(IF(MONTH($A757)=Reference!$C$4,1,0)+IF(MONTH($A757)=Reference!$C$5,1,0))+(IF(MONTH($A757)=Reference!$C$6,Reference!$C$13,0))),0)</f>
        <v>306</v>
      </c>
      <c r="C757" s="11">
        <f ca="1">B757*Reference!$C$7*(1-IF(MONTH($A757)=Reference!$C$6,1,0)*Reference!$C$12)</f>
        <v>284580</v>
      </c>
      <c r="D757" s="10">
        <f ca="1">ROUND(_xlfn.NORM.INV(RAND(),Reference!$D$8,0.1*Reference!$D$8)*(1+Reference!$D$11*(IF(MONTH($A757)=Reference!$D$4,1,0)+IF(MONTH($A757)=Reference!$D$5,1,0))+(IF(MONTH($A757)=Reference!$D$6,Reference!$D$13,0))),0)</f>
        <v>546</v>
      </c>
      <c r="E757" s="11">
        <f ca="1">D757*Reference!$D$7*(1-IF(MONTH($A757)=Reference!$D$6,1,0)*Reference!$D$12)</f>
        <v>409500</v>
      </c>
      <c r="M757" s="20"/>
      <c r="N757" s="20"/>
      <c r="O757" s="19"/>
      <c r="P757" s="10"/>
      <c r="Q757" s="10"/>
      <c r="R757" s="10"/>
      <c r="S757" s="10"/>
      <c r="T757" s="10"/>
      <c r="U757" s="10"/>
      <c r="V757" s="10"/>
      <c r="W757" s="10"/>
      <c r="X757" s="10"/>
      <c r="Y757" s="10"/>
    </row>
    <row r="758" spans="1:25" x14ac:dyDescent="0.25">
      <c r="A758" s="9">
        <v>41296</v>
      </c>
      <c r="B758" s="10">
        <f ca="1">ROUND(_xlfn.NORM.INV(RAND(),Reference!$C$8,0.1*Reference!$C$8)*(1+Reference!$C$11*(IF(MONTH($A758)=Reference!$C$4,1,0)+IF(MONTH($A758)=Reference!$C$5,1,0))+(IF(MONTH($A758)=Reference!$C$6,Reference!$C$13,0))),0)</f>
        <v>437</v>
      </c>
      <c r="C758" s="11">
        <f ca="1">B758*Reference!$C$7*(1-IF(MONTH($A758)=Reference!$C$6,1,0)*Reference!$C$12)</f>
        <v>406410</v>
      </c>
      <c r="D758" s="10">
        <f ca="1">ROUND(_xlfn.NORM.INV(RAND(),Reference!$D$8,0.1*Reference!$D$8)*(1+Reference!$D$11*(IF(MONTH($A758)=Reference!$D$4,1,0)+IF(MONTH($A758)=Reference!$D$5,1,0))+(IF(MONTH($A758)=Reference!$D$6,Reference!$D$13,0))),0)</f>
        <v>331</v>
      </c>
      <c r="E758" s="11">
        <f ca="1">D758*Reference!$D$7*(1-IF(MONTH($A758)=Reference!$D$6,1,0)*Reference!$D$12)</f>
        <v>248250</v>
      </c>
      <c r="M758" s="20"/>
      <c r="N758" s="20"/>
      <c r="O758" s="19"/>
      <c r="P758" s="10"/>
      <c r="Q758" s="10"/>
      <c r="R758" s="10"/>
      <c r="S758" s="10"/>
      <c r="T758" s="10"/>
      <c r="U758" s="10"/>
      <c r="V758" s="10"/>
      <c r="W758" s="10"/>
      <c r="X758" s="10"/>
      <c r="Y758" s="10"/>
    </row>
    <row r="759" spans="1:25" x14ac:dyDescent="0.25">
      <c r="A759" s="9">
        <v>41297</v>
      </c>
      <c r="B759" s="10">
        <f ca="1">ROUND(_xlfn.NORM.INV(RAND(),Reference!$C$8,0.1*Reference!$C$8)*(1+Reference!$C$11*(IF(MONTH($A759)=Reference!$C$4,1,0)+IF(MONTH($A759)=Reference!$C$5,1,0))+(IF(MONTH($A759)=Reference!$C$6,Reference!$C$13,0))),0)</f>
        <v>325</v>
      </c>
      <c r="C759" s="11">
        <f ca="1">B759*Reference!$C$7*(1-IF(MONTH($A759)=Reference!$C$6,1,0)*Reference!$C$12)</f>
        <v>302250</v>
      </c>
      <c r="D759" s="10">
        <f ca="1">ROUND(_xlfn.NORM.INV(RAND(),Reference!$D$8,0.1*Reference!$D$8)*(1+Reference!$D$11*(IF(MONTH($A759)=Reference!$D$4,1,0)+IF(MONTH($A759)=Reference!$D$5,1,0))+(IF(MONTH($A759)=Reference!$D$6,Reference!$D$13,0))),0)</f>
        <v>517</v>
      </c>
      <c r="E759" s="11">
        <f ca="1">D759*Reference!$D$7*(1-IF(MONTH($A759)=Reference!$D$6,1,0)*Reference!$D$12)</f>
        <v>387750</v>
      </c>
      <c r="M759" s="20"/>
      <c r="N759" s="20"/>
      <c r="O759" s="19"/>
      <c r="P759" s="10"/>
      <c r="Q759" s="10"/>
      <c r="R759" s="10"/>
      <c r="S759" s="10"/>
      <c r="T759" s="10"/>
      <c r="U759" s="10"/>
      <c r="V759" s="10"/>
      <c r="W759" s="10"/>
      <c r="X759" s="10"/>
      <c r="Y759" s="10"/>
    </row>
    <row r="760" spans="1:25" x14ac:dyDescent="0.25">
      <c r="A760" s="9">
        <v>41298</v>
      </c>
      <c r="B760" s="10">
        <f ca="1">ROUND(_xlfn.NORM.INV(RAND(),Reference!$C$8,0.1*Reference!$C$8)*(1+Reference!$C$11*(IF(MONTH($A760)=Reference!$C$4,1,0)+IF(MONTH($A760)=Reference!$C$5,1,0))+(IF(MONTH($A760)=Reference!$C$6,Reference!$C$13,0))),0)</f>
        <v>373</v>
      </c>
      <c r="C760" s="11">
        <f ca="1">B760*Reference!$C$7*(1-IF(MONTH($A760)=Reference!$C$6,1,0)*Reference!$C$12)</f>
        <v>346890</v>
      </c>
      <c r="D760" s="10">
        <f ca="1">ROUND(_xlfn.NORM.INV(RAND(),Reference!$D$8,0.1*Reference!$D$8)*(1+Reference!$D$11*(IF(MONTH($A760)=Reference!$D$4,1,0)+IF(MONTH($A760)=Reference!$D$5,1,0))+(IF(MONTH($A760)=Reference!$D$6,Reference!$D$13,0))),0)</f>
        <v>475</v>
      </c>
      <c r="E760" s="11">
        <f ca="1">D760*Reference!$D$7*(1-IF(MONTH($A760)=Reference!$D$6,1,0)*Reference!$D$12)</f>
        <v>356250</v>
      </c>
      <c r="M760" s="20"/>
      <c r="N760" s="20"/>
      <c r="O760" s="19"/>
      <c r="P760" s="10"/>
      <c r="Q760" s="10"/>
      <c r="R760" s="10"/>
      <c r="S760" s="10"/>
      <c r="T760" s="10"/>
      <c r="U760" s="10"/>
      <c r="V760" s="10"/>
      <c r="W760" s="10"/>
      <c r="X760" s="10"/>
      <c r="Y760" s="10"/>
    </row>
    <row r="761" spans="1:25" x14ac:dyDescent="0.25">
      <c r="A761" s="9">
        <v>41299</v>
      </c>
      <c r="B761" s="10">
        <f ca="1">ROUND(_xlfn.NORM.INV(RAND(),Reference!$C$8,0.1*Reference!$C$8)*(1+Reference!$C$11*(IF(MONTH($A761)=Reference!$C$4,1,0)+IF(MONTH($A761)=Reference!$C$5,1,0))+(IF(MONTH($A761)=Reference!$C$6,Reference!$C$13,0))),0)</f>
        <v>383</v>
      </c>
      <c r="C761" s="11">
        <f ca="1">B761*Reference!$C$7*(1-IF(MONTH($A761)=Reference!$C$6,1,0)*Reference!$C$12)</f>
        <v>356190</v>
      </c>
      <c r="D761" s="10">
        <f ca="1">ROUND(_xlfn.NORM.INV(RAND(),Reference!$D$8,0.1*Reference!$D$8)*(1+Reference!$D$11*(IF(MONTH($A761)=Reference!$D$4,1,0)+IF(MONTH($A761)=Reference!$D$5,1,0))+(IF(MONTH($A761)=Reference!$D$6,Reference!$D$13,0))),0)</f>
        <v>439</v>
      </c>
      <c r="E761" s="11">
        <f ca="1">D761*Reference!$D$7*(1-IF(MONTH($A761)=Reference!$D$6,1,0)*Reference!$D$12)</f>
        <v>329250</v>
      </c>
      <c r="M761" s="20"/>
      <c r="N761" s="20"/>
      <c r="O761" s="19"/>
      <c r="P761" s="10"/>
      <c r="Q761" s="10"/>
      <c r="R761" s="10"/>
      <c r="S761" s="10"/>
      <c r="T761" s="10"/>
      <c r="U761" s="10"/>
      <c r="V761" s="10"/>
      <c r="W761" s="10"/>
      <c r="X761" s="10"/>
      <c r="Y761" s="10"/>
    </row>
    <row r="762" spans="1:25" x14ac:dyDescent="0.25">
      <c r="A762" s="9">
        <v>41300</v>
      </c>
      <c r="B762" s="10">
        <f ca="1">ROUND(_xlfn.NORM.INV(RAND(),Reference!$C$8,0.1*Reference!$C$8)*(1+Reference!$C$11*(IF(MONTH($A762)=Reference!$C$4,1,0)+IF(MONTH($A762)=Reference!$C$5,1,0))+(IF(MONTH($A762)=Reference!$C$6,Reference!$C$13,0))),0)</f>
        <v>329</v>
      </c>
      <c r="C762" s="11">
        <f ca="1">B762*Reference!$C$7*(1-IF(MONTH($A762)=Reference!$C$6,1,0)*Reference!$C$12)</f>
        <v>305970</v>
      </c>
      <c r="D762" s="10">
        <f ca="1">ROUND(_xlfn.NORM.INV(RAND(),Reference!$D$8,0.1*Reference!$D$8)*(1+Reference!$D$11*(IF(MONTH($A762)=Reference!$D$4,1,0)+IF(MONTH($A762)=Reference!$D$5,1,0))+(IF(MONTH($A762)=Reference!$D$6,Reference!$D$13,0))),0)</f>
        <v>461</v>
      </c>
      <c r="E762" s="11">
        <f ca="1">D762*Reference!$D$7*(1-IF(MONTH($A762)=Reference!$D$6,1,0)*Reference!$D$12)</f>
        <v>345750</v>
      </c>
      <c r="M762" s="20"/>
      <c r="N762" s="20"/>
      <c r="O762" s="19"/>
      <c r="P762" s="10"/>
      <c r="Q762" s="10"/>
      <c r="R762" s="10"/>
      <c r="S762" s="10"/>
      <c r="T762" s="10"/>
      <c r="U762" s="10"/>
      <c r="V762" s="10"/>
      <c r="W762" s="10"/>
      <c r="X762" s="10"/>
      <c r="Y762" s="10"/>
    </row>
    <row r="763" spans="1:25" x14ac:dyDescent="0.25">
      <c r="A763" s="9">
        <v>41301</v>
      </c>
      <c r="B763" s="10">
        <f ca="1">ROUND(_xlfn.NORM.INV(RAND(),Reference!$C$8,0.1*Reference!$C$8)*(1+Reference!$C$11*(IF(MONTH($A763)=Reference!$C$4,1,0)+IF(MONTH($A763)=Reference!$C$5,1,0))+(IF(MONTH($A763)=Reference!$C$6,Reference!$C$13,0))),0)</f>
        <v>299</v>
      </c>
      <c r="C763" s="11">
        <f ca="1">B763*Reference!$C$7*(1-IF(MONTH($A763)=Reference!$C$6,1,0)*Reference!$C$12)</f>
        <v>278070</v>
      </c>
      <c r="D763" s="10">
        <f ca="1">ROUND(_xlfn.NORM.INV(RAND(),Reference!$D$8,0.1*Reference!$D$8)*(1+Reference!$D$11*(IF(MONTH($A763)=Reference!$D$4,1,0)+IF(MONTH($A763)=Reference!$D$5,1,0))+(IF(MONTH($A763)=Reference!$D$6,Reference!$D$13,0))),0)</f>
        <v>454</v>
      </c>
      <c r="E763" s="11">
        <f ca="1">D763*Reference!$D$7*(1-IF(MONTH($A763)=Reference!$D$6,1,0)*Reference!$D$12)</f>
        <v>340500</v>
      </c>
      <c r="M763" s="20"/>
      <c r="N763" s="20"/>
      <c r="O763" s="19"/>
      <c r="P763" s="10"/>
      <c r="Q763" s="10"/>
      <c r="R763" s="10"/>
      <c r="S763" s="10"/>
      <c r="T763" s="10"/>
      <c r="U763" s="10"/>
      <c r="V763" s="10"/>
      <c r="W763" s="10"/>
      <c r="X763" s="10"/>
      <c r="Y763" s="10"/>
    </row>
    <row r="764" spans="1:25" x14ac:dyDescent="0.25">
      <c r="A764" s="9">
        <v>41302</v>
      </c>
      <c r="B764" s="10">
        <f ca="1">ROUND(_xlfn.NORM.INV(RAND(),Reference!$C$8,0.1*Reference!$C$8)*(1+Reference!$C$11*(IF(MONTH($A764)=Reference!$C$4,1,0)+IF(MONTH($A764)=Reference!$C$5,1,0))+(IF(MONTH($A764)=Reference!$C$6,Reference!$C$13,0))),0)</f>
        <v>394</v>
      </c>
      <c r="C764" s="11">
        <f ca="1">B764*Reference!$C$7*(1-IF(MONTH($A764)=Reference!$C$6,1,0)*Reference!$C$12)</f>
        <v>366420</v>
      </c>
      <c r="D764" s="10">
        <f ca="1">ROUND(_xlfn.NORM.INV(RAND(),Reference!$D$8,0.1*Reference!$D$8)*(1+Reference!$D$11*(IF(MONTH($A764)=Reference!$D$4,1,0)+IF(MONTH($A764)=Reference!$D$5,1,0))+(IF(MONTH($A764)=Reference!$D$6,Reference!$D$13,0))),0)</f>
        <v>388</v>
      </c>
      <c r="E764" s="11">
        <f ca="1">D764*Reference!$D$7*(1-IF(MONTH($A764)=Reference!$D$6,1,0)*Reference!$D$12)</f>
        <v>291000</v>
      </c>
      <c r="M764" s="20"/>
      <c r="N764" s="20"/>
      <c r="O764" s="19"/>
      <c r="P764" s="10"/>
      <c r="Q764" s="10"/>
      <c r="R764" s="10"/>
      <c r="S764" s="10"/>
      <c r="T764" s="10"/>
      <c r="U764" s="10"/>
      <c r="V764" s="10"/>
      <c r="W764" s="10"/>
      <c r="X764" s="10"/>
      <c r="Y764" s="10"/>
    </row>
    <row r="765" spans="1:25" x14ac:dyDescent="0.25">
      <c r="A765" s="9">
        <v>41303</v>
      </c>
      <c r="B765" s="10">
        <f ca="1">ROUND(_xlfn.NORM.INV(RAND(),Reference!$C$8,0.1*Reference!$C$8)*(1+Reference!$C$11*(IF(MONTH($A765)=Reference!$C$4,1,0)+IF(MONTH($A765)=Reference!$C$5,1,0))+(IF(MONTH($A765)=Reference!$C$6,Reference!$C$13,0))),0)</f>
        <v>326</v>
      </c>
      <c r="C765" s="11">
        <f ca="1">B765*Reference!$C$7*(1-IF(MONTH($A765)=Reference!$C$6,1,0)*Reference!$C$12)</f>
        <v>303180</v>
      </c>
      <c r="D765" s="10">
        <f ca="1">ROUND(_xlfn.NORM.INV(RAND(),Reference!$D$8,0.1*Reference!$D$8)*(1+Reference!$D$11*(IF(MONTH($A765)=Reference!$D$4,1,0)+IF(MONTH($A765)=Reference!$D$5,1,0))+(IF(MONTH($A765)=Reference!$D$6,Reference!$D$13,0))),0)</f>
        <v>492</v>
      </c>
      <c r="E765" s="11">
        <f ca="1">D765*Reference!$D$7*(1-IF(MONTH($A765)=Reference!$D$6,1,0)*Reference!$D$12)</f>
        <v>369000</v>
      </c>
      <c r="M765" s="20"/>
      <c r="N765" s="20"/>
      <c r="O765" s="19"/>
      <c r="P765" s="10"/>
      <c r="Q765" s="10"/>
      <c r="R765" s="10"/>
      <c r="S765" s="10"/>
      <c r="T765" s="10"/>
      <c r="U765" s="10"/>
      <c r="V765" s="10"/>
      <c r="W765" s="10"/>
      <c r="X765" s="10"/>
      <c r="Y765" s="10"/>
    </row>
    <row r="766" spans="1:25" x14ac:dyDescent="0.25">
      <c r="A766" s="9">
        <v>41304</v>
      </c>
      <c r="B766" s="10">
        <f ca="1">ROUND(_xlfn.NORM.INV(RAND(),Reference!$C$8,0.1*Reference!$C$8)*(1+Reference!$C$11*(IF(MONTH($A766)=Reference!$C$4,1,0)+IF(MONTH($A766)=Reference!$C$5,1,0))+(IF(MONTH($A766)=Reference!$C$6,Reference!$C$13,0))),0)</f>
        <v>365</v>
      </c>
      <c r="C766" s="11">
        <f ca="1">B766*Reference!$C$7*(1-IF(MONTH($A766)=Reference!$C$6,1,0)*Reference!$C$12)</f>
        <v>339450</v>
      </c>
      <c r="D766" s="10">
        <f ca="1">ROUND(_xlfn.NORM.INV(RAND(),Reference!$D$8,0.1*Reference!$D$8)*(1+Reference!$D$11*(IF(MONTH($A766)=Reference!$D$4,1,0)+IF(MONTH($A766)=Reference!$D$5,1,0))+(IF(MONTH($A766)=Reference!$D$6,Reference!$D$13,0))),0)</f>
        <v>456</v>
      </c>
      <c r="E766" s="11">
        <f ca="1">D766*Reference!$D$7*(1-IF(MONTH($A766)=Reference!$D$6,1,0)*Reference!$D$12)</f>
        <v>342000</v>
      </c>
      <c r="M766" s="20"/>
      <c r="N766" s="20"/>
      <c r="O766" s="19"/>
      <c r="P766" s="10"/>
      <c r="Q766" s="10"/>
      <c r="R766" s="10"/>
      <c r="S766" s="10"/>
      <c r="T766" s="10"/>
      <c r="U766" s="10"/>
      <c r="V766" s="10"/>
      <c r="W766" s="10"/>
      <c r="X766" s="10"/>
      <c r="Y766" s="10"/>
    </row>
    <row r="767" spans="1:25" x14ac:dyDescent="0.25">
      <c r="A767" s="9">
        <v>41305</v>
      </c>
      <c r="B767" s="10">
        <f ca="1">ROUND(_xlfn.NORM.INV(RAND(),Reference!$C$8,0.1*Reference!$C$8)*(1+Reference!$C$11*(IF(MONTH($A767)=Reference!$C$4,1,0)+IF(MONTH($A767)=Reference!$C$5,1,0))+(IF(MONTH($A767)=Reference!$C$6,Reference!$C$13,0))),0)</f>
        <v>385</v>
      </c>
      <c r="C767" s="11">
        <f ca="1">B767*Reference!$C$7*(1-IF(MONTH($A767)=Reference!$C$6,1,0)*Reference!$C$12)</f>
        <v>358050</v>
      </c>
      <c r="D767" s="10">
        <f ca="1">ROUND(_xlfn.NORM.INV(RAND(),Reference!$D$8,0.1*Reference!$D$8)*(1+Reference!$D$11*(IF(MONTH($A767)=Reference!$D$4,1,0)+IF(MONTH($A767)=Reference!$D$5,1,0))+(IF(MONTH($A767)=Reference!$D$6,Reference!$D$13,0))),0)</f>
        <v>455</v>
      </c>
      <c r="E767" s="11">
        <f ca="1">D767*Reference!$D$7*(1-IF(MONTH($A767)=Reference!$D$6,1,0)*Reference!$D$12)</f>
        <v>341250</v>
      </c>
      <c r="M767" s="20"/>
      <c r="N767" s="20"/>
      <c r="O767" s="19"/>
      <c r="P767" s="10"/>
      <c r="Q767" s="10"/>
      <c r="R767" s="10"/>
      <c r="S767" s="10"/>
      <c r="T767" s="10"/>
      <c r="U767" s="10"/>
      <c r="V767" s="10"/>
      <c r="W767" s="10"/>
      <c r="X767" s="10"/>
      <c r="Y767" s="10"/>
    </row>
    <row r="768" spans="1:25" x14ac:dyDescent="0.25">
      <c r="A768" s="9">
        <v>41306</v>
      </c>
      <c r="B768" s="10">
        <f ca="1">ROUND(_xlfn.NORM.INV(RAND(),Reference!$C$8,0.1*Reference!$C$8)*(1+Reference!$C$11*(IF(MONTH($A768)=Reference!$C$4,1,0)+IF(MONTH($A768)=Reference!$C$5,1,0))+(IF(MONTH($A768)=Reference!$C$6,Reference!$C$13,0))),0)</f>
        <v>373</v>
      </c>
      <c r="C768" s="11">
        <f ca="1">B768*Reference!$C$7*(1-IF(MONTH($A768)=Reference!$C$6,1,0)*Reference!$C$12)</f>
        <v>346890</v>
      </c>
      <c r="D768" s="10">
        <f ca="1">ROUND(_xlfn.NORM.INV(RAND(),Reference!$D$8,0.1*Reference!$D$8)*(1+Reference!$D$11*(IF(MONTH($A768)=Reference!$D$4,1,0)+IF(MONTH($A768)=Reference!$D$5,1,0))+(IF(MONTH($A768)=Reference!$D$6,Reference!$D$13,0))),0)</f>
        <v>492</v>
      </c>
      <c r="E768" s="11">
        <f ca="1">D768*Reference!$D$7*(1-IF(MONTH($A768)=Reference!$D$6,1,0)*Reference!$D$12)</f>
        <v>369000</v>
      </c>
      <c r="M768" s="20"/>
      <c r="N768" s="20"/>
      <c r="O768" s="19"/>
      <c r="P768" s="10"/>
      <c r="Q768" s="10"/>
      <c r="R768" s="10"/>
      <c r="S768" s="10"/>
      <c r="T768" s="10"/>
      <c r="U768" s="10"/>
      <c r="V768" s="10"/>
      <c r="W768" s="10"/>
      <c r="X768" s="10"/>
      <c r="Y768" s="10"/>
    </row>
    <row r="769" spans="1:25" x14ac:dyDescent="0.25">
      <c r="A769" s="9">
        <v>41307</v>
      </c>
      <c r="B769" s="10">
        <f ca="1">ROUND(_xlfn.NORM.INV(RAND(),Reference!$C$8,0.1*Reference!$C$8)*(1+Reference!$C$11*(IF(MONTH($A769)=Reference!$C$4,1,0)+IF(MONTH($A769)=Reference!$C$5,1,0))+(IF(MONTH($A769)=Reference!$C$6,Reference!$C$13,0))),0)</f>
        <v>385</v>
      </c>
      <c r="C769" s="11">
        <f ca="1">B769*Reference!$C$7*(1-IF(MONTH($A769)=Reference!$C$6,1,0)*Reference!$C$12)</f>
        <v>358050</v>
      </c>
      <c r="D769" s="10">
        <f ca="1">ROUND(_xlfn.NORM.INV(RAND(),Reference!$D$8,0.1*Reference!$D$8)*(1+Reference!$D$11*(IF(MONTH($A769)=Reference!$D$4,1,0)+IF(MONTH($A769)=Reference!$D$5,1,0))+(IF(MONTH($A769)=Reference!$D$6,Reference!$D$13,0))),0)</f>
        <v>571</v>
      </c>
      <c r="E769" s="11">
        <f ca="1">D769*Reference!$D$7*(1-IF(MONTH($A769)=Reference!$D$6,1,0)*Reference!$D$12)</f>
        <v>428250</v>
      </c>
      <c r="M769" s="20"/>
      <c r="N769" s="20"/>
      <c r="O769" s="19"/>
      <c r="P769" s="10"/>
      <c r="Q769" s="10"/>
      <c r="R769" s="10"/>
      <c r="S769" s="10"/>
      <c r="T769" s="10"/>
      <c r="U769" s="10"/>
      <c r="V769" s="10"/>
      <c r="W769" s="10"/>
      <c r="X769" s="10"/>
      <c r="Y769" s="10"/>
    </row>
    <row r="770" spans="1:25" x14ac:dyDescent="0.25">
      <c r="A770" s="9">
        <v>41308</v>
      </c>
      <c r="B770" s="10">
        <f ca="1">ROUND(_xlfn.NORM.INV(RAND(),Reference!$C$8,0.1*Reference!$C$8)*(1+Reference!$C$11*(IF(MONTH($A770)=Reference!$C$4,1,0)+IF(MONTH($A770)=Reference!$C$5,1,0))+(IF(MONTH($A770)=Reference!$C$6,Reference!$C$13,0))),0)</f>
        <v>361</v>
      </c>
      <c r="C770" s="11">
        <f ca="1">B770*Reference!$C$7*(1-IF(MONTH($A770)=Reference!$C$6,1,0)*Reference!$C$12)</f>
        <v>335730</v>
      </c>
      <c r="D770" s="10">
        <f ca="1">ROUND(_xlfn.NORM.INV(RAND(),Reference!$D$8,0.1*Reference!$D$8)*(1+Reference!$D$11*(IF(MONTH($A770)=Reference!$D$4,1,0)+IF(MONTH($A770)=Reference!$D$5,1,0))+(IF(MONTH($A770)=Reference!$D$6,Reference!$D$13,0))),0)</f>
        <v>451</v>
      </c>
      <c r="E770" s="11">
        <f ca="1">D770*Reference!$D$7*(1-IF(MONTH($A770)=Reference!$D$6,1,0)*Reference!$D$12)</f>
        <v>338250</v>
      </c>
      <c r="M770" s="20"/>
      <c r="N770" s="20"/>
      <c r="O770" s="19"/>
      <c r="P770" s="10"/>
      <c r="Q770" s="10"/>
      <c r="R770" s="10"/>
      <c r="S770" s="10"/>
      <c r="T770" s="10"/>
      <c r="U770" s="10"/>
      <c r="V770" s="10"/>
      <c r="W770" s="10"/>
      <c r="X770" s="10"/>
      <c r="Y770" s="10"/>
    </row>
    <row r="771" spans="1:25" x14ac:dyDescent="0.25">
      <c r="A771" s="9">
        <v>41309</v>
      </c>
      <c r="B771" s="10">
        <f ca="1">ROUND(_xlfn.NORM.INV(RAND(),Reference!$C$8,0.1*Reference!$C$8)*(1+Reference!$C$11*(IF(MONTH($A771)=Reference!$C$4,1,0)+IF(MONTH($A771)=Reference!$C$5,1,0))+(IF(MONTH($A771)=Reference!$C$6,Reference!$C$13,0))),0)</f>
        <v>408</v>
      </c>
      <c r="C771" s="11">
        <f ca="1">B771*Reference!$C$7*(1-IF(MONTH($A771)=Reference!$C$6,1,0)*Reference!$C$12)</f>
        <v>379440</v>
      </c>
      <c r="D771" s="10">
        <f ca="1">ROUND(_xlfn.NORM.INV(RAND(),Reference!$D$8,0.1*Reference!$D$8)*(1+Reference!$D$11*(IF(MONTH($A771)=Reference!$D$4,1,0)+IF(MONTH($A771)=Reference!$D$5,1,0))+(IF(MONTH($A771)=Reference!$D$6,Reference!$D$13,0))),0)</f>
        <v>441</v>
      </c>
      <c r="E771" s="11">
        <f ca="1">D771*Reference!$D$7*(1-IF(MONTH($A771)=Reference!$D$6,1,0)*Reference!$D$12)</f>
        <v>330750</v>
      </c>
      <c r="M771" s="20"/>
      <c r="N771" s="20"/>
      <c r="O771" s="19"/>
      <c r="P771" s="10"/>
      <c r="Q771" s="10"/>
      <c r="R771" s="10"/>
      <c r="S771" s="10"/>
      <c r="T771" s="10"/>
      <c r="U771" s="10"/>
      <c r="V771" s="10"/>
      <c r="W771" s="10"/>
      <c r="X771" s="10"/>
      <c r="Y771" s="10"/>
    </row>
    <row r="772" spans="1:25" x14ac:dyDescent="0.25">
      <c r="A772" s="9">
        <v>41310</v>
      </c>
      <c r="B772" s="10">
        <f ca="1">ROUND(_xlfn.NORM.INV(RAND(),Reference!$C$8,0.1*Reference!$C$8)*(1+Reference!$C$11*(IF(MONTH($A772)=Reference!$C$4,1,0)+IF(MONTH($A772)=Reference!$C$5,1,0))+(IF(MONTH($A772)=Reference!$C$6,Reference!$C$13,0))),0)</f>
        <v>332</v>
      </c>
      <c r="C772" s="11">
        <f ca="1">B772*Reference!$C$7*(1-IF(MONTH($A772)=Reference!$C$6,1,0)*Reference!$C$12)</f>
        <v>308760</v>
      </c>
      <c r="D772" s="10">
        <f ca="1">ROUND(_xlfn.NORM.INV(RAND(),Reference!$D$8,0.1*Reference!$D$8)*(1+Reference!$D$11*(IF(MONTH($A772)=Reference!$D$4,1,0)+IF(MONTH($A772)=Reference!$D$5,1,0))+(IF(MONTH($A772)=Reference!$D$6,Reference!$D$13,0))),0)</f>
        <v>540</v>
      </c>
      <c r="E772" s="11">
        <f ca="1">D772*Reference!$D$7*(1-IF(MONTH($A772)=Reference!$D$6,1,0)*Reference!$D$12)</f>
        <v>405000</v>
      </c>
      <c r="M772" s="20"/>
      <c r="N772" s="20"/>
      <c r="O772" s="19"/>
      <c r="P772" s="10"/>
      <c r="Q772" s="10"/>
      <c r="R772" s="10"/>
      <c r="S772" s="10"/>
      <c r="T772" s="10"/>
      <c r="U772" s="10"/>
      <c r="V772" s="10"/>
      <c r="W772" s="10"/>
      <c r="X772" s="10"/>
      <c r="Y772" s="10"/>
    </row>
    <row r="773" spans="1:25" x14ac:dyDescent="0.25">
      <c r="A773" s="9">
        <v>41311</v>
      </c>
      <c r="B773" s="10">
        <f ca="1">ROUND(_xlfn.NORM.INV(RAND(),Reference!$C$8,0.1*Reference!$C$8)*(1+Reference!$C$11*(IF(MONTH($A773)=Reference!$C$4,1,0)+IF(MONTH($A773)=Reference!$C$5,1,0))+(IF(MONTH($A773)=Reference!$C$6,Reference!$C$13,0))),0)</f>
        <v>324</v>
      </c>
      <c r="C773" s="11">
        <f ca="1">B773*Reference!$C$7*(1-IF(MONTH($A773)=Reference!$C$6,1,0)*Reference!$C$12)</f>
        <v>301320</v>
      </c>
      <c r="D773" s="10">
        <f ca="1">ROUND(_xlfn.NORM.INV(RAND(),Reference!$D$8,0.1*Reference!$D$8)*(1+Reference!$D$11*(IF(MONTH($A773)=Reference!$D$4,1,0)+IF(MONTH($A773)=Reference!$D$5,1,0))+(IF(MONTH($A773)=Reference!$D$6,Reference!$D$13,0))),0)</f>
        <v>501</v>
      </c>
      <c r="E773" s="11">
        <f ca="1">D773*Reference!$D$7*(1-IF(MONTH($A773)=Reference!$D$6,1,0)*Reference!$D$12)</f>
        <v>375750</v>
      </c>
      <c r="M773" s="20"/>
      <c r="N773" s="20"/>
      <c r="O773" s="19"/>
      <c r="P773" s="10"/>
      <c r="Q773" s="10"/>
      <c r="R773" s="10"/>
      <c r="S773" s="10"/>
      <c r="T773" s="10"/>
      <c r="U773" s="10"/>
      <c r="V773" s="10"/>
      <c r="W773" s="10"/>
      <c r="X773" s="10"/>
      <c r="Y773" s="10"/>
    </row>
    <row r="774" spans="1:25" x14ac:dyDescent="0.25">
      <c r="A774" s="9">
        <v>41312</v>
      </c>
      <c r="B774" s="10">
        <f ca="1">ROUND(_xlfn.NORM.INV(RAND(),Reference!$C$8,0.1*Reference!$C$8)*(1+Reference!$C$11*(IF(MONTH($A774)=Reference!$C$4,1,0)+IF(MONTH($A774)=Reference!$C$5,1,0))+(IF(MONTH($A774)=Reference!$C$6,Reference!$C$13,0))),0)</f>
        <v>373</v>
      </c>
      <c r="C774" s="11">
        <f ca="1">B774*Reference!$C$7*(1-IF(MONTH($A774)=Reference!$C$6,1,0)*Reference!$C$12)</f>
        <v>346890</v>
      </c>
      <c r="D774" s="10">
        <f ca="1">ROUND(_xlfn.NORM.INV(RAND(),Reference!$D$8,0.1*Reference!$D$8)*(1+Reference!$D$11*(IF(MONTH($A774)=Reference!$D$4,1,0)+IF(MONTH($A774)=Reference!$D$5,1,0))+(IF(MONTH($A774)=Reference!$D$6,Reference!$D$13,0))),0)</f>
        <v>430</v>
      </c>
      <c r="E774" s="11">
        <f ca="1">D774*Reference!$D$7*(1-IF(MONTH($A774)=Reference!$D$6,1,0)*Reference!$D$12)</f>
        <v>322500</v>
      </c>
      <c r="M774" s="20"/>
      <c r="N774" s="20"/>
      <c r="O774" s="19"/>
      <c r="P774" s="10"/>
      <c r="Q774" s="10"/>
      <c r="R774" s="10"/>
      <c r="S774" s="10"/>
      <c r="T774" s="10"/>
      <c r="U774" s="10"/>
      <c r="V774" s="10"/>
      <c r="W774" s="10"/>
      <c r="X774" s="10"/>
      <c r="Y774" s="10"/>
    </row>
    <row r="775" spans="1:25" x14ac:dyDescent="0.25">
      <c r="A775" s="9">
        <v>41313</v>
      </c>
      <c r="B775" s="10">
        <f ca="1">ROUND(_xlfn.NORM.INV(RAND(),Reference!$C$8,0.1*Reference!$C$8)*(1+Reference!$C$11*(IF(MONTH($A775)=Reference!$C$4,1,0)+IF(MONTH($A775)=Reference!$C$5,1,0))+(IF(MONTH($A775)=Reference!$C$6,Reference!$C$13,0))),0)</f>
        <v>403</v>
      </c>
      <c r="C775" s="11">
        <f ca="1">B775*Reference!$C$7*(1-IF(MONTH($A775)=Reference!$C$6,1,0)*Reference!$C$12)</f>
        <v>374790</v>
      </c>
      <c r="D775" s="10">
        <f ca="1">ROUND(_xlfn.NORM.INV(RAND(),Reference!$D$8,0.1*Reference!$D$8)*(1+Reference!$D$11*(IF(MONTH($A775)=Reference!$D$4,1,0)+IF(MONTH($A775)=Reference!$D$5,1,0))+(IF(MONTH($A775)=Reference!$D$6,Reference!$D$13,0))),0)</f>
        <v>490</v>
      </c>
      <c r="E775" s="11">
        <f ca="1">D775*Reference!$D$7*(1-IF(MONTH($A775)=Reference!$D$6,1,0)*Reference!$D$12)</f>
        <v>367500</v>
      </c>
      <c r="M775" s="20"/>
      <c r="N775" s="20"/>
      <c r="O775" s="19"/>
      <c r="P775" s="10"/>
      <c r="Q775" s="10"/>
      <c r="R775" s="10"/>
      <c r="S775" s="10"/>
      <c r="T775" s="10"/>
      <c r="U775" s="10"/>
      <c r="V775" s="10"/>
      <c r="W775" s="10"/>
      <c r="X775" s="10"/>
      <c r="Y775" s="10"/>
    </row>
    <row r="776" spans="1:25" x14ac:dyDescent="0.25">
      <c r="A776" s="9">
        <v>41314</v>
      </c>
      <c r="B776" s="10">
        <f ca="1">ROUND(_xlfn.NORM.INV(RAND(),Reference!$C$8,0.1*Reference!$C$8)*(1+Reference!$C$11*(IF(MONTH($A776)=Reference!$C$4,1,0)+IF(MONTH($A776)=Reference!$C$5,1,0))+(IF(MONTH($A776)=Reference!$C$6,Reference!$C$13,0))),0)</f>
        <v>313</v>
      </c>
      <c r="C776" s="11">
        <f ca="1">B776*Reference!$C$7*(1-IF(MONTH($A776)=Reference!$C$6,1,0)*Reference!$C$12)</f>
        <v>291090</v>
      </c>
      <c r="D776" s="10">
        <f ca="1">ROUND(_xlfn.NORM.INV(RAND(),Reference!$D$8,0.1*Reference!$D$8)*(1+Reference!$D$11*(IF(MONTH($A776)=Reference!$D$4,1,0)+IF(MONTH($A776)=Reference!$D$5,1,0))+(IF(MONTH($A776)=Reference!$D$6,Reference!$D$13,0))),0)</f>
        <v>465</v>
      </c>
      <c r="E776" s="11">
        <f ca="1">D776*Reference!$D$7*(1-IF(MONTH($A776)=Reference!$D$6,1,0)*Reference!$D$12)</f>
        <v>348750</v>
      </c>
      <c r="M776" s="20"/>
      <c r="N776" s="20"/>
      <c r="O776" s="19"/>
      <c r="P776" s="10"/>
      <c r="Q776" s="10"/>
      <c r="R776" s="10"/>
      <c r="S776" s="10"/>
      <c r="T776" s="10"/>
      <c r="U776" s="10"/>
      <c r="V776" s="10"/>
      <c r="W776" s="10"/>
      <c r="X776" s="10"/>
      <c r="Y776" s="10"/>
    </row>
    <row r="777" spans="1:25" x14ac:dyDescent="0.25">
      <c r="A777" s="9">
        <v>41315</v>
      </c>
      <c r="B777" s="10">
        <f ca="1">ROUND(_xlfn.NORM.INV(RAND(),Reference!$C$8,0.1*Reference!$C$8)*(1+Reference!$C$11*(IF(MONTH($A777)=Reference!$C$4,1,0)+IF(MONTH($A777)=Reference!$C$5,1,0))+(IF(MONTH($A777)=Reference!$C$6,Reference!$C$13,0))),0)</f>
        <v>308</v>
      </c>
      <c r="C777" s="11">
        <f ca="1">B777*Reference!$C$7*(1-IF(MONTH($A777)=Reference!$C$6,1,0)*Reference!$C$12)</f>
        <v>286440</v>
      </c>
      <c r="D777" s="10">
        <f ca="1">ROUND(_xlfn.NORM.INV(RAND(),Reference!$D$8,0.1*Reference!$D$8)*(1+Reference!$D$11*(IF(MONTH($A777)=Reference!$D$4,1,0)+IF(MONTH($A777)=Reference!$D$5,1,0))+(IF(MONTH($A777)=Reference!$D$6,Reference!$D$13,0))),0)</f>
        <v>429</v>
      </c>
      <c r="E777" s="11">
        <f ca="1">D777*Reference!$D$7*(1-IF(MONTH($A777)=Reference!$D$6,1,0)*Reference!$D$12)</f>
        <v>321750</v>
      </c>
      <c r="M777" s="20"/>
      <c r="N777" s="20"/>
      <c r="O777" s="19"/>
      <c r="P777" s="10"/>
      <c r="Q777" s="10"/>
      <c r="R777" s="10"/>
      <c r="S777" s="10"/>
      <c r="T777" s="10"/>
      <c r="U777" s="10"/>
      <c r="V777" s="10"/>
      <c r="W777" s="10"/>
      <c r="X777" s="10"/>
      <c r="Y777" s="10"/>
    </row>
    <row r="778" spans="1:25" x14ac:dyDescent="0.25">
      <c r="A778" s="9">
        <v>41316</v>
      </c>
      <c r="B778" s="10">
        <f ca="1">ROUND(_xlfn.NORM.INV(RAND(),Reference!$C$8,0.1*Reference!$C$8)*(1+Reference!$C$11*(IF(MONTH($A778)=Reference!$C$4,1,0)+IF(MONTH($A778)=Reference!$C$5,1,0))+(IF(MONTH($A778)=Reference!$C$6,Reference!$C$13,0))),0)</f>
        <v>385</v>
      </c>
      <c r="C778" s="11">
        <f ca="1">B778*Reference!$C$7*(1-IF(MONTH($A778)=Reference!$C$6,1,0)*Reference!$C$12)</f>
        <v>358050</v>
      </c>
      <c r="D778" s="10">
        <f ca="1">ROUND(_xlfn.NORM.INV(RAND(),Reference!$D$8,0.1*Reference!$D$8)*(1+Reference!$D$11*(IF(MONTH($A778)=Reference!$D$4,1,0)+IF(MONTH($A778)=Reference!$D$5,1,0))+(IF(MONTH($A778)=Reference!$D$6,Reference!$D$13,0))),0)</f>
        <v>411</v>
      </c>
      <c r="E778" s="11">
        <f ca="1">D778*Reference!$D$7*(1-IF(MONTH($A778)=Reference!$D$6,1,0)*Reference!$D$12)</f>
        <v>308250</v>
      </c>
      <c r="M778" s="20"/>
      <c r="N778" s="20"/>
      <c r="O778" s="19"/>
      <c r="P778" s="10"/>
      <c r="Q778" s="10"/>
      <c r="R778" s="10"/>
      <c r="S778" s="10"/>
      <c r="T778" s="10"/>
      <c r="U778" s="10"/>
      <c r="V778" s="10"/>
      <c r="W778" s="10"/>
      <c r="X778" s="10"/>
      <c r="Y778" s="10"/>
    </row>
    <row r="779" spans="1:25" x14ac:dyDescent="0.25">
      <c r="A779" s="9">
        <v>41317</v>
      </c>
      <c r="B779" s="10">
        <f ca="1">ROUND(_xlfn.NORM.INV(RAND(),Reference!$C$8,0.1*Reference!$C$8)*(1+Reference!$C$11*(IF(MONTH($A779)=Reference!$C$4,1,0)+IF(MONTH($A779)=Reference!$C$5,1,0))+(IF(MONTH($A779)=Reference!$C$6,Reference!$C$13,0))),0)</f>
        <v>339</v>
      </c>
      <c r="C779" s="11">
        <f ca="1">B779*Reference!$C$7*(1-IF(MONTH($A779)=Reference!$C$6,1,0)*Reference!$C$12)</f>
        <v>315270</v>
      </c>
      <c r="D779" s="10">
        <f ca="1">ROUND(_xlfn.NORM.INV(RAND(),Reference!$D$8,0.1*Reference!$D$8)*(1+Reference!$D$11*(IF(MONTH($A779)=Reference!$D$4,1,0)+IF(MONTH($A779)=Reference!$D$5,1,0))+(IF(MONTH($A779)=Reference!$D$6,Reference!$D$13,0))),0)</f>
        <v>434</v>
      </c>
      <c r="E779" s="11">
        <f ca="1">D779*Reference!$D$7*(1-IF(MONTH($A779)=Reference!$D$6,1,0)*Reference!$D$12)</f>
        <v>325500</v>
      </c>
      <c r="M779" s="20"/>
      <c r="N779" s="20"/>
      <c r="O779" s="19"/>
      <c r="P779" s="10"/>
      <c r="Q779" s="10"/>
      <c r="R779" s="10"/>
      <c r="S779" s="10"/>
      <c r="T779" s="10"/>
      <c r="U779" s="10"/>
      <c r="V779" s="10"/>
      <c r="W779" s="10"/>
      <c r="X779" s="10"/>
      <c r="Y779" s="10"/>
    </row>
    <row r="780" spans="1:25" x14ac:dyDescent="0.25">
      <c r="A780" s="9">
        <v>41318</v>
      </c>
      <c r="B780" s="10">
        <f ca="1">ROUND(_xlfn.NORM.INV(RAND(),Reference!$C$8,0.1*Reference!$C$8)*(1+Reference!$C$11*(IF(MONTH($A780)=Reference!$C$4,1,0)+IF(MONTH($A780)=Reference!$C$5,1,0))+(IF(MONTH($A780)=Reference!$C$6,Reference!$C$13,0))),0)</f>
        <v>412</v>
      </c>
      <c r="C780" s="11">
        <f ca="1">B780*Reference!$C$7*(1-IF(MONTH($A780)=Reference!$C$6,1,0)*Reference!$C$12)</f>
        <v>383160</v>
      </c>
      <c r="D780" s="10">
        <f ca="1">ROUND(_xlfn.NORM.INV(RAND(),Reference!$D$8,0.1*Reference!$D$8)*(1+Reference!$D$11*(IF(MONTH($A780)=Reference!$D$4,1,0)+IF(MONTH($A780)=Reference!$D$5,1,0))+(IF(MONTH($A780)=Reference!$D$6,Reference!$D$13,0))),0)</f>
        <v>386</v>
      </c>
      <c r="E780" s="11">
        <f ca="1">D780*Reference!$D$7*(1-IF(MONTH($A780)=Reference!$D$6,1,0)*Reference!$D$12)</f>
        <v>289500</v>
      </c>
      <c r="M780" s="20"/>
      <c r="N780" s="20"/>
      <c r="O780" s="19"/>
      <c r="P780" s="10"/>
      <c r="Q780" s="10"/>
      <c r="R780" s="10"/>
      <c r="S780" s="10"/>
      <c r="T780" s="10"/>
      <c r="U780" s="10"/>
      <c r="V780" s="10"/>
      <c r="W780" s="10"/>
      <c r="X780" s="10"/>
      <c r="Y780" s="10"/>
    </row>
    <row r="781" spans="1:25" x14ac:dyDescent="0.25">
      <c r="A781" s="9">
        <v>41319</v>
      </c>
      <c r="B781" s="10">
        <f ca="1">ROUND(_xlfn.NORM.INV(RAND(),Reference!$C$8,0.1*Reference!$C$8)*(1+Reference!$C$11*(IF(MONTH($A781)=Reference!$C$4,1,0)+IF(MONTH($A781)=Reference!$C$5,1,0))+(IF(MONTH($A781)=Reference!$C$6,Reference!$C$13,0))),0)</f>
        <v>361</v>
      </c>
      <c r="C781" s="11">
        <f ca="1">B781*Reference!$C$7*(1-IF(MONTH($A781)=Reference!$C$6,1,0)*Reference!$C$12)</f>
        <v>335730</v>
      </c>
      <c r="D781" s="10">
        <f ca="1">ROUND(_xlfn.NORM.INV(RAND(),Reference!$D$8,0.1*Reference!$D$8)*(1+Reference!$D$11*(IF(MONTH($A781)=Reference!$D$4,1,0)+IF(MONTH($A781)=Reference!$D$5,1,0))+(IF(MONTH($A781)=Reference!$D$6,Reference!$D$13,0))),0)</f>
        <v>454</v>
      </c>
      <c r="E781" s="11">
        <f ca="1">D781*Reference!$D$7*(1-IF(MONTH($A781)=Reference!$D$6,1,0)*Reference!$D$12)</f>
        <v>340500</v>
      </c>
      <c r="M781" s="20"/>
      <c r="N781" s="20"/>
      <c r="O781" s="19"/>
      <c r="P781" s="10"/>
      <c r="Q781" s="10"/>
      <c r="R781" s="10"/>
      <c r="S781" s="10"/>
      <c r="T781" s="10"/>
      <c r="U781" s="10"/>
      <c r="V781" s="10"/>
      <c r="W781" s="10"/>
      <c r="X781" s="10"/>
      <c r="Y781" s="10"/>
    </row>
    <row r="782" spans="1:25" x14ac:dyDescent="0.25">
      <c r="A782" s="9">
        <v>41320</v>
      </c>
      <c r="B782" s="10">
        <f ca="1">ROUND(_xlfn.NORM.INV(RAND(),Reference!$C$8,0.1*Reference!$C$8)*(1+Reference!$C$11*(IF(MONTH($A782)=Reference!$C$4,1,0)+IF(MONTH($A782)=Reference!$C$5,1,0))+(IF(MONTH($A782)=Reference!$C$6,Reference!$C$13,0))),0)</f>
        <v>302</v>
      </c>
      <c r="C782" s="11">
        <f ca="1">B782*Reference!$C$7*(1-IF(MONTH($A782)=Reference!$C$6,1,0)*Reference!$C$12)</f>
        <v>280860</v>
      </c>
      <c r="D782" s="10">
        <f ca="1">ROUND(_xlfn.NORM.INV(RAND(),Reference!$D$8,0.1*Reference!$D$8)*(1+Reference!$D$11*(IF(MONTH($A782)=Reference!$D$4,1,0)+IF(MONTH($A782)=Reference!$D$5,1,0))+(IF(MONTH($A782)=Reference!$D$6,Reference!$D$13,0))),0)</f>
        <v>562</v>
      </c>
      <c r="E782" s="11">
        <f ca="1">D782*Reference!$D$7*(1-IF(MONTH($A782)=Reference!$D$6,1,0)*Reference!$D$12)</f>
        <v>421500</v>
      </c>
      <c r="M782" s="20"/>
      <c r="N782" s="20"/>
      <c r="O782" s="19"/>
      <c r="P782" s="10"/>
      <c r="Q782" s="10"/>
      <c r="R782" s="10"/>
      <c r="S782" s="10"/>
      <c r="T782" s="10"/>
      <c r="U782" s="10"/>
      <c r="V782" s="10"/>
      <c r="W782" s="10"/>
      <c r="X782" s="10"/>
      <c r="Y782" s="10"/>
    </row>
    <row r="783" spans="1:25" x14ac:dyDescent="0.25">
      <c r="A783" s="9">
        <v>41321</v>
      </c>
      <c r="B783" s="10">
        <f ca="1">ROUND(_xlfn.NORM.INV(RAND(),Reference!$C$8,0.1*Reference!$C$8)*(1+Reference!$C$11*(IF(MONTH($A783)=Reference!$C$4,1,0)+IF(MONTH($A783)=Reference!$C$5,1,0))+(IF(MONTH($A783)=Reference!$C$6,Reference!$C$13,0))),0)</f>
        <v>293</v>
      </c>
      <c r="C783" s="11">
        <f ca="1">B783*Reference!$C$7*(1-IF(MONTH($A783)=Reference!$C$6,1,0)*Reference!$C$12)</f>
        <v>272490</v>
      </c>
      <c r="D783" s="10">
        <f ca="1">ROUND(_xlfn.NORM.INV(RAND(),Reference!$D$8,0.1*Reference!$D$8)*(1+Reference!$D$11*(IF(MONTH($A783)=Reference!$D$4,1,0)+IF(MONTH($A783)=Reference!$D$5,1,0))+(IF(MONTH($A783)=Reference!$D$6,Reference!$D$13,0))),0)</f>
        <v>401</v>
      </c>
      <c r="E783" s="11">
        <f ca="1">D783*Reference!$D$7*(1-IF(MONTH($A783)=Reference!$D$6,1,0)*Reference!$D$12)</f>
        <v>300750</v>
      </c>
      <c r="M783" s="20"/>
      <c r="N783" s="20"/>
      <c r="O783" s="19"/>
      <c r="P783" s="10"/>
      <c r="Q783" s="10"/>
      <c r="R783" s="10"/>
      <c r="S783" s="10"/>
      <c r="T783" s="10"/>
      <c r="U783" s="10"/>
      <c r="V783" s="10"/>
      <c r="W783" s="10"/>
      <c r="X783" s="10"/>
      <c r="Y783" s="10"/>
    </row>
    <row r="784" spans="1:25" x14ac:dyDescent="0.25">
      <c r="A784" s="9">
        <v>41322</v>
      </c>
      <c r="B784" s="10">
        <f ca="1">ROUND(_xlfn.NORM.INV(RAND(),Reference!$C$8,0.1*Reference!$C$8)*(1+Reference!$C$11*(IF(MONTH($A784)=Reference!$C$4,1,0)+IF(MONTH($A784)=Reference!$C$5,1,0))+(IF(MONTH($A784)=Reference!$C$6,Reference!$C$13,0))),0)</f>
        <v>354</v>
      </c>
      <c r="C784" s="11">
        <f ca="1">B784*Reference!$C$7*(1-IF(MONTH($A784)=Reference!$C$6,1,0)*Reference!$C$12)</f>
        <v>329220</v>
      </c>
      <c r="D784" s="10">
        <f ca="1">ROUND(_xlfn.NORM.INV(RAND(),Reference!$D$8,0.1*Reference!$D$8)*(1+Reference!$D$11*(IF(MONTH($A784)=Reference!$D$4,1,0)+IF(MONTH($A784)=Reference!$D$5,1,0))+(IF(MONTH($A784)=Reference!$D$6,Reference!$D$13,0))),0)</f>
        <v>531</v>
      </c>
      <c r="E784" s="11">
        <f ca="1">D784*Reference!$D$7*(1-IF(MONTH($A784)=Reference!$D$6,1,0)*Reference!$D$12)</f>
        <v>398250</v>
      </c>
      <c r="M784" s="20"/>
      <c r="N784" s="20"/>
      <c r="O784" s="19"/>
      <c r="P784" s="10"/>
      <c r="Q784" s="10"/>
      <c r="R784" s="10"/>
      <c r="S784" s="10"/>
      <c r="T784" s="10"/>
      <c r="U784" s="10"/>
      <c r="V784" s="10"/>
      <c r="W784" s="10"/>
      <c r="X784" s="10"/>
      <c r="Y784" s="10"/>
    </row>
    <row r="785" spans="1:25" x14ac:dyDescent="0.25">
      <c r="A785" s="9">
        <v>41323</v>
      </c>
      <c r="B785" s="10">
        <f ca="1">ROUND(_xlfn.NORM.INV(RAND(),Reference!$C$8,0.1*Reference!$C$8)*(1+Reference!$C$11*(IF(MONTH($A785)=Reference!$C$4,1,0)+IF(MONTH($A785)=Reference!$C$5,1,0))+(IF(MONTH($A785)=Reference!$C$6,Reference!$C$13,0))),0)</f>
        <v>392</v>
      </c>
      <c r="C785" s="11">
        <f ca="1">B785*Reference!$C$7*(1-IF(MONTH($A785)=Reference!$C$6,1,0)*Reference!$C$12)</f>
        <v>364560</v>
      </c>
      <c r="D785" s="10">
        <f ca="1">ROUND(_xlfn.NORM.INV(RAND(),Reference!$D$8,0.1*Reference!$D$8)*(1+Reference!$D$11*(IF(MONTH($A785)=Reference!$D$4,1,0)+IF(MONTH($A785)=Reference!$D$5,1,0))+(IF(MONTH($A785)=Reference!$D$6,Reference!$D$13,0))),0)</f>
        <v>377</v>
      </c>
      <c r="E785" s="11">
        <f ca="1">D785*Reference!$D$7*(1-IF(MONTH($A785)=Reference!$D$6,1,0)*Reference!$D$12)</f>
        <v>282750</v>
      </c>
      <c r="M785" s="20"/>
      <c r="N785" s="20"/>
      <c r="O785" s="19"/>
      <c r="P785" s="10"/>
      <c r="Q785" s="10"/>
      <c r="R785" s="10"/>
      <c r="S785" s="10"/>
      <c r="T785" s="10"/>
      <c r="U785" s="10"/>
      <c r="V785" s="10"/>
      <c r="W785" s="10"/>
      <c r="X785" s="10"/>
      <c r="Y785" s="10"/>
    </row>
    <row r="786" spans="1:25" x14ac:dyDescent="0.25">
      <c r="A786" s="9">
        <v>41324</v>
      </c>
      <c r="B786" s="10">
        <f ca="1">ROUND(_xlfn.NORM.INV(RAND(),Reference!$C$8,0.1*Reference!$C$8)*(1+Reference!$C$11*(IF(MONTH($A786)=Reference!$C$4,1,0)+IF(MONTH($A786)=Reference!$C$5,1,0))+(IF(MONTH($A786)=Reference!$C$6,Reference!$C$13,0))),0)</f>
        <v>325</v>
      </c>
      <c r="C786" s="11">
        <f ca="1">B786*Reference!$C$7*(1-IF(MONTH($A786)=Reference!$C$6,1,0)*Reference!$C$12)</f>
        <v>302250</v>
      </c>
      <c r="D786" s="10">
        <f ca="1">ROUND(_xlfn.NORM.INV(RAND(),Reference!$D$8,0.1*Reference!$D$8)*(1+Reference!$D$11*(IF(MONTH($A786)=Reference!$D$4,1,0)+IF(MONTH($A786)=Reference!$D$5,1,0))+(IF(MONTH($A786)=Reference!$D$6,Reference!$D$13,0))),0)</f>
        <v>468</v>
      </c>
      <c r="E786" s="11">
        <f ca="1">D786*Reference!$D$7*(1-IF(MONTH($A786)=Reference!$D$6,1,0)*Reference!$D$12)</f>
        <v>351000</v>
      </c>
      <c r="M786" s="20"/>
      <c r="N786" s="20"/>
      <c r="O786" s="19"/>
      <c r="P786" s="10"/>
      <c r="Q786" s="10"/>
      <c r="R786" s="10"/>
      <c r="S786" s="10"/>
      <c r="T786" s="10"/>
      <c r="U786" s="10"/>
      <c r="V786" s="10"/>
      <c r="W786" s="10"/>
      <c r="X786" s="10"/>
      <c r="Y786" s="10"/>
    </row>
    <row r="787" spans="1:25" x14ac:dyDescent="0.25">
      <c r="A787" s="9">
        <v>41325</v>
      </c>
      <c r="B787" s="10">
        <f ca="1">ROUND(_xlfn.NORM.INV(RAND(),Reference!$C$8,0.1*Reference!$C$8)*(1+Reference!$C$11*(IF(MONTH($A787)=Reference!$C$4,1,0)+IF(MONTH($A787)=Reference!$C$5,1,0))+(IF(MONTH($A787)=Reference!$C$6,Reference!$C$13,0))),0)</f>
        <v>308</v>
      </c>
      <c r="C787" s="11">
        <f ca="1">B787*Reference!$C$7*(1-IF(MONTH($A787)=Reference!$C$6,1,0)*Reference!$C$12)</f>
        <v>286440</v>
      </c>
      <c r="D787" s="10">
        <f ca="1">ROUND(_xlfn.NORM.INV(RAND(),Reference!$D$8,0.1*Reference!$D$8)*(1+Reference!$D$11*(IF(MONTH($A787)=Reference!$D$4,1,0)+IF(MONTH($A787)=Reference!$D$5,1,0))+(IF(MONTH($A787)=Reference!$D$6,Reference!$D$13,0))),0)</f>
        <v>409</v>
      </c>
      <c r="E787" s="11">
        <f ca="1">D787*Reference!$D$7*(1-IF(MONTH($A787)=Reference!$D$6,1,0)*Reference!$D$12)</f>
        <v>306750</v>
      </c>
      <c r="M787" s="20"/>
      <c r="N787" s="20"/>
      <c r="O787" s="19"/>
      <c r="P787" s="10"/>
      <c r="Q787" s="10"/>
      <c r="R787" s="10"/>
      <c r="S787" s="10"/>
      <c r="T787" s="10"/>
      <c r="U787" s="10"/>
      <c r="V787" s="10"/>
      <c r="W787" s="10"/>
      <c r="X787" s="10"/>
      <c r="Y787" s="10"/>
    </row>
    <row r="788" spans="1:25" x14ac:dyDescent="0.25">
      <c r="A788" s="9">
        <v>41326</v>
      </c>
      <c r="B788" s="10">
        <f ca="1">ROUND(_xlfn.NORM.INV(RAND(),Reference!$C$8,0.1*Reference!$C$8)*(1+Reference!$C$11*(IF(MONTH($A788)=Reference!$C$4,1,0)+IF(MONTH($A788)=Reference!$C$5,1,0))+(IF(MONTH($A788)=Reference!$C$6,Reference!$C$13,0))),0)</f>
        <v>367</v>
      </c>
      <c r="C788" s="11">
        <f ca="1">B788*Reference!$C$7*(1-IF(MONTH($A788)=Reference!$C$6,1,0)*Reference!$C$12)</f>
        <v>341310</v>
      </c>
      <c r="D788" s="10">
        <f ca="1">ROUND(_xlfn.NORM.INV(RAND(),Reference!$D$8,0.1*Reference!$D$8)*(1+Reference!$D$11*(IF(MONTH($A788)=Reference!$D$4,1,0)+IF(MONTH($A788)=Reference!$D$5,1,0))+(IF(MONTH($A788)=Reference!$D$6,Reference!$D$13,0))),0)</f>
        <v>424</v>
      </c>
      <c r="E788" s="11">
        <f ca="1">D788*Reference!$D$7*(1-IF(MONTH($A788)=Reference!$D$6,1,0)*Reference!$D$12)</f>
        <v>318000</v>
      </c>
      <c r="M788" s="20"/>
      <c r="N788" s="20"/>
      <c r="O788" s="19"/>
      <c r="P788" s="10"/>
      <c r="Q788" s="10"/>
      <c r="R788" s="10"/>
      <c r="S788" s="10"/>
      <c r="T788" s="10"/>
      <c r="U788" s="10"/>
      <c r="V788" s="10"/>
      <c r="W788" s="10"/>
      <c r="X788" s="10"/>
      <c r="Y788" s="10"/>
    </row>
    <row r="789" spans="1:25" x14ac:dyDescent="0.25">
      <c r="A789" s="9">
        <v>41327</v>
      </c>
      <c r="B789" s="10">
        <f ca="1">ROUND(_xlfn.NORM.INV(RAND(),Reference!$C$8,0.1*Reference!$C$8)*(1+Reference!$C$11*(IF(MONTH($A789)=Reference!$C$4,1,0)+IF(MONTH($A789)=Reference!$C$5,1,0))+(IF(MONTH($A789)=Reference!$C$6,Reference!$C$13,0))),0)</f>
        <v>318</v>
      </c>
      <c r="C789" s="11">
        <f ca="1">B789*Reference!$C$7*(1-IF(MONTH($A789)=Reference!$C$6,1,0)*Reference!$C$12)</f>
        <v>295740</v>
      </c>
      <c r="D789" s="10">
        <f ca="1">ROUND(_xlfn.NORM.INV(RAND(),Reference!$D$8,0.1*Reference!$D$8)*(1+Reference!$D$11*(IF(MONTH($A789)=Reference!$D$4,1,0)+IF(MONTH($A789)=Reference!$D$5,1,0))+(IF(MONTH($A789)=Reference!$D$6,Reference!$D$13,0))),0)</f>
        <v>506</v>
      </c>
      <c r="E789" s="11">
        <f ca="1">D789*Reference!$D$7*(1-IF(MONTH($A789)=Reference!$D$6,1,0)*Reference!$D$12)</f>
        <v>379500</v>
      </c>
      <c r="M789" s="20"/>
      <c r="N789" s="20"/>
      <c r="O789" s="19"/>
      <c r="P789" s="10"/>
      <c r="Q789" s="10"/>
      <c r="R789" s="10"/>
      <c r="S789" s="10"/>
      <c r="T789" s="10"/>
      <c r="U789" s="10"/>
      <c r="V789" s="10"/>
      <c r="W789" s="10"/>
      <c r="X789" s="10"/>
      <c r="Y789" s="10"/>
    </row>
    <row r="790" spans="1:25" x14ac:dyDescent="0.25">
      <c r="A790" s="9">
        <v>41328</v>
      </c>
      <c r="B790" s="10">
        <f ca="1">ROUND(_xlfn.NORM.INV(RAND(),Reference!$C$8,0.1*Reference!$C$8)*(1+Reference!$C$11*(IF(MONTH($A790)=Reference!$C$4,1,0)+IF(MONTH($A790)=Reference!$C$5,1,0))+(IF(MONTH($A790)=Reference!$C$6,Reference!$C$13,0))),0)</f>
        <v>380</v>
      </c>
      <c r="C790" s="11">
        <f ca="1">B790*Reference!$C$7*(1-IF(MONTH($A790)=Reference!$C$6,1,0)*Reference!$C$12)</f>
        <v>353400</v>
      </c>
      <c r="D790" s="10">
        <f ca="1">ROUND(_xlfn.NORM.INV(RAND(),Reference!$D$8,0.1*Reference!$D$8)*(1+Reference!$D$11*(IF(MONTH($A790)=Reference!$D$4,1,0)+IF(MONTH($A790)=Reference!$D$5,1,0))+(IF(MONTH($A790)=Reference!$D$6,Reference!$D$13,0))),0)</f>
        <v>398</v>
      </c>
      <c r="E790" s="11">
        <f ca="1">D790*Reference!$D$7*(1-IF(MONTH($A790)=Reference!$D$6,1,0)*Reference!$D$12)</f>
        <v>298500</v>
      </c>
      <c r="M790" s="20"/>
      <c r="N790" s="20"/>
      <c r="O790" s="19"/>
      <c r="P790" s="10"/>
      <c r="Q790" s="10"/>
      <c r="R790" s="10"/>
      <c r="S790" s="10"/>
      <c r="T790" s="10"/>
      <c r="U790" s="10"/>
      <c r="V790" s="10"/>
      <c r="W790" s="10"/>
      <c r="X790" s="10"/>
      <c r="Y790" s="10"/>
    </row>
    <row r="791" spans="1:25" x14ac:dyDescent="0.25">
      <c r="A791" s="9">
        <v>41329</v>
      </c>
      <c r="B791" s="10">
        <f ca="1">ROUND(_xlfn.NORM.INV(RAND(),Reference!$C$8,0.1*Reference!$C$8)*(1+Reference!$C$11*(IF(MONTH($A791)=Reference!$C$4,1,0)+IF(MONTH($A791)=Reference!$C$5,1,0))+(IF(MONTH($A791)=Reference!$C$6,Reference!$C$13,0))),0)</f>
        <v>383</v>
      </c>
      <c r="C791" s="11">
        <f ca="1">B791*Reference!$C$7*(1-IF(MONTH($A791)=Reference!$C$6,1,0)*Reference!$C$12)</f>
        <v>356190</v>
      </c>
      <c r="D791" s="10">
        <f ca="1">ROUND(_xlfn.NORM.INV(RAND(),Reference!$D$8,0.1*Reference!$D$8)*(1+Reference!$D$11*(IF(MONTH($A791)=Reference!$D$4,1,0)+IF(MONTH($A791)=Reference!$D$5,1,0))+(IF(MONTH($A791)=Reference!$D$6,Reference!$D$13,0))),0)</f>
        <v>413</v>
      </c>
      <c r="E791" s="11">
        <f ca="1">D791*Reference!$D$7*(1-IF(MONTH($A791)=Reference!$D$6,1,0)*Reference!$D$12)</f>
        <v>309750</v>
      </c>
      <c r="M791" s="20"/>
      <c r="N791" s="20"/>
      <c r="O791" s="19"/>
      <c r="P791" s="10"/>
      <c r="Q791" s="10"/>
      <c r="R791" s="10"/>
      <c r="S791" s="10"/>
      <c r="T791" s="10"/>
      <c r="U791" s="10"/>
      <c r="V791" s="10"/>
      <c r="W791" s="10"/>
      <c r="X791" s="10"/>
      <c r="Y791" s="10"/>
    </row>
    <row r="792" spans="1:25" x14ac:dyDescent="0.25">
      <c r="A792" s="9">
        <v>41330</v>
      </c>
      <c r="B792" s="10">
        <f ca="1">ROUND(_xlfn.NORM.INV(RAND(),Reference!$C$8,0.1*Reference!$C$8)*(1+Reference!$C$11*(IF(MONTH($A792)=Reference!$C$4,1,0)+IF(MONTH($A792)=Reference!$C$5,1,0))+(IF(MONTH($A792)=Reference!$C$6,Reference!$C$13,0))),0)</f>
        <v>406</v>
      </c>
      <c r="C792" s="11">
        <f ca="1">B792*Reference!$C$7*(1-IF(MONTH($A792)=Reference!$C$6,1,0)*Reference!$C$12)</f>
        <v>377580</v>
      </c>
      <c r="D792" s="10">
        <f ca="1">ROUND(_xlfn.NORM.INV(RAND(),Reference!$D$8,0.1*Reference!$D$8)*(1+Reference!$D$11*(IF(MONTH($A792)=Reference!$D$4,1,0)+IF(MONTH($A792)=Reference!$D$5,1,0))+(IF(MONTH($A792)=Reference!$D$6,Reference!$D$13,0))),0)</f>
        <v>444</v>
      </c>
      <c r="E792" s="11">
        <f ca="1">D792*Reference!$D$7*(1-IF(MONTH($A792)=Reference!$D$6,1,0)*Reference!$D$12)</f>
        <v>333000</v>
      </c>
      <c r="M792" s="20"/>
      <c r="N792" s="20"/>
      <c r="O792" s="19"/>
      <c r="P792" s="10"/>
      <c r="Q792" s="10"/>
      <c r="R792" s="10"/>
      <c r="S792" s="10"/>
      <c r="T792" s="10"/>
      <c r="U792" s="10"/>
      <c r="V792" s="10"/>
      <c r="W792" s="10"/>
      <c r="X792" s="10"/>
      <c r="Y792" s="10"/>
    </row>
    <row r="793" spans="1:25" x14ac:dyDescent="0.25">
      <c r="A793" s="9">
        <v>41331</v>
      </c>
      <c r="B793" s="10">
        <f ca="1">ROUND(_xlfn.NORM.INV(RAND(),Reference!$C$8,0.1*Reference!$C$8)*(1+Reference!$C$11*(IF(MONTH($A793)=Reference!$C$4,1,0)+IF(MONTH($A793)=Reference!$C$5,1,0))+(IF(MONTH($A793)=Reference!$C$6,Reference!$C$13,0))),0)</f>
        <v>350</v>
      </c>
      <c r="C793" s="11">
        <f ca="1">B793*Reference!$C$7*(1-IF(MONTH($A793)=Reference!$C$6,1,0)*Reference!$C$12)</f>
        <v>325500</v>
      </c>
      <c r="D793" s="10">
        <f ca="1">ROUND(_xlfn.NORM.INV(RAND(),Reference!$D$8,0.1*Reference!$D$8)*(1+Reference!$D$11*(IF(MONTH($A793)=Reference!$D$4,1,0)+IF(MONTH($A793)=Reference!$D$5,1,0))+(IF(MONTH($A793)=Reference!$D$6,Reference!$D$13,0))),0)</f>
        <v>453</v>
      </c>
      <c r="E793" s="11">
        <f ca="1">D793*Reference!$D$7*(1-IF(MONTH($A793)=Reference!$D$6,1,0)*Reference!$D$12)</f>
        <v>339750</v>
      </c>
      <c r="M793" s="20"/>
      <c r="N793" s="20"/>
      <c r="O793" s="19"/>
      <c r="P793" s="10"/>
      <c r="Q793" s="10"/>
      <c r="R793" s="10"/>
      <c r="S793" s="10"/>
      <c r="T793" s="10"/>
      <c r="U793" s="10"/>
      <c r="V793" s="10"/>
      <c r="W793" s="10"/>
      <c r="X793" s="10"/>
      <c r="Y793" s="10"/>
    </row>
    <row r="794" spans="1:25" x14ac:dyDescent="0.25">
      <c r="A794" s="9">
        <v>41332</v>
      </c>
      <c r="B794" s="10">
        <f ca="1">ROUND(_xlfn.NORM.INV(RAND(),Reference!$C$8,0.1*Reference!$C$8)*(1+Reference!$C$11*(IF(MONTH($A794)=Reference!$C$4,1,0)+IF(MONTH($A794)=Reference!$C$5,1,0))+(IF(MONTH($A794)=Reference!$C$6,Reference!$C$13,0))),0)</f>
        <v>355</v>
      </c>
      <c r="C794" s="11">
        <f ca="1">B794*Reference!$C$7*(1-IF(MONTH($A794)=Reference!$C$6,1,0)*Reference!$C$12)</f>
        <v>330150</v>
      </c>
      <c r="D794" s="10">
        <f ca="1">ROUND(_xlfn.NORM.INV(RAND(),Reference!$D$8,0.1*Reference!$D$8)*(1+Reference!$D$11*(IF(MONTH($A794)=Reference!$D$4,1,0)+IF(MONTH($A794)=Reference!$D$5,1,0))+(IF(MONTH($A794)=Reference!$D$6,Reference!$D$13,0))),0)</f>
        <v>483</v>
      </c>
      <c r="E794" s="11">
        <f ca="1">D794*Reference!$D$7*(1-IF(MONTH($A794)=Reference!$D$6,1,0)*Reference!$D$12)</f>
        <v>362250</v>
      </c>
      <c r="M794" s="20"/>
      <c r="N794" s="20"/>
      <c r="O794" s="19"/>
      <c r="P794" s="10"/>
      <c r="Q794" s="10"/>
      <c r="R794" s="10"/>
      <c r="S794" s="10"/>
      <c r="T794" s="10"/>
      <c r="U794" s="10"/>
      <c r="V794" s="10"/>
      <c r="W794" s="10"/>
      <c r="X794" s="10"/>
      <c r="Y794" s="10"/>
    </row>
    <row r="795" spans="1:25" x14ac:dyDescent="0.25">
      <c r="A795" s="9">
        <v>41333</v>
      </c>
      <c r="B795" s="10">
        <f ca="1">ROUND(_xlfn.NORM.INV(RAND(),Reference!$C$8,0.1*Reference!$C$8)*(1+Reference!$C$11*(IF(MONTH($A795)=Reference!$C$4,1,0)+IF(MONTH($A795)=Reference!$C$5,1,0))+(IF(MONTH($A795)=Reference!$C$6,Reference!$C$13,0))),0)</f>
        <v>405</v>
      </c>
      <c r="C795" s="11">
        <f ca="1">B795*Reference!$C$7*(1-IF(MONTH($A795)=Reference!$C$6,1,0)*Reference!$C$12)</f>
        <v>376650</v>
      </c>
      <c r="D795" s="10">
        <f ca="1">ROUND(_xlfn.NORM.INV(RAND(),Reference!$D$8,0.1*Reference!$D$8)*(1+Reference!$D$11*(IF(MONTH($A795)=Reference!$D$4,1,0)+IF(MONTH($A795)=Reference!$D$5,1,0))+(IF(MONTH($A795)=Reference!$D$6,Reference!$D$13,0))),0)</f>
        <v>487</v>
      </c>
      <c r="E795" s="11">
        <f ca="1">D795*Reference!$D$7*(1-IF(MONTH($A795)=Reference!$D$6,1,0)*Reference!$D$12)</f>
        <v>365250</v>
      </c>
      <c r="M795" s="20"/>
      <c r="N795" s="20"/>
      <c r="O795" s="19"/>
      <c r="P795" s="10"/>
      <c r="Q795" s="10"/>
      <c r="R795" s="10"/>
      <c r="S795" s="10"/>
      <c r="T795" s="10"/>
      <c r="U795" s="10"/>
      <c r="V795" s="10"/>
      <c r="W795" s="10"/>
      <c r="X795" s="10"/>
      <c r="Y795" s="10"/>
    </row>
    <row r="796" spans="1:25" x14ac:dyDescent="0.25">
      <c r="A796" s="9">
        <v>41334</v>
      </c>
      <c r="B796" s="10">
        <f ca="1">ROUND(_xlfn.NORM.INV(RAND(),Reference!$C$8,0.1*Reference!$C$8)*(1+Reference!$C$11*(IF(MONTH($A796)=Reference!$C$4,1,0)+IF(MONTH($A796)=Reference!$C$5,1,0))+(IF(MONTH($A796)=Reference!$C$6,Reference!$C$13,0))),0)</f>
        <v>334</v>
      </c>
      <c r="C796" s="11">
        <f ca="1">B796*Reference!$C$7*(1-IF(MONTH($A796)=Reference!$C$6,1,0)*Reference!$C$12)</f>
        <v>310620</v>
      </c>
      <c r="D796" s="10">
        <f ca="1">ROUND(_xlfn.NORM.INV(RAND(),Reference!$D$8,0.1*Reference!$D$8)*(1+Reference!$D$11*(IF(MONTH($A796)=Reference!$D$4,1,0)+IF(MONTH($A796)=Reference!$D$5,1,0))+(IF(MONTH($A796)=Reference!$D$6,Reference!$D$13,0))),0)</f>
        <v>414</v>
      </c>
      <c r="E796" s="11">
        <f ca="1">D796*Reference!$D$7*(1-IF(MONTH($A796)=Reference!$D$6,1,0)*Reference!$D$12)</f>
        <v>310500</v>
      </c>
      <c r="M796" s="20"/>
      <c r="N796" s="20"/>
      <c r="O796" s="19"/>
      <c r="P796" s="10"/>
      <c r="Q796" s="10"/>
      <c r="R796" s="10"/>
      <c r="S796" s="10"/>
      <c r="T796" s="10"/>
      <c r="U796" s="10"/>
      <c r="V796" s="10"/>
      <c r="W796" s="10"/>
      <c r="X796" s="10"/>
      <c r="Y796" s="10"/>
    </row>
    <row r="797" spans="1:25" x14ac:dyDescent="0.25">
      <c r="A797" s="9">
        <v>41335</v>
      </c>
      <c r="B797" s="10">
        <f ca="1">ROUND(_xlfn.NORM.INV(RAND(),Reference!$C$8,0.1*Reference!$C$8)*(1+Reference!$C$11*(IF(MONTH($A797)=Reference!$C$4,1,0)+IF(MONTH($A797)=Reference!$C$5,1,0))+(IF(MONTH($A797)=Reference!$C$6,Reference!$C$13,0))),0)</f>
        <v>332</v>
      </c>
      <c r="C797" s="11">
        <f ca="1">B797*Reference!$C$7*(1-IF(MONTH($A797)=Reference!$C$6,1,0)*Reference!$C$12)</f>
        <v>308760</v>
      </c>
      <c r="D797" s="10">
        <f ca="1">ROUND(_xlfn.NORM.INV(RAND(),Reference!$D$8,0.1*Reference!$D$8)*(1+Reference!$D$11*(IF(MONTH($A797)=Reference!$D$4,1,0)+IF(MONTH($A797)=Reference!$D$5,1,0))+(IF(MONTH($A797)=Reference!$D$6,Reference!$D$13,0))),0)</f>
        <v>372</v>
      </c>
      <c r="E797" s="11">
        <f ca="1">D797*Reference!$D$7*(1-IF(MONTH($A797)=Reference!$D$6,1,0)*Reference!$D$12)</f>
        <v>279000</v>
      </c>
      <c r="M797" s="20"/>
      <c r="N797" s="20"/>
      <c r="O797" s="19"/>
      <c r="P797" s="10"/>
      <c r="Q797" s="10"/>
      <c r="R797" s="10"/>
      <c r="S797" s="10"/>
      <c r="T797" s="10"/>
      <c r="U797" s="10"/>
      <c r="V797" s="10"/>
      <c r="W797" s="10"/>
      <c r="X797" s="10"/>
      <c r="Y797" s="10"/>
    </row>
    <row r="798" spans="1:25" x14ac:dyDescent="0.25">
      <c r="A798" s="9">
        <v>41336</v>
      </c>
      <c r="B798" s="10">
        <f ca="1">ROUND(_xlfn.NORM.INV(RAND(),Reference!$C$8,0.1*Reference!$C$8)*(1+Reference!$C$11*(IF(MONTH($A798)=Reference!$C$4,1,0)+IF(MONTH($A798)=Reference!$C$5,1,0))+(IF(MONTH($A798)=Reference!$C$6,Reference!$C$13,0))),0)</f>
        <v>401</v>
      </c>
      <c r="C798" s="11">
        <f ca="1">B798*Reference!$C$7*(1-IF(MONTH($A798)=Reference!$C$6,1,0)*Reference!$C$12)</f>
        <v>372930</v>
      </c>
      <c r="D798" s="10">
        <f ca="1">ROUND(_xlfn.NORM.INV(RAND(),Reference!$D$8,0.1*Reference!$D$8)*(1+Reference!$D$11*(IF(MONTH($A798)=Reference!$D$4,1,0)+IF(MONTH($A798)=Reference!$D$5,1,0))+(IF(MONTH($A798)=Reference!$D$6,Reference!$D$13,0))),0)</f>
        <v>497</v>
      </c>
      <c r="E798" s="11">
        <f ca="1">D798*Reference!$D$7*(1-IF(MONTH($A798)=Reference!$D$6,1,0)*Reference!$D$12)</f>
        <v>372750</v>
      </c>
      <c r="M798" s="20"/>
      <c r="N798" s="20"/>
      <c r="O798" s="19"/>
      <c r="P798" s="10"/>
      <c r="Q798" s="10"/>
      <c r="R798" s="10"/>
      <c r="S798" s="10"/>
      <c r="T798" s="10"/>
      <c r="U798" s="10"/>
      <c r="V798" s="10"/>
      <c r="W798" s="10"/>
      <c r="X798" s="10"/>
      <c r="Y798" s="10"/>
    </row>
    <row r="799" spans="1:25" x14ac:dyDescent="0.25">
      <c r="A799" s="9">
        <v>41337</v>
      </c>
      <c r="B799" s="10">
        <f ca="1">ROUND(_xlfn.NORM.INV(RAND(),Reference!$C$8,0.1*Reference!$C$8)*(1+Reference!$C$11*(IF(MONTH($A799)=Reference!$C$4,1,0)+IF(MONTH($A799)=Reference!$C$5,1,0))+(IF(MONTH($A799)=Reference!$C$6,Reference!$C$13,0))),0)</f>
        <v>308</v>
      </c>
      <c r="C799" s="11">
        <f ca="1">B799*Reference!$C$7*(1-IF(MONTH($A799)=Reference!$C$6,1,0)*Reference!$C$12)</f>
        <v>286440</v>
      </c>
      <c r="D799" s="10">
        <f ca="1">ROUND(_xlfn.NORM.INV(RAND(),Reference!$D$8,0.1*Reference!$D$8)*(1+Reference!$D$11*(IF(MONTH($A799)=Reference!$D$4,1,0)+IF(MONTH($A799)=Reference!$D$5,1,0))+(IF(MONTH($A799)=Reference!$D$6,Reference!$D$13,0))),0)</f>
        <v>369</v>
      </c>
      <c r="E799" s="11">
        <f ca="1">D799*Reference!$D$7*(1-IF(MONTH($A799)=Reference!$D$6,1,0)*Reference!$D$12)</f>
        <v>276750</v>
      </c>
      <c r="M799" s="20"/>
      <c r="N799" s="20"/>
      <c r="O799" s="19"/>
      <c r="P799" s="10"/>
      <c r="Q799" s="10"/>
      <c r="R799" s="10"/>
      <c r="S799" s="10"/>
      <c r="T799" s="10"/>
      <c r="U799" s="10"/>
      <c r="V799" s="10"/>
      <c r="W799" s="10"/>
      <c r="X799" s="10"/>
      <c r="Y799" s="10"/>
    </row>
    <row r="800" spans="1:25" x14ac:dyDescent="0.25">
      <c r="A800" s="9">
        <v>41338</v>
      </c>
      <c r="B800" s="10">
        <f ca="1">ROUND(_xlfn.NORM.INV(RAND(),Reference!$C$8,0.1*Reference!$C$8)*(1+Reference!$C$11*(IF(MONTH($A800)=Reference!$C$4,1,0)+IF(MONTH($A800)=Reference!$C$5,1,0))+(IF(MONTH($A800)=Reference!$C$6,Reference!$C$13,0))),0)</f>
        <v>418</v>
      </c>
      <c r="C800" s="11">
        <f ca="1">B800*Reference!$C$7*(1-IF(MONTH($A800)=Reference!$C$6,1,0)*Reference!$C$12)</f>
        <v>388740</v>
      </c>
      <c r="D800" s="10">
        <f ca="1">ROUND(_xlfn.NORM.INV(RAND(),Reference!$D$8,0.1*Reference!$D$8)*(1+Reference!$D$11*(IF(MONTH($A800)=Reference!$D$4,1,0)+IF(MONTH($A800)=Reference!$D$5,1,0))+(IF(MONTH($A800)=Reference!$D$6,Reference!$D$13,0))),0)</f>
        <v>434</v>
      </c>
      <c r="E800" s="11">
        <f ca="1">D800*Reference!$D$7*(1-IF(MONTH($A800)=Reference!$D$6,1,0)*Reference!$D$12)</f>
        <v>325500</v>
      </c>
      <c r="M800" s="20"/>
      <c r="N800" s="20"/>
      <c r="O800" s="19"/>
      <c r="P800" s="10"/>
      <c r="Q800" s="10"/>
      <c r="R800" s="10"/>
      <c r="S800" s="10"/>
      <c r="T800" s="10"/>
      <c r="U800" s="10"/>
      <c r="V800" s="10"/>
      <c r="W800" s="10"/>
      <c r="X800" s="10"/>
      <c r="Y800" s="10"/>
    </row>
    <row r="801" spans="1:25" x14ac:dyDescent="0.25">
      <c r="A801" s="9">
        <v>41339</v>
      </c>
      <c r="B801" s="10">
        <f ca="1">ROUND(_xlfn.NORM.INV(RAND(),Reference!$C$8,0.1*Reference!$C$8)*(1+Reference!$C$11*(IF(MONTH($A801)=Reference!$C$4,1,0)+IF(MONTH($A801)=Reference!$C$5,1,0))+(IF(MONTH($A801)=Reference!$C$6,Reference!$C$13,0))),0)</f>
        <v>314</v>
      </c>
      <c r="C801" s="11">
        <f ca="1">B801*Reference!$C$7*(1-IF(MONTH($A801)=Reference!$C$6,1,0)*Reference!$C$12)</f>
        <v>292020</v>
      </c>
      <c r="D801" s="10">
        <f ca="1">ROUND(_xlfn.NORM.INV(RAND(),Reference!$D$8,0.1*Reference!$D$8)*(1+Reference!$D$11*(IF(MONTH($A801)=Reference!$D$4,1,0)+IF(MONTH($A801)=Reference!$D$5,1,0))+(IF(MONTH($A801)=Reference!$D$6,Reference!$D$13,0))),0)</f>
        <v>504</v>
      </c>
      <c r="E801" s="11">
        <f ca="1">D801*Reference!$D$7*(1-IF(MONTH($A801)=Reference!$D$6,1,0)*Reference!$D$12)</f>
        <v>378000</v>
      </c>
      <c r="M801" s="20"/>
      <c r="N801" s="20"/>
      <c r="O801" s="19"/>
      <c r="P801" s="10"/>
      <c r="Q801" s="10"/>
      <c r="R801" s="10"/>
      <c r="S801" s="10"/>
      <c r="T801" s="10"/>
      <c r="U801" s="10"/>
      <c r="V801" s="10"/>
      <c r="W801" s="10"/>
      <c r="X801" s="10"/>
      <c r="Y801" s="10"/>
    </row>
    <row r="802" spans="1:25" x14ac:dyDescent="0.25">
      <c r="A802" s="9">
        <v>41340</v>
      </c>
      <c r="B802" s="10">
        <f ca="1">ROUND(_xlfn.NORM.INV(RAND(),Reference!$C$8,0.1*Reference!$C$8)*(1+Reference!$C$11*(IF(MONTH($A802)=Reference!$C$4,1,0)+IF(MONTH($A802)=Reference!$C$5,1,0))+(IF(MONTH($A802)=Reference!$C$6,Reference!$C$13,0))),0)</f>
        <v>433</v>
      </c>
      <c r="C802" s="11">
        <f ca="1">B802*Reference!$C$7*(1-IF(MONTH($A802)=Reference!$C$6,1,0)*Reference!$C$12)</f>
        <v>402690</v>
      </c>
      <c r="D802" s="10">
        <f ca="1">ROUND(_xlfn.NORM.INV(RAND(),Reference!$D$8,0.1*Reference!$D$8)*(1+Reference!$D$11*(IF(MONTH($A802)=Reference!$D$4,1,0)+IF(MONTH($A802)=Reference!$D$5,1,0))+(IF(MONTH($A802)=Reference!$D$6,Reference!$D$13,0))),0)</f>
        <v>427</v>
      </c>
      <c r="E802" s="11">
        <f ca="1">D802*Reference!$D$7*(1-IF(MONTH($A802)=Reference!$D$6,1,0)*Reference!$D$12)</f>
        <v>320250</v>
      </c>
      <c r="M802" s="20"/>
      <c r="N802" s="20"/>
      <c r="O802" s="19"/>
      <c r="P802" s="10"/>
      <c r="Q802" s="10"/>
      <c r="R802" s="10"/>
      <c r="S802" s="10"/>
      <c r="T802" s="10"/>
      <c r="U802" s="10"/>
      <c r="V802" s="10"/>
      <c r="W802" s="10"/>
      <c r="X802" s="10"/>
      <c r="Y802" s="10"/>
    </row>
    <row r="803" spans="1:25" x14ac:dyDescent="0.25">
      <c r="A803" s="9">
        <v>41341</v>
      </c>
      <c r="B803" s="10">
        <f ca="1">ROUND(_xlfn.NORM.INV(RAND(),Reference!$C$8,0.1*Reference!$C$8)*(1+Reference!$C$11*(IF(MONTH($A803)=Reference!$C$4,1,0)+IF(MONTH($A803)=Reference!$C$5,1,0))+(IF(MONTH($A803)=Reference!$C$6,Reference!$C$13,0))),0)</f>
        <v>359</v>
      </c>
      <c r="C803" s="11">
        <f ca="1">B803*Reference!$C$7*(1-IF(MONTH($A803)=Reference!$C$6,1,0)*Reference!$C$12)</f>
        <v>333870</v>
      </c>
      <c r="D803" s="10">
        <f ca="1">ROUND(_xlfn.NORM.INV(RAND(),Reference!$D$8,0.1*Reference!$D$8)*(1+Reference!$D$11*(IF(MONTH($A803)=Reference!$D$4,1,0)+IF(MONTH($A803)=Reference!$D$5,1,0))+(IF(MONTH($A803)=Reference!$D$6,Reference!$D$13,0))),0)</f>
        <v>429</v>
      </c>
      <c r="E803" s="11">
        <f ca="1">D803*Reference!$D$7*(1-IF(MONTH($A803)=Reference!$D$6,1,0)*Reference!$D$12)</f>
        <v>321750</v>
      </c>
      <c r="M803" s="20"/>
      <c r="N803" s="20"/>
      <c r="O803" s="19"/>
      <c r="P803" s="10"/>
      <c r="Q803" s="10"/>
      <c r="R803" s="10"/>
      <c r="S803" s="10"/>
      <c r="T803" s="10"/>
      <c r="U803" s="10"/>
      <c r="V803" s="10"/>
      <c r="W803" s="10"/>
      <c r="X803" s="10"/>
      <c r="Y803" s="10"/>
    </row>
    <row r="804" spans="1:25" x14ac:dyDescent="0.25">
      <c r="A804" s="9">
        <v>41342</v>
      </c>
      <c r="B804" s="10">
        <f ca="1">ROUND(_xlfn.NORM.INV(RAND(),Reference!$C$8,0.1*Reference!$C$8)*(1+Reference!$C$11*(IF(MONTH($A804)=Reference!$C$4,1,0)+IF(MONTH($A804)=Reference!$C$5,1,0))+(IF(MONTH($A804)=Reference!$C$6,Reference!$C$13,0))),0)</f>
        <v>340</v>
      </c>
      <c r="C804" s="11">
        <f ca="1">B804*Reference!$C$7*(1-IF(MONTH($A804)=Reference!$C$6,1,0)*Reference!$C$12)</f>
        <v>316200</v>
      </c>
      <c r="D804" s="10">
        <f ca="1">ROUND(_xlfn.NORM.INV(RAND(),Reference!$D$8,0.1*Reference!$D$8)*(1+Reference!$D$11*(IF(MONTH($A804)=Reference!$D$4,1,0)+IF(MONTH($A804)=Reference!$D$5,1,0))+(IF(MONTH($A804)=Reference!$D$6,Reference!$D$13,0))),0)</f>
        <v>415</v>
      </c>
      <c r="E804" s="11">
        <f ca="1">D804*Reference!$D$7*(1-IF(MONTH($A804)=Reference!$D$6,1,0)*Reference!$D$12)</f>
        <v>311250</v>
      </c>
      <c r="M804" s="20"/>
      <c r="N804" s="20"/>
      <c r="O804" s="19"/>
      <c r="P804" s="10"/>
      <c r="Q804" s="10"/>
      <c r="R804" s="10"/>
      <c r="S804" s="10"/>
      <c r="T804" s="10"/>
      <c r="U804" s="10"/>
      <c r="V804" s="10"/>
      <c r="W804" s="10"/>
      <c r="X804" s="10"/>
      <c r="Y804" s="10"/>
    </row>
    <row r="805" spans="1:25" x14ac:dyDescent="0.25">
      <c r="A805" s="9">
        <v>41343</v>
      </c>
      <c r="B805" s="10">
        <f ca="1">ROUND(_xlfn.NORM.INV(RAND(),Reference!$C$8,0.1*Reference!$C$8)*(1+Reference!$C$11*(IF(MONTH($A805)=Reference!$C$4,1,0)+IF(MONTH($A805)=Reference!$C$5,1,0))+(IF(MONTH($A805)=Reference!$C$6,Reference!$C$13,0))),0)</f>
        <v>429</v>
      </c>
      <c r="C805" s="11">
        <f ca="1">B805*Reference!$C$7*(1-IF(MONTH($A805)=Reference!$C$6,1,0)*Reference!$C$12)</f>
        <v>398970</v>
      </c>
      <c r="D805" s="10">
        <f ca="1">ROUND(_xlfn.NORM.INV(RAND(),Reference!$D$8,0.1*Reference!$D$8)*(1+Reference!$D$11*(IF(MONTH($A805)=Reference!$D$4,1,0)+IF(MONTH($A805)=Reference!$D$5,1,0))+(IF(MONTH($A805)=Reference!$D$6,Reference!$D$13,0))),0)</f>
        <v>417</v>
      </c>
      <c r="E805" s="11">
        <f ca="1">D805*Reference!$D$7*(1-IF(MONTH($A805)=Reference!$D$6,1,0)*Reference!$D$12)</f>
        <v>312750</v>
      </c>
      <c r="M805" s="20"/>
      <c r="N805" s="20"/>
      <c r="O805" s="19"/>
      <c r="P805" s="10"/>
      <c r="Q805" s="10"/>
      <c r="R805" s="10"/>
      <c r="S805" s="10"/>
      <c r="T805" s="10"/>
      <c r="U805" s="10"/>
      <c r="V805" s="10"/>
      <c r="W805" s="10"/>
      <c r="X805" s="10"/>
      <c r="Y805" s="10"/>
    </row>
    <row r="806" spans="1:25" x14ac:dyDescent="0.25">
      <c r="A806" s="9">
        <v>41344</v>
      </c>
      <c r="B806" s="10">
        <f ca="1">ROUND(_xlfn.NORM.INV(RAND(),Reference!$C$8,0.1*Reference!$C$8)*(1+Reference!$C$11*(IF(MONTH($A806)=Reference!$C$4,1,0)+IF(MONTH($A806)=Reference!$C$5,1,0))+(IF(MONTH($A806)=Reference!$C$6,Reference!$C$13,0))),0)</f>
        <v>381</v>
      </c>
      <c r="C806" s="11">
        <f ca="1">B806*Reference!$C$7*(1-IF(MONTH($A806)=Reference!$C$6,1,0)*Reference!$C$12)</f>
        <v>354330</v>
      </c>
      <c r="D806" s="10">
        <f ca="1">ROUND(_xlfn.NORM.INV(RAND(),Reference!$D$8,0.1*Reference!$D$8)*(1+Reference!$D$11*(IF(MONTH($A806)=Reference!$D$4,1,0)+IF(MONTH($A806)=Reference!$D$5,1,0))+(IF(MONTH($A806)=Reference!$D$6,Reference!$D$13,0))),0)</f>
        <v>445</v>
      </c>
      <c r="E806" s="11">
        <f ca="1">D806*Reference!$D$7*(1-IF(MONTH($A806)=Reference!$D$6,1,0)*Reference!$D$12)</f>
        <v>333750</v>
      </c>
      <c r="M806" s="20"/>
      <c r="N806" s="20"/>
      <c r="O806" s="19"/>
      <c r="P806" s="10"/>
      <c r="Q806" s="10"/>
      <c r="R806" s="10"/>
      <c r="S806" s="10"/>
      <c r="T806" s="10"/>
      <c r="U806" s="10"/>
      <c r="V806" s="10"/>
      <c r="W806" s="10"/>
      <c r="X806" s="10"/>
      <c r="Y806" s="10"/>
    </row>
    <row r="807" spans="1:25" x14ac:dyDescent="0.25">
      <c r="A807" s="9">
        <v>41345</v>
      </c>
      <c r="B807" s="10">
        <f ca="1">ROUND(_xlfn.NORM.INV(RAND(),Reference!$C$8,0.1*Reference!$C$8)*(1+Reference!$C$11*(IF(MONTH($A807)=Reference!$C$4,1,0)+IF(MONTH($A807)=Reference!$C$5,1,0))+(IF(MONTH($A807)=Reference!$C$6,Reference!$C$13,0))),0)</f>
        <v>357</v>
      </c>
      <c r="C807" s="11">
        <f ca="1">B807*Reference!$C$7*(1-IF(MONTH($A807)=Reference!$C$6,1,0)*Reference!$C$12)</f>
        <v>332010</v>
      </c>
      <c r="D807" s="10">
        <f ca="1">ROUND(_xlfn.NORM.INV(RAND(),Reference!$D$8,0.1*Reference!$D$8)*(1+Reference!$D$11*(IF(MONTH($A807)=Reference!$D$4,1,0)+IF(MONTH($A807)=Reference!$D$5,1,0))+(IF(MONTH($A807)=Reference!$D$6,Reference!$D$13,0))),0)</f>
        <v>440</v>
      </c>
      <c r="E807" s="11">
        <f ca="1">D807*Reference!$D$7*(1-IF(MONTH($A807)=Reference!$D$6,1,0)*Reference!$D$12)</f>
        <v>330000</v>
      </c>
      <c r="M807" s="20"/>
      <c r="N807" s="20"/>
      <c r="O807" s="19"/>
      <c r="P807" s="10"/>
      <c r="Q807" s="10"/>
      <c r="R807" s="10"/>
      <c r="S807" s="10"/>
      <c r="T807" s="10"/>
      <c r="U807" s="10"/>
      <c r="V807" s="10"/>
      <c r="W807" s="10"/>
      <c r="X807" s="10"/>
      <c r="Y807" s="10"/>
    </row>
    <row r="808" spans="1:25" x14ac:dyDescent="0.25">
      <c r="A808" s="9">
        <v>41346</v>
      </c>
      <c r="B808" s="10">
        <f ca="1">ROUND(_xlfn.NORM.INV(RAND(),Reference!$C$8,0.1*Reference!$C$8)*(1+Reference!$C$11*(IF(MONTH($A808)=Reference!$C$4,1,0)+IF(MONTH($A808)=Reference!$C$5,1,0))+(IF(MONTH($A808)=Reference!$C$6,Reference!$C$13,0))),0)</f>
        <v>380</v>
      </c>
      <c r="C808" s="11">
        <f ca="1">B808*Reference!$C$7*(1-IF(MONTH($A808)=Reference!$C$6,1,0)*Reference!$C$12)</f>
        <v>353400</v>
      </c>
      <c r="D808" s="10">
        <f ca="1">ROUND(_xlfn.NORM.INV(RAND(),Reference!$D$8,0.1*Reference!$D$8)*(1+Reference!$D$11*(IF(MONTH($A808)=Reference!$D$4,1,0)+IF(MONTH($A808)=Reference!$D$5,1,0))+(IF(MONTH($A808)=Reference!$D$6,Reference!$D$13,0))),0)</f>
        <v>410</v>
      </c>
      <c r="E808" s="11">
        <f ca="1">D808*Reference!$D$7*(1-IF(MONTH($A808)=Reference!$D$6,1,0)*Reference!$D$12)</f>
        <v>307500</v>
      </c>
      <c r="M808" s="20"/>
      <c r="N808" s="20"/>
      <c r="O808" s="19"/>
      <c r="P808" s="10"/>
      <c r="Q808" s="10"/>
      <c r="R808" s="10"/>
      <c r="S808" s="10"/>
      <c r="T808" s="10"/>
      <c r="U808" s="10"/>
      <c r="V808" s="10"/>
      <c r="W808" s="10"/>
      <c r="X808" s="10"/>
      <c r="Y808" s="10"/>
    </row>
    <row r="809" spans="1:25" x14ac:dyDescent="0.25">
      <c r="A809" s="9">
        <v>41347</v>
      </c>
      <c r="B809" s="10">
        <f ca="1">ROUND(_xlfn.NORM.INV(RAND(),Reference!$C$8,0.1*Reference!$C$8)*(1+Reference!$C$11*(IF(MONTH($A809)=Reference!$C$4,1,0)+IF(MONTH($A809)=Reference!$C$5,1,0))+(IF(MONTH($A809)=Reference!$C$6,Reference!$C$13,0))),0)</f>
        <v>352</v>
      </c>
      <c r="C809" s="11">
        <f ca="1">B809*Reference!$C$7*(1-IF(MONTH($A809)=Reference!$C$6,1,0)*Reference!$C$12)</f>
        <v>327360</v>
      </c>
      <c r="D809" s="10">
        <f ca="1">ROUND(_xlfn.NORM.INV(RAND(),Reference!$D$8,0.1*Reference!$D$8)*(1+Reference!$D$11*(IF(MONTH($A809)=Reference!$D$4,1,0)+IF(MONTH($A809)=Reference!$D$5,1,0))+(IF(MONTH($A809)=Reference!$D$6,Reference!$D$13,0))),0)</f>
        <v>417</v>
      </c>
      <c r="E809" s="11">
        <f ca="1">D809*Reference!$D$7*(1-IF(MONTH($A809)=Reference!$D$6,1,0)*Reference!$D$12)</f>
        <v>312750</v>
      </c>
      <c r="M809" s="20"/>
      <c r="N809" s="20"/>
      <c r="O809" s="19"/>
      <c r="P809" s="10"/>
      <c r="Q809" s="10"/>
      <c r="R809" s="10"/>
      <c r="S809" s="10"/>
      <c r="T809" s="10"/>
      <c r="U809" s="10"/>
      <c r="V809" s="10"/>
      <c r="W809" s="10"/>
      <c r="X809" s="10"/>
      <c r="Y809" s="10"/>
    </row>
    <row r="810" spans="1:25" x14ac:dyDescent="0.25">
      <c r="A810" s="9">
        <v>41348</v>
      </c>
      <c r="B810" s="10">
        <f ca="1">ROUND(_xlfn.NORM.INV(RAND(),Reference!$C$8,0.1*Reference!$C$8)*(1+Reference!$C$11*(IF(MONTH($A810)=Reference!$C$4,1,0)+IF(MONTH($A810)=Reference!$C$5,1,0))+(IF(MONTH($A810)=Reference!$C$6,Reference!$C$13,0))),0)</f>
        <v>322</v>
      </c>
      <c r="C810" s="11">
        <f ca="1">B810*Reference!$C$7*(1-IF(MONTH($A810)=Reference!$C$6,1,0)*Reference!$C$12)</f>
        <v>299460</v>
      </c>
      <c r="D810" s="10">
        <f ca="1">ROUND(_xlfn.NORM.INV(RAND(),Reference!$D$8,0.1*Reference!$D$8)*(1+Reference!$D$11*(IF(MONTH($A810)=Reference!$D$4,1,0)+IF(MONTH($A810)=Reference!$D$5,1,0))+(IF(MONTH($A810)=Reference!$D$6,Reference!$D$13,0))),0)</f>
        <v>490</v>
      </c>
      <c r="E810" s="11">
        <f ca="1">D810*Reference!$D$7*(1-IF(MONTH($A810)=Reference!$D$6,1,0)*Reference!$D$12)</f>
        <v>367500</v>
      </c>
      <c r="M810" s="20"/>
      <c r="N810" s="20"/>
      <c r="O810" s="19"/>
      <c r="P810" s="10"/>
      <c r="Q810" s="10"/>
      <c r="R810" s="10"/>
      <c r="S810" s="10"/>
      <c r="T810" s="10"/>
      <c r="U810" s="10"/>
      <c r="V810" s="10"/>
      <c r="W810" s="10"/>
      <c r="X810" s="10"/>
      <c r="Y810" s="10"/>
    </row>
    <row r="811" spans="1:25" x14ac:dyDescent="0.25">
      <c r="A811" s="9">
        <v>41349</v>
      </c>
      <c r="B811" s="10">
        <f ca="1">ROUND(_xlfn.NORM.INV(RAND(),Reference!$C$8,0.1*Reference!$C$8)*(1+Reference!$C$11*(IF(MONTH($A811)=Reference!$C$4,1,0)+IF(MONTH($A811)=Reference!$C$5,1,0))+(IF(MONTH($A811)=Reference!$C$6,Reference!$C$13,0))),0)</f>
        <v>406</v>
      </c>
      <c r="C811" s="11">
        <f ca="1">B811*Reference!$C$7*(1-IF(MONTH($A811)=Reference!$C$6,1,0)*Reference!$C$12)</f>
        <v>377580</v>
      </c>
      <c r="D811" s="10">
        <f ca="1">ROUND(_xlfn.NORM.INV(RAND(),Reference!$D$8,0.1*Reference!$D$8)*(1+Reference!$D$11*(IF(MONTH($A811)=Reference!$D$4,1,0)+IF(MONTH($A811)=Reference!$D$5,1,0))+(IF(MONTH($A811)=Reference!$D$6,Reference!$D$13,0))),0)</f>
        <v>438</v>
      </c>
      <c r="E811" s="11">
        <f ca="1">D811*Reference!$D$7*(1-IF(MONTH($A811)=Reference!$D$6,1,0)*Reference!$D$12)</f>
        <v>328500</v>
      </c>
      <c r="M811" s="20"/>
      <c r="N811" s="20"/>
      <c r="O811" s="19"/>
      <c r="P811" s="10"/>
      <c r="Q811" s="10"/>
      <c r="R811" s="10"/>
      <c r="S811" s="10"/>
      <c r="T811" s="10"/>
      <c r="U811" s="10"/>
      <c r="V811" s="10"/>
      <c r="W811" s="10"/>
      <c r="X811" s="10"/>
      <c r="Y811" s="10"/>
    </row>
    <row r="812" spans="1:25" x14ac:dyDescent="0.25">
      <c r="A812" s="9">
        <v>41350</v>
      </c>
      <c r="B812" s="10">
        <f ca="1">ROUND(_xlfn.NORM.INV(RAND(),Reference!$C$8,0.1*Reference!$C$8)*(1+Reference!$C$11*(IF(MONTH($A812)=Reference!$C$4,1,0)+IF(MONTH($A812)=Reference!$C$5,1,0))+(IF(MONTH($A812)=Reference!$C$6,Reference!$C$13,0))),0)</f>
        <v>324</v>
      </c>
      <c r="C812" s="11">
        <f ca="1">B812*Reference!$C$7*(1-IF(MONTH($A812)=Reference!$C$6,1,0)*Reference!$C$12)</f>
        <v>301320</v>
      </c>
      <c r="D812" s="10">
        <f ca="1">ROUND(_xlfn.NORM.INV(RAND(),Reference!$D$8,0.1*Reference!$D$8)*(1+Reference!$D$11*(IF(MONTH($A812)=Reference!$D$4,1,0)+IF(MONTH($A812)=Reference!$D$5,1,0))+(IF(MONTH($A812)=Reference!$D$6,Reference!$D$13,0))),0)</f>
        <v>410</v>
      </c>
      <c r="E812" s="11">
        <f ca="1">D812*Reference!$D$7*(1-IF(MONTH($A812)=Reference!$D$6,1,0)*Reference!$D$12)</f>
        <v>307500</v>
      </c>
      <c r="M812" s="20"/>
      <c r="N812" s="20"/>
      <c r="O812" s="19"/>
      <c r="P812" s="10"/>
      <c r="Q812" s="10"/>
      <c r="R812" s="10"/>
      <c r="S812" s="10"/>
      <c r="T812" s="10"/>
      <c r="U812" s="10"/>
      <c r="V812" s="10"/>
      <c r="W812" s="10"/>
      <c r="X812" s="10"/>
      <c r="Y812" s="10"/>
    </row>
    <row r="813" spans="1:25" x14ac:dyDescent="0.25">
      <c r="A813" s="9">
        <v>41351</v>
      </c>
      <c r="B813" s="10">
        <f ca="1">ROUND(_xlfn.NORM.INV(RAND(),Reference!$C$8,0.1*Reference!$C$8)*(1+Reference!$C$11*(IF(MONTH($A813)=Reference!$C$4,1,0)+IF(MONTH($A813)=Reference!$C$5,1,0))+(IF(MONTH($A813)=Reference!$C$6,Reference!$C$13,0))),0)</f>
        <v>438</v>
      </c>
      <c r="C813" s="11">
        <f ca="1">B813*Reference!$C$7*(1-IF(MONTH($A813)=Reference!$C$6,1,0)*Reference!$C$12)</f>
        <v>407340</v>
      </c>
      <c r="D813" s="10">
        <f ca="1">ROUND(_xlfn.NORM.INV(RAND(),Reference!$D$8,0.1*Reference!$D$8)*(1+Reference!$D$11*(IF(MONTH($A813)=Reference!$D$4,1,0)+IF(MONTH($A813)=Reference!$D$5,1,0))+(IF(MONTH($A813)=Reference!$D$6,Reference!$D$13,0))),0)</f>
        <v>481</v>
      </c>
      <c r="E813" s="11">
        <f ca="1">D813*Reference!$D$7*(1-IF(MONTH($A813)=Reference!$D$6,1,0)*Reference!$D$12)</f>
        <v>360750</v>
      </c>
      <c r="M813" s="20"/>
      <c r="N813" s="20"/>
      <c r="O813" s="19"/>
      <c r="P813" s="10"/>
      <c r="Q813" s="10"/>
      <c r="R813" s="10"/>
      <c r="S813" s="10"/>
      <c r="T813" s="10"/>
      <c r="U813" s="10"/>
      <c r="V813" s="10"/>
      <c r="W813" s="10"/>
      <c r="X813" s="10"/>
      <c r="Y813" s="10"/>
    </row>
    <row r="814" spans="1:25" x14ac:dyDescent="0.25">
      <c r="A814" s="9">
        <v>41352</v>
      </c>
      <c r="B814" s="10">
        <f ca="1">ROUND(_xlfn.NORM.INV(RAND(),Reference!$C$8,0.1*Reference!$C$8)*(1+Reference!$C$11*(IF(MONTH($A814)=Reference!$C$4,1,0)+IF(MONTH($A814)=Reference!$C$5,1,0))+(IF(MONTH($A814)=Reference!$C$6,Reference!$C$13,0))),0)</f>
        <v>360</v>
      </c>
      <c r="C814" s="11">
        <f ca="1">B814*Reference!$C$7*(1-IF(MONTH($A814)=Reference!$C$6,1,0)*Reference!$C$12)</f>
        <v>334800</v>
      </c>
      <c r="D814" s="10">
        <f ca="1">ROUND(_xlfn.NORM.INV(RAND(),Reference!$D$8,0.1*Reference!$D$8)*(1+Reference!$D$11*(IF(MONTH($A814)=Reference!$D$4,1,0)+IF(MONTH($A814)=Reference!$D$5,1,0))+(IF(MONTH($A814)=Reference!$D$6,Reference!$D$13,0))),0)</f>
        <v>455</v>
      </c>
      <c r="E814" s="11">
        <f ca="1">D814*Reference!$D$7*(1-IF(MONTH($A814)=Reference!$D$6,1,0)*Reference!$D$12)</f>
        <v>341250</v>
      </c>
      <c r="M814" s="20"/>
      <c r="N814" s="20"/>
      <c r="O814" s="19"/>
      <c r="P814" s="10"/>
      <c r="Q814" s="10"/>
      <c r="R814" s="10"/>
      <c r="S814" s="10"/>
      <c r="T814" s="10"/>
      <c r="U814" s="10"/>
      <c r="V814" s="10"/>
      <c r="W814" s="10"/>
      <c r="X814" s="10"/>
      <c r="Y814" s="10"/>
    </row>
    <row r="815" spans="1:25" x14ac:dyDescent="0.25">
      <c r="A815" s="9">
        <v>41353</v>
      </c>
      <c r="B815" s="10">
        <f ca="1">ROUND(_xlfn.NORM.INV(RAND(),Reference!$C$8,0.1*Reference!$C$8)*(1+Reference!$C$11*(IF(MONTH($A815)=Reference!$C$4,1,0)+IF(MONTH($A815)=Reference!$C$5,1,0))+(IF(MONTH($A815)=Reference!$C$6,Reference!$C$13,0))),0)</f>
        <v>331</v>
      </c>
      <c r="C815" s="11">
        <f ca="1">B815*Reference!$C$7*(1-IF(MONTH($A815)=Reference!$C$6,1,0)*Reference!$C$12)</f>
        <v>307830</v>
      </c>
      <c r="D815" s="10">
        <f ca="1">ROUND(_xlfn.NORM.INV(RAND(),Reference!$D$8,0.1*Reference!$D$8)*(1+Reference!$D$11*(IF(MONTH($A815)=Reference!$D$4,1,0)+IF(MONTH($A815)=Reference!$D$5,1,0))+(IF(MONTH($A815)=Reference!$D$6,Reference!$D$13,0))),0)</f>
        <v>445</v>
      </c>
      <c r="E815" s="11">
        <f ca="1">D815*Reference!$D$7*(1-IF(MONTH($A815)=Reference!$D$6,1,0)*Reference!$D$12)</f>
        <v>333750</v>
      </c>
      <c r="M815" s="20"/>
      <c r="N815" s="20"/>
      <c r="O815" s="19"/>
      <c r="P815" s="10"/>
      <c r="Q815" s="10"/>
      <c r="R815" s="10"/>
      <c r="S815" s="10"/>
      <c r="T815" s="10"/>
      <c r="U815" s="10"/>
      <c r="V815" s="10"/>
      <c r="W815" s="10"/>
      <c r="X815" s="10"/>
      <c r="Y815" s="10"/>
    </row>
    <row r="816" spans="1:25" x14ac:dyDescent="0.25">
      <c r="A816" s="9">
        <v>41354</v>
      </c>
      <c r="B816" s="10">
        <f ca="1">ROUND(_xlfn.NORM.INV(RAND(),Reference!$C$8,0.1*Reference!$C$8)*(1+Reference!$C$11*(IF(MONTH($A816)=Reference!$C$4,1,0)+IF(MONTH($A816)=Reference!$C$5,1,0))+(IF(MONTH($A816)=Reference!$C$6,Reference!$C$13,0))),0)</f>
        <v>322</v>
      </c>
      <c r="C816" s="11">
        <f ca="1">B816*Reference!$C$7*(1-IF(MONTH($A816)=Reference!$C$6,1,0)*Reference!$C$12)</f>
        <v>299460</v>
      </c>
      <c r="D816" s="10">
        <f ca="1">ROUND(_xlfn.NORM.INV(RAND(),Reference!$D$8,0.1*Reference!$D$8)*(1+Reference!$D$11*(IF(MONTH($A816)=Reference!$D$4,1,0)+IF(MONTH($A816)=Reference!$D$5,1,0))+(IF(MONTH($A816)=Reference!$D$6,Reference!$D$13,0))),0)</f>
        <v>551</v>
      </c>
      <c r="E816" s="11">
        <f ca="1">D816*Reference!$D$7*(1-IF(MONTH($A816)=Reference!$D$6,1,0)*Reference!$D$12)</f>
        <v>413250</v>
      </c>
      <c r="M816" s="20"/>
      <c r="N816" s="20"/>
      <c r="O816" s="19"/>
      <c r="P816" s="10"/>
      <c r="Q816" s="10"/>
      <c r="R816" s="10"/>
      <c r="S816" s="10"/>
      <c r="T816" s="10"/>
      <c r="U816" s="10"/>
      <c r="V816" s="10"/>
      <c r="W816" s="10"/>
      <c r="X816" s="10"/>
      <c r="Y816" s="10"/>
    </row>
    <row r="817" spans="1:25" x14ac:dyDescent="0.25">
      <c r="A817" s="9">
        <v>41355</v>
      </c>
      <c r="B817" s="10">
        <f ca="1">ROUND(_xlfn.NORM.INV(RAND(),Reference!$C$8,0.1*Reference!$C$8)*(1+Reference!$C$11*(IF(MONTH($A817)=Reference!$C$4,1,0)+IF(MONTH($A817)=Reference!$C$5,1,0))+(IF(MONTH($A817)=Reference!$C$6,Reference!$C$13,0))),0)</f>
        <v>417</v>
      </c>
      <c r="C817" s="11">
        <f ca="1">B817*Reference!$C$7*(1-IF(MONTH($A817)=Reference!$C$6,1,0)*Reference!$C$12)</f>
        <v>387810</v>
      </c>
      <c r="D817" s="10">
        <f ca="1">ROUND(_xlfn.NORM.INV(RAND(),Reference!$D$8,0.1*Reference!$D$8)*(1+Reference!$D$11*(IF(MONTH($A817)=Reference!$D$4,1,0)+IF(MONTH($A817)=Reference!$D$5,1,0))+(IF(MONTH($A817)=Reference!$D$6,Reference!$D$13,0))),0)</f>
        <v>448</v>
      </c>
      <c r="E817" s="11">
        <f ca="1">D817*Reference!$D$7*(1-IF(MONTH($A817)=Reference!$D$6,1,0)*Reference!$D$12)</f>
        <v>336000</v>
      </c>
      <c r="M817" s="20"/>
      <c r="N817" s="20"/>
      <c r="O817" s="19"/>
      <c r="P817" s="10"/>
      <c r="Q817" s="10"/>
      <c r="R817" s="10"/>
      <c r="S817" s="10"/>
      <c r="T817" s="10"/>
      <c r="U817" s="10"/>
      <c r="V817" s="10"/>
      <c r="W817" s="10"/>
      <c r="X817" s="10"/>
      <c r="Y817" s="10"/>
    </row>
    <row r="818" spans="1:25" x14ac:dyDescent="0.25">
      <c r="A818" s="9">
        <v>41356</v>
      </c>
      <c r="B818" s="10">
        <f ca="1">ROUND(_xlfn.NORM.INV(RAND(),Reference!$C$8,0.1*Reference!$C$8)*(1+Reference!$C$11*(IF(MONTH($A818)=Reference!$C$4,1,0)+IF(MONTH($A818)=Reference!$C$5,1,0))+(IF(MONTH($A818)=Reference!$C$6,Reference!$C$13,0))),0)</f>
        <v>313</v>
      </c>
      <c r="C818" s="11">
        <f ca="1">B818*Reference!$C$7*(1-IF(MONTH($A818)=Reference!$C$6,1,0)*Reference!$C$12)</f>
        <v>291090</v>
      </c>
      <c r="D818" s="10">
        <f ca="1">ROUND(_xlfn.NORM.INV(RAND(),Reference!$D$8,0.1*Reference!$D$8)*(1+Reference!$D$11*(IF(MONTH($A818)=Reference!$D$4,1,0)+IF(MONTH($A818)=Reference!$D$5,1,0))+(IF(MONTH($A818)=Reference!$D$6,Reference!$D$13,0))),0)</f>
        <v>519</v>
      </c>
      <c r="E818" s="11">
        <f ca="1">D818*Reference!$D$7*(1-IF(MONTH($A818)=Reference!$D$6,1,0)*Reference!$D$12)</f>
        <v>389250</v>
      </c>
      <c r="M818" s="20"/>
      <c r="N818" s="20"/>
      <c r="O818" s="19"/>
      <c r="P818" s="10"/>
      <c r="Q818" s="10"/>
      <c r="R818" s="10"/>
      <c r="S818" s="10"/>
      <c r="T818" s="10"/>
      <c r="U818" s="10"/>
      <c r="V818" s="10"/>
      <c r="W818" s="10"/>
      <c r="X818" s="10"/>
      <c r="Y818" s="10"/>
    </row>
    <row r="819" spans="1:25" x14ac:dyDescent="0.25">
      <c r="A819" s="9">
        <v>41357</v>
      </c>
      <c r="B819" s="10">
        <f ca="1">ROUND(_xlfn.NORM.INV(RAND(),Reference!$C$8,0.1*Reference!$C$8)*(1+Reference!$C$11*(IF(MONTH($A819)=Reference!$C$4,1,0)+IF(MONTH($A819)=Reference!$C$5,1,0))+(IF(MONTH($A819)=Reference!$C$6,Reference!$C$13,0))),0)</f>
        <v>353</v>
      </c>
      <c r="C819" s="11">
        <f ca="1">B819*Reference!$C$7*(1-IF(MONTH($A819)=Reference!$C$6,1,0)*Reference!$C$12)</f>
        <v>328290</v>
      </c>
      <c r="D819" s="10">
        <f ca="1">ROUND(_xlfn.NORM.INV(RAND(),Reference!$D$8,0.1*Reference!$D$8)*(1+Reference!$D$11*(IF(MONTH($A819)=Reference!$D$4,1,0)+IF(MONTH($A819)=Reference!$D$5,1,0))+(IF(MONTH($A819)=Reference!$D$6,Reference!$D$13,0))),0)</f>
        <v>439</v>
      </c>
      <c r="E819" s="11">
        <f ca="1">D819*Reference!$D$7*(1-IF(MONTH($A819)=Reference!$D$6,1,0)*Reference!$D$12)</f>
        <v>329250</v>
      </c>
      <c r="M819" s="20"/>
      <c r="N819" s="20"/>
      <c r="O819" s="19"/>
      <c r="P819" s="10"/>
      <c r="Q819" s="10"/>
      <c r="R819" s="10"/>
      <c r="S819" s="10"/>
      <c r="T819" s="10"/>
      <c r="U819" s="10"/>
      <c r="V819" s="10"/>
      <c r="W819" s="10"/>
      <c r="X819" s="10"/>
      <c r="Y819" s="10"/>
    </row>
    <row r="820" spans="1:25" x14ac:dyDescent="0.25">
      <c r="A820" s="9">
        <v>41358</v>
      </c>
      <c r="B820" s="10">
        <f ca="1">ROUND(_xlfn.NORM.INV(RAND(),Reference!$C$8,0.1*Reference!$C$8)*(1+Reference!$C$11*(IF(MONTH($A820)=Reference!$C$4,1,0)+IF(MONTH($A820)=Reference!$C$5,1,0))+(IF(MONTH($A820)=Reference!$C$6,Reference!$C$13,0))),0)</f>
        <v>293</v>
      </c>
      <c r="C820" s="11">
        <f ca="1">B820*Reference!$C$7*(1-IF(MONTH($A820)=Reference!$C$6,1,0)*Reference!$C$12)</f>
        <v>272490</v>
      </c>
      <c r="D820" s="10">
        <f ca="1">ROUND(_xlfn.NORM.INV(RAND(),Reference!$D$8,0.1*Reference!$D$8)*(1+Reference!$D$11*(IF(MONTH($A820)=Reference!$D$4,1,0)+IF(MONTH($A820)=Reference!$D$5,1,0))+(IF(MONTH($A820)=Reference!$D$6,Reference!$D$13,0))),0)</f>
        <v>441</v>
      </c>
      <c r="E820" s="11">
        <f ca="1">D820*Reference!$D$7*(1-IF(MONTH($A820)=Reference!$D$6,1,0)*Reference!$D$12)</f>
        <v>330750</v>
      </c>
      <c r="M820" s="20"/>
      <c r="N820" s="20"/>
      <c r="O820" s="19"/>
      <c r="P820" s="10"/>
      <c r="Q820" s="10"/>
      <c r="R820" s="10"/>
      <c r="S820" s="10"/>
      <c r="T820" s="10"/>
      <c r="U820" s="10"/>
      <c r="V820" s="10"/>
      <c r="W820" s="10"/>
      <c r="X820" s="10"/>
      <c r="Y820" s="10"/>
    </row>
    <row r="821" spans="1:25" x14ac:dyDescent="0.25">
      <c r="A821" s="9">
        <v>41359</v>
      </c>
      <c r="B821" s="10">
        <f ca="1">ROUND(_xlfn.NORM.INV(RAND(),Reference!$C$8,0.1*Reference!$C$8)*(1+Reference!$C$11*(IF(MONTH($A821)=Reference!$C$4,1,0)+IF(MONTH($A821)=Reference!$C$5,1,0))+(IF(MONTH($A821)=Reference!$C$6,Reference!$C$13,0))),0)</f>
        <v>295</v>
      </c>
      <c r="C821" s="11">
        <f ca="1">B821*Reference!$C$7*(1-IF(MONTH($A821)=Reference!$C$6,1,0)*Reference!$C$12)</f>
        <v>274350</v>
      </c>
      <c r="D821" s="10">
        <f ca="1">ROUND(_xlfn.NORM.INV(RAND(),Reference!$D$8,0.1*Reference!$D$8)*(1+Reference!$D$11*(IF(MONTH($A821)=Reference!$D$4,1,0)+IF(MONTH($A821)=Reference!$D$5,1,0))+(IF(MONTH($A821)=Reference!$D$6,Reference!$D$13,0))),0)</f>
        <v>502</v>
      </c>
      <c r="E821" s="11">
        <f ca="1">D821*Reference!$D$7*(1-IF(MONTH($A821)=Reference!$D$6,1,0)*Reference!$D$12)</f>
        <v>376500</v>
      </c>
      <c r="M821" s="20"/>
      <c r="N821" s="20"/>
      <c r="O821" s="19"/>
      <c r="P821" s="10"/>
      <c r="Q821" s="10"/>
      <c r="R821" s="10"/>
      <c r="S821" s="10"/>
      <c r="T821" s="10"/>
      <c r="U821" s="10"/>
      <c r="V821" s="10"/>
      <c r="W821" s="10"/>
      <c r="X821" s="10"/>
      <c r="Y821" s="10"/>
    </row>
    <row r="822" spans="1:25" x14ac:dyDescent="0.25">
      <c r="A822" s="9">
        <v>41360</v>
      </c>
      <c r="B822" s="10">
        <f ca="1">ROUND(_xlfn.NORM.INV(RAND(),Reference!$C$8,0.1*Reference!$C$8)*(1+Reference!$C$11*(IF(MONTH($A822)=Reference!$C$4,1,0)+IF(MONTH($A822)=Reference!$C$5,1,0))+(IF(MONTH($A822)=Reference!$C$6,Reference!$C$13,0))),0)</f>
        <v>393</v>
      </c>
      <c r="C822" s="11">
        <f ca="1">B822*Reference!$C$7*(1-IF(MONTH($A822)=Reference!$C$6,1,0)*Reference!$C$12)</f>
        <v>365490</v>
      </c>
      <c r="D822" s="10">
        <f ca="1">ROUND(_xlfn.NORM.INV(RAND(),Reference!$D$8,0.1*Reference!$D$8)*(1+Reference!$D$11*(IF(MONTH($A822)=Reference!$D$4,1,0)+IF(MONTH($A822)=Reference!$D$5,1,0))+(IF(MONTH($A822)=Reference!$D$6,Reference!$D$13,0))),0)</f>
        <v>473</v>
      </c>
      <c r="E822" s="11">
        <f ca="1">D822*Reference!$D$7*(1-IF(MONTH($A822)=Reference!$D$6,1,0)*Reference!$D$12)</f>
        <v>354750</v>
      </c>
      <c r="M822" s="20"/>
      <c r="N822" s="20"/>
      <c r="O822" s="19"/>
      <c r="P822" s="10"/>
      <c r="Q822" s="10"/>
      <c r="R822" s="10"/>
      <c r="S822" s="10"/>
      <c r="T822" s="10"/>
      <c r="U822" s="10"/>
      <c r="V822" s="10"/>
      <c r="W822" s="10"/>
      <c r="X822" s="10"/>
      <c r="Y822" s="10"/>
    </row>
    <row r="823" spans="1:25" x14ac:dyDescent="0.25">
      <c r="A823" s="9">
        <v>41361</v>
      </c>
      <c r="B823" s="10">
        <f ca="1">ROUND(_xlfn.NORM.INV(RAND(),Reference!$C$8,0.1*Reference!$C$8)*(1+Reference!$C$11*(IF(MONTH($A823)=Reference!$C$4,1,0)+IF(MONTH($A823)=Reference!$C$5,1,0))+(IF(MONTH($A823)=Reference!$C$6,Reference!$C$13,0))),0)</f>
        <v>393</v>
      </c>
      <c r="C823" s="11">
        <f ca="1">B823*Reference!$C$7*(1-IF(MONTH($A823)=Reference!$C$6,1,0)*Reference!$C$12)</f>
        <v>365490</v>
      </c>
      <c r="D823" s="10">
        <f ca="1">ROUND(_xlfn.NORM.INV(RAND(),Reference!$D$8,0.1*Reference!$D$8)*(1+Reference!$D$11*(IF(MONTH($A823)=Reference!$D$4,1,0)+IF(MONTH($A823)=Reference!$D$5,1,0))+(IF(MONTH($A823)=Reference!$D$6,Reference!$D$13,0))),0)</f>
        <v>480</v>
      </c>
      <c r="E823" s="11">
        <f ca="1">D823*Reference!$D$7*(1-IF(MONTH($A823)=Reference!$D$6,1,0)*Reference!$D$12)</f>
        <v>360000</v>
      </c>
      <c r="M823" s="20"/>
      <c r="N823" s="20"/>
      <c r="O823" s="19"/>
      <c r="P823" s="10"/>
      <c r="Q823" s="10"/>
      <c r="R823" s="10"/>
      <c r="S823" s="10"/>
      <c r="T823" s="10"/>
      <c r="U823" s="10"/>
      <c r="V823" s="10"/>
      <c r="W823" s="10"/>
      <c r="X823" s="10"/>
      <c r="Y823" s="10"/>
    </row>
    <row r="824" spans="1:25" x14ac:dyDescent="0.25">
      <c r="A824" s="9">
        <v>41362</v>
      </c>
      <c r="B824" s="10">
        <f ca="1">ROUND(_xlfn.NORM.INV(RAND(),Reference!$C$8,0.1*Reference!$C$8)*(1+Reference!$C$11*(IF(MONTH($A824)=Reference!$C$4,1,0)+IF(MONTH($A824)=Reference!$C$5,1,0))+(IF(MONTH($A824)=Reference!$C$6,Reference!$C$13,0))),0)</f>
        <v>398</v>
      </c>
      <c r="C824" s="11">
        <f ca="1">B824*Reference!$C$7*(1-IF(MONTH($A824)=Reference!$C$6,1,0)*Reference!$C$12)</f>
        <v>370140</v>
      </c>
      <c r="D824" s="10">
        <f ca="1">ROUND(_xlfn.NORM.INV(RAND(),Reference!$D$8,0.1*Reference!$D$8)*(1+Reference!$D$11*(IF(MONTH($A824)=Reference!$D$4,1,0)+IF(MONTH($A824)=Reference!$D$5,1,0))+(IF(MONTH($A824)=Reference!$D$6,Reference!$D$13,0))),0)</f>
        <v>491</v>
      </c>
      <c r="E824" s="11">
        <f ca="1">D824*Reference!$D$7*(1-IF(MONTH($A824)=Reference!$D$6,1,0)*Reference!$D$12)</f>
        <v>368250</v>
      </c>
      <c r="M824" s="20"/>
      <c r="N824" s="20"/>
      <c r="O824" s="19"/>
      <c r="P824" s="10"/>
      <c r="Q824" s="10"/>
      <c r="R824" s="10"/>
      <c r="S824" s="10"/>
      <c r="T824" s="10"/>
      <c r="U824" s="10"/>
      <c r="V824" s="10"/>
      <c r="W824" s="10"/>
      <c r="X824" s="10"/>
      <c r="Y824" s="10"/>
    </row>
    <row r="825" spans="1:25" x14ac:dyDescent="0.25">
      <c r="A825" s="9">
        <v>41363</v>
      </c>
      <c r="B825" s="10">
        <f ca="1">ROUND(_xlfn.NORM.INV(RAND(),Reference!$C$8,0.1*Reference!$C$8)*(1+Reference!$C$11*(IF(MONTH($A825)=Reference!$C$4,1,0)+IF(MONTH($A825)=Reference!$C$5,1,0))+(IF(MONTH($A825)=Reference!$C$6,Reference!$C$13,0))),0)</f>
        <v>320</v>
      </c>
      <c r="C825" s="11">
        <f ca="1">B825*Reference!$C$7*(1-IF(MONTH($A825)=Reference!$C$6,1,0)*Reference!$C$12)</f>
        <v>297600</v>
      </c>
      <c r="D825" s="10">
        <f ca="1">ROUND(_xlfn.NORM.INV(RAND(),Reference!$D$8,0.1*Reference!$D$8)*(1+Reference!$D$11*(IF(MONTH($A825)=Reference!$D$4,1,0)+IF(MONTH($A825)=Reference!$D$5,1,0))+(IF(MONTH($A825)=Reference!$D$6,Reference!$D$13,0))),0)</f>
        <v>498</v>
      </c>
      <c r="E825" s="11">
        <f ca="1">D825*Reference!$D$7*(1-IF(MONTH($A825)=Reference!$D$6,1,0)*Reference!$D$12)</f>
        <v>373500</v>
      </c>
      <c r="M825" s="20"/>
      <c r="N825" s="20"/>
      <c r="O825" s="19"/>
      <c r="P825" s="10"/>
      <c r="Q825" s="10"/>
      <c r="R825" s="10"/>
      <c r="S825" s="10"/>
      <c r="T825" s="10"/>
      <c r="U825" s="10"/>
      <c r="V825" s="10"/>
      <c r="W825" s="10"/>
      <c r="X825" s="10"/>
      <c r="Y825" s="10"/>
    </row>
    <row r="826" spans="1:25" x14ac:dyDescent="0.25">
      <c r="A826" s="9">
        <v>41364</v>
      </c>
      <c r="B826" s="10">
        <f ca="1">ROUND(_xlfn.NORM.INV(RAND(),Reference!$C$8,0.1*Reference!$C$8)*(1+Reference!$C$11*(IF(MONTH($A826)=Reference!$C$4,1,0)+IF(MONTH($A826)=Reference!$C$5,1,0))+(IF(MONTH($A826)=Reference!$C$6,Reference!$C$13,0))),0)</f>
        <v>402</v>
      </c>
      <c r="C826" s="11">
        <f ca="1">B826*Reference!$C$7*(1-IF(MONTH($A826)=Reference!$C$6,1,0)*Reference!$C$12)</f>
        <v>373860</v>
      </c>
      <c r="D826" s="10">
        <f ca="1">ROUND(_xlfn.NORM.INV(RAND(),Reference!$D$8,0.1*Reference!$D$8)*(1+Reference!$D$11*(IF(MONTH($A826)=Reference!$D$4,1,0)+IF(MONTH($A826)=Reference!$D$5,1,0))+(IF(MONTH($A826)=Reference!$D$6,Reference!$D$13,0))),0)</f>
        <v>519</v>
      </c>
      <c r="E826" s="11">
        <f ca="1">D826*Reference!$D$7*(1-IF(MONTH($A826)=Reference!$D$6,1,0)*Reference!$D$12)</f>
        <v>389250</v>
      </c>
      <c r="M826" s="20"/>
      <c r="N826" s="20"/>
      <c r="O826" s="19"/>
      <c r="P826" s="10"/>
      <c r="Q826" s="10"/>
      <c r="R826" s="10"/>
      <c r="S826" s="10"/>
      <c r="T826" s="10"/>
      <c r="U826" s="10"/>
      <c r="V826" s="10"/>
      <c r="W826" s="10"/>
      <c r="X826" s="10"/>
      <c r="Y826" s="10"/>
    </row>
    <row r="827" spans="1:25" x14ac:dyDescent="0.25">
      <c r="A827" s="9">
        <v>41365</v>
      </c>
      <c r="B827" s="10">
        <f ca="1">ROUND(_xlfn.NORM.INV(RAND(),Reference!$C$8,0.1*Reference!$C$8)*(1+Reference!$C$11*(IF(MONTH($A827)=Reference!$C$4,1,0)+IF(MONTH($A827)=Reference!$C$5,1,0))+(IF(MONTH($A827)=Reference!$C$6,Reference!$C$13,0))),0)</f>
        <v>560</v>
      </c>
      <c r="C827" s="11">
        <f ca="1">B827*Reference!$C$7*(1-IF(MONTH($A827)=Reference!$C$6,1,0)*Reference!$C$12)</f>
        <v>520800</v>
      </c>
      <c r="D827" s="10">
        <f ca="1">ROUND(_xlfn.NORM.INV(RAND(),Reference!$D$8,0.1*Reference!$D$8)*(1+Reference!$D$11*(IF(MONTH($A827)=Reference!$D$4,1,0)+IF(MONTH($A827)=Reference!$D$5,1,0))+(IF(MONTH($A827)=Reference!$D$6,Reference!$D$13,0))),0)</f>
        <v>426</v>
      </c>
      <c r="E827" s="11">
        <f ca="1">D827*Reference!$D$7*(1-IF(MONTH($A827)=Reference!$D$6,1,0)*Reference!$D$12)</f>
        <v>319500</v>
      </c>
      <c r="M827" s="20"/>
      <c r="N827" s="20"/>
      <c r="O827" s="19"/>
      <c r="P827" s="10"/>
      <c r="Q827" s="10"/>
      <c r="R827" s="10"/>
      <c r="S827" s="10"/>
      <c r="T827" s="10"/>
      <c r="U827" s="10"/>
      <c r="V827" s="10"/>
      <c r="W827" s="10"/>
      <c r="X827" s="10"/>
      <c r="Y827" s="10"/>
    </row>
    <row r="828" spans="1:25" x14ac:dyDescent="0.25">
      <c r="A828" s="9">
        <v>41366</v>
      </c>
      <c r="B828" s="10">
        <f ca="1">ROUND(_xlfn.NORM.INV(RAND(),Reference!$C$8,0.1*Reference!$C$8)*(1+Reference!$C$11*(IF(MONTH($A828)=Reference!$C$4,1,0)+IF(MONTH($A828)=Reference!$C$5,1,0))+(IF(MONTH($A828)=Reference!$C$6,Reference!$C$13,0))),0)</f>
        <v>579</v>
      </c>
      <c r="C828" s="11">
        <f ca="1">B828*Reference!$C$7*(1-IF(MONTH($A828)=Reference!$C$6,1,0)*Reference!$C$12)</f>
        <v>538470</v>
      </c>
      <c r="D828" s="10">
        <f ca="1">ROUND(_xlfn.NORM.INV(RAND(),Reference!$D$8,0.1*Reference!$D$8)*(1+Reference!$D$11*(IF(MONTH($A828)=Reference!$D$4,1,0)+IF(MONTH($A828)=Reference!$D$5,1,0))+(IF(MONTH($A828)=Reference!$D$6,Reference!$D$13,0))),0)</f>
        <v>417</v>
      </c>
      <c r="E828" s="11">
        <f ca="1">D828*Reference!$D$7*(1-IF(MONTH($A828)=Reference!$D$6,1,0)*Reference!$D$12)</f>
        <v>312750</v>
      </c>
      <c r="M828" s="20"/>
      <c r="N828" s="20"/>
      <c r="O828" s="19"/>
      <c r="P828" s="10"/>
      <c r="Q828" s="10"/>
      <c r="R828" s="10"/>
      <c r="S828" s="10"/>
      <c r="T828" s="10"/>
      <c r="U828" s="10"/>
      <c r="V828" s="10"/>
      <c r="W828" s="10"/>
      <c r="X828" s="10"/>
      <c r="Y828" s="10"/>
    </row>
    <row r="829" spans="1:25" x14ac:dyDescent="0.25">
      <c r="A829" s="9">
        <v>41367</v>
      </c>
      <c r="B829" s="10">
        <f ca="1">ROUND(_xlfn.NORM.INV(RAND(),Reference!$C$8,0.1*Reference!$C$8)*(1+Reference!$C$11*(IF(MONTH($A829)=Reference!$C$4,1,0)+IF(MONTH($A829)=Reference!$C$5,1,0))+(IF(MONTH($A829)=Reference!$C$6,Reference!$C$13,0))),0)</f>
        <v>584</v>
      </c>
      <c r="C829" s="11">
        <f ca="1">B829*Reference!$C$7*(1-IF(MONTH($A829)=Reference!$C$6,1,0)*Reference!$C$12)</f>
        <v>543120</v>
      </c>
      <c r="D829" s="10">
        <f ca="1">ROUND(_xlfn.NORM.INV(RAND(),Reference!$D$8,0.1*Reference!$D$8)*(1+Reference!$D$11*(IF(MONTH($A829)=Reference!$D$4,1,0)+IF(MONTH($A829)=Reference!$D$5,1,0))+(IF(MONTH($A829)=Reference!$D$6,Reference!$D$13,0))),0)</f>
        <v>415</v>
      </c>
      <c r="E829" s="11">
        <f ca="1">D829*Reference!$D$7*(1-IF(MONTH($A829)=Reference!$D$6,1,0)*Reference!$D$12)</f>
        <v>311250</v>
      </c>
      <c r="M829" s="20"/>
      <c r="N829" s="20"/>
      <c r="O829" s="19"/>
      <c r="P829" s="10"/>
      <c r="Q829" s="10"/>
      <c r="R829" s="10"/>
      <c r="S829" s="10"/>
      <c r="T829" s="10"/>
      <c r="U829" s="10"/>
      <c r="V829" s="10"/>
      <c r="W829" s="10"/>
      <c r="X829" s="10"/>
      <c r="Y829" s="10"/>
    </row>
    <row r="830" spans="1:25" x14ac:dyDescent="0.25">
      <c r="A830" s="9">
        <v>41368</v>
      </c>
      <c r="B830" s="10">
        <f ca="1">ROUND(_xlfn.NORM.INV(RAND(),Reference!$C$8,0.1*Reference!$C$8)*(1+Reference!$C$11*(IF(MONTH($A830)=Reference!$C$4,1,0)+IF(MONTH($A830)=Reference!$C$5,1,0))+(IF(MONTH($A830)=Reference!$C$6,Reference!$C$13,0))),0)</f>
        <v>610</v>
      </c>
      <c r="C830" s="11">
        <f ca="1">B830*Reference!$C$7*(1-IF(MONTH($A830)=Reference!$C$6,1,0)*Reference!$C$12)</f>
        <v>567300</v>
      </c>
      <c r="D830" s="10">
        <f ca="1">ROUND(_xlfn.NORM.INV(RAND(),Reference!$D$8,0.1*Reference!$D$8)*(1+Reference!$D$11*(IF(MONTH($A830)=Reference!$D$4,1,0)+IF(MONTH($A830)=Reference!$D$5,1,0))+(IF(MONTH($A830)=Reference!$D$6,Reference!$D$13,0))),0)</f>
        <v>439</v>
      </c>
      <c r="E830" s="11">
        <f ca="1">D830*Reference!$D$7*(1-IF(MONTH($A830)=Reference!$D$6,1,0)*Reference!$D$12)</f>
        <v>329250</v>
      </c>
      <c r="M830" s="20"/>
      <c r="N830" s="20"/>
      <c r="O830" s="19"/>
      <c r="P830" s="10"/>
      <c r="Q830" s="10"/>
      <c r="R830" s="10"/>
      <c r="S830" s="10"/>
      <c r="T830" s="10"/>
      <c r="U830" s="10"/>
      <c r="V830" s="10"/>
      <c r="W830" s="10"/>
      <c r="X830" s="10"/>
      <c r="Y830" s="10"/>
    </row>
    <row r="831" spans="1:25" x14ac:dyDescent="0.25">
      <c r="A831" s="9">
        <v>41369</v>
      </c>
      <c r="B831" s="10">
        <f ca="1">ROUND(_xlfn.NORM.INV(RAND(),Reference!$C$8,0.1*Reference!$C$8)*(1+Reference!$C$11*(IF(MONTH($A831)=Reference!$C$4,1,0)+IF(MONTH($A831)=Reference!$C$5,1,0))+(IF(MONTH($A831)=Reference!$C$6,Reference!$C$13,0))),0)</f>
        <v>574</v>
      </c>
      <c r="C831" s="11">
        <f ca="1">B831*Reference!$C$7*(1-IF(MONTH($A831)=Reference!$C$6,1,0)*Reference!$C$12)</f>
        <v>533820</v>
      </c>
      <c r="D831" s="10">
        <f ca="1">ROUND(_xlfn.NORM.INV(RAND(),Reference!$D$8,0.1*Reference!$D$8)*(1+Reference!$D$11*(IF(MONTH($A831)=Reference!$D$4,1,0)+IF(MONTH($A831)=Reference!$D$5,1,0))+(IF(MONTH($A831)=Reference!$D$6,Reference!$D$13,0))),0)</f>
        <v>414</v>
      </c>
      <c r="E831" s="11">
        <f ca="1">D831*Reference!$D$7*(1-IF(MONTH($A831)=Reference!$D$6,1,0)*Reference!$D$12)</f>
        <v>310500</v>
      </c>
      <c r="M831" s="20"/>
      <c r="N831" s="20"/>
      <c r="O831" s="19"/>
      <c r="P831" s="10"/>
      <c r="Q831" s="10"/>
      <c r="R831" s="10"/>
      <c r="S831" s="10"/>
      <c r="T831" s="10"/>
      <c r="U831" s="10"/>
      <c r="V831" s="10"/>
      <c r="W831" s="10"/>
      <c r="X831" s="10"/>
      <c r="Y831" s="10"/>
    </row>
    <row r="832" spans="1:25" x14ac:dyDescent="0.25">
      <c r="A832" s="9">
        <v>41370</v>
      </c>
      <c r="B832" s="10">
        <f ca="1">ROUND(_xlfn.NORM.INV(RAND(),Reference!$C$8,0.1*Reference!$C$8)*(1+Reference!$C$11*(IF(MONTH($A832)=Reference!$C$4,1,0)+IF(MONTH($A832)=Reference!$C$5,1,0))+(IF(MONTH($A832)=Reference!$C$6,Reference!$C$13,0))),0)</f>
        <v>526</v>
      </c>
      <c r="C832" s="11">
        <f ca="1">B832*Reference!$C$7*(1-IF(MONTH($A832)=Reference!$C$6,1,0)*Reference!$C$12)</f>
        <v>489180</v>
      </c>
      <c r="D832" s="10">
        <f ca="1">ROUND(_xlfn.NORM.INV(RAND(),Reference!$D$8,0.1*Reference!$D$8)*(1+Reference!$D$11*(IF(MONTH($A832)=Reference!$D$4,1,0)+IF(MONTH($A832)=Reference!$D$5,1,0))+(IF(MONTH($A832)=Reference!$D$6,Reference!$D$13,0))),0)</f>
        <v>478</v>
      </c>
      <c r="E832" s="11">
        <f ca="1">D832*Reference!$D$7*(1-IF(MONTH($A832)=Reference!$D$6,1,0)*Reference!$D$12)</f>
        <v>358500</v>
      </c>
      <c r="M832" s="20"/>
      <c r="N832" s="20"/>
      <c r="O832" s="19"/>
      <c r="P832" s="10"/>
      <c r="Q832" s="10"/>
      <c r="R832" s="10"/>
      <c r="S832" s="10"/>
      <c r="T832" s="10"/>
      <c r="U832" s="10"/>
      <c r="V832" s="10"/>
      <c r="W832" s="10"/>
      <c r="X832" s="10"/>
      <c r="Y832" s="10"/>
    </row>
    <row r="833" spans="1:25" x14ac:dyDescent="0.25">
      <c r="A833" s="9">
        <v>41371</v>
      </c>
      <c r="B833" s="10">
        <f ca="1">ROUND(_xlfn.NORM.INV(RAND(),Reference!$C$8,0.1*Reference!$C$8)*(1+Reference!$C$11*(IF(MONTH($A833)=Reference!$C$4,1,0)+IF(MONTH($A833)=Reference!$C$5,1,0))+(IF(MONTH($A833)=Reference!$C$6,Reference!$C$13,0))),0)</f>
        <v>511</v>
      </c>
      <c r="C833" s="11">
        <f ca="1">B833*Reference!$C$7*(1-IF(MONTH($A833)=Reference!$C$6,1,0)*Reference!$C$12)</f>
        <v>475230</v>
      </c>
      <c r="D833" s="10">
        <f ca="1">ROUND(_xlfn.NORM.INV(RAND(),Reference!$D$8,0.1*Reference!$D$8)*(1+Reference!$D$11*(IF(MONTH($A833)=Reference!$D$4,1,0)+IF(MONTH($A833)=Reference!$D$5,1,0))+(IF(MONTH($A833)=Reference!$D$6,Reference!$D$13,0))),0)</f>
        <v>495</v>
      </c>
      <c r="E833" s="11">
        <f ca="1">D833*Reference!$D$7*(1-IF(MONTH($A833)=Reference!$D$6,1,0)*Reference!$D$12)</f>
        <v>371250</v>
      </c>
      <c r="M833" s="20"/>
      <c r="N833" s="20"/>
      <c r="O833" s="19"/>
      <c r="P833" s="10"/>
      <c r="Q833" s="10"/>
      <c r="R833" s="10"/>
      <c r="S833" s="10"/>
      <c r="T833" s="10"/>
      <c r="U833" s="10"/>
      <c r="V833" s="10"/>
      <c r="W833" s="10"/>
      <c r="X833" s="10"/>
      <c r="Y833" s="10"/>
    </row>
    <row r="834" spans="1:25" x14ac:dyDescent="0.25">
      <c r="A834" s="9">
        <v>41372</v>
      </c>
      <c r="B834" s="10">
        <f ca="1">ROUND(_xlfn.NORM.INV(RAND(),Reference!$C$8,0.1*Reference!$C$8)*(1+Reference!$C$11*(IF(MONTH($A834)=Reference!$C$4,1,0)+IF(MONTH($A834)=Reference!$C$5,1,0))+(IF(MONTH($A834)=Reference!$C$6,Reference!$C$13,0))),0)</f>
        <v>541</v>
      </c>
      <c r="C834" s="11">
        <f ca="1">B834*Reference!$C$7*(1-IF(MONTH($A834)=Reference!$C$6,1,0)*Reference!$C$12)</f>
        <v>503130</v>
      </c>
      <c r="D834" s="10">
        <f ca="1">ROUND(_xlfn.NORM.INV(RAND(),Reference!$D$8,0.1*Reference!$D$8)*(1+Reference!$D$11*(IF(MONTH($A834)=Reference!$D$4,1,0)+IF(MONTH($A834)=Reference!$D$5,1,0))+(IF(MONTH($A834)=Reference!$D$6,Reference!$D$13,0))),0)</f>
        <v>378</v>
      </c>
      <c r="E834" s="11">
        <f ca="1">D834*Reference!$D$7*(1-IF(MONTH($A834)=Reference!$D$6,1,0)*Reference!$D$12)</f>
        <v>283500</v>
      </c>
      <c r="M834" s="20"/>
      <c r="N834" s="20"/>
      <c r="O834" s="19"/>
      <c r="P834" s="10"/>
      <c r="Q834" s="10"/>
      <c r="R834" s="10"/>
      <c r="S834" s="10"/>
      <c r="T834" s="10"/>
      <c r="U834" s="10"/>
      <c r="V834" s="10"/>
      <c r="W834" s="10"/>
      <c r="X834" s="10"/>
      <c r="Y834" s="10"/>
    </row>
    <row r="835" spans="1:25" x14ac:dyDescent="0.25">
      <c r="A835" s="9">
        <v>41373</v>
      </c>
      <c r="B835" s="10">
        <f ca="1">ROUND(_xlfn.NORM.INV(RAND(),Reference!$C$8,0.1*Reference!$C$8)*(1+Reference!$C$11*(IF(MONTH($A835)=Reference!$C$4,1,0)+IF(MONTH($A835)=Reference!$C$5,1,0))+(IF(MONTH($A835)=Reference!$C$6,Reference!$C$13,0))),0)</f>
        <v>497</v>
      </c>
      <c r="C835" s="11">
        <f ca="1">B835*Reference!$C$7*(1-IF(MONTH($A835)=Reference!$C$6,1,0)*Reference!$C$12)</f>
        <v>462210</v>
      </c>
      <c r="D835" s="10">
        <f ca="1">ROUND(_xlfn.NORM.INV(RAND(),Reference!$D$8,0.1*Reference!$D$8)*(1+Reference!$D$11*(IF(MONTH($A835)=Reference!$D$4,1,0)+IF(MONTH($A835)=Reference!$D$5,1,0))+(IF(MONTH($A835)=Reference!$D$6,Reference!$D$13,0))),0)</f>
        <v>522</v>
      </c>
      <c r="E835" s="11">
        <f ca="1">D835*Reference!$D$7*(1-IF(MONTH($A835)=Reference!$D$6,1,0)*Reference!$D$12)</f>
        <v>391500</v>
      </c>
      <c r="M835" s="20"/>
      <c r="N835" s="20"/>
      <c r="O835" s="19"/>
      <c r="P835" s="10"/>
      <c r="Q835" s="10"/>
      <c r="R835" s="10"/>
      <c r="S835" s="10"/>
      <c r="T835" s="10"/>
      <c r="U835" s="10"/>
      <c r="V835" s="10"/>
      <c r="W835" s="10"/>
      <c r="X835" s="10"/>
      <c r="Y835" s="10"/>
    </row>
    <row r="836" spans="1:25" x14ac:dyDescent="0.25">
      <c r="A836" s="9">
        <v>41374</v>
      </c>
      <c r="B836" s="10">
        <f ca="1">ROUND(_xlfn.NORM.INV(RAND(),Reference!$C$8,0.1*Reference!$C$8)*(1+Reference!$C$11*(IF(MONTH($A836)=Reference!$C$4,1,0)+IF(MONTH($A836)=Reference!$C$5,1,0))+(IF(MONTH($A836)=Reference!$C$6,Reference!$C$13,0))),0)</f>
        <v>589</v>
      </c>
      <c r="C836" s="11">
        <f ca="1">B836*Reference!$C$7*(1-IF(MONTH($A836)=Reference!$C$6,1,0)*Reference!$C$12)</f>
        <v>547770</v>
      </c>
      <c r="D836" s="10">
        <f ca="1">ROUND(_xlfn.NORM.INV(RAND(),Reference!$D$8,0.1*Reference!$D$8)*(1+Reference!$D$11*(IF(MONTH($A836)=Reference!$D$4,1,0)+IF(MONTH($A836)=Reference!$D$5,1,0))+(IF(MONTH($A836)=Reference!$D$6,Reference!$D$13,0))),0)</f>
        <v>464</v>
      </c>
      <c r="E836" s="11">
        <f ca="1">D836*Reference!$D$7*(1-IF(MONTH($A836)=Reference!$D$6,1,0)*Reference!$D$12)</f>
        <v>348000</v>
      </c>
      <c r="M836" s="20"/>
      <c r="N836" s="20"/>
      <c r="O836" s="19"/>
      <c r="P836" s="10"/>
      <c r="Q836" s="10"/>
      <c r="R836" s="10"/>
      <c r="S836" s="10"/>
      <c r="T836" s="10"/>
      <c r="U836" s="10"/>
      <c r="V836" s="10"/>
      <c r="W836" s="10"/>
      <c r="X836" s="10"/>
      <c r="Y836" s="10"/>
    </row>
    <row r="837" spans="1:25" x14ac:dyDescent="0.25">
      <c r="A837" s="9">
        <v>41375</v>
      </c>
      <c r="B837" s="10">
        <f ca="1">ROUND(_xlfn.NORM.INV(RAND(),Reference!$C$8,0.1*Reference!$C$8)*(1+Reference!$C$11*(IF(MONTH($A837)=Reference!$C$4,1,0)+IF(MONTH($A837)=Reference!$C$5,1,0))+(IF(MONTH($A837)=Reference!$C$6,Reference!$C$13,0))),0)</f>
        <v>513</v>
      </c>
      <c r="C837" s="11">
        <f ca="1">B837*Reference!$C$7*(1-IF(MONTH($A837)=Reference!$C$6,1,0)*Reference!$C$12)</f>
        <v>477090</v>
      </c>
      <c r="D837" s="10">
        <f ca="1">ROUND(_xlfn.NORM.INV(RAND(),Reference!$D$8,0.1*Reference!$D$8)*(1+Reference!$D$11*(IF(MONTH($A837)=Reference!$D$4,1,0)+IF(MONTH($A837)=Reference!$D$5,1,0))+(IF(MONTH($A837)=Reference!$D$6,Reference!$D$13,0))),0)</f>
        <v>456</v>
      </c>
      <c r="E837" s="11">
        <f ca="1">D837*Reference!$D$7*(1-IF(MONTH($A837)=Reference!$D$6,1,0)*Reference!$D$12)</f>
        <v>342000</v>
      </c>
      <c r="M837" s="20"/>
      <c r="N837" s="20"/>
      <c r="O837" s="19"/>
      <c r="P837" s="10"/>
      <c r="Q837" s="10"/>
      <c r="R837" s="10"/>
      <c r="S837" s="10"/>
      <c r="T837" s="10"/>
      <c r="U837" s="10"/>
      <c r="V837" s="10"/>
      <c r="W837" s="10"/>
      <c r="X837" s="10"/>
      <c r="Y837" s="10"/>
    </row>
    <row r="838" spans="1:25" x14ac:dyDescent="0.25">
      <c r="A838" s="9">
        <v>41376</v>
      </c>
      <c r="B838" s="10">
        <f ca="1">ROUND(_xlfn.NORM.INV(RAND(),Reference!$C$8,0.1*Reference!$C$8)*(1+Reference!$C$11*(IF(MONTH($A838)=Reference!$C$4,1,0)+IF(MONTH($A838)=Reference!$C$5,1,0))+(IF(MONTH($A838)=Reference!$C$6,Reference!$C$13,0))),0)</f>
        <v>455</v>
      </c>
      <c r="C838" s="11">
        <f ca="1">B838*Reference!$C$7*(1-IF(MONTH($A838)=Reference!$C$6,1,0)*Reference!$C$12)</f>
        <v>423150</v>
      </c>
      <c r="D838" s="10">
        <f ca="1">ROUND(_xlfn.NORM.INV(RAND(),Reference!$D$8,0.1*Reference!$D$8)*(1+Reference!$D$11*(IF(MONTH($A838)=Reference!$D$4,1,0)+IF(MONTH($A838)=Reference!$D$5,1,0))+(IF(MONTH($A838)=Reference!$D$6,Reference!$D$13,0))),0)</f>
        <v>476</v>
      </c>
      <c r="E838" s="11">
        <f ca="1">D838*Reference!$D$7*(1-IF(MONTH($A838)=Reference!$D$6,1,0)*Reference!$D$12)</f>
        <v>357000</v>
      </c>
      <c r="M838" s="20"/>
      <c r="N838" s="20"/>
      <c r="O838" s="19"/>
      <c r="P838" s="10"/>
      <c r="Q838" s="10"/>
      <c r="R838" s="10"/>
      <c r="S838" s="10"/>
      <c r="T838" s="10"/>
      <c r="U838" s="10"/>
      <c r="V838" s="10"/>
      <c r="W838" s="10"/>
      <c r="X838" s="10"/>
      <c r="Y838" s="10"/>
    </row>
    <row r="839" spans="1:25" x14ac:dyDescent="0.25">
      <c r="A839" s="9">
        <v>41377</v>
      </c>
      <c r="B839" s="10">
        <f ca="1">ROUND(_xlfn.NORM.INV(RAND(),Reference!$C$8,0.1*Reference!$C$8)*(1+Reference!$C$11*(IF(MONTH($A839)=Reference!$C$4,1,0)+IF(MONTH($A839)=Reference!$C$5,1,0))+(IF(MONTH($A839)=Reference!$C$6,Reference!$C$13,0))),0)</f>
        <v>464</v>
      </c>
      <c r="C839" s="11">
        <f ca="1">B839*Reference!$C$7*(1-IF(MONTH($A839)=Reference!$C$6,1,0)*Reference!$C$12)</f>
        <v>431520</v>
      </c>
      <c r="D839" s="10">
        <f ca="1">ROUND(_xlfn.NORM.INV(RAND(),Reference!$D$8,0.1*Reference!$D$8)*(1+Reference!$D$11*(IF(MONTH($A839)=Reference!$D$4,1,0)+IF(MONTH($A839)=Reference!$D$5,1,0))+(IF(MONTH($A839)=Reference!$D$6,Reference!$D$13,0))),0)</f>
        <v>470</v>
      </c>
      <c r="E839" s="11">
        <f ca="1">D839*Reference!$D$7*(1-IF(MONTH($A839)=Reference!$D$6,1,0)*Reference!$D$12)</f>
        <v>352500</v>
      </c>
      <c r="M839" s="20"/>
      <c r="N839" s="20"/>
      <c r="O839" s="19"/>
      <c r="P839" s="10"/>
      <c r="Q839" s="10"/>
      <c r="R839" s="10"/>
      <c r="S839" s="10"/>
      <c r="T839" s="10"/>
      <c r="U839" s="10"/>
      <c r="V839" s="10"/>
      <c r="W839" s="10"/>
      <c r="X839" s="10"/>
      <c r="Y839" s="10"/>
    </row>
    <row r="840" spans="1:25" x14ac:dyDescent="0.25">
      <c r="A840" s="9">
        <v>41378</v>
      </c>
      <c r="B840" s="10">
        <f ca="1">ROUND(_xlfn.NORM.INV(RAND(),Reference!$C$8,0.1*Reference!$C$8)*(1+Reference!$C$11*(IF(MONTH($A840)=Reference!$C$4,1,0)+IF(MONTH($A840)=Reference!$C$5,1,0))+(IF(MONTH($A840)=Reference!$C$6,Reference!$C$13,0))),0)</f>
        <v>504</v>
      </c>
      <c r="C840" s="11">
        <f ca="1">B840*Reference!$C$7*(1-IF(MONTH($A840)=Reference!$C$6,1,0)*Reference!$C$12)</f>
        <v>468720</v>
      </c>
      <c r="D840" s="10">
        <f ca="1">ROUND(_xlfn.NORM.INV(RAND(),Reference!$D$8,0.1*Reference!$D$8)*(1+Reference!$D$11*(IF(MONTH($A840)=Reference!$D$4,1,0)+IF(MONTH($A840)=Reference!$D$5,1,0))+(IF(MONTH($A840)=Reference!$D$6,Reference!$D$13,0))),0)</f>
        <v>429</v>
      </c>
      <c r="E840" s="11">
        <f ca="1">D840*Reference!$D$7*(1-IF(MONTH($A840)=Reference!$D$6,1,0)*Reference!$D$12)</f>
        <v>321750</v>
      </c>
      <c r="M840" s="20"/>
      <c r="N840" s="20"/>
      <c r="O840" s="19"/>
      <c r="P840" s="10"/>
      <c r="Q840" s="10"/>
      <c r="R840" s="10"/>
      <c r="S840" s="10"/>
      <c r="T840" s="10"/>
      <c r="U840" s="10"/>
      <c r="V840" s="10"/>
      <c r="W840" s="10"/>
      <c r="X840" s="10"/>
      <c r="Y840" s="10"/>
    </row>
    <row r="841" spans="1:25" x14ac:dyDescent="0.25">
      <c r="A841" s="9">
        <v>41379</v>
      </c>
      <c r="B841" s="10">
        <f ca="1">ROUND(_xlfn.NORM.INV(RAND(),Reference!$C$8,0.1*Reference!$C$8)*(1+Reference!$C$11*(IF(MONTH($A841)=Reference!$C$4,1,0)+IF(MONTH($A841)=Reference!$C$5,1,0))+(IF(MONTH($A841)=Reference!$C$6,Reference!$C$13,0))),0)</f>
        <v>616</v>
      </c>
      <c r="C841" s="11">
        <f ca="1">B841*Reference!$C$7*(1-IF(MONTH($A841)=Reference!$C$6,1,0)*Reference!$C$12)</f>
        <v>572880</v>
      </c>
      <c r="D841" s="10">
        <f ca="1">ROUND(_xlfn.NORM.INV(RAND(),Reference!$D$8,0.1*Reference!$D$8)*(1+Reference!$D$11*(IF(MONTH($A841)=Reference!$D$4,1,0)+IF(MONTH($A841)=Reference!$D$5,1,0))+(IF(MONTH($A841)=Reference!$D$6,Reference!$D$13,0))),0)</f>
        <v>339</v>
      </c>
      <c r="E841" s="11">
        <f ca="1">D841*Reference!$D$7*(1-IF(MONTH($A841)=Reference!$D$6,1,0)*Reference!$D$12)</f>
        <v>254250</v>
      </c>
      <c r="M841" s="20"/>
      <c r="N841" s="20"/>
      <c r="O841" s="19"/>
      <c r="P841" s="10"/>
      <c r="Q841" s="10"/>
      <c r="R841" s="10"/>
      <c r="S841" s="10"/>
      <c r="T841" s="10"/>
      <c r="U841" s="10"/>
      <c r="V841" s="10"/>
      <c r="W841" s="10"/>
      <c r="X841" s="10"/>
      <c r="Y841" s="10"/>
    </row>
    <row r="842" spans="1:25" x14ac:dyDescent="0.25">
      <c r="A842" s="9">
        <v>41380</v>
      </c>
      <c r="B842" s="10">
        <f ca="1">ROUND(_xlfn.NORM.INV(RAND(),Reference!$C$8,0.1*Reference!$C$8)*(1+Reference!$C$11*(IF(MONTH($A842)=Reference!$C$4,1,0)+IF(MONTH($A842)=Reference!$C$5,1,0))+(IF(MONTH($A842)=Reference!$C$6,Reference!$C$13,0))),0)</f>
        <v>570</v>
      </c>
      <c r="C842" s="11">
        <f ca="1">B842*Reference!$C$7*(1-IF(MONTH($A842)=Reference!$C$6,1,0)*Reference!$C$12)</f>
        <v>530100</v>
      </c>
      <c r="D842" s="10">
        <f ca="1">ROUND(_xlfn.NORM.INV(RAND(),Reference!$D$8,0.1*Reference!$D$8)*(1+Reference!$D$11*(IF(MONTH($A842)=Reference!$D$4,1,0)+IF(MONTH($A842)=Reference!$D$5,1,0))+(IF(MONTH($A842)=Reference!$D$6,Reference!$D$13,0))),0)</f>
        <v>543</v>
      </c>
      <c r="E842" s="11">
        <f ca="1">D842*Reference!$D$7*(1-IF(MONTH($A842)=Reference!$D$6,1,0)*Reference!$D$12)</f>
        <v>407250</v>
      </c>
      <c r="M842" s="20"/>
      <c r="N842" s="20"/>
      <c r="O842" s="19"/>
      <c r="P842" s="10"/>
      <c r="Q842" s="10"/>
      <c r="R842" s="10"/>
      <c r="S842" s="10"/>
      <c r="T842" s="10"/>
      <c r="U842" s="10"/>
      <c r="V842" s="10"/>
      <c r="W842" s="10"/>
      <c r="X842" s="10"/>
      <c r="Y842" s="10"/>
    </row>
    <row r="843" spans="1:25" x14ac:dyDescent="0.25">
      <c r="A843" s="9">
        <v>41381</v>
      </c>
      <c r="B843" s="10">
        <f ca="1">ROUND(_xlfn.NORM.INV(RAND(),Reference!$C$8,0.1*Reference!$C$8)*(1+Reference!$C$11*(IF(MONTH($A843)=Reference!$C$4,1,0)+IF(MONTH($A843)=Reference!$C$5,1,0))+(IF(MONTH($A843)=Reference!$C$6,Reference!$C$13,0))),0)</f>
        <v>585</v>
      </c>
      <c r="C843" s="11">
        <f ca="1">B843*Reference!$C$7*(1-IF(MONTH($A843)=Reference!$C$6,1,0)*Reference!$C$12)</f>
        <v>544050</v>
      </c>
      <c r="D843" s="10">
        <f ca="1">ROUND(_xlfn.NORM.INV(RAND(),Reference!$D$8,0.1*Reference!$D$8)*(1+Reference!$D$11*(IF(MONTH($A843)=Reference!$D$4,1,0)+IF(MONTH($A843)=Reference!$D$5,1,0))+(IF(MONTH($A843)=Reference!$D$6,Reference!$D$13,0))),0)</f>
        <v>413</v>
      </c>
      <c r="E843" s="11">
        <f ca="1">D843*Reference!$D$7*(1-IF(MONTH($A843)=Reference!$D$6,1,0)*Reference!$D$12)</f>
        <v>309750</v>
      </c>
      <c r="M843" s="20"/>
      <c r="N843" s="20"/>
      <c r="O843" s="19"/>
      <c r="P843" s="10"/>
      <c r="Q843" s="10"/>
      <c r="R843" s="10"/>
      <c r="S843" s="10"/>
      <c r="T843" s="10"/>
      <c r="U843" s="10"/>
      <c r="V843" s="10"/>
      <c r="W843" s="10"/>
      <c r="X843" s="10"/>
      <c r="Y843" s="10"/>
    </row>
    <row r="844" spans="1:25" x14ac:dyDescent="0.25">
      <c r="A844" s="9">
        <v>41382</v>
      </c>
      <c r="B844" s="10">
        <f ca="1">ROUND(_xlfn.NORM.INV(RAND(),Reference!$C$8,0.1*Reference!$C$8)*(1+Reference!$C$11*(IF(MONTH($A844)=Reference!$C$4,1,0)+IF(MONTH($A844)=Reference!$C$5,1,0))+(IF(MONTH($A844)=Reference!$C$6,Reference!$C$13,0))),0)</f>
        <v>649</v>
      </c>
      <c r="C844" s="11">
        <f ca="1">B844*Reference!$C$7*(1-IF(MONTH($A844)=Reference!$C$6,1,0)*Reference!$C$12)</f>
        <v>603570</v>
      </c>
      <c r="D844" s="10">
        <f ca="1">ROUND(_xlfn.NORM.INV(RAND(),Reference!$D$8,0.1*Reference!$D$8)*(1+Reference!$D$11*(IF(MONTH($A844)=Reference!$D$4,1,0)+IF(MONTH($A844)=Reference!$D$5,1,0))+(IF(MONTH($A844)=Reference!$D$6,Reference!$D$13,0))),0)</f>
        <v>388</v>
      </c>
      <c r="E844" s="11">
        <f ca="1">D844*Reference!$D$7*(1-IF(MONTH($A844)=Reference!$D$6,1,0)*Reference!$D$12)</f>
        <v>291000</v>
      </c>
      <c r="M844" s="20"/>
      <c r="N844" s="20"/>
      <c r="O844" s="19"/>
      <c r="P844" s="10"/>
      <c r="Q844" s="10"/>
      <c r="R844" s="10"/>
      <c r="S844" s="10"/>
      <c r="T844" s="10"/>
      <c r="U844" s="10"/>
      <c r="V844" s="10"/>
      <c r="W844" s="10"/>
      <c r="X844" s="10"/>
      <c r="Y844" s="10"/>
    </row>
    <row r="845" spans="1:25" x14ac:dyDescent="0.25">
      <c r="A845" s="9">
        <v>41383</v>
      </c>
      <c r="B845" s="10">
        <f ca="1">ROUND(_xlfn.NORM.INV(RAND(),Reference!$C$8,0.1*Reference!$C$8)*(1+Reference!$C$11*(IF(MONTH($A845)=Reference!$C$4,1,0)+IF(MONTH($A845)=Reference!$C$5,1,0))+(IF(MONTH($A845)=Reference!$C$6,Reference!$C$13,0))),0)</f>
        <v>540</v>
      </c>
      <c r="C845" s="11">
        <f ca="1">B845*Reference!$C$7*(1-IF(MONTH($A845)=Reference!$C$6,1,0)*Reference!$C$12)</f>
        <v>502200</v>
      </c>
      <c r="D845" s="10">
        <f ca="1">ROUND(_xlfn.NORM.INV(RAND(),Reference!$D$8,0.1*Reference!$D$8)*(1+Reference!$D$11*(IF(MONTH($A845)=Reference!$D$4,1,0)+IF(MONTH($A845)=Reference!$D$5,1,0))+(IF(MONTH($A845)=Reference!$D$6,Reference!$D$13,0))),0)</f>
        <v>497</v>
      </c>
      <c r="E845" s="11">
        <f ca="1">D845*Reference!$D$7*(1-IF(MONTH($A845)=Reference!$D$6,1,0)*Reference!$D$12)</f>
        <v>372750</v>
      </c>
      <c r="M845" s="20"/>
      <c r="N845" s="20"/>
      <c r="O845" s="19"/>
      <c r="P845" s="10"/>
      <c r="Q845" s="10"/>
      <c r="R845" s="10"/>
      <c r="S845" s="10"/>
      <c r="T845" s="10"/>
      <c r="U845" s="10"/>
      <c r="V845" s="10"/>
      <c r="W845" s="10"/>
      <c r="X845" s="10"/>
      <c r="Y845" s="10"/>
    </row>
    <row r="846" spans="1:25" x14ac:dyDescent="0.25">
      <c r="A846" s="9">
        <v>41384</v>
      </c>
      <c r="B846" s="10">
        <f ca="1">ROUND(_xlfn.NORM.INV(RAND(),Reference!$C$8,0.1*Reference!$C$8)*(1+Reference!$C$11*(IF(MONTH($A846)=Reference!$C$4,1,0)+IF(MONTH($A846)=Reference!$C$5,1,0))+(IF(MONTH($A846)=Reference!$C$6,Reference!$C$13,0))),0)</f>
        <v>516</v>
      </c>
      <c r="C846" s="11">
        <f ca="1">B846*Reference!$C$7*(1-IF(MONTH($A846)=Reference!$C$6,1,0)*Reference!$C$12)</f>
        <v>479880</v>
      </c>
      <c r="D846" s="10">
        <f ca="1">ROUND(_xlfn.NORM.INV(RAND(),Reference!$D$8,0.1*Reference!$D$8)*(1+Reference!$D$11*(IF(MONTH($A846)=Reference!$D$4,1,0)+IF(MONTH($A846)=Reference!$D$5,1,0))+(IF(MONTH($A846)=Reference!$D$6,Reference!$D$13,0))),0)</f>
        <v>370</v>
      </c>
      <c r="E846" s="11">
        <f ca="1">D846*Reference!$D$7*(1-IF(MONTH($A846)=Reference!$D$6,1,0)*Reference!$D$12)</f>
        <v>277500</v>
      </c>
      <c r="M846" s="20"/>
      <c r="N846" s="20"/>
      <c r="O846" s="19"/>
      <c r="P846" s="10"/>
      <c r="Q846" s="10"/>
      <c r="R846" s="10"/>
      <c r="S846" s="10"/>
      <c r="T846" s="10"/>
      <c r="U846" s="10"/>
      <c r="V846" s="10"/>
      <c r="W846" s="10"/>
      <c r="X846" s="10"/>
      <c r="Y846" s="10"/>
    </row>
    <row r="847" spans="1:25" x14ac:dyDescent="0.25">
      <c r="A847" s="9">
        <v>41385</v>
      </c>
      <c r="B847" s="10">
        <f ca="1">ROUND(_xlfn.NORM.INV(RAND(),Reference!$C$8,0.1*Reference!$C$8)*(1+Reference!$C$11*(IF(MONTH($A847)=Reference!$C$4,1,0)+IF(MONTH($A847)=Reference!$C$5,1,0))+(IF(MONTH($A847)=Reference!$C$6,Reference!$C$13,0))),0)</f>
        <v>533</v>
      </c>
      <c r="C847" s="11">
        <f ca="1">B847*Reference!$C$7*(1-IF(MONTH($A847)=Reference!$C$6,1,0)*Reference!$C$12)</f>
        <v>495690</v>
      </c>
      <c r="D847" s="10">
        <f ca="1">ROUND(_xlfn.NORM.INV(RAND(),Reference!$D$8,0.1*Reference!$D$8)*(1+Reference!$D$11*(IF(MONTH($A847)=Reference!$D$4,1,0)+IF(MONTH($A847)=Reference!$D$5,1,0))+(IF(MONTH($A847)=Reference!$D$6,Reference!$D$13,0))),0)</f>
        <v>437</v>
      </c>
      <c r="E847" s="11">
        <f ca="1">D847*Reference!$D$7*(1-IF(MONTH($A847)=Reference!$D$6,1,0)*Reference!$D$12)</f>
        <v>327750</v>
      </c>
      <c r="M847" s="20"/>
      <c r="N847" s="20"/>
      <c r="O847" s="19"/>
      <c r="P847" s="10"/>
      <c r="Q847" s="10"/>
      <c r="R847" s="10"/>
      <c r="S847" s="10"/>
      <c r="T847" s="10"/>
      <c r="U847" s="10"/>
      <c r="V847" s="10"/>
      <c r="W847" s="10"/>
      <c r="X847" s="10"/>
      <c r="Y847" s="10"/>
    </row>
    <row r="848" spans="1:25" x14ac:dyDescent="0.25">
      <c r="A848" s="9">
        <v>41386</v>
      </c>
      <c r="B848" s="10">
        <f ca="1">ROUND(_xlfn.NORM.INV(RAND(),Reference!$C$8,0.1*Reference!$C$8)*(1+Reference!$C$11*(IF(MONTH($A848)=Reference!$C$4,1,0)+IF(MONTH($A848)=Reference!$C$5,1,0))+(IF(MONTH($A848)=Reference!$C$6,Reference!$C$13,0))),0)</f>
        <v>538</v>
      </c>
      <c r="C848" s="11">
        <f ca="1">B848*Reference!$C$7*(1-IF(MONTH($A848)=Reference!$C$6,1,0)*Reference!$C$12)</f>
        <v>500340</v>
      </c>
      <c r="D848" s="10">
        <f ca="1">ROUND(_xlfn.NORM.INV(RAND(),Reference!$D$8,0.1*Reference!$D$8)*(1+Reference!$D$11*(IF(MONTH($A848)=Reference!$D$4,1,0)+IF(MONTH($A848)=Reference!$D$5,1,0))+(IF(MONTH($A848)=Reference!$D$6,Reference!$D$13,0))),0)</f>
        <v>534</v>
      </c>
      <c r="E848" s="11">
        <f ca="1">D848*Reference!$D$7*(1-IF(MONTH($A848)=Reference!$D$6,1,0)*Reference!$D$12)</f>
        <v>400500</v>
      </c>
      <c r="M848" s="20"/>
      <c r="N848" s="20"/>
      <c r="O848" s="19"/>
      <c r="P848" s="10"/>
      <c r="Q848" s="10"/>
      <c r="R848" s="10"/>
      <c r="S848" s="10"/>
      <c r="T848" s="10"/>
      <c r="U848" s="10"/>
      <c r="V848" s="10"/>
      <c r="W848" s="10"/>
      <c r="X848" s="10"/>
      <c r="Y848" s="10"/>
    </row>
    <row r="849" spans="1:25" x14ac:dyDescent="0.25">
      <c r="A849" s="9">
        <v>41387</v>
      </c>
      <c r="B849" s="10">
        <f ca="1">ROUND(_xlfn.NORM.INV(RAND(),Reference!$C$8,0.1*Reference!$C$8)*(1+Reference!$C$11*(IF(MONTH($A849)=Reference!$C$4,1,0)+IF(MONTH($A849)=Reference!$C$5,1,0))+(IF(MONTH($A849)=Reference!$C$6,Reference!$C$13,0))),0)</f>
        <v>510</v>
      </c>
      <c r="C849" s="11">
        <f ca="1">B849*Reference!$C$7*(1-IF(MONTH($A849)=Reference!$C$6,1,0)*Reference!$C$12)</f>
        <v>474300</v>
      </c>
      <c r="D849" s="10">
        <f ca="1">ROUND(_xlfn.NORM.INV(RAND(),Reference!$D$8,0.1*Reference!$D$8)*(1+Reference!$D$11*(IF(MONTH($A849)=Reference!$D$4,1,0)+IF(MONTH($A849)=Reference!$D$5,1,0))+(IF(MONTH($A849)=Reference!$D$6,Reference!$D$13,0))),0)</f>
        <v>461</v>
      </c>
      <c r="E849" s="11">
        <f ca="1">D849*Reference!$D$7*(1-IF(MONTH($A849)=Reference!$D$6,1,0)*Reference!$D$12)</f>
        <v>345750</v>
      </c>
      <c r="M849" s="20"/>
      <c r="N849" s="20"/>
      <c r="O849" s="19"/>
      <c r="P849" s="10"/>
      <c r="Q849" s="10"/>
      <c r="R849" s="10"/>
      <c r="S849" s="10"/>
      <c r="T849" s="10"/>
      <c r="U849" s="10"/>
      <c r="V849" s="10"/>
      <c r="W849" s="10"/>
      <c r="X849" s="10"/>
      <c r="Y849" s="10"/>
    </row>
    <row r="850" spans="1:25" x14ac:dyDescent="0.25">
      <c r="A850" s="9">
        <v>41388</v>
      </c>
      <c r="B850" s="10">
        <f ca="1">ROUND(_xlfn.NORM.INV(RAND(),Reference!$C$8,0.1*Reference!$C$8)*(1+Reference!$C$11*(IF(MONTH($A850)=Reference!$C$4,1,0)+IF(MONTH($A850)=Reference!$C$5,1,0))+(IF(MONTH($A850)=Reference!$C$6,Reference!$C$13,0))),0)</f>
        <v>587</v>
      </c>
      <c r="C850" s="11">
        <f ca="1">B850*Reference!$C$7*(1-IF(MONTH($A850)=Reference!$C$6,1,0)*Reference!$C$12)</f>
        <v>545910</v>
      </c>
      <c r="D850" s="10">
        <f ca="1">ROUND(_xlfn.NORM.INV(RAND(),Reference!$D$8,0.1*Reference!$D$8)*(1+Reference!$D$11*(IF(MONTH($A850)=Reference!$D$4,1,0)+IF(MONTH($A850)=Reference!$D$5,1,0))+(IF(MONTH($A850)=Reference!$D$6,Reference!$D$13,0))),0)</f>
        <v>377</v>
      </c>
      <c r="E850" s="11">
        <f ca="1">D850*Reference!$D$7*(1-IF(MONTH($A850)=Reference!$D$6,1,0)*Reference!$D$12)</f>
        <v>282750</v>
      </c>
      <c r="M850" s="20"/>
      <c r="N850" s="20"/>
      <c r="O850" s="19"/>
      <c r="P850" s="10"/>
      <c r="Q850" s="10"/>
      <c r="R850" s="10"/>
      <c r="S850" s="10"/>
      <c r="T850" s="10"/>
      <c r="U850" s="10"/>
      <c r="V850" s="10"/>
      <c r="W850" s="10"/>
      <c r="X850" s="10"/>
      <c r="Y850" s="10"/>
    </row>
    <row r="851" spans="1:25" x14ac:dyDescent="0.25">
      <c r="A851" s="9">
        <v>41389</v>
      </c>
      <c r="B851" s="10">
        <f ca="1">ROUND(_xlfn.NORM.INV(RAND(),Reference!$C$8,0.1*Reference!$C$8)*(1+Reference!$C$11*(IF(MONTH($A851)=Reference!$C$4,1,0)+IF(MONTH($A851)=Reference!$C$5,1,0))+(IF(MONTH($A851)=Reference!$C$6,Reference!$C$13,0))),0)</f>
        <v>551</v>
      </c>
      <c r="C851" s="11">
        <f ca="1">B851*Reference!$C$7*(1-IF(MONTH($A851)=Reference!$C$6,1,0)*Reference!$C$12)</f>
        <v>512430</v>
      </c>
      <c r="D851" s="10">
        <f ca="1">ROUND(_xlfn.NORM.INV(RAND(),Reference!$D$8,0.1*Reference!$D$8)*(1+Reference!$D$11*(IF(MONTH($A851)=Reference!$D$4,1,0)+IF(MONTH($A851)=Reference!$D$5,1,0))+(IF(MONTH($A851)=Reference!$D$6,Reference!$D$13,0))),0)</f>
        <v>454</v>
      </c>
      <c r="E851" s="11">
        <f ca="1">D851*Reference!$D$7*(1-IF(MONTH($A851)=Reference!$D$6,1,0)*Reference!$D$12)</f>
        <v>340500</v>
      </c>
      <c r="M851" s="20"/>
      <c r="N851" s="20"/>
      <c r="O851" s="19"/>
      <c r="P851" s="10"/>
      <c r="Q851" s="10"/>
      <c r="R851" s="10"/>
      <c r="S851" s="10"/>
      <c r="T851" s="10"/>
      <c r="U851" s="10"/>
      <c r="V851" s="10"/>
      <c r="W851" s="10"/>
      <c r="X851" s="10"/>
      <c r="Y851" s="10"/>
    </row>
    <row r="852" spans="1:25" x14ac:dyDescent="0.25">
      <c r="A852" s="9">
        <v>41390</v>
      </c>
      <c r="B852" s="10">
        <f ca="1">ROUND(_xlfn.NORM.INV(RAND(),Reference!$C$8,0.1*Reference!$C$8)*(1+Reference!$C$11*(IF(MONTH($A852)=Reference!$C$4,1,0)+IF(MONTH($A852)=Reference!$C$5,1,0))+(IF(MONTH($A852)=Reference!$C$6,Reference!$C$13,0))),0)</f>
        <v>539</v>
      </c>
      <c r="C852" s="11">
        <f ca="1">B852*Reference!$C$7*(1-IF(MONTH($A852)=Reference!$C$6,1,0)*Reference!$C$12)</f>
        <v>501270</v>
      </c>
      <c r="D852" s="10">
        <f ca="1">ROUND(_xlfn.NORM.INV(RAND(),Reference!$D$8,0.1*Reference!$D$8)*(1+Reference!$D$11*(IF(MONTH($A852)=Reference!$D$4,1,0)+IF(MONTH($A852)=Reference!$D$5,1,0))+(IF(MONTH($A852)=Reference!$D$6,Reference!$D$13,0))),0)</f>
        <v>447</v>
      </c>
      <c r="E852" s="11">
        <f ca="1">D852*Reference!$D$7*(1-IF(MONTH($A852)=Reference!$D$6,1,0)*Reference!$D$12)</f>
        <v>335250</v>
      </c>
      <c r="M852" s="20"/>
      <c r="N852" s="20"/>
      <c r="O852" s="19"/>
      <c r="P852" s="10"/>
      <c r="Q852" s="10"/>
      <c r="R852" s="10"/>
      <c r="S852" s="10"/>
      <c r="T852" s="10"/>
      <c r="U852" s="10"/>
      <c r="V852" s="10"/>
      <c r="W852" s="10"/>
      <c r="X852" s="10"/>
      <c r="Y852" s="10"/>
    </row>
    <row r="853" spans="1:25" x14ac:dyDescent="0.25">
      <c r="A853" s="9">
        <v>41391</v>
      </c>
      <c r="B853" s="10">
        <f ca="1">ROUND(_xlfn.NORM.INV(RAND(),Reference!$C$8,0.1*Reference!$C$8)*(1+Reference!$C$11*(IF(MONTH($A853)=Reference!$C$4,1,0)+IF(MONTH($A853)=Reference!$C$5,1,0))+(IF(MONTH($A853)=Reference!$C$6,Reference!$C$13,0))),0)</f>
        <v>585</v>
      </c>
      <c r="C853" s="11">
        <f ca="1">B853*Reference!$C$7*(1-IF(MONTH($A853)=Reference!$C$6,1,0)*Reference!$C$12)</f>
        <v>544050</v>
      </c>
      <c r="D853" s="10">
        <f ca="1">ROUND(_xlfn.NORM.INV(RAND(),Reference!$D$8,0.1*Reference!$D$8)*(1+Reference!$D$11*(IF(MONTH($A853)=Reference!$D$4,1,0)+IF(MONTH($A853)=Reference!$D$5,1,0))+(IF(MONTH($A853)=Reference!$D$6,Reference!$D$13,0))),0)</f>
        <v>504</v>
      </c>
      <c r="E853" s="11">
        <f ca="1">D853*Reference!$D$7*(1-IF(MONTH($A853)=Reference!$D$6,1,0)*Reference!$D$12)</f>
        <v>378000</v>
      </c>
      <c r="M853" s="20"/>
      <c r="N853" s="20"/>
      <c r="O853" s="19"/>
      <c r="P853" s="10"/>
      <c r="Q853" s="10"/>
      <c r="R853" s="10"/>
      <c r="S853" s="10"/>
      <c r="T853" s="10"/>
      <c r="U853" s="10"/>
      <c r="V853" s="10"/>
      <c r="W853" s="10"/>
      <c r="X853" s="10"/>
      <c r="Y853" s="10"/>
    </row>
    <row r="854" spans="1:25" x14ac:dyDescent="0.25">
      <c r="A854" s="9">
        <v>41392</v>
      </c>
      <c r="B854" s="10">
        <f ca="1">ROUND(_xlfn.NORM.INV(RAND(),Reference!$C$8,0.1*Reference!$C$8)*(1+Reference!$C$11*(IF(MONTH($A854)=Reference!$C$4,1,0)+IF(MONTH($A854)=Reference!$C$5,1,0))+(IF(MONTH($A854)=Reference!$C$6,Reference!$C$13,0))),0)</f>
        <v>464</v>
      </c>
      <c r="C854" s="11">
        <f ca="1">B854*Reference!$C$7*(1-IF(MONTH($A854)=Reference!$C$6,1,0)*Reference!$C$12)</f>
        <v>431520</v>
      </c>
      <c r="D854" s="10">
        <f ca="1">ROUND(_xlfn.NORM.INV(RAND(),Reference!$D$8,0.1*Reference!$D$8)*(1+Reference!$D$11*(IF(MONTH($A854)=Reference!$D$4,1,0)+IF(MONTH($A854)=Reference!$D$5,1,0))+(IF(MONTH($A854)=Reference!$D$6,Reference!$D$13,0))),0)</f>
        <v>431</v>
      </c>
      <c r="E854" s="11">
        <f ca="1">D854*Reference!$D$7*(1-IF(MONTH($A854)=Reference!$D$6,1,0)*Reference!$D$12)</f>
        <v>323250</v>
      </c>
      <c r="M854" s="20"/>
      <c r="N854" s="20"/>
      <c r="O854" s="19"/>
      <c r="P854" s="10"/>
      <c r="Q854" s="10"/>
      <c r="R854" s="10"/>
      <c r="S854" s="10"/>
      <c r="T854" s="10"/>
      <c r="U854" s="10"/>
      <c r="V854" s="10"/>
      <c r="W854" s="10"/>
      <c r="X854" s="10"/>
      <c r="Y854" s="10"/>
    </row>
    <row r="855" spans="1:25" x14ac:dyDescent="0.25">
      <c r="A855" s="9">
        <v>41393</v>
      </c>
      <c r="B855" s="10">
        <f ca="1">ROUND(_xlfn.NORM.INV(RAND(),Reference!$C$8,0.1*Reference!$C$8)*(1+Reference!$C$11*(IF(MONTH($A855)=Reference!$C$4,1,0)+IF(MONTH($A855)=Reference!$C$5,1,0))+(IF(MONTH($A855)=Reference!$C$6,Reference!$C$13,0))),0)</f>
        <v>462</v>
      </c>
      <c r="C855" s="11">
        <f ca="1">B855*Reference!$C$7*(1-IF(MONTH($A855)=Reference!$C$6,1,0)*Reference!$C$12)</f>
        <v>429660</v>
      </c>
      <c r="D855" s="10">
        <f ca="1">ROUND(_xlfn.NORM.INV(RAND(),Reference!$D$8,0.1*Reference!$D$8)*(1+Reference!$D$11*(IF(MONTH($A855)=Reference!$D$4,1,0)+IF(MONTH($A855)=Reference!$D$5,1,0))+(IF(MONTH($A855)=Reference!$D$6,Reference!$D$13,0))),0)</f>
        <v>424</v>
      </c>
      <c r="E855" s="11">
        <f ca="1">D855*Reference!$D$7*(1-IF(MONTH($A855)=Reference!$D$6,1,0)*Reference!$D$12)</f>
        <v>318000</v>
      </c>
      <c r="M855" s="20"/>
      <c r="N855" s="20"/>
      <c r="O855" s="19"/>
      <c r="P855" s="10"/>
      <c r="Q855" s="10"/>
      <c r="R855" s="10"/>
      <c r="S855" s="10"/>
      <c r="T855" s="10"/>
      <c r="U855" s="10"/>
      <c r="V855" s="10"/>
      <c r="W855" s="10"/>
      <c r="X855" s="10"/>
      <c r="Y855" s="10"/>
    </row>
    <row r="856" spans="1:25" x14ac:dyDescent="0.25">
      <c r="A856" s="9">
        <v>41394</v>
      </c>
      <c r="B856" s="10">
        <f ca="1">ROUND(_xlfn.NORM.INV(RAND(),Reference!$C$8,0.1*Reference!$C$8)*(1+Reference!$C$11*(IF(MONTH($A856)=Reference!$C$4,1,0)+IF(MONTH($A856)=Reference!$C$5,1,0))+(IF(MONTH($A856)=Reference!$C$6,Reference!$C$13,0))),0)</f>
        <v>626</v>
      </c>
      <c r="C856" s="11">
        <f ca="1">B856*Reference!$C$7*(1-IF(MONTH($A856)=Reference!$C$6,1,0)*Reference!$C$12)</f>
        <v>582180</v>
      </c>
      <c r="D856" s="10">
        <f ca="1">ROUND(_xlfn.NORM.INV(RAND(),Reference!$D$8,0.1*Reference!$D$8)*(1+Reference!$D$11*(IF(MONTH($A856)=Reference!$D$4,1,0)+IF(MONTH($A856)=Reference!$D$5,1,0))+(IF(MONTH($A856)=Reference!$D$6,Reference!$D$13,0))),0)</f>
        <v>541</v>
      </c>
      <c r="E856" s="11">
        <f ca="1">D856*Reference!$D$7*(1-IF(MONTH($A856)=Reference!$D$6,1,0)*Reference!$D$12)</f>
        <v>405750</v>
      </c>
      <c r="M856" s="20"/>
      <c r="N856" s="20"/>
      <c r="O856" s="19"/>
      <c r="P856" s="10"/>
      <c r="Q856" s="10"/>
      <c r="R856" s="10"/>
      <c r="S856" s="10"/>
      <c r="T856" s="10"/>
      <c r="U856" s="10"/>
      <c r="V856" s="10"/>
      <c r="W856" s="10"/>
      <c r="X856" s="10"/>
      <c r="Y856" s="10"/>
    </row>
    <row r="857" spans="1:25" x14ac:dyDescent="0.25">
      <c r="A857" s="9">
        <v>41395</v>
      </c>
      <c r="B857" s="10">
        <f ca="1">ROUND(_xlfn.NORM.INV(RAND(),Reference!$C$8,0.1*Reference!$C$8)*(1+Reference!$C$11*(IF(MONTH($A857)=Reference!$C$4,1,0)+IF(MONTH($A857)=Reference!$C$5,1,0))+(IF(MONTH($A857)=Reference!$C$6,Reference!$C$13,0))),0)</f>
        <v>598</v>
      </c>
      <c r="C857" s="11">
        <f ca="1">B857*Reference!$C$7*(1-IF(MONTH($A857)=Reference!$C$6,1,0)*Reference!$C$12)</f>
        <v>556140</v>
      </c>
      <c r="D857" s="10">
        <f ca="1">ROUND(_xlfn.NORM.INV(RAND(),Reference!$D$8,0.1*Reference!$D$8)*(1+Reference!$D$11*(IF(MONTH($A857)=Reference!$D$4,1,0)+IF(MONTH($A857)=Reference!$D$5,1,0))+(IF(MONTH($A857)=Reference!$D$6,Reference!$D$13,0))),0)</f>
        <v>454</v>
      </c>
      <c r="E857" s="11">
        <f ca="1">D857*Reference!$D$7*(1-IF(MONTH($A857)=Reference!$D$6,1,0)*Reference!$D$12)</f>
        <v>340500</v>
      </c>
      <c r="M857" s="20"/>
      <c r="N857" s="20"/>
      <c r="O857" s="19"/>
      <c r="P857" s="10"/>
      <c r="Q857" s="10"/>
      <c r="R857" s="10"/>
      <c r="S857" s="10"/>
      <c r="T857" s="10"/>
      <c r="U857" s="10"/>
      <c r="V857" s="10"/>
      <c r="W857" s="10"/>
      <c r="X857" s="10"/>
      <c r="Y857" s="10"/>
    </row>
    <row r="858" spans="1:25" x14ac:dyDescent="0.25">
      <c r="A858" s="9">
        <v>41396</v>
      </c>
      <c r="B858" s="10">
        <f ca="1">ROUND(_xlfn.NORM.INV(RAND(),Reference!$C$8,0.1*Reference!$C$8)*(1+Reference!$C$11*(IF(MONTH($A858)=Reference!$C$4,1,0)+IF(MONTH($A858)=Reference!$C$5,1,0))+(IF(MONTH($A858)=Reference!$C$6,Reference!$C$13,0))),0)</f>
        <v>459</v>
      </c>
      <c r="C858" s="11">
        <f ca="1">B858*Reference!$C$7*(1-IF(MONTH($A858)=Reference!$C$6,1,0)*Reference!$C$12)</f>
        <v>426870</v>
      </c>
      <c r="D858" s="10">
        <f ca="1">ROUND(_xlfn.NORM.INV(RAND(),Reference!$D$8,0.1*Reference!$D$8)*(1+Reference!$D$11*(IF(MONTH($A858)=Reference!$D$4,1,0)+IF(MONTH($A858)=Reference!$D$5,1,0))+(IF(MONTH($A858)=Reference!$D$6,Reference!$D$13,0))),0)</f>
        <v>460</v>
      </c>
      <c r="E858" s="11">
        <f ca="1">D858*Reference!$D$7*(1-IF(MONTH($A858)=Reference!$D$6,1,0)*Reference!$D$12)</f>
        <v>345000</v>
      </c>
      <c r="M858" s="20"/>
      <c r="N858" s="20"/>
      <c r="O858" s="19"/>
      <c r="P858" s="10"/>
      <c r="Q858" s="10"/>
      <c r="R858" s="10"/>
      <c r="S858" s="10"/>
      <c r="T858" s="10"/>
      <c r="U858" s="10"/>
      <c r="V858" s="10"/>
      <c r="W858" s="10"/>
      <c r="X858" s="10"/>
      <c r="Y858" s="10"/>
    </row>
    <row r="859" spans="1:25" x14ac:dyDescent="0.25">
      <c r="A859" s="9">
        <v>41397</v>
      </c>
      <c r="B859" s="10">
        <f ca="1">ROUND(_xlfn.NORM.INV(RAND(),Reference!$C$8,0.1*Reference!$C$8)*(1+Reference!$C$11*(IF(MONTH($A859)=Reference!$C$4,1,0)+IF(MONTH($A859)=Reference!$C$5,1,0))+(IF(MONTH($A859)=Reference!$C$6,Reference!$C$13,0))),0)</f>
        <v>579</v>
      </c>
      <c r="C859" s="11">
        <f ca="1">B859*Reference!$C$7*(1-IF(MONTH($A859)=Reference!$C$6,1,0)*Reference!$C$12)</f>
        <v>538470</v>
      </c>
      <c r="D859" s="10">
        <f ca="1">ROUND(_xlfn.NORM.INV(RAND(),Reference!$D$8,0.1*Reference!$D$8)*(1+Reference!$D$11*(IF(MONTH($A859)=Reference!$D$4,1,0)+IF(MONTH($A859)=Reference!$D$5,1,0))+(IF(MONTH($A859)=Reference!$D$6,Reference!$D$13,0))),0)</f>
        <v>427</v>
      </c>
      <c r="E859" s="11">
        <f ca="1">D859*Reference!$D$7*(1-IF(MONTH($A859)=Reference!$D$6,1,0)*Reference!$D$12)</f>
        <v>320250</v>
      </c>
      <c r="M859" s="20"/>
      <c r="N859" s="20"/>
      <c r="O859" s="19"/>
      <c r="P859" s="10"/>
      <c r="Q859" s="10"/>
      <c r="R859" s="10"/>
      <c r="S859" s="10"/>
      <c r="T859" s="10"/>
      <c r="U859" s="10"/>
      <c r="V859" s="10"/>
      <c r="W859" s="10"/>
      <c r="X859" s="10"/>
      <c r="Y859" s="10"/>
    </row>
    <row r="860" spans="1:25" x14ac:dyDescent="0.25">
      <c r="A860" s="9">
        <v>41398</v>
      </c>
      <c r="B860" s="10">
        <f ca="1">ROUND(_xlfn.NORM.INV(RAND(),Reference!$C$8,0.1*Reference!$C$8)*(1+Reference!$C$11*(IF(MONTH($A860)=Reference!$C$4,1,0)+IF(MONTH($A860)=Reference!$C$5,1,0))+(IF(MONTH($A860)=Reference!$C$6,Reference!$C$13,0))),0)</f>
        <v>532</v>
      </c>
      <c r="C860" s="11">
        <f ca="1">B860*Reference!$C$7*(1-IF(MONTH($A860)=Reference!$C$6,1,0)*Reference!$C$12)</f>
        <v>494760</v>
      </c>
      <c r="D860" s="10">
        <f ca="1">ROUND(_xlfn.NORM.INV(RAND(),Reference!$D$8,0.1*Reference!$D$8)*(1+Reference!$D$11*(IF(MONTH($A860)=Reference!$D$4,1,0)+IF(MONTH($A860)=Reference!$D$5,1,0))+(IF(MONTH($A860)=Reference!$D$6,Reference!$D$13,0))),0)</f>
        <v>398</v>
      </c>
      <c r="E860" s="11">
        <f ca="1">D860*Reference!$D$7*(1-IF(MONTH($A860)=Reference!$D$6,1,0)*Reference!$D$12)</f>
        <v>298500</v>
      </c>
      <c r="M860" s="20"/>
      <c r="N860" s="20"/>
      <c r="O860" s="19"/>
      <c r="P860" s="10"/>
      <c r="Q860" s="10"/>
      <c r="R860" s="10"/>
      <c r="S860" s="10"/>
      <c r="T860" s="10"/>
      <c r="U860" s="10"/>
      <c r="V860" s="10"/>
      <c r="W860" s="10"/>
      <c r="X860" s="10"/>
      <c r="Y860" s="10"/>
    </row>
    <row r="861" spans="1:25" x14ac:dyDescent="0.25">
      <c r="A861" s="9">
        <v>41399</v>
      </c>
      <c r="B861" s="10">
        <f ca="1">ROUND(_xlfn.NORM.INV(RAND(),Reference!$C$8,0.1*Reference!$C$8)*(1+Reference!$C$11*(IF(MONTH($A861)=Reference!$C$4,1,0)+IF(MONTH($A861)=Reference!$C$5,1,0))+(IF(MONTH($A861)=Reference!$C$6,Reference!$C$13,0))),0)</f>
        <v>552</v>
      </c>
      <c r="C861" s="11">
        <f ca="1">B861*Reference!$C$7*(1-IF(MONTH($A861)=Reference!$C$6,1,0)*Reference!$C$12)</f>
        <v>513360</v>
      </c>
      <c r="D861" s="10">
        <f ca="1">ROUND(_xlfn.NORM.INV(RAND(),Reference!$D$8,0.1*Reference!$D$8)*(1+Reference!$D$11*(IF(MONTH($A861)=Reference!$D$4,1,0)+IF(MONTH($A861)=Reference!$D$5,1,0))+(IF(MONTH($A861)=Reference!$D$6,Reference!$D$13,0))),0)</f>
        <v>407</v>
      </c>
      <c r="E861" s="11">
        <f ca="1">D861*Reference!$D$7*(1-IF(MONTH($A861)=Reference!$D$6,1,0)*Reference!$D$12)</f>
        <v>305250</v>
      </c>
      <c r="M861" s="20"/>
      <c r="N861" s="20"/>
      <c r="O861" s="19"/>
      <c r="P861" s="10"/>
      <c r="Q861" s="10"/>
      <c r="R861" s="10"/>
      <c r="S861" s="10"/>
      <c r="T861" s="10"/>
      <c r="U861" s="10"/>
      <c r="V861" s="10"/>
      <c r="W861" s="10"/>
      <c r="X861" s="10"/>
      <c r="Y861" s="10"/>
    </row>
    <row r="862" spans="1:25" x14ac:dyDescent="0.25">
      <c r="A862" s="9">
        <v>41400</v>
      </c>
      <c r="B862" s="10">
        <f ca="1">ROUND(_xlfn.NORM.INV(RAND(),Reference!$C$8,0.1*Reference!$C$8)*(1+Reference!$C$11*(IF(MONTH($A862)=Reference!$C$4,1,0)+IF(MONTH($A862)=Reference!$C$5,1,0))+(IF(MONTH($A862)=Reference!$C$6,Reference!$C$13,0))),0)</f>
        <v>445</v>
      </c>
      <c r="C862" s="11">
        <f ca="1">B862*Reference!$C$7*(1-IF(MONTH($A862)=Reference!$C$6,1,0)*Reference!$C$12)</f>
        <v>413850</v>
      </c>
      <c r="D862" s="10">
        <f ca="1">ROUND(_xlfn.NORM.INV(RAND(),Reference!$D$8,0.1*Reference!$D$8)*(1+Reference!$D$11*(IF(MONTH($A862)=Reference!$D$4,1,0)+IF(MONTH($A862)=Reference!$D$5,1,0))+(IF(MONTH($A862)=Reference!$D$6,Reference!$D$13,0))),0)</f>
        <v>385</v>
      </c>
      <c r="E862" s="11">
        <f ca="1">D862*Reference!$D$7*(1-IF(MONTH($A862)=Reference!$D$6,1,0)*Reference!$D$12)</f>
        <v>288750</v>
      </c>
      <c r="M862" s="20"/>
      <c r="N862" s="20"/>
      <c r="O862" s="19"/>
      <c r="P862" s="10"/>
      <c r="Q862" s="10"/>
      <c r="R862" s="10"/>
      <c r="S862" s="10"/>
      <c r="T862" s="10"/>
      <c r="U862" s="10"/>
      <c r="V862" s="10"/>
      <c r="W862" s="10"/>
      <c r="X862" s="10"/>
      <c r="Y862" s="10"/>
    </row>
    <row r="863" spans="1:25" x14ac:dyDescent="0.25">
      <c r="A863" s="9">
        <v>41401</v>
      </c>
      <c r="B863" s="10">
        <f ca="1">ROUND(_xlfn.NORM.INV(RAND(),Reference!$C$8,0.1*Reference!$C$8)*(1+Reference!$C$11*(IF(MONTH($A863)=Reference!$C$4,1,0)+IF(MONTH($A863)=Reference!$C$5,1,0))+(IF(MONTH($A863)=Reference!$C$6,Reference!$C$13,0))),0)</f>
        <v>599</v>
      </c>
      <c r="C863" s="11">
        <f ca="1">B863*Reference!$C$7*(1-IF(MONTH($A863)=Reference!$C$6,1,0)*Reference!$C$12)</f>
        <v>557070</v>
      </c>
      <c r="D863" s="10">
        <f ca="1">ROUND(_xlfn.NORM.INV(RAND(),Reference!$D$8,0.1*Reference!$D$8)*(1+Reference!$D$11*(IF(MONTH($A863)=Reference!$D$4,1,0)+IF(MONTH($A863)=Reference!$D$5,1,0))+(IF(MONTH($A863)=Reference!$D$6,Reference!$D$13,0))),0)</f>
        <v>429</v>
      </c>
      <c r="E863" s="11">
        <f ca="1">D863*Reference!$D$7*(1-IF(MONTH($A863)=Reference!$D$6,1,0)*Reference!$D$12)</f>
        <v>321750</v>
      </c>
      <c r="M863" s="20"/>
      <c r="N863" s="20"/>
      <c r="O863" s="19"/>
      <c r="P863" s="10"/>
      <c r="Q863" s="10"/>
      <c r="R863" s="10"/>
      <c r="S863" s="10"/>
      <c r="T863" s="10"/>
      <c r="U863" s="10"/>
      <c r="V863" s="10"/>
      <c r="W863" s="10"/>
      <c r="X863" s="10"/>
      <c r="Y863" s="10"/>
    </row>
    <row r="864" spans="1:25" x14ac:dyDescent="0.25">
      <c r="A864" s="9">
        <v>41402</v>
      </c>
      <c r="B864" s="10">
        <f ca="1">ROUND(_xlfn.NORM.INV(RAND(),Reference!$C$8,0.1*Reference!$C$8)*(1+Reference!$C$11*(IF(MONTH($A864)=Reference!$C$4,1,0)+IF(MONTH($A864)=Reference!$C$5,1,0))+(IF(MONTH($A864)=Reference!$C$6,Reference!$C$13,0))),0)</f>
        <v>664</v>
      </c>
      <c r="C864" s="11">
        <f ca="1">B864*Reference!$C$7*(1-IF(MONTH($A864)=Reference!$C$6,1,0)*Reference!$C$12)</f>
        <v>617520</v>
      </c>
      <c r="D864" s="10">
        <f ca="1">ROUND(_xlfn.NORM.INV(RAND(),Reference!$D$8,0.1*Reference!$D$8)*(1+Reference!$D$11*(IF(MONTH($A864)=Reference!$D$4,1,0)+IF(MONTH($A864)=Reference!$D$5,1,0))+(IF(MONTH($A864)=Reference!$D$6,Reference!$D$13,0))),0)</f>
        <v>463</v>
      </c>
      <c r="E864" s="11">
        <f ca="1">D864*Reference!$D$7*(1-IF(MONTH($A864)=Reference!$D$6,1,0)*Reference!$D$12)</f>
        <v>347250</v>
      </c>
      <c r="M864" s="20"/>
      <c r="N864" s="20"/>
      <c r="O864" s="19"/>
      <c r="P864" s="10"/>
      <c r="Q864" s="10"/>
      <c r="R864" s="10"/>
      <c r="S864" s="10"/>
      <c r="T864" s="10"/>
      <c r="U864" s="10"/>
      <c r="V864" s="10"/>
      <c r="W864" s="10"/>
      <c r="X864" s="10"/>
      <c r="Y864" s="10"/>
    </row>
    <row r="865" spans="1:25" x14ac:dyDescent="0.25">
      <c r="A865" s="9">
        <v>41403</v>
      </c>
      <c r="B865" s="10">
        <f ca="1">ROUND(_xlfn.NORM.INV(RAND(),Reference!$C$8,0.1*Reference!$C$8)*(1+Reference!$C$11*(IF(MONTH($A865)=Reference!$C$4,1,0)+IF(MONTH($A865)=Reference!$C$5,1,0))+(IF(MONTH($A865)=Reference!$C$6,Reference!$C$13,0))),0)</f>
        <v>520</v>
      </c>
      <c r="C865" s="11">
        <f ca="1">B865*Reference!$C$7*(1-IF(MONTH($A865)=Reference!$C$6,1,0)*Reference!$C$12)</f>
        <v>483600</v>
      </c>
      <c r="D865" s="10">
        <f ca="1">ROUND(_xlfn.NORM.INV(RAND(),Reference!$D$8,0.1*Reference!$D$8)*(1+Reference!$D$11*(IF(MONTH($A865)=Reference!$D$4,1,0)+IF(MONTH($A865)=Reference!$D$5,1,0))+(IF(MONTH($A865)=Reference!$D$6,Reference!$D$13,0))),0)</f>
        <v>470</v>
      </c>
      <c r="E865" s="11">
        <f ca="1">D865*Reference!$D$7*(1-IF(MONTH($A865)=Reference!$D$6,1,0)*Reference!$D$12)</f>
        <v>352500</v>
      </c>
      <c r="M865" s="20"/>
      <c r="N865" s="20"/>
      <c r="O865" s="19"/>
      <c r="P865" s="10"/>
      <c r="Q865" s="10"/>
      <c r="R865" s="10"/>
      <c r="S865" s="10"/>
      <c r="T865" s="10"/>
      <c r="U865" s="10"/>
      <c r="V865" s="10"/>
      <c r="W865" s="10"/>
      <c r="X865" s="10"/>
      <c r="Y865" s="10"/>
    </row>
    <row r="866" spans="1:25" x14ac:dyDescent="0.25">
      <c r="A866" s="9">
        <v>41404</v>
      </c>
      <c r="B866" s="10">
        <f ca="1">ROUND(_xlfn.NORM.INV(RAND(),Reference!$C$8,0.1*Reference!$C$8)*(1+Reference!$C$11*(IF(MONTH($A866)=Reference!$C$4,1,0)+IF(MONTH($A866)=Reference!$C$5,1,0))+(IF(MONTH($A866)=Reference!$C$6,Reference!$C$13,0))),0)</f>
        <v>579</v>
      </c>
      <c r="C866" s="11">
        <f ca="1">B866*Reference!$C$7*(1-IF(MONTH($A866)=Reference!$C$6,1,0)*Reference!$C$12)</f>
        <v>538470</v>
      </c>
      <c r="D866" s="10">
        <f ca="1">ROUND(_xlfn.NORM.INV(RAND(),Reference!$D$8,0.1*Reference!$D$8)*(1+Reference!$D$11*(IF(MONTH($A866)=Reference!$D$4,1,0)+IF(MONTH($A866)=Reference!$D$5,1,0))+(IF(MONTH($A866)=Reference!$D$6,Reference!$D$13,0))),0)</f>
        <v>437</v>
      </c>
      <c r="E866" s="11">
        <f ca="1">D866*Reference!$D$7*(1-IF(MONTH($A866)=Reference!$D$6,1,0)*Reference!$D$12)</f>
        <v>327750</v>
      </c>
      <c r="M866" s="20"/>
      <c r="N866" s="20"/>
      <c r="O866" s="19"/>
      <c r="P866" s="10"/>
      <c r="Q866" s="10"/>
      <c r="R866" s="10"/>
      <c r="S866" s="10"/>
      <c r="T866" s="10"/>
      <c r="U866" s="10"/>
      <c r="V866" s="10"/>
      <c r="W866" s="10"/>
      <c r="X866" s="10"/>
      <c r="Y866" s="10"/>
    </row>
    <row r="867" spans="1:25" x14ac:dyDescent="0.25">
      <c r="A867" s="9">
        <v>41405</v>
      </c>
      <c r="B867" s="10">
        <f ca="1">ROUND(_xlfn.NORM.INV(RAND(),Reference!$C$8,0.1*Reference!$C$8)*(1+Reference!$C$11*(IF(MONTH($A867)=Reference!$C$4,1,0)+IF(MONTH($A867)=Reference!$C$5,1,0))+(IF(MONTH($A867)=Reference!$C$6,Reference!$C$13,0))),0)</f>
        <v>529</v>
      </c>
      <c r="C867" s="11">
        <f ca="1">B867*Reference!$C$7*(1-IF(MONTH($A867)=Reference!$C$6,1,0)*Reference!$C$12)</f>
        <v>491970</v>
      </c>
      <c r="D867" s="10">
        <f ca="1">ROUND(_xlfn.NORM.INV(RAND(),Reference!$D$8,0.1*Reference!$D$8)*(1+Reference!$D$11*(IF(MONTH($A867)=Reference!$D$4,1,0)+IF(MONTH($A867)=Reference!$D$5,1,0))+(IF(MONTH($A867)=Reference!$D$6,Reference!$D$13,0))),0)</f>
        <v>434</v>
      </c>
      <c r="E867" s="11">
        <f ca="1">D867*Reference!$D$7*(1-IF(MONTH($A867)=Reference!$D$6,1,0)*Reference!$D$12)</f>
        <v>325500</v>
      </c>
      <c r="M867" s="20"/>
      <c r="N867" s="20"/>
      <c r="O867" s="19"/>
      <c r="P867" s="10"/>
      <c r="Q867" s="10"/>
      <c r="R867" s="10"/>
      <c r="S867" s="10"/>
      <c r="T867" s="10"/>
      <c r="U867" s="10"/>
      <c r="V867" s="10"/>
      <c r="W867" s="10"/>
      <c r="X867" s="10"/>
      <c r="Y867" s="10"/>
    </row>
    <row r="868" spans="1:25" x14ac:dyDescent="0.25">
      <c r="A868" s="9">
        <v>41406</v>
      </c>
      <c r="B868" s="10">
        <f ca="1">ROUND(_xlfn.NORM.INV(RAND(),Reference!$C$8,0.1*Reference!$C$8)*(1+Reference!$C$11*(IF(MONTH($A868)=Reference!$C$4,1,0)+IF(MONTH($A868)=Reference!$C$5,1,0))+(IF(MONTH($A868)=Reference!$C$6,Reference!$C$13,0))),0)</f>
        <v>519</v>
      </c>
      <c r="C868" s="11">
        <f ca="1">B868*Reference!$C$7*(1-IF(MONTH($A868)=Reference!$C$6,1,0)*Reference!$C$12)</f>
        <v>482670</v>
      </c>
      <c r="D868" s="10">
        <f ca="1">ROUND(_xlfn.NORM.INV(RAND(),Reference!$D$8,0.1*Reference!$D$8)*(1+Reference!$D$11*(IF(MONTH($A868)=Reference!$D$4,1,0)+IF(MONTH($A868)=Reference!$D$5,1,0))+(IF(MONTH($A868)=Reference!$D$6,Reference!$D$13,0))),0)</f>
        <v>469</v>
      </c>
      <c r="E868" s="11">
        <f ca="1">D868*Reference!$D$7*(1-IF(MONTH($A868)=Reference!$D$6,1,0)*Reference!$D$12)</f>
        <v>351750</v>
      </c>
      <c r="M868" s="20"/>
      <c r="N868" s="20"/>
      <c r="O868" s="19"/>
      <c r="P868" s="10"/>
      <c r="Q868" s="10"/>
      <c r="R868" s="10"/>
      <c r="S868" s="10"/>
      <c r="T868" s="10"/>
      <c r="U868" s="10"/>
      <c r="V868" s="10"/>
      <c r="W868" s="10"/>
      <c r="X868" s="10"/>
      <c r="Y868" s="10"/>
    </row>
    <row r="869" spans="1:25" x14ac:dyDescent="0.25">
      <c r="A869" s="9">
        <v>41407</v>
      </c>
      <c r="B869" s="10">
        <f ca="1">ROUND(_xlfn.NORM.INV(RAND(),Reference!$C$8,0.1*Reference!$C$8)*(1+Reference!$C$11*(IF(MONTH($A869)=Reference!$C$4,1,0)+IF(MONTH($A869)=Reference!$C$5,1,0))+(IF(MONTH($A869)=Reference!$C$6,Reference!$C$13,0))),0)</f>
        <v>526</v>
      </c>
      <c r="C869" s="11">
        <f ca="1">B869*Reference!$C$7*(1-IF(MONTH($A869)=Reference!$C$6,1,0)*Reference!$C$12)</f>
        <v>489180</v>
      </c>
      <c r="D869" s="10">
        <f ca="1">ROUND(_xlfn.NORM.INV(RAND(),Reference!$D$8,0.1*Reference!$D$8)*(1+Reference!$D$11*(IF(MONTH($A869)=Reference!$D$4,1,0)+IF(MONTH($A869)=Reference!$D$5,1,0))+(IF(MONTH($A869)=Reference!$D$6,Reference!$D$13,0))),0)</f>
        <v>453</v>
      </c>
      <c r="E869" s="11">
        <f ca="1">D869*Reference!$D$7*(1-IF(MONTH($A869)=Reference!$D$6,1,0)*Reference!$D$12)</f>
        <v>339750</v>
      </c>
      <c r="M869" s="20"/>
      <c r="N869" s="20"/>
      <c r="O869" s="19"/>
      <c r="P869" s="10"/>
      <c r="Q869" s="10"/>
      <c r="R869" s="10"/>
      <c r="S869" s="10"/>
      <c r="T869" s="10"/>
      <c r="U869" s="10"/>
      <c r="V869" s="10"/>
      <c r="W869" s="10"/>
      <c r="X869" s="10"/>
      <c r="Y869" s="10"/>
    </row>
    <row r="870" spans="1:25" x14ac:dyDescent="0.25">
      <c r="A870" s="9">
        <v>41408</v>
      </c>
      <c r="B870" s="10">
        <f ca="1">ROUND(_xlfn.NORM.INV(RAND(),Reference!$C$8,0.1*Reference!$C$8)*(1+Reference!$C$11*(IF(MONTH($A870)=Reference!$C$4,1,0)+IF(MONTH($A870)=Reference!$C$5,1,0))+(IF(MONTH($A870)=Reference!$C$6,Reference!$C$13,0))),0)</f>
        <v>509</v>
      </c>
      <c r="C870" s="11">
        <f ca="1">B870*Reference!$C$7*(1-IF(MONTH($A870)=Reference!$C$6,1,0)*Reference!$C$12)</f>
        <v>473370</v>
      </c>
      <c r="D870" s="10">
        <f ca="1">ROUND(_xlfn.NORM.INV(RAND(),Reference!$D$8,0.1*Reference!$D$8)*(1+Reference!$D$11*(IF(MONTH($A870)=Reference!$D$4,1,0)+IF(MONTH($A870)=Reference!$D$5,1,0))+(IF(MONTH($A870)=Reference!$D$6,Reference!$D$13,0))),0)</f>
        <v>412</v>
      </c>
      <c r="E870" s="11">
        <f ca="1">D870*Reference!$D$7*(1-IF(MONTH($A870)=Reference!$D$6,1,0)*Reference!$D$12)</f>
        <v>309000</v>
      </c>
      <c r="M870" s="20"/>
      <c r="N870" s="20"/>
      <c r="O870" s="19"/>
      <c r="P870" s="10"/>
      <c r="Q870" s="10"/>
      <c r="R870" s="10"/>
      <c r="S870" s="10"/>
      <c r="T870" s="10"/>
      <c r="U870" s="10"/>
      <c r="V870" s="10"/>
      <c r="W870" s="10"/>
      <c r="X870" s="10"/>
      <c r="Y870" s="10"/>
    </row>
    <row r="871" spans="1:25" x14ac:dyDescent="0.25">
      <c r="A871" s="9">
        <v>41409</v>
      </c>
      <c r="B871" s="10">
        <f ca="1">ROUND(_xlfn.NORM.INV(RAND(),Reference!$C$8,0.1*Reference!$C$8)*(1+Reference!$C$11*(IF(MONTH($A871)=Reference!$C$4,1,0)+IF(MONTH($A871)=Reference!$C$5,1,0))+(IF(MONTH($A871)=Reference!$C$6,Reference!$C$13,0))),0)</f>
        <v>556</v>
      </c>
      <c r="C871" s="11">
        <f ca="1">B871*Reference!$C$7*(1-IF(MONTH($A871)=Reference!$C$6,1,0)*Reference!$C$12)</f>
        <v>517080</v>
      </c>
      <c r="D871" s="10">
        <f ca="1">ROUND(_xlfn.NORM.INV(RAND(),Reference!$D$8,0.1*Reference!$D$8)*(1+Reference!$D$11*(IF(MONTH($A871)=Reference!$D$4,1,0)+IF(MONTH($A871)=Reference!$D$5,1,0))+(IF(MONTH($A871)=Reference!$D$6,Reference!$D$13,0))),0)</f>
        <v>372</v>
      </c>
      <c r="E871" s="11">
        <f ca="1">D871*Reference!$D$7*(1-IF(MONTH($A871)=Reference!$D$6,1,0)*Reference!$D$12)</f>
        <v>279000</v>
      </c>
      <c r="M871" s="20"/>
      <c r="N871" s="20"/>
      <c r="O871" s="19"/>
      <c r="P871" s="10"/>
      <c r="Q871" s="10"/>
      <c r="R871" s="10"/>
      <c r="S871" s="10"/>
      <c r="T871" s="10"/>
      <c r="U871" s="10"/>
      <c r="V871" s="10"/>
      <c r="W871" s="10"/>
      <c r="X871" s="10"/>
      <c r="Y871" s="10"/>
    </row>
    <row r="872" spans="1:25" x14ac:dyDescent="0.25">
      <c r="A872" s="9">
        <v>41410</v>
      </c>
      <c r="B872" s="10">
        <f ca="1">ROUND(_xlfn.NORM.INV(RAND(),Reference!$C$8,0.1*Reference!$C$8)*(1+Reference!$C$11*(IF(MONTH($A872)=Reference!$C$4,1,0)+IF(MONTH($A872)=Reference!$C$5,1,0))+(IF(MONTH($A872)=Reference!$C$6,Reference!$C$13,0))),0)</f>
        <v>616</v>
      </c>
      <c r="C872" s="11">
        <f ca="1">B872*Reference!$C$7*(1-IF(MONTH($A872)=Reference!$C$6,1,0)*Reference!$C$12)</f>
        <v>572880</v>
      </c>
      <c r="D872" s="10">
        <f ca="1">ROUND(_xlfn.NORM.INV(RAND(),Reference!$D$8,0.1*Reference!$D$8)*(1+Reference!$D$11*(IF(MONTH($A872)=Reference!$D$4,1,0)+IF(MONTH($A872)=Reference!$D$5,1,0))+(IF(MONTH($A872)=Reference!$D$6,Reference!$D$13,0))),0)</f>
        <v>428</v>
      </c>
      <c r="E872" s="11">
        <f ca="1">D872*Reference!$D$7*(1-IF(MONTH($A872)=Reference!$D$6,1,0)*Reference!$D$12)</f>
        <v>321000</v>
      </c>
      <c r="M872" s="20"/>
      <c r="N872" s="20"/>
      <c r="O872" s="19"/>
      <c r="P872" s="10"/>
      <c r="Q872" s="10"/>
      <c r="R872" s="10"/>
      <c r="S872" s="10"/>
      <c r="T872" s="10"/>
      <c r="U872" s="10"/>
      <c r="V872" s="10"/>
      <c r="W872" s="10"/>
      <c r="X872" s="10"/>
      <c r="Y872" s="10"/>
    </row>
    <row r="873" spans="1:25" x14ac:dyDescent="0.25">
      <c r="A873" s="9">
        <v>41411</v>
      </c>
      <c r="B873" s="10">
        <f ca="1">ROUND(_xlfn.NORM.INV(RAND(),Reference!$C$8,0.1*Reference!$C$8)*(1+Reference!$C$11*(IF(MONTH($A873)=Reference!$C$4,1,0)+IF(MONTH($A873)=Reference!$C$5,1,0))+(IF(MONTH($A873)=Reference!$C$6,Reference!$C$13,0))),0)</f>
        <v>392</v>
      </c>
      <c r="C873" s="11">
        <f ca="1">B873*Reference!$C$7*(1-IF(MONTH($A873)=Reference!$C$6,1,0)*Reference!$C$12)</f>
        <v>364560</v>
      </c>
      <c r="D873" s="10">
        <f ca="1">ROUND(_xlfn.NORM.INV(RAND(),Reference!$D$8,0.1*Reference!$D$8)*(1+Reference!$D$11*(IF(MONTH($A873)=Reference!$D$4,1,0)+IF(MONTH($A873)=Reference!$D$5,1,0))+(IF(MONTH($A873)=Reference!$D$6,Reference!$D$13,0))),0)</f>
        <v>366</v>
      </c>
      <c r="E873" s="11">
        <f ca="1">D873*Reference!$D$7*(1-IF(MONTH($A873)=Reference!$D$6,1,0)*Reference!$D$12)</f>
        <v>274500</v>
      </c>
      <c r="M873" s="20"/>
      <c r="N873" s="20"/>
      <c r="O873" s="19"/>
      <c r="P873" s="10"/>
      <c r="Q873" s="10"/>
      <c r="R873" s="10"/>
      <c r="S873" s="10"/>
      <c r="T873" s="10"/>
      <c r="U873" s="10"/>
      <c r="V873" s="10"/>
      <c r="W873" s="10"/>
      <c r="X873" s="10"/>
      <c r="Y873" s="10"/>
    </row>
    <row r="874" spans="1:25" x14ac:dyDescent="0.25">
      <c r="A874" s="9">
        <v>41412</v>
      </c>
      <c r="B874" s="10">
        <f ca="1">ROUND(_xlfn.NORM.INV(RAND(),Reference!$C$8,0.1*Reference!$C$8)*(1+Reference!$C$11*(IF(MONTH($A874)=Reference!$C$4,1,0)+IF(MONTH($A874)=Reference!$C$5,1,0))+(IF(MONTH($A874)=Reference!$C$6,Reference!$C$13,0))),0)</f>
        <v>529</v>
      </c>
      <c r="C874" s="11">
        <f ca="1">B874*Reference!$C$7*(1-IF(MONTH($A874)=Reference!$C$6,1,0)*Reference!$C$12)</f>
        <v>491970</v>
      </c>
      <c r="D874" s="10">
        <f ca="1">ROUND(_xlfn.NORM.INV(RAND(),Reference!$D$8,0.1*Reference!$D$8)*(1+Reference!$D$11*(IF(MONTH($A874)=Reference!$D$4,1,0)+IF(MONTH($A874)=Reference!$D$5,1,0))+(IF(MONTH($A874)=Reference!$D$6,Reference!$D$13,0))),0)</f>
        <v>384</v>
      </c>
      <c r="E874" s="11">
        <f ca="1">D874*Reference!$D$7*(1-IF(MONTH($A874)=Reference!$D$6,1,0)*Reference!$D$12)</f>
        <v>288000</v>
      </c>
      <c r="M874" s="20"/>
      <c r="N874" s="20"/>
      <c r="O874" s="19"/>
      <c r="P874" s="10"/>
      <c r="Q874" s="10"/>
      <c r="R874" s="10"/>
      <c r="S874" s="10"/>
      <c r="T874" s="10"/>
      <c r="U874" s="10"/>
      <c r="V874" s="10"/>
      <c r="W874" s="10"/>
      <c r="X874" s="10"/>
      <c r="Y874" s="10"/>
    </row>
    <row r="875" spans="1:25" x14ac:dyDescent="0.25">
      <c r="A875" s="9">
        <v>41413</v>
      </c>
      <c r="B875" s="10">
        <f ca="1">ROUND(_xlfn.NORM.INV(RAND(),Reference!$C$8,0.1*Reference!$C$8)*(1+Reference!$C$11*(IF(MONTH($A875)=Reference!$C$4,1,0)+IF(MONTH($A875)=Reference!$C$5,1,0))+(IF(MONTH($A875)=Reference!$C$6,Reference!$C$13,0))),0)</f>
        <v>515</v>
      </c>
      <c r="C875" s="11">
        <f ca="1">B875*Reference!$C$7*(1-IF(MONTH($A875)=Reference!$C$6,1,0)*Reference!$C$12)</f>
        <v>478950</v>
      </c>
      <c r="D875" s="10">
        <f ca="1">ROUND(_xlfn.NORM.INV(RAND(),Reference!$D$8,0.1*Reference!$D$8)*(1+Reference!$D$11*(IF(MONTH($A875)=Reference!$D$4,1,0)+IF(MONTH($A875)=Reference!$D$5,1,0))+(IF(MONTH($A875)=Reference!$D$6,Reference!$D$13,0))),0)</f>
        <v>424</v>
      </c>
      <c r="E875" s="11">
        <f ca="1">D875*Reference!$D$7*(1-IF(MONTH($A875)=Reference!$D$6,1,0)*Reference!$D$12)</f>
        <v>318000</v>
      </c>
      <c r="M875" s="20"/>
      <c r="N875" s="20"/>
      <c r="O875" s="19"/>
      <c r="P875" s="10"/>
      <c r="Q875" s="10"/>
      <c r="R875" s="10"/>
      <c r="S875" s="10"/>
      <c r="T875" s="10"/>
      <c r="U875" s="10"/>
      <c r="V875" s="10"/>
      <c r="W875" s="10"/>
      <c r="X875" s="10"/>
      <c r="Y875" s="10"/>
    </row>
    <row r="876" spans="1:25" x14ac:dyDescent="0.25">
      <c r="A876" s="9">
        <v>41414</v>
      </c>
      <c r="B876" s="10">
        <f ca="1">ROUND(_xlfn.NORM.INV(RAND(),Reference!$C$8,0.1*Reference!$C$8)*(1+Reference!$C$11*(IF(MONTH($A876)=Reference!$C$4,1,0)+IF(MONTH($A876)=Reference!$C$5,1,0))+(IF(MONTH($A876)=Reference!$C$6,Reference!$C$13,0))),0)</f>
        <v>491</v>
      </c>
      <c r="C876" s="11">
        <f ca="1">B876*Reference!$C$7*(1-IF(MONTH($A876)=Reference!$C$6,1,0)*Reference!$C$12)</f>
        <v>456630</v>
      </c>
      <c r="D876" s="10">
        <f ca="1">ROUND(_xlfn.NORM.INV(RAND(),Reference!$D$8,0.1*Reference!$D$8)*(1+Reference!$D$11*(IF(MONTH($A876)=Reference!$D$4,1,0)+IF(MONTH($A876)=Reference!$D$5,1,0))+(IF(MONTH($A876)=Reference!$D$6,Reference!$D$13,0))),0)</f>
        <v>481</v>
      </c>
      <c r="E876" s="11">
        <f ca="1">D876*Reference!$D$7*(1-IF(MONTH($A876)=Reference!$D$6,1,0)*Reference!$D$12)</f>
        <v>360750</v>
      </c>
      <c r="M876" s="20"/>
      <c r="N876" s="20"/>
      <c r="O876" s="19"/>
      <c r="P876" s="10"/>
      <c r="Q876" s="10"/>
      <c r="R876" s="10"/>
      <c r="S876" s="10"/>
      <c r="T876" s="10"/>
      <c r="U876" s="10"/>
      <c r="V876" s="10"/>
      <c r="W876" s="10"/>
      <c r="X876" s="10"/>
      <c r="Y876" s="10"/>
    </row>
    <row r="877" spans="1:25" x14ac:dyDescent="0.25">
      <c r="A877" s="9">
        <v>41415</v>
      </c>
      <c r="B877" s="10">
        <f ca="1">ROUND(_xlfn.NORM.INV(RAND(),Reference!$C$8,0.1*Reference!$C$8)*(1+Reference!$C$11*(IF(MONTH($A877)=Reference!$C$4,1,0)+IF(MONTH($A877)=Reference!$C$5,1,0))+(IF(MONTH($A877)=Reference!$C$6,Reference!$C$13,0))),0)</f>
        <v>548</v>
      </c>
      <c r="C877" s="11">
        <f ca="1">B877*Reference!$C$7*(1-IF(MONTH($A877)=Reference!$C$6,1,0)*Reference!$C$12)</f>
        <v>509640</v>
      </c>
      <c r="D877" s="10">
        <f ca="1">ROUND(_xlfn.NORM.INV(RAND(),Reference!$D$8,0.1*Reference!$D$8)*(1+Reference!$D$11*(IF(MONTH($A877)=Reference!$D$4,1,0)+IF(MONTH($A877)=Reference!$D$5,1,0))+(IF(MONTH($A877)=Reference!$D$6,Reference!$D$13,0))),0)</f>
        <v>471</v>
      </c>
      <c r="E877" s="11">
        <f ca="1">D877*Reference!$D$7*(1-IF(MONTH($A877)=Reference!$D$6,1,0)*Reference!$D$12)</f>
        <v>353250</v>
      </c>
      <c r="M877" s="20"/>
      <c r="N877" s="20"/>
      <c r="O877" s="19"/>
      <c r="P877" s="10"/>
      <c r="Q877" s="10"/>
      <c r="R877" s="10"/>
      <c r="S877" s="10"/>
      <c r="T877" s="10"/>
      <c r="U877" s="10"/>
      <c r="V877" s="10"/>
      <c r="W877" s="10"/>
      <c r="X877" s="10"/>
      <c r="Y877" s="10"/>
    </row>
    <row r="878" spans="1:25" x14ac:dyDescent="0.25">
      <c r="A878" s="9">
        <v>41416</v>
      </c>
      <c r="B878" s="10">
        <f ca="1">ROUND(_xlfn.NORM.INV(RAND(),Reference!$C$8,0.1*Reference!$C$8)*(1+Reference!$C$11*(IF(MONTH($A878)=Reference!$C$4,1,0)+IF(MONTH($A878)=Reference!$C$5,1,0))+(IF(MONTH($A878)=Reference!$C$6,Reference!$C$13,0))),0)</f>
        <v>498</v>
      </c>
      <c r="C878" s="11">
        <f ca="1">B878*Reference!$C$7*(1-IF(MONTH($A878)=Reference!$C$6,1,0)*Reference!$C$12)</f>
        <v>463140</v>
      </c>
      <c r="D878" s="10">
        <f ca="1">ROUND(_xlfn.NORM.INV(RAND(),Reference!$D$8,0.1*Reference!$D$8)*(1+Reference!$D$11*(IF(MONTH($A878)=Reference!$D$4,1,0)+IF(MONTH($A878)=Reference!$D$5,1,0))+(IF(MONTH($A878)=Reference!$D$6,Reference!$D$13,0))),0)</f>
        <v>409</v>
      </c>
      <c r="E878" s="11">
        <f ca="1">D878*Reference!$D$7*(1-IF(MONTH($A878)=Reference!$D$6,1,0)*Reference!$D$12)</f>
        <v>306750</v>
      </c>
      <c r="M878" s="20"/>
      <c r="N878" s="20"/>
      <c r="O878" s="19"/>
      <c r="P878" s="10"/>
      <c r="Q878" s="10"/>
      <c r="R878" s="10"/>
      <c r="S878" s="10"/>
      <c r="T878" s="10"/>
      <c r="U878" s="10"/>
      <c r="V878" s="10"/>
      <c r="W878" s="10"/>
      <c r="X878" s="10"/>
      <c r="Y878" s="10"/>
    </row>
    <row r="879" spans="1:25" x14ac:dyDescent="0.25">
      <c r="A879" s="9">
        <v>41417</v>
      </c>
      <c r="B879" s="10">
        <f ca="1">ROUND(_xlfn.NORM.INV(RAND(),Reference!$C$8,0.1*Reference!$C$8)*(1+Reference!$C$11*(IF(MONTH($A879)=Reference!$C$4,1,0)+IF(MONTH($A879)=Reference!$C$5,1,0))+(IF(MONTH($A879)=Reference!$C$6,Reference!$C$13,0))),0)</f>
        <v>542</v>
      </c>
      <c r="C879" s="11">
        <f ca="1">B879*Reference!$C$7*(1-IF(MONTH($A879)=Reference!$C$6,1,0)*Reference!$C$12)</f>
        <v>504060</v>
      </c>
      <c r="D879" s="10">
        <f ca="1">ROUND(_xlfn.NORM.INV(RAND(),Reference!$D$8,0.1*Reference!$D$8)*(1+Reference!$D$11*(IF(MONTH($A879)=Reference!$D$4,1,0)+IF(MONTH($A879)=Reference!$D$5,1,0))+(IF(MONTH($A879)=Reference!$D$6,Reference!$D$13,0))),0)</f>
        <v>388</v>
      </c>
      <c r="E879" s="11">
        <f ca="1">D879*Reference!$D$7*(1-IF(MONTH($A879)=Reference!$D$6,1,0)*Reference!$D$12)</f>
        <v>291000</v>
      </c>
      <c r="M879" s="20"/>
      <c r="N879" s="20"/>
      <c r="O879" s="19"/>
      <c r="P879" s="10"/>
      <c r="Q879" s="10"/>
      <c r="R879" s="10"/>
      <c r="S879" s="10"/>
      <c r="T879" s="10"/>
      <c r="U879" s="10"/>
      <c r="V879" s="10"/>
      <c r="W879" s="10"/>
      <c r="X879" s="10"/>
      <c r="Y879" s="10"/>
    </row>
    <row r="880" spans="1:25" x14ac:dyDescent="0.25">
      <c r="A880" s="9">
        <v>41418</v>
      </c>
      <c r="B880" s="10">
        <f ca="1">ROUND(_xlfn.NORM.INV(RAND(),Reference!$C$8,0.1*Reference!$C$8)*(1+Reference!$C$11*(IF(MONTH($A880)=Reference!$C$4,1,0)+IF(MONTH($A880)=Reference!$C$5,1,0))+(IF(MONTH($A880)=Reference!$C$6,Reference!$C$13,0))),0)</f>
        <v>592</v>
      </c>
      <c r="C880" s="11">
        <f ca="1">B880*Reference!$C$7*(1-IF(MONTH($A880)=Reference!$C$6,1,0)*Reference!$C$12)</f>
        <v>550560</v>
      </c>
      <c r="D880" s="10">
        <f ca="1">ROUND(_xlfn.NORM.INV(RAND(),Reference!$D$8,0.1*Reference!$D$8)*(1+Reference!$D$11*(IF(MONTH($A880)=Reference!$D$4,1,0)+IF(MONTH($A880)=Reference!$D$5,1,0))+(IF(MONTH($A880)=Reference!$D$6,Reference!$D$13,0))),0)</f>
        <v>450</v>
      </c>
      <c r="E880" s="11">
        <f ca="1">D880*Reference!$D$7*(1-IF(MONTH($A880)=Reference!$D$6,1,0)*Reference!$D$12)</f>
        <v>337500</v>
      </c>
      <c r="M880" s="20"/>
      <c r="N880" s="20"/>
      <c r="O880" s="19"/>
      <c r="P880" s="10"/>
      <c r="Q880" s="10"/>
      <c r="R880" s="10"/>
      <c r="S880" s="10"/>
      <c r="T880" s="10"/>
      <c r="U880" s="10"/>
      <c r="V880" s="10"/>
      <c r="W880" s="10"/>
      <c r="X880" s="10"/>
      <c r="Y880" s="10"/>
    </row>
    <row r="881" spans="1:25" x14ac:dyDescent="0.25">
      <c r="A881" s="9">
        <v>41419</v>
      </c>
      <c r="B881" s="10">
        <f ca="1">ROUND(_xlfn.NORM.INV(RAND(),Reference!$C$8,0.1*Reference!$C$8)*(1+Reference!$C$11*(IF(MONTH($A881)=Reference!$C$4,1,0)+IF(MONTH($A881)=Reference!$C$5,1,0))+(IF(MONTH($A881)=Reference!$C$6,Reference!$C$13,0))),0)</f>
        <v>519</v>
      </c>
      <c r="C881" s="11">
        <f ca="1">B881*Reference!$C$7*(1-IF(MONTH($A881)=Reference!$C$6,1,0)*Reference!$C$12)</f>
        <v>482670</v>
      </c>
      <c r="D881" s="10">
        <f ca="1">ROUND(_xlfn.NORM.INV(RAND(),Reference!$D$8,0.1*Reference!$D$8)*(1+Reference!$D$11*(IF(MONTH($A881)=Reference!$D$4,1,0)+IF(MONTH($A881)=Reference!$D$5,1,0))+(IF(MONTH($A881)=Reference!$D$6,Reference!$D$13,0))),0)</f>
        <v>465</v>
      </c>
      <c r="E881" s="11">
        <f ca="1">D881*Reference!$D$7*(1-IF(MONTH($A881)=Reference!$D$6,1,0)*Reference!$D$12)</f>
        <v>348750</v>
      </c>
      <c r="M881" s="20"/>
      <c r="N881" s="20"/>
      <c r="O881" s="19"/>
      <c r="P881" s="10"/>
      <c r="Q881" s="10"/>
      <c r="R881" s="10"/>
      <c r="S881" s="10"/>
      <c r="T881" s="10"/>
      <c r="U881" s="10"/>
      <c r="V881" s="10"/>
      <c r="W881" s="10"/>
      <c r="X881" s="10"/>
      <c r="Y881" s="10"/>
    </row>
    <row r="882" spans="1:25" x14ac:dyDescent="0.25">
      <c r="A882" s="9">
        <v>41420</v>
      </c>
      <c r="B882" s="10">
        <f ca="1">ROUND(_xlfn.NORM.INV(RAND(),Reference!$C$8,0.1*Reference!$C$8)*(1+Reference!$C$11*(IF(MONTH($A882)=Reference!$C$4,1,0)+IF(MONTH($A882)=Reference!$C$5,1,0))+(IF(MONTH($A882)=Reference!$C$6,Reference!$C$13,0))),0)</f>
        <v>472</v>
      </c>
      <c r="C882" s="11">
        <f ca="1">B882*Reference!$C$7*(1-IF(MONTH($A882)=Reference!$C$6,1,0)*Reference!$C$12)</f>
        <v>438960</v>
      </c>
      <c r="D882" s="10">
        <f ca="1">ROUND(_xlfn.NORM.INV(RAND(),Reference!$D$8,0.1*Reference!$D$8)*(1+Reference!$D$11*(IF(MONTH($A882)=Reference!$D$4,1,0)+IF(MONTH($A882)=Reference!$D$5,1,0))+(IF(MONTH($A882)=Reference!$D$6,Reference!$D$13,0))),0)</f>
        <v>390</v>
      </c>
      <c r="E882" s="11">
        <f ca="1">D882*Reference!$D$7*(1-IF(MONTH($A882)=Reference!$D$6,1,0)*Reference!$D$12)</f>
        <v>292500</v>
      </c>
      <c r="M882" s="20"/>
      <c r="N882" s="20"/>
      <c r="O882" s="19"/>
      <c r="P882" s="10"/>
      <c r="Q882" s="10"/>
      <c r="R882" s="10"/>
      <c r="S882" s="10"/>
      <c r="T882" s="10"/>
      <c r="U882" s="10"/>
      <c r="V882" s="10"/>
      <c r="W882" s="10"/>
      <c r="X882" s="10"/>
      <c r="Y882" s="10"/>
    </row>
    <row r="883" spans="1:25" x14ac:dyDescent="0.25">
      <c r="A883" s="9">
        <v>41421</v>
      </c>
      <c r="B883" s="10">
        <f ca="1">ROUND(_xlfn.NORM.INV(RAND(),Reference!$C$8,0.1*Reference!$C$8)*(1+Reference!$C$11*(IF(MONTH($A883)=Reference!$C$4,1,0)+IF(MONTH($A883)=Reference!$C$5,1,0))+(IF(MONTH($A883)=Reference!$C$6,Reference!$C$13,0))),0)</f>
        <v>529</v>
      </c>
      <c r="C883" s="11">
        <f ca="1">B883*Reference!$C$7*(1-IF(MONTH($A883)=Reference!$C$6,1,0)*Reference!$C$12)</f>
        <v>491970</v>
      </c>
      <c r="D883" s="10">
        <f ca="1">ROUND(_xlfn.NORM.INV(RAND(),Reference!$D$8,0.1*Reference!$D$8)*(1+Reference!$D$11*(IF(MONTH($A883)=Reference!$D$4,1,0)+IF(MONTH($A883)=Reference!$D$5,1,0))+(IF(MONTH($A883)=Reference!$D$6,Reference!$D$13,0))),0)</f>
        <v>372</v>
      </c>
      <c r="E883" s="11">
        <f ca="1">D883*Reference!$D$7*(1-IF(MONTH($A883)=Reference!$D$6,1,0)*Reference!$D$12)</f>
        <v>279000</v>
      </c>
      <c r="M883" s="20"/>
      <c r="N883" s="20"/>
      <c r="O883" s="19"/>
      <c r="P883" s="10"/>
      <c r="Q883" s="10"/>
      <c r="R883" s="10"/>
      <c r="S883" s="10"/>
      <c r="T883" s="10"/>
      <c r="U883" s="10"/>
      <c r="V883" s="10"/>
      <c r="W883" s="10"/>
      <c r="X883" s="10"/>
      <c r="Y883" s="10"/>
    </row>
    <row r="884" spans="1:25" x14ac:dyDescent="0.25">
      <c r="A884" s="9">
        <v>41422</v>
      </c>
      <c r="B884" s="10">
        <f ca="1">ROUND(_xlfn.NORM.INV(RAND(),Reference!$C$8,0.1*Reference!$C$8)*(1+Reference!$C$11*(IF(MONTH($A884)=Reference!$C$4,1,0)+IF(MONTH($A884)=Reference!$C$5,1,0))+(IF(MONTH($A884)=Reference!$C$6,Reference!$C$13,0))),0)</f>
        <v>592</v>
      </c>
      <c r="C884" s="11">
        <f ca="1">B884*Reference!$C$7*(1-IF(MONTH($A884)=Reference!$C$6,1,0)*Reference!$C$12)</f>
        <v>550560</v>
      </c>
      <c r="D884" s="10">
        <f ca="1">ROUND(_xlfn.NORM.INV(RAND(),Reference!$D$8,0.1*Reference!$D$8)*(1+Reference!$D$11*(IF(MONTH($A884)=Reference!$D$4,1,0)+IF(MONTH($A884)=Reference!$D$5,1,0))+(IF(MONTH($A884)=Reference!$D$6,Reference!$D$13,0))),0)</f>
        <v>489</v>
      </c>
      <c r="E884" s="11">
        <f ca="1">D884*Reference!$D$7*(1-IF(MONTH($A884)=Reference!$D$6,1,0)*Reference!$D$12)</f>
        <v>366750</v>
      </c>
      <c r="M884" s="20"/>
      <c r="N884" s="20"/>
      <c r="O884" s="19"/>
      <c r="P884" s="10"/>
      <c r="Q884" s="10"/>
      <c r="R884" s="10"/>
      <c r="S884" s="10"/>
      <c r="T884" s="10"/>
      <c r="U884" s="10"/>
      <c r="V884" s="10"/>
      <c r="W884" s="10"/>
      <c r="X884" s="10"/>
      <c r="Y884" s="10"/>
    </row>
    <row r="885" spans="1:25" x14ac:dyDescent="0.25">
      <c r="A885" s="9">
        <v>41423</v>
      </c>
      <c r="B885" s="10">
        <f ca="1">ROUND(_xlfn.NORM.INV(RAND(),Reference!$C$8,0.1*Reference!$C$8)*(1+Reference!$C$11*(IF(MONTH($A885)=Reference!$C$4,1,0)+IF(MONTH($A885)=Reference!$C$5,1,0))+(IF(MONTH($A885)=Reference!$C$6,Reference!$C$13,0))),0)</f>
        <v>496</v>
      </c>
      <c r="C885" s="11">
        <f ca="1">B885*Reference!$C$7*(1-IF(MONTH($A885)=Reference!$C$6,1,0)*Reference!$C$12)</f>
        <v>461280</v>
      </c>
      <c r="D885" s="10">
        <f ca="1">ROUND(_xlfn.NORM.INV(RAND(),Reference!$D$8,0.1*Reference!$D$8)*(1+Reference!$D$11*(IF(MONTH($A885)=Reference!$D$4,1,0)+IF(MONTH($A885)=Reference!$D$5,1,0))+(IF(MONTH($A885)=Reference!$D$6,Reference!$D$13,0))),0)</f>
        <v>432</v>
      </c>
      <c r="E885" s="11">
        <f ca="1">D885*Reference!$D$7*(1-IF(MONTH($A885)=Reference!$D$6,1,0)*Reference!$D$12)</f>
        <v>324000</v>
      </c>
      <c r="M885" s="20"/>
      <c r="N885" s="20"/>
      <c r="O885" s="19"/>
      <c r="P885" s="10"/>
      <c r="Q885" s="10"/>
      <c r="R885" s="10"/>
      <c r="S885" s="10"/>
      <c r="T885" s="10"/>
      <c r="U885" s="10"/>
      <c r="V885" s="10"/>
      <c r="W885" s="10"/>
      <c r="X885" s="10"/>
      <c r="Y885" s="10"/>
    </row>
    <row r="886" spans="1:25" x14ac:dyDescent="0.25">
      <c r="A886" s="9">
        <v>41424</v>
      </c>
      <c r="B886" s="10">
        <f ca="1">ROUND(_xlfn.NORM.INV(RAND(),Reference!$C$8,0.1*Reference!$C$8)*(1+Reference!$C$11*(IF(MONTH($A886)=Reference!$C$4,1,0)+IF(MONTH($A886)=Reference!$C$5,1,0))+(IF(MONTH($A886)=Reference!$C$6,Reference!$C$13,0))),0)</f>
        <v>453</v>
      </c>
      <c r="C886" s="11">
        <f ca="1">B886*Reference!$C$7*(1-IF(MONTH($A886)=Reference!$C$6,1,0)*Reference!$C$12)</f>
        <v>421290</v>
      </c>
      <c r="D886" s="10">
        <f ca="1">ROUND(_xlfn.NORM.INV(RAND(),Reference!$D$8,0.1*Reference!$D$8)*(1+Reference!$D$11*(IF(MONTH($A886)=Reference!$D$4,1,0)+IF(MONTH($A886)=Reference!$D$5,1,0))+(IF(MONTH($A886)=Reference!$D$6,Reference!$D$13,0))),0)</f>
        <v>463</v>
      </c>
      <c r="E886" s="11">
        <f ca="1">D886*Reference!$D$7*(1-IF(MONTH($A886)=Reference!$D$6,1,0)*Reference!$D$12)</f>
        <v>347250</v>
      </c>
      <c r="M886" s="20"/>
      <c r="N886" s="20"/>
      <c r="O886" s="19"/>
      <c r="P886" s="10"/>
      <c r="Q886" s="10"/>
      <c r="R886" s="10"/>
      <c r="S886" s="10"/>
      <c r="T886" s="10"/>
      <c r="U886" s="10"/>
      <c r="V886" s="10"/>
      <c r="W886" s="10"/>
      <c r="X886" s="10"/>
      <c r="Y886" s="10"/>
    </row>
    <row r="887" spans="1:25" x14ac:dyDescent="0.25">
      <c r="A887" s="9">
        <v>41425</v>
      </c>
      <c r="B887" s="10">
        <f ca="1">ROUND(_xlfn.NORM.INV(RAND(),Reference!$C$8,0.1*Reference!$C$8)*(1+Reference!$C$11*(IF(MONTH($A887)=Reference!$C$4,1,0)+IF(MONTH($A887)=Reference!$C$5,1,0))+(IF(MONTH($A887)=Reference!$C$6,Reference!$C$13,0))),0)</f>
        <v>552</v>
      </c>
      <c r="C887" s="11">
        <f ca="1">B887*Reference!$C$7*(1-IF(MONTH($A887)=Reference!$C$6,1,0)*Reference!$C$12)</f>
        <v>513360</v>
      </c>
      <c r="D887" s="10">
        <f ca="1">ROUND(_xlfn.NORM.INV(RAND(),Reference!$D$8,0.1*Reference!$D$8)*(1+Reference!$D$11*(IF(MONTH($A887)=Reference!$D$4,1,0)+IF(MONTH($A887)=Reference!$D$5,1,0))+(IF(MONTH($A887)=Reference!$D$6,Reference!$D$13,0))),0)</f>
        <v>497</v>
      </c>
      <c r="E887" s="11">
        <f ca="1">D887*Reference!$D$7*(1-IF(MONTH($A887)=Reference!$D$6,1,0)*Reference!$D$12)</f>
        <v>372750</v>
      </c>
      <c r="M887" s="20"/>
      <c r="N887" s="20"/>
      <c r="O887" s="19"/>
      <c r="P887" s="10"/>
      <c r="Q887" s="10"/>
      <c r="R887" s="10"/>
      <c r="S887" s="10"/>
      <c r="T887" s="10"/>
      <c r="U887" s="10"/>
      <c r="V887" s="10"/>
      <c r="W887" s="10"/>
      <c r="X887" s="10"/>
      <c r="Y887" s="10"/>
    </row>
    <row r="888" spans="1:25" x14ac:dyDescent="0.25">
      <c r="A888" s="9">
        <v>41426</v>
      </c>
      <c r="B888" s="10">
        <f ca="1">ROUND(_xlfn.NORM.INV(RAND(),Reference!$C$8,0.1*Reference!$C$8)*(1+Reference!$C$11*(IF(MONTH($A888)=Reference!$C$4,1,0)+IF(MONTH($A888)=Reference!$C$5,1,0))+(IF(MONTH($A888)=Reference!$C$6,Reference!$C$13,0))),0)</f>
        <v>428</v>
      </c>
      <c r="C888" s="11">
        <f ca="1">B888*Reference!$C$7*(1-IF(MONTH($A888)=Reference!$C$6,1,0)*Reference!$C$12)</f>
        <v>159216</v>
      </c>
      <c r="D888" s="10">
        <f ca="1">ROUND(_xlfn.NORM.INV(RAND(),Reference!$D$8,0.1*Reference!$D$8)*(1+Reference!$D$11*(IF(MONTH($A888)=Reference!$D$4,1,0)+IF(MONTH($A888)=Reference!$D$5,1,0))+(IF(MONTH($A888)=Reference!$D$6,Reference!$D$13,0))),0)</f>
        <v>517</v>
      </c>
      <c r="E888" s="11">
        <f ca="1">D888*Reference!$D$7*(1-IF(MONTH($A888)=Reference!$D$6,1,0)*Reference!$D$12)</f>
        <v>387750</v>
      </c>
      <c r="M888" s="20"/>
      <c r="N888" s="20"/>
      <c r="O888" s="19"/>
      <c r="P888" s="10"/>
      <c r="Q888" s="10"/>
      <c r="R888" s="10"/>
      <c r="S888" s="10"/>
      <c r="T888" s="10"/>
      <c r="U888" s="10"/>
      <c r="V888" s="10"/>
      <c r="W888" s="10"/>
      <c r="X888" s="10"/>
      <c r="Y888" s="10"/>
    </row>
    <row r="889" spans="1:25" x14ac:dyDescent="0.25">
      <c r="A889" s="9">
        <v>41427</v>
      </c>
      <c r="B889" s="10">
        <f ca="1">ROUND(_xlfn.NORM.INV(RAND(),Reference!$C$8,0.1*Reference!$C$8)*(1+Reference!$C$11*(IF(MONTH($A889)=Reference!$C$4,1,0)+IF(MONTH($A889)=Reference!$C$5,1,0))+(IF(MONTH($A889)=Reference!$C$6,Reference!$C$13,0))),0)</f>
        <v>426</v>
      </c>
      <c r="C889" s="11">
        <f ca="1">B889*Reference!$C$7*(1-IF(MONTH($A889)=Reference!$C$6,1,0)*Reference!$C$12)</f>
        <v>158472</v>
      </c>
      <c r="D889" s="10">
        <f ca="1">ROUND(_xlfn.NORM.INV(RAND(),Reference!$D$8,0.1*Reference!$D$8)*(1+Reference!$D$11*(IF(MONTH($A889)=Reference!$D$4,1,0)+IF(MONTH($A889)=Reference!$D$5,1,0))+(IF(MONTH($A889)=Reference!$D$6,Reference!$D$13,0))),0)</f>
        <v>391</v>
      </c>
      <c r="E889" s="11">
        <f ca="1">D889*Reference!$D$7*(1-IF(MONTH($A889)=Reference!$D$6,1,0)*Reference!$D$12)</f>
        <v>293250</v>
      </c>
      <c r="M889" s="20"/>
      <c r="N889" s="20"/>
      <c r="O889" s="19"/>
      <c r="P889" s="10"/>
      <c r="Q889" s="10"/>
      <c r="R889" s="10"/>
      <c r="S889" s="10"/>
      <c r="T889" s="10"/>
      <c r="U889" s="10"/>
      <c r="V889" s="10"/>
      <c r="W889" s="10"/>
      <c r="X889" s="10"/>
      <c r="Y889" s="10"/>
    </row>
    <row r="890" spans="1:25" x14ac:dyDescent="0.25">
      <c r="A890" s="9">
        <v>41428</v>
      </c>
      <c r="B890" s="10">
        <f ca="1">ROUND(_xlfn.NORM.INV(RAND(),Reference!$C$8,0.1*Reference!$C$8)*(1+Reference!$C$11*(IF(MONTH($A890)=Reference!$C$4,1,0)+IF(MONTH($A890)=Reference!$C$5,1,0))+(IF(MONTH($A890)=Reference!$C$6,Reference!$C$13,0))),0)</f>
        <v>519</v>
      </c>
      <c r="C890" s="11">
        <f ca="1">B890*Reference!$C$7*(1-IF(MONTH($A890)=Reference!$C$6,1,0)*Reference!$C$12)</f>
        <v>193068</v>
      </c>
      <c r="D890" s="10">
        <f ca="1">ROUND(_xlfn.NORM.INV(RAND(),Reference!$D$8,0.1*Reference!$D$8)*(1+Reference!$D$11*(IF(MONTH($A890)=Reference!$D$4,1,0)+IF(MONTH($A890)=Reference!$D$5,1,0))+(IF(MONTH($A890)=Reference!$D$6,Reference!$D$13,0))),0)</f>
        <v>442</v>
      </c>
      <c r="E890" s="11">
        <f ca="1">D890*Reference!$D$7*(1-IF(MONTH($A890)=Reference!$D$6,1,0)*Reference!$D$12)</f>
        <v>331500</v>
      </c>
      <c r="M890" s="20"/>
      <c r="N890" s="20"/>
      <c r="O890" s="19"/>
      <c r="P890" s="10"/>
      <c r="Q890" s="10"/>
      <c r="R890" s="10"/>
      <c r="S890" s="10"/>
      <c r="T890" s="10"/>
      <c r="U890" s="10"/>
      <c r="V890" s="10"/>
      <c r="W890" s="10"/>
      <c r="X890" s="10"/>
      <c r="Y890" s="10"/>
    </row>
    <row r="891" spans="1:25" x14ac:dyDescent="0.25">
      <c r="A891" s="9">
        <v>41429</v>
      </c>
      <c r="B891" s="10">
        <f ca="1">ROUND(_xlfn.NORM.INV(RAND(),Reference!$C$8,0.1*Reference!$C$8)*(1+Reference!$C$11*(IF(MONTH($A891)=Reference!$C$4,1,0)+IF(MONTH($A891)=Reference!$C$5,1,0))+(IF(MONTH($A891)=Reference!$C$6,Reference!$C$13,0))),0)</f>
        <v>387</v>
      </c>
      <c r="C891" s="11">
        <f ca="1">B891*Reference!$C$7*(1-IF(MONTH($A891)=Reference!$C$6,1,0)*Reference!$C$12)</f>
        <v>143964</v>
      </c>
      <c r="D891" s="10">
        <f ca="1">ROUND(_xlfn.NORM.INV(RAND(),Reference!$D$8,0.1*Reference!$D$8)*(1+Reference!$D$11*(IF(MONTH($A891)=Reference!$D$4,1,0)+IF(MONTH($A891)=Reference!$D$5,1,0))+(IF(MONTH($A891)=Reference!$D$6,Reference!$D$13,0))),0)</f>
        <v>458</v>
      </c>
      <c r="E891" s="11">
        <f ca="1">D891*Reference!$D$7*(1-IF(MONTH($A891)=Reference!$D$6,1,0)*Reference!$D$12)</f>
        <v>343500</v>
      </c>
      <c r="M891" s="20"/>
      <c r="N891" s="20"/>
      <c r="O891" s="19"/>
      <c r="P891" s="10"/>
      <c r="Q891" s="10"/>
      <c r="R891" s="10"/>
      <c r="S891" s="10"/>
      <c r="T891" s="10"/>
      <c r="U891" s="10"/>
      <c r="V891" s="10"/>
      <c r="W891" s="10"/>
      <c r="X891" s="10"/>
      <c r="Y891" s="10"/>
    </row>
    <row r="892" spans="1:25" x14ac:dyDescent="0.25">
      <c r="A892" s="9">
        <v>41430</v>
      </c>
      <c r="B892" s="10">
        <f ca="1">ROUND(_xlfn.NORM.INV(RAND(),Reference!$C$8,0.1*Reference!$C$8)*(1+Reference!$C$11*(IF(MONTH($A892)=Reference!$C$4,1,0)+IF(MONTH($A892)=Reference!$C$5,1,0))+(IF(MONTH($A892)=Reference!$C$6,Reference!$C$13,0))),0)</f>
        <v>506</v>
      </c>
      <c r="C892" s="11">
        <f ca="1">B892*Reference!$C$7*(1-IF(MONTH($A892)=Reference!$C$6,1,0)*Reference!$C$12)</f>
        <v>188232</v>
      </c>
      <c r="D892" s="10">
        <f ca="1">ROUND(_xlfn.NORM.INV(RAND(),Reference!$D$8,0.1*Reference!$D$8)*(1+Reference!$D$11*(IF(MONTH($A892)=Reference!$D$4,1,0)+IF(MONTH($A892)=Reference!$D$5,1,0))+(IF(MONTH($A892)=Reference!$D$6,Reference!$D$13,0))),0)</f>
        <v>572</v>
      </c>
      <c r="E892" s="11">
        <f ca="1">D892*Reference!$D$7*(1-IF(MONTH($A892)=Reference!$D$6,1,0)*Reference!$D$12)</f>
        <v>429000</v>
      </c>
      <c r="M892" s="20"/>
      <c r="N892" s="20"/>
      <c r="O892" s="19"/>
      <c r="P892" s="10"/>
      <c r="Q892" s="10"/>
      <c r="R892" s="10"/>
      <c r="S892" s="10"/>
      <c r="T892" s="10"/>
      <c r="U892" s="10"/>
      <c r="V892" s="10"/>
      <c r="W892" s="10"/>
      <c r="X892" s="10"/>
      <c r="Y892" s="10"/>
    </row>
    <row r="893" spans="1:25" x14ac:dyDescent="0.25">
      <c r="A893" s="9">
        <v>41431</v>
      </c>
      <c r="B893" s="10">
        <f ca="1">ROUND(_xlfn.NORM.INV(RAND(),Reference!$C$8,0.1*Reference!$C$8)*(1+Reference!$C$11*(IF(MONTH($A893)=Reference!$C$4,1,0)+IF(MONTH($A893)=Reference!$C$5,1,0))+(IF(MONTH($A893)=Reference!$C$6,Reference!$C$13,0))),0)</f>
        <v>416</v>
      </c>
      <c r="C893" s="11">
        <f ca="1">B893*Reference!$C$7*(1-IF(MONTH($A893)=Reference!$C$6,1,0)*Reference!$C$12)</f>
        <v>154752</v>
      </c>
      <c r="D893" s="10">
        <f ca="1">ROUND(_xlfn.NORM.INV(RAND(),Reference!$D$8,0.1*Reference!$D$8)*(1+Reference!$D$11*(IF(MONTH($A893)=Reference!$D$4,1,0)+IF(MONTH($A893)=Reference!$D$5,1,0))+(IF(MONTH($A893)=Reference!$D$6,Reference!$D$13,0))),0)</f>
        <v>354</v>
      </c>
      <c r="E893" s="11">
        <f ca="1">D893*Reference!$D$7*(1-IF(MONTH($A893)=Reference!$D$6,1,0)*Reference!$D$12)</f>
        <v>265500</v>
      </c>
      <c r="M893" s="20"/>
      <c r="N893" s="20"/>
      <c r="O893" s="19"/>
      <c r="P893" s="10"/>
      <c r="Q893" s="10"/>
      <c r="R893" s="10"/>
      <c r="S893" s="10"/>
      <c r="T893" s="10"/>
      <c r="U893" s="10"/>
      <c r="V893" s="10"/>
      <c r="W893" s="10"/>
      <c r="X893" s="10"/>
      <c r="Y893" s="10"/>
    </row>
    <row r="894" spans="1:25" x14ac:dyDescent="0.25">
      <c r="A894" s="9">
        <v>41432</v>
      </c>
      <c r="B894" s="10">
        <f ca="1">ROUND(_xlfn.NORM.INV(RAND(),Reference!$C$8,0.1*Reference!$C$8)*(1+Reference!$C$11*(IF(MONTH($A894)=Reference!$C$4,1,0)+IF(MONTH($A894)=Reference!$C$5,1,0))+(IF(MONTH($A894)=Reference!$C$6,Reference!$C$13,0))),0)</f>
        <v>468</v>
      </c>
      <c r="C894" s="11">
        <f ca="1">B894*Reference!$C$7*(1-IF(MONTH($A894)=Reference!$C$6,1,0)*Reference!$C$12)</f>
        <v>174096</v>
      </c>
      <c r="D894" s="10">
        <f ca="1">ROUND(_xlfn.NORM.INV(RAND(),Reference!$D$8,0.1*Reference!$D$8)*(1+Reference!$D$11*(IF(MONTH($A894)=Reference!$D$4,1,0)+IF(MONTH($A894)=Reference!$D$5,1,0))+(IF(MONTH($A894)=Reference!$D$6,Reference!$D$13,0))),0)</f>
        <v>407</v>
      </c>
      <c r="E894" s="11">
        <f ca="1">D894*Reference!$D$7*(1-IF(MONTH($A894)=Reference!$D$6,1,0)*Reference!$D$12)</f>
        <v>305250</v>
      </c>
      <c r="M894" s="20"/>
      <c r="N894" s="20"/>
      <c r="O894" s="19"/>
      <c r="P894" s="10"/>
      <c r="Q894" s="10"/>
      <c r="R894" s="10"/>
      <c r="S894" s="10"/>
      <c r="T894" s="10"/>
      <c r="U894" s="10"/>
      <c r="V894" s="10"/>
      <c r="W894" s="10"/>
      <c r="X894" s="10"/>
      <c r="Y894" s="10"/>
    </row>
    <row r="895" spans="1:25" x14ac:dyDescent="0.25">
      <c r="A895" s="9">
        <v>41433</v>
      </c>
      <c r="B895" s="10">
        <f ca="1">ROUND(_xlfn.NORM.INV(RAND(),Reference!$C$8,0.1*Reference!$C$8)*(1+Reference!$C$11*(IF(MONTH($A895)=Reference!$C$4,1,0)+IF(MONTH($A895)=Reference!$C$5,1,0))+(IF(MONTH($A895)=Reference!$C$6,Reference!$C$13,0))),0)</f>
        <v>503</v>
      </c>
      <c r="C895" s="11">
        <f ca="1">B895*Reference!$C$7*(1-IF(MONTH($A895)=Reference!$C$6,1,0)*Reference!$C$12)</f>
        <v>187116</v>
      </c>
      <c r="D895" s="10">
        <f ca="1">ROUND(_xlfn.NORM.INV(RAND(),Reference!$D$8,0.1*Reference!$D$8)*(1+Reference!$D$11*(IF(MONTH($A895)=Reference!$D$4,1,0)+IF(MONTH($A895)=Reference!$D$5,1,0))+(IF(MONTH($A895)=Reference!$D$6,Reference!$D$13,0))),0)</f>
        <v>540</v>
      </c>
      <c r="E895" s="11">
        <f ca="1">D895*Reference!$D$7*(1-IF(MONTH($A895)=Reference!$D$6,1,0)*Reference!$D$12)</f>
        <v>405000</v>
      </c>
      <c r="M895" s="20"/>
      <c r="N895" s="20"/>
      <c r="O895" s="19"/>
      <c r="P895" s="10"/>
      <c r="Q895" s="10"/>
      <c r="R895" s="10"/>
      <c r="S895" s="10"/>
      <c r="T895" s="10"/>
      <c r="U895" s="10"/>
      <c r="V895" s="10"/>
      <c r="W895" s="10"/>
      <c r="X895" s="10"/>
      <c r="Y895" s="10"/>
    </row>
    <row r="896" spans="1:25" x14ac:dyDescent="0.25">
      <c r="A896" s="9">
        <v>41434</v>
      </c>
      <c r="B896" s="10">
        <f ca="1">ROUND(_xlfn.NORM.INV(RAND(),Reference!$C$8,0.1*Reference!$C$8)*(1+Reference!$C$11*(IF(MONTH($A896)=Reference!$C$4,1,0)+IF(MONTH($A896)=Reference!$C$5,1,0))+(IF(MONTH($A896)=Reference!$C$6,Reference!$C$13,0))),0)</f>
        <v>456</v>
      </c>
      <c r="C896" s="11">
        <f ca="1">B896*Reference!$C$7*(1-IF(MONTH($A896)=Reference!$C$6,1,0)*Reference!$C$12)</f>
        <v>169632</v>
      </c>
      <c r="D896" s="10">
        <f ca="1">ROUND(_xlfn.NORM.INV(RAND(),Reference!$D$8,0.1*Reference!$D$8)*(1+Reference!$D$11*(IF(MONTH($A896)=Reference!$D$4,1,0)+IF(MONTH($A896)=Reference!$D$5,1,0))+(IF(MONTH($A896)=Reference!$D$6,Reference!$D$13,0))),0)</f>
        <v>477</v>
      </c>
      <c r="E896" s="11">
        <f ca="1">D896*Reference!$D$7*(1-IF(MONTH($A896)=Reference!$D$6,1,0)*Reference!$D$12)</f>
        <v>357750</v>
      </c>
      <c r="M896" s="20"/>
      <c r="N896" s="20"/>
      <c r="O896" s="19"/>
      <c r="P896" s="10"/>
      <c r="Q896" s="10"/>
      <c r="R896" s="10"/>
      <c r="S896" s="10"/>
      <c r="T896" s="10"/>
      <c r="U896" s="10"/>
      <c r="V896" s="10"/>
      <c r="W896" s="10"/>
      <c r="X896" s="10"/>
      <c r="Y896" s="10"/>
    </row>
    <row r="897" spans="1:25" x14ac:dyDescent="0.25">
      <c r="A897" s="9">
        <v>41435</v>
      </c>
      <c r="B897" s="10">
        <f ca="1">ROUND(_xlfn.NORM.INV(RAND(),Reference!$C$8,0.1*Reference!$C$8)*(1+Reference!$C$11*(IF(MONTH($A897)=Reference!$C$4,1,0)+IF(MONTH($A897)=Reference!$C$5,1,0))+(IF(MONTH($A897)=Reference!$C$6,Reference!$C$13,0))),0)</f>
        <v>475</v>
      </c>
      <c r="C897" s="11">
        <f ca="1">B897*Reference!$C$7*(1-IF(MONTH($A897)=Reference!$C$6,1,0)*Reference!$C$12)</f>
        <v>176700</v>
      </c>
      <c r="D897" s="10">
        <f ca="1">ROUND(_xlfn.NORM.INV(RAND(),Reference!$D$8,0.1*Reference!$D$8)*(1+Reference!$D$11*(IF(MONTH($A897)=Reference!$D$4,1,0)+IF(MONTH($A897)=Reference!$D$5,1,0))+(IF(MONTH($A897)=Reference!$D$6,Reference!$D$13,0))),0)</f>
        <v>397</v>
      </c>
      <c r="E897" s="11">
        <f ca="1">D897*Reference!$D$7*(1-IF(MONTH($A897)=Reference!$D$6,1,0)*Reference!$D$12)</f>
        <v>297750</v>
      </c>
      <c r="M897" s="20"/>
      <c r="N897" s="20"/>
      <c r="O897" s="19"/>
      <c r="P897" s="10"/>
      <c r="Q897" s="10"/>
      <c r="R897" s="10"/>
      <c r="S897" s="10"/>
      <c r="T897" s="10"/>
      <c r="U897" s="10"/>
      <c r="V897" s="10"/>
      <c r="W897" s="10"/>
      <c r="X897" s="10"/>
      <c r="Y897" s="10"/>
    </row>
    <row r="898" spans="1:25" x14ac:dyDescent="0.25">
      <c r="A898" s="9">
        <v>41436</v>
      </c>
      <c r="B898" s="10">
        <f ca="1">ROUND(_xlfn.NORM.INV(RAND(),Reference!$C$8,0.1*Reference!$C$8)*(1+Reference!$C$11*(IF(MONTH($A898)=Reference!$C$4,1,0)+IF(MONTH($A898)=Reference!$C$5,1,0))+(IF(MONTH($A898)=Reference!$C$6,Reference!$C$13,0))),0)</f>
        <v>533</v>
      </c>
      <c r="C898" s="11">
        <f ca="1">B898*Reference!$C$7*(1-IF(MONTH($A898)=Reference!$C$6,1,0)*Reference!$C$12)</f>
        <v>198276</v>
      </c>
      <c r="D898" s="10">
        <f ca="1">ROUND(_xlfn.NORM.INV(RAND(),Reference!$D$8,0.1*Reference!$D$8)*(1+Reference!$D$11*(IF(MONTH($A898)=Reference!$D$4,1,0)+IF(MONTH($A898)=Reference!$D$5,1,0))+(IF(MONTH($A898)=Reference!$D$6,Reference!$D$13,0))),0)</f>
        <v>475</v>
      </c>
      <c r="E898" s="11">
        <f ca="1">D898*Reference!$D$7*(1-IF(MONTH($A898)=Reference!$D$6,1,0)*Reference!$D$12)</f>
        <v>356250</v>
      </c>
      <c r="M898" s="20"/>
      <c r="N898" s="20"/>
      <c r="O898" s="19"/>
      <c r="P898" s="10"/>
      <c r="Q898" s="10"/>
      <c r="R898" s="10"/>
      <c r="S898" s="10"/>
      <c r="T898" s="10"/>
      <c r="U898" s="10"/>
      <c r="V898" s="10"/>
      <c r="W898" s="10"/>
      <c r="X898" s="10"/>
      <c r="Y898" s="10"/>
    </row>
    <row r="899" spans="1:25" x14ac:dyDescent="0.25">
      <c r="A899" s="9">
        <v>41437</v>
      </c>
      <c r="B899" s="10">
        <f ca="1">ROUND(_xlfn.NORM.INV(RAND(),Reference!$C$8,0.1*Reference!$C$8)*(1+Reference!$C$11*(IF(MONTH($A899)=Reference!$C$4,1,0)+IF(MONTH($A899)=Reference!$C$5,1,0))+(IF(MONTH($A899)=Reference!$C$6,Reference!$C$13,0))),0)</f>
        <v>410</v>
      </c>
      <c r="C899" s="11">
        <f ca="1">B899*Reference!$C$7*(1-IF(MONTH($A899)=Reference!$C$6,1,0)*Reference!$C$12)</f>
        <v>152520</v>
      </c>
      <c r="D899" s="10">
        <f ca="1">ROUND(_xlfn.NORM.INV(RAND(),Reference!$D$8,0.1*Reference!$D$8)*(1+Reference!$D$11*(IF(MONTH($A899)=Reference!$D$4,1,0)+IF(MONTH($A899)=Reference!$D$5,1,0))+(IF(MONTH($A899)=Reference!$D$6,Reference!$D$13,0))),0)</f>
        <v>327</v>
      </c>
      <c r="E899" s="11">
        <f ca="1">D899*Reference!$D$7*(1-IF(MONTH($A899)=Reference!$D$6,1,0)*Reference!$D$12)</f>
        <v>245250</v>
      </c>
      <c r="M899" s="20"/>
      <c r="N899" s="20"/>
      <c r="O899" s="19"/>
      <c r="P899" s="10"/>
      <c r="Q899" s="10"/>
      <c r="R899" s="10"/>
      <c r="S899" s="10"/>
      <c r="T899" s="10"/>
      <c r="U899" s="10"/>
      <c r="V899" s="10"/>
      <c r="W899" s="10"/>
      <c r="X899" s="10"/>
      <c r="Y899" s="10"/>
    </row>
    <row r="900" spans="1:25" x14ac:dyDescent="0.25">
      <c r="A900" s="9">
        <v>41438</v>
      </c>
      <c r="B900" s="10">
        <f ca="1">ROUND(_xlfn.NORM.INV(RAND(),Reference!$C$8,0.1*Reference!$C$8)*(1+Reference!$C$11*(IF(MONTH($A900)=Reference!$C$4,1,0)+IF(MONTH($A900)=Reference!$C$5,1,0))+(IF(MONTH($A900)=Reference!$C$6,Reference!$C$13,0))),0)</f>
        <v>430</v>
      </c>
      <c r="C900" s="11">
        <f ca="1">B900*Reference!$C$7*(1-IF(MONTH($A900)=Reference!$C$6,1,0)*Reference!$C$12)</f>
        <v>159960</v>
      </c>
      <c r="D900" s="10">
        <f ca="1">ROUND(_xlfn.NORM.INV(RAND(),Reference!$D$8,0.1*Reference!$D$8)*(1+Reference!$D$11*(IF(MONTH($A900)=Reference!$D$4,1,0)+IF(MONTH($A900)=Reference!$D$5,1,0))+(IF(MONTH($A900)=Reference!$D$6,Reference!$D$13,0))),0)</f>
        <v>469</v>
      </c>
      <c r="E900" s="11">
        <f ca="1">D900*Reference!$D$7*(1-IF(MONTH($A900)=Reference!$D$6,1,0)*Reference!$D$12)</f>
        <v>351750</v>
      </c>
      <c r="M900" s="20"/>
      <c r="N900" s="20"/>
      <c r="O900" s="19"/>
      <c r="P900" s="10"/>
      <c r="Q900" s="10"/>
      <c r="R900" s="10"/>
      <c r="S900" s="10"/>
      <c r="T900" s="10"/>
      <c r="U900" s="10"/>
      <c r="V900" s="10"/>
      <c r="W900" s="10"/>
      <c r="X900" s="10"/>
      <c r="Y900" s="10"/>
    </row>
    <row r="901" spans="1:25" x14ac:dyDescent="0.25">
      <c r="A901" s="9">
        <v>41439</v>
      </c>
      <c r="B901" s="10">
        <f ca="1">ROUND(_xlfn.NORM.INV(RAND(),Reference!$C$8,0.1*Reference!$C$8)*(1+Reference!$C$11*(IF(MONTH($A901)=Reference!$C$4,1,0)+IF(MONTH($A901)=Reference!$C$5,1,0))+(IF(MONTH($A901)=Reference!$C$6,Reference!$C$13,0))),0)</f>
        <v>514</v>
      </c>
      <c r="C901" s="11">
        <f ca="1">B901*Reference!$C$7*(1-IF(MONTH($A901)=Reference!$C$6,1,0)*Reference!$C$12)</f>
        <v>191208</v>
      </c>
      <c r="D901" s="10">
        <f ca="1">ROUND(_xlfn.NORM.INV(RAND(),Reference!$D$8,0.1*Reference!$D$8)*(1+Reference!$D$11*(IF(MONTH($A901)=Reference!$D$4,1,0)+IF(MONTH($A901)=Reference!$D$5,1,0))+(IF(MONTH($A901)=Reference!$D$6,Reference!$D$13,0))),0)</f>
        <v>375</v>
      </c>
      <c r="E901" s="11">
        <f ca="1">D901*Reference!$D$7*(1-IF(MONTH($A901)=Reference!$D$6,1,0)*Reference!$D$12)</f>
        <v>281250</v>
      </c>
      <c r="M901" s="20"/>
      <c r="N901" s="20"/>
      <c r="O901" s="19"/>
      <c r="P901" s="10"/>
      <c r="Q901" s="10"/>
      <c r="R901" s="10"/>
      <c r="S901" s="10"/>
      <c r="T901" s="10"/>
      <c r="U901" s="10"/>
      <c r="V901" s="10"/>
      <c r="W901" s="10"/>
      <c r="X901" s="10"/>
      <c r="Y901" s="10"/>
    </row>
    <row r="902" spans="1:25" x14ac:dyDescent="0.25">
      <c r="A902" s="9">
        <v>41440</v>
      </c>
      <c r="B902" s="10">
        <f ca="1">ROUND(_xlfn.NORM.INV(RAND(),Reference!$C$8,0.1*Reference!$C$8)*(1+Reference!$C$11*(IF(MONTH($A902)=Reference!$C$4,1,0)+IF(MONTH($A902)=Reference!$C$5,1,0))+(IF(MONTH($A902)=Reference!$C$6,Reference!$C$13,0))),0)</f>
        <v>389</v>
      </c>
      <c r="C902" s="11">
        <f ca="1">B902*Reference!$C$7*(1-IF(MONTH($A902)=Reference!$C$6,1,0)*Reference!$C$12)</f>
        <v>144708</v>
      </c>
      <c r="D902" s="10">
        <f ca="1">ROUND(_xlfn.NORM.INV(RAND(),Reference!$D$8,0.1*Reference!$D$8)*(1+Reference!$D$11*(IF(MONTH($A902)=Reference!$D$4,1,0)+IF(MONTH($A902)=Reference!$D$5,1,0))+(IF(MONTH($A902)=Reference!$D$6,Reference!$D$13,0))),0)</f>
        <v>498</v>
      </c>
      <c r="E902" s="11">
        <f ca="1">D902*Reference!$D$7*(1-IF(MONTH($A902)=Reference!$D$6,1,0)*Reference!$D$12)</f>
        <v>373500</v>
      </c>
      <c r="M902" s="20"/>
      <c r="N902" s="20"/>
      <c r="O902" s="19"/>
      <c r="P902" s="10"/>
      <c r="Q902" s="10"/>
      <c r="R902" s="10"/>
      <c r="S902" s="10"/>
      <c r="T902" s="10"/>
      <c r="U902" s="10"/>
      <c r="V902" s="10"/>
      <c r="W902" s="10"/>
      <c r="X902" s="10"/>
      <c r="Y902" s="10"/>
    </row>
    <row r="903" spans="1:25" x14ac:dyDescent="0.25">
      <c r="A903" s="9">
        <v>41441</v>
      </c>
      <c r="B903" s="10">
        <f ca="1">ROUND(_xlfn.NORM.INV(RAND(),Reference!$C$8,0.1*Reference!$C$8)*(1+Reference!$C$11*(IF(MONTH($A903)=Reference!$C$4,1,0)+IF(MONTH($A903)=Reference!$C$5,1,0))+(IF(MONTH($A903)=Reference!$C$6,Reference!$C$13,0))),0)</f>
        <v>539</v>
      </c>
      <c r="C903" s="11">
        <f ca="1">B903*Reference!$C$7*(1-IF(MONTH($A903)=Reference!$C$6,1,0)*Reference!$C$12)</f>
        <v>200508</v>
      </c>
      <c r="D903" s="10">
        <f ca="1">ROUND(_xlfn.NORM.INV(RAND(),Reference!$D$8,0.1*Reference!$D$8)*(1+Reference!$D$11*(IF(MONTH($A903)=Reference!$D$4,1,0)+IF(MONTH($A903)=Reference!$D$5,1,0))+(IF(MONTH($A903)=Reference!$D$6,Reference!$D$13,0))),0)</f>
        <v>452</v>
      </c>
      <c r="E903" s="11">
        <f ca="1">D903*Reference!$D$7*(1-IF(MONTH($A903)=Reference!$D$6,1,0)*Reference!$D$12)</f>
        <v>339000</v>
      </c>
      <c r="M903" s="20"/>
      <c r="N903" s="20"/>
      <c r="O903" s="19"/>
      <c r="P903" s="10"/>
      <c r="Q903" s="10"/>
      <c r="R903" s="10"/>
      <c r="S903" s="10"/>
      <c r="T903" s="10"/>
      <c r="U903" s="10"/>
      <c r="V903" s="10"/>
      <c r="W903" s="10"/>
      <c r="X903" s="10"/>
      <c r="Y903" s="10"/>
    </row>
    <row r="904" spans="1:25" x14ac:dyDescent="0.25">
      <c r="A904" s="9">
        <v>41442</v>
      </c>
      <c r="B904" s="10">
        <f ca="1">ROUND(_xlfn.NORM.INV(RAND(),Reference!$C$8,0.1*Reference!$C$8)*(1+Reference!$C$11*(IF(MONTH($A904)=Reference!$C$4,1,0)+IF(MONTH($A904)=Reference!$C$5,1,0))+(IF(MONTH($A904)=Reference!$C$6,Reference!$C$13,0))),0)</f>
        <v>449</v>
      </c>
      <c r="C904" s="11">
        <f ca="1">B904*Reference!$C$7*(1-IF(MONTH($A904)=Reference!$C$6,1,0)*Reference!$C$12)</f>
        <v>167028</v>
      </c>
      <c r="D904" s="10">
        <f ca="1">ROUND(_xlfn.NORM.INV(RAND(),Reference!$D$8,0.1*Reference!$D$8)*(1+Reference!$D$11*(IF(MONTH($A904)=Reference!$D$4,1,0)+IF(MONTH($A904)=Reference!$D$5,1,0))+(IF(MONTH($A904)=Reference!$D$6,Reference!$D$13,0))),0)</f>
        <v>527</v>
      </c>
      <c r="E904" s="11">
        <f ca="1">D904*Reference!$D$7*(1-IF(MONTH($A904)=Reference!$D$6,1,0)*Reference!$D$12)</f>
        <v>395250</v>
      </c>
      <c r="M904" s="20"/>
      <c r="N904" s="20"/>
      <c r="O904" s="19"/>
      <c r="P904" s="10"/>
      <c r="Q904" s="10"/>
      <c r="R904" s="10"/>
      <c r="S904" s="10"/>
      <c r="T904" s="10"/>
      <c r="U904" s="10"/>
      <c r="V904" s="10"/>
      <c r="W904" s="10"/>
      <c r="X904" s="10"/>
      <c r="Y904" s="10"/>
    </row>
    <row r="905" spans="1:25" x14ac:dyDescent="0.25">
      <c r="A905" s="9">
        <v>41443</v>
      </c>
      <c r="B905" s="10">
        <f ca="1">ROUND(_xlfn.NORM.INV(RAND(),Reference!$C$8,0.1*Reference!$C$8)*(1+Reference!$C$11*(IF(MONTH($A905)=Reference!$C$4,1,0)+IF(MONTH($A905)=Reference!$C$5,1,0))+(IF(MONTH($A905)=Reference!$C$6,Reference!$C$13,0))),0)</f>
        <v>423</v>
      </c>
      <c r="C905" s="11">
        <f ca="1">B905*Reference!$C$7*(1-IF(MONTH($A905)=Reference!$C$6,1,0)*Reference!$C$12)</f>
        <v>157356</v>
      </c>
      <c r="D905" s="10">
        <f ca="1">ROUND(_xlfn.NORM.INV(RAND(),Reference!$D$8,0.1*Reference!$D$8)*(1+Reference!$D$11*(IF(MONTH($A905)=Reference!$D$4,1,0)+IF(MONTH($A905)=Reference!$D$5,1,0))+(IF(MONTH($A905)=Reference!$D$6,Reference!$D$13,0))),0)</f>
        <v>399</v>
      </c>
      <c r="E905" s="11">
        <f ca="1">D905*Reference!$D$7*(1-IF(MONTH($A905)=Reference!$D$6,1,0)*Reference!$D$12)</f>
        <v>299250</v>
      </c>
      <c r="M905" s="20"/>
      <c r="N905" s="20"/>
      <c r="O905" s="19"/>
      <c r="P905" s="10"/>
      <c r="Q905" s="10"/>
      <c r="R905" s="10"/>
      <c r="S905" s="10"/>
      <c r="T905" s="10"/>
      <c r="U905" s="10"/>
      <c r="V905" s="10"/>
      <c r="W905" s="10"/>
      <c r="X905" s="10"/>
      <c r="Y905" s="10"/>
    </row>
    <row r="906" spans="1:25" x14ac:dyDescent="0.25">
      <c r="A906" s="9">
        <v>41444</v>
      </c>
      <c r="B906" s="10">
        <f ca="1">ROUND(_xlfn.NORM.INV(RAND(),Reference!$C$8,0.1*Reference!$C$8)*(1+Reference!$C$11*(IF(MONTH($A906)=Reference!$C$4,1,0)+IF(MONTH($A906)=Reference!$C$5,1,0))+(IF(MONTH($A906)=Reference!$C$6,Reference!$C$13,0))),0)</f>
        <v>455</v>
      </c>
      <c r="C906" s="11">
        <f ca="1">B906*Reference!$C$7*(1-IF(MONTH($A906)=Reference!$C$6,1,0)*Reference!$C$12)</f>
        <v>169260</v>
      </c>
      <c r="D906" s="10">
        <f ca="1">ROUND(_xlfn.NORM.INV(RAND(),Reference!$D$8,0.1*Reference!$D$8)*(1+Reference!$D$11*(IF(MONTH($A906)=Reference!$D$4,1,0)+IF(MONTH($A906)=Reference!$D$5,1,0))+(IF(MONTH($A906)=Reference!$D$6,Reference!$D$13,0))),0)</f>
        <v>365</v>
      </c>
      <c r="E906" s="11">
        <f ca="1">D906*Reference!$D$7*(1-IF(MONTH($A906)=Reference!$D$6,1,0)*Reference!$D$12)</f>
        <v>273750</v>
      </c>
      <c r="M906" s="20"/>
      <c r="N906" s="20"/>
      <c r="O906" s="19"/>
      <c r="P906" s="10"/>
      <c r="Q906" s="10"/>
      <c r="R906" s="10"/>
      <c r="S906" s="10"/>
      <c r="T906" s="10"/>
      <c r="U906" s="10"/>
      <c r="V906" s="10"/>
      <c r="W906" s="10"/>
      <c r="X906" s="10"/>
      <c r="Y906" s="10"/>
    </row>
    <row r="907" spans="1:25" x14ac:dyDescent="0.25">
      <c r="A907" s="9">
        <v>41445</v>
      </c>
      <c r="B907" s="10">
        <f ca="1">ROUND(_xlfn.NORM.INV(RAND(),Reference!$C$8,0.1*Reference!$C$8)*(1+Reference!$C$11*(IF(MONTH($A907)=Reference!$C$4,1,0)+IF(MONTH($A907)=Reference!$C$5,1,0))+(IF(MONTH($A907)=Reference!$C$6,Reference!$C$13,0))),0)</f>
        <v>531</v>
      </c>
      <c r="C907" s="11">
        <f ca="1">B907*Reference!$C$7*(1-IF(MONTH($A907)=Reference!$C$6,1,0)*Reference!$C$12)</f>
        <v>197532</v>
      </c>
      <c r="D907" s="10">
        <f ca="1">ROUND(_xlfn.NORM.INV(RAND(),Reference!$D$8,0.1*Reference!$D$8)*(1+Reference!$D$11*(IF(MONTH($A907)=Reference!$D$4,1,0)+IF(MONTH($A907)=Reference!$D$5,1,0))+(IF(MONTH($A907)=Reference!$D$6,Reference!$D$13,0))),0)</f>
        <v>474</v>
      </c>
      <c r="E907" s="11">
        <f ca="1">D907*Reference!$D$7*(1-IF(MONTH($A907)=Reference!$D$6,1,0)*Reference!$D$12)</f>
        <v>355500</v>
      </c>
      <c r="M907" s="20"/>
      <c r="N907" s="20"/>
      <c r="O907" s="19"/>
      <c r="P907" s="10"/>
      <c r="Q907" s="10"/>
      <c r="R907" s="10"/>
      <c r="S907" s="10"/>
      <c r="T907" s="10"/>
      <c r="U907" s="10"/>
      <c r="V907" s="10"/>
      <c r="W907" s="10"/>
      <c r="X907" s="10"/>
      <c r="Y907" s="10"/>
    </row>
    <row r="908" spans="1:25" x14ac:dyDescent="0.25">
      <c r="A908" s="9">
        <v>41446</v>
      </c>
      <c r="B908" s="10">
        <f ca="1">ROUND(_xlfn.NORM.INV(RAND(),Reference!$C$8,0.1*Reference!$C$8)*(1+Reference!$C$11*(IF(MONTH($A908)=Reference!$C$4,1,0)+IF(MONTH($A908)=Reference!$C$5,1,0))+(IF(MONTH($A908)=Reference!$C$6,Reference!$C$13,0))),0)</f>
        <v>485</v>
      </c>
      <c r="C908" s="11">
        <f ca="1">B908*Reference!$C$7*(1-IF(MONTH($A908)=Reference!$C$6,1,0)*Reference!$C$12)</f>
        <v>180420</v>
      </c>
      <c r="D908" s="10">
        <f ca="1">ROUND(_xlfn.NORM.INV(RAND(),Reference!$D$8,0.1*Reference!$D$8)*(1+Reference!$D$11*(IF(MONTH($A908)=Reference!$D$4,1,0)+IF(MONTH($A908)=Reference!$D$5,1,0))+(IF(MONTH($A908)=Reference!$D$6,Reference!$D$13,0))),0)</f>
        <v>347</v>
      </c>
      <c r="E908" s="11">
        <f ca="1">D908*Reference!$D$7*(1-IF(MONTH($A908)=Reference!$D$6,1,0)*Reference!$D$12)</f>
        <v>260250</v>
      </c>
      <c r="M908" s="20"/>
      <c r="N908" s="20"/>
      <c r="O908" s="19"/>
      <c r="P908" s="10"/>
      <c r="Q908" s="10"/>
      <c r="R908" s="10"/>
      <c r="S908" s="10"/>
      <c r="T908" s="10"/>
      <c r="U908" s="10"/>
      <c r="V908" s="10"/>
      <c r="W908" s="10"/>
      <c r="X908" s="10"/>
      <c r="Y908" s="10"/>
    </row>
    <row r="909" spans="1:25" x14ac:dyDescent="0.25">
      <c r="A909" s="9">
        <v>41447</v>
      </c>
      <c r="B909" s="10">
        <f ca="1">ROUND(_xlfn.NORM.INV(RAND(),Reference!$C$8,0.1*Reference!$C$8)*(1+Reference!$C$11*(IF(MONTH($A909)=Reference!$C$4,1,0)+IF(MONTH($A909)=Reference!$C$5,1,0))+(IF(MONTH($A909)=Reference!$C$6,Reference!$C$13,0))),0)</f>
        <v>492</v>
      </c>
      <c r="C909" s="11">
        <f ca="1">B909*Reference!$C$7*(1-IF(MONTH($A909)=Reference!$C$6,1,0)*Reference!$C$12)</f>
        <v>183024</v>
      </c>
      <c r="D909" s="10">
        <f ca="1">ROUND(_xlfn.NORM.INV(RAND(),Reference!$D$8,0.1*Reference!$D$8)*(1+Reference!$D$11*(IF(MONTH($A909)=Reference!$D$4,1,0)+IF(MONTH($A909)=Reference!$D$5,1,0))+(IF(MONTH($A909)=Reference!$D$6,Reference!$D$13,0))),0)</f>
        <v>423</v>
      </c>
      <c r="E909" s="11">
        <f ca="1">D909*Reference!$D$7*(1-IF(MONTH($A909)=Reference!$D$6,1,0)*Reference!$D$12)</f>
        <v>317250</v>
      </c>
      <c r="M909" s="20"/>
      <c r="N909" s="20"/>
      <c r="O909" s="19"/>
      <c r="P909" s="10"/>
      <c r="Q909" s="10"/>
      <c r="R909" s="10"/>
      <c r="S909" s="10"/>
      <c r="T909" s="10"/>
      <c r="U909" s="10"/>
      <c r="V909" s="10"/>
      <c r="W909" s="10"/>
      <c r="X909" s="10"/>
      <c r="Y909" s="10"/>
    </row>
    <row r="910" spans="1:25" x14ac:dyDescent="0.25">
      <c r="A910" s="9">
        <v>41448</v>
      </c>
      <c r="B910" s="10">
        <f ca="1">ROUND(_xlfn.NORM.INV(RAND(),Reference!$C$8,0.1*Reference!$C$8)*(1+Reference!$C$11*(IF(MONTH($A910)=Reference!$C$4,1,0)+IF(MONTH($A910)=Reference!$C$5,1,0))+(IF(MONTH($A910)=Reference!$C$6,Reference!$C$13,0))),0)</f>
        <v>421</v>
      </c>
      <c r="C910" s="11">
        <f ca="1">B910*Reference!$C$7*(1-IF(MONTH($A910)=Reference!$C$6,1,0)*Reference!$C$12)</f>
        <v>156612</v>
      </c>
      <c r="D910" s="10">
        <f ca="1">ROUND(_xlfn.NORM.INV(RAND(),Reference!$D$8,0.1*Reference!$D$8)*(1+Reference!$D$11*(IF(MONTH($A910)=Reference!$D$4,1,0)+IF(MONTH($A910)=Reference!$D$5,1,0))+(IF(MONTH($A910)=Reference!$D$6,Reference!$D$13,0))),0)</f>
        <v>352</v>
      </c>
      <c r="E910" s="11">
        <f ca="1">D910*Reference!$D$7*(1-IF(MONTH($A910)=Reference!$D$6,1,0)*Reference!$D$12)</f>
        <v>264000</v>
      </c>
      <c r="M910" s="20"/>
      <c r="N910" s="20"/>
      <c r="O910" s="19"/>
      <c r="P910" s="10"/>
      <c r="Q910" s="10"/>
      <c r="R910" s="10"/>
      <c r="S910" s="10"/>
      <c r="T910" s="10"/>
      <c r="U910" s="10"/>
      <c r="V910" s="10"/>
      <c r="W910" s="10"/>
      <c r="X910" s="10"/>
      <c r="Y910" s="10"/>
    </row>
    <row r="911" spans="1:25" x14ac:dyDescent="0.25">
      <c r="A911" s="9">
        <v>41449</v>
      </c>
      <c r="B911" s="10">
        <f ca="1">ROUND(_xlfn.NORM.INV(RAND(),Reference!$C$8,0.1*Reference!$C$8)*(1+Reference!$C$11*(IF(MONTH($A911)=Reference!$C$4,1,0)+IF(MONTH($A911)=Reference!$C$5,1,0))+(IF(MONTH($A911)=Reference!$C$6,Reference!$C$13,0))),0)</f>
        <v>452</v>
      </c>
      <c r="C911" s="11">
        <f ca="1">B911*Reference!$C$7*(1-IF(MONTH($A911)=Reference!$C$6,1,0)*Reference!$C$12)</f>
        <v>168144</v>
      </c>
      <c r="D911" s="10">
        <f ca="1">ROUND(_xlfn.NORM.INV(RAND(),Reference!$D$8,0.1*Reference!$D$8)*(1+Reference!$D$11*(IF(MONTH($A911)=Reference!$D$4,1,0)+IF(MONTH($A911)=Reference!$D$5,1,0))+(IF(MONTH($A911)=Reference!$D$6,Reference!$D$13,0))),0)</f>
        <v>540</v>
      </c>
      <c r="E911" s="11">
        <f ca="1">D911*Reference!$D$7*(1-IF(MONTH($A911)=Reference!$D$6,1,0)*Reference!$D$12)</f>
        <v>405000</v>
      </c>
      <c r="M911" s="20"/>
      <c r="N911" s="20"/>
      <c r="O911" s="19"/>
      <c r="P911" s="10"/>
      <c r="Q911" s="10"/>
      <c r="R911" s="10"/>
      <c r="S911" s="10"/>
      <c r="T911" s="10"/>
      <c r="U911" s="10"/>
      <c r="V911" s="10"/>
      <c r="W911" s="10"/>
      <c r="X911" s="10"/>
      <c r="Y911" s="10"/>
    </row>
    <row r="912" spans="1:25" x14ac:dyDescent="0.25">
      <c r="A912" s="9">
        <v>41450</v>
      </c>
      <c r="B912" s="10">
        <f ca="1">ROUND(_xlfn.NORM.INV(RAND(),Reference!$C$8,0.1*Reference!$C$8)*(1+Reference!$C$11*(IF(MONTH($A912)=Reference!$C$4,1,0)+IF(MONTH($A912)=Reference!$C$5,1,0))+(IF(MONTH($A912)=Reference!$C$6,Reference!$C$13,0))),0)</f>
        <v>490</v>
      </c>
      <c r="C912" s="11">
        <f ca="1">B912*Reference!$C$7*(1-IF(MONTH($A912)=Reference!$C$6,1,0)*Reference!$C$12)</f>
        <v>182280</v>
      </c>
      <c r="D912" s="10">
        <f ca="1">ROUND(_xlfn.NORM.INV(RAND(),Reference!$D$8,0.1*Reference!$D$8)*(1+Reference!$D$11*(IF(MONTH($A912)=Reference!$D$4,1,0)+IF(MONTH($A912)=Reference!$D$5,1,0))+(IF(MONTH($A912)=Reference!$D$6,Reference!$D$13,0))),0)</f>
        <v>388</v>
      </c>
      <c r="E912" s="11">
        <f ca="1">D912*Reference!$D$7*(1-IF(MONTH($A912)=Reference!$D$6,1,0)*Reference!$D$12)</f>
        <v>291000</v>
      </c>
      <c r="M912" s="20"/>
      <c r="N912" s="20"/>
      <c r="O912" s="19"/>
      <c r="P912" s="10"/>
      <c r="Q912" s="10"/>
      <c r="R912" s="10"/>
      <c r="S912" s="10"/>
      <c r="T912" s="10"/>
      <c r="U912" s="10"/>
      <c r="V912" s="10"/>
      <c r="W912" s="10"/>
      <c r="X912" s="10"/>
      <c r="Y912" s="10"/>
    </row>
    <row r="913" spans="1:25" x14ac:dyDescent="0.25">
      <c r="A913" s="9">
        <v>41451</v>
      </c>
      <c r="B913" s="10">
        <f ca="1">ROUND(_xlfn.NORM.INV(RAND(),Reference!$C$8,0.1*Reference!$C$8)*(1+Reference!$C$11*(IF(MONTH($A913)=Reference!$C$4,1,0)+IF(MONTH($A913)=Reference!$C$5,1,0))+(IF(MONTH($A913)=Reference!$C$6,Reference!$C$13,0))),0)</f>
        <v>439</v>
      </c>
      <c r="C913" s="11">
        <f ca="1">B913*Reference!$C$7*(1-IF(MONTH($A913)=Reference!$C$6,1,0)*Reference!$C$12)</f>
        <v>163308</v>
      </c>
      <c r="D913" s="10">
        <f ca="1">ROUND(_xlfn.NORM.INV(RAND(),Reference!$D$8,0.1*Reference!$D$8)*(1+Reference!$D$11*(IF(MONTH($A913)=Reference!$D$4,1,0)+IF(MONTH($A913)=Reference!$D$5,1,0))+(IF(MONTH($A913)=Reference!$D$6,Reference!$D$13,0))),0)</f>
        <v>360</v>
      </c>
      <c r="E913" s="11">
        <f ca="1">D913*Reference!$D$7*(1-IF(MONTH($A913)=Reference!$D$6,1,0)*Reference!$D$12)</f>
        <v>270000</v>
      </c>
      <c r="M913" s="20"/>
      <c r="N913" s="20"/>
      <c r="O913" s="19"/>
      <c r="P913" s="10"/>
      <c r="Q913" s="10"/>
      <c r="R913" s="10"/>
      <c r="S913" s="10"/>
      <c r="T913" s="10"/>
      <c r="U913" s="10"/>
      <c r="V913" s="10"/>
      <c r="W913" s="10"/>
      <c r="X913" s="10"/>
      <c r="Y913" s="10"/>
    </row>
    <row r="914" spans="1:25" x14ac:dyDescent="0.25">
      <c r="A914" s="9">
        <v>41452</v>
      </c>
      <c r="B914" s="10">
        <f ca="1">ROUND(_xlfn.NORM.INV(RAND(),Reference!$C$8,0.1*Reference!$C$8)*(1+Reference!$C$11*(IF(MONTH($A914)=Reference!$C$4,1,0)+IF(MONTH($A914)=Reference!$C$5,1,0))+(IF(MONTH($A914)=Reference!$C$6,Reference!$C$13,0))),0)</f>
        <v>550</v>
      </c>
      <c r="C914" s="11">
        <f ca="1">B914*Reference!$C$7*(1-IF(MONTH($A914)=Reference!$C$6,1,0)*Reference!$C$12)</f>
        <v>204600</v>
      </c>
      <c r="D914" s="10">
        <f ca="1">ROUND(_xlfn.NORM.INV(RAND(),Reference!$D$8,0.1*Reference!$D$8)*(1+Reference!$D$11*(IF(MONTH($A914)=Reference!$D$4,1,0)+IF(MONTH($A914)=Reference!$D$5,1,0))+(IF(MONTH($A914)=Reference!$D$6,Reference!$D$13,0))),0)</f>
        <v>468</v>
      </c>
      <c r="E914" s="11">
        <f ca="1">D914*Reference!$D$7*(1-IF(MONTH($A914)=Reference!$D$6,1,0)*Reference!$D$12)</f>
        <v>351000</v>
      </c>
      <c r="M914" s="20"/>
      <c r="N914" s="20"/>
      <c r="O914" s="19"/>
      <c r="P914" s="10"/>
      <c r="Q914" s="10"/>
      <c r="R914" s="10"/>
      <c r="S914" s="10"/>
      <c r="T914" s="10"/>
      <c r="U914" s="10"/>
      <c r="V914" s="10"/>
      <c r="W914" s="10"/>
      <c r="X914" s="10"/>
      <c r="Y914" s="10"/>
    </row>
    <row r="915" spans="1:25" x14ac:dyDescent="0.25">
      <c r="A915" s="9">
        <v>41453</v>
      </c>
      <c r="B915" s="10">
        <f ca="1">ROUND(_xlfn.NORM.INV(RAND(),Reference!$C$8,0.1*Reference!$C$8)*(1+Reference!$C$11*(IF(MONTH($A915)=Reference!$C$4,1,0)+IF(MONTH($A915)=Reference!$C$5,1,0))+(IF(MONTH($A915)=Reference!$C$6,Reference!$C$13,0))),0)</f>
        <v>496</v>
      </c>
      <c r="C915" s="11">
        <f ca="1">B915*Reference!$C$7*(1-IF(MONTH($A915)=Reference!$C$6,1,0)*Reference!$C$12)</f>
        <v>184512</v>
      </c>
      <c r="D915" s="10">
        <f ca="1">ROUND(_xlfn.NORM.INV(RAND(),Reference!$D$8,0.1*Reference!$D$8)*(1+Reference!$D$11*(IF(MONTH($A915)=Reference!$D$4,1,0)+IF(MONTH($A915)=Reference!$D$5,1,0))+(IF(MONTH($A915)=Reference!$D$6,Reference!$D$13,0))),0)</f>
        <v>447</v>
      </c>
      <c r="E915" s="11">
        <f ca="1">D915*Reference!$D$7*(1-IF(MONTH($A915)=Reference!$D$6,1,0)*Reference!$D$12)</f>
        <v>335250</v>
      </c>
      <c r="M915" s="20"/>
      <c r="N915" s="20"/>
      <c r="O915" s="19"/>
      <c r="P915" s="10"/>
      <c r="Q915" s="10"/>
      <c r="R915" s="10"/>
      <c r="S915" s="10"/>
      <c r="T915" s="10"/>
      <c r="U915" s="10"/>
      <c r="V915" s="10"/>
      <c r="W915" s="10"/>
      <c r="X915" s="10"/>
      <c r="Y915" s="10"/>
    </row>
    <row r="916" spans="1:25" x14ac:dyDescent="0.25">
      <c r="A916" s="9">
        <v>41454</v>
      </c>
      <c r="B916" s="10">
        <f ca="1">ROUND(_xlfn.NORM.INV(RAND(),Reference!$C$8,0.1*Reference!$C$8)*(1+Reference!$C$11*(IF(MONTH($A916)=Reference!$C$4,1,0)+IF(MONTH($A916)=Reference!$C$5,1,0))+(IF(MONTH($A916)=Reference!$C$6,Reference!$C$13,0))),0)</f>
        <v>385</v>
      </c>
      <c r="C916" s="11">
        <f ca="1">B916*Reference!$C$7*(1-IF(MONTH($A916)=Reference!$C$6,1,0)*Reference!$C$12)</f>
        <v>143220</v>
      </c>
      <c r="D916" s="10">
        <f ca="1">ROUND(_xlfn.NORM.INV(RAND(),Reference!$D$8,0.1*Reference!$D$8)*(1+Reference!$D$11*(IF(MONTH($A916)=Reference!$D$4,1,0)+IF(MONTH($A916)=Reference!$D$5,1,0))+(IF(MONTH($A916)=Reference!$D$6,Reference!$D$13,0))),0)</f>
        <v>341</v>
      </c>
      <c r="E916" s="11">
        <f ca="1">D916*Reference!$D$7*(1-IF(MONTH($A916)=Reference!$D$6,1,0)*Reference!$D$12)</f>
        <v>255750</v>
      </c>
      <c r="M916" s="20"/>
      <c r="N916" s="20"/>
      <c r="O916" s="19"/>
      <c r="P916" s="10"/>
      <c r="Q916" s="10"/>
      <c r="R916" s="10"/>
      <c r="S916" s="10"/>
      <c r="T916" s="10"/>
      <c r="U916" s="10"/>
      <c r="V916" s="10"/>
      <c r="W916" s="10"/>
      <c r="X916" s="10"/>
      <c r="Y916" s="10"/>
    </row>
    <row r="917" spans="1:25" x14ac:dyDescent="0.25">
      <c r="A917" s="9">
        <v>41455</v>
      </c>
      <c r="B917" s="10">
        <f ca="1">ROUND(_xlfn.NORM.INV(RAND(),Reference!$C$8,0.1*Reference!$C$8)*(1+Reference!$C$11*(IF(MONTH($A917)=Reference!$C$4,1,0)+IF(MONTH($A917)=Reference!$C$5,1,0))+(IF(MONTH($A917)=Reference!$C$6,Reference!$C$13,0))),0)</f>
        <v>429</v>
      </c>
      <c r="C917" s="11">
        <f ca="1">B917*Reference!$C$7*(1-IF(MONTH($A917)=Reference!$C$6,1,0)*Reference!$C$12)</f>
        <v>159588</v>
      </c>
      <c r="D917" s="10">
        <f ca="1">ROUND(_xlfn.NORM.INV(RAND(),Reference!$D$8,0.1*Reference!$D$8)*(1+Reference!$D$11*(IF(MONTH($A917)=Reference!$D$4,1,0)+IF(MONTH($A917)=Reference!$D$5,1,0))+(IF(MONTH($A917)=Reference!$D$6,Reference!$D$13,0))),0)</f>
        <v>497</v>
      </c>
      <c r="E917" s="11">
        <f ca="1">D917*Reference!$D$7*(1-IF(MONTH($A917)=Reference!$D$6,1,0)*Reference!$D$12)</f>
        <v>372750</v>
      </c>
      <c r="M917" s="20"/>
      <c r="N917" s="20"/>
      <c r="O917" s="19"/>
      <c r="P917" s="10"/>
      <c r="Q917" s="10"/>
      <c r="R917" s="10"/>
      <c r="S917" s="10"/>
      <c r="T917" s="10"/>
      <c r="U917" s="10"/>
      <c r="V917" s="10"/>
      <c r="W917" s="10"/>
      <c r="X917" s="10"/>
      <c r="Y917" s="10"/>
    </row>
    <row r="918" spans="1:25" x14ac:dyDescent="0.25">
      <c r="A918" s="9">
        <v>41456</v>
      </c>
      <c r="B918" s="10">
        <f ca="1">ROUND(_xlfn.NORM.INV(RAND(),Reference!$C$8,0.1*Reference!$C$8)*(1+Reference!$C$11*(IF(MONTH($A918)=Reference!$C$4,1,0)+IF(MONTH($A918)=Reference!$C$5,1,0))+(IF(MONTH($A918)=Reference!$C$6,Reference!$C$13,0))),0)</f>
        <v>308</v>
      </c>
      <c r="C918" s="11">
        <f ca="1">B918*Reference!$C$7*(1-IF(MONTH($A918)=Reference!$C$6,1,0)*Reference!$C$12)</f>
        <v>286440</v>
      </c>
      <c r="D918" s="10">
        <f ca="1">ROUND(_xlfn.NORM.INV(RAND(),Reference!$D$8,0.1*Reference!$D$8)*(1+Reference!$D$11*(IF(MONTH($A918)=Reference!$D$4,1,0)+IF(MONTH($A918)=Reference!$D$5,1,0))+(IF(MONTH($A918)=Reference!$D$6,Reference!$D$13,0))),0)</f>
        <v>491</v>
      </c>
      <c r="E918" s="11">
        <f ca="1">D918*Reference!$D$7*(1-IF(MONTH($A918)=Reference!$D$6,1,0)*Reference!$D$12)</f>
        <v>368250</v>
      </c>
      <c r="M918" s="20"/>
      <c r="N918" s="20"/>
      <c r="O918" s="19"/>
      <c r="P918" s="10"/>
      <c r="Q918" s="10"/>
      <c r="R918" s="10"/>
      <c r="S918" s="10"/>
      <c r="T918" s="10"/>
      <c r="U918" s="10"/>
      <c r="V918" s="10"/>
      <c r="W918" s="10"/>
      <c r="X918" s="10"/>
      <c r="Y918" s="10"/>
    </row>
    <row r="919" spans="1:25" x14ac:dyDescent="0.25">
      <c r="A919" s="9">
        <v>41457</v>
      </c>
      <c r="B919" s="10">
        <f ca="1">ROUND(_xlfn.NORM.INV(RAND(),Reference!$C$8,0.1*Reference!$C$8)*(1+Reference!$C$11*(IF(MONTH($A919)=Reference!$C$4,1,0)+IF(MONTH($A919)=Reference!$C$5,1,0))+(IF(MONTH($A919)=Reference!$C$6,Reference!$C$13,0))),0)</f>
        <v>370</v>
      </c>
      <c r="C919" s="11">
        <f ca="1">B919*Reference!$C$7*(1-IF(MONTH($A919)=Reference!$C$6,1,0)*Reference!$C$12)</f>
        <v>344100</v>
      </c>
      <c r="D919" s="10">
        <f ca="1">ROUND(_xlfn.NORM.INV(RAND(),Reference!$D$8,0.1*Reference!$D$8)*(1+Reference!$D$11*(IF(MONTH($A919)=Reference!$D$4,1,0)+IF(MONTH($A919)=Reference!$D$5,1,0))+(IF(MONTH($A919)=Reference!$D$6,Reference!$D$13,0))),0)</f>
        <v>584</v>
      </c>
      <c r="E919" s="11">
        <f ca="1">D919*Reference!$D$7*(1-IF(MONTH($A919)=Reference!$D$6,1,0)*Reference!$D$12)</f>
        <v>438000</v>
      </c>
      <c r="M919" s="20"/>
      <c r="N919" s="20"/>
      <c r="O919" s="19"/>
      <c r="P919" s="10"/>
      <c r="Q919" s="10"/>
      <c r="R919" s="10"/>
      <c r="S919" s="10"/>
      <c r="T919" s="10"/>
      <c r="U919" s="10"/>
      <c r="V919" s="10"/>
      <c r="W919" s="10"/>
      <c r="X919" s="10"/>
      <c r="Y919" s="10"/>
    </row>
    <row r="920" spans="1:25" x14ac:dyDescent="0.25">
      <c r="A920" s="9">
        <v>41458</v>
      </c>
      <c r="B920" s="10">
        <f ca="1">ROUND(_xlfn.NORM.INV(RAND(),Reference!$C$8,0.1*Reference!$C$8)*(1+Reference!$C$11*(IF(MONTH($A920)=Reference!$C$4,1,0)+IF(MONTH($A920)=Reference!$C$5,1,0))+(IF(MONTH($A920)=Reference!$C$6,Reference!$C$13,0))),0)</f>
        <v>418</v>
      </c>
      <c r="C920" s="11">
        <f ca="1">B920*Reference!$C$7*(1-IF(MONTH($A920)=Reference!$C$6,1,0)*Reference!$C$12)</f>
        <v>388740</v>
      </c>
      <c r="D920" s="10">
        <f ca="1">ROUND(_xlfn.NORM.INV(RAND(),Reference!$D$8,0.1*Reference!$D$8)*(1+Reference!$D$11*(IF(MONTH($A920)=Reference!$D$4,1,0)+IF(MONTH($A920)=Reference!$D$5,1,0))+(IF(MONTH($A920)=Reference!$D$6,Reference!$D$13,0))),0)</f>
        <v>462</v>
      </c>
      <c r="E920" s="11">
        <f ca="1">D920*Reference!$D$7*(1-IF(MONTH($A920)=Reference!$D$6,1,0)*Reference!$D$12)</f>
        <v>346500</v>
      </c>
      <c r="M920" s="20"/>
      <c r="N920" s="20"/>
      <c r="O920" s="19"/>
      <c r="P920" s="10"/>
      <c r="Q920" s="10"/>
      <c r="R920" s="10"/>
      <c r="S920" s="10"/>
      <c r="T920" s="10"/>
      <c r="U920" s="10"/>
      <c r="V920" s="10"/>
      <c r="W920" s="10"/>
      <c r="X920" s="10"/>
      <c r="Y920" s="10"/>
    </row>
    <row r="921" spans="1:25" x14ac:dyDescent="0.25">
      <c r="A921" s="9">
        <v>41459</v>
      </c>
      <c r="B921" s="10">
        <f ca="1">ROUND(_xlfn.NORM.INV(RAND(),Reference!$C$8,0.1*Reference!$C$8)*(1+Reference!$C$11*(IF(MONTH($A921)=Reference!$C$4,1,0)+IF(MONTH($A921)=Reference!$C$5,1,0))+(IF(MONTH($A921)=Reference!$C$6,Reference!$C$13,0))),0)</f>
        <v>360</v>
      </c>
      <c r="C921" s="11">
        <f ca="1">B921*Reference!$C$7*(1-IF(MONTH($A921)=Reference!$C$6,1,0)*Reference!$C$12)</f>
        <v>334800</v>
      </c>
      <c r="D921" s="10">
        <f ca="1">ROUND(_xlfn.NORM.INV(RAND(),Reference!$D$8,0.1*Reference!$D$8)*(1+Reference!$D$11*(IF(MONTH($A921)=Reference!$D$4,1,0)+IF(MONTH($A921)=Reference!$D$5,1,0))+(IF(MONTH($A921)=Reference!$D$6,Reference!$D$13,0))),0)</f>
        <v>426</v>
      </c>
      <c r="E921" s="11">
        <f ca="1">D921*Reference!$D$7*(1-IF(MONTH($A921)=Reference!$D$6,1,0)*Reference!$D$12)</f>
        <v>319500</v>
      </c>
      <c r="M921" s="20"/>
      <c r="N921" s="20"/>
      <c r="O921" s="19"/>
      <c r="P921" s="10"/>
      <c r="Q921" s="10"/>
      <c r="R921" s="10"/>
      <c r="S921" s="10"/>
      <c r="T921" s="10"/>
      <c r="U921" s="10"/>
      <c r="V921" s="10"/>
      <c r="W921" s="10"/>
      <c r="X921" s="10"/>
      <c r="Y921" s="10"/>
    </row>
    <row r="922" spans="1:25" x14ac:dyDescent="0.25">
      <c r="A922" s="9">
        <v>41460</v>
      </c>
      <c r="B922" s="10">
        <f ca="1">ROUND(_xlfn.NORM.INV(RAND(),Reference!$C$8,0.1*Reference!$C$8)*(1+Reference!$C$11*(IF(MONTH($A922)=Reference!$C$4,1,0)+IF(MONTH($A922)=Reference!$C$5,1,0))+(IF(MONTH($A922)=Reference!$C$6,Reference!$C$13,0))),0)</f>
        <v>460</v>
      </c>
      <c r="C922" s="11">
        <f ca="1">B922*Reference!$C$7*(1-IF(MONTH($A922)=Reference!$C$6,1,0)*Reference!$C$12)</f>
        <v>427800</v>
      </c>
      <c r="D922" s="10">
        <f ca="1">ROUND(_xlfn.NORM.INV(RAND(),Reference!$D$8,0.1*Reference!$D$8)*(1+Reference!$D$11*(IF(MONTH($A922)=Reference!$D$4,1,0)+IF(MONTH($A922)=Reference!$D$5,1,0))+(IF(MONTH($A922)=Reference!$D$6,Reference!$D$13,0))),0)</f>
        <v>491</v>
      </c>
      <c r="E922" s="11">
        <f ca="1">D922*Reference!$D$7*(1-IF(MONTH($A922)=Reference!$D$6,1,0)*Reference!$D$12)</f>
        <v>368250</v>
      </c>
      <c r="M922" s="20"/>
      <c r="N922" s="20"/>
      <c r="O922" s="19"/>
      <c r="P922" s="10"/>
      <c r="Q922" s="10"/>
      <c r="R922" s="10"/>
      <c r="S922" s="10"/>
      <c r="T922" s="10"/>
      <c r="U922" s="10"/>
      <c r="V922" s="10"/>
      <c r="W922" s="10"/>
      <c r="X922" s="10"/>
      <c r="Y922" s="10"/>
    </row>
    <row r="923" spans="1:25" x14ac:dyDescent="0.25">
      <c r="A923" s="9">
        <v>41461</v>
      </c>
      <c r="B923" s="10">
        <f ca="1">ROUND(_xlfn.NORM.INV(RAND(),Reference!$C$8,0.1*Reference!$C$8)*(1+Reference!$C$11*(IF(MONTH($A923)=Reference!$C$4,1,0)+IF(MONTH($A923)=Reference!$C$5,1,0))+(IF(MONTH($A923)=Reference!$C$6,Reference!$C$13,0))),0)</f>
        <v>358</v>
      </c>
      <c r="C923" s="11">
        <f ca="1">B923*Reference!$C$7*(1-IF(MONTH($A923)=Reference!$C$6,1,0)*Reference!$C$12)</f>
        <v>332940</v>
      </c>
      <c r="D923" s="10">
        <f ca="1">ROUND(_xlfn.NORM.INV(RAND(),Reference!$D$8,0.1*Reference!$D$8)*(1+Reference!$D$11*(IF(MONTH($A923)=Reference!$D$4,1,0)+IF(MONTH($A923)=Reference!$D$5,1,0))+(IF(MONTH($A923)=Reference!$D$6,Reference!$D$13,0))),0)</f>
        <v>576</v>
      </c>
      <c r="E923" s="11">
        <f ca="1">D923*Reference!$D$7*(1-IF(MONTH($A923)=Reference!$D$6,1,0)*Reference!$D$12)</f>
        <v>432000</v>
      </c>
      <c r="M923" s="20"/>
      <c r="N923" s="20"/>
      <c r="O923" s="19"/>
      <c r="P923" s="10"/>
      <c r="Q923" s="10"/>
      <c r="R923" s="10"/>
      <c r="S923" s="10"/>
      <c r="T923" s="10"/>
      <c r="U923" s="10"/>
      <c r="V923" s="10"/>
      <c r="W923" s="10"/>
      <c r="X923" s="10"/>
      <c r="Y923" s="10"/>
    </row>
    <row r="924" spans="1:25" x14ac:dyDescent="0.25">
      <c r="A924" s="9">
        <v>41462</v>
      </c>
      <c r="B924" s="10">
        <f ca="1">ROUND(_xlfn.NORM.INV(RAND(),Reference!$C$8,0.1*Reference!$C$8)*(1+Reference!$C$11*(IF(MONTH($A924)=Reference!$C$4,1,0)+IF(MONTH($A924)=Reference!$C$5,1,0))+(IF(MONTH($A924)=Reference!$C$6,Reference!$C$13,0))),0)</f>
        <v>355</v>
      </c>
      <c r="C924" s="11">
        <f ca="1">B924*Reference!$C$7*(1-IF(MONTH($A924)=Reference!$C$6,1,0)*Reference!$C$12)</f>
        <v>330150</v>
      </c>
      <c r="D924" s="10">
        <f ca="1">ROUND(_xlfn.NORM.INV(RAND(),Reference!$D$8,0.1*Reference!$D$8)*(1+Reference!$D$11*(IF(MONTH($A924)=Reference!$D$4,1,0)+IF(MONTH($A924)=Reference!$D$5,1,0))+(IF(MONTH($A924)=Reference!$D$6,Reference!$D$13,0))),0)</f>
        <v>472</v>
      </c>
      <c r="E924" s="11">
        <f ca="1">D924*Reference!$D$7*(1-IF(MONTH($A924)=Reference!$D$6,1,0)*Reference!$D$12)</f>
        <v>354000</v>
      </c>
      <c r="M924" s="20"/>
      <c r="N924" s="20"/>
      <c r="O924" s="19"/>
      <c r="P924" s="10"/>
      <c r="Q924" s="10"/>
      <c r="R924" s="10"/>
      <c r="S924" s="10"/>
      <c r="T924" s="10"/>
      <c r="U924" s="10"/>
      <c r="V924" s="10"/>
      <c r="W924" s="10"/>
      <c r="X924" s="10"/>
      <c r="Y924" s="10"/>
    </row>
    <row r="925" spans="1:25" x14ac:dyDescent="0.25">
      <c r="A925" s="9">
        <v>41463</v>
      </c>
      <c r="B925" s="10">
        <f ca="1">ROUND(_xlfn.NORM.INV(RAND(),Reference!$C$8,0.1*Reference!$C$8)*(1+Reference!$C$11*(IF(MONTH($A925)=Reference!$C$4,1,0)+IF(MONTH($A925)=Reference!$C$5,1,0))+(IF(MONTH($A925)=Reference!$C$6,Reference!$C$13,0))),0)</f>
        <v>332</v>
      </c>
      <c r="C925" s="11">
        <f ca="1">B925*Reference!$C$7*(1-IF(MONTH($A925)=Reference!$C$6,1,0)*Reference!$C$12)</f>
        <v>308760</v>
      </c>
      <c r="D925" s="10">
        <f ca="1">ROUND(_xlfn.NORM.INV(RAND(),Reference!$D$8,0.1*Reference!$D$8)*(1+Reference!$D$11*(IF(MONTH($A925)=Reference!$D$4,1,0)+IF(MONTH($A925)=Reference!$D$5,1,0))+(IF(MONTH($A925)=Reference!$D$6,Reference!$D$13,0))),0)</f>
        <v>534</v>
      </c>
      <c r="E925" s="11">
        <f ca="1">D925*Reference!$D$7*(1-IF(MONTH($A925)=Reference!$D$6,1,0)*Reference!$D$12)</f>
        <v>400500</v>
      </c>
      <c r="M925" s="20"/>
      <c r="N925" s="20"/>
      <c r="O925" s="19"/>
      <c r="P925" s="10"/>
      <c r="Q925" s="10"/>
      <c r="R925" s="10"/>
      <c r="S925" s="10"/>
      <c r="T925" s="10"/>
      <c r="U925" s="10"/>
      <c r="V925" s="10"/>
      <c r="W925" s="10"/>
      <c r="X925" s="10"/>
      <c r="Y925" s="10"/>
    </row>
    <row r="926" spans="1:25" x14ac:dyDescent="0.25">
      <c r="A926" s="9">
        <v>41464</v>
      </c>
      <c r="B926" s="10">
        <f ca="1">ROUND(_xlfn.NORM.INV(RAND(),Reference!$C$8,0.1*Reference!$C$8)*(1+Reference!$C$11*(IF(MONTH($A926)=Reference!$C$4,1,0)+IF(MONTH($A926)=Reference!$C$5,1,0))+(IF(MONTH($A926)=Reference!$C$6,Reference!$C$13,0))),0)</f>
        <v>362</v>
      </c>
      <c r="C926" s="11">
        <f ca="1">B926*Reference!$C$7*(1-IF(MONTH($A926)=Reference!$C$6,1,0)*Reference!$C$12)</f>
        <v>336660</v>
      </c>
      <c r="D926" s="10">
        <f ca="1">ROUND(_xlfn.NORM.INV(RAND(),Reference!$D$8,0.1*Reference!$D$8)*(1+Reference!$D$11*(IF(MONTH($A926)=Reference!$D$4,1,0)+IF(MONTH($A926)=Reference!$D$5,1,0))+(IF(MONTH($A926)=Reference!$D$6,Reference!$D$13,0))),0)</f>
        <v>566</v>
      </c>
      <c r="E926" s="11">
        <f ca="1">D926*Reference!$D$7*(1-IF(MONTH($A926)=Reference!$D$6,1,0)*Reference!$D$12)</f>
        <v>424500</v>
      </c>
      <c r="M926" s="20"/>
      <c r="N926" s="20"/>
      <c r="O926" s="19"/>
      <c r="P926" s="10"/>
      <c r="Q926" s="10"/>
      <c r="R926" s="10"/>
      <c r="S926" s="10"/>
      <c r="T926" s="10"/>
      <c r="U926" s="10"/>
      <c r="V926" s="10"/>
      <c r="W926" s="10"/>
      <c r="X926" s="10"/>
      <c r="Y926" s="10"/>
    </row>
    <row r="927" spans="1:25" x14ac:dyDescent="0.25">
      <c r="A927" s="9">
        <v>41465</v>
      </c>
      <c r="B927" s="10">
        <f ca="1">ROUND(_xlfn.NORM.INV(RAND(),Reference!$C$8,0.1*Reference!$C$8)*(1+Reference!$C$11*(IF(MONTH($A927)=Reference!$C$4,1,0)+IF(MONTH($A927)=Reference!$C$5,1,0))+(IF(MONTH($A927)=Reference!$C$6,Reference!$C$13,0))),0)</f>
        <v>355</v>
      </c>
      <c r="C927" s="11">
        <f ca="1">B927*Reference!$C$7*(1-IF(MONTH($A927)=Reference!$C$6,1,0)*Reference!$C$12)</f>
        <v>330150</v>
      </c>
      <c r="D927" s="10">
        <f ca="1">ROUND(_xlfn.NORM.INV(RAND(),Reference!$D$8,0.1*Reference!$D$8)*(1+Reference!$D$11*(IF(MONTH($A927)=Reference!$D$4,1,0)+IF(MONTH($A927)=Reference!$D$5,1,0))+(IF(MONTH($A927)=Reference!$D$6,Reference!$D$13,0))),0)</f>
        <v>545</v>
      </c>
      <c r="E927" s="11">
        <f ca="1">D927*Reference!$D$7*(1-IF(MONTH($A927)=Reference!$D$6,1,0)*Reference!$D$12)</f>
        <v>408750</v>
      </c>
      <c r="M927" s="20"/>
      <c r="N927" s="20"/>
      <c r="O927" s="19"/>
      <c r="P927" s="10"/>
      <c r="Q927" s="10"/>
      <c r="R927" s="10"/>
      <c r="S927" s="10"/>
      <c r="T927" s="10"/>
      <c r="U927" s="10"/>
      <c r="V927" s="10"/>
      <c r="W927" s="10"/>
      <c r="X927" s="10"/>
      <c r="Y927" s="10"/>
    </row>
    <row r="928" spans="1:25" x14ac:dyDescent="0.25">
      <c r="A928" s="9">
        <v>41466</v>
      </c>
      <c r="B928" s="10">
        <f ca="1">ROUND(_xlfn.NORM.INV(RAND(),Reference!$C$8,0.1*Reference!$C$8)*(1+Reference!$C$11*(IF(MONTH($A928)=Reference!$C$4,1,0)+IF(MONTH($A928)=Reference!$C$5,1,0))+(IF(MONTH($A928)=Reference!$C$6,Reference!$C$13,0))),0)</f>
        <v>378</v>
      </c>
      <c r="C928" s="11">
        <f ca="1">B928*Reference!$C$7*(1-IF(MONTH($A928)=Reference!$C$6,1,0)*Reference!$C$12)</f>
        <v>351540</v>
      </c>
      <c r="D928" s="10">
        <f ca="1">ROUND(_xlfn.NORM.INV(RAND(),Reference!$D$8,0.1*Reference!$D$8)*(1+Reference!$D$11*(IF(MONTH($A928)=Reference!$D$4,1,0)+IF(MONTH($A928)=Reference!$D$5,1,0))+(IF(MONTH($A928)=Reference!$D$6,Reference!$D$13,0))),0)</f>
        <v>456</v>
      </c>
      <c r="E928" s="11">
        <f ca="1">D928*Reference!$D$7*(1-IF(MONTH($A928)=Reference!$D$6,1,0)*Reference!$D$12)</f>
        <v>342000</v>
      </c>
      <c r="M928" s="20"/>
      <c r="N928" s="20"/>
      <c r="O928" s="19"/>
      <c r="P928" s="10"/>
      <c r="Q928" s="10"/>
      <c r="R928" s="10"/>
      <c r="S928" s="10"/>
      <c r="T928" s="10"/>
      <c r="U928" s="10"/>
      <c r="V928" s="10"/>
      <c r="W928" s="10"/>
      <c r="X928" s="10"/>
      <c r="Y928" s="10"/>
    </row>
    <row r="929" spans="1:25" x14ac:dyDescent="0.25">
      <c r="A929" s="9">
        <v>41467</v>
      </c>
      <c r="B929" s="10">
        <f ca="1">ROUND(_xlfn.NORM.INV(RAND(),Reference!$C$8,0.1*Reference!$C$8)*(1+Reference!$C$11*(IF(MONTH($A929)=Reference!$C$4,1,0)+IF(MONTH($A929)=Reference!$C$5,1,0))+(IF(MONTH($A929)=Reference!$C$6,Reference!$C$13,0))),0)</f>
        <v>377</v>
      </c>
      <c r="C929" s="11">
        <f ca="1">B929*Reference!$C$7*(1-IF(MONTH($A929)=Reference!$C$6,1,0)*Reference!$C$12)</f>
        <v>350610</v>
      </c>
      <c r="D929" s="10">
        <f ca="1">ROUND(_xlfn.NORM.INV(RAND(),Reference!$D$8,0.1*Reference!$D$8)*(1+Reference!$D$11*(IF(MONTH($A929)=Reference!$D$4,1,0)+IF(MONTH($A929)=Reference!$D$5,1,0))+(IF(MONTH($A929)=Reference!$D$6,Reference!$D$13,0))),0)</f>
        <v>469</v>
      </c>
      <c r="E929" s="11">
        <f ca="1">D929*Reference!$D$7*(1-IF(MONTH($A929)=Reference!$D$6,1,0)*Reference!$D$12)</f>
        <v>351750</v>
      </c>
      <c r="M929" s="20"/>
      <c r="N929" s="20"/>
      <c r="O929" s="19"/>
      <c r="P929" s="10"/>
      <c r="Q929" s="10"/>
      <c r="R929" s="10"/>
      <c r="S929" s="10"/>
      <c r="T929" s="10"/>
      <c r="U929" s="10"/>
      <c r="V929" s="10"/>
      <c r="W929" s="10"/>
      <c r="X929" s="10"/>
      <c r="Y929" s="10"/>
    </row>
    <row r="930" spans="1:25" x14ac:dyDescent="0.25">
      <c r="A930" s="9">
        <v>41468</v>
      </c>
      <c r="B930" s="10">
        <f ca="1">ROUND(_xlfn.NORM.INV(RAND(),Reference!$C$8,0.1*Reference!$C$8)*(1+Reference!$C$11*(IF(MONTH($A930)=Reference!$C$4,1,0)+IF(MONTH($A930)=Reference!$C$5,1,0))+(IF(MONTH($A930)=Reference!$C$6,Reference!$C$13,0))),0)</f>
        <v>383</v>
      </c>
      <c r="C930" s="11">
        <f ca="1">B930*Reference!$C$7*(1-IF(MONTH($A930)=Reference!$C$6,1,0)*Reference!$C$12)</f>
        <v>356190</v>
      </c>
      <c r="D930" s="10">
        <f ca="1">ROUND(_xlfn.NORM.INV(RAND(),Reference!$D$8,0.1*Reference!$D$8)*(1+Reference!$D$11*(IF(MONTH($A930)=Reference!$D$4,1,0)+IF(MONTH($A930)=Reference!$D$5,1,0))+(IF(MONTH($A930)=Reference!$D$6,Reference!$D$13,0))),0)</f>
        <v>545</v>
      </c>
      <c r="E930" s="11">
        <f ca="1">D930*Reference!$D$7*(1-IF(MONTH($A930)=Reference!$D$6,1,0)*Reference!$D$12)</f>
        <v>408750</v>
      </c>
      <c r="M930" s="20"/>
      <c r="N930" s="20"/>
      <c r="O930" s="19"/>
      <c r="P930" s="10"/>
      <c r="Q930" s="10"/>
      <c r="R930" s="10"/>
      <c r="S930" s="10"/>
      <c r="T930" s="10"/>
      <c r="U930" s="10"/>
      <c r="V930" s="10"/>
      <c r="W930" s="10"/>
      <c r="X930" s="10"/>
      <c r="Y930" s="10"/>
    </row>
    <row r="931" spans="1:25" x14ac:dyDescent="0.25">
      <c r="A931" s="9">
        <v>41469</v>
      </c>
      <c r="B931" s="10">
        <f ca="1">ROUND(_xlfn.NORM.INV(RAND(),Reference!$C$8,0.1*Reference!$C$8)*(1+Reference!$C$11*(IF(MONTH($A931)=Reference!$C$4,1,0)+IF(MONTH($A931)=Reference!$C$5,1,0))+(IF(MONTH($A931)=Reference!$C$6,Reference!$C$13,0))),0)</f>
        <v>377</v>
      </c>
      <c r="C931" s="11">
        <f ca="1">B931*Reference!$C$7*(1-IF(MONTH($A931)=Reference!$C$6,1,0)*Reference!$C$12)</f>
        <v>350610</v>
      </c>
      <c r="D931" s="10">
        <f ca="1">ROUND(_xlfn.NORM.INV(RAND(),Reference!$D$8,0.1*Reference!$D$8)*(1+Reference!$D$11*(IF(MONTH($A931)=Reference!$D$4,1,0)+IF(MONTH($A931)=Reference!$D$5,1,0))+(IF(MONTH($A931)=Reference!$D$6,Reference!$D$13,0))),0)</f>
        <v>391</v>
      </c>
      <c r="E931" s="11">
        <f ca="1">D931*Reference!$D$7*(1-IF(MONTH($A931)=Reference!$D$6,1,0)*Reference!$D$12)</f>
        <v>293250</v>
      </c>
      <c r="M931" s="20"/>
      <c r="N931" s="20"/>
      <c r="O931" s="19"/>
      <c r="P931" s="10"/>
      <c r="Q931" s="10"/>
      <c r="R931" s="10"/>
      <c r="S931" s="10"/>
      <c r="T931" s="10"/>
      <c r="U931" s="10"/>
      <c r="V931" s="10"/>
      <c r="W931" s="10"/>
      <c r="X931" s="10"/>
      <c r="Y931" s="10"/>
    </row>
    <row r="932" spans="1:25" x14ac:dyDescent="0.25">
      <c r="A932" s="9">
        <v>41470</v>
      </c>
      <c r="B932" s="10">
        <f ca="1">ROUND(_xlfn.NORM.INV(RAND(),Reference!$C$8,0.1*Reference!$C$8)*(1+Reference!$C$11*(IF(MONTH($A932)=Reference!$C$4,1,0)+IF(MONTH($A932)=Reference!$C$5,1,0))+(IF(MONTH($A932)=Reference!$C$6,Reference!$C$13,0))),0)</f>
        <v>348</v>
      </c>
      <c r="C932" s="11">
        <f ca="1">B932*Reference!$C$7*(1-IF(MONTH($A932)=Reference!$C$6,1,0)*Reference!$C$12)</f>
        <v>323640</v>
      </c>
      <c r="D932" s="10">
        <f ca="1">ROUND(_xlfn.NORM.INV(RAND(),Reference!$D$8,0.1*Reference!$D$8)*(1+Reference!$D$11*(IF(MONTH($A932)=Reference!$D$4,1,0)+IF(MONTH($A932)=Reference!$D$5,1,0))+(IF(MONTH($A932)=Reference!$D$6,Reference!$D$13,0))),0)</f>
        <v>408</v>
      </c>
      <c r="E932" s="11">
        <f ca="1">D932*Reference!$D$7*(1-IF(MONTH($A932)=Reference!$D$6,1,0)*Reference!$D$12)</f>
        <v>306000</v>
      </c>
      <c r="M932" s="20"/>
      <c r="N932" s="20"/>
      <c r="O932" s="19"/>
      <c r="P932" s="10"/>
      <c r="Q932" s="10"/>
      <c r="R932" s="10"/>
      <c r="S932" s="10"/>
      <c r="T932" s="10"/>
      <c r="U932" s="10"/>
      <c r="V932" s="10"/>
      <c r="W932" s="10"/>
      <c r="X932" s="10"/>
      <c r="Y932" s="10"/>
    </row>
    <row r="933" spans="1:25" x14ac:dyDescent="0.25">
      <c r="A933" s="9">
        <v>41471</v>
      </c>
      <c r="B933" s="10">
        <f ca="1">ROUND(_xlfn.NORM.INV(RAND(),Reference!$C$8,0.1*Reference!$C$8)*(1+Reference!$C$11*(IF(MONTH($A933)=Reference!$C$4,1,0)+IF(MONTH($A933)=Reference!$C$5,1,0))+(IF(MONTH($A933)=Reference!$C$6,Reference!$C$13,0))),0)</f>
        <v>348</v>
      </c>
      <c r="C933" s="11">
        <f ca="1">B933*Reference!$C$7*(1-IF(MONTH($A933)=Reference!$C$6,1,0)*Reference!$C$12)</f>
        <v>323640</v>
      </c>
      <c r="D933" s="10">
        <f ca="1">ROUND(_xlfn.NORM.INV(RAND(),Reference!$D$8,0.1*Reference!$D$8)*(1+Reference!$D$11*(IF(MONTH($A933)=Reference!$D$4,1,0)+IF(MONTH($A933)=Reference!$D$5,1,0))+(IF(MONTH($A933)=Reference!$D$6,Reference!$D$13,0))),0)</f>
        <v>457</v>
      </c>
      <c r="E933" s="11">
        <f ca="1">D933*Reference!$D$7*(1-IF(MONTH($A933)=Reference!$D$6,1,0)*Reference!$D$12)</f>
        <v>342750</v>
      </c>
      <c r="M933" s="20"/>
      <c r="N933" s="20"/>
      <c r="O933" s="19"/>
      <c r="P933" s="10"/>
      <c r="Q933" s="10"/>
      <c r="R933" s="10"/>
      <c r="S933" s="10"/>
      <c r="T933" s="10"/>
      <c r="U933" s="10"/>
      <c r="V933" s="10"/>
      <c r="W933" s="10"/>
      <c r="X933" s="10"/>
      <c r="Y933" s="10"/>
    </row>
    <row r="934" spans="1:25" x14ac:dyDescent="0.25">
      <c r="A934" s="9">
        <v>41472</v>
      </c>
      <c r="B934" s="10">
        <f ca="1">ROUND(_xlfn.NORM.INV(RAND(),Reference!$C$8,0.1*Reference!$C$8)*(1+Reference!$C$11*(IF(MONTH($A934)=Reference!$C$4,1,0)+IF(MONTH($A934)=Reference!$C$5,1,0))+(IF(MONTH($A934)=Reference!$C$6,Reference!$C$13,0))),0)</f>
        <v>325</v>
      </c>
      <c r="C934" s="11">
        <f ca="1">B934*Reference!$C$7*(1-IF(MONTH($A934)=Reference!$C$6,1,0)*Reference!$C$12)</f>
        <v>302250</v>
      </c>
      <c r="D934" s="10">
        <f ca="1">ROUND(_xlfn.NORM.INV(RAND(),Reference!$D$8,0.1*Reference!$D$8)*(1+Reference!$D$11*(IF(MONTH($A934)=Reference!$D$4,1,0)+IF(MONTH($A934)=Reference!$D$5,1,0))+(IF(MONTH($A934)=Reference!$D$6,Reference!$D$13,0))),0)</f>
        <v>421</v>
      </c>
      <c r="E934" s="11">
        <f ca="1">D934*Reference!$D$7*(1-IF(MONTH($A934)=Reference!$D$6,1,0)*Reference!$D$12)</f>
        <v>315750</v>
      </c>
      <c r="M934" s="20"/>
      <c r="N934" s="20"/>
      <c r="O934" s="19"/>
      <c r="P934" s="10"/>
      <c r="Q934" s="10"/>
      <c r="R934" s="10"/>
      <c r="S934" s="10"/>
      <c r="T934" s="10"/>
      <c r="U934" s="10"/>
      <c r="V934" s="10"/>
      <c r="W934" s="10"/>
      <c r="X934" s="10"/>
      <c r="Y934" s="10"/>
    </row>
    <row r="935" spans="1:25" x14ac:dyDescent="0.25">
      <c r="A935" s="9">
        <v>41473</v>
      </c>
      <c r="B935" s="10">
        <f ca="1">ROUND(_xlfn.NORM.INV(RAND(),Reference!$C$8,0.1*Reference!$C$8)*(1+Reference!$C$11*(IF(MONTH($A935)=Reference!$C$4,1,0)+IF(MONTH($A935)=Reference!$C$5,1,0))+(IF(MONTH($A935)=Reference!$C$6,Reference!$C$13,0))),0)</f>
        <v>379</v>
      </c>
      <c r="C935" s="11">
        <f ca="1">B935*Reference!$C$7*(1-IF(MONTH($A935)=Reference!$C$6,1,0)*Reference!$C$12)</f>
        <v>352470</v>
      </c>
      <c r="D935" s="10">
        <f ca="1">ROUND(_xlfn.NORM.INV(RAND(),Reference!$D$8,0.1*Reference!$D$8)*(1+Reference!$D$11*(IF(MONTH($A935)=Reference!$D$4,1,0)+IF(MONTH($A935)=Reference!$D$5,1,0))+(IF(MONTH($A935)=Reference!$D$6,Reference!$D$13,0))),0)</f>
        <v>411</v>
      </c>
      <c r="E935" s="11">
        <f ca="1">D935*Reference!$D$7*(1-IF(MONTH($A935)=Reference!$D$6,1,0)*Reference!$D$12)</f>
        <v>308250</v>
      </c>
      <c r="M935" s="20"/>
      <c r="N935" s="20"/>
      <c r="O935" s="19"/>
      <c r="P935" s="10"/>
      <c r="Q935" s="10"/>
      <c r="R935" s="10"/>
      <c r="S935" s="10"/>
      <c r="T935" s="10"/>
      <c r="U935" s="10"/>
      <c r="V935" s="10"/>
      <c r="W935" s="10"/>
      <c r="X935" s="10"/>
      <c r="Y935" s="10"/>
    </row>
    <row r="936" spans="1:25" x14ac:dyDescent="0.25">
      <c r="A936" s="9">
        <v>41474</v>
      </c>
      <c r="B936" s="10">
        <f ca="1">ROUND(_xlfn.NORM.INV(RAND(),Reference!$C$8,0.1*Reference!$C$8)*(1+Reference!$C$11*(IF(MONTH($A936)=Reference!$C$4,1,0)+IF(MONTH($A936)=Reference!$C$5,1,0))+(IF(MONTH($A936)=Reference!$C$6,Reference!$C$13,0))),0)</f>
        <v>341</v>
      </c>
      <c r="C936" s="11">
        <f ca="1">B936*Reference!$C$7*(1-IF(MONTH($A936)=Reference!$C$6,1,0)*Reference!$C$12)</f>
        <v>317130</v>
      </c>
      <c r="D936" s="10">
        <f ca="1">ROUND(_xlfn.NORM.INV(RAND(),Reference!$D$8,0.1*Reference!$D$8)*(1+Reference!$D$11*(IF(MONTH($A936)=Reference!$D$4,1,0)+IF(MONTH($A936)=Reference!$D$5,1,0))+(IF(MONTH($A936)=Reference!$D$6,Reference!$D$13,0))),0)</f>
        <v>452</v>
      </c>
      <c r="E936" s="11">
        <f ca="1">D936*Reference!$D$7*(1-IF(MONTH($A936)=Reference!$D$6,1,0)*Reference!$D$12)</f>
        <v>339000</v>
      </c>
      <c r="M936" s="20"/>
      <c r="N936" s="20"/>
      <c r="O936" s="19"/>
      <c r="P936" s="10"/>
      <c r="Q936" s="10"/>
      <c r="R936" s="10"/>
      <c r="S936" s="10"/>
      <c r="T936" s="10"/>
      <c r="U936" s="10"/>
      <c r="V936" s="10"/>
      <c r="W936" s="10"/>
      <c r="X936" s="10"/>
      <c r="Y936" s="10"/>
    </row>
    <row r="937" spans="1:25" x14ac:dyDescent="0.25">
      <c r="A937" s="9">
        <v>41475</v>
      </c>
      <c r="B937" s="10">
        <f ca="1">ROUND(_xlfn.NORM.INV(RAND(),Reference!$C$8,0.1*Reference!$C$8)*(1+Reference!$C$11*(IF(MONTH($A937)=Reference!$C$4,1,0)+IF(MONTH($A937)=Reference!$C$5,1,0))+(IF(MONTH($A937)=Reference!$C$6,Reference!$C$13,0))),0)</f>
        <v>358</v>
      </c>
      <c r="C937" s="11">
        <f ca="1">B937*Reference!$C$7*(1-IF(MONTH($A937)=Reference!$C$6,1,0)*Reference!$C$12)</f>
        <v>332940</v>
      </c>
      <c r="D937" s="10">
        <f ca="1">ROUND(_xlfn.NORM.INV(RAND(),Reference!$D$8,0.1*Reference!$D$8)*(1+Reference!$D$11*(IF(MONTH($A937)=Reference!$D$4,1,0)+IF(MONTH($A937)=Reference!$D$5,1,0))+(IF(MONTH($A937)=Reference!$D$6,Reference!$D$13,0))),0)</f>
        <v>538</v>
      </c>
      <c r="E937" s="11">
        <f ca="1">D937*Reference!$D$7*(1-IF(MONTH($A937)=Reference!$D$6,1,0)*Reference!$D$12)</f>
        <v>403500</v>
      </c>
      <c r="M937" s="20"/>
      <c r="N937" s="20"/>
      <c r="O937" s="19"/>
      <c r="P937" s="10"/>
      <c r="Q937" s="10"/>
      <c r="R937" s="10"/>
      <c r="S937" s="10"/>
      <c r="T937" s="10"/>
      <c r="U937" s="10"/>
      <c r="V937" s="10"/>
      <c r="W937" s="10"/>
      <c r="X937" s="10"/>
      <c r="Y937" s="10"/>
    </row>
    <row r="938" spans="1:25" x14ac:dyDescent="0.25">
      <c r="A938" s="9">
        <v>41476</v>
      </c>
      <c r="B938" s="10">
        <f ca="1">ROUND(_xlfn.NORM.INV(RAND(),Reference!$C$8,0.1*Reference!$C$8)*(1+Reference!$C$11*(IF(MONTH($A938)=Reference!$C$4,1,0)+IF(MONTH($A938)=Reference!$C$5,1,0))+(IF(MONTH($A938)=Reference!$C$6,Reference!$C$13,0))),0)</f>
        <v>311</v>
      </c>
      <c r="C938" s="11">
        <f ca="1">B938*Reference!$C$7*(1-IF(MONTH($A938)=Reference!$C$6,1,0)*Reference!$C$12)</f>
        <v>289230</v>
      </c>
      <c r="D938" s="10">
        <f ca="1">ROUND(_xlfn.NORM.INV(RAND(),Reference!$D$8,0.1*Reference!$D$8)*(1+Reference!$D$11*(IF(MONTH($A938)=Reference!$D$4,1,0)+IF(MONTH($A938)=Reference!$D$5,1,0))+(IF(MONTH($A938)=Reference!$D$6,Reference!$D$13,0))),0)</f>
        <v>376</v>
      </c>
      <c r="E938" s="11">
        <f ca="1">D938*Reference!$D$7*(1-IF(MONTH($A938)=Reference!$D$6,1,0)*Reference!$D$12)</f>
        <v>282000</v>
      </c>
      <c r="M938" s="20"/>
      <c r="N938" s="20"/>
      <c r="O938" s="19"/>
      <c r="P938" s="10"/>
      <c r="Q938" s="10"/>
      <c r="R938" s="10"/>
      <c r="S938" s="10"/>
      <c r="T938" s="10"/>
      <c r="U938" s="10"/>
      <c r="V938" s="10"/>
      <c r="W938" s="10"/>
      <c r="X938" s="10"/>
      <c r="Y938" s="10"/>
    </row>
    <row r="939" spans="1:25" x14ac:dyDescent="0.25">
      <c r="A939" s="9">
        <v>41477</v>
      </c>
      <c r="B939" s="10">
        <f ca="1">ROUND(_xlfn.NORM.INV(RAND(),Reference!$C$8,0.1*Reference!$C$8)*(1+Reference!$C$11*(IF(MONTH($A939)=Reference!$C$4,1,0)+IF(MONTH($A939)=Reference!$C$5,1,0))+(IF(MONTH($A939)=Reference!$C$6,Reference!$C$13,0))),0)</f>
        <v>356</v>
      </c>
      <c r="C939" s="11">
        <f ca="1">B939*Reference!$C$7*(1-IF(MONTH($A939)=Reference!$C$6,1,0)*Reference!$C$12)</f>
        <v>331080</v>
      </c>
      <c r="D939" s="10">
        <f ca="1">ROUND(_xlfn.NORM.INV(RAND(),Reference!$D$8,0.1*Reference!$D$8)*(1+Reference!$D$11*(IF(MONTH($A939)=Reference!$D$4,1,0)+IF(MONTH($A939)=Reference!$D$5,1,0))+(IF(MONTH($A939)=Reference!$D$6,Reference!$D$13,0))),0)</f>
        <v>510</v>
      </c>
      <c r="E939" s="11">
        <f ca="1">D939*Reference!$D$7*(1-IF(MONTH($A939)=Reference!$D$6,1,0)*Reference!$D$12)</f>
        <v>382500</v>
      </c>
      <c r="M939" s="20"/>
      <c r="N939" s="20"/>
      <c r="O939" s="19"/>
      <c r="P939" s="10"/>
      <c r="Q939" s="10"/>
      <c r="R939" s="10"/>
      <c r="S939" s="10"/>
      <c r="T939" s="10"/>
      <c r="U939" s="10"/>
      <c r="V939" s="10"/>
      <c r="W939" s="10"/>
      <c r="X939" s="10"/>
      <c r="Y939" s="10"/>
    </row>
    <row r="940" spans="1:25" x14ac:dyDescent="0.25">
      <c r="A940" s="9">
        <v>41478</v>
      </c>
      <c r="B940" s="10">
        <f ca="1">ROUND(_xlfn.NORM.INV(RAND(),Reference!$C$8,0.1*Reference!$C$8)*(1+Reference!$C$11*(IF(MONTH($A940)=Reference!$C$4,1,0)+IF(MONTH($A940)=Reference!$C$5,1,0))+(IF(MONTH($A940)=Reference!$C$6,Reference!$C$13,0))),0)</f>
        <v>407</v>
      </c>
      <c r="C940" s="11">
        <f ca="1">B940*Reference!$C$7*(1-IF(MONTH($A940)=Reference!$C$6,1,0)*Reference!$C$12)</f>
        <v>378510</v>
      </c>
      <c r="D940" s="10">
        <f ca="1">ROUND(_xlfn.NORM.INV(RAND(),Reference!$D$8,0.1*Reference!$D$8)*(1+Reference!$D$11*(IF(MONTH($A940)=Reference!$D$4,1,0)+IF(MONTH($A940)=Reference!$D$5,1,0))+(IF(MONTH($A940)=Reference!$D$6,Reference!$D$13,0))),0)</f>
        <v>481</v>
      </c>
      <c r="E940" s="11">
        <f ca="1">D940*Reference!$D$7*(1-IF(MONTH($A940)=Reference!$D$6,1,0)*Reference!$D$12)</f>
        <v>360750</v>
      </c>
      <c r="M940" s="20"/>
      <c r="N940" s="20"/>
      <c r="O940" s="19"/>
      <c r="P940" s="10"/>
      <c r="Q940" s="10"/>
      <c r="R940" s="10"/>
      <c r="S940" s="10"/>
      <c r="T940" s="10"/>
      <c r="U940" s="10"/>
      <c r="V940" s="10"/>
      <c r="W940" s="10"/>
      <c r="X940" s="10"/>
      <c r="Y940" s="10"/>
    </row>
    <row r="941" spans="1:25" x14ac:dyDescent="0.25">
      <c r="A941" s="9">
        <v>41479</v>
      </c>
      <c r="B941" s="10">
        <f ca="1">ROUND(_xlfn.NORM.INV(RAND(),Reference!$C$8,0.1*Reference!$C$8)*(1+Reference!$C$11*(IF(MONTH($A941)=Reference!$C$4,1,0)+IF(MONTH($A941)=Reference!$C$5,1,0))+(IF(MONTH($A941)=Reference!$C$6,Reference!$C$13,0))),0)</f>
        <v>282</v>
      </c>
      <c r="C941" s="11">
        <f ca="1">B941*Reference!$C$7*(1-IF(MONTH($A941)=Reference!$C$6,1,0)*Reference!$C$12)</f>
        <v>262260</v>
      </c>
      <c r="D941" s="10">
        <f ca="1">ROUND(_xlfn.NORM.INV(RAND(),Reference!$D$8,0.1*Reference!$D$8)*(1+Reference!$D$11*(IF(MONTH($A941)=Reference!$D$4,1,0)+IF(MONTH($A941)=Reference!$D$5,1,0))+(IF(MONTH($A941)=Reference!$D$6,Reference!$D$13,0))),0)</f>
        <v>472</v>
      </c>
      <c r="E941" s="11">
        <f ca="1">D941*Reference!$D$7*(1-IF(MONTH($A941)=Reference!$D$6,1,0)*Reference!$D$12)</f>
        <v>354000</v>
      </c>
      <c r="M941" s="20"/>
      <c r="N941" s="20"/>
      <c r="O941" s="19"/>
      <c r="P941" s="10"/>
      <c r="Q941" s="10"/>
      <c r="R941" s="10"/>
      <c r="S941" s="10"/>
      <c r="T941" s="10"/>
      <c r="U941" s="10"/>
      <c r="V941" s="10"/>
      <c r="W941" s="10"/>
      <c r="X941" s="10"/>
      <c r="Y941" s="10"/>
    </row>
    <row r="942" spans="1:25" x14ac:dyDescent="0.25">
      <c r="A942" s="9">
        <v>41480</v>
      </c>
      <c r="B942" s="10">
        <f ca="1">ROUND(_xlfn.NORM.INV(RAND(),Reference!$C$8,0.1*Reference!$C$8)*(1+Reference!$C$11*(IF(MONTH($A942)=Reference!$C$4,1,0)+IF(MONTH($A942)=Reference!$C$5,1,0))+(IF(MONTH($A942)=Reference!$C$6,Reference!$C$13,0))),0)</f>
        <v>389</v>
      </c>
      <c r="C942" s="11">
        <f ca="1">B942*Reference!$C$7*(1-IF(MONTH($A942)=Reference!$C$6,1,0)*Reference!$C$12)</f>
        <v>361770</v>
      </c>
      <c r="D942" s="10">
        <f ca="1">ROUND(_xlfn.NORM.INV(RAND(),Reference!$D$8,0.1*Reference!$D$8)*(1+Reference!$D$11*(IF(MONTH($A942)=Reference!$D$4,1,0)+IF(MONTH($A942)=Reference!$D$5,1,0))+(IF(MONTH($A942)=Reference!$D$6,Reference!$D$13,0))),0)</f>
        <v>517</v>
      </c>
      <c r="E942" s="11">
        <f ca="1">D942*Reference!$D$7*(1-IF(MONTH($A942)=Reference!$D$6,1,0)*Reference!$D$12)</f>
        <v>387750</v>
      </c>
      <c r="M942" s="20"/>
      <c r="N942" s="20"/>
      <c r="O942" s="19"/>
      <c r="P942" s="10"/>
      <c r="Q942" s="10"/>
      <c r="R942" s="10"/>
      <c r="S942" s="10"/>
      <c r="T942" s="10"/>
      <c r="U942" s="10"/>
      <c r="V942" s="10"/>
      <c r="W942" s="10"/>
      <c r="X942" s="10"/>
      <c r="Y942" s="10"/>
    </row>
    <row r="943" spans="1:25" x14ac:dyDescent="0.25">
      <c r="A943" s="9">
        <v>41481</v>
      </c>
      <c r="B943" s="10">
        <f ca="1">ROUND(_xlfn.NORM.INV(RAND(),Reference!$C$8,0.1*Reference!$C$8)*(1+Reference!$C$11*(IF(MONTH($A943)=Reference!$C$4,1,0)+IF(MONTH($A943)=Reference!$C$5,1,0))+(IF(MONTH($A943)=Reference!$C$6,Reference!$C$13,0))),0)</f>
        <v>373</v>
      </c>
      <c r="C943" s="11">
        <f ca="1">B943*Reference!$C$7*(1-IF(MONTH($A943)=Reference!$C$6,1,0)*Reference!$C$12)</f>
        <v>346890</v>
      </c>
      <c r="D943" s="10">
        <f ca="1">ROUND(_xlfn.NORM.INV(RAND(),Reference!$D$8,0.1*Reference!$D$8)*(1+Reference!$D$11*(IF(MONTH($A943)=Reference!$D$4,1,0)+IF(MONTH($A943)=Reference!$D$5,1,0))+(IF(MONTH($A943)=Reference!$D$6,Reference!$D$13,0))),0)</f>
        <v>510</v>
      </c>
      <c r="E943" s="11">
        <f ca="1">D943*Reference!$D$7*(1-IF(MONTH($A943)=Reference!$D$6,1,0)*Reference!$D$12)</f>
        <v>382500</v>
      </c>
      <c r="M943" s="20"/>
      <c r="N943" s="20"/>
      <c r="O943" s="19"/>
      <c r="P943" s="10"/>
      <c r="Q943" s="10"/>
      <c r="R943" s="10"/>
      <c r="S943" s="10"/>
      <c r="T943" s="10"/>
      <c r="U943" s="10"/>
      <c r="V943" s="10"/>
      <c r="W943" s="10"/>
      <c r="X943" s="10"/>
      <c r="Y943" s="10"/>
    </row>
    <row r="944" spans="1:25" x14ac:dyDescent="0.25">
      <c r="A944" s="9">
        <v>41482</v>
      </c>
      <c r="B944" s="10">
        <f ca="1">ROUND(_xlfn.NORM.INV(RAND(),Reference!$C$8,0.1*Reference!$C$8)*(1+Reference!$C$11*(IF(MONTH($A944)=Reference!$C$4,1,0)+IF(MONTH($A944)=Reference!$C$5,1,0))+(IF(MONTH($A944)=Reference!$C$6,Reference!$C$13,0))),0)</f>
        <v>415</v>
      </c>
      <c r="C944" s="11">
        <f ca="1">B944*Reference!$C$7*(1-IF(MONTH($A944)=Reference!$C$6,1,0)*Reference!$C$12)</f>
        <v>385950</v>
      </c>
      <c r="D944" s="10">
        <f ca="1">ROUND(_xlfn.NORM.INV(RAND(),Reference!$D$8,0.1*Reference!$D$8)*(1+Reference!$D$11*(IF(MONTH($A944)=Reference!$D$4,1,0)+IF(MONTH($A944)=Reference!$D$5,1,0))+(IF(MONTH($A944)=Reference!$D$6,Reference!$D$13,0))),0)</f>
        <v>547</v>
      </c>
      <c r="E944" s="11">
        <f ca="1">D944*Reference!$D$7*(1-IF(MONTH($A944)=Reference!$D$6,1,0)*Reference!$D$12)</f>
        <v>410250</v>
      </c>
      <c r="M944" s="20"/>
      <c r="N944" s="20"/>
      <c r="O944" s="19"/>
      <c r="P944" s="10"/>
      <c r="Q944" s="10"/>
      <c r="R944" s="10"/>
      <c r="S944" s="10"/>
      <c r="T944" s="10"/>
      <c r="U944" s="10"/>
      <c r="V944" s="10"/>
      <c r="W944" s="10"/>
      <c r="X944" s="10"/>
      <c r="Y944" s="10"/>
    </row>
    <row r="945" spans="1:25" x14ac:dyDescent="0.25">
      <c r="A945" s="9">
        <v>41483</v>
      </c>
      <c r="B945" s="10">
        <f ca="1">ROUND(_xlfn.NORM.INV(RAND(),Reference!$C$8,0.1*Reference!$C$8)*(1+Reference!$C$11*(IF(MONTH($A945)=Reference!$C$4,1,0)+IF(MONTH($A945)=Reference!$C$5,1,0))+(IF(MONTH($A945)=Reference!$C$6,Reference!$C$13,0))),0)</f>
        <v>321</v>
      </c>
      <c r="C945" s="11">
        <f ca="1">B945*Reference!$C$7*(1-IF(MONTH($A945)=Reference!$C$6,1,0)*Reference!$C$12)</f>
        <v>298530</v>
      </c>
      <c r="D945" s="10">
        <f ca="1">ROUND(_xlfn.NORM.INV(RAND(),Reference!$D$8,0.1*Reference!$D$8)*(1+Reference!$D$11*(IF(MONTH($A945)=Reference!$D$4,1,0)+IF(MONTH($A945)=Reference!$D$5,1,0))+(IF(MONTH($A945)=Reference!$D$6,Reference!$D$13,0))),0)</f>
        <v>518</v>
      </c>
      <c r="E945" s="11">
        <f ca="1">D945*Reference!$D$7*(1-IF(MONTH($A945)=Reference!$D$6,1,0)*Reference!$D$12)</f>
        <v>388500</v>
      </c>
      <c r="M945" s="20"/>
      <c r="N945" s="20"/>
      <c r="O945" s="19"/>
      <c r="P945" s="10"/>
      <c r="Q945" s="10"/>
      <c r="R945" s="10"/>
      <c r="S945" s="10"/>
      <c r="T945" s="10"/>
      <c r="U945" s="10"/>
      <c r="V945" s="10"/>
      <c r="W945" s="10"/>
      <c r="X945" s="10"/>
      <c r="Y945" s="10"/>
    </row>
    <row r="946" spans="1:25" x14ac:dyDescent="0.25">
      <c r="A946" s="9">
        <v>41484</v>
      </c>
      <c r="B946" s="10">
        <f ca="1">ROUND(_xlfn.NORM.INV(RAND(),Reference!$C$8,0.1*Reference!$C$8)*(1+Reference!$C$11*(IF(MONTH($A946)=Reference!$C$4,1,0)+IF(MONTH($A946)=Reference!$C$5,1,0))+(IF(MONTH($A946)=Reference!$C$6,Reference!$C$13,0))),0)</f>
        <v>368</v>
      </c>
      <c r="C946" s="11">
        <f ca="1">B946*Reference!$C$7*(1-IF(MONTH($A946)=Reference!$C$6,1,0)*Reference!$C$12)</f>
        <v>342240</v>
      </c>
      <c r="D946" s="10">
        <f ca="1">ROUND(_xlfn.NORM.INV(RAND(),Reference!$D$8,0.1*Reference!$D$8)*(1+Reference!$D$11*(IF(MONTH($A946)=Reference!$D$4,1,0)+IF(MONTH($A946)=Reference!$D$5,1,0))+(IF(MONTH($A946)=Reference!$D$6,Reference!$D$13,0))),0)</f>
        <v>469</v>
      </c>
      <c r="E946" s="11">
        <f ca="1">D946*Reference!$D$7*(1-IF(MONTH($A946)=Reference!$D$6,1,0)*Reference!$D$12)</f>
        <v>351750</v>
      </c>
      <c r="M946" s="20"/>
      <c r="N946" s="20"/>
      <c r="O946" s="19"/>
      <c r="P946" s="10"/>
      <c r="Q946" s="10"/>
      <c r="R946" s="10"/>
      <c r="S946" s="10"/>
      <c r="T946" s="10"/>
      <c r="U946" s="10"/>
      <c r="V946" s="10"/>
      <c r="W946" s="10"/>
      <c r="X946" s="10"/>
      <c r="Y946" s="10"/>
    </row>
    <row r="947" spans="1:25" x14ac:dyDescent="0.25">
      <c r="A947" s="9">
        <v>41485</v>
      </c>
      <c r="B947" s="10">
        <f ca="1">ROUND(_xlfn.NORM.INV(RAND(),Reference!$C$8,0.1*Reference!$C$8)*(1+Reference!$C$11*(IF(MONTH($A947)=Reference!$C$4,1,0)+IF(MONTH($A947)=Reference!$C$5,1,0))+(IF(MONTH($A947)=Reference!$C$6,Reference!$C$13,0))),0)</f>
        <v>402</v>
      </c>
      <c r="C947" s="11">
        <f ca="1">B947*Reference!$C$7*(1-IF(MONTH($A947)=Reference!$C$6,1,0)*Reference!$C$12)</f>
        <v>373860</v>
      </c>
      <c r="D947" s="10">
        <f ca="1">ROUND(_xlfn.NORM.INV(RAND(),Reference!$D$8,0.1*Reference!$D$8)*(1+Reference!$D$11*(IF(MONTH($A947)=Reference!$D$4,1,0)+IF(MONTH($A947)=Reference!$D$5,1,0))+(IF(MONTH($A947)=Reference!$D$6,Reference!$D$13,0))),0)</f>
        <v>362</v>
      </c>
      <c r="E947" s="11">
        <f ca="1">D947*Reference!$D$7*(1-IF(MONTH($A947)=Reference!$D$6,1,0)*Reference!$D$12)</f>
        <v>271500</v>
      </c>
      <c r="M947" s="20"/>
      <c r="N947" s="20"/>
      <c r="O947" s="19"/>
      <c r="P947" s="10"/>
      <c r="Q947" s="10"/>
      <c r="R947" s="10"/>
      <c r="S947" s="10"/>
      <c r="T947" s="10"/>
      <c r="U947" s="10"/>
      <c r="V947" s="10"/>
      <c r="W947" s="10"/>
      <c r="X947" s="10"/>
      <c r="Y947" s="10"/>
    </row>
    <row r="948" spans="1:25" x14ac:dyDescent="0.25">
      <c r="A948" s="9">
        <v>41486</v>
      </c>
      <c r="B948" s="10">
        <f ca="1">ROUND(_xlfn.NORM.INV(RAND(),Reference!$C$8,0.1*Reference!$C$8)*(1+Reference!$C$11*(IF(MONTH($A948)=Reference!$C$4,1,0)+IF(MONTH($A948)=Reference!$C$5,1,0))+(IF(MONTH($A948)=Reference!$C$6,Reference!$C$13,0))),0)</f>
        <v>334</v>
      </c>
      <c r="C948" s="11">
        <f ca="1">B948*Reference!$C$7*(1-IF(MONTH($A948)=Reference!$C$6,1,0)*Reference!$C$12)</f>
        <v>310620</v>
      </c>
      <c r="D948" s="10">
        <f ca="1">ROUND(_xlfn.NORM.INV(RAND(),Reference!$D$8,0.1*Reference!$D$8)*(1+Reference!$D$11*(IF(MONTH($A948)=Reference!$D$4,1,0)+IF(MONTH($A948)=Reference!$D$5,1,0))+(IF(MONTH($A948)=Reference!$D$6,Reference!$D$13,0))),0)</f>
        <v>430</v>
      </c>
      <c r="E948" s="11">
        <f ca="1">D948*Reference!$D$7*(1-IF(MONTH($A948)=Reference!$D$6,1,0)*Reference!$D$12)</f>
        <v>322500</v>
      </c>
      <c r="M948" s="20"/>
      <c r="N948" s="20"/>
      <c r="O948" s="19"/>
      <c r="P948" s="10"/>
      <c r="Q948" s="10"/>
      <c r="R948" s="10"/>
      <c r="S948" s="10"/>
      <c r="T948" s="10"/>
      <c r="U948" s="10"/>
      <c r="V948" s="10"/>
      <c r="W948" s="10"/>
      <c r="X948" s="10"/>
      <c r="Y948" s="10"/>
    </row>
    <row r="949" spans="1:25" x14ac:dyDescent="0.25">
      <c r="A949" s="9">
        <v>41487</v>
      </c>
      <c r="B949" s="10">
        <f ca="1">ROUND(_xlfn.NORM.INV(RAND(),Reference!$C$8,0.1*Reference!$C$8)*(1+Reference!$C$11*(IF(MONTH($A949)=Reference!$C$4,1,0)+IF(MONTH($A949)=Reference!$C$5,1,0))+(IF(MONTH($A949)=Reference!$C$6,Reference!$C$13,0))),0)</f>
        <v>311</v>
      </c>
      <c r="C949" s="11">
        <f ca="1">B949*Reference!$C$7*(1-IF(MONTH($A949)=Reference!$C$6,1,0)*Reference!$C$12)</f>
        <v>289230</v>
      </c>
      <c r="D949" s="10">
        <f ca="1">ROUND(_xlfn.NORM.INV(RAND(),Reference!$D$8,0.1*Reference!$D$8)*(1+Reference!$D$11*(IF(MONTH($A949)=Reference!$D$4,1,0)+IF(MONTH($A949)=Reference!$D$5,1,0))+(IF(MONTH($A949)=Reference!$D$6,Reference!$D$13,0))),0)</f>
        <v>566</v>
      </c>
      <c r="E949" s="11">
        <f ca="1">D949*Reference!$D$7*(1-IF(MONTH($A949)=Reference!$D$6,1,0)*Reference!$D$12)</f>
        <v>424500</v>
      </c>
      <c r="M949" s="20"/>
      <c r="N949" s="20"/>
      <c r="O949" s="19"/>
      <c r="P949" s="10"/>
      <c r="Q949" s="10"/>
      <c r="R949" s="10"/>
      <c r="S949" s="10"/>
      <c r="T949" s="10"/>
      <c r="U949" s="10"/>
      <c r="V949" s="10"/>
      <c r="W949" s="10"/>
      <c r="X949" s="10"/>
      <c r="Y949" s="10"/>
    </row>
    <row r="950" spans="1:25" x14ac:dyDescent="0.25">
      <c r="A950" s="9">
        <v>41488</v>
      </c>
      <c r="B950" s="10">
        <f ca="1">ROUND(_xlfn.NORM.INV(RAND(),Reference!$C$8,0.1*Reference!$C$8)*(1+Reference!$C$11*(IF(MONTH($A950)=Reference!$C$4,1,0)+IF(MONTH($A950)=Reference!$C$5,1,0))+(IF(MONTH($A950)=Reference!$C$6,Reference!$C$13,0))),0)</f>
        <v>231</v>
      </c>
      <c r="C950" s="11">
        <f ca="1">B950*Reference!$C$7*(1-IF(MONTH($A950)=Reference!$C$6,1,0)*Reference!$C$12)</f>
        <v>214830</v>
      </c>
      <c r="D950" s="10">
        <f ca="1">ROUND(_xlfn.NORM.INV(RAND(),Reference!$D$8,0.1*Reference!$D$8)*(1+Reference!$D$11*(IF(MONTH($A950)=Reference!$D$4,1,0)+IF(MONTH($A950)=Reference!$D$5,1,0))+(IF(MONTH($A950)=Reference!$D$6,Reference!$D$13,0))),0)</f>
        <v>448</v>
      </c>
      <c r="E950" s="11">
        <f ca="1">D950*Reference!$D$7*(1-IF(MONTH($A950)=Reference!$D$6,1,0)*Reference!$D$12)</f>
        <v>336000</v>
      </c>
      <c r="M950" s="20"/>
      <c r="N950" s="20"/>
      <c r="O950" s="19"/>
      <c r="P950" s="10"/>
      <c r="Q950" s="10"/>
      <c r="R950" s="10"/>
      <c r="S950" s="10"/>
      <c r="T950" s="10"/>
      <c r="U950" s="10"/>
      <c r="V950" s="10"/>
      <c r="W950" s="10"/>
      <c r="X950" s="10"/>
      <c r="Y950" s="10"/>
    </row>
    <row r="951" spans="1:25" x14ac:dyDescent="0.25">
      <c r="A951" s="9">
        <v>41489</v>
      </c>
      <c r="B951" s="10">
        <f ca="1">ROUND(_xlfn.NORM.INV(RAND(),Reference!$C$8,0.1*Reference!$C$8)*(1+Reference!$C$11*(IF(MONTH($A951)=Reference!$C$4,1,0)+IF(MONTH($A951)=Reference!$C$5,1,0))+(IF(MONTH($A951)=Reference!$C$6,Reference!$C$13,0))),0)</f>
        <v>396</v>
      </c>
      <c r="C951" s="11">
        <f ca="1">B951*Reference!$C$7*(1-IF(MONTH($A951)=Reference!$C$6,1,0)*Reference!$C$12)</f>
        <v>368280</v>
      </c>
      <c r="D951" s="10">
        <f ca="1">ROUND(_xlfn.NORM.INV(RAND(),Reference!$D$8,0.1*Reference!$D$8)*(1+Reference!$D$11*(IF(MONTH($A951)=Reference!$D$4,1,0)+IF(MONTH($A951)=Reference!$D$5,1,0))+(IF(MONTH($A951)=Reference!$D$6,Reference!$D$13,0))),0)</f>
        <v>502</v>
      </c>
      <c r="E951" s="11">
        <f ca="1">D951*Reference!$D$7*(1-IF(MONTH($A951)=Reference!$D$6,1,0)*Reference!$D$12)</f>
        <v>376500</v>
      </c>
      <c r="M951" s="20"/>
      <c r="N951" s="20"/>
      <c r="O951" s="19"/>
      <c r="P951" s="10"/>
      <c r="Q951" s="10"/>
      <c r="R951" s="10"/>
      <c r="S951" s="10"/>
      <c r="T951" s="10"/>
      <c r="U951" s="10"/>
      <c r="V951" s="10"/>
      <c r="W951" s="10"/>
      <c r="X951" s="10"/>
      <c r="Y951" s="10"/>
    </row>
    <row r="952" spans="1:25" x14ac:dyDescent="0.25">
      <c r="A952" s="9">
        <v>41490</v>
      </c>
      <c r="B952" s="10">
        <f ca="1">ROUND(_xlfn.NORM.INV(RAND(),Reference!$C$8,0.1*Reference!$C$8)*(1+Reference!$C$11*(IF(MONTH($A952)=Reference!$C$4,1,0)+IF(MONTH($A952)=Reference!$C$5,1,0))+(IF(MONTH($A952)=Reference!$C$6,Reference!$C$13,0))),0)</f>
        <v>282</v>
      </c>
      <c r="C952" s="11">
        <f ca="1">B952*Reference!$C$7*(1-IF(MONTH($A952)=Reference!$C$6,1,0)*Reference!$C$12)</f>
        <v>262260</v>
      </c>
      <c r="D952" s="10">
        <f ca="1">ROUND(_xlfn.NORM.INV(RAND(),Reference!$D$8,0.1*Reference!$D$8)*(1+Reference!$D$11*(IF(MONTH($A952)=Reference!$D$4,1,0)+IF(MONTH($A952)=Reference!$D$5,1,0))+(IF(MONTH($A952)=Reference!$D$6,Reference!$D$13,0))),0)</f>
        <v>438</v>
      </c>
      <c r="E952" s="11">
        <f ca="1">D952*Reference!$D$7*(1-IF(MONTH($A952)=Reference!$D$6,1,0)*Reference!$D$12)</f>
        <v>328500</v>
      </c>
      <c r="M952" s="20"/>
      <c r="N952" s="20"/>
      <c r="O952" s="19"/>
      <c r="P952" s="10"/>
      <c r="Q952" s="10"/>
      <c r="R952" s="10"/>
      <c r="S952" s="10"/>
      <c r="T952" s="10"/>
      <c r="U952" s="10"/>
      <c r="V952" s="10"/>
      <c r="W952" s="10"/>
      <c r="X952" s="10"/>
      <c r="Y952" s="10"/>
    </row>
    <row r="953" spans="1:25" x14ac:dyDescent="0.25">
      <c r="A953" s="9">
        <v>41491</v>
      </c>
      <c r="B953" s="10">
        <f ca="1">ROUND(_xlfn.NORM.INV(RAND(),Reference!$C$8,0.1*Reference!$C$8)*(1+Reference!$C$11*(IF(MONTH($A953)=Reference!$C$4,1,0)+IF(MONTH($A953)=Reference!$C$5,1,0))+(IF(MONTH($A953)=Reference!$C$6,Reference!$C$13,0))),0)</f>
        <v>343</v>
      </c>
      <c r="C953" s="11">
        <f ca="1">B953*Reference!$C$7*(1-IF(MONTH($A953)=Reference!$C$6,1,0)*Reference!$C$12)</f>
        <v>318990</v>
      </c>
      <c r="D953" s="10">
        <f ca="1">ROUND(_xlfn.NORM.INV(RAND(),Reference!$D$8,0.1*Reference!$D$8)*(1+Reference!$D$11*(IF(MONTH($A953)=Reference!$D$4,1,0)+IF(MONTH($A953)=Reference!$D$5,1,0))+(IF(MONTH($A953)=Reference!$D$6,Reference!$D$13,0))),0)</f>
        <v>442</v>
      </c>
      <c r="E953" s="11">
        <f ca="1">D953*Reference!$D$7*(1-IF(MONTH($A953)=Reference!$D$6,1,0)*Reference!$D$12)</f>
        <v>331500</v>
      </c>
      <c r="M953" s="20"/>
      <c r="N953" s="20"/>
      <c r="O953" s="19"/>
      <c r="P953" s="10"/>
      <c r="Q953" s="10"/>
      <c r="R953" s="10"/>
      <c r="S953" s="10"/>
      <c r="T953" s="10"/>
      <c r="U953" s="10"/>
      <c r="V953" s="10"/>
      <c r="W953" s="10"/>
      <c r="X953" s="10"/>
      <c r="Y953" s="10"/>
    </row>
    <row r="954" spans="1:25" x14ac:dyDescent="0.25">
      <c r="A954" s="9">
        <v>41492</v>
      </c>
      <c r="B954" s="10">
        <f ca="1">ROUND(_xlfn.NORM.INV(RAND(),Reference!$C$8,0.1*Reference!$C$8)*(1+Reference!$C$11*(IF(MONTH($A954)=Reference!$C$4,1,0)+IF(MONTH($A954)=Reference!$C$5,1,0))+(IF(MONTH($A954)=Reference!$C$6,Reference!$C$13,0))),0)</f>
        <v>312</v>
      </c>
      <c r="C954" s="11">
        <f ca="1">B954*Reference!$C$7*(1-IF(MONTH($A954)=Reference!$C$6,1,0)*Reference!$C$12)</f>
        <v>290160</v>
      </c>
      <c r="D954" s="10">
        <f ca="1">ROUND(_xlfn.NORM.INV(RAND(),Reference!$D$8,0.1*Reference!$D$8)*(1+Reference!$D$11*(IF(MONTH($A954)=Reference!$D$4,1,0)+IF(MONTH($A954)=Reference!$D$5,1,0))+(IF(MONTH($A954)=Reference!$D$6,Reference!$D$13,0))),0)</f>
        <v>444</v>
      </c>
      <c r="E954" s="11">
        <f ca="1">D954*Reference!$D$7*(1-IF(MONTH($A954)=Reference!$D$6,1,0)*Reference!$D$12)</f>
        <v>333000</v>
      </c>
      <c r="M954" s="20"/>
      <c r="N954" s="20"/>
      <c r="O954" s="19"/>
      <c r="P954" s="10"/>
      <c r="Q954" s="10"/>
      <c r="R954" s="10"/>
      <c r="S954" s="10"/>
      <c r="T954" s="10"/>
      <c r="U954" s="10"/>
      <c r="V954" s="10"/>
      <c r="W954" s="10"/>
      <c r="X954" s="10"/>
      <c r="Y954" s="10"/>
    </row>
    <row r="955" spans="1:25" x14ac:dyDescent="0.25">
      <c r="A955" s="9">
        <v>41493</v>
      </c>
      <c r="B955" s="10">
        <f ca="1">ROUND(_xlfn.NORM.INV(RAND(),Reference!$C$8,0.1*Reference!$C$8)*(1+Reference!$C$11*(IF(MONTH($A955)=Reference!$C$4,1,0)+IF(MONTH($A955)=Reference!$C$5,1,0))+(IF(MONTH($A955)=Reference!$C$6,Reference!$C$13,0))),0)</f>
        <v>370</v>
      </c>
      <c r="C955" s="11">
        <f ca="1">B955*Reference!$C$7*(1-IF(MONTH($A955)=Reference!$C$6,1,0)*Reference!$C$12)</f>
        <v>344100</v>
      </c>
      <c r="D955" s="10">
        <f ca="1">ROUND(_xlfn.NORM.INV(RAND(),Reference!$D$8,0.1*Reference!$D$8)*(1+Reference!$D$11*(IF(MONTH($A955)=Reference!$D$4,1,0)+IF(MONTH($A955)=Reference!$D$5,1,0))+(IF(MONTH($A955)=Reference!$D$6,Reference!$D$13,0))),0)</f>
        <v>391</v>
      </c>
      <c r="E955" s="11">
        <f ca="1">D955*Reference!$D$7*(1-IF(MONTH($A955)=Reference!$D$6,1,0)*Reference!$D$12)</f>
        <v>293250</v>
      </c>
      <c r="M955" s="20"/>
      <c r="N955" s="20"/>
      <c r="O955" s="19"/>
      <c r="P955" s="10"/>
      <c r="Q955" s="10"/>
      <c r="R955" s="10"/>
      <c r="S955" s="10"/>
      <c r="T955" s="10"/>
      <c r="U955" s="10"/>
      <c r="V955" s="10"/>
      <c r="W955" s="10"/>
      <c r="X955" s="10"/>
      <c r="Y955" s="10"/>
    </row>
    <row r="956" spans="1:25" x14ac:dyDescent="0.25">
      <c r="A956" s="9">
        <v>41494</v>
      </c>
      <c r="B956" s="10">
        <f ca="1">ROUND(_xlfn.NORM.INV(RAND(),Reference!$C$8,0.1*Reference!$C$8)*(1+Reference!$C$11*(IF(MONTH($A956)=Reference!$C$4,1,0)+IF(MONTH($A956)=Reference!$C$5,1,0))+(IF(MONTH($A956)=Reference!$C$6,Reference!$C$13,0))),0)</f>
        <v>360</v>
      </c>
      <c r="C956" s="11">
        <f ca="1">B956*Reference!$C$7*(1-IF(MONTH($A956)=Reference!$C$6,1,0)*Reference!$C$12)</f>
        <v>334800</v>
      </c>
      <c r="D956" s="10">
        <f ca="1">ROUND(_xlfn.NORM.INV(RAND(),Reference!$D$8,0.1*Reference!$D$8)*(1+Reference!$D$11*(IF(MONTH($A956)=Reference!$D$4,1,0)+IF(MONTH($A956)=Reference!$D$5,1,0))+(IF(MONTH($A956)=Reference!$D$6,Reference!$D$13,0))),0)</f>
        <v>449</v>
      </c>
      <c r="E956" s="11">
        <f ca="1">D956*Reference!$D$7*(1-IF(MONTH($A956)=Reference!$D$6,1,0)*Reference!$D$12)</f>
        <v>336750</v>
      </c>
      <c r="M956" s="20"/>
      <c r="N956" s="20"/>
      <c r="O956" s="19"/>
      <c r="P956" s="10"/>
      <c r="Q956" s="10"/>
      <c r="R956" s="10"/>
      <c r="S956" s="10"/>
      <c r="T956" s="10"/>
      <c r="U956" s="10"/>
      <c r="V956" s="10"/>
      <c r="W956" s="10"/>
      <c r="X956" s="10"/>
      <c r="Y956" s="10"/>
    </row>
    <row r="957" spans="1:25" x14ac:dyDescent="0.25">
      <c r="A957" s="9">
        <v>41495</v>
      </c>
      <c r="B957" s="10">
        <f ca="1">ROUND(_xlfn.NORM.INV(RAND(),Reference!$C$8,0.1*Reference!$C$8)*(1+Reference!$C$11*(IF(MONTH($A957)=Reference!$C$4,1,0)+IF(MONTH($A957)=Reference!$C$5,1,0))+(IF(MONTH($A957)=Reference!$C$6,Reference!$C$13,0))),0)</f>
        <v>367</v>
      </c>
      <c r="C957" s="11">
        <f ca="1">B957*Reference!$C$7*(1-IF(MONTH($A957)=Reference!$C$6,1,0)*Reference!$C$12)</f>
        <v>341310</v>
      </c>
      <c r="D957" s="10">
        <f ca="1">ROUND(_xlfn.NORM.INV(RAND(),Reference!$D$8,0.1*Reference!$D$8)*(1+Reference!$D$11*(IF(MONTH($A957)=Reference!$D$4,1,0)+IF(MONTH($A957)=Reference!$D$5,1,0))+(IF(MONTH($A957)=Reference!$D$6,Reference!$D$13,0))),0)</f>
        <v>439</v>
      </c>
      <c r="E957" s="11">
        <f ca="1">D957*Reference!$D$7*(1-IF(MONTH($A957)=Reference!$D$6,1,0)*Reference!$D$12)</f>
        <v>329250</v>
      </c>
      <c r="M957" s="20"/>
      <c r="N957" s="20"/>
      <c r="O957" s="19"/>
      <c r="P957" s="10"/>
      <c r="Q957" s="10"/>
      <c r="R957" s="10"/>
      <c r="S957" s="10"/>
      <c r="T957" s="10"/>
      <c r="U957" s="10"/>
      <c r="V957" s="10"/>
      <c r="W957" s="10"/>
      <c r="X957" s="10"/>
      <c r="Y957" s="10"/>
    </row>
    <row r="958" spans="1:25" x14ac:dyDescent="0.25">
      <c r="A958" s="9">
        <v>41496</v>
      </c>
      <c r="B958" s="10">
        <f ca="1">ROUND(_xlfn.NORM.INV(RAND(),Reference!$C$8,0.1*Reference!$C$8)*(1+Reference!$C$11*(IF(MONTH($A958)=Reference!$C$4,1,0)+IF(MONTH($A958)=Reference!$C$5,1,0))+(IF(MONTH($A958)=Reference!$C$6,Reference!$C$13,0))),0)</f>
        <v>360</v>
      </c>
      <c r="C958" s="11">
        <f ca="1">B958*Reference!$C$7*(1-IF(MONTH($A958)=Reference!$C$6,1,0)*Reference!$C$12)</f>
        <v>334800</v>
      </c>
      <c r="D958" s="10">
        <f ca="1">ROUND(_xlfn.NORM.INV(RAND(),Reference!$D$8,0.1*Reference!$D$8)*(1+Reference!$D$11*(IF(MONTH($A958)=Reference!$D$4,1,0)+IF(MONTH($A958)=Reference!$D$5,1,0))+(IF(MONTH($A958)=Reference!$D$6,Reference!$D$13,0))),0)</f>
        <v>572</v>
      </c>
      <c r="E958" s="11">
        <f ca="1">D958*Reference!$D$7*(1-IF(MONTH($A958)=Reference!$D$6,1,0)*Reference!$D$12)</f>
        <v>429000</v>
      </c>
      <c r="M958" s="20"/>
      <c r="N958" s="20"/>
      <c r="O958" s="19"/>
      <c r="P958" s="10"/>
      <c r="Q958" s="10"/>
      <c r="R958" s="10"/>
      <c r="S958" s="10"/>
      <c r="T958" s="10"/>
      <c r="U958" s="10"/>
      <c r="V958" s="10"/>
      <c r="W958" s="10"/>
      <c r="X958" s="10"/>
      <c r="Y958" s="10"/>
    </row>
    <row r="959" spans="1:25" x14ac:dyDescent="0.25">
      <c r="A959" s="9">
        <v>41497</v>
      </c>
      <c r="B959" s="10">
        <f ca="1">ROUND(_xlfn.NORM.INV(RAND(),Reference!$C$8,0.1*Reference!$C$8)*(1+Reference!$C$11*(IF(MONTH($A959)=Reference!$C$4,1,0)+IF(MONTH($A959)=Reference!$C$5,1,0))+(IF(MONTH($A959)=Reference!$C$6,Reference!$C$13,0))),0)</f>
        <v>389</v>
      </c>
      <c r="C959" s="11">
        <f ca="1">B959*Reference!$C$7*(1-IF(MONTH($A959)=Reference!$C$6,1,0)*Reference!$C$12)</f>
        <v>361770</v>
      </c>
      <c r="D959" s="10">
        <f ca="1">ROUND(_xlfn.NORM.INV(RAND(),Reference!$D$8,0.1*Reference!$D$8)*(1+Reference!$D$11*(IF(MONTH($A959)=Reference!$D$4,1,0)+IF(MONTH($A959)=Reference!$D$5,1,0))+(IF(MONTH($A959)=Reference!$D$6,Reference!$D$13,0))),0)</f>
        <v>482</v>
      </c>
      <c r="E959" s="11">
        <f ca="1">D959*Reference!$D$7*(1-IF(MONTH($A959)=Reference!$D$6,1,0)*Reference!$D$12)</f>
        <v>361500</v>
      </c>
      <c r="M959" s="20"/>
      <c r="N959" s="20"/>
      <c r="O959" s="19"/>
      <c r="P959" s="10"/>
      <c r="Q959" s="10"/>
      <c r="R959" s="10"/>
      <c r="S959" s="10"/>
      <c r="T959" s="10"/>
      <c r="U959" s="10"/>
      <c r="V959" s="10"/>
      <c r="W959" s="10"/>
      <c r="X959" s="10"/>
      <c r="Y959" s="10"/>
    </row>
    <row r="960" spans="1:25" x14ac:dyDescent="0.25">
      <c r="A960" s="9">
        <v>41498</v>
      </c>
      <c r="B960" s="10">
        <f ca="1">ROUND(_xlfn.NORM.INV(RAND(),Reference!$C$8,0.1*Reference!$C$8)*(1+Reference!$C$11*(IF(MONTH($A960)=Reference!$C$4,1,0)+IF(MONTH($A960)=Reference!$C$5,1,0))+(IF(MONTH($A960)=Reference!$C$6,Reference!$C$13,0))),0)</f>
        <v>364</v>
      </c>
      <c r="C960" s="11">
        <f ca="1">B960*Reference!$C$7*(1-IF(MONTH($A960)=Reference!$C$6,1,0)*Reference!$C$12)</f>
        <v>338520</v>
      </c>
      <c r="D960" s="10">
        <f ca="1">ROUND(_xlfn.NORM.INV(RAND(),Reference!$D$8,0.1*Reference!$D$8)*(1+Reference!$D$11*(IF(MONTH($A960)=Reference!$D$4,1,0)+IF(MONTH($A960)=Reference!$D$5,1,0))+(IF(MONTH($A960)=Reference!$D$6,Reference!$D$13,0))),0)</f>
        <v>456</v>
      </c>
      <c r="E960" s="11">
        <f ca="1">D960*Reference!$D$7*(1-IF(MONTH($A960)=Reference!$D$6,1,0)*Reference!$D$12)</f>
        <v>342000</v>
      </c>
      <c r="M960" s="20"/>
      <c r="N960" s="20"/>
      <c r="O960" s="19"/>
      <c r="P960" s="10"/>
      <c r="Q960" s="10"/>
      <c r="R960" s="10"/>
      <c r="S960" s="10"/>
      <c r="T960" s="10"/>
      <c r="U960" s="10"/>
      <c r="V960" s="10"/>
      <c r="W960" s="10"/>
      <c r="X960" s="10"/>
      <c r="Y960" s="10"/>
    </row>
    <row r="961" spans="1:25" x14ac:dyDescent="0.25">
      <c r="A961" s="9">
        <v>41499</v>
      </c>
      <c r="B961" s="10">
        <f ca="1">ROUND(_xlfn.NORM.INV(RAND(),Reference!$C$8,0.1*Reference!$C$8)*(1+Reference!$C$11*(IF(MONTH($A961)=Reference!$C$4,1,0)+IF(MONTH($A961)=Reference!$C$5,1,0))+(IF(MONTH($A961)=Reference!$C$6,Reference!$C$13,0))),0)</f>
        <v>355</v>
      </c>
      <c r="C961" s="11">
        <f ca="1">B961*Reference!$C$7*(1-IF(MONTH($A961)=Reference!$C$6,1,0)*Reference!$C$12)</f>
        <v>330150</v>
      </c>
      <c r="D961" s="10">
        <f ca="1">ROUND(_xlfn.NORM.INV(RAND(),Reference!$D$8,0.1*Reference!$D$8)*(1+Reference!$D$11*(IF(MONTH($A961)=Reference!$D$4,1,0)+IF(MONTH($A961)=Reference!$D$5,1,0))+(IF(MONTH($A961)=Reference!$D$6,Reference!$D$13,0))),0)</f>
        <v>528</v>
      </c>
      <c r="E961" s="11">
        <f ca="1">D961*Reference!$D$7*(1-IF(MONTH($A961)=Reference!$D$6,1,0)*Reference!$D$12)</f>
        <v>396000</v>
      </c>
      <c r="M961" s="20"/>
      <c r="N961" s="20"/>
      <c r="O961" s="19"/>
      <c r="P961" s="10"/>
      <c r="Q961" s="10"/>
      <c r="R961" s="10"/>
      <c r="S961" s="10"/>
      <c r="T961" s="10"/>
      <c r="U961" s="10"/>
      <c r="V961" s="10"/>
      <c r="W961" s="10"/>
      <c r="X961" s="10"/>
      <c r="Y961" s="10"/>
    </row>
    <row r="962" spans="1:25" x14ac:dyDescent="0.25">
      <c r="A962" s="9">
        <v>41500</v>
      </c>
      <c r="B962" s="10">
        <f ca="1">ROUND(_xlfn.NORM.INV(RAND(),Reference!$C$8,0.1*Reference!$C$8)*(1+Reference!$C$11*(IF(MONTH($A962)=Reference!$C$4,1,0)+IF(MONTH($A962)=Reference!$C$5,1,0))+(IF(MONTH($A962)=Reference!$C$6,Reference!$C$13,0))),0)</f>
        <v>412</v>
      </c>
      <c r="C962" s="11">
        <f ca="1">B962*Reference!$C$7*(1-IF(MONTH($A962)=Reference!$C$6,1,0)*Reference!$C$12)</f>
        <v>383160</v>
      </c>
      <c r="D962" s="10">
        <f ca="1">ROUND(_xlfn.NORM.INV(RAND(),Reference!$D$8,0.1*Reference!$D$8)*(1+Reference!$D$11*(IF(MONTH($A962)=Reference!$D$4,1,0)+IF(MONTH($A962)=Reference!$D$5,1,0))+(IF(MONTH($A962)=Reference!$D$6,Reference!$D$13,0))),0)</f>
        <v>553</v>
      </c>
      <c r="E962" s="11">
        <f ca="1">D962*Reference!$D$7*(1-IF(MONTH($A962)=Reference!$D$6,1,0)*Reference!$D$12)</f>
        <v>414750</v>
      </c>
      <c r="M962" s="20"/>
      <c r="N962" s="20"/>
      <c r="O962" s="19"/>
      <c r="P962" s="10"/>
      <c r="Q962" s="10"/>
      <c r="R962" s="10"/>
      <c r="S962" s="10"/>
      <c r="T962" s="10"/>
      <c r="U962" s="10"/>
      <c r="V962" s="10"/>
      <c r="W962" s="10"/>
      <c r="X962" s="10"/>
      <c r="Y962" s="10"/>
    </row>
    <row r="963" spans="1:25" x14ac:dyDescent="0.25">
      <c r="A963" s="9">
        <v>41501</v>
      </c>
      <c r="B963" s="10">
        <f ca="1">ROUND(_xlfn.NORM.INV(RAND(),Reference!$C$8,0.1*Reference!$C$8)*(1+Reference!$C$11*(IF(MONTH($A963)=Reference!$C$4,1,0)+IF(MONTH($A963)=Reference!$C$5,1,0))+(IF(MONTH($A963)=Reference!$C$6,Reference!$C$13,0))),0)</f>
        <v>350</v>
      </c>
      <c r="C963" s="11">
        <f ca="1">B963*Reference!$C$7*(1-IF(MONTH($A963)=Reference!$C$6,1,0)*Reference!$C$12)</f>
        <v>325500</v>
      </c>
      <c r="D963" s="10">
        <f ca="1">ROUND(_xlfn.NORM.INV(RAND(),Reference!$D$8,0.1*Reference!$D$8)*(1+Reference!$D$11*(IF(MONTH($A963)=Reference!$D$4,1,0)+IF(MONTH($A963)=Reference!$D$5,1,0))+(IF(MONTH($A963)=Reference!$D$6,Reference!$D$13,0))),0)</f>
        <v>486</v>
      </c>
      <c r="E963" s="11">
        <f ca="1">D963*Reference!$D$7*(1-IF(MONTH($A963)=Reference!$D$6,1,0)*Reference!$D$12)</f>
        <v>364500</v>
      </c>
      <c r="M963" s="20"/>
      <c r="N963" s="20"/>
      <c r="O963" s="19"/>
      <c r="P963" s="10"/>
      <c r="Q963" s="10"/>
      <c r="R963" s="10"/>
      <c r="S963" s="10"/>
      <c r="T963" s="10"/>
      <c r="U963" s="10"/>
      <c r="V963" s="10"/>
      <c r="W963" s="10"/>
      <c r="X963" s="10"/>
      <c r="Y963" s="10"/>
    </row>
    <row r="964" spans="1:25" x14ac:dyDescent="0.25">
      <c r="A964" s="9">
        <v>41502</v>
      </c>
      <c r="B964" s="10">
        <f ca="1">ROUND(_xlfn.NORM.INV(RAND(),Reference!$C$8,0.1*Reference!$C$8)*(1+Reference!$C$11*(IF(MONTH($A964)=Reference!$C$4,1,0)+IF(MONTH($A964)=Reference!$C$5,1,0))+(IF(MONTH($A964)=Reference!$C$6,Reference!$C$13,0))),0)</f>
        <v>434</v>
      </c>
      <c r="C964" s="11">
        <f ca="1">B964*Reference!$C$7*(1-IF(MONTH($A964)=Reference!$C$6,1,0)*Reference!$C$12)</f>
        <v>403620</v>
      </c>
      <c r="D964" s="10">
        <f ca="1">ROUND(_xlfn.NORM.INV(RAND(),Reference!$D$8,0.1*Reference!$D$8)*(1+Reference!$D$11*(IF(MONTH($A964)=Reference!$D$4,1,0)+IF(MONTH($A964)=Reference!$D$5,1,0))+(IF(MONTH($A964)=Reference!$D$6,Reference!$D$13,0))),0)</f>
        <v>424</v>
      </c>
      <c r="E964" s="11">
        <f ca="1">D964*Reference!$D$7*(1-IF(MONTH($A964)=Reference!$D$6,1,0)*Reference!$D$12)</f>
        <v>318000</v>
      </c>
      <c r="M964" s="20"/>
      <c r="N964" s="20"/>
      <c r="O964" s="19"/>
      <c r="P964" s="10"/>
      <c r="Q964" s="10"/>
      <c r="R964" s="10"/>
      <c r="S964" s="10"/>
      <c r="T964" s="10"/>
      <c r="U964" s="10"/>
      <c r="V964" s="10"/>
      <c r="W964" s="10"/>
      <c r="X964" s="10"/>
      <c r="Y964" s="10"/>
    </row>
    <row r="965" spans="1:25" x14ac:dyDescent="0.25">
      <c r="A965" s="9">
        <v>41503</v>
      </c>
      <c r="B965" s="10">
        <f ca="1">ROUND(_xlfn.NORM.INV(RAND(),Reference!$C$8,0.1*Reference!$C$8)*(1+Reference!$C$11*(IF(MONTH($A965)=Reference!$C$4,1,0)+IF(MONTH($A965)=Reference!$C$5,1,0))+(IF(MONTH($A965)=Reference!$C$6,Reference!$C$13,0))),0)</f>
        <v>405</v>
      </c>
      <c r="C965" s="11">
        <f ca="1">B965*Reference!$C$7*(1-IF(MONTH($A965)=Reference!$C$6,1,0)*Reference!$C$12)</f>
        <v>376650</v>
      </c>
      <c r="D965" s="10">
        <f ca="1">ROUND(_xlfn.NORM.INV(RAND(),Reference!$D$8,0.1*Reference!$D$8)*(1+Reference!$D$11*(IF(MONTH($A965)=Reference!$D$4,1,0)+IF(MONTH($A965)=Reference!$D$5,1,0))+(IF(MONTH($A965)=Reference!$D$6,Reference!$D$13,0))),0)</f>
        <v>522</v>
      </c>
      <c r="E965" s="11">
        <f ca="1">D965*Reference!$D$7*(1-IF(MONTH($A965)=Reference!$D$6,1,0)*Reference!$D$12)</f>
        <v>391500</v>
      </c>
      <c r="M965" s="20"/>
      <c r="N965" s="20"/>
      <c r="O965" s="19"/>
      <c r="P965" s="10"/>
      <c r="Q965" s="10"/>
      <c r="R965" s="10"/>
      <c r="S965" s="10"/>
      <c r="T965" s="10"/>
      <c r="U965" s="10"/>
      <c r="V965" s="10"/>
      <c r="W965" s="10"/>
      <c r="X965" s="10"/>
      <c r="Y965" s="10"/>
    </row>
    <row r="966" spans="1:25" x14ac:dyDescent="0.25">
      <c r="A966" s="9">
        <v>41504</v>
      </c>
      <c r="B966" s="10">
        <f ca="1">ROUND(_xlfn.NORM.INV(RAND(),Reference!$C$8,0.1*Reference!$C$8)*(1+Reference!$C$11*(IF(MONTH($A966)=Reference!$C$4,1,0)+IF(MONTH($A966)=Reference!$C$5,1,0))+(IF(MONTH($A966)=Reference!$C$6,Reference!$C$13,0))),0)</f>
        <v>342</v>
      </c>
      <c r="C966" s="11">
        <f ca="1">B966*Reference!$C$7*(1-IF(MONTH($A966)=Reference!$C$6,1,0)*Reference!$C$12)</f>
        <v>318060</v>
      </c>
      <c r="D966" s="10">
        <f ca="1">ROUND(_xlfn.NORM.INV(RAND(),Reference!$D$8,0.1*Reference!$D$8)*(1+Reference!$D$11*(IF(MONTH($A966)=Reference!$D$4,1,0)+IF(MONTH($A966)=Reference!$D$5,1,0))+(IF(MONTH($A966)=Reference!$D$6,Reference!$D$13,0))),0)</f>
        <v>498</v>
      </c>
      <c r="E966" s="11">
        <f ca="1">D966*Reference!$D$7*(1-IF(MONTH($A966)=Reference!$D$6,1,0)*Reference!$D$12)</f>
        <v>373500</v>
      </c>
      <c r="M966" s="20"/>
      <c r="N966" s="20"/>
      <c r="O966" s="19"/>
      <c r="P966" s="10"/>
      <c r="Q966" s="10"/>
      <c r="R966" s="10"/>
      <c r="S966" s="10"/>
      <c r="T966" s="10"/>
      <c r="U966" s="10"/>
      <c r="V966" s="10"/>
      <c r="W966" s="10"/>
      <c r="X966" s="10"/>
      <c r="Y966" s="10"/>
    </row>
    <row r="967" spans="1:25" x14ac:dyDescent="0.25">
      <c r="A967" s="9">
        <v>41505</v>
      </c>
      <c r="B967" s="10">
        <f ca="1">ROUND(_xlfn.NORM.INV(RAND(),Reference!$C$8,0.1*Reference!$C$8)*(1+Reference!$C$11*(IF(MONTH($A967)=Reference!$C$4,1,0)+IF(MONTH($A967)=Reference!$C$5,1,0))+(IF(MONTH($A967)=Reference!$C$6,Reference!$C$13,0))),0)</f>
        <v>332</v>
      </c>
      <c r="C967" s="11">
        <f ca="1">B967*Reference!$C$7*(1-IF(MONTH($A967)=Reference!$C$6,1,0)*Reference!$C$12)</f>
        <v>308760</v>
      </c>
      <c r="D967" s="10">
        <f ca="1">ROUND(_xlfn.NORM.INV(RAND(),Reference!$D$8,0.1*Reference!$D$8)*(1+Reference!$D$11*(IF(MONTH($A967)=Reference!$D$4,1,0)+IF(MONTH($A967)=Reference!$D$5,1,0))+(IF(MONTH($A967)=Reference!$D$6,Reference!$D$13,0))),0)</f>
        <v>484</v>
      </c>
      <c r="E967" s="11">
        <f ca="1">D967*Reference!$D$7*(1-IF(MONTH($A967)=Reference!$D$6,1,0)*Reference!$D$12)</f>
        <v>363000</v>
      </c>
      <c r="M967" s="20"/>
      <c r="N967" s="20"/>
      <c r="O967" s="19"/>
      <c r="P967" s="10"/>
      <c r="Q967" s="10"/>
      <c r="R967" s="10"/>
      <c r="S967" s="10"/>
      <c r="T967" s="10"/>
      <c r="U967" s="10"/>
      <c r="V967" s="10"/>
      <c r="W967" s="10"/>
      <c r="X967" s="10"/>
      <c r="Y967" s="10"/>
    </row>
    <row r="968" spans="1:25" x14ac:dyDescent="0.25">
      <c r="A968" s="9">
        <v>41506</v>
      </c>
      <c r="B968" s="10">
        <f ca="1">ROUND(_xlfn.NORM.INV(RAND(),Reference!$C$8,0.1*Reference!$C$8)*(1+Reference!$C$11*(IF(MONTH($A968)=Reference!$C$4,1,0)+IF(MONTH($A968)=Reference!$C$5,1,0))+(IF(MONTH($A968)=Reference!$C$6,Reference!$C$13,0))),0)</f>
        <v>401</v>
      </c>
      <c r="C968" s="11">
        <f ca="1">B968*Reference!$C$7*(1-IF(MONTH($A968)=Reference!$C$6,1,0)*Reference!$C$12)</f>
        <v>372930</v>
      </c>
      <c r="D968" s="10">
        <f ca="1">ROUND(_xlfn.NORM.INV(RAND(),Reference!$D$8,0.1*Reference!$D$8)*(1+Reference!$D$11*(IF(MONTH($A968)=Reference!$D$4,1,0)+IF(MONTH($A968)=Reference!$D$5,1,0))+(IF(MONTH($A968)=Reference!$D$6,Reference!$D$13,0))),0)</f>
        <v>492</v>
      </c>
      <c r="E968" s="11">
        <f ca="1">D968*Reference!$D$7*(1-IF(MONTH($A968)=Reference!$D$6,1,0)*Reference!$D$12)</f>
        <v>369000</v>
      </c>
      <c r="M968" s="20"/>
      <c r="N968" s="20"/>
      <c r="O968" s="19"/>
      <c r="P968" s="10"/>
      <c r="Q968" s="10"/>
      <c r="R968" s="10"/>
      <c r="S968" s="10"/>
      <c r="T968" s="10"/>
      <c r="U968" s="10"/>
      <c r="V968" s="10"/>
      <c r="W968" s="10"/>
      <c r="X968" s="10"/>
      <c r="Y968" s="10"/>
    </row>
    <row r="969" spans="1:25" x14ac:dyDescent="0.25">
      <c r="A969" s="9">
        <v>41507</v>
      </c>
      <c r="B969" s="10">
        <f ca="1">ROUND(_xlfn.NORM.INV(RAND(),Reference!$C$8,0.1*Reference!$C$8)*(1+Reference!$C$11*(IF(MONTH($A969)=Reference!$C$4,1,0)+IF(MONTH($A969)=Reference!$C$5,1,0))+(IF(MONTH($A969)=Reference!$C$6,Reference!$C$13,0))),0)</f>
        <v>377</v>
      </c>
      <c r="C969" s="11">
        <f ca="1">B969*Reference!$C$7*(1-IF(MONTH($A969)=Reference!$C$6,1,0)*Reference!$C$12)</f>
        <v>350610</v>
      </c>
      <c r="D969" s="10">
        <f ca="1">ROUND(_xlfn.NORM.INV(RAND(),Reference!$D$8,0.1*Reference!$D$8)*(1+Reference!$D$11*(IF(MONTH($A969)=Reference!$D$4,1,0)+IF(MONTH($A969)=Reference!$D$5,1,0))+(IF(MONTH($A969)=Reference!$D$6,Reference!$D$13,0))),0)</f>
        <v>390</v>
      </c>
      <c r="E969" s="11">
        <f ca="1">D969*Reference!$D$7*(1-IF(MONTH($A969)=Reference!$D$6,1,0)*Reference!$D$12)</f>
        <v>292500</v>
      </c>
      <c r="M969" s="20"/>
      <c r="N969" s="20"/>
      <c r="O969" s="19"/>
      <c r="P969" s="10"/>
      <c r="Q969" s="10"/>
      <c r="R969" s="10"/>
      <c r="S969" s="10"/>
      <c r="T969" s="10"/>
      <c r="U969" s="10"/>
      <c r="V969" s="10"/>
      <c r="W969" s="10"/>
      <c r="X969" s="10"/>
      <c r="Y969" s="10"/>
    </row>
    <row r="970" spans="1:25" x14ac:dyDescent="0.25">
      <c r="A970" s="9">
        <v>41508</v>
      </c>
      <c r="B970" s="10">
        <f ca="1">ROUND(_xlfn.NORM.INV(RAND(),Reference!$C$8,0.1*Reference!$C$8)*(1+Reference!$C$11*(IF(MONTH($A970)=Reference!$C$4,1,0)+IF(MONTH($A970)=Reference!$C$5,1,0))+(IF(MONTH($A970)=Reference!$C$6,Reference!$C$13,0))),0)</f>
        <v>363</v>
      </c>
      <c r="C970" s="11">
        <f ca="1">B970*Reference!$C$7*(1-IF(MONTH($A970)=Reference!$C$6,1,0)*Reference!$C$12)</f>
        <v>337590</v>
      </c>
      <c r="D970" s="10">
        <f ca="1">ROUND(_xlfn.NORM.INV(RAND(),Reference!$D$8,0.1*Reference!$D$8)*(1+Reference!$D$11*(IF(MONTH($A970)=Reference!$D$4,1,0)+IF(MONTH($A970)=Reference!$D$5,1,0))+(IF(MONTH($A970)=Reference!$D$6,Reference!$D$13,0))),0)</f>
        <v>449</v>
      </c>
      <c r="E970" s="11">
        <f ca="1">D970*Reference!$D$7*(1-IF(MONTH($A970)=Reference!$D$6,1,0)*Reference!$D$12)</f>
        <v>336750</v>
      </c>
      <c r="M970" s="20"/>
      <c r="N970" s="20"/>
      <c r="O970" s="19"/>
      <c r="P970" s="10"/>
      <c r="Q970" s="10"/>
      <c r="R970" s="10"/>
      <c r="S970" s="10"/>
      <c r="T970" s="10"/>
      <c r="U970" s="10"/>
      <c r="V970" s="10"/>
      <c r="W970" s="10"/>
      <c r="X970" s="10"/>
      <c r="Y970" s="10"/>
    </row>
    <row r="971" spans="1:25" x14ac:dyDescent="0.25">
      <c r="A971" s="9">
        <v>41509</v>
      </c>
      <c r="B971" s="10">
        <f ca="1">ROUND(_xlfn.NORM.INV(RAND(),Reference!$C$8,0.1*Reference!$C$8)*(1+Reference!$C$11*(IF(MONTH($A971)=Reference!$C$4,1,0)+IF(MONTH($A971)=Reference!$C$5,1,0))+(IF(MONTH($A971)=Reference!$C$6,Reference!$C$13,0))),0)</f>
        <v>342</v>
      </c>
      <c r="C971" s="11">
        <f ca="1">B971*Reference!$C$7*(1-IF(MONTH($A971)=Reference!$C$6,1,0)*Reference!$C$12)</f>
        <v>318060</v>
      </c>
      <c r="D971" s="10">
        <f ca="1">ROUND(_xlfn.NORM.INV(RAND(),Reference!$D$8,0.1*Reference!$D$8)*(1+Reference!$D$11*(IF(MONTH($A971)=Reference!$D$4,1,0)+IF(MONTH($A971)=Reference!$D$5,1,0))+(IF(MONTH($A971)=Reference!$D$6,Reference!$D$13,0))),0)</f>
        <v>536</v>
      </c>
      <c r="E971" s="11">
        <f ca="1">D971*Reference!$D$7*(1-IF(MONTH($A971)=Reference!$D$6,1,0)*Reference!$D$12)</f>
        <v>402000</v>
      </c>
      <c r="M971" s="20"/>
      <c r="N971" s="20"/>
      <c r="O971" s="19"/>
      <c r="P971" s="10"/>
      <c r="Q971" s="10"/>
      <c r="R971" s="10"/>
      <c r="S971" s="10"/>
      <c r="T971" s="10"/>
      <c r="U971" s="10"/>
      <c r="V971" s="10"/>
      <c r="W971" s="10"/>
      <c r="X971" s="10"/>
      <c r="Y971" s="10"/>
    </row>
    <row r="972" spans="1:25" x14ac:dyDescent="0.25">
      <c r="A972" s="9">
        <v>41510</v>
      </c>
      <c r="B972" s="10">
        <f ca="1">ROUND(_xlfn.NORM.INV(RAND(),Reference!$C$8,0.1*Reference!$C$8)*(1+Reference!$C$11*(IF(MONTH($A972)=Reference!$C$4,1,0)+IF(MONTH($A972)=Reference!$C$5,1,0))+(IF(MONTH($A972)=Reference!$C$6,Reference!$C$13,0))),0)</f>
        <v>328</v>
      </c>
      <c r="C972" s="11">
        <f ca="1">B972*Reference!$C$7*(1-IF(MONTH($A972)=Reference!$C$6,1,0)*Reference!$C$12)</f>
        <v>305040</v>
      </c>
      <c r="D972" s="10">
        <f ca="1">ROUND(_xlfn.NORM.INV(RAND(),Reference!$D$8,0.1*Reference!$D$8)*(1+Reference!$D$11*(IF(MONTH($A972)=Reference!$D$4,1,0)+IF(MONTH($A972)=Reference!$D$5,1,0))+(IF(MONTH($A972)=Reference!$D$6,Reference!$D$13,0))),0)</f>
        <v>596</v>
      </c>
      <c r="E972" s="11">
        <f ca="1">D972*Reference!$D$7*(1-IF(MONTH($A972)=Reference!$D$6,1,0)*Reference!$D$12)</f>
        <v>447000</v>
      </c>
      <c r="M972" s="20"/>
      <c r="N972" s="20"/>
      <c r="O972" s="19"/>
      <c r="P972" s="10"/>
      <c r="Q972" s="10"/>
      <c r="R972" s="10"/>
      <c r="S972" s="10"/>
      <c r="T972" s="10"/>
      <c r="U972" s="10"/>
      <c r="V972" s="10"/>
      <c r="W972" s="10"/>
      <c r="X972" s="10"/>
      <c r="Y972" s="10"/>
    </row>
    <row r="973" spans="1:25" x14ac:dyDescent="0.25">
      <c r="A973" s="9">
        <v>41511</v>
      </c>
      <c r="B973" s="10">
        <f ca="1">ROUND(_xlfn.NORM.INV(RAND(),Reference!$C$8,0.1*Reference!$C$8)*(1+Reference!$C$11*(IF(MONTH($A973)=Reference!$C$4,1,0)+IF(MONTH($A973)=Reference!$C$5,1,0))+(IF(MONTH($A973)=Reference!$C$6,Reference!$C$13,0))),0)</f>
        <v>380</v>
      </c>
      <c r="C973" s="11">
        <f ca="1">B973*Reference!$C$7*(1-IF(MONTH($A973)=Reference!$C$6,1,0)*Reference!$C$12)</f>
        <v>353400</v>
      </c>
      <c r="D973" s="10">
        <f ca="1">ROUND(_xlfn.NORM.INV(RAND(),Reference!$D$8,0.1*Reference!$D$8)*(1+Reference!$D$11*(IF(MONTH($A973)=Reference!$D$4,1,0)+IF(MONTH($A973)=Reference!$D$5,1,0))+(IF(MONTH($A973)=Reference!$D$6,Reference!$D$13,0))),0)</f>
        <v>586</v>
      </c>
      <c r="E973" s="11">
        <f ca="1">D973*Reference!$D$7*(1-IF(MONTH($A973)=Reference!$D$6,1,0)*Reference!$D$12)</f>
        <v>439500</v>
      </c>
      <c r="M973" s="20"/>
      <c r="N973" s="20"/>
      <c r="O973" s="19"/>
      <c r="P973" s="10"/>
      <c r="Q973" s="10"/>
      <c r="R973" s="10"/>
      <c r="S973" s="10"/>
      <c r="T973" s="10"/>
      <c r="U973" s="10"/>
      <c r="V973" s="10"/>
      <c r="W973" s="10"/>
      <c r="X973" s="10"/>
      <c r="Y973" s="10"/>
    </row>
    <row r="974" spans="1:25" x14ac:dyDescent="0.25">
      <c r="A974" s="9">
        <v>41512</v>
      </c>
      <c r="B974" s="10">
        <f ca="1">ROUND(_xlfn.NORM.INV(RAND(),Reference!$C$8,0.1*Reference!$C$8)*(1+Reference!$C$11*(IF(MONTH($A974)=Reference!$C$4,1,0)+IF(MONTH($A974)=Reference!$C$5,1,0))+(IF(MONTH($A974)=Reference!$C$6,Reference!$C$13,0))),0)</f>
        <v>324</v>
      </c>
      <c r="C974" s="11">
        <f ca="1">B974*Reference!$C$7*(1-IF(MONTH($A974)=Reference!$C$6,1,0)*Reference!$C$12)</f>
        <v>301320</v>
      </c>
      <c r="D974" s="10">
        <f ca="1">ROUND(_xlfn.NORM.INV(RAND(),Reference!$D$8,0.1*Reference!$D$8)*(1+Reference!$D$11*(IF(MONTH($A974)=Reference!$D$4,1,0)+IF(MONTH($A974)=Reference!$D$5,1,0))+(IF(MONTH($A974)=Reference!$D$6,Reference!$D$13,0))),0)</f>
        <v>523</v>
      </c>
      <c r="E974" s="11">
        <f ca="1">D974*Reference!$D$7*(1-IF(MONTH($A974)=Reference!$D$6,1,0)*Reference!$D$12)</f>
        <v>392250</v>
      </c>
      <c r="M974" s="20"/>
      <c r="N974" s="20"/>
      <c r="O974" s="19"/>
      <c r="P974" s="10"/>
      <c r="Q974" s="10"/>
      <c r="R974" s="10"/>
      <c r="S974" s="10"/>
      <c r="T974" s="10"/>
      <c r="U974" s="10"/>
      <c r="V974" s="10"/>
      <c r="W974" s="10"/>
      <c r="X974" s="10"/>
      <c r="Y974" s="10"/>
    </row>
    <row r="975" spans="1:25" x14ac:dyDescent="0.25">
      <c r="A975" s="9">
        <v>41513</v>
      </c>
      <c r="B975" s="10">
        <f ca="1">ROUND(_xlfn.NORM.INV(RAND(),Reference!$C$8,0.1*Reference!$C$8)*(1+Reference!$C$11*(IF(MONTH($A975)=Reference!$C$4,1,0)+IF(MONTH($A975)=Reference!$C$5,1,0))+(IF(MONTH($A975)=Reference!$C$6,Reference!$C$13,0))),0)</f>
        <v>332</v>
      </c>
      <c r="C975" s="11">
        <f ca="1">B975*Reference!$C$7*(1-IF(MONTH($A975)=Reference!$C$6,1,0)*Reference!$C$12)</f>
        <v>308760</v>
      </c>
      <c r="D975" s="10">
        <f ca="1">ROUND(_xlfn.NORM.INV(RAND(),Reference!$D$8,0.1*Reference!$D$8)*(1+Reference!$D$11*(IF(MONTH($A975)=Reference!$D$4,1,0)+IF(MONTH($A975)=Reference!$D$5,1,0))+(IF(MONTH($A975)=Reference!$D$6,Reference!$D$13,0))),0)</f>
        <v>512</v>
      </c>
      <c r="E975" s="11">
        <f ca="1">D975*Reference!$D$7*(1-IF(MONTH($A975)=Reference!$D$6,1,0)*Reference!$D$12)</f>
        <v>384000</v>
      </c>
      <c r="M975" s="20"/>
      <c r="N975" s="20"/>
      <c r="O975" s="19"/>
      <c r="P975" s="10"/>
      <c r="Q975" s="10"/>
      <c r="R975" s="10"/>
      <c r="S975" s="10"/>
      <c r="T975" s="10"/>
      <c r="U975" s="10"/>
      <c r="V975" s="10"/>
      <c r="W975" s="10"/>
      <c r="X975" s="10"/>
      <c r="Y975" s="10"/>
    </row>
    <row r="976" spans="1:25" x14ac:dyDescent="0.25">
      <c r="A976" s="9">
        <v>41514</v>
      </c>
      <c r="B976" s="10">
        <f ca="1">ROUND(_xlfn.NORM.INV(RAND(),Reference!$C$8,0.1*Reference!$C$8)*(1+Reference!$C$11*(IF(MONTH($A976)=Reference!$C$4,1,0)+IF(MONTH($A976)=Reference!$C$5,1,0))+(IF(MONTH($A976)=Reference!$C$6,Reference!$C$13,0))),0)</f>
        <v>399</v>
      </c>
      <c r="C976" s="11">
        <f ca="1">B976*Reference!$C$7*(1-IF(MONTH($A976)=Reference!$C$6,1,0)*Reference!$C$12)</f>
        <v>371070</v>
      </c>
      <c r="D976" s="10">
        <f ca="1">ROUND(_xlfn.NORM.INV(RAND(),Reference!$D$8,0.1*Reference!$D$8)*(1+Reference!$D$11*(IF(MONTH($A976)=Reference!$D$4,1,0)+IF(MONTH($A976)=Reference!$D$5,1,0))+(IF(MONTH($A976)=Reference!$D$6,Reference!$D$13,0))),0)</f>
        <v>437</v>
      </c>
      <c r="E976" s="11">
        <f ca="1">D976*Reference!$D$7*(1-IF(MONTH($A976)=Reference!$D$6,1,0)*Reference!$D$12)</f>
        <v>327750</v>
      </c>
      <c r="M976" s="20"/>
      <c r="N976" s="20"/>
      <c r="O976" s="19"/>
      <c r="P976" s="10"/>
      <c r="Q976" s="10"/>
      <c r="R976" s="10"/>
      <c r="S976" s="10"/>
      <c r="T976" s="10"/>
      <c r="U976" s="10"/>
      <c r="V976" s="10"/>
      <c r="W976" s="10"/>
      <c r="X976" s="10"/>
      <c r="Y976" s="10"/>
    </row>
    <row r="977" spans="1:25" x14ac:dyDescent="0.25">
      <c r="A977" s="9">
        <v>41515</v>
      </c>
      <c r="B977" s="10">
        <f ca="1">ROUND(_xlfn.NORM.INV(RAND(),Reference!$C$8,0.1*Reference!$C$8)*(1+Reference!$C$11*(IF(MONTH($A977)=Reference!$C$4,1,0)+IF(MONTH($A977)=Reference!$C$5,1,0))+(IF(MONTH($A977)=Reference!$C$6,Reference!$C$13,0))),0)</f>
        <v>375</v>
      </c>
      <c r="C977" s="11">
        <f ca="1">B977*Reference!$C$7*(1-IF(MONTH($A977)=Reference!$C$6,1,0)*Reference!$C$12)</f>
        <v>348750</v>
      </c>
      <c r="D977" s="10">
        <f ca="1">ROUND(_xlfn.NORM.INV(RAND(),Reference!$D$8,0.1*Reference!$D$8)*(1+Reference!$D$11*(IF(MONTH($A977)=Reference!$D$4,1,0)+IF(MONTH($A977)=Reference!$D$5,1,0))+(IF(MONTH($A977)=Reference!$D$6,Reference!$D$13,0))),0)</f>
        <v>496</v>
      </c>
      <c r="E977" s="11">
        <f ca="1">D977*Reference!$D$7*(1-IF(MONTH($A977)=Reference!$D$6,1,0)*Reference!$D$12)</f>
        <v>372000</v>
      </c>
      <c r="M977" s="20"/>
      <c r="N977" s="20"/>
      <c r="O977" s="19"/>
      <c r="P977" s="10"/>
      <c r="Q977" s="10"/>
      <c r="R977" s="10"/>
      <c r="S977" s="10"/>
      <c r="T977" s="10"/>
      <c r="U977" s="10"/>
      <c r="V977" s="10"/>
      <c r="W977" s="10"/>
      <c r="X977" s="10"/>
      <c r="Y977" s="10"/>
    </row>
    <row r="978" spans="1:25" x14ac:dyDescent="0.25">
      <c r="A978" s="9">
        <v>41516</v>
      </c>
      <c r="B978" s="10">
        <f ca="1">ROUND(_xlfn.NORM.INV(RAND(),Reference!$C$8,0.1*Reference!$C$8)*(1+Reference!$C$11*(IF(MONTH($A978)=Reference!$C$4,1,0)+IF(MONTH($A978)=Reference!$C$5,1,0))+(IF(MONTH($A978)=Reference!$C$6,Reference!$C$13,0))),0)</f>
        <v>319</v>
      </c>
      <c r="C978" s="11">
        <f ca="1">B978*Reference!$C$7*(1-IF(MONTH($A978)=Reference!$C$6,1,0)*Reference!$C$12)</f>
        <v>296670</v>
      </c>
      <c r="D978" s="10">
        <f ca="1">ROUND(_xlfn.NORM.INV(RAND(),Reference!$D$8,0.1*Reference!$D$8)*(1+Reference!$D$11*(IF(MONTH($A978)=Reference!$D$4,1,0)+IF(MONTH($A978)=Reference!$D$5,1,0))+(IF(MONTH($A978)=Reference!$D$6,Reference!$D$13,0))),0)</f>
        <v>448</v>
      </c>
      <c r="E978" s="11">
        <f ca="1">D978*Reference!$D$7*(1-IF(MONTH($A978)=Reference!$D$6,1,0)*Reference!$D$12)</f>
        <v>336000</v>
      </c>
      <c r="M978" s="20"/>
      <c r="N978" s="20"/>
      <c r="O978" s="19"/>
      <c r="P978" s="10"/>
      <c r="Q978" s="10"/>
      <c r="R978" s="10"/>
      <c r="S978" s="10"/>
      <c r="T978" s="10"/>
      <c r="U978" s="10"/>
      <c r="V978" s="10"/>
      <c r="W978" s="10"/>
      <c r="X978" s="10"/>
      <c r="Y978" s="10"/>
    </row>
    <row r="979" spans="1:25" x14ac:dyDescent="0.25">
      <c r="A979" s="9">
        <v>41517</v>
      </c>
      <c r="B979" s="10">
        <f ca="1">ROUND(_xlfn.NORM.INV(RAND(),Reference!$C$8,0.1*Reference!$C$8)*(1+Reference!$C$11*(IF(MONTH($A979)=Reference!$C$4,1,0)+IF(MONTH($A979)=Reference!$C$5,1,0))+(IF(MONTH($A979)=Reference!$C$6,Reference!$C$13,0))),0)</f>
        <v>378</v>
      </c>
      <c r="C979" s="11">
        <f ca="1">B979*Reference!$C$7*(1-IF(MONTH($A979)=Reference!$C$6,1,0)*Reference!$C$12)</f>
        <v>351540</v>
      </c>
      <c r="D979" s="10">
        <f ca="1">ROUND(_xlfn.NORM.INV(RAND(),Reference!$D$8,0.1*Reference!$D$8)*(1+Reference!$D$11*(IF(MONTH($A979)=Reference!$D$4,1,0)+IF(MONTH($A979)=Reference!$D$5,1,0))+(IF(MONTH($A979)=Reference!$D$6,Reference!$D$13,0))),0)</f>
        <v>469</v>
      </c>
      <c r="E979" s="11">
        <f ca="1">D979*Reference!$D$7*(1-IF(MONTH($A979)=Reference!$D$6,1,0)*Reference!$D$12)</f>
        <v>351750</v>
      </c>
      <c r="M979" s="20"/>
      <c r="N979" s="20"/>
      <c r="O979" s="19"/>
      <c r="P979" s="10"/>
      <c r="Q979" s="10"/>
      <c r="R979" s="10"/>
      <c r="S979" s="10"/>
      <c r="T979" s="10"/>
      <c r="U979" s="10"/>
      <c r="V979" s="10"/>
      <c r="W979" s="10"/>
      <c r="X979" s="10"/>
      <c r="Y979" s="10"/>
    </row>
    <row r="980" spans="1:25" x14ac:dyDescent="0.25">
      <c r="A980" s="9">
        <v>41518</v>
      </c>
      <c r="B980" s="10">
        <f ca="1">ROUND(_xlfn.NORM.INV(RAND(),Reference!$C$8,0.1*Reference!$C$8)*(1+Reference!$C$11*(IF(MONTH($A980)=Reference!$C$4,1,0)+IF(MONTH($A980)=Reference!$C$5,1,0))+(IF(MONTH($A980)=Reference!$C$6,Reference!$C$13,0))),0)</f>
        <v>404</v>
      </c>
      <c r="C980" s="11">
        <f ca="1">B980*Reference!$C$7*(1-IF(MONTH($A980)=Reference!$C$6,1,0)*Reference!$C$12)</f>
        <v>375720</v>
      </c>
      <c r="D980" s="10">
        <f ca="1">ROUND(_xlfn.NORM.INV(RAND(),Reference!$D$8,0.1*Reference!$D$8)*(1+Reference!$D$11*(IF(MONTH($A980)=Reference!$D$4,1,0)+IF(MONTH($A980)=Reference!$D$5,1,0))+(IF(MONTH($A980)=Reference!$D$6,Reference!$D$13,0))),0)</f>
        <v>453</v>
      </c>
      <c r="E980" s="11">
        <f ca="1">D980*Reference!$D$7*(1-IF(MONTH($A980)=Reference!$D$6,1,0)*Reference!$D$12)</f>
        <v>322762.5</v>
      </c>
      <c r="M980" s="20"/>
      <c r="N980" s="20"/>
      <c r="O980" s="19"/>
      <c r="P980" s="10"/>
      <c r="Q980" s="10"/>
      <c r="R980" s="10"/>
      <c r="S980" s="10"/>
      <c r="T980" s="10"/>
      <c r="U980" s="10"/>
      <c r="V980" s="10"/>
      <c r="W980" s="10"/>
      <c r="X980" s="10"/>
      <c r="Y980" s="10"/>
    </row>
    <row r="981" spans="1:25" x14ac:dyDescent="0.25">
      <c r="A981" s="9">
        <v>41519</v>
      </c>
      <c r="B981" s="10">
        <f ca="1">ROUND(_xlfn.NORM.INV(RAND(),Reference!$C$8,0.1*Reference!$C$8)*(1+Reference!$C$11*(IF(MONTH($A981)=Reference!$C$4,1,0)+IF(MONTH($A981)=Reference!$C$5,1,0))+(IF(MONTH($A981)=Reference!$C$6,Reference!$C$13,0))),0)</f>
        <v>446</v>
      </c>
      <c r="C981" s="11">
        <f ca="1">B981*Reference!$C$7*(1-IF(MONTH($A981)=Reference!$C$6,1,0)*Reference!$C$12)</f>
        <v>414780</v>
      </c>
      <c r="D981" s="10">
        <f ca="1">ROUND(_xlfn.NORM.INV(RAND(),Reference!$D$8,0.1*Reference!$D$8)*(1+Reference!$D$11*(IF(MONTH($A981)=Reference!$D$4,1,0)+IF(MONTH($A981)=Reference!$D$5,1,0))+(IF(MONTH($A981)=Reference!$D$6,Reference!$D$13,0))),0)</f>
        <v>482</v>
      </c>
      <c r="E981" s="11">
        <f ca="1">D981*Reference!$D$7*(1-IF(MONTH($A981)=Reference!$D$6,1,0)*Reference!$D$12)</f>
        <v>343425</v>
      </c>
      <c r="M981" s="20"/>
      <c r="N981" s="20"/>
      <c r="O981" s="19"/>
      <c r="P981" s="10"/>
      <c r="Q981" s="10"/>
      <c r="R981" s="10"/>
      <c r="S981" s="10"/>
      <c r="T981" s="10"/>
      <c r="U981" s="10"/>
      <c r="V981" s="10"/>
      <c r="W981" s="10"/>
      <c r="X981" s="10"/>
      <c r="Y981" s="10"/>
    </row>
    <row r="982" spans="1:25" x14ac:dyDescent="0.25">
      <c r="A982" s="9">
        <v>41520</v>
      </c>
      <c r="B982" s="10">
        <f ca="1">ROUND(_xlfn.NORM.INV(RAND(),Reference!$C$8,0.1*Reference!$C$8)*(1+Reference!$C$11*(IF(MONTH($A982)=Reference!$C$4,1,0)+IF(MONTH($A982)=Reference!$C$5,1,0))+(IF(MONTH($A982)=Reference!$C$6,Reference!$C$13,0))),0)</f>
        <v>386</v>
      </c>
      <c r="C982" s="11">
        <f ca="1">B982*Reference!$C$7*(1-IF(MONTH($A982)=Reference!$C$6,1,0)*Reference!$C$12)</f>
        <v>358980</v>
      </c>
      <c r="D982" s="10">
        <f ca="1">ROUND(_xlfn.NORM.INV(RAND(),Reference!$D$8,0.1*Reference!$D$8)*(1+Reference!$D$11*(IF(MONTH($A982)=Reference!$D$4,1,0)+IF(MONTH($A982)=Reference!$D$5,1,0))+(IF(MONTH($A982)=Reference!$D$6,Reference!$D$13,0))),0)</f>
        <v>525</v>
      </c>
      <c r="E982" s="11">
        <f ca="1">D982*Reference!$D$7*(1-IF(MONTH($A982)=Reference!$D$6,1,0)*Reference!$D$12)</f>
        <v>374062.5</v>
      </c>
      <c r="M982" s="20"/>
      <c r="N982" s="20"/>
      <c r="O982" s="19"/>
      <c r="P982" s="10"/>
      <c r="Q982" s="10"/>
      <c r="R982" s="10"/>
      <c r="S982" s="10"/>
      <c r="T982" s="10"/>
      <c r="U982" s="10"/>
      <c r="V982" s="10"/>
      <c r="W982" s="10"/>
      <c r="X982" s="10"/>
      <c r="Y982" s="10"/>
    </row>
    <row r="983" spans="1:25" x14ac:dyDescent="0.25">
      <c r="A983" s="9">
        <v>41521</v>
      </c>
      <c r="B983" s="10">
        <f ca="1">ROUND(_xlfn.NORM.INV(RAND(),Reference!$C$8,0.1*Reference!$C$8)*(1+Reference!$C$11*(IF(MONTH($A983)=Reference!$C$4,1,0)+IF(MONTH($A983)=Reference!$C$5,1,0))+(IF(MONTH($A983)=Reference!$C$6,Reference!$C$13,0))),0)</f>
        <v>411</v>
      </c>
      <c r="C983" s="11">
        <f ca="1">B983*Reference!$C$7*(1-IF(MONTH($A983)=Reference!$C$6,1,0)*Reference!$C$12)</f>
        <v>382230</v>
      </c>
      <c r="D983" s="10">
        <f ca="1">ROUND(_xlfn.NORM.INV(RAND(),Reference!$D$8,0.1*Reference!$D$8)*(1+Reference!$D$11*(IF(MONTH($A983)=Reference!$D$4,1,0)+IF(MONTH($A983)=Reference!$D$5,1,0))+(IF(MONTH($A983)=Reference!$D$6,Reference!$D$13,0))),0)</f>
        <v>532</v>
      </c>
      <c r="E983" s="11">
        <f ca="1">D983*Reference!$D$7*(1-IF(MONTH($A983)=Reference!$D$6,1,0)*Reference!$D$12)</f>
        <v>379050</v>
      </c>
      <c r="M983" s="20"/>
      <c r="N983" s="20"/>
      <c r="O983" s="19"/>
      <c r="P983" s="10"/>
      <c r="Q983" s="10"/>
      <c r="R983" s="10"/>
      <c r="S983" s="10"/>
      <c r="T983" s="10"/>
      <c r="U983" s="10"/>
      <c r="V983" s="10"/>
      <c r="W983" s="10"/>
      <c r="X983" s="10"/>
      <c r="Y983" s="10"/>
    </row>
    <row r="984" spans="1:25" x14ac:dyDescent="0.25">
      <c r="A984" s="9">
        <v>41522</v>
      </c>
      <c r="B984" s="10">
        <f ca="1">ROUND(_xlfn.NORM.INV(RAND(),Reference!$C$8,0.1*Reference!$C$8)*(1+Reference!$C$11*(IF(MONTH($A984)=Reference!$C$4,1,0)+IF(MONTH($A984)=Reference!$C$5,1,0))+(IF(MONTH($A984)=Reference!$C$6,Reference!$C$13,0))),0)</f>
        <v>407</v>
      </c>
      <c r="C984" s="11">
        <f ca="1">B984*Reference!$C$7*(1-IF(MONTH($A984)=Reference!$C$6,1,0)*Reference!$C$12)</f>
        <v>378510</v>
      </c>
      <c r="D984" s="10">
        <f ca="1">ROUND(_xlfn.NORM.INV(RAND(),Reference!$D$8,0.1*Reference!$D$8)*(1+Reference!$D$11*(IF(MONTH($A984)=Reference!$D$4,1,0)+IF(MONTH($A984)=Reference!$D$5,1,0))+(IF(MONTH($A984)=Reference!$D$6,Reference!$D$13,0))),0)</f>
        <v>639</v>
      </c>
      <c r="E984" s="11">
        <f ca="1">D984*Reference!$D$7*(1-IF(MONTH($A984)=Reference!$D$6,1,0)*Reference!$D$12)</f>
        <v>455287.5</v>
      </c>
      <c r="M984" s="20"/>
      <c r="N984" s="20"/>
      <c r="O984" s="19"/>
      <c r="P984" s="10"/>
      <c r="Q984" s="10"/>
      <c r="R984" s="10"/>
      <c r="S984" s="10"/>
      <c r="T984" s="10"/>
      <c r="U984" s="10"/>
      <c r="V984" s="10"/>
      <c r="W984" s="10"/>
      <c r="X984" s="10"/>
      <c r="Y984" s="10"/>
    </row>
    <row r="985" spans="1:25" x14ac:dyDescent="0.25">
      <c r="A985" s="9">
        <v>41523</v>
      </c>
      <c r="B985" s="10">
        <f ca="1">ROUND(_xlfn.NORM.INV(RAND(),Reference!$C$8,0.1*Reference!$C$8)*(1+Reference!$C$11*(IF(MONTH($A985)=Reference!$C$4,1,0)+IF(MONTH($A985)=Reference!$C$5,1,0))+(IF(MONTH($A985)=Reference!$C$6,Reference!$C$13,0))),0)</f>
        <v>347</v>
      </c>
      <c r="C985" s="11">
        <f ca="1">B985*Reference!$C$7*(1-IF(MONTH($A985)=Reference!$C$6,1,0)*Reference!$C$12)</f>
        <v>322710</v>
      </c>
      <c r="D985" s="10">
        <f ca="1">ROUND(_xlfn.NORM.INV(RAND(),Reference!$D$8,0.1*Reference!$D$8)*(1+Reference!$D$11*(IF(MONTH($A985)=Reference!$D$4,1,0)+IF(MONTH($A985)=Reference!$D$5,1,0))+(IF(MONTH($A985)=Reference!$D$6,Reference!$D$13,0))),0)</f>
        <v>508</v>
      </c>
      <c r="E985" s="11">
        <f ca="1">D985*Reference!$D$7*(1-IF(MONTH($A985)=Reference!$D$6,1,0)*Reference!$D$12)</f>
        <v>361950</v>
      </c>
      <c r="M985" s="20"/>
      <c r="N985" s="20"/>
      <c r="O985" s="19"/>
      <c r="P985" s="10"/>
      <c r="Q985" s="10"/>
      <c r="R985" s="10"/>
      <c r="S985" s="10"/>
      <c r="T985" s="10"/>
      <c r="U985" s="10"/>
      <c r="V985" s="10"/>
      <c r="W985" s="10"/>
      <c r="X985" s="10"/>
      <c r="Y985" s="10"/>
    </row>
    <row r="986" spans="1:25" x14ac:dyDescent="0.25">
      <c r="A986" s="9">
        <v>41524</v>
      </c>
      <c r="B986" s="10">
        <f ca="1">ROUND(_xlfn.NORM.INV(RAND(),Reference!$C$8,0.1*Reference!$C$8)*(1+Reference!$C$11*(IF(MONTH($A986)=Reference!$C$4,1,0)+IF(MONTH($A986)=Reference!$C$5,1,0))+(IF(MONTH($A986)=Reference!$C$6,Reference!$C$13,0))),0)</f>
        <v>366</v>
      </c>
      <c r="C986" s="11">
        <f ca="1">B986*Reference!$C$7*(1-IF(MONTH($A986)=Reference!$C$6,1,0)*Reference!$C$12)</f>
        <v>340380</v>
      </c>
      <c r="D986" s="10">
        <f ca="1">ROUND(_xlfn.NORM.INV(RAND(),Reference!$D$8,0.1*Reference!$D$8)*(1+Reference!$D$11*(IF(MONTH($A986)=Reference!$D$4,1,0)+IF(MONTH($A986)=Reference!$D$5,1,0))+(IF(MONTH($A986)=Reference!$D$6,Reference!$D$13,0))),0)</f>
        <v>479</v>
      </c>
      <c r="E986" s="11">
        <f ca="1">D986*Reference!$D$7*(1-IF(MONTH($A986)=Reference!$D$6,1,0)*Reference!$D$12)</f>
        <v>341287.5</v>
      </c>
      <c r="M986" s="20"/>
      <c r="N986" s="20"/>
      <c r="O986" s="19"/>
      <c r="P986" s="10"/>
      <c r="Q986" s="10"/>
      <c r="R986" s="10"/>
      <c r="S986" s="10"/>
      <c r="T986" s="10"/>
      <c r="U986" s="10"/>
      <c r="V986" s="10"/>
      <c r="W986" s="10"/>
      <c r="X986" s="10"/>
      <c r="Y986" s="10"/>
    </row>
    <row r="987" spans="1:25" x14ac:dyDescent="0.25">
      <c r="A987" s="9">
        <v>41525</v>
      </c>
      <c r="B987" s="10">
        <f ca="1">ROUND(_xlfn.NORM.INV(RAND(),Reference!$C$8,0.1*Reference!$C$8)*(1+Reference!$C$11*(IF(MONTH($A987)=Reference!$C$4,1,0)+IF(MONTH($A987)=Reference!$C$5,1,0))+(IF(MONTH($A987)=Reference!$C$6,Reference!$C$13,0))),0)</f>
        <v>327</v>
      </c>
      <c r="C987" s="11">
        <f ca="1">B987*Reference!$C$7*(1-IF(MONTH($A987)=Reference!$C$6,1,0)*Reference!$C$12)</f>
        <v>304110</v>
      </c>
      <c r="D987" s="10">
        <f ca="1">ROUND(_xlfn.NORM.INV(RAND(),Reference!$D$8,0.1*Reference!$D$8)*(1+Reference!$D$11*(IF(MONTH($A987)=Reference!$D$4,1,0)+IF(MONTH($A987)=Reference!$D$5,1,0))+(IF(MONTH($A987)=Reference!$D$6,Reference!$D$13,0))),0)</f>
        <v>557</v>
      </c>
      <c r="E987" s="11">
        <f ca="1">D987*Reference!$D$7*(1-IF(MONTH($A987)=Reference!$D$6,1,0)*Reference!$D$12)</f>
        <v>396862.5</v>
      </c>
      <c r="M987" s="20"/>
      <c r="N987" s="20"/>
      <c r="O987" s="19"/>
      <c r="P987" s="10"/>
      <c r="Q987" s="10"/>
      <c r="R987" s="10"/>
      <c r="S987" s="10"/>
      <c r="T987" s="10"/>
      <c r="U987" s="10"/>
      <c r="V987" s="10"/>
      <c r="W987" s="10"/>
      <c r="X987" s="10"/>
      <c r="Y987" s="10"/>
    </row>
    <row r="988" spans="1:25" x14ac:dyDescent="0.25">
      <c r="A988" s="9">
        <v>41526</v>
      </c>
      <c r="B988" s="10">
        <f ca="1">ROUND(_xlfn.NORM.INV(RAND(),Reference!$C$8,0.1*Reference!$C$8)*(1+Reference!$C$11*(IF(MONTH($A988)=Reference!$C$4,1,0)+IF(MONTH($A988)=Reference!$C$5,1,0))+(IF(MONTH($A988)=Reference!$C$6,Reference!$C$13,0))),0)</f>
        <v>327</v>
      </c>
      <c r="C988" s="11">
        <f ca="1">B988*Reference!$C$7*(1-IF(MONTH($A988)=Reference!$C$6,1,0)*Reference!$C$12)</f>
        <v>304110</v>
      </c>
      <c r="D988" s="10">
        <f ca="1">ROUND(_xlfn.NORM.INV(RAND(),Reference!$D$8,0.1*Reference!$D$8)*(1+Reference!$D$11*(IF(MONTH($A988)=Reference!$D$4,1,0)+IF(MONTH($A988)=Reference!$D$5,1,0))+(IF(MONTH($A988)=Reference!$D$6,Reference!$D$13,0))),0)</f>
        <v>497</v>
      </c>
      <c r="E988" s="11">
        <f ca="1">D988*Reference!$D$7*(1-IF(MONTH($A988)=Reference!$D$6,1,0)*Reference!$D$12)</f>
        <v>354112.5</v>
      </c>
      <c r="M988" s="20"/>
      <c r="N988" s="20"/>
      <c r="O988" s="19"/>
      <c r="P988" s="10"/>
      <c r="Q988" s="10"/>
      <c r="R988" s="10"/>
      <c r="S988" s="10"/>
      <c r="T988" s="10"/>
      <c r="U988" s="10"/>
      <c r="V988" s="10"/>
      <c r="W988" s="10"/>
      <c r="X988" s="10"/>
      <c r="Y988" s="10"/>
    </row>
    <row r="989" spans="1:25" x14ac:dyDescent="0.25">
      <c r="A989" s="9">
        <v>41527</v>
      </c>
      <c r="B989" s="10">
        <f ca="1">ROUND(_xlfn.NORM.INV(RAND(),Reference!$C$8,0.1*Reference!$C$8)*(1+Reference!$C$11*(IF(MONTH($A989)=Reference!$C$4,1,0)+IF(MONTH($A989)=Reference!$C$5,1,0))+(IF(MONTH($A989)=Reference!$C$6,Reference!$C$13,0))),0)</f>
        <v>367</v>
      </c>
      <c r="C989" s="11">
        <f ca="1">B989*Reference!$C$7*(1-IF(MONTH($A989)=Reference!$C$6,1,0)*Reference!$C$12)</f>
        <v>341310</v>
      </c>
      <c r="D989" s="10">
        <f ca="1">ROUND(_xlfn.NORM.INV(RAND(),Reference!$D$8,0.1*Reference!$D$8)*(1+Reference!$D$11*(IF(MONTH($A989)=Reference!$D$4,1,0)+IF(MONTH($A989)=Reference!$D$5,1,0))+(IF(MONTH($A989)=Reference!$D$6,Reference!$D$13,0))),0)</f>
        <v>552</v>
      </c>
      <c r="E989" s="11">
        <f ca="1">D989*Reference!$D$7*(1-IF(MONTH($A989)=Reference!$D$6,1,0)*Reference!$D$12)</f>
        <v>393300</v>
      </c>
      <c r="M989" s="20"/>
      <c r="N989" s="20"/>
      <c r="O989" s="19"/>
      <c r="P989" s="10"/>
      <c r="Q989" s="10"/>
      <c r="R989" s="10"/>
      <c r="S989" s="10"/>
      <c r="T989" s="10"/>
      <c r="U989" s="10"/>
      <c r="V989" s="10"/>
      <c r="W989" s="10"/>
      <c r="X989" s="10"/>
      <c r="Y989" s="10"/>
    </row>
    <row r="990" spans="1:25" x14ac:dyDescent="0.25">
      <c r="A990" s="9">
        <v>41528</v>
      </c>
      <c r="B990" s="10">
        <f ca="1">ROUND(_xlfn.NORM.INV(RAND(),Reference!$C$8,0.1*Reference!$C$8)*(1+Reference!$C$11*(IF(MONTH($A990)=Reference!$C$4,1,0)+IF(MONTH($A990)=Reference!$C$5,1,0))+(IF(MONTH($A990)=Reference!$C$6,Reference!$C$13,0))),0)</f>
        <v>334</v>
      </c>
      <c r="C990" s="11">
        <f ca="1">B990*Reference!$C$7*(1-IF(MONTH($A990)=Reference!$C$6,1,0)*Reference!$C$12)</f>
        <v>310620</v>
      </c>
      <c r="D990" s="10">
        <f ca="1">ROUND(_xlfn.NORM.INV(RAND(),Reference!$D$8,0.1*Reference!$D$8)*(1+Reference!$D$11*(IF(MONTH($A990)=Reference!$D$4,1,0)+IF(MONTH($A990)=Reference!$D$5,1,0))+(IF(MONTH($A990)=Reference!$D$6,Reference!$D$13,0))),0)</f>
        <v>522</v>
      </c>
      <c r="E990" s="11">
        <f ca="1">D990*Reference!$D$7*(1-IF(MONTH($A990)=Reference!$D$6,1,0)*Reference!$D$12)</f>
        <v>371925</v>
      </c>
      <c r="M990" s="20"/>
      <c r="N990" s="20"/>
      <c r="O990" s="19"/>
      <c r="P990" s="10"/>
      <c r="Q990" s="10"/>
      <c r="R990" s="10"/>
      <c r="S990" s="10"/>
      <c r="T990" s="10"/>
      <c r="U990" s="10"/>
      <c r="V990" s="10"/>
      <c r="W990" s="10"/>
      <c r="X990" s="10"/>
      <c r="Y990" s="10"/>
    </row>
    <row r="991" spans="1:25" x14ac:dyDescent="0.25">
      <c r="A991" s="9">
        <v>41529</v>
      </c>
      <c r="B991" s="10">
        <f ca="1">ROUND(_xlfn.NORM.INV(RAND(),Reference!$C$8,0.1*Reference!$C$8)*(1+Reference!$C$11*(IF(MONTH($A991)=Reference!$C$4,1,0)+IF(MONTH($A991)=Reference!$C$5,1,0))+(IF(MONTH($A991)=Reference!$C$6,Reference!$C$13,0))),0)</f>
        <v>351</v>
      </c>
      <c r="C991" s="11">
        <f ca="1">B991*Reference!$C$7*(1-IF(MONTH($A991)=Reference!$C$6,1,0)*Reference!$C$12)</f>
        <v>326430</v>
      </c>
      <c r="D991" s="10">
        <f ca="1">ROUND(_xlfn.NORM.INV(RAND(),Reference!$D$8,0.1*Reference!$D$8)*(1+Reference!$D$11*(IF(MONTH($A991)=Reference!$D$4,1,0)+IF(MONTH($A991)=Reference!$D$5,1,0))+(IF(MONTH($A991)=Reference!$D$6,Reference!$D$13,0))),0)</f>
        <v>567</v>
      </c>
      <c r="E991" s="11">
        <f ca="1">D991*Reference!$D$7*(1-IF(MONTH($A991)=Reference!$D$6,1,0)*Reference!$D$12)</f>
        <v>403987.5</v>
      </c>
      <c r="M991" s="20"/>
      <c r="N991" s="20"/>
      <c r="O991" s="19"/>
      <c r="P991" s="10"/>
      <c r="Q991" s="10"/>
      <c r="R991" s="10"/>
      <c r="S991" s="10"/>
      <c r="T991" s="10"/>
      <c r="U991" s="10"/>
      <c r="V991" s="10"/>
      <c r="W991" s="10"/>
      <c r="X991" s="10"/>
      <c r="Y991" s="10"/>
    </row>
    <row r="992" spans="1:25" x14ac:dyDescent="0.25">
      <c r="A992" s="9">
        <v>41530</v>
      </c>
      <c r="B992" s="10">
        <f ca="1">ROUND(_xlfn.NORM.INV(RAND(),Reference!$C$8,0.1*Reference!$C$8)*(1+Reference!$C$11*(IF(MONTH($A992)=Reference!$C$4,1,0)+IF(MONTH($A992)=Reference!$C$5,1,0))+(IF(MONTH($A992)=Reference!$C$6,Reference!$C$13,0))),0)</f>
        <v>347</v>
      </c>
      <c r="C992" s="11">
        <f ca="1">B992*Reference!$C$7*(1-IF(MONTH($A992)=Reference!$C$6,1,0)*Reference!$C$12)</f>
        <v>322710</v>
      </c>
      <c r="D992" s="10">
        <f ca="1">ROUND(_xlfn.NORM.INV(RAND(),Reference!$D$8,0.1*Reference!$D$8)*(1+Reference!$D$11*(IF(MONTH($A992)=Reference!$D$4,1,0)+IF(MONTH($A992)=Reference!$D$5,1,0))+(IF(MONTH($A992)=Reference!$D$6,Reference!$D$13,0))),0)</f>
        <v>486</v>
      </c>
      <c r="E992" s="11">
        <f ca="1">D992*Reference!$D$7*(1-IF(MONTH($A992)=Reference!$D$6,1,0)*Reference!$D$12)</f>
        <v>346275</v>
      </c>
      <c r="M992" s="20"/>
      <c r="N992" s="20"/>
      <c r="O992" s="19"/>
      <c r="P992" s="10"/>
      <c r="Q992" s="10"/>
      <c r="R992" s="10"/>
      <c r="S992" s="10"/>
      <c r="T992" s="10"/>
      <c r="U992" s="10"/>
      <c r="V992" s="10"/>
      <c r="W992" s="10"/>
      <c r="X992" s="10"/>
      <c r="Y992" s="10"/>
    </row>
    <row r="993" spans="1:25" x14ac:dyDescent="0.25">
      <c r="A993" s="9">
        <v>41531</v>
      </c>
      <c r="B993" s="10">
        <f ca="1">ROUND(_xlfn.NORM.INV(RAND(),Reference!$C$8,0.1*Reference!$C$8)*(1+Reference!$C$11*(IF(MONTH($A993)=Reference!$C$4,1,0)+IF(MONTH($A993)=Reference!$C$5,1,0))+(IF(MONTH($A993)=Reference!$C$6,Reference!$C$13,0))),0)</f>
        <v>406</v>
      </c>
      <c r="C993" s="11">
        <f ca="1">B993*Reference!$C$7*(1-IF(MONTH($A993)=Reference!$C$6,1,0)*Reference!$C$12)</f>
        <v>377580</v>
      </c>
      <c r="D993" s="10">
        <f ca="1">ROUND(_xlfn.NORM.INV(RAND(),Reference!$D$8,0.1*Reference!$D$8)*(1+Reference!$D$11*(IF(MONTH($A993)=Reference!$D$4,1,0)+IF(MONTH($A993)=Reference!$D$5,1,0))+(IF(MONTH($A993)=Reference!$D$6,Reference!$D$13,0))),0)</f>
        <v>526</v>
      </c>
      <c r="E993" s="11">
        <f ca="1">D993*Reference!$D$7*(1-IF(MONTH($A993)=Reference!$D$6,1,0)*Reference!$D$12)</f>
        <v>374775</v>
      </c>
      <c r="M993" s="20"/>
      <c r="N993" s="20"/>
      <c r="O993" s="19"/>
      <c r="P993" s="10"/>
      <c r="Q993" s="10"/>
      <c r="R993" s="10"/>
      <c r="S993" s="10"/>
      <c r="T993" s="10"/>
      <c r="U993" s="10"/>
      <c r="V993" s="10"/>
      <c r="W993" s="10"/>
      <c r="X993" s="10"/>
      <c r="Y993" s="10"/>
    </row>
    <row r="994" spans="1:25" x14ac:dyDescent="0.25">
      <c r="A994" s="9">
        <v>41532</v>
      </c>
      <c r="B994" s="10">
        <f ca="1">ROUND(_xlfn.NORM.INV(RAND(),Reference!$C$8,0.1*Reference!$C$8)*(1+Reference!$C$11*(IF(MONTH($A994)=Reference!$C$4,1,0)+IF(MONTH($A994)=Reference!$C$5,1,0))+(IF(MONTH($A994)=Reference!$C$6,Reference!$C$13,0))),0)</f>
        <v>324</v>
      </c>
      <c r="C994" s="11">
        <f ca="1">B994*Reference!$C$7*(1-IF(MONTH($A994)=Reference!$C$6,1,0)*Reference!$C$12)</f>
        <v>301320</v>
      </c>
      <c r="D994" s="10">
        <f ca="1">ROUND(_xlfn.NORM.INV(RAND(),Reference!$D$8,0.1*Reference!$D$8)*(1+Reference!$D$11*(IF(MONTH($A994)=Reference!$D$4,1,0)+IF(MONTH($A994)=Reference!$D$5,1,0))+(IF(MONTH($A994)=Reference!$D$6,Reference!$D$13,0))),0)</f>
        <v>604</v>
      </c>
      <c r="E994" s="11">
        <f ca="1">D994*Reference!$D$7*(1-IF(MONTH($A994)=Reference!$D$6,1,0)*Reference!$D$12)</f>
        <v>430350</v>
      </c>
      <c r="M994" s="20"/>
      <c r="N994" s="20"/>
      <c r="O994" s="19"/>
      <c r="P994" s="10"/>
      <c r="Q994" s="10"/>
      <c r="R994" s="10"/>
      <c r="S994" s="10"/>
      <c r="T994" s="10"/>
      <c r="U994" s="10"/>
      <c r="V994" s="10"/>
      <c r="W994" s="10"/>
      <c r="X994" s="10"/>
      <c r="Y994" s="10"/>
    </row>
    <row r="995" spans="1:25" x14ac:dyDescent="0.25">
      <c r="A995" s="9">
        <v>41533</v>
      </c>
      <c r="B995" s="10">
        <f ca="1">ROUND(_xlfn.NORM.INV(RAND(),Reference!$C$8,0.1*Reference!$C$8)*(1+Reference!$C$11*(IF(MONTH($A995)=Reference!$C$4,1,0)+IF(MONTH($A995)=Reference!$C$5,1,0))+(IF(MONTH($A995)=Reference!$C$6,Reference!$C$13,0))),0)</f>
        <v>329</v>
      </c>
      <c r="C995" s="11">
        <f ca="1">B995*Reference!$C$7*(1-IF(MONTH($A995)=Reference!$C$6,1,0)*Reference!$C$12)</f>
        <v>305970</v>
      </c>
      <c r="D995" s="10">
        <f ca="1">ROUND(_xlfn.NORM.INV(RAND(),Reference!$D$8,0.1*Reference!$D$8)*(1+Reference!$D$11*(IF(MONTH($A995)=Reference!$D$4,1,0)+IF(MONTH($A995)=Reference!$D$5,1,0))+(IF(MONTH($A995)=Reference!$D$6,Reference!$D$13,0))),0)</f>
        <v>575</v>
      </c>
      <c r="E995" s="11">
        <f ca="1">D995*Reference!$D$7*(1-IF(MONTH($A995)=Reference!$D$6,1,0)*Reference!$D$12)</f>
        <v>409687.5</v>
      </c>
      <c r="M995" s="20"/>
      <c r="N995" s="20"/>
      <c r="O995" s="19"/>
      <c r="P995" s="10"/>
      <c r="Q995" s="10"/>
      <c r="R995" s="10"/>
      <c r="S995" s="10"/>
      <c r="T995" s="10"/>
      <c r="U995" s="10"/>
      <c r="V995" s="10"/>
      <c r="W995" s="10"/>
      <c r="X995" s="10"/>
      <c r="Y995" s="10"/>
    </row>
    <row r="996" spans="1:25" x14ac:dyDescent="0.25">
      <c r="A996" s="9">
        <v>41534</v>
      </c>
      <c r="B996" s="10">
        <f ca="1">ROUND(_xlfn.NORM.INV(RAND(),Reference!$C$8,0.1*Reference!$C$8)*(1+Reference!$C$11*(IF(MONTH($A996)=Reference!$C$4,1,0)+IF(MONTH($A996)=Reference!$C$5,1,0))+(IF(MONTH($A996)=Reference!$C$6,Reference!$C$13,0))),0)</f>
        <v>343</v>
      </c>
      <c r="C996" s="11">
        <f ca="1">B996*Reference!$C$7*(1-IF(MONTH($A996)=Reference!$C$6,1,0)*Reference!$C$12)</f>
        <v>318990</v>
      </c>
      <c r="D996" s="10">
        <f ca="1">ROUND(_xlfn.NORM.INV(RAND(),Reference!$D$8,0.1*Reference!$D$8)*(1+Reference!$D$11*(IF(MONTH($A996)=Reference!$D$4,1,0)+IF(MONTH($A996)=Reference!$D$5,1,0))+(IF(MONTH($A996)=Reference!$D$6,Reference!$D$13,0))),0)</f>
        <v>466</v>
      </c>
      <c r="E996" s="11">
        <f ca="1">D996*Reference!$D$7*(1-IF(MONTH($A996)=Reference!$D$6,1,0)*Reference!$D$12)</f>
        <v>332025</v>
      </c>
      <c r="M996" s="20"/>
      <c r="N996" s="20"/>
      <c r="O996" s="19"/>
      <c r="P996" s="10"/>
      <c r="Q996" s="10"/>
      <c r="R996" s="10"/>
      <c r="S996" s="10"/>
      <c r="T996" s="10"/>
      <c r="U996" s="10"/>
      <c r="V996" s="10"/>
      <c r="W996" s="10"/>
      <c r="X996" s="10"/>
      <c r="Y996" s="10"/>
    </row>
    <row r="997" spans="1:25" x14ac:dyDescent="0.25">
      <c r="A997" s="9">
        <v>41535</v>
      </c>
      <c r="B997" s="10">
        <f ca="1">ROUND(_xlfn.NORM.INV(RAND(),Reference!$C$8,0.1*Reference!$C$8)*(1+Reference!$C$11*(IF(MONTH($A997)=Reference!$C$4,1,0)+IF(MONTH($A997)=Reference!$C$5,1,0))+(IF(MONTH($A997)=Reference!$C$6,Reference!$C$13,0))),0)</f>
        <v>347</v>
      </c>
      <c r="C997" s="11">
        <f ca="1">B997*Reference!$C$7*(1-IF(MONTH($A997)=Reference!$C$6,1,0)*Reference!$C$12)</f>
        <v>322710</v>
      </c>
      <c r="D997" s="10">
        <f ca="1">ROUND(_xlfn.NORM.INV(RAND(),Reference!$D$8,0.1*Reference!$D$8)*(1+Reference!$D$11*(IF(MONTH($A997)=Reference!$D$4,1,0)+IF(MONTH($A997)=Reference!$D$5,1,0))+(IF(MONTH($A997)=Reference!$D$6,Reference!$D$13,0))),0)</f>
        <v>503</v>
      </c>
      <c r="E997" s="11">
        <f ca="1">D997*Reference!$D$7*(1-IF(MONTH($A997)=Reference!$D$6,1,0)*Reference!$D$12)</f>
        <v>358387.5</v>
      </c>
      <c r="M997" s="20"/>
      <c r="N997" s="20"/>
      <c r="O997" s="19"/>
      <c r="P997" s="10"/>
      <c r="Q997" s="10"/>
      <c r="R997" s="10"/>
      <c r="S997" s="10"/>
      <c r="T997" s="10"/>
      <c r="U997" s="10"/>
      <c r="V997" s="10"/>
      <c r="W997" s="10"/>
      <c r="X997" s="10"/>
      <c r="Y997" s="10"/>
    </row>
    <row r="998" spans="1:25" x14ac:dyDescent="0.25">
      <c r="A998" s="9">
        <v>41536</v>
      </c>
      <c r="B998" s="10">
        <f ca="1">ROUND(_xlfn.NORM.INV(RAND(),Reference!$C$8,0.1*Reference!$C$8)*(1+Reference!$C$11*(IF(MONTH($A998)=Reference!$C$4,1,0)+IF(MONTH($A998)=Reference!$C$5,1,0))+(IF(MONTH($A998)=Reference!$C$6,Reference!$C$13,0))),0)</f>
        <v>347</v>
      </c>
      <c r="C998" s="11">
        <f ca="1">B998*Reference!$C$7*(1-IF(MONTH($A998)=Reference!$C$6,1,0)*Reference!$C$12)</f>
        <v>322710</v>
      </c>
      <c r="D998" s="10">
        <f ca="1">ROUND(_xlfn.NORM.INV(RAND(),Reference!$D$8,0.1*Reference!$D$8)*(1+Reference!$D$11*(IF(MONTH($A998)=Reference!$D$4,1,0)+IF(MONTH($A998)=Reference!$D$5,1,0))+(IF(MONTH($A998)=Reference!$D$6,Reference!$D$13,0))),0)</f>
        <v>538</v>
      </c>
      <c r="E998" s="11">
        <f ca="1">D998*Reference!$D$7*(1-IF(MONTH($A998)=Reference!$D$6,1,0)*Reference!$D$12)</f>
        <v>383325</v>
      </c>
      <c r="M998" s="20"/>
      <c r="N998" s="20"/>
      <c r="O998" s="19"/>
      <c r="P998" s="10"/>
      <c r="Q998" s="10"/>
      <c r="R998" s="10"/>
      <c r="S998" s="10"/>
      <c r="T998" s="10"/>
      <c r="U998" s="10"/>
      <c r="V998" s="10"/>
      <c r="W998" s="10"/>
      <c r="X998" s="10"/>
      <c r="Y998" s="10"/>
    </row>
    <row r="999" spans="1:25" x14ac:dyDescent="0.25">
      <c r="A999" s="9">
        <v>41537</v>
      </c>
      <c r="B999" s="10">
        <f ca="1">ROUND(_xlfn.NORM.INV(RAND(),Reference!$C$8,0.1*Reference!$C$8)*(1+Reference!$C$11*(IF(MONTH($A999)=Reference!$C$4,1,0)+IF(MONTH($A999)=Reference!$C$5,1,0))+(IF(MONTH($A999)=Reference!$C$6,Reference!$C$13,0))),0)</f>
        <v>386</v>
      </c>
      <c r="C999" s="11">
        <f ca="1">B999*Reference!$C$7*(1-IF(MONTH($A999)=Reference!$C$6,1,0)*Reference!$C$12)</f>
        <v>358980</v>
      </c>
      <c r="D999" s="10">
        <f ca="1">ROUND(_xlfn.NORM.INV(RAND(),Reference!$D$8,0.1*Reference!$D$8)*(1+Reference!$D$11*(IF(MONTH($A999)=Reference!$D$4,1,0)+IF(MONTH($A999)=Reference!$D$5,1,0))+(IF(MONTH($A999)=Reference!$D$6,Reference!$D$13,0))),0)</f>
        <v>503</v>
      </c>
      <c r="E999" s="11">
        <f ca="1">D999*Reference!$D$7*(1-IF(MONTH($A999)=Reference!$D$6,1,0)*Reference!$D$12)</f>
        <v>358387.5</v>
      </c>
      <c r="M999" s="20"/>
      <c r="N999" s="20"/>
      <c r="O999" s="19"/>
      <c r="P999" s="10"/>
      <c r="Q999" s="10"/>
      <c r="R999" s="10"/>
      <c r="S999" s="10"/>
      <c r="T999" s="10"/>
      <c r="U999" s="10"/>
      <c r="V999" s="10"/>
      <c r="W999" s="10"/>
      <c r="X999" s="10"/>
      <c r="Y999" s="10"/>
    </row>
    <row r="1000" spans="1:25" x14ac:dyDescent="0.25">
      <c r="A1000" s="9">
        <v>41538</v>
      </c>
      <c r="B1000" s="10">
        <f ca="1">ROUND(_xlfn.NORM.INV(RAND(),Reference!$C$8,0.1*Reference!$C$8)*(1+Reference!$C$11*(IF(MONTH($A1000)=Reference!$C$4,1,0)+IF(MONTH($A1000)=Reference!$C$5,1,0))+(IF(MONTH($A1000)=Reference!$C$6,Reference!$C$13,0))),0)</f>
        <v>283</v>
      </c>
      <c r="C1000" s="11">
        <f ca="1">B1000*Reference!$C$7*(1-IF(MONTH($A1000)=Reference!$C$6,1,0)*Reference!$C$12)</f>
        <v>263190</v>
      </c>
      <c r="D1000" s="10">
        <f ca="1">ROUND(_xlfn.NORM.INV(RAND(),Reference!$D$8,0.1*Reference!$D$8)*(1+Reference!$D$11*(IF(MONTH($A1000)=Reference!$D$4,1,0)+IF(MONTH($A1000)=Reference!$D$5,1,0))+(IF(MONTH($A1000)=Reference!$D$6,Reference!$D$13,0))),0)</f>
        <v>550</v>
      </c>
      <c r="E1000" s="11">
        <f ca="1">D1000*Reference!$D$7*(1-IF(MONTH($A1000)=Reference!$D$6,1,0)*Reference!$D$12)</f>
        <v>391875</v>
      </c>
      <c r="M1000" s="20"/>
      <c r="N1000" s="20"/>
      <c r="O1000" s="19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</row>
    <row r="1001" spans="1:25" x14ac:dyDescent="0.25">
      <c r="A1001" s="9">
        <v>41539</v>
      </c>
      <c r="B1001" s="10">
        <f ca="1">ROUND(_xlfn.NORM.INV(RAND(),Reference!$C$8,0.1*Reference!$C$8)*(1+Reference!$C$11*(IF(MONTH($A1001)=Reference!$C$4,1,0)+IF(MONTH($A1001)=Reference!$C$5,1,0))+(IF(MONTH($A1001)=Reference!$C$6,Reference!$C$13,0))),0)</f>
        <v>337</v>
      </c>
      <c r="C1001" s="11">
        <f ca="1">B1001*Reference!$C$7*(1-IF(MONTH($A1001)=Reference!$C$6,1,0)*Reference!$C$12)</f>
        <v>313410</v>
      </c>
      <c r="D1001" s="10">
        <f ca="1">ROUND(_xlfn.NORM.INV(RAND(),Reference!$D$8,0.1*Reference!$D$8)*(1+Reference!$D$11*(IF(MONTH($A1001)=Reference!$D$4,1,0)+IF(MONTH($A1001)=Reference!$D$5,1,0))+(IF(MONTH($A1001)=Reference!$D$6,Reference!$D$13,0))),0)</f>
        <v>553</v>
      </c>
      <c r="E1001" s="11">
        <f ca="1">D1001*Reference!$D$7*(1-IF(MONTH($A1001)=Reference!$D$6,1,0)*Reference!$D$12)</f>
        <v>394012.5</v>
      </c>
      <c r="M1001" s="20"/>
      <c r="N1001" s="20"/>
      <c r="O1001" s="19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</row>
    <row r="1002" spans="1:25" x14ac:dyDescent="0.25">
      <c r="A1002" s="9">
        <v>41540</v>
      </c>
      <c r="B1002" s="10">
        <f ca="1">ROUND(_xlfn.NORM.INV(RAND(),Reference!$C$8,0.1*Reference!$C$8)*(1+Reference!$C$11*(IF(MONTH($A1002)=Reference!$C$4,1,0)+IF(MONTH($A1002)=Reference!$C$5,1,0))+(IF(MONTH($A1002)=Reference!$C$6,Reference!$C$13,0))),0)</f>
        <v>299</v>
      </c>
      <c r="C1002" s="11">
        <f ca="1">B1002*Reference!$C$7*(1-IF(MONTH($A1002)=Reference!$C$6,1,0)*Reference!$C$12)</f>
        <v>278070</v>
      </c>
      <c r="D1002" s="10">
        <f ca="1">ROUND(_xlfn.NORM.INV(RAND(),Reference!$D$8,0.1*Reference!$D$8)*(1+Reference!$D$11*(IF(MONTH($A1002)=Reference!$D$4,1,0)+IF(MONTH($A1002)=Reference!$D$5,1,0))+(IF(MONTH($A1002)=Reference!$D$6,Reference!$D$13,0))),0)</f>
        <v>533</v>
      </c>
      <c r="E1002" s="11">
        <f ca="1">D1002*Reference!$D$7*(1-IF(MONTH($A1002)=Reference!$D$6,1,0)*Reference!$D$12)</f>
        <v>379762.5</v>
      </c>
      <c r="M1002" s="20"/>
      <c r="N1002" s="20"/>
      <c r="O1002" s="19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</row>
    <row r="1003" spans="1:25" x14ac:dyDescent="0.25">
      <c r="A1003" s="9">
        <v>41541</v>
      </c>
      <c r="B1003" s="10">
        <f ca="1">ROUND(_xlfn.NORM.INV(RAND(),Reference!$C$8,0.1*Reference!$C$8)*(1+Reference!$C$11*(IF(MONTH($A1003)=Reference!$C$4,1,0)+IF(MONTH($A1003)=Reference!$C$5,1,0))+(IF(MONTH($A1003)=Reference!$C$6,Reference!$C$13,0))),0)</f>
        <v>381</v>
      </c>
      <c r="C1003" s="11">
        <f ca="1">B1003*Reference!$C$7*(1-IF(MONTH($A1003)=Reference!$C$6,1,0)*Reference!$C$12)</f>
        <v>354330</v>
      </c>
      <c r="D1003" s="10">
        <f ca="1">ROUND(_xlfn.NORM.INV(RAND(),Reference!$D$8,0.1*Reference!$D$8)*(1+Reference!$D$11*(IF(MONTH($A1003)=Reference!$D$4,1,0)+IF(MONTH($A1003)=Reference!$D$5,1,0))+(IF(MONTH($A1003)=Reference!$D$6,Reference!$D$13,0))),0)</f>
        <v>515</v>
      </c>
      <c r="E1003" s="11">
        <f ca="1">D1003*Reference!$D$7*(1-IF(MONTH($A1003)=Reference!$D$6,1,0)*Reference!$D$12)</f>
        <v>366937.5</v>
      </c>
      <c r="M1003" s="20"/>
      <c r="N1003" s="20"/>
      <c r="O1003" s="19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</row>
    <row r="1004" spans="1:25" x14ac:dyDescent="0.25">
      <c r="A1004" s="9">
        <v>41542</v>
      </c>
      <c r="B1004" s="10">
        <f ca="1">ROUND(_xlfn.NORM.INV(RAND(),Reference!$C$8,0.1*Reference!$C$8)*(1+Reference!$C$11*(IF(MONTH($A1004)=Reference!$C$4,1,0)+IF(MONTH($A1004)=Reference!$C$5,1,0))+(IF(MONTH($A1004)=Reference!$C$6,Reference!$C$13,0))),0)</f>
        <v>377</v>
      </c>
      <c r="C1004" s="11">
        <f ca="1">B1004*Reference!$C$7*(1-IF(MONTH($A1004)=Reference!$C$6,1,0)*Reference!$C$12)</f>
        <v>350610</v>
      </c>
      <c r="D1004" s="10">
        <f ca="1">ROUND(_xlfn.NORM.INV(RAND(),Reference!$D$8,0.1*Reference!$D$8)*(1+Reference!$D$11*(IF(MONTH($A1004)=Reference!$D$4,1,0)+IF(MONTH($A1004)=Reference!$D$5,1,0))+(IF(MONTH($A1004)=Reference!$D$6,Reference!$D$13,0))),0)</f>
        <v>469</v>
      </c>
      <c r="E1004" s="11">
        <f ca="1">D1004*Reference!$D$7*(1-IF(MONTH($A1004)=Reference!$D$6,1,0)*Reference!$D$12)</f>
        <v>334162.5</v>
      </c>
      <c r="M1004" s="20"/>
      <c r="N1004" s="20"/>
      <c r="O1004" s="19"/>
      <c r="P1004" s="10"/>
      <c r="Q1004" s="10"/>
      <c r="R1004" s="10"/>
      <c r="S1004" s="10"/>
      <c r="T1004" s="10"/>
      <c r="U1004" s="10"/>
      <c r="V1004" s="10"/>
      <c r="W1004" s="10"/>
      <c r="X1004" s="10"/>
      <c r="Y1004" s="10"/>
    </row>
    <row r="1005" spans="1:25" x14ac:dyDescent="0.25">
      <c r="A1005" s="9">
        <v>41543</v>
      </c>
      <c r="B1005" s="10">
        <f ca="1">ROUND(_xlfn.NORM.INV(RAND(),Reference!$C$8,0.1*Reference!$C$8)*(1+Reference!$C$11*(IF(MONTH($A1005)=Reference!$C$4,1,0)+IF(MONTH($A1005)=Reference!$C$5,1,0))+(IF(MONTH($A1005)=Reference!$C$6,Reference!$C$13,0))),0)</f>
        <v>335</v>
      </c>
      <c r="C1005" s="11">
        <f ca="1">B1005*Reference!$C$7*(1-IF(MONTH($A1005)=Reference!$C$6,1,0)*Reference!$C$12)</f>
        <v>311550</v>
      </c>
      <c r="D1005" s="10">
        <f ca="1">ROUND(_xlfn.NORM.INV(RAND(),Reference!$D$8,0.1*Reference!$D$8)*(1+Reference!$D$11*(IF(MONTH($A1005)=Reference!$D$4,1,0)+IF(MONTH($A1005)=Reference!$D$5,1,0))+(IF(MONTH($A1005)=Reference!$D$6,Reference!$D$13,0))),0)</f>
        <v>510</v>
      </c>
      <c r="E1005" s="11">
        <f ca="1">D1005*Reference!$D$7*(1-IF(MONTH($A1005)=Reference!$D$6,1,0)*Reference!$D$12)</f>
        <v>363375</v>
      </c>
      <c r="M1005" s="20"/>
      <c r="N1005" s="20"/>
      <c r="O1005" s="19"/>
      <c r="P1005" s="10"/>
      <c r="Q1005" s="10"/>
      <c r="R1005" s="10"/>
      <c r="S1005" s="10"/>
      <c r="T1005" s="10"/>
      <c r="U1005" s="10"/>
      <c r="V1005" s="10"/>
      <c r="W1005" s="10"/>
      <c r="X1005" s="10"/>
      <c r="Y1005" s="10"/>
    </row>
    <row r="1006" spans="1:25" x14ac:dyDescent="0.25">
      <c r="A1006" s="9">
        <v>41544</v>
      </c>
      <c r="B1006" s="10">
        <f ca="1">ROUND(_xlfn.NORM.INV(RAND(),Reference!$C$8,0.1*Reference!$C$8)*(1+Reference!$C$11*(IF(MONTH($A1006)=Reference!$C$4,1,0)+IF(MONTH($A1006)=Reference!$C$5,1,0))+(IF(MONTH($A1006)=Reference!$C$6,Reference!$C$13,0))),0)</f>
        <v>360</v>
      </c>
      <c r="C1006" s="11">
        <f ca="1">B1006*Reference!$C$7*(1-IF(MONTH($A1006)=Reference!$C$6,1,0)*Reference!$C$12)</f>
        <v>334800</v>
      </c>
      <c r="D1006" s="10">
        <f ca="1">ROUND(_xlfn.NORM.INV(RAND(),Reference!$D$8,0.1*Reference!$D$8)*(1+Reference!$D$11*(IF(MONTH($A1006)=Reference!$D$4,1,0)+IF(MONTH($A1006)=Reference!$D$5,1,0))+(IF(MONTH($A1006)=Reference!$D$6,Reference!$D$13,0))),0)</f>
        <v>469</v>
      </c>
      <c r="E1006" s="11">
        <f ca="1">D1006*Reference!$D$7*(1-IF(MONTH($A1006)=Reference!$D$6,1,0)*Reference!$D$12)</f>
        <v>334162.5</v>
      </c>
      <c r="M1006" s="20"/>
      <c r="N1006" s="20"/>
      <c r="O1006" s="19"/>
      <c r="P1006" s="10"/>
      <c r="Q1006" s="10"/>
      <c r="R1006" s="10"/>
      <c r="S1006" s="10"/>
      <c r="T1006" s="10"/>
      <c r="U1006" s="10"/>
      <c r="V1006" s="10"/>
      <c r="W1006" s="10"/>
      <c r="X1006" s="10"/>
      <c r="Y1006" s="10"/>
    </row>
    <row r="1007" spans="1:25" x14ac:dyDescent="0.25">
      <c r="A1007" s="9">
        <v>41545</v>
      </c>
      <c r="B1007" s="10">
        <f ca="1">ROUND(_xlfn.NORM.INV(RAND(),Reference!$C$8,0.1*Reference!$C$8)*(1+Reference!$C$11*(IF(MONTH($A1007)=Reference!$C$4,1,0)+IF(MONTH($A1007)=Reference!$C$5,1,0))+(IF(MONTH($A1007)=Reference!$C$6,Reference!$C$13,0))),0)</f>
        <v>416</v>
      </c>
      <c r="C1007" s="11">
        <f ca="1">B1007*Reference!$C$7*(1-IF(MONTH($A1007)=Reference!$C$6,1,0)*Reference!$C$12)</f>
        <v>386880</v>
      </c>
      <c r="D1007" s="10">
        <f ca="1">ROUND(_xlfn.NORM.INV(RAND(),Reference!$D$8,0.1*Reference!$D$8)*(1+Reference!$D$11*(IF(MONTH($A1007)=Reference!$D$4,1,0)+IF(MONTH($A1007)=Reference!$D$5,1,0))+(IF(MONTH($A1007)=Reference!$D$6,Reference!$D$13,0))),0)</f>
        <v>511</v>
      </c>
      <c r="E1007" s="11">
        <f ca="1">D1007*Reference!$D$7*(1-IF(MONTH($A1007)=Reference!$D$6,1,0)*Reference!$D$12)</f>
        <v>364087.5</v>
      </c>
      <c r="M1007" s="20"/>
      <c r="N1007" s="20"/>
      <c r="O1007" s="19"/>
      <c r="P1007" s="10"/>
      <c r="Q1007" s="10"/>
      <c r="R1007" s="10"/>
      <c r="S1007" s="10"/>
      <c r="T1007" s="10"/>
      <c r="U1007" s="10"/>
      <c r="V1007" s="10"/>
      <c r="W1007" s="10"/>
      <c r="X1007" s="10"/>
      <c r="Y1007" s="10"/>
    </row>
    <row r="1008" spans="1:25" x14ac:dyDescent="0.25">
      <c r="A1008" s="9">
        <v>41546</v>
      </c>
      <c r="B1008" s="10">
        <f ca="1">ROUND(_xlfn.NORM.INV(RAND(),Reference!$C$8,0.1*Reference!$C$8)*(1+Reference!$C$11*(IF(MONTH($A1008)=Reference!$C$4,1,0)+IF(MONTH($A1008)=Reference!$C$5,1,0))+(IF(MONTH($A1008)=Reference!$C$6,Reference!$C$13,0))),0)</f>
        <v>359</v>
      </c>
      <c r="C1008" s="11">
        <f ca="1">B1008*Reference!$C$7*(1-IF(MONTH($A1008)=Reference!$C$6,1,0)*Reference!$C$12)</f>
        <v>333870</v>
      </c>
      <c r="D1008" s="10">
        <f ca="1">ROUND(_xlfn.NORM.INV(RAND(),Reference!$D$8,0.1*Reference!$D$8)*(1+Reference!$D$11*(IF(MONTH($A1008)=Reference!$D$4,1,0)+IF(MONTH($A1008)=Reference!$D$5,1,0))+(IF(MONTH($A1008)=Reference!$D$6,Reference!$D$13,0))),0)</f>
        <v>476</v>
      </c>
      <c r="E1008" s="11">
        <f ca="1">D1008*Reference!$D$7*(1-IF(MONTH($A1008)=Reference!$D$6,1,0)*Reference!$D$12)</f>
        <v>339150</v>
      </c>
      <c r="M1008" s="20"/>
      <c r="N1008" s="20"/>
      <c r="O1008" s="19"/>
      <c r="P1008" s="10"/>
      <c r="Q1008" s="10"/>
      <c r="R1008" s="10"/>
      <c r="S1008" s="10"/>
      <c r="T1008" s="10"/>
      <c r="U1008" s="10"/>
      <c r="V1008" s="10"/>
      <c r="W1008" s="10"/>
      <c r="X1008" s="10"/>
      <c r="Y1008" s="10"/>
    </row>
    <row r="1009" spans="1:25" x14ac:dyDescent="0.25">
      <c r="A1009" s="9">
        <v>41547</v>
      </c>
      <c r="B1009" s="10">
        <f ca="1">ROUND(_xlfn.NORM.INV(RAND(),Reference!$C$8,0.1*Reference!$C$8)*(1+Reference!$C$11*(IF(MONTH($A1009)=Reference!$C$4,1,0)+IF(MONTH($A1009)=Reference!$C$5,1,0))+(IF(MONTH($A1009)=Reference!$C$6,Reference!$C$13,0))),0)</f>
        <v>309</v>
      </c>
      <c r="C1009" s="11">
        <f ca="1">B1009*Reference!$C$7*(1-IF(MONTH($A1009)=Reference!$C$6,1,0)*Reference!$C$12)</f>
        <v>287370</v>
      </c>
      <c r="D1009" s="10">
        <f ca="1">ROUND(_xlfn.NORM.INV(RAND(),Reference!$D$8,0.1*Reference!$D$8)*(1+Reference!$D$11*(IF(MONTH($A1009)=Reference!$D$4,1,0)+IF(MONTH($A1009)=Reference!$D$5,1,0))+(IF(MONTH($A1009)=Reference!$D$6,Reference!$D$13,0))),0)</f>
        <v>490</v>
      </c>
      <c r="E1009" s="11">
        <f ca="1">D1009*Reference!$D$7*(1-IF(MONTH($A1009)=Reference!$D$6,1,0)*Reference!$D$12)</f>
        <v>349125</v>
      </c>
      <c r="M1009" s="20"/>
      <c r="N1009" s="20"/>
      <c r="O1009" s="19"/>
      <c r="P1009" s="10"/>
      <c r="Q1009" s="10"/>
      <c r="R1009" s="10"/>
      <c r="S1009" s="10"/>
      <c r="T1009" s="10"/>
      <c r="U1009" s="10"/>
      <c r="V1009" s="10"/>
      <c r="W1009" s="10"/>
      <c r="X1009" s="10"/>
      <c r="Y1009" s="10"/>
    </row>
    <row r="1010" spans="1:25" x14ac:dyDescent="0.25">
      <c r="A1010" s="9">
        <v>41548</v>
      </c>
      <c r="B1010" s="10">
        <f ca="1">ROUND(_xlfn.NORM.INV(RAND(),Reference!$C$8,0.1*Reference!$C$8)*(1+Reference!$C$11*(IF(MONTH($A1010)=Reference!$C$4,1,0)+IF(MONTH($A1010)=Reference!$C$5,1,0))+(IF(MONTH($A1010)=Reference!$C$6,Reference!$C$13,0))),0)</f>
        <v>357</v>
      </c>
      <c r="C1010" s="11">
        <f ca="1">B1010*Reference!$C$7*(1-IF(MONTH($A1010)=Reference!$C$6,1,0)*Reference!$C$12)</f>
        <v>332010</v>
      </c>
      <c r="D1010" s="10">
        <f ca="1">ROUND(_xlfn.NORM.INV(RAND(),Reference!$D$8,0.1*Reference!$D$8)*(1+Reference!$D$11*(IF(MONTH($A1010)=Reference!$D$4,1,0)+IF(MONTH($A1010)=Reference!$D$5,1,0))+(IF(MONTH($A1010)=Reference!$D$6,Reference!$D$13,0))),0)</f>
        <v>465</v>
      </c>
      <c r="E1010" s="11">
        <f ca="1">D1010*Reference!$D$7*(1-IF(MONTH($A1010)=Reference!$D$6,1,0)*Reference!$D$12)</f>
        <v>348750</v>
      </c>
      <c r="M1010" s="20"/>
      <c r="N1010" s="20"/>
      <c r="O1010" s="19"/>
      <c r="P1010" s="10"/>
      <c r="Q1010" s="10"/>
      <c r="R1010" s="10"/>
      <c r="S1010" s="10"/>
      <c r="T1010" s="10"/>
      <c r="U1010" s="10"/>
      <c r="V1010" s="10"/>
      <c r="W1010" s="10"/>
      <c r="X1010" s="10"/>
      <c r="Y1010" s="10"/>
    </row>
    <row r="1011" spans="1:25" x14ac:dyDescent="0.25">
      <c r="A1011" s="9">
        <v>41549</v>
      </c>
      <c r="B1011" s="10">
        <f ca="1">ROUND(_xlfn.NORM.INV(RAND(),Reference!$C$8,0.1*Reference!$C$8)*(1+Reference!$C$11*(IF(MONTH($A1011)=Reference!$C$4,1,0)+IF(MONTH($A1011)=Reference!$C$5,1,0))+(IF(MONTH($A1011)=Reference!$C$6,Reference!$C$13,0))),0)</f>
        <v>337</v>
      </c>
      <c r="C1011" s="11">
        <f ca="1">B1011*Reference!$C$7*(1-IF(MONTH($A1011)=Reference!$C$6,1,0)*Reference!$C$12)</f>
        <v>313410</v>
      </c>
      <c r="D1011" s="10">
        <f ca="1">ROUND(_xlfn.NORM.INV(RAND(),Reference!$D$8,0.1*Reference!$D$8)*(1+Reference!$D$11*(IF(MONTH($A1011)=Reference!$D$4,1,0)+IF(MONTH($A1011)=Reference!$D$5,1,0))+(IF(MONTH($A1011)=Reference!$D$6,Reference!$D$13,0))),0)</f>
        <v>444</v>
      </c>
      <c r="E1011" s="11">
        <f ca="1">D1011*Reference!$D$7*(1-IF(MONTH($A1011)=Reference!$D$6,1,0)*Reference!$D$12)</f>
        <v>333000</v>
      </c>
      <c r="M1011" s="20"/>
      <c r="N1011" s="20"/>
      <c r="O1011" s="19"/>
      <c r="P1011" s="10"/>
      <c r="Q1011" s="10"/>
      <c r="R1011" s="10"/>
      <c r="S1011" s="10"/>
      <c r="T1011" s="10"/>
      <c r="U1011" s="10"/>
      <c r="V1011" s="10"/>
      <c r="W1011" s="10"/>
      <c r="X1011" s="10"/>
      <c r="Y1011" s="10"/>
    </row>
    <row r="1012" spans="1:25" x14ac:dyDescent="0.25">
      <c r="A1012" s="9">
        <v>41550</v>
      </c>
      <c r="B1012" s="10">
        <f ca="1">ROUND(_xlfn.NORM.INV(RAND(),Reference!$C$8,0.1*Reference!$C$8)*(1+Reference!$C$11*(IF(MONTH($A1012)=Reference!$C$4,1,0)+IF(MONTH($A1012)=Reference!$C$5,1,0))+(IF(MONTH($A1012)=Reference!$C$6,Reference!$C$13,0))),0)</f>
        <v>358</v>
      </c>
      <c r="C1012" s="11">
        <f ca="1">B1012*Reference!$C$7*(1-IF(MONTH($A1012)=Reference!$C$6,1,0)*Reference!$C$12)</f>
        <v>332940</v>
      </c>
      <c r="D1012" s="10">
        <f ca="1">ROUND(_xlfn.NORM.INV(RAND(),Reference!$D$8,0.1*Reference!$D$8)*(1+Reference!$D$11*(IF(MONTH($A1012)=Reference!$D$4,1,0)+IF(MONTH($A1012)=Reference!$D$5,1,0))+(IF(MONTH($A1012)=Reference!$D$6,Reference!$D$13,0))),0)</f>
        <v>380</v>
      </c>
      <c r="E1012" s="11">
        <f ca="1">D1012*Reference!$D$7*(1-IF(MONTH($A1012)=Reference!$D$6,1,0)*Reference!$D$12)</f>
        <v>285000</v>
      </c>
      <c r="M1012" s="20"/>
      <c r="N1012" s="20"/>
      <c r="O1012" s="19"/>
      <c r="P1012" s="10"/>
      <c r="Q1012" s="10"/>
      <c r="R1012" s="10"/>
      <c r="S1012" s="10"/>
      <c r="T1012" s="10"/>
      <c r="U1012" s="10"/>
      <c r="V1012" s="10"/>
      <c r="W1012" s="10"/>
      <c r="X1012" s="10"/>
      <c r="Y1012" s="10"/>
    </row>
    <row r="1013" spans="1:25" x14ac:dyDescent="0.25">
      <c r="A1013" s="9">
        <v>41551</v>
      </c>
      <c r="B1013" s="10">
        <f ca="1">ROUND(_xlfn.NORM.INV(RAND(),Reference!$C$8,0.1*Reference!$C$8)*(1+Reference!$C$11*(IF(MONTH($A1013)=Reference!$C$4,1,0)+IF(MONTH($A1013)=Reference!$C$5,1,0))+(IF(MONTH($A1013)=Reference!$C$6,Reference!$C$13,0))),0)</f>
        <v>425</v>
      </c>
      <c r="C1013" s="11">
        <f ca="1">B1013*Reference!$C$7*(1-IF(MONTH($A1013)=Reference!$C$6,1,0)*Reference!$C$12)</f>
        <v>395250</v>
      </c>
      <c r="D1013" s="10">
        <f ca="1">ROUND(_xlfn.NORM.INV(RAND(),Reference!$D$8,0.1*Reference!$D$8)*(1+Reference!$D$11*(IF(MONTH($A1013)=Reference!$D$4,1,0)+IF(MONTH($A1013)=Reference!$D$5,1,0))+(IF(MONTH($A1013)=Reference!$D$6,Reference!$D$13,0))),0)</f>
        <v>395</v>
      </c>
      <c r="E1013" s="11">
        <f ca="1">D1013*Reference!$D$7*(1-IF(MONTH($A1013)=Reference!$D$6,1,0)*Reference!$D$12)</f>
        <v>296250</v>
      </c>
      <c r="M1013" s="20"/>
      <c r="N1013" s="20"/>
      <c r="O1013" s="19"/>
      <c r="P1013" s="10"/>
      <c r="Q1013" s="10"/>
      <c r="R1013" s="10"/>
      <c r="S1013" s="10"/>
      <c r="T1013" s="10"/>
      <c r="U1013" s="10"/>
      <c r="V1013" s="10"/>
      <c r="W1013" s="10"/>
      <c r="X1013" s="10"/>
      <c r="Y1013" s="10"/>
    </row>
    <row r="1014" spans="1:25" x14ac:dyDescent="0.25">
      <c r="A1014" s="9">
        <v>41552</v>
      </c>
      <c r="B1014" s="10">
        <f ca="1">ROUND(_xlfn.NORM.INV(RAND(),Reference!$C$8,0.1*Reference!$C$8)*(1+Reference!$C$11*(IF(MONTH($A1014)=Reference!$C$4,1,0)+IF(MONTH($A1014)=Reference!$C$5,1,0))+(IF(MONTH($A1014)=Reference!$C$6,Reference!$C$13,0))),0)</f>
        <v>383</v>
      </c>
      <c r="C1014" s="11">
        <f ca="1">B1014*Reference!$C$7*(1-IF(MONTH($A1014)=Reference!$C$6,1,0)*Reference!$C$12)</f>
        <v>356190</v>
      </c>
      <c r="D1014" s="10">
        <f ca="1">ROUND(_xlfn.NORM.INV(RAND(),Reference!$D$8,0.1*Reference!$D$8)*(1+Reference!$D$11*(IF(MONTH($A1014)=Reference!$D$4,1,0)+IF(MONTH($A1014)=Reference!$D$5,1,0))+(IF(MONTH($A1014)=Reference!$D$6,Reference!$D$13,0))),0)</f>
        <v>479</v>
      </c>
      <c r="E1014" s="11">
        <f ca="1">D1014*Reference!$D$7*(1-IF(MONTH($A1014)=Reference!$D$6,1,0)*Reference!$D$12)</f>
        <v>359250</v>
      </c>
      <c r="M1014" s="20"/>
      <c r="N1014" s="20"/>
      <c r="O1014" s="19"/>
      <c r="P1014" s="10"/>
      <c r="Q1014" s="10"/>
      <c r="R1014" s="10"/>
      <c r="S1014" s="10"/>
      <c r="T1014" s="10"/>
      <c r="U1014" s="10"/>
      <c r="V1014" s="10"/>
      <c r="W1014" s="10"/>
      <c r="X1014" s="10"/>
      <c r="Y1014" s="10"/>
    </row>
    <row r="1015" spans="1:25" x14ac:dyDescent="0.25">
      <c r="A1015" s="9">
        <v>41553</v>
      </c>
      <c r="B1015" s="10">
        <f ca="1">ROUND(_xlfn.NORM.INV(RAND(),Reference!$C$8,0.1*Reference!$C$8)*(1+Reference!$C$11*(IF(MONTH($A1015)=Reference!$C$4,1,0)+IF(MONTH($A1015)=Reference!$C$5,1,0))+(IF(MONTH($A1015)=Reference!$C$6,Reference!$C$13,0))),0)</f>
        <v>345</v>
      </c>
      <c r="C1015" s="11">
        <f ca="1">B1015*Reference!$C$7*(1-IF(MONTH($A1015)=Reference!$C$6,1,0)*Reference!$C$12)</f>
        <v>320850</v>
      </c>
      <c r="D1015" s="10">
        <f ca="1">ROUND(_xlfn.NORM.INV(RAND(),Reference!$D$8,0.1*Reference!$D$8)*(1+Reference!$D$11*(IF(MONTH($A1015)=Reference!$D$4,1,0)+IF(MONTH($A1015)=Reference!$D$5,1,0))+(IF(MONTH($A1015)=Reference!$D$6,Reference!$D$13,0))),0)</f>
        <v>496</v>
      </c>
      <c r="E1015" s="11">
        <f ca="1">D1015*Reference!$D$7*(1-IF(MONTH($A1015)=Reference!$D$6,1,0)*Reference!$D$12)</f>
        <v>372000</v>
      </c>
      <c r="M1015" s="20"/>
      <c r="N1015" s="20"/>
      <c r="O1015" s="19"/>
      <c r="P1015" s="10"/>
      <c r="Q1015" s="10"/>
      <c r="R1015" s="10"/>
      <c r="S1015" s="10"/>
      <c r="T1015" s="10"/>
      <c r="U1015" s="10"/>
      <c r="V1015" s="10"/>
      <c r="W1015" s="10"/>
      <c r="X1015" s="10"/>
      <c r="Y1015" s="10"/>
    </row>
    <row r="1016" spans="1:25" x14ac:dyDescent="0.25">
      <c r="A1016" s="9">
        <v>41554</v>
      </c>
      <c r="B1016" s="10">
        <f ca="1">ROUND(_xlfn.NORM.INV(RAND(),Reference!$C$8,0.1*Reference!$C$8)*(1+Reference!$C$11*(IF(MONTH($A1016)=Reference!$C$4,1,0)+IF(MONTH($A1016)=Reference!$C$5,1,0))+(IF(MONTH($A1016)=Reference!$C$6,Reference!$C$13,0))),0)</f>
        <v>353</v>
      </c>
      <c r="C1016" s="11">
        <f ca="1">B1016*Reference!$C$7*(1-IF(MONTH($A1016)=Reference!$C$6,1,0)*Reference!$C$12)</f>
        <v>328290</v>
      </c>
      <c r="D1016" s="10">
        <f ca="1">ROUND(_xlfn.NORM.INV(RAND(),Reference!$D$8,0.1*Reference!$D$8)*(1+Reference!$D$11*(IF(MONTH($A1016)=Reference!$D$4,1,0)+IF(MONTH($A1016)=Reference!$D$5,1,0))+(IF(MONTH($A1016)=Reference!$D$6,Reference!$D$13,0))),0)</f>
        <v>514</v>
      </c>
      <c r="E1016" s="11">
        <f ca="1">D1016*Reference!$D$7*(1-IF(MONTH($A1016)=Reference!$D$6,1,0)*Reference!$D$12)</f>
        <v>385500</v>
      </c>
      <c r="M1016" s="20"/>
      <c r="N1016" s="20"/>
      <c r="O1016" s="19"/>
      <c r="P1016" s="10"/>
      <c r="Q1016" s="10"/>
      <c r="R1016" s="10"/>
      <c r="S1016" s="10"/>
      <c r="T1016" s="10"/>
      <c r="U1016" s="10"/>
      <c r="V1016" s="10"/>
      <c r="W1016" s="10"/>
      <c r="X1016" s="10"/>
      <c r="Y1016" s="10"/>
    </row>
    <row r="1017" spans="1:25" x14ac:dyDescent="0.25">
      <c r="A1017" s="9">
        <v>41555</v>
      </c>
      <c r="B1017" s="10">
        <f ca="1">ROUND(_xlfn.NORM.INV(RAND(),Reference!$C$8,0.1*Reference!$C$8)*(1+Reference!$C$11*(IF(MONTH($A1017)=Reference!$C$4,1,0)+IF(MONTH($A1017)=Reference!$C$5,1,0))+(IF(MONTH($A1017)=Reference!$C$6,Reference!$C$13,0))),0)</f>
        <v>365</v>
      </c>
      <c r="C1017" s="11">
        <f ca="1">B1017*Reference!$C$7*(1-IF(MONTH($A1017)=Reference!$C$6,1,0)*Reference!$C$12)</f>
        <v>339450</v>
      </c>
      <c r="D1017" s="10">
        <f ca="1">ROUND(_xlfn.NORM.INV(RAND(),Reference!$D$8,0.1*Reference!$D$8)*(1+Reference!$D$11*(IF(MONTH($A1017)=Reference!$D$4,1,0)+IF(MONTH($A1017)=Reference!$D$5,1,0))+(IF(MONTH($A1017)=Reference!$D$6,Reference!$D$13,0))),0)</f>
        <v>357</v>
      </c>
      <c r="E1017" s="11">
        <f ca="1">D1017*Reference!$D$7*(1-IF(MONTH($A1017)=Reference!$D$6,1,0)*Reference!$D$12)</f>
        <v>267750</v>
      </c>
      <c r="M1017" s="20"/>
      <c r="N1017" s="20"/>
      <c r="O1017" s="19"/>
      <c r="P1017" s="10"/>
      <c r="Q1017" s="10"/>
      <c r="R1017" s="10"/>
      <c r="S1017" s="10"/>
      <c r="T1017" s="10"/>
      <c r="U1017" s="10"/>
      <c r="V1017" s="10"/>
      <c r="W1017" s="10"/>
      <c r="X1017" s="10"/>
      <c r="Y1017" s="10"/>
    </row>
    <row r="1018" spans="1:25" x14ac:dyDescent="0.25">
      <c r="A1018" s="9">
        <v>41556</v>
      </c>
      <c r="B1018" s="10">
        <f ca="1">ROUND(_xlfn.NORM.INV(RAND(),Reference!$C$8,0.1*Reference!$C$8)*(1+Reference!$C$11*(IF(MONTH($A1018)=Reference!$C$4,1,0)+IF(MONTH($A1018)=Reference!$C$5,1,0))+(IF(MONTH($A1018)=Reference!$C$6,Reference!$C$13,0))),0)</f>
        <v>371</v>
      </c>
      <c r="C1018" s="11">
        <f ca="1">B1018*Reference!$C$7*(1-IF(MONTH($A1018)=Reference!$C$6,1,0)*Reference!$C$12)</f>
        <v>345030</v>
      </c>
      <c r="D1018" s="10">
        <f ca="1">ROUND(_xlfn.NORM.INV(RAND(),Reference!$D$8,0.1*Reference!$D$8)*(1+Reference!$D$11*(IF(MONTH($A1018)=Reference!$D$4,1,0)+IF(MONTH($A1018)=Reference!$D$5,1,0))+(IF(MONTH($A1018)=Reference!$D$6,Reference!$D$13,0))),0)</f>
        <v>427</v>
      </c>
      <c r="E1018" s="11">
        <f ca="1">D1018*Reference!$D$7*(1-IF(MONTH($A1018)=Reference!$D$6,1,0)*Reference!$D$12)</f>
        <v>320250</v>
      </c>
      <c r="M1018" s="20"/>
      <c r="N1018" s="20"/>
      <c r="O1018" s="19"/>
      <c r="P1018" s="10"/>
      <c r="Q1018" s="10"/>
      <c r="R1018" s="10"/>
      <c r="S1018" s="10"/>
      <c r="T1018" s="10"/>
      <c r="U1018" s="10"/>
      <c r="V1018" s="10"/>
      <c r="W1018" s="10"/>
      <c r="X1018" s="10"/>
      <c r="Y1018" s="10"/>
    </row>
    <row r="1019" spans="1:25" x14ac:dyDescent="0.25">
      <c r="A1019" s="9">
        <v>41557</v>
      </c>
      <c r="B1019" s="10">
        <f ca="1">ROUND(_xlfn.NORM.INV(RAND(),Reference!$C$8,0.1*Reference!$C$8)*(1+Reference!$C$11*(IF(MONTH($A1019)=Reference!$C$4,1,0)+IF(MONTH($A1019)=Reference!$C$5,1,0))+(IF(MONTH($A1019)=Reference!$C$6,Reference!$C$13,0))),0)</f>
        <v>283</v>
      </c>
      <c r="C1019" s="11">
        <f ca="1">B1019*Reference!$C$7*(1-IF(MONTH($A1019)=Reference!$C$6,1,0)*Reference!$C$12)</f>
        <v>263190</v>
      </c>
      <c r="D1019" s="10">
        <f ca="1">ROUND(_xlfn.NORM.INV(RAND(),Reference!$D$8,0.1*Reference!$D$8)*(1+Reference!$D$11*(IF(MONTH($A1019)=Reference!$D$4,1,0)+IF(MONTH($A1019)=Reference!$D$5,1,0))+(IF(MONTH($A1019)=Reference!$D$6,Reference!$D$13,0))),0)</f>
        <v>405</v>
      </c>
      <c r="E1019" s="11">
        <f ca="1">D1019*Reference!$D$7*(1-IF(MONTH($A1019)=Reference!$D$6,1,0)*Reference!$D$12)</f>
        <v>303750</v>
      </c>
      <c r="M1019" s="20"/>
      <c r="N1019" s="20"/>
      <c r="O1019" s="19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</row>
    <row r="1020" spans="1:25" x14ac:dyDescent="0.25">
      <c r="A1020" s="9">
        <v>41558</v>
      </c>
      <c r="B1020" s="10">
        <f ca="1">ROUND(_xlfn.NORM.INV(RAND(),Reference!$C$8,0.1*Reference!$C$8)*(1+Reference!$C$11*(IF(MONTH($A1020)=Reference!$C$4,1,0)+IF(MONTH($A1020)=Reference!$C$5,1,0))+(IF(MONTH($A1020)=Reference!$C$6,Reference!$C$13,0))),0)</f>
        <v>383</v>
      </c>
      <c r="C1020" s="11">
        <f ca="1">B1020*Reference!$C$7*(1-IF(MONTH($A1020)=Reference!$C$6,1,0)*Reference!$C$12)</f>
        <v>356190</v>
      </c>
      <c r="D1020" s="10">
        <f ca="1">ROUND(_xlfn.NORM.INV(RAND(),Reference!$D$8,0.1*Reference!$D$8)*(1+Reference!$D$11*(IF(MONTH($A1020)=Reference!$D$4,1,0)+IF(MONTH($A1020)=Reference!$D$5,1,0))+(IF(MONTH($A1020)=Reference!$D$6,Reference!$D$13,0))),0)</f>
        <v>485</v>
      </c>
      <c r="E1020" s="11">
        <f ca="1">D1020*Reference!$D$7*(1-IF(MONTH($A1020)=Reference!$D$6,1,0)*Reference!$D$12)</f>
        <v>363750</v>
      </c>
      <c r="M1020" s="20"/>
      <c r="N1020" s="20"/>
      <c r="O1020" s="19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</row>
    <row r="1021" spans="1:25" x14ac:dyDescent="0.25">
      <c r="A1021" s="9">
        <v>41559</v>
      </c>
      <c r="B1021" s="10">
        <f ca="1">ROUND(_xlfn.NORM.INV(RAND(),Reference!$C$8,0.1*Reference!$C$8)*(1+Reference!$C$11*(IF(MONTH($A1021)=Reference!$C$4,1,0)+IF(MONTH($A1021)=Reference!$C$5,1,0))+(IF(MONTH($A1021)=Reference!$C$6,Reference!$C$13,0))),0)</f>
        <v>353</v>
      </c>
      <c r="C1021" s="11">
        <f ca="1">B1021*Reference!$C$7*(1-IF(MONTH($A1021)=Reference!$C$6,1,0)*Reference!$C$12)</f>
        <v>328290</v>
      </c>
      <c r="D1021" s="10">
        <f ca="1">ROUND(_xlfn.NORM.INV(RAND(),Reference!$D$8,0.1*Reference!$D$8)*(1+Reference!$D$11*(IF(MONTH($A1021)=Reference!$D$4,1,0)+IF(MONTH($A1021)=Reference!$D$5,1,0))+(IF(MONTH($A1021)=Reference!$D$6,Reference!$D$13,0))),0)</f>
        <v>405</v>
      </c>
      <c r="E1021" s="11">
        <f ca="1">D1021*Reference!$D$7*(1-IF(MONTH($A1021)=Reference!$D$6,1,0)*Reference!$D$12)</f>
        <v>303750</v>
      </c>
      <c r="M1021" s="20"/>
      <c r="N1021" s="20"/>
      <c r="O1021" s="19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</row>
    <row r="1022" spans="1:25" x14ac:dyDescent="0.25">
      <c r="A1022" s="9">
        <v>41560</v>
      </c>
      <c r="B1022" s="10">
        <f ca="1">ROUND(_xlfn.NORM.INV(RAND(),Reference!$C$8,0.1*Reference!$C$8)*(1+Reference!$C$11*(IF(MONTH($A1022)=Reference!$C$4,1,0)+IF(MONTH($A1022)=Reference!$C$5,1,0))+(IF(MONTH($A1022)=Reference!$C$6,Reference!$C$13,0))),0)</f>
        <v>322</v>
      </c>
      <c r="C1022" s="11">
        <f ca="1">B1022*Reference!$C$7*(1-IF(MONTH($A1022)=Reference!$C$6,1,0)*Reference!$C$12)</f>
        <v>299460</v>
      </c>
      <c r="D1022" s="10">
        <f ca="1">ROUND(_xlfn.NORM.INV(RAND(),Reference!$D$8,0.1*Reference!$D$8)*(1+Reference!$D$11*(IF(MONTH($A1022)=Reference!$D$4,1,0)+IF(MONTH($A1022)=Reference!$D$5,1,0))+(IF(MONTH($A1022)=Reference!$D$6,Reference!$D$13,0))),0)</f>
        <v>474</v>
      </c>
      <c r="E1022" s="11">
        <f ca="1">D1022*Reference!$D$7*(1-IF(MONTH($A1022)=Reference!$D$6,1,0)*Reference!$D$12)</f>
        <v>355500</v>
      </c>
      <c r="M1022" s="20"/>
      <c r="N1022" s="20"/>
      <c r="O1022" s="19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</row>
    <row r="1023" spans="1:25" x14ac:dyDescent="0.25">
      <c r="A1023" s="9">
        <v>41561</v>
      </c>
      <c r="B1023" s="10">
        <f ca="1">ROUND(_xlfn.NORM.INV(RAND(),Reference!$C$8,0.1*Reference!$C$8)*(1+Reference!$C$11*(IF(MONTH($A1023)=Reference!$C$4,1,0)+IF(MONTH($A1023)=Reference!$C$5,1,0))+(IF(MONTH($A1023)=Reference!$C$6,Reference!$C$13,0))),0)</f>
        <v>329</v>
      </c>
      <c r="C1023" s="11">
        <f ca="1">B1023*Reference!$C$7*(1-IF(MONTH($A1023)=Reference!$C$6,1,0)*Reference!$C$12)</f>
        <v>305970</v>
      </c>
      <c r="D1023" s="10">
        <f ca="1">ROUND(_xlfn.NORM.INV(RAND(),Reference!$D$8,0.1*Reference!$D$8)*(1+Reference!$D$11*(IF(MONTH($A1023)=Reference!$D$4,1,0)+IF(MONTH($A1023)=Reference!$D$5,1,0))+(IF(MONTH($A1023)=Reference!$D$6,Reference!$D$13,0))),0)</f>
        <v>350</v>
      </c>
      <c r="E1023" s="11">
        <f ca="1">D1023*Reference!$D$7*(1-IF(MONTH($A1023)=Reference!$D$6,1,0)*Reference!$D$12)</f>
        <v>262500</v>
      </c>
      <c r="M1023" s="20"/>
      <c r="N1023" s="20"/>
      <c r="O1023" s="19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</row>
    <row r="1024" spans="1:25" x14ac:dyDescent="0.25">
      <c r="A1024" s="9">
        <v>41562</v>
      </c>
      <c r="B1024" s="10">
        <f ca="1">ROUND(_xlfn.NORM.INV(RAND(),Reference!$C$8,0.1*Reference!$C$8)*(1+Reference!$C$11*(IF(MONTH($A1024)=Reference!$C$4,1,0)+IF(MONTH($A1024)=Reference!$C$5,1,0))+(IF(MONTH($A1024)=Reference!$C$6,Reference!$C$13,0))),0)</f>
        <v>389</v>
      </c>
      <c r="C1024" s="11">
        <f ca="1">B1024*Reference!$C$7*(1-IF(MONTH($A1024)=Reference!$C$6,1,0)*Reference!$C$12)</f>
        <v>361770</v>
      </c>
      <c r="D1024" s="10">
        <f ca="1">ROUND(_xlfn.NORM.INV(RAND(),Reference!$D$8,0.1*Reference!$D$8)*(1+Reference!$D$11*(IF(MONTH($A1024)=Reference!$D$4,1,0)+IF(MONTH($A1024)=Reference!$D$5,1,0))+(IF(MONTH($A1024)=Reference!$D$6,Reference!$D$13,0))),0)</f>
        <v>433</v>
      </c>
      <c r="E1024" s="11">
        <f ca="1">D1024*Reference!$D$7*(1-IF(MONTH($A1024)=Reference!$D$6,1,0)*Reference!$D$12)</f>
        <v>324750</v>
      </c>
      <c r="M1024" s="20"/>
      <c r="N1024" s="20"/>
      <c r="O1024" s="19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</row>
    <row r="1025" spans="1:25" x14ac:dyDescent="0.25">
      <c r="A1025" s="9">
        <v>41563</v>
      </c>
      <c r="B1025" s="10">
        <f ca="1">ROUND(_xlfn.NORM.INV(RAND(),Reference!$C$8,0.1*Reference!$C$8)*(1+Reference!$C$11*(IF(MONTH($A1025)=Reference!$C$4,1,0)+IF(MONTH($A1025)=Reference!$C$5,1,0))+(IF(MONTH($A1025)=Reference!$C$6,Reference!$C$13,0))),0)</f>
        <v>383</v>
      </c>
      <c r="C1025" s="11">
        <f ca="1">B1025*Reference!$C$7*(1-IF(MONTH($A1025)=Reference!$C$6,1,0)*Reference!$C$12)</f>
        <v>356190</v>
      </c>
      <c r="D1025" s="10">
        <f ca="1">ROUND(_xlfn.NORM.INV(RAND(),Reference!$D$8,0.1*Reference!$D$8)*(1+Reference!$D$11*(IF(MONTH($A1025)=Reference!$D$4,1,0)+IF(MONTH($A1025)=Reference!$D$5,1,0))+(IF(MONTH($A1025)=Reference!$D$6,Reference!$D$13,0))),0)</f>
        <v>446</v>
      </c>
      <c r="E1025" s="11">
        <f ca="1">D1025*Reference!$D$7*(1-IF(MONTH($A1025)=Reference!$D$6,1,0)*Reference!$D$12)</f>
        <v>334500</v>
      </c>
      <c r="M1025" s="20"/>
      <c r="N1025" s="20"/>
      <c r="O1025" s="19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</row>
    <row r="1026" spans="1:25" x14ac:dyDescent="0.25">
      <c r="A1026" s="9">
        <v>41564</v>
      </c>
      <c r="B1026" s="10">
        <f ca="1">ROUND(_xlfn.NORM.INV(RAND(),Reference!$C$8,0.1*Reference!$C$8)*(1+Reference!$C$11*(IF(MONTH($A1026)=Reference!$C$4,1,0)+IF(MONTH($A1026)=Reference!$C$5,1,0))+(IF(MONTH($A1026)=Reference!$C$6,Reference!$C$13,0))),0)</f>
        <v>374</v>
      </c>
      <c r="C1026" s="11">
        <f ca="1">B1026*Reference!$C$7*(1-IF(MONTH($A1026)=Reference!$C$6,1,0)*Reference!$C$12)</f>
        <v>347820</v>
      </c>
      <c r="D1026" s="10">
        <f ca="1">ROUND(_xlfn.NORM.INV(RAND(),Reference!$D$8,0.1*Reference!$D$8)*(1+Reference!$D$11*(IF(MONTH($A1026)=Reference!$D$4,1,0)+IF(MONTH($A1026)=Reference!$D$5,1,0))+(IF(MONTH($A1026)=Reference!$D$6,Reference!$D$13,0))),0)</f>
        <v>451</v>
      </c>
      <c r="E1026" s="11">
        <f ca="1">D1026*Reference!$D$7*(1-IF(MONTH($A1026)=Reference!$D$6,1,0)*Reference!$D$12)</f>
        <v>338250</v>
      </c>
      <c r="M1026" s="20"/>
      <c r="N1026" s="20"/>
      <c r="O1026" s="19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</row>
    <row r="1027" spans="1:25" x14ac:dyDescent="0.25">
      <c r="A1027" s="9">
        <v>41565</v>
      </c>
      <c r="B1027" s="10">
        <f ca="1">ROUND(_xlfn.NORM.INV(RAND(),Reference!$C$8,0.1*Reference!$C$8)*(1+Reference!$C$11*(IF(MONTH($A1027)=Reference!$C$4,1,0)+IF(MONTH($A1027)=Reference!$C$5,1,0))+(IF(MONTH($A1027)=Reference!$C$6,Reference!$C$13,0))),0)</f>
        <v>388</v>
      </c>
      <c r="C1027" s="11">
        <f ca="1">B1027*Reference!$C$7*(1-IF(MONTH($A1027)=Reference!$C$6,1,0)*Reference!$C$12)</f>
        <v>360840</v>
      </c>
      <c r="D1027" s="10">
        <f ca="1">ROUND(_xlfn.NORM.INV(RAND(),Reference!$D$8,0.1*Reference!$D$8)*(1+Reference!$D$11*(IF(MONTH($A1027)=Reference!$D$4,1,0)+IF(MONTH($A1027)=Reference!$D$5,1,0))+(IF(MONTH($A1027)=Reference!$D$6,Reference!$D$13,0))),0)</f>
        <v>457</v>
      </c>
      <c r="E1027" s="11">
        <f ca="1">D1027*Reference!$D$7*(1-IF(MONTH($A1027)=Reference!$D$6,1,0)*Reference!$D$12)</f>
        <v>342750</v>
      </c>
      <c r="M1027" s="20"/>
      <c r="N1027" s="20"/>
      <c r="O1027" s="19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</row>
    <row r="1028" spans="1:25" x14ac:dyDescent="0.25">
      <c r="A1028" s="9">
        <v>41566</v>
      </c>
      <c r="B1028" s="10">
        <f ca="1">ROUND(_xlfn.NORM.INV(RAND(),Reference!$C$8,0.1*Reference!$C$8)*(1+Reference!$C$11*(IF(MONTH($A1028)=Reference!$C$4,1,0)+IF(MONTH($A1028)=Reference!$C$5,1,0))+(IF(MONTH($A1028)=Reference!$C$6,Reference!$C$13,0))),0)</f>
        <v>421</v>
      </c>
      <c r="C1028" s="11">
        <f ca="1">B1028*Reference!$C$7*(1-IF(MONTH($A1028)=Reference!$C$6,1,0)*Reference!$C$12)</f>
        <v>391530</v>
      </c>
      <c r="D1028" s="10">
        <f ca="1">ROUND(_xlfn.NORM.INV(RAND(),Reference!$D$8,0.1*Reference!$D$8)*(1+Reference!$D$11*(IF(MONTH($A1028)=Reference!$D$4,1,0)+IF(MONTH($A1028)=Reference!$D$5,1,0))+(IF(MONTH($A1028)=Reference!$D$6,Reference!$D$13,0))),0)</f>
        <v>441</v>
      </c>
      <c r="E1028" s="11">
        <f ca="1">D1028*Reference!$D$7*(1-IF(MONTH($A1028)=Reference!$D$6,1,0)*Reference!$D$12)</f>
        <v>330750</v>
      </c>
      <c r="M1028" s="20"/>
      <c r="N1028" s="20"/>
      <c r="O1028" s="19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</row>
    <row r="1029" spans="1:25" x14ac:dyDescent="0.25">
      <c r="A1029" s="9">
        <v>41567</v>
      </c>
      <c r="B1029" s="10">
        <f ca="1">ROUND(_xlfn.NORM.INV(RAND(),Reference!$C$8,0.1*Reference!$C$8)*(1+Reference!$C$11*(IF(MONTH($A1029)=Reference!$C$4,1,0)+IF(MONTH($A1029)=Reference!$C$5,1,0))+(IF(MONTH($A1029)=Reference!$C$6,Reference!$C$13,0))),0)</f>
        <v>387</v>
      </c>
      <c r="C1029" s="11">
        <f ca="1">B1029*Reference!$C$7*(1-IF(MONTH($A1029)=Reference!$C$6,1,0)*Reference!$C$12)</f>
        <v>359910</v>
      </c>
      <c r="D1029" s="10">
        <f ca="1">ROUND(_xlfn.NORM.INV(RAND(),Reference!$D$8,0.1*Reference!$D$8)*(1+Reference!$D$11*(IF(MONTH($A1029)=Reference!$D$4,1,0)+IF(MONTH($A1029)=Reference!$D$5,1,0))+(IF(MONTH($A1029)=Reference!$D$6,Reference!$D$13,0))),0)</f>
        <v>521</v>
      </c>
      <c r="E1029" s="11">
        <f ca="1">D1029*Reference!$D$7*(1-IF(MONTH($A1029)=Reference!$D$6,1,0)*Reference!$D$12)</f>
        <v>390750</v>
      </c>
      <c r="M1029" s="20"/>
      <c r="N1029" s="20"/>
      <c r="O1029" s="19"/>
      <c r="P1029" s="10"/>
      <c r="Q1029" s="10"/>
      <c r="R1029" s="10"/>
      <c r="S1029" s="10"/>
      <c r="T1029" s="10"/>
      <c r="U1029" s="10"/>
      <c r="V1029" s="10"/>
      <c r="W1029" s="10"/>
      <c r="X1029" s="10"/>
      <c r="Y1029" s="10"/>
    </row>
    <row r="1030" spans="1:25" x14ac:dyDescent="0.25">
      <c r="A1030" s="9">
        <v>41568</v>
      </c>
      <c r="B1030" s="10">
        <f ca="1">ROUND(_xlfn.NORM.INV(RAND(),Reference!$C$8,0.1*Reference!$C$8)*(1+Reference!$C$11*(IF(MONTH($A1030)=Reference!$C$4,1,0)+IF(MONTH($A1030)=Reference!$C$5,1,0))+(IF(MONTH($A1030)=Reference!$C$6,Reference!$C$13,0))),0)</f>
        <v>380</v>
      </c>
      <c r="C1030" s="11">
        <f ca="1">B1030*Reference!$C$7*(1-IF(MONTH($A1030)=Reference!$C$6,1,0)*Reference!$C$12)</f>
        <v>353400</v>
      </c>
      <c r="D1030" s="10">
        <f ca="1">ROUND(_xlfn.NORM.INV(RAND(),Reference!$D$8,0.1*Reference!$D$8)*(1+Reference!$D$11*(IF(MONTH($A1030)=Reference!$D$4,1,0)+IF(MONTH($A1030)=Reference!$D$5,1,0))+(IF(MONTH($A1030)=Reference!$D$6,Reference!$D$13,0))),0)</f>
        <v>441</v>
      </c>
      <c r="E1030" s="11">
        <f ca="1">D1030*Reference!$D$7*(1-IF(MONTH($A1030)=Reference!$D$6,1,0)*Reference!$D$12)</f>
        <v>330750</v>
      </c>
      <c r="M1030" s="20"/>
      <c r="N1030" s="20"/>
      <c r="O1030" s="19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</row>
    <row r="1031" spans="1:25" x14ac:dyDescent="0.25">
      <c r="A1031" s="9">
        <v>41569</v>
      </c>
      <c r="B1031" s="10">
        <f ca="1">ROUND(_xlfn.NORM.INV(RAND(),Reference!$C$8,0.1*Reference!$C$8)*(1+Reference!$C$11*(IF(MONTH($A1031)=Reference!$C$4,1,0)+IF(MONTH($A1031)=Reference!$C$5,1,0))+(IF(MONTH($A1031)=Reference!$C$6,Reference!$C$13,0))),0)</f>
        <v>354</v>
      </c>
      <c r="C1031" s="11">
        <f ca="1">B1031*Reference!$C$7*(1-IF(MONTH($A1031)=Reference!$C$6,1,0)*Reference!$C$12)</f>
        <v>329220</v>
      </c>
      <c r="D1031" s="10">
        <f ca="1">ROUND(_xlfn.NORM.INV(RAND(),Reference!$D$8,0.1*Reference!$D$8)*(1+Reference!$D$11*(IF(MONTH($A1031)=Reference!$D$4,1,0)+IF(MONTH($A1031)=Reference!$D$5,1,0))+(IF(MONTH($A1031)=Reference!$D$6,Reference!$D$13,0))),0)</f>
        <v>447</v>
      </c>
      <c r="E1031" s="11">
        <f ca="1">D1031*Reference!$D$7*(1-IF(MONTH($A1031)=Reference!$D$6,1,0)*Reference!$D$12)</f>
        <v>335250</v>
      </c>
      <c r="M1031" s="20"/>
      <c r="N1031" s="20"/>
      <c r="O1031" s="19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</row>
    <row r="1032" spans="1:25" x14ac:dyDescent="0.25">
      <c r="A1032" s="9">
        <v>41570</v>
      </c>
      <c r="B1032" s="10">
        <f ca="1">ROUND(_xlfn.NORM.INV(RAND(),Reference!$C$8,0.1*Reference!$C$8)*(1+Reference!$C$11*(IF(MONTH($A1032)=Reference!$C$4,1,0)+IF(MONTH($A1032)=Reference!$C$5,1,0))+(IF(MONTH($A1032)=Reference!$C$6,Reference!$C$13,0))),0)</f>
        <v>303</v>
      </c>
      <c r="C1032" s="11">
        <f ca="1">B1032*Reference!$C$7*(1-IF(MONTH($A1032)=Reference!$C$6,1,0)*Reference!$C$12)</f>
        <v>281790</v>
      </c>
      <c r="D1032" s="10">
        <f ca="1">ROUND(_xlfn.NORM.INV(RAND(),Reference!$D$8,0.1*Reference!$D$8)*(1+Reference!$D$11*(IF(MONTH($A1032)=Reference!$D$4,1,0)+IF(MONTH($A1032)=Reference!$D$5,1,0))+(IF(MONTH($A1032)=Reference!$D$6,Reference!$D$13,0))),0)</f>
        <v>491</v>
      </c>
      <c r="E1032" s="11">
        <f ca="1">D1032*Reference!$D$7*(1-IF(MONTH($A1032)=Reference!$D$6,1,0)*Reference!$D$12)</f>
        <v>368250</v>
      </c>
      <c r="M1032" s="20"/>
      <c r="N1032" s="20"/>
      <c r="O1032" s="19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</row>
    <row r="1033" spans="1:25" x14ac:dyDescent="0.25">
      <c r="A1033" s="9">
        <v>41571</v>
      </c>
      <c r="B1033" s="10">
        <f ca="1">ROUND(_xlfn.NORM.INV(RAND(),Reference!$C$8,0.1*Reference!$C$8)*(1+Reference!$C$11*(IF(MONTH($A1033)=Reference!$C$4,1,0)+IF(MONTH($A1033)=Reference!$C$5,1,0))+(IF(MONTH($A1033)=Reference!$C$6,Reference!$C$13,0))),0)</f>
        <v>397</v>
      </c>
      <c r="C1033" s="11">
        <f ca="1">B1033*Reference!$C$7*(1-IF(MONTH($A1033)=Reference!$C$6,1,0)*Reference!$C$12)</f>
        <v>369210</v>
      </c>
      <c r="D1033" s="10">
        <f ca="1">ROUND(_xlfn.NORM.INV(RAND(),Reference!$D$8,0.1*Reference!$D$8)*(1+Reference!$D$11*(IF(MONTH($A1033)=Reference!$D$4,1,0)+IF(MONTH($A1033)=Reference!$D$5,1,0))+(IF(MONTH($A1033)=Reference!$D$6,Reference!$D$13,0))),0)</f>
        <v>456</v>
      </c>
      <c r="E1033" s="11">
        <f ca="1">D1033*Reference!$D$7*(1-IF(MONTH($A1033)=Reference!$D$6,1,0)*Reference!$D$12)</f>
        <v>342000</v>
      </c>
      <c r="M1033" s="20"/>
      <c r="N1033" s="20"/>
      <c r="O1033" s="19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</row>
    <row r="1034" spans="1:25" x14ac:dyDescent="0.25">
      <c r="A1034" s="9">
        <v>41572</v>
      </c>
      <c r="B1034" s="10">
        <f ca="1">ROUND(_xlfn.NORM.INV(RAND(),Reference!$C$8,0.1*Reference!$C$8)*(1+Reference!$C$11*(IF(MONTH($A1034)=Reference!$C$4,1,0)+IF(MONTH($A1034)=Reference!$C$5,1,0))+(IF(MONTH($A1034)=Reference!$C$6,Reference!$C$13,0))),0)</f>
        <v>304</v>
      </c>
      <c r="C1034" s="11">
        <f ca="1">B1034*Reference!$C$7*(1-IF(MONTH($A1034)=Reference!$C$6,1,0)*Reference!$C$12)</f>
        <v>282720</v>
      </c>
      <c r="D1034" s="10">
        <f ca="1">ROUND(_xlfn.NORM.INV(RAND(),Reference!$D$8,0.1*Reference!$D$8)*(1+Reference!$D$11*(IF(MONTH($A1034)=Reference!$D$4,1,0)+IF(MONTH($A1034)=Reference!$D$5,1,0))+(IF(MONTH($A1034)=Reference!$D$6,Reference!$D$13,0))),0)</f>
        <v>411</v>
      </c>
      <c r="E1034" s="11">
        <f ca="1">D1034*Reference!$D$7*(1-IF(MONTH($A1034)=Reference!$D$6,1,0)*Reference!$D$12)</f>
        <v>308250</v>
      </c>
      <c r="M1034" s="20"/>
      <c r="N1034" s="20"/>
      <c r="O1034" s="19"/>
      <c r="P1034" s="10"/>
      <c r="Q1034" s="10"/>
      <c r="R1034" s="10"/>
      <c r="S1034" s="10"/>
      <c r="T1034" s="10"/>
      <c r="U1034" s="10"/>
      <c r="V1034" s="10"/>
      <c r="W1034" s="10"/>
      <c r="X1034" s="10"/>
      <c r="Y1034" s="10"/>
    </row>
    <row r="1035" spans="1:25" x14ac:dyDescent="0.25">
      <c r="A1035" s="9">
        <v>41573</v>
      </c>
      <c r="B1035" s="10">
        <f ca="1">ROUND(_xlfn.NORM.INV(RAND(),Reference!$C$8,0.1*Reference!$C$8)*(1+Reference!$C$11*(IF(MONTH($A1035)=Reference!$C$4,1,0)+IF(MONTH($A1035)=Reference!$C$5,1,0))+(IF(MONTH($A1035)=Reference!$C$6,Reference!$C$13,0))),0)</f>
        <v>311</v>
      </c>
      <c r="C1035" s="11">
        <f ca="1">B1035*Reference!$C$7*(1-IF(MONTH($A1035)=Reference!$C$6,1,0)*Reference!$C$12)</f>
        <v>289230</v>
      </c>
      <c r="D1035" s="10">
        <f ca="1">ROUND(_xlfn.NORM.INV(RAND(),Reference!$D$8,0.1*Reference!$D$8)*(1+Reference!$D$11*(IF(MONTH($A1035)=Reference!$D$4,1,0)+IF(MONTH($A1035)=Reference!$D$5,1,0))+(IF(MONTH($A1035)=Reference!$D$6,Reference!$D$13,0))),0)</f>
        <v>425</v>
      </c>
      <c r="E1035" s="11">
        <f ca="1">D1035*Reference!$D$7*(1-IF(MONTH($A1035)=Reference!$D$6,1,0)*Reference!$D$12)</f>
        <v>318750</v>
      </c>
      <c r="M1035" s="20"/>
      <c r="N1035" s="20"/>
      <c r="O1035" s="19"/>
      <c r="P1035" s="10"/>
      <c r="Q1035" s="10"/>
      <c r="R1035" s="10"/>
      <c r="S1035" s="10"/>
      <c r="T1035" s="10"/>
      <c r="U1035" s="10"/>
      <c r="V1035" s="10"/>
      <c r="W1035" s="10"/>
      <c r="X1035" s="10"/>
      <c r="Y1035" s="10"/>
    </row>
    <row r="1036" spans="1:25" x14ac:dyDescent="0.25">
      <c r="A1036" s="9">
        <v>41574</v>
      </c>
      <c r="B1036" s="10">
        <f ca="1">ROUND(_xlfn.NORM.INV(RAND(),Reference!$C$8,0.1*Reference!$C$8)*(1+Reference!$C$11*(IF(MONTH($A1036)=Reference!$C$4,1,0)+IF(MONTH($A1036)=Reference!$C$5,1,0))+(IF(MONTH($A1036)=Reference!$C$6,Reference!$C$13,0))),0)</f>
        <v>356</v>
      </c>
      <c r="C1036" s="11">
        <f ca="1">B1036*Reference!$C$7*(1-IF(MONTH($A1036)=Reference!$C$6,1,0)*Reference!$C$12)</f>
        <v>331080</v>
      </c>
      <c r="D1036" s="10">
        <f ca="1">ROUND(_xlfn.NORM.INV(RAND(),Reference!$D$8,0.1*Reference!$D$8)*(1+Reference!$D$11*(IF(MONTH($A1036)=Reference!$D$4,1,0)+IF(MONTH($A1036)=Reference!$D$5,1,0))+(IF(MONTH($A1036)=Reference!$D$6,Reference!$D$13,0))),0)</f>
        <v>437</v>
      </c>
      <c r="E1036" s="11">
        <f ca="1">D1036*Reference!$D$7*(1-IF(MONTH($A1036)=Reference!$D$6,1,0)*Reference!$D$12)</f>
        <v>327750</v>
      </c>
      <c r="M1036" s="20"/>
      <c r="N1036" s="20"/>
      <c r="O1036" s="19"/>
      <c r="P1036" s="10"/>
      <c r="Q1036" s="10"/>
      <c r="R1036" s="10"/>
      <c r="S1036" s="10"/>
      <c r="T1036" s="10"/>
      <c r="U1036" s="10"/>
      <c r="V1036" s="10"/>
      <c r="W1036" s="10"/>
      <c r="X1036" s="10"/>
      <c r="Y1036" s="10"/>
    </row>
    <row r="1037" spans="1:25" x14ac:dyDescent="0.25">
      <c r="A1037" s="9">
        <v>41575</v>
      </c>
      <c r="B1037" s="10">
        <f ca="1">ROUND(_xlfn.NORM.INV(RAND(),Reference!$C$8,0.1*Reference!$C$8)*(1+Reference!$C$11*(IF(MONTH($A1037)=Reference!$C$4,1,0)+IF(MONTH($A1037)=Reference!$C$5,1,0))+(IF(MONTH($A1037)=Reference!$C$6,Reference!$C$13,0))),0)</f>
        <v>338</v>
      </c>
      <c r="C1037" s="11">
        <f ca="1">B1037*Reference!$C$7*(1-IF(MONTH($A1037)=Reference!$C$6,1,0)*Reference!$C$12)</f>
        <v>314340</v>
      </c>
      <c r="D1037" s="10">
        <f ca="1">ROUND(_xlfn.NORM.INV(RAND(),Reference!$D$8,0.1*Reference!$D$8)*(1+Reference!$D$11*(IF(MONTH($A1037)=Reference!$D$4,1,0)+IF(MONTH($A1037)=Reference!$D$5,1,0))+(IF(MONTH($A1037)=Reference!$D$6,Reference!$D$13,0))),0)</f>
        <v>506</v>
      </c>
      <c r="E1037" s="11">
        <f ca="1">D1037*Reference!$D$7*(1-IF(MONTH($A1037)=Reference!$D$6,1,0)*Reference!$D$12)</f>
        <v>379500</v>
      </c>
      <c r="M1037" s="20"/>
      <c r="N1037" s="20"/>
      <c r="O1037" s="19"/>
      <c r="P1037" s="10"/>
      <c r="Q1037" s="10"/>
      <c r="R1037" s="10"/>
      <c r="S1037" s="10"/>
      <c r="T1037" s="10"/>
      <c r="U1037" s="10"/>
      <c r="V1037" s="10"/>
      <c r="W1037" s="10"/>
      <c r="X1037" s="10"/>
      <c r="Y1037" s="10"/>
    </row>
    <row r="1038" spans="1:25" x14ac:dyDescent="0.25">
      <c r="A1038" s="9">
        <v>41576</v>
      </c>
      <c r="B1038" s="10">
        <f ca="1">ROUND(_xlfn.NORM.INV(RAND(),Reference!$C$8,0.1*Reference!$C$8)*(1+Reference!$C$11*(IF(MONTH($A1038)=Reference!$C$4,1,0)+IF(MONTH($A1038)=Reference!$C$5,1,0))+(IF(MONTH($A1038)=Reference!$C$6,Reference!$C$13,0))),0)</f>
        <v>365</v>
      </c>
      <c r="C1038" s="11">
        <f ca="1">B1038*Reference!$C$7*(1-IF(MONTH($A1038)=Reference!$C$6,1,0)*Reference!$C$12)</f>
        <v>339450</v>
      </c>
      <c r="D1038" s="10">
        <f ca="1">ROUND(_xlfn.NORM.INV(RAND(),Reference!$D$8,0.1*Reference!$D$8)*(1+Reference!$D$11*(IF(MONTH($A1038)=Reference!$D$4,1,0)+IF(MONTH($A1038)=Reference!$D$5,1,0))+(IF(MONTH($A1038)=Reference!$D$6,Reference!$D$13,0))),0)</f>
        <v>424</v>
      </c>
      <c r="E1038" s="11">
        <f ca="1">D1038*Reference!$D$7*(1-IF(MONTH($A1038)=Reference!$D$6,1,0)*Reference!$D$12)</f>
        <v>318000</v>
      </c>
      <c r="M1038" s="20"/>
      <c r="N1038" s="20"/>
      <c r="O1038" s="19"/>
      <c r="P1038" s="10"/>
      <c r="Q1038" s="10"/>
      <c r="R1038" s="10"/>
      <c r="S1038" s="10"/>
      <c r="T1038" s="10"/>
      <c r="U1038" s="10"/>
      <c r="V1038" s="10"/>
      <c r="W1038" s="10"/>
      <c r="X1038" s="10"/>
      <c r="Y1038" s="10"/>
    </row>
    <row r="1039" spans="1:25" x14ac:dyDescent="0.25">
      <c r="A1039" s="9">
        <v>41577</v>
      </c>
      <c r="B1039" s="10">
        <f ca="1">ROUND(_xlfn.NORM.INV(RAND(),Reference!$C$8,0.1*Reference!$C$8)*(1+Reference!$C$11*(IF(MONTH($A1039)=Reference!$C$4,1,0)+IF(MONTH($A1039)=Reference!$C$5,1,0))+(IF(MONTH($A1039)=Reference!$C$6,Reference!$C$13,0))),0)</f>
        <v>354</v>
      </c>
      <c r="C1039" s="11">
        <f ca="1">B1039*Reference!$C$7*(1-IF(MONTH($A1039)=Reference!$C$6,1,0)*Reference!$C$12)</f>
        <v>329220</v>
      </c>
      <c r="D1039" s="10">
        <f ca="1">ROUND(_xlfn.NORM.INV(RAND(),Reference!$D$8,0.1*Reference!$D$8)*(1+Reference!$D$11*(IF(MONTH($A1039)=Reference!$D$4,1,0)+IF(MONTH($A1039)=Reference!$D$5,1,0))+(IF(MONTH($A1039)=Reference!$D$6,Reference!$D$13,0))),0)</f>
        <v>457</v>
      </c>
      <c r="E1039" s="11">
        <f ca="1">D1039*Reference!$D$7*(1-IF(MONTH($A1039)=Reference!$D$6,1,0)*Reference!$D$12)</f>
        <v>342750</v>
      </c>
      <c r="M1039" s="20"/>
      <c r="N1039" s="20"/>
      <c r="O1039" s="19"/>
      <c r="P1039" s="10"/>
      <c r="Q1039" s="10"/>
      <c r="R1039" s="10"/>
      <c r="S1039" s="10"/>
      <c r="T1039" s="10"/>
      <c r="U1039" s="10"/>
      <c r="V1039" s="10"/>
      <c r="W1039" s="10"/>
      <c r="X1039" s="10"/>
      <c r="Y1039" s="10"/>
    </row>
    <row r="1040" spans="1:25" x14ac:dyDescent="0.25">
      <c r="A1040" s="9">
        <v>41578</v>
      </c>
      <c r="B1040" s="10">
        <f ca="1">ROUND(_xlfn.NORM.INV(RAND(),Reference!$C$8,0.1*Reference!$C$8)*(1+Reference!$C$11*(IF(MONTH($A1040)=Reference!$C$4,1,0)+IF(MONTH($A1040)=Reference!$C$5,1,0))+(IF(MONTH($A1040)=Reference!$C$6,Reference!$C$13,0))),0)</f>
        <v>306</v>
      </c>
      <c r="C1040" s="11">
        <f ca="1">B1040*Reference!$C$7*(1-IF(MONTH($A1040)=Reference!$C$6,1,0)*Reference!$C$12)</f>
        <v>284580</v>
      </c>
      <c r="D1040" s="10">
        <f ca="1">ROUND(_xlfn.NORM.INV(RAND(),Reference!$D$8,0.1*Reference!$D$8)*(1+Reference!$D$11*(IF(MONTH($A1040)=Reference!$D$4,1,0)+IF(MONTH($A1040)=Reference!$D$5,1,0))+(IF(MONTH($A1040)=Reference!$D$6,Reference!$D$13,0))),0)</f>
        <v>485</v>
      </c>
      <c r="E1040" s="11">
        <f ca="1">D1040*Reference!$D$7*(1-IF(MONTH($A1040)=Reference!$D$6,1,0)*Reference!$D$12)</f>
        <v>363750</v>
      </c>
      <c r="M1040" s="20"/>
      <c r="N1040" s="20"/>
      <c r="O1040" s="19"/>
      <c r="P1040" s="10"/>
      <c r="Q1040" s="10"/>
      <c r="R1040" s="10"/>
      <c r="S1040" s="10"/>
      <c r="T1040" s="10"/>
      <c r="U1040" s="10"/>
      <c r="V1040" s="10"/>
      <c r="W1040" s="10"/>
      <c r="X1040" s="10"/>
      <c r="Y1040" s="10"/>
    </row>
    <row r="1041" spans="1:25" x14ac:dyDescent="0.25">
      <c r="A1041" s="9">
        <v>41579</v>
      </c>
      <c r="B1041" s="10">
        <f ca="1">ROUND(_xlfn.NORM.INV(RAND(),Reference!$C$8,0.1*Reference!$C$8)*(1+Reference!$C$11*(IF(MONTH($A1041)=Reference!$C$4,1,0)+IF(MONTH($A1041)=Reference!$C$5,1,0))+(IF(MONTH($A1041)=Reference!$C$6,Reference!$C$13,0))),0)</f>
        <v>349</v>
      </c>
      <c r="C1041" s="11">
        <f ca="1">B1041*Reference!$C$7*(1-IF(MONTH($A1041)=Reference!$C$6,1,0)*Reference!$C$12)</f>
        <v>324570</v>
      </c>
      <c r="D1041" s="10">
        <f ca="1">ROUND(_xlfn.NORM.INV(RAND(),Reference!$D$8,0.1*Reference!$D$8)*(1+Reference!$D$11*(IF(MONTH($A1041)=Reference!$D$4,1,0)+IF(MONTH($A1041)=Reference!$D$5,1,0))+(IF(MONTH($A1041)=Reference!$D$6,Reference!$D$13,0))),0)</f>
        <v>470</v>
      </c>
      <c r="E1041" s="11">
        <f ca="1">D1041*Reference!$D$7*(1-IF(MONTH($A1041)=Reference!$D$6,1,0)*Reference!$D$12)</f>
        <v>352500</v>
      </c>
      <c r="M1041" s="20"/>
      <c r="N1041" s="20"/>
      <c r="O1041" s="19"/>
      <c r="P1041" s="10"/>
      <c r="Q1041" s="10"/>
      <c r="R1041" s="10"/>
      <c r="S1041" s="10"/>
      <c r="T1041" s="10"/>
      <c r="U1041" s="10"/>
      <c r="V1041" s="10"/>
      <c r="W1041" s="10"/>
      <c r="X1041" s="10"/>
      <c r="Y1041" s="10"/>
    </row>
    <row r="1042" spans="1:25" x14ac:dyDescent="0.25">
      <c r="A1042" s="9">
        <v>41580</v>
      </c>
      <c r="B1042" s="10">
        <f ca="1">ROUND(_xlfn.NORM.INV(RAND(),Reference!$C$8,0.1*Reference!$C$8)*(1+Reference!$C$11*(IF(MONTH($A1042)=Reference!$C$4,1,0)+IF(MONTH($A1042)=Reference!$C$5,1,0))+(IF(MONTH($A1042)=Reference!$C$6,Reference!$C$13,0))),0)</f>
        <v>402</v>
      </c>
      <c r="C1042" s="11">
        <f ca="1">B1042*Reference!$C$7*(1-IF(MONTH($A1042)=Reference!$C$6,1,0)*Reference!$C$12)</f>
        <v>373860</v>
      </c>
      <c r="D1042" s="10">
        <f ca="1">ROUND(_xlfn.NORM.INV(RAND(),Reference!$D$8,0.1*Reference!$D$8)*(1+Reference!$D$11*(IF(MONTH($A1042)=Reference!$D$4,1,0)+IF(MONTH($A1042)=Reference!$D$5,1,0))+(IF(MONTH($A1042)=Reference!$D$6,Reference!$D$13,0))),0)</f>
        <v>405</v>
      </c>
      <c r="E1042" s="11">
        <f ca="1">D1042*Reference!$D$7*(1-IF(MONTH($A1042)=Reference!$D$6,1,0)*Reference!$D$12)</f>
        <v>303750</v>
      </c>
      <c r="M1042" s="20"/>
      <c r="N1042" s="20"/>
      <c r="O1042" s="19"/>
      <c r="P1042" s="10"/>
      <c r="Q1042" s="10"/>
      <c r="R1042" s="10"/>
      <c r="S1042" s="10"/>
      <c r="T1042" s="10"/>
      <c r="U1042" s="10"/>
      <c r="V1042" s="10"/>
      <c r="W1042" s="10"/>
      <c r="X1042" s="10"/>
      <c r="Y1042" s="10"/>
    </row>
    <row r="1043" spans="1:25" x14ac:dyDescent="0.25">
      <c r="A1043" s="9">
        <v>41581</v>
      </c>
      <c r="B1043" s="10">
        <f ca="1">ROUND(_xlfn.NORM.INV(RAND(),Reference!$C$8,0.1*Reference!$C$8)*(1+Reference!$C$11*(IF(MONTH($A1043)=Reference!$C$4,1,0)+IF(MONTH($A1043)=Reference!$C$5,1,0))+(IF(MONTH($A1043)=Reference!$C$6,Reference!$C$13,0))),0)</f>
        <v>321</v>
      </c>
      <c r="C1043" s="11">
        <f ca="1">B1043*Reference!$C$7*(1-IF(MONTH($A1043)=Reference!$C$6,1,0)*Reference!$C$12)</f>
        <v>298530</v>
      </c>
      <c r="D1043" s="10">
        <f ca="1">ROUND(_xlfn.NORM.INV(RAND(),Reference!$D$8,0.1*Reference!$D$8)*(1+Reference!$D$11*(IF(MONTH($A1043)=Reference!$D$4,1,0)+IF(MONTH($A1043)=Reference!$D$5,1,0))+(IF(MONTH($A1043)=Reference!$D$6,Reference!$D$13,0))),0)</f>
        <v>428</v>
      </c>
      <c r="E1043" s="11">
        <f ca="1">D1043*Reference!$D$7*(1-IF(MONTH($A1043)=Reference!$D$6,1,0)*Reference!$D$12)</f>
        <v>321000</v>
      </c>
      <c r="M1043" s="20"/>
      <c r="N1043" s="20"/>
      <c r="O1043" s="19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</row>
    <row r="1044" spans="1:25" x14ac:dyDescent="0.25">
      <c r="A1044" s="9">
        <v>41582</v>
      </c>
      <c r="B1044" s="10">
        <f ca="1">ROUND(_xlfn.NORM.INV(RAND(),Reference!$C$8,0.1*Reference!$C$8)*(1+Reference!$C$11*(IF(MONTH($A1044)=Reference!$C$4,1,0)+IF(MONTH($A1044)=Reference!$C$5,1,0))+(IF(MONTH($A1044)=Reference!$C$6,Reference!$C$13,0))),0)</f>
        <v>317</v>
      </c>
      <c r="C1044" s="11">
        <f ca="1">B1044*Reference!$C$7*(1-IF(MONTH($A1044)=Reference!$C$6,1,0)*Reference!$C$12)</f>
        <v>294810</v>
      </c>
      <c r="D1044" s="10">
        <f ca="1">ROUND(_xlfn.NORM.INV(RAND(),Reference!$D$8,0.1*Reference!$D$8)*(1+Reference!$D$11*(IF(MONTH($A1044)=Reference!$D$4,1,0)+IF(MONTH($A1044)=Reference!$D$5,1,0))+(IF(MONTH($A1044)=Reference!$D$6,Reference!$D$13,0))),0)</f>
        <v>375</v>
      </c>
      <c r="E1044" s="11">
        <f ca="1">D1044*Reference!$D$7*(1-IF(MONTH($A1044)=Reference!$D$6,1,0)*Reference!$D$12)</f>
        <v>281250</v>
      </c>
      <c r="M1044" s="20"/>
      <c r="N1044" s="20"/>
      <c r="O1044" s="19"/>
      <c r="P1044" s="10"/>
      <c r="Q1044" s="10"/>
      <c r="R1044" s="10"/>
      <c r="S1044" s="10"/>
      <c r="T1044" s="10"/>
      <c r="U1044" s="10"/>
      <c r="V1044" s="10"/>
      <c r="W1044" s="10"/>
      <c r="X1044" s="10"/>
      <c r="Y1044" s="10"/>
    </row>
    <row r="1045" spans="1:25" x14ac:dyDescent="0.25">
      <c r="A1045" s="9">
        <v>41583</v>
      </c>
      <c r="B1045" s="10">
        <f ca="1">ROUND(_xlfn.NORM.INV(RAND(),Reference!$C$8,0.1*Reference!$C$8)*(1+Reference!$C$11*(IF(MONTH($A1045)=Reference!$C$4,1,0)+IF(MONTH($A1045)=Reference!$C$5,1,0))+(IF(MONTH($A1045)=Reference!$C$6,Reference!$C$13,0))),0)</f>
        <v>384</v>
      </c>
      <c r="C1045" s="11">
        <f ca="1">B1045*Reference!$C$7*(1-IF(MONTH($A1045)=Reference!$C$6,1,0)*Reference!$C$12)</f>
        <v>357120</v>
      </c>
      <c r="D1045" s="10">
        <f ca="1">ROUND(_xlfn.NORM.INV(RAND(),Reference!$D$8,0.1*Reference!$D$8)*(1+Reference!$D$11*(IF(MONTH($A1045)=Reference!$D$4,1,0)+IF(MONTH($A1045)=Reference!$D$5,1,0))+(IF(MONTH($A1045)=Reference!$D$6,Reference!$D$13,0))),0)</f>
        <v>503</v>
      </c>
      <c r="E1045" s="11">
        <f ca="1">D1045*Reference!$D$7*(1-IF(MONTH($A1045)=Reference!$D$6,1,0)*Reference!$D$12)</f>
        <v>377250</v>
      </c>
      <c r="M1045" s="20"/>
      <c r="N1045" s="20"/>
      <c r="O1045" s="19"/>
      <c r="P1045" s="10"/>
      <c r="Q1045" s="10"/>
      <c r="R1045" s="10"/>
      <c r="S1045" s="10"/>
      <c r="T1045" s="10"/>
      <c r="U1045" s="10"/>
      <c r="V1045" s="10"/>
      <c r="W1045" s="10"/>
      <c r="X1045" s="10"/>
      <c r="Y1045" s="10"/>
    </row>
    <row r="1046" spans="1:25" x14ac:dyDescent="0.25">
      <c r="A1046" s="9">
        <v>41584</v>
      </c>
      <c r="B1046" s="10">
        <f ca="1">ROUND(_xlfn.NORM.INV(RAND(),Reference!$C$8,0.1*Reference!$C$8)*(1+Reference!$C$11*(IF(MONTH($A1046)=Reference!$C$4,1,0)+IF(MONTH($A1046)=Reference!$C$5,1,0))+(IF(MONTH($A1046)=Reference!$C$6,Reference!$C$13,0))),0)</f>
        <v>347</v>
      </c>
      <c r="C1046" s="11">
        <f ca="1">B1046*Reference!$C$7*(1-IF(MONTH($A1046)=Reference!$C$6,1,0)*Reference!$C$12)</f>
        <v>322710</v>
      </c>
      <c r="D1046" s="10">
        <f ca="1">ROUND(_xlfn.NORM.INV(RAND(),Reference!$D$8,0.1*Reference!$D$8)*(1+Reference!$D$11*(IF(MONTH($A1046)=Reference!$D$4,1,0)+IF(MONTH($A1046)=Reference!$D$5,1,0))+(IF(MONTH($A1046)=Reference!$D$6,Reference!$D$13,0))),0)</f>
        <v>392</v>
      </c>
      <c r="E1046" s="11">
        <f ca="1">D1046*Reference!$D$7*(1-IF(MONTH($A1046)=Reference!$D$6,1,0)*Reference!$D$12)</f>
        <v>294000</v>
      </c>
      <c r="M1046" s="20"/>
      <c r="N1046" s="20"/>
      <c r="O1046" s="19"/>
      <c r="P1046" s="10"/>
      <c r="Q1046" s="10"/>
      <c r="R1046" s="10"/>
      <c r="S1046" s="10"/>
      <c r="T1046" s="10"/>
      <c r="U1046" s="10"/>
      <c r="V1046" s="10"/>
      <c r="W1046" s="10"/>
      <c r="X1046" s="10"/>
      <c r="Y1046" s="10"/>
    </row>
    <row r="1047" spans="1:25" x14ac:dyDescent="0.25">
      <c r="A1047" s="9">
        <v>41585</v>
      </c>
      <c r="B1047" s="10">
        <f ca="1">ROUND(_xlfn.NORM.INV(RAND(),Reference!$C$8,0.1*Reference!$C$8)*(1+Reference!$C$11*(IF(MONTH($A1047)=Reference!$C$4,1,0)+IF(MONTH($A1047)=Reference!$C$5,1,0))+(IF(MONTH($A1047)=Reference!$C$6,Reference!$C$13,0))),0)</f>
        <v>376</v>
      </c>
      <c r="C1047" s="11">
        <f ca="1">B1047*Reference!$C$7*(1-IF(MONTH($A1047)=Reference!$C$6,1,0)*Reference!$C$12)</f>
        <v>349680</v>
      </c>
      <c r="D1047" s="10">
        <f ca="1">ROUND(_xlfn.NORM.INV(RAND(),Reference!$D$8,0.1*Reference!$D$8)*(1+Reference!$D$11*(IF(MONTH($A1047)=Reference!$D$4,1,0)+IF(MONTH($A1047)=Reference!$D$5,1,0))+(IF(MONTH($A1047)=Reference!$D$6,Reference!$D$13,0))),0)</f>
        <v>399</v>
      </c>
      <c r="E1047" s="11">
        <f ca="1">D1047*Reference!$D$7*(1-IF(MONTH($A1047)=Reference!$D$6,1,0)*Reference!$D$12)</f>
        <v>299250</v>
      </c>
      <c r="M1047" s="20"/>
      <c r="N1047" s="20"/>
      <c r="O1047" s="19"/>
      <c r="P1047" s="10"/>
      <c r="Q1047" s="10"/>
      <c r="R1047" s="10"/>
      <c r="S1047" s="10"/>
      <c r="T1047" s="10"/>
      <c r="U1047" s="10"/>
      <c r="V1047" s="10"/>
      <c r="W1047" s="10"/>
      <c r="X1047" s="10"/>
      <c r="Y1047" s="10"/>
    </row>
    <row r="1048" spans="1:25" x14ac:dyDescent="0.25">
      <c r="A1048" s="9">
        <v>41586</v>
      </c>
      <c r="B1048" s="10">
        <f ca="1">ROUND(_xlfn.NORM.INV(RAND(),Reference!$C$8,0.1*Reference!$C$8)*(1+Reference!$C$11*(IF(MONTH($A1048)=Reference!$C$4,1,0)+IF(MONTH($A1048)=Reference!$C$5,1,0))+(IF(MONTH($A1048)=Reference!$C$6,Reference!$C$13,0))),0)</f>
        <v>374</v>
      </c>
      <c r="C1048" s="11">
        <f ca="1">B1048*Reference!$C$7*(1-IF(MONTH($A1048)=Reference!$C$6,1,0)*Reference!$C$12)</f>
        <v>347820</v>
      </c>
      <c r="D1048" s="10">
        <f ca="1">ROUND(_xlfn.NORM.INV(RAND(),Reference!$D$8,0.1*Reference!$D$8)*(1+Reference!$D$11*(IF(MONTH($A1048)=Reference!$D$4,1,0)+IF(MONTH($A1048)=Reference!$D$5,1,0))+(IF(MONTH($A1048)=Reference!$D$6,Reference!$D$13,0))),0)</f>
        <v>440</v>
      </c>
      <c r="E1048" s="11">
        <f ca="1">D1048*Reference!$D$7*(1-IF(MONTH($A1048)=Reference!$D$6,1,0)*Reference!$D$12)</f>
        <v>330000</v>
      </c>
      <c r="M1048" s="20"/>
      <c r="N1048" s="20"/>
      <c r="O1048" s="19"/>
      <c r="P1048" s="10"/>
      <c r="Q1048" s="10"/>
      <c r="R1048" s="10"/>
      <c r="S1048" s="10"/>
      <c r="T1048" s="10"/>
      <c r="U1048" s="10"/>
      <c r="V1048" s="10"/>
      <c r="W1048" s="10"/>
      <c r="X1048" s="10"/>
      <c r="Y1048" s="10"/>
    </row>
    <row r="1049" spans="1:25" x14ac:dyDescent="0.25">
      <c r="A1049" s="9">
        <v>41587</v>
      </c>
      <c r="B1049" s="10">
        <f ca="1">ROUND(_xlfn.NORM.INV(RAND(),Reference!$C$8,0.1*Reference!$C$8)*(1+Reference!$C$11*(IF(MONTH($A1049)=Reference!$C$4,1,0)+IF(MONTH($A1049)=Reference!$C$5,1,0))+(IF(MONTH($A1049)=Reference!$C$6,Reference!$C$13,0))),0)</f>
        <v>266</v>
      </c>
      <c r="C1049" s="11">
        <f ca="1">B1049*Reference!$C$7*(1-IF(MONTH($A1049)=Reference!$C$6,1,0)*Reference!$C$12)</f>
        <v>247380</v>
      </c>
      <c r="D1049" s="10">
        <f ca="1">ROUND(_xlfn.NORM.INV(RAND(),Reference!$D$8,0.1*Reference!$D$8)*(1+Reference!$D$11*(IF(MONTH($A1049)=Reference!$D$4,1,0)+IF(MONTH($A1049)=Reference!$D$5,1,0))+(IF(MONTH($A1049)=Reference!$D$6,Reference!$D$13,0))),0)</f>
        <v>479</v>
      </c>
      <c r="E1049" s="11">
        <f ca="1">D1049*Reference!$D$7*(1-IF(MONTH($A1049)=Reference!$D$6,1,0)*Reference!$D$12)</f>
        <v>359250</v>
      </c>
      <c r="M1049" s="20"/>
      <c r="N1049" s="20"/>
      <c r="O1049" s="19"/>
      <c r="P1049" s="10"/>
      <c r="Q1049" s="10"/>
      <c r="R1049" s="10"/>
      <c r="S1049" s="10"/>
      <c r="T1049" s="10"/>
      <c r="U1049" s="10"/>
      <c r="V1049" s="10"/>
      <c r="W1049" s="10"/>
      <c r="X1049" s="10"/>
      <c r="Y1049" s="10"/>
    </row>
    <row r="1050" spans="1:25" x14ac:dyDescent="0.25">
      <c r="A1050" s="9">
        <v>41588</v>
      </c>
      <c r="B1050" s="10">
        <f ca="1">ROUND(_xlfn.NORM.INV(RAND(),Reference!$C$8,0.1*Reference!$C$8)*(1+Reference!$C$11*(IF(MONTH($A1050)=Reference!$C$4,1,0)+IF(MONTH($A1050)=Reference!$C$5,1,0))+(IF(MONTH($A1050)=Reference!$C$6,Reference!$C$13,0))),0)</f>
        <v>410</v>
      </c>
      <c r="C1050" s="11">
        <f ca="1">B1050*Reference!$C$7*(1-IF(MONTH($A1050)=Reference!$C$6,1,0)*Reference!$C$12)</f>
        <v>381300</v>
      </c>
      <c r="D1050" s="10">
        <f ca="1">ROUND(_xlfn.NORM.INV(RAND(),Reference!$D$8,0.1*Reference!$D$8)*(1+Reference!$D$11*(IF(MONTH($A1050)=Reference!$D$4,1,0)+IF(MONTH($A1050)=Reference!$D$5,1,0))+(IF(MONTH($A1050)=Reference!$D$6,Reference!$D$13,0))),0)</f>
        <v>510</v>
      </c>
      <c r="E1050" s="11">
        <f ca="1">D1050*Reference!$D$7*(1-IF(MONTH($A1050)=Reference!$D$6,1,0)*Reference!$D$12)</f>
        <v>382500</v>
      </c>
      <c r="M1050" s="20"/>
      <c r="N1050" s="20"/>
      <c r="O1050" s="19"/>
      <c r="P1050" s="10"/>
      <c r="Q1050" s="10"/>
      <c r="R1050" s="10"/>
      <c r="S1050" s="10"/>
      <c r="T1050" s="10"/>
      <c r="U1050" s="10"/>
      <c r="V1050" s="10"/>
      <c r="W1050" s="10"/>
      <c r="X1050" s="10"/>
      <c r="Y1050" s="10"/>
    </row>
    <row r="1051" spans="1:25" x14ac:dyDescent="0.25">
      <c r="A1051" s="9">
        <v>41589</v>
      </c>
      <c r="B1051" s="10">
        <f ca="1">ROUND(_xlfn.NORM.INV(RAND(),Reference!$C$8,0.1*Reference!$C$8)*(1+Reference!$C$11*(IF(MONTH($A1051)=Reference!$C$4,1,0)+IF(MONTH($A1051)=Reference!$C$5,1,0))+(IF(MONTH($A1051)=Reference!$C$6,Reference!$C$13,0))),0)</f>
        <v>292</v>
      </c>
      <c r="C1051" s="11">
        <f ca="1">B1051*Reference!$C$7*(1-IF(MONTH($A1051)=Reference!$C$6,1,0)*Reference!$C$12)</f>
        <v>271560</v>
      </c>
      <c r="D1051" s="10">
        <f ca="1">ROUND(_xlfn.NORM.INV(RAND(),Reference!$D$8,0.1*Reference!$D$8)*(1+Reference!$D$11*(IF(MONTH($A1051)=Reference!$D$4,1,0)+IF(MONTH($A1051)=Reference!$D$5,1,0))+(IF(MONTH($A1051)=Reference!$D$6,Reference!$D$13,0))),0)</f>
        <v>467</v>
      </c>
      <c r="E1051" s="11">
        <f ca="1">D1051*Reference!$D$7*(1-IF(MONTH($A1051)=Reference!$D$6,1,0)*Reference!$D$12)</f>
        <v>350250</v>
      </c>
      <c r="M1051" s="20"/>
      <c r="N1051" s="20"/>
      <c r="O1051" s="19"/>
      <c r="P1051" s="10"/>
      <c r="Q1051" s="10"/>
      <c r="R1051" s="10"/>
      <c r="S1051" s="10"/>
      <c r="T1051" s="10"/>
      <c r="U1051" s="10"/>
      <c r="V1051" s="10"/>
      <c r="W1051" s="10"/>
      <c r="X1051" s="10"/>
      <c r="Y1051" s="10"/>
    </row>
    <row r="1052" spans="1:25" x14ac:dyDescent="0.25">
      <c r="A1052" s="9">
        <v>41590</v>
      </c>
      <c r="B1052" s="10">
        <f ca="1">ROUND(_xlfn.NORM.INV(RAND(),Reference!$C$8,0.1*Reference!$C$8)*(1+Reference!$C$11*(IF(MONTH($A1052)=Reference!$C$4,1,0)+IF(MONTH($A1052)=Reference!$C$5,1,0))+(IF(MONTH($A1052)=Reference!$C$6,Reference!$C$13,0))),0)</f>
        <v>425</v>
      </c>
      <c r="C1052" s="11">
        <f ca="1">B1052*Reference!$C$7*(1-IF(MONTH($A1052)=Reference!$C$6,1,0)*Reference!$C$12)</f>
        <v>395250</v>
      </c>
      <c r="D1052" s="10">
        <f ca="1">ROUND(_xlfn.NORM.INV(RAND(),Reference!$D$8,0.1*Reference!$D$8)*(1+Reference!$D$11*(IF(MONTH($A1052)=Reference!$D$4,1,0)+IF(MONTH($A1052)=Reference!$D$5,1,0))+(IF(MONTH($A1052)=Reference!$D$6,Reference!$D$13,0))),0)</f>
        <v>495</v>
      </c>
      <c r="E1052" s="11">
        <f ca="1">D1052*Reference!$D$7*(1-IF(MONTH($A1052)=Reference!$D$6,1,0)*Reference!$D$12)</f>
        <v>371250</v>
      </c>
      <c r="M1052" s="20"/>
      <c r="N1052" s="20"/>
      <c r="O1052" s="19"/>
      <c r="P1052" s="10"/>
      <c r="Q1052" s="10"/>
      <c r="R1052" s="10"/>
      <c r="S1052" s="10"/>
      <c r="T1052" s="10"/>
      <c r="U1052" s="10"/>
      <c r="V1052" s="10"/>
      <c r="W1052" s="10"/>
      <c r="X1052" s="10"/>
      <c r="Y1052" s="10"/>
    </row>
    <row r="1053" spans="1:25" x14ac:dyDescent="0.25">
      <c r="A1053" s="9">
        <v>41591</v>
      </c>
      <c r="B1053" s="10">
        <f ca="1">ROUND(_xlfn.NORM.INV(RAND(),Reference!$C$8,0.1*Reference!$C$8)*(1+Reference!$C$11*(IF(MONTH($A1053)=Reference!$C$4,1,0)+IF(MONTH($A1053)=Reference!$C$5,1,0))+(IF(MONTH($A1053)=Reference!$C$6,Reference!$C$13,0))),0)</f>
        <v>314</v>
      </c>
      <c r="C1053" s="11">
        <f ca="1">B1053*Reference!$C$7*(1-IF(MONTH($A1053)=Reference!$C$6,1,0)*Reference!$C$12)</f>
        <v>292020</v>
      </c>
      <c r="D1053" s="10">
        <f ca="1">ROUND(_xlfn.NORM.INV(RAND(),Reference!$D$8,0.1*Reference!$D$8)*(1+Reference!$D$11*(IF(MONTH($A1053)=Reference!$D$4,1,0)+IF(MONTH($A1053)=Reference!$D$5,1,0))+(IF(MONTH($A1053)=Reference!$D$6,Reference!$D$13,0))),0)</f>
        <v>440</v>
      </c>
      <c r="E1053" s="11">
        <f ca="1">D1053*Reference!$D$7*(1-IF(MONTH($A1053)=Reference!$D$6,1,0)*Reference!$D$12)</f>
        <v>330000</v>
      </c>
      <c r="M1053" s="20"/>
      <c r="N1053" s="20"/>
      <c r="O1053" s="19"/>
      <c r="P1053" s="10"/>
      <c r="Q1053" s="10"/>
      <c r="R1053" s="10"/>
      <c r="S1053" s="10"/>
      <c r="T1053" s="10"/>
      <c r="U1053" s="10"/>
      <c r="V1053" s="10"/>
      <c r="W1053" s="10"/>
      <c r="X1053" s="10"/>
      <c r="Y1053" s="10"/>
    </row>
    <row r="1054" spans="1:25" x14ac:dyDescent="0.25">
      <c r="A1054" s="9">
        <v>41592</v>
      </c>
      <c r="B1054" s="10">
        <f ca="1">ROUND(_xlfn.NORM.INV(RAND(),Reference!$C$8,0.1*Reference!$C$8)*(1+Reference!$C$11*(IF(MONTH($A1054)=Reference!$C$4,1,0)+IF(MONTH($A1054)=Reference!$C$5,1,0))+(IF(MONTH($A1054)=Reference!$C$6,Reference!$C$13,0))),0)</f>
        <v>400</v>
      </c>
      <c r="C1054" s="11">
        <f ca="1">B1054*Reference!$C$7*(1-IF(MONTH($A1054)=Reference!$C$6,1,0)*Reference!$C$12)</f>
        <v>372000</v>
      </c>
      <c r="D1054" s="10">
        <f ca="1">ROUND(_xlfn.NORM.INV(RAND(),Reference!$D$8,0.1*Reference!$D$8)*(1+Reference!$D$11*(IF(MONTH($A1054)=Reference!$D$4,1,0)+IF(MONTH($A1054)=Reference!$D$5,1,0))+(IF(MONTH($A1054)=Reference!$D$6,Reference!$D$13,0))),0)</f>
        <v>437</v>
      </c>
      <c r="E1054" s="11">
        <f ca="1">D1054*Reference!$D$7*(1-IF(MONTH($A1054)=Reference!$D$6,1,0)*Reference!$D$12)</f>
        <v>327750</v>
      </c>
      <c r="M1054" s="20"/>
      <c r="N1054" s="20"/>
      <c r="O1054" s="19"/>
      <c r="P1054" s="10"/>
      <c r="Q1054" s="10"/>
      <c r="R1054" s="10"/>
      <c r="S1054" s="10"/>
      <c r="T1054" s="10"/>
      <c r="U1054" s="10"/>
      <c r="V1054" s="10"/>
      <c r="W1054" s="10"/>
      <c r="X1054" s="10"/>
      <c r="Y1054" s="10"/>
    </row>
    <row r="1055" spans="1:25" x14ac:dyDescent="0.25">
      <c r="A1055" s="9">
        <v>41593</v>
      </c>
      <c r="B1055" s="10">
        <f ca="1">ROUND(_xlfn.NORM.INV(RAND(),Reference!$C$8,0.1*Reference!$C$8)*(1+Reference!$C$11*(IF(MONTH($A1055)=Reference!$C$4,1,0)+IF(MONTH($A1055)=Reference!$C$5,1,0))+(IF(MONTH($A1055)=Reference!$C$6,Reference!$C$13,0))),0)</f>
        <v>369</v>
      </c>
      <c r="C1055" s="11">
        <f ca="1">B1055*Reference!$C$7*(1-IF(MONTH($A1055)=Reference!$C$6,1,0)*Reference!$C$12)</f>
        <v>343170</v>
      </c>
      <c r="D1055" s="10">
        <f ca="1">ROUND(_xlfn.NORM.INV(RAND(),Reference!$D$8,0.1*Reference!$D$8)*(1+Reference!$D$11*(IF(MONTH($A1055)=Reference!$D$4,1,0)+IF(MONTH($A1055)=Reference!$D$5,1,0))+(IF(MONTH($A1055)=Reference!$D$6,Reference!$D$13,0))),0)</f>
        <v>410</v>
      </c>
      <c r="E1055" s="11">
        <f ca="1">D1055*Reference!$D$7*(1-IF(MONTH($A1055)=Reference!$D$6,1,0)*Reference!$D$12)</f>
        <v>307500</v>
      </c>
      <c r="M1055" s="20"/>
      <c r="N1055" s="20"/>
      <c r="O1055" s="19"/>
      <c r="P1055" s="10"/>
      <c r="Q1055" s="10"/>
      <c r="R1055" s="10"/>
      <c r="S1055" s="10"/>
      <c r="T1055" s="10"/>
      <c r="U1055" s="10"/>
      <c r="V1055" s="10"/>
      <c r="W1055" s="10"/>
      <c r="X1055" s="10"/>
      <c r="Y1055" s="10"/>
    </row>
    <row r="1056" spans="1:25" x14ac:dyDescent="0.25">
      <c r="A1056" s="9">
        <v>41594</v>
      </c>
      <c r="B1056" s="10">
        <f ca="1">ROUND(_xlfn.NORM.INV(RAND(),Reference!$C$8,0.1*Reference!$C$8)*(1+Reference!$C$11*(IF(MONTH($A1056)=Reference!$C$4,1,0)+IF(MONTH($A1056)=Reference!$C$5,1,0))+(IF(MONTH($A1056)=Reference!$C$6,Reference!$C$13,0))),0)</f>
        <v>409</v>
      </c>
      <c r="C1056" s="11">
        <f ca="1">B1056*Reference!$C$7*(1-IF(MONTH($A1056)=Reference!$C$6,1,0)*Reference!$C$12)</f>
        <v>380370</v>
      </c>
      <c r="D1056" s="10">
        <f ca="1">ROUND(_xlfn.NORM.INV(RAND(),Reference!$D$8,0.1*Reference!$D$8)*(1+Reference!$D$11*(IF(MONTH($A1056)=Reference!$D$4,1,0)+IF(MONTH($A1056)=Reference!$D$5,1,0))+(IF(MONTH($A1056)=Reference!$D$6,Reference!$D$13,0))),0)</f>
        <v>427</v>
      </c>
      <c r="E1056" s="11">
        <f ca="1">D1056*Reference!$D$7*(1-IF(MONTH($A1056)=Reference!$D$6,1,0)*Reference!$D$12)</f>
        <v>320250</v>
      </c>
      <c r="M1056" s="20"/>
      <c r="N1056" s="20"/>
      <c r="O1056" s="19"/>
      <c r="P1056" s="10"/>
      <c r="Q1056" s="10"/>
      <c r="R1056" s="10"/>
      <c r="S1056" s="10"/>
      <c r="T1056" s="10"/>
      <c r="U1056" s="10"/>
      <c r="V1056" s="10"/>
      <c r="W1056" s="10"/>
      <c r="X1056" s="10"/>
      <c r="Y1056" s="10"/>
    </row>
    <row r="1057" spans="1:25" x14ac:dyDescent="0.25">
      <c r="A1057" s="9">
        <v>41595</v>
      </c>
      <c r="B1057" s="10">
        <f ca="1">ROUND(_xlfn.NORM.INV(RAND(),Reference!$C$8,0.1*Reference!$C$8)*(1+Reference!$C$11*(IF(MONTH($A1057)=Reference!$C$4,1,0)+IF(MONTH($A1057)=Reference!$C$5,1,0))+(IF(MONTH($A1057)=Reference!$C$6,Reference!$C$13,0))),0)</f>
        <v>430</v>
      </c>
      <c r="C1057" s="11">
        <f ca="1">B1057*Reference!$C$7*(1-IF(MONTH($A1057)=Reference!$C$6,1,0)*Reference!$C$12)</f>
        <v>399900</v>
      </c>
      <c r="D1057" s="10">
        <f ca="1">ROUND(_xlfn.NORM.INV(RAND(),Reference!$D$8,0.1*Reference!$D$8)*(1+Reference!$D$11*(IF(MONTH($A1057)=Reference!$D$4,1,0)+IF(MONTH($A1057)=Reference!$D$5,1,0))+(IF(MONTH($A1057)=Reference!$D$6,Reference!$D$13,0))),0)</f>
        <v>446</v>
      </c>
      <c r="E1057" s="11">
        <f ca="1">D1057*Reference!$D$7*(1-IF(MONTH($A1057)=Reference!$D$6,1,0)*Reference!$D$12)</f>
        <v>334500</v>
      </c>
      <c r="M1057" s="20"/>
      <c r="N1057" s="20"/>
      <c r="O1057" s="19"/>
      <c r="P1057" s="10"/>
      <c r="Q1057" s="10"/>
      <c r="R1057" s="10"/>
      <c r="S1057" s="10"/>
      <c r="T1057" s="10"/>
      <c r="U1057" s="10"/>
      <c r="V1057" s="10"/>
      <c r="W1057" s="10"/>
      <c r="X1057" s="10"/>
      <c r="Y1057" s="10"/>
    </row>
    <row r="1058" spans="1:25" x14ac:dyDescent="0.25">
      <c r="A1058" s="9">
        <v>41596</v>
      </c>
      <c r="B1058" s="10">
        <f ca="1">ROUND(_xlfn.NORM.INV(RAND(),Reference!$C$8,0.1*Reference!$C$8)*(1+Reference!$C$11*(IF(MONTH($A1058)=Reference!$C$4,1,0)+IF(MONTH($A1058)=Reference!$C$5,1,0))+(IF(MONTH($A1058)=Reference!$C$6,Reference!$C$13,0))),0)</f>
        <v>377</v>
      </c>
      <c r="C1058" s="11">
        <f ca="1">B1058*Reference!$C$7*(1-IF(MONTH($A1058)=Reference!$C$6,1,0)*Reference!$C$12)</f>
        <v>350610</v>
      </c>
      <c r="D1058" s="10">
        <f ca="1">ROUND(_xlfn.NORM.INV(RAND(),Reference!$D$8,0.1*Reference!$D$8)*(1+Reference!$D$11*(IF(MONTH($A1058)=Reference!$D$4,1,0)+IF(MONTH($A1058)=Reference!$D$5,1,0))+(IF(MONTH($A1058)=Reference!$D$6,Reference!$D$13,0))),0)</f>
        <v>405</v>
      </c>
      <c r="E1058" s="11">
        <f ca="1">D1058*Reference!$D$7*(1-IF(MONTH($A1058)=Reference!$D$6,1,0)*Reference!$D$12)</f>
        <v>303750</v>
      </c>
      <c r="M1058" s="20"/>
      <c r="N1058" s="20"/>
      <c r="O1058" s="19"/>
      <c r="P1058" s="10"/>
      <c r="Q1058" s="10"/>
      <c r="R1058" s="10"/>
      <c r="S1058" s="10"/>
      <c r="T1058" s="10"/>
      <c r="U1058" s="10"/>
      <c r="V1058" s="10"/>
      <c r="W1058" s="10"/>
      <c r="X1058" s="10"/>
      <c r="Y1058" s="10"/>
    </row>
    <row r="1059" spans="1:25" x14ac:dyDescent="0.25">
      <c r="A1059" s="9">
        <v>41597</v>
      </c>
      <c r="B1059" s="10">
        <f ca="1">ROUND(_xlfn.NORM.INV(RAND(),Reference!$C$8,0.1*Reference!$C$8)*(1+Reference!$C$11*(IF(MONTH($A1059)=Reference!$C$4,1,0)+IF(MONTH($A1059)=Reference!$C$5,1,0))+(IF(MONTH($A1059)=Reference!$C$6,Reference!$C$13,0))),0)</f>
        <v>333</v>
      </c>
      <c r="C1059" s="11">
        <f ca="1">B1059*Reference!$C$7*(1-IF(MONTH($A1059)=Reference!$C$6,1,0)*Reference!$C$12)</f>
        <v>309690</v>
      </c>
      <c r="D1059" s="10">
        <f ca="1">ROUND(_xlfn.NORM.INV(RAND(),Reference!$D$8,0.1*Reference!$D$8)*(1+Reference!$D$11*(IF(MONTH($A1059)=Reference!$D$4,1,0)+IF(MONTH($A1059)=Reference!$D$5,1,0))+(IF(MONTH($A1059)=Reference!$D$6,Reference!$D$13,0))),0)</f>
        <v>425</v>
      </c>
      <c r="E1059" s="11">
        <f ca="1">D1059*Reference!$D$7*(1-IF(MONTH($A1059)=Reference!$D$6,1,0)*Reference!$D$12)</f>
        <v>318750</v>
      </c>
      <c r="M1059" s="20"/>
      <c r="N1059" s="20"/>
      <c r="O1059" s="19"/>
      <c r="P1059" s="10"/>
      <c r="Q1059" s="10"/>
      <c r="R1059" s="10"/>
      <c r="S1059" s="10"/>
      <c r="T1059" s="10"/>
      <c r="U1059" s="10"/>
      <c r="V1059" s="10"/>
      <c r="W1059" s="10"/>
      <c r="X1059" s="10"/>
      <c r="Y1059" s="10"/>
    </row>
    <row r="1060" spans="1:25" x14ac:dyDescent="0.25">
      <c r="A1060" s="9">
        <v>41598</v>
      </c>
      <c r="B1060" s="10">
        <f ca="1">ROUND(_xlfn.NORM.INV(RAND(),Reference!$C$8,0.1*Reference!$C$8)*(1+Reference!$C$11*(IF(MONTH($A1060)=Reference!$C$4,1,0)+IF(MONTH($A1060)=Reference!$C$5,1,0))+(IF(MONTH($A1060)=Reference!$C$6,Reference!$C$13,0))),0)</f>
        <v>287</v>
      </c>
      <c r="C1060" s="11">
        <f ca="1">B1060*Reference!$C$7*(1-IF(MONTH($A1060)=Reference!$C$6,1,0)*Reference!$C$12)</f>
        <v>266910</v>
      </c>
      <c r="D1060" s="10">
        <f ca="1">ROUND(_xlfn.NORM.INV(RAND(),Reference!$D$8,0.1*Reference!$D$8)*(1+Reference!$D$11*(IF(MONTH($A1060)=Reference!$D$4,1,0)+IF(MONTH($A1060)=Reference!$D$5,1,0))+(IF(MONTH($A1060)=Reference!$D$6,Reference!$D$13,0))),0)</f>
        <v>400</v>
      </c>
      <c r="E1060" s="11">
        <f ca="1">D1060*Reference!$D$7*(1-IF(MONTH($A1060)=Reference!$D$6,1,0)*Reference!$D$12)</f>
        <v>300000</v>
      </c>
      <c r="M1060" s="20"/>
      <c r="N1060" s="20"/>
      <c r="O1060" s="19"/>
      <c r="P1060" s="10"/>
      <c r="Q1060" s="10"/>
      <c r="R1060" s="10"/>
      <c r="S1060" s="10"/>
      <c r="T1060" s="10"/>
      <c r="U1060" s="10"/>
      <c r="V1060" s="10"/>
      <c r="W1060" s="10"/>
      <c r="X1060" s="10"/>
      <c r="Y1060" s="10"/>
    </row>
    <row r="1061" spans="1:25" x14ac:dyDescent="0.25">
      <c r="A1061" s="9">
        <v>41599</v>
      </c>
      <c r="B1061" s="10">
        <f ca="1">ROUND(_xlfn.NORM.INV(RAND(),Reference!$C$8,0.1*Reference!$C$8)*(1+Reference!$C$11*(IF(MONTH($A1061)=Reference!$C$4,1,0)+IF(MONTH($A1061)=Reference!$C$5,1,0))+(IF(MONTH($A1061)=Reference!$C$6,Reference!$C$13,0))),0)</f>
        <v>380</v>
      </c>
      <c r="C1061" s="11">
        <f ca="1">B1061*Reference!$C$7*(1-IF(MONTH($A1061)=Reference!$C$6,1,0)*Reference!$C$12)</f>
        <v>353400</v>
      </c>
      <c r="D1061" s="10">
        <f ca="1">ROUND(_xlfn.NORM.INV(RAND(),Reference!$D$8,0.1*Reference!$D$8)*(1+Reference!$D$11*(IF(MONTH($A1061)=Reference!$D$4,1,0)+IF(MONTH($A1061)=Reference!$D$5,1,0))+(IF(MONTH($A1061)=Reference!$D$6,Reference!$D$13,0))),0)</f>
        <v>404</v>
      </c>
      <c r="E1061" s="11">
        <f ca="1">D1061*Reference!$D$7*(1-IF(MONTH($A1061)=Reference!$D$6,1,0)*Reference!$D$12)</f>
        <v>303000</v>
      </c>
      <c r="M1061" s="20"/>
      <c r="N1061" s="20"/>
      <c r="O1061" s="19"/>
      <c r="P1061" s="10"/>
      <c r="Q1061" s="10"/>
      <c r="R1061" s="10"/>
      <c r="S1061" s="10"/>
      <c r="T1061" s="10"/>
      <c r="U1061" s="10"/>
      <c r="V1061" s="10"/>
      <c r="W1061" s="10"/>
      <c r="X1061" s="10"/>
      <c r="Y1061" s="10"/>
    </row>
    <row r="1062" spans="1:25" x14ac:dyDescent="0.25">
      <c r="A1062" s="9">
        <v>41600</v>
      </c>
      <c r="B1062" s="10">
        <f ca="1">ROUND(_xlfn.NORM.INV(RAND(),Reference!$C$8,0.1*Reference!$C$8)*(1+Reference!$C$11*(IF(MONTH($A1062)=Reference!$C$4,1,0)+IF(MONTH($A1062)=Reference!$C$5,1,0))+(IF(MONTH($A1062)=Reference!$C$6,Reference!$C$13,0))),0)</f>
        <v>339</v>
      </c>
      <c r="C1062" s="11">
        <f ca="1">B1062*Reference!$C$7*(1-IF(MONTH($A1062)=Reference!$C$6,1,0)*Reference!$C$12)</f>
        <v>315270</v>
      </c>
      <c r="D1062" s="10">
        <f ca="1">ROUND(_xlfn.NORM.INV(RAND(),Reference!$D$8,0.1*Reference!$D$8)*(1+Reference!$D$11*(IF(MONTH($A1062)=Reference!$D$4,1,0)+IF(MONTH($A1062)=Reference!$D$5,1,0))+(IF(MONTH($A1062)=Reference!$D$6,Reference!$D$13,0))),0)</f>
        <v>396</v>
      </c>
      <c r="E1062" s="11">
        <f ca="1">D1062*Reference!$D$7*(1-IF(MONTH($A1062)=Reference!$D$6,1,0)*Reference!$D$12)</f>
        <v>297000</v>
      </c>
      <c r="M1062" s="20"/>
      <c r="N1062" s="20"/>
      <c r="O1062" s="19"/>
      <c r="P1062" s="10"/>
      <c r="Q1062" s="10"/>
      <c r="R1062" s="10"/>
      <c r="S1062" s="10"/>
      <c r="T1062" s="10"/>
      <c r="U1062" s="10"/>
      <c r="V1062" s="10"/>
      <c r="W1062" s="10"/>
      <c r="X1062" s="10"/>
      <c r="Y1062" s="10"/>
    </row>
    <row r="1063" spans="1:25" x14ac:dyDescent="0.25">
      <c r="A1063" s="9">
        <v>41601</v>
      </c>
      <c r="B1063" s="10">
        <f ca="1">ROUND(_xlfn.NORM.INV(RAND(),Reference!$C$8,0.1*Reference!$C$8)*(1+Reference!$C$11*(IF(MONTH($A1063)=Reference!$C$4,1,0)+IF(MONTH($A1063)=Reference!$C$5,1,0))+(IF(MONTH($A1063)=Reference!$C$6,Reference!$C$13,0))),0)</f>
        <v>346</v>
      </c>
      <c r="C1063" s="11">
        <f ca="1">B1063*Reference!$C$7*(1-IF(MONTH($A1063)=Reference!$C$6,1,0)*Reference!$C$12)</f>
        <v>321780</v>
      </c>
      <c r="D1063" s="10">
        <f ca="1">ROUND(_xlfn.NORM.INV(RAND(),Reference!$D$8,0.1*Reference!$D$8)*(1+Reference!$D$11*(IF(MONTH($A1063)=Reference!$D$4,1,0)+IF(MONTH($A1063)=Reference!$D$5,1,0))+(IF(MONTH($A1063)=Reference!$D$6,Reference!$D$13,0))),0)</f>
        <v>395</v>
      </c>
      <c r="E1063" s="11">
        <f ca="1">D1063*Reference!$D$7*(1-IF(MONTH($A1063)=Reference!$D$6,1,0)*Reference!$D$12)</f>
        <v>296250</v>
      </c>
      <c r="M1063" s="20"/>
      <c r="N1063" s="20"/>
      <c r="O1063" s="19"/>
      <c r="P1063" s="10"/>
      <c r="Q1063" s="10"/>
      <c r="R1063" s="10"/>
      <c r="S1063" s="10"/>
      <c r="T1063" s="10"/>
      <c r="U1063" s="10"/>
      <c r="V1063" s="10"/>
      <c r="W1063" s="10"/>
      <c r="X1063" s="10"/>
      <c r="Y1063" s="10"/>
    </row>
    <row r="1064" spans="1:25" x14ac:dyDescent="0.25">
      <c r="A1064" s="9">
        <v>41602</v>
      </c>
      <c r="B1064" s="10">
        <f ca="1">ROUND(_xlfn.NORM.INV(RAND(),Reference!$C$8,0.1*Reference!$C$8)*(1+Reference!$C$11*(IF(MONTH($A1064)=Reference!$C$4,1,0)+IF(MONTH($A1064)=Reference!$C$5,1,0))+(IF(MONTH($A1064)=Reference!$C$6,Reference!$C$13,0))),0)</f>
        <v>386</v>
      </c>
      <c r="C1064" s="11">
        <f ca="1">B1064*Reference!$C$7*(1-IF(MONTH($A1064)=Reference!$C$6,1,0)*Reference!$C$12)</f>
        <v>358980</v>
      </c>
      <c r="D1064" s="10">
        <f ca="1">ROUND(_xlfn.NORM.INV(RAND(),Reference!$D$8,0.1*Reference!$D$8)*(1+Reference!$D$11*(IF(MONTH($A1064)=Reference!$D$4,1,0)+IF(MONTH($A1064)=Reference!$D$5,1,0))+(IF(MONTH($A1064)=Reference!$D$6,Reference!$D$13,0))),0)</f>
        <v>418</v>
      </c>
      <c r="E1064" s="11">
        <f ca="1">D1064*Reference!$D$7*(1-IF(MONTH($A1064)=Reference!$D$6,1,0)*Reference!$D$12)</f>
        <v>313500</v>
      </c>
      <c r="M1064" s="20"/>
      <c r="N1064" s="20"/>
      <c r="O1064" s="19"/>
      <c r="P1064" s="10"/>
      <c r="Q1064" s="10"/>
      <c r="R1064" s="10"/>
      <c r="S1064" s="10"/>
      <c r="T1064" s="10"/>
      <c r="U1064" s="10"/>
      <c r="V1064" s="10"/>
      <c r="W1064" s="10"/>
      <c r="X1064" s="10"/>
      <c r="Y1064" s="10"/>
    </row>
    <row r="1065" spans="1:25" x14ac:dyDescent="0.25">
      <c r="A1065" s="9">
        <v>41603</v>
      </c>
      <c r="B1065" s="10">
        <f ca="1">ROUND(_xlfn.NORM.INV(RAND(),Reference!$C$8,0.1*Reference!$C$8)*(1+Reference!$C$11*(IF(MONTH($A1065)=Reference!$C$4,1,0)+IF(MONTH($A1065)=Reference!$C$5,1,0))+(IF(MONTH($A1065)=Reference!$C$6,Reference!$C$13,0))),0)</f>
        <v>358</v>
      </c>
      <c r="C1065" s="11">
        <f ca="1">B1065*Reference!$C$7*(1-IF(MONTH($A1065)=Reference!$C$6,1,0)*Reference!$C$12)</f>
        <v>332940</v>
      </c>
      <c r="D1065" s="10">
        <f ca="1">ROUND(_xlfn.NORM.INV(RAND(),Reference!$D$8,0.1*Reference!$D$8)*(1+Reference!$D$11*(IF(MONTH($A1065)=Reference!$D$4,1,0)+IF(MONTH($A1065)=Reference!$D$5,1,0))+(IF(MONTH($A1065)=Reference!$D$6,Reference!$D$13,0))),0)</f>
        <v>463</v>
      </c>
      <c r="E1065" s="11">
        <f ca="1">D1065*Reference!$D$7*(1-IF(MONTH($A1065)=Reference!$D$6,1,0)*Reference!$D$12)</f>
        <v>347250</v>
      </c>
      <c r="M1065" s="20"/>
      <c r="N1065" s="20"/>
      <c r="O1065" s="19"/>
      <c r="P1065" s="10"/>
      <c r="Q1065" s="10"/>
      <c r="R1065" s="10"/>
      <c r="S1065" s="10"/>
      <c r="T1065" s="10"/>
      <c r="U1065" s="10"/>
      <c r="V1065" s="10"/>
      <c r="W1065" s="10"/>
      <c r="X1065" s="10"/>
      <c r="Y1065" s="10"/>
    </row>
    <row r="1066" spans="1:25" x14ac:dyDescent="0.25">
      <c r="A1066" s="9">
        <v>41604</v>
      </c>
      <c r="B1066" s="10">
        <f ca="1">ROUND(_xlfn.NORM.INV(RAND(),Reference!$C$8,0.1*Reference!$C$8)*(1+Reference!$C$11*(IF(MONTH($A1066)=Reference!$C$4,1,0)+IF(MONTH($A1066)=Reference!$C$5,1,0))+(IF(MONTH($A1066)=Reference!$C$6,Reference!$C$13,0))),0)</f>
        <v>395</v>
      </c>
      <c r="C1066" s="11">
        <f ca="1">B1066*Reference!$C$7*(1-IF(MONTH($A1066)=Reference!$C$6,1,0)*Reference!$C$12)</f>
        <v>367350</v>
      </c>
      <c r="D1066" s="10">
        <f ca="1">ROUND(_xlfn.NORM.INV(RAND(),Reference!$D$8,0.1*Reference!$D$8)*(1+Reference!$D$11*(IF(MONTH($A1066)=Reference!$D$4,1,0)+IF(MONTH($A1066)=Reference!$D$5,1,0))+(IF(MONTH($A1066)=Reference!$D$6,Reference!$D$13,0))),0)</f>
        <v>541</v>
      </c>
      <c r="E1066" s="11">
        <f ca="1">D1066*Reference!$D$7*(1-IF(MONTH($A1066)=Reference!$D$6,1,0)*Reference!$D$12)</f>
        <v>405750</v>
      </c>
      <c r="M1066" s="20"/>
      <c r="N1066" s="20"/>
      <c r="O1066" s="19"/>
      <c r="P1066" s="10"/>
      <c r="Q1066" s="10"/>
      <c r="R1066" s="10"/>
      <c r="S1066" s="10"/>
      <c r="T1066" s="10"/>
      <c r="U1066" s="10"/>
      <c r="V1066" s="10"/>
      <c r="W1066" s="10"/>
      <c r="X1066" s="10"/>
      <c r="Y1066" s="10"/>
    </row>
    <row r="1067" spans="1:25" x14ac:dyDescent="0.25">
      <c r="A1067" s="9">
        <v>41605</v>
      </c>
      <c r="B1067" s="10">
        <f ca="1">ROUND(_xlfn.NORM.INV(RAND(),Reference!$C$8,0.1*Reference!$C$8)*(1+Reference!$C$11*(IF(MONTH($A1067)=Reference!$C$4,1,0)+IF(MONTH($A1067)=Reference!$C$5,1,0))+(IF(MONTH($A1067)=Reference!$C$6,Reference!$C$13,0))),0)</f>
        <v>326</v>
      </c>
      <c r="C1067" s="11">
        <f ca="1">B1067*Reference!$C$7*(1-IF(MONTH($A1067)=Reference!$C$6,1,0)*Reference!$C$12)</f>
        <v>303180</v>
      </c>
      <c r="D1067" s="10">
        <f ca="1">ROUND(_xlfn.NORM.INV(RAND(),Reference!$D$8,0.1*Reference!$D$8)*(1+Reference!$D$11*(IF(MONTH($A1067)=Reference!$D$4,1,0)+IF(MONTH($A1067)=Reference!$D$5,1,0))+(IF(MONTH($A1067)=Reference!$D$6,Reference!$D$13,0))),0)</f>
        <v>509</v>
      </c>
      <c r="E1067" s="11">
        <f ca="1">D1067*Reference!$D$7*(1-IF(MONTH($A1067)=Reference!$D$6,1,0)*Reference!$D$12)</f>
        <v>381750</v>
      </c>
      <c r="M1067" s="20"/>
      <c r="N1067" s="20"/>
      <c r="O1067" s="19"/>
      <c r="P1067" s="10"/>
      <c r="Q1067" s="10"/>
      <c r="R1067" s="10"/>
      <c r="S1067" s="10"/>
      <c r="T1067" s="10"/>
      <c r="U1067" s="10"/>
      <c r="V1067" s="10"/>
      <c r="W1067" s="10"/>
      <c r="X1067" s="10"/>
      <c r="Y1067" s="10"/>
    </row>
    <row r="1068" spans="1:25" x14ac:dyDescent="0.25">
      <c r="A1068" s="9">
        <v>41606</v>
      </c>
      <c r="B1068" s="10">
        <f ca="1">ROUND(_xlfn.NORM.INV(RAND(),Reference!$C$8,0.1*Reference!$C$8)*(1+Reference!$C$11*(IF(MONTH($A1068)=Reference!$C$4,1,0)+IF(MONTH($A1068)=Reference!$C$5,1,0))+(IF(MONTH($A1068)=Reference!$C$6,Reference!$C$13,0))),0)</f>
        <v>384</v>
      </c>
      <c r="C1068" s="11">
        <f ca="1">B1068*Reference!$C$7*(1-IF(MONTH($A1068)=Reference!$C$6,1,0)*Reference!$C$12)</f>
        <v>357120</v>
      </c>
      <c r="D1068" s="10">
        <f ca="1">ROUND(_xlfn.NORM.INV(RAND(),Reference!$D$8,0.1*Reference!$D$8)*(1+Reference!$D$11*(IF(MONTH($A1068)=Reference!$D$4,1,0)+IF(MONTH($A1068)=Reference!$D$5,1,0))+(IF(MONTH($A1068)=Reference!$D$6,Reference!$D$13,0))),0)</f>
        <v>339</v>
      </c>
      <c r="E1068" s="11">
        <f ca="1">D1068*Reference!$D$7*(1-IF(MONTH($A1068)=Reference!$D$6,1,0)*Reference!$D$12)</f>
        <v>254250</v>
      </c>
      <c r="M1068" s="20"/>
      <c r="N1068" s="20"/>
      <c r="O1068" s="19"/>
      <c r="P1068" s="10"/>
      <c r="Q1068" s="10"/>
      <c r="R1068" s="10"/>
      <c r="S1068" s="10"/>
      <c r="T1068" s="10"/>
      <c r="U1068" s="10"/>
      <c r="V1068" s="10"/>
      <c r="W1068" s="10"/>
      <c r="X1068" s="10"/>
      <c r="Y1068" s="10"/>
    </row>
    <row r="1069" spans="1:25" x14ac:dyDescent="0.25">
      <c r="A1069" s="9">
        <v>41607</v>
      </c>
      <c r="B1069" s="10">
        <f ca="1">ROUND(_xlfn.NORM.INV(RAND(),Reference!$C$8,0.1*Reference!$C$8)*(1+Reference!$C$11*(IF(MONTH($A1069)=Reference!$C$4,1,0)+IF(MONTH($A1069)=Reference!$C$5,1,0))+(IF(MONTH($A1069)=Reference!$C$6,Reference!$C$13,0))),0)</f>
        <v>397</v>
      </c>
      <c r="C1069" s="11">
        <f ca="1">B1069*Reference!$C$7*(1-IF(MONTH($A1069)=Reference!$C$6,1,0)*Reference!$C$12)</f>
        <v>369210</v>
      </c>
      <c r="D1069" s="10">
        <f ca="1">ROUND(_xlfn.NORM.INV(RAND(),Reference!$D$8,0.1*Reference!$D$8)*(1+Reference!$D$11*(IF(MONTH($A1069)=Reference!$D$4,1,0)+IF(MONTH($A1069)=Reference!$D$5,1,0))+(IF(MONTH($A1069)=Reference!$D$6,Reference!$D$13,0))),0)</f>
        <v>473</v>
      </c>
      <c r="E1069" s="11">
        <f ca="1">D1069*Reference!$D$7*(1-IF(MONTH($A1069)=Reference!$D$6,1,0)*Reference!$D$12)</f>
        <v>354750</v>
      </c>
      <c r="M1069" s="20"/>
      <c r="N1069" s="20"/>
      <c r="O1069" s="19"/>
      <c r="P1069" s="10"/>
      <c r="Q1069" s="10"/>
      <c r="R1069" s="10"/>
      <c r="S1069" s="10"/>
      <c r="T1069" s="10"/>
      <c r="U1069" s="10"/>
      <c r="V1069" s="10"/>
      <c r="W1069" s="10"/>
      <c r="X1069" s="10"/>
      <c r="Y1069" s="10"/>
    </row>
    <row r="1070" spans="1:25" x14ac:dyDescent="0.25">
      <c r="A1070" s="9">
        <v>41608</v>
      </c>
      <c r="B1070" s="10">
        <f ca="1">ROUND(_xlfn.NORM.INV(RAND(),Reference!$C$8,0.1*Reference!$C$8)*(1+Reference!$C$11*(IF(MONTH($A1070)=Reference!$C$4,1,0)+IF(MONTH($A1070)=Reference!$C$5,1,0))+(IF(MONTH($A1070)=Reference!$C$6,Reference!$C$13,0))),0)</f>
        <v>304</v>
      </c>
      <c r="C1070" s="11">
        <f ca="1">B1070*Reference!$C$7*(1-IF(MONTH($A1070)=Reference!$C$6,1,0)*Reference!$C$12)</f>
        <v>282720</v>
      </c>
      <c r="D1070" s="10">
        <f ca="1">ROUND(_xlfn.NORM.INV(RAND(),Reference!$D$8,0.1*Reference!$D$8)*(1+Reference!$D$11*(IF(MONTH($A1070)=Reference!$D$4,1,0)+IF(MONTH($A1070)=Reference!$D$5,1,0))+(IF(MONTH($A1070)=Reference!$D$6,Reference!$D$13,0))),0)</f>
        <v>457</v>
      </c>
      <c r="E1070" s="11">
        <f ca="1">D1070*Reference!$D$7*(1-IF(MONTH($A1070)=Reference!$D$6,1,0)*Reference!$D$12)</f>
        <v>342750</v>
      </c>
      <c r="M1070" s="20"/>
      <c r="N1070" s="20"/>
      <c r="O1070" s="19"/>
      <c r="P1070" s="10"/>
      <c r="Q1070" s="10"/>
      <c r="R1070" s="10"/>
      <c r="S1070" s="10"/>
      <c r="T1070" s="10"/>
      <c r="U1070" s="10"/>
      <c r="V1070" s="10"/>
      <c r="W1070" s="10"/>
      <c r="X1070" s="10"/>
      <c r="Y1070" s="10"/>
    </row>
    <row r="1071" spans="1:25" x14ac:dyDescent="0.25">
      <c r="A1071" s="9">
        <v>41609</v>
      </c>
      <c r="B1071" s="10">
        <f ca="1">ROUND(_xlfn.NORM.INV(RAND(),Reference!$C$8,0.1*Reference!$C$8)*(1+Reference!$C$11*(IF(MONTH($A1071)=Reference!$C$4,1,0)+IF(MONTH($A1071)=Reference!$C$5,1,0))+(IF(MONTH($A1071)=Reference!$C$6,Reference!$C$13,0))),0)</f>
        <v>329</v>
      </c>
      <c r="C1071" s="11">
        <f ca="1">B1071*Reference!$C$7*(1-IF(MONTH($A1071)=Reference!$C$6,1,0)*Reference!$C$12)</f>
        <v>305970</v>
      </c>
      <c r="D1071" s="10">
        <f ca="1">ROUND(_xlfn.NORM.INV(RAND(),Reference!$D$8,0.1*Reference!$D$8)*(1+Reference!$D$11*(IF(MONTH($A1071)=Reference!$D$4,1,0)+IF(MONTH($A1071)=Reference!$D$5,1,0))+(IF(MONTH($A1071)=Reference!$D$6,Reference!$D$13,0))),0)</f>
        <v>512</v>
      </c>
      <c r="E1071" s="11">
        <f ca="1">D1071*Reference!$D$7*(1-IF(MONTH($A1071)=Reference!$D$6,1,0)*Reference!$D$12)</f>
        <v>384000</v>
      </c>
      <c r="M1071" s="20"/>
      <c r="N1071" s="20"/>
      <c r="O1071" s="19"/>
      <c r="P1071" s="10"/>
      <c r="Q1071" s="10"/>
      <c r="R1071" s="10"/>
      <c r="S1071" s="10"/>
      <c r="T1071" s="10"/>
      <c r="U1071" s="10"/>
      <c r="V1071" s="10"/>
      <c r="W1071" s="10"/>
      <c r="X1071" s="10"/>
      <c r="Y1071" s="10"/>
    </row>
    <row r="1072" spans="1:25" x14ac:dyDescent="0.25">
      <c r="A1072" s="9">
        <v>41610</v>
      </c>
      <c r="B1072" s="10">
        <f ca="1">ROUND(_xlfn.NORM.INV(RAND(),Reference!$C$8,0.1*Reference!$C$8)*(1+Reference!$C$11*(IF(MONTH($A1072)=Reference!$C$4,1,0)+IF(MONTH($A1072)=Reference!$C$5,1,0))+(IF(MONTH($A1072)=Reference!$C$6,Reference!$C$13,0))),0)</f>
        <v>403</v>
      </c>
      <c r="C1072" s="11">
        <f ca="1">B1072*Reference!$C$7*(1-IF(MONTH($A1072)=Reference!$C$6,1,0)*Reference!$C$12)</f>
        <v>374790</v>
      </c>
      <c r="D1072" s="10">
        <f ca="1">ROUND(_xlfn.NORM.INV(RAND(),Reference!$D$8,0.1*Reference!$D$8)*(1+Reference!$D$11*(IF(MONTH($A1072)=Reference!$D$4,1,0)+IF(MONTH($A1072)=Reference!$D$5,1,0))+(IF(MONTH($A1072)=Reference!$D$6,Reference!$D$13,0))),0)</f>
        <v>484</v>
      </c>
      <c r="E1072" s="11">
        <f ca="1">D1072*Reference!$D$7*(1-IF(MONTH($A1072)=Reference!$D$6,1,0)*Reference!$D$12)</f>
        <v>363000</v>
      </c>
      <c r="M1072" s="20"/>
      <c r="N1072" s="20"/>
      <c r="O1072" s="19"/>
      <c r="P1072" s="10"/>
      <c r="Q1072" s="10"/>
      <c r="R1072" s="10"/>
      <c r="S1072" s="10"/>
      <c r="T1072" s="10"/>
      <c r="U1072" s="10"/>
      <c r="V1072" s="10"/>
      <c r="W1072" s="10"/>
      <c r="X1072" s="10"/>
      <c r="Y1072" s="10"/>
    </row>
    <row r="1073" spans="1:25" x14ac:dyDescent="0.25">
      <c r="A1073" s="9">
        <v>41611</v>
      </c>
      <c r="B1073" s="10">
        <f ca="1">ROUND(_xlfn.NORM.INV(RAND(),Reference!$C$8,0.1*Reference!$C$8)*(1+Reference!$C$11*(IF(MONTH($A1073)=Reference!$C$4,1,0)+IF(MONTH($A1073)=Reference!$C$5,1,0))+(IF(MONTH($A1073)=Reference!$C$6,Reference!$C$13,0))),0)</f>
        <v>314</v>
      </c>
      <c r="C1073" s="11">
        <f ca="1">B1073*Reference!$C$7*(1-IF(MONTH($A1073)=Reference!$C$6,1,0)*Reference!$C$12)</f>
        <v>292020</v>
      </c>
      <c r="D1073" s="10">
        <f ca="1">ROUND(_xlfn.NORM.INV(RAND(),Reference!$D$8,0.1*Reference!$D$8)*(1+Reference!$D$11*(IF(MONTH($A1073)=Reference!$D$4,1,0)+IF(MONTH($A1073)=Reference!$D$5,1,0))+(IF(MONTH($A1073)=Reference!$D$6,Reference!$D$13,0))),0)</f>
        <v>371</v>
      </c>
      <c r="E1073" s="11">
        <f ca="1">D1073*Reference!$D$7*(1-IF(MONTH($A1073)=Reference!$D$6,1,0)*Reference!$D$12)</f>
        <v>278250</v>
      </c>
      <c r="M1073" s="20"/>
      <c r="N1073" s="20"/>
      <c r="O1073" s="19"/>
      <c r="P1073" s="10"/>
      <c r="Q1073" s="10"/>
      <c r="R1073" s="10"/>
      <c r="S1073" s="10"/>
      <c r="T1073" s="10"/>
      <c r="U1073" s="10"/>
      <c r="V1073" s="10"/>
      <c r="W1073" s="10"/>
      <c r="X1073" s="10"/>
      <c r="Y1073" s="10"/>
    </row>
    <row r="1074" spans="1:25" x14ac:dyDescent="0.25">
      <c r="A1074" s="9">
        <v>41612</v>
      </c>
      <c r="B1074" s="10">
        <f ca="1">ROUND(_xlfn.NORM.INV(RAND(),Reference!$C$8,0.1*Reference!$C$8)*(1+Reference!$C$11*(IF(MONTH($A1074)=Reference!$C$4,1,0)+IF(MONTH($A1074)=Reference!$C$5,1,0))+(IF(MONTH($A1074)=Reference!$C$6,Reference!$C$13,0))),0)</f>
        <v>279</v>
      </c>
      <c r="C1074" s="11">
        <f ca="1">B1074*Reference!$C$7*(1-IF(MONTH($A1074)=Reference!$C$6,1,0)*Reference!$C$12)</f>
        <v>259470</v>
      </c>
      <c r="D1074" s="10">
        <f ca="1">ROUND(_xlfn.NORM.INV(RAND(),Reference!$D$8,0.1*Reference!$D$8)*(1+Reference!$D$11*(IF(MONTH($A1074)=Reference!$D$4,1,0)+IF(MONTH($A1074)=Reference!$D$5,1,0))+(IF(MONTH($A1074)=Reference!$D$6,Reference!$D$13,0))),0)</f>
        <v>428</v>
      </c>
      <c r="E1074" s="11">
        <f ca="1">D1074*Reference!$D$7*(1-IF(MONTH($A1074)=Reference!$D$6,1,0)*Reference!$D$12)</f>
        <v>321000</v>
      </c>
      <c r="M1074" s="20"/>
      <c r="N1074" s="20"/>
      <c r="O1074" s="19"/>
      <c r="P1074" s="10"/>
      <c r="Q1074" s="10"/>
      <c r="R1074" s="10"/>
      <c r="S1074" s="10"/>
      <c r="T1074" s="10"/>
      <c r="U1074" s="10"/>
      <c r="V1074" s="10"/>
      <c r="W1074" s="10"/>
      <c r="X1074" s="10"/>
      <c r="Y1074" s="10"/>
    </row>
    <row r="1075" spans="1:25" x14ac:dyDescent="0.25">
      <c r="A1075" s="9">
        <v>41613</v>
      </c>
      <c r="B1075" s="10">
        <f ca="1">ROUND(_xlfn.NORM.INV(RAND(),Reference!$C$8,0.1*Reference!$C$8)*(1+Reference!$C$11*(IF(MONTH($A1075)=Reference!$C$4,1,0)+IF(MONTH($A1075)=Reference!$C$5,1,0))+(IF(MONTH($A1075)=Reference!$C$6,Reference!$C$13,0))),0)</f>
        <v>399</v>
      </c>
      <c r="C1075" s="11">
        <f ca="1">B1075*Reference!$C$7*(1-IF(MONTH($A1075)=Reference!$C$6,1,0)*Reference!$C$12)</f>
        <v>371070</v>
      </c>
      <c r="D1075" s="10">
        <f ca="1">ROUND(_xlfn.NORM.INV(RAND(),Reference!$D$8,0.1*Reference!$D$8)*(1+Reference!$D$11*(IF(MONTH($A1075)=Reference!$D$4,1,0)+IF(MONTH($A1075)=Reference!$D$5,1,0))+(IF(MONTH($A1075)=Reference!$D$6,Reference!$D$13,0))),0)</f>
        <v>423</v>
      </c>
      <c r="E1075" s="11">
        <f ca="1">D1075*Reference!$D$7*(1-IF(MONTH($A1075)=Reference!$D$6,1,0)*Reference!$D$12)</f>
        <v>317250</v>
      </c>
      <c r="M1075" s="20"/>
      <c r="N1075" s="20"/>
      <c r="O1075" s="19"/>
      <c r="P1075" s="10"/>
      <c r="Q1075" s="10"/>
      <c r="R1075" s="10"/>
      <c r="S1075" s="10"/>
      <c r="T1075" s="10"/>
      <c r="U1075" s="10"/>
      <c r="V1075" s="10"/>
      <c r="W1075" s="10"/>
      <c r="X1075" s="10"/>
      <c r="Y1075" s="10"/>
    </row>
    <row r="1076" spans="1:25" x14ac:dyDescent="0.25">
      <c r="A1076" s="9">
        <v>41614</v>
      </c>
      <c r="B1076" s="10">
        <f ca="1">ROUND(_xlfn.NORM.INV(RAND(),Reference!$C$8,0.1*Reference!$C$8)*(1+Reference!$C$11*(IF(MONTH($A1076)=Reference!$C$4,1,0)+IF(MONTH($A1076)=Reference!$C$5,1,0))+(IF(MONTH($A1076)=Reference!$C$6,Reference!$C$13,0))),0)</f>
        <v>378</v>
      </c>
      <c r="C1076" s="11">
        <f ca="1">B1076*Reference!$C$7*(1-IF(MONTH($A1076)=Reference!$C$6,1,0)*Reference!$C$12)</f>
        <v>351540</v>
      </c>
      <c r="D1076" s="10">
        <f ca="1">ROUND(_xlfn.NORM.INV(RAND(),Reference!$D$8,0.1*Reference!$D$8)*(1+Reference!$D$11*(IF(MONTH($A1076)=Reference!$D$4,1,0)+IF(MONTH($A1076)=Reference!$D$5,1,0))+(IF(MONTH($A1076)=Reference!$D$6,Reference!$D$13,0))),0)</f>
        <v>462</v>
      </c>
      <c r="E1076" s="11">
        <f ca="1">D1076*Reference!$D$7*(1-IF(MONTH($A1076)=Reference!$D$6,1,0)*Reference!$D$12)</f>
        <v>346500</v>
      </c>
      <c r="M1076" s="20"/>
      <c r="N1076" s="20"/>
      <c r="O1076" s="19"/>
      <c r="P1076" s="10"/>
      <c r="Q1076" s="10"/>
      <c r="R1076" s="10"/>
      <c r="S1076" s="10"/>
      <c r="T1076" s="10"/>
      <c r="U1076" s="10"/>
      <c r="V1076" s="10"/>
      <c r="W1076" s="10"/>
      <c r="X1076" s="10"/>
      <c r="Y1076" s="10"/>
    </row>
    <row r="1077" spans="1:25" x14ac:dyDescent="0.25">
      <c r="A1077" s="9">
        <v>41615</v>
      </c>
      <c r="B1077" s="10">
        <f ca="1">ROUND(_xlfn.NORM.INV(RAND(),Reference!$C$8,0.1*Reference!$C$8)*(1+Reference!$C$11*(IF(MONTH($A1077)=Reference!$C$4,1,0)+IF(MONTH($A1077)=Reference!$C$5,1,0))+(IF(MONTH($A1077)=Reference!$C$6,Reference!$C$13,0))),0)</f>
        <v>344</v>
      </c>
      <c r="C1077" s="11">
        <f ca="1">B1077*Reference!$C$7*(1-IF(MONTH($A1077)=Reference!$C$6,1,0)*Reference!$C$12)</f>
        <v>319920</v>
      </c>
      <c r="D1077" s="10">
        <f ca="1">ROUND(_xlfn.NORM.INV(RAND(),Reference!$D$8,0.1*Reference!$D$8)*(1+Reference!$D$11*(IF(MONTH($A1077)=Reference!$D$4,1,0)+IF(MONTH($A1077)=Reference!$D$5,1,0))+(IF(MONTH($A1077)=Reference!$D$6,Reference!$D$13,0))),0)</f>
        <v>485</v>
      </c>
      <c r="E1077" s="11">
        <f ca="1">D1077*Reference!$D$7*(1-IF(MONTH($A1077)=Reference!$D$6,1,0)*Reference!$D$12)</f>
        <v>363750</v>
      </c>
      <c r="M1077" s="20"/>
      <c r="N1077" s="20"/>
      <c r="O1077" s="19"/>
      <c r="P1077" s="10"/>
      <c r="Q1077" s="10"/>
      <c r="R1077" s="10"/>
      <c r="S1077" s="10"/>
      <c r="T1077" s="10"/>
      <c r="U1077" s="10"/>
      <c r="V1077" s="10"/>
      <c r="W1077" s="10"/>
      <c r="X1077" s="10"/>
      <c r="Y1077" s="10"/>
    </row>
    <row r="1078" spans="1:25" x14ac:dyDescent="0.25">
      <c r="A1078" s="9">
        <v>41616</v>
      </c>
      <c r="B1078" s="10">
        <f ca="1">ROUND(_xlfn.NORM.INV(RAND(),Reference!$C$8,0.1*Reference!$C$8)*(1+Reference!$C$11*(IF(MONTH($A1078)=Reference!$C$4,1,0)+IF(MONTH($A1078)=Reference!$C$5,1,0))+(IF(MONTH($A1078)=Reference!$C$6,Reference!$C$13,0))),0)</f>
        <v>385</v>
      </c>
      <c r="C1078" s="11">
        <f ca="1">B1078*Reference!$C$7*(1-IF(MONTH($A1078)=Reference!$C$6,1,0)*Reference!$C$12)</f>
        <v>358050</v>
      </c>
      <c r="D1078" s="10">
        <f ca="1">ROUND(_xlfn.NORM.INV(RAND(),Reference!$D$8,0.1*Reference!$D$8)*(1+Reference!$D$11*(IF(MONTH($A1078)=Reference!$D$4,1,0)+IF(MONTH($A1078)=Reference!$D$5,1,0))+(IF(MONTH($A1078)=Reference!$D$6,Reference!$D$13,0))),0)</f>
        <v>437</v>
      </c>
      <c r="E1078" s="11">
        <f ca="1">D1078*Reference!$D$7*(1-IF(MONTH($A1078)=Reference!$D$6,1,0)*Reference!$D$12)</f>
        <v>327750</v>
      </c>
      <c r="M1078" s="20"/>
      <c r="N1078" s="20"/>
      <c r="O1078" s="19"/>
      <c r="P1078" s="10"/>
      <c r="Q1078" s="10"/>
      <c r="R1078" s="10"/>
      <c r="S1078" s="10"/>
      <c r="T1078" s="10"/>
      <c r="U1078" s="10"/>
      <c r="V1078" s="10"/>
      <c r="W1078" s="10"/>
      <c r="X1078" s="10"/>
      <c r="Y1078" s="10"/>
    </row>
    <row r="1079" spans="1:25" x14ac:dyDescent="0.25">
      <c r="A1079" s="9">
        <v>41617</v>
      </c>
      <c r="B1079" s="10">
        <f ca="1">ROUND(_xlfn.NORM.INV(RAND(),Reference!$C$8,0.1*Reference!$C$8)*(1+Reference!$C$11*(IF(MONTH($A1079)=Reference!$C$4,1,0)+IF(MONTH($A1079)=Reference!$C$5,1,0))+(IF(MONTH($A1079)=Reference!$C$6,Reference!$C$13,0))),0)</f>
        <v>310</v>
      </c>
      <c r="C1079" s="11">
        <f ca="1">B1079*Reference!$C$7*(1-IF(MONTH($A1079)=Reference!$C$6,1,0)*Reference!$C$12)</f>
        <v>288300</v>
      </c>
      <c r="D1079" s="10">
        <f ca="1">ROUND(_xlfn.NORM.INV(RAND(),Reference!$D$8,0.1*Reference!$D$8)*(1+Reference!$D$11*(IF(MONTH($A1079)=Reference!$D$4,1,0)+IF(MONTH($A1079)=Reference!$D$5,1,0))+(IF(MONTH($A1079)=Reference!$D$6,Reference!$D$13,0))),0)</f>
        <v>515</v>
      </c>
      <c r="E1079" s="11">
        <f ca="1">D1079*Reference!$D$7*(1-IF(MONTH($A1079)=Reference!$D$6,1,0)*Reference!$D$12)</f>
        <v>386250</v>
      </c>
      <c r="M1079" s="20"/>
      <c r="N1079" s="20"/>
      <c r="O1079" s="19"/>
      <c r="P1079" s="10"/>
      <c r="Q1079" s="10"/>
      <c r="R1079" s="10"/>
      <c r="S1079" s="10"/>
      <c r="T1079" s="10"/>
      <c r="U1079" s="10"/>
      <c r="V1079" s="10"/>
      <c r="W1079" s="10"/>
      <c r="X1079" s="10"/>
      <c r="Y1079" s="10"/>
    </row>
    <row r="1080" spans="1:25" x14ac:dyDescent="0.25">
      <c r="A1080" s="9">
        <v>41618</v>
      </c>
      <c r="B1080" s="10">
        <f ca="1">ROUND(_xlfn.NORM.INV(RAND(),Reference!$C$8,0.1*Reference!$C$8)*(1+Reference!$C$11*(IF(MONTH($A1080)=Reference!$C$4,1,0)+IF(MONTH($A1080)=Reference!$C$5,1,0))+(IF(MONTH($A1080)=Reference!$C$6,Reference!$C$13,0))),0)</f>
        <v>299</v>
      </c>
      <c r="C1080" s="11">
        <f ca="1">B1080*Reference!$C$7*(1-IF(MONTH($A1080)=Reference!$C$6,1,0)*Reference!$C$12)</f>
        <v>278070</v>
      </c>
      <c r="D1080" s="10">
        <f ca="1">ROUND(_xlfn.NORM.INV(RAND(),Reference!$D$8,0.1*Reference!$D$8)*(1+Reference!$D$11*(IF(MONTH($A1080)=Reference!$D$4,1,0)+IF(MONTH($A1080)=Reference!$D$5,1,0))+(IF(MONTH($A1080)=Reference!$D$6,Reference!$D$13,0))),0)</f>
        <v>412</v>
      </c>
      <c r="E1080" s="11">
        <f ca="1">D1080*Reference!$D$7*(1-IF(MONTH($A1080)=Reference!$D$6,1,0)*Reference!$D$12)</f>
        <v>309000</v>
      </c>
      <c r="M1080" s="20"/>
      <c r="N1080" s="20"/>
      <c r="O1080" s="19"/>
      <c r="P1080" s="10"/>
      <c r="Q1080" s="10"/>
      <c r="R1080" s="10"/>
      <c r="S1080" s="10"/>
      <c r="T1080" s="10"/>
      <c r="U1080" s="10"/>
      <c r="V1080" s="10"/>
      <c r="W1080" s="10"/>
      <c r="X1080" s="10"/>
      <c r="Y1080" s="10"/>
    </row>
    <row r="1081" spans="1:25" x14ac:dyDescent="0.25">
      <c r="A1081" s="9">
        <v>41619</v>
      </c>
      <c r="B1081" s="10">
        <f ca="1">ROUND(_xlfn.NORM.INV(RAND(),Reference!$C$8,0.1*Reference!$C$8)*(1+Reference!$C$11*(IF(MONTH($A1081)=Reference!$C$4,1,0)+IF(MONTH($A1081)=Reference!$C$5,1,0))+(IF(MONTH($A1081)=Reference!$C$6,Reference!$C$13,0))),0)</f>
        <v>383</v>
      </c>
      <c r="C1081" s="11">
        <f ca="1">B1081*Reference!$C$7*(1-IF(MONTH($A1081)=Reference!$C$6,1,0)*Reference!$C$12)</f>
        <v>356190</v>
      </c>
      <c r="D1081" s="10">
        <f ca="1">ROUND(_xlfn.NORM.INV(RAND(),Reference!$D$8,0.1*Reference!$D$8)*(1+Reference!$D$11*(IF(MONTH($A1081)=Reference!$D$4,1,0)+IF(MONTH($A1081)=Reference!$D$5,1,0))+(IF(MONTH($A1081)=Reference!$D$6,Reference!$D$13,0))),0)</f>
        <v>349</v>
      </c>
      <c r="E1081" s="11">
        <f ca="1">D1081*Reference!$D$7*(1-IF(MONTH($A1081)=Reference!$D$6,1,0)*Reference!$D$12)</f>
        <v>261750</v>
      </c>
      <c r="M1081" s="20"/>
      <c r="N1081" s="20"/>
      <c r="O1081" s="19"/>
      <c r="P1081" s="10"/>
      <c r="Q1081" s="10"/>
      <c r="R1081" s="10"/>
      <c r="S1081" s="10"/>
      <c r="T1081" s="10"/>
      <c r="U1081" s="10"/>
      <c r="V1081" s="10"/>
      <c r="W1081" s="10"/>
      <c r="X1081" s="10"/>
      <c r="Y1081" s="10"/>
    </row>
    <row r="1082" spans="1:25" x14ac:dyDescent="0.25">
      <c r="A1082" s="9">
        <v>41620</v>
      </c>
      <c r="B1082" s="10">
        <f ca="1">ROUND(_xlfn.NORM.INV(RAND(),Reference!$C$8,0.1*Reference!$C$8)*(1+Reference!$C$11*(IF(MONTH($A1082)=Reference!$C$4,1,0)+IF(MONTH($A1082)=Reference!$C$5,1,0))+(IF(MONTH($A1082)=Reference!$C$6,Reference!$C$13,0))),0)</f>
        <v>370</v>
      </c>
      <c r="C1082" s="11">
        <f ca="1">B1082*Reference!$C$7*(1-IF(MONTH($A1082)=Reference!$C$6,1,0)*Reference!$C$12)</f>
        <v>344100</v>
      </c>
      <c r="D1082" s="10">
        <f ca="1">ROUND(_xlfn.NORM.INV(RAND(),Reference!$D$8,0.1*Reference!$D$8)*(1+Reference!$D$11*(IF(MONTH($A1082)=Reference!$D$4,1,0)+IF(MONTH($A1082)=Reference!$D$5,1,0))+(IF(MONTH($A1082)=Reference!$D$6,Reference!$D$13,0))),0)</f>
        <v>453</v>
      </c>
      <c r="E1082" s="11">
        <f ca="1">D1082*Reference!$D$7*(1-IF(MONTH($A1082)=Reference!$D$6,1,0)*Reference!$D$12)</f>
        <v>339750</v>
      </c>
      <c r="M1082" s="20"/>
      <c r="N1082" s="20"/>
      <c r="O1082" s="19"/>
      <c r="P1082" s="10"/>
      <c r="Q1082" s="10"/>
      <c r="R1082" s="10"/>
      <c r="S1082" s="10"/>
      <c r="T1082" s="10"/>
      <c r="U1082" s="10"/>
      <c r="V1082" s="10"/>
      <c r="W1082" s="10"/>
      <c r="X1082" s="10"/>
      <c r="Y1082" s="10"/>
    </row>
    <row r="1083" spans="1:25" x14ac:dyDescent="0.25">
      <c r="A1083" s="9">
        <v>41621</v>
      </c>
      <c r="B1083" s="10">
        <f ca="1">ROUND(_xlfn.NORM.INV(RAND(),Reference!$C$8,0.1*Reference!$C$8)*(1+Reference!$C$11*(IF(MONTH($A1083)=Reference!$C$4,1,0)+IF(MONTH($A1083)=Reference!$C$5,1,0))+(IF(MONTH($A1083)=Reference!$C$6,Reference!$C$13,0))),0)</f>
        <v>317</v>
      </c>
      <c r="C1083" s="11">
        <f ca="1">B1083*Reference!$C$7*(1-IF(MONTH($A1083)=Reference!$C$6,1,0)*Reference!$C$12)</f>
        <v>294810</v>
      </c>
      <c r="D1083" s="10">
        <f ca="1">ROUND(_xlfn.NORM.INV(RAND(),Reference!$D$8,0.1*Reference!$D$8)*(1+Reference!$D$11*(IF(MONTH($A1083)=Reference!$D$4,1,0)+IF(MONTH($A1083)=Reference!$D$5,1,0))+(IF(MONTH($A1083)=Reference!$D$6,Reference!$D$13,0))),0)</f>
        <v>439</v>
      </c>
      <c r="E1083" s="11">
        <f ca="1">D1083*Reference!$D$7*(1-IF(MONTH($A1083)=Reference!$D$6,1,0)*Reference!$D$12)</f>
        <v>329250</v>
      </c>
      <c r="M1083" s="20"/>
      <c r="N1083" s="20"/>
      <c r="O1083" s="19"/>
      <c r="P1083" s="10"/>
      <c r="Q1083" s="10"/>
      <c r="R1083" s="10"/>
      <c r="S1083" s="10"/>
      <c r="T1083" s="10"/>
      <c r="U1083" s="10"/>
      <c r="V1083" s="10"/>
      <c r="W1083" s="10"/>
      <c r="X1083" s="10"/>
      <c r="Y1083" s="10"/>
    </row>
    <row r="1084" spans="1:25" x14ac:dyDescent="0.25">
      <c r="A1084" s="9">
        <v>41622</v>
      </c>
      <c r="B1084" s="10">
        <f ca="1">ROUND(_xlfn.NORM.INV(RAND(),Reference!$C$8,0.1*Reference!$C$8)*(1+Reference!$C$11*(IF(MONTH($A1084)=Reference!$C$4,1,0)+IF(MONTH($A1084)=Reference!$C$5,1,0))+(IF(MONTH($A1084)=Reference!$C$6,Reference!$C$13,0))),0)</f>
        <v>382</v>
      </c>
      <c r="C1084" s="11">
        <f ca="1">B1084*Reference!$C$7*(1-IF(MONTH($A1084)=Reference!$C$6,1,0)*Reference!$C$12)</f>
        <v>355260</v>
      </c>
      <c r="D1084" s="10">
        <f ca="1">ROUND(_xlfn.NORM.INV(RAND(),Reference!$D$8,0.1*Reference!$D$8)*(1+Reference!$D$11*(IF(MONTH($A1084)=Reference!$D$4,1,0)+IF(MONTH($A1084)=Reference!$D$5,1,0))+(IF(MONTH($A1084)=Reference!$D$6,Reference!$D$13,0))),0)</f>
        <v>438</v>
      </c>
      <c r="E1084" s="11">
        <f ca="1">D1084*Reference!$D$7*(1-IF(MONTH($A1084)=Reference!$D$6,1,0)*Reference!$D$12)</f>
        <v>328500</v>
      </c>
      <c r="M1084" s="20"/>
      <c r="N1084" s="20"/>
      <c r="O1084" s="19"/>
      <c r="P1084" s="10"/>
      <c r="Q1084" s="10"/>
      <c r="R1084" s="10"/>
      <c r="S1084" s="10"/>
      <c r="T1084" s="10"/>
      <c r="U1084" s="10"/>
      <c r="V1084" s="10"/>
      <c r="W1084" s="10"/>
      <c r="X1084" s="10"/>
      <c r="Y1084" s="10"/>
    </row>
    <row r="1085" spans="1:25" x14ac:dyDescent="0.25">
      <c r="A1085" s="9">
        <v>41623</v>
      </c>
      <c r="B1085" s="10">
        <f ca="1">ROUND(_xlfn.NORM.INV(RAND(),Reference!$C$8,0.1*Reference!$C$8)*(1+Reference!$C$11*(IF(MONTH($A1085)=Reference!$C$4,1,0)+IF(MONTH($A1085)=Reference!$C$5,1,0))+(IF(MONTH($A1085)=Reference!$C$6,Reference!$C$13,0))),0)</f>
        <v>356</v>
      </c>
      <c r="C1085" s="11">
        <f ca="1">B1085*Reference!$C$7*(1-IF(MONTH($A1085)=Reference!$C$6,1,0)*Reference!$C$12)</f>
        <v>331080</v>
      </c>
      <c r="D1085" s="10">
        <f ca="1">ROUND(_xlfn.NORM.INV(RAND(),Reference!$D$8,0.1*Reference!$D$8)*(1+Reference!$D$11*(IF(MONTH($A1085)=Reference!$D$4,1,0)+IF(MONTH($A1085)=Reference!$D$5,1,0))+(IF(MONTH($A1085)=Reference!$D$6,Reference!$D$13,0))),0)</f>
        <v>432</v>
      </c>
      <c r="E1085" s="11">
        <f ca="1">D1085*Reference!$D$7*(1-IF(MONTH($A1085)=Reference!$D$6,1,0)*Reference!$D$12)</f>
        <v>324000</v>
      </c>
      <c r="M1085" s="20"/>
      <c r="N1085" s="20"/>
      <c r="O1085" s="19"/>
      <c r="P1085" s="10"/>
      <c r="Q1085" s="10"/>
      <c r="R1085" s="10"/>
      <c r="S1085" s="10"/>
      <c r="T1085" s="10"/>
      <c r="U1085" s="10"/>
      <c r="V1085" s="10"/>
      <c r="W1085" s="10"/>
      <c r="X1085" s="10"/>
      <c r="Y1085" s="10"/>
    </row>
    <row r="1086" spans="1:25" x14ac:dyDescent="0.25">
      <c r="A1086" s="9">
        <v>41624</v>
      </c>
      <c r="B1086" s="10">
        <f ca="1">ROUND(_xlfn.NORM.INV(RAND(),Reference!$C$8,0.1*Reference!$C$8)*(1+Reference!$C$11*(IF(MONTH($A1086)=Reference!$C$4,1,0)+IF(MONTH($A1086)=Reference!$C$5,1,0))+(IF(MONTH($A1086)=Reference!$C$6,Reference!$C$13,0))),0)</f>
        <v>383</v>
      </c>
      <c r="C1086" s="11">
        <f ca="1">B1086*Reference!$C$7*(1-IF(MONTH($A1086)=Reference!$C$6,1,0)*Reference!$C$12)</f>
        <v>356190</v>
      </c>
      <c r="D1086" s="10">
        <f ca="1">ROUND(_xlfn.NORM.INV(RAND(),Reference!$D$8,0.1*Reference!$D$8)*(1+Reference!$D$11*(IF(MONTH($A1086)=Reference!$D$4,1,0)+IF(MONTH($A1086)=Reference!$D$5,1,0))+(IF(MONTH($A1086)=Reference!$D$6,Reference!$D$13,0))),0)</f>
        <v>417</v>
      </c>
      <c r="E1086" s="11">
        <f ca="1">D1086*Reference!$D$7*(1-IF(MONTH($A1086)=Reference!$D$6,1,0)*Reference!$D$12)</f>
        <v>312750</v>
      </c>
      <c r="M1086" s="20"/>
      <c r="N1086" s="20"/>
      <c r="O1086" s="19"/>
      <c r="P1086" s="10"/>
      <c r="Q1086" s="10"/>
      <c r="R1086" s="10"/>
      <c r="S1086" s="10"/>
      <c r="T1086" s="10"/>
      <c r="U1086" s="10"/>
      <c r="V1086" s="10"/>
      <c r="W1086" s="10"/>
      <c r="X1086" s="10"/>
      <c r="Y1086" s="10"/>
    </row>
    <row r="1087" spans="1:25" x14ac:dyDescent="0.25">
      <c r="A1087" s="9">
        <v>41625</v>
      </c>
      <c r="B1087" s="10">
        <f ca="1">ROUND(_xlfn.NORM.INV(RAND(),Reference!$C$8,0.1*Reference!$C$8)*(1+Reference!$C$11*(IF(MONTH($A1087)=Reference!$C$4,1,0)+IF(MONTH($A1087)=Reference!$C$5,1,0))+(IF(MONTH($A1087)=Reference!$C$6,Reference!$C$13,0))),0)</f>
        <v>466</v>
      </c>
      <c r="C1087" s="11">
        <f ca="1">B1087*Reference!$C$7*(1-IF(MONTH($A1087)=Reference!$C$6,1,0)*Reference!$C$12)</f>
        <v>433380</v>
      </c>
      <c r="D1087" s="10">
        <f ca="1">ROUND(_xlfn.NORM.INV(RAND(),Reference!$D$8,0.1*Reference!$D$8)*(1+Reference!$D$11*(IF(MONTH($A1087)=Reference!$D$4,1,0)+IF(MONTH($A1087)=Reference!$D$5,1,0))+(IF(MONTH($A1087)=Reference!$D$6,Reference!$D$13,0))),0)</f>
        <v>463</v>
      </c>
      <c r="E1087" s="11">
        <f ca="1">D1087*Reference!$D$7*(1-IF(MONTH($A1087)=Reference!$D$6,1,0)*Reference!$D$12)</f>
        <v>347250</v>
      </c>
      <c r="M1087" s="20"/>
      <c r="N1087" s="20"/>
      <c r="O1087" s="19"/>
      <c r="P1087" s="10"/>
      <c r="Q1087" s="10"/>
      <c r="R1087" s="10"/>
      <c r="S1087" s="10"/>
      <c r="T1087" s="10"/>
      <c r="U1087" s="10"/>
      <c r="V1087" s="10"/>
      <c r="W1087" s="10"/>
      <c r="X1087" s="10"/>
      <c r="Y1087" s="10"/>
    </row>
    <row r="1088" spans="1:25" x14ac:dyDescent="0.25">
      <c r="A1088" s="9">
        <v>41626</v>
      </c>
      <c r="B1088" s="10">
        <f ca="1">ROUND(_xlfn.NORM.INV(RAND(),Reference!$C$8,0.1*Reference!$C$8)*(1+Reference!$C$11*(IF(MONTH($A1088)=Reference!$C$4,1,0)+IF(MONTH($A1088)=Reference!$C$5,1,0))+(IF(MONTH($A1088)=Reference!$C$6,Reference!$C$13,0))),0)</f>
        <v>345</v>
      </c>
      <c r="C1088" s="11">
        <f ca="1">B1088*Reference!$C$7*(1-IF(MONTH($A1088)=Reference!$C$6,1,0)*Reference!$C$12)</f>
        <v>320850</v>
      </c>
      <c r="D1088" s="10">
        <f ca="1">ROUND(_xlfn.NORM.INV(RAND(),Reference!$D$8,0.1*Reference!$D$8)*(1+Reference!$D$11*(IF(MONTH($A1088)=Reference!$D$4,1,0)+IF(MONTH($A1088)=Reference!$D$5,1,0))+(IF(MONTH($A1088)=Reference!$D$6,Reference!$D$13,0))),0)</f>
        <v>444</v>
      </c>
      <c r="E1088" s="11">
        <f ca="1">D1088*Reference!$D$7*(1-IF(MONTH($A1088)=Reference!$D$6,1,0)*Reference!$D$12)</f>
        <v>333000</v>
      </c>
      <c r="M1088" s="20"/>
      <c r="N1088" s="20"/>
      <c r="O1088" s="19"/>
      <c r="P1088" s="10"/>
      <c r="Q1088" s="10"/>
      <c r="R1088" s="10"/>
      <c r="S1088" s="10"/>
      <c r="T1088" s="10"/>
      <c r="U1088" s="10"/>
      <c r="V1088" s="10"/>
      <c r="W1088" s="10"/>
      <c r="X1088" s="10"/>
      <c r="Y1088" s="10"/>
    </row>
    <row r="1089" spans="1:25" x14ac:dyDescent="0.25">
      <c r="A1089" s="9">
        <v>41627</v>
      </c>
      <c r="B1089" s="10">
        <f ca="1">ROUND(_xlfn.NORM.INV(RAND(),Reference!$C$8,0.1*Reference!$C$8)*(1+Reference!$C$11*(IF(MONTH($A1089)=Reference!$C$4,1,0)+IF(MONTH($A1089)=Reference!$C$5,1,0))+(IF(MONTH($A1089)=Reference!$C$6,Reference!$C$13,0))),0)</f>
        <v>278</v>
      </c>
      <c r="C1089" s="11">
        <f ca="1">B1089*Reference!$C$7*(1-IF(MONTH($A1089)=Reference!$C$6,1,0)*Reference!$C$12)</f>
        <v>258540</v>
      </c>
      <c r="D1089" s="10">
        <f ca="1">ROUND(_xlfn.NORM.INV(RAND(),Reference!$D$8,0.1*Reference!$D$8)*(1+Reference!$D$11*(IF(MONTH($A1089)=Reference!$D$4,1,0)+IF(MONTH($A1089)=Reference!$D$5,1,0))+(IF(MONTH($A1089)=Reference!$D$6,Reference!$D$13,0))),0)</f>
        <v>423</v>
      </c>
      <c r="E1089" s="11">
        <f ca="1">D1089*Reference!$D$7*(1-IF(MONTH($A1089)=Reference!$D$6,1,0)*Reference!$D$12)</f>
        <v>317250</v>
      </c>
      <c r="M1089" s="20"/>
      <c r="N1089" s="20"/>
      <c r="O1089" s="19"/>
      <c r="P1089" s="10"/>
      <c r="Q1089" s="10"/>
      <c r="R1089" s="10"/>
      <c r="S1089" s="10"/>
      <c r="T1089" s="10"/>
      <c r="U1089" s="10"/>
      <c r="V1089" s="10"/>
      <c r="W1089" s="10"/>
      <c r="X1089" s="10"/>
      <c r="Y1089" s="10"/>
    </row>
    <row r="1090" spans="1:25" x14ac:dyDescent="0.25">
      <c r="A1090" s="9">
        <v>41628</v>
      </c>
      <c r="B1090" s="10">
        <f ca="1">ROUND(_xlfn.NORM.INV(RAND(),Reference!$C$8,0.1*Reference!$C$8)*(1+Reference!$C$11*(IF(MONTH($A1090)=Reference!$C$4,1,0)+IF(MONTH($A1090)=Reference!$C$5,1,0))+(IF(MONTH($A1090)=Reference!$C$6,Reference!$C$13,0))),0)</f>
        <v>383</v>
      </c>
      <c r="C1090" s="11">
        <f ca="1">B1090*Reference!$C$7*(1-IF(MONTH($A1090)=Reference!$C$6,1,0)*Reference!$C$12)</f>
        <v>356190</v>
      </c>
      <c r="D1090" s="10">
        <f ca="1">ROUND(_xlfn.NORM.INV(RAND(),Reference!$D$8,0.1*Reference!$D$8)*(1+Reference!$D$11*(IF(MONTH($A1090)=Reference!$D$4,1,0)+IF(MONTH($A1090)=Reference!$D$5,1,0))+(IF(MONTH($A1090)=Reference!$D$6,Reference!$D$13,0))),0)</f>
        <v>477</v>
      </c>
      <c r="E1090" s="11">
        <f ca="1">D1090*Reference!$D$7*(1-IF(MONTH($A1090)=Reference!$D$6,1,0)*Reference!$D$12)</f>
        <v>357750</v>
      </c>
      <c r="M1090" s="20"/>
      <c r="N1090" s="20"/>
      <c r="O1090" s="19"/>
      <c r="P1090" s="10"/>
      <c r="Q1090" s="10"/>
      <c r="R1090" s="10"/>
      <c r="S1090" s="10"/>
      <c r="T1090" s="10"/>
      <c r="U1090" s="10"/>
      <c r="V1090" s="10"/>
      <c r="W1090" s="10"/>
      <c r="X1090" s="10"/>
      <c r="Y1090" s="10"/>
    </row>
    <row r="1091" spans="1:25" x14ac:dyDescent="0.25">
      <c r="A1091" s="9">
        <v>41629</v>
      </c>
      <c r="B1091" s="10">
        <f ca="1">ROUND(_xlfn.NORM.INV(RAND(),Reference!$C$8,0.1*Reference!$C$8)*(1+Reference!$C$11*(IF(MONTH($A1091)=Reference!$C$4,1,0)+IF(MONTH($A1091)=Reference!$C$5,1,0))+(IF(MONTH($A1091)=Reference!$C$6,Reference!$C$13,0))),0)</f>
        <v>352</v>
      </c>
      <c r="C1091" s="11">
        <f ca="1">B1091*Reference!$C$7*(1-IF(MONTH($A1091)=Reference!$C$6,1,0)*Reference!$C$12)</f>
        <v>327360</v>
      </c>
      <c r="D1091" s="10">
        <f ca="1">ROUND(_xlfn.NORM.INV(RAND(),Reference!$D$8,0.1*Reference!$D$8)*(1+Reference!$D$11*(IF(MONTH($A1091)=Reference!$D$4,1,0)+IF(MONTH($A1091)=Reference!$D$5,1,0))+(IF(MONTH($A1091)=Reference!$D$6,Reference!$D$13,0))),0)</f>
        <v>541</v>
      </c>
      <c r="E1091" s="11">
        <f ca="1">D1091*Reference!$D$7*(1-IF(MONTH($A1091)=Reference!$D$6,1,0)*Reference!$D$12)</f>
        <v>405750</v>
      </c>
      <c r="M1091" s="20"/>
      <c r="N1091" s="20"/>
      <c r="O1091" s="19"/>
      <c r="P1091" s="10"/>
      <c r="Q1091" s="10"/>
      <c r="R1091" s="10"/>
      <c r="S1091" s="10"/>
      <c r="T1091" s="10"/>
      <c r="U1091" s="10"/>
      <c r="V1091" s="10"/>
      <c r="W1091" s="10"/>
      <c r="X1091" s="10"/>
      <c r="Y1091" s="10"/>
    </row>
    <row r="1092" spans="1:25" x14ac:dyDescent="0.25">
      <c r="A1092" s="9">
        <v>41630</v>
      </c>
      <c r="B1092" s="10">
        <f ca="1">ROUND(_xlfn.NORM.INV(RAND(),Reference!$C$8,0.1*Reference!$C$8)*(1+Reference!$C$11*(IF(MONTH($A1092)=Reference!$C$4,1,0)+IF(MONTH($A1092)=Reference!$C$5,1,0))+(IF(MONTH($A1092)=Reference!$C$6,Reference!$C$13,0))),0)</f>
        <v>353</v>
      </c>
      <c r="C1092" s="11">
        <f ca="1">B1092*Reference!$C$7*(1-IF(MONTH($A1092)=Reference!$C$6,1,0)*Reference!$C$12)</f>
        <v>328290</v>
      </c>
      <c r="D1092" s="10">
        <f ca="1">ROUND(_xlfn.NORM.INV(RAND(),Reference!$D$8,0.1*Reference!$D$8)*(1+Reference!$D$11*(IF(MONTH($A1092)=Reference!$D$4,1,0)+IF(MONTH($A1092)=Reference!$D$5,1,0))+(IF(MONTH($A1092)=Reference!$D$6,Reference!$D$13,0))),0)</f>
        <v>450</v>
      </c>
      <c r="E1092" s="11">
        <f ca="1">D1092*Reference!$D$7*(1-IF(MONTH($A1092)=Reference!$D$6,1,0)*Reference!$D$12)</f>
        <v>337500</v>
      </c>
      <c r="M1092" s="20"/>
      <c r="N1092" s="20"/>
      <c r="O1092" s="19"/>
      <c r="P1092" s="10"/>
      <c r="Q1092" s="10"/>
      <c r="R1092" s="10"/>
      <c r="S1092" s="10"/>
      <c r="T1092" s="10"/>
      <c r="U1092" s="10"/>
      <c r="V1092" s="10"/>
      <c r="W1092" s="10"/>
      <c r="X1092" s="10"/>
      <c r="Y1092" s="10"/>
    </row>
    <row r="1093" spans="1:25" x14ac:dyDescent="0.25">
      <c r="A1093" s="9">
        <v>41631</v>
      </c>
      <c r="B1093" s="10">
        <f ca="1">ROUND(_xlfn.NORM.INV(RAND(),Reference!$C$8,0.1*Reference!$C$8)*(1+Reference!$C$11*(IF(MONTH($A1093)=Reference!$C$4,1,0)+IF(MONTH($A1093)=Reference!$C$5,1,0))+(IF(MONTH($A1093)=Reference!$C$6,Reference!$C$13,0))),0)</f>
        <v>406</v>
      </c>
      <c r="C1093" s="11">
        <f ca="1">B1093*Reference!$C$7*(1-IF(MONTH($A1093)=Reference!$C$6,1,0)*Reference!$C$12)</f>
        <v>377580</v>
      </c>
      <c r="D1093" s="10">
        <f ca="1">ROUND(_xlfn.NORM.INV(RAND(),Reference!$D$8,0.1*Reference!$D$8)*(1+Reference!$D$11*(IF(MONTH($A1093)=Reference!$D$4,1,0)+IF(MONTH($A1093)=Reference!$D$5,1,0))+(IF(MONTH($A1093)=Reference!$D$6,Reference!$D$13,0))),0)</f>
        <v>476</v>
      </c>
      <c r="E1093" s="11">
        <f ca="1">D1093*Reference!$D$7*(1-IF(MONTH($A1093)=Reference!$D$6,1,0)*Reference!$D$12)</f>
        <v>357000</v>
      </c>
      <c r="M1093" s="20"/>
      <c r="N1093" s="20"/>
      <c r="O1093" s="19"/>
      <c r="P1093" s="10"/>
      <c r="Q1093" s="10"/>
      <c r="R1093" s="10"/>
      <c r="S1093" s="10"/>
      <c r="T1093" s="10"/>
      <c r="U1093" s="10"/>
      <c r="V1093" s="10"/>
      <c r="W1093" s="10"/>
      <c r="X1093" s="10"/>
      <c r="Y1093" s="10"/>
    </row>
    <row r="1094" spans="1:25" x14ac:dyDescent="0.25">
      <c r="A1094" s="9">
        <v>41632</v>
      </c>
      <c r="B1094" s="10">
        <f ca="1">ROUND(_xlfn.NORM.INV(RAND(),Reference!$C$8,0.1*Reference!$C$8)*(1+Reference!$C$11*(IF(MONTH($A1094)=Reference!$C$4,1,0)+IF(MONTH($A1094)=Reference!$C$5,1,0))+(IF(MONTH($A1094)=Reference!$C$6,Reference!$C$13,0))),0)</f>
        <v>358</v>
      </c>
      <c r="C1094" s="11">
        <f ca="1">B1094*Reference!$C$7*(1-IF(MONTH($A1094)=Reference!$C$6,1,0)*Reference!$C$12)</f>
        <v>332940</v>
      </c>
      <c r="D1094" s="10">
        <f ca="1">ROUND(_xlfn.NORM.INV(RAND(),Reference!$D$8,0.1*Reference!$D$8)*(1+Reference!$D$11*(IF(MONTH($A1094)=Reference!$D$4,1,0)+IF(MONTH($A1094)=Reference!$D$5,1,0))+(IF(MONTH($A1094)=Reference!$D$6,Reference!$D$13,0))),0)</f>
        <v>561</v>
      </c>
      <c r="E1094" s="11">
        <f ca="1">D1094*Reference!$D$7*(1-IF(MONTH($A1094)=Reference!$D$6,1,0)*Reference!$D$12)</f>
        <v>420750</v>
      </c>
      <c r="M1094" s="20"/>
      <c r="N1094" s="20"/>
      <c r="O1094" s="19"/>
      <c r="P1094" s="10"/>
      <c r="Q1094" s="10"/>
      <c r="R1094" s="10"/>
      <c r="S1094" s="10"/>
      <c r="T1094" s="10"/>
      <c r="U1094" s="10"/>
      <c r="V1094" s="10"/>
      <c r="W1094" s="10"/>
      <c r="X1094" s="10"/>
      <c r="Y1094" s="10"/>
    </row>
    <row r="1095" spans="1:25" x14ac:dyDescent="0.25">
      <c r="A1095" s="9">
        <v>41633</v>
      </c>
      <c r="B1095" s="10">
        <f ca="1">ROUND(_xlfn.NORM.INV(RAND(),Reference!$C$8,0.1*Reference!$C$8)*(1+Reference!$C$11*(IF(MONTH($A1095)=Reference!$C$4,1,0)+IF(MONTH($A1095)=Reference!$C$5,1,0))+(IF(MONTH($A1095)=Reference!$C$6,Reference!$C$13,0))),0)</f>
        <v>341</v>
      </c>
      <c r="C1095" s="11">
        <f ca="1">B1095*Reference!$C$7*(1-IF(MONTH($A1095)=Reference!$C$6,1,0)*Reference!$C$12)</f>
        <v>317130</v>
      </c>
      <c r="D1095" s="10">
        <f ca="1">ROUND(_xlfn.NORM.INV(RAND(),Reference!$D$8,0.1*Reference!$D$8)*(1+Reference!$D$11*(IF(MONTH($A1095)=Reference!$D$4,1,0)+IF(MONTH($A1095)=Reference!$D$5,1,0))+(IF(MONTH($A1095)=Reference!$D$6,Reference!$D$13,0))),0)</f>
        <v>384</v>
      </c>
      <c r="E1095" s="11">
        <f ca="1">D1095*Reference!$D$7*(1-IF(MONTH($A1095)=Reference!$D$6,1,0)*Reference!$D$12)</f>
        <v>288000</v>
      </c>
      <c r="M1095" s="20"/>
      <c r="N1095" s="20"/>
      <c r="O1095" s="19"/>
      <c r="P1095" s="10"/>
      <c r="Q1095" s="10"/>
      <c r="R1095" s="10"/>
      <c r="S1095" s="10"/>
      <c r="T1095" s="10"/>
      <c r="U1095" s="10"/>
      <c r="V1095" s="10"/>
      <c r="W1095" s="10"/>
      <c r="X1095" s="10"/>
      <c r="Y1095" s="10"/>
    </row>
    <row r="1096" spans="1:25" x14ac:dyDescent="0.25">
      <c r="A1096" s="9">
        <v>41634</v>
      </c>
      <c r="B1096" s="10">
        <f ca="1">ROUND(_xlfn.NORM.INV(RAND(),Reference!$C$8,0.1*Reference!$C$8)*(1+Reference!$C$11*(IF(MONTH($A1096)=Reference!$C$4,1,0)+IF(MONTH($A1096)=Reference!$C$5,1,0))+(IF(MONTH($A1096)=Reference!$C$6,Reference!$C$13,0))),0)</f>
        <v>378</v>
      </c>
      <c r="C1096" s="11">
        <f ca="1">B1096*Reference!$C$7*(1-IF(MONTH($A1096)=Reference!$C$6,1,0)*Reference!$C$12)</f>
        <v>351540</v>
      </c>
      <c r="D1096" s="10">
        <f ca="1">ROUND(_xlfn.NORM.INV(RAND(),Reference!$D$8,0.1*Reference!$D$8)*(1+Reference!$D$11*(IF(MONTH($A1096)=Reference!$D$4,1,0)+IF(MONTH($A1096)=Reference!$D$5,1,0))+(IF(MONTH($A1096)=Reference!$D$6,Reference!$D$13,0))),0)</f>
        <v>482</v>
      </c>
      <c r="E1096" s="11">
        <f ca="1">D1096*Reference!$D$7*(1-IF(MONTH($A1096)=Reference!$D$6,1,0)*Reference!$D$12)</f>
        <v>361500</v>
      </c>
      <c r="M1096" s="20"/>
      <c r="N1096" s="20"/>
      <c r="O1096" s="19"/>
      <c r="P1096" s="10"/>
      <c r="Q1096" s="10"/>
      <c r="R1096" s="10"/>
      <c r="S1096" s="10"/>
      <c r="T1096" s="10"/>
      <c r="U1096" s="10"/>
      <c r="V1096" s="10"/>
      <c r="W1096" s="10"/>
      <c r="X1096" s="10"/>
      <c r="Y1096" s="10"/>
    </row>
    <row r="1097" spans="1:25" x14ac:dyDescent="0.25">
      <c r="A1097" s="9">
        <v>41635</v>
      </c>
      <c r="B1097" s="10">
        <f ca="1">ROUND(_xlfn.NORM.INV(RAND(),Reference!$C$8,0.1*Reference!$C$8)*(1+Reference!$C$11*(IF(MONTH($A1097)=Reference!$C$4,1,0)+IF(MONTH($A1097)=Reference!$C$5,1,0))+(IF(MONTH($A1097)=Reference!$C$6,Reference!$C$13,0))),0)</f>
        <v>417</v>
      </c>
      <c r="C1097" s="11">
        <f ca="1">B1097*Reference!$C$7*(1-IF(MONTH($A1097)=Reference!$C$6,1,0)*Reference!$C$12)</f>
        <v>387810</v>
      </c>
      <c r="D1097" s="10">
        <f ca="1">ROUND(_xlfn.NORM.INV(RAND(),Reference!$D$8,0.1*Reference!$D$8)*(1+Reference!$D$11*(IF(MONTH($A1097)=Reference!$D$4,1,0)+IF(MONTH($A1097)=Reference!$D$5,1,0))+(IF(MONTH($A1097)=Reference!$D$6,Reference!$D$13,0))),0)</f>
        <v>451</v>
      </c>
      <c r="E1097" s="11">
        <f ca="1">D1097*Reference!$D$7*(1-IF(MONTH($A1097)=Reference!$D$6,1,0)*Reference!$D$12)</f>
        <v>338250</v>
      </c>
      <c r="M1097" s="20"/>
      <c r="N1097" s="20"/>
      <c r="O1097" s="19"/>
      <c r="P1097" s="10"/>
      <c r="Q1097" s="10"/>
      <c r="R1097" s="10"/>
      <c r="S1097" s="10"/>
      <c r="T1097" s="10"/>
      <c r="U1097" s="10"/>
      <c r="V1097" s="10"/>
      <c r="W1097" s="10"/>
      <c r="X1097" s="10"/>
      <c r="Y1097" s="10"/>
    </row>
    <row r="1098" spans="1:25" x14ac:dyDescent="0.25">
      <c r="A1098" s="9">
        <v>41636</v>
      </c>
      <c r="B1098" s="10">
        <f ca="1">ROUND(_xlfn.NORM.INV(RAND(),Reference!$C$8,0.1*Reference!$C$8)*(1+Reference!$C$11*(IF(MONTH($A1098)=Reference!$C$4,1,0)+IF(MONTH($A1098)=Reference!$C$5,1,0))+(IF(MONTH($A1098)=Reference!$C$6,Reference!$C$13,0))),0)</f>
        <v>366</v>
      </c>
      <c r="C1098" s="11">
        <f ca="1">B1098*Reference!$C$7*(1-IF(MONTH($A1098)=Reference!$C$6,1,0)*Reference!$C$12)</f>
        <v>340380</v>
      </c>
      <c r="D1098" s="10">
        <f ca="1">ROUND(_xlfn.NORM.INV(RAND(),Reference!$D$8,0.1*Reference!$D$8)*(1+Reference!$D$11*(IF(MONTH($A1098)=Reference!$D$4,1,0)+IF(MONTH($A1098)=Reference!$D$5,1,0))+(IF(MONTH($A1098)=Reference!$D$6,Reference!$D$13,0))),0)</f>
        <v>449</v>
      </c>
      <c r="E1098" s="11">
        <f ca="1">D1098*Reference!$D$7*(1-IF(MONTH($A1098)=Reference!$D$6,1,0)*Reference!$D$12)</f>
        <v>336750</v>
      </c>
      <c r="M1098" s="20"/>
      <c r="N1098" s="20"/>
      <c r="O1098" s="19"/>
      <c r="P1098" s="10"/>
      <c r="Q1098" s="10"/>
      <c r="R1098" s="10"/>
      <c r="S1098" s="10"/>
      <c r="T1098" s="10"/>
      <c r="U1098" s="10"/>
      <c r="V1098" s="10"/>
      <c r="W1098" s="10"/>
      <c r="X1098" s="10"/>
      <c r="Y1098" s="10"/>
    </row>
    <row r="1099" spans="1:25" x14ac:dyDescent="0.25">
      <c r="A1099" s="9">
        <v>41637</v>
      </c>
      <c r="B1099" s="10">
        <f ca="1">ROUND(_xlfn.NORM.INV(RAND(),Reference!$C$8,0.1*Reference!$C$8)*(1+Reference!$C$11*(IF(MONTH($A1099)=Reference!$C$4,1,0)+IF(MONTH($A1099)=Reference!$C$5,1,0))+(IF(MONTH($A1099)=Reference!$C$6,Reference!$C$13,0))),0)</f>
        <v>356</v>
      </c>
      <c r="C1099" s="11">
        <f ca="1">B1099*Reference!$C$7*(1-IF(MONTH($A1099)=Reference!$C$6,1,0)*Reference!$C$12)</f>
        <v>331080</v>
      </c>
      <c r="D1099" s="10">
        <f ca="1">ROUND(_xlfn.NORM.INV(RAND(),Reference!$D$8,0.1*Reference!$D$8)*(1+Reference!$D$11*(IF(MONTH($A1099)=Reference!$D$4,1,0)+IF(MONTH($A1099)=Reference!$D$5,1,0))+(IF(MONTH($A1099)=Reference!$D$6,Reference!$D$13,0))),0)</f>
        <v>438</v>
      </c>
      <c r="E1099" s="11">
        <f ca="1">D1099*Reference!$D$7*(1-IF(MONTH($A1099)=Reference!$D$6,1,0)*Reference!$D$12)</f>
        <v>328500</v>
      </c>
      <c r="M1099" s="20"/>
      <c r="N1099" s="20"/>
      <c r="O1099" s="19"/>
      <c r="P1099" s="10"/>
      <c r="Q1099" s="10"/>
      <c r="R1099" s="10"/>
      <c r="S1099" s="10"/>
      <c r="T1099" s="10"/>
      <c r="U1099" s="10"/>
      <c r="V1099" s="10"/>
      <c r="W1099" s="10"/>
      <c r="X1099" s="10"/>
      <c r="Y1099" s="10"/>
    </row>
    <row r="1100" spans="1:25" x14ac:dyDescent="0.25">
      <c r="A1100" s="9">
        <v>41638</v>
      </c>
      <c r="B1100" s="10">
        <f ca="1">ROUND(_xlfn.NORM.INV(RAND(),Reference!$C$8,0.1*Reference!$C$8)*(1+Reference!$C$11*(IF(MONTH($A1100)=Reference!$C$4,1,0)+IF(MONTH($A1100)=Reference!$C$5,1,0))+(IF(MONTH($A1100)=Reference!$C$6,Reference!$C$13,0))),0)</f>
        <v>319</v>
      </c>
      <c r="C1100" s="11">
        <f ca="1">B1100*Reference!$C$7*(1-IF(MONTH($A1100)=Reference!$C$6,1,0)*Reference!$C$12)</f>
        <v>296670</v>
      </c>
      <c r="D1100" s="10">
        <f ca="1">ROUND(_xlfn.NORM.INV(RAND(),Reference!$D$8,0.1*Reference!$D$8)*(1+Reference!$D$11*(IF(MONTH($A1100)=Reference!$D$4,1,0)+IF(MONTH($A1100)=Reference!$D$5,1,0))+(IF(MONTH($A1100)=Reference!$D$6,Reference!$D$13,0))),0)</f>
        <v>513</v>
      </c>
      <c r="E1100" s="11">
        <f ca="1">D1100*Reference!$D$7*(1-IF(MONTH($A1100)=Reference!$D$6,1,0)*Reference!$D$12)</f>
        <v>384750</v>
      </c>
      <c r="M1100" s="20"/>
      <c r="N1100" s="20"/>
      <c r="O1100" s="19"/>
      <c r="P1100" s="10"/>
      <c r="Q1100" s="10"/>
      <c r="R1100" s="10"/>
      <c r="S1100" s="10"/>
      <c r="T1100" s="10"/>
      <c r="U1100" s="10"/>
      <c r="V1100" s="10"/>
      <c r="W1100" s="10"/>
      <c r="X1100" s="10"/>
      <c r="Y1100" s="10"/>
    </row>
    <row r="1101" spans="1:25" x14ac:dyDescent="0.25">
      <c r="A1101" s="9">
        <v>41639</v>
      </c>
      <c r="B1101" s="10">
        <f ca="1">ROUND(_xlfn.NORM.INV(RAND(),Reference!$C$8,0.1*Reference!$C$8)*(1+Reference!$C$11*(IF(MONTH($A1101)=Reference!$C$4,1,0)+IF(MONTH($A1101)=Reference!$C$5,1,0))+(IF(MONTH($A1101)=Reference!$C$6,Reference!$C$13,0))),0)</f>
        <v>375</v>
      </c>
      <c r="C1101" s="11">
        <f ca="1">B1101*Reference!$C$7*(1-IF(MONTH($A1101)=Reference!$C$6,1,0)*Reference!$C$12)</f>
        <v>348750</v>
      </c>
      <c r="D1101" s="10">
        <f ca="1">ROUND(_xlfn.NORM.INV(RAND(),Reference!$D$8,0.1*Reference!$D$8)*(1+Reference!$D$11*(IF(MONTH($A1101)=Reference!$D$4,1,0)+IF(MONTH($A1101)=Reference!$D$5,1,0))+(IF(MONTH($A1101)=Reference!$D$6,Reference!$D$13,0))),0)</f>
        <v>436</v>
      </c>
      <c r="E1101" s="11">
        <f ca="1">D1101*Reference!$D$7*(1-IF(MONTH($A1101)=Reference!$D$6,1,0)*Reference!$D$12)</f>
        <v>327000</v>
      </c>
      <c r="M1101" s="20"/>
      <c r="N1101" s="20"/>
      <c r="O1101" s="19"/>
      <c r="P1101" s="10"/>
      <c r="Q1101" s="10"/>
      <c r="R1101" s="10"/>
      <c r="S1101" s="10"/>
      <c r="T1101" s="10"/>
      <c r="U1101" s="10"/>
      <c r="V1101" s="10"/>
      <c r="W1101" s="10"/>
      <c r="X1101" s="10"/>
      <c r="Y1101" s="10"/>
    </row>
    <row r="1102" spans="1:25" x14ac:dyDescent="0.25">
      <c r="A1102" s="9">
        <v>41640</v>
      </c>
      <c r="B1102" s="10">
        <f ca="1">ROUND(_xlfn.NORM.INV(RAND(),Reference!$C$8,0.1*Reference!$C$8)*(1+Reference!$C$11*(IF(MONTH($A1102)=Reference!$C$4,1,0)+IF(MONTH($A1102)=Reference!$C$5,1,0))+(IF(MONTH($A1102)=Reference!$C$6,Reference!$C$13,0))),0)</f>
        <v>361</v>
      </c>
      <c r="C1102" s="11">
        <f ca="1">B1102*Reference!$C$7*(1-IF(MONTH($A1102)=Reference!$C$6,1,0)*Reference!$C$12)</f>
        <v>335730</v>
      </c>
      <c r="D1102" s="10">
        <f ca="1">ROUND(_xlfn.NORM.INV(RAND(),Reference!$D$8,0.1*Reference!$D$8)*(1+Reference!$D$11*(IF(MONTH($A1102)=Reference!$D$4,1,0)+IF(MONTH($A1102)=Reference!$D$5,1,0))+(IF(MONTH($A1102)=Reference!$D$6,Reference!$D$13,0))),0)</f>
        <v>438</v>
      </c>
      <c r="E1102" s="11">
        <f ca="1">D1102*Reference!$D$7*(1-IF(MONTH($A1102)=Reference!$D$6,1,0)*Reference!$D$12)</f>
        <v>328500</v>
      </c>
      <c r="M1102" s="20"/>
      <c r="N1102" s="20"/>
      <c r="O1102" s="19"/>
      <c r="P1102" s="10"/>
      <c r="Q1102" s="10"/>
      <c r="R1102" s="10"/>
      <c r="S1102" s="10"/>
      <c r="T1102" s="10"/>
      <c r="U1102" s="10"/>
      <c r="V1102" s="10"/>
      <c r="W1102" s="10"/>
      <c r="X1102" s="10"/>
      <c r="Y1102" s="10"/>
    </row>
    <row r="1103" spans="1:25" x14ac:dyDescent="0.25">
      <c r="A1103" s="9">
        <v>41641</v>
      </c>
      <c r="B1103" s="10">
        <f ca="1">ROUND(_xlfn.NORM.INV(RAND(),Reference!$C$8,0.1*Reference!$C$8)*(1+Reference!$C$11*(IF(MONTH($A1103)=Reference!$C$4,1,0)+IF(MONTH($A1103)=Reference!$C$5,1,0))+(IF(MONTH($A1103)=Reference!$C$6,Reference!$C$13,0))),0)</f>
        <v>366</v>
      </c>
      <c r="C1103" s="11">
        <f ca="1">B1103*Reference!$C$7*(1-IF(MONTH($A1103)=Reference!$C$6,1,0)*Reference!$C$12)</f>
        <v>340380</v>
      </c>
      <c r="D1103" s="10">
        <f ca="1">ROUND(_xlfn.NORM.INV(RAND(),Reference!$D$8,0.1*Reference!$D$8)*(1+Reference!$D$11*(IF(MONTH($A1103)=Reference!$D$4,1,0)+IF(MONTH($A1103)=Reference!$D$5,1,0))+(IF(MONTH($A1103)=Reference!$D$6,Reference!$D$13,0))),0)</f>
        <v>540</v>
      </c>
      <c r="E1103" s="11">
        <f ca="1">D1103*Reference!$D$7*(1-IF(MONTH($A1103)=Reference!$D$6,1,0)*Reference!$D$12)</f>
        <v>405000</v>
      </c>
      <c r="M1103" s="20"/>
      <c r="N1103" s="20"/>
      <c r="O1103" s="19"/>
      <c r="P1103" s="10"/>
      <c r="Q1103" s="10"/>
      <c r="R1103" s="10"/>
      <c r="S1103" s="10"/>
      <c r="T1103" s="10"/>
      <c r="U1103" s="10"/>
      <c r="V1103" s="10"/>
      <c r="W1103" s="10"/>
      <c r="X1103" s="10"/>
      <c r="Y1103" s="10"/>
    </row>
    <row r="1104" spans="1:25" x14ac:dyDescent="0.25">
      <c r="A1104" s="9">
        <v>41642</v>
      </c>
      <c r="B1104" s="10">
        <f ca="1">ROUND(_xlfn.NORM.INV(RAND(),Reference!$C$8,0.1*Reference!$C$8)*(1+Reference!$C$11*(IF(MONTH($A1104)=Reference!$C$4,1,0)+IF(MONTH($A1104)=Reference!$C$5,1,0))+(IF(MONTH($A1104)=Reference!$C$6,Reference!$C$13,0))),0)</f>
        <v>344</v>
      </c>
      <c r="C1104" s="11">
        <f ca="1">B1104*Reference!$C$7*(1-IF(MONTH($A1104)=Reference!$C$6,1,0)*Reference!$C$12)</f>
        <v>319920</v>
      </c>
      <c r="D1104" s="10">
        <f ca="1">ROUND(_xlfn.NORM.INV(RAND(),Reference!$D$8,0.1*Reference!$D$8)*(1+Reference!$D$11*(IF(MONTH($A1104)=Reference!$D$4,1,0)+IF(MONTH($A1104)=Reference!$D$5,1,0))+(IF(MONTH($A1104)=Reference!$D$6,Reference!$D$13,0))),0)</f>
        <v>475</v>
      </c>
      <c r="E1104" s="11">
        <f ca="1">D1104*Reference!$D$7*(1-IF(MONTH($A1104)=Reference!$D$6,1,0)*Reference!$D$12)</f>
        <v>356250</v>
      </c>
      <c r="M1104" s="20"/>
      <c r="N1104" s="20"/>
      <c r="O1104" s="19"/>
      <c r="P1104" s="10"/>
      <c r="Q1104" s="10"/>
      <c r="R1104" s="10"/>
      <c r="S1104" s="10"/>
      <c r="T1104" s="10"/>
      <c r="U1104" s="10"/>
      <c r="V1104" s="10"/>
      <c r="W1104" s="10"/>
      <c r="X1104" s="10"/>
      <c r="Y1104" s="10"/>
    </row>
    <row r="1105" spans="1:25" x14ac:dyDescent="0.25">
      <c r="A1105" s="9">
        <v>41643</v>
      </c>
      <c r="B1105" s="10">
        <f ca="1">ROUND(_xlfn.NORM.INV(RAND(),Reference!$C$8,0.1*Reference!$C$8)*(1+Reference!$C$11*(IF(MONTH($A1105)=Reference!$C$4,1,0)+IF(MONTH($A1105)=Reference!$C$5,1,0))+(IF(MONTH($A1105)=Reference!$C$6,Reference!$C$13,0))),0)</f>
        <v>385</v>
      </c>
      <c r="C1105" s="11">
        <f ca="1">B1105*Reference!$C$7*(1-IF(MONTH($A1105)=Reference!$C$6,1,0)*Reference!$C$12)</f>
        <v>358050</v>
      </c>
      <c r="D1105" s="10">
        <f ca="1">ROUND(_xlfn.NORM.INV(RAND(),Reference!$D$8,0.1*Reference!$D$8)*(1+Reference!$D$11*(IF(MONTH($A1105)=Reference!$D$4,1,0)+IF(MONTH($A1105)=Reference!$D$5,1,0))+(IF(MONTH($A1105)=Reference!$D$6,Reference!$D$13,0))),0)</f>
        <v>499</v>
      </c>
      <c r="E1105" s="11">
        <f ca="1">D1105*Reference!$D$7*(1-IF(MONTH($A1105)=Reference!$D$6,1,0)*Reference!$D$12)</f>
        <v>374250</v>
      </c>
      <c r="M1105" s="20"/>
      <c r="N1105" s="20"/>
      <c r="O1105" s="19"/>
      <c r="P1105" s="10"/>
      <c r="Q1105" s="10"/>
      <c r="R1105" s="10"/>
      <c r="S1105" s="10"/>
      <c r="T1105" s="10"/>
      <c r="U1105" s="10"/>
      <c r="V1105" s="10"/>
      <c r="W1105" s="10"/>
      <c r="X1105" s="10"/>
      <c r="Y1105" s="10"/>
    </row>
    <row r="1106" spans="1:25" x14ac:dyDescent="0.25">
      <c r="A1106" s="9">
        <v>41644</v>
      </c>
      <c r="B1106" s="10">
        <f ca="1">ROUND(_xlfn.NORM.INV(RAND(),Reference!$C$8,0.1*Reference!$C$8)*(1+Reference!$C$11*(IF(MONTH($A1106)=Reference!$C$4,1,0)+IF(MONTH($A1106)=Reference!$C$5,1,0))+(IF(MONTH($A1106)=Reference!$C$6,Reference!$C$13,0))),0)</f>
        <v>318</v>
      </c>
      <c r="C1106" s="11">
        <f ca="1">B1106*Reference!$C$7*(1-IF(MONTH($A1106)=Reference!$C$6,1,0)*Reference!$C$12)</f>
        <v>295740</v>
      </c>
      <c r="D1106" s="10">
        <f ca="1">ROUND(_xlfn.NORM.INV(RAND(),Reference!$D$8,0.1*Reference!$D$8)*(1+Reference!$D$11*(IF(MONTH($A1106)=Reference!$D$4,1,0)+IF(MONTH($A1106)=Reference!$D$5,1,0))+(IF(MONTH($A1106)=Reference!$D$6,Reference!$D$13,0))),0)</f>
        <v>464</v>
      </c>
      <c r="E1106" s="11">
        <f ca="1">D1106*Reference!$D$7*(1-IF(MONTH($A1106)=Reference!$D$6,1,0)*Reference!$D$12)</f>
        <v>348000</v>
      </c>
      <c r="M1106" s="20"/>
      <c r="N1106" s="20"/>
      <c r="O1106" s="19"/>
      <c r="P1106" s="10"/>
      <c r="Q1106" s="10"/>
      <c r="R1106" s="10"/>
      <c r="S1106" s="10"/>
      <c r="T1106" s="10"/>
      <c r="U1106" s="10"/>
      <c r="V1106" s="10"/>
      <c r="W1106" s="10"/>
      <c r="X1106" s="10"/>
      <c r="Y1106" s="10"/>
    </row>
    <row r="1107" spans="1:25" x14ac:dyDescent="0.25">
      <c r="A1107" s="9">
        <v>41645</v>
      </c>
      <c r="B1107" s="10">
        <f ca="1">ROUND(_xlfn.NORM.INV(RAND(),Reference!$C$8,0.1*Reference!$C$8)*(1+Reference!$C$11*(IF(MONTH($A1107)=Reference!$C$4,1,0)+IF(MONTH($A1107)=Reference!$C$5,1,0))+(IF(MONTH($A1107)=Reference!$C$6,Reference!$C$13,0))),0)</f>
        <v>359</v>
      </c>
      <c r="C1107" s="11">
        <f ca="1">B1107*Reference!$C$7*(1-IF(MONTH($A1107)=Reference!$C$6,1,0)*Reference!$C$12)</f>
        <v>333870</v>
      </c>
      <c r="D1107" s="10">
        <f ca="1">ROUND(_xlfn.NORM.INV(RAND(),Reference!$D$8,0.1*Reference!$D$8)*(1+Reference!$D$11*(IF(MONTH($A1107)=Reference!$D$4,1,0)+IF(MONTH($A1107)=Reference!$D$5,1,0))+(IF(MONTH($A1107)=Reference!$D$6,Reference!$D$13,0))),0)</f>
        <v>441</v>
      </c>
      <c r="E1107" s="11">
        <f ca="1">D1107*Reference!$D$7*(1-IF(MONTH($A1107)=Reference!$D$6,1,0)*Reference!$D$12)</f>
        <v>330750</v>
      </c>
      <c r="M1107" s="20"/>
      <c r="N1107" s="20"/>
      <c r="O1107" s="19"/>
      <c r="P1107" s="10"/>
      <c r="Q1107" s="10"/>
      <c r="R1107" s="10"/>
      <c r="S1107" s="10"/>
      <c r="T1107" s="10"/>
      <c r="U1107" s="10"/>
      <c r="V1107" s="10"/>
      <c r="W1107" s="10"/>
      <c r="X1107" s="10"/>
      <c r="Y1107" s="10"/>
    </row>
    <row r="1108" spans="1:25" x14ac:dyDescent="0.25">
      <c r="A1108" s="9">
        <v>41646</v>
      </c>
      <c r="B1108" s="10">
        <f ca="1">ROUND(_xlfn.NORM.INV(RAND(),Reference!$C$8,0.1*Reference!$C$8)*(1+Reference!$C$11*(IF(MONTH($A1108)=Reference!$C$4,1,0)+IF(MONTH($A1108)=Reference!$C$5,1,0))+(IF(MONTH($A1108)=Reference!$C$6,Reference!$C$13,0))),0)</f>
        <v>389</v>
      </c>
      <c r="C1108" s="11">
        <f ca="1">B1108*Reference!$C$7*(1-IF(MONTH($A1108)=Reference!$C$6,1,0)*Reference!$C$12)</f>
        <v>361770</v>
      </c>
      <c r="D1108" s="10">
        <f ca="1">ROUND(_xlfn.NORM.INV(RAND(),Reference!$D$8,0.1*Reference!$D$8)*(1+Reference!$D$11*(IF(MONTH($A1108)=Reference!$D$4,1,0)+IF(MONTH($A1108)=Reference!$D$5,1,0))+(IF(MONTH($A1108)=Reference!$D$6,Reference!$D$13,0))),0)</f>
        <v>537</v>
      </c>
      <c r="E1108" s="11">
        <f ca="1">D1108*Reference!$D$7*(1-IF(MONTH($A1108)=Reference!$D$6,1,0)*Reference!$D$12)</f>
        <v>402750</v>
      </c>
      <c r="M1108" s="20"/>
      <c r="N1108" s="20"/>
      <c r="O1108" s="19"/>
      <c r="P1108" s="10"/>
      <c r="Q1108" s="10"/>
      <c r="R1108" s="10"/>
      <c r="S1108" s="10"/>
      <c r="T1108" s="10"/>
      <c r="U1108" s="10"/>
      <c r="V1108" s="10"/>
      <c r="W1108" s="10"/>
      <c r="X1108" s="10"/>
      <c r="Y1108" s="10"/>
    </row>
    <row r="1109" spans="1:25" x14ac:dyDescent="0.25">
      <c r="A1109" s="9">
        <v>41647</v>
      </c>
      <c r="B1109" s="10">
        <f ca="1">ROUND(_xlfn.NORM.INV(RAND(),Reference!$C$8,0.1*Reference!$C$8)*(1+Reference!$C$11*(IF(MONTH($A1109)=Reference!$C$4,1,0)+IF(MONTH($A1109)=Reference!$C$5,1,0))+(IF(MONTH($A1109)=Reference!$C$6,Reference!$C$13,0))),0)</f>
        <v>341</v>
      </c>
      <c r="C1109" s="11">
        <f ca="1">B1109*Reference!$C$7*(1-IF(MONTH($A1109)=Reference!$C$6,1,0)*Reference!$C$12)</f>
        <v>317130</v>
      </c>
      <c r="D1109" s="10">
        <f ca="1">ROUND(_xlfn.NORM.INV(RAND(),Reference!$D$8,0.1*Reference!$D$8)*(1+Reference!$D$11*(IF(MONTH($A1109)=Reference!$D$4,1,0)+IF(MONTH($A1109)=Reference!$D$5,1,0))+(IF(MONTH($A1109)=Reference!$D$6,Reference!$D$13,0))),0)</f>
        <v>420</v>
      </c>
      <c r="E1109" s="11">
        <f ca="1">D1109*Reference!$D$7*(1-IF(MONTH($A1109)=Reference!$D$6,1,0)*Reference!$D$12)</f>
        <v>315000</v>
      </c>
      <c r="M1109" s="20"/>
      <c r="N1109" s="20"/>
      <c r="O1109" s="19"/>
      <c r="P1109" s="10"/>
      <c r="Q1109" s="10"/>
      <c r="R1109" s="10"/>
      <c r="S1109" s="10"/>
      <c r="T1109" s="10"/>
      <c r="U1109" s="10"/>
      <c r="V1109" s="10"/>
      <c r="W1109" s="10"/>
      <c r="X1109" s="10"/>
      <c r="Y1109" s="10"/>
    </row>
    <row r="1110" spans="1:25" x14ac:dyDescent="0.25">
      <c r="A1110" s="9">
        <v>41648</v>
      </c>
      <c r="B1110" s="10">
        <f ca="1">ROUND(_xlfn.NORM.INV(RAND(),Reference!$C$8,0.1*Reference!$C$8)*(1+Reference!$C$11*(IF(MONTH($A1110)=Reference!$C$4,1,0)+IF(MONTH($A1110)=Reference!$C$5,1,0))+(IF(MONTH($A1110)=Reference!$C$6,Reference!$C$13,0))),0)</f>
        <v>351</v>
      </c>
      <c r="C1110" s="11">
        <f ca="1">B1110*Reference!$C$7*(1-IF(MONTH($A1110)=Reference!$C$6,1,0)*Reference!$C$12)</f>
        <v>326430</v>
      </c>
      <c r="D1110" s="10">
        <f ca="1">ROUND(_xlfn.NORM.INV(RAND(),Reference!$D$8,0.1*Reference!$D$8)*(1+Reference!$D$11*(IF(MONTH($A1110)=Reference!$D$4,1,0)+IF(MONTH($A1110)=Reference!$D$5,1,0))+(IF(MONTH($A1110)=Reference!$D$6,Reference!$D$13,0))),0)</f>
        <v>468</v>
      </c>
      <c r="E1110" s="11">
        <f ca="1">D1110*Reference!$D$7*(1-IF(MONTH($A1110)=Reference!$D$6,1,0)*Reference!$D$12)</f>
        <v>351000</v>
      </c>
      <c r="M1110" s="20"/>
      <c r="N1110" s="20"/>
      <c r="O1110" s="19"/>
      <c r="P1110" s="10"/>
      <c r="Q1110" s="10"/>
      <c r="R1110" s="10"/>
      <c r="S1110" s="10"/>
      <c r="T1110" s="10"/>
      <c r="U1110" s="10"/>
      <c r="V1110" s="10"/>
      <c r="W1110" s="10"/>
      <c r="X1110" s="10"/>
      <c r="Y1110" s="10"/>
    </row>
    <row r="1111" spans="1:25" x14ac:dyDescent="0.25">
      <c r="A1111" s="9">
        <v>41649</v>
      </c>
      <c r="B1111" s="10">
        <f ca="1">ROUND(_xlfn.NORM.INV(RAND(),Reference!$C$8,0.1*Reference!$C$8)*(1+Reference!$C$11*(IF(MONTH($A1111)=Reference!$C$4,1,0)+IF(MONTH($A1111)=Reference!$C$5,1,0))+(IF(MONTH($A1111)=Reference!$C$6,Reference!$C$13,0))),0)</f>
        <v>405</v>
      </c>
      <c r="C1111" s="11">
        <f ca="1">B1111*Reference!$C$7*(1-IF(MONTH($A1111)=Reference!$C$6,1,0)*Reference!$C$12)</f>
        <v>376650</v>
      </c>
      <c r="D1111" s="10">
        <f ca="1">ROUND(_xlfn.NORM.INV(RAND(),Reference!$D$8,0.1*Reference!$D$8)*(1+Reference!$D$11*(IF(MONTH($A1111)=Reference!$D$4,1,0)+IF(MONTH($A1111)=Reference!$D$5,1,0))+(IF(MONTH($A1111)=Reference!$D$6,Reference!$D$13,0))),0)</f>
        <v>477</v>
      </c>
      <c r="E1111" s="11">
        <f ca="1">D1111*Reference!$D$7*(1-IF(MONTH($A1111)=Reference!$D$6,1,0)*Reference!$D$12)</f>
        <v>357750</v>
      </c>
      <c r="M1111" s="20"/>
      <c r="N1111" s="20"/>
      <c r="O1111" s="19"/>
      <c r="P1111" s="10"/>
      <c r="Q1111" s="10"/>
      <c r="R1111" s="10"/>
      <c r="S1111" s="10"/>
      <c r="T1111" s="10"/>
      <c r="U1111" s="10"/>
      <c r="V1111" s="10"/>
      <c r="W1111" s="10"/>
      <c r="X1111" s="10"/>
      <c r="Y1111" s="10"/>
    </row>
    <row r="1112" spans="1:25" x14ac:dyDescent="0.25">
      <c r="A1112" s="9">
        <v>41650</v>
      </c>
      <c r="B1112" s="10">
        <f ca="1">ROUND(_xlfn.NORM.INV(RAND(),Reference!$C$8,0.1*Reference!$C$8)*(1+Reference!$C$11*(IF(MONTH($A1112)=Reference!$C$4,1,0)+IF(MONTH($A1112)=Reference!$C$5,1,0))+(IF(MONTH($A1112)=Reference!$C$6,Reference!$C$13,0))),0)</f>
        <v>422</v>
      </c>
      <c r="C1112" s="11">
        <f ca="1">B1112*Reference!$C$7*(1-IF(MONTH($A1112)=Reference!$C$6,1,0)*Reference!$C$12)</f>
        <v>392460</v>
      </c>
      <c r="D1112" s="10">
        <f ca="1">ROUND(_xlfn.NORM.INV(RAND(),Reference!$D$8,0.1*Reference!$D$8)*(1+Reference!$D$11*(IF(MONTH($A1112)=Reference!$D$4,1,0)+IF(MONTH($A1112)=Reference!$D$5,1,0))+(IF(MONTH($A1112)=Reference!$D$6,Reference!$D$13,0))),0)</f>
        <v>450</v>
      </c>
      <c r="E1112" s="11">
        <f ca="1">D1112*Reference!$D$7*(1-IF(MONTH($A1112)=Reference!$D$6,1,0)*Reference!$D$12)</f>
        <v>337500</v>
      </c>
      <c r="M1112" s="20"/>
      <c r="N1112" s="20"/>
      <c r="O1112" s="19"/>
      <c r="P1112" s="10"/>
      <c r="Q1112" s="10"/>
      <c r="R1112" s="10"/>
      <c r="S1112" s="10"/>
      <c r="T1112" s="10"/>
      <c r="U1112" s="10"/>
      <c r="V1112" s="10"/>
      <c r="W1112" s="10"/>
      <c r="X1112" s="10"/>
      <c r="Y1112" s="10"/>
    </row>
    <row r="1113" spans="1:25" x14ac:dyDescent="0.25">
      <c r="A1113" s="9">
        <v>41651</v>
      </c>
      <c r="B1113" s="10">
        <f ca="1">ROUND(_xlfn.NORM.INV(RAND(),Reference!$C$8,0.1*Reference!$C$8)*(1+Reference!$C$11*(IF(MONTH($A1113)=Reference!$C$4,1,0)+IF(MONTH($A1113)=Reference!$C$5,1,0))+(IF(MONTH($A1113)=Reference!$C$6,Reference!$C$13,0))),0)</f>
        <v>385</v>
      </c>
      <c r="C1113" s="11">
        <f ca="1">B1113*Reference!$C$7*(1-IF(MONTH($A1113)=Reference!$C$6,1,0)*Reference!$C$12)</f>
        <v>358050</v>
      </c>
      <c r="D1113" s="10">
        <f ca="1">ROUND(_xlfn.NORM.INV(RAND(),Reference!$D$8,0.1*Reference!$D$8)*(1+Reference!$D$11*(IF(MONTH($A1113)=Reference!$D$4,1,0)+IF(MONTH($A1113)=Reference!$D$5,1,0))+(IF(MONTH($A1113)=Reference!$D$6,Reference!$D$13,0))),0)</f>
        <v>474</v>
      </c>
      <c r="E1113" s="11">
        <f ca="1">D1113*Reference!$D$7*(1-IF(MONTH($A1113)=Reference!$D$6,1,0)*Reference!$D$12)</f>
        <v>355500</v>
      </c>
      <c r="M1113" s="20"/>
      <c r="N1113" s="20"/>
      <c r="O1113" s="19"/>
      <c r="P1113" s="10"/>
      <c r="Q1113" s="10"/>
      <c r="R1113" s="10"/>
      <c r="S1113" s="10"/>
      <c r="T1113" s="10"/>
      <c r="U1113" s="10"/>
      <c r="V1113" s="10"/>
      <c r="W1113" s="10"/>
      <c r="X1113" s="10"/>
      <c r="Y1113" s="10"/>
    </row>
    <row r="1114" spans="1:25" x14ac:dyDescent="0.25">
      <c r="A1114" s="9">
        <v>41652</v>
      </c>
      <c r="B1114" s="10">
        <f ca="1">ROUND(_xlfn.NORM.INV(RAND(),Reference!$C$8,0.1*Reference!$C$8)*(1+Reference!$C$11*(IF(MONTH($A1114)=Reference!$C$4,1,0)+IF(MONTH($A1114)=Reference!$C$5,1,0))+(IF(MONTH($A1114)=Reference!$C$6,Reference!$C$13,0))),0)</f>
        <v>382</v>
      </c>
      <c r="C1114" s="11">
        <f ca="1">B1114*Reference!$C$7*(1-IF(MONTH($A1114)=Reference!$C$6,1,0)*Reference!$C$12)</f>
        <v>355260</v>
      </c>
      <c r="D1114" s="10">
        <f ca="1">ROUND(_xlfn.NORM.INV(RAND(),Reference!$D$8,0.1*Reference!$D$8)*(1+Reference!$D$11*(IF(MONTH($A1114)=Reference!$D$4,1,0)+IF(MONTH($A1114)=Reference!$D$5,1,0))+(IF(MONTH($A1114)=Reference!$D$6,Reference!$D$13,0))),0)</f>
        <v>468</v>
      </c>
      <c r="E1114" s="11">
        <f ca="1">D1114*Reference!$D$7*(1-IF(MONTH($A1114)=Reference!$D$6,1,0)*Reference!$D$12)</f>
        <v>351000</v>
      </c>
      <c r="M1114" s="20"/>
      <c r="N1114" s="20"/>
      <c r="O1114" s="19"/>
      <c r="P1114" s="10"/>
      <c r="Q1114" s="10"/>
      <c r="R1114" s="10"/>
      <c r="S1114" s="10"/>
      <c r="T1114" s="10"/>
      <c r="U1114" s="10"/>
      <c r="V1114" s="10"/>
      <c r="W1114" s="10"/>
      <c r="X1114" s="10"/>
      <c r="Y1114" s="10"/>
    </row>
    <row r="1115" spans="1:25" x14ac:dyDescent="0.25">
      <c r="A1115" s="9">
        <v>41653</v>
      </c>
      <c r="B1115" s="10">
        <f ca="1">ROUND(_xlfn.NORM.INV(RAND(),Reference!$C$8,0.1*Reference!$C$8)*(1+Reference!$C$11*(IF(MONTH($A1115)=Reference!$C$4,1,0)+IF(MONTH($A1115)=Reference!$C$5,1,0))+(IF(MONTH($A1115)=Reference!$C$6,Reference!$C$13,0))),0)</f>
        <v>422</v>
      </c>
      <c r="C1115" s="11">
        <f ca="1">B1115*Reference!$C$7*(1-IF(MONTH($A1115)=Reference!$C$6,1,0)*Reference!$C$12)</f>
        <v>392460</v>
      </c>
      <c r="D1115" s="10">
        <f ca="1">ROUND(_xlfn.NORM.INV(RAND(),Reference!$D$8,0.1*Reference!$D$8)*(1+Reference!$D$11*(IF(MONTH($A1115)=Reference!$D$4,1,0)+IF(MONTH($A1115)=Reference!$D$5,1,0))+(IF(MONTH($A1115)=Reference!$D$6,Reference!$D$13,0))),0)</f>
        <v>400</v>
      </c>
      <c r="E1115" s="11">
        <f ca="1">D1115*Reference!$D$7*(1-IF(MONTH($A1115)=Reference!$D$6,1,0)*Reference!$D$12)</f>
        <v>300000</v>
      </c>
      <c r="M1115" s="20"/>
      <c r="N1115" s="20"/>
      <c r="O1115" s="19"/>
      <c r="P1115" s="10"/>
      <c r="Q1115" s="10"/>
      <c r="R1115" s="10"/>
      <c r="S1115" s="10"/>
      <c r="T1115" s="10"/>
      <c r="U1115" s="10"/>
      <c r="V1115" s="10"/>
      <c r="W1115" s="10"/>
      <c r="X1115" s="10"/>
      <c r="Y1115" s="10"/>
    </row>
    <row r="1116" spans="1:25" x14ac:dyDescent="0.25">
      <c r="A1116" s="9">
        <v>41654</v>
      </c>
      <c r="B1116" s="10">
        <f ca="1">ROUND(_xlfn.NORM.INV(RAND(),Reference!$C$8,0.1*Reference!$C$8)*(1+Reference!$C$11*(IF(MONTH($A1116)=Reference!$C$4,1,0)+IF(MONTH($A1116)=Reference!$C$5,1,0))+(IF(MONTH($A1116)=Reference!$C$6,Reference!$C$13,0))),0)</f>
        <v>355</v>
      </c>
      <c r="C1116" s="11">
        <f ca="1">B1116*Reference!$C$7*(1-IF(MONTH($A1116)=Reference!$C$6,1,0)*Reference!$C$12)</f>
        <v>330150</v>
      </c>
      <c r="D1116" s="10">
        <f ca="1">ROUND(_xlfn.NORM.INV(RAND(),Reference!$D$8,0.1*Reference!$D$8)*(1+Reference!$D$11*(IF(MONTH($A1116)=Reference!$D$4,1,0)+IF(MONTH($A1116)=Reference!$D$5,1,0))+(IF(MONTH($A1116)=Reference!$D$6,Reference!$D$13,0))),0)</f>
        <v>450</v>
      </c>
      <c r="E1116" s="11">
        <f ca="1">D1116*Reference!$D$7*(1-IF(MONTH($A1116)=Reference!$D$6,1,0)*Reference!$D$12)</f>
        <v>337500</v>
      </c>
      <c r="M1116" s="20"/>
      <c r="N1116" s="20"/>
      <c r="O1116" s="19"/>
      <c r="P1116" s="10"/>
      <c r="Q1116" s="10"/>
      <c r="R1116" s="10"/>
      <c r="S1116" s="10"/>
      <c r="T1116" s="10"/>
      <c r="U1116" s="10"/>
      <c r="V1116" s="10"/>
      <c r="W1116" s="10"/>
      <c r="X1116" s="10"/>
      <c r="Y1116" s="10"/>
    </row>
    <row r="1117" spans="1:25" x14ac:dyDescent="0.25">
      <c r="A1117" s="9">
        <v>41655</v>
      </c>
      <c r="B1117" s="10">
        <f ca="1">ROUND(_xlfn.NORM.INV(RAND(),Reference!$C$8,0.1*Reference!$C$8)*(1+Reference!$C$11*(IF(MONTH($A1117)=Reference!$C$4,1,0)+IF(MONTH($A1117)=Reference!$C$5,1,0))+(IF(MONTH($A1117)=Reference!$C$6,Reference!$C$13,0))),0)</f>
        <v>376</v>
      </c>
      <c r="C1117" s="11">
        <f ca="1">B1117*Reference!$C$7*(1-IF(MONTH($A1117)=Reference!$C$6,1,0)*Reference!$C$12)</f>
        <v>349680</v>
      </c>
      <c r="D1117" s="10">
        <f ca="1">ROUND(_xlfn.NORM.INV(RAND(),Reference!$D$8,0.1*Reference!$D$8)*(1+Reference!$D$11*(IF(MONTH($A1117)=Reference!$D$4,1,0)+IF(MONTH($A1117)=Reference!$D$5,1,0))+(IF(MONTH($A1117)=Reference!$D$6,Reference!$D$13,0))),0)</f>
        <v>502</v>
      </c>
      <c r="E1117" s="11">
        <f ca="1">D1117*Reference!$D$7*(1-IF(MONTH($A1117)=Reference!$D$6,1,0)*Reference!$D$12)</f>
        <v>376500</v>
      </c>
      <c r="M1117" s="20"/>
      <c r="N1117" s="20"/>
      <c r="O1117" s="19"/>
      <c r="P1117" s="10"/>
      <c r="Q1117" s="10"/>
      <c r="R1117" s="10"/>
      <c r="S1117" s="10"/>
      <c r="T1117" s="10"/>
      <c r="U1117" s="10"/>
      <c r="V1117" s="10"/>
      <c r="W1117" s="10"/>
      <c r="X1117" s="10"/>
      <c r="Y1117" s="10"/>
    </row>
    <row r="1118" spans="1:25" x14ac:dyDescent="0.25">
      <c r="A1118" s="9">
        <v>41656</v>
      </c>
      <c r="B1118" s="10">
        <f ca="1">ROUND(_xlfn.NORM.INV(RAND(),Reference!$C$8,0.1*Reference!$C$8)*(1+Reference!$C$11*(IF(MONTH($A1118)=Reference!$C$4,1,0)+IF(MONTH($A1118)=Reference!$C$5,1,0))+(IF(MONTH($A1118)=Reference!$C$6,Reference!$C$13,0))),0)</f>
        <v>311</v>
      </c>
      <c r="C1118" s="11">
        <f ca="1">B1118*Reference!$C$7*(1-IF(MONTH($A1118)=Reference!$C$6,1,0)*Reference!$C$12)</f>
        <v>289230</v>
      </c>
      <c r="D1118" s="10">
        <f ca="1">ROUND(_xlfn.NORM.INV(RAND(),Reference!$D$8,0.1*Reference!$D$8)*(1+Reference!$D$11*(IF(MONTH($A1118)=Reference!$D$4,1,0)+IF(MONTH($A1118)=Reference!$D$5,1,0))+(IF(MONTH($A1118)=Reference!$D$6,Reference!$D$13,0))),0)</f>
        <v>470</v>
      </c>
      <c r="E1118" s="11">
        <f ca="1">D1118*Reference!$D$7*(1-IF(MONTH($A1118)=Reference!$D$6,1,0)*Reference!$D$12)</f>
        <v>352500</v>
      </c>
      <c r="M1118" s="20"/>
      <c r="N1118" s="20"/>
      <c r="O1118" s="19"/>
      <c r="P1118" s="10"/>
      <c r="Q1118" s="10"/>
      <c r="R1118" s="10"/>
      <c r="S1118" s="10"/>
      <c r="T1118" s="10"/>
      <c r="U1118" s="10"/>
      <c r="V1118" s="10"/>
      <c r="W1118" s="10"/>
      <c r="X1118" s="10"/>
      <c r="Y1118" s="10"/>
    </row>
    <row r="1119" spans="1:25" x14ac:dyDescent="0.25">
      <c r="A1119" s="9">
        <v>41657</v>
      </c>
      <c r="B1119" s="10">
        <f ca="1">ROUND(_xlfn.NORM.INV(RAND(),Reference!$C$8,0.1*Reference!$C$8)*(1+Reference!$C$11*(IF(MONTH($A1119)=Reference!$C$4,1,0)+IF(MONTH($A1119)=Reference!$C$5,1,0))+(IF(MONTH($A1119)=Reference!$C$6,Reference!$C$13,0))),0)</f>
        <v>349</v>
      </c>
      <c r="C1119" s="11">
        <f ca="1">B1119*Reference!$C$7*(1-IF(MONTH($A1119)=Reference!$C$6,1,0)*Reference!$C$12)</f>
        <v>324570</v>
      </c>
      <c r="D1119" s="10">
        <f ca="1">ROUND(_xlfn.NORM.INV(RAND(),Reference!$D$8,0.1*Reference!$D$8)*(1+Reference!$D$11*(IF(MONTH($A1119)=Reference!$D$4,1,0)+IF(MONTH($A1119)=Reference!$D$5,1,0))+(IF(MONTH($A1119)=Reference!$D$6,Reference!$D$13,0))),0)</f>
        <v>448</v>
      </c>
      <c r="E1119" s="11">
        <f ca="1">D1119*Reference!$D$7*(1-IF(MONTH($A1119)=Reference!$D$6,1,0)*Reference!$D$12)</f>
        <v>336000</v>
      </c>
      <c r="M1119" s="20"/>
      <c r="N1119" s="20"/>
      <c r="O1119" s="19"/>
      <c r="P1119" s="10"/>
      <c r="Q1119" s="10"/>
      <c r="R1119" s="10"/>
      <c r="S1119" s="10"/>
      <c r="T1119" s="10"/>
      <c r="U1119" s="10"/>
      <c r="V1119" s="10"/>
      <c r="W1119" s="10"/>
      <c r="X1119" s="10"/>
      <c r="Y1119" s="10"/>
    </row>
    <row r="1120" spans="1:25" x14ac:dyDescent="0.25">
      <c r="A1120" s="9">
        <v>41658</v>
      </c>
      <c r="B1120" s="10">
        <f ca="1">ROUND(_xlfn.NORM.INV(RAND(),Reference!$C$8,0.1*Reference!$C$8)*(1+Reference!$C$11*(IF(MONTH($A1120)=Reference!$C$4,1,0)+IF(MONTH($A1120)=Reference!$C$5,1,0))+(IF(MONTH($A1120)=Reference!$C$6,Reference!$C$13,0))),0)</f>
        <v>323</v>
      </c>
      <c r="C1120" s="11">
        <f ca="1">B1120*Reference!$C$7*(1-IF(MONTH($A1120)=Reference!$C$6,1,0)*Reference!$C$12)</f>
        <v>300390</v>
      </c>
      <c r="D1120" s="10">
        <f ca="1">ROUND(_xlfn.NORM.INV(RAND(),Reference!$D$8,0.1*Reference!$D$8)*(1+Reference!$D$11*(IF(MONTH($A1120)=Reference!$D$4,1,0)+IF(MONTH($A1120)=Reference!$D$5,1,0))+(IF(MONTH($A1120)=Reference!$D$6,Reference!$D$13,0))),0)</f>
        <v>512</v>
      </c>
      <c r="E1120" s="11">
        <f ca="1">D1120*Reference!$D$7*(1-IF(MONTH($A1120)=Reference!$D$6,1,0)*Reference!$D$12)</f>
        <v>384000</v>
      </c>
      <c r="M1120" s="20"/>
      <c r="N1120" s="20"/>
      <c r="O1120" s="19"/>
      <c r="P1120" s="10"/>
      <c r="Q1120" s="10"/>
      <c r="R1120" s="10"/>
      <c r="S1120" s="10"/>
      <c r="T1120" s="10"/>
      <c r="U1120" s="10"/>
      <c r="V1120" s="10"/>
      <c r="W1120" s="10"/>
      <c r="X1120" s="10"/>
      <c r="Y1120" s="10"/>
    </row>
    <row r="1121" spans="1:25" x14ac:dyDescent="0.25">
      <c r="A1121" s="9">
        <v>41659</v>
      </c>
      <c r="B1121" s="10">
        <f ca="1">ROUND(_xlfn.NORM.INV(RAND(),Reference!$C$8,0.1*Reference!$C$8)*(1+Reference!$C$11*(IF(MONTH($A1121)=Reference!$C$4,1,0)+IF(MONTH($A1121)=Reference!$C$5,1,0))+(IF(MONTH($A1121)=Reference!$C$6,Reference!$C$13,0))),0)</f>
        <v>381</v>
      </c>
      <c r="C1121" s="11">
        <f ca="1">B1121*Reference!$C$7*(1-IF(MONTH($A1121)=Reference!$C$6,1,0)*Reference!$C$12)</f>
        <v>354330</v>
      </c>
      <c r="D1121" s="10">
        <f ca="1">ROUND(_xlfn.NORM.INV(RAND(),Reference!$D$8,0.1*Reference!$D$8)*(1+Reference!$D$11*(IF(MONTH($A1121)=Reference!$D$4,1,0)+IF(MONTH($A1121)=Reference!$D$5,1,0))+(IF(MONTH($A1121)=Reference!$D$6,Reference!$D$13,0))),0)</f>
        <v>543</v>
      </c>
      <c r="E1121" s="11">
        <f ca="1">D1121*Reference!$D$7*(1-IF(MONTH($A1121)=Reference!$D$6,1,0)*Reference!$D$12)</f>
        <v>407250</v>
      </c>
      <c r="M1121" s="20"/>
      <c r="N1121" s="20"/>
      <c r="O1121" s="19"/>
      <c r="P1121" s="10"/>
      <c r="Q1121" s="10"/>
      <c r="R1121" s="10"/>
      <c r="S1121" s="10"/>
      <c r="T1121" s="10"/>
      <c r="U1121" s="10"/>
      <c r="V1121" s="10"/>
      <c r="W1121" s="10"/>
      <c r="X1121" s="10"/>
      <c r="Y1121" s="10"/>
    </row>
    <row r="1122" spans="1:25" x14ac:dyDescent="0.25">
      <c r="A1122" s="9">
        <v>41660</v>
      </c>
      <c r="B1122" s="10">
        <f ca="1">ROUND(_xlfn.NORM.INV(RAND(),Reference!$C$8,0.1*Reference!$C$8)*(1+Reference!$C$11*(IF(MONTH($A1122)=Reference!$C$4,1,0)+IF(MONTH($A1122)=Reference!$C$5,1,0))+(IF(MONTH($A1122)=Reference!$C$6,Reference!$C$13,0))),0)</f>
        <v>410</v>
      </c>
      <c r="C1122" s="11">
        <f ca="1">B1122*Reference!$C$7*(1-IF(MONTH($A1122)=Reference!$C$6,1,0)*Reference!$C$12)</f>
        <v>381300</v>
      </c>
      <c r="D1122" s="10">
        <f ca="1">ROUND(_xlfn.NORM.INV(RAND(),Reference!$D$8,0.1*Reference!$D$8)*(1+Reference!$D$11*(IF(MONTH($A1122)=Reference!$D$4,1,0)+IF(MONTH($A1122)=Reference!$D$5,1,0))+(IF(MONTH($A1122)=Reference!$D$6,Reference!$D$13,0))),0)</f>
        <v>552</v>
      </c>
      <c r="E1122" s="11">
        <f ca="1">D1122*Reference!$D$7*(1-IF(MONTH($A1122)=Reference!$D$6,1,0)*Reference!$D$12)</f>
        <v>414000</v>
      </c>
      <c r="M1122" s="20"/>
      <c r="N1122" s="20"/>
      <c r="O1122" s="19"/>
      <c r="P1122" s="10"/>
      <c r="Q1122" s="10"/>
      <c r="R1122" s="10"/>
      <c r="S1122" s="10"/>
      <c r="T1122" s="10"/>
      <c r="U1122" s="10"/>
      <c r="V1122" s="10"/>
      <c r="W1122" s="10"/>
      <c r="X1122" s="10"/>
      <c r="Y1122" s="10"/>
    </row>
    <row r="1123" spans="1:25" x14ac:dyDescent="0.25">
      <c r="A1123" s="9">
        <v>41661</v>
      </c>
      <c r="B1123" s="10">
        <f ca="1">ROUND(_xlfn.NORM.INV(RAND(),Reference!$C$8,0.1*Reference!$C$8)*(1+Reference!$C$11*(IF(MONTH($A1123)=Reference!$C$4,1,0)+IF(MONTH($A1123)=Reference!$C$5,1,0))+(IF(MONTH($A1123)=Reference!$C$6,Reference!$C$13,0))),0)</f>
        <v>388</v>
      </c>
      <c r="C1123" s="11">
        <f ca="1">B1123*Reference!$C$7*(1-IF(MONTH($A1123)=Reference!$C$6,1,0)*Reference!$C$12)</f>
        <v>360840</v>
      </c>
      <c r="D1123" s="10">
        <f ca="1">ROUND(_xlfn.NORM.INV(RAND(),Reference!$D$8,0.1*Reference!$D$8)*(1+Reference!$D$11*(IF(MONTH($A1123)=Reference!$D$4,1,0)+IF(MONTH($A1123)=Reference!$D$5,1,0))+(IF(MONTH($A1123)=Reference!$D$6,Reference!$D$13,0))),0)</f>
        <v>483</v>
      </c>
      <c r="E1123" s="11">
        <f ca="1">D1123*Reference!$D$7*(1-IF(MONTH($A1123)=Reference!$D$6,1,0)*Reference!$D$12)</f>
        <v>362250</v>
      </c>
      <c r="M1123" s="20"/>
      <c r="N1123" s="20"/>
      <c r="O1123" s="19"/>
      <c r="P1123" s="10"/>
      <c r="Q1123" s="10"/>
      <c r="R1123" s="10"/>
      <c r="S1123" s="10"/>
      <c r="T1123" s="10"/>
      <c r="U1123" s="10"/>
      <c r="V1123" s="10"/>
      <c r="W1123" s="10"/>
      <c r="X1123" s="10"/>
      <c r="Y1123" s="10"/>
    </row>
    <row r="1124" spans="1:25" x14ac:dyDescent="0.25">
      <c r="A1124" s="9">
        <v>41662</v>
      </c>
      <c r="B1124" s="10">
        <f ca="1">ROUND(_xlfn.NORM.INV(RAND(),Reference!$C$8,0.1*Reference!$C$8)*(1+Reference!$C$11*(IF(MONTH($A1124)=Reference!$C$4,1,0)+IF(MONTH($A1124)=Reference!$C$5,1,0))+(IF(MONTH($A1124)=Reference!$C$6,Reference!$C$13,0))),0)</f>
        <v>358</v>
      </c>
      <c r="C1124" s="11">
        <f ca="1">B1124*Reference!$C$7*(1-IF(MONTH($A1124)=Reference!$C$6,1,0)*Reference!$C$12)</f>
        <v>332940</v>
      </c>
      <c r="D1124" s="10">
        <f ca="1">ROUND(_xlfn.NORM.INV(RAND(),Reference!$D$8,0.1*Reference!$D$8)*(1+Reference!$D$11*(IF(MONTH($A1124)=Reference!$D$4,1,0)+IF(MONTH($A1124)=Reference!$D$5,1,0))+(IF(MONTH($A1124)=Reference!$D$6,Reference!$D$13,0))),0)</f>
        <v>424</v>
      </c>
      <c r="E1124" s="11">
        <f ca="1">D1124*Reference!$D$7*(1-IF(MONTH($A1124)=Reference!$D$6,1,0)*Reference!$D$12)</f>
        <v>318000</v>
      </c>
      <c r="M1124" s="20"/>
      <c r="N1124" s="20"/>
      <c r="O1124" s="19"/>
      <c r="P1124" s="10"/>
      <c r="Q1124" s="10"/>
      <c r="R1124" s="10"/>
      <c r="S1124" s="10"/>
      <c r="T1124" s="10"/>
      <c r="U1124" s="10"/>
      <c r="V1124" s="10"/>
      <c r="W1124" s="10"/>
      <c r="X1124" s="10"/>
      <c r="Y1124" s="10"/>
    </row>
    <row r="1125" spans="1:25" x14ac:dyDescent="0.25">
      <c r="A1125" s="9">
        <v>41663</v>
      </c>
      <c r="B1125" s="10">
        <f ca="1">ROUND(_xlfn.NORM.INV(RAND(),Reference!$C$8,0.1*Reference!$C$8)*(1+Reference!$C$11*(IF(MONTH($A1125)=Reference!$C$4,1,0)+IF(MONTH($A1125)=Reference!$C$5,1,0))+(IF(MONTH($A1125)=Reference!$C$6,Reference!$C$13,0))),0)</f>
        <v>361</v>
      </c>
      <c r="C1125" s="11">
        <f ca="1">B1125*Reference!$C$7*(1-IF(MONTH($A1125)=Reference!$C$6,1,0)*Reference!$C$12)</f>
        <v>335730</v>
      </c>
      <c r="D1125" s="10">
        <f ca="1">ROUND(_xlfn.NORM.INV(RAND(),Reference!$D$8,0.1*Reference!$D$8)*(1+Reference!$D$11*(IF(MONTH($A1125)=Reference!$D$4,1,0)+IF(MONTH($A1125)=Reference!$D$5,1,0))+(IF(MONTH($A1125)=Reference!$D$6,Reference!$D$13,0))),0)</f>
        <v>439</v>
      </c>
      <c r="E1125" s="11">
        <f ca="1">D1125*Reference!$D$7*(1-IF(MONTH($A1125)=Reference!$D$6,1,0)*Reference!$D$12)</f>
        <v>329250</v>
      </c>
      <c r="M1125" s="20"/>
      <c r="N1125" s="20"/>
      <c r="O1125" s="19"/>
      <c r="P1125" s="10"/>
      <c r="Q1125" s="10"/>
      <c r="R1125" s="10"/>
      <c r="S1125" s="10"/>
      <c r="T1125" s="10"/>
      <c r="U1125" s="10"/>
      <c r="V1125" s="10"/>
      <c r="W1125" s="10"/>
      <c r="X1125" s="10"/>
      <c r="Y1125" s="10"/>
    </row>
    <row r="1126" spans="1:25" x14ac:dyDescent="0.25">
      <c r="A1126" s="9">
        <v>41664</v>
      </c>
      <c r="B1126" s="10">
        <f ca="1">ROUND(_xlfn.NORM.INV(RAND(),Reference!$C$8,0.1*Reference!$C$8)*(1+Reference!$C$11*(IF(MONTH($A1126)=Reference!$C$4,1,0)+IF(MONTH($A1126)=Reference!$C$5,1,0))+(IF(MONTH($A1126)=Reference!$C$6,Reference!$C$13,0))),0)</f>
        <v>338</v>
      </c>
      <c r="C1126" s="11">
        <f ca="1">B1126*Reference!$C$7*(1-IF(MONTH($A1126)=Reference!$C$6,1,0)*Reference!$C$12)</f>
        <v>314340</v>
      </c>
      <c r="D1126" s="10">
        <f ca="1">ROUND(_xlfn.NORM.INV(RAND(),Reference!$D$8,0.1*Reference!$D$8)*(1+Reference!$D$11*(IF(MONTH($A1126)=Reference!$D$4,1,0)+IF(MONTH($A1126)=Reference!$D$5,1,0))+(IF(MONTH($A1126)=Reference!$D$6,Reference!$D$13,0))),0)</f>
        <v>482</v>
      </c>
      <c r="E1126" s="11">
        <f ca="1">D1126*Reference!$D$7*(1-IF(MONTH($A1126)=Reference!$D$6,1,0)*Reference!$D$12)</f>
        <v>361500</v>
      </c>
      <c r="M1126" s="20"/>
      <c r="N1126" s="20"/>
      <c r="O1126" s="19"/>
      <c r="P1126" s="10"/>
      <c r="Q1126" s="10"/>
      <c r="R1126" s="10"/>
      <c r="S1126" s="10"/>
      <c r="T1126" s="10"/>
      <c r="U1126" s="10"/>
      <c r="V1126" s="10"/>
      <c r="W1126" s="10"/>
      <c r="X1126" s="10"/>
      <c r="Y1126" s="10"/>
    </row>
    <row r="1127" spans="1:25" x14ac:dyDescent="0.25">
      <c r="A1127" s="9">
        <v>41665</v>
      </c>
      <c r="B1127" s="10">
        <f ca="1">ROUND(_xlfn.NORM.INV(RAND(),Reference!$C$8,0.1*Reference!$C$8)*(1+Reference!$C$11*(IF(MONTH($A1127)=Reference!$C$4,1,0)+IF(MONTH($A1127)=Reference!$C$5,1,0))+(IF(MONTH($A1127)=Reference!$C$6,Reference!$C$13,0))),0)</f>
        <v>290</v>
      </c>
      <c r="C1127" s="11">
        <f ca="1">B1127*Reference!$C$7*(1-IF(MONTH($A1127)=Reference!$C$6,1,0)*Reference!$C$12)</f>
        <v>269700</v>
      </c>
      <c r="D1127" s="10">
        <f ca="1">ROUND(_xlfn.NORM.INV(RAND(),Reference!$D$8,0.1*Reference!$D$8)*(1+Reference!$D$11*(IF(MONTH($A1127)=Reference!$D$4,1,0)+IF(MONTH($A1127)=Reference!$D$5,1,0))+(IF(MONTH($A1127)=Reference!$D$6,Reference!$D$13,0))),0)</f>
        <v>466</v>
      </c>
      <c r="E1127" s="11">
        <f ca="1">D1127*Reference!$D$7*(1-IF(MONTH($A1127)=Reference!$D$6,1,0)*Reference!$D$12)</f>
        <v>349500</v>
      </c>
      <c r="M1127" s="20"/>
      <c r="N1127" s="20"/>
      <c r="O1127" s="19"/>
      <c r="P1127" s="10"/>
      <c r="Q1127" s="10"/>
      <c r="R1127" s="10"/>
      <c r="S1127" s="10"/>
      <c r="T1127" s="10"/>
      <c r="U1127" s="10"/>
      <c r="V1127" s="10"/>
      <c r="W1127" s="10"/>
      <c r="X1127" s="10"/>
      <c r="Y1127" s="10"/>
    </row>
    <row r="1128" spans="1:25" x14ac:dyDescent="0.25">
      <c r="A1128" s="9">
        <v>41666</v>
      </c>
      <c r="B1128" s="10">
        <f ca="1">ROUND(_xlfn.NORM.INV(RAND(),Reference!$C$8,0.1*Reference!$C$8)*(1+Reference!$C$11*(IF(MONTH($A1128)=Reference!$C$4,1,0)+IF(MONTH($A1128)=Reference!$C$5,1,0))+(IF(MONTH($A1128)=Reference!$C$6,Reference!$C$13,0))),0)</f>
        <v>370</v>
      </c>
      <c r="C1128" s="11">
        <f ca="1">B1128*Reference!$C$7*(1-IF(MONTH($A1128)=Reference!$C$6,1,0)*Reference!$C$12)</f>
        <v>344100</v>
      </c>
      <c r="D1128" s="10">
        <f ca="1">ROUND(_xlfn.NORM.INV(RAND(),Reference!$D$8,0.1*Reference!$D$8)*(1+Reference!$D$11*(IF(MONTH($A1128)=Reference!$D$4,1,0)+IF(MONTH($A1128)=Reference!$D$5,1,0))+(IF(MONTH($A1128)=Reference!$D$6,Reference!$D$13,0))),0)</f>
        <v>482</v>
      </c>
      <c r="E1128" s="11">
        <f ca="1">D1128*Reference!$D$7*(1-IF(MONTH($A1128)=Reference!$D$6,1,0)*Reference!$D$12)</f>
        <v>361500</v>
      </c>
      <c r="M1128" s="20"/>
      <c r="N1128" s="20"/>
      <c r="O1128" s="19"/>
      <c r="P1128" s="10"/>
      <c r="Q1128" s="10"/>
      <c r="R1128" s="10"/>
      <c r="S1128" s="10"/>
      <c r="T1128" s="10"/>
      <c r="U1128" s="10"/>
      <c r="V1128" s="10"/>
      <c r="W1128" s="10"/>
      <c r="X1128" s="10"/>
      <c r="Y1128" s="10"/>
    </row>
    <row r="1129" spans="1:25" x14ac:dyDescent="0.25">
      <c r="A1129" s="9">
        <v>41667</v>
      </c>
      <c r="B1129" s="10">
        <f ca="1">ROUND(_xlfn.NORM.INV(RAND(),Reference!$C$8,0.1*Reference!$C$8)*(1+Reference!$C$11*(IF(MONTH($A1129)=Reference!$C$4,1,0)+IF(MONTH($A1129)=Reference!$C$5,1,0))+(IF(MONTH($A1129)=Reference!$C$6,Reference!$C$13,0))),0)</f>
        <v>367</v>
      </c>
      <c r="C1129" s="11">
        <f ca="1">B1129*Reference!$C$7*(1-IF(MONTH($A1129)=Reference!$C$6,1,0)*Reference!$C$12)</f>
        <v>341310</v>
      </c>
      <c r="D1129" s="10">
        <f ca="1">ROUND(_xlfn.NORM.INV(RAND(),Reference!$D$8,0.1*Reference!$D$8)*(1+Reference!$D$11*(IF(MONTH($A1129)=Reference!$D$4,1,0)+IF(MONTH($A1129)=Reference!$D$5,1,0))+(IF(MONTH($A1129)=Reference!$D$6,Reference!$D$13,0))),0)</f>
        <v>464</v>
      </c>
      <c r="E1129" s="11">
        <f ca="1">D1129*Reference!$D$7*(1-IF(MONTH($A1129)=Reference!$D$6,1,0)*Reference!$D$12)</f>
        <v>348000</v>
      </c>
      <c r="M1129" s="20"/>
      <c r="N1129" s="20"/>
      <c r="O1129" s="19"/>
      <c r="P1129" s="10"/>
      <c r="Q1129" s="10"/>
      <c r="R1129" s="10"/>
      <c r="S1129" s="10"/>
      <c r="T1129" s="10"/>
      <c r="U1129" s="10"/>
      <c r="V1129" s="10"/>
      <c r="W1129" s="10"/>
      <c r="X1129" s="10"/>
      <c r="Y1129" s="10"/>
    </row>
    <row r="1130" spans="1:25" x14ac:dyDescent="0.25">
      <c r="A1130" s="9">
        <v>41668</v>
      </c>
      <c r="B1130" s="10">
        <f ca="1">ROUND(_xlfn.NORM.INV(RAND(),Reference!$C$8,0.1*Reference!$C$8)*(1+Reference!$C$11*(IF(MONTH($A1130)=Reference!$C$4,1,0)+IF(MONTH($A1130)=Reference!$C$5,1,0))+(IF(MONTH($A1130)=Reference!$C$6,Reference!$C$13,0))),0)</f>
        <v>384</v>
      </c>
      <c r="C1130" s="11">
        <f ca="1">B1130*Reference!$C$7*(1-IF(MONTH($A1130)=Reference!$C$6,1,0)*Reference!$C$12)</f>
        <v>357120</v>
      </c>
      <c r="D1130" s="10">
        <f ca="1">ROUND(_xlfn.NORM.INV(RAND(),Reference!$D$8,0.1*Reference!$D$8)*(1+Reference!$D$11*(IF(MONTH($A1130)=Reference!$D$4,1,0)+IF(MONTH($A1130)=Reference!$D$5,1,0))+(IF(MONTH($A1130)=Reference!$D$6,Reference!$D$13,0))),0)</f>
        <v>523</v>
      </c>
      <c r="E1130" s="11">
        <f ca="1">D1130*Reference!$D$7*(1-IF(MONTH($A1130)=Reference!$D$6,1,0)*Reference!$D$12)</f>
        <v>392250</v>
      </c>
      <c r="M1130" s="20"/>
      <c r="N1130" s="20"/>
      <c r="O1130" s="19"/>
      <c r="P1130" s="10"/>
      <c r="Q1130" s="10"/>
      <c r="R1130" s="10"/>
      <c r="S1130" s="10"/>
      <c r="T1130" s="10"/>
      <c r="U1130" s="10"/>
      <c r="V1130" s="10"/>
      <c r="W1130" s="10"/>
      <c r="X1130" s="10"/>
      <c r="Y1130" s="10"/>
    </row>
    <row r="1131" spans="1:25" x14ac:dyDescent="0.25">
      <c r="A1131" s="9">
        <v>41669</v>
      </c>
      <c r="B1131" s="10">
        <f ca="1">ROUND(_xlfn.NORM.INV(RAND(),Reference!$C$8,0.1*Reference!$C$8)*(1+Reference!$C$11*(IF(MONTH($A1131)=Reference!$C$4,1,0)+IF(MONTH($A1131)=Reference!$C$5,1,0))+(IF(MONTH($A1131)=Reference!$C$6,Reference!$C$13,0))),0)</f>
        <v>384</v>
      </c>
      <c r="C1131" s="11">
        <f ca="1">B1131*Reference!$C$7*(1-IF(MONTH($A1131)=Reference!$C$6,1,0)*Reference!$C$12)</f>
        <v>357120</v>
      </c>
      <c r="D1131" s="10">
        <f ca="1">ROUND(_xlfn.NORM.INV(RAND(),Reference!$D$8,0.1*Reference!$D$8)*(1+Reference!$D$11*(IF(MONTH($A1131)=Reference!$D$4,1,0)+IF(MONTH($A1131)=Reference!$D$5,1,0))+(IF(MONTH($A1131)=Reference!$D$6,Reference!$D$13,0))),0)</f>
        <v>384</v>
      </c>
      <c r="E1131" s="11">
        <f ca="1">D1131*Reference!$D$7*(1-IF(MONTH($A1131)=Reference!$D$6,1,0)*Reference!$D$12)</f>
        <v>288000</v>
      </c>
      <c r="M1131" s="20"/>
      <c r="N1131" s="20"/>
      <c r="O1131" s="19"/>
      <c r="P1131" s="10"/>
      <c r="Q1131" s="10"/>
      <c r="R1131" s="10"/>
      <c r="S1131" s="10"/>
      <c r="T1131" s="10"/>
      <c r="U1131" s="10"/>
      <c r="V1131" s="10"/>
      <c r="W1131" s="10"/>
      <c r="X1131" s="10"/>
      <c r="Y1131" s="10"/>
    </row>
    <row r="1132" spans="1:25" x14ac:dyDescent="0.25">
      <c r="A1132" s="9">
        <v>41670</v>
      </c>
      <c r="B1132" s="10">
        <f ca="1">ROUND(_xlfn.NORM.INV(RAND(),Reference!$C$8,0.1*Reference!$C$8)*(1+Reference!$C$11*(IF(MONTH($A1132)=Reference!$C$4,1,0)+IF(MONTH($A1132)=Reference!$C$5,1,0))+(IF(MONTH($A1132)=Reference!$C$6,Reference!$C$13,0))),0)</f>
        <v>428</v>
      </c>
      <c r="C1132" s="11">
        <f ca="1">B1132*Reference!$C$7*(1-IF(MONTH($A1132)=Reference!$C$6,1,0)*Reference!$C$12)</f>
        <v>398040</v>
      </c>
      <c r="D1132" s="10">
        <f ca="1">ROUND(_xlfn.NORM.INV(RAND(),Reference!$D$8,0.1*Reference!$D$8)*(1+Reference!$D$11*(IF(MONTH($A1132)=Reference!$D$4,1,0)+IF(MONTH($A1132)=Reference!$D$5,1,0))+(IF(MONTH($A1132)=Reference!$D$6,Reference!$D$13,0))),0)</f>
        <v>435</v>
      </c>
      <c r="E1132" s="11">
        <f ca="1">D1132*Reference!$D$7*(1-IF(MONTH($A1132)=Reference!$D$6,1,0)*Reference!$D$12)</f>
        <v>326250</v>
      </c>
      <c r="M1132" s="20"/>
      <c r="N1132" s="20"/>
      <c r="O1132" s="19"/>
      <c r="P1132" s="10"/>
      <c r="Q1132" s="10"/>
      <c r="R1132" s="10"/>
      <c r="S1132" s="10"/>
      <c r="T1132" s="10"/>
      <c r="U1132" s="10"/>
      <c r="V1132" s="10"/>
      <c r="W1132" s="10"/>
      <c r="X1132" s="10"/>
      <c r="Y1132" s="10"/>
    </row>
    <row r="1133" spans="1:25" x14ac:dyDescent="0.25">
      <c r="A1133" s="9">
        <v>41671</v>
      </c>
      <c r="B1133" s="10">
        <f ca="1">ROUND(_xlfn.NORM.INV(RAND(),Reference!$C$8,0.1*Reference!$C$8)*(1+Reference!$C$11*(IF(MONTH($A1133)=Reference!$C$4,1,0)+IF(MONTH($A1133)=Reference!$C$5,1,0))+(IF(MONTH($A1133)=Reference!$C$6,Reference!$C$13,0))),0)</f>
        <v>306</v>
      </c>
      <c r="C1133" s="11">
        <f ca="1">B1133*Reference!$C$7*(1-IF(MONTH($A1133)=Reference!$C$6,1,0)*Reference!$C$12)</f>
        <v>284580</v>
      </c>
      <c r="D1133" s="10">
        <f ca="1">ROUND(_xlfn.NORM.INV(RAND(),Reference!$D$8,0.1*Reference!$D$8)*(1+Reference!$D$11*(IF(MONTH($A1133)=Reference!$D$4,1,0)+IF(MONTH($A1133)=Reference!$D$5,1,0))+(IF(MONTH($A1133)=Reference!$D$6,Reference!$D$13,0))),0)</f>
        <v>453</v>
      </c>
      <c r="E1133" s="11">
        <f ca="1">D1133*Reference!$D$7*(1-IF(MONTH($A1133)=Reference!$D$6,1,0)*Reference!$D$12)</f>
        <v>339750</v>
      </c>
      <c r="M1133" s="20"/>
      <c r="N1133" s="20"/>
      <c r="O1133" s="19"/>
      <c r="P1133" s="10"/>
      <c r="Q1133" s="10"/>
      <c r="R1133" s="10"/>
      <c r="S1133" s="10"/>
      <c r="T1133" s="10"/>
      <c r="U1133" s="10"/>
      <c r="V1133" s="10"/>
      <c r="W1133" s="10"/>
      <c r="X1133" s="10"/>
      <c r="Y1133" s="10"/>
    </row>
    <row r="1134" spans="1:25" x14ac:dyDescent="0.25">
      <c r="A1134" s="9">
        <v>41672</v>
      </c>
      <c r="B1134" s="10">
        <f ca="1">ROUND(_xlfn.NORM.INV(RAND(),Reference!$C$8,0.1*Reference!$C$8)*(1+Reference!$C$11*(IF(MONTH($A1134)=Reference!$C$4,1,0)+IF(MONTH($A1134)=Reference!$C$5,1,0))+(IF(MONTH($A1134)=Reference!$C$6,Reference!$C$13,0))),0)</f>
        <v>381</v>
      </c>
      <c r="C1134" s="11">
        <f ca="1">B1134*Reference!$C$7*(1-IF(MONTH($A1134)=Reference!$C$6,1,0)*Reference!$C$12)</f>
        <v>354330</v>
      </c>
      <c r="D1134" s="10">
        <f ca="1">ROUND(_xlfn.NORM.INV(RAND(),Reference!$D$8,0.1*Reference!$D$8)*(1+Reference!$D$11*(IF(MONTH($A1134)=Reference!$D$4,1,0)+IF(MONTH($A1134)=Reference!$D$5,1,0))+(IF(MONTH($A1134)=Reference!$D$6,Reference!$D$13,0))),0)</f>
        <v>359</v>
      </c>
      <c r="E1134" s="11">
        <f ca="1">D1134*Reference!$D$7*(1-IF(MONTH($A1134)=Reference!$D$6,1,0)*Reference!$D$12)</f>
        <v>269250</v>
      </c>
      <c r="M1134" s="20"/>
      <c r="N1134" s="20"/>
      <c r="O1134" s="19"/>
      <c r="P1134" s="10"/>
      <c r="Q1134" s="10"/>
      <c r="R1134" s="10"/>
      <c r="S1134" s="10"/>
      <c r="T1134" s="10"/>
      <c r="U1134" s="10"/>
      <c r="V1134" s="10"/>
      <c r="W1134" s="10"/>
      <c r="X1134" s="10"/>
      <c r="Y1134" s="10"/>
    </row>
    <row r="1135" spans="1:25" x14ac:dyDescent="0.25">
      <c r="A1135" s="9">
        <v>41673</v>
      </c>
      <c r="B1135" s="10">
        <f ca="1">ROUND(_xlfn.NORM.INV(RAND(),Reference!$C$8,0.1*Reference!$C$8)*(1+Reference!$C$11*(IF(MONTH($A1135)=Reference!$C$4,1,0)+IF(MONTH($A1135)=Reference!$C$5,1,0))+(IF(MONTH($A1135)=Reference!$C$6,Reference!$C$13,0))),0)</f>
        <v>335</v>
      </c>
      <c r="C1135" s="11">
        <f ca="1">B1135*Reference!$C$7*(1-IF(MONTH($A1135)=Reference!$C$6,1,0)*Reference!$C$12)</f>
        <v>311550</v>
      </c>
      <c r="D1135" s="10">
        <f ca="1">ROUND(_xlfn.NORM.INV(RAND(),Reference!$D$8,0.1*Reference!$D$8)*(1+Reference!$D$11*(IF(MONTH($A1135)=Reference!$D$4,1,0)+IF(MONTH($A1135)=Reference!$D$5,1,0))+(IF(MONTH($A1135)=Reference!$D$6,Reference!$D$13,0))),0)</f>
        <v>516</v>
      </c>
      <c r="E1135" s="11">
        <f ca="1">D1135*Reference!$D$7*(1-IF(MONTH($A1135)=Reference!$D$6,1,0)*Reference!$D$12)</f>
        <v>387000</v>
      </c>
      <c r="M1135" s="20"/>
      <c r="N1135" s="20"/>
      <c r="O1135" s="19"/>
      <c r="P1135" s="10"/>
      <c r="Q1135" s="10"/>
      <c r="R1135" s="10"/>
      <c r="S1135" s="10"/>
      <c r="T1135" s="10"/>
      <c r="U1135" s="10"/>
      <c r="V1135" s="10"/>
      <c r="W1135" s="10"/>
      <c r="X1135" s="10"/>
      <c r="Y1135" s="10"/>
    </row>
    <row r="1136" spans="1:25" x14ac:dyDescent="0.25">
      <c r="A1136" s="9">
        <v>41674</v>
      </c>
      <c r="B1136" s="10">
        <f ca="1">ROUND(_xlfn.NORM.INV(RAND(),Reference!$C$8,0.1*Reference!$C$8)*(1+Reference!$C$11*(IF(MONTH($A1136)=Reference!$C$4,1,0)+IF(MONTH($A1136)=Reference!$C$5,1,0))+(IF(MONTH($A1136)=Reference!$C$6,Reference!$C$13,0))),0)</f>
        <v>317</v>
      </c>
      <c r="C1136" s="11">
        <f ca="1">B1136*Reference!$C$7*(1-IF(MONTH($A1136)=Reference!$C$6,1,0)*Reference!$C$12)</f>
        <v>294810</v>
      </c>
      <c r="D1136" s="10">
        <f ca="1">ROUND(_xlfn.NORM.INV(RAND(),Reference!$D$8,0.1*Reference!$D$8)*(1+Reference!$D$11*(IF(MONTH($A1136)=Reference!$D$4,1,0)+IF(MONTH($A1136)=Reference!$D$5,1,0))+(IF(MONTH($A1136)=Reference!$D$6,Reference!$D$13,0))),0)</f>
        <v>454</v>
      </c>
      <c r="E1136" s="11">
        <f ca="1">D1136*Reference!$D$7*(1-IF(MONTH($A1136)=Reference!$D$6,1,0)*Reference!$D$12)</f>
        <v>340500</v>
      </c>
      <c r="M1136" s="20"/>
      <c r="N1136" s="20"/>
      <c r="O1136" s="19"/>
      <c r="P1136" s="10"/>
      <c r="Q1136" s="10"/>
      <c r="R1136" s="10"/>
      <c r="S1136" s="10"/>
      <c r="T1136" s="10"/>
      <c r="U1136" s="10"/>
      <c r="V1136" s="10"/>
      <c r="W1136" s="10"/>
      <c r="X1136" s="10"/>
      <c r="Y1136" s="10"/>
    </row>
    <row r="1137" spans="1:25" x14ac:dyDescent="0.25">
      <c r="A1137" s="9">
        <v>41675</v>
      </c>
      <c r="B1137" s="10">
        <f ca="1">ROUND(_xlfn.NORM.INV(RAND(),Reference!$C$8,0.1*Reference!$C$8)*(1+Reference!$C$11*(IF(MONTH($A1137)=Reference!$C$4,1,0)+IF(MONTH($A1137)=Reference!$C$5,1,0))+(IF(MONTH($A1137)=Reference!$C$6,Reference!$C$13,0))),0)</f>
        <v>383</v>
      </c>
      <c r="C1137" s="11">
        <f ca="1">B1137*Reference!$C$7*(1-IF(MONTH($A1137)=Reference!$C$6,1,0)*Reference!$C$12)</f>
        <v>356190</v>
      </c>
      <c r="D1137" s="10">
        <f ca="1">ROUND(_xlfn.NORM.INV(RAND(),Reference!$D$8,0.1*Reference!$D$8)*(1+Reference!$D$11*(IF(MONTH($A1137)=Reference!$D$4,1,0)+IF(MONTH($A1137)=Reference!$D$5,1,0))+(IF(MONTH($A1137)=Reference!$D$6,Reference!$D$13,0))),0)</f>
        <v>481</v>
      </c>
      <c r="E1137" s="11">
        <f ca="1">D1137*Reference!$D$7*(1-IF(MONTH($A1137)=Reference!$D$6,1,0)*Reference!$D$12)</f>
        <v>360750</v>
      </c>
      <c r="M1137" s="20"/>
      <c r="N1137" s="20"/>
      <c r="O1137" s="19"/>
      <c r="P1137" s="10"/>
      <c r="Q1137" s="10"/>
      <c r="R1137" s="10"/>
      <c r="S1137" s="10"/>
      <c r="T1137" s="10"/>
      <c r="U1137" s="10"/>
      <c r="V1137" s="10"/>
      <c r="W1137" s="10"/>
      <c r="X1137" s="10"/>
      <c r="Y1137" s="10"/>
    </row>
    <row r="1138" spans="1:25" x14ac:dyDescent="0.25">
      <c r="A1138" s="9">
        <v>41676</v>
      </c>
      <c r="B1138" s="10">
        <f ca="1">ROUND(_xlfn.NORM.INV(RAND(),Reference!$C$8,0.1*Reference!$C$8)*(1+Reference!$C$11*(IF(MONTH($A1138)=Reference!$C$4,1,0)+IF(MONTH($A1138)=Reference!$C$5,1,0))+(IF(MONTH($A1138)=Reference!$C$6,Reference!$C$13,0))),0)</f>
        <v>383</v>
      </c>
      <c r="C1138" s="11">
        <f ca="1">B1138*Reference!$C$7*(1-IF(MONTH($A1138)=Reference!$C$6,1,0)*Reference!$C$12)</f>
        <v>356190</v>
      </c>
      <c r="D1138" s="10">
        <f ca="1">ROUND(_xlfn.NORM.INV(RAND(),Reference!$D$8,0.1*Reference!$D$8)*(1+Reference!$D$11*(IF(MONTH($A1138)=Reference!$D$4,1,0)+IF(MONTH($A1138)=Reference!$D$5,1,0))+(IF(MONTH($A1138)=Reference!$D$6,Reference!$D$13,0))),0)</f>
        <v>459</v>
      </c>
      <c r="E1138" s="11">
        <f ca="1">D1138*Reference!$D$7*(1-IF(MONTH($A1138)=Reference!$D$6,1,0)*Reference!$D$12)</f>
        <v>344250</v>
      </c>
      <c r="M1138" s="20"/>
      <c r="N1138" s="20"/>
      <c r="O1138" s="19"/>
      <c r="P1138" s="10"/>
      <c r="Q1138" s="10"/>
      <c r="R1138" s="10"/>
      <c r="S1138" s="10"/>
      <c r="T1138" s="10"/>
      <c r="U1138" s="10"/>
      <c r="V1138" s="10"/>
      <c r="W1138" s="10"/>
      <c r="X1138" s="10"/>
      <c r="Y1138" s="10"/>
    </row>
    <row r="1139" spans="1:25" x14ac:dyDescent="0.25">
      <c r="A1139" s="9">
        <v>41677</v>
      </c>
      <c r="B1139" s="10">
        <f ca="1">ROUND(_xlfn.NORM.INV(RAND(),Reference!$C$8,0.1*Reference!$C$8)*(1+Reference!$C$11*(IF(MONTH($A1139)=Reference!$C$4,1,0)+IF(MONTH($A1139)=Reference!$C$5,1,0))+(IF(MONTH($A1139)=Reference!$C$6,Reference!$C$13,0))),0)</f>
        <v>380</v>
      </c>
      <c r="C1139" s="11">
        <f ca="1">B1139*Reference!$C$7*(1-IF(MONTH($A1139)=Reference!$C$6,1,0)*Reference!$C$12)</f>
        <v>353400</v>
      </c>
      <c r="D1139" s="10">
        <f ca="1">ROUND(_xlfn.NORM.INV(RAND(),Reference!$D$8,0.1*Reference!$D$8)*(1+Reference!$D$11*(IF(MONTH($A1139)=Reference!$D$4,1,0)+IF(MONTH($A1139)=Reference!$D$5,1,0))+(IF(MONTH($A1139)=Reference!$D$6,Reference!$D$13,0))),0)</f>
        <v>469</v>
      </c>
      <c r="E1139" s="11">
        <f ca="1">D1139*Reference!$D$7*(1-IF(MONTH($A1139)=Reference!$D$6,1,0)*Reference!$D$12)</f>
        <v>351750</v>
      </c>
      <c r="M1139" s="20"/>
      <c r="N1139" s="20"/>
      <c r="O1139" s="19"/>
      <c r="P1139" s="10"/>
      <c r="Q1139" s="10"/>
      <c r="R1139" s="10"/>
      <c r="S1139" s="10"/>
      <c r="T1139" s="10"/>
      <c r="U1139" s="10"/>
      <c r="V1139" s="10"/>
      <c r="W1139" s="10"/>
      <c r="X1139" s="10"/>
      <c r="Y1139" s="10"/>
    </row>
    <row r="1140" spans="1:25" x14ac:dyDescent="0.25">
      <c r="A1140" s="9">
        <v>41678</v>
      </c>
      <c r="B1140" s="10">
        <f ca="1">ROUND(_xlfn.NORM.INV(RAND(),Reference!$C$8,0.1*Reference!$C$8)*(1+Reference!$C$11*(IF(MONTH($A1140)=Reference!$C$4,1,0)+IF(MONTH($A1140)=Reference!$C$5,1,0))+(IF(MONTH($A1140)=Reference!$C$6,Reference!$C$13,0))),0)</f>
        <v>324</v>
      </c>
      <c r="C1140" s="11">
        <f ca="1">B1140*Reference!$C$7*(1-IF(MONTH($A1140)=Reference!$C$6,1,0)*Reference!$C$12)</f>
        <v>301320</v>
      </c>
      <c r="D1140" s="10">
        <f ca="1">ROUND(_xlfn.NORM.INV(RAND(),Reference!$D$8,0.1*Reference!$D$8)*(1+Reference!$D$11*(IF(MONTH($A1140)=Reference!$D$4,1,0)+IF(MONTH($A1140)=Reference!$D$5,1,0))+(IF(MONTH($A1140)=Reference!$D$6,Reference!$D$13,0))),0)</f>
        <v>387</v>
      </c>
      <c r="E1140" s="11">
        <f ca="1">D1140*Reference!$D$7*(1-IF(MONTH($A1140)=Reference!$D$6,1,0)*Reference!$D$12)</f>
        <v>290250</v>
      </c>
      <c r="M1140" s="20"/>
      <c r="N1140" s="20"/>
      <c r="O1140" s="19"/>
      <c r="P1140" s="10"/>
      <c r="Q1140" s="10"/>
      <c r="R1140" s="10"/>
      <c r="S1140" s="10"/>
      <c r="T1140" s="10"/>
      <c r="U1140" s="10"/>
      <c r="V1140" s="10"/>
      <c r="W1140" s="10"/>
      <c r="X1140" s="10"/>
      <c r="Y1140" s="10"/>
    </row>
    <row r="1141" spans="1:25" x14ac:dyDescent="0.25">
      <c r="A1141" s="9">
        <v>41679</v>
      </c>
      <c r="B1141" s="10">
        <f ca="1">ROUND(_xlfn.NORM.INV(RAND(),Reference!$C$8,0.1*Reference!$C$8)*(1+Reference!$C$11*(IF(MONTH($A1141)=Reference!$C$4,1,0)+IF(MONTH($A1141)=Reference!$C$5,1,0))+(IF(MONTH($A1141)=Reference!$C$6,Reference!$C$13,0))),0)</f>
        <v>373</v>
      </c>
      <c r="C1141" s="11">
        <f ca="1">B1141*Reference!$C$7*(1-IF(MONTH($A1141)=Reference!$C$6,1,0)*Reference!$C$12)</f>
        <v>346890</v>
      </c>
      <c r="D1141" s="10">
        <f ca="1">ROUND(_xlfn.NORM.INV(RAND(),Reference!$D$8,0.1*Reference!$D$8)*(1+Reference!$D$11*(IF(MONTH($A1141)=Reference!$D$4,1,0)+IF(MONTH($A1141)=Reference!$D$5,1,0))+(IF(MONTH($A1141)=Reference!$D$6,Reference!$D$13,0))),0)</f>
        <v>491</v>
      </c>
      <c r="E1141" s="11">
        <f ca="1">D1141*Reference!$D$7*(1-IF(MONTH($A1141)=Reference!$D$6,1,0)*Reference!$D$12)</f>
        <v>368250</v>
      </c>
      <c r="M1141" s="20"/>
      <c r="N1141" s="20"/>
      <c r="O1141" s="19"/>
      <c r="P1141" s="10"/>
      <c r="Q1141" s="10"/>
      <c r="R1141" s="10"/>
      <c r="S1141" s="10"/>
      <c r="T1141" s="10"/>
      <c r="U1141" s="10"/>
      <c r="V1141" s="10"/>
      <c r="W1141" s="10"/>
      <c r="X1141" s="10"/>
      <c r="Y1141" s="10"/>
    </row>
    <row r="1142" spans="1:25" x14ac:dyDescent="0.25">
      <c r="A1142" s="9">
        <v>41680</v>
      </c>
      <c r="B1142" s="10">
        <f ca="1">ROUND(_xlfn.NORM.INV(RAND(),Reference!$C$8,0.1*Reference!$C$8)*(1+Reference!$C$11*(IF(MONTH($A1142)=Reference!$C$4,1,0)+IF(MONTH($A1142)=Reference!$C$5,1,0))+(IF(MONTH($A1142)=Reference!$C$6,Reference!$C$13,0))),0)</f>
        <v>356</v>
      </c>
      <c r="C1142" s="11">
        <f ca="1">B1142*Reference!$C$7*(1-IF(MONTH($A1142)=Reference!$C$6,1,0)*Reference!$C$12)</f>
        <v>331080</v>
      </c>
      <c r="D1142" s="10">
        <f ca="1">ROUND(_xlfn.NORM.INV(RAND(),Reference!$D$8,0.1*Reference!$D$8)*(1+Reference!$D$11*(IF(MONTH($A1142)=Reference!$D$4,1,0)+IF(MONTH($A1142)=Reference!$D$5,1,0))+(IF(MONTH($A1142)=Reference!$D$6,Reference!$D$13,0))),0)</f>
        <v>451</v>
      </c>
      <c r="E1142" s="11">
        <f ca="1">D1142*Reference!$D$7*(1-IF(MONTH($A1142)=Reference!$D$6,1,0)*Reference!$D$12)</f>
        <v>338250</v>
      </c>
      <c r="M1142" s="20"/>
      <c r="N1142" s="20"/>
      <c r="O1142" s="19"/>
      <c r="P1142" s="10"/>
      <c r="Q1142" s="10"/>
      <c r="R1142" s="10"/>
      <c r="S1142" s="10"/>
      <c r="T1142" s="10"/>
      <c r="U1142" s="10"/>
      <c r="V1142" s="10"/>
      <c r="W1142" s="10"/>
      <c r="X1142" s="10"/>
      <c r="Y1142" s="10"/>
    </row>
    <row r="1143" spans="1:25" x14ac:dyDescent="0.25">
      <c r="A1143" s="9">
        <v>41681</v>
      </c>
      <c r="B1143" s="10">
        <f ca="1">ROUND(_xlfn.NORM.INV(RAND(),Reference!$C$8,0.1*Reference!$C$8)*(1+Reference!$C$11*(IF(MONTH($A1143)=Reference!$C$4,1,0)+IF(MONTH($A1143)=Reference!$C$5,1,0))+(IF(MONTH($A1143)=Reference!$C$6,Reference!$C$13,0))),0)</f>
        <v>330</v>
      </c>
      <c r="C1143" s="11">
        <f ca="1">B1143*Reference!$C$7*(1-IF(MONTH($A1143)=Reference!$C$6,1,0)*Reference!$C$12)</f>
        <v>306900</v>
      </c>
      <c r="D1143" s="10">
        <f ca="1">ROUND(_xlfn.NORM.INV(RAND(),Reference!$D$8,0.1*Reference!$D$8)*(1+Reference!$D$11*(IF(MONTH($A1143)=Reference!$D$4,1,0)+IF(MONTH($A1143)=Reference!$D$5,1,0))+(IF(MONTH($A1143)=Reference!$D$6,Reference!$D$13,0))),0)</f>
        <v>467</v>
      </c>
      <c r="E1143" s="11">
        <f ca="1">D1143*Reference!$D$7*(1-IF(MONTH($A1143)=Reference!$D$6,1,0)*Reference!$D$12)</f>
        <v>350250</v>
      </c>
      <c r="M1143" s="20"/>
      <c r="N1143" s="20"/>
      <c r="O1143" s="19"/>
      <c r="P1143" s="10"/>
      <c r="Q1143" s="10"/>
      <c r="R1143" s="10"/>
      <c r="S1143" s="10"/>
      <c r="T1143" s="10"/>
      <c r="U1143" s="10"/>
      <c r="V1143" s="10"/>
      <c r="W1143" s="10"/>
      <c r="X1143" s="10"/>
      <c r="Y1143" s="10"/>
    </row>
    <row r="1144" spans="1:25" x14ac:dyDescent="0.25">
      <c r="A1144" s="9">
        <v>41682</v>
      </c>
      <c r="B1144" s="10">
        <f ca="1">ROUND(_xlfn.NORM.INV(RAND(),Reference!$C$8,0.1*Reference!$C$8)*(1+Reference!$C$11*(IF(MONTH($A1144)=Reference!$C$4,1,0)+IF(MONTH($A1144)=Reference!$C$5,1,0))+(IF(MONTH($A1144)=Reference!$C$6,Reference!$C$13,0))),0)</f>
        <v>436</v>
      </c>
      <c r="C1144" s="11">
        <f ca="1">B1144*Reference!$C$7*(1-IF(MONTH($A1144)=Reference!$C$6,1,0)*Reference!$C$12)</f>
        <v>405480</v>
      </c>
      <c r="D1144" s="10">
        <f ca="1">ROUND(_xlfn.NORM.INV(RAND(),Reference!$D$8,0.1*Reference!$D$8)*(1+Reference!$D$11*(IF(MONTH($A1144)=Reference!$D$4,1,0)+IF(MONTH($A1144)=Reference!$D$5,1,0))+(IF(MONTH($A1144)=Reference!$D$6,Reference!$D$13,0))),0)</f>
        <v>476</v>
      </c>
      <c r="E1144" s="11">
        <f ca="1">D1144*Reference!$D$7*(1-IF(MONTH($A1144)=Reference!$D$6,1,0)*Reference!$D$12)</f>
        <v>357000</v>
      </c>
      <c r="M1144" s="20"/>
      <c r="N1144" s="20"/>
      <c r="O1144" s="19"/>
      <c r="P1144" s="10"/>
      <c r="Q1144" s="10"/>
      <c r="R1144" s="10"/>
      <c r="S1144" s="10"/>
      <c r="T1144" s="10"/>
      <c r="U1144" s="10"/>
      <c r="V1144" s="10"/>
      <c r="W1144" s="10"/>
      <c r="X1144" s="10"/>
      <c r="Y1144" s="10"/>
    </row>
    <row r="1145" spans="1:25" x14ac:dyDescent="0.25">
      <c r="A1145" s="9">
        <v>41683</v>
      </c>
      <c r="B1145" s="10">
        <f ca="1">ROUND(_xlfn.NORM.INV(RAND(),Reference!$C$8,0.1*Reference!$C$8)*(1+Reference!$C$11*(IF(MONTH($A1145)=Reference!$C$4,1,0)+IF(MONTH($A1145)=Reference!$C$5,1,0))+(IF(MONTH($A1145)=Reference!$C$6,Reference!$C$13,0))),0)</f>
        <v>288</v>
      </c>
      <c r="C1145" s="11">
        <f ca="1">B1145*Reference!$C$7*(1-IF(MONTH($A1145)=Reference!$C$6,1,0)*Reference!$C$12)</f>
        <v>267840</v>
      </c>
      <c r="D1145" s="10">
        <f ca="1">ROUND(_xlfn.NORM.INV(RAND(),Reference!$D$8,0.1*Reference!$D$8)*(1+Reference!$D$11*(IF(MONTH($A1145)=Reference!$D$4,1,0)+IF(MONTH($A1145)=Reference!$D$5,1,0))+(IF(MONTH($A1145)=Reference!$D$6,Reference!$D$13,0))),0)</f>
        <v>465</v>
      </c>
      <c r="E1145" s="11">
        <f ca="1">D1145*Reference!$D$7*(1-IF(MONTH($A1145)=Reference!$D$6,1,0)*Reference!$D$12)</f>
        <v>348750</v>
      </c>
      <c r="M1145" s="20"/>
      <c r="N1145" s="20"/>
      <c r="O1145" s="19"/>
      <c r="P1145" s="10"/>
      <c r="Q1145" s="10"/>
      <c r="R1145" s="10"/>
      <c r="S1145" s="10"/>
      <c r="T1145" s="10"/>
      <c r="U1145" s="10"/>
      <c r="V1145" s="10"/>
      <c r="W1145" s="10"/>
      <c r="X1145" s="10"/>
      <c r="Y1145" s="10"/>
    </row>
    <row r="1146" spans="1:25" x14ac:dyDescent="0.25">
      <c r="A1146" s="9">
        <v>41684</v>
      </c>
      <c r="B1146" s="10">
        <f ca="1">ROUND(_xlfn.NORM.INV(RAND(),Reference!$C$8,0.1*Reference!$C$8)*(1+Reference!$C$11*(IF(MONTH($A1146)=Reference!$C$4,1,0)+IF(MONTH($A1146)=Reference!$C$5,1,0))+(IF(MONTH($A1146)=Reference!$C$6,Reference!$C$13,0))),0)</f>
        <v>342</v>
      </c>
      <c r="C1146" s="11">
        <f ca="1">B1146*Reference!$C$7*(1-IF(MONTH($A1146)=Reference!$C$6,1,0)*Reference!$C$12)</f>
        <v>318060</v>
      </c>
      <c r="D1146" s="10">
        <f ca="1">ROUND(_xlfn.NORM.INV(RAND(),Reference!$D$8,0.1*Reference!$D$8)*(1+Reference!$D$11*(IF(MONTH($A1146)=Reference!$D$4,1,0)+IF(MONTH($A1146)=Reference!$D$5,1,0))+(IF(MONTH($A1146)=Reference!$D$6,Reference!$D$13,0))),0)</f>
        <v>480</v>
      </c>
      <c r="E1146" s="11">
        <f ca="1">D1146*Reference!$D$7*(1-IF(MONTH($A1146)=Reference!$D$6,1,0)*Reference!$D$12)</f>
        <v>360000</v>
      </c>
      <c r="M1146" s="20"/>
      <c r="N1146" s="20"/>
      <c r="O1146" s="19"/>
      <c r="P1146" s="10"/>
      <c r="Q1146" s="10"/>
      <c r="R1146" s="10"/>
      <c r="S1146" s="10"/>
      <c r="T1146" s="10"/>
      <c r="U1146" s="10"/>
      <c r="V1146" s="10"/>
      <c r="W1146" s="10"/>
      <c r="X1146" s="10"/>
      <c r="Y1146" s="10"/>
    </row>
    <row r="1147" spans="1:25" x14ac:dyDescent="0.25">
      <c r="A1147" s="9">
        <v>41685</v>
      </c>
      <c r="B1147" s="10">
        <f ca="1">ROUND(_xlfn.NORM.INV(RAND(),Reference!$C$8,0.1*Reference!$C$8)*(1+Reference!$C$11*(IF(MONTH($A1147)=Reference!$C$4,1,0)+IF(MONTH($A1147)=Reference!$C$5,1,0))+(IF(MONTH($A1147)=Reference!$C$6,Reference!$C$13,0))),0)</f>
        <v>412</v>
      </c>
      <c r="C1147" s="11">
        <f ca="1">B1147*Reference!$C$7*(1-IF(MONTH($A1147)=Reference!$C$6,1,0)*Reference!$C$12)</f>
        <v>383160</v>
      </c>
      <c r="D1147" s="10">
        <f ca="1">ROUND(_xlfn.NORM.INV(RAND(),Reference!$D$8,0.1*Reference!$D$8)*(1+Reference!$D$11*(IF(MONTH($A1147)=Reference!$D$4,1,0)+IF(MONTH($A1147)=Reference!$D$5,1,0))+(IF(MONTH($A1147)=Reference!$D$6,Reference!$D$13,0))),0)</f>
        <v>439</v>
      </c>
      <c r="E1147" s="11">
        <f ca="1">D1147*Reference!$D$7*(1-IF(MONTH($A1147)=Reference!$D$6,1,0)*Reference!$D$12)</f>
        <v>329250</v>
      </c>
      <c r="M1147" s="20"/>
      <c r="N1147" s="20"/>
      <c r="O1147" s="19"/>
      <c r="P1147" s="10"/>
      <c r="Q1147" s="10"/>
      <c r="R1147" s="10"/>
      <c r="S1147" s="10"/>
      <c r="T1147" s="10"/>
      <c r="U1147" s="10"/>
      <c r="V1147" s="10"/>
      <c r="W1147" s="10"/>
      <c r="X1147" s="10"/>
      <c r="Y1147" s="10"/>
    </row>
    <row r="1148" spans="1:25" x14ac:dyDescent="0.25">
      <c r="A1148" s="9">
        <v>41686</v>
      </c>
      <c r="B1148" s="10">
        <f ca="1">ROUND(_xlfn.NORM.INV(RAND(),Reference!$C$8,0.1*Reference!$C$8)*(1+Reference!$C$11*(IF(MONTH($A1148)=Reference!$C$4,1,0)+IF(MONTH($A1148)=Reference!$C$5,1,0))+(IF(MONTH($A1148)=Reference!$C$6,Reference!$C$13,0))),0)</f>
        <v>352</v>
      </c>
      <c r="C1148" s="11">
        <f ca="1">B1148*Reference!$C$7*(1-IF(MONTH($A1148)=Reference!$C$6,1,0)*Reference!$C$12)</f>
        <v>327360</v>
      </c>
      <c r="D1148" s="10">
        <f ca="1">ROUND(_xlfn.NORM.INV(RAND(),Reference!$D$8,0.1*Reference!$D$8)*(1+Reference!$D$11*(IF(MONTH($A1148)=Reference!$D$4,1,0)+IF(MONTH($A1148)=Reference!$D$5,1,0))+(IF(MONTH($A1148)=Reference!$D$6,Reference!$D$13,0))),0)</f>
        <v>432</v>
      </c>
      <c r="E1148" s="11">
        <f ca="1">D1148*Reference!$D$7*(1-IF(MONTH($A1148)=Reference!$D$6,1,0)*Reference!$D$12)</f>
        <v>324000</v>
      </c>
      <c r="M1148" s="20"/>
      <c r="N1148" s="20"/>
      <c r="O1148" s="19"/>
      <c r="P1148" s="10"/>
      <c r="Q1148" s="10"/>
      <c r="R1148" s="10"/>
      <c r="S1148" s="10"/>
      <c r="T1148" s="10"/>
      <c r="U1148" s="10"/>
      <c r="V1148" s="10"/>
      <c r="W1148" s="10"/>
      <c r="X1148" s="10"/>
      <c r="Y1148" s="10"/>
    </row>
    <row r="1149" spans="1:25" x14ac:dyDescent="0.25">
      <c r="A1149" s="9">
        <v>41687</v>
      </c>
      <c r="B1149" s="10">
        <f ca="1">ROUND(_xlfn.NORM.INV(RAND(),Reference!$C$8,0.1*Reference!$C$8)*(1+Reference!$C$11*(IF(MONTH($A1149)=Reference!$C$4,1,0)+IF(MONTH($A1149)=Reference!$C$5,1,0))+(IF(MONTH($A1149)=Reference!$C$6,Reference!$C$13,0))),0)</f>
        <v>382</v>
      </c>
      <c r="C1149" s="11">
        <f ca="1">B1149*Reference!$C$7*(1-IF(MONTH($A1149)=Reference!$C$6,1,0)*Reference!$C$12)</f>
        <v>355260</v>
      </c>
      <c r="D1149" s="10">
        <f ca="1">ROUND(_xlfn.NORM.INV(RAND(),Reference!$D$8,0.1*Reference!$D$8)*(1+Reference!$D$11*(IF(MONTH($A1149)=Reference!$D$4,1,0)+IF(MONTH($A1149)=Reference!$D$5,1,0))+(IF(MONTH($A1149)=Reference!$D$6,Reference!$D$13,0))),0)</f>
        <v>494</v>
      </c>
      <c r="E1149" s="11">
        <f ca="1">D1149*Reference!$D$7*(1-IF(MONTH($A1149)=Reference!$D$6,1,0)*Reference!$D$12)</f>
        <v>370500</v>
      </c>
      <c r="M1149" s="20"/>
      <c r="N1149" s="20"/>
      <c r="O1149" s="19"/>
      <c r="P1149" s="10"/>
      <c r="Q1149" s="10"/>
      <c r="R1149" s="10"/>
      <c r="S1149" s="10"/>
      <c r="T1149" s="10"/>
      <c r="U1149" s="10"/>
      <c r="V1149" s="10"/>
      <c r="W1149" s="10"/>
      <c r="X1149" s="10"/>
      <c r="Y1149" s="10"/>
    </row>
    <row r="1150" spans="1:25" x14ac:dyDescent="0.25">
      <c r="A1150" s="9">
        <v>41688</v>
      </c>
      <c r="B1150" s="10">
        <f ca="1">ROUND(_xlfn.NORM.INV(RAND(),Reference!$C$8,0.1*Reference!$C$8)*(1+Reference!$C$11*(IF(MONTH($A1150)=Reference!$C$4,1,0)+IF(MONTH($A1150)=Reference!$C$5,1,0))+(IF(MONTH($A1150)=Reference!$C$6,Reference!$C$13,0))),0)</f>
        <v>405</v>
      </c>
      <c r="C1150" s="11">
        <f ca="1">B1150*Reference!$C$7*(1-IF(MONTH($A1150)=Reference!$C$6,1,0)*Reference!$C$12)</f>
        <v>376650</v>
      </c>
      <c r="D1150" s="10">
        <f ca="1">ROUND(_xlfn.NORM.INV(RAND(),Reference!$D$8,0.1*Reference!$D$8)*(1+Reference!$D$11*(IF(MONTH($A1150)=Reference!$D$4,1,0)+IF(MONTH($A1150)=Reference!$D$5,1,0))+(IF(MONTH($A1150)=Reference!$D$6,Reference!$D$13,0))),0)</f>
        <v>403</v>
      </c>
      <c r="E1150" s="11">
        <f ca="1">D1150*Reference!$D$7*(1-IF(MONTH($A1150)=Reference!$D$6,1,0)*Reference!$D$12)</f>
        <v>302250</v>
      </c>
      <c r="M1150" s="20"/>
      <c r="N1150" s="20"/>
      <c r="O1150" s="19"/>
      <c r="P1150" s="10"/>
      <c r="Q1150" s="10"/>
      <c r="R1150" s="10"/>
      <c r="S1150" s="10"/>
      <c r="T1150" s="10"/>
      <c r="U1150" s="10"/>
      <c r="V1150" s="10"/>
      <c r="W1150" s="10"/>
      <c r="X1150" s="10"/>
      <c r="Y1150" s="10"/>
    </row>
    <row r="1151" spans="1:25" x14ac:dyDescent="0.25">
      <c r="A1151" s="9">
        <v>41689</v>
      </c>
      <c r="B1151" s="10">
        <f ca="1">ROUND(_xlfn.NORM.INV(RAND(),Reference!$C$8,0.1*Reference!$C$8)*(1+Reference!$C$11*(IF(MONTH($A1151)=Reference!$C$4,1,0)+IF(MONTH($A1151)=Reference!$C$5,1,0))+(IF(MONTH($A1151)=Reference!$C$6,Reference!$C$13,0))),0)</f>
        <v>339</v>
      </c>
      <c r="C1151" s="11">
        <f ca="1">B1151*Reference!$C$7*(1-IF(MONTH($A1151)=Reference!$C$6,1,0)*Reference!$C$12)</f>
        <v>315270</v>
      </c>
      <c r="D1151" s="10">
        <f ca="1">ROUND(_xlfn.NORM.INV(RAND(),Reference!$D$8,0.1*Reference!$D$8)*(1+Reference!$D$11*(IF(MONTH($A1151)=Reference!$D$4,1,0)+IF(MONTH($A1151)=Reference!$D$5,1,0))+(IF(MONTH($A1151)=Reference!$D$6,Reference!$D$13,0))),0)</f>
        <v>506</v>
      </c>
      <c r="E1151" s="11">
        <f ca="1">D1151*Reference!$D$7*(1-IF(MONTH($A1151)=Reference!$D$6,1,0)*Reference!$D$12)</f>
        <v>379500</v>
      </c>
      <c r="M1151" s="20"/>
      <c r="N1151" s="20"/>
      <c r="O1151" s="19"/>
      <c r="P1151" s="10"/>
      <c r="Q1151" s="10"/>
      <c r="R1151" s="10"/>
      <c r="S1151" s="10"/>
      <c r="T1151" s="10"/>
      <c r="U1151" s="10"/>
      <c r="V1151" s="10"/>
      <c r="W1151" s="10"/>
      <c r="X1151" s="10"/>
      <c r="Y1151" s="10"/>
    </row>
    <row r="1152" spans="1:25" x14ac:dyDescent="0.25">
      <c r="A1152" s="9">
        <v>41690</v>
      </c>
      <c r="B1152" s="10">
        <f ca="1">ROUND(_xlfn.NORM.INV(RAND(),Reference!$C$8,0.1*Reference!$C$8)*(1+Reference!$C$11*(IF(MONTH($A1152)=Reference!$C$4,1,0)+IF(MONTH($A1152)=Reference!$C$5,1,0))+(IF(MONTH($A1152)=Reference!$C$6,Reference!$C$13,0))),0)</f>
        <v>407</v>
      </c>
      <c r="C1152" s="11">
        <f ca="1">B1152*Reference!$C$7*(1-IF(MONTH($A1152)=Reference!$C$6,1,0)*Reference!$C$12)</f>
        <v>378510</v>
      </c>
      <c r="D1152" s="10">
        <f ca="1">ROUND(_xlfn.NORM.INV(RAND(),Reference!$D$8,0.1*Reference!$D$8)*(1+Reference!$D$11*(IF(MONTH($A1152)=Reference!$D$4,1,0)+IF(MONTH($A1152)=Reference!$D$5,1,0))+(IF(MONTH($A1152)=Reference!$D$6,Reference!$D$13,0))),0)</f>
        <v>374</v>
      </c>
      <c r="E1152" s="11">
        <f ca="1">D1152*Reference!$D$7*(1-IF(MONTH($A1152)=Reference!$D$6,1,0)*Reference!$D$12)</f>
        <v>280500</v>
      </c>
      <c r="M1152" s="20"/>
      <c r="N1152" s="20"/>
      <c r="O1152" s="19"/>
      <c r="P1152" s="10"/>
      <c r="Q1152" s="10"/>
      <c r="R1152" s="10"/>
      <c r="S1152" s="10"/>
      <c r="T1152" s="10"/>
      <c r="U1152" s="10"/>
      <c r="V1152" s="10"/>
      <c r="W1152" s="10"/>
      <c r="X1152" s="10"/>
      <c r="Y1152" s="10"/>
    </row>
    <row r="1153" spans="1:25" x14ac:dyDescent="0.25">
      <c r="A1153" s="9">
        <v>41691</v>
      </c>
      <c r="B1153" s="10">
        <f ca="1">ROUND(_xlfn.NORM.INV(RAND(),Reference!$C$8,0.1*Reference!$C$8)*(1+Reference!$C$11*(IF(MONTH($A1153)=Reference!$C$4,1,0)+IF(MONTH($A1153)=Reference!$C$5,1,0))+(IF(MONTH($A1153)=Reference!$C$6,Reference!$C$13,0))),0)</f>
        <v>355</v>
      </c>
      <c r="C1153" s="11">
        <f ca="1">B1153*Reference!$C$7*(1-IF(MONTH($A1153)=Reference!$C$6,1,0)*Reference!$C$12)</f>
        <v>330150</v>
      </c>
      <c r="D1153" s="10">
        <f ca="1">ROUND(_xlfn.NORM.INV(RAND(),Reference!$D$8,0.1*Reference!$D$8)*(1+Reference!$D$11*(IF(MONTH($A1153)=Reference!$D$4,1,0)+IF(MONTH($A1153)=Reference!$D$5,1,0))+(IF(MONTH($A1153)=Reference!$D$6,Reference!$D$13,0))),0)</f>
        <v>420</v>
      </c>
      <c r="E1153" s="11">
        <f ca="1">D1153*Reference!$D$7*(1-IF(MONTH($A1153)=Reference!$D$6,1,0)*Reference!$D$12)</f>
        <v>315000</v>
      </c>
      <c r="M1153" s="20"/>
      <c r="N1153" s="20"/>
      <c r="O1153" s="19"/>
      <c r="P1153" s="10"/>
      <c r="Q1153" s="10"/>
      <c r="R1153" s="10"/>
      <c r="S1153" s="10"/>
      <c r="T1153" s="10"/>
      <c r="U1153" s="10"/>
      <c r="V1153" s="10"/>
      <c r="W1153" s="10"/>
      <c r="X1153" s="10"/>
      <c r="Y1153" s="10"/>
    </row>
    <row r="1154" spans="1:25" x14ac:dyDescent="0.25">
      <c r="A1154" s="9">
        <v>41692</v>
      </c>
      <c r="B1154" s="10">
        <f ca="1">ROUND(_xlfn.NORM.INV(RAND(),Reference!$C$8,0.1*Reference!$C$8)*(1+Reference!$C$11*(IF(MONTH($A1154)=Reference!$C$4,1,0)+IF(MONTH($A1154)=Reference!$C$5,1,0))+(IF(MONTH($A1154)=Reference!$C$6,Reference!$C$13,0))),0)</f>
        <v>401</v>
      </c>
      <c r="C1154" s="11">
        <f ca="1">B1154*Reference!$C$7*(1-IF(MONTH($A1154)=Reference!$C$6,1,0)*Reference!$C$12)</f>
        <v>372930</v>
      </c>
      <c r="D1154" s="10">
        <f ca="1">ROUND(_xlfn.NORM.INV(RAND(),Reference!$D$8,0.1*Reference!$D$8)*(1+Reference!$D$11*(IF(MONTH($A1154)=Reference!$D$4,1,0)+IF(MONTH($A1154)=Reference!$D$5,1,0))+(IF(MONTH($A1154)=Reference!$D$6,Reference!$D$13,0))),0)</f>
        <v>438</v>
      </c>
      <c r="E1154" s="11">
        <f ca="1">D1154*Reference!$D$7*(1-IF(MONTH($A1154)=Reference!$D$6,1,0)*Reference!$D$12)</f>
        <v>328500</v>
      </c>
      <c r="M1154" s="20"/>
      <c r="N1154" s="20"/>
      <c r="O1154" s="19"/>
      <c r="P1154" s="10"/>
      <c r="Q1154" s="10"/>
      <c r="R1154" s="10"/>
      <c r="S1154" s="10"/>
      <c r="T1154" s="10"/>
      <c r="U1154" s="10"/>
      <c r="V1154" s="10"/>
      <c r="W1154" s="10"/>
      <c r="X1154" s="10"/>
      <c r="Y1154" s="10"/>
    </row>
    <row r="1155" spans="1:25" x14ac:dyDescent="0.25">
      <c r="A1155" s="9">
        <v>41693</v>
      </c>
      <c r="B1155" s="10">
        <f ca="1">ROUND(_xlfn.NORM.INV(RAND(),Reference!$C$8,0.1*Reference!$C$8)*(1+Reference!$C$11*(IF(MONTH($A1155)=Reference!$C$4,1,0)+IF(MONTH($A1155)=Reference!$C$5,1,0))+(IF(MONTH($A1155)=Reference!$C$6,Reference!$C$13,0))),0)</f>
        <v>375</v>
      </c>
      <c r="C1155" s="11">
        <f ca="1">B1155*Reference!$C$7*(1-IF(MONTH($A1155)=Reference!$C$6,1,0)*Reference!$C$12)</f>
        <v>348750</v>
      </c>
      <c r="D1155" s="10">
        <f ca="1">ROUND(_xlfn.NORM.INV(RAND(),Reference!$D$8,0.1*Reference!$D$8)*(1+Reference!$D$11*(IF(MONTH($A1155)=Reference!$D$4,1,0)+IF(MONTH($A1155)=Reference!$D$5,1,0))+(IF(MONTH($A1155)=Reference!$D$6,Reference!$D$13,0))),0)</f>
        <v>389</v>
      </c>
      <c r="E1155" s="11">
        <f ca="1">D1155*Reference!$D$7*(1-IF(MONTH($A1155)=Reference!$D$6,1,0)*Reference!$D$12)</f>
        <v>291750</v>
      </c>
      <c r="M1155" s="20"/>
      <c r="N1155" s="20"/>
      <c r="O1155" s="19"/>
      <c r="P1155" s="10"/>
      <c r="Q1155" s="10"/>
      <c r="R1155" s="10"/>
      <c r="S1155" s="10"/>
      <c r="T1155" s="10"/>
      <c r="U1155" s="10"/>
      <c r="V1155" s="10"/>
      <c r="W1155" s="10"/>
      <c r="X1155" s="10"/>
      <c r="Y1155" s="10"/>
    </row>
    <row r="1156" spans="1:25" x14ac:dyDescent="0.25">
      <c r="A1156" s="9">
        <v>41694</v>
      </c>
      <c r="B1156" s="10">
        <f ca="1">ROUND(_xlfn.NORM.INV(RAND(),Reference!$C$8,0.1*Reference!$C$8)*(1+Reference!$C$11*(IF(MONTH($A1156)=Reference!$C$4,1,0)+IF(MONTH($A1156)=Reference!$C$5,1,0))+(IF(MONTH($A1156)=Reference!$C$6,Reference!$C$13,0))),0)</f>
        <v>305</v>
      </c>
      <c r="C1156" s="11">
        <f ca="1">B1156*Reference!$C$7*(1-IF(MONTH($A1156)=Reference!$C$6,1,0)*Reference!$C$12)</f>
        <v>283650</v>
      </c>
      <c r="D1156" s="10">
        <f ca="1">ROUND(_xlfn.NORM.INV(RAND(),Reference!$D$8,0.1*Reference!$D$8)*(1+Reference!$D$11*(IF(MONTH($A1156)=Reference!$D$4,1,0)+IF(MONTH($A1156)=Reference!$D$5,1,0))+(IF(MONTH($A1156)=Reference!$D$6,Reference!$D$13,0))),0)</f>
        <v>475</v>
      </c>
      <c r="E1156" s="11">
        <f ca="1">D1156*Reference!$D$7*(1-IF(MONTH($A1156)=Reference!$D$6,1,0)*Reference!$D$12)</f>
        <v>356250</v>
      </c>
      <c r="M1156" s="20"/>
      <c r="N1156" s="20"/>
      <c r="O1156" s="19"/>
      <c r="P1156" s="10"/>
      <c r="Q1156" s="10"/>
      <c r="R1156" s="10"/>
      <c r="S1156" s="10"/>
      <c r="T1156" s="10"/>
      <c r="U1156" s="10"/>
      <c r="V1156" s="10"/>
      <c r="W1156" s="10"/>
      <c r="X1156" s="10"/>
      <c r="Y1156" s="10"/>
    </row>
    <row r="1157" spans="1:25" x14ac:dyDescent="0.25">
      <c r="A1157" s="9">
        <v>41695</v>
      </c>
      <c r="B1157" s="10">
        <f ca="1">ROUND(_xlfn.NORM.INV(RAND(),Reference!$C$8,0.1*Reference!$C$8)*(1+Reference!$C$11*(IF(MONTH($A1157)=Reference!$C$4,1,0)+IF(MONTH($A1157)=Reference!$C$5,1,0))+(IF(MONTH($A1157)=Reference!$C$6,Reference!$C$13,0))),0)</f>
        <v>361</v>
      </c>
      <c r="C1157" s="11">
        <f ca="1">B1157*Reference!$C$7*(1-IF(MONTH($A1157)=Reference!$C$6,1,0)*Reference!$C$12)</f>
        <v>335730</v>
      </c>
      <c r="D1157" s="10">
        <f ca="1">ROUND(_xlfn.NORM.INV(RAND(),Reference!$D$8,0.1*Reference!$D$8)*(1+Reference!$D$11*(IF(MONTH($A1157)=Reference!$D$4,1,0)+IF(MONTH($A1157)=Reference!$D$5,1,0))+(IF(MONTH($A1157)=Reference!$D$6,Reference!$D$13,0))),0)</f>
        <v>482</v>
      </c>
      <c r="E1157" s="11">
        <f ca="1">D1157*Reference!$D$7*(1-IF(MONTH($A1157)=Reference!$D$6,1,0)*Reference!$D$12)</f>
        <v>361500</v>
      </c>
      <c r="M1157" s="20"/>
      <c r="N1157" s="20"/>
      <c r="O1157" s="19"/>
      <c r="P1157" s="10"/>
      <c r="Q1157" s="10"/>
      <c r="R1157" s="10"/>
      <c r="S1157" s="10"/>
      <c r="T1157" s="10"/>
      <c r="U1157" s="10"/>
      <c r="V1157" s="10"/>
      <c r="W1157" s="10"/>
      <c r="X1157" s="10"/>
      <c r="Y1157" s="10"/>
    </row>
    <row r="1158" spans="1:25" x14ac:dyDescent="0.25">
      <c r="A1158" s="9">
        <v>41696</v>
      </c>
      <c r="B1158" s="10">
        <f ca="1">ROUND(_xlfn.NORM.INV(RAND(),Reference!$C$8,0.1*Reference!$C$8)*(1+Reference!$C$11*(IF(MONTH($A1158)=Reference!$C$4,1,0)+IF(MONTH($A1158)=Reference!$C$5,1,0))+(IF(MONTH($A1158)=Reference!$C$6,Reference!$C$13,0))),0)</f>
        <v>390</v>
      </c>
      <c r="C1158" s="11">
        <f ca="1">B1158*Reference!$C$7*(1-IF(MONTH($A1158)=Reference!$C$6,1,0)*Reference!$C$12)</f>
        <v>362700</v>
      </c>
      <c r="D1158" s="10">
        <f ca="1">ROUND(_xlfn.NORM.INV(RAND(),Reference!$D$8,0.1*Reference!$D$8)*(1+Reference!$D$11*(IF(MONTH($A1158)=Reference!$D$4,1,0)+IF(MONTH($A1158)=Reference!$D$5,1,0))+(IF(MONTH($A1158)=Reference!$D$6,Reference!$D$13,0))),0)</f>
        <v>450</v>
      </c>
      <c r="E1158" s="11">
        <f ca="1">D1158*Reference!$D$7*(1-IF(MONTH($A1158)=Reference!$D$6,1,0)*Reference!$D$12)</f>
        <v>337500</v>
      </c>
      <c r="M1158" s="20"/>
      <c r="N1158" s="20"/>
      <c r="O1158" s="19"/>
      <c r="P1158" s="10"/>
      <c r="Q1158" s="10"/>
      <c r="R1158" s="10"/>
      <c r="S1158" s="10"/>
      <c r="T1158" s="10"/>
      <c r="U1158" s="10"/>
      <c r="V1158" s="10"/>
      <c r="W1158" s="10"/>
      <c r="X1158" s="10"/>
      <c r="Y1158" s="10"/>
    </row>
    <row r="1159" spans="1:25" x14ac:dyDescent="0.25">
      <c r="A1159" s="9">
        <v>41697</v>
      </c>
      <c r="B1159" s="10">
        <f ca="1">ROUND(_xlfn.NORM.INV(RAND(),Reference!$C$8,0.1*Reference!$C$8)*(1+Reference!$C$11*(IF(MONTH($A1159)=Reference!$C$4,1,0)+IF(MONTH($A1159)=Reference!$C$5,1,0))+(IF(MONTH($A1159)=Reference!$C$6,Reference!$C$13,0))),0)</f>
        <v>319</v>
      </c>
      <c r="C1159" s="11">
        <f ca="1">B1159*Reference!$C$7*(1-IF(MONTH($A1159)=Reference!$C$6,1,0)*Reference!$C$12)</f>
        <v>296670</v>
      </c>
      <c r="D1159" s="10">
        <f ca="1">ROUND(_xlfn.NORM.INV(RAND(),Reference!$D$8,0.1*Reference!$D$8)*(1+Reference!$D$11*(IF(MONTH($A1159)=Reference!$D$4,1,0)+IF(MONTH($A1159)=Reference!$D$5,1,0))+(IF(MONTH($A1159)=Reference!$D$6,Reference!$D$13,0))),0)</f>
        <v>498</v>
      </c>
      <c r="E1159" s="11">
        <f ca="1">D1159*Reference!$D$7*(1-IF(MONTH($A1159)=Reference!$D$6,1,0)*Reference!$D$12)</f>
        <v>373500</v>
      </c>
      <c r="M1159" s="20"/>
      <c r="N1159" s="20"/>
      <c r="O1159" s="19"/>
      <c r="P1159" s="10"/>
      <c r="Q1159" s="10"/>
      <c r="R1159" s="10"/>
      <c r="S1159" s="10"/>
      <c r="T1159" s="10"/>
      <c r="U1159" s="10"/>
      <c r="V1159" s="10"/>
      <c r="W1159" s="10"/>
      <c r="X1159" s="10"/>
      <c r="Y1159" s="10"/>
    </row>
    <row r="1160" spans="1:25" x14ac:dyDescent="0.25">
      <c r="A1160" s="9">
        <v>41698</v>
      </c>
      <c r="B1160" s="10">
        <f ca="1">ROUND(_xlfn.NORM.INV(RAND(),Reference!$C$8,0.1*Reference!$C$8)*(1+Reference!$C$11*(IF(MONTH($A1160)=Reference!$C$4,1,0)+IF(MONTH($A1160)=Reference!$C$5,1,0))+(IF(MONTH($A1160)=Reference!$C$6,Reference!$C$13,0))),0)</f>
        <v>429</v>
      </c>
      <c r="C1160" s="11">
        <f ca="1">B1160*Reference!$C$7*(1-IF(MONTH($A1160)=Reference!$C$6,1,0)*Reference!$C$12)</f>
        <v>398970</v>
      </c>
      <c r="D1160" s="10">
        <f ca="1">ROUND(_xlfn.NORM.INV(RAND(),Reference!$D$8,0.1*Reference!$D$8)*(1+Reference!$D$11*(IF(MONTH($A1160)=Reference!$D$4,1,0)+IF(MONTH($A1160)=Reference!$D$5,1,0))+(IF(MONTH($A1160)=Reference!$D$6,Reference!$D$13,0))),0)</f>
        <v>439</v>
      </c>
      <c r="E1160" s="11">
        <f ca="1">D1160*Reference!$D$7*(1-IF(MONTH($A1160)=Reference!$D$6,1,0)*Reference!$D$12)</f>
        <v>329250</v>
      </c>
      <c r="M1160" s="20"/>
      <c r="N1160" s="20"/>
      <c r="O1160" s="19"/>
      <c r="P1160" s="10"/>
      <c r="Q1160" s="10"/>
      <c r="R1160" s="10"/>
      <c r="S1160" s="10"/>
      <c r="T1160" s="10"/>
      <c r="U1160" s="10"/>
      <c r="V1160" s="10"/>
      <c r="W1160" s="10"/>
      <c r="X1160" s="10"/>
      <c r="Y1160" s="10"/>
    </row>
    <row r="1161" spans="1:25" x14ac:dyDescent="0.25">
      <c r="A1161" s="9">
        <v>41699</v>
      </c>
      <c r="B1161" s="10">
        <f ca="1">ROUND(_xlfn.NORM.INV(RAND(),Reference!$C$8,0.1*Reference!$C$8)*(1+Reference!$C$11*(IF(MONTH($A1161)=Reference!$C$4,1,0)+IF(MONTH($A1161)=Reference!$C$5,1,0))+(IF(MONTH($A1161)=Reference!$C$6,Reference!$C$13,0))),0)</f>
        <v>314</v>
      </c>
      <c r="C1161" s="11">
        <f ca="1">B1161*Reference!$C$7*(1-IF(MONTH($A1161)=Reference!$C$6,1,0)*Reference!$C$12)</f>
        <v>292020</v>
      </c>
      <c r="D1161" s="10">
        <f ca="1">ROUND(_xlfn.NORM.INV(RAND(),Reference!$D$8,0.1*Reference!$D$8)*(1+Reference!$D$11*(IF(MONTH($A1161)=Reference!$D$4,1,0)+IF(MONTH($A1161)=Reference!$D$5,1,0))+(IF(MONTH($A1161)=Reference!$D$6,Reference!$D$13,0))),0)</f>
        <v>472</v>
      </c>
      <c r="E1161" s="11">
        <f ca="1">D1161*Reference!$D$7*(1-IF(MONTH($A1161)=Reference!$D$6,1,0)*Reference!$D$12)</f>
        <v>354000</v>
      </c>
      <c r="M1161" s="20"/>
      <c r="N1161" s="20"/>
      <c r="O1161" s="19"/>
      <c r="P1161" s="10"/>
      <c r="Q1161" s="10"/>
      <c r="R1161" s="10"/>
      <c r="S1161" s="10"/>
      <c r="T1161" s="10"/>
      <c r="U1161" s="10"/>
      <c r="V1161" s="10"/>
      <c r="W1161" s="10"/>
      <c r="X1161" s="10"/>
      <c r="Y1161" s="10"/>
    </row>
    <row r="1162" spans="1:25" x14ac:dyDescent="0.25">
      <c r="A1162" s="9">
        <v>41700</v>
      </c>
      <c r="B1162" s="10">
        <f ca="1">ROUND(_xlfn.NORM.INV(RAND(),Reference!$C$8,0.1*Reference!$C$8)*(1+Reference!$C$11*(IF(MONTH($A1162)=Reference!$C$4,1,0)+IF(MONTH($A1162)=Reference!$C$5,1,0))+(IF(MONTH($A1162)=Reference!$C$6,Reference!$C$13,0))),0)</f>
        <v>326</v>
      </c>
      <c r="C1162" s="11">
        <f ca="1">B1162*Reference!$C$7*(1-IF(MONTH($A1162)=Reference!$C$6,1,0)*Reference!$C$12)</f>
        <v>303180</v>
      </c>
      <c r="D1162" s="10">
        <f ca="1">ROUND(_xlfn.NORM.INV(RAND(),Reference!$D$8,0.1*Reference!$D$8)*(1+Reference!$D$11*(IF(MONTH($A1162)=Reference!$D$4,1,0)+IF(MONTH($A1162)=Reference!$D$5,1,0))+(IF(MONTH($A1162)=Reference!$D$6,Reference!$D$13,0))),0)</f>
        <v>427</v>
      </c>
      <c r="E1162" s="11">
        <f ca="1">D1162*Reference!$D$7*(1-IF(MONTH($A1162)=Reference!$D$6,1,0)*Reference!$D$12)</f>
        <v>320250</v>
      </c>
      <c r="M1162" s="20"/>
      <c r="N1162" s="20"/>
      <c r="O1162" s="19"/>
      <c r="P1162" s="10"/>
      <c r="Q1162" s="10"/>
      <c r="R1162" s="10"/>
      <c r="S1162" s="10"/>
      <c r="T1162" s="10"/>
      <c r="U1162" s="10"/>
      <c r="V1162" s="10"/>
      <c r="W1162" s="10"/>
      <c r="X1162" s="10"/>
      <c r="Y1162" s="10"/>
    </row>
    <row r="1163" spans="1:25" x14ac:dyDescent="0.25">
      <c r="A1163" s="9">
        <v>41701</v>
      </c>
      <c r="B1163" s="10">
        <f ca="1">ROUND(_xlfn.NORM.INV(RAND(),Reference!$C$8,0.1*Reference!$C$8)*(1+Reference!$C$11*(IF(MONTH($A1163)=Reference!$C$4,1,0)+IF(MONTH($A1163)=Reference!$C$5,1,0))+(IF(MONTH($A1163)=Reference!$C$6,Reference!$C$13,0))),0)</f>
        <v>345</v>
      </c>
      <c r="C1163" s="11">
        <f ca="1">B1163*Reference!$C$7*(1-IF(MONTH($A1163)=Reference!$C$6,1,0)*Reference!$C$12)</f>
        <v>320850</v>
      </c>
      <c r="D1163" s="10">
        <f ca="1">ROUND(_xlfn.NORM.INV(RAND(),Reference!$D$8,0.1*Reference!$D$8)*(1+Reference!$D$11*(IF(MONTH($A1163)=Reference!$D$4,1,0)+IF(MONTH($A1163)=Reference!$D$5,1,0))+(IF(MONTH($A1163)=Reference!$D$6,Reference!$D$13,0))),0)</f>
        <v>509</v>
      </c>
      <c r="E1163" s="11">
        <f ca="1">D1163*Reference!$D$7*(1-IF(MONTH($A1163)=Reference!$D$6,1,0)*Reference!$D$12)</f>
        <v>381750</v>
      </c>
      <c r="M1163" s="20"/>
      <c r="N1163" s="20"/>
      <c r="O1163" s="19"/>
      <c r="P1163" s="10"/>
      <c r="Q1163" s="10"/>
      <c r="R1163" s="10"/>
      <c r="S1163" s="10"/>
      <c r="T1163" s="10"/>
      <c r="U1163" s="10"/>
      <c r="V1163" s="10"/>
      <c r="W1163" s="10"/>
      <c r="X1163" s="10"/>
      <c r="Y1163" s="10"/>
    </row>
    <row r="1164" spans="1:25" x14ac:dyDescent="0.25">
      <c r="A1164" s="9">
        <v>41702</v>
      </c>
      <c r="B1164" s="10">
        <f ca="1">ROUND(_xlfn.NORM.INV(RAND(),Reference!$C$8,0.1*Reference!$C$8)*(1+Reference!$C$11*(IF(MONTH($A1164)=Reference!$C$4,1,0)+IF(MONTH($A1164)=Reference!$C$5,1,0))+(IF(MONTH($A1164)=Reference!$C$6,Reference!$C$13,0))),0)</f>
        <v>348</v>
      </c>
      <c r="C1164" s="11">
        <f ca="1">B1164*Reference!$C$7*(1-IF(MONTH($A1164)=Reference!$C$6,1,0)*Reference!$C$12)</f>
        <v>323640</v>
      </c>
      <c r="D1164" s="10">
        <f ca="1">ROUND(_xlfn.NORM.INV(RAND(),Reference!$D$8,0.1*Reference!$D$8)*(1+Reference!$D$11*(IF(MONTH($A1164)=Reference!$D$4,1,0)+IF(MONTH($A1164)=Reference!$D$5,1,0))+(IF(MONTH($A1164)=Reference!$D$6,Reference!$D$13,0))),0)</f>
        <v>469</v>
      </c>
      <c r="E1164" s="11">
        <f ca="1">D1164*Reference!$D$7*(1-IF(MONTH($A1164)=Reference!$D$6,1,0)*Reference!$D$12)</f>
        <v>351750</v>
      </c>
      <c r="M1164" s="20"/>
      <c r="N1164" s="20"/>
      <c r="O1164" s="19"/>
      <c r="P1164" s="10"/>
      <c r="Q1164" s="10"/>
      <c r="R1164" s="10"/>
      <c r="S1164" s="10"/>
      <c r="T1164" s="10"/>
      <c r="U1164" s="10"/>
      <c r="V1164" s="10"/>
      <c r="W1164" s="10"/>
      <c r="X1164" s="10"/>
      <c r="Y1164" s="10"/>
    </row>
    <row r="1165" spans="1:25" x14ac:dyDescent="0.25">
      <c r="A1165" s="9">
        <v>41703</v>
      </c>
      <c r="B1165" s="10">
        <f ca="1">ROUND(_xlfn.NORM.INV(RAND(),Reference!$C$8,0.1*Reference!$C$8)*(1+Reference!$C$11*(IF(MONTH($A1165)=Reference!$C$4,1,0)+IF(MONTH($A1165)=Reference!$C$5,1,0))+(IF(MONTH($A1165)=Reference!$C$6,Reference!$C$13,0))),0)</f>
        <v>345</v>
      </c>
      <c r="C1165" s="11">
        <f ca="1">B1165*Reference!$C$7*(1-IF(MONTH($A1165)=Reference!$C$6,1,0)*Reference!$C$12)</f>
        <v>320850</v>
      </c>
      <c r="D1165" s="10">
        <f ca="1">ROUND(_xlfn.NORM.INV(RAND(),Reference!$D$8,0.1*Reference!$D$8)*(1+Reference!$D$11*(IF(MONTH($A1165)=Reference!$D$4,1,0)+IF(MONTH($A1165)=Reference!$D$5,1,0))+(IF(MONTH($A1165)=Reference!$D$6,Reference!$D$13,0))),0)</f>
        <v>374</v>
      </c>
      <c r="E1165" s="11">
        <f ca="1">D1165*Reference!$D$7*(1-IF(MONTH($A1165)=Reference!$D$6,1,0)*Reference!$D$12)</f>
        <v>280500</v>
      </c>
      <c r="M1165" s="20"/>
      <c r="N1165" s="20"/>
      <c r="O1165" s="19"/>
      <c r="P1165" s="10"/>
      <c r="Q1165" s="10"/>
      <c r="R1165" s="10"/>
      <c r="S1165" s="10"/>
      <c r="T1165" s="10"/>
      <c r="U1165" s="10"/>
      <c r="V1165" s="10"/>
      <c r="W1165" s="10"/>
      <c r="X1165" s="10"/>
      <c r="Y1165" s="10"/>
    </row>
    <row r="1166" spans="1:25" x14ac:dyDescent="0.25">
      <c r="A1166" s="9">
        <v>41704</v>
      </c>
      <c r="B1166" s="10">
        <f ca="1">ROUND(_xlfn.NORM.INV(RAND(),Reference!$C$8,0.1*Reference!$C$8)*(1+Reference!$C$11*(IF(MONTH($A1166)=Reference!$C$4,1,0)+IF(MONTH($A1166)=Reference!$C$5,1,0))+(IF(MONTH($A1166)=Reference!$C$6,Reference!$C$13,0))),0)</f>
        <v>426</v>
      </c>
      <c r="C1166" s="11">
        <f ca="1">B1166*Reference!$C$7*(1-IF(MONTH($A1166)=Reference!$C$6,1,0)*Reference!$C$12)</f>
        <v>396180</v>
      </c>
      <c r="D1166" s="10">
        <f ca="1">ROUND(_xlfn.NORM.INV(RAND(),Reference!$D$8,0.1*Reference!$D$8)*(1+Reference!$D$11*(IF(MONTH($A1166)=Reference!$D$4,1,0)+IF(MONTH($A1166)=Reference!$D$5,1,0))+(IF(MONTH($A1166)=Reference!$D$6,Reference!$D$13,0))),0)</f>
        <v>494</v>
      </c>
      <c r="E1166" s="11">
        <f ca="1">D1166*Reference!$D$7*(1-IF(MONTH($A1166)=Reference!$D$6,1,0)*Reference!$D$12)</f>
        <v>370500</v>
      </c>
      <c r="M1166" s="20"/>
      <c r="N1166" s="20"/>
      <c r="O1166" s="19"/>
      <c r="P1166" s="10"/>
      <c r="Q1166" s="10"/>
      <c r="R1166" s="10"/>
      <c r="S1166" s="10"/>
      <c r="T1166" s="10"/>
      <c r="U1166" s="10"/>
      <c r="V1166" s="10"/>
      <c r="W1166" s="10"/>
      <c r="X1166" s="10"/>
      <c r="Y1166" s="10"/>
    </row>
    <row r="1167" spans="1:25" x14ac:dyDescent="0.25">
      <c r="A1167" s="9">
        <v>41705</v>
      </c>
      <c r="B1167" s="10">
        <f ca="1">ROUND(_xlfn.NORM.INV(RAND(),Reference!$C$8,0.1*Reference!$C$8)*(1+Reference!$C$11*(IF(MONTH($A1167)=Reference!$C$4,1,0)+IF(MONTH($A1167)=Reference!$C$5,1,0))+(IF(MONTH($A1167)=Reference!$C$6,Reference!$C$13,0))),0)</f>
        <v>334</v>
      </c>
      <c r="C1167" s="11">
        <f ca="1">B1167*Reference!$C$7*(1-IF(MONTH($A1167)=Reference!$C$6,1,0)*Reference!$C$12)</f>
        <v>310620</v>
      </c>
      <c r="D1167" s="10">
        <f ca="1">ROUND(_xlfn.NORM.INV(RAND(),Reference!$D$8,0.1*Reference!$D$8)*(1+Reference!$D$11*(IF(MONTH($A1167)=Reference!$D$4,1,0)+IF(MONTH($A1167)=Reference!$D$5,1,0))+(IF(MONTH($A1167)=Reference!$D$6,Reference!$D$13,0))),0)</f>
        <v>479</v>
      </c>
      <c r="E1167" s="11">
        <f ca="1">D1167*Reference!$D$7*(1-IF(MONTH($A1167)=Reference!$D$6,1,0)*Reference!$D$12)</f>
        <v>359250</v>
      </c>
      <c r="M1167" s="20"/>
      <c r="N1167" s="20"/>
      <c r="O1167" s="19"/>
      <c r="P1167" s="10"/>
      <c r="Q1167" s="10"/>
      <c r="R1167" s="10"/>
      <c r="S1167" s="10"/>
      <c r="T1167" s="10"/>
      <c r="U1167" s="10"/>
      <c r="V1167" s="10"/>
      <c r="W1167" s="10"/>
      <c r="X1167" s="10"/>
      <c r="Y1167" s="10"/>
    </row>
    <row r="1168" spans="1:25" x14ac:dyDescent="0.25">
      <c r="A1168" s="9">
        <v>41706</v>
      </c>
      <c r="B1168" s="10">
        <f ca="1">ROUND(_xlfn.NORM.INV(RAND(),Reference!$C$8,0.1*Reference!$C$8)*(1+Reference!$C$11*(IF(MONTH($A1168)=Reference!$C$4,1,0)+IF(MONTH($A1168)=Reference!$C$5,1,0))+(IF(MONTH($A1168)=Reference!$C$6,Reference!$C$13,0))),0)</f>
        <v>350</v>
      </c>
      <c r="C1168" s="11">
        <f ca="1">B1168*Reference!$C$7*(1-IF(MONTH($A1168)=Reference!$C$6,1,0)*Reference!$C$12)</f>
        <v>325500</v>
      </c>
      <c r="D1168" s="10">
        <f ca="1">ROUND(_xlfn.NORM.INV(RAND(),Reference!$D$8,0.1*Reference!$D$8)*(1+Reference!$D$11*(IF(MONTH($A1168)=Reference!$D$4,1,0)+IF(MONTH($A1168)=Reference!$D$5,1,0))+(IF(MONTH($A1168)=Reference!$D$6,Reference!$D$13,0))),0)</f>
        <v>397</v>
      </c>
      <c r="E1168" s="11">
        <f ca="1">D1168*Reference!$D$7*(1-IF(MONTH($A1168)=Reference!$D$6,1,0)*Reference!$D$12)</f>
        <v>297750</v>
      </c>
      <c r="M1168" s="20"/>
      <c r="N1168" s="20"/>
      <c r="O1168" s="19"/>
      <c r="P1168" s="10"/>
      <c r="Q1168" s="10"/>
      <c r="R1168" s="10"/>
      <c r="S1168" s="10"/>
      <c r="T1168" s="10"/>
      <c r="U1168" s="10"/>
      <c r="V1168" s="10"/>
      <c r="W1168" s="10"/>
      <c r="X1168" s="10"/>
      <c r="Y1168" s="10"/>
    </row>
    <row r="1169" spans="1:25" x14ac:dyDescent="0.25">
      <c r="A1169" s="9">
        <v>41707</v>
      </c>
      <c r="B1169" s="10">
        <f ca="1">ROUND(_xlfn.NORM.INV(RAND(),Reference!$C$8,0.1*Reference!$C$8)*(1+Reference!$C$11*(IF(MONTH($A1169)=Reference!$C$4,1,0)+IF(MONTH($A1169)=Reference!$C$5,1,0))+(IF(MONTH($A1169)=Reference!$C$6,Reference!$C$13,0))),0)</f>
        <v>263</v>
      </c>
      <c r="C1169" s="11">
        <f ca="1">B1169*Reference!$C$7*(1-IF(MONTH($A1169)=Reference!$C$6,1,0)*Reference!$C$12)</f>
        <v>244590</v>
      </c>
      <c r="D1169" s="10">
        <f ca="1">ROUND(_xlfn.NORM.INV(RAND(),Reference!$D$8,0.1*Reference!$D$8)*(1+Reference!$D$11*(IF(MONTH($A1169)=Reference!$D$4,1,0)+IF(MONTH($A1169)=Reference!$D$5,1,0))+(IF(MONTH($A1169)=Reference!$D$6,Reference!$D$13,0))),0)</f>
        <v>656</v>
      </c>
      <c r="E1169" s="11">
        <f ca="1">D1169*Reference!$D$7*(1-IF(MONTH($A1169)=Reference!$D$6,1,0)*Reference!$D$12)</f>
        <v>492000</v>
      </c>
      <c r="M1169" s="20"/>
      <c r="N1169" s="20"/>
      <c r="O1169" s="19"/>
      <c r="P1169" s="10"/>
      <c r="Q1169" s="10"/>
      <c r="R1169" s="10"/>
      <c r="S1169" s="10"/>
      <c r="T1169" s="10"/>
      <c r="U1169" s="10"/>
      <c r="V1169" s="10"/>
      <c r="W1169" s="10"/>
      <c r="X1169" s="10"/>
      <c r="Y1169" s="10"/>
    </row>
    <row r="1170" spans="1:25" x14ac:dyDescent="0.25">
      <c r="A1170" s="9">
        <v>41708</v>
      </c>
      <c r="B1170" s="10">
        <f ca="1">ROUND(_xlfn.NORM.INV(RAND(),Reference!$C$8,0.1*Reference!$C$8)*(1+Reference!$C$11*(IF(MONTH($A1170)=Reference!$C$4,1,0)+IF(MONTH($A1170)=Reference!$C$5,1,0))+(IF(MONTH($A1170)=Reference!$C$6,Reference!$C$13,0))),0)</f>
        <v>376</v>
      </c>
      <c r="C1170" s="11">
        <f ca="1">B1170*Reference!$C$7*(1-IF(MONTH($A1170)=Reference!$C$6,1,0)*Reference!$C$12)</f>
        <v>349680</v>
      </c>
      <c r="D1170" s="10">
        <f ca="1">ROUND(_xlfn.NORM.INV(RAND(),Reference!$D$8,0.1*Reference!$D$8)*(1+Reference!$D$11*(IF(MONTH($A1170)=Reference!$D$4,1,0)+IF(MONTH($A1170)=Reference!$D$5,1,0))+(IF(MONTH($A1170)=Reference!$D$6,Reference!$D$13,0))),0)</f>
        <v>498</v>
      </c>
      <c r="E1170" s="11">
        <f ca="1">D1170*Reference!$D$7*(1-IF(MONTH($A1170)=Reference!$D$6,1,0)*Reference!$D$12)</f>
        <v>373500</v>
      </c>
      <c r="M1170" s="20"/>
      <c r="N1170" s="20"/>
      <c r="O1170" s="19"/>
      <c r="P1170" s="10"/>
      <c r="Q1170" s="10"/>
      <c r="R1170" s="10"/>
      <c r="S1170" s="10"/>
      <c r="T1170" s="10"/>
      <c r="U1170" s="10"/>
      <c r="V1170" s="10"/>
      <c r="W1170" s="10"/>
      <c r="X1170" s="10"/>
      <c r="Y1170" s="10"/>
    </row>
    <row r="1171" spans="1:25" x14ac:dyDescent="0.25">
      <c r="A1171" s="9">
        <v>41709</v>
      </c>
      <c r="B1171" s="10">
        <f ca="1">ROUND(_xlfn.NORM.INV(RAND(),Reference!$C$8,0.1*Reference!$C$8)*(1+Reference!$C$11*(IF(MONTH($A1171)=Reference!$C$4,1,0)+IF(MONTH($A1171)=Reference!$C$5,1,0))+(IF(MONTH($A1171)=Reference!$C$6,Reference!$C$13,0))),0)</f>
        <v>381</v>
      </c>
      <c r="C1171" s="11">
        <f ca="1">B1171*Reference!$C$7*(1-IF(MONTH($A1171)=Reference!$C$6,1,0)*Reference!$C$12)</f>
        <v>354330</v>
      </c>
      <c r="D1171" s="10">
        <f ca="1">ROUND(_xlfn.NORM.INV(RAND(),Reference!$D$8,0.1*Reference!$D$8)*(1+Reference!$D$11*(IF(MONTH($A1171)=Reference!$D$4,1,0)+IF(MONTH($A1171)=Reference!$D$5,1,0))+(IF(MONTH($A1171)=Reference!$D$6,Reference!$D$13,0))),0)</f>
        <v>542</v>
      </c>
      <c r="E1171" s="11">
        <f ca="1">D1171*Reference!$D$7*(1-IF(MONTH($A1171)=Reference!$D$6,1,0)*Reference!$D$12)</f>
        <v>406500</v>
      </c>
      <c r="M1171" s="20"/>
      <c r="N1171" s="20"/>
      <c r="O1171" s="19"/>
      <c r="P1171" s="10"/>
      <c r="Q1171" s="10"/>
      <c r="R1171" s="10"/>
      <c r="S1171" s="10"/>
      <c r="T1171" s="10"/>
      <c r="U1171" s="10"/>
      <c r="V1171" s="10"/>
      <c r="W1171" s="10"/>
      <c r="X1171" s="10"/>
      <c r="Y1171" s="10"/>
    </row>
    <row r="1172" spans="1:25" x14ac:dyDescent="0.25">
      <c r="A1172" s="9">
        <v>41710</v>
      </c>
      <c r="B1172" s="10">
        <f ca="1">ROUND(_xlfn.NORM.INV(RAND(),Reference!$C$8,0.1*Reference!$C$8)*(1+Reference!$C$11*(IF(MONTH($A1172)=Reference!$C$4,1,0)+IF(MONTH($A1172)=Reference!$C$5,1,0))+(IF(MONTH($A1172)=Reference!$C$6,Reference!$C$13,0))),0)</f>
        <v>374</v>
      </c>
      <c r="C1172" s="11">
        <f ca="1">B1172*Reference!$C$7*(1-IF(MONTH($A1172)=Reference!$C$6,1,0)*Reference!$C$12)</f>
        <v>347820</v>
      </c>
      <c r="D1172" s="10">
        <f ca="1">ROUND(_xlfn.NORM.INV(RAND(),Reference!$D$8,0.1*Reference!$D$8)*(1+Reference!$D$11*(IF(MONTH($A1172)=Reference!$D$4,1,0)+IF(MONTH($A1172)=Reference!$D$5,1,0))+(IF(MONTH($A1172)=Reference!$D$6,Reference!$D$13,0))),0)</f>
        <v>453</v>
      </c>
      <c r="E1172" s="11">
        <f ca="1">D1172*Reference!$D$7*(1-IF(MONTH($A1172)=Reference!$D$6,1,0)*Reference!$D$12)</f>
        <v>339750</v>
      </c>
      <c r="M1172" s="20"/>
      <c r="N1172" s="20"/>
      <c r="O1172" s="19"/>
      <c r="P1172" s="10"/>
      <c r="Q1172" s="10"/>
      <c r="R1172" s="10"/>
      <c r="S1172" s="10"/>
      <c r="T1172" s="10"/>
      <c r="U1172" s="10"/>
      <c r="V1172" s="10"/>
      <c r="W1172" s="10"/>
      <c r="X1172" s="10"/>
      <c r="Y1172" s="10"/>
    </row>
    <row r="1173" spans="1:25" x14ac:dyDescent="0.25">
      <c r="A1173" s="9">
        <v>41711</v>
      </c>
      <c r="B1173" s="10">
        <f ca="1">ROUND(_xlfn.NORM.INV(RAND(),Reference!$C$8,0.1*Reference!$C$8)*(1+Reference!$C$11*(IF(MONTH($A1173)=Reference!$C$4,1,0)+IF(MONTH($A1173)=Reference!$C$5,1,0))+(IF(MONTH($A1173)=Reference!$C$6,Reference!$C$13,0))),0)</f>
        <v>320</v>
      </c>
      <c r="C1173" s="11">
        <f ca="1">B1173*Reference!$C$7*(1-IF(MONTH($A1173)=Reference!$C$6,1,0)*Reference!$C$12)</f>
        <v>297600</v>
      </c>
      <c r="D1173" s="10">
        <f ca="1">ROUND(_xlfn.NORM.INV(RAND(),Reference!$D$8,0.1*Reference!$D$8)*(1+Reference!$D$11*(IF(MONTH($A1173)=Reference!$D$4,1,0)+IF(MONTH($A1173)=Reference!$D$5,1,0))+(IF(MONTH($A1173)=Reference!$D$6,Reference!$D$13,0))),0)</f>
        <v>457</v>
      </c>
      <c r="E1173" s="11">
        <f ca="1">D1173*Reference!$D$7*(1-IF(MONTH($A1173)=Reference!$D$6,1,0)*Reference!$D$12)</f>
        <v>342750</v>
      </c>
      <c r="M1173" s="20"/>
      <c r="N1173" s="20"/>
      <c r="O1173" s="19"/>
      <c r="P1173" s="10"/>
      <c r="Q1173" s="10"/>
      <c r="R1173" s="10"/>
      <c r="S1173" s="10"/>
      <c r="T1173" s="10"/>
      <c r="U1173" s="10"/>
      <c r="V1173" s="10"/>
      <c r="W1173" s="10"/>
      <c r="X1173" s="10"/>
      <c r="Y1173" s="10"/>
    </row>
    <row r="1174" spans="1:25" x14ac:dyDescent="0.25">
      <c r="A1174" s="9">
        <v>41712</v>
      </c>
      <c r="B1174" s="10">
        <f ca="1">ROUND(_xlfn.NORM.INV(RAND(),Reference!$C$8,0.1*Reference!$C$8)*(1+Reference!$C$11*(IF(MONTH($A1174)=Reference!$C$4,1,0)+IF(MONTH($A1174)=Reference!$C$5,1,0))+(IF(MONTH($A1174)=Reference!$C$6,Reference!$C$13,0))),0)</f>
        <v>398</v>
      </c>
      <c r="C1174" s="11">
        <f ca="1">B1174*Reference!$C$7*(1-IF(MONTH($A1174)=Reference!$C$6,1,0)*Reference!$C$12)</f>
        <v>370140</v>
      </c>
      <c r="D1174" s="10">
        <f ca="1">ROUND(_xlfn.NORM.INV(RAND(),Reference!$D$8,0.1*Reference!$D$8)*(1+Reference!$D$11*(IF(MONTH($A1174)=Reference!$D$4,1,0)+IF(MONTH($A1174)=Reference!$D$5,1,0))+(IF(MONTH($A1174)=Reference!$D$6,Reference!$D$13,0))),0)</f>
        <v>486</v>
      </c>
      <c r="E1174" s="11">
        <f ca="1">D1174*Reference!$D$7*(1-IF(MONTH($A1174)=Reference!$D$6,1,0)*Reference!$D$12)</f>
        <v>364500</v>
      </c>
      <c r="M1174" s="20"/>
      <c r="N1174" s="20"/>
      <c r="O1174" s="19"/>
      <c r="P1174" s="10"/>
      <c r="Q1174" s="10"/>
      <c r="R1174" s="10"/>
      <c r="S1174" s="10"/>
      <c r="T1174" s="10"/>
      <c r="U1174" s="10"/>
      <c r="V1174" s="10"/>
      <c r="W1174" s="10"/>
      <c r="X1174" s="10"/>
      <c r="Y1174" s="10"/>
    </row>
    <row r="1175" spans="1:25" x14ac:dyDescent="0.25">
      <c r="A1175" s="9">
        <v>41713</v>
      </c>
      <c r="B1175" s="10">
        <f ca="1">ROUND(_xlfn.NORM.INV(RAND(),Reference!$C$8,0.1*Reference!$C$8)*(1+Reference!$C$11*(IF(MONTH($A1175)=Reference!$C$4,1,0)+IF(MONTH($A1175)=Reference!$C$5,1,0))+(IF(MONTH($A1175)=Reference!$C$6,Reference!$C$13,0))),0)</f>
        <v>346</v>
      </c>
      <c r="C1175" s="11">
        <f ca="1">B1175*Reference!$C$7*(1-IF(MONTH($A1175)=Reference!$C$6,1,0)*Reference!$C$12)</f>
        <v>321780</v>
      </c>
      <c r="D1175" s="10">
        <f ca="1">ROUND(_xlfn.NORM.INV(RAND(),Reference!$D$8,0.1*Reference!$D$8)*(1+Reference!$D$11*(IF(MONTH($A1175)=Reference!$D$4,1,0)+IF(MONTH($A1175)=Reference!$D$5,1,0))+(IF(MONTH($A1175)=Reference!$D$6,Reference!$D$13,0))),0)</f>
        <v>485</v>
      </c>
      <c r="E1175" s="11">
        <f ca="1">D1175*Reference!$D$7*(1-IF(MONTH($A1175)=Reference!$D$6,1,0)*Reference!$D$12)</f>
        <v>363750</v>
      </c>
      <c r="M1175" s="20"/>
      <c r="N1175" s="20"/>
      <c r="O1175" s="19"/>
      <c r="P1175" s="10"/>
      <c r="Q1175" s="10"/>
      <c r="R1175" s="10"/>
      <c r="S1175" s="10"/>
      <c r="T1175" s="10"/>
      <c r="U1175" s="10"/>
      <c r="V1175" s="10"/>
      <c r="W1175" s="10"/>
      <c r="X1175" s="10"/>
      <c r="Y1175" s="10"/>
    </row>
    <row r="1176" spans="1:25" x14ac:dyDescent="0.25">
      <c r="A1176" s="9">
        <v>41714</v>
      </c>
      <c r="B1176" s="10">
        <f ca="1">ROUND(_xlfn.NORM.INV(RAND(),Reference!$C$8,0.1*Reference!$C$8)*(1+Reference!$C$11*(IF(MONTH($A1176)=Reference!$C$4,1,0)+IF(MONTH($A1176)=Reference!$C$5,1,0))+(IF(MONTH($A1176)=Reference!$C$6,Reference!$C$13,0))),0)</f>
        <v>405</v>
      </c>
      <c r="C1176" s="11">
        <f ca="1">B1176*Reference!$C$7*(1-IF(MONTH($A1176)=Reference!$C$6,1,0)*Reference!$C$12)</f>
        <v>376650</v>
      </c>
      <c r="D1176" s="10">
        <f ca="1">ROUND(_xlfn.NORM.INV(RAND(),Reference!$D$8,0.1*Reference!$D$8)*(1+Reference!$D$11*(IF(MONTH($A1176)=Reference!$D$4,1,0)+IF(MONTH($A1176)=Reference!$D$5,1,0))+(IF(MONTH($A1176)=Reference!$D$6,Reference!$D$13,0))),0)</f>
        <v>439</v>
      </c>
      <c r="E1176" s="11">
        <f ca="1">D1176*Reference!$D$7*(1-IF(MONTH($A1176)=Reference!$D$6,1,0)*Reference!$D$12)</f>
        <v>329250</v>
      </c>
      <c r="M1176" s="20"/>
      <c r="N1176" s="20"/>
      <c r="O1176" s="19"/>
      <c r="P1176" s="10"/>
      <c r="Q1176" s="10"/>
      <c r="R1176" s="10"/>
      <c r="S1176" s="10"/>
      <c r="T1176" s="10"/>
      <c r="U1176" s="10"/>
      <c r="V1176" s="10"/>
      <c r="W1176" s="10"/>
      <c r="X1176" s="10"/>
      <c r="Y1176" s="10"/>
    </row>
    <row r="1177" spans="1:25" x14ac:dyDescent="0.25">
      <c r="A1177" s="9">
        <v>41715</v>
      </c>
      <c r="B1177" s="10">
        <f ca="1">ROUND(_xlfn.NORM.INV(RAND(),Reference!$C$8,0.1*Reference!$C$8)*(1+Reference!$C$11*(IF(MONTH($A1177)=Reference!$C$4,1,0)+IF(MONTH($A1177)=Reference!$C$5,1,0))+(IF(MONTH($A1177)=Reference!$C$6,Reference!$C$13,0))),0)</f>
        <v>456</v>
      </c>
      <c r="C1177" s="11">
        <f ca="1">B1177*Reference!$C$7*(1-IF(MONTH($A1177)=Reference!$C$6,1,0)*Reference!$C$12)</f>
        <v>424080</v>
      </c>
      <c r="D1177" s="10">
        <f ca="1">ROUND(_xlfn.NORM.INV(RAND(),Reference!$D$8,0.1*Reference!$D$8)*(1+Reference!$D$11*(IF(MONTH($A1177)=Reference!$D$4,1,0)+IF(MONTH($A1177)=Reference!$D$5,1,0))+(IF(MONTH($A1177)=Reference!$D$6,Reference!$D$13,0))),0)</f>
        <v>457</v>
      </c>
      <c r="E1177" s="11">
        <f ca="1">D1177*Reference!$D$7*(1-IF(MONTH($A1177)=Reference!$D$6,1,0)*Reference!$D$12)</f>
        <v>342750</v>
      </c>
      <c r="M1177" s="20"/>
      <c r="N1177" s="20"/>
      <c r="O1177" s="19"/>
      <c r="P1177" s="10"/>
      <c r="Q1177" s="10"/>
      <c r="R1177" s="10"/>
      <c r="S1177" s="10"/>
      <c r="T1177" s="10"/>
      <c r="U1177" s="10"/>
      <c r="V1177" s="10"/>
      <c r="W1177" s="10"/>
      <c r="X1177" s="10"/>
      <c r="Y1177" s="10"/>
    </row>
    <row r="1178" spans="1:25" x14ac:dyDescent="0.25">
      <c r="A1178" s="9">
        <v>41716</v>
      </c>
      <c r="B1178" s="10">
        <f ca="1">ROUND(_xlfn.NORM.INV(RAND(),Reference!$C$8,0.1*Reference!$C$8)*(1+Reference!$C$11*(IF(MONTH($A1178)=Reference!$C$4,1,0)+IF(MONTH($A1178)=Reference!$C$5,1,0))+(IF(MONTH($A1178)=Reference!$C$6,Reference!$C$13,0))),0)</f>
        <v>319</v>
      </c>
      <c r="C1178" s="11">
        <f ca="1">B1178*Reference!$C$7*(1-IF(MONTH($A1178)=Reference!$C$6,1,0)*Reference!$C$12)</f>
        <v>296670</v>
      </c>
      <c r="D1178" s="10">
        <f ca="1">ROUND(_xlfn.NORM.INV(RAND(),Reference!$D$8,0.1*Reference!$D$8)*(1+Reference!$D$11*(IF(MONTH($A1178)=Reference!$D$4,1,0)+IF(MONTH($A1178)=Reference!$D$5,1,0))+(IF(MONTH($A1178)=Reference!$D$6,Reference!$D$13,0))),0)</f>
        <v>439</v>
      </c>
      <c r="E1178" s="11">
        <f ca="1">D1178*Reference!$D$7*(1-IF(MONTH($A1178)=Reference!$D$6,1,0)*Reference!$D$12)</f>
        <v>329250</v>
      </c>
      <c r="M1178" s="20"/>
      <c r="N1178" s="20"/>
      <c r="O1178" s="19"/>
      <c r="P1178" s="10"/>
      <c r="Q1178" s="10"/>
      <c r="R1178" s="10"/>
      <c r="S1178" s="10"/>
      <c r="T1178" s="10"/>
      <c r="U1178" s="10"/>
      <c r="V1178" s="10"/>
      <c r="W1178" s="10"/>
      <c r="X1178" s="10"/>
      <c r="Y1178" s="10"/>
    </row>
    <row r="1179" spans="1:25" x14ac:dyDescent="0.25">
      <c r="A1179" s="9">
        <v>41717</v>
      </c>
      <c r="B1179" s="10">
        <f ca="1">ROUND(_xlfn.NORM.INV(RAND(),Reference!$C$8,0.1*Reference!$C$8)*(1+Reference!$C$11*(IF(MONTH($A1179)=Reference!$C$4,1,0)+IF(MONTH($A1179)=Reference!$C$5,1,0))+(IF(MONTH($A1179)=Reference!$C$6,Reference!$C$13,0))),0)</f>
        <v>302</v>
      </c>
      <c r="C1179" s="11">
        <f ca="1">B1179*Reference!$C$7*(1-IF(MONTH($A1179)=Reference!$C$6,1,0)*Reference!$C$12)</f>
        <v>280860</v>
      </c>
      <c r="D1179" s="10">
        <f ca="1">ROUND(_xlfn.NORM.INV(RAND(),Reference!$D$8,0.1*Reference!$D$8)*(1+Reference!$D$11*(IF(MONTH($A1179)=Reference!$D$4,1,0)+IF(MONTH($A1179)=Reference!$D$5,1,0))+(IF(MONTH($A1179)=Reference!$D$6,Reference!$D$13,0))),0)</f>
        <v>510</v>
      </c>
      <c r="E1179" s="11">
        <f ca="1">D1179*Reference!$D$7*(1-IF(MONTH($A1179)=Reference!$D$6,1,0)*Reference!$D$12)</f>
        <v>382500</v>
      </c>
      <c r="M1179" s="20"/>
      <c r="N1179" s="20"/>
      <c r="O1179" s="19"/>
      <c r="P1179" s="10"/>
      <c r="Q1179" s="10"/>
      <c r="R1179" s="10"/>
      <c r="S1179" s="10"/>
      <c r="T1179" s="10"/>
      <c r="U1179" s="10"/>
      <c r="V1179" s="10"/>
      <c r="W1179" s="10"/>
      <c r="X1179" s="10"/>
      <c r="Y1179" s="10"/>
    </row>
    <row r="1180" spans="1:25" x14ac:dyDescent="0.25">
      <c r="A1180" s="9">
        <v>41718</v>
      </c>
      <c r="B1180" s="10">
        <f ca="1">ROUND(_xlfn.NORM.INV(RAND(),Reference!$C$8,0.1*Reference!$C$8)*(1+Reference!$C$11*(IF(MONTH($A1180)=Reference!$C$4,1,0)+IF(MONTH($A1180)=Reference!$C$5,1,0))+(IF(MONTH($A1180)=Reference!$C$6,Reference!$C$13,0))),0)</f>
        <v>425</v>
      </c>
      <c r="C1180" s="11">
        <f ca="1">B1180*Reference!$C$7*(1-IF(MONTH($A1180)=Reference!$C$6,1,0)*Reference!$C$12)</f>
        <v>395250</v>
      </c>
      <c r="D1180" s="10">
        <f ca="1">ROUND(_xlfn.NORM.INV(RAND(),Reference!$D$8,0.1*Reference!$D$8)*(1+Reference!$D$11*(IF(MONTH($A1180)=Reference!$D$4,1,0)+IF(MONTH($A1180)=Reference!$D$5,1,0))+(IF(MONTH($A1180)=Reference!$D$6,Reference!$D$13,0))),0)</f>
        <v>483</v>
      </c>
      <c r="E1180" s="11">
        <f ca="1">D1180*Reference!$D$7*(1-IF(MONTH($A1180)=Reference!$D$6,1,0)*Reference!$D$12)</f>
        <v>362250</v>
      </c>
      <c r="M1180" s="20"/>
      <c r="N1180" s="20"/>
      <c r="O1180" s="19"/>
      <c r="P1180" s="10"/>
      <c r="Q1180" s="10"/>
      <c r="R1180" s="10"/>
      <c r="S1180" s="10"/>
      <c r="T1180" s="10"/>
      <c r="U1180" s="10"/>
      <c r="V1180" s="10"/>
      <c r="W1180" s="10"/>
      <c r="X1180" s="10"/>
      <c r="Y1180" s="10"/>
    </row>
    <row r="1181" spans="1:25" x14ac:dyDescent="0.25">
      <c r="A1181" s="9">
        <v>41719</v>
      </c>
      <c r="B1181" s="10">
        <f ca="1">ROUND(_xlfn.NORM.INV(RAND(),Reference!$C$8,0.1*Reference!$C$8)*(1+Reference!$C$11*(IF(MONTH($A1181)=Reference!$C$4,1,0)+IF(MONTH($A1181)=Reference!$C$5,1,0))+(IF(MONTH($A1181)=Reference!$C$6,Reference!$C$13,0))),0)</f>
        <v>401</v>
      </c>
      <c r="C1181" s="11">
        <f ca="1">B1181*Reference!$C$7*(1-IF(MONTH($A1181)=Reference!$C$6,1,0)*Reference!$C$12)</f>
        <v>372930</v>
      </c>
      <c r="D1181" s="10">
        <f ca="1">ROUND(_xlfn.NORM.INV(RAND(),Reference!$D$8,0.1*Reference!$D$8)*(1+Reference!$D$11*(IF(MONTH($A1181)=Reference!$D$4,1,0)+IF(MONTH($A1181)=Reference!$D$5,1,0))+(IF(MONTH($A1181)=Reference!$D$6,Reference!$D$13,0))),0)</f>
        <v>428</v>
      </c>
      <c r="E1181" s="11">
        <f ca="1">D1181*Reference!$D$7*(1-IF(MONTH($A1181)=Reference!$D$6,1,0)*Reference!$D$12)</f>
        <v>321000</v>
      </c>
      <c r="M1181" s="20"/>
      <c r="N1181" s="20"/>
      <c r="O1181" s="19"/>
      <c r="P1181" s="10"/>
      <c r="Q1181" s="10"/>
      <c r="R1181" s="10"/>
      <c r="S1181" s="10"/>
      <c r="T1181" s="10"/>
      <c r="U1181" s="10"/>
      <c r="V1181" s="10"/>
      <c r="W1181" s="10"/>
      <c r="X1181" s="10"/>
      <c r="Y1181" s="10"/>
    </row>
    <row r="1182" spans="1:25" x14ac:dyDescent="0.25">
      <c r="A1182" s="9">
        <v>41720</v>
      </c>
      <c r="B1182" s="10">
        <f ca="1">ROUND(_xlfn.NORM.INV(RAND(),Reference!$C$8,0.1*Reference!$C$8)*(1+Reference!$C$11*(IF(MONTH($A1182)=Reference!$C$4,1,0)+IF(MONTH($A1182)=Reference!$C$5,1,0))+(IF(MONTH($A1182)=Reference!$C$6,Reference!$C$13,0))),0)</f>
        <v>372</v>
      </c>
      <c r="C1182" s="11">
        <f ca="1">B1182*Reference!$C$7*(1-IF(MONTH($A1182)=Reference!$C$6,1,0)*Reference!$C$12)</f>
        <v>345960</v>
      </c>
      <c r="D1182" s="10">
        <f ca="1">ROUND(_xlfn.NORM.INV(RAND(),Reference!$D$8,0.1*Reference!$D$8)*(1+Reference!$D$11*(IF(MONTH($A1182)=Reference!$D$4,1,0)+IF(MONTH($A1182)=Reference!$D$5,1,0))+(IF(MONTH($A1182)=Reference!$D$6,Reference!$D$13,0))),0)</f>
        <v>416</v>
      </c>
      <c r="E1182" s="11">
        <f ca="1">D1182*Reference!$D$7*(1-IF(MONTH($A1182)=Reference!$D$6,1,0)*Reference!$D$12)</f>
        <v>312000</v>
      </c>
      <c r="M1182" s="20"/>
      <c r="N1182" s="20"/>
      <c r="O1182" s="19"/>
      <c r="P1182" s="10"/>
      <c r="Q1182" s="10"/>
      <c r="R1182" s="10"/>
      <c r="S1182" s="10"/>
      <c r="T1182" s="10"/>
      <c r="U1182" s="10"/>
      <c r="V1182" s="10"/>
      <c r="W1182" s="10"/>
      <c r="X1182" s="10"/>
      <c r="Y1182" s="10"/>
    </row>
    <row r="1183" spans="1:25" x14ac:dyDescent="0.25">
      <c r="A1183" s="9">
        <v>41721</v>
      </c>
      <c r="B1183" s="10">
        <f ca="1">ROUND(_xlfn.NORM.INV(RAND(),Reference!$C$8,0.1*Reference!$C$8)*(1+Reference!$C$11*(IF(MONTH($A1183)=Reference!$C$4,1,0)+IF(MONTH($A1183)=Reference!$C$5,1,0))+(IF(MONTH($A1183)=Reference!$C$6,Reference!$C$13,0))),0)</f>
        <v>350</v>
      </c>
      <c r="C1183" s="11">
        <f ca="1">B1183*Reference!$C$7*(1-IF(MONTH($A1183)=Reference!$C$6,1,0)*Reference!$C$12)</f>
        <v>325500</v>
      </c>
      <c r="D1183" s="10">
        <f ca="1">ROUND(_xlfn.NORM.INV(RAND(),Reference!$D$8,0.1*Reference!$D$8)*(1+Reference!$D$11*(IF(MONTH($A1183)=Reference!$D$4,1,0)+IF(MONTH($A1183)=Reference!$D$5,1,0))+(IF(MONTH($A1183)=Reference!$D$6,Reference!$D$13,0))),0)</f>
        <v>467</v>
      </c>
      <c r="E1183" s="11">
        <f ca="1">D1183*Reference!$D$7*(1-IF(MONTH($A1183)=Reference!$D$6,1,0)*Reference!$D$12)</f>
        <v>350250</v>
      </c>
      <c r="M1183" s="20"/>
      <c r="N1183" s="20"/>
      <c r="O1183" s="19"/>
      <c r="P1183" s="10"/>
      <c r="Q1183" s="10"/>
      <c r="R1183" s="10"/>
      <c r="S1183" s="10"/>
      <c r="T1183" s="10"/>
      <c r="U1183" s="10"/>
      <c r="V1183" s="10"/>
      <c r="W1183" s="10"/>
      <c r="X1183" s="10"/>
      <c r="Y1183" s="10"/>
    </row>
    <row r="1184" spans="1:25" x14ac:dyDescent="0.25">
      <c r="A1184" s="9">
        <v>41722</v>
      </c>
      <c r="B1184" s="10">
        <f ca="1">ROUND(_xlfn.NORM.INV(RAND(),Reference!$C$8,0.1*Reference!$C$8)*(1+Reference!$C$11*(IF(MONTH($A1184)=Reference!$C$4,1,0)+IF(MONTH($A1184)=Reference!$C$5,1,0))+(IF(MONTH($A1184)=Reference!$C$6,Reference!$C$13,0))),0)</f>
        <v>303</v>
      </c>
      <c r="C1184" s="11">
        <f ca="1">B1184*Reference!$C$7*(1-IF(MONTH($A1184)=Reference!$C$6,1,0)*Reference!$C$12)</f>
        <v>281790</v>
      </c>
      <c r="D1184" s="10">
        <f ca="1">ROUND(_xlfn.NORM.INV(RAND(),Reference!$D$8,0.1*Reference!$D$8)*(1+Reference!$D$11*(IF(MONTH($A1184)=Reference!$D$4,1,0)+IF(MONTH($A1184)=Reference!$D$5,1,0))+(IF(MONTH($A1184)=Reference!$D$6,Reference!$D$13,0))),0)</f>
        <v>441</v>
      </c>
      <c r="E1184" s="11">
        <f ca="1">D1184*Reference!$D$7*(1-IF(MONTH($A1184)=Reference!$D$6,1,0)*Reference!$D$12)</f>
        <v>330750</v>
      </c>
      <c r="M1184" s="20"/>
      <c r="N1184" s="20"/>
      <c r="O1184" s="19"/>
      <c r="P1184" s="10"/>
      <c r="Q1184" s="10"/>
      <c r="R1184" s="10"/>
      <c r="S1184" s="10"/>
      <c r="T1184" s="10"/>
      <c r="U1184" s="10"/>
      <c r="V1184" s="10"/>
      <c r="W1184" s="10"/>
      <c r="X1184" s="10"/>
      <c r="Y1184" s="10"/>
    </row>
    <row r="1185" spans="1:25" x14ac:dyDescent="0.25">
      <c r="A1185" s="9">
        <v>41723</v>
      </c>
      <c r="B1185" s="10">
        <f ca="1">ROUND(_xlfn.NORM.INV(RAND(),Reference!$C$8,0.1*Reference!$C$8)*(1+Reference!$C$11*(IF(MONTH($A1185)=Reference!$C$4,1,0)+IF(MONTH($A1185)=Reference!$C$5,1,0))+(IF(MONTH($A1185)=Reference!$C$6,Reference!$C$13,0))),0)</f>
        <v>411</v>
      </c>
      <c r="C1185" s="11">
        <f ca="1">B1185*Reference!$C$7*(1-IF(MONTH($A1185)=Reference!$C$6,1,0)*Reference!$C$12)</f>
        <v>382230</v>
      </c>
      <c r="D1185" s="10">
        <f ca="1">ROUND(_xlfn.NORM.INV(RAND(),Reference!$D$8,0.1*Reference!$D$8)*(1+Reference!$D$11*(IF(MONTH($A1185)=Reference!$D$4,1,0)+IF(MONTH($A1185)=Reference!$D$5,1,0))+(IF(MONTH($A1185)=Reference!$D$6,Reference!$D$13,0))),0)</f>
        <v>419</v>
      </c>
      <c r="E1185" s="11">
        <f ca="1">D1185*Reference!$D$7*(1-IF(MONTH($A1185)=Reference!$D$6,1,0)*Reference!$D$12)</f>
        <v>314250</v>
      </c>
      <c r="M1185" s="20"/>
      <c r="N1185" s="20"/>
      <c r="O1185" s="19"/>
      <c r="P1185" s="10"/>
      <c r="Q1185" s="10"/>
      <c r="R1185" s="10"/>
      <c r="S1185" s="10"/>
      <c r="T1185" s="10"/>
      <c r="U1185" s="10"/>
      <c r="V1185" s="10"/>
      <c r="W1185" s="10"/>
      <c r="X1185" s="10"/>
      <c r="Y1185" s="10"/>
    </row>
    <row r="1186" spans="1:25" x14ac:dyDescent="0.25">
      <c r="A1186" s="9">
        <v>41724</v>
      </c>
      <c r="B1186" s="10">
        <f ca="1">ROUND(_xlfn.NORM.INV(RAND(),Reference!$C$8,0.1*Reference!$C$8)*(1+Reference!$C$11*(IF(MONTH($A1186)=Reference!$C$4,1,0)+IF(MONTH($A1186)=Reference!$C$5,1,0))+(IF(MONTH($A1186)=Reference!$C$6,Reference!$C$13,0))),0)</f>
        <v>430</v>
      </c>
      <c r="C1186" s="11">
        <f ca="1">B1186*Reference!$C$7*(1-IF(MONTH($A1186)=Reference!$C$6,1,0)*Reference!$C$12)</f>
        <v>399900</v>
      </c>
      <c r="D1186" s="10">
        <f ca="1">ROUND(_xlfn.NORM.INV(RAND(),Reference!$D$8,0.1*Reference!$D$8)*(1+Reference!$D$11*(IF(MONTH($A1186)=Reference!$D$4,1,0)+IF(MONTH($A1186)=Reference!$D$5,1,0))+(IF(MONTH($A1186)=Reference!$D$6,Reference!$D$13,0))),0)</f>
        <v>470</v>
      </c>
      <c r="E1186" s="11">
        <f ca="1">D1186*Reference!$D$7*(1-IF(MONTH($A1186)=Reference!$D$6,1,0)*Reference!$D$12)</f>
        <v>352500</v>
      </c>
      <c r="M1186" s="20"/>
      <c r="N1186" s="20"/>
      <c r="O1186" s="19"/>
      <c r="P1186" s="10"/>
      <c r="Q1186" s="10"/>
      <c r="R1186" s="10"/>
      <c r="S1186" s="10"/>
      <c r="T1186" s="10"/>
      <c r="U1186" s="10"/>
      <c r="V1186" s="10"/>
      <c r="W1186" s="10"/>
      <c r="X1186" s="10"/>
      <c r="Y1186" s="10"/>
    </row>
    <row r="1187" spans="1:25" x14ac:dyDescent="0.25">
      <c r="A1187" s="9">
        <v>41725</v>
      </c>
      <c r="B1187" s="10">
        <f ca="1">ROUND(_xlfn.NORM.INV(RAND(),Reference!$C$8,0.1*Reference!$C$8)*(1+Reference!$C$11*(IF(MONTH($A1187)=Reference!$C$4,1,0)+IF(MONTH($A1187)=Reference!$C$5,1,0))+(IF(MONTH($A1187)=Reference!$C$6,Reference!$C$13,0))),0)</f>
        <v>363</v>
      </c>
      <c r="C1187" s="11">
        <f ca="1">B1187*Reference!$C$7*(1-IF(MONTH($A1187)=Reference!$C$6,1,0)*Reference!$C$12)</f>
        <v>337590</v>
      </c>
      <c r="D1187" s="10">
        <f ca="1">ROUND(_xlfn.NORM.INV(RAND(),Reference!$D$8,0.1*Reference!$D$8)*(1+Reference!$D$11*(IF(MONTH($A1187)=Reference!$D$4,1,0)+IF(MONTH($A1187)=Reference!$D$5,1,0))+(IF(MONTH($A1187)=Reference!$D$6,Reference!$D$13,0))),0)</f>
        <v>455</v>
      </c>
      <c r="E1187" s="11">
        <f ca="1">D1187*Reference!$D$7*(1-IF(MONTH($A1187)=Reference!$D$6,1,0)*Reference!$D$12)</f>
        <v>341250</v>
      </c>
      <c r="M1187" s="20"/>
      <c r="N1187" s="20"/>
      <c r="O1187" s="19"/>
      <c r="P1187" s="10"/>
      <c r="Q1187" s="10"/>
      <c r="R1187" s="10"/>
      <c r="S1187" s="10"/>
      <c r="T1187" s="10"/>
      <c r="U1187" s="10"/>
      <c r="V1187" s="10"/>
      <c r="W1187" s="10"/>
      <c r="X1187" s="10"/>
      <c r="Y1187" s="10"/>
    </row>
    <row r="1188" spans="1:25" x14ac:dyDescent="0.25">
      <c r="A1188" s="9">
        <v>41726</v>
      </c>
      <c r="B1188" s="10">
        <f ca="1">ROUND(_xlfn.NORM.INV(RAND(),Reference!$C$8,0.1*Reference!$C$8)*(1+Reference!$C$11*(IF(MONTH($A1188)=Reference!$C$4,1,0)+IF(MONTH($A1188)=Reference!$C$5,1,0))+(IF(MONTH($A1188)=Reference!$C$6,Reference!$C$13,0))),0)</f>
        <v>353</v>
      </c>
      <c r="C1188" s="11">
        <f ca="1">B1188*Reference!$C$7*(1-IF(MONTH($A1188)=Reference!$C$6,1,0)*Reference!$C$12)</f>
        <v>328290</v>
      </c>
      <c r="D1188" s="10">
        <f ca="1">ROUND(_xlfn.NORM.INV(RAND(),Reference!$D$8,0.1*Reference!$D$8)*(1+Reference!$D$11*(IF(MONTH($A1188)=Reference!$D$4,1,0)+IF(MONTH($A1188)=Reference!$D$5,1,0))+(IF(MONTH($A1188)=Reference!$D$6,Reference!$D$13,0))),0)</f>
        <v>472</v>
      </c>
      <c r="E1188" s="11">
        <f ca="1">D1188*Reference!$D$7*(1-IF(MONTH($A1188)=Reference!$D$6,1,0)*Reference!$D$12)</f>
        <v>354000</v>
      </c>
      <c r="M1188" s="20"/>
      <c r="N1188" s="20"/>
      <c r="O1188" s="19"/>
      <c r="P1188" s="10"/>
      <c r="Q1188" s="10"/>
      <c r="R1188" s="10"/>
      <c r="S1188" s="10"/>
      <c r="T1188" s="10"/>
      <c r="U1188" s="10"/>
      <c r="V1188" s="10"/>
      <c r="W1188" s="10"/>
      <c r="X1188" s="10"/>
      <c r="Y1188" s="10"/>
    </row>
    <row r="1189" spans="1:25" x14ac:dyDescent="0.25">
      <c r="A1189" s="9">
        <v>41727</v>
      </c>
      <c r="B1189" s="10">
        <f ca="1">ROUND(_xlfn.NORM.INV(RAND(),Reference!$C$8,0.1*Reference!$C$8)*(1+Reference!$C$11*(IF(MONTH($A1189)=Reference!$C$4,1,0)+IF(MONTH($A1189)=Reference!$C$5,1,0))+(IF(MONTH($A1189)=Reference!$C$6,Reference!$C$13,0))),0)</f>
        <v>397</v>
      </c>
      <c r="C1189" s="11">
        <f ca="1">B1189*Reference!$C$7*(1-IF(MONTH($A1189)=Reference!$C$6,1,0)*Reference!$C$12)</f>
        <v>369210</v>
      </c>
      <c r="D1189" s="10">
        <f ca="1">ROUND(_xlfn.NORM.INV(RAND(),Reference!$D$8,0.1*Reference!$D$8)*(1+Reference!$D$11*(IF(MONTH($A1189)=Reference!$D$4,1,0)+IF(MONTH($A1189)=Reference!$D$5,1,0))+(IF(MONTH($A1189)=Reference!$D$6,Reference!$D$13,0))),0)</f>
        <v>402</v>
      </c>
      <c r="E1189" s="11">
        <f ca="1">D1189*Reference!$D$7*(1-IF(MONTH($A1189)=Reference!$D$6,1,0)*Reference!$D$12)</f>
        <v>301500</v>
      </c>
      <c r="M1189" s="20"/>
      <c r="N1189" s="20"/>
      <c r="O1189" s="19"/>
      <c r="P1189" s="10"/>
      <c r="Q1189" s="10"/>
      <c r="R1189" s="10"/>
      <c r="S1189" s="10"/>
      <c r="T1189" s="10"/>
      <c r="U1189" s="10"/>
      <c r="V1189" s="10"/>
      <c r="W1189" s="10"/>
      <c r="X1189" s="10"/>
      <c r="Y1189" s="10"/>
    </row>
    <row r="1190" spans="1:25" x14ac:dyDescent="0.25">
      <c r="A1190" s="9">
        <v>41728</v>
      </c>
      <c r="B1190" s="10">
        <f ca="1">ROUND(_xlfn.NORM.INV(RAND(),Reference!$C$8,0.1*Reference!$C$8)*(1+Reference!$C$11*(IF(MONTH($A1190)=Reference!$C$4,1,0)+IF(MONTH($A1190)=Reference!$C$5,1,0))+(IF(MONTH($A1190)=Reference!$C$6,Reference!$C$13,0))),0)</f>
        <v>396</v>
      </c>
      <c r="C1190" s="11">
        <f ca="1">B1190*Reference!$C$7*(1-IF(MONTH($A1190)=Reference!$C$6,1,0)*Reference!$C$12)</f>
        <v>368280</v>
      </c>
      <c r="D1190" s="10">
        <f ca="1">ROUND(_xlfn.NORM.INV(RAND(),Reference!$D$8,0.1*Reference!$D$8)*(1+Reference!$D$11*(IF(MONTH($A1190)=Reference!$D$4,1,0)+IF(MONTH($A1190)=Reference!$D$5,1,0))+(IF(MONTH($A1190)=Reference!$D$6,Reference!$D$13,0))),0)</f>
        <v>399</v>
      </c>
      <c r="E1190" s="11">
        <f ca="1">D1190*Reference!$D$7*(1-IF(MONTH($A1190)=Reference!$D$6,1,0)*Reference!$D$12)</f>
        <v>299250</v>
      </c>
      <c r="M1190" s="20"/>
      <c r="N1190" s="20"/>
      <c r="O1190" s="19"/>
      <c r="P1190" s="10"/>
      <c r="Q1190" s="10"/>
      <c r="R1190" s="10"/>
      <c r="S1190" s="10"/>
      <c r="T1190" s="10"/>
      <c r="U1190" s="10"/>
      <c r="V1190" s="10"/>
      <c r="W1190" s="10"/>
      <c r="X1190" s="10"/>
      <c r="Y1190" s="10"/>
    </row>
    <row r="1191" spans="1:25" x14ac:dyDescent="0.25">
      <c r="A1191" s="9">
        <v>41729</v>
      </c>
      <c r="B1191" s="10">
        <f ca="1">ROUND(_xlfn.NORM.INV(RAND(),Reference!$C$8,0.1*Reference!$C$8)*(1+Reference!$C$11*(IF(MONTH($A1191)=Reference!$C$4,1,0)+IF(MONTH($A1191)=Reference!$C$5,1,0))+(IF(MONTH($A1191)=Reference!$C$6,Reference!$C$13,0))),0)</f>
        <v>305</v>
      </c>
      <c r="C1191" s="11">
        <f ca="1">B1191*Reference!$C$7*(1-IF(MONTH($A1191)=Reference!$C$6,1,0)*Reference!$C$12)</f>
        <v>283650</v>
      </c>
      <c r="D1191" s="10">
        <f ca="1">ROUND(_xlfn.NORM.INV(RAND(),Reference!$D$8,0.1*Reference!$D$8)*(1+Reference!$D$11*(IF(MONTH($A1191)=Reference!$D$4,1,0)+IF(MONTH($A1191)=Reference!$D$5,1,0))+(IF(MONTH($A1191)=Reference!$D$6,Reference!$D$13,0))),0)</f>
        <v>414</v>
      </c>
      <c r="E1191" s="11">
        <f ca="1">D1191*Reference!$D$7*(1-IF(MONTH($A1191)=Reference!$D$6,1,0)*Reference!$D$12)</f>
        <v>310500</v>
      </c>
      <c r="M1191" s="20"/>
      <c r="N1191" s="20"/>
      <c r="O1191" s="19"/>
      <c r="P1191" s="10"/>
      <c r="Q1191" s="10"/>
      <c r="R1191" s="10"/>
      <c r="S1191" s="10"/>
      <c r="T1191" s="10"/>
      <c r="U1191" s="10"/>
      <c r="V1191" s="10"/>
      <c r="W1191" s="10"/>
      <c r="X1191" s="10"/>
      <c r="Y1191" s="10"/>
    </row>
    <row r="1192" spans="1:25" x14ac:dyDescent="0.25">
      <c r="A1192" s="9">
        <v>41730</v>
      </c>
      <c r="B1192" s="10">
        <f ca="1">ROUND(_xlfn.NORM.INV(RAND(),Reference!$C$8,0.1*Reference!$C$8)*(1+Reference!$C$11*(IF(MONTH($A1192)=Reference!$C$4,1,0)+IF(MONTH($A1192)=Reference!$C$5,1,0))+(IF(MONTH($A1192)=Reference!$C$6,Reference!$C$13,0))),0)</f>
        <v>516</v>
      </c>
      <c r="C1192" s="11">
        <f ca="1">B1192*Reference!$C$7*(1-IF(MONTH($A1192)=Reference!$C$6,1,0)*Reference!$C$12)</f>
        <v>479880</v>
      </c>
      <c r="D1192" s="10">
        <f ca="1">ROUND(_xlfn.NORM.INV(RAND(),Reference!$D$8,0.1*Reference!$D$8)*(1+Reference!$D$11*(IF(MONTH($A1192)=Reference!$D$4,1,0)+IF(MONTH($A1192)=Reference!$D$5,1,0))+(IF(MONTH($A1192)=Reference!$D$6,Reference!$D$13,0))),0)</f>
        <v>401</v>
      </c>
      <c r="E1192" s="11">
        <f ca="1">D1192*Reference!$D$7*(1-IF(MONTH($A1192)=Reference!$D$6,1,0)*Reference!$D$12)</f>
        <v>300750</v>
      </c>
      <c r="M1192" s="20"/>
      <c r="N1192" s="20"/>
      <c r="O1192" s="19"/>
      <c r="P1192" s="10"/>
      <c r="Q1192" s="10"/>
      <c r="R1192" s="10"/>
      <c r="S1192" s="10"/>
      <c r="T1192" s="10"/>
      <c r="U1192" s="10"/>
      <c r="V1192" s="10"/>
      <c r="W1192" s="10"/>
      <c r="X1192" s="10"/>
      <c r="Y1192" s="10"/>
    </row>
    <row r="1193" spans="1:25" x14ac:dyDescent="0.25">
      <c r="A1193" s="9">
        <v>41731</v>
      </c>
      <c r="B1193" s="10">
        <f ca="1">ROUND(_xlfn.NORM.INV(RAND(),Reference!$C$8,0.1*Reference!$C$8)*(1+Reference!$C$11*(IF(MONTH($A1193)=Reference!$C$4,1,0)+IF(MONTH($A1193)=Reference!$C$5,1,0))+(IF(MONTH($A1193)=Reference!$C$6,Reference!$C$13,0))),0)</f>
        <v>479</v>
      </c>
      <c r="C1193" s="11">
        <f ca="1">B1193*Reference!$C$7*(1-IF(MONTH($A1193)=Reference!$C$6,1,0)*Reference!$C$12)</f>
        <v>445470</v>
      </c>
      <c r="D1193" s="10">
        <f ca="1">ROUND(_xlfn.NORM.INV(RAND(),Reference!$D$8,0.1*Reference!$D$8)*(1+Reference!$D$11*(IF(MONTH($A1193)=Reference!$D$4,1,0)+IF(MONTH($A1193)=Reference!$D$5,1,0))+(IF(MONTH($A1193)=Reference!$D$6,Reference!$D$13,0))),0)</f>
        <v>464</v>
      </c>
      <c r="E1193" s="11">
        <f ca="1">D1193*Reference!$D$7*(1-IF(MONTH($A1193)=Reference!$D$6,1,0)*Reference!$D$12)</f>
        <v>348000</v>
      </c>
      <c r="M1193" s="20"/>
      <c r="N1193" s="20"/>
      <c r="O1193" s="19"/>
      <c r="P1193" s="10"/>
      <c r="Q1193" s="10"/>
      <c r="R1193" s="10"/>
      <c r="S1193" s="10"/>
      <c r="T1193" s="10"/>
      <c r="U1193" s="10"/>
      <c r="V1193" s="10"/>
      <c r="W1193" s="10"/>
      <c r="X1193" s="10"/>
      <c r="Y1193" s="10"/>
    </row>
    <row r="1194" spans="1:25" x14ac:dyDescent="0.25">
      <c r="A1194" s="9">
        <v>41732</v>
      </c>
      <c r="B1194" s="10">
        <f ca="1">ROUND(_xlfn.NORM.INV(RAND(),Reference!$C$8,0.1*Reference!$C$8)*(1+Reference!$C$11*(IF(MONTH($A1194)=Reference!$C$4,1,0)+IF(MONTH($A1194)=Reference!$C$5,1,0))+(IF(MONTH($A1194)=Reference!$C$6,Reference!$C$13,0))),0)</f>
        <v>616</v>
      </c>
      <c r="C1194" s="11">
        <f ca="1">B1194*Reference!$C$7*(1-IF(MONTH($A1194)=Reference!$C$6,1,0)*Reference!$C$12)</f>
        <v>572880</v>
      </c>
      <c r="D1194" s="10">
        <f ca="1">ROUND(_xlfn.NORM.INV(RAND(),Reference!$D$8,0.1*Reference!$D$8)*(1+Reference!$D$11*(IF(MONTH($A1194)=Reference!$D$4,1,0)+IF(MONTH($A1194)=Reference!$D$5,1,0))+(IF(MONTH($A1194)=Reference!$D$6,Reference!$D$13,0))),0)</f>
        <v>511</v>
      </c>
      <c r="E1194" s="11">
        <f ca="1">D1194*Reference!$D$7*(1-IF(MONTH($A1194)=Reference!$D$6,1,0)*Reference!$D$12)</f>
        <v>383250</v>
      </c>
      <c r="M1194" s="20"/>
      <c r="N1194" s="20"/>
      <c r="O1194" s="19"/>
      <c r="P1194" s="10"/>
      <c r="Q1194" s="10"/>
      <c r="R1194" s="10"/>
      <c r="S1194" s="10"/>
      <c r="T1194" s="10"/>
      <c r="U1194" s="10"/>
      <c r="V1194" s="10"/>
      <c r="W1194" s="10"/>
      <c r="X1194" s="10"/>
      <c r="Y1194" s="10"/>
    </row>
    <row r="1195" spans="1:25" x14ac:dyDescent="0.25">
      <c r="A1195" s="9">
        <v>41733</v>
      </c>
      <c r="B1195" s="10">
        <f ca="1">ROUND(_xlfn.NORM.INV(RAND(),Reference!$C$8,0.1*Reference!$C$8)*(1+Reference!$C$11*(IF(MONTH($A1195)=Reference!$C$4,1,0)+IF(MONTH($A1195)=Reference!$C$5,1,0))+(IF(MONTH($A1195)=Reference!$C$6,Reference!$C$13,0))),0)</f>
        <v>643</v>
      </c>
      <c r="C1195" s="11">
        <f ca="1">B1195*Reference!$C$7*(1-IF(MONTH($A1195)=Reference!$C$6,1,0)*Reference!$C$12)</f>
        <v>597990</v>
      </c>
      <c r="D1195" s="10">
        <f ca="1">ROUND(_xlfn.NORM.INV(RAND(),Reference!$D$8,0.1*Reference!$D$8)*(1+Reference!$D$11*(IF(MONTH($A1195)=Reference!$D$4,1,0)+IF(MONTH($A1195)=Reference!$D$5,1,0))+(IF(MONTH($A1195)=Reference!$D$6,Reference!$D$13,0))),0)</f>
        <v>445</v>
      </c>
      <c r="E1195" s="11">
        <f ca="1">D1195*Reference!$D$7*(1-IF(MONTH($A1195)=Reference!$D$6,1,0)*Reference!$D$12)</f>
        <v>333750</v>
      </c>
      <c r="M1195" s="20"/>
      <c r="N1195" s="20"/>
      <c r="O1195" s="19"/>
      <c r="P1195" s="10"/>
      <c r="Q1195" s="10"/>
      <c r="R1195" s="10"/>
      <c r="S1195" s="10"/>
      <c r="T1195" s="10"/>
      <c r="U1195" s="10"/>
      <c r="V1195" s="10"/>
      <c r="W1195" s="10"/>
      <c r="X1195" s="10"/>
      <c r="Y1195" s="10"/>
    </row>
    <row r="1196" spans="1:25" x14ac:dyDescent="0.25">
      <c r="A1196" s="9">
        <v>41734</v>
      </c>
      <c r="B1196" s="10">
        <f ca="1">ROUND(_xlfn.NORM.INV(RAND(),Reference!$C$8,0.1*Reference!$C$8)*(1+Reference!$C$11*(IF(MONTH($A1196)=Reference!$C$4,1,0)+IF(MONTH($A1196)=Reference!$C$5,1,0))+(IF(MONTH($A1196)=Reference!$C$6,Reference!$C$13,0))),0)</f>
        <v>698</v>
      </c>
      <c r="C1196" s="11">
        <f ca="1">B1196*Reference!$C$7*(1-IF(MONTH($A1196)=Reference!$C$6,1,0)*Reference!$C$12)</f>
        <v>649140</v>
      </c>
      <c r="D1196" s="10">
        <f ca="1">ROUND(_xlfn.NORM.INV(RAND(),Reference!$D$8,0.1*Reference!$D$8)*(1+Reference!$D$11*(IF(MONTH($A1196)=Reference!$D$4,1,0)+IF(MONTH($A1196)=Reference!$D$5,1,0))+(IF(MONTH($A1196)=Reference!$D$6,Reference!$D$13,0))),0)</f>
        <v>521</v>
      </c>
      <c r="E1196" s="11">
        <f ca="1">D1196*Reference!$D$7*(1-IF(MONTH($A1196)=Reference!$D$6,1,0)*Reference!$D$12)</f>
        <v>390750</v>
      </c>
      <c r="M1196" s="20"/>
      <c r="N1196" s="20"/>
      <c r="O1196" s="19"/>
      <c r="P1196" s="10"/>
      <c r="Q1196" s="10"/>
      <c r="R1196" s="10"/>
      <c r="S1196" s="10"/>
      <c r="T1196" s="10"/>
      <c r="U1196" s="10"/>
      <c r="V1196" s="10"/>
      <c r="W1196" s="10"/>
      <c r="X1196" s="10"/>
      <c r="Y1196" s="10"/>
    </row>
    <row r="1197" spans="1:25" x14ac:dyDescent="0.25">
      <c r="A1197" s="9">
        <v>41735</v>
      </c>
      <c r="B1197" s="10">
        <f ca="1">ROUND(_xlfn.NORM.INV(RAND(),Reference!$C$8,0.1*Reference!$C$8)*(1+Reference!$C$11*(IF(MONTH($A1197)=Reference!$C$4,1,0)+IF(MONTH($A1197)=Reference!$C$5,1,0))+(IF(MONTH($A1197)=Reference!$C$6,Reference!$C$13,0))),0)</f>
        <v>429</v>
      </c>
      <c r="C1197" s="11">
        <f ca="1">B1197*Reference!$C$7*(1-IF(MONTH($A1197)=Reference!$C$6,1,0)*Reference!$C$12)</f>
        <v>398970</v>
      </c>
      <c r="D1197" s="10">
        <f ca="1">ROUND(_xlfn.NORM.INV(RAND(),Reference!$D$8,0.1*Reference!$D$8)*(1+Reference!$D$11*(IF(MONTH($A1197)=Reference!$D$4,1,0)+IF(MONTH($A1197)=Reference!$D$5,1,0))+(IF(MONTH($A1197)=Reference!$D$6,Reference!$D$13,0))),0)</f>
        <v>443</v>
      </c>
      <c r="E1197" s="11">
        <f ca="1">D1197*Reference!$D$7*(1-IF(MONTH($A1197)=Reference!$D$6,1,0)*Reference!$D$12)</f>
        <v>332250</v>
      </c>
      <c r="M1197" s="20"/>
      <c r="N1197" s="20"/>
      <c r="O1197" s="19"/>
      <c r="P1197" s="10"/>
      <c r="Q1197" s="10"/>
      <c r="R1197" s="10"/>
      <c r="S1197" s="10"/>
      <c r="T1197" s="10"/>
      <c r="U1197" s="10"/>
      <c r="V1197" s="10"/>
      <c r="W1197" s="10"/>
      <c r="X1197" s="10"/>
      <c r="Y1197" s="10"/>
    </row>
    <row r="1198" spans="1:25" x14ac:dyDescent="0.25">
      <c r="A1198" s="9">
        <v>41736</v>
      </c>
      <c r="B1198" s="10">
        <f ca="1">ROUND(_xlfn.NORM.INV(RAND(),Reference!$C$8,0.1*Reference!$C$8)*(1+Reference!$C$11*(IF(MONTH($A1198)=Reference!$C$4,1,0)+IF(MONTH($A1198)=Reference!$C$5,1,0))+(IF(MONTH($A1198)=Reference!$C$6,Reference!$C$13,0))),0)</f>
        <v>488</v>
      </c>
      <c r="C1198" s="11">
        <f ca="1">B1198*Reference!$C$7*(1-IF(MONTH($A1198)=Reference!$C$6,1,0)*Reference!$C$12)</f>
        <v>453840</v>
      </c>
      <c r="D1198" s="10">
        <f ca="1">ROUND(_xlfn.NORM.INV(RAND(),Reference!$D$8,0.1*Reference!$D$8)*(1+Reference!$D$11*(IF(MONTH($A1198)=Reference!$D$4,1,0)+IF(MONTH($A1198)=Reference!$D$5,1,0))+(IF(MONTH($A1198)=Reference!$D$6,Reference!$D$13,0))),0)</f>
        <v>387</v>
      </c>
      <c r="E1198" s="11">
        <f ca="1">D1198*Reference!$D$7*(1-IF(MONTH($A1198)=Reference!$D$6,1,0)*Reference!$D$12)</f>
        <v>290250</v>
      </c>
      <c r="M1198" s="20"/>
      <c r="N1198" s="20"/>
      <c r="O1198" s="19"/>
      <c r="P1198" s="10"/>
      <c r="Q1198" s="10"/>
      <c r="R1198" s="10"/>
      <c r="S1198" s="10"/>
      <c r="T1198" s="10"/>
      <c r="U1198" s="10"/>
      <c r="V1198" s="10"/>
      <c r="W1198" s="10"/>
      <c r="X1198" s="10"/>
      <c r="Y1198" s="10"/>
    </row>
    <row r="1199" spans="1:25" x14ac:dyDescent="0.25">
      <c r="A1199" s="9">
        <v>41737</v>
      </c>
      <c r="B1199" s="10">
        <f ca="1">ROUND(_xlfn.NORM.INV(RAND(),Reference!$C$8,0.1*Reference!$C$8)*(1+Reference!$C$11*(IF(MONTH($A1199)=Reference!$C$4,1,0)+IF(MONTH($A1199)=Reference!$C$5,1,0))+(IF(MONTH($A1199)=Reference!$C$6,Reference!$C$13,0))),0)</f>
        <v>520</v>
      </c>
      <c r="C1199" s="11">
        <f ca="1">B1199*Reference!$C$7*(1-IF(MONTH($A1199)=Reference!$C$6,1,0)*Reference!$C$12)</f>
        <v>483600</v>
      </c>
      <c r="D1199" s="10">
        <f ca="1">ROUND(_xlfn.NORM.INV(RAND(),Reference!$D$8,0.1*Reference!$D$8)*(1+Reference!$D$11*(IF(MONTH($A1199)=Reference!$D$4,1,0)+IF(MONTH($A1199)=Reference!$D$5,1,0))+(IF(MONTH($A1199)=Reference!$D$6,Reference!$D$13,0))),0)</f>
        <v>365</v>
      </c>
      <c r="E1199" s="11">
        <f ca="1">D1199*Reference!$D$7*(1-IF(MONTH($A1199)=Reference!$D$6,1,0)*Reference!$D$12)</f>
        <v>273750</v>
      </c>
      <c r="M1199" s="20"/>
      <c r="N1199" s="20"/>
      <c r="O1199" s="19"/>
      <c r="P1199" s="10"/>
      <c r="Q1199" s="10"/>
      <c r="R1199" s="10"/>
      <c r="S1199" s="10"/>
      <c r="T1199" s="10"/>
      <c r="U1199" s="10"/>
      <c r="V1199" s="10"/>
      <c r="W1199" s="10"/>
      <c r="X1199" s="10"/>
      <c r="Y1199" s="10"/>
    </row>
    <row r="1200" spans="1:25" x14ac:dyDescent="0.25">
      <c r="A1200" s="9">
        <v>41738</v>
      </c>
      <c r="B1200" s="10">
        <f ca="1">ROUND(_xlfn.NORM.INV(RAND(),Reference!$C$8,0.1*Reference!$C$8)*(1+Reference!$C$11*(IF(MONTH($A1200)=Reference!$C$4,1,0)+IF(MONTH($A1200)=Reference!$C$5,1,0))+(IF(MONTH($A1200)=Reference!$C$6,Reference!$C$13,0))),0)</f>
        <v>460</v>
      </c>
      <c r="C1200" s="11">
        <f ca="1">B1200*Reference!$C$7*(1-IF(MONTH($A1200)=Reference!$C$6,1,0)*Reference!$C$12)</f>
        <v>427800</v>
      </c>
      <c r="D1200" s="10">
        <f ca="1">ROUND(_xlfn.NORM.INV(RAND(),Reference!$D$8,0.1*Reference!$D$8)*(1+Reference!$D$11*(IF(MONTH($A1200)=Reference!$D$4,1,0)+IF(MONTH($A1200)=Reference!$D$5,1,0))+(IF(MONTH($A1200)=Reference!$D$6,Reference!$D$13,0))),0)</f>
        <v>402</v>
      </c>
      <c r="E1200" s="11">
        <f ca="1">D1200*Reference!$D$7*(1-IF(MONTH($A1200)=Reference!$D$6,1,0)*Reference!$D$12)</f>
        <v>301500</v>
      </c>
      <c r="M1200" s="20"/>
      <c r="N1200" s="20"/>
      <c r="O1200" s="19"/>
      <c r="P1200" s="10"/>
      <c r="Q1200" s="10"/>
      <c r="R1200" s="10"/>
      <c r="S1200" s="10"/>
      <c r="T1200" s="10"/>
      <c r="U1200" s="10"/>
      <c r="V1200" s="10"/>
      <c r="W1200" s="10"/>
      <c r="X1200" s="10"/>
      <c r="Y1200" s="10"/>
    </row>
    <row r="1201" spans="1:25" x14ac:dyDescent="0.25">
      <c r="A1201" s="9">
        <v>41739</v>
      </c>
      <c r="B1201" s="10">
        <f ca="1">ROUND(_xlfn.NORM.INV(RAND(),Reference!$C$8,0.1*Reference!$C$8)*(1+Reference!$C$11*(IF(MONTH($A1201)=Reference!$C$4,1,0)+IF(MONTH($A1201)=Reference!$C$5,1,0))+(IF(MONTH($A1201)=Reference!$C$6,Reference!$C$13,0))),0)</f>
        <v>601</v>
      </c>
      <c r="C1201" s="11">
        <f ca="1">B1201*Reference!$C$7*(1-IF(MONTH($A1201)=Reference!$C$6,1,0)*Reference!$C$12)</f>
        <v>558930</v>
      </c>
      <c r="D1201" s="10">
        <f ca="1">ROUND(_xlfn.NORM.INV(RAND(),Reference!$D$8,0.1*Reference!$D$8)*(1+Reference!$D$11*(IF(MONTH($A1201)=Reference!$D$4,1,0)+IF(MONTH($A1201)=Reference!$D$5,1,0))+(IF(MONTH($A1201)=Reference!$D$6,Reference!$D$13,0))),0)</f>
        <v>486</v>
      </c>
      <c r="E1201" s="11">
        <f ca="1">D1201*Reference!$D$7*(1-IF(MONTH($A1201)=Reference!$D$6,1,0)*Reference!$D$12)</f>
        <v>364500</v>
      </c>
      <c r="M1201" s="20"/>
      <c r="N1201" s="20"/>
      <c r="O1201" s="19"/>
      <c r="P1201" s="10"/>
      <c r="Q1201" s="10"/>
      <c r="R1201" s="10"/>
      <c r="S1201" s="10"/>
      <c r="T1201" s="10"/>
      <c r="U1201" s="10"/>
      <c r="V1201" s="10"/>
      <c r="W1201" s="10"/>
      <c r="X1201" s="10"/>
      <c r="Y1201" s="10"/>
    </row>
    <row r="1202" spans="1:25" x14ac:dyDescent="0.25">
      <c r="A1202" s="9">
        <v>41740</v>
      </c>
      <c r="B1202" s="10">
        <f ca="1">ROUND(_xlfn.NORM.INV(RAND(),Reference!$C$8,0.1*Reference!$C$8)*(1+Reference!$C$11*(IF(MONTH($A1202)=Reference!$C$4,1,0)+IF(MONTH($A1202)=Reference!$C$5,1,0))+(IF(MONTH($A1202)=Reference!$C$6,Reference!$C$13,0))),0)</f>
        <v>548</v>
      </c>
      <c r="C1202" s="11">
        <f ca="1">B1202*Reference!$C$7*(1-IF(MONTH($A1202)=Reference!$C$6,1,0)*Reference!$C$12)</f>
        <v>509640</v>
      </c>
      <c r="D1202" s="10">
        <f ca="1">ROUND(_xlfn.NORM.INV(RAND(),Reference!$D$8,0.1*Reference!$D$8)*(1+Reference!$D$11*(IF(MONTH($A1202)=Reference!$D$4,1,0)+IF(MONTH($A1202)=Reference!$D$5,1,0))+(IF(MONTH($A1202)=Reference!$D$6,Reference!$D$13,0))),0)</f>
        <v>418</v>
      </c>
      <c r="E1202" s="11">
        <f ca="1">D1202*Reference!$D$7*(1-IF(MONTH($A1202)=Reference!$D$6,1,0)*Reference!$D$12)</f>
        <v>313500</v>
      </c>
      <c r="M1202" s="20"/>
      <c r="N1202" s="20"/>
      <c r="O1202" s="19"/>
      <c r="P1202" s="10"/>
      <c r="Q1202" s="10"/>
      <c r="R1202" s="10"/>
      <c r="S1202" s="10"/>
      <c r="T1202" s="10"/>
      <c r="U1202" s="10"/>
      <c r="V1202" s="10"/>
      <c r="W1202" s="10"/>
      <c r="X1202" s="10"/>
      <c r="Y1202" s="10"/>
    </row>
    <row r="1203" spans="1:25" x14ac:dyDescent="0.25">
      <c r="A1203" s="9">
        <v>41741</v>
      </c>
      <c r="B1203" s="10">
        <f ca="1">ROUND(_xlfn.NORM.INV(RAND(),Reference!$C$8,0.1*Reference!$C$8)*(1+Reference!$C$11*(IF(MONTH($A1203)=Reference!$C$4,1,0)+IF(MONTH($A1203)=Reference!$C$5,1,0))+(IF(MONTH($A1203)=Reference!$C$6,Reference!$C$13,0))),0)</f>
        <v>575</v>
      </c>
      <c r="C1203" s="11">
        <f ca="1">B1203*Reference!$C$7*(1-IF(MONTH($A1203)=Reference!$C$6,1,0)*Reference!$C$12)</f>
        <v>534750</v>
      </c>
      <c r="D1203" s="10">
        <f ca="1">ROUND(_xlfn.NORM.INV(RAND(),Reference!$D$8,0.1*Reference!$D$8)*(1+Reference!$D$11*(IF(MONTH($A1203)=Reference!$D$4,1,0)+IF(MONTH($A1203)=Reference!$D$5,1,0))+(IF(MONTH($A1203)=Reference!$D$6,Reference!$D$13,0))),0)</f>
        <v>444</v>
      </c>
      <c r="E1203" s="11">
        <f ca="1">D1203*Reference!$D$7*(1-IF(MONTH($A1203)=Reference!$D$6,1,0)*Reference!$D$12)</f>
        <v>333000</v>
      </c>
      <c r="M1203" s="20"/>
      <c r="N1203" s="20"/>
      <c r="O1203" s="19"/>
      <c r="P1203" s="10"/>
      <c r="Q1203" s="10"/>
      <c r="R1203" s="10"/>
      <c r="S1203" s="10"/>
      <c r="T1203" s="10"/>
      <c r="U1203" s="10"/>
      <c r="V1203" s="10"/>
      <c r="W1203" s="10"/>
      <c r="X1203" s="10"/>
      <c r="Y1203" s="10"/>
    </row>
    <row r="1204" spans="1:25" x14ac:dyDescent="0.25">
      <c r="A1204" s="9">
        <v>41742</v>
      </c>
      <c r="B1204" s="10">
        <f ca="1">ROUND(_xlfn.NORM.INV(RAND(),Reference!$C$8,0.1*Reference!$C$8)*(1+Reference!$C$11*(IF(MONTH($A1204)=Reference!$C$4,1,0)+IF(MONTH($A1204)=Reference!$C$5,1,0))+(IF(MONTH($A1204)=Reference!$C$6,Reference!$C$13,0))),0)</f>
        <v>530</v>
      </c>
      <c r="C1204" s="11">
        <f ca="1">B1204*Reference!$C$7*(1-IF(MONTH($A1204)=Reference!$C$6,1,0)*Reference!$C$12)</f>
        <v>492900</v>
      </c>
      <c r="D1204" s="10">
        <f ca="1">ROUND(_xlfn.NORM.INV(RAND(),Reference!$D$8,0.1*Reference!$D$8)*(1+Reference!$D$11*(IF(MONTH($A1204)=Reference!$D$4,1,0)+IF(MONTH($A1204)=Reference!$D$5,1,0))+(IF(MONTH($A1204)=Reference!$D$6,Reference!$D$13,0))),0)</f>
        <v>448</v>
      </c>
      <c r="E1204" s="11">
        <f ca="1">D1204*Reference!$D$7*(1-IF(MONTH($A1204)=Reference!$D$6,1,0)*Reference!$D$12)</f>
        <v>336000</v>
      </c>
      <c r="M1204" s="20"/>
      <c r="N1204" s="20"/>
      <c r="O1204" s="19"/>
      <c r="P1204" s="10"/>
      <c r="Q1204" s="10"/>
      <c r="R1204" s="10"/>
      <c r="S1204" s="10"/>
      <c r="T1204" s="10"/>
      <c r="U1204" s="10"/>
      <c r="V1204" s="10"/>
      <c r="W1204" s="10"/>
      <c r="X1204" s="10"/>
      <c r="Y1204" s="10"/>
    </row>
    <row r="1205" spans="1:25" x14ac:dyDescent="0.25">
      <c r="A1205" s="9">
        <v>41743</v>
      </c>
      <c r="B1205" s="10">
        <f ca="1">ROUND(_xlfn.NORM.INV(RAND(),Reference!$C$8,0.1*Reference!$C$8)*(1+Reference!$C$11*(IF(MONTH($A1205)=Reference!$C$4,1,0)+IF(MONTH($A1205)=Reference!$C$5,1,0))+(IF(MONTH($A1205)=Reference!$C$6,Reference!$C$13,0))),0)</f>
        <v>574</v>
      </c>
      <c r="C1205" s="11">
        <f ca="1">B1205*Reference!$C$7*(1-IF(MONTH($A1205)=Reference!$C$6,1,0)*Reference!$C$12)</f>
        <v>533820</v>
      </c>
      <c r="D1205" s="10">
        <f ca="1">ROUND(_xlfn.NORM.INV(RAND(),Reference!$D$8,0.1*Reference!$D$8)*(1+Reference!$D$11*(IF(MONTH($A1205)=Reference!$D$4,1,0)+IF(MONTH($A1205)=Reference!$D$5,1,0))+(IF(MONTH($A1205)=Reference!$D$6,Reference!$D$13,0))),0)</f>
        <v>403</v>
      </c>
      <c r="E1205" s="11">
        <f ca="1">D1205*Reference!$D$7*(1-IF(MONTH($A1205)=Reference!$D$6,1,0)*Reference!$D$12)</f>
        <v>302250</v>
      </c>
      <c r="M1205" s="20"/>
      <c r="N1205" s="20"/>
      <c r="O1205" s="19"/>
      <c r="P1205" s="10"/>
      <c r="Q1205" s="10"/>
      <c r="R1205" s="10"/>
      <c r="S1205" s="10"/>
      <c r="T1205" s="10"/>
      <c r="U1205" s="10"/>
      <c r="V1205" s="10"/>
      <c r="W1205" s="10"/>
      <c r="X1205" s="10"/>
      <c r="Y1205" s="10"/>
    </row>
    <row r="1206" spans="1:25" x14ac:dyDescent="0.25">
      <c r="A1206" s="9">
        <v>41744</v>
      </c>
      <c r="B1206" s="10">
        <f ca="1">ROUND(_xlfn.NORM.INV(RAND(),Reference!$C$8,0.1*Reference!$C$8)*(1+Reference!$C$11*(IF(MONTH($A1206)=Reference!$C$4,1,0)+IF(MONTH($A1206)=Reference!$C$5,1,0))+(IF(MONTH($A1206)=Reference!$C$6,Reference!$C$13,0))),0)</f>
        <v>640</v>
      </c>
      <c r="C1206" s="11">
        <f ca="1">B1206*Reference!$C$7*(1-IF(MONTH($A1206)=Reference!$C$6,1,0)*Reference!$C$12)</f>
        <v>595200</v>
      </c>
      <c r="D1206" s="10">
        <f ca="1">ROUND(_xlfn.NORM.INV(RAND(),Reference!$D$8,0.1*Reference!$D$8)*(1+Reference!$D$11*(IF(MONTH($A1206)=Reference!$D$4,1,0)+IF(MONTH($A1206)=Reference!$D$5,1,0))+(IF(MONTH($A1206)=Reference!$D$6,Reference!$D$13,0))),0)</f>
        <v>529</v>
      </c>
      <c r="E1206" s="11">
        <f ca="1">D1206*Reference!$D$7*(1-IF(MONTH($A1206)=Reference!$D$6,1,0)*Reference!$D$12)</f>
        <v>396750</v>
      </c>
      <c r="M1206" s="20"/>
      <c r="N1206" s="20"/>
      <c r="O1206" s="19"/>
      <c r="P1206" s="10"/>
      <c r="Q1206" s="10"/>
      <c r="R1206" s="10"/>
      <c r="S1206" s="10"/>
      <c r="T1206" s="10"/>
      <c r="U1206" s="10"/>
      <c r="V1206" s="10"/>
      <c r="W1206" s="10"/>
      <c r="X1206" s="10"/>
      <c r="Y1206" s="10"/>
    </row>
    <row r="1207" spans="1:25" x14ac:dyDescent="0.25">
      <c r="A1207" s="9">
        <v>41745</v>
      </c>
      <c r="B1207" s="10">
        <f ca="1">ROUND(_xlfn.NORM.INV(RAND(),Reference!$C$8,0.1*Reference!$C$8)*(1+Reference!$C$11*(IF(MONTH($A1207)=Reference!$C$4,1,0)+IF(MONTH($A1207)=Reference!$C$5,1,0))+(IF(MONTH($A1207)=Reference!$C$6,Reference!$C$13,0))),0)</f>
        <v>498</v>
      </c>
      <c r="C1207" s="11">
        <f ca="1">B1207*Reference!$C$7*(1-IF(MONTH($A1207)=Reference!$C$6,1,0)*Reference!$C$12)</f>
        <v>463140</v>
      </c>
      <c r="D1207" s="10">
        <f ca="1">ROUND(_xlfn.NORM.INV(RAND(),Reference!$D$8,0.1*Reference!$D$8)*(1+Reference!$D$11*(IF(MONTH($A1207)=Reference!$D$4,1,0)+IF(MONTH($A1207)=Reference!$D$5,1,0))+(IF(MONTH($A1207)=Reference!$D$6,Reference!$D$13,0))),0)</f>
        <v>435</v>
      </c>
      <c r="E1207" s="11">
        <f ca="1">D1207*Reference!$D$7*(1-IF(MONTH($A1207)=Reference!$D$6,1,0)*Reference!$D$12)</f>
        <v>326250</v>
      </c>
      <c r="M1207" s="20"/>
      <c r="N1207" s="20"/>
      <c r="O1207" s="19"/>
      <c r="P1207" s="10"/>
      <c r="Q1207" s="10"/>
      <c r="R1207" s="10"/>
      <c r="S1207" s="10"/>
      <c r="T1207" s="10"/>
      <c r="U1207" s="10"/>
      <c r="V1207" s="10"/>
      <c r="W1207" s="10"/>
      <c r="X1207" s="10"/>
      <c r="Y1207" s="10"/>
    </row>
    <row r="1208" spans="1:25" x14ac:dyDescent="0.25">
      <c r="A1208" s="9">
        <v>41746</v>
      </c>
      <c r="B1208" s="10">
        <f ca="1">ROUND(_xlfn.NORM.INV(RAND(),Reference!$C$8,0.1*Reference!$C$8)*(1+Reference!$C$11*(IF(MONTH($A1208)=Reference!$C$4,1,0)+IF(MONTH($A1208)=Reference!$C$5,1,0))+(IF(MONTH($A1208)=Reference!$C$6,Reference!$C$13,0))),0)</f>
        <v>506</v>
      </c>
      <c r="C1208" s="11">
        <f ca="1">B1208*Reference!$C$7*(1-IF(MONTH($A1208)=Reference!$C$6,1,0)*Reference!$C$12)</f>
        <v>470580</v>
      </c>
      <c r="D1208" s="10">
        <f ca="1">ROUND(_xlfn.NORM.INV(RAND(),Reference!$D$8,0.1*Reference!$D$8)*(1+Reference!$D$11*(IF(MONTH($A1208)=Reference!$D$4,1,0)+IF(MONTH($A1208)=Reference!$D$5,1,0))+(IF(MONTH($A1208)=Reference!$D$6,Reference!$D$13,0))),0)</f>
        <v>387</v>
      </c>
      <c r="E1208" s="11">
        <f ca="1">D1208*Reference!$D$7*(1-IF(MONTH($A1208)=Reference!$D$6,1,0)*Reference!$D$12)</f>
        <v>290250</v>
      </c>
      <c r="M1208" s="20"/>
      <c r="N1208" s="20"/>
      <c r="O1208" s="19"/>
      <c r="P1208" s="10"/>
      <c r="Q1208" s="10"/>
      <c r="R1208" s="10"/>
      <c r="S1208" s="10"/>
      <c r="T1208" s="10"/>
      <c r="U1208" s="10"/>
      <c r="V1208" s="10"/>
      <c r="W1208" s="10"/>
      <c r="X1208" s="10"/>
      <c r="Y1208" s="10"/>
    </row>
    <row r="1209" spans="1:25" x14ac:dyDescent="0.25">
      <c r="A1209" s="9">
        <v>41747</v>
      </c>
      <c r="B1209" s="10">
        <f ca="1">ROUND(_xlfn.NORM.INV(RAND(),Reference!$C$8,0.1*Reference!$C$8)*(1+Reference!$C$11*(IF(MONTH($A1209)=Reference!$C$4,1,0)+IF(MONTH($A1209)=Reference!$C$5,1,0))+(IF(MONTH($A1209)=Reference!$C$6,Reference!$C$13,0))),0)</f>
        <v>481</v>
      </c>
      <c r="C1209" s="11">
        <f ca="1">B1209*Reference!$C$7*(1-IF(MONTH($A1209)=Reference!$C$6,1,0)*Reference!$C$12)</f>
        <v>447330</v>
      </c>
      <c r="D1209" s="10">
        <f ca="1">ROUND(_xlfn.NORM.INV(RAND(),Reference!$D$8,0.1*Reference!$D$8)*(1+Reference!$D$11*(IF(MONTH($A1209)=Reference!$D$4,1,0)+IF(MONTH($A1209)=Reference!$D$5,1,0))+(IF(MONTH($A1209)=Reference!$D$6,Reference!$D$13,0))),0)</f>
        <v>422</v>
      </c>
      <c r="E1209" s="11">
        <f ca="1">D1209*Reference!$D$7*(1-IF(MONTH($A1209)=Reference!$D$6,1,0)*Reference!$D$12)</f>
        <v>316500</v>
      </c>
      <c r="M1209" s="20"/>
      <c r="N1209" s="20"/>
      <c r="O1209" s="19"/>
      <c r="P1209" s="10"/>
      <c r="Q1209" s="10"/>
      <c r="R1209" s="10"/>
      <c r="S1209" s="10"/>
      <c r="T1209" s="10"/>
      <c r="U1209" s="10"/>
      <c r="V1209" s="10"/>
      <c r="W1209" s="10"/>
      <c r="X1209" s="10"/>
      <c r="Y1209" s="10"/>
    </row>
    <row r="1210" spans="1:25" x14ac:dyDescent="0.25">
      <c r="A1210" s="9">
        <v>41748</v>
      </c>
      <c r="B1210" s="10">
        <f ca="1">ROUND(_xlfn.NORM.INV(RAND(),Reference!$C$8,0.1*Reference!$C$8)*(1+Reference!$C$11*(IF(MONTH($A1210)=Reference!$C$4,1,0)+IF(MONTH($A1210)=Reference!$C$5,1,0))+(IF(MONTH($A1210)=Reference!$C$6,Reference!$C$13,0))),0)</f>
        <v>549</v>
      </c>
      <c r="C1210" s="11">
        <f ca="1">B1210*Reference!$C$7*(1-IF(MONTH($A1210)=Reference!$C$6,1,0)*Reference!$C$12)</f>
        <v>510570</v>
      </c>
      <c r="D1210" s="10">
        <f ca="1">ROUND(_xlfn.NORM.INV(RAND(),Reference!$D$8,0.1*Reference!$D$8)*(1+Reference!$D$11*(IF(MONTH($A1210)=Reference!$D$4,1,0)+IF(MONTH($A1210)=Reference!$D$5,1,0))+(IF(MONTH($A1210)=Reference!$D$6,Reference!$D$13,0))),0)</f>
        <v>454</v>
      </c>
      <c r="E1210" s="11">
        <f ca="1">D1210*Reference!$D$7*(1-IF(MONTH($A1210)=Reference!$D$6,1,0)*Reference!$D$12)</f>
        <v>340500</v>
      </c>
      <c r="M1210" s="20"/>
      <c r="N1210" s="20"/>
      <c r="O1210" s="19"/>
      <c r="P1210" s="10"/>
      <c r="Q1210" s="10"/>
      <c r="R1210" s="10"/>
      <c r="S1210" s="10"/>
      <c r="T1210" s="10"/>
      <c r="U1210" s="10"/>
      <c r="V1210" s="10"/>
      <c r="W1210" s="10"/>
      <c r="X1210" s="10"/>
      <c r="Y1210" s="10"/>
    </row>
    <row r="1211" spans="1:25" x14ac:dyDescent="0.25">
      <c r="A1211" s="9">
        <v>41749</v>
      </c>
      <c r="B1211" s="10">
        <f ca="1">ROUND(_xlfn.NORM.INV(RAND(),Reference!$C$8,0.1*Reference!$C$8)*(1+Reference!$C$11*(IF(MONTH($A1211)=Reference!$C$4,1,0)+IF(MONTH($A1211)=Reference!$C$5,1,0))+(IF(MONTH($A1211)=Reference!$C$6,Reference!$C$13,0))),0)</f>
        <v>489</v>
      </c>
      <c r="C1211" s="11">
        <f ca="1">B1211*Reference!$C$7*(1-IF(MONTH($A1211)=Reference!$C$6,1,0)*Reference!$C$12)</f>
        <v>454770</v>
      </c>
      <c r="D1211" s="10">
        <f ca="1">ROUND(_xlfn.NORM.INV(RAND(),Reference!$D$8,0.1*Reference!$D$8)*(1+Reference!$D$11*(IF(MONTH($A1211)=Reference!$D$4,1,0)+IF(MONTH($A1211)=Reference!$D$5,1,0))+(IF(MONTH($A1211)=Reference!$D$6,Reference!$D$13,0))),0)</f>
        <v>481</v>
      </c>
      <c r="E1211" s="11">
        <f ca="1">D1211*Reference!$D$7*(1-IF(MONTH($A1211)=Reference!$D$6,1,0)*Reference!$D$12)</f>
        <v>360750</v>
      </c>
      <c r="M1211" s="20"/>
      <c r="N1211" s="20"/>
      <c r="O1211" s="19"/>
      <c r="P1211" s="10"/>
      <c r="Q1211" s="10"/>
      <c r="R1211" s="10"/>
      <c r="S1211" s="10"/>
      <c r="T1211" s="10"/>
      <c r="U1211" s="10"/>
      <c r="V1211" s="10"/>
      <c r="W1211" s="10"/>
      <c r="X1211" s="10"/>
      <c r="Y1211" s="10"/>
    </row>
    <row r="1212" spans="1:25" x14ac:dyDescent="0.25">
      <c r="A1212" s="9">
        <v>41750</v>
      </c>
      <c r="B1212" s="10">
        <f ca="1">ROUND(_xlfn.NORM.INV(RAND(),Reference!$C$8,0.1*Reference!$C$8)*(1+Reference!$C$11*(IF(MONTH($A1212)=Reference!$C$4,1,0)+IF(MONTH($A1212)=Reference!$C$5,1,0))+(IF(MONTH($A1212)=Reference!$C$6,Reference!$C$13,0))),0)</f>
        <v>542</v>
      </c>
      <c r="C1212" s="11">
        <f ca="1">B1212*Reference!$C$7*(1-IF(MONTH($A1212)=Reference!$C$6,1,0)*Reference!$C$12)</f>
        <v>504060</v>
      </c>
      <c r="D1212" s="10">
        <f ca="1">ROUND(_xlfn.NORM.INV(RAND(),Reference!$D$8,0.1*Reference!$D$8)*(1+Reference!$D$11*(IF(MONTH($A1212)=Reference!$D$4,1,0)+IF(MONTH($A1212)=Reference!$D$5,1,0))+(IF(MONTH($A1212)=Reference!$D$6,Reference!$D$13,0))),0)</f>
        <v>468</v>
      </c>
      <c r="E1212" s="11">
        <f ca="1">D1212*Reference!$D$7*(1-IF(MONTH($A1212)=Reference!$D$6,1,0)*Reference!$D$12)</f>
        <v>351000</v>
      </c>
      <c r="M1212" s="20"/>
      <c r="N1212" s="20"/>
      <c r="O1212" s="19"/>
      <c r="P1212" s="10"/>
      <c r="Q1212" s="10"/>
      <c r="R1212" s="10"/>
      <c r="S1212" s="10"/>
      <c r="T1212" s="10"/>
      <c r="U1212" s="10"/>
      <c r="V1212" s="10"/>
      <c r="W1212" s="10"/>
      <c r="X1212" s="10"/>
      <c r="Y1212" s="10"/>
    </row>
    <row r="1213" spans="1:25" x14ac:dyDescent="0.25">
      <c r="A1213" s="9">
        <v>41751</v>
      </c>
      <c r="B1213" s="10">
        <f ca="1">ROUND(_xlfn.NORM.INV(RAND(),Reference!$C$8,0.1*Reference!$C$8)*(1+Reference!$C$11*(IF(MONTH($A1213)=Reference!$C$4,1,0)+IF(MONTH($A1213)=Reference!$C$5,1,0))+(IF(MONTH($A1213)=Reference!$C$6,Reference!$C$13,0))),0)</f>
        <v>562</v>
      </c>
      <c r="C1213" s="11">
        <f ca="1">B1213*Reference!$C$7*(1-IF(MONTH($A1213)=Reference!$C$6,1,0)*Reference!$C$12)</f>
        <v>522660</v>
      </c>
      <c r="D1213" s="10">
        <f ca="1">ROUND(_xlfn.NORM.INV(RAND(),Reference!$D$8,0.1*Reference!$D$8)*(1+Reference!$D$11*(IF(MONTH($A1213)=Reference!$D$4,1,0)+IF(MONTH($A1213)=Reference!$D$5,1,0))+(IF(MONTH($A1213)=Reference!$D$6,Reference!$D$13,0))),0)</f>
        <v>414</v>
      </c>
      <c r="E1213" s="11">
        <f ca="1">D1213*Reference!$D$7*(1-IF(MONTH($A1213)=Reference!$D$6,1,0)*Reference!$D$12)</f>
        <v>310500</v>
      </c>
      <c r="M1213" s="20"/>
      <c r="N1213" s="20"/>
      <c r="O1213" s="19"/>
      <c r="P1213" s="10"/>
      <c r="Q1213" s="10"/>
      <c r="R1213" s="10"/>
      <c r="S1213" s="10"/>
      <c r="T1213" s="10"/>
      <c r="U1213" s="10"/>
      <c r="V1213" s="10"/>
      <c r="W1213" s="10"/>
      <c r="X1213" s="10"/>
      <c r="Y1213" s="10"/>
    </row>
    <row r="1214" spans="1:25" x14ac:dyDescent="0.25">
      <c r="A1214" s="9">
        <v>41752</v>
      </c>
      <c r="B1214" s="10">
        <f ca="1">ROUND(_xlfn.NORM.INV(RAND(),Reference!$C$8,0.1*Reference!$C$8)*(1+Reference!$C$11*(IF(MONTH($A1214)=Reference!$C$4,1,0)+IF(MONTH($A1214)=Reference!$C$5,1,0))+(IF(MONTH($A1214)=Reference!$C$6,Reference!$C$13,0))),0)</f>
        <v>568</v>
      </c>
      <c r="C1214" s="11">
        <f ca="1">B1214*Reference!$C$7*(1-IF(MONTH($A1214)=Reference!$C$6,1,0)*Reference!$C$12)</f>
        <v>528240</v>
      </c>
      <c r="D1214" s="10">
        <f ca="1">ROUND(_xlfn.NORM.INV(RAND(),Reference!$D$8,0.1*Reference!$D$8)*(1+Reference!$D$11*(IF(MONTH($A1214)=Reference!$D$4,1,0)+IF(MONTH($A1214)=Reference!$D$5,1,0))+(IF(MONTH($A1214)=Reference!$D$6,Reference!$D$13,0))),0)</f>
        <v>387</v>
      </c>
      <c r="E1214" s="11">
        <f ca="1">D1214*Reference!$D$7*(1-IF(MONTH($A1214)=Reference!$D$6,1,0)*Reference!$D$12)</f>
        <v>290250</v>
      </c>
      <c r="M1214" s="20"/>
      <c r="N1214" s="20"/>
      <c r="O1214" s="19"/>
      <c r="P1214" s="10"/>
      <c r="Q1214" s="10"/>
      <c r="R1214" s="10"/>
      <c r="S1214" s="10"/>
      <c r="T1214" s="10"/>
      <c r="U1214" s="10"/>
      <c r="V1214" s="10"/>
      <c r="W1214" s="10"/>
      <c r="X1214" s="10"/>
      <c r="Y1214" s="10"/>
    </row>
    <row r="1215" spans="1:25" x14ac:dyDescent="0.25">
      <c r="A1215" s="9">
        <v>41753</v>
      </c>
      <c r="B1215" s="10">
        <f ca="1">ROUND(_xlfn.NORM.INV(RAND(),Reference!$C$8,0.1*Reference!$C$8)*(1+Reference!$C$11*(IF(MONTH($A1215)=Reference!$C$4,1,0)+IF(MONTH($A1215)=Reference!$C$5,1,0))+(IF(MONTH($A1215)=Reference!$C$6,Reference!$C$13,0))),0)</f>
        <v>671</v>
      </c>
      <c r="C1215" s="11">
        <f ca="1">B1215*Reference!$C$7*(1-IF(MONTH($A1215)=Reference!$C$6,1,0)*Reference!$C$12)</f>
        <v>624030</v>
      </c>
      <c r="D1215" s="10">
        <f ca="1">ROUND(_xlfn.NORM.INV(RAND(),Reference!$D$8,0.1*Reference!$D$8)*(1+Reference!$D$11*(IF(MONTH($A1215)=Reference!$D$4,1,0)+IF(MONTH($A1215)=Reference!$D$5,1,0))+(IF(MONTH($A1215)=Reference!$D$6,Reference!$D$13,0))),0)</f>
        <v>390</v>
      </c>
      <c r="E1215" s="11">
        <f ca="1">D1215*Reference!$D$7*(1-IF(MONTH($A1215)=Reference!$D$6,1,0)*Reference!$D$12)</f>
        <v>292500</v>
      </c>
      <c r="M1215" s="20"/>
      <c r="N1215" s="20"/>
      <c r="O1215" s="19"/>
      <c r="P1215" s="10"/>
      <c r="Q1215" s="10"/>
      <c r="R1215" s="10"/>
      <c r="S1215" s="10"/>
      <c r="T1215" s="10"/>
      <c r="U1215" s="10"/>
      <c r="V1215" s="10"/>
      <c r="W1215" s="10"/>
      <c r="X1215" s="10"/>
      <c r="Y1215" s="10"/>
    </row>
    <row r="1216" spans="1:25" x14ac:dyDescent="0.25">
      <c r="A1216" s="9">
        <v>41754</v>
      </c>
      <c r="B1216" s="10">
        <f ca="1">ROUND(_xlfn.NORM.INV(RAND(),Reference!$C$8,0.1*Reference!$C$8)*(1+Reference!$C$11*(IF(MONTH($A1216)=Reference!$C$4,1,0)+IF(MONTH($A1216)=Reference!$C$5,1,0))+(IF(MONTH($A1216)=Reference!$C$6,Reference!$C$13,0))),0)</f>
        <v>502</v>
      </c>
      <c r="C1216" s="11">
        <f ca="1">B1216*Reference!$C$7*(1-IF(MONTH($A1216)=Reference!$C$6,1,0)*Reference!$C$12)</f>
        <v>466860</v>
      </c>
      <c r="D1216" s="10">
        <f ca="1">ROUND(_xlfn.NORM.INV(RAND(),Reference!$D$8,0.1*Reference!$D$8)*(1+Reference!$D$11*(IF(MONTH($A1216)=Reference!$D$4,1,0)+IF(MONTH($A1216)=Reference!$D$5,1,0))+(IF(MONTH($A1216)=Reference!$D$6,Reference!$D$13,0))),0)</f>
        <v>413</v>
      </c>
      <c r="E1216" s="11">
        <f ca="1">D1216*Reference!$D$7*(1-IF(MONTH($A1216)=Reference!$D$6,1,0)*Reference!$D$12)</f>
        <v>309750</v>
      </c>
      <c r="M1216" s="20"/>
      <c r="N1216" s="20"/>
      <c r="O1216" s="19"/>
      <c r="P1216" s="10"/>
      <c r="Q1216" s="10"/>
      <c r="R1216" s="10"/>
      <c r="S1216" s="10"/>
      <c r="T1216" s="10"/>
      <c r="U1216" s="10"/>
      <c r="V1216" s="10"/>
      <c r="W1216" s="10"/>
      <c r="X1216" s="10"/>
      <c r="Y1216" s="10"/>
    </row>
    <row r="1217" spans="1:25" x14ac:dyDescent="0.25">
      <c r="A1217" s="9">
        <v>41755</v>
      </c>
      <c r="B1217" s="10">
        <f ca="1">ROUND(_xlfn.NORM.INV(RAND(),Reference!$C$8,0.1*Reference!$C$8)*(1+Reference!$C$11*(IF(MONTH($A1217)=Reference!$C$4,1,0)+IF(MONTH($A1217)=Reference!$C$5,1,0))+(IF(MONTH($A1217)=Reference!$C$6,Reference!$C$13,0))),0)</f>
        <v>523</v>
      </c>
      <c r="C1217" s="11">
        <f ca="1">B1217*Reference!$C$7*(1-IF(MONTH($A1217)=Reference!$C$6,1,0)*Reference!$C$12)</f>
        <v>486390</v>
      </c>
      <c r="D1217" s="10">
        <f ca="1">ROUND(_xlfn.NORM.INV(RAND(),Reference!$D$8,0.1*Reference!$D$8)*(1+Reference!$D$11*(IF(MONTH($A1217)=Reference!$D$4,1,0)+IF(MONTH($A1217)=Reference!$D$5,1,0))+(IF(MONTH($A1217)=Reference!$D$6,Reference!$D$13,0))),0)</f>
        <v>405</v>
      </c>
      <c r="E1217" s="11">
        <f ca="1">D1217*Reference!$D$7*(1-IF(MONTH($A1217)=Reference!$D$6,1,0)*Reference!$D$12)</f>
        <v>303750</v>
      </c>
      <c r="M1217" s="20"/>
      <c r="N1217" s="20"/>
      <c r="O1217" s="19"/>
      <c r="P1217" s="10"/>
      <c r="Q1217" s="10"/>
      <c r="R1217" s="10"/>
      <c r="S1217" s="10"/>
      <c r="T1217" s="10"/>
      <c r="U1217" s="10"/>
      <c r="V1217" s="10"/>
      <c r="W1217" s="10"/>
      <c r="X1217" s="10"/>
      <c r="Y1217" s="10"/>
    </row>
    <row r="1218" spans="1:25" x14ac:dyDescent="0.25">
      <c r="A1218" s="9">
        <v>41756</v>
      </c>
      <c r="B1218" s="10">
        <f ca="1">ROUND(_xlfn.NORM.INV(RAND(),Reference!$C$8,0.1*Reference!$C$8)*(1+Reference!$C$11*(IF(MONTH($A1218)=Reference!$C$4,1,0)+IF(MONTH($A1218)=Reference!$C$5,1,0))+(IF(MONTH($A1218)=Reference!$C$6,Reference!$C$13,0))),0)</f>
        <v>546</v>
      </c>
      <c r="C1218" s="11">
        <f ca="1">B1218*Reference!$C$7*(1-IF(MONTH($A1218)=Reference!$C$6,1,0)*Reference!$C$12)</f>
        <v>507780</v>
      </c>
      <c r="D1218" s="10">
        <f ca="1">ROUND(_xlfn.NORM.INV(RAND(),Reference!$D$8,0.1*Reference!$D$8)*(1+Reference!$D$11*(IF(MONTH($A1218)=Reference!$D$4,1,0)+IF(MONTH($A1218)=Reference!$D$5,1,0))+(IF(MONTH($A1218)=Reference!$D$6,Reference!$D$13,0))),0)</f>
        <v>516</v>
      </c>
      <c r="E1218" s="11">
        <f ca="1">D1218*Reference!$D$7*(1-IF(MONTH($A1218)=Reference!$D$6,1,0)*Reference!$D$12)</f>
        <v>387000</v>
      </c>
      <c r="M1218" s="20"/>
      <c r="N1218" s="20"/>
      <c r="O1218" s="19"/>
      <c r="P1218" s="10"/>
      <c r="Q1218" s="10"/>
      <c r="R1218" s="10"/>
      <c r="S1218" s="10"/>
      <c r="T1218" s="10"/>
      <c r="U1218" s="10"/>
      <c r="V1218" s="10"/>
      <c r="W1218" s="10"/>
      <c r="X1218" s="10"/>
      <c r="Y1218" s="10"/>
    </row>
    <row r="1219" spans="1:25" x14ac:dyDescent="0.25">
      <c r="A1219" s="9">
        <v>41757</v>
      </c>
      <c r="B1219" s="10">
        <f ca="1">ROUND(_xlfn.NORM.INV(RAND(),Reference!$C$8,0.1*Reference!$C$8)*(1+Reference!$C$11*(IF(MONTH($A1219)=Reference!$C$4,1,0)+IF(MONTH($A1219)=Reference!$C$5,1,0))+(IF(MONTH($A1219)=Reference!$C$6,Reference!$C$13,0))),0)</f>
        <v>573</v>
      </c>
      <c r="C1219" s="11">
        <f ca="1">B1219*Reference!$C$7*(1-IF(MONTH($A1219)=Reference!$C$6,1,0)*Reference!$C$12)</f>
        <v>532890</v>
      </c>
      <c r="D1219" s="10">
        <f ca="1">ROUND(_xlfn.NORM.INV(RAND(),Reference!$D$8,0.1*Reference!$D$8)*(1+Reference!$D$11*(IF(MONTH($A1219)=Reference!$D$4,1,0)+IF(MONTH($A1219)=Reference!$D$5,1,0))+(IF(MONTH($A1219)=Reference!$D$6,Reference!$D$13,0))),0)</f>
        <v>358</v>
      </c>
      <c r="E1219" s="11">
        <f ca="1">D1219*Reference!$D$7*(1-IF(MONTH($A1219)=Reference!$D$6,1,0)*Reference!$D$12)</f>
        <v>268500</v>
      </c>
      <c r="M1219" s="20"/>
      <c r="N1219" s="20"/>
      <c r="O1219" s="19"/>
      <c r="P1219" s="10"/>
      <c r="Q1219" s="10"/>
      <c r="R1219" s="10"/>
      <c r="S1219" s="10"/>
      <c r="T1219" s="10"/>
      <c r="U1219" s="10"/>
      <c r="V1219" s="10"/>
      <c r="W1219" s="10"/>
      <c r="X1219" s="10"/>
      <c r="Y1219" s="10"/>
    </row>
    <row r="1220" spans="1:25" x14ac:dyDescent="0.25">
      <c r="A1220" s="9">
        <v>41758</v>
      </c>
      <c r="B1220" s="10">
        <f ca="1">ROUND(_xlfn.NORM.INV(RAND(),Reference!$C$8,0.1*Reference!$C$8)*(1+Reference!$C$11*(IF(MONTH($A1220)=Reference!$C$4,1,0)+IF(MONTH($A1220)=Reference!$C$5,1,0))+(IF(MONTH($A1220)=Reference!$C$6,Reference!$C$13,0))),0)</f>
        <v>496</v>
      </c>
      <c r="C1220" s="11">
        <f ca="1">B1220*Reference!$C$7*(1-IF(MONTH($A1220)=Reference!$C$6,1,0)*Reference!$C$12)</f>
        <v>461280</v>
      </c>
      <c r="D1220" s="10">
        <f ca="1">ROUND(_xlfn.NORM.INV(RAND(),Reference!$D$8,0.1*Reference!$D$8)*(1+Reference!$D$11*(IF(MONTH($A1220)=Reference!$D$4,1,0)+IF(MONTH($A1220)=Reference!$D$5,1,0))+(IF(MONTH($A1220)=Reference!$D$6,Reference!$D$13,0))),0)</f>
        <v>543</v>
      </c>
      <c r="E1220" s="11">
        <f ca="1">D1220*Reference!$D$7*(1-IF(MONTH($A1220)=Reference!$D$6,1,0)*Reference!$D$12)</f>
        <v>407250</v>
      </c>
      <c r="M1220" s="20"/>
      <c r="N1220" s="20"/>
      <c r="O1220" s="19"/>
      <c r="P1220" s="10"/>
      <c r="Q1220" s="10"/>
      <c r="R1220" s="10"/>
      <c r="S1220" s="10"/>
      <c r="T1220" s="10"/>
      <c r="U1220" s="10"/>
      <c r="V1220" s="10"/>
      <c r="W1220" s="10"/>
      <c r="X1220" s="10"/>
      <c r="Y1220" s="10"/>
    </row>
    <row r="1221" spans="1:25" x14ac:dyDescent="0.25">
      <c r="A1221" s="9">
        <v>41759</v>
      </c>
      <c r="B1221" s="10">
        <f ca="1">ROUND(_xlfn.NORM.INV(RAND(),Reference!$C$8,0.1*Reference!$C$8)*(1+Reference!$C$11*(IF(MONTH($A1221)=Reference!$C$4,1,0)+IF(MONTH($A1221)=Reference!$C$5,1,0))+(IF(MONTH($A1221)=Reference!$C$6,Reference!$C$13,0))),0)</f>
        <v>527</v>
      </c>
      <c r="C1221" s="11">
        <f ca="1">B1221*Reference!$C$7*(1-IF(MONTH($A1221)=Reference!$C$6,1,0)*Reference!$C$12)</f>
        <v>490110</v>
      </c>
      <c r="D1221" s="10">
        <f ca="1">ROUND(_xlfn.NORM.INV(RAND(),Reference!$D$8,0.1*Reference!$D$8)*(1+Reference!$D$11*(IF(MONTH($A1221)=Reference!$D$4,1,0)+IF(MONTH($A1221)=Reference!$D$5,1,0))+(IF(MONTH($A1221)=Reference!$D$6,Reference!$D$13,0))),0)</f>
        <v>431</v>
      </c>
      <c r="E1221" s="11">
        <f ca="1">D1221*Reference!$D$7*(1-IF(MONTH($A1221)=Reference!$D$6,1,0)*Reference!$D$12)</f>
        <v>323250</v>
      </c>
      <c r="M1221" s="20"/>
      <c r="N1221" s="20"/>
      <c r="O1221" s="19"/>
      <c r="P1221" s="10"/>
      <c r="Q1221" s="10"/>
      <c r="R1221" s="10"/>
      <c r="S1221" s="10"/>
      <c r="T1221" s="10"/>
      <c r="U1221" s="10"/>
      <c r="V1221" s="10"/>
      <c r="W1221" s="10"/>
      <c r="X1221" s="10"/>
      <c r="Y1221" s="10"/>
    </row>
    <row r="1222" spans="1:25" x14ac:dyDescent="0.25">
      <c r="A1222" s="9">
        <v>41760</v>
      </c>
      <c r="B1222" s="10">
        <f ca="1">ROUND(_xlfn.NORM.INV(RAND(),Reference!$C$8,0.1*Reference!$C$8)*(1+Reference!$C$11*(IF(MONTH($A1222)=Reference!$C$4,1,0)+IF(MONTH($A1222)=Reference!$C$5,1,0))+(IF(MONTH($A1222)=Reference!$C$6,Reference!$C$13,0))),0)</f>
        <v>596</v>
      </c>
      <c r="C1222" s="11">
        <f ca="1">B1222*Reference!$C$7*(1-IF(MONTH($A1222)=Reference!$C$6,1,0)*Reference!$C$12)</f>
        <v>554280</v>
      </c>
      <c r="D1222" s="10">
        <f ca="1">ROUND(_xlfn.NORM.INV(RAND(),Reference!$D$8,0.1*Reference!$D$8)*(1+Reference!$D$11*(IF(MONTH($A1222)=Reference!$D$4,1,0)+IF(MONTH($A1222)=Reference!$D$5,1,0))+(IF(MONTH($A1222)=Reference!$D$6,Reference!$D$13,0))),0)</f>
        <v>377</v>
      </c>
      <c r="E1222" s="11">
        <f ca="1">D1222*Reference!$D$7*(1-IF(MONTH($A1222)=Reference!$D$6,1,0)*Reference!$D$12)</f>
        <v>282750</v>
      </c>
      <c r="M1222" s="20"/>
      <c r="N1222" s="20"/>
      <c r="O1222" s="19"/>
      <c r="P1222" s="10"/>
      <c r="Q1222" s="10"/>
      <c r="R1222" s="10"/>
      <c r="S1222" s="10"/>
      <c r="T1222" s="10"/>
      <c r="U1222" s="10"/>
      <c r="V1222" s="10"/>
      <c r="W1222" s="10"/>
      <c r="X1222" s="10"/>
      <c r="Y1222" s="10"/>
    </row>
    <row r="1223" spans="1:25" x14ac:dyDescent="0.25">
      <c r="A1223" s="9">
        <v>41761</v>
      </c>
      <c r="B1223" s="10">
        <f ca="1">ROUND(_xlfn.NORM.INV(RAND(),Reference!$C$8,0.1*Reference!$C$8)*(1+Reference!$C$11*(IF(MONTH($A1223)=Reference!$C$4,1,0)+IF(MONTH($A1223)=Reference!$C$5,1,0))+(IF(MONTH($A1223)=Reference!$C$6,Reference!$C$13,0))),0)</f>
        <v>473</v>
      </c>
      <c r="C1223" s="11">
        <f ca="1">B1223*Reference!$C$7*(1-IF(MONTH($A1223)=Reference!$C$6,1,0)*Reference!$C$12)</f>
        <v>439890</v>
      </c>
      <c r="D1223" s="10">
        <f ca="1">ROUND(_xlfn.NORM.INV(RAND(),Reference!$D$8,0.1*Reference!$D$8)*(1+Reference!$D$11*(IF(MONTH($A1223)=Reference!$D$4,1,0)+IF(MONTH($A1223)=Reference!$D$5,1,0))+(IF(MONTH($A1223)=Reference!$D$6,Reference!$D$13,0))),0)</f>
        <v>434</v>
      </c>
      <c r="E1223" s="11">
        <f ca="1">D1223*Reference!$D$7*(1-IF(MONTH($A1223)=Reference!$D$6,1,0)*Reference!$D$12)</f>
        <v>325500</v>
      </c>
      <c r="M1223" s="20"/>
      <c r="N1223" s="20"/>
      <c r="O1223" s="19"/>
      <c r="P1223" s="10"/>
      <c r="Q1223" s="10"/>
      <c r="R1223" s="10"/>
      <c r="S1223" s="10"/>
      <c r="T1223" s="10"/>
      <c r="U1223" s="10"/>
      <c r="V1223" s="10"/>
      <c r="W1223" s="10"/>
      <c r="X1223" s="10"/>
      <c r="Y1223" s="10"/>
    </row>
    <row r="1224" spans="1:25" x14ac:dyDescent="0.25">
      <c r="A1224" s="9">
        <v>41762</v>
      </c>
      <c r="B1224" s="10">
        <f ca="1">ROUND(_xlfn.NORM.INV(RAND(),Reference!$C$8,0.1*Reference!$C$8)*(1+Reference!$C$11*(IF(MONTH($A1224)=Reference!$C$4,1,0)+IF(MONTH($A1224)=Reference!$C$5,1,0))+(IF(MONTH($A1224)=Reference!$C$6,Reference!$C$13,0))),0)</f>
        <v>503</v>
      </c>
      <c r="C1224" s="11">
        <f ca="1">B1224*Reference!$C$7*(1-IF(MONTH($A1224)=Reference!$C$6,1,0)*Reference!$C$12)</f>
        <v>467790</v>
      </c>
      <c r="D1224" s="10">
        <f ca="1">ROUND(_xlfn.NORM.INV(RAND(),Reference!$D$8,0.1*Reference!$D$8)*(1+Reference!$D$11*(IF(MONTH($A1224)=Reference!$D$4,1,0)+IF(MONTH($A1224)=Reference!$D$5,1,0))+(IF(MONTH($A1224)=Reference!$D$6,Reference!$D$13,0))),0)</f>
        <v>494</v>
      </c>
      <c r="E1224" s="11">
        <f ca="1">D1224*Reference!$D$7*(1-IF(MONTH($A1224)=Reference!$D$6,1,0)*Reference!$D$12)</f>
        <v>370500</v>
      </c>
      <c r="M1224" s="20"/>
      <c r="N1224" s="20"/>
      <c r="O1224" s="19"/>
      <c r="P1224" s="10"/>
      <c r="Q1224" s="10"/>
      <c r="R1224" s="10"/>
      <c r="S1224" s="10"/>
      <c r="T1224" s="10"/>
      <c r="U1224" s="10"/>
      <c r="V1224" s="10"/>
      <c r="W1224" s="10"/>
      <c r="X1224" s="10"/>
      <c r="Y1224" s="10"/>
    </row>
    <row r="1225" spans="1:25" x14ac:dyDescent="0.25">
      <c r="A1225" s="9">
        <v>41763</v>
      </c>
      <c r="B1225" s="10">
        <f ca="1">ROUND(_xlfn.NORM.INV(RAND(),Reference!$C$8,0.1*Reference!$C$8)*(1+Reference!$C$11*(IF(MONTH($A1225)=Reference!$C$4,1,0)+IF(MONTH($A1225)=Reference!$C$5,1,0))+(IF(MONTH($A1225)=Reference!$C$6,Reference!$C$13,0))),0)</f>
        <v>547</v>
      </c>
      <c r="C1225" s="11">
        <f ca="1">B1225*Reference!$C$7*(1-IF(MONTH($A1225)=Reference!$C$6,1,0)*Reference!$C$12)</f>
        <v>508710</v>
      </c>
      <c r="D1225" s="10">
        <f ca="1">ROUND(_xlfn.NORM.INV(RAND(),Reference!$D$8,0.1*Reference!$D$8)*(1+Reference!$D$11*(IF(MONTH($A1225)=Reference!$D$4,1,0)+IF(MONTH($A1225)=Reference!$D$5,1,0))+(IF(MONTH($A1225)=Reference!$D$6,Reference!$D$13,0))),0)</f>
        <v>489</v>
      </c>
      <c r="E1225" s="11">
        <f ca="1">D1225*Reference!$D$7*(1-IF(MONTH($A1225)=Reference!$D$6,1,0)*Reference!$D$12)</f>
        <v>366750</v>
      </c>
      <c r="M1225" s="20"/>
      <c r="N1225" s="20"/>
      <c r="O1225" s="19"/>
      <c r="P1225" s="10"/>
      <c r="Q1225" s="10"/>
      <c r="R1225" s="10"/>
      <c r="S1225" s="10"/>
      <c r="T1225" s="10"/>
      <c r="U1225" s="10"/>
      <c r="V1225" s="10"/>
      <c r="W1225" s="10"/>
      <c r="X1225" s="10"/>
      <c r="Y1225" s="10"/>
    </row>
    <row r="1226" spans="1:25" x14ac:dyDescent="0.25">
      <c r="A1226" s="9">
        <v>41764</v>
      </c>
      <c r="B1226" s="10">
        <f ca="1">ROUND(_xlfn.NORM.INV(RAND(),Reference!$C$8,0.1*Reference!$C$8)*(1+Reference!$C$11*(IF(MONTH($A1226)=Reference!$C$4,1,0)+IF(MONTH($A1226)=Reference!$C$5,1,0))+(IF(MONTH($A1226)=Reference!$C$6,Reference!$C$13,0))),0)</f>
        <v>549</v>
      </c>
      <c r="C1226" s="11">
        <f ca="1">B1226*Reference!$C$7*(1-IF(MONTH($A1226)=Reference!$C$6,1,0)*Reference!$C$12)</f>
        <v>510570</v>
      </c>
      <c r="D1226" s="10">
        <f ca="1">ROUND(_xlfn.NORM.INV(RAND(),Reference!$D$8,0.1*Reference!$D$8)*(1+Reference!$D$11*(IF(MONTH($A1226)=Reference!$D$4,1,0)+IF(MONTH($A1226)=Reference!$D$5,1,0))+(IF(MONTH($A1226)=Reference!$D$6,Reference!$D$13,0))),0)</f>
        <v>406</v>
      </c>
      <c r="E1226" s="11">
        <f ca="1">D1226*Reference!$D$7*(1-IF(MONTH($A1226)=Reference!$D$6,1,0)*Reference!$D$12)</f>
        <v>304500</v>
      </c>
      <c r="M1226" s="20"/>
      <c r="N1226" s="20"/>
      <c r="O1226" s="19"/>
      <c r="P1226" s="10"/>
      <c r="Q1226" s="10"/>
      <c r="R1226" s="10"/>
      <c r="S1226" s="10"/>
      <c r="T1226" s="10"/>
      <c r="U1226" s="10"/>
      <c r="V1226" s="10"/>
      <c r="W1226" s="10"/>
      <c r="X1226" s="10"/>
      <c r="Y1226" s="10"/>
    </row>
    <row r="1227" spans="1:25" x14ac:dyDescent="0.25">
      <c r="A1227" s="9">
        <v>41765</v>
      </c>
      <c r="B1227" s="10">
        <f ca="1">ROUND(_xlfn.NORM.INV(RAND(),Reference!$C$8,0.1*Reference!$C$8)*(1+Reference!$C$11*(IF(MONTH($A1227)=Reference!$C$4,1,0)+IF(MONTH($A1227)=Reference!$C$5,1,0))+(IF(MONTH($A1227)=Reference!$C$6,Reference!$C$13,0))),0)</f>
        <v>467</v>
      </c>
      <c r="C1227" s="11">
        <f ca="1">B1227*Reference!$C$7*(1-IF(MONTH($A1227)=Reference!$C$6,1,0)*Reference!$C$12)</f>
        <v>434310</v>
      </c>
      <c r="D1227" s="10">
        <f ca="1">ROUND(_xlfn.NORM.INV(RAND(),Reference!$D$8,0.1*Reference!$D$8)*(1+Reference!$D$11*(IF(MONTH($A1227)=Reference!$D$4,1,0)+IF(MONTH($A1227)=Reference!$D$5,1,0))+(IF(MONTH($A1227)=Reference!$D$6,Reference!$D$13,0))),0)</f>
        <v>467</v>
      </c>
      <c r="E1227" s="11">
        <f ca="1">D1227*Reference!$D$7*(1-IF(MONTH($A1227)=Reference!$D$6,1,0)*Reference!$D$12)</f>
        <v>350250</v>
      </c>
      <c r="M1227" s="20"/>
      <c r="N1227" s="20"/>
      <c r="O1227" s="19"/>
      <c r="P1227" s="10"/>
      <c r="Q1227" s="10"/>
      <c r="R1227" s="10"/>
      <c r="S1227" s="10"/>
      <c r="T1227" s="10"/>
      <c r="U1227" s="10"/>
      <c r="V1227" s="10"/>
      <c r="W1227" s="10"/>
      <c r="X1227" s="10"/>
      <c r="Y1227" s="10"/>
    </row>
    <row r="1228" spans="1:25" x14ac:dyDescent="0.25">
      <c r="A1228" s="9">
        <v>41766</v>
      </c>
      <c r="B1228" s="10">
        <f ca="1">ROUND(_xlfn.NORM.INV(RAND(),Reference!$C$8,0.1*Reference!$C$8)*(1+Reference!$C$11*(IF(MONTH($A1228)=Reference!$C$4,1,0)+IF(MONTH($A1228)=Reference!$C$5,1,0))+(IF(MONTH($A1228)=Reference!$C$6,Reference!$C$13,0))),0)</f>
        <v>478</v>
      </c>
      <c r="C1228" s="11">
        <f ca="1">B1228*Reference!$C$7*(1-IF(MONTH($A1228)=Reference!$C$6,1,0)*Reference!$C$12)</f>
        <v>444540</v>
      </c>
      <c r="D1228" s="10">
        <f ca="1">ROUND(_xlfn.NORM.INV(RAND(),Reference!$D$8,0.1*Reference!$D$8)*(1+Reference!$D$11*(IF(MONTH($A1228)=Reference!$D$4,1,0)+IF(MONTH($A1228)=Reference!$D$5,1,0))+(IF(MONTH($A1228)=Reference!$D$6,Reference!$D$13,0))),0)</f>
        <v>441</v>
      </c>
      <c r="E1228" s="11">
        <f ca="1">D1228*Reference!$D$7*(1-IF(MONTH($A1228)=Reference!$D$6,1,0)*Reference!$D$12)</f>
        <v>330750</v>
      </c>
      <c r="M1228" s="20"/>
      <c r="N1228" s="20"/>
      <c r="O1228" s="19"/>
      <c r="P1228" s="10"/>
      <c r="Q1228" s="10"/>
      <c r="R1228" s="10"/>
      <c r="S1228" s="10"/>
      <c r="T1228" s="10"/>
      <c r="U1228" s="10"/>
      <c r="V1228" s="10"/>
      <c r="W1228" s="10"/>
      <c r="X1228" s="10"/>
      <c r="Y1228" s="10"/>
    </row>
    <row r="1229" spans="1:25" x14ac:dyDescent="0.25">
      <c r="A1229" s="9">
        <v>41767</v>
      </c>
      <c r="B1229" s="10">
        <f ca="1">ROUND(_xlfn.NORM.INV(RAND(),Reference!$C$8,0.1*Reference!$C$8)*(1+Reference!$C$11*(IF(MONTH($A1229)=Reference!$C$4,1,0)+IF(MONTH($A1229)=Reference!$C$5,1,0))+(IF(MONTH($A1229)=Reference!$C$6,Reference!$C$13,0))),0)</f>
        <v>473</v>
      </c>
      <c r="C1229" s="11">
        <f ca="1">B1229*Reference!$C$7*(1-IF(MONTH($A1229)=Reference!$C$6,1,0)*Reference!$C$12)</f>
        <v>439890</v>
      </c>
      <c r="D1229" s="10">
        <f ca="1">ROUND(_xlfn.NORM.INV(RAND(),Reference!$D$8,0.1*Reference!$D$8)*(1+Reference!$D$11*(IF(MONTH($A1229)=Reference!$D$4,1,0)+IF(MONTH($A1229)=Reference!$D$5,1,0))+(IF(MONTH($A1229)=Reference!$D$6,Reference!$D$13,0))),0)</f>
        <v>398</v>
      </c>
      <c r="E1229" s="11">
        <f ca="1">D1229*Reference!$D$7*(1-IF(MONTH($A1229)=Reference!$D$6,1,0)*Reference!$D$12)</f>
        <v>298500</v>
      </c>
      <c r="M1229" s="20"/>
      <c r="N1229" s="20"/>
      <c r="O1229" s="19"/>
      <c r="P1229" s="10"/>
      <c r="Q1229" s="10"/>
      <c r="R1229" s="10"/>
      <c r="S1229" s="10"/>
      <c r="T1229" s="10"/>
      <c r="U1229" s="10"/>
      <c r="V1229" s="10"/>
      <c r="W1229" s="10"/>
      <c r="X1229" s="10"/>
      <c r="Y1229" s="10"/>
    </row>
    <row r="1230" spans="1:25" x14ac:dyDescent="0.25">
      <c r="A1230" s="9">
        <v>41768</v>
      </c>
      <c r="B1230" s="10">
        <f ca="1">ROUND(_xlfn.NORM.INV(RAND(),Reference!$C$8,0.1*Reference!$C$8)*(1+Reference!$C$11*(IF(MONTH($A1230)=Reference!$C$4,1,0)+IF(MONTH($A1230)=Reference!$C$5,1,0))+(IF(MONTH($A1230)=Reference!$C$6,Reference!$C$13,0))),0)</f>
        <v>547</v>
      </c>
      <c r="C1230" s="11">
        <f ca="1">B1230*Reference!$C$7*(1-IF(MONTH($A1230)=Reference!$C$6,1,0)*Reference!$C$12)</f>
        <v>508710</v>
      </c>
      <c r="D1230" s="10">
        <f ca="1">ROUND(_xlfn.NORM.INV(RAND(),Reference!$D$8,0.1*Reference!$D$8)*(1+Reference!$D$11*(IF(MONTH($A1230)=Reference!$D$4,1,0)+IF(MONTH($A1230)=Reference!$D$5,1,0))+(IF(MONTH($A1230)=Reference!$D$6,Reference!$D$13,0))),0)</f>
        <v>410</v>
      </c>
      <c r="E1230" s="11">
        <f ca="1">D1230*Reference!$D$7*(1-IF(MONTH($A1230)=Reference!$D$6,1,0)*Reference!$D$12)</f>
        <v>307500</v>
      </c>
      <c r="M1230" s="20"/>
      <c r="N1230" s="20"/>
      <c r="O1230" s="19"/>
      <c r="P1230" s="10"/>
      <c r="Q1230" s="10"/>
      <c r="R1230" s="10"/>
      <c r="S1230" s="10"/>
      <c r="T1230" s="10"/>
      <c r="U1230" s="10"/>
      <c r="V1230" s="10"/>
      <c r="W1230" s="10"/>
      <c r="X1230" s="10"/>
      <c r="Y1230" s="10"/>
    </row>
    <row r="1231" spans="1:25" x14ac:dyDescent="0.25">
      <c r="A1231" s="9">
        <v>41769</v>
      </c>
      <c r="B1231" s="10">
        <f ca="1">ROUND(_xlfn.NORM.INV(RAND(),Reference!$C$8,0.1*Reference!$C$8)*(1+Reference!$C$11*(IF(MONTH($A1231)=Reference!$C$4,1,0)+IF(MONTH($A1231)=Reference!$C$5,1,0))+(IF(MONTH($A1231)=Reference!$C$6,Reference!$C$13,0))),0)</f>
        <v>542</v>
      </c>
      <c r="C1231" s="11">
        <f ca="1">B1231*Reference!$C$7*(1-IF(MONTH($A1231)=Reference!$C$6,1,0)*Reference!$C$12)</f>
        <v>504060</v>
      </c>
      <c r="D1231" s="10">
        <f ca="1">ROUND(_xlfn.NORM.INV(RAND(),Reference!$D$8,0.1*Reference!$D$8)*(1+Reference!$D$11*(IF(MONTH($A1231)=Reference!$D$4,1,0)+IF(MONTH($A1231)=Reference!$D$5,1,0))+(IF(MONTH($A1231)=Reference!$D$6,Reference!$D$13,0))),0)</f>
        <v>443</v>
      </c>
      <c r="E1231" s="11">
        <f ca="1">D1231*Reference!$D$7*(1-IF(MONTH($A1231)=Reference!$D$6,1,0)*Reference!$D$12)</f>
        <v>332250</v>
      </c>
      <c r="M1231" s="20"/>
      <c r="N1231" s="20"/>
      <c r="O1231" s="19"/>
      <c r="P1231" s="10"/>
      <c r="Q1231" s="10"/>
      <c r="R1231" s="10"/>
      <c r="S1231" s="10"/>
      <c r="T1231" s="10"/>
      <c r="U1231" s="10"/>
      <c r="V1231" s="10"/>
      <c r="W1231" s="10"/>
      <c r="X1231" s="10"/>
      <c r="Y1231" s="10"/>
    </row>
    <row r="1232" spans="1:25" x14ac:dyDescent="0.25">
      <c r="A1232" s="9">
        <v>41770</v>
      </c>
      <c r="B1232" s="10">
        <f ca="1">ROUND(_xlfn.NORM.INV(RAND(),Reference!$C$8,0.1*Reference!$C$8)*(1+Reference!$C$11*(IF(MONTH($A1232)=Reference!$C$4,1,0)+IF(MONTH($A1232)=Reference!$C$5,1,0))+(IF(MONTH($A1232)=Reference!$C$6,Reference!$C$13,0))),0)</f>
        <v>609</v>
      </c>
      <c r="C1232" s="11">
        <f ca="1">B1232*Reference!$C$7*(1-IF(MONTH($A1232)=Reference!$C$6,1,0)*Reference!$C$12)</f>
        <v>566370</v>
      </c>
      <c r="D1232" s="10">
        <f ca="1">ROUND(_xlfn.NORM.INV(RAND(),Reference!$D$8,0.1*Reference!$D$8)*(1+Reference!$D$11*(IF(MONTH($A1232)=Reference!$D$4,1,0)+IF(MONTH($A1232)=Reference!$D$5,1,0))+(IF(MONTH($A1232)=Reference!$D$6,Reference!$D$13,0))),0)</f>
        <v>442</v>
      </c>
      <c r="E1232" s="11">
        <f ca="1">D1232*Reference!$D$7*(1-IF(MONTH($A1232)=Reference!$D$6,1,0)*Reference!$D$12)</f>
        <v>331500</v>
      </c>
      <c r="M1232" s="20"/>
      <c r="N1232" s="20"/>
      <c r="O1232" s="19"/>
      <c r="P1232" s="10"/>
      <c r="Q1232" s="10"/>
      <c r="R1232" s="10"/>
      <c r="S1232" s="10"/>
      <c r="T1232" s="10"/>
      <c r="U1232" s="10"/>
      <c r="V1232" s="10"/>
      <c r="W1232" s="10"/>
      <c r="X1232" s="10"/>
      <c r="Y1232" s="10"/>
    </row>
    <row r="1233" spans="1:25" x14ac:dyDescent="0.25">
      <c r="A1233" s="9">
        <v>41771</v>
      </c>
      <c r="B1233" s="10">
        <f ca="1">ROUND(_xlfn.NORM.INV(RAND(),Reference!$C$8,0.1*Reference!$C$8)*(1+Reference!$C$11*(IF(MONTH($A1233)=Reference!$C$4,1,0)+IF(MONTH($A1233)=Reference!$C$5,1,0))+(IF(MONTH($A1233)=Reference!$C$6,Reference!$C$13,0))),0)</f>
        <v>586</v>
      </c>
      <c r="C1233" s="11">
        <f ca="1">B1233*Reference!$C$7*(1-IF(MONTH($A1233)=Reference!$C$6,1,0)*Reference!$C$12)</f>
        <v>544980</v>
      </c>
      <c r="D1233" s="10">
        <f ca="1">ROUND(_xlfn.NORM.INV(RAND(),Reference!$D$8,0.1*Reference!$D$8)*(1+Reference!$D$11*(IF(MONTH($A1233)=Reference!$D$4,1,0)+IF(MONTH($A1233)=Reference!$D$5,1,0))+(IF(MONTH($A1233)=Reference!$D$6,Reference!$D$13,0))),0)</f>
        <v>440</v>
      </c>
      <c r="E1233" s="11">
        <f ca="1">D1233*Reference!$D$7*(1-IF(MONTH($A1233)=Reference!$D$6,1,0)*Reference!$D$12)</f>
        <v>330000</v>
      </c>
      <c r="M1233" s="20"/>
      <c r="N1233" s="20"/>
      <c r="O1233" s="19"/>
      <c r="P1233" s="10"/>
      <c r="Q1233" s="10"/>
      <c r="R1233" s="10"/>
      <c r="S1233" s="10"/>
      <c r="T1233" s="10"/>
      <c r="U1233" s="10"/>
      <c r="V1233" s="10"/>
      <c r="W1233" s="10"/>
      <c r="X1233" s="10"/>
      <c r="Y1233" s="10"/>
    </row>
    <row r="1234" spans="1:25" x14ac:dyDescent="0.25">
      <c r="A1234" s="9">
        <v>41772</v>
      </c>
      <c r="B1234" s="10">
        <f ca="1">ROUND(_xlfn.NORM.INV(RAND(),Reference!$C$8,0.1*Reference!$C$8)*(1+Reference!$C$11*(IF(MONTH($A1234)=Reference!$C$4,1,0)+IF(MONTH($A1234)=Reference!$C$5,1,0))+(IF(MONTH($A1234)=Reference!$C$6,Reference!$C$13,0))),0)</f>
        <v>606</v>
      </c>
      <c r="C1234" s="11">
        <f ca="1">B1234*Reference!$C$7*(1-IF(MONTH($A1234)=Reference!$C$6,1,0)*Reference!$C$12)</f>
        <v>563580</v>
      </c>
      <c r="D1234" s="10">
        <f ca="1">ROUND(_xlfn.NORM.INV(RAND(),Reference!$D$8,0.1*Reference!$D$8)*(1+Reference!$D$11*(IF(MONTH($A1234)=Reference!$D$4,1,0)+IF(MONTH($A1234)=Reference!$D$5,1,0))+(IF(MONTH($A1234)=Reference!$D$6,Reference!$D$13,0))),0)</f>
        <v>449</v>
      </c>
      <c r="E1234" s="11">
        <f ca="1">D1234*Reference!$D$7*(1-IF(MONTH($A1234)=Reference!$D$6,1,0)*Reference!$D$12)</f>
        <v>336750</v>
      </c>
      <c r="M1234" s="20"/>
      <c r="N1234" s="20"/>
      <c r="O1234" s="19"/>
      <c r="P1234" s="10"/>
      <c r="Q1234" s="10"/>
      <c r="R1234" s="10"/>
      <c r="S1234" s="10"/>
      <c r="T1234" s="10"/>
      <c r="U1234" s="10"/>
      <c r="V1234" s="10"/>
      <c r="W1234" s="10"/>
      <c r="X1234" s="10"/>
      <c r="Y1234" s="10"/>
    </row>
    <row r="1235" spans="1:25" x14ac:dyDescent="0.25">
      <c r="A1235" s="9">
        <v>41773</v>
      </c>
      <c r="B1235" s="10">
        <f ca="1">ROUND(_xlfn.NORM.INV(RAND(),Reference!$C$8,0.1*Reference!$C$8)*(1+Reference!$C$11*(IF(MONTH($A1235)=Reference!$C$4,1,0)+IF(MONTH($A1235)=Reference!$C$5,1,0))+(IF(MONTH($A1235)=Reference!$C$6,Reference!$C$13,0))),0)</f>
        <v>532</v>
      </c>
      <c r="C1235" s="11">
        <f ca="1">B1235*Reference!$C$7*(1-IF(MONTH($A1235)=Reference!$C$6,1,0)*Reference!$C$12)</f>
        <v>494760</v>
      </c>
      <c r="D1235" s="10">
        <f ca="1">ROUND(_xlfn.NORM.INV(RAND(),Reference!$D$8,0.1*Reference!$D$8)*(1+Reference!$D$11*(IF(MONTH($A1235)=Reference!$D$4,1,0)+IF(MONTH($A1235)=Reference!$D$5,1,0))+(IF(MONTH($A1235)=Reference!$D$6,Reference!$D$13,0))),0)</f>
        <v>371</v>
      </c>
      <c r="E1235" s="11">
        <f ca="1">D1235*Reference!$D$7*(1-IF(MONTH($A1235)=Reference!$D$6,1,0)*Reference!$D$12)</f>
        <v>278250</v>
      </c>
      <c r="M1235" s="20"/>
      <c r="N1235" s="20"/>
      <c r="O1235" s="19"/>
      <c r="P1235" s="10"/>
      <c r="Q1235" s="10"/>
      <c r="R1235" s="10"/>
      <c r="S1235" s="10"/>
      <c r="T1235" s="10"/>
      <c r="U1235" s="10"/>
      <c r="V1235" s="10"/>
      <c r="W1235" s="10"/>
      <c r="X1235" s="10"/>
      <c r="Y1235" s="10"/>
    </row>
    <row r="1236" spans="1:25" x14ac:dyDescent="0.25">
      <c r="A1236" s="9">
        <v>41774</v>
      </c>
      <c r="B1236" s="10">
        <f ca="1">ROUND(_xlfn.NORM.INV(RAND(),Reference!$C$8,0.1*Reference!$C$8)*(1+Reference!$C$11*(IF(MONTH($A1236)=Reference!$C$4,1,0)+IF(MONTH($A1236)=Reference!$C$5,1,0))+(IF(MONTH($A1236)=Reference!$C$6,Reference!$C$13,0))),0)</f>
        <v>510</v>
      </c>
      <c r="C1236" s="11">
        <f ca="1">B1236*Reference!$C$7*(1-IF(MONTH($A1236)=Reference!$C$6,1,0)*Reference!$C$12)</f>
        <v>474300</v>
      </c>
      <c r="D1236" s="10">
        <f ca="1">ROUND(_xlfn.NORM.INV(RAND(),Reference!$D$8,0.1*Reference!$D$8)*(1+Reference!$D$11*(IF(MONTH($A1236)=Reference!$D$4,1,0)+IF(MONTH($A1236)=Reference!$D$5,1,0))+(IF(MONTH($A1236)=Reference!$D$6,Reference!$D$13,0))),0)</f>
        <v>406</v>
      </c>
      <c r="E1236" s="11">
        <f ca="1">D1236*Reference!$D$7*(1-IF(MONTH($A1236)=Reference!$D$6,1,0)*Reference!$D$12)</f>
        <v>304500</v>
      </c>
      <c r="M1236" s="20"/>
      <c r="N1236" s="20"/>
      <c r="O1236" s="19"/>
      <c r="P1236" s="10"/>
      <c r="Q1236" s="10"/>
      <c r="R1236" s="10"/>
      <c r="S1236" s="10"/>
      <c r="T1236" s="10"/>
      <c r="U1236" s="10"/>
      <c r="V1236" s="10"/>
      <c r="W1236" s="10"/>
      <c r="X1236" s="10"/>
      <c r="Y1236" s="10"/>
    </row>
    <row r="1237" spans="1:25" x14ac:dyDescent="0.25">
      <c r="A1237" s="9">
        <v>41775</v>
      </c>
      <c r="B1237" s="10">
        <f ca="1">ROUND(_xlfn.NORM.INV(RAND(),Reference!$C$8,0.1*Reference!$C$8)*(1+Reference!$C$11*(IF(MONTH($A1237)=Reference!$C$4,1,0)+IF(MONTH($A1237)=Reference!$C$5,1,0))+(IF(MONTH($A1237)=Reference!$C$6,Reference!$C$13,0))),0)</f>
        <v>475</v>
      </c>
      <c r="C1237" s="11">
        <f ca="1">B1237*Reference!$C$7*(1-IF(MONTH($A1237)=Reference!$C$6,1,0)*Reference!$C$12)</f>
        <v>441750</v>
      </c>
      <c r="D1237" s="10">
        <f ca="1">ROUND(_xlfn.NORM.INV(RAND(),Reference!$D$8,0.1*Reference!$D$8)*(1+Reference!$D$11*(IF(MONTH($A1237)=Reference!$D$4,1,0)+IF(MONTH($A1237)=Reference!$D$5,1,0))+(IF(MONTH($A1237)=Reference!$D$6,Reference!$D$13,0))),0)</f>
        <v>409</v>
      </c>
      <c r="E1237" s="11">
        <f ca="1">D1237*Reference!$D$7*(1-IF(MONTH($A1237)=Reference!$D$6,1,0)*Reference!$D$12)</f>
        <v>306750</v>
      </c>
      <c r="M1237" s="20"/>
      <c r="N1237" s="20"/>
      <c r="O1237" s="19"/>
      <c r="P1237" s="10"/>
      <c r="Q1237" s="10"/>
      <c r="R1237" s="10"/>
      <c r="S1237" s="10"/>
      <c r="T1237" s="10"/>
      <c r="U1237" s="10"/>
      <c r="V1237" s="10"/>
      <c r="W1237" s="10"/>
      <c r="X1237" s="10"/>
      <c r="Y1237" s="10"/>
    </row>
    <row r="1238" spans="1:25" x14ac:dyDescent="0.25">
      <c r="A1238" s="9">
        <v>41776</v>
      </c>
      <c r="B1238" s="10">
        <f ca="1">ROUND(_xlfn.NORM.INV(RAND(),Reference!$C$8,0.1*Reference!$C$8)*(1+Reference!$C$11*(IF(MONTH($A1238)=Reference!$C$4,1,0)+IF(MONTH($A1238)=Reference!$C$5,1,0))+(IF(MONTH($A1238)=Reference!$C$6,Reference!$C$13,0))),0)</f>
        <v>643</v>
      </c>
      <c r="C1238" s="11">
        <f ca="1">B1238*Reference!$C$7*(1-IF(MONTH($A1238)=Reference!$C$6,1,0)*Reference!$C$12)</f>
        <v>597990</v>
      </c>
      <c r="D1238" s="10">
        <f ca="1">ROUND(_xlfn.NORM.INV(RAND(),Reference!$D$8,0.1*Reference!$D$8)*(1+Reference!$D$11*(IF(MONTH($A1238)=Reference!$D$4,1,0)+IF(MONTH($A1238)=Reference!$D$5,1,0))+(IF(MONTH($A1238)=Reference!$D$6,Reference!$D$13,0))),0)</f>
        <v>504</v>
      </c>
      <c r="E1238" s="11">
        <f ca="1">D1238*Reference!$D$7*(1-IF(MONTH($A1238)=Reference!$D$6,1,0)*Reference!$D$12)</f>
        <v>378000</v>
      </c>
      <c r="M1238" s="20"/>
      <c r="N1238" s="20"/>
      <c r="O1238" s="19"/>
      <c r="P1238" s="10"/>
      <c r="Q1238" s="10"/>
      <c r="R1238" s="10"/>
      <c r="S1238" s="10"/>
      <c r="T1238" s="10"/>
      <c r="U1238" s="10"/>
      <c r="V1238" s="10"/>
      <c r="W1238" s="10"/>
      <c r="X1238" s="10"/>
      <c r="Y1238" s="10"/>
    </row>
    <row r="1239" spans="1:25" x14ac:dyDescent="0.25">
      <c r="A1239" s="9">
        <v>41777</v>
      </c>
      <c r="B1239" s="10">
        <f ca="1">ROUND(_xlfn.NORM.INV(RAND(),Reference!$C$8,0.1*Reference!$C$8)*(1+Reference!$C$11*(IF(MONTH($A1239)=Reference!$C$4,1,0)+IF(MONTH($A1239)=Reference!$C$5,1,0))+(IF(MONTH($A1239)=Reference!$C$6,Reference!$C$13,0))),0)</f>
        <v>405</v>
      </c>
      <c r="C1239" s="11">
        <f ca="1">B1239*Reference!$C$7*(1-IF(MONTH($A1239)=Reference!$C$6,1,0)*Reference!$C$12)</f>
        <v>376650</v>
      </c>
      <c r="D1239" s="10">
        <f ca="1">ROUND(_xlfn.NORM.INV(RAND(),Reference!$D$8,0.1*Reference!$D$8)*(1+Reference!$D$11*(IF(MONTH($A1239)=Reference!$D$4,1,0)+IF(MONTH($A1239)=Reference!$D$5,1,0))+(IF(MONTH($A1239)=Reference!$D$6,Reference!$D$13,0))),0)</f>
        <v>502</v>
      </c>
      <c r="E1239" s="11">
        <f ca="1">D1239*Reference!$D$7*(1-IF(MONTH($A1239)=Reference!$D$6,1,0)*Reference!$D$12)</f>
        <v>376500</v>
      </c>
      <c r="M1239" s="20"/>
      <c r="N1239" s="20"/>
      <c r="O1239" s="19"/>
      <c r="P1239" s="10"/>
      <c r="Q1239" s="10"/>
      <c r="R1239" s="10"/>
      <c r="S1239" s="10"/>
      <c r="T1239" s="10"/>
      <c r="U1239" s="10"/>
      <c r="V1239" s="10"/>
      <c r="W1239" s="10"/>
      <c r="X1239" s="10"/>
      <c r="Y1239" s="10"/>
    </row>
    <row r="1240" spans="1:25" x14ac:dyDescent="0.25">
      <c r="A1240" s="9">
        <v>41778</v>
      </c>
      <c r="B1240" s="10">
        <f ca="1">ROUND(_xlfn.NORM.INV(RAND(),Reference!$C$8,0.1*Reference!$C$8)*(1+Reference!$C$11*(IF(MONTH($A1240)=Reference!$C$4,1,0)+IF(MONTH($A1240)=Reference!$C$5,1,0))+(IF(MONTH($A1240)=Reference!$C$6,Reference!$C$13,0))),0)</f>
        <v>530</v>
      </c>
      <c r="C1240" s="11">
        <f ca="1">B1240*Reference!$C$7*(1-IF(MONTH($A1240)=Reference!$C$6,1,0)*Reference!$C$12)</f>
        <v>492900</v>
      </c>
      <c r="D1240" s="10">
        <f ca="1">ROUND(_xlfn.NORM.INV(RAND(),Reference!$D$8,0.1*Reference!$D$8)*(1+Reference!$D$11*(IF(MONTH($A1240)=Reference!$D$4,1,0)+IF(MONTH($A1240)=Reference!$D$5,1,0))+(IF(MONTH($A1240)=Reference!$D$6,Reference!$D$13,0))),0)</f>
        <v>476</v>
      </c>
      <c r="E1240" s="11">
        <f ca="1">D1240*Reference!$D$7*(1-IF(MONTH($A1240)=Reference!$D$6,1,0)*Reference!$D$12)</f>
        <v>357000</v>
      </c>
      <c r="M1240" s="20"/>
      <c r="N1240" s="20"/>
      <c r="O1240" s="19"/>
      <c r="P1240" s="10"/>
      <c r="Q1240" s="10"/>
      <c r="R1240" s="10"/>
      <c r="S1240" s="10"/>
      <c r="T1240" s="10"/>
      <c r="U1240" s="10"/>
      <c r="V1240" s="10"/>
      <c r="W1240" s="10"/>
      <c r="X1240" s="10"/>
      <c r="Y1240" s="10"/>
    </row>
    <row r="1241" spans="1:25" x14ac:dyDescent="0.25">
      <c r="A1241" s="9">
        <v>41779</v>
      </c>
      <c r="B1241" s="10">
        <f ca="1">ROUND(_xlfn.NORM.INV(RAND(),Reference!$C$8,0.1*Reference!$C$8)*(1+Reference!$C$11*(IF(MONTH($A1241)=Reference!$C$4,1,0)+IF(MONTH($A1241)=Reference!$C$5,1,0))+(IF(MONTH($A1241)=Reference!$C$6,Reference!$C$13,0))),0)</f>
        <v>514</v>
      </c>
      <c r="C1241" s="11">
        <f ca="1">B1241*Reference!$C$7*(1-IF(MONTH($A1241)=Reference!$C$6,1,0)*Reference!$C$12)</f>
        <v>478020</v>
      </c>
      <c r="D1241" s="10">
        <f ca="1">ROUND(_xlfn.NORM.INV(RAND(),Reference!$D$8,0.1*Reference!$D$8)*(1+Reference!$D$11*(IF(MONTH($A1241)=Reference!$D$4,1,0)+IF(MONTH($A1241)=Reference!$D$5,1,0))+(IF(MONTH($A1241)=Reference!$D$6,Reference!$D$13,0))),0)</f>
        <v>405</v>
      </c>
      <c r="E1241" s="11">
        <f ca="1">D1241*Reference!$D$7*(1-IF(MONTH($A1241)=Reference!$D$6,1,0)*Reference!$D$12)</f>
        <v>303750</v>
      </c>
      <c r="M1241" s="20"/>
      <c r="N1241" s="20"/>
      <c r="O1241" s="19"/>
      <c r="P1241" s="10"/>
      <c r="Q1241" s="10"/>
      <c r="R1241" s="10"/>
      <c r="S1241" s="10"/>
      <c r="T1241" s="10"/>
      <c r="U1241" s="10"/>
      <c r="V1241" s="10"/>
      <c r="W1241" s="10"/>
      <c r="X1241" s="10"/>
      <c r="Y1241" s="10"/>
    </row>
    <row r="1242" spans="1:25" x14ac:dyDescent="0.25">
      <c r="A1242" s="9">
        <v>41780</v>
      </c>
      <c r="B1242" s="10">
        <f ca="1">ROUND(_xlfn.NORM.INV(RAND(),Reference!$C$8,0.1*Reference!$C$8)*(1+Reference!$C$11*(IF(MONTH($A1242)=Reference!$C$4,1,0)+IF(MONTH($A1242)=Reference!$C$5,1,0))+(IF(MONTH($A1242)=Reference!$C$6,Reference!$C$13,0))),0)</f>
        <v>648</v>
      </c>
      <c r="C1242" s="11">
        <f ca="1">B1242*Reference!$C$7*(1-IF(MONTH($A1242)=Reference!$C$6,1,0)*Reference!$C$12)</f>
        <v>602640</v>
      </c>
      <c r="D1242" s="10">
        <f ca="1">ROUND(_xlfn.NORM.INV(RAND(),Reference!$D$8,0.1*Reference!$D$8)*(1+Reference!$D$11*(IF(MONTH($A1242)=Reference!$D$4,1,0)+IF(MONTH($A1242)=Reference!$D$5,1,0))+(IF(MONTH($A1242)=Reference!$D$6,Reference!$D$13,0))),0)</f>
        <v>407</v>
      </c>
      <c r="E1242" s="11">
        <f ca="1">D1242*Reference!$D$7*(1-IF(MONTH($A1242)=Reference!$D$6,1,0)*Reference!$D$12)</f>
        <v>305250</v>
      </c>
      <c r="M1242" s="20"/>
      <c r="N1242" s="20"/>
      <c r="O1242" s="19"/>
      <c r="P1242" s="10"/>
      <c r="Q1242" s="10"/>
      <c r="R1242" s="10"/>
      <c r="S1242" s="10"/>
      <c r="T1242" s="10"/>
      <c r="U1242" s="10"/>
      <c r="V1242" s="10"/>
      <c r="W1242" s="10"/>
      <c r="X1242" s="10"/>
      <c r="Y1242" s="10"/>
    </row>
    <row r="1243" spans="1:25" x14ac:dyDescent="0.25">
      <c r="A1243" s="9">
        <v>41781</v>
      </c>
      <c r="B1243" s="10">
        <f ca="1">ROUND(_xlfn.NORM.INV(RAND(),Reference!$C$8,0.1*Reference!$C$8)*(1+Reference!$C$11*(IF(MONTH($A1243)=Reference!$C$4,1,0)+IF(MONTH($A1243)=Reference!$C$5,1,0))+(IF(MONTH($A1243)=Reference!$C$6,Reference!$C$13,0))),0)</f>
        <v>464</v>
      </c>
      <c r="C1243" s="11">
        <f ca="1">B1243*Reference!$C$7*(1-IF(MONTH($A1243)=Reference!$C$6,1,0)*Reference!$C$12)</f>
        <v>431520</v>
      </c>
      <c r="D1243" s="10">
        <f ca="1">ROUND(_xlfn.NORM.INV(RAND(),Reference!$D$8,0.1*Reference!$D$8)*(1+Reference!$D$11*(IF(MONTH($A1243)=Reference!$D$4,1,0)+IF(MONTH($A1243)=Reference!$D$5,1,0))+(IF(MONTH($A1243)=Reference!$D$6,Reference!$D$13,0))),0)</f>
        <v>451</v>
      </c>
      <c r="E1243" s="11">
        <f ca="1">D1243*Reference!$D$7*(1-IF(MONTH($A1243)=Reference!$D$6,1,0)*Reference!$D$12)</f>
        <v>338250</v>
      </c>
      <c r="M1243" s="20"/>
      <c r="N1243" s="20"/>
      <c r="O1243" s="19"/>
      <c r="P1243" s="10"/>
      <c r="Q1243" s="10"/>
      <c r="R1243" s="10"/>
      <c r="S1243" s="10"/>
      <c r="T1243" s="10"/>
      <c r="U1243" s="10"/>
      <c r="V1243" s="10"/>
      <c r="W1243" s="10"/>
      <c r="X1243" s="10"/>
      <c r="Y1243" s="10"/>
    </row>
    <row r="1244" spans="1:25" x14ac:dyDescent="0.25">
      <c r="A1244" s="9">
        <v>41782</v>
      </c>
      <c r="B1244" s="10">
        <f ca="1">ROUND(_xlfn.NORM.INV(RAND(),Reference!$C$8,0.1*Reference!$C$8)*(1+Reference!$C$11*(IF(MONTH($A1244)=Reference!$C$4,1,0)+IF(MONTH($A1244)=Reference!$C$5,1,0))+(IF(MONTH($A1244)=Reference!$C$6,Reference!$C$13,0))),0)</f>
        <v>552</v>
      </c>
      <c r="C1244" s="11">
        <f ca="1">B1244*Reference!$C$7*(1-IF(MONTH($A1244)=Reference!$C$6,1,0)*Reference!$C$12)</f>
        <v>513360</v>
      </c>
      <c r="D1244" s="10">
        <f ca="1">ROUND(_xlfn.NORM.INV(RAND(),Reference!$D$8,0.1*Reference!$D$8)*(1+Reference!$D$11*(IF(MONTH($A1244)=Reference!$D$4,1,0)+IF(MONTH($A1244)=Reference!$D$5,1,0))+(IF(MONTH($A1244)=Reference!$D$6,Reference!$D$13,0))),0)</f>
        <v>452</v>
      </c>
      <c r="E1244" s="11">
        <f ca="1">D1244*Reference!$D$7*(1-IF(MONTH($A1244)=Reference!$D$6,1,0)*Reference!$D$12)</f>
        <v>339000</v>
      </c>
      <c r="M1244" s="20"/>
      <c r="N1244" s="20"/>
      <c r="O1244" s="19"/>
      <c r="P1244" s="10"/>
      <c r="Q1244" s="10"/>
      <c r="R1244" s="10"/>
      <c r="S1244" s="10"/>
      <c r="T1244" s="10"/>
      <c r="U1244" s="10"/>
      <c r="V1244" s="10"/>
      <c r="W1244" s="10"/>
      <c r="X1244" s="10"/>
      <c r="Y1244" s="10"/>
    </row>
    <row r="1245" spans="1:25" x14ac:dyDescent="0.25">
      <c r="A1245" s="9">
        <v>41783</v>
      </c>
      <c r="B1245" s="10">
        <f ca="1">ROUND(_xlfn.NORM.INV(RAND(),Reference!$C$8,0.1*Reference!$C$8)*(1+Reference!$C$11*(IF(MONTH($A1245)=Reference!$C$4,1,0)+IF(MONTH($A1245)=Reference!$C$5,1,0))+(IF(MONTH($A1245)=Reference!$C$6,Reference!$C$13,0))),0)</f>
        <v>494</v>
      </c>
      <c r="C1245" s="11">
        <f ca="1">B1245*Reference!$C$7*(1-IF(MONTH($A1245)=Reference!$C$6,1,0)*Reference!$C$12)</f>
        <v>459420</v>
      </c>
      <c r="D1245" s="10">
        <f ca="1">ROUND(_xlfn.NORM.INV(RAND(),Reference!$D$8,0.1*Reference!$D$8)*(1+Reference!$D$11*(IF(MONTH($A1245)=Reference!$D$4,1,0)+IF(MONTH($A1245)=Reference!$D$5,1,0))+(IF(MONTH($A1245)=Reference!$D$6,Reference!$D$13,0))),0)</f>
        <v>384</v>
      </c>
      <c r="E1245" s="11">
        <f ca="1">D1245*Reference!$D$7*(1-IF(MONTH($A1245)=Reference!$D$6,1,0)*Reference!$D$12)</f>
        <v>288000</v>
      </c>
      <c r="M1245" s="20"/>
      <c r="N1245" s="20"/>
      <c r="O1245" s="19"/>
      <c r="P1245" s="10"/>
      <c r="Q1245" s="10"/>
      <c r="R1245" s="10"/>
      <c r="S1245" s="10"/>
      <c r="T1245" s="10"/>
      <c r="U1245" s="10"/>
      <c r="V1245" s="10"/>
      <c r="W1245" s="10"/>
      <c r="X1245" s="10"/>
      <c r="Y1245" s="10"/>
    </row>
    <row r="1246" spans="1:25" x14ac:dyDescent="0.25">
      <c r="A1246" s="9">
        <v>41784</v>
      </c>
      <c r="B1246" s="10">
        <f ca="1">ROUND(_xlfn.NORM.INV(RAND(),Reference!$C$8,0.1*Reference!$C$8)*(1+Reference!$C$11*(IF(MONTH($A1246)=Reference!$C$4,1,0)+IF(MONTH($A1246)=Reference!$C$5,1,0))+(IF(MONTH($A1246)=Reference!$C$6,Reference!$C$13,0))),0)</f>
        <v>621</v>
      </c>
      <c r="C1246" s="11">
        <f ca="1">B1246*Reference!$C$7*(1-IF(MONTH($A1246)=Reference!$C$6,1,0)*Reference!$C$12)</f>
        <v>577530</v>
      </c>
      <c r="D1246" s="10">
        <f ca="1">ROUND(_xlfn.NORM.INV(RAND(),Reference!$D$8,0.1*Reference!$D$8)*(1+Reference!$D$11*(IF(MONTH($A1246)=Reference!$D$4,1,0)+IF(MONTH($A1246)=Reference!$D$5,1,0))+(IF(MONTH($A1246)=Reference!$D$6,Reference!$D$13,0))),0)</f>
        <v>464</v>
      </c>
      <c r="E1246" s="11">
        <f ca="1">D1246*Reference!$D$7*(1-IF(MONTH($A1246)=Reference!$D$6,1,0)*Reference!$D$12)</f>
        <v>348000</v>
      </c>
      <c r="M1246" s="20"/>
      <c r="N1246" s="20"/>
      <c r="O1246" s="19"/>
      <c r="P1246" s="10"/>
      <c r="Q1246" s="10"/>
      <c r="R1246" s="10"/>
      <c r="S1246" s="10"/>
      <c r="T1246" s="10"/>
      <c r="U1246" s="10"/>
      <c r="V1246" s="10"/>
      <c r="W1246" s="10"/>
      <c r="X1246" s="10"/>
      <c r="Y1246" s="10"/>
    </row>
    <row r="1247" spans="1:25" x14ac:dyDescent="0.25">
      <c r="A1247" s="9">
        <v>41785</v>
      </c>
      <c r="B1247" s="10">
        <f ca="1">ROUND(_xlfn.NORM.INV(RAND(),Reference!$C$8,0.1*Reference!$C$8)*(1+Reference!$C$11*(IF(MONTH($A1247)=Reference!$C$4,1,0)+IF(MONTH($A1247)=Reference!$C$5,1,0))+(IF(MONTH($A1247)=Reference!$C$6,Reference!$C$13,0))),0)</f>
        <v>487</v>
      </c>
      <c r="C1247" s="11">
        <f ca="1">B1247*Reference!$C$7*(1-IF(MONTH($A1247)=Reference!$C$6,1,0)*Reference!$C$12)</f>
        <v>452910</v>
      </c>
      <c r="D1247" s="10">
        <f ca="1">ROUND(_xlfn.NORM.INV(RAND(),Reference!$D$8,0.1*Reference!$D$8)*(1+Reference!$D$11*(IF(MONTH($A1247)=Reference!$D$4,1,0)+IF(MONTH($A1247)=Reference!$D$5,1,0))+(IF(MONTH($A1247)=Reference!$D$6,Reference!$D$13,0))),0)</f>
        <v>468</v>
      </c>
      <c r="E1247" s="11">
        <f ca="1">D1247*Reference!$D$7*(1-IF(MONTH($A1247)=Reference!$D$6,1,0)*Reference!$D$12)</f>
        <v>351000</v>
      </c>
      <c r="M1247" s="20"/>
      <c r="N1247" s="20"/>
      <c r="O1247" s="19"/>
      <c r="P1247" s="10"/>
      <c r="Q1247" s="10"/>
      <c r="R1247" s="10"/>
      <c r="S1247" s="10"/>
      <c r="T1247" s="10"/>
      <c r="U1247" s="10"/>
      <c r="V1247" s="10"/>
      <c r="W1247" s="10"/>
      <c r="X1247" s="10"/>
      <c r="Y1247" s="10"/>
    </row>
    <row r="1248" spans="1:25" x14ac:dyDescent="0.25">
      <c r="A1248" s="9">
        <v>41786</v>
      </c>
      <c r="B1248" s="10">
        <f ca="1">ROUND(_xlfn.NORM.INV(RAND(),Reference!$C$8,0.1*Reference!$C$8)*(1+Reference!$C$11*(IF(MONTH($A1248)=Reference!$C$4,1,0)+IF(MONTH($A1248)=Reference!$C$5,1,0))+(IF(MONTH($A1248)=Reference!$C$6,Reference!$C$13,0))),0)</f>
        <v>504</v>
      </c>
      <c r="C1248" s="11">
        <f ca="1">B1248*Reference!$C$7*(1-IF(MONTH($A1248)=Reference!$C$6,1,0)*Reference!$C$12)</f>
        <v>468720</v>
      </c>
      <c r="D1248" s="10">
        <f ca="1">ROUND(_xlfn.NORM.INV(RAND(),Reference!$D$8,0.1*Reference!$D$8)*(1+Reference!$D$11*(IF(MONTH($A1248)=Reference!$D$4,1,0)+IF(MONTH($A1248)=Reference!$D$5,1,0))+(IF(MONTH($A1248)=Reference!$D$6,Reference!$D$13,0))),0)</f>
        <v>427</v>
      </c>
      <c r="E1248" s="11">
        <f ca="1">D1248*Reference!$D$7*(1-IF(MONTH($A1248)=Reference!$D$6,1,0)*Reference!$D$12)</f>
        <v>320250</v>
      </c>
      <c r="M1248" s="20"/>
      <c r="N1248" s="20"/>
      <c r="O1248" s="19"/>
      <c r="P1248" s="10"/>
      <c r="Q1248" s="10"/>
      <c r="R1248" s="10"/>
      <c r="S1248" s="10"/>
      <c r="T1248" s="10"/>
      <c r="U1248" s="10"/>
      <c r="V1248" s="10"/>
      <c r="W1248" s="10"/>
      <c r="X1248" s="10"/>
      <c r="Y1248" s="10"/>
    </row>
    <row r="1249" spans="1:25" x14ac:dyDescent="0.25">
      <c r="A1249" s="9">
        <v>41787</v>
      </c>
      <c r="B1249" s="10">
        <f ca="1">ROUND(_xlfn.NORM.INV(RAND(),Reference!$C$8,0.1*Reference!$C$8)*(1+Reference!$C$11*(IF(MONTH($A1249)=Reference!$C$4,1,0)+IF(MONTH($A1249)=Reference!$C$5,1,0))+(IF(MONTH($A1249)=Reference!$C$6,Reference!$C$13,0))),0)</f>
        <v>503</v>
      </c>
      <c r="C1249" s="11">
        <f ca="1">B1249*Reference!$C$7*(1-IF(MONTH($A1249)=Reference!$C$6,1,0)*Reference!$C$12)</f>
        <v>467790</v>
      </c>
      <c r="D1249" s="10">
        <f ca="1">ROUND(_xlfn.NORM.INV(RAND(),Reference!$D$8,0.1*Reference!$D$8)*(1+Reference!$D$11*(IF(MONTH($A1249)=Reference!$D$4,1,0)+IF(MONTH($A1249)=Reference!$D$5,1,0))+(IF(MONTH($A1249)=Reference!$D$6,Reference!$D$13,0))),0)</f>
        <v>518</v>
      </c>
      <c r="E1249" s="11">
        <f ca="1">D1249*Reference!$D$7*(1-IF(MONTH($A1249)=Reference!$D$6,1,0)*Reference!$D$12)</f>
        <v>388500</v>
      </c>
      <c r="M1249" s="20"/>
      <c r="N1249" s="20"/>
      <c r="O1249" s="19"/>
      <c r="P1249" s="10"/>
      <c r="Q1249" s="10"/>
      <c r="R1249" s="10"/>
      <c r="S1249" s="10"/>
      <c r="T1249" s="10"/>
      <c r="U1249" s="10"/>
      <c r="V1249" s="10"/>
      <c r="W1249" s="10"/>
      <c r="X1249" s="10"/>
      <c r="Y1249" s="10"/>
    </row>
    <row r="1250" spans="1:25" x14ac:dyDescent="0.25">
      <c r="A1250" s="9">
        <v>41788</v>
      </c>
      <c r="B1250" s="10">
        <f ca="1">ROUND(_xlfn.NORM.INV(RAND(),Reference!$C$8,0.1*Reference!$C$8)*(1+Reference!$C$11*(IF(MONTH($A1250)=Reference!$C$4,1,0)+IF(MONTH($A1250)=Reference!$C$5,1,0))+(IF(MONTH($A1250)=Reference!$C$6,Reference!$C$13,0))),0)</f>
        <v>569</v>
      </c>
      <c r="C1250" s="11">
        <f ca="1">B1250*Reference!$C$7*(1-IF(MONTH($A1250)=Reference!$C$6,1,0)*Reference!$C$12)</f>
        <v>529170</v>
      </c>
      <c r="D1250" s="10">
        <f ca="1">ROUND(_xlfn.NORM.INV(RAND(),Reference!$D$8,0.1*Reference!$D$8)*(1+Reference!$D$11*(IF(MONTH($A1250)=Reference!$D$4,1,0)+IF(MONTH($A1250)=Reference!$D$5,1,0))+(IF(MONTH($A1250)=Reference!$D$6,Reference!$D$13,0))),0)</f>
        <v>410</v>
      </c>
      <c r="E1250" s="11">
        <f ca="1">D1250*Reference!$D$7*(1-IF(MONTH($A1250)=Reference!$D$6,1,0)*Reference!$D$12)</f>
        <v>307500</v>
      </c>
      <c r="M1250" s="20"/>
      <c r="N1250" s="20"/>
      <c r="O1250" s="19"/>
      <c r="P1250" s="10"/>
      <c r="Q1250" s="10"/>
      <c r="R1250" s="10"/>
      <c r="S1250" s="10"/>
      <c r="T1250" s="10"/>
      <c r="U1250" s="10"/>
      <c r="V1250" s="10"/>
      <c r="W1250" s="10"/>
      <c r="X1250" s="10"/>
      <c r="Y1250" s="10"/>
    </row>
    <row r="1251" spans="1:25" x14ac:dyDescent="0.25">
      <c r="A1251" s="9">
        <v>41789</v>
      </c>
      <c r="B1251" s="10">
        <f ca="1">ROUND(_xlfn.NORM.INV(RAND(),Reference!$C$8,0.1*Reference!$C$8)*(1+Reference!$C$11*(IF(MONTH($A1251)=Reference!$C$4,1,0)+IF(MONTH($A1251)=Reference!$C$5,1,0))+(IF(MONTH($A1251)=Reference!$C$6,Reference!$C$13,0))),0)</f>
        <v>569</v>
      </c>
      <c r="C1251" s="11">
        <f ca="1">B1251*Reference!$C$7*(1-IF(MONTH($A1251)=Reference!$C$6,1,0)*Reference!$C$12)</f>
        <v>529170</v>
      </c>
      <c r="D1251" s="10">
        <f ca="1">ROUND(_xlfn.NORM.INV(RAND(),Reference!$D$8,0.1*Reference!$D$8)*(1+Reference!$D$11*(IF(MONTH($A1251)=Reference!$D$4,1,0)+IF(MONTH($A1251)=Reference!$D$5,1,0))+(IF(MONTH($A1251)=Reference!$D$6,Reference!$D$13,0))),0)</f>
        <v>515</v>
      </c>
      <c r="E1251" s="11">
        <f ca="1">D1251*Reference!$D$7*(1-IF(MONTH($A1251)=Reference!$D$6,1,0)*Reference!$D$12)</f>
        <v>386250</v>
      </c>
      <c r="M1251" s="20"/>
      <c r="N1251" s="20"/>
      <c r="O1251" s="19"/>
      <c r="P1251" s="10"/>
      <c r="Q1251" s="10"/>
      <c r="R1251" s="10"/>
      <c r="S1251" s="10"/>
      <c r="T1251" s="10"/>
      <c r="U1251" s="10"/>
      <c r="V1251" s="10"/>
      <c r="W1251" s="10"/>
      <c r="X1251" s="10"/>
      <c r="Y1251" s="10"/>
    </row>
    <row r="1252" spans="1:25" x14ac:dyDescent="0.25">
      <c r="A1252" s="9">
        <v>41790</v>
      </c>
      <c r="B1252" s="10">
        <f ca="1">ROUND(_xlfn.NORM.INV(RAND(),Reference!$C$8,0.1*Reference!$C$8)*(1+Reference!$C$11*(IF(MONTH($A1252)=Reference!$C$4,1,0)+IF(MONTH($A1252)=Reference!$C$5,1,0))+(IF(MONTH($A1252)=Reference!$C$6,Reference!$C$13,0))),0)</f>
        <v>415</v>
      </c>
      <c r="C1252" s="11">
        <f ca="1">B1252*Reference!$C$7*(1-IF(MONTH($A1252)=Reference!$C$6,1,0)*Reference!$C$12)</f>
        <v>385950</v>
      </c>
      <c r="D1252" s="10">
        <f ca="1">ROUND(_xlfn.NORM.INV(RAND(),Reference!$D$8,0.1*Reference!$D$8)*(1+Reference!$D$11*(IF(MONTH($A1252)=Reference!$D$4,1,0)+IF(MONTH($A1252)=Reference!$D$5,1,0))+(IF(MONTH($A1252)=Reference!$D$6,Reference!$D$13,0))),0)</f>
        <v>432</v>
      </c>
      <c r="E1252" s="11">
        <f ca="1">D1252*Reference!$D$7*(1-IF(MONTH($A1252)=Reference!$D$6,1,0)*Reference!$D$12)</f>
        <v>324000</v>
      </c>
      <c r="M1252" s="20"/>
      <c r="N1252" s="20"/>
      <c r="O1252" s="19"/>
      <c r="P1252" s="10"/>
      <c r="Q1252" s="10"/>
      <c r="R1252" s="10"/>
      <c r="S1252" s="10"/>
      <c r="T1252" s="10"/>
      <c r="U1252" s="10"/>
      <c r="V1252" s="10"/>
      <c r="W1252" s="10"/>
      <c r="X1252" s="10"/>
      <c r="Y1252" s="10"/>
    </row>
    <row r="1253" spans="1:25" x14ac:dyDescent="0.25">
      <c r="A1253" s="9">
        <v>41791</v>
      </c>
      <c r="B1253" s="10">
        <f ca="1">ROUND(_xlfn.NORM.INV(RAND(),Reference!$C$8,0.1*Reference!$C$8)*(1+Reference!$C$11*(IF(MONTH($A1253)=Reference!$C$4,1,0)+IF(MONTH($A1253)=Reference!$C$5,1,0))+(IF(MONTH($A1253)=Reference!$C$6,Reference!$C$13,0))),0)</f>
        <v>479</v>
      </c>
      <c r="C1253" s="11">
        <f ca="1">B1253*Reference!$C$7*(1-IF(MONTH($A1253)=Reference!$C$6,1,0)*Reference!$C$12)</f>
        <v>178188</v>
      </c>
      <c r="D1253" s="10">
        <f ca="1">ROUND(_xlfn.NORM.INV(RAND(),Reference!$D$8,0.1*Reference!$D$8)*(1+Reference!$D$11*(IF(MONTH($A1253)=Reference!$D$4,1,0)+IF(MONTH($A1253)=Reference!$D$5,1,0))+(IF(MONTH($A1253)=Reference!$D$6,Reference!$D$13,0))),0)</f>
        <v>362</v>
      </c>
      <c r="E1253" s="11">
        <f ca="1">D1253*Reference!$D$7*(1-IF(MONTH($A1253)=Reference!$D$6,1,0)*Reference!$D$12)</f>
        <v>271500</v>
      </c>
      <c r="M1253" s="20"/>
      <c r="N1253" s="20"/>
      <c r="O1253" s="19"/>
      <c r="P1253" s="10"/>
      <c r="Q1253" s="10"/>
      <c r="R1253" s="10"/>
      <c r="S1253" s="10"/>
      <c r="T1253" s="10"/>
      <c r="U1253" s="10"/>
      <c r="V1253" s="10"/>
      <c r="W1253" s="10"/>
      <c r="X1253" s="10"/>
      <c r="Y1253" s="10"/>
    </row>
    <row r="1254" spans="1:25" x14ac:dyDescent="0.25">
      <c r="A1254" s="9">
        <v>41792</v>
      </c>
      <c r="B1254" s="10">
        <f ca="1">ROUND(_xlfn.NORM.INV(RAND(),Reference!$C$8,0.1*Reference!$C$8)*(1+Reference!$C$11*(IF(MONTH($A1254)=Reference!$C$4,1,0)+IF(MONTH($A1254)=Reference!$C$5,1,0))+(IF(MONTH($A1254)=Reference!$C$6,Reference!$C$13,0))),0)</f>
        <v>424</v>
      </c>
      <c r="C1254" s="11">
        <f ca="1">B1254*Reference!$C$7*(1-IF(MONTH($A1254)=Reference!$C$6,1,0)*Reference!$C$12)</f>
        <v>157728</v>
      </c>
      <c r="D1254" s="10">
        <f ca="1">ROUND(_xlfn.NORM.INV(RAND(),Reference!$D$8,0.1*Reference!$D$8)*(1+Reference!$D$11*(IF(MONTH($A1254)=Reference!$D$4,1,0)+IF(MONTH($A1254)=Reference!$D$5,1,0))+(IF(MONTH($A1254)=Reference!$D$6,Reference!$D$13,0))),0)</f>
        <v>439</v>
      </c>
      <c r="E1254" s="11">
        <f ca="1">D1254*Reference!$D$7*(1-IF(MONTH($A1254)=Reference!$D$6,1,0)*Reference!$D$12)</f>
        <v>329250</v>
      </c>
      <c r="M1254" s="20"/>
      <c r="N1254" s="20"/>
      <c r="O1254" s="19"/>
      <c r="P1254" s="10"/>
      <c r="Q1254" s="10"/>
      <c r="R1254" s="10"/>
      <c r="S1254" s="10"/>
      <c r="T1254" s="10"/>
      <c r="U1254" s="10"/>
      <c r="V1254" s="10"/>
      <c r="W1254" s="10"/>
      <c r="X1254" s="10"/>
      <c r="Y1254" s="10"/>
    </row>
    <row r="1255" spans="1:25" x14ac:dyDescent="0.25">
      <c r="A1255" s="9">
        <v>41793</v>
      </c>
      <c r="B1255" s="10">
        <f ca="1">ROUND(_xlfn.NORM.INV(RAND(),Reference!$C$8,0.1*Reference!$C$8)*(1+Reference!$C$11*(IF(MONTH($A1255)=Reference!$C$4,1,0)+IF(MONTH($A1255)=Reference!$C$5,1,0))+(IF(MONTH($A1255)=Reference!$C$6,Reference!$C$13,0))),0)</f>
        <v>365</v>
      </c>
      <c r="C1255" s="11">
        <f ca="1">B1255*Reference!$C$7*(1-IF(MONTH($A1255)=Reference!$C$6,1,0)*Reference!$C$12)</f>
        <v>135780</v>
      </c>
      <c r="D1255" s="10">
        <f ca="1">ROUND(_xlfn.NORM.INV(RAND(),Reference!$D$8,0.1*Reference!$D$8)*(1+Reference!$D$11*(IF(MONTH($A1255)=Reference!$D$4,1,0)+IF(MONTH($A1255)=Reference!$D$5,1,0))+(IF(MONTH($A1255)=Reference!$D$6,Reference!$D$13,0))),0)</f>
        <v>459</v>
      </c>
      <c r="E1255" s="11">
        <f ca="1">D1255*Reference!$D$7*(1-IF(MONTH($A1255)=Reference!$D$6,1,0)*Reference!$D$12)</f>
        <v>344250</v>
      </c>
      <c r="M1255" s="20"/>
      <c r="N1255" s="20"/>
      <c r="O1255" s="19"/>
      <c r="P1255" s="10"/>
      <c r="Q1255" s="10"/>
      <c r="R1255" s="10"/>
      <c r="S1255" s="10"/>
      <c r="T1255" s="10"/>
      <c r="U1255" s="10"/>
      <c r="V1255" s="10"/>
      <c r="W1255" s="10"/>
      <c r="X1255" s="10"/>
      <c r="Y1255" s="10"/>
    </row>
    <row r="1256" spans="1:25" x14ac:dyDescent="0.25">
      <c r="A1256" s="9">
        <v>41794</v>
      </c>
      <c r="B1256" s="10">
        <f ca="1">ROUND(_xlfn.NORM.INV(RAND(),Reference!$C$8,0.1*Reference!$C$8)*(1+Reference!$C$11*(IF(MONTH($A1256)=Reference!$C$4,1,0)+IF(MONTH($A1256)=Reference!$C$5,1,0))+(IF(MONTH($A1256)=Reference!$C$6,Reference!$C$13,0))),0)</f>
        <v>428</v>
      </c>
      <c r="C1256" s="11">
        <f ca="1">B1256*Reference!$C$7*(1-IF(MONTH($A1256)=Reference!$C$6,1,0)*Reference!$C$12)</f>
        <v>159216</v>
      </c>
      <c r="D1256" s="10">
        <f ca="1">ROUND(_xlfn.NORM.INV(RAND(),Reference!$D$8,0.1*Reference!$D$8)*(1+Reference!$D$11*(IF(MONTH($A1256)=Reference!$D$4,1,0)+IF(MONTH($A1256)=Reference!$D$5,1,0))+(IF(MONTH($A1256)=Reference!$D$6,Reference!$D$13,0))),0)</f>
        <v>423</v>
      </c>
      <c r="E1256" s="11">
        <f ca="1">D1256*Reference!$D$7*(1-IF(MONTH($A1256)=Reference!$D$6,1,0)*Reference!$D$12)</f>
        <v>317250</v>
      </c>
      <c r="M1256" s="20"/>
      <c r="N1256" s="20"/>
      <c r="O1256" s="19"/>
      <c r="P1256" s="10"/>
      <c r="Q1256" s="10"/>
      <c r="R1256" s="10"/>
      <c r="S1256" s="10"/>
      <c r="T1256" s="10"/>
      <c r="U1256" s="10"/>
      <c r="V1256" s="10"/>
      <c r="W1256" s="10"/>
      <c r="X1256" s="10"/>
      <c r="Y1256" s="10"/>
    </row>
    <row r="1257" spans="1:25" x14ac:dyDescent="0.25">
      <c r="A1257" s="9">
        <v>41795</v>
      </c>
      <c r="B1257" s="10">
        <f ca="1">ROUND(_xlfn.NORM.INV(RAND(),Reference!$C$8,0.1*Reference!$C$8)*(1+Reference!$C$11*(IF(MONTH($A1257)=Reference!$C$4,1,0)+IF(MONTH($A1257)=Reference!$C$5,1,0))+(IF(MONTH($A1257)=Reference!$C$6,Reference!$C$13,0))),0)</f>
        <v>507</v>
      </c>
      <c r="C1257" s="11">
        <f ca="1">B1257*Reference!$C$7*(1-IF(MONTH($A1257)=Reference!$C$6,1,0)*Reference!$C$12)</f>
        <v>188604</v>
      </c>
      <c r="D1257" s="10">
        <f ca="1">ROUND(_xlfn.NORM.INV(RAND(),Reference!$D$8,0.1*Reference!$D$8)*(1+Reference!$D$11*(IF(MONTH($A1257)=Reference!$D$4,1,0)+IF(MONTH($A1257)=Reference!$D$5,1,0))+(IF(MONTH($A1257)=Reference!$D$6,Reference!$D$13,0))),0)</f>
        <v>511</v>
      </c>
      <c r="E1257" s="11">
        <f ca="1">D1257*Reference!$D$7*(1-IF(MONTH($A1257)=Reference!$D$6,1,0)*Reference!$D$12)</f>
        <v>383250</v>
      </c>
      <c r="M1257" s="20"/>
      <c r="N1257" s="20"/>
      <c r="O1257" s="19"/>
      <c r="P1257" s="10"/>
      <c r="Q1257" s="10"/>
      <c r="R1257" s="10"/>
      <c r="S1257" s="10"/>
      <c r="T1257" s="10"/>
      <c r="U1257" s="10"/>
      <c r="V1257" s="10"/>
      <c r="W1257" s="10"/>
      <c r="X1257" s="10"/>
      <c r="Y1257" s="10"/>
    </row>
    <row r="1258" spans="1:25" x14ac:dyDescent="0.25">
      <c r="A1258" s="9">
        <v>41796</v>
      </c>
      <c r="B1258" s="10">
        <f ca="1">ROUND(_xlfn.NORM.INV(RAND(),Reference!$C$8,0.1*Reference!$C$8)*(1+Reference!$C$11*(IF(MONTH($A1258)=Reference!$C$4,1,0)+IF(MONTH($A1258)=Reference!$C$5,1,0))+(IF(MONTH($A1258)=Reference!$C$6,Reference!$C$13,0))),0)</f>
        <v>468</v>
      </c>
      <c r="C1258" s="11">
        <f ca="1">B1258*Reference!$C$7*(1-IF(MONTH($A1258)=Reference!$C$6,1,0)*Reference!$C$12)</f>
        <v>174096</v>
      </c>
      <c r="D1258" s="10">
        <f ca="1">ROUND(_xlfn.NORM.INV(RAND(),Reference!$D$8,0.1*Reference!$D$8)*(1+Reference!$D$11*(IF(MONTH($A1258)=Reference!$D$4,1,0)+IF(MONTH($A1258)=Reference!$D$5,1,0))+(IF(MONTH($A1258)=Reference!$D$6,Reference!$D$13,0))),0)</f>
        <v>488</v>
      </c>
      <c r="E1258" s="11">
        <f ca="1">D1258*Reference!$D$7*(1-IF(MONTH($A1258)=Reference!$D$6,1,0)*Reference!$D$12)</f>
        <v>366000</v>
      </c>
      <c r="M1258" s="20"/>
      <c r="N1258" s="20"/>
      <c r="O1258" s="19"/>
      <c r="P1258" s="10"/>
      <c r="Q1258" s="10"/>
      <c r="R1258" s="10"/>
      <c r="S1258" s="10"/>
      <c r="T1258" s="10"/>
      <c r="U1258" s="10"/>
      <c r="V1258" s="10"/>
      <c r="W1258" s="10"/>
      <c r="X1258" s="10"/>
      <c r="Y1258" s="10"/>
    </row>
    <row r="1259" spans="1:25" x14ac:dyDescent="0.25">
      <c r="A1259" s="9">
        <v>41797</v>
      </c>
      <c r="B1259" s="10">
        <f ca="1">ROUND(_xlfn.NORM.INV(RAND(),Reference!$C$8,0.1*Reference!$C$8)*(1+Reference!$C$11*(IF(MONTH($A1259)=Reference!$C$4,1,0)+IF(MONTH($A1259)=Reference!$C$5,1,0))+(IF(MONTH($A1259)=Reference!$C$6,Reference!$C$13,0))),0)</f>
        <v>412</v>
      </c>
      <c r="C1259" s="11">
        <f ca="1">B1259*Reference!$C$7*(1-IF(MONTH($A1259)=Reference!$C$6,1,0)*Reference!$C$12)</f>
        <v>153264</v>
      </c>
      <c r="D1259" s="10">
        <f ca="1">ROUND(_xlfn.NORM.INV(RAND(),Reference!$D$8,0.1*Reference!$D$8)*(1+Reference!$D$11*(IF(MONTH($A1259)=Reference!$D$4,1,0)+IF(MONTH($A1259)=Reference!$D$5,1,0))+(IF(MONTH($A1259)=Reference!$D$6,Reference!$D$13,0))),0)</f>
        <v>478</v>
      </c>
      <c r="E1259" s="11">
        <f ca="1">D1259*Reference!$D$7*(1-IF(MONTH($A1259)=Reference!$D$6,1,0)*Reference!$D$12)</f>
        <v>358500</v>
      </c>
      <c r="M1259" s="20"/>
      <c r="N1259" s="20"/>
      <c r="O1259" s="19"/>
      <c r="P1259" s="10"/>
      <c r="Q1259" s="10"/>
      <c r="R1259" s="10"/>
      <c r="S1259" s="10"/>
      <c r="T1259" s="10"/>
      <c r="U1259" s="10"/>
      <c r="V1259" s="10"/>
      <c r="W1259" s="10"/>
      <c r="X1259" s="10"/>
      <c r="Y1259" s="10"/>
    </row>
    <row r="1260" spans="1:25" x14ac:dyDescent="0.25">
      <c r="A1260" s="9">
        <v>41798</v>
      </c>
      <c r="B1260" s="10">
        <f ca="1">ROUND(_xlfn.NORM.INV(RAND(),Reference!$C$8,0.1*Reference!$C$8)*(1+Reference!$C$11*(IF(MONTH($A1260)=Reference!$C$4,1,0)+IF(MONTH($A1260)=Reference!$C$5,1,0))+(IF(MONTH($A1260)=Reference!$C$6,Reference!$C$13,0))),0)</f>
        <v>385</v>
      </c>
      <c r="C1260" s="11">
        <f ca="1">B1260*Reference!$C$7*(1-IF(MONTH($A1260)=Reference!$C$6,1,0)*Reference!$C$12)</f>
        <v>143220</v>
      </c>
      <c r="D1260" s="10">
        <f ca="1">ROUND(_xlfn.NORM.INV(RAND(),Reference!$D$8,0.1*Reference!$D$8)*(1+Reference!$D$11*(IF(MONTH($A1260)=Reference!$D$4,1,0)+IF(MONTH($A1260)=Reference!$D$5,1,0))+(IF(MONTH($A1260)=Reference!$D$6,Reference!$D$13,0))),0)</f>
        <v>438</v>
      </c>
      <c r="E1260" s="11">
        <f ca="1">D1260*Reference!$D$7*(1-IF(MONTH($A1260)=Reference!$D$6,1,0)*Reference!$D$12)</f>
        <v>328500</v>
      </c>
      <c r="M1260" s="20"/>
      <c r="N1260" s="20"/>
      <c r="O1260" s="19"/>
      <c r="P1260" s="10"/>
      <c r="Q1260" s="10"/>
      <c r="R1260" s="10"/>
      <c r="S1260" s="10"/>
      <c r="T1260" s="10"/>
      <c r="U1260" s="10"/>
      <c r="V1260" s="10"/>
      <c r="W1260" s="10"/>
      <c r="X1260" s="10"/>
      <c r="Y1260" s="10"/>
    </row>
    <row r="1261" spans="1:25" x14ac:dyDescent="0.25">
      <c r="A1261" s="9">
        <v>41799</v>
      </c>
      <c r="B1261" s="10">
        <f ca="1">ROUND(_xlfn.NORM.INV(RAND(),Reference!$C$8,0.1*Reference!$C$8)*(1+Reference!$C$11*(IF(MONTH($A1261)=Reference!$C$4,1,0)+IF(MONTH($A1261)=Reference!$C$5,1,0))+(IF(MONTH($A1261)=Reference!$C$6,Reference!$C$13,0))),0)</f>
        <v>471</v>
      </c>
      <c r="C1261" s="11">
        <f ca="1">B1261*Reference!$C$7*(1-IF(MONTH($A1261)=Reference!$C$6,1,0)*Reference!$C$12)</f>
        <v>175212</v>
      </c>
      <c r="D1261" s="10">
        <f ca="1">ROUND(_xlfn.NORM.INV(RAND(),Reference!$D$8,0.1*Reference!$D$8)*(1+Reference!$D$11*(IF(MONTH($A1261)=Reference!$D$4,1,0)+IF(MONTH($A1261)=Reference!$D$5,1,0))+(IF(MONTH($A1261)=Reference!$D$6,Reference!$D$13,0))),0)</f>
        <v>466</v>
      </c>
      <c r="E1261" s="11">
        <f ca="1">D1261*Reference!$D$7*(1-IF(MONTH($A1261)=Reference!$D$6,1,0)*Reference!$D$12)</f>
        <v>349500</v>
      </c>
      <c r="M1261" s="20"/>
      <c r="N1261" s="20"/>
      <c r="O1261" s="19"/>
      <c r="P1261" s="10"/>
      <c r="Q1261" s="10"/>
      <c r="R1261" s="10"/>
      <c r="S1261" s="10"/>
      <c r="T1261" s="10"/>
      <c r="U1261" s="10"/>
      <c r="V1261" s="10"/>
      <c r="W1261" s="10"/>
      <c r="X1261" s="10"/>
      <c r="Y1261" s="10"/>
    </row>
    <row r="1262" spans="1:25" x14ac:dyDescent="0.25">
      <c r="A1262" s="9">
        <v>41800</v>
      </c>
      <c r="B1262" s="10">
        <f ca="1">ROUND(_xlfn.NORM.INV(RAND(),Reference!$C$8,0.1*Reference!$C$8)*(1+Reference!$C$11*(IF(MONTH($A1262)=Reference!$C$4,1,0)+IF(MONTH($A1262)=Reference!$C$5,1,0))+(IF(MONTH($A1262)=Reference!$C$6,Reference!$C$13,0))),0)</f>
        <v>436</v>
      </c>
      <c r="C1262" s="11">
        <f ca="1">B1262*Reference!$C$7*(1-IF(MONTH($A1262)=Reference!$C$6,1,0)*Reference!$C$12)</f>
        <v>162192</v>
      </c>
      <c r="D1262" s="10">
        <f ca="1">ROUND(_xlfn.NORM.INV(RAND(),Reference!$D$8,0.1*Reference!$D$8)*(1+Reference!$D$11*(IF(MONTH($A1262)=Reference!$D$4,1,0)+IF(MONTH($A1262)=Reference!$D$5,1,0))+(IF(MONTH($A1262)=Reference!$D$6,Reference!$D$13,0))),0)</f>
        <v>466</v>
      </c>
      <c r="E1262" s="11">
        <f ca="1">D1262*Reference!$D$7*(1-IF(MONTH($A1262)=Reference!$D$6,1,0)*Reference!$D$12)</f>
        <v>349500</v>
      </c>
      <c r="M1262" s="20"/>
      <c r="N1262" s="20"/>
      <c r="O1262" s="19"/>
      <c r="P1262" s="10"/>
      <c r="Q1262" s="10"/>
      <c r="R1262" s="10"/>
      <c r="S1262" s="10"/>
      <c r="T1262" s="10"/>
      <c r="U1262" s="10"/>
      <c r="V1262" s="10"/>
      <c r="W1262" s="10"/>
      <c r="X1262" s="10"/>
      <c r="Y1262" s="10"/>
    </row>
    <row r="1263" spans="1:25" x14ac:dyDescent="0.25">
      <c r="A1263" s="9">
        <v>41801</v>
      </c>
      <c r="B1263" s="10">
        <f ca="1">ROUND(_xlfn.NORM.INV(RAND(),Reference!$C$8,0.1*Reference!$C$8)*(1+Reference!$C$11*(IF(MONTH($A1263)=Reference!$C$4,1,0)+IF(MONTH($A1263)=Reference!$C$5,1,0))+(IF(MONTH($A1263)=Reference!$C$6,Reference!$C$13,0))),0)</f>
        <v>399</v>
      </c>
      <c r="C1263" s="11">
        <f ca="1">B1263*Reference!$C$7*(1-IF(MONTH($A1263)=Reference!$C$6,1,0)*Reference!$C$12)</f>
        <v>148428</v>
      </c>
      <c r="D1263" s="10">
        <f ca="1">ROUND(_xlfn.NORM.INV(RAND(),Reference!$D$8,0.1*Reference!$D$8)*(1+Reference!$D$11*(IF(MONTH($A1263)=Reference!$D$4,1,0)+IF(MONTH($A1263)=Reference!$D$5,1,0))+(IF(MONTH($A1263)=Reference!$D$6,Reference!$D$13,0))),0)</f>
        <v>454</v>
      </c>
      <c r="E1263" s="11">
        <f ca="1">D1263*Reference!$D$7*(1-IF(MONTH($A1263)=Reference!$D$6,1,0)*Reference!$D$12)</f>
        <v>340500</v>
      </c>
      <c r="M1263" s="20"/>
      <c r="N1263" s="20"/>
      <c r="O1263" s="19"/>
      <c r="P1263" s="10"/>
      <c r="Q1263" s="10"/>
      <c r="R1263" s="10"/>
      <c r="S1263" s="10"/>
      <c r="T1263" s="10"/>
      <c r="U1263" s="10"/>
      <c r="V1263" s="10"/>
      <c r="W1263" s="10"/>
      <c r="X1263" s="10"/>
      <c r="Y1263" s="10"/>
    </row>
    <row r="1264" spans="1:25" x14ac:dyDescent="0.25">
      <c r="A1264" s="9">
        <v>41802</v>
      </c>
      <c r="B1264" s="10">
        <f ca="1">ROUND(_xlfn.NORM.INV(RAND(),Reference!$C$8,0.1*Reference!$C$8)*(1+Reference!$C$11*(IF(MONTH($A1264)=Reference!$C$4,1,0)+IF(MONTH($A1264)=Reference!$C$5,1,0))+(IF(MONTH($A1264)=Reference!$C$6,Reference!$C$13,0))),0)</f>
        <v>506</v>
      </c>
      <c r="C1264" s="11">
        <f ca="1">B1264*Reference!$C$7*(1-IF(MONTH($A1264)=Reference!$C$6,1,0)*Reference!$C$12)</f>
        <v>188232</v>
      </c>
      <c r="D1264" s="10">
        <f ca="1">ROUND(_xlfn.NORM.INV(RAND(),Reference!$D$8,0.1*Reference!$D$8)*(1+Reference!$D$11*(IF(MONTH($A1264)=Reference!$D$4,1,0)+IF(MONTH($A1264)=Reference!$D$5,1,0))+(IF(MONTH($A1264)=Reference!$D$6,Reference!$D$13,0))),0)</f>
        <v>472</v>
      </c>
      <c r="E1264" s="11">
        <f ca="1">D1264*Reference!$D$7*(1-IF(MONTH($A1264)=Reference!$D$6,1,0)*Reference!$D$12)</f>
        <v>354000</v>
      </c>
      <c r="M1264" s="20"/>
      <c r="N1264" s="20"/>
      <c r="O1264" s="19"/>
      <c r="P1264" s="10"/>
      <c r="Q1264" s="10"/>
      <c r="R1264" s="10"/>
      <c r="S1264" s="10"/>
      <c r="T1264" s="10"/>
      <c r="U1264" s="10"/>
      <c r="V1264" s="10"/>
      <c r="W1264" s="10"/>
      <c r="X1264" s="10"/>
      <c r="Y1264" s="10"/>
    </row>
    <row r="1265" spans="1:25" x14ac:dyDescent="0.25">
      <c r="A1265" s="9">
        <v>41803</v>
      </c>
      <c r="B1265" s="10">
        <f ca="1">ROUND(_xlfn.NORM.INV(RAND(),Reference!$C$8,0.1*Reference!$C$8)*(1+Reference!$C$11*(IF(MONTH($A1265)=Reference!$C$4,1,0)+IF(MONTH($A1265)=Reference!$C$5,1,0))+(IF(MONTH($A1265)=Reference!$C$6,Reference!$C$13,0))),0)</f>
        <v>500</v>
      </c>
      <c r="C1265" s="11">
        <f ca="1">B1265*Reference!$C$7*(1-IF(MONTH($A1265)=Reference!$C$6,1,0)*Reference!$C$12)</f>
        <v>186000</v>
      </c>
      <c r="D1265" s="10">
        <f ca="1">ROUND(_xlfn.NORM.INV(RAND(),Reference!$D$8,0.1*Reference!$D$8)*(1+Reference!$D$11*(IF(MONTH($A1265)=Reference!$D$4,1,0)+IF(MONTH($A1265)=Reference!$D$5,1,0))+(IF(MONTH($A1265)=Reference!$D$6,Reference!$D$13,0))),0)</f>
        <v>418</v>
      </c>
      <c r="E1265" s="11">
        <f ca="1">D1265*Reference!$D$7*(1-IF(MONTH($A1265)=Reference!$D$6,1,0)*Reference!$D$12)</f>
        <v>313500</v>
      </c>
      <c r="M1265" s="20"/>
      <c r="N1265" s="20"/>
      <c r="O1265" s="19"/>
      <c r="P1265" s="10"/>
      <c r="Q1265" s="10"/>
      <c r="R1265" s="10"/>
      <c r="S1265" s="10"/>
      <c r="T1265" s="10"/>
      <c r="U1265" s="10"/>
      <c r="V1265" s="10"/>
      <c r="W1265" s="10"/>
      <c r="X1265" s="10"/>
      <c r="Y1265" s="10"/>
    </row>
    <row r="1266" spans="1:25" x14ac:dyDescent="0.25">
      <c r="A1266" s="9">
        <v>41804</v>
      </c>
      <c r="B1266" s="10">
        <f ca="1">ROUND(_xlfn.NORM.INV(RAND(),Reference!$C$8,0.1*Reference!$C$8)*(1+Reference!$C$11*(IF(MONTH($A1266)=Reference!$C$4,1,0)+IF(MONTH($A1266)=Reference!$C$5,1,0))+(IF(MONTH($A1266)=Reference!$C$6,Reference!$C$13,0))),0)</f>
        <v>476</v>
      </c>
      <c r="C1266" s="11">
        <f ca="1">B1266*Reference!$C$7*(1-IF(MONTH($A1266)=Reference!$C$6,1,0)*Reference!$C$12)</f>
        <v>177072</v>
      </c>
      <c r="D1266" s="10">
        <f ca="1">ROUND(_xlfn.NORM.INV(RAND(),Reference!$D$8,0.1*Reference!$D$8)*(1+Reference!$D$11*(IF(MONTH($A1266)=Reference!$D$4,1,0)+IF(MONTH($A1266)=Reference!$D$5,1,0))+(IF(MONTH($A1266)=Reference!$D$6,Reference!$D$13,0))),0)</f>
        <v>451</v>
      </c>
      <c r="E1266" s="11">
        <f ca="1">D1266*Reference!$D$7*(1-IF(MONTH($A1266)=Reference!$D$6,1,0)*Reference!$D$12)</f>
        <v>338250</v>
      </c>
      <c r="M1266" s="20"/>
      <c r="N1266" s="20"/>
      <c r="O1266" s="19"/>
      <c r="P1266" s="10"/>
      <c r="Q1266" s="10"/>
      <c r="R1266" s="10"/>
      <c r="S1266" s="10"/>
      <c r="T1266" s="10"/>
      <c r="U1266" s="10"/>
      <c r="V1266" s="10"/>
      <c r="W1266" s="10"/>
      <c r="X1266" s="10"/>
      <c r="Y1266" s="10"/>
    </row>
    <row r="1267" spans="1:25" x14ac:dyDescent="0.25">
      <c r="A1267" s="9">
        <v>41805</v>
      </c>
      <c r="B1267" s="10">
        <f ca="1">ROUND(_xlfn.NORM.INV(RAND(),Reference!$C$8,0.1*Reference!$C$8)*(1+Reference!$C$11*(IF(MONTH($A1267)=Reference!$C$4,1,0)+IF(MONTH($A1267)=Reference!$C$5,1,0))+(IF(MONTH($A1267)=Reference!$C$6,Reference!$C$13,0))),0)</f>
        <v>486</v>
      </c>
      <c r="C1267" s="11">
        <f ca="1">B1267*Reference!$C$7*(1-IF(MONTH($A1267)=Reference!$C$6,1,0)*Reference!$C$12)</f>
        <v>180792</v>
      </c>
      <c r="D1267" s="10">
        <f ca="1">ROUND(_xlfn.NORM.INV(RAND(),Reference!$D$8,0.1*Reference!$D$8)*(1+Reference!$D$11*(IF(MONTH($A1267)=Reference!$D$4,1,0)+IF(MONTH($A1267)=Reference!$D$5,1,0))+(IF(MONTH($A1267)=Reference!$D$6,Reference!$D$13,0))),0)</f>
        <v>350</v>
      </c>
      <c r="E1267" s="11">
        <f ca="1">D1267*Reference!$D$7*(1-IF(MONTH($A1267)=Reference!$D$6,1,0)*Reference!$D$12)</f>
        <v>262500</v>
      </c>
      <c r="M1267" s="20"/>
      <c r="N1267" s="20"/>
      <c r="O1267" s="19"/>
      <c r="P1267" s="10"/>
      <c r="Q1267" s="10"/>
      <c r="R1267" s="10"/>
      <c r="S1267" s="10"/>
      <c r="T1267" s="10"/>
      <c r="U1267" s="10"/>
      <c r="V1267" s="10"/>
      <c r="W1267" s="10"/>
      <c r="X1267" s="10"/>
      <c r="Y1267" s="10"/>
    </row>
    <row r="1268" spans="1:25" x14ac:dyDescent="0.25">
      <c r="A1268" s="9">
        <v>41806</v>
      </c>
      <c r="B1268" s="10">
        <f ca="1">ROUND(_xlfn.NORM.INV(RAND(),Reference!$C$8,0.1*Reference!$C$8)*(1+Reference!$C$11*(IF(MONTH($A1268)=Reference!$C$4,1,0)+IF(MONTH($A1268)=Reference!$C$5,1,0))+(IF(MONTH($A1268)=Reference!$C$6,Reference!$C$13,0))),0)</f>
        <v>549</v>
      </c>
      <c r="C1268" s="11">
        <f ca="1">B1268*Reference!$C$7*(1-IF(MONTH($A1268)=Reference!$C$6,1,0)*Reference!$C$12)</f>
        <v>204228</v>
      </c>
      <c r="D1268" s="10">
        <f ca="1">ROUND(_xlfn.NORM.INV(RAND(),Reference!$D$8,0.1*Reference!$D$8)*(1+Reference!$D$11*(IF(MONTH($A1268)=Reference!$D$4,1,0)+IF(MONTH($A1268)=Reference!$D$5,1,0))+(IF(MONTH($A1268)=Reference!$D$6,Reference!$D$13,0))),0)</f>
        <v>478</v>
      </c>
      <c r="E1268" s="11">
        <f ca="1">D1268*Reference!$D$7*(1-IF(MONTH($A1268)=Reference!$D$6,1,0)*Reference!$D$12)</f>
        <v>358500</v>
      </c>
      <c r="M1268" s="20"/>
      <c r="N1268" s="20"/>
      <c r="O1268" s="19"/>
      <c r="P1268" s="10"/>
      <c r="Q1268" s="10"/>
      <c r="R1268" s="10"/>
      <c r="S1268" s="10"/>
      <c r="T1268" s="10"/>
      <c r="U1268" s="10"/>
      <c r="V1268" s="10"/>
      <c r="W1268" s="10"/>
      <c r="X1268" s="10"/>
      <c r="Y1268" s="10"/>
    </row>
    <row r="1269" spans="1:25" x14ac:dyDescent="0.25">
      <c r="A1269" s="9">
        <v>41807</v>
      </c>
      <c r="B1269" s="10">
        <f ca="1">ROUND(_xlfn.NORM.INV(RAND(),Reference!$C$8,0.1*Reference!$C$8)*(1+Reference!$C$11*(IF(MONTH($A1269)=Reference!$C$4,1,0)+IF(MONTH($A1269)=Reference!$C$5,1,0))+(IF(MONTH($A1269)=Reference!$C$6,Reference!$C$13,0))),0)</f>
        <v>470</v>
      </c>
      <c r="C1269" s="11">
        <f ca="1">B1269*Reference!$C$7*(1-IF(MONTH($A1269)=Reference!$C$6,1,0)*Reference!$C$12)</f>
        <v>174840</v>
      </c>
      <c r="D1269" s="10">
        <f ca="1">ROUND(_xlfn.NORM.INV(RAND(),Reference!$D$8,0.1*Reference!$D$8)*(1+Reference!$D$11*(IF(MONTH($A1269)=Reference!$D$4,1,0)+IF(MONTH($A1269)=Reference!$D$5,1,0))+(IF(MONTH($A1269)=Reference!$D$6,Reference!$D$13,0))),0)</f>
        <v>457</v>
      </c>
      <c r="E1269" s="11">
        <f ca="1">D1269*Reference!$D$7*(1-IF(MONTH($A1269)=Reference!$D$6,1,0)*Reference!$D$12)</f>
        <v>342750</v>
      </c>
      <c r="M1269" s="20"/>
      <c r="N1269" s="20"/>
      <c r="O1269" s="19"/>
      <c r="P1269" s="10"/>
      <c r="Q1269" s="10"/>
      <c r="R1269" s="10"/>
      <c r="S1269" s="10"/>
      <c r="T1269" s="10"/>
      <c r="U1269" s="10"/>
      <c r="V1269" s="10"/>
      <c r="W1269" s="10"/>
      <c r="X1269" s="10"/>
      <c r="Y1269" s="10"/>
    </row>
    <row r="1270" spans="1:25" x14ac:dyDescent="0.25">
      <c r="A1270" s="9">
        <v>41808</v>
      </c>
      <c r="B1270" s="10">
        <f ca="1">ROUND(_xlfn.NORM.INV(RAND(),Reference!$C$8,0.1*Reference!$C$8)*(1+Reference!$C$11*(IF(MONTH($A1270)=Reference!$C$4,1,0)+IF(MONTH($A1270)=Reference!$C$5,1,0))+(IF(MONTH($A1270)=Reference!$C$6,Reference!$C$13,0))),0)</f>
        <v>426</v>
      </c>
      <c r="C1270" s="11">
        <f ca="1">B1270*Reference!$C$7*(1-IF(MONTH($A1270)=Reference!$C$6,1,0)*Reference!$C$12)</f>
        <v>158472</v>
      </c>
      <c r="D1270" s="10">
        <f ca="1">ROUND(_xlfn.NORM.INV(RAND(),Reference!$D$8,0.1*Reference!$D$8)*(1+Reference!$D$11*(IF(MONTH($A1270)=Reference!$D$4,1,0)+IF(MONTH($A1270)=Reference!$D$5,1,0))+(IF(MONTH($A1270)=Reference!$D$6,Reference!$D$13,0))),0)</f>
        <v>509</v>
      </c>
      <c r="E1270" s="11">
        <f ca="1">D1270*Reference!$D$7*(1-IF(MONTH($A1270)=Reference!$D$6,1,0)*Reference!$D$12)</f>
        <v>381750</v>
      </c>
      <c r="M1270" s="20"/>
      <c r="N1270" s="20"/>
      <c r="O1270" s="19"/>
      <c r="P1270" s="10"/>
      <c r="Q1270" s="10"/>
      <c r="R1270" s="10"/>
      <c r="S1270" s="10"/>
      <c r="T1270" s="10"/>
      <c r="U1270" s="10"/>
      <c r="V1270" s="10"/>
      <c r="W1270" s="10"/>
      <c r="X1270" s="10"/>
      <c r="Y1270" s="10"/>
    </row>
    <row r="1271" spans="1:25" x14ac:dyDescent="0.25">
      <c r="A1271" s="9">
        <v>41809</v>
      </c>
      <c r="B1271" s="10">
        <f ca="1">ROUND(_xlfn.NORM.INV(RAND(),Reference!$C$8,0.1*Reference!$C$8)*(1+Reference!$C$11*(IF(MONTH($A1271)=Reference!$C$4,1,0)+IF(MONTH($A1271)=Reference!$C$5,1,0))+(IF(MONTH($A1271)=Reference!$C$6,Reference!$C$13,0))),0)</f>
        <v>425</v>
      </c>
      <c r="C1271" s="11">
        <f ca="1">B1271*Reference!$C$7*(1-IF(MONTH($A1271)=Reference!$C$6,1,0)*Reference!$C$12)</f>
        <v>158100</v>
      </c>
      <c r="D1271" s="10">
        <f ca="1">ROUND(_xlfn.NORM.INV(RAND(),Reference!$D$8,0.1*Reference!$D$8)*(1+Reference!$D$11*(IF(MONTH($A1271)=Reference!$D$4,1,0)+IF(MONTH($A1271)=Reference!$D$5,1,0))+(IF(MONTH($A1271)=Reference!$D$6,Reference!$D$13,0))),0)</f>
        <v>438</v>
      </c>
      <c r="E1271" s="11">
        <f ca="1">D1271*Reference!$D$7*(1-IF(MONTH($A1271)=Reference!$D$6,1,0)*Reference!$D$12)</f>
        <v>328500</v>
      </c>
      <c r="M1271" s="20"/>
      <c r="N1271" s="20"/>
      <c r="O1271" s="19"/>
      <c r="P1271" s="10"/>
      <c r="Q1271" s="10"/>
      <c r="R1271" s="10"/>
      <c r="S1271" s="10"/>
      <c r="T1271" s="10"/>
      <c r="U1271" s="10"/>
      <c r="V1271" s="10"/>
      <c r="W1271" s="10"/>
      <c r="X1271" s="10"/>
      <c r="Y1271" s="10"/>
    </row>
    <row r="1272" spans="1:25" x14ac:dyDescent="0.25">
      <c r="A1272" s="9">
        <v>41810</v>
      </c>
      <c r="B1272" s="10">
        <f ca="1">ROUND(_xlfn.NORM.INV(RAND(),Reference!$C$8,0.1*Reference!$C$8)*(1+Reference!$C$11*(IF(MONTH($A1272)=Reference!$C$4,1,0)+IF(MONTH($A1272)=Reference!$C$5,1,0))+(IF(MONTH($A1272)=Reference!$C$6,Reference!$C$13,0))),0)</f>
        <v>405</v>
      </c>
      <c r="C1272" s="11">
        <f ca="1">B1272*Reference!$C$7*(1-IF(MONTH($A1272)=Reference!$C$6,1,0)*Reference!$C$12)</f>
        <v>150660</v>
      </c>
      <c r="D1272" s="10">
        <f ca="1">ROUND(_xlfn.NORM.INV(RAND(),Reference!$D$8,0.1*Reference!$D$8)*(1+Reference!$D$11*(IF(MONTH($A1272)=Reference!$D$4,1,0)+IF(MONTH($A1272)=Reference!$D$5,1,0))+(IF(MONTH($A1272)=Reference!$D$6,Reference!$D$13,0))),0)</f>
        <v>538</v>
      </c>
      <c r="E1272" s="11">
        <f ca="1">D1272*Reference!$D$7*(1-IF(MONTH($A1272)=Reference!$D$6,1,0)*Reference!$D$12)</f>
        <v>403500</v>
      </c>
      <c r="M1272" s="20"/>
      <c r="N1272" s="20"/>
      <c r="O1272" s="19"/>
      <c r="P1272" s="10"/>
      <c r="Q1272" s="10"/>
      <c r="R1272" s="10"/>
      <c r="S1272" s="10"/>
      <c r="T1272" s="10"/>
      <c r="U1272" s="10"/>
      <c r="V1272" s="10"/>
      <c r="W1272" s="10"/>
      <c r="X1272" s="10"/>
      <c r="Y1272" s="10"/>
    </row>
    <row r="1273" spans="1:25" x14ac:dyDescent="0.25">
      <c r="A1273" s="9">
        <v>41811</v>
      </c>
      <c r="B1273" s="10">
        <f ca="1">ROUND(_xlfn.NORM.INV(RAND(),Reference!$C$8,0.1*Reference!$C$8)*(1+Reference!$C$11*(IF(MONTH($A1273)=Reference!$C$4,1,0)+IF(MONTH($A1273)=Reference!$C$5,1,0))+(IF(MONTH($A1273)=Reference!$C$6,Reference!$C$13,0))),0)</f>
        <v>435</v>
      </c>
      <c r="C1273" s="11">
        <f ca="1">B1273*Reference!$C$7*(1-IF(MONTH($A1273)=Reference!$C$6,1,0)*Reference!$C$12)</f>
        <v>161820</v>
      </c>
      <c r="D1273" s="10">
        <f ca="1">ROUND(_xlfn.NORM.INV(RAND(),Reference!$D$8,0.1*Reference!$D$8)*(1+Reference!$D$11*(IF(MONTH($A1273)=Reference!$D$4,1,0)+IF(MONTH($A1273)=Reference!$D$5,1,0))+(IF(MONTH($A1273)=Reference!$D$6,Reference!$D$13,0))),0)</f>
        <v>472</v>
      </c>
      <c r="E1273" s="11">
        <f ca="1">D1273*Reference!$D$7*(1-IF(MONTH($A1273)=Reference!$D$6,1,0)*Reference!$D$12)</f>
        <v>354000</v>
      </c>
      <c r="M1273" s="20"/>
      <c r="N1273" s="20"/>
      <c r="O1273" s="19"/>
      <c r="P1273" s="10"/>
      <c r="Q1273" s="10"/>
      <c r="R1273" s="10"/>
      <c r="S1273" s="10"/>
      <c r="T1273" s="10"/>
      <c r="U1273" s="10"/>
      <c r="V1273" s="10"/>
      <c r="W1273" s="10"/>
      <c r="X1273" s="10"/>
      <c r="Y1273" s="10"/>
    </row>
    <row r="1274" spans="1:25" x14ac:dyDescent="0.25">
      <c r="A1274" s="9">
        <v>41812</v>
      </c>
      <c r="B1274" s="10">
        <f ca="1">ROUND(_xlfn.NORM.INV(RAND(),Reference!$C$8,0.1*Reference!$C$8)*(1+Reference!$C$11*(IF(MONTH($A1274)=Reference!$C$4,1,0)+IF(MONTH($A1274)=Reference!$C$5,1,0))+(IF(MONTH($A1274)=Reference!$C$6,Reference!$C$13,0))),0)</f>
        <v>435</v>
      </c>
      <c r="C1274" s="11">
        <f ca="1">B1274*Reference!$C$7*(1-IF(MONTH($A1274)=Reference!$C$6,1,0)*Reference!$C$12)</f>
        <v>161820</v>
      </c>
      <c r="D1274" s="10">
        <f ca="1">ROUND(_xlfn.NORM.INV(RAND(),Reference!$D$8,0.1*Reference!$D$8)*(1+Reference!$D$11*(IF(MONTH($A1274)=Reference!$D$4,1,0)+IF(MONTH($A1274)=Reference!$D$5,1,0))+(IF(MONTH($A1274)=Reference!$D$6,Reference!$D$13,0))),0)</f>
        <v>441</v>
      </c>
      <c r="E1274" s="11">
        <f ca="1">D1274*Reference!$D$7*(1-IF(MONTH($A1274)=Reference!$D$6,1,0)*Reference!$D$12)</f>
        <v>330750</v>
      </c>
      <c r="M1274" s="20"/>
      <c r="N1274" s="20"/>
      <c r="O1274" s="19"/>
      <c r="P1274" s="10"/>
      <c r="Q1274" s="10"/>
      <c r="R1274" s="10"/>
      <c r="S1274" s="10"/>
      <c r="T1274" s="10"/>
      <c r="U1274" s="10"/>
      <c r="V1274" s="10"/>
      <c r="W1274" s="10"/>
      <c r="X1274" s="10"/>
      <c r="Y1274" s="10"/>
    </row>
    <row r="1275" spans="1:25" x14ac:dyDescent="0.25">
      <c r="A1275" s="9">
        <v>41813</v>
      </c>
      <c r="B1275" s="10">
        <f ca="1">ROUND(_xlfn.NORM.INV(RAND(),Reference!$C$8,0.1*Reference!$C$8)*(1+Reference!$C$11*(IF(MONTH($A1275)=Reference!$C$4,1,0)+IF(MONTH($A1275)=Reference!$C$5,1,0))+(IF(MONTH($A1275)=Reference!$C$6,Reference!$C$13,0))),0)</f>
        <v>445</v>
      </c>
      <c r="C1275" s="11">
        <f ca="1">B1275*Reference!$C$7*(1-IF(MONTH($A1275)=Reference!$C$6,1,0)*Reference!$C$12)</f>
        <v>165540</v>
      </c>
      <c r="D1275" s="10">
        <f ca="1">ROUND(_xlfn.NORM.INV(RAND(),Reference!$D$8,0.1*Reference!$D$8)*(1+Reference!$D$11*(IF(MONTH($A1275)=Reference!$D$4,1,0)+IF(MONTH($A1275)=Reference!$D$5,1,0))+(IF(MONTH($A1275)=Reference!$D$6,Reference!$D$13,0))),0)</f>
        <v>494</v>
      </c>
      <c r="E1275" s="11">
        <f ca="1">D1275*Reference!$D$7*(1-IF(MONTH($A1275)=Reference!$D$6,1,0)*Reference!$D$12)</f>
        <v>370500</v>
      </c>
      <c r="M1275" s="20"/>
      <c r="N1275" s="20"/>
      <c r="O1275" s="19"/>
      <c r="P1275" s="10"/>
      <c r="Q1275" s="10"/>
      <c r="R1275" s="10"/>
      <c r="S1275" s="10"/>
      <c r="T1275" s="10"/>
      <c r="U1275" s="10"/>
      <c r="V1275" s="10"/>
      <c r="W1275" s="10"/>
      <c r="X1275" s="10"/>
      <c r="Y1275" s="10"/>
    </row>
    <row r="1276" spans="1:25" x14ac:dyDescent="0.25">
      <c r="A1276" s="9">
        <v>41814</v>
      </c>
      <c r="B1276" s="10">
        <f ca="1">ROUND(_xlfn.NORM.INV(RAND(),Reference!$C$8,0.1*Reference!$C$8)*(1+Reference!$C$11*(IF(MONTH($A1276)=Reference!$C$4,1,0)+IF(MONTH($A1276)=Reference!$C$5,1,0))+(IF(MONTH($A1276)=Reference!$C$6,Reference!$C$13,0))),0)</f>
        <v>458</v>
      </c>
      <c r="C1276" s="11">
        <f ca="1">B1276*Reference!$C$7*(1-IF(MONTH($A1276)=Reference!$C$6,1,0)*Reference!$C$12)</f>
        <v>170376</v>
      </c>
      <c r="D1276" s="10">
        <f ca="1">ROUND(_xlfn.NORM.INV(RAND(),Reference!$D$8,0.1*Reference!$D$8)*(1+Reference!$D$11*(IF(MONTH($A1276)=Reference!$D$4,1,0)+IF(MONTH($A1276)=Reference!$D$5,1,0))+(IF(MONTH($A1276)=Reference!$D$6,Reference!$D$13,0))),0)</f>
        <v>407</v>
      </c>
      <c r="E1276" s="11">
        <f ca="1">D1276*Reference!$D$7*(1-IF(MONTH($A1276)=Reference!$D$6,1,0)*Reference!$D$12)</f>
        <v>305250</v>
      </c>
      <c r="M1276" s="20"/>
      <c r="N1276" s="20"/>
      <c r="O1276" s="19"/>
      <c r="P1276" s="10"/>
      <c r="Q1276" s="10"/>
      <c r="R1276" s="10"/>
      <c r="S1276" s="10"/>
      <c r="T1276" s="10"/>
      <c r="U1276" s="10"/>
      <c r="V1276" s="10"/>
      <c r="W1276" s="10"/>
      <c r="X1276" s="10"/>
      <c r="Y1276" s="10"/>
    </row>
    <row r="1277" spans="1:25" x14ac:dyDescent="0.25">
      <c r="A1277" s="9">
        <v>41815</v>
      </c>
      <c r="B1277" s="10">
        <f ca="1">ROUND(_xlfn.NORM.INV(RAND(),Reference!$C$8,0.1*Reference!$C$8)*(1+Reference!$C$11*(IF(MONTH($A1277)=Reference!$C$4,1,0)+IF(MONTH($A1277)=Reference!$C$5,1,0))+(IF(MONTH($A1277)=Reference!$C$6,Reference!$C$13,0))),0)</f>
        <v>424</v>
      </c>
      <c r="C1277" s="11">
        <f ca="1">B1277*Reference!$C$7*(1-IF(MONTH($A1277)=Reference!$C$6,1,0)*Reference!$C$12)</f>
        <v>157728</v>
      </c>
      <c r="D1277" s="10">
        <f ca="1">ROUND(_xlfn.NORM.INV(RAND(),Reference!$D$8,0.1*Reference!$D$8)*(1+Reference!$D$11*(IF(MONTH($A1277)=Reference!$D$4,1,0)+IF(MONTH($A1277)=Reference!$D$5,1,0))+(IF(MONTH($A1277)=Reference!$D$6,Reference!$D$13,0))),0)</f>
        <v>510</v>
      </c>
      <c r="E1277" s="11">
        <f ca="1">D1277*Reference!$D$7*(1-IF(MONTH($A1277)=Reference!$D$6,1,0)*Reference!$D$12)</f>
        <v>382500</v>
      </c>
      <c r="M1277" s="20"/>
      <c r="N1277" s="20"/>
      <c r="O1277" s="19"/>
      <c r="P1277" s="10"/>
      <c r="Q1277" s="10"/>
      <c r="R1277" s="10"/>
      <c r="S1277" s="10"/>
      <c r="T1277" s="10"/>
      <c r="U1277" s="10"/>
      <c r="V1277" s="10"/>
      <c r="W1277" s="10"/>
      <c r="X1277" s="10"/>
      <c r="Y1277" s="10"/>
    </row>
    <row r="1278" spans="1:25" x14ac:dyDescent="0.25">
      <c r="A1278" s="9">
        <v>41816</v>
      </c>
      <c r="B1278" s="10">
        <f ca="1">ROUND(_xlfn.NORM.INV(RAND(),Reference!$C$8,0.1*Reference!$C$8)*(1+Reference!$C$11*(IF(MONTH($A1278)=Reference!$C$4,1,0)+IF(MONTH($A1278)=Reference!$C$5,1,0))+(IF(MONTH($A1278)=Reference!$C$6,Reference!$C$13,0))),0)</f>
        <v>505</v>
      </c>
      <c r="C1278" s="11">
        <f ca="1">B1278*Reference!$C$7*(1-IF(MONTH($A1278)=Reference!$C$6,1,0)*Reference!$C$12)</f>
        <v>187860</v>
      </c>
      <c r="D1278" s="10">
        <f ca="1">ROUND(_xlfn.NORM.INV(RAND(),Reference!$D$8,0.1*Reference!$D$8)*(1+Reference!$D$11*(IF(MONTH($A1278)=Reference!$D$4,1,0)+IF(MONTH($A1278)=Reference!$D$5,1,0))+(IF(MONTH($A1278)=Reference!$D$6,Reference!$D$13,0))),0)</f>
        <v>419</v>
      </c>
      <c r="E1278" s="11">
        <f ca="1">D1278*Reference!$D$7*(1-IF(MONTH($A1278)=Reference!$D$6,1,0)*Reference!$D$12)</f>
        <v>314250</v>
      </c>
      <c r="M1278" s="20"/>
      <c r="N1278" s="20"/>
      <c r="O1278" s="19"/>
      <c r="P1278" s="10"/>
      <c r="Q1278" s="10"/>
      <c r="R1278" s="10"/>
      <c r="S1278" s="10"/>
      <c r="T1278" s="10"/>
      <c r="U1278" s="10"/>
      <c r="V1278" s="10"/>
      <c r="W1278" s="10"/>
      <c r="X1278" s="10"/>
      <c r="Y1278" s="10"/>
    </row>
    <row r="1279" spans="1:25" x14ac:dyDescent="0.25">
      <c r="A1279" s="9">
        <v>41817</v>
      </c>
      <c r="B1279" s="10">
        <f ca="1">ROUND(_xlfn.NORM.INV(RAND(),Reference!$C$8,0.1*Reference!$C$8)*(1+Reference!$C$11*(IF(MONTH($A1279)=Reference!$C$4,1,0)+IF(MONTH($A1279)=Reference!$C$5,1,0))+(IF(MONTH($A1279)=Reference!$C$6,Reference!$C$13,0))),0)</f>
        <v>420</v>
      </c>
      <c r="C1279" s="11">
        <f ca="1">B1279*Reference!$C$7*(1-IF(MONTH($A1279)=Reference!$C$6,1,0)*Reference!$C$12)</f>
        <v>156240</v>
      </c>
      <c r="D1279" s="10">
        <f ca="1">ROUND(_xlfn.NORM.INV(RAND(),Reference!$D$8,0.1*Reference!$D$8)*(1+Reference!$D$11*(IF(MONTH($A1279)=Reference!$D$4,1,0)+IF(MONTH($A1279)=Reference!$D$5,1,0))+(IF(MONTH($A1279)=Reference!$D$6,Reference!$D$13,0))),0)</f>
        <v>479</v>
      </c>
      <c r="E1279" s="11">
        <f ca="1">D1279*Reference!$D$7*(1-IF(MONTH($A1279)=Reference!$D$6,1,0)*Reference!$D$12)</f>
        <v>359250</v>
      </c>
      <c r="M1279" s="20"/>
      <c r="N1279" s="20"/>
      <c r="O1279" s="19"/>
      <c r="P1279" s="10"/>
      <c r="Q1279" s="10"/>
      <c r="R1279" s="10"/>
      <c r="S1279" s="10"/>
      <c r="T1279" s="10"/>
      <c r="U1279" s="10"/>
      <c r="V1279" s="10"/>
      <c r="W1279" s="10"/>
      <c r="X1279" s="10"/>
      <c r="Y1279" s="10"/>
    </row>
    <row r="1280" spans="1:25" x14ac:dyDescent="0.25">
      <c r="A1280" s="9">
        <v>41818</v>
      </c>
      <c r="B1280" s="10">
        <f ca="1">ROUND(_xlfn.NORM.INV(RAND(),Reference!$C$8,0.1*Reference!$C$8)*(1+Reference!$C$11*(IF(MONTH($A1280)=Reference!$C$4,1,0)+IF(MONTH($A1280)=Reference!$C$5,1,0))+(IF(MONTH($A1280)=Reference!$C$6,Reference!$C$13,0))),0)</f>
        <v>517</v>
      </c>
      <c r="C1280" s="11">
        <f ca="1">B1280*Reference!$C$7*(1-IF(MONTH($A1280)=Reference!$C$6,1,0)*Reference!$C$12)</f>
        <v>192324</v>
      </c>
      <c r="D1280" s="10">
        <f ca="1">ROUND(_xlfn.NORM.INV(RAND(),Reference!$D$8,0.1*Reference!$D$8)*(1+Reference!$D$11*(IF(MONTH($A1280)=Reference!$D$4,1,0)+IF(MONTH($A1280)=Reference!$D$5,1,0))+(IF(MONTH($A1280)=Reference!$D$6,Reference!$D$13,0))),0)</f>
        <v>401</v>
      </c>
      <c r="E1280" s="11">
        <f ca="1">D1280*Reference!$D$7*(1-IF(MONTH($A1280)=Reference!$D$6,1,0)*Reference!$D$12)</f>
        <v>300750</v>
      </c>
      <c r="M1280" s="20"/>
      <c r="N1280" s="20"/>
      <c r="O1280" s="19"/>
      <c r="P1280" s="10"/>
      <c r="Q1280" s="10"/>
      <c r="R1280" s="10"/>
      <c r="S1280" s="10"/>
      <c r="T1280" s="10"/>
      <c r="U1280" s="10"/>
      <c r="V1280" s="10"/>
      <c r="W1280" s="10"/>
      <c r="X1280" s="10"/>
      <c r="Y1280" s="10"/>
    </row>
    <row r="1281" spans="1:25" x14ac:dyDescent="0.25">
      <c r="A1281" s="9">
        <v>41819</v>
      </c>
      <c r="B1281" s="10">
        <f ca="1">ROUND(_xlfn.NORM.INV(RAND(),Reference!$C$8,0.1*Reference!$C$8)*(1+Reference!$C$11*(IF(MONTH($A1281)=Reference!$C$4,1,0)+IF(MONTH($A1281)=Reference!$C$5,1,0))+(IF(MONTH($A1281)=Reference!$C$6,Reference!$C$13,0))),0)</f>
        <v>491</v>
      </c>
      <c r="C1281" s="11">
        <f ca="1">B1281*Reference!$C$7*(1-IF(MONTH($A1281)=Reference!$C$6,1,0)*Reference!$C$12)</f>
        <v>182652</v>
      </c>
      <c r="D1281" s="10">
        <f ca="1">ROUND(_xlfn.NORM.INV(RAND(),Reference!$D$8,0.1*Reference!$D$8)*(1+Reference!$D$11*(IF(MONTH($A1281)=Reference!$D$4,1,0)+IF(MONTH($A1281)=Reference!$D$5,1,0))+(IF(MONTH($A1281)=Reference!$D$6,Reference!$D$13,0))),0)</f>
        <v>463</v>
      </c>
      <c r="E1281" s="11">
        <f ca="1">D1281*Reference!$D$7*(1-IF(MONTH($A1281)=Reference!$D$6,1,0)*Reference!$D$12)</f>
        <v>347250</v>
      </c>
      <c r="M1281" s="20"/>
      <c r="N1281" s="20"/>
      <c r="O1281" s="19"/>
      <c r="P1281" s="10"/>
      <c r="Q1281" s="10"/>
      <c r="R1281" s="10"/>
      <c r="S1281" s="10"/>
      <c r="T1281" s="10"/>
      <c r="U1281" s="10"/>
      <c r="V1281" s="10"/>
      <c r="W1281" s="10"/>
      <c r="X1281" s="10"/>
      <c r="Y1281" s="10"/>
    </row>
    <row r="1282" spans="1:25" x14ac:dyDescent="0.25">
      <c r="A1282" s="9">
        <v>41820</v>
      </c>
      <c r="B1282" s="10">
        <f ca="1">ROUND(_xlfn.NORM.INV(RAND(),Reference!$C$8,0.1*Reference!$C$8)*(1+Reference!$C$11*(IF(MONTH($A1282)=Reference!$C$4,1,0)+IF(MONTH($A1282)=Reference!$C$5,1,0))+(IF(MONTH($A1282)=Reference!$C$6,Reference!$C$13,0))),0)</f>
        <v>462</v>
      </c>
      <c r="C1282" s="11">
        <f ca="1">B1282*Reference!$C$7*(1-IF(MONTH($A1282)=Reference!$C$6,1,0)*Reference!$C$12)</f>
        <v>171864</v>
      </c>
      <c r="D1282" s="10">
        <f ca="1">ROUND(_xlfn.NORM.INV(RAND(),Reference!$D$8,0.1*Reference!$D$8)*(1+Reference!$D$11*(IF(MONTH($A1282)=Reference!$D$4,1,0)+IF(MONTH($A1282)=Reference!$D$5,1,0))+(IF(MONTH($A1282)=Reference!$D$6,Reference!$D$13,0))),0)</f>
        <v>404</v>
      </c>
      <c r="E1282" s="11">
        <f ca="1">D1282*Reference!$D$7*(1-IF(MONTH($A1282)=Reference!$D$6,1,0)*Reference!$D$12)</f>
        <v>303000</v>
      </c>
      <c r="M1282" s="20"/>
      <c r="N1282" s="20"/>
      <c r="O1282" s="19"/>
      <c r="P1282" s="10"/>
      <c r="Q1282" s="10"/>
      <c r="R1282" s="10"/>
      <c r="S1282" s="10"/>
      <c r="T1282" s="10"/>
      <c r="U1282" s="10"/>
      <c r="V1282" s="10"/>
      <c r="W1282" s="10"/>
      <c r="X1282" s="10"/>
      <c r="Y1282" s="10"/>
    </row>
    <row r="1283" spans="1:25" x14ac:dyDescent="0.25">
      <c r="A1283" s="9">
        <v>41821</v>
      </c>
      <c r="B1283" s="10">
        <f ca="1">ROUND(_xlfn.NORM.INV(RAND(),Reference!$C$8,0.1*Reference!$C$8)*(1+Reference!$C$11*(IF(MONTH($A1283)=Reference!$C$4,1,0)+IF(MONTH($A1283)=Reference!$C$5,1,0))+(IF(MONTH($A1283)=Reference!$C$6,Reference!$C$13,0))),0)</f>
        <v>368</v>
      </c>
      <c r="C1283" s="11">
        <f ca="1">B1283*Reference!$C$7*(1-IF(MONTH($A1283)=Reference!$C$6,1,0)*Reference!$C$12)</f>
        <v>342240</v>
      </c>
      <c r="D1283" s="10">
        <f ca="1">ROUND(_xlfn.NORM.INV(RAND(),Reference!$D$8,0.1*Reference!$D$8)*(1+Reference!$D$11*(IF(MONTH($A1283)=Reference!$D$4,1,0)+IF(MONTH($A1283)=Reference!$D$5,1,0))+(IF(MONTH($A1283)=Reference!$D$6,Reference!$D$13,0))),0)</f>
        <v>443</v>
      </c>
      <c r="E1283" s="11">
        <f ca="1">D1283*Reference!$D$7*(1-IF(MONTH($A1283)=Reference!$D$6,1,0)*Reference!$D$12)</f>
        <v>332250</v>
      </c>
      <c r="M1283" s="20"/>
      <c r="N1283" s="20"/>
      <c r="O1283" s="19"/>
      <c r="P1283" s="10"/>
      <c r="Q1283" s="10"/>
      <c r="R1283" s="10"/>
      <c r="S1283" s="10"/>
      <c r="T1283" s="10"/>
      <c r="U1283" s="10"/>
      <c r="V1283" s="10"/>
      <c r="W1283" s="10"/>
      <c r="X1283" s="10"/>
      <c r="Y1283" s="10"/>
    </row>
    <row r="1284" spans="1:25" x14ac:dyDescent="0.25">
      <c r="A1284" s="9">
        <v>41822</v>
      </c>
      <c r="B1284" s="10">
        <f ca="1">ROUND(_xlfn.NORM.INV(RAND(),Reference!$C$8,0.1*Reference!$C$8)*(1+Reference!$C$11*(IF(MONTH($A1284)=Reference!$C$4,1,0)+IF(MONTH($A1284)=Reference!$C$5,1,0))+(IF(MONTH($A1284)=Reference!$C$6,Reference!$C$13,0))),0)</f>
        <v>372</v>
      </c>
      <c r="C1284" s="11">
        <f ca="1">B1284*Reference!$C$7*(1-IF(MONTH($A1284)=Reference!$C$6,1,0)*Reference!$C$12)</f>
        <v>345960</v>
      </c>
      <c r="D1284" s="10">
        <f ca="1">ROUND(_xlfn.NORM.INV(RAND(),Reference!$D$8,0.1*Reference!$D$8)*(1+Reference!$D$11*(IF(MONTH($A1284)=Reference!$D$4,1,0)+IF(MONTH($A1284)=Reference!$D$5,1,0))+(IF(MONTH($A1284)=Reference!$D$6,Reference!$D$13,0))),0)</f>
        <v>616</v>
      </c>
      <c r="E1284" s="11">
        <f ca="1">D1284*Reference!$D$7*(1-IF(MONTH($A1284)=Reference!$D$6,1,0)*Reference!$D$12)</f>
        <v>462000</v>
      </c>
      <c r="M1284" s="20"/>
      <c r="N1284" s="20"/>
      <c r="O1284" s="19"/>
      <c r="P1284" s="10"/>
      <c r="Q1284" s="10"/>
      <c r="R1284" s="10"/>
      <c r="S1284" s="10"/>
      <c r="T1284" s="10"/>
      <c r="U1284" s="10"/>
      <c r="V1284" s="10"/>
      <c r="W1284" s="10"/>
      <c r="X1284" s="10"/>
      <c r="Y1284" s="10"/>
    </row>
    <row r="1285" spans="1:25" x14ac:dyDescent="0.25">
      <c r="A1285" s="9">
        <v>41823</v>
      </c>
      <c r="B1285" s="10">
        <f ca="1">ROUND(_xlfn.NORM.INV(RAND(),Reference!$C$8,0.1*Reference!$C$8)*(1+Reference!$C$11*(IF(MONTH($A1285)=Reference!$C$4,1,0)+IF(MONTH($A1285)=Reference!$C$5,1,0))+(IF(MONTH($A1285)=Reference!$C$6,Reference!$C$13,0))),0)</f>
        <v>417</v>
      </c>
      <c r="C1285" s="11">
        <f ca="1">B1285*Reference!$C$7*(1-IF(MONTH($A1285)=Reference!$C$6,1,0)*Reference!$C$12)</f>
        <v>387810</v>
      </c>
      <c r="D1285" s="10">
        <f ca="1">ROUND(_xlfn.NORM.INV(RAND(),Reference!$D$8,0.1*Reference!$D$8)*(1+Reference!$D$11*(IF(MONTH($A1285)=Reference!$D$4,1,0)+IF(MONTH($A1285)=Reference!$D$5,1,0))+(IF(MONTH($A1285)=Reference!$D$6,Reference!$D$13,0))),0)</f>
        <v>545</v>
      </c>
      <c r="E1285" s="11">
        <f ca="1">D1285*Reference!$D$7*(1-IF(MONTH($A1285)=Reference!$D$6,1,0)*Reference!$D$12)</f>
        <v>408750</v>
      </c>
      <c r="M1285" s="20"/>
      <c r="N1285" s="20"/>
      <c r="O1285" s="19"/>
      <c r="P1285" s="10"/>
      <c r="Q1285" s="10"/>
      <c r="R1285" s="10"/>
      <c r="S1285" s="10"/>
      <c r="T1285" s="10"/>
      <c r="U1285" s="10"/>
      <c r="V1285" s="10"/>
      <c r="W1285" s="10"/>
      <c r="X1285" s="10"/>
      <c r="Y1285" s="10"/>
    </row>
    <row r="1286" spans="1:25" x14ac:dyDescent="0.25">
      <c r="A1286" s="9">
        <v>41824</v>
      </c>
      <c r="B1286" s="10">
        <f ca="1">ROUND(_xlfn.NORM.INV(RAND(),Reference!$C$8,0.1*Reference!$C$8)*(1+Reference!$C$11*(IF(MONTH($A1286)=Reference!$C$4,1,0)+IF(MONTH($A1286)=Reference!$C$5,1,0))+(IF(MONTH($A1286)=Reference!$C$6,Reference!$C$13,0))),0)</f>
        <v>342</v>
      </c>
      <c r="C1286" s="11">
        <f ca="1">B1286*Reference!$C$7*(1-IF(MONTH($A1286)=Reference!$C$6,1,0)*Reference!$C$12)</f>
        <v>318060</v>
      </c>
      <c r="D1286" s="10">
        <f ca="1">ROUND(_xlfn.NORM.INV(RAND(),Reference!$D$8,0.1*Reference!$D$8)*(1+Reference!$D$11*(IF(MONTH($A1286)=Reference!$D$4,1,0)+IF(MONTH($A1286)=Reference!$D$5,1,0))+(IF(MONTH($A1286)=Reference!$D$6,Reference!$D$13,0))),0)</f>
        <v>505</v>
      </c>
      <c r="E1286" s="11">
        <f ca="1">D1286*Reference!$D$7*(1-IF(MONTH($A1286)=Reference!$D$6,1,0)*Reference!$D$12)</f>
        <v>378750</v>
      </c>
      <c r="M1286" s="20"/>
      <c r="N1286" s="20"/>
      <c r="O1286" s="19"/>
      <c r="P1286" s="10"/>
      <c r="Q1286" s="10"/>
      <c r="R1286" s="10"/>
      <c r="S1286" s="10"/>
      <c r="T1286" s="10"/>
      <c r="U1286" s="10"/>
      <c r="V1286" s="10"/>
      <c r="W1286" s="10"/>
      <c r="X1286" s="10"/>
      <c r="Y1286" s="10"/>
    </row>
    <row r="1287" spans="1:25" x14ac:dyDescent="0.25">
      <c r="A1287" s="9">
        <v>41825</v>
      </c>
      <c r="B1287" s="10">
        <f ca="1">ROUND(_xlfn.NORM.INV(RAND(),Reference!$C$8,0.1*Reference!$C$8)*(1+Reference!$C$11*(IF(MONTH($A1287)=Reference!$C$4,1,0)+IF(MONTH($A1287)=Reference!$C$5,1,0))+(IF(MONTH($A1287)=Reference!$C$6,Reference!$C$13,0))),0)</f>
        <v>357</v>
      </c>
      <c r="C1287" s="11">
        <f ca="1">B1287*Reference!$C$7*(1-IF(MONTH($A1287)=Reference!$C$6,1,0)*Reference!$C$12)</f>
        <v>332010</v>
      </c>
      <c r="D1287" s="10">
        <f ca="1">ROUND(_xlfn.NORM.INV(RAND(),Reference!$D$8,0.1*Reference!$D$8)*(1+Reference!$D$11*(IF(MONTH($A1287)=Reference!$D$4,1,0)+IF(MONTH($A1287)=Reference!$D$5,1,0))+(IF(MONTH($A1287)=Reference!$D$6,Reference!$D$13,0))),0)</f>
        <v>485</v>
      </c>
      <c r="E1287" s="11">
        <f ca="1">D1287*Reference!$D$7*(1-IF(MONTH($A1287)=Reference!$D$6,1,0)*Reference!$D$12)</f>
        <v>363750</v>
      </c>
      <c r="M1287" s="20"/>
      <c r="N1287" s="20"/>
      <c r="O1287" s="19"/>
      <c r="P1287" s="10"/>
      <c r="Q1287" s="10"/>
      <c r="R1287" s="10"/>
      <c r="S1287" s="10"/>
      <c r="T1287" s="10"/>
      <c r="U1287" s="10"/>
      <c r="V1287" s="10"/>
      <c r="W1287" s="10"/>
      <c r="X1287" s="10"/>
      <c r="Y1287" s="10"/>
    </row>
    <row r="1288" spans="1:25" x14ac:dyDescent="0.25">
      <c r="A1288" s="9">
        <v>41826</v>
      </c>
      <c r="B1288" s="10">
        <f ca="1">ROUND(_xlfn.NORM.INV(RAND(),Reference!$C$8,0.1*Reference!$C$8)*(1+Reference!$C$11*(IF(MONTH($A1288)=Reference!$C$4,1,0)+IF(MONTH($A1288)=Reference!$C$5,1,0))+(IF(MONTH($A1288)=Reference!$C$6,Reference!$C$13,0))),0)</f>
        <v>314</v>
      </c>
      <c r="C1288" s="11">
        <f ca="1">B1288*Reference!$C$7*(1-IF(MONTH($A1288)=Reference!$C$6,1,0)*Reference!$C$12)</f>
        <v>292020</v>
      </c>
      <c r="D1288" s="10">
        <f ca="1">ROUND(_xlfn.NORM.INV(RAND(),Reference!$D$8,0.1*Reference!$D$8)*(1+Reference!$D$11*(IF(MONTH($A1288)=Reference!$D$4,1,0)+IF(MONTH($A1288)=Reference!$D$5,1,0))+(IF(MONTH($A1288)=Reference!$D$6,Reference!$D$13,0))),0)</f>
        <v>561</v>
      </c>
      <c r="E1288" s="11">
        <f ca="1">D1288*Reference!$D$7*(1-IF(MONTH($A1288)=Reference!$D$6,1,0)*Reference!$D$12)</f>
        <v>420750</v>
      </c>
      <c r="M1288" s="20"/>
      <c r="N1288" s="20"/>
      <c r="O1288" s="19"/>
      <c r="P1288" s="10"/>
      <c r="Q1288" s="10"/>
      <c r="R1288" s="10"/>
      <c r="S1288" s="10"/>
      <c r="T1288" s="10"/>
      <c r="U1288" s="10"/>
      <c r="V1288" s="10"/>
      <c r="W1288" s="10"/>
      <c r="X1288" s="10"/>
      <c r="Y1288" s="10"/>
    </row>
    <row r="1289" spans="1:25" x14ac:dyDescent="0.25">
      <c r="A1289" s="9">
        <v>41827</v>
      </c>
      <c r="B1289" s="10">
        <f ca="1">ROUND(_xlfn.NORM.INV(RAND(),Reference!$C$8,0.1*Reference!$C$8)*(1+Reference!$C$11*(IF(MONTH($A1289)=Reference!$C$4,1,0)+IF(MONTH($A1289)=Reference!$C$5,1,0))+(IF(MONTH($A1289)=Reference!$C$6,Reference!$C$13,0))),0)</f>
        <v>281</v>
      </c>
      <c r="C1289" s="11">
        <f ca="1">B1289*Reference!$C$7*(1-IF(MONTH($A1289)=Reference!$C$6,1,0)*Reference!$C$12)</f>
        <v>261330</v>
      </c>
      <c r="D1289" s="10">
        <f ca="1">ROUND(_xlfn.NORM.INV(RAND(),Reference!$D$8,0.1*Reference!$D$8)*(1+Reference!$D$11*(IF(MONTH($A1289)=Reference!$D$4,1,0)+IF(MONTH($A1289)=Reference!$D$5,1,0))+(IF(MONTH($A1289)=Reference!$D$6,Reference!$D$13,0))),0)</f>
        <v>594</v>
      </c>
      <c r="E1289" s="11">
        <f ca="1">D1289*Reference!$D$7*(1-IF(MONTH($A1289)=Reference!$D$6,1,0)*Reference!$D$12)</f>
        <v>445500</v>
      </c>
      <c r="M1289" s="20"/>
      <c r="N1289" s="20"/>
      <c r="O1289" s="19"/>
      <c r="P1289" s="10"/>
      <c r="Q1289" s="10"/>
      <c r="R1289" s="10"/>
      <c r="S1289" s="10"/>
      <c r="T1289" s="10"/>
      <c r="U1289" s="10"/>
      <c r="V1289" s="10"/>
      <c r="W1289" s="10"/>
      <c r="X1289" s="10"/>
      <c r="Y1289" s="10"/>
    </row>
    <row r="1290" spans="1:25" x14ac:dyDescent="0.25">
      <c r="A1290" s="9">
        <v>41828</v>
      </c>
      <c r="B1290" s="10">
        <f ca="1">ROUND(_xlfn.NORM.INV(RAND(),Reference!$C$8,0.1*Reference!$C$8)*(1+Reference!$C$11*(IF(MONTH($A1290)=Reference!$C$4,1,0)+IF(MONTH($A1290)=Reference!$C$5,1,0))+(IF(MONTH($A1290)=Reference!$C$6,Reference!$C$13,0))),0)</f>
        <v>429</v>
      </c>
      <c r="C1290" s="11">
        <f ca="1">B1290*Reference!$C$7*(1-IF(MONTH($A1290)=Reference!$C$6,1,0)*Reference!$C$12)</f>
        <v>398970</v>
      </c>
      <c r="D1290" s="10">
        <f ca="1">ROUND(_xlfn.NORM.INV(RAND(),Reference!$D$8,0.1*Reference!$D$8)*(1+Reference!$D$11*(IF(MONTH($A1290)=Reference!$D$4,1,0)+IF(MONTH($A1290)=Reference!$D$5,1,0))+(IF(MONTH($A1290)=Reference!$D$6,Reference!$D$13,0))),0)</f>
        <v>506</v>
      </c>
      <c r="E1290" s="11">
        <f ca="1">D1290*Reference!$D$7*(1-IF(MONTH($A1290)=Reference!$D$6,1,0)*Reference!$D$12)</f>
        <v>379500</v>
      </c>
      <c r="M1290" s="20"/>
      <c r="N1290" s="20"/>
      <c r="O1290" s="19"/>
      <c r="P1290" s="10"/>
      <c r="Q1290" s="10"/>
      <c r="R1290" s="10"/>
      <c r="S1290" s="10"/>
      <c r="T1290" s="10"/>
      <c r="U1290" s="10"/>
      <c r="V1290" s="10"/>
      <c r="W1290" s="10"/>
      <c r="X1290" s="10"/>
      <c r="Y1290" s="10"/>
    </row>
    <row r="1291" spans="1:25" x14ac:dyDescent="0.25">
      <c r="A1291" s="9">
        <v>41829</v>
      </c>
      <c r="B1291" s="10">
        <f ca="1">ROUND(_xlfn.NORM.INV(RAND(),Reference!$C$8,0.1*Reference!$C$8)*(1+Reference!$C$11*(IF(MONTH($A1291)=Reference!$C$4,1,0)+IF(MONTH($A1291)=Reference!$C$5,1,0))+(IF(MONTH($A1291)=Reference!$C$6,Reference!$C$13,0))),0)</f>
        <v>325</v>
      </c>
      <c r="C1291" s="11">
        <f ca="1">B1291*Reference!$C$7*(1-IF(MONTH($A1291)=Reference!$C$6,1,0)*Reference!$C$12)</f>
        <v>302250</v>
      </c>
      <c r="D1291" s="10">
        <f ca="1">ROUND(_xlfn.NORM.INV(RAND(),Reference!$D$8,0.1*Reference!$D$8)*(1+Reference!$D$11*(IF(MONTH($A1291)=Reference!$D$4,1,0)+IF(MONTH($A1291)=Reference!$D$5,1,0))+(IF(MONTH($A1291)=Reference!$D$6,Reference!$D$13,0))),0)</f>
        <v>410</v>
      </c>
      <c r="E1291" s="11">
        <f ca="1">D1291*Reference!$D$7*(1-IF(MONTH($A1291)=Reference!$D$6,1,0)*Reference!$D$12)</f>
        <v>307500</v>
      </c>
      <c r="M1291" s="20"/>
      <c r="N1291" s="20"/>
      <c r="O1291" s="19"/>
      <c r="P1291" s="10"/>
      <c r="Q1291" s="10"/>
      <c r="R1291" s="10"/>
      <c r="S1291" s="10"/>
      <c r="T1291" s="10"/>
      <c r="U1291" s="10"/>
      <c r="V1291" s="10"/>
      <c r="W1291" s="10"/>
      <c r="X1291" s="10"/>
      <c r="Y1291" s="10"/>
    </row>
    <row r="1292" spans="1:25" x14ac:dyDescent="0.25">
      <c r="A1292" s="9">
        <v>41830</v>
      </c>
      <c r="B1292" s="10">
        <f ca="1">ROUND(_xlfn.NORM.INV(RAND(),Reference!$C$8,0.1*Reference!$C$8)*(1+Reference!$C$11*(IF(MONTH($A1292)=Reference!$C$4,1,0)+IF(MONTH($A1292)=Reference!$C$5,1,0))+(IF(MONTH($A1292)=Reference!$C$6,Reference!$C$13,0))),0)</f>
        <v>348</v>
      </c>
      <c r="C1292" s="11">
        <f ca="1">B1292*Reference!$C$7*(1-IF(MONTH($A1292)=Reference!$C$6,1,0)*Reference!$C$12)</f>
        <v>323640</v>
      </c>
      <c r="D1292" s="10">
        <f ca="1">ROUND(_xlfn.NORM.INV(RAND(),Reference!$D$8,0.1*Reference!$D$8)*(1+Reference!$D$11*(IF(MONTH($A1292)=Reference!$D$4,1,0)+IF(MONTH($A1292)=Reference!$D$5,1,0))+(IF(MONTH($A1292)=Reference!$D$6,Reference!$D$13,0))),0)</f>
        <v>373</v>
      </c>
      <c r="E1292" s="11">
        <f ca="1">D1292*Reference!$D$7*(1-IF(MONTH($A1292)=Reference!$D$6,1,0)*Reference!$D$12)</f>
        <v>279750</v>
      </c>
      <c r="M1292" s="20"/>
      <c r="N1292" s="20"/>
      <c r="O1292" s="19"/>
      <c r="P1292" s="10"/>
      <c r="Q1292" s="10"/>
      <c r="R1292" s="10"/>
      <c r="S1292" s="10"/>
      <c r="T1292" s="10"/>
      <c r="U1292" s="10"/>
      <c r="V1292" s="10"/>
      <c r="W1292" s="10"/>
      <c r="X1292" s="10"/>
      <c r="Y1292" s="10"/>
    </row>
    <row r="1293" spans="1:25" x14ac:dyDescent="0.25">
      <c r="A1293" s="9">
        <v>41831</v>
      </c>
      <c r="B1293" s="10">
        <f ca="1">ROUND(_xlfn.NORM.INV(RAND(),Reference!$C$8,0.1*Reference!$C$8)*(1+Reference!$C$11*(IF(MONTH($A1293)=Reference!$C$4,1,0)+IF(MONTH($A1293)=Reference!$C$5,1,0))+(IF(MONTH($A1293)=Reference!$C$6,Reference!$C$13,0))),0)</f>
        <v>347</v>
      </c>
      <c r="C1293" s="11">
        <f ca="1">B1293*Reference!$C$7*(1-IF(MONTH($A1293)=Reference!$C$6,1,0)*Reference!$C$12)</f>
        <v>322710</v>
      </c>
      <c r="D1293" s="10">
        <f ca="1">ROUND(_xlfn.NORM.INV(RAND(),Reference!$D$8,0.1*Reference!$D$8)*(1+Reference!$D$11*(IF(MONTH($A1293)=Reference!$D$4,1,0)+IF(MONTH($A1293)=Reference!$D$5,1,0))+(IF(MONTH($A1293)=Reference!$D$6,Reference!$D$13,0))),0)</f>
        <v>571</v>
      </c>
      <c r="E1293" s="11">
        <f ca="1">D1293*Reference!$D$7*(1-IF(MONTH($A1293)=Reference!$D$6,1,0)*Reference!$D$12)</f>
        <v>428250</v>
      </c>
      <c r="M1293" s="20"/>
      <c r="N1293" s="20"/>
      <c r="O1293" s="19"/>
      <c r="P1293" s="10"/>
      <c r="Q1293" s="10"/>
      <c r="R1293" s="10"/>
      <c r="S1293" s="10"/>
      <c r="T1293" s="10"/>
      <c r="U1293" s="10"/>
      <c r="V1293" s="10"/>
      <c r="W1293" s="10"/>
      <c r="X1293" s="10"/>
      <c r="Y1293" s="10"/>
    </row>
    <row r="1294" spans="1:25" x14ac:dyDescent="0.25">
      <c r="A1294" s="9">
        <v>41832</v>
      </c>
      <c r="B1294" s="10">
        <f ca="1">ROUND(_xlfn.NORM.INV(RAND(),Reference!$C$8,0.1*Reference!$C$8)*(1+Reference!$C$11*(IF(MONTH($A1294)=Reference!$C$4,1,0)+IF(MONTH($A1294)=Reference!$C$5,1,0))+(IF(MONTH($A1294)=Reference!$C$6,Reference!$C$13,0))),0)</f>
        <v>388</v>
      </c>
      <c r="C1294" s="11">
        <f ca="1">B1294*Reference!$C$7*(1-IF(MONTH($A1294)=Reference!$C$6,1,0)*Reference!$C$12)</f>
        <v>360840</v>
      </c>
      <c r="D1294" s="10">
        <f ca="1">ROUND(_xlfn.NORM.INV(RAND(),Reference!$D$8,0.1*Reference!$D$8)*(1+Reference!$D$11*(IF(MONTH($A1294)=Reference!$D$4,1,0)+IF(MONTH($A1294)=Reference!$D$5,1,0))+(IF(MONTH($A1294)=Reference!$D$6,Reference!$D$13,0))),0)</f>
        <v>583</v>
      </c>
      <c r="E1294" s="11">
        <f ca="1">D1294*Reference!$D$7*(1-IF(MONTH($A1294)=Reference!$D$6,1,0)*Reference!$D$12)</f>
        <v>437250</v>
      </c>
      <c r="M1294" s="20"/>
      <c r="N1294" s="20"/>
      <c r="O1294" s="19"/>
      <c r="P1294" s="10"/>
      <c r="Q1294" s="10"/>
      <c r="R1294" s="10"/>
      <c r="S1294" s="10"/>
      <c r="T1294" s="10"/>
      <c r="U1294" s="10"/>
      <c r="V1294" s="10"/>
      <c r="W1294" s="10"/>
      <c r="X1294" s="10"/>
      <c r="Y1294" s="10"/>
    </row>
    <row r="1295" spans="1:25" x14ac:dyDescent="0.25">
      <c r="A1295" s="9">
        <v>41833</v>
      </c>
      <c r="B1295" s="10">
        <f ca="1">ROUND(_xlfn.NORM.INV(RAND(),Reference!$C$8,0.1*Reference!$C$8)*(1+Reference!$C$11*(IF(MONTH($A1295)=Reference!$C$4,1,0)+IF(MONTH($A1295)=Reference!$C$5,1,0))+(IF(MONTH($A1295)=Reference!$C$6,Reference!$C$13,0))),0)</f>
        <v>339</v>
      </c>
      <c r="C1295" s="11">
        <f ca="1">B1295*Reference!$C$7*(1-IF(MONTH($A1295)=Reference!$C$6,1,0)*Reference!$C$12)</f>
        <v>315270</v>
      </c>
      <c r="D1295" s="10">
        <f ca="1">ROUND(_xlfn.NORM.INV(RAND(),Reference!$D$8,0.1*Reference!$D$8)*(1+Reference!$D$11*(IF(MONTH($A1295)=Reference!$D$4,1,0)+IF(MONTH($A1295)=Reference!$D$5,1,0))+(IF(MONTH($A1295)=Reference!$D$6,Reference!$D$13,0))),0)</f>
        <v>520</v>
      </c>
      <c r="E1295" s="11">
        <f ca="1">D1295*Reference!$D$7*(1-IF(MONTH($A1295)=Reference!$D$6,1,0)*Reference!$D$12)</f>
        <v>390000</v>
      </c>
      <c r="M1295" s="20"/>
      <c r="N1295" s="20"/>
      <c r="O1295" s="19"/>
      <c r="P1295" s="10"/>
      <c r="Q1295" s="10"/>
      <c r="R1295" s="10"/>
      <c r="S1295" s="10"/>
      <c r="T1295" s="10"/>
      <c r="U1295" s="10"/>
      <c r="V1295" s="10"/>
      <c r="W1295" s="10"/>
      <c r="X1295" s="10"/>
      <c r="Y1295" s="10"/>
    </row>
    <row r="1296" spans="1:25" x14ac:dyDescent="0.25">
      <c r="A1296" s="9">
        <v>41834</v>
      </c>
      <c r="B1296" s="10">
        <f ca="1">ROUND(_xlfn.NORM.INV(RAND(),Reference!$C$8,0.1*Reference!$C$8)*(1+Reference!$C$11*(IF(MONTH($A1296)=Reference!$C$4,1,0)+IF(MONTH($A1296)=Reference!$C$5,1,0))+(IF(MONTH($A1296)=Reference!$C$6,Reference!$C$13,0))),0)</f>
        <v>335</v>
      </c>
      <c r="C1296" s="11">
        <f ca="1">B1296*Reference!$C$7*(1-IF(MONTH($A1296)=Reference!$C$6,1,0)*Reference!$C$12)</f>
        <v>311550</v>
      </c>
      <c r="D1296" s="10">
        <f ca="1">ROUND(_xlfn.NORM.INV(RAND(),Reference!$D$8,0.1*Reference!$D$8)*(1+Reference!$D$11*(IF(MONTH($A1296)=Reference!$D$4,1,0)+IF(MONTH($A1296)=Reference!$D$5,1,0))+(IF(MONTH($A1296)=Reference!$D$6,Reference!$D$13,0))),0)</f>
        <v>536</v>
      </c>
      <c r="E1296" s="11">
        <f ca="1">D1296*Reference!$D$7*(1-IF(MONTH($A1296)=Reference!$D$6,1,0)*Reference!$D$12)</f>
        <v>402000</v>
      </c>
      <c r="M1296" s="20"/>
      <c r="N1296" s="20"/>
      <c r="O1296" s="19"/>
      <c r="P1296" s="10"/>
      <c r="Q1296" s="10"/>
      <c r="R1296" s="10"/>
      <c r="S1296" s="10"/>
      <c r="T1296" s="10"/>
      <c r="U1296" s="10"/>
      <c r="V1296" s="10"/>
      <c r="W1296" s="10"/>
      <c r="X1296" s="10"/>
      <c r="Y1296" s="10"/>
    </row>
    <row r="1297" spans="1:25" x14ac:dyDescent="0.25">
      <c r="A1297" s="9">
        <v>41835</v>
      </c>
      <c r="B1297" s="10">
        <f ca="1">ROUND(_xlfn.NORM.INV(RAND(),Reference!$C$8,0.1*Reference!$C$8)*(1+Reference!$C$11*(IF(MONTH($A1297)=Reference!$C$4,1,0)+IF(MONTH($A1297)=Reference!$C$5,1,0))+(IF(MONTH($A1297)=Reference!$C$6,Reference!$C$13,0))),0)</f>
        <v>334</v>
      </c>
      <c r="C1297" s="11">
        <f ca="1">B1297*Reference!$C$7*(1-IF(MONTH($A1297)=Reference!$C$6,1,0)*Reference!$C$12)</f>
        <v>310620</v>
      </c>
      <c r="D1297" s="10">
        <f ca="1">ROUND(_xlfn.NORM.INV(RAND(),Reference!$D$8,0.1*Reference!$D$8)*(1+Reference!$D$11*(IF(MONTH($A1297)=Reference!$D$4,1,0)+IF(MONTH($A1297)=Reference!$D$5,1,0))+(IF(MONTH($A1297)=Reference!$D$6,Reference!$D$13,0))),0)</f>
        <v>467</v>
      </c>
      <c r="E1297" s="11">
        <f ca="1">D1297*Reference!$D$7*(1-IF(MONTH($A1297)=Reference!$D$6,1,0)*Reference!$D$12)</f>
        <v>350250</v>
      </c>
      <c r="M1297" s="20"/>
      <c r="N1297" s="20"/>
      <c r="O1297" s="19"/>
      <c r="P1297" s="10"/>
      <c r="Q1297" s="10"/>
      <c r="R1297" s="10"/>
      <c r="S1297" s="10"/>
      <c r="T1297" s="10"/>
      <c r="U1297" s="10"/>
      <c r="V1297" s="10"/>
      <c r="W1297" s="10"/>
      <c r="X1297" s="10"/>
      <c r="Y1297" s="10"/>
    </row>
    <row r="1298" spans="1:25" x14ac:dyDescent="0.25">
      <c r="A1298" s="9">
        <v>41836</v>
      </c>
      <c r="B1298" s="10">
        <f ca="1">ROUND(_xlfn.NORM.INV(RAND(),Reference!$C$8,0.1*Reference!$C$8)*(1+Reference!$C$11*(IF(MONTH($A1298)=Reference!$C$4,1,0)+IF(MONTH($A1298)=Reference!$C$5,1,0))+(IF(MONTH($A1298)=Reference!$C$6,Reference!$C$13,0))),0)</f>
        <v>319</v>
      </c>
      <c r="C1298" s="11">
        <f ca="1">B1298*Reference!$C$7*(1-IF(MONTH($A1298)=Reference!$C$6,1,0)*Reference!$C$12)</f>
        <v>296670</v>
      </c>
      <c r="D1298" s="10">
        <f ca="1">ROUND(_xlfn.NORM.INV(RAND(),Reference!$D$8,0.1*Reference!$D$8)*(1+Reference!$D$11*(IF(MONTH($A1298)=Reference!$D$4,1,0)+IF(MONTH($A1298)=Reference!$D$5,1,0))+(IF(MONTH($A1298)=Reference!$D$6,Reference!$D$13,0))),0)</f>
        <v>479</v>
      </c>
      <c r="E1298" s="11">
        <f ca="1">D1298*Reference!$D$7*(1-IF(MONTH($A1298)=Reference!$D$6,1,0)*Reference!$D$12)</f>
        <v>359250</v>
      </c>
      <c r="M1298" s="20"/>
      <c r="N1298" s="20"/>
      <c r="O1298" s="19"/>
      <c r="P1298" s="10"/>
      <c r="Q1298" s="10"/>
      <c r="R1298" s="10"/>
      <c r="S1298" s="10"/>
      <c r="T1298" s="10"/>
      <c r="U1298" s="10"/>
      <c r="V1298" s="10"/>
      <c r="W1298" s="10"/>
      <c r="X1298" s="10"/>
      <c r="Y1298" s="10"/>
    </row>
    <row r="1299" spans="1:25" x14ac:dyDescent="0.25">
      <c r="A1299" s="9">
        <v>41837</v>
      </c>
      <c r="B1299" s="10">
        <f ca="1">ROUND(_xlfn.NORM.INV(RAND(),Reference!$C$8,0.1*Reference!$C$8)*(1+Reference!$C$11*(IF(MONTH($A1299)=Reference!$C$4,1,0)+IF(MONTH($A1299)=Reference!$C$5,1,0))+(IF(MONTH($A1299)=Reference!$C$6,Reference!$C$13,0))),0)</f>
        <v>284</v>
      </c>
      <c r="C1299" s="11">
        <f ca="1">B1299*Reference!$C$7*(1-IF(MONTH($A1299)=Reference!$C$6,1,0)*Reference!$C$12)</f>
        <v>264120</v>
      </c>
      <c r="D1299" s="10">
        <f ca="1">ROUND(_xlfn.NORM.INV(RAND(),Reference!$D$8,0.1*Reference!$D$8)*(1+Reference!$D$11*(IF(MONTH($A1299)=Reference!$D$4,1,0)+IF(MONTH($A1299)=Reference!$D$5,1,0))+(IF(MONTH($A1299)=Reference!$D$6,Reference!$D$13,0))),0)</f>
        <v>556</v>
      </c>
      <c r="E1299" s="11">
        <f ca="1">D1299*Reference!$D$7*(1-IF(MONTH($A1299)=Reference!$D$6,1,0)*Reference!$D$12)</f>
        <v>417000</v>
      </c>
      <c r="M1299" s="20"/>
      <c r="N1299" s="20"/>
      <c r="O1299" s="19"/>
      <c r="P1299" s="10"/>
      <c r="Q1299" s="10"/>
      <c r="R1299" s="10"/>
      <c r="S1299" s="10"/>
      <c r="T1299" s="10"/>
      <c r="U1299" s="10"/>
      <c r="V1299" s="10"/>
      <c r="W1299" s="10"/>
      <c r="X1299" s="10"/>
      <c r="Y1299" s="10"/>
    </row>
    <row r="1300" spans="1:25" x14ac:dyDescent="0.25">
      <c r="A1300" s="9">
        <v>41838</v>
      </c>
      <c r="B1300" s="10">
        <f ca="1">ROUND(_xlfn.NORM.INV(RAND(),Reference!$C$8,0.1*Reference!$C$8)*(1+Reference!$C$11*(IF(MONTH($A1300)=Reference!$C$4,1,0)+IF(MONTH($A1300)=Reference!$C$5,1,0))+(IF(MONTH($A1300)=Reference!$C$6,Reference!$C$13,0))),0)</f>
        <v>364</v>
      </c>
      <c r="C1300" s="11">
        <f ca="1">B1300*Reference!$C$7*(1-IF(MONTH($A1300)=Reference!$C$6,1,0)*Reference!$C$12)</f>
        <v>338520</v>
      </c>
      <c r="D1300" s="10">
        <f ca="1">ROUND(_xlfn.NORM.INV(RAND(),Reference!$D$8,0.1*Reference!$D$8)*(1+Reference!$D$11*(IF(MONTH($A1300)=Reference!$D$4,1,0)+IF(MONTH($A1300)=Reference!$D$5,1,0))+(IF(MONTH($A1300)=Reference!$D$6,Reference!$D$13,0))),0)</f>
        <v>540</v>
      </c>
      <c r="E1300" s="11">
        <f ca="1">D1300*Reference!$D$7*(1-IF(MONTH($A1300)=Reference!$D$6,1,0)*Reference!$D$12)</f>
        <v>405000</v>
      </c>
      <c r="M1300" s="20"/>
      <c r="N1300" s="20"/>
      <c r="O1300" s="19"/>
      <c r="P1300" s="10"/>
      <c r="Q1300" s="10"/>
      <c r="R1300" s="10"/>
      <c r="S1300" s="10"/>
      <c r="T1300" s="10"/>
      <c r="U1300" s="10"/>
      <c r="V1300" s="10"/>
      <c r="W1300" s="10"/>
      <c r="X1300" s="10"/>
      <c r="Y1300" s="10"/>
    </row>
    <row r="1301" spans="1:25" x14ac:dyDescent="0.25">
      <c r="A1301" s="9">
        <v>41839</v>
      </c>
      <c r="B1301" s="10">
        <f ca="1">ROUND(_xlfn.NORM.INV(RAND(),Reference!$C$8,0.1*Reference!$C$8)*(1+Reference!$C$11*(IF(MONTH($A1301)=Reference!$C$4,1,0)+IF(MONTH($A1301)=Reference!$C$5,1,0))+(IF(MONTH($A1301)=Reference!$C$6,Reference!$C$13,0))),0)</f>
        <v>364</v>
      </c>
      <c r="C1301" s="11">
        <f ca="1">B1301*Reference!$C$7*(1-IF(MONTH($A1301)=Reference!$C$6,1,0)*Reference!$C$12)</f>
        <v>338520</v>
      </c>
      <c r="D1301" s="10">
        <f ca="1">ROUND(_xlfn.NORM.INV(RAND(),Reference!$D$8,0.1*Reference!$D$8)*(1+Reference!$D$11*(IF(MONTH($A1301)=Reference!$D$4,1,0)+IF(MONTH($A1301)=Reference!$D$5,1,0))+(IF(MONTH($A1301)=Reference!$D$6,Reference!$D$13,0))),0)</f>
        <v>569</v>
      </c>
      <c r="E1301" s="11">
        <f ca="1">D1301*Reference!$D$7*(1-IF(MONTH($A1301)=Reference!$D$6,1,0)*Reference!$D$12)</f>
        <v>426750</v>
      </c>
      <c r="M1301" s="20"/>
      <c r="N1301" s="20"/>
      <c r="O1301" s="19"/>
      <c r="P1301" s="10"/>
      <c r="Q1301" s="10"/>
      <c r="R1301" s="10"/>
      <c r="S1301" s="10"/>
      <c r="T1301" s="10"/>
      <c r="U1301" s="10"/>
      <c r="V1301" s="10"/>
      <c r="W1301" s="10"/>
      <c r="X1301" s="10"/>
      <c r="Y1301" s="10"/>
    </row>
    <row r="1302" spans="1:25" x14ac:dyDescent="0.25">
      <c r="A1302" s="9">
        <v>41840</v>
      </c>
      <c r="B1302" s="10">
        <f ca="1">ROUND(_xlfn.NORM.INV(RAND(),Reference!$C$8,0.1*Reference!$C$8)*(1+Reference!$C$11*(IF(MONTH($A1302)=Reference!$C$4,1,0)+IF(MONTH($A1302)=Reference!$C$5,1,0))+(IF(MONTH($A1302)=Reference!$C$6,Reference!$C$13,0))),0)</f>
        <v>359</v>
      </c>
      <c r="C1302" s="11">
        <f ca="1">B1302*Reference!$C$7*(1-IF(MONTH($A1302)=Reference!$C$6,1,0)*Reference!$C$12)</f>
        <v>333870</v>
      </c>
      <c r="D1302" s="10">
        <f ca="1">ROUND(_xlfn.NORM.INV(RAND(),Reference!$D$8,0.1*Reference!$D$8)*(1+Reference!$D$11*(IF(MONTH($A1302)=Reference!$D$4,1,0)+IF(MONTH($A1302)=Reference!$D$5,1,0))+(IF(MONTH($A1302)=Reference!$D$6,Reference!$D$13,0))),0)</f>
        <v>482</v>
      </c>
      <c r="E1302" s="11">
        <f ca="1">D1302*Reference!$D$7*(1-IF(MONTH($A1302)=Reference!$D$6,1,0)*Reference!$D$12)</f>
        <v>361500</v>
      </c>
      <c r="M1302" s="20"/>
      <c r="N1302" s="20"/>
      <c r="O1302" s="19"/>
      <c r="P1302" s="10"/>
      <c r="Q1302" s="10"/>
      <c r="R1302" s="10"/>
      <c r="S1302" s="10"/>
      <c r="T1302" s="10"/>
      <c r="U1302" s="10"/>
      <c r="V1302" s="10"/>
      <c r="W1302" s="10"/>
      <c r="X1302" s="10"/>
      <c r="Y1302" s="10"/>
    </row>
    <row r="1303" spans="1:25" x14ac:dyDescent="0.25">
      <c r="A1303" s="9">
        <v>41841</v>
      </c>
      <c r="B1303" s="10">
        <f ca="1">ROUND(_xlfn.NORM.INV(RAND(),Reference!$C$8,0.1*Reference!$C$8)*(1+Reference!$C$11*(IF(MONTH($A1303)=Reference!$C$4,1,0)+IF(MONTH($A1303)=Reference!$C$5,1,0))+(IF(MONTH($A1303)=Reference!$C$6,Reference!$C$13,0))),0)</f>
        <v>349</v>
      </c>
      <c r="C1303" s="11">
        <f ca="1">B1303*Reference!$C$7*(1-IF(MONTH($A1303)=Reference!$C$6,1,0)*Reference!$C$12)</f>
        <v>324570</v>
      </c>
      <c r="D1303" s="10">
        <f ca="1">ROUND(_xlfn.NORM.INV(RAND(),Reference!$D$8,0.1*Reference!$D$8)*(1+Reference!$D$11*(IF(MONTH($A1303)=Reference!$D$4,1,0)+IF(MONTH($A1303)=Reference!$D$5,1,0))+(IF(MONTH($A1303)=Reference!$D$6,Reference!$D$13,0))),0)</f>
        <v>448</v>
      </c>
      <c r="E1303" s="11">
        <f ca="1">D1303*Reference!$D$7*(1-IF(MONTH($A1303)=Reference!$D$6,1,0)*Reference!$D$12)</f>
        <v>336000</v>
      </c>
      <c r="M1303" s="20"/>
      <c r="N1303" s="20"/>
      <c r="O1303" s="19"/>
      <c r="P1303" s="10"/>
      <c r="Q1303" s="10"/>
      <c r="R1303" s="10"/>
      <c r="S1303" s="10"/>
      <c r="T1303" s="10"/>
      <c r="U1303" s="10"/>
      <c r="V1303" s="10"/>
      <c r="W1303" s="10"/>
      <c r="X1303" s="10"/>
      <c r="Y1303" s="10"/>
    </row>
    <row r="1304" spans="1:25" x14ac:dyDescent="0.25">
      <c r="A1304" s="9">
        <v>41842</v>
      </c>
      <c r="B1304" s="10">
        <f ca="1">ROUND(_xlfn.NORM.INV(RAND(),Reference!$C$8,0.1*Reference!$C$8)*(1+Reference!$C$11*(IF(MONTH($A1304)=Reference!$C$4,1,0)+IF(MONTH($A1304)=Reference!$C$5,1,0))+(IF(MONTH($A1304)=Reference!$C$6,Reference!$C$13,0))),0)</f>
        <v>420</v>
      </c>
      <c r="C1304" s="11">
        <f ca="1">B1304*Reference!$C$7*(1-IF(MONTH($A1304)=Reference!$C$6,1,0)*Reference!$C$12)</f>
        <v>390600</v>
      </c>
      <c r="D1304" s="10">
        <f ca="1">ROUND(_xlfn.NORM.INV(RAND(),Reference!$D$8,0.1*Reference!$D$8)*(1+Reference!$D$11*(IF(MONTH($A1304)=Reference!$D$4,1,0)+IF(MONTH($A1304)=Reference!$D$5,1,0))+(IF(MONTH($A1304)=Reference!$D$6,Reference!$D$13,0))),0)</f>
        <v>472</v>
      </c>
      <c r="E1304" s="11">
        <f ca="1">D1304*Reference!$D$7*(1-IF(MONTH($A1304)=Reference!$D$6,1,0)*Reference!$D$12)</f>
        <v>354000</v>
      </c>
      <c r="M1304" s="20"/>
      <c r="N1304" s="20"/>
      <c r="O1304" s="19"/>
      <c r="P1304" s="10"/>
      <c r="Q1304" s="10"/>
      <c r="R1304" s="10"/>
      <c r="S1304" s="10"/>
      <c r="T1304" s="10"/>
      <c r="U1304" s="10"/>
      <c r="V1304" s="10"/>
      <c r="W1304" s="10"/>
      <c r="X1304" s="10"/>
      <c r="Y1304" s="10"/>
    </row>
    <row r="1305" spans="1:25" x14ac:dyDescent="0.25">
      <c r="A1305" s="9">
        <v>41843</v>
      </c>
      <c r="B1305" s="10">
        <f ca="1">ROUND(_xlfn.NORM.INV(RAND(),Reference!$C$8,0.1*Reference!$C$8)*(1+Reference!$C$11*(IF(MONTH($A1305)=Reference!$C$4,1,0)+IF(MONTH($A1305)=Reference!$C$5,1,0))+(IF(MONTH($A1305)=Reference!$C$6,Reference!$C$13,0))),0)</f>
        <v>350</v>
      </c>
      <c r="C1305" s="11">
        <f ca="1">B1305*Reference!$C$7*(1-IF(MONTH($A1305)=Reference!$C$6,1,0)*Reference!$C$12)</f>
        <v>325500</v>
      </c>
      <c r="D1305" s="10">
        <f ca="1">ROUND(_xlfn.NORM.INV(RAND(),Reference!$D$8,0.1*Reference!$D$8)*(1+Reference!$D$11*(IF(MONTH($A1305)=Reference!$D$4,1,0)+IF(MONTH($A1305)=Reference!$D$5,1,0))+(IF(MONTH($A1305)=Reference!$D$6,Reference!$D$13,0))),0)</f>
        <v>587</v>
      </c>
      <c r="E1305" s="11">
        <f ca="1">D1305*Reference!$D$7*(1-IF(MONTH($A1305)=Reference!$D$6,1,0)*Reference!$D$12)</f>
        <v>440250</v>
      </c>
      <c r="M1305" s="20"/>
      <c r="N1305" s="20"/>
      <c r="O1305" s="19"/>
      <c r="P1305" s="10"/>
      <c r="Q1305" s="10"/>
      <c r="R1305" s="10"/>
      <c r="S1305" s="10"/>
      <c r="T1305" s="10"/>
      <c r="U1305" s="10"/>
      <c r="V1305" s="10"/>
      <c r="W1305" s="10"/>
      <c r="X1305" s="10"/>
      <c r="Y1305" s="10"/>
    </row>
    <row r="1306" spans="1:25" x14ac:dyDescent="0.25">
      <c r="A1306" s="9">
        <v>41844</v>
      </c>
      <c r="B1306" s="10">
        <f ca="1">ROUND(_xlfn.NORM.INV(RAND(),Reference!$C$8,0.1*Reference!$C$8)*(1+Reference!$C$11*(IF(MONTH($A1306)=Reference!$C$4,1,0)+IF(MONTH($A1306)=Reference!$C$5,1,0))+(IF(MONTH($A1306)=Reference!$C$6,Reference!$C$13,0))),0)</f>
        <v>408</v>
      </c>
      <c r="C1306" s="11">
        <f ca="1">B1306*Reference!$C$7*(1-IF(MONTH($A1306)=Reference!$C$6,1,0)*Reference!$C$12)</f>
        <v>379440</v>
      </c>
      <c r="D1306" s="10">
        <f ca="1">ROUND(_xlfn.NORM.INV(RAND(),Reference!$D$8,0.1*Reference!$D$8)*(1+Reference!$D$11*(IF(MONTH($A1306)=Reference!$D$4,1,0)+IF(MONTH($A1306)=Reference!$D$5,1,0))+(IF(MONTH($A1306)=Reference!$D$6,Reference!$D$13,0))),0)</f>
        <v>464</v>
      </c>
      <c r="E1306" s="11">
        <f ca="1">D1306*Reference!$D$7*(1-IF(MONTH($A1306)=Reference!$D$6,1,0)*Reference!$D$12)</f>
        <v>348000</v>
      </c>
      <c r="M1306" s="20"/>
      <c r="N1306" s="20"/>
      <c r="O1306" s="19"/>
      <c r="P1306" s="10"/>
      <c r="Q1306" s="10"/>
      <c r="R1306" s="10"/>
      <c r="S1306" s="10"/>
      <c r="T1306" s="10"/>
      <c r="U1306" s="10"/>
      <c r="V1306" s="10"/>
      <c r="W1306" s="10"/>
      <c r="X1306" s="10"/>
      <c r="Y1306" s="10"/>
    </row>
    <row r="1307" spans="1:25" x14ac:dyDescent="0.25">
      <c r="A1307" s="9">
        <v>41845</v>
      </c>
      <c r="B1307" s="10">
        <f ca="1">ROUND(_xlfn.NORM.INV(RAND(),Reference!$C$8,0.1*Reference!$C$8)*(1+Reference!$C$11*(IF(MONTH($A1307)=Reference!$C$4,1,0)+IF(MONTH($A1307)=Reference!$C$5,1,0))+(IF(MONTH($A1307)=Reference!$C$6,Reference!$C$13,0))),0)</f>
        <v>353</v>
      </c>
      <c r="C1307" s="11">
        <f ca="1">B1307*Reference!$C$7*(1-IF(MONTH($A1307)=Reference!$C$6,1,0)*Reference!$C$12)</f>
        <v>328290</v>
      </c>
      <c r="D1307" s="10">
        <f ca="1">ROUND(_xlfn.NORM.INV(RAND(),Reference!$D$8,0.1*Reference!$D$8)*(1+Reference!$D$11*(IF(MONTH($A1307)=Reference!$D$4,1,0)+IF(MONTH($A1307)=Reference!$D$5,1,0))+(IF(MONTH($A1307)=Reference!$D$6,Reference!$D$13,0))),0)</f>
        <v>530</v>
      </c>
      <c r="E1307" s="11">
        <f ca="1">D1307*Reference!$D$7*(1-IF(MONTH($A1307)=Reference!$D$6,1,0)*Reference!$D$12)</f>
        <v>397500</v>
      </c>
      <c r="M1307" s="20"/>
      <c r="N1307" s="20"/>
      <c r="O1307" s="19"/>
      <c r="P1307" s="10"/>
      <c r="Q1307" s="10"/>
      <c r="R1307" s="10"/>
      <c r="S1307" s="10"/>
      <c r="T1307" s="10"/>
      <c r="U1307" s="10"/>
      <c r="V1307" s="10"/>
      <c r="W1307" s="10"/>
      <c r="X1307" s="10"/>
      <c r="Y1307" s="10"/>
    </row>
    <row r="1308" spans="1:25" x14ac:dyDescent="0.25">
      <c r="A1308" s="9">
        <v>41846</v>
      </c>
      <c r="B1308" s="10">
        <f ca="1">ROUND(_xlfn.NORM.INV(RAND(),Reference!$C$8,0.1*Reference!$C$8)*(1+Reference!$C$11*(IF(MONTH($A1308)=Reference!$C$4,1,0)+IF(MONTH($A1308)=Reference!$C$5,1,0))+(IF(MONTH($A1308)=Reference!$C$6,Reference!$C$13,0))),0)</f>
        <v>373</v>
      </c>
      <c r="C1308" s="11">
        <f ca="1">B1308*Reference!$C$7*(1-IF(MONTH($A1308)=Reference!$C$6,1,0)*Reference!$C$12)</f>
        <v>346890</v>
      </c>
      <c r="D1308" s="10">
        <f ca="1">ROUND(_xlfn.NORM.INV(RAND(),Reference!$D$8,0.1*Reference!$D$8)*(1+Reference!$D$11*(IF(MONTH($A1308)=Reference!$D$4,1,0)+IF(MONTH($A1308)=Reference!$D$5,1,0))+(IF(MONTH($A1308)=Reference!$D$6,Reference!$D$13,0))),0)</f>
        <v>375</v>
      </c>
      <c r="E1308" s="11">
        <f ca="1">D1308*Reference!$D$7*(1-IF(MONTH($A1308)=Reference!$D$6,1,0)*Reference!$D$12)</f>
        <v>281250</v>
      </c>
      <c r="M1308" s="20"/>
      <c r="N1308" s="20"/>
      <c r="O1308" s="19"/>
      <c r="P1308" s="10"/>
      <c r="Q1308" s="10"/>
      <c r="R1308" s="10"/>
      <c r="S1308" s="10"/>
      <c r="T1308" s="10"/>
      <c r="U1308" s="10"/>
      <c r="V1308" s="10"/>
      <c r="W1308" s="10"/>
      <c r="X1308" s="10"/>
      <c r="Y1308" s="10"/>
    </row>
    <row r="1309" spans="1:25" x14ac:dyDescent="0.25">
      <c r="A1309" s="9">
        <v>41847</v>
      </c>
      <c r="B1309" s="10">
        <f ca="1">ROUND(_xlfn.NORM.INV(RAND(),Reference!$C$8,0.1*Reference!$C$8)*(1+Reference!$C$11*(IF(MONTH($A1309)=Reference!$C$4,1,0)+IF(MONTH($A1309)=Reference!$C$5,1,0))+(IF(MONTH($A1309)=Reference!$C$6,Reference!$C$13,0))),0)</f>
        <v>323</v>
      </c>
      <c r="C1309" s="11">
        <f ca="1">B1309*Reference!$C$7*(1-IF(MONTH($A1309)=Reference!$C$6,1,0)*Reference!$C$12)</f>
        <v>300390</v>
      </c>
      <c r="D1309" s="10">
        <f ca="1">ROUND(_xlfn.NORM.INV(RAND(),Reference!$D$8,0.1*Reference!$D$8)*(1+Reference!$D$11*(IF(MONTH($A1309)=Reference!$D$4,1,0)+IF(MONTH($A1309)=Reference!$D$5,1,0))+(IF(MONTH($A1309)=Reference!$D$6,Reference!$D$13,0))),0)</f>
        <v>486</v>
      </c>
      <c r="E1309" s="11">
        <f ca="1">D1309*Reference!$D$7*(1-IF(MONTH($A1309)=Reference!$D$6,1,0)*Reference!$D$12)</f>
        <v>364500</v>
      </c>
      <c r="M1309" s="20"/>
      <c r="N1309" s="20"/>
      <c r="O1309" s="19"/>
      <c r="P1309" s="10"/>
      <c r="Q1309" s="10"/>
      <c r="R1309" s="10"/>
      <c r="S1309" s="10"/>
      <c r="T1309" s="10"/>
      <c r="U1309" s="10"/>
      <c r="V1309" s="10"/>
      <c r="W1309" s="10"/>
      <c r="X1309" s="10"/>
      <c r="Y1309" s="10"/>
    </row>
    <row r="1310" spans="1:25" x14ac:dyDescent="0.25">
      <c r="A1310" s="9">
        <v>41848</v>
      </c>
      <c r="B1310" s="10">
        <f ca="1">ROUND(_xlfn.NORM.INV(RAND(),Reference!$C$8,0.1*Reference!$C$8)*(1+Reference!$C$11*(IF(MONTH($A1310)=Reference!$C$4,1,0)+IF(MONTH($A1310)=Reference!$C$5,1,0))+(IF(MONTH($A1310)=Reference!$C$6,Reference!$C$13,0))),0)</f>
        <v>367</v>
      </c>
      <c r="C1310" s="11">
        <f ca="1">B1310*Reference!$C$7*(1-IF(MONTH($A1310)=Reference!$C$6,1,0)*Reference!$C$12)</f>
        <v>341310</v>
      </c>
      <c r="D1310" s="10">
        <f ca="1">ROUND(_xlfn.NORM.INV(RAND(),Reference!$D$8,0.1*Reference!$D$8)*(1+Reference!$D$11*(IF(MONTH($A1310)=Reference!$D$4,1,0)+IF(MONTH($A1310)=Reference!$D$5,1,0))+(IF(MONTH($A1310)=Reference!$D$6,Reference!$D$13,0))),0)</f>
        <v>508</v>
      </c>
      <c r="E1310" s="11">
        <f ca="1">D1310*Reference!$D$7*(1-IF(MONTH($A1310)=Reference!$D$6,1,0)*Reference!$D$12)</f>
        <v>381000</v>
      </c>
      <c r="M1310" s="20"/>
      <c r="N1310" s="20"/>
      <c r="O1310" s="19"/>
      <c r="P1310" s="10"/>
      <c r="Q1310" s="10"/>
      <c r="R1310" s="10"/>
      <c r="S1310" s="10"/>
      <c r="T1310" s="10"/>
      <c r="U1310" s="10"/>
      <c r="V1310" s="10"/>
      <c r="W1310" s="10"/>
      <c r="X1310" s="10"/>
      <c r="Y1310" s="10"/>
    </row>
    <row r="1311" spans="1:25" x14ac:dyDescent="0.25">
      <c r="A1311" s="9">
        <v>41849</v>
      </c>
      <c r="B1311" s="10">
        <f ca="1">ROUND(_xlfn.NORM.INV(RAND(),Reference!$C$8,0.1*Reference!$C$8)*(1+Reference!$C$11*(IF(MONTH($A1311)=Reference!$C$4,1,0)+IF(MONTH($A1311)=Reference!$C$5,1,0))+(IF(MONTH($A1311)=Reference!$C$6,Reference!$C$13,0))),0)</f>
        <v>334</v>
      </c>
      <c r="C1311" s="11">
        <f ca="1">B1311*Reference!$C$7*(1-IF(MONTH($A1311)=Reference!$C$6,1,0)*Reference!$C$12)</f>
        <v>310620</v>
      </c>
      <c r="D1311" s="10">
        <f ca="1">ROUND(_xlfn.NORM.INV(RAND(),Reference!$D$8,0.1*Reference!$D$8)*(1+Reference!$D$11*(IF(MONTH($A1311)=Reference!$D$4,1,0)+IF(MONTH($A1311)=Reference!$D$5,1,0))+(IF(MONTH($A1311)=Reference!$D$6,Reference!$D$13,0))),0)</f>
        <v>419</v>
      </c>
      <c r="E1311" s="11">
        <f ca="1">D1311*Reference!$D$7*(1-IF(MONTH($A1311)=Reference!$D$6,1,0)*Reference!$D$12)</f>
        <v>314250</v>
      </c>
      <c r="M1311" s="20"/>
      <c r="N1311" s="20"/>
      <c r="O1311" s="19"/>
      <c r="P1311" s="10"/>
      <c r="Q1311" s="10"/>
      <c r="R1311" s="10"/>
      <c r="S1311" s="10"/>
      <c r="T1311" s="10"/>
      <c r="U1311" s="10"/>
      <c r="V1311" s="10"/>
      <c r="W1311" s="10"/>
      <c r="X1311" s="10"/>
      <c r="Y1311" s="10"/>
    </row>
    <row r="1312" spans="1:25" x14ac:dyDescent="0.25">
      <c r="A1312" s="9">
        <v>41850</v>
      </c>
      <c r="B1312" s="10">
        <f ca="1">ROUND(_xlfn.NORM.INV(RAND(),Reference!$C$8,0.1*Reference!$C$8)*(1+Reference!$C$11*(IF(MONTH($A1312)=Reference!$C$4,1,0)+IF(MONTH($A1312)=Reference!$C$5,1,0))+(IF(MONTH($A1312)=Reference!$C$6,Reference!$C$13,0))),0)</f>
        <v>363</v>
      </c>
      <c r="C1312" s="11">
        <f ca="1">B1312*Reference!$C$7*(1-IF(MONTH($A1312)=Reference!$C$6,1,0)*Reference!$C$12)</f>
        <v>337590</v>
      </c>
      <c r="D1312" s="10">
        <f ca="1">ROUND(_xlfn.NORM.INV(RAND(),Reference!$D$8,0.1*Reference!$D$8)*(1+Reference!$D$11*(IF(MONTH($A1312)=Reference!$D$4,1,0)+IF(MONTH($A1312)=Reference!$D$5,1,0))+(IF(MONTH($A1312)=Reference!$D$6,Reference!$D$13,0))),0)</f>
        <v>466</v>
      </c>
      <c r="E1312" s="11">
        <f ca="1">D1312*Reference!$D$7*(1-IF(MONTH($A1312)=Reference!$D$6,1,0)*Reference!$D$12)</f>
        <v>349500</v>
      </c>
      <c r="M1312" s="20"/>
      <c r="N1312" s="20"/>
      <c r="O1312" s="19"/>
      <c r="P1312" s="10"/>
      <c r="Q1312" s="10"/>
      <c r="R1312" s="10"/>
      <c r="S1312" s="10"/>
      <c r="T1312" s="10"/>
      <c r="U1312" s="10"/>
      <c r="V1312" s="10"/>
      <c r="W1312" s="10"/>
      <c r="X1312" s="10"/>
      <c r="Y1312" s="10"/>
    </row>
    <row r="1313" spans="1:25" x14ac:dyDescent="0.25">
      <c r="A1313" s="9">
        <v>41851</v>
      </c>
      <c r="B1313" s="10">
        <f ca="1">ROUND(_xlfn.NORM.INV(RAND(),Reference!$C$8,0.1*Reference!$C$8)*(1+Reference!$C$11*(IF(MONTH($A1313)=Reference!$C$4,1,0)+IF(MONTH($A1313)=Reference!$C$5,1,0))+(IF(MONTH($A1313)=Reference!$C$6,Reference!$C$13,0))),0)</f>
        <v>383</v>
      </c>
      <c r="C1313" s="11">
        <f ca="1">B1313*Reference!$C$7*(1-IF(MONTH($A1313)=Reference!$C$6,1,0)*Reference!$C$12)</f>
        <v>356190</v>
      </c>
      <c r="D1313" s="10">
        <f ca="1">ROUND(_xlfn.NORM.INV(RAND(),Reference!$D$8,0.1*Reference!$D$8)*(1+Reference!$D$11*(IF(MONTH($A1313)=Reference!$D$4,1,0)+IF(MONTH($A1313)=Reference!$D$5,1,0))+(IF(MONTH($A1313)=Reference!$D$6,Reference!$D$13,0))),0)</f>
        <v>514</v>
      </c>
      <c r="E1313" s="11">
        <f ca="1">D1313*Reference!$D$7*(1-IF(MONTH($A1313)=Reference!$D$6,1,0)*Reference!$D$12)</f>
        <v>385500</v>
      </c>
      <c r="M1313" s="20"/>
      <c r="N1313" s="20"/>
      <c r="O1313" s="19"/>
      <c r="P1313" s="10"/>
      <c r="Q1313" s="10"/>
      <c r="R1313" s="10"/>
      <c r="S1313" s="10"/>
      <c r="T1313" s="10"/>
      <c r="U1313" s="10"/>
      <c r="V1313" s="10"/>
      <c r="W1313" s="10"/>
      <c r="X1313" s="10"/>
      <c r="Y1313" s="10"/>
    </row>
    <row r="1314" spans="1:25" x14ac:dyDescent="0.25">
      <c r="A1314" s="9">
        <v>41852</v>
      </c>
      <c r="B1314" s="10">
        <f ca="1">ROUND(_xlfn.NORM.INV(RAND(),Reference!$C$8,0.1*Reference!$C$8)*(1+Reference!$C$11*(IF(MONTH($A1314)=Reference!$C$4,1,0)+IF(MONTH($A1314)=Reference!$C$5,1,0))+(IF(MONTH($A1314)=Reference!$C$6,Reference!$C$13,0))),0)</f>
        <v>337</v>
      </c>
      <c r="C1314" s="11">
        <f ca="1">B1314*Reference!$C$7*(1-IF(MONTH($A1314)=Reference!$C$6,1,0)*Reference!$C$12)</f>
        <v>313410</v>
      </c>
      <c r="D1314" s="10">
        <f ca="1">ROUND(_xlfn.NORM.INV(RAND(),Reference!$D$8,0.1*Reference!$D$8)*(1+Reference!$D$11*(IF(MONTH($A1314)=Reference!$D$4,1,0)+IF(MONTH($A1314)=Reference!$D$5,1,0))+(IF(MONTH($A1314)=Reference!$D$6,Reference!$D$13,0))),0)</f>
        <v>518</v>
      </c>
      <c r="E1314" s="11">
        <f ca="1">D1314*Reference!$D$7*(1-IF(MONTH($A1314)=Reference!$D$6,1,0)*Reference!$D$12)</f>
        <v>388500</v>
      </c>
      <c r="M1314" s="20"/>
      <c r="N1314" s="20"/>
      <c r="O1314" s="19"/>
      <c r="P1314" s="10"/>
      <c r="Q1314" s="10"/>
      <c r="R1314" s="10"/>
      <c r="S1314" s="10"/>
      <c r="T1314" s="10"/>
      <c r="U1314" s="10"/>
      <c r="V1314" s="10"/>
      <c r="W1314" s="10"/>
      <c r="X1314" s="10"/>
      <c r="Y1314" s="10"/>
    </row>
    <row r="1315" spans="1:25" x14ac:dyDescent="0.25">
      <c r="A1315" s="9">
        <v>41853</v>
      </c>
      <c r="B1315" s="10">
        <f ca="1">ROUND(_xlfn.NORM.INV(RAND(),Reference!$C$8,0.1*Reference!$C$8)*(1+Reference!$C$11*(IF(MONTH($A1315)=Reference!$C$4,1,0)+IF(MONTH($A1315)=Reference!$C$5,1,0))+(IF(MONTH($A1315)=Reference!$C$6,Reference!$C$13,0))),0)</f>
        <v>376</v>
      </c>
      <c r="C1315" s="11">
        <f ca="1">B1315*Reference!$C$7*(1-IF(MONTH($A1315)=Reference!$C$6,1,0)*Reference!$C$12)</f>
        <v>349680</v>
      </c>
      <c r="D1315" s="10">
        <f ca="1">ROUND(_xlfn.NORM.INV(RAND(),Reference!$D$8,0.1*Reference!$D$8)*(1+Reference!$D$11*(IF(MONTH($A1315)=Reference!$D$4,1,0)+IF(MONTH($A1315)=Reference!$D$5,1,0))+(IF(MONTH($A1315)=Reference!$D$6,Reference!$D$13,0))),0)</f>
        <v>515</v>
      </c>
      <c r="E1315" s="11">
        <f ca="1">D1315*Reference!$D$7*(1-IF(MONTH($A1315)=Reference!$D$6,1,0)*Reference!$D$12)</f>
        <v>386250</v>
      </c>
      <c r="M1315" s="20"/>
      <c r="N1315" s="20"/>
      <c r="O1315" s="19"/>
      <c r="P1315" s="10"/>
      <c r="Q1315" s="10"/>
      <c r="R1315" s="10"/>
      <c r="S1315" s="10"/>
      <c r="T1315" s="10"/>
      <c r="U1315" s="10"/>
      <c r="V1315" s="10"/>
      <c r="W1315" s="10"/>
      <c r="X1315" s="10"/>
      <c r="Y1315" s="10"/>
    </row>
    <row r="1316" spans="1:25" x14ac:dyDescent="0.25">
      <c r="A1316" s="9">
        <v>41854</v>
      </c>
      <c r="B1316" s="10">
        <f ca="1">ROUND(_xlfn.NORM.INV(RAND(),Reference!$C$8,0.1*Reference!$C$8)*(1+Reference!$C$11*(IF(MONTH($A1316)=Reference!$C$4,1,0)+IF(MONTH($A1316)=Reference!$C$5,1,0))+(IF(MONTH($A1316)=Reference!$C$6,Reference!$C$13,0))),0)</f>
        <v>370</v>
      </c>
      <c r="C1316" s="11">
        <f ca="1">B1316*Reference!$C$7*(1-IF(MONTH($A1316)=Reference!$C$6,1,0)*Reference!$C$12)</f>
        <v>344100</v>
      </c>
      <c r="D1316" s="10">
        <f ca="1">ROUND(_xlfn.NORM.INV(RAND(),Reference!$D$8,0.1*Reference!$D$8)*(1+Reference!$D$11*(IF(MONTH($A1316)=Reference!$D$4,1,0)+IF(MONTH($A1316)=Reference!$D$5,1,0))+(IF(MONTH($A1316)=Reference!$D$6,Reference!$D$13,0))),0)</f>
        <v>544</v>
      </c>
      <c r="E1316" s="11">
        <f ca="1">D1316*Reference!$D$7*(1-IF(MONTH($A1316)=Reference!$D$6,1,0)*Reference!$D$12)</f>
        <v>408000</v>
      </c>
      <c r="M1316" s="20"/>
      <c r="N1316" s="20"/>
      <c r="O1316" s="19"/>
      <c r="P1316" s="10"/>
      <c r="Q1316" s="10"/>
      <c r="R1316" s="10"/>
      <c r="S1316" s="10"/>
      <c r="T1316" s="10"/>
      <c r="U1316" s="10"/>
      <c r="V1316" s="10"/>
      <c r="W1316" s="10"/>
      <c r="X1316" s="10"/>
      <c r="Y1316" s="10"/>
    </row>
    <row r="1317" spans="1:25" x14ac:dyDescent="0.25">
      <c r="A1317" s="9">
        <v>41855</v>
      </c>
      <c r="B1317" s="10">
        <f ca="1">ROUND(_xlfn.NORM.INV(RAND(),Reference!$C$8,0.1*Reference!$C$8)*(1+Reference!$C$11*(IF(MONTH($A1317)=Reference!$C$4,1,0)+IF(MONTH($A1317)=Reference!$C$5,1,0))+(IF(MONTH($A1317)=Reference!$C$6,Reference!$C$13,0))),0)</f>
        <v>373</v>
      </c>
      <c r="C1317" s="11">
        <f ca="1">B1317*Reference!$C$7*(1-IF(MONTH($A1317)=Reference!$C$6,1,0)*Reference!$C$12)</f>
        <v>346890</v>
      </c>
      <c r="D1317" s="10">
        <f ca="1">ROUND(_xlfn.NORM.INV(RAND(),Reference!$D$8,0.1*Reference!$D$8)*(1+Reference!$D$11*(IF(MONTH($A1317)=Reference!$D$4,1,0)+IF(MONTH($A1317)=Reference!$D$5,1,0))+(IF(MONTH($A1317)=Reference!$D$6,Reference!$D$13,0))),0)</f>
        <v>551</v>
      </c>
      <c r="E1317" s="11">
        <f ca="1">D1317*Reference!$D$7*(1-IF(MONTH($A1317)=Reference!$D$6,1,0)*Reference!$D$12)</f>
        <v>413250</v>
      </c>
      <c r="M1317" s="20"/>
      <c r="N1317" s="20"/>
      <c r="O1317" s="19"/>
      <c r="P1317" s="10"/>
      <c r="Q1317" s="10"/>
      <c r="R1317" s="10"/>
      <c r="S1317" s="10"/>
      <c r="T1317" s="10"/>
      <c r="U1317" s="10"/>
      <c r="V1317" s="10"/>
      <c r="W1317" s="10"/>
      <c r="X1317" s="10"/>
      <c r="Y1317" s="10"/>
    </row>
    <row r="1318" spans="1:25" x14ac:dyDescent="0.25">
      <c r="A1318" s="9">
        <v>41856</v>
      </c>
      <c r="B1318" s="10">
        <f ca="1">ROUND(_xlfn.NORM.INV(RAND(),Reference!$C$8,0.1*Reference!$C$8)*(1+Reference!$C$11*(IF(MONTH($A1318)=Reference!$C$4,1,0)+IF(MONTH($A1318)=Reference!$C$5,1,0))+(IF(MONTH($A1318)=Reference!$C$6,Reference!$C$13,0))),0)</f>
        <v>372</v>
      </c>
      <c r="C1318" s="11">
        <f ca="1">B1318*Reference!$C$7*(1-IF(MONTH($A1318)=Reference!$C$6,1,0)*Reference!$C$12)</f>
        <v>345960</v>
      </c>
      <c r="D1318" s="10">
        <f ca="1">ROUND(_xlfn.NORM.INV(RAND(),Reference!$D$8,0.1*Reference!$D$8)*(1+Reference!$D$11*(IF(MONTH($A1318)=Reference!$D$4,1,0)+IF(MONTH($A1318)=Reference!$D$5,1,0))+(IF(MONTH($A1318)=Reference!$D$6,Reference!$D$13,0))),0)</f>
        <v>502</v>
      </c>
      <c r="E1318" s="11">
        <f ca="1">D1318*Reference!$D$7*(1-IF(MONTH($A1318)=Reference!$D$6,1,0)*Reference!$D$12)</f>
        <v>376500</v>
      </c>
      <c r="M1318" s="20"/>
      <c r="N1318" s="20"/>
      <c r="O1318" s="19"/>
      <c r="P1318" s="10"/>
      <c r="Q1318" s="10"/>
      <c r="R1318" s="10"/>
      <c r="S1318" s="10"/>
      <c r="T1318" s="10"/>
      <c r="U1318" s="10"/>
      <c r="V1318" s="10"/>
      <c r="W1318" s="10"/>
      <c r="X1318" s="10"/>
      <c r="Y1318" s="10"/>
    </row>
    <row r="1319" spans="1:25" x14ac:dyDescent="0.25">
      <c r="A1319" s="9">
        <v>41857</v>
      </c>
      <c r="B1319" s="10">
        <f ca="1">ROUND(_xlfn.NORM.INV(RAND(),Reference!$C$8,0.1*Reference!$C$8)*(1+Reference!$C$11*(IF(MONTH($A1319)=Reference!$C$4,1,0)+IF(MONTH($A1319)=Reference!$C$5,1,0))+(IF(MONTH($A1319)=Reference!$C$6,Reference!$C$13,0))),0)</f>
        <v>387</v>
      </c>
      <c r="C1319" s="11">
        <f ca="1">B1319*Reference!$C$7*(1-IF(MONTH($A1319)=Reference!$C$6,1,0)*Reference!$C$12)</f>
        <v>359910</v>
      </c>
      <c r="D1319" s="10">
        <f ca="1">ROUND(_xlfn.NORM.INV(RAND(),Reference!$D$8,0.1*Reference!$D$8)*(1+Reference!$D$11*(IF(MONTH($A1319)=Reference!$D$4,1,0)+IF(MONTH($A1319)=Reference!$D$5,1,0))+(IF(MONTH($A1319)=Reference!$D$6,Reference!$D$13,0))),0)</f>
        <v>499</v>
      </c>
      <c r="E1319" s="11">
        <f ca="1">D1319*Reference!$D$7*(1-IF(MONTH($A1319)=Reference!$D$6,1,0)*Reference!$D$12)</f>
        <v>374250</v>
      </c>
      <c r="M1319" s="20"/>
      <c r="N1319" s="20"/>
      <c r="O1319" s="19"/>
      <c r="P1319" s="10"/>
      <c r="Q1319" s="10"/>
      <c r="R1319" s="10"/>
      <c r="S1319" s="10"/>
      <c r="T1319" s="10"/>
      <c r="U1319" s="10"/>
      <c r="V1319" s="10"/>
      <c r="W1319" s="10"/>
      <c r="X1319" s="10"/>
      <c r="Y1319" s="10"/>
    </row>
    <row r="1320" spans="1:25" x14ac:dyDescent="0.25">
      <c r="A1320" s="9">
        <v>41858</v>
      </c>
      <c r="B1320" s="10">
        <f ca="1">ROUND(_xlfn.NORM.INV(RAND(),Reference!$C$8,0.1*Reference!$C$8)*(1+Reference!$C$11*(IF(MONTH($A1320)=Reference!$C$4,1,0)+IF(MONTH($A1320)=Reference!$C$5,1,0))+(IF(MONTH($A1320)=Reference!$C$6,Reference!$C$13,0))),0)</f>
        <v>436</v>
      </c>
      <c r="C1320" s="11">
        <f ca="1">B1320*Reference!$C$7*(1-IF(MONTH($A1320)=Reference!$C$6,1,0)*Reference!$C$12)</f>
        <v>405480</v>
      </c>
      <c r="D1320" s="10">
        <f ca="1">ROUND(_xlfn.NORM.INV(RAND(),Reference!$D$8,0.1*Reference!$D$8)*(1+Reference!$D$11*(IF(MONTH($A1320)=Reference!$D$4,1,0)+IF(MONTH($A1320)=Reference!$D$5,1,0))+(IF(MONTH($A1320)=Reference!$D$6,Reference!$D$13,0))),0)</f>
        <v>435</v>
      </c>
      <c r="E1320" s="11">
        <f ca="1">D1320*Reference!$D$7*(1-IF(MONTH($A1320)=Reference!$D$6,1,0)*Reference!$D$12)</f>
        <v>326250</v>
      </c>
      <c r="M1320" s="20"/>
      <c r="N1320" s="20"/>
      <c r="O1320" s="19"/>
      <c r="P1320" s="10"/>
      <c r="Q1320" s="10"/>
      <c r="R1320" s="10"/>
      <c r="S1320" s="10"/>
      <c r="T1320" s="10"/>
      <c r="U1320" s="10"/>
      <c r="V1320" s="10"/>
      <c r="W1320" s="10"/>
      <c r="X1320" s="10"/>
      <c r="Y1320" s="10"/>
    </row>
    <row r="1321" spans="1:25" x14ac:dyDescent="0.25">
      <c r="A1321" s="9">
        <v>41859</v>
      </c>
      <c r="B1321" s="10">
        <f ca="1">ROUND(_xlfn.NORM.INV(RAND(),Reference!$C$8,0.1*Reference!$C$8)*(1+Reference!$C$11*(IF(MONTH($A1321)=Reference!$C$4,1,0)+IF(MONTH($A1321)=Reference!$C$5,1,0))+(IF(MONTH($A1321)=Reference!$C$6,Reference!$C$13,0))),0)</f>
        <v>383</v>
      </c>
      <c r="C1321" s="11">
        <f ca="1">B1321*Reference!$C$7*(1-IF(MONTH($A1321)=Reference!$C$6,1,0)*Reference!$C$12)</f>
        <v>356190</v>
      </c>
      <c r="D1321" s="10">
        <f ca="1">ROUND(_xlfn.NORM.INV(RAND(),Reference!$D$8,0.1*Reference!$D$8)*(1+Reference!$D$11*(IF(MONTH($A1321)=Reference!$D$4,1,0)+IF(MONTH($A1321)=Reference!$D$5,1,0))+(IF(MONTH($A1321)=Reference!$D$6,Reference!$D$13,0))),0)</f>
        <v>573</v>
      </c>
      <c r="E1321" s="11">
        <f ca="1">D1321*Reference!$D$7*(1-IF(MONTH($A1321)=Reference!$D$6,1,0)*Reference!$D$12)</f>
        <v>429750</v>
      </c>
      <c r="M1321" s="20"/>
      <c r="N1321" s="20"/>
      <c r="O1321" s="19"/>
      <c r="P1321" s="10"/>
      <c r="Q1321" s="10"/>
      <c r="R1321" s="10"/>
      <c r="S1321" s="10"/>
      <c r="T1321" s="10"/>
      <c r="U1321" s="10"/>
      <c r="V1321" s="10"/>
      <c r="W1321" s="10"/>
      <c r="X1321" s="10"/>
      <c r="Y1321" s="10"/>
    </row>
    <row r="1322" spans="1:25" x14ac:dyDescent="0.25">
      <c r="A1322" s="9">
        <v>41860</v>
      </c>
      <c r="B1322" s="10">
        <f ca="1">ROUND(_xlfn.NORM.INV(RAND(),Reference!$C$8,0.1*Reference!$C$8)*(1+Reference!$C$11*(IF(MONTH($A1322)=Reference!$C$4,1,0)+IF(MONTH($A1322)=Reference!$C$5,1,0))+(IF(MONTH($A1322)=Reference!$C$6,Reference!$C$13,0))),0)</f>
        <v>326</v>
      </c>
      <c r="C1322" s="11">
        <f ca="1">B1322*Reference!$C$7*(1-IF(MONTH($A1322)=Reference!$C$6,1,0)*Reference!$C$12)</f>
        <v>303180</v>
      </c>
      <c r="D1322" s="10">
        <f ca="1">ROUND(_xlfn.NORM.INV(RAND(),Reference!$D$8,0.1*Reference!$D$8)*(1+Reference!$D$11*(IF(MONTH($A1322)=Reference!$D$4,1,0)+IF(MONTH($A1322)=Reference!$D$5,1,0))+(IF(MONTH($A1322)=Reference!$D$6,Reference!$D$13,0))),0)</f>
        <v>618</v>
      </c>
      <c r="E1322" s="11">
        <f ca="1">D1322*Reference!$D$7*(1-IF(MONTH($A1322)=Reference!$D$6,1,0)*Reference!$D$12)</f>
        <v>463500</v>
      </c>
      <c r="M1322" s="20"/>
      <c r="N1322" s="20"/>
      <c r="O1322" s="19"/>
      <c r="P1322" s="10"/>
      <c r="Q1322" s="10"/>
      <c r="R1322" s="10"/>
      <c r="S1322" s="10"/>
      <c r="T1322" s="10"/>
      <c r="U1322" s="10"/>
      <c r="V1322" s="10"/>
      <c r="W1322" s="10"/>
      <c r="X1322" s="10"/>
      <c r="Y1322" s="10"/>
    </row>
    <row r="1323" spans="1:25" x14ac:dyDescent="0.25">
      <c r="A1323" s="9">
        <v>41861</v>
      </c>
      <c r="B1323" s="10">
        <f ca="1">ROUND(_xlfn.NORM.INV(RAND(),Reference!$C$8,0.1*Reference!$C$8)*(1+Reference!$C$11*(IF(MONTH($A1323)=Reference!$C$4,1,0)+IF(MONTH($A1323)=Reference!$C$5,1,0))+(IF(MONTH($A1323)=Reference!$C$6,Reference!$C$13,0))),0)</f>
        <v>362</v>
      </c>
      <c r="C1323" s="11">
        <f ca="1">B1323*Reference!$C$7*(1-IF(MONTH($A1323)=Reference!$C$6,1,0)*Reference!$C$12)</f>
        <v>336660</v>
      </c>
      <c r="D1323" s="10">
        <f ca="1">ROUND(_xlfn.NORM.INV(RAND(),Reference!$D$8,0.1*Reference!$D$8)*(1+Reference!$D$11*(IF(MONTH($A1323)=Reference!$D$4,1,0)+IF(MONTH($A1323)=Reference!$D$5,1,0))+(IF(MONTH($A1323)=Reference!$D$6,Reference!$D$13,0))),0)</f>
        <v>596</v>
      </c>
      <c r="E1323" s="11">
        <f ca="1">D1323*Reference!$D$7*(1-IF(MONTH($A1323)=Reference!$D$6,1,0)*Reference!$D$12)</f>
        <v>447000</v>
      </c>
      <c r="M1323" s="20"/>
      <c r="N1323" s="20"/>
      <c r="O1323" s="19"/>
      <c r="P1323" s="10"/>
      <c r="Q1323" s="10"/>
      <c r="R1323" s="10"/>
      <c r="S1323" s="10"/>
      <c r="T1323" s="10"/>
      <c r="U1323" s="10"/>
      <c r="V1323" s="10"/>
      <c r="W1323" s="10"/>
      <c r="X1323" s="10"/>
      <c r="Y1323" s="10"/>
    </row>
    <row r="1324" spans="1:25" x14ac:dyDescent="0.25">
      <c r="A1324" s="9">
        <v>41862</v>
      </c>
      <c r="B1324" s="10">
        <f ca="1">ROUND(_xlfn.NORM.INV(RAND(),Reference!$C$8,0.1*Reference!$C$8)*(1+Reference!$C$11*(IF(MONTH($A1324)=Reference!$C$4,1,0)+IF(MONTH($A1324)=Reference!$C$5,1,0))+(IF(MONTH($A1324)=Reference!$C$6,Reference!$C$13,0))),0)</f>
        <v>328</v>
      </c>
      <c r="C1324" s="11">
        <f ca="1">B1324*Reference!$C$7*(1-IF(MONTH($A1324)=Reference!$C$6,1,0)*Reference!$C$12)</f>
        <v>305040</v>
      </c>
      <c r="D1324" s="10">
        <f ca="1">ROUND(_xlfn.NORM.INV(RAND(),Reference!$D$8,0.1*Reference!$D$8)*(1+Reference!$D$11*(IF(MONTH($A1324)=Reference!$D$4,1,0)+IF(MONTH($A1324)=Reference!$D$5,1,0))+(IF(MONTH($A1324)=Reference!$D$6,Reference!$D$13,0))),0)</f>
        <v>487</v>
      </c>
      <c r="E1324" s="11">
        <f ca="1">D1324*Reference!$D$7*(1-IF(MONTH($A1324)=Reference!$D$6,1,0)*Reference!$D$12)</f>
        <v>365250</v>
      </c>
      <c r="M1324" s="20"/>
      <c r="N1324" s="20"/>
      <c r="O1324" s="19"/>
      <c r="P1324" s="10"/>
      <c r="Q1324" s="10"/>
      <c r="R1324" s="10"/>
      <c r="S1324" s="10"/>
      <c r="T1324" s="10"/>
      <c r="U1324" s="10"/>
      <c r="V1324" s="10"/>
      <c r="W1324" s="10"/>
      <c r="X1324" s="10"/>
      <c r="Y1324" s="10"/>
    </row>
    <row r="1325" spans="1:25" x14ac:dyDescent="0.25">
      <c r="A1325" s="9">
        <v>41863</v>
      </c>
      <c r="B1325" s="10">
        <f ca="1">ROUND(_xlfn.NORM.INV(RAND(),Reference!$C$8,0.1*Reference!$C$8)*(1+Reference!$C$11*(IF(MONTH($A1325)=Reference!$C$4,1,0)+IF(MONTH($A1325)=Reference!$C$5,1,0))+(IF(MONTH($A1325)=Reference!$C$6,Reference!$C$13,0))),0)</f>
        <v>362</v>
      </c>
      <c r="C1325" s="11">
        <f ca="1">B1325*Reference!$C$7*(1-IF(MONTH($A1325)=Reference!$C$6,1,0)*Reference!$C$12)</f>
        <v>336660</v>
      </c>
      <c r="D1325" s="10">
        <f ca="1">ROUND(_xlfn.NORM.INV(RAND(),Reference!$D$8,0.1*Reference!$D$8)*(1+Reference!$D$11*(IF(MONTH($A1325)=Reference!$D$4,1,0)+IF(MONTH($A1325)=Reference!$D$5,1,0))+(IF(MONTH($A1325)=Reference!$D$6,Reference!$D$13,0))),0)</f>
        <v>522</v>
      </c>
      <c r="E1325" s="11">
        <f ca="1">D1325*Reference!$D$7*(1-IF(MONTH($A1325)=Reference!$D$6,1,0)*Reference!$D$12)</f>
        <v>391500</v>
      </c>
      <c r="M1325" s="20"/>
      <c r="N1325" s="20"/>
      <c r="O1325" s="19"/>
      <c r="P1325" s="10"/>
      <c r="Q1325" s="10"/>
      <c r="R1325" s="10"/>
      <c r="S1325" s="10"/>
      <c r="T1325" s="10"/>
      <c r="U1325" s="10"/>
      <c r="V1325" s="10"/>
      <c r="W1325" s="10"/>
      <c r="X1325" s="10"/>
      <c r="Y1325" s="10"/>
    </row>
    <row r="1326" spans="1:25" x14ac:dyDescent="0.25">
      <c r="A1326" s="9">
        <v>41864</v>
      </c>
      <c r="B1326" s="10">
        <f ca="1">ROUND(_xlfn.NORM.INV(RAND(),Reference!$C$8,0.1*Reference!$C$8)*(1+Reference!$C$11*(IF(MONTH($A1326)=Reference!$C$4,1,0)+IF(MONTH($A1326)=Reference!$C$5,1,0))+(IF(MONTH($A1326)=Reference!$C$6,Reference!$C$13,0))),0)</f>
        <v>386</v>
      </c>
      <c r="C1326" s="11">
        <f ca="1">B1326*Reference!$C$7*(1-IF(MONTH($A1326)=Reference!$C$6,1,0)*Reference!$C$12)</f>
        <v>358980</v>
      </c>
      <c r="D1326" s="10">
        <f ca="1">ROUND(_xlfn.NORM.INV(RAND(),Reference!$D$8,0.1*Reference!$D$8)*(1+Reference!$D$11*(IF(MONTH($A1326)=Reference!$D$4,1,0)+IF(MONTH($A1326)=Reference!$D$5,1,0))+(IF(MONTH($A1326)=Reference!$D$6,Reference!$D$13,0))),0)</f>
        <v>478</v>
      </c>
      <c r="E1326" s="11">
        <f ca="1">D1326*Reference!$D$7*(1-IF(MONTH($A1326)=Reference!$D$6,1,0)*Reference!$D$12)</f>
        <v>358500</v>
      </c>
      <c r="M1326" s="20"/>
      <c r="N1326" s="20"/>
      <c r="O1326" s="19"/>
      <c r="P1326" s="10"/>
      <c r="Q1326" s="10"/>
      <c r="R1326" s="10"/>
      <c r="S1326" s="10"/>
      <c r="T1326" s="10"/>
      <c r="U1326" s="10"/>
      <c r="V1326" s="10"/>
      <c r="W1326" s="10"/>
      <c r="X1326" s="10"/>
      <c r="Y1326" s="10"/>
    </row>
    <row r="1327" spans="1:25" x14ac:dyDescent="0.25">
      <c r="A1327" s="9">
        <v>41865</v>
      </c>
      <c r="B1327" s="10">
        <f ca="1">ROUND(_xlfn.NORM.INV(RAND(),Reference!$C$8,0.1*Reference!$C$8)*(1+Reference!$C$11*(IF(MONTH($A1327)=Reference!$C$4,1,0)+IF(MONTH($A1327)=Reference!$C$5,1,0))+(IF(MONTH($A1327)=Reference!$C$6,Reference!$C$13,0))),0)</f>
        <v>340</v>
      </c>
      <c r="C1327" s="11">
        <f ca="1">B1327*Reference!$C$7*(1-IF(MONTH($A1327)=Reference!$C$6,1,0)*Reference!$C$12)</f>
        <v>316200</v>
      </c>
      <c r="D1327" s="10">
        <f ca="1">ROUND(_xlfn.NORM.INV(RAND(),Reference!$D$8,0.1*Reference!$D$8)*(1+Reference!$D$11*(IF(MONTH($A1327)=Reference!$D$4,1,0)+IF(MONTH($A1327)=Reference!$D$5,1,0))+(IF(MONTH($A1327)=Reference!$D$6,Reference!$D$13,0))),0)</f>
        <v>443</v>
      </c>
      <c r="E1327" s="11">
        <f ca="1">D1327*Reference!$D$7*(1-IF(MONTH($A1327)=Reference!$D$6,1,0)*Reference!$D$12)</f>
        <v>332250</v>
      </c>
      <c r="M1327" s="20"/>
      <c r="N1327" s="20"/>
      <c r="O1327" s="19"/>
      <c r="P1327" s="10"/>
      <c r="Q1327" s="10"/>
      <c r="R1327" s="10"/>
      <c r="S1327" s="10"/>
      <c r="T1327" s="10"/>
      <c r="U1327" s="10"/>
      <c r="V1327" s="10"/>
      <c r="W1327" s="10"/>
      <c r="X1327" s="10"/>
      <c r="Y1327" s="10"/>
    </row>
    <row r="1328" spans="1:25" x14ac:dyDescent="0.25">
      <c r="A1328" s="9">
        <v>41866</v>
      </c>
      <c r="B1328" s="10">
        <f ca="1">ROUND(_xlfn.NORM.INV(RAND(),Reference!$C$8,0.1*Reference!$C$8)*(1+Reference!$C$11*(IF(MONTH($A1328)=Reference!$C$4,1,0)+IF(MONTH($A1328)=Reference!$C$5,1,0))+(IF(MONTH($A1328)=Reference!$C$6,Reference!$C$13,0))),0)</f>
        <v>330</v>
      </c>
      <c r="C1328" s="11">
        <f ca="1">B1328*Reference!$C$7*(1-IF(MONTH($A1328)=Reference!$C$6,1,0)*Reference!$C$12)</f>
        <v>306900</v>
      </c>
      <c r="D1328" s="10">
        <f ca="1">ROUND(_xlfn.NORM.INV(RAND(),Reference!$D$8,0.1*Reference!$D$8)*(1+Reference!$D$11*(IF(MONTH($A1328)=Reference!$D$4,1,0)+IF(MONTH($A1328)=Reference!$D$5,1,0))+(IF(MONTH($A1328)=Reference!$D$6,Reference!$D$13,0))),0)</f>
        <v>503</v>
      </c>
      <c r="E1328" s="11">
        <f ca="1">D1328*Reference!$D$7*(1-IF(MONTH($A1328)=Reference!$D$6,1,0)*Reference!$D$12)</f>
        <v>377250</v>
      </c>
      <c r="M1328" s="20"/>
      <c r="N1328" s="20"/>
      <c r="O1328" s="19"/>
      <c r="P1328" s="10"/>
      <c r="Q1328" s="10"/>
      <c r="R1328" s="10"/>
      <c r="S1328" s="10"/>
      <c r="T1328" s="10"/>
      <c r="U1328" s="10"/>
      <c r="V1328" s="10"/>
      <c r="W1328" s="10"/>
      <c r="X1328" s="10"/>
      <c r="Y1328" s="10"/>
    </row>
    <row r="1329" spans="1:25" x14ac:dyDescent="0.25">
      <c r="A1329" s="9">
        <v>41867</v>
      </c>
      <c r="B1329" s="10">
        <f ca="1">ROUND(_xlfn.NORM.INV(RAND(),Reference!$C$8,0.1*Reference!$C$8)*(1+Reference!$C$11*(IF(MONTH($A1329)=Reference!$C$4,1,0)+IF(MONTH($A1329)=Reference!$C$5,1,0))+(IF(MONTH($A1329)=Reference!$C$6,Reference!$C$13,0))),0)</f>
        <v>326</v>
      </c>
      <c r="C1329" s="11">
        <f ca="1">B1329*Reference!$C$7*(1-IF(MONTH($A1329)=Reference!$C$6,1,0)*Reference!$C$12)</f>
        <v>303180</v>
      </c>
      <c r="D1329" s="10">
        <f ca="1">ROUND(_xlfn.NORM.INV(RAND(),Reference!$D$8,0.1*Reference!$D$8)*(1+Reference!$D$11*(IF(MONTH($A1329)=Reference!$D$4,1,0)+IF(MONTH($A1329)=Reference!$D$5,1,0))+(IF(MONTH($A1329)=Reference!$D$6,Reference!$D$13,0))),0)</f>
        <v>565</v>
      </c>
      <c r="E1329" s="11">
        <f ca="1">D1329*Reference!$D$7*(1-IF(MONTH($A1329)=Reference!$D$6,1,0)*Reference!$D$12)</f>
        <v>423750</v>
      </c>
      <c r="M1329" s="20"/>
      <c r="N1329" s="20"/>
      <c r="O1329" s="19"/>
      <c r="P1329" s="10"/>
      <c r="Q1329" s="10"/>
      <c r="R1329" s="10"/>
      <c r="S1329" s="10"/>
      <c r="T1329" s="10"/>
      <c r="U1329" s="10"/>
      <c r="V1329" s="10"/>
      <c r="W1329" s="10"/>
      <c r="X1329" s="10"/>
      <c r="Y1329" s="10"/>
    </row>
    <row r="1330" spans="1:25" x14ac:dyDescent="0.25">
      <c r="A1330" s="9">
        <v>41868</v>
      </c>
      <c r="B1330" s="10">
        <f ca="1">ROUND(_xlfn.NORM.INV(RAND(),Reference!$C$8,0.1*Reference!$C$8)*(1+Reference!$C$11*(IF(MONTH($A1330)=Reference!$C$4,1,0)+IF(MONTH($A1330)=Reference!$C$5,1,0))+(IF(MONTH($A1330)=Reference!$C$6,Reference!$C$13,0))),0)</f>
        <v>347</v>
      </c>
      <c r="C1330" s="11">
        <f ca="1">B1330*Reference!$C$7*(1-IF(MONTH($A1330)=Reference!$C$6,1,0)*Reference!$C$12)</f>
        <v>322710</v>
      </c>
      <c r="D1330" s="10">
        <f ca="1">ROUND(_xlfn.NORM.INV(RAND(),Reference!$D$8,0.1*Reference!$D$8)*(1+Reference!$D$11*(IF(MONTH($A1330)=Reference!$D$4,1,0)+IF(MONTH($A1330)=Reference!$D$5,1,0))+(IF(MONTH($A1330)=Reference!$D$6,Reference!$D$13,0))),0)</f>
        <v>415</v>
      </c>
      <c r="E1330" s="11">
        <f ca="1">D1330*Reference!$D$7*(1-IF(MONTH($A1330)=Reference!$D$6,1,0)*Reference!$D$12)</f>
        <v>311250</v>
      </c>
      <c r="M1330" s="20"/>
      <c r="N1330" s="20"/>
      <c r="O1330" s="19"/>
      <c r="P1330" s="10"/>
      <c r="Q1330" s="10"/>
      <c r="R1330" s="10"/>
      <c r="S1330" s="10"/>
      <c r="T1330" s="10"/>
      <c r="U1330" s="10"/>
      <c r="V1330" s="10"/>
      <c r="W1330" s="10"/>
      <c r="X1330" s="10"/>
      <c r="Y1330" s="10"/>
    </row>
    <row r="1331" spans="1:25" x14ac:dyDescent="0.25">
      <c r="A1331" s="9">
        <v>41869</v>
      </c>
      <c r="B1331" s="10">
        <f ca="1">ROUND(_xlfn.NORM.INV(RAND(),Reference!$C$8,0.1*Reference!$C$8)*(1+Reference!$C$11*(IF(MONTH($A1331)=Reference!$C$4,1,0)+IF(MONTH($A1331)=Reference!$C$5,1,0))+(IF(MONTH($A1331)=Reference!$C$6,Reference!$C$13,0))),0)</f>
        <v>420</v>
      </c>
      <c r="C1331" s="11">
        <f ca="1">B1331*Reference!$C$7*(1-IF(MONTH($A1331)=Reference!$C$6,1,0)*Reference!$C$12)</f>
        <v>390600</v>
      </c>
      <c r="D1331" s="10">
        <f ca="1">ROUND(_xlfn.NORM.INV(RAND(),Reference!$D$8,0.1*Reference!$D$8)*(1+Reference!$D$11*(IF(MONTH($A1331)=Reference!$D$4,1,0)+IF(MONTH($A1331)=Reference!$D$5,1,0))+(IF(MONTH($A1331)=Reference!$D$6,Reference!$D$13,0))),0)</f>
        <v>493</v>
      </c>
      <c r="E1331" s="11">
        <f ca="1">D1331*Reference!$D$7*(1-IF(MONTH($A1331)=Reference!$D$6,1,0)*Reference!$D$12)</f>
        <v>369750</v>
      </c>
      <c r="M1331" s="20"/>
      <c r="N1331" s="20"/>
      <c r="O1331" s="19"/>
      <c r="P1331" s="10"/>
      <c r="Q1331" s="10"/>
      <c r="R1331" s="10"/>
      <c r="S1331" s="10"/>
      <c r="T1331" s="10"/>
      <c r="U1331" s="10"/>
      <c r="V1331" s="10"/>
      <c r="W1331" s="10"/>
      <c r="X1331" s="10"/>
      <c r="Y1331" s="10"/>
    </row>
    <row r="1332" spans="1:25" x14ac:dyDescent="0.25">
      <c r="A1332" s="9">
        <v>41870</v>
      </c>
      <c r="B1332" s="10">
        <f ca="1">ROUND(_xlfn.NORM.INV(RAND(),Reference!$C$8,0.1*Reference!$C$8)*(1+Reference!$C$11*(IF(MONTH($A1332)=Reference!$C$4,1,0)+IF(MONTH($A1332)=Reference!$C$5,1,0))+(IF(MONTH($A1332)=Reference!$C$6,Reference!$C$13,0))),0)</f>
        <v>334</v>
      </c>
      <c r="C1332" s="11">
        <f ca="1">B1332*Reference!$C$7*(1-IF(MONTH($A1332)=Reference!$C$6,1,0)*Reference!$C$12)</f>
        <v>310620</v>
      </c>
      <c r="D1332" s="10">
        <f ca="1">ROUND(_xlfn.NORM.INV(RAND(),Reference!$D$8,0.1*Reference!$D$8)*(1+Reference!$D$11*(IF(MONTH($A1332)=Reference!$D$4,1,0)+IF(MONTH($A1332)=Reference!$D$5,1,0))+(IF(MONTH($A1332)=Reference!$D$6,Reference!$D$13,0))),0)</f>
        <v>441</v>
      </c>
      <c r="E1332" s="11">
        <f ca="1">D1332*Reference!$D$7*(1-IF(MONTH($A1332)=Reference!$D$6,1,0)*Reference!$D$12)</f>
        <v>330750</v>
      </c>
      <c r="M1332" s="20"/>
      <c r="N1332" s="20"/>
      <c r="O1332" s="19"/>
      <c r="P1332" s="10"/>
      <c r="Q1332" s="10"/>
      <c r="R1332" s="10"/>
      <c r="S1332" s="10"/>
      <c r="T1332" s="10"/>
      <c r="U1332" s="10"/>
      <c r="V1332" s="10"/>
      <c r="W1332" s="10"/>
      <c r="X1332" s="10"/>
      <c r="Y1332" s="10"/>
    </row>
    <row r="1333" spans="1:25" x14ac:dyDescent="0.25">
      <c r="A1333" s="9">
        <v>41871</v>
      </c>
      <c r="B1333" s="10">
        <f ca="1">ROUND(_xlfn.NORM.INV(RAND(),Reference!$C$8,0.1*Reference!$C$8)*(1+Reference!$C$11*(IF(MONTH($A1333)=Reference!$C$4,1,0)+IF(MONTH($A1333)=Reference!$C$5,1,0))+(IF(MONTH($A1333)=Reference!$C$6,Reference!$C$13,0))),0)</f>
        <v>349</v>
      </c>
      <c r="C1333" s="11">
        <f ca="1">B1333*Reference!$C$7*(1-IF(MONTH($A1333)=Reference!$C$6,1,0)*Reference!$C$12)</f>
        <v>324570</v>
      </c>
      <c r="D1333" s="10">
        <f ca="1">ROUND(_xlfn.NORM.INV(RAND(),Reference!$D$8,0.1*Reference!$D$8)*(1+Reference!$D$11*(IF(MONTH($A1333)=Reference!$D$4,1,0)+IF(MONTH($A1333)=Reference!$D$5,1,0))+(IF(MONTH($A1333)=Reference!$D$6,Reference!$D$13,0))),0)</f>
        <v>392</v>
      </c>
      <c r="E1333" s="11">
        <f ca="1">D1333*Reference!$D$7*(1-IF(MONTH($A1333)=Reference!$D$6,1,0)*Reference!$D$12)</f>
        <v>294000</v>
      </c>
      <c r="M1333" s="20"/>
      <c r="N1333" s="20"/>
      <c r="O1333" s="19"/>
      <c r="P1333" s="10"/>
      <c r="Q1333" s="10"/>
      <c r="R1333" s="10"/>
      <c r="S1333" s="10"/>
      <c r="T1333" s="10"/>
      <c r="U1333" s="10"/>
      <c r="V1333" s="10"/>
      <c r="W1333" s="10"/>
      <c r="X1333" s="10"/>
      <c r="Y1333" s="10"/>
    </row>
    <row r="1334" spans="1:25" x14ac:dyDescent="0.25">
      <c r="A1334" s="9">
        <v>41872</v>
      </c>
      <c r="B1334" s="10">
        <f ca="1">ROUND(_xlfn.NORM.INV(RAND(),Reference!$C$8,0.1*Reference!$C$8)*(1+Reference!$C$11*(IF(MONTH($A1334)=Reference!$C$4,1,0)+IF(MONTH($A1334)=Reference!$C$5,1,0))+(IF(MONTH($A1334)=Reference!$C$6,Reference!$C$13,0))),0)</f>
        <v>334</v>
      </c>
      <c r="C1334" s="11">
        <f ca="1">B1334*Reference!$C$7*(1-IF(MONTH($A1334)=Reference!$C$6,1,0)*Reference!$C$12)</f>
        <v>310620</v>
      </c>
      <c r="D1334" s="10">
        <f ca="1">ROUND(_xlfn.NORM.INV(RAND(),Reference!$D$8,0.1*Reference!$D$8)*(1+Reference!$D$11*(IF(MONTH($A1334)=Reference!$D$4,1,0)+IF(MONTH($A1334)=Reference!$D$5,1,0))+(IF(MONTH($A1334)=Reference!$D$6,Reference!$D$13,0))),0)</f>
        <v>584</v>
      </c>
      <c r="E1334" s="11">
        <f ca="1">D1334*Reference!$D$7*(1-IF(MONTH($A1334)=Reference!$D$6,1,0)*Reference!$D$12)</f>
        <v>438000</v>
      </c>
      <c r="M1334" s="20"/>
      <c r="N1334" s="20"/>
      <c r="O1334" s="19"/>
      <c r="P1334" s="10"/>
      <c r="Q1334" s="10"/>
      <c r="R1334" s="10"/>
      <c r="S1334" s="10"/>
      <c r="T1334" s="10"/>
      <c r="U1334" s="10"/>
      <c r="V1334" s="10"/>
      <c r="W1334" s="10"/>
      <c r="X1334" s="10"/>
      <c r="Y1334" s="10"/>
    </row>
    <row r="1335" spans="1:25" x14ac:dyDescent="0.25">
      <c r="A1335" s="9">
        <v>41873</v>
      </c>
      <c r="B1335" s="10">
        <f ca="1">ROUND(_xlfn.NORM.INV(RAND(),Reference!$C$8,0.1*Reference!$C$8)*(1+Reference!$C$11*(IF(MONTH($A1335)=Reference!$C$4,1,0)+IF(MONTH($A1335)=Reference!$C$5,1,0))+(IF(MONTH($A1335)=Reference!$C$6,Reference!$C$13,0))),0)</f>
        <v>348</v>
      </c>
      <c r="C1335" s="11">
        <f ca="1">B1335*Reference!$C$7*(1-IF(MONTH($A1335)=Reference!$C$6,1,0)*Reference!$C$12)</f>
        <v>323640</v>
      </c>
      <c r="D1335" s="10">
        <f ca="1">ROUND(_xlfn.NORM.INV(RAND(),Reference!$D$8,0.1*Reference!$D$8)*(1+Reference!$D$11*(IF(MONTH($A1335)=Reference!$D$4,1,0)+IF(MONTH($A1335)=Reference!$D$5,1,0))+(IF(MONTH($A1335)=Reference!$D$6,Reference!$D$13,0))),0)</f>
        <v>492</v>
      </c>
      <c r="E1335" s="11">
        <f ca="1">D1335*Reference!$D$7*(1-IF(MONTH($A1335)=Reference!$D$6,1,0)*Reference!$D$12)</f>
        <v>369000</v>
      </c>
      <c r="M1335" s="20"/>
      <c r="N1335" s="20"/>
      <c r="O1335" s="19"/>
      <c r="P1335" s="10"/>
      <c r="Q1335" s="10"/>
      <c r="R1335" s="10"/>
      <c r="S1335" s="10"/>
      <c r="T1335" s="10"/>
      <c r="U1335" s="10"/>
      <c r="V1335" s="10"/>
      <c r="W1335" s="10"/>
      <c r="X1335" s="10"/>
      <c r="Y1335" s="10"/>
    </row>
    <row r="1336" spans="1:25" x14ac:dyDescent="0.25">
      <c r="A1336" s="9">
        <v>41874</v>
      </c>
      <c r="B1336" s="10">
        <f ca="1">ROUND(_xlfn.NORM.INV(RAND(),Reference!$C$8,0.1*Reference!$C$8)*(1+Reference!$C$11*(IF(MONTH($A1336)=Reference!$C$4,1,0)+IF(MONTH($A1336)=Reference!$C$5,1,0))+(IF(MONTH($A1336)=Reference!$C$6,Reference!$C$13,0))),0)</f>
        <v>408</v>
      </c>
      <c r="C1336" s="11">
        <f ca="1">B1336*Reference!$C$7*(1-IF(MONTH($A1336)=Reference!$C$6,1,0)*Reference!$C$12)</f>
        <v>379440</v>
      </c>
      <c r="D1336" s="10">
        <f ca="1">ROUND(_xlfn.NORM.INV(RAND(),Reference!$D$8,0.1*Reference!$D$8)*(1+Reference!$D$11*(IF(MONTH($A1336)=Reference!$D$4,1,0)+IF(MONTH($A1336)=Reference!$D$5,1,0))+(IF(MONTH($A1336)=Reference!$D$6,Reference!$D$13,0))),0)</f>
        <v>464</v>
      </c>
      <c r="E1336" s="11">
        <f ca="1">D1336*Reference!$D$7*(1-IF(MONTH($A1336)=Reference!$D$6,1,0)*Reference!$D$12)</f>
        <v>348000</v>
      </c>
      <c r="M1336" s="20"/>
      <c r="N1336" s="20"/>
      <c r="O1336" s="19"/>
      <c r="P1336" s="10"/>
      <c r="Q1336" s="10"/>
      <c r="R1336" s="10"/>
      <c r="S1336" s="10"/>
      <c r="T1336" s="10"/>
      <c r="U1336" s="10"/>
      <c r="V1336" s="10"/>
      <c r="W1336" s="10"/>
      <c r="X1336" s="10"/>
      <c r="Y1336" s="10"/>
    </row>
    <row r="1337" spans="1:25" x14ac:dyDescent="0.25">
      <c r="A1337" s="9">
        <v>41875</v>
      </c>
      <c r="B1337" s="10">
        <f ca="1">ROUND(_xlfn.NORM.INV(RAND(),Reference!$C$8,0.1*Reference!$C$8)*(1+Reference!$C$11*(IF(MONTH($A1337)=Reference!$C$4,1,0)+IF(MONTH($A1337)=Reference!$C$5,1,0))+(IF(MONTH($A1337)=Reference!$C$6,Reference!$C$13,0))),0)</f>
        <v>387</v>
      </c>
      <c r="C1337" s="11">
        <f ca="1">B1337*Reference!$C$7*(1-IF(MONTH($A1337)=Reference!$C$6,1,0)*Reference!$C$12)</f>
        <v>359910</v>
      </c>
      <c r="D1337" s="10">
        <f ca="1">ROUND(_xlfn.NORM.INV(RAND(),Reference!$D$8,0.1*Reference!$D$8)*(1+Reference!$D$11*(IF(MONTH($A1337)=Reference!$D$4,1,0)+IF(MONTH($A1337)=Reference!$D$5,1,0))+(IF(MONTH($A1337)=Reference!$D$6,Reference!$D$13,0))),0)</f>
        <v>565</v>
      </c>
      <c r="E1337" s="11">
        <f ca="1">D1337*Reference!$D$7*(1-IF(MONTH($A1337)=Reference!$D$6,1,0)*Reference!$D$12)</f>
        <v>423750</v>
      </c>
      <c r="M1337" s="20"/>
      <c r="N1337" s="20"/>
      <c r="O1337" s="19"/>
      <c r="P1337" s="10"/>
      <c r="Q1337" s="10"/>
      <c r="R1337" s="10"/>
      <c r="S1337" s="10"/>
      <c r="T1337" s="10"/>
      <c r="U1337" s="10"/>
      <c r="V1337" s="10"/>
      <c r="W1337" s="10"/>
      <c r="X1337" s="10"/>
      <c r="Y1337" s="10"/>
    </row>
    <row r="1338" spans="1:25" x14ac:dyDescent="0.25">
      <c r="A1338" s="9">
        <v>41876</v>
      </c>
      <c r="B1338" s="10">
        <f ca="1">ROUND(_xlfn.NORM.INV(RAND(),Reference!$C$8,0.1*Reference!$C$8)*(1+Reference!$C$11*(IF(MONTH($A1338)=Reference!$C$4,1,0)+IF(MONTH($A1338)=Reference!$C$5,1,0))+(IF(MONTH($A1338)=Reference!$C$6,Reference!$C$13,0))),0)</f>
        <v>339</v>
      </c>
      <c r="C1338" s="11">
        <f ca="1">B1338*Reference!$C$7*(1-IF(MONTH($A1338)=Reference!$C$6,1,0)*Reference!$C$12)</f>
        <v>315270</v>
      </c>
      <c r="D1338" s="10">
        <f ca="1">ROUND(_xlfn.NORM.INV(RAND(),Reference!$D$8,0.1*Reference!$D$8)*(1+Reference!$D$11*(IF(MONTH($A1338)=Reference!$D$4,1,0)+IF(MONTH($A1338)=Reference!$D$5,1,0))+(IF(MONTH($A1338)=Reference!$D$6,Reference!$D$13,0))),0)</f>
        <v>493</v>
      </c>
      <c r="E1338" s="11">
        <f ca="1">D1338*Reference!$D$7*(1-IF(MONTH($A1338)=Reference!$D$6,1,0)*Reference!$D$12)</f>
        <v>369750</v>
      </c>
      <c r="M1338" s="20"/>
      <c r="N1338" s="20"/>
      <c r="O1338" s="19"/>
      <c r="P1338" s="10"/>
      <c r="Q1338" s="10"/>
      <c r="R1338" s="10"/>
      <c r="S1338" s="10"/>
      <c r="T1338" s="10"/>
      <c r="U1338" s="10"/>
      <c r="V1338" s="10"/>
      <c r="W1338" s="10"/>
      <c r="X1338" s="10"/>
      <c r="Y1338" s="10"/>
    </row>
    <row r="1339" spans="1:25" x14ac:dyDescent="0.25">
      <c r="A1339" s="9">
        <v>41877</v>
      </c>
      <c r="B1339" s="10">
        <f ca="1">ROUND(_xlfn.NORM.INV(RAND(),Reference!$C$8,0.1*Reference!$C$8)*(1+Reference!$C$11*(IF(MONTH($A1339)=Reference!$C$4,1,0)+IF(MONTH($A1339)=Reference!$C$5,1,0))+(IF(MONTH($A1339)=Reference!$C$6,Reference!$C$13,0))),0)</f>
        <v>400</v>
      </c>
      <c r="C1339" s="11">
        <f ca="1">B1339*Reference!$C$7*(1-IF(MONTH($A1339)=Reference!$C$6,1,0)*Reference!$C$12)</f>
        <v>372000</v>
      </c>
      <c r="D1339" s="10">
        <f ca="1">ROUND(_xlfn.NORM.INV(RAND(),Reference!$D$8,0.1*Reference!$D$8)*(1+Reference!$D$11*(IF(MONTH($A1339)=Reference!$D$4,1,0)+IF(MONTH($A1339)=Reference!$D$5,1,0))+(IF(MONTH($A1339)=Reference!$D$6,Reference!$D$13,0))),0)</f>
        <v>488</v>
      </c>
      <c r="E1339" s="11">
        <f ca="1">D1339*Reference!$D$7*(1-IF(MONTH($A1339)=Reference!$D$6,1,0)*Reference!$D$12)</f>
        <v>366000</v>
      </c>
      <c r="M1339" s="20"/>
      <c r="N1339" s="20"/>
      <c r="O1339" s="19"/>
      <c r="P1339" s="10"/>
      <c r="Q1339" s="10"/>
      <c r="R1339" s="10"/>
      <c r="S1339" s="10"/>
      <c r="T1339" s="10"/>
      <c r="U1339" s="10"/>
      <c r="V1339" s="10"/>
      <c r="W1339" s="10"/>
      <c r="X1339" s="10"/>
      <c r="Y1339" s="10"/>
    </row>
    <row r="1340" spans="1:25" x14ac:dyDescent="0.25">
      <c r="A1340" s="9">
        <v>41878</v>
      </c>
      <c r="B1340" s="10">
        <f ca="1">ROUND(_xlfn.NORM.INV(RAND(),Reference!$C$8,0.1*Reference!$C$8)*(1+Reference!$C$11*(IF(MONTH($A1340)=Reference!$C$4,1,0)+IF(MONTH($A1340)=Reference!$C$5,1,0))+(IF(MONTH($A1340)=Reference!$C$6,Reference!$C$13,0))),0)</f>
        <v>328</v>
      </c>
      <c r="C1340" s="11">
        <f ca="1">B1340*Reference!$C$7*(1-IF(MONTH($A1340)=Reference!$C$6,1,0)*Reference!$C$12)</f>
        <v>305040</v>
      </c>
      <c r="D1340" s="10">
        <f ca="1">ROUND(_xlfn.NORM.INV(RAND(),Reference!$D$8,0.1*Reference!$D$8)*(1+Reference!$D$11*(IF(MONTH($A1340)=Reference!$D$4,1,0)+IF(MONTH($A1340)=Reference!$D$5,1,0))+(IF(MONTH($A1340)=Reference!$D$6,Reference!$D$13,0))),0)</f>
        <v>366</v>
      </c>
      <c r="E1340" s="11">
        <f ca="1">D1340*Reference!$D$7*(1-IF(MONTH($A1340)=Reference!$D$6,1,0)*Reference!$D$12)</f>
        <v>274500</v>
      </c>
      <c r="M1340" s="20"/>
      <c r="N1340" s="20"/>
      <c r="O1340" s="19"/>
      <c r="P1340" s="10"/>
      <c r="Q1340" s="10"/>
      <c r="R1340" s="10"/>
      <c r="S1340" s="10"/>
      <c r="T1340" s="10"/>
      <c r="U1340" s="10"/>
      <c r="V1340" s="10"/>
      <c r="W1340" s="10"/>
      <c r="X1340" s="10"/>
      <c r="Y1340" s="10"/>
    </row>
    <row r="1341" spans="1:25" x14ac:dyDescent="0.25">
      <c r="A1341" s="9">
        <v>41879</v>
      </c>
      <c r="B1341" s="10">
        <f ca="1">ROUND(_xlfn.NORM.INV(RAND(),Reference!$C$8,0.1*Reference!$C$8)*(1+Reference!$C$11*(IF(MONTH($A1341)=Reference!$C$4,1,0)+IF(MONTH($A1341)=Reference!$C$5,1,0))+(IF(MONTH($A1341)=Reference!$C$6,Reference!$C$13,0))),0)</f>
        <v>378</v>
      </c>
      <c r="C1341" s="11">
        <f ca="1">B1341*Reference!$C$7*(1-IF(MONTH($A1341)=Reference!$C$6,1,0)*Reference!$C$12)</f>
        <v>351540</v>
      </c>
      <c r="D1341" s="10">
        <f ca="1">ROUND(_xlfn.NORM.INV(RAND(),Reference!$D$8,0.1*Reference!$D$8)*(1+Reference!$D$11*(IF(MONTH($A1341)=Reference!$D$4,1,0)+IF(MONTH($A1341)=Reference!$D$5,1,0))+(IF(MONTH($A1341)=Reference!$D$6,Reference!$D$13,0))),0)</f>
        <v>431</v>
      </c>
      <c r="E1341" s="11">
        <f ca="1">D1341*Reference!$D$7*(1-IF(MONTH($A1341)=Reference!$D$6,1,0)*Reference!$D$12)</f>
        <v>323250</v>
      </c>
      <c r="M1341" s="20"/>
      <c r="N1341" s="20"/>
      <c r="O1341" s="19"/>
      <c r="P1341" s="10"/>
      <c r="Q1341" s="10"/>
      <c r="R1341" s="10"/>
      <c r="S1341" s="10"/>
      <c r="T1341" s="10"/>
      <c r="U1341" s="10"/>
      <c r="V1341" s="10"/>
      <c r="W1341" s="10"/>
      <c r="X1341" s="10"/>
      <c r="Y1341" s="10"/>
    </row>
    <row r="1342" spans="1:25" x14ac:dyDescent="0.25">
      <c r="A1342" s="9">
        <v>41880</v>
      </c>
      <c r="B1342" s="10">
        <f ca="1">ROUND(_xlfn.NORM.INV(RAND(),Reference!$C$8,0.1*Reference!$C$8)*(1+Reference!$C$11*(IF(MONTH($A1342)=Reference!$C$4,1,0)+IF(MONTH($A1342)=Reference!$C$5,1,0))+(IF(MONTH($A1342)=Reference!$C$6,Reference!$C$13,0))),0)</f>
        <v>348</v>
      </c>
      <c r="C1342" s="11">
        <f ca="1">B1342*Reference!$C$7*(1-IF(MONTH($A1342)=Reference!$C$6,1,0)*Reference!$C$12)</f>
        <v>323640</v>
      </c>
      <c r="D1342" s="10">
        <f ca="1">ROUND(_xlfn.NORM.INV(RAND(),Reference!$D$8,0.1*Reference!$D$8)*(1+Reference!$D$11*(IF(MONTH($A1342)=Reference!$D$4,1,0)+IF(MONTH($A1342)=Reference!$D$5,1,0))+(IF(MONTH($A1342)=Reference!$D$6,Reference!$D$13,0))),0)</f>
        <v>504</v>
      </c>
      <c r="E1342" s="11">
        <f ca="1">D1342*Reference!$D$7*(1-IF(MONTH($A1342)=Reference!$D$6,1,0)*Reference!$D$12)</f>
        <v>378000</v>
      </c>
      <c r="M1342" s="20"/>
      <c r="N1342" s="20"/>
      <c r="O1342" s="19"/>
      <c r="P1342" s="10"/>
      <c r="Q1342" s="10"/>
      <c r="R1342" s="10"/>
      <c r="S1342" s="10"/>
      <c r="T1342" s="10"/>
      <c r="U1342" s="10"/>
      <c r="V1342" s="10"/>
      <c r="W1342" s="10"/>
      <c r="X1342" s="10"/>
      <c r="Y1342" s="10"/>
    </row>
    <row r="1343" spans="1:25" x14ac:dyDescent="0.25">
      <c r="A1343" s="9">
        <v>41881</v>
      </c>
      <c r="B1343" s="10">
        <f ca="1">ROUND(_xlfn.NORM.INV(RAND(),Reference!$C$8,0.1*Reference!$C$8)*(1+Reference!$C$11*(IF(MONTH($A1343)=Reference!$C$4,1,0)+IF(MONTH($A1343)=Reference!$C$5,1,0))+(IF(MONTH($A1343)=Reference!$C$6,Reference!$C$13,0))),0)</f>
        <v>422</v>
      </c>
      <c r="C1343" s="11">
        <f ca="1">B1343*Reference!$C$7*(1-IF(MONTH($A1343)=Reference!$C$6,1,0)*Reference!$C$12)</f>
        <v>392460</v>
      </c>
      <c r="D1343" s="10">
        <f ca="1">ROUND(_xlfn.NORM.INV(RAND(),Reference!$D$8,0.1*Reference!$D$8)*(1+Reference!$D$11*(IF(MONTH($A1343)=Reference!$D$4,1,0)+IF(MONTH($A1343)=Reference!$D$5,1,0))+(IF(MONTH($A1343)=Reference!$D$6,Reference!$D$13,0))),0)</f>
        <v>555</v>
      </c>
      <c r="E1343" s="11">
        <f ca="1">D1343*Reference!$D$7*(1-IF(MONTH($A1343)=Reference!$D$6,1,0)*Reference!$D$12)</f>
        <v>416250</v>
      </c>
      <c r="M1343" s="20"/>
      <c r="N1343" s="20"/>
      <c r="O1343" s="19"/>
      <c r="P1343" s="10"/>
      <c r="Q1343" s="10"/>
      <c r="R1343" s="10"/>
      <c r="S1343" s="10"/>
      <c r="T1343" s="10"/>
      <c r="U1343" s="10"/>
      <c r="V1343" s="10"/>
      <c r="W1343" s="10"/>
      <c r="X1343" s="10"/>
      <c r="Y1343" s="10"/>
    </row>
    <row r="1344" spans="1:25" x14ac:dyDescent="0.25">
      <c r="A1344" s="9">
        <v>41882</v>
      </c>
      <c r="B1344" s="10">
        <f ca="1">ROUND(_xlfn.NORM.INV(RAND(),Reference!$C$8,0.1*Reference!$C$8)*(1+Reference!$C$11*(IF(MONTH($A1344)=Reference!$C$4,1,0)+IF(MONTH($A1344)=Reference!$C$5,1,0))+(IF(MONTH($A1344)=Reference!$C$6,Reference!$C$13,0))),0)</f>
        <v>331</v>
      </c>
      <c r="C1344" s="11">
        <f ca="1">B1344*Reference!$C$7*(1-IF(MONTH($A1344)=Reference!$C$6,1,0)*Reference!$C$12)</f>
        <v>307830</v>
      </c>
      <c r="D1344" s="10">
        <f ca="1">ROUND(_xlfn.NORM.INV(RAND(),Reference!$D$8,0.1*Reference!$D$8)*(1+Reference!$D$11*(IF(MONTH($A1344)=Reference!$D$4,1,0)+IF(MONTH($A1344)=Reference!$D$5,1,0))+(IF(MONTH($A1344)=Reference!$D$6,Reference!$D$13,0))),0)</f>
        <v>486</v>
      </c>
      <c r="E1344" s="11">
        <f ca="1">D1344*Reference!$D$7*(1-IF(MONTH($A1344)=Reference!$D$6,1,0)*Reference!$D$12)</f>
        <v>364500</v>
      </c>
      <c r="M1344" s="20"/>
      <c r="N1344" s="20"/>
      <c r="O1344" s="19"/>
      <c r="P1344" s="10"/>
      <c r="Q1344" s="10"/>
      <c r="R1344" s="10"/>
      <c r="S1344" s="10"/>
      <c r="T1344" s="10"/>
      <c r="U1344" s="10"/>
      <c r="V1344" s="10"/>
      <c r="W1344" s="10"/>
      <c r="X1344" s="10"/>
      <c r="Y1344" s="10"/>
    </row>
    <row r="1345" spans="1:25" x14ac:dyDescent="0.25">
      <c r="A1345" s="9">
        <v>41883</v>
      </c>
      <c r="B1345" s="10">
        <f ca="1">ROUND(_xlfn.NORM.INV(RAND(),Reference!$C$8,0.1*Reference!$C$8)*(1+Reference!$C$11*(IF(MONTH($A1345)=Reference!$C$4,1,0)+IF(MONTH($A1345)=Reference!$C$5,1,0))+(IF(MONTH($A1345)=Reference!$C$6,Reference!$C$13,0))),0)</f>
        <v>334</v>
      </c>
      <c r="C1345" s="11">
        <f ca="1">B1345*Reference!$C$7*(1-IF(MONTH($A1345)=Reference!$C$6,1,0)*Reference!$C$12)</f>
        <v>310620</v>
      </c>
      <c r="D1345" s="10">
        <f ca="1">ROUND(_xlfn.NORM.INV(RAND(),Reference!$D$8,0.1*Reference!$D$8)*(1+Reference!$D$11*(IF(MONTH($A1345)=Reference!$D$4,1,0)+IF(MONTH($A1345)=Reference!$D$5,1,0))+(IF(MONTH($A1345)=Reference!$D$6,Reference!$D$13,0))),0)</f>
        <v>569</v>
      </c>
      <c r="E1345" s="11">
        <f ca="1">D1345*Reference!$D$7*(1-IF(MONTH($A1345)=Reference!$D$6,1,0)*Reference!$D$12)</f>
        <v>405412.5</v>
      </c>
      <c r="M1345" s="20"/>
      <c r="N1345" s="20"/>
      <c r="O1345" s="19"/>
      <c r="P1345" s="10"/>
      <c r="Q1345" s="10"/>
      <c r="R1345" s="10"/>
      <c r="S1345" s="10"/>
      <c r="T1345" s="10"/>
      <c r="U1345" s="10"/>
      <c r="V1345" s="10"/>
      <c r="W1345" s="10"/>
      <c r="X1345" s="10"/>
      <c r="Y1345" s="10"/>
    </row>
    <row r="1346" spans="1:25" x14ac:dyDescent="0.25">
      <c r="A1346" s="9">
        <v>41884</v>
      </c>
      <c r="B1346" s="10">
        <f ca="1">ROUND(_xlfn.NORM.INV(RAND(),Reference!$C$8,0.1*Reference!$C$8)*(1+Reference!$C$11*(IF(MONTH($A1346)=Reference!$C$4,1,0)+IF(MONTH($A1346)=Reference!$C$5,1,0))+(IF(MONTH($A1346)=Reference!$C$6,Reference!$C$13,0))),0)</f>
        <v>397</v>
      </c>
      <c r="C1346" s="11">
        <f ca="1">B1346*Reference!$C$7*(1-IF(MONTH($A1346)=Reference!$C$6,1,0)*Reference!$C$12)</f>
        <v>369210</v>
      </c>
      <c r="D1346" s="10">
        <f ca="1">ROUND(_xlfn.NORM.INV(RAND(),Reference!$D$8,0.1*Reference!$D$8)*(1+Reference!$D$11*(IF(MONTH($A1346)=Reference!$D$4,1,0)+IF(MONTH($A1346)=Reference!$D$5,1,0))+(IF(MONTH($A1346)=Reference!$D$6,Reference!$D$13,0))),0)</f>
        <v>560</v>
      </c>
      <c r="E1346" s="11">
        <f ca="1">D1346*Reference!$D$7*(1-IF(MONTH($A1346)=Reference!$D$6,1,0)*Reference!$D$12)</f>
        <v>399000</v>
      </c>
      <c r="M1346" s="20"/>
      <c r="N1346" s="20"/>
      <c r="O1346" s="19"/>
      <c r="P1346" s="10"/>
      <c r="Q1346" s="10"/>
      <c r="R1346" s="10"/>
      <c r="S1346" s="10"/>
      <c r="T1346" s="10"/>
      <c r="U1346" s="10"/>
      <c r="V1346" s="10"/>
      <c r="W1346" s="10"/>
      <c r="X1346" s="10"/>
      <c r="Y1346" s="10"/>
    </row>
    <row r="1347" spans="1:25" x14ac:dyDescent="0.25">
      <c r="A1347" s="9">
        <v>41885</v>
      </c>
      <c r="B1347" s="10">
        <f ca="1">ROUND(_xlfn.NORM.INV(RAND(),Reference!$C$8,0.1*Reference!$C$8)*(1+Reference!$C$11*(IF(MONTH($A1347)=Reference!$C$4,1,0)+IF(MONTH($A1347)=Reference!$C$5,1,0))+(IF(MONTH($A1347)=Reference!$C$6,Reference!$C$13,0))),0)</f>
        <v>339</v>
      </c>
      <c r="C1347" s="11">
        <f ca="1">B1347*Reference!$C$7*(1-IF(MONTH($A1347)=Reference!$C$6,1,0)*Reference!$C$12)</f>
        <v>315270</v>
      </c>
      <c r="D1347" s="10">
        <f ca="1">ROUND(_xlfn.NORM.INV(RAND(),Reference!$D$8,0.1*Reference!$D$8)*(1+Reference!$D$11*(IF(MONTH($A1347)=Reference!$D$4,1,0)+IF(MONTH($A1347)=Reference!$D$5,1,0))+(IF(MONTH($A1347)=Reference!$D$6,Reference!$D$13,0))),0)</f>
        <v>518</v>
      </c>
      <c r="E1347" s="11">
        <f ca="1">D1347*Reference!$D$7*(1-IF(MONTH($A1347)=Reference!$D$6,1,0)*Reference!$D$12)</f>
        <v>369075</v>
      </c>
      <c r="M1347" s="20"/>
      <c r="N1347" s="20"/>
      <c r="O1347" s="19"/>
      <c r="P1347" s="10"/>
      <c r="Q1347" s="10"/>
      <c r="R1347" s="10"/>
      <c r="S1347" s="10"/>
      <c r="T1347" s="10"/>
      <c r="U1347" s="10"/>
      <c r="V1347" s="10"/>
      <c r="W1347" s="10"/>
      <c r="X1347" s="10"/>
      <c r="Y1347" s="10"/>
    </row>
    <row r="1348" spans="1:25" x14ac:dyDescent="0.25">
      <c r="A1348" s="9">
        <v>41886</v>
      </c>
      <c r="B1348" s="10">
        <f ca="1">ROUND(_xlfn.NORM.INV(RAND(),Reference!$C$8,0.1*Reference!$C$8)*(1+Reference!$C$11*(IF(MONTH($A1348)=Reference!$C$4,1,0)+IF(MONTH($A1348)=Reference!$C$5,1,0))+(IF(MONTH($A1348)=Reference!$C$6,Reference!$C$13,0))),0)</f>
        <v>377</v>
      </c>
      <c r="C1348" s="11">
        <f ca="1">B1348*Reference!$C$7*(1-IF(MONTH($A1348)=Reference!$C$6,1,0)*Reference!$C$12)</f>
        <v>350610</v>
      </c>
      <c r="D1348" s="10">
        <f ca="1">ROUND(_xlfn.NORM.INV(RAND(),Reference!$D$8,0.1*Reference!$D$8)*(1+Reference!$D$11*(IF(MONTH($A1348)=Reference!$D$4,1,0)+IF(MONTH($A1348)=Reference!$D$5,1,0))+(IF(MONTH($A1348)=Reference!$D$6,Reference!$D$13,0))),0)</f>
        <v>564</v>
      </c>
      <c r="E1348" s="11">
        <f ca="1">D1348*Reference!$D$7*(1-IF(MONTH($A1348)=Reference!$D$6,1,0)*Reference!$D$12)</f>
        <v>401850</v>
      </c>
      <c r="M1348" s="20"/>
      <c r="N1348" s="20"/>
      <c r="O1348" s="19"/>
      <c r="P1348" s="10"/>
      <c r="Q1348" s="10"/>
      <c r="R1348" s="10"/>
      <c r="S1348" s="10"/>
      <c r="T1348" s="10"/>
      <c r="U1348" s="10"/>
      <c r="V1348" s="10"/>
      <c r="W1348" s="10"/>
      <c r="X1348" s="10"/>
      <c r="Y1348" s="10"/>
    </row>
    <row r="1349" spans="1:25" x14ac:dyDescent="0.25">
      <c r="A1349" s="9">
        <v>41887</v>
      </c>
      <c r="B1349" s="10">
        <f ca="1">ROUND(_xlfn.NORM.INV(RAND(),Reference!$C$8,0.1*Reference!$C$8)*(1+Reference!$C$11*(IF(MONTH($A1349)=Reference!$C$4,1,0)+IF(MONTH($A1349)=Reference!$C$5,1,0))+(IF(MONTH($A1349)=Reference!$C$6,Reference!$C$13,0))),0)</f>
        <v>275</v>
      </c>
      <c r="C1349" s="11">
        <f ca="1">B1349*Reference!$C$7*(1-IF(MONTH($A1349)=Reference!$C$6,1,0)*Reference!$C$12)</f>
        <v>255750</v>
      </c>
      <c r="D1349" s="10">
        <f ca="1">ROUND(_xlfn.NORM.INV(RAND(),Reference!$D$8,0.1*Reference!$D$8)*(1+Reference!$D$11*(IF(MONTH($A1349)=Reference!$D$4,1,0)+IF(MONTH($A1349)=Reference!$D$5,1,0))+(IF(MONTH($A1349)=Reference!$D$6,Reference!$D$13,0))),0)</f>
        <v>467</v>
      </c>
      <c r="E1349" s="11">
        <f ca="1">D1349*Reference!$D$7*(1-IF(MONTH($A1349)=Reference!$D$6,1,0)*Reference!$D$12)</f>
        <v>332737.5</v>
      </c>
      <c r="M1349" s="20"/>
      <c r="N1349" s="20"/>
      <c r="O1349" s="19"/>
      <c r="P1349" s="10"/>
      <c r="Q1349" s="10"/>
      <c r="R1349" s="10"/>
      <c r="S1349" s="10"/>
      <c r="T1349" s="10"/>
      <c r="U1349" s="10"/>
      <c r="V1349" s="10"/>
      <c r="W1349" s="10"/>
      <c r="X1349" s="10"/>
      <c r="Y1349" s="10"/>
    </row>
    <row r="1350" spans="1:25" x14ac:dyDescent="0.25">
      <c r="A1350" s="9">
        <v>41888</v>
      </c>
      <c r="B1350" s="10">
        <f ca="1">ROUND(_xlfn.NORM.INV(RAND(),Reference!$C$8,0.1*Reference!$C$8)*(1+Reference!$C$11*(IF(MONTH($A1350)=Reference!$C$4,1,0)+IF(MONTH($A1350)=Reference!$C$5,1,0))+(IF(MONTH($A1350)=Reference!$C$6,Reference!$C$13,0))),0)</f>
        <v>361</v>
      </c>
      <c r="C1350" s="11">
        <f ca="1">B1350*Reference!$C$7*(1-IF(MONTH($A1350)=Reference!$C$6,1,0)*Reference!$C$12)</f>
        <v>335730</v>
      </c>
      <c r="D1350" s="10">
        <f ca="1">ROUND(_xlfn.NORM.INV(RAND(),Reference!$D$8,0.1*Reference!$D$8)*(1+Reference!$D$11*(IF(MONTH($A1350)=Reference!$D$4,1,0)+IF(MONTH($A1350)=Reference!$D$5,1,0))+(IF(MONTH($A1350)=Reference!$D$6,Reference!$D$13,0))),0)</f>
        <v>552</v>
      </c>
      <c r="E1350" s="11">
        <f ca="1">D1350*Reference!$D$7*(1-IF(MONTH($A1350)=Reference!$D$6,1,0)*Reference!$D$12)</f>
        <v>393300</v>
      </c>
      <c r="M1350" s="20"/>
      <c r="N1350" s="20"/>
      <c r="O1350" s="19"/>
      <c r="P1350" s="10"/>
      <c r="Q1350" s="10"/>
      <c r="R1350" s="10"/>
      <c r="S1350" s="10"/>
      <c r="T1350" s="10"/>
      <c r="U1350" s="10"/>
      <c r="V1350" s="10"/>
      <c r="W1350" s="10"/>
      <c r="X1350" s="10"/>
      <c r="Y1350" s="10"/>
    </row>
    <row r="1351" spans="1:25" x14ac:dyDescent="0.25">
      <c r="A1351" s="9">
        <v>41889</v>
      </c>
      <c r="B1351" s="10">
        <f ca="1">ROUND(_xlfn.NORM.INV(RAND(),Reference!$C$8,0.1*Reference!$C$8)*(1+Reference!$C$11*(IF(MONTH($A1351)=Reference!$C$4,1,0)+IF(MONTH($A1351)=Reference!$C$5,1,0))+(IF(MONTH($A1351)=Reference!$C$6,Reference!$C$13,0))),0)</f>
        <v>341</v>
      </c>
      <c r="C1351" s="11">
        <f ca="1">B1351*Reference!$C$7*(1-IF(MONTH($A1351)=Reference!$C$6,1,0)*Reference!$C$12)</f>
        <v>317130</v>
      </c>
      <c r="D1351" s="10">
        <f ca="1">ROUND(_xlfn.NORM.INV(RAND(),Reference!$D$8,0.1*Reference!$D$8)*(1+Reference!$D$11*(IF(MONTH($A1351)=Reference!$D$4,1,0)+IF(MONTH($A1351)=Reference!$D$5,1,0))+(IF(MONTH($A1351)=Reference!$D$6,Reference!$D$13,0))),0)</f>
        <v>547</v>
      </c>
      <c r="E1351" s="11">
        <f ca="1">D1351*Reference!$D$7*(1-IF(MONTH($A1351)=Reference!$D$6,1,0)*Reference!$D$12)</f>
        <v>389737.5</v>
      </c>
      <c r="M1351" s="20"/>
      <c r="N1351" s="20"/>
      <c r="O1351" s="19"/>
      <c r="P1351" s="10"/>
      <c r="Q1351" s="10"/>
      <c r="R1351" s="10"/>
      <c r="S1351" s="10"/>
      <c r="T1351" s="10"/>
      <c r="U1351" s="10"/>
      <c r="V1351" s="10"/>
      <c r="W1351" s="10"/>
      <c r="X1351" s="10"/>
      <c r="Y1351" s="10"/>
    </row>
    <row r="1352" spans="1:25" x14ac:dyDescent="0.25">
      <c r="A1352" s="9">
        <v>41890</v>
      </c>
      <c r="B1352" s="10">
        <f ca="1">ROUND(_xlfn.NORM.INV(RAND(),Reference!$C$8,0.1*Reference!$C$8)*(1+Reference!$C$11*(IF(MONTH($A1352)=Reference!$C$4,1,0)+IF(MONTH($A1352)=Reference!$C$5,1,0))+(IF(MONTH($A1352)=Reference!$C$6,Reference!$C$13,0))),0)</f>
        <v>330</v>
      </c>
      <c r="C1352" s="11">
        <f ca="1">B1352*Reference!$C$7*(1-IF(MONTH($A1352)=Reference!$C$6,1,0)*Reference!$C$12)</f>
        <v>306900</v>
      </c>
      <c r="D1352" s="10">
        <f ca="1">ROUND(_xlfn.NORM.INV(RAND(),Reference!$D$8,0.1*Reference!$D$8)*(1+Reference!$D$11*(IF(MONTH($A1352)=Reference!$D$4,1,0)+IF(MONTH($A1352)=Reference!$D$5,1,0))+(IF(MONTH($A1352)=Reference!$D$6,Reference!$D$13,0))),0)</f>
        <v>523</v>
      </c>
      <c r="E1352" s="11">
        <f ca="1">D1352*Reference!$D$7*(1-IF(MONTH($A1352)=Reference!$D$6,1,0)*Reference!$D$12)</f>
        <v>372637.5</v>
      </c>
      <c r="M1352" s="20"/>
      <c r="N1352" s="20"/>
      <c r="O1352" s="19"/>
      <c r="P1352" s="10"/>
      <c r="Q1352" s="10"/>
      <c r="R1352" s="10"/>
      <c r="S1352" s="10"/>
      <c r="T1352" s="10"/>
      <c r="U1352" s="10"/>
      <c r="V1352" s="10"/>
      <c r="W1352" s="10"/>
      <c r="X1352" s="10"/>
      <c r="Y1352" s="10"/>
    </row>
    <row r="1353" spans="1:25" x14ac:dyDescent="0.25">
      <c r="A1353" s="9">
        <v>41891</v>
      </c>
      <c r="B1353" s="10">
        <f ca="1">ROUND(_xlfn.NORM.INV(RAND(),Reference!$C$8,0.1*Reference!$C$8)*(1+Reference!$C$11*(IF(MONTH($A1353)=Reference!$C$4,1,0)+IF(MONTH($A1353)=Reference!$C$5,1,0))+(IF(MONTH($A1353)=Reference!$C$6,Reference!$C$13,0))),0)</f>
        <v>359</v>
      </c>
      <c r="C1353" s="11">
        <f ca="1">B1353*Reference!$C$7*(1-IF(MONTH($A1353)=Reference!$C$6,1,0)*Reference!$C$12)</f>
        <v>333870</v>
      </c>
      <c r="D1353" s="10">
        <f ca="1">ROUND(_xlfn.NORM.INV(RAND(),Reference!$D$8,0.1*Reference!$D$8)*(1+Reference!$D$11*(IF(MONTH($A1353)=Reference!$D$4,1,0)+IF(MONTH($A1353)=Reference!$D$5,1,0))+(IF(MONTH($A1353)=Reference!$D$6,Reference!$D$13,0))),0)</f>
        <v>508</v>
      </c>
      <c r="E1353" s="11">
        <f ca="1">D1353*Reference!$D$7*(1-IF(MONTH($A1353)=Reference!$D$6,1,0)*Reference!$D$12)</f>
        <v>361950</v>
      </c>
      <c r="M1353" s="20"/>
      <c r="N1353" s="20"/>
      <c r="O1353" s="19"/>
      <c r="P1353" s="10"/>
      <c r="Q1353" s="10"/>
      <c r="R1353" s="10"/>
      <c r="S1353" s="10"/>
      <c r="T1353" s="10"/>
      <c r="U1353" s="10"/>
      <c r="V1353" s="10"/>
      <c r="W1353" s="10"/>
      <c r="X1353" s="10"/>
      <c r="Y1353" s="10"/>
    </row>
    <row r="1354" spans="1:25" x14ac:dyDescent="0.25">
      <c r="A1354" s="9">
        <v>41892</v>
      </c>
      <c r="B1354" s="10">
        <f ca="1">ROUND(_xlfn.NORM.INV(RAND(),Reference!$C$8,0.1*Reference!$C$8)*(1+Reference!$C$11*(IF(MONTH($A1354)=Reference!$C$4,1,0)+IF(MONTH($A1354)=Reference!$C$5,1,0))+(IF(MONTH($A1354)=Reference!$C$6,Reference!$C$13,0))),0)</f>
        <v>320</v>
      </c>
      <c r="C1354" s="11">
        <f ca="1">B1354*Reference!$C$7*(1-IF(MONTH($A1354)=Reference!$C$6,1,0)*Reference!$C$12)</f>
        <v>297600</v>
      </c>
      <c r="D1354" s="10">
        <f ca="1">ROUND(_xlfn.NORM.INV(RAND(),Reference!$D$8,0.1*Reference!$D$8)*(1+Reference!$D$11*(IF(MONTH($A1354)=Reference!$D$4,1,0)+IF(MONTH($A1354)=Reference!$D$5,1,0))+(IF(MONTH($A1354)=Reference!$D$6,Reference!$D$13,0))),0)</f>
        <v>457</v>
      </c>
      <c r="E1354" s="11">
        <f ca="1">D1354*Reference!$D$7*(1-IF(MONTH($A1354)=Reference!$D$6,1,0)*Reference!$D$12)</f>
        <v>325612.5</v>
      </c>
      <c r="M1354" s="20"/>
      <c r="N1354" s="20"/>
      <c r="O1354" s="19"/>
      <c r="P1354" s="10"/>
      <c r="Q1354" s="10"/>
      <c r="R1354" s="10"/>
      <c r="S1354" s="10"/>
      <c r="T1354" s="10"/>
      <c r="U1354" s="10"/>
      <c r="V1354" s="10"/>
      <c r="W1354" s="10"/>
      <c r="X1354" s="10"/>
      <c r="Y1354" s="10"/>
    </row>
    <row r="1355" spans="1:25" x14ac:dyDescent="0.25">
      <c r="A1355" s="9">
        <v>41893</v>
      </c>
      <c r="B1355" s="10">
        <f ca="1">ROUND(_xlfn.NORM.INV(RAND(),Reference!$C$8,0.1*Reference!$C$8)*(1+Reference!$C$11*(IF(MONTH($A1355)=Reference!$C$4,1,0)+IF(MONTH($A1355)=Reference!$C$5,1,0))+(IF(MONTH($A1355)=Reference!$C$6,Reference!$C$13,0))),0)</f>
        <v>305</v>
      </c>
      <c r="C1355" s="11">
        <f ca="1">B1355*Reference!$C$7*(1-IF(MONTH($A1355)=Reference!$C$6,1,0)*Reference!$C$12)</f>
        <v>283650</v>
      </c>
      <c r="D1355" s="10">
        <f ca="1">ROUND(_xlfn.NORM.INV(RAND(),Reference!$D$8,0.1*Reference!$D$8)*(1+Reference!$D$11*(IF(MONTH($A1355)=Reference!$D$4,1,0)+IF(MONTH($A1355)=Reference!$D$5,1,0))+(IF(MONTH($A1355)=Reference!$D$6,Reference!$D$13,0))),0)</f>
        <v>537</v>
      </c>
      <c r="E1355" s="11">
        <f ca="1">D1355*Reference!$D$7*(1-IF(MONTH($A1355)=Reference!$D$6,1,0)*Reference!$D$12)</f>
        <v>382612.5</v>
      </c>
      <c r="M1355" s="20"/>
      <c r="N1355" s="20"/>
      <c r="O1355" s="19"/>
      <c r="P1355" s="10"/>
      <c r="Q1355" s="10"/>
      <c r="R1355" s="10"/>
      <c r="S1355" s="10"/>
      <c r="T1355" s="10"/>
      <c r="U1355" s="10"/>
      <c r="V1355" s="10"/>
      <c r="W1355" s="10"/>
      <c r="X1355" s="10"/>
      <c r="Y1355" s="10"/>
    </row>
    <row r="1356" spans="1:25" x14ac:dyDescent="0.25">
      <c r="A1356" s="9">
        <v>41894</v>
      </c>
      <c r="B1356" s="10">
        <f ca="1">ROUND(_xlfn.NORM.INV(RAND(),Reference!$C$8,0.1*Reference!$C$8)*(1+Reference!$C$11*(IF(MONTH($A1356)=Reference!$C$4,1,0)+IF(MONTH($A1356)=Reference!$C$5,1,0))+(IF(MONTH($A1356)=Reference!$C$6,Reference!$C$13,0))),0)</f>
        <v>432</v>
      </c>
      <c r="C1356" s="11">
        <f ca="1">B1356*Reference!$C$7*(1-IF(MONTH($A1356)=Reference!$C$6,1,0)*Reference!$C$12)</f>
        <v>401760</v>
      </c>
      <c r="D1356" s="10">
        <f ca="1">ROUND(_xlfn.NORM.INV(RAND(),Reference!$D$8,0.1*Reference!$D$8)*(1+Reference!$D$11*(IF(MONTH($A1356)=Reference!$D$4,1,0)+IF(MONTH($A1356)=Reference!$D$5,1,0))+(IF(MONTH($A1356)=Reference!$D$6,Reference!$D$13,0))),0)</f>
        <v>643</v>
      </c>
      <c r="E1356" s="11">
        <f ca="1">D1356*Reference!$D$7*(1-IF(MONTH($A1356)=Reference!$D$6,1,0)*Reference!$D$12)</f>
        <v>458137.5</v>
      </c>
      <c r="M1356" s="20"/>
      <c r="N1356" s="20"/>
      <c r="O1356" s="19"/>
      <c r="P1356" s="10"/>
      <c r="Q1356" s="10"/>
      <c r="R1356" s="10"/>
      <c r="S1356" s="10"/>
      <c r="T1356" s="10"/>
      <c r="U1356" s="10"/>
      <c r="V1356" s="10"/>
      <c r="W1356" s="10"/>
      <c r="X1356" s="10"/>
      <c r="Y1356" s="10"/>
    </row>
    <row r="1357" spans="1:25" x14ac:dyDescent="0.25">
      <c r="A1357" s="9">
        <v>41895</v>
      </c>
      <c r="B1357" s="10">
        <f ca="1">ROUND(_xlfn.NORM.INV(RAND(),Reference!$C$8,0.1*Reference!$C$8)*(1+Reference!$C$11*(IF(MONTH($A1357)=Reference!$C$4,1,0)+IF(MONTH($A1357)=Reference!$C$5,1,0))+(IF(MONTH($A1357)=Reference!$C$6,Reference!$C$13,0))),0)</f>
        <v>369</v>
      </c>
      <c r="C1357" s="11">
        <f ca="1">B1357*Reference!$C$7*(1-IF(MONTH($A1357)=Reference!$C$6,1,0)*Reference!$C$12)</f>
        <v>343170</v>
      </c>
      <c r="D1357" s="10">
        <f ca="1">ROUND(_xlfn.NORM.INV(RAND(),Reference!$D$8,0.1*Reference!$D$8)*(1+Reference!$D$11*(IF(MONTH($A1357)=Reference!$D$4,1,0)+IF(MONTH($A1357)=Reference!$D$5,1,0))+(IF(MONTH($A1357)=Reference!$D$6,Reference!$D$13,0))),0)</f>
        <v>425</v>
      </c>
      <c r="E1357" s="11">
        <f ca="1">D1357*Reference!$D$7*(1-IF(MONTH($A1357)=Reference!$D$6,1,0)*Reference!$D$12)</f>
        <v>302812.5</v>
      </c>
      <c r="M1357" s="20"/>
      <c r="N1357" s="20"/>
      <c r="O1357" s="19"/>
      <c r="P1357" s="10"/>
      <c r="Q1357" s="10"/>
      <c r="R1357" s="10"/>
      <c r="S1357" s="10"/>
      <c r="T1357" s="10"/>
      <c r="U1357" s="10"/>
      <c r="V1357" s="10"/>
      <c r="W1357" s="10"/>
      <c r="X1357" s="10"/>
      <c r="Y1357" s="10"/>
    </row>
    <row r="1358" spans="1:25" x14ac:dyDescent="0.25">
      <c r="A1358" s="9">
        <v>41896</v>
      </c>
      <c r="B1358" s="10">
        <f ca="1">ROUND(_xlfn.NORM.INV(RAND(),Reference!$C$8,0.1*Reference!$C$8)*(1+Reference!$C$11*(IF(MONTH($A1358)=Reference!$C$4,1,0)+IF(MONTH($A1358)=Reference!$C$5,1,0))+(IF(MONTH($A1358)=Reference!$C$6,Reference!$C$13,0))),0)</f>
        <v>419</v>
      </c>
      <c r="C1358" s="11">
        <f ca="1">B1358*Reference!$C$7*(1-IF(MONTH($A1358)=Reference!$C$6,1,0)*Reference!$C$12)</f>
        <v>389670</v>
      </c>
      <c r="D1358" s="10">
        <f ca="1">ROUND(_xlfn.NORM.INV(RAND(),Reference!$D$8,0.1*Reference!$D$8)*(1+Reference!$D$11*(IF(MONTH($A1358)=Reference!$D$4,1,0)+IF(MONTH($A1358)=Reference!$D$5,1,0))+(IF(MONTH($A1358)=Reference!$D$6,Reference!$D$13,0))),0)</f>
        <v>487</v>
      </c>
      <c r="E1358" s="11">
        <f ca="1">D1358*Reference!$D$7*(1-IF(MONTH($A1358)=Reference!$D$6,1,0)*Reference!$D$12)</f>
        <v>346987.5</v>
      </c>
      <c r="M1358" s="20"/>
      <c r="N1358" s="20"/>
      <c r="O1358" s="19"/>
      <c r="P1358" s="10"/>
      <c r="Q1358" s="10"/>
      <c r="R1358" s="10"/>
      <c r="S1358" s="10"/>
      <c r="T1358" s="10"/>
      <c r="U1358" s="10"/>
      <c r="V1358" s="10"/>
      <c r="W1358" s="10"/>
      <c r="X1358" s="10"/>
      <c r="Y1358" s="10"/>
    </row>
    <row r="1359" spans="1:25" x14ac:dyDescent="0.25">
      <c r="A1359" s="9">
        <v>41897</v>
      </c>
      <c r="B1359" s="10">
        <f ca="1">ROUND(_xlfn.NORM.INV(RAND(),Reference!$C$8,0.1*Reference!$C$8)*(1+Reference!$C$11*(IF(MONTH($A1359)=Reference!$C$4,1,0)+IF(MONTH($A1359)=Reference!$C$5,1,0))+(IF(MONTH($A1359)=Reference!$C$6,Reference!$C$13,0))),0)</f>
        <v>394</v>
      </c>
      <c r="C1359" s="11">
        <f ca="1">B1359*Reference!$C$7*(1-IF(MONTH($A1359)=Reference!$C$6,1,0)*Reference!$C$12)</f>
        <v>366420</v>
      </c>
      <c r="D1359" s="10">
        <f ca="1">ROUND(_xlfn.NORM.INV(RAND(),Reference!$D$8,0.1*Reference!$D$8)*(1+Reference!$D$11*(IF(MONTH($A1359)=Reference!$D$4,1,0)+IF(MONTH($A1359)=Reference!$D$5,1,0))+(IF(MONTH($A1359)=Reference!$D$6,Reference!$D$13,0))),0)</f>
        <v>455</v>
      </c>
      <c r="E1359" s="11">
        <f ca="1">D1359*Reference!$D$7*(1-IF(MONTH($A1359)=Reference!$D$6,1,0)*Reference!$D$12)</f>
        <v>324187.5</v>
      </c>
      <c r="M1359" s="20"/>
      <c r="N1359" s="20"/>
      <c r="O1359" s="19"/>
      <c r="P1359" s="10"/>
      <c r="Q1359" s="10"/>
      <c r="R1359" s="10"/>
      <c r="S1359" s="10"/>
      <c r="T1359" s="10"/>
      <c r="U1359" s="10"/>
      <c r="V1359" s="10"/>
      <c r="W1359" s="10"/>
      <c r="X1359" s="10"/>
      <c r="Y1359" s="10"/>
    </row>
    <row r="1360" spans="1:25" x14ac:dyDescent="0.25">
      <c r="A1360" s="9">
        <v>41898</v>
      </c>
      <c r="B1360" s="10">
        <f ca="1">ROUND(_xlfn.NORM.INV(RAND(),Reference!$C$8,0.1*Reference!$C$8)*(1+Reference!$C$11*(IF(MONTH($A1360)=Reference!$C$4,1,0)+IF(MONTH($A1360)=Reference!$C$5,1,0))+(IF(MONTH($A1360)=Reference!$C$6,Reference!$C$13,0))),0)</f>
        <v>394</v>
      </c>
      <c r="C1360" s="11">
        <f ca="1">B1360*Reference!$C$7*(1-IF(MONTH($A1360)=Reference!$C$6,1,0)*Reference!$C$12)</f>
        <v>366420</v>
      </c>
      <c r="D1360" s="10">
        <f ca="1">ROUND(_xlfn.NORM.INV(RAND(),Reference!$D$8,0.1*Reference!$D$8)*(1+Reference!$D$11*(IF(MONTH($A1360)=Reference!$D$4,1,0)+IF(MONTH($A1360)=Reference!$D$5,1,0))+(IF(MONTH($A1360)=Reference!$D$6,Reference!$D$13,0))),0)</f>
        <v>406</v>
      </c>
      <c r="E1360" s="11">
        <f ca="1">D1360*Reference!$D$7*(1-IF(MONTH($A1360)=Reference!$D$6,1,0)*Reference!$D$12)</f>
        <v>289275</v>
      </c>
      <c r="M1360" s="20"/>
      <c r="N1360" s="20"/>
      <c r="O1360" s="19"/>
      <c r="P1360" s="10"/>
      <c r="Q1360" s="10"/>
      <c r="R1360" s="10"/>
      <c r="S1360" s="10"/>
      <c r="T1360" s="10"/>
      <c r="U1360" s="10"/>
      <c r="V1360" s="10"/>
      <c r="W1360" s="10"/>
      <c r="X1360" s="10"/>
      <c r="Y1360" s="10"/>
    </row>
    <row r="1361" spans="1:25" x14ac:dyDescent="0.25">
      <c r="A1361" s="9">
        <v>41899</v>
      </c>
      <c r="B1361" s="10">
        <f ca="1">ROUND(_xlfn.NORM.INV(RAND(),Reference!$C$8,0.1*Reference!$C$8)*(1+Reference!$C$11*(IF(MONTH($A1361)=Reference!$C$4,1,0)+IF(MONTH($A1361)=Reference!$C$5,1,0))+(IF(MONTH($A1361)=Reference!$C$6,Reference!$C$13,0))),0)</f>
        <v>327</v>
      </c>
      <c r="C1361" s="11">
        <f ca="1">B1361*Reference!$C$7*(1-IF(MONTH($A1361)=Reference!$C$6,1,0)*Reference!$C$12)</f>
        <v>304110</v>
      </c>
      <c r="D1361" s="10">
        <f ca="1">ROUND(_xlfn.NORM.INV(RAND(),Reference!$D$8,0.1*Reference!$D$8)*(1+Reference!$D$11*(IF(MONTH($A1361)=Reference!$D$4,1,0)+IF(MONTH($A1361)=Reference!$D$5,1,0))+(IF(MONTH($A1361)=Reference!$D$6,Reference!$D$13,0))),0)</f>
        <v>546</v>
      </c>
      <c r="E1361" s="11">
        <f ca="1">D1361*Reference!$D$7*(1-IF(MONTH($A1361)=Reference!$D$6,1,0)*Reference!$D$12)</f>
        <v>389025</v>
      </c>
      <c r="M1361" s="20"/>
      <c r="N1361" s="20"/>
      <c r="O1361" s="19"/>
      <c r="P1361" s="10"/>
      <c r="Q1361" s="10"/>
      <c r="R1361" s="10"/>
      <c r="S1361" s="10"/>
      <c r="T1361" s="10"/>
      <c r="U1361" s="10"/>
      <c r="V1361" s="10"/>
      <c r="W1361" s="10"/>
      <c r="X1361" s="10"/>
      <c r="Y1361" s="10"/>
    </row>
    <row r="1362" spans="1:25" x14ac:dyDescent="0.25">
      <c r="A1362" s="9">
        <v>41900</v>
      </c>
      <c r="B1362" s="10">
        <f ca="1">ROUND(_xlfn.NORM.INV(RAND(),Reference!$C$8,0.1*Reference!$C$8)*(1+Reference!$C$11*(IF(MONTH($A1362)=Reference!$C$4,1,0)+IF(MONTH($A1362)=Reference!$C$5,1,0))+(IF(MONTH($A1362)=Reference!$C$6,Reference!$C$13,0))),0)</f>
        <v>427</v>
      </c>
      <c r="C1362" s="11">
        <f ca="1">B1362*Reference!$C$7*(1-IF(MONTH($A1362)=Reference!$C$6,1,0)*Reference!$C$12)</f>
        <v>397110</v>
      </c>
      <c r="D1362" s="10">
        <f ca="1">ROUND(_xlfn.NORM.INV(RAND(),Reference!$D$8,0.1*Reference!$D$8)*(1+Reference!$D$11*(IF(MONTH($A1362)=Reference!$D$4,1,0)+IF(MONTH($A1362)=Reference!$D$5,1,0))+(IF(MONTH($A1362)=Reference!$D$6,Reference!$D$13,0))),0)</f>
        <v>491</v>
      </c>
      <c r="E1362" s="11">
        <f ca="1">D1362*Reference!$D$7*(1-IF(MONTH($A1362)=Reference!$D$6,1,0)*Reference!$D$12)</f>
        <v>349837.5</v>
      </c>
      <c r="M1362" s="20"/>
      <c r="N1362" s="20"/>
      <c r="O1362" s="19"/>
      <c r="P1362" s="10"/>
      <c r="Q1362" s="10"/>
      <c r="R1362" s="10"/>
      <c r="S1362" s="10"/>
      <c r="T1362" s="10"/>
      <c r="U1362" s="10"/>
      <c r="V1362" s="10"/>
      <c r="W1362" s="10"/>
      <c r="X1362" s="10"/>
      <c r="Y1362" s="10"/>
    </row>
    <row r="1363" spans="1:25" x14ac:dyDescent="0.25">
      <c r="A1363" s="9">
        <v>41901</v>
      </c>
      <c r="B1363" s="10">
        <f ca="1">ROUND(_xlfn.NORM.INV(RAND(),Reference!$C$8,0.1*Reference!$C$8)*(1+Reference!$C$11*(IF(MONTH($A1363)=Reference!$C$4,1,0)+IF(MONTH($A1363)=Reference!$C$5,1,0))+(IF(MONTH($A1363)=Reference!$C$6,Reference!$C$13,0))),0)</f>
        <v>320</v>
      </c>
      <c r="C1363" s="11">
        <f ca="1">B1363*Reference!$C$7*(1-IF(MONTH($A1363)=Reference!$C$6,1,0)*Reference!$C$12)</f>
        <v>297600</v>
      </c>
      <c r="D1363" s="10">
        <f ca="1">ROUND(_xlfn.NORM.INV(RAND(),Reference!$D$8,0.1*Reference!$D$8)*(1+Reference!$D$11*(IF(MONTH($A1363)=Reference!$D$4,1,0)+IF(MONTH($A1363)=Reference!$D$5,1,0))+(IF(MONTH($A1363)=Reference!$D$6,Reference!$D$13,0))),0)</f>
        <v>470</v>
      </c>
      <c r="E1363" s="11">
        <f ca="1">D1363*Reference!$D$7*(1-IF(MONTH($A1363)=Reference!$D$6,1,0)*Reference!$D$12)</f>
        <v>334875</v>
      </c>
      <c r="M1363" s="20"/>
      <c r="N1363" s="20"/>
      <c r="O1363" s="19"/>
      <c r="P1363" s="10"/>
      <c r="Q1363" s="10"/>
      <c r="R1363" s="10"/>
      <c r="S1363" s="10"/>
      <c r="T1363" s="10"/>
      <c r="U1363" s="10"/>
      <c r="V1363" s="10"/>
      <c r="W1363" s="10"/>
      <c r="X1363" s="10"/>
      <c r="Y1363" s="10"/>
    </row>
    <row r="1364" spans="1:25" x14ac:dyDescent="0.25">
      <c r="A1364" s="9">
        <v>41902</v>
      </c>
      <c r="B1364" s="10">
        <f ca="1">ROUND(_xlfn.NORM.INV(RAND(),Reference!$C$8,0.1*Reference!$C$8)*(1+Reference!$C$11*(IF(MONTH($A1364)=Reference!$C$4,1,0)+IF(MONTH($A1364)=Reference!$C$5,1,0))+(IF(MONTH($A1364)=Reference!$C$6,Reference!$C$13,0))),0)</f>
        <v>368</v>
      </c>
      <c r="C1364" s="11">
        <f ca="1">B1364*Reference!$C$7*(1-IF(MONTH($A1364)=Reference!$C$6,1,0)*Reference!$C$12)</f>
        <v>342240</v>
      </c>
      <c r="D1364" s="10">
        <f ca="1">ROUND(_xlfn.NORM.INV(RAND(),Reference!$D$8,0.1*Reference!$D$8)*(1+Reference!$D$11*(IF(MONTH($A1364)=Reference!$D$4,1,0)+IF(MONTH($A1364)=Reference!$D$5,1,0))+(IF(MONTH($A1364)=Reference!$D$6,Reference!$D$13,0))),0)</f>
        <v>538</v>
      </c>
      <c r="E1364" s="11">
        <f ca="1">D1364*Reference!$D$7*(1-IF(MONTH($A1364)=Reference!$D$6,1,0)*Reference!$D$12)</f>
        <v>383325</v>
      </c>
      <c r="M1364" s="20"/>
      <c r="N1364" s="20"/>
      <c r="O1364" s="19"/>
      <c r="P1364" s="10"/>
      <c r="Q1364" s="10"/>
      <c r="R1364" s="10"/>
      <c r="S1364" s="10"/>
      <c r="T1364" s="10"/>
      <c r="U1364" s="10"/>
      <c r="V1364" s="10"/>
      <c r="W1364" s="10"/>
      <c r="X1364" s="10"/>
      <c r="Y1364" s="10"/>
    </row>
    <row r="1365" spans="1:25" x14ac:dyDescent="0.25">
      <c r="A1365" s="9">
        <v>41903</v>
      </c>
      <c r="B1365" s="10">
        <f ca="1">ROUND(_xlfn.NORM.INV(RAND(),Reference!$C$8,0.1*Reference!$C$8)*(1+Reference!$C$11*(IF(MONTH($A1365)=Reference!$C$4,1,0)+IF(MONTH($A1365)=Reference!$C$5,1,0))+(IF(MONTH($A1365)=Reference!$C$6,Reference!$C$13,0))),0)</f>
        <v>324</v>
      </c>
      <c r="C1365" s="11">
        <f ca="1">B1365*Reference!$C$7*(1-IF(MONTH($A1365)=Reference!$C$6,1,0)*Reference!$C$12)</f>
        <v>301320</v>
      </c>
      <c r="D1365" s="10">
        <f ca="1">ROUND(_xlfn.NORM.INV(RAND(),Reference!$D$8,0.1*Reference!$D$8)*(1+Reference!$D$11*(IF(MONTH($A1365)=Reference!$D$4,1,0)+IF(MONTH($A1365)=Reference!$D$5,1,0))+(IF(MONTH($A1365)=Reference!$D$6,Reference!$D$13,0))),0)</f>
        <v>530</v>
      </c>
      <c r="E1365" s="11">
        <f ca="1">D1365*Reference!$D$7*(1-IF(MONTH($A1365)=Reference!$D$6,1,0)*Reference!$D$12)</f>
        <v>377625</v>
      </c>
      <c r="M1365" s="20"/>
      <c r="N1365" s="20"/>
      <c r="O1365" s="19"/>
      <c r="P1365" s="10"/>
      <c r="Q1365" s="10"/>
      <c r="R1365" s="10"/>
      <c r="S1365" s="10"/>
      <c r="T1365" s="10"/>
      <c r="U1365" s="10"/>
      <c r="V1365" s="10"/>
      <c r="W1365" s="10"/>
      <c r="X1365" s="10"/>
      <c r="Y1365" s="10"/>
    </row>
    <row r="1366" spans="1:25" x14ac:dyDescent="0.25">
      <c r="A1366" s="9">
        <v>41904</v>
      </c>
      <c r="B1366" s="10">
        <f ca="1">ROUND(_xlfn.NORM.INV(RAND(),Reference!$C$8,0.1*Reference!$C$8)*(1+Reference!$C$11*(IF(MONTH($A1366)=Reference!$C$4,1,0)+IF(MONTH($A1366)=Reference!$C$5,1,0))+(IF(MONTH($A1366)=Reference!$C$6,Reference!$C$13,0))),0)</f>
        <v>341</v>
      </c>
      <c r="C1366" s="11">
        <f ca="1">B1366*Reference!$C$7*(1-IF(MONTH($A1366)=Reference!$C$6,1,0)*Reference!$C$12)</f>
        <v>317130</v>
      </c>
      <c r="D1366" s="10">
        <f ca="1">ROUND(_xlfn.NORM.INV(RAND(),Reference!$D$8,0.1*Reference!$D$8)*(1+Reference!$D$11*(IF(MONTH($A1366)=Reference!$D$4,1,0)+IF(MONTH($A1366)=Reference!$D$5,1,0))+(IF(MONTH($A1366)=Reference!$D$6,Reference!$D$13,0))),0)</f>
        <v>511</v>
      </c>
      <c r="E1366" s="11">
        <f ca="1">D1366*Reference!$D$7*(1-IF(MONTH($A1366)=Reference!$D$6,1,0)*Reference!$D$12)</f>
        <v>364087.5</v>
      </c>
      <c r="M1366" s="20"/>
      <c r="N1366" s="20"/>
      <c r="O1366" s="19"/>
      <c r="P1366" s="10"/>
      <c r="Q1366" s="10"/>
      <c r="R1366" s="10"/>
      <c r="S1366" s="10"/>
      <c r="T1366" s="10"/>
      <c r="U1366" s="10"/>
      <c r="V1366" s="10"/>
      <c r="W1366" s="10"/>
      <c r="X1366" s="10"/>
      <c r="Y1366" s="10"/>
    </row>
    <row r="1367" spans="1:25" x14ac:dyDescent="0.25">
      <c r="A1367" s="9">
        <v>41905</v>
      </c>
      <c r="B1367" s="10">
        <f ca="1">ROUND(_xlfn.NORM.INV(RAND(),Reference!$C$8,0.1*Reference!$C$8)*(1+Reference!$C$11*(IF(MONTH($A1367)=Reference!$C$4,1,0)+IF(MONTH($A1367)=Reference!$C$5,1,0))+(IF(MONTH($A1367)=Reference!$C$6,Reference!$C$13,0))),0)</f>
        <v>316</v>
      </c>
      <c r="C1367" s="11">
        <f ca="1">B1367*Reference!$C$7*(1-IF(MONTH($A1367)=Reference!$C$6,1,0)*Reference!$C$12)</f>
        <v>293880</v>
      </c>
      <c r="D1367" s="10">
        <f ca="1">ROUND(_xlfn.NORM.INV(RAND(),Reference!$D$8,0.1*Reference!$D$8)*(1+Reference!$D$11*(IF(MONTH($A1367)=Reference!$D$4,1,0)+IF(MONTH($A1367)=Reference!$D$5,1,0))+(IF(MONTH($A1367)=Reference!$D$6,Reference!$D$13,0))),0)</f>
        <v>443</v>
      </c>
      <c r="E1367" s="11">
        <f ca="1">D1367*Reference!$D$7*(1-IF(MONTH($A1367)=Reference!$D$6,1,0)*Reference!$D$12)</f>
        <v>315637.5</v>
      </c>
      <c r="M1367" s="20"/>
      <c r="N1367" s="20"/>
      <c r="O1367" s="19"/>
      <c r="P1367" s="10"/>
      <c r="Q1367" s="10"/>
      <c r="R1367" s="10"/>
      <c r="S1367" s="10"/>
      <c r="T1367" s="10"/>
      <c r="U1367" s="10"/>
      <c r="V1367" s="10"/>
      <c r="W1367" s="10"/>
      <c r="X1367" s="10"/>
      <c r="Y1367" s="10"/>
    </row>
    <row r="1368" spans="1:25" x14ac:dyDescent="0.25">
      <c r="A1368" s="9">
        <v>41906</v>
      </c>
      <c r="B1368" s="10">
        <f ca="1">ROUND(_xlfn.NORM.INV(RAND(),Reference!$C$8,0.1*Reference!$C$8)*(1+Reference!$C$11*(IF(MONTH($A1368)=Reference!$C$4,1,0)+IF(MONTH($A1368)=Reference!$C$5,1,0))+(IF(MONTH($A1368)=Reference!$C$6,Reference!$C$13,0))),0)</f>
        <v>331</v>
      </c>
      <c r="C1368" s="11">
        <f ca="1">B1368*Reference!$C$7*(1-IF(MONTH($A1368)=Reference!$C$6,1,0)*Reference!$C$12)</f>
        <v>307830</v>
      </c>
      <c r="D1368" s="10">
        <f ca="1">ROUND(_xlfn.NORM.INV(RAND(),Reference!$D$8,0.1*Reference!$D$8)*(1+Reference!$D$11*(IF(MONTH($A1368)=Reference!$D$4,1,0)+IF(MONTH($A1368)=Reference!$D$5,1,0))+(IF(MONTH($A1368)=Reference!$D$6,Reference!$D$13,0))),0)</f>
        <v>600</v>
      </c>
      <c r="E1368" s="11">
        <f ca="1">D1368*Reference!$D$7*(1-IF(MONTH($A1368)=Reference!$D$6,1,0)*Reference!$D$12)</f>
        <v>427500</v>
      </c>
      <c r="M1368" s="20"/>
      <c r="N1368" s="20"/>
      <c r="O1368" s="19"/>
      <c r="P1368" s="10"/>
      <c r="Q1368" s="10"/>
      <c r="R1368" s="10"/>
      <c r="S1368" s="10"/>
      <c r="T1368" s="10"/>
      <c r="U1368" s="10"/>
      <c r="V1368" s="10"/>
      <c r="W1368" s="10"/>
      <c r="X1368" s="10"/>
      <c r="Y1368" s="10"/>
    </row>
    <row r="1369" spans="1:25" x14ac:dyDescent="0.25">
      <c r="A1369" s="9">
        <v>41907</v>
      </c>
      <c r="B1369" s="10">
        <f ca="1">ROUND(_xlfn.NORM.INV(RAND(),Reference!$C$8,0.1*Reference!$C$8)*(1+Reference!$C$11*(IF(MONTH($A1369)=Reference!$C$4,1,0)+IF(MONTH($A1369)=Reference!$C$5,1,0))+(IF(MONTH($A1369)=Reference!$C$6,Reference!$C$13,0))),0)</f>
        <v>357</v>
      </c>
      <c r="C1369" s="11">
        <f ca="1">B1369*Reference!$C$7*(1-IF(MONTH($A1369)=Reference!$C$6,1,0)*Reference!$C$12)</f>
        <v>332010</v>
      </c>
      <c r="D1369" s="10">
        <f ca="1">ROUND(_xlfn.NORM.INV(RAND(),Reference!$D$8,0.1*Reference!$D$8)*(1+Reference!$D$11*(IF(MONTH($A1369)=Reference!$D$4,1,0)+IF(MONTH($A1369)=Reference!$D$5,1,0))+(IF(MONTH($A1369)=Reference!$D$6,Reference!$D$13,0))),0)</f>
        <v>440</v>
      </c>
      <c r="E1369" s="11">
        <f ca="1">D1369*Reference!$D$7*(1-IF(MONTH($A1369)=Reference!$D$6,1,0)*Reference!$D$12)</f>
        <v>313500</v>
      </c>
      <c r="M1369" s="20"/>
      <c r="N1369" s="20"/>
      <c r="O1369" s="19"/>
      <c r="P1369" s="10"/>
      <c r="Q1369" s="10"/>
      <c r="R1369" s="10"/>
      <c r="S1369" s="10"/>
      <c r="T1369" s="10"/>
      <c r="U1369" s="10"/>
      <c r="V1369" s="10"/>
      <c r="W1369" s="10"/>
      <c r="X1369" s="10"/>
      <c r="Y1369" s="10"/>
    </row>
    <row r="1370" spans="1:25" x14ac:dyDescent="0.25">
      <c r="A1370" s="9">
        <v>41908</v>
      </c>
      <c r="B1370" s="10">
        <f ca="1">ROUND(_xlfn.NORM.INV(RAND(),Reference!$C$8,0.1*Reference!$C$8)*(1+Reference!$C$11*(IF(MONTH($A1370)=Reference!$C$4,1,0)+IF(MONTH($A1370)=Reference!$C$5,1,0))+(IF(MONTH($A1370)=Reference!$C$6,Reference!$C$13,0))),0)</f>
        <v>300</v>
      </c>
      <c r="C1370" s="11">
        <f ca="1">B1370*Reference!$C$7*(1-IF(MONTH($A1370)=Reference!$C$6,1,0)*Reference!$C$12)</f>
        <v>279000</v>
      </c>
      <c r="D1370" s="10">
        <f ca="1">ROUND(_xlfn.NORM.INV(RAND(),Reference!$D$8,0.1*Reference!$D$8)*(1+Reference!$D$11*(IF(MONTH($A1370)=Reference!$D$4,1,0)+IF(MONTH($A1370)=Reference!$D$5,1,0))+(IF(MONTH($A1370)=Reference!$D$6,Reference!$D$13,0))),0)</f>
        <v>551</v>
      </c>
      <c r="E1370" s="11">
        <f ca="1">D1370*Reference!$D$7*(1-IF(MONTH($A1370)=Reference!$D$6,1,0)*Reference!$D$12)</f>
        <v>392587.5</v>
      </c>
      <c r="M1370" s="20"/>
      <c r="N1370" s="20"/>
      <c r="O1370" s="19"/>
      <c r="P1370" s="10"/>
      <c r="Q1370" s="10"/>
      <c r="R1370" s="10"/>
      <c r="S1370" s="10"/>
      <c r="T1370" s="10"/>
      <c r="U1370" s="10"/>
      <c r="V1370" s="10"/>
      <c r="W1370" s="10"/>
      <c r="X1370" s="10"/>
      <c r="Y1370" s="10"/>
    </row>
    <row r="1371" spans="1:25" x14ac:dyDescent="0.25">
      <c r="A1371" s="9">
        <v>41909</v>
      </c>
      <c r="B1371" s="10">
        <f ca="1">ROUND(_xlfn.NORM.INV(RAND(),Reference!$C$8,0.1*Reference!$C$8)*(1+Reference!$C$11*(IF(MONTH($A1371)=Reference!$C$4,1,0)+IF(MONTH($A1371)=Reference!$C$5,1,0))+(IF(MONTH($A1371)=Reference!$C$6,Reference!$C$13,0))),0)</f>
        <v>354</v>
      </c>
      <c r="C1371" s="11">
        <f ca="1">B1371*Reference!$C$7*(1-IF(MONTH($A1371)=Reference!$C$6,1,0)*Reference!$C$12)</f>
        <v>329220</v>
      </c>
      <c r="D1371" s="10">
        <f ca="1">ROUND(_xlfn.NORM.INV(RAND(),Reference!$D$8,0.1*Reference!$D$8)*(1+Reference!$D$11*(IF(MONTH($A1371)=Reference!$D$4,1,0)+IF(MONTH($A1371)=Reference!$D$5,1,0))+(IF(MONTH($A1371)=Reference!$D$6,Reference!$D$13,0))),0)</f>
        <v>533</v>
      </c>
      <c r="E1371" s="11">
        <f ca="1">D1371*Reference!$D$7*(1-IF(MONTH($A1371)=Reference!$D$6,1,0)*Reference!$D$12)</f>
        <v>379762.5</v>
      </c>
      <c r="M1371" s="20"/>
      <c r="N1371" s="20"/>
      <c r="O1371" s="19"/>
      <c r="P1371" s="10"/>
      <c r="Q1371" s="10"/>
      <c r="R1371" s="10"/>
      <c r="S1371" s="10"/>
      <c r="T1371" s="10"/>
      <c r="U1371" s="10"/>
      <c r="V1371" s="10"/>
      <c r="W1371" s="10"/>
      <c r="X1371" s="10"/>
      <c r="Y1371" s="10"/>
    </row>
    <row r="1372" spans="1:25" x14ac:dyDescent="0.25">
      <c r="A1372" s="9">
        <v>41910</v>
      </c>
      <c r="B1372" s="10">
        <f ca="1">ROUND(_xlfn.NORM.INV(RAND(),Reference!$C$8,0.1*Reference!$C$8)*(1+Reference!$C$11*(IF(MONTH($A1372)=Reference!$C$4,1,0)+IF(MONTH($A1372)=Reference!$C$5,1,0))+(IF(MONTH($A1372)=Reference!$C$6,Reference!$C$13,0))),0)</f>
        <v>321</v>
      </c>
      <c r="C1372" s="11">
        <f ca="1">B1372*Reference!$C$7*(1-IF(MONTH($A1372)=Reference!$C$6,1,0)*Reference!$C$12)</f>
        <v>298530</v>
      </c>
      <c r="D1372" s="10">
        <f ca="1">ROUND(_xlfn.NORM.INV(RAND(),Reference!$D$8,0.1*Reference!$D$8)*(1+Reference!$D$11*(IF(MONTH($A1372)=Reference!$D$4,1,0)+IF(MONTH($A1372)=Reference!$D$5,1,0))+(IF(MONTH($A1372)=Reference!$D$6,Reference!$D$13,0))),0)</f>
        <v>653</v>
      </c>
      <c r="E1372" s="11">
        <f ca="1">D1372*Reference!$D$7*(1-IF(MONTH($A1372)=Reference!$D$6,1,0)*Reference!$D$12)</f>
        <v>465262.5</v>
      </c>
      <c r="M1372" s="20"/>
      <c r="N1372" s="20"/>
      <c r="O1372" s="19"/>
      <c r="P1372" s="10"/>
      <c r="Q1372" s="10"/>
      <c r="R1372" s="10"/>
      <c r="S1372" s="10"/>
      <c r="T1372" s="10"/>
      <c r="U1372" s="10"/>
      <c r="V1372" s="10"/>
      <c r="W1372" s="10"/>
      <c r="X1372" s="10"/>
      <c r="Y1372" s="10"/>
    </row>
    <row r="1373" spans="1:25" x14ac:dyDescent="0.25">
      <c r="A1373" s="9">
        <v>41911</v>
      </c>
      <c r="B1373" s="10">
        <f ca="1">ROUND(_xlfn.NORM.INV(RAND(),Reference!$C$8,0.1*Reference!$C$8)*(1+Reference!$C$11*(IF(MONTH($A1373)=Reference!$C$4,1,0)+IF(MONTH($A1373)=Reference!$C$5,1,0))+(IF(MONTH($A1373)=Reference!$C$6,Reference!$C$13,0))),0)</f>
        <v>319</v>
      </c>
      <c r="C1373" s="11">
        <f ca="1">B1373*Reference!$C$7*(1-IF(MONTH($A1373)=Reference!$C$6,1,0)*Reference!$C$12)</f>
        <v>296670</v>
      </c>
      <c r="D1373" s="10">
        <f ca="1">ROUND(_xlfn.NORM.INV(RAND(),Reference!$D$8,0.1*Reference!$D$8)*(1+Reference!$D$11*(IF(MONTH($A1373)=Reference!$D$4,1,0)+IF(MONTH($A1373)=Reference!$D$5,1,0))+(IF(MONTH($A1373)=Reference!$D$6,Reference!$D$13,0))),0)</f>
        <v>478</v>
      </c>
      <c r="E1373" s="11">
        <f ca="1">D1373*Reference!$D$7*(1-IF(MONTH($A1373)=Reference!$D$6,1,0)*Reference!$D$12)</f>
        <v>340575</v>
      </c>
      <c r="M1373" s="20"/>
      <c r="N1373" s="20"/>
      <c r="O1373" s="19"/>
      <c r="P1373" s="10"/>
      <c r="Q1373" s="10"/>
      <c r="R1373" s="10"/>
      <c r="S1373" s="10"/>
      <c r="T1373" s="10"/>
      <c r="U1373" s="10"/>
      <c r="V1373" s="10"/>
      <c r="W1373" s="10"/>
      <c r="X1373" s="10"/>
      <c r="Y1373" s="10"/>
    </row>
    <row r="1374" spans="1:25" x14ac:dyDescent="0.25">
      <c r="A1374" s="9">
        <v>41912</v>
      </c>
      <c r="B1374" s="10">
        <f ca="1">ROUND(_xlfn.NORM.INV(RAND(),Reference!$C$8,0.1*Reference!$C$8)*(1+Reference!$C$11*(IF(MONTH($A1374)=Reference!$C$4,1,0)+IF(MONTH($A1374)=Reference!$C$5,1,0))+(IF(MONTH($A1374)=Reference!$C$6,Reference!$C$13,0))),0)</f>
        <v>310</v>
      </c>
      <c r="C1374" s="11">
        <f ca="1">B1374*Reference!$C$7*(1-IF(MONTH($A1374)=Reference!$C$6,1,0)*Reference!$C$12)</f>
        <v>288300</v>
      </c>
      <c r="D1374" s="10">
        <f ca="1">ROUND(_xlfn.NORM.INV(RAND(),Reference!$D$8,0.1*Reference!$D$8)*(1+Reference!$D$11*(IF(MONTH($A1374)=Reference!$D$4,1,0)+IF(MONTH($A1374)=Reference!$D$5,1,0))+(IF(MONTH($A1374)=Reference!$D$6,Reference!$D$13,0))),0)</f>
        <v>459</v>
      </c>
      <c r="E1374" s="11">
        <f ca="1">D1374*Reference!$D$7*(1-IF(MONTH($A1374)=Reference!$D$6,1,0)*Reference!$D$12)</f>
        <v>327037.5</v>
      </c>
      <c r="M1374" s="20"/>
      <c r="N1374" s="20"/>
      <c r="O1374" s="19"/>
      <c r="P1374" s="10"/>
      <c r="Q1374" s="10"/>
      <c r="R1374" s="10"/>
      <c r="S1374" s="10"/>
      <c r="T1374" s="10"/>
      <c r="U1374" s="10"/>
      <c r="V1374" s="10"/>
      <c r="W1374" s="10"/>
      <c r="X1374" s="10"/>
      <c r="Y1374" s="10"/>
    </row>
    <row r="1375" spans="1:25" x14ac:dyDescent="0.25">
      <c r="A1375" s="9">
        <v>41913</v>
      </c>
      <c r="B1375" s="10">
        <f ca="1">ROUND(_xlfn.NORM.INV(RAND(),Reference!$C$8,0.1*Reference!$C$8)*(1+Reference!$C$11*(IF(MONTH($A1375)=Reference!$C$4,1,0)+IF(MONTH($A1375)=Reference!$C$5,1,0))+(IF(MONTH($A1375)=Reference!$C$6,Reference!$C$13,0))),0)</f>
        <v>394</v>
      </c>
      <c r="C1375" s="11">
        <f ca="1">B1375*Reference!$C$7*(1-IF(MONTH($A1375)=Reference!$C$6,1,0)*Reference!$C$12)</f>
        <v>366420</v>
      </c>
      <c r="D1375" s="10">
        <f ca="1">ROUND(_xlfn.NORM.INV(RAND(),Reference!$D$8,0.1*Reference!$D$8)*(1+Reference!$D$11*(IF(MONTH($A1375)=Reference!$D$4,1,0)+IF(MONTH($A1375)=Reference!$D$5,1,0))+(IF(MONTH($A1375)=Reference!$D$6,Reference!$D$13,0))),0)</f>
        <v>448</v>
      </c>
      <c r="E1375" s="11">
        <f ca="1">D1375*Reference!$D$7*(1-IF(MONTH($A1375)=Reference!$D$6,1,0)*Reference!$D$12)</f>
        <v>336000</v>
      </c>
      <c r="M1375" s="20"/>
      <c r="N1375" s="20"/>
      <c r="O1375" s="19"/>
      <c r="P1375" s="10"/>
      <c r="Q1375" s="10"/>
      <c r="R1375" s="10"/>
      <c r="S1375" s="10"/>
      <c r="T1375" s="10"/>
      <c r="U1375" s="10"/>
      <c r="V1375" s="10"/>
      <c r="W1375" s="10"/>
      <c r="X1375" s="10"/>
      <c r="Y1375" s="10"/>
    </row>
    <row r="1376" spans="1:25" x14ac:dyDescent="0.25">
      <c r="A1376" s="9">
        <v>41914</v>
      </c>
      <c r="B1376" s="10">
        <f ca="1">ROUND(_xlfn.NORM.INV(RAND(),Reference!$C$8,0.1*Reference!$C$8)*(1+Reference!$C$11*(IF(MONTH($A1376)=Reference!$C$4,1,0)+IF(MONTH($A1376)=Reference!$C$5,1,0))+(IF(MONTH($A1376)=Reference!$C$6,Reference!$C$13,0))),0)</f>
        <v>328</v>
      </c>
      <c r="C1376" s="11">
        <f ca="1">B1376*Reference!$C$7*(1-IF(MONTH($A1376)=Reference!$C$6,1,0)*Reference!$C$12)</f>
        <v>305040</v>
      </c>
      <c r="D1376" s="10">
        <f ca="1">ROUND(_xlfn.NORM.INV(RAND(),Reference!$D$8,0.1*Reference!$D$8)*(1+Reference!$D$11*(IF(MONTH($A1376)=Reference!$D$4,1,0)+IF(MONTH($A1376)=Reference!$D$5,1,0))+(IF(MONTH($A1376)=Reference!$D$6,Reference!$D$13,0))),0)</f>
        <v>409</v>
      </c>
      <c r="E1376" s="11">
        <f ca="1">D1376*Reference!$D$7*(1-IF(MONTH($A1376)=Reference!$D$6,1,0)*Reference!$D$12)</f>
        <v>306750</v>
      </c>
      <c r="M1376" s="20"/>
      <c r="N1376" s="20"/>
      <c r="O1376" s="19"/>
      <c r="P1376" s="10"/>
      <c r="Q1376" s="10"/>
      <c r="R1376" s="10"/>
      <c r="S1376" s="10"/>
      <c r="T1376" s="10"/>
      <c r="U1376" s="10"/>
      <c r="V1376" s="10"/>
      <c r="W1376" s="10"/>
      <c r="X1376" s="10"/>
      <c r="Y1376" s="10"/>
    </row>
    <row r="1377" spans="1:25" x14ac:dyDescent="0.25">
      <c r="A1377" s="9">
        <v>41915</v>
      </c>
      <c r="B1377" s="10">
        <f ca="1">ROUND(_xlfn.NORM.INV(RAND(),Reference!$C$8,0.1*Reference!$C$8)*(1+Reference!$C$11*(IF(MONTH($A1377)=Reference!$C$4,1,0)+IF(MONTH($A1377)=Reference!$C$5,1,0))+(IF(MONTH($A1377)=Reference!$C$6,Reference!$C$13,0))),0)</f>
        <v>339</v>
      </c>
      <c r="C1377" s="11">
        <f ca="1">B1377*Reference!$C$7*(1-IF(MONTH($A1377)=Reference!$C$6,1,0)*Reference!$C$12)</f>
        <v>315270</v>
      </c>
      <c r="D1377" s="10">
        <f ca="1">ROUND(_xlfn.NORM.INV(RAND(),Reference!$D$8,0.1*Reference!$D$8)*(1+Reference!$D$11*(IF(MONTH($A1377)=Reference!$D$4,1,0)+IF(MONTH($A1377)=Reference!$D$5,1,0))+(IF(MONTH($A1377)=Reference!$D$6,Reference!$D$13,0))),0)</f>
        <v>465</v>
      </c>
      <c r="E1377" s="11">
        <f ca="1">D1377*Reference!$D$7*(1-IF(MONTH($A1377)=Reference!$D$6,1,0)*Reference!$D$12)</f>
        <v>348750</v>
      </c>
      <c r="M1377" s="20"/>
      <c r="N1377" s="20"/>
      <c r="O1377" s="19"/>
      <c r="P1377" s="10"/>
      <c r="Q1377" s="10"/>
      <c r="R1377" s="10"/>
      <c r="S1377" s="10"/>
      <c r="T1377" s="10"/>
      <c r="U1377" s="10"/>
      <c r="V1377" s="10"/>
      <c r="W1377" s="10"/>
      <c r="X1377" s="10"/>
      <c r="Y1377" s="10"/>
    </row>
    <row r="1378" spans="1:25" x14ac:dyDescent="0.25">
      <c r="A1378" s="9">
        <v>41916</v>
      </c>
      <c r="B1378" s="10">
        <f ca="1">ROUND(_xlfn.NORM.INV(RAND(),Reference!$C$8,0.1*Reference!$C$8)*(1+Reference!$C$11*(IF(MONTH($A1378)=Reference!$C$4,1,0)+IF(MONTH($A1378)=Reference!$C$5,1,0))+(IF(MONTH($A1378)=Reference!$C$6,Reference!$C$13,0))),0)</f>
        <v>317</v>
      </c>
      <c r="C1378" s="11">
        <f ca="1">B1378*Reference!$C$7*(1-IF(MONTH($A1378)=Reference!$C$6,1,0)*Reference!$C$12)</f>
        <v>294810</v>
      </c>
      <c r="D1378" s="10">
        <f ca="1">ROUND(_xlfn.NORM.INV(RAND(),Reference!$D$8,0.1*Reference!$D$8)*(1+Reference!$D$11*(IF(MONTH($A1378)=Reference!$D$4,1,0)+IF(MONTH($A1378)=Reference!$D$5,1,0))+(IF(MONTH($A1378)=Reference!$D$6,Reference!$D$13,0))),0)</f>
        <v>405</v>
      </c>
      <c r="E1378" s="11">
        <f ca="1">D1378*Reference!$D$7*(1-IF(MONTH($A1378)=Reference!$D$6,1,0)*Reference!$D$12)</f>
        <v>303750</v>
      </c>
      <c r="M1378" s="20"/>
      <c r="N1378" s="20"/>
      <c r="O1378" s="19"/>
      <c r="P1378" s="10"/>
      <c r="Q1378" s="10"/>
      <c r="R1378" s="10"/>
      <c r="S1378" s="10"/>
      <c r="T1378" s="10"/>
      <c r="U1378" s="10"/>
      <c r="V1378" s="10"/>
      <c r="W1378" s="10"/>
      <c r="X1378" s="10"/>
      <c r="Y1378" s="10"/>
    </row>
    <row r="1379" spans="1:25" x14ac:dyDescent="0.25">
      <c r="A1379" s="9">
        <v>41917</v>
      </c>
      <c r="B1379" s="10">
        <f ca="1">ROUND(_xlfn.NORM.INV(RAND(),Reference!$C$8,0.1*Reference!$C$8)*(1+Reference!$C$11*(IF(MONTH($A1379)=Reference!$C$4,1,0)+IF(MONTH($A1379)=Reference!$C$5,1,0))+(IF(MONTH($A1379)=Reference!$C$6,Reference!$C$13,0))),0)</f>
        <v>355</v>
      </c>
      <c r="C1379" s="11">
        <f ca="1">B1379*Reference!$C$7*(1-IF(MONTH($A1379)=Reference!$C$6,1,0)*Reference!$C$12)</f>
        <v>330150</v>
      </c>
      <c r="D1379" s="10">
        <f ca="1">ROUND(_xlfn.NORM.INV(RAND(),Reference!$D$8,0.1*Reference!$D$8)*(1+Reference!$D$11*(IF(MONTH($A1379)=Reference!$D$4,1,0)+IF(MONTH($A1379)=Reference!$D$5,1,0))+(IF(MONTH($A1379)=Reference!$D$6,Reference!$D$13,0))),0)</f>
        <v>448</v>
      </c>
      <c r="E1379" s="11">
        <f ca="1">D1379*Reference!$D$7*(1-IF(MONTH($A1379)=Reference!$D$6,1,0)*Reference!$D$12)</f>
        <v>336000</v>
      </c>
      <c r="M1379" s="20"/>
      <c r="N1379" s="20"/>
      <c r="O1379" s="19"/>
      <c r="P1379" s="10"/>
      <c r="Q1379" s="10"/>
      <c r="R1379" s="10"/>
      <c r="S1379" s="10"/>
      <c r="T1379" s="10"/>
      <c r="U1379" s="10"/>
      <c r="V1379" s="10"/>
      <c r="W1379" s="10"/>
      <c r="X1379" s="10"/>
      <c r="Y1379" s="10"/>
    </row>
    <row r="1380" spans="1:25" x14ac:dyDescent="0.25">
      <c r="A1380" s="9">
        <v>41918</v>
      </c>
      <c r="B1380" s="10">
        <f ca="1">ROUND(_xlfn.NORM.INV(RAND(),Reference!$C$8,0.1*Reference!$C$8)*(1+Reference!$C$11*(IF(MONTH($A1380)=Reference!$C$4,1,0)+IF(MONTH($A1380)=Reference!$C$5,1,0))+(IF(MONTH($A1380)=Reference!$C$6,Reference!$C$13,0))),0)</f>
        <v>346</v>
      </c>
      <c r="C1380" s="11">
        <f ca="1">B1380*Reference!$C$7*(1-IF(MONTH($A1380)=Reference!$C$6,1,0)*Reference!$C$12)</f>
        <v>321780</v>
      </c>
      <c r="D1380" s="10">
        <f ca="1">ROUND(_xlfn.NORM.INV(RAND(),Reference!$D$8,0.1*Reference!$D$8)*(1+Reference!$D$11*(IF(MONTH($A1380)=Reference!$D$4,1,0)+IF(MONTH($A1380)=Reference!$D$5,1,0))+(IF(MONTH($A1380)=Reference!$D$6,Reference!$D$13,0))),0)</f>
        <v>439</v>
      </c>
      <c r="E1380" s="11">
        <f ca="1">D1380*Reference!$D$7*(1-IF(MONTH($A1380)=Reference!$D$6,1,0)*Reference!$D$12)</f>
        <v>329250</v>
      </c>
      <c r="M1380" s="20"/>
      <c r="N1380" s="20"/>
      <c r="O1380" s="19"/>
      <c r="P1380" s="10"/>
      <c r="Q1380" s="10"/>
      <c r="R1380" s="10"/>
      <c r="S1380" s="10"/>
      <c r="T1380" s="10"/>
      <c r="U1380" s="10"/>
      <c r="V1380" s="10"/>
      <c r="W1380" s="10"/>
      <c r="X1380" s="10"/>
      <c r="Y1380" s="10"/>
    </row>
    <row r="1381" spans="1:25" x14ac:dyDescent="0.25">
      <c r="A1381" s="9">
        <v>41919</v>
      </c>
      <c r="B1381" s="10">
        <f ca="1">ROUND(_xlfn.NORM.INV(RAND(),Reference!$C$8,0.1*Reference!$C$8)*(1+Reference!$C$11*(IF(MONTH($A1381)=Reference!$C$4,1,0)+IF(MONTH($A1381)=Reference!$C$5,1,0))+(IF(MONTH($A1381)=Reference!$C$6,Reference!$C$13,0))),0)</f>
        <v>359</v>
      </c>
      <c r="C1381" s="11">
        <f ca="1">B1381*Reference!$C$7*(1-IF(MONTH($A1381)=Reference!$C$6,1,0)*Reference!$C$12)</f>
        <v>333870</v>
      </c>
      <c r="D1381" s="10">
        <f ca="1">ROUND(_xlfn.NORM.INV(RAND(),Reference!$D$8,0.1*Reference!$D$8)*(1+Reference!$D$11*(IF(MONTH($A1381)=Reference!$D$4,1,0)+IF(MONTH($A1381)=Reference!$D$5,1,0))+(IF(MONTH($A1381)=Reference!$D$6,Reference!$D$13,0))),0)</f>
        <v>416</v>
      </c>
      <c r="E1381" s="11">
        <f ca="1">D1381*Reference!$D$7*(1-IF(MONTH($A1381)=Reference!$D$6,1,0)*Reference!$D$12)</f>
        <v>312000</v>
      </c>
      <c r="M1381" s="20"/>
      <c r="N1381" s="20"/>
      <c r="O1381" s="19"/>
      <c r="P1381" s="10"/>
      <c r="Q1381" s="10"/>
      <c r="R1381" s="10"/>
      <c r="S1381" s="10"/>
      <c r="T1381" s="10"/>
      <c r="U1381" s="10"/>
      <c r="V1381" s="10"/>
      <c r="W1381" s="10"/>
      <c r="X1381" s="10"/>
      <c r="Y1381" s="10"/>
    </row>
    <row r="1382" spans="1:25" x14ac:dyDescent="0.25">
      <c r="A1382" s="9">
        <v>41920</v>
      </c>
      <c r="B1382" s="10">
        <f ca="1">ROUND(_xlfn.NORM.INV(RAND(),Reference!$C$8,0.1*Reference!$C$8)*(1+Reference!$C$11*(IF(MONTH($A1382)=Reference!$C$4,1,0)+IF(MONTH($A1382)=Reference!$C$5,1,0))+(IF(MONTH($A1382)=Reference!$C$6,Reference!$C$13,0))),0)</f>
        <v>328</v>
      </c>
      <c r="C1382" s="11">
        <f ca="1">B1382*Reference!$C$7*(1-IF(MONTH($A1382)=Reference!$C$6,1,0)*Reference!$C$12)</f>
        <v>305040</v>
      </c>
      <c r="D1382" s="10">
        <f ca="1">ROUND(_xlfn.NORM.INV(RAND(),Reference!$D$8,0.1*Reference!$D$8)*(1+Reference!$D$11*(IF(MONTH($A1382)=Reference!$D$4,1,0)+IF(MONTH($A1382)=Reference!$D$5,1,0))+(IF(MONTH($A1382)=Reference!$D$6,Reference!$D$13,0))),0)</f>
        <v>340</v>
      </c>
      <c r="E1382" s="11">
        <f ca="1">D1382*Reference!$D$7*(1-IF(MONTH($A1382)=Reference!$D$6,1,0)*Reference!$D$12)</f>
        <v>255000</v>
      </c>
      <c r="M1382" s="20"/>
      <c r="N1382" s="20"/>
      <c r="O1382" s="19"/>
      <c r="P1382" s="10"/>
      <c r="Q1382" s="10"/>
      <c r="R1382" s="10"/>
      <c r="S1382" s="10"/>
      <c r="T1382" s="10"/>
      <c r="U1382" s="10"/>
      <c r="V1382" s="10"/>
      <c r="W1382" s="10"/>
      <c r="X1382" s="10"/>
      <c r="Y1382" s="10"/>
    </row>
    <row r="1383" spans="1:25" x14ac:dyDescent="0.25">
      <c r="A1383" s="9">
        <v>41921</v>
      </c>
      <c r="B1383" s="10">
        <f ca="1">ROUND(_xlfn.NORM.INV(RAND(),Reference!$C$8,0.1*Reference!$C$8)*(1+Reference!$C$11*(IF(MONTH($A1383)=Reference!$C$4,1,0)+IF(MONTH($A1383)=Reference!$C$5,1,0))+(IF(MONTH($A1383)=Reference!$C$6,Reference!$C$13,0))),0)</f>
        <v>310</v>
      </c>
      <c r="C1383" s="11">
        <f ca="1">B1383*Reference!$C$7*(1-IF(MONTH($A1383)=Reference!$C$6,1,0)*Reference!$C$12)</f>
        <v>288300</v>
      </c>
      <c r="D1383" s="10">
        <f ca="1">ROUND(_xlfn.NORM.INV(RAND(),Reference!$D$8,0.1*Reference!$D$8)*(1+Reference!$D$11*(IF(MONTH($A1383)=Reference!$D$4,1,0)+IF(MONTH($A1383)=Reference!$D$5,1,0))+(IF(MONTH($A1383)=Reference!$D$6,Reference!$D$13,0))),0)</f>
        <v>390</v>
      </c>
      <c r="E1383" s="11">
        <f ca="1">D1383*Reference!$D$7*(1-IF(MONTH($A1383)=Reference!$D$6,1,0)*Reference!$D$12)</f>
        <v>292500</v>
      </c>
      <c r="M1383" s="20"/>
      <c r="N1383" s="20"/>
      <c r="O1383" s="19"/>
      <c r="P1383" s="10"/>
      <c r="Q1383" s="10"/>
      <c r="R1383" s="10"/>
      <c r="S1383" s="10"/>
      <c r="T1383" s="10"/>
      <c r="U1383" s="10"/>
      <c r="V1383" s="10"/>
      <c r="W1383" s="10"/>
      <c r="X1383" s="10"/>
      <c r="Y1383" s="10"/>
    </row>
    <row r="1384" spans="1:25" x14ac:dyDescent="0.25">
      <c r="A1384" s="9">
        <v>41922</v>
      </c>
      <c r="B1384" s="10">
        <f ca="1">ROUND(_xlfn.NORM.INV(RAND(),Reference!$C$8,0.1*Reference!$C$8)*(1+Reference!$C$11*(IF(MONTH($A1384)=Reference!$C$4,1,0)+IF(MONTH($A1384)=Reference!$C$5,1,0))+(IF(MONTH($A1384)=Reference!$C$6,Reference!$C$13,0))),0)</f>
        <v>382</v>
      </c>
      <c r="C1384" s="11">
        <f ca="1">B1384*Reference!$C$7*(1-IF(MONTH($A1384)=Reference!$C$6,1,0)*Reference!$C$12)</f>
        <v>355260</v>
      </c>
      <c r="D1384" s="10">
        <f ca="1">ROUND(_xlfn.NORM.INV(RAND(),Reference!$D$8,0.1*Reference!$D$8)*(1+Reference!$D$11*(IF(MONTH($A1384)=Reference!$D$4,1,0)+IF(MONTH($A1384)=Reference!$D$5,1,0))+(IF(MONTH($A1384)=Reference!$D$6,Reference!$D$13,0))),0)</f>
        <v>446</v>
      </c>
      <c r="E1384" s="11">
        <f ca="1">D1384*Reference!$D$7*(1-IF(MONTH($A1384)=Reference!$D$6,1,0)*Reference!$D$12)</f>
        <v>334500</v>
      </c>
      <c r="M1384" s="20"/>
      <c r="N1384" s="20"/>
      <c r="O1384" s="19"/>
      <c r="P1384" s="10"/>
      <c r="Q1384" s="10"/>
      <c r="R1384" s="10"/>
      <c r="S1384" s="10"/>
      <c r="T1384" s="10"/>
      <c r="U1384" s="10"/>
      <c r="V1384" s="10"/>
      <c r="W1384" s="10"/>
      <c r="X1384" s="10"/>
      <c r="Y1384" s="10"/>
    </row>
    <row r="1385" spans="1:25" x14ac:dyDescent="0.25">
      <c r="A1385" s="9">
        <v>41923</v>
      </c>
      <c r="B1385" s="10">
        <f ca="1">ROUND(_xlfn.NORM.INV(RAND(),Reference!$C$8,0.1*Reference!$C$8)*(1+Reference!$C$11*(IF(MONTH($A1385)=Reference!$C$4,1,0)+IF(MONTH($A1385)=Reference!$C$5,1,0))+(IF(MONTH($A1385)=Reference!$C$6,Reference!$C$13,0))),0)</f>
        <v>390</v>
      </c>
      <c r="C1385" s="11">
        <f ca="1">B1385*Reference!$C$7*(1-IF(MONTH($A1385)=Reference!$C$6,1,0)*Reference!$C$12)</f>
        <v>362700</v>
      </c>
      <c r="D1385" s="10">
        <f ca="1">ROUND(_xlfn.NORM.INV(RAND(),Reference!$D$8,0.1*Reference!$D$8)*(1+Reference!$D$11*(IF(MONTH($A1385)=Reference!$D$4,1,0)+IF(MONTH($A1385)=Reference!$D$5,1,0))+(IF(MONTH($A1385)=Reference!$D$6,Reference!$D$13,0))),0)</f>
        <v>462</v>
      </c>
      <c r="E1385" s="11">
        <f ca="1">D1385*Reference!$D$7*(1-IF(MONTH($A1385)=Reference!$D$6,1,0)*Reference!$D$12)</f>
        <v>346500</v>
      </c>
      <c r="M1385" s="20"/>
      <c r="N1385" s="20"/>
      <c r="O1385" s="19"/>
      <c r="P1385" s="10"/>
      <c r="Q1385" s="10"/>
      <c r="R1385" s="10"/>
      <c r="S1385" s="10"/>
      <c r="T1385" s="10"/>
      <c r="U1385" s="10"/>
      <c r="V1385" s="10"/>
      <c r="W1385" s="10"/>
      <c r="X1385" s="10"/>
      <c r="Y1385" s="10"/>
    </row>
    <row r="1386" spans="1:25" x14ac:dyDescent="0.25">
      <c r="A1386" s="9">
        <v>41924</v>
      </c>
      <c r="B1386" s="10">
        <f ca="1">ROUND(_xlfn.NORM.INV(RAND(),Reference!$C$8,0.1*Reference!$C$8)*(1+Reference!$C$11*(IF(MONTH($A1386)=Reference!$C$4,1,0)+IF(MONTH($A1386)=Reference!$C$5,1,0))+(IF(MONTH($A1386)=Reference!$C$6,Reference!$C$13,0))),0)</f>
        <v>307</v>
      </c>
      <c r="C1386" s="11">
        <f ca="1">B1386*Reference!$C$7*(1-IF(MONTH($A1386)=Reference!$C$6,1,0)*Reference!$C$12)</f>
        <v>285510</v>
      </c>
      <c r="D1386" s="10">
        <f ca="1">ROUND(_xlfn.NORM.INV(RAND(),Reference!$D$8,0.1*Reference!$D$8)*(1+Reference!$D$11*(IF(MONTH($A1386)=Reference!$D$4,1,0)+IF(MONTH($A1386)=Reference!$D$5,1,0))+(IF(MONTH($A1386)=Reference!$D$6,Reference!$D$13,0))),0)</f>
        <v>471</v>
      </c>
      <c r="E1386" s="11">
        <f ca="1">D1386*Reference!$D$7*(1-IF(MONTH($A1386)=Reference!$D$6,1,0)*Reference!$D$12)</f>
        <v>353250</v>
      </c>
      <c r="M1386" s="20"/>
      <c r="N1386" s="20"/>
      <c r="O1386" s="19"/>
      <c r="P1386" s="10"/>
      <c r="Q1386" s="10"/>
      <c r="R1386" s="10"/>
      <c r="S1386" s="10"/>
      <c r="T1386" s="10"/>
      <c r="U1386" s="10"/>
      <c r="V1386" s="10"/>
      <c r="W1386" s="10"/>
      <c r="X1386" s="10"/>
      <c r="Y1386" s="10"/>
    </row>
    <row r="1387" spans="1:25" x14ac:dyDescent="0.25">
      <c r="A1387" s="9">
        <v>41925</v>
      </c>
      <c r="B1387" s="10">
        <f ca="1">ROUND(_xlfn.NORM.INV(RAND(),Reference!$C$8,0.1*Reference!$C$8)*(1+Reference!$C$11*(IF(MONTH($A1387)=Reference!$C$4,1,0)+IF(MONTH($A1387)=Reference!$C$5,1,0))+(IF(MONTH($A1387)=Reference!$C$6,Reference!$C$13,0))),0)</f>
        <v>403</v>
      </c>
      <c r="C1387" s="11">
        <f ca="1">B1387*Reference!$C$7*(1-IF(MONTH($A1387)=Reference!$C$6,1,0)*Reference!$C$12)</f>
        <v>374790</v>
      </c>
      <c r="D1387" s="10">
        <f ca="1">ROUND(_xlfn.NORM.INV(RAND(),Reference!$D$8,0.1*Reference!$D$8)*(1+Reference!$D$11*(IF(MONTH($A1387)=Reference!$D$4,1,0)+IF(MONTH($A1387)=Reference!$D$5,1,0))+(IF(MONTH($A1387)=Reference!$D$6,Reference!$D$13,0))),0)</f>
        <v>376</v>
      </c>
      <c r="E1387" s="11">
        <f ca="1">D1387*Reference!$D$7*(1-IF(MONTH($A1387)=Reference!$D$6,1,0)*Reference!$D$12)</f>
        <v>282000</v>
      </c>
      <c r="M1387" s="20"/>
      <c r="N1387" s="20"/>
      <c r="O1387" s="19"/>
      <c r="P1387" s="10"/>
      <c r="Q1387" s="10"/>
      <c r="R1387" s="10"/>
      <c r="S1387" s="10"/>
      <c r="T1387" s="10"/>
      <c r="U1387" s="10"/>
      <c r="V1387" s="10"/>
      <c r="W1387" s="10"/>
      <c r="X1387" s="10"/>
      <c r="Y1387" s="10"/>
    </row>
    <row r="1388" spans="1:25" x14ac:dyDescent="0.25">
      <c r="A1388" s="9">
        <v>41926</v>
      </c>
      <c r="B1388" s="10">
        <f ca="1">ROUND(_xlfn.NORM.INV(RAND(),Reference!$C$8,0.1*Reference!$C$8)*(1+Reference!$C$11*(IF(MONTH($A1388)=Reference!$C$4,1,0)+IF(MONTH($A1388)=Reference!$C$5,1,0))+(IF(MONTH($A1388)=Reference!$C$6,Reference!$C$13,0))),0)</f>
        <v>375</v>
      </c>
      <c r="C1388" s="11">
        <f ca="1">B1388*Reference!$C$7*(1-IF(MONTH($A1388)=Reference!$C$6,1,0)*Reference!$C$12)</f>
        <v>348750</v>
      </c>
      <c r="D1388" s="10">
        <f ca="1">ROUND(_xlfn.NORM.INV(RAND(),Reference!$D$8,0.1*Reference!$D$8)*(1+Reference!$D$11*(IF(MONTH($A1388)=Reference!$D$4,1,0)+IF(MONTH($A1388)=Reference!$D$5,1,0))+(IF(MONTH($A1388)=Reference!$D$6,Reference!$D$13,0))),0)</f>
        <v>421</v>
      </c>
      <c r="E1388" s="11">
        <f ca="1">D1388*Reference!$D$7*(1-IF(MONTH($A1388)=Reference!$D$6,1,0)*Reference!$D$12)</f>
        <v>315750</v>
      </c>
      <c r="M1388" s="20"/>
      <c r="N1388" s="20"/>
      <c r="O1388" s="19"/>
      <c r="P1388" s="10"/>
      <c r="Q1388" s="10"/>
      <c r="R1388" s="10"/>
      <c r="S1388" s="10"/>
      <c r="T1388" s="10"/>
      <c r="U1388" s="10"/>
      <c r="V1388" s="10"/>
      <c r="W1388" s="10"/>
      <c r="X1388" s="10"/>
      <c r="Y1388" s="10"/>
    </row>
    <row r="1389" spans="1:25" x14ac:dyDescent="0.25">
      <c r="A1389" s="9">
        <v>41927</v>
      </c>
      <c r="B1389" s="10">
        <f ca="1">ROUND(_xlfn.NORM.INV(RAND(),Reference!$C$8,0.1*Reference!$C$8)*(1+Reference!$C$11*(IF(MONTH($A1389)=Reference!$C$4,1,0)+IF(MONTH($A1389)=Reference!$C$5,1,0))+(IF(MONTH($A1389)=Reference!$C$6,Reference!$C$13,0))),0)</f>
        <v>377</v>
      </c>
      <c r="C1389" s="11">
        <f ca="1">B1389*Reference!$C$7*(1-IF(MONTH($A1389)=Reference!$C$6,1,0)*Reference!$C$12)</f>
        <v>350610</v>
      </c>
      <c r="D1389" s="10">
        <f ca="1">ROUND(_xlfn.NORM.INV(RAND(),Reference!$D$8,0.1*Reference!$D$8)*(1+Reference!$D$11*(IF(MONTH($A1389)=Reference!$D$4,1,0)+IF(MONTH($A1389)=Reference!$D$5,1,0))+(IF(MONTH($A1389)=Reference!$D$6,Reference!$D$13,0))),0)</f>
        <v>392</v>
      </c>
      <c r="E1389" s="11">
        <f ca="1">D1389*Reference!$D$7*(1-IF(MONTH($A1389)=Reference!$D$6,1,0)*Reference!$D$12)</f>
        <v>294000</v>
      </c>
      <c r="M1389" s="20"/>
      <c r="N1389" s="20"/>
      <c r="O1389" s="19"/>
      <c r="P1389" s="10"/>
      <c r="Q1389" s="10"/>
      <c r="R1389" s="10"/>
      <c r="S1389" s="10"/>
      <c r="T1389" s="10"/>
      <c r="U1389" s="10"/>
      <c r="V1389" s="10"/>
      <c r="W1389" s="10"/>
      <c r="X1389" s="10"/>
      <c r="Y1389" s="10"/>
    </row>
    <row r="1390" spans="1:25" x14ac:dyDescent="0.25">
      <c r="A1390" s="9">
        <v>41928</v>
      </c>
      <c r="B1390" s="10">
        <f ca="1">ROUND(_xlfn.NORM.INV(RAND(),Reference!$C$8,0.1*Reference!$C$8)*(1+Reference!$C$11*(IF(MONTH($A1390)=Reference!$C$4,1,0)+IF(MONTH($A1390)=Reference!$C$5,1,0))+(IF(MONTH($A1390)=Reference!$C$6,Reference!$C$13,0))),0)</f>
        <v>303</v>
      </c>
      <c r="C1390" s="11">
        <f ca="1">B1390*Reference!$C$7*(1-IF(MONTH($A1390)=Reference!$C$6,1,0)*Reference!$C$12)</f>
        <v>281790</v>
      </c>
      <c r="D1390" s="10">
        <f ca="1">ROUND(_xlfn.NORM.INV(RAND(),Reference!$D$8,0.1*Reference!$D$8)*(1+Reference!$D$11*(IF(MONTH($A1390)=Reference!$D$4,1,0)+IF(MONTH($A1390)=Reference!$D$5,1,0))+(IF(MONTH($A1390)=Reference!$D$6,Reference!$D$13,0))),0)</f>
        <v>427</v>
      </c>
      <c r="E1390" s="11">
        <f ca="1">D1390*Reference!$D$7*(1-IF(MONTH($A1390)=Reference!$D$6,1,0)*Reference!$D$12)</f>
        <v>320250</v>
      </c>
      <c r="M1390" s="20"/>
      <c r="N1390" s="20"/>
      <c r="O1390" s="19"/>
      <c r="P1390" s="10"/>
      <c r="Q1390" s="10"/>
      <c r="R1390" s="10"/>
      <c r="S1390" s="10"/>
      <c r="T1390" s="10"/>
      <c r="U1390" s="10"/>
      <c r="V1390" s="10"/>
      <c r="W1390" s="10"/>
      <c r="X1390" s="10"/>
      <c r="Y1390" s="10"/>
    </row>
    <row r="1391" spans="1:25" x14ac:dyDescent="0.25">
      <c r="A1391" s="9">
        <v>41929</v>
      </c>
      <c r="B1391" s="10">
        <f ca="1">ROUND(_xlfn.NORM.INV(RAND(),Reference!$C$8,0.1*Reference!$C$8)*(1+Reference!$C$11*(IF(MONTH($A1391)=Reference!$C$4,1,0)+IF(MONTH($A1391)=Reference!$C$5,1,0))+(IF(MONTH($A1391)=Reference!$C$6,Reference!$C$13,0))),0)</f>
        <v>385</v>
      </c>
      <c r="C1391" s="11">
        <f ca="1">B1391*Reference!$C$7*(1-IF(MONTH($A1391)=Reference!$C$6,1,0)*Reference!$C$12)</f>
        <v>358050</v>
      </c>
      <c r="D1391" s="10">
        <f ca="1">ROUND(_xlfn.NORM.INV(RAND(),Reference!$D$8,0.1*Reference!$D$8)*(1+Reference!$D$11*(IF(MONTH($A1391)=Reference!$D$4,1,0)+IF(MONTH($A1391)=Reference!$D$5,1,0))+(IF(MONTH($A1391)=Reference!$D$6,Reference!$D$13,0))),0)</f>
        <v>469</v>
      </c>
      <c r="E1391" s="11">
        <f ca="1">D1391*Reference!$D$7*(1-IF(MONTH($A1391)=Reference!$D$6,1,0)*Reference!$D$12)</f>
        <v>351750</v>
      </c>
      <c r="M1391" s="20"/>
      <c r="N1391" s="20"/>
      <c r="O1391" s="19"/>
      <c r="P1391" s="10"/>
      <c r="Q1391" s="10"/>
      <c r="R1391" s="10"/>
      <c r="S1391" s="10"/>
      <c r="T1391" s="10"/>
      <c r="U1391" s="10"/>
      <c r="V1391" s="10"/>
      <c r="W1391" s="10"/>
      <c r="X1391" s="10"/>
      <c r="Y1391" s="10"/>
    </row>
    <row r="1392" spans="1:25" x14ac:dyDescent="0.25">
      <c r="A1392" s="9">
        <v>41930</v>
      </c>
      <c r="B1392" s="10">
        <f ca="1">ROUND(_xlfn.NORM.INV(RAND(),Reference!$C$8,0.1*Reference!$C$8)*(1+Reference!$C$11*(IF(MONTH($A1392)=Reference!$C$4,1,0)+IF(MONTH($A1392)=Reference!$C$5,1,0))+(IF(MONTH($A1392)=Reference!$C$6,Reference!$C$13,0))),0)</f>
        <v>373</v>
      </c>
      <c r="C1392" s="11">
        <f ca="1">B1392*Reference!$C$7*(1-IF(MONTH($A1392)=Reference!$C$6,1,0)*Reference!$C$12)</f>
        <v>346890</v>
      </c>
      <c r="D1392" s="10">
        <f ca="1">ROUND(_xlfn.NORM.INV(RAND(),Reference!$D$8,0.1*Reference!$D$8)*(1+Reference!$D$11*(IF(MONTH($A1392)=Reference!$D$4,1,0)+IF(MONTH($A1392)=Reference!$D$5,1,0))+(IF(MONTH($A1392)=Reference!$D$6,Reference!$D$13,0))),0)</f>
        <v>418</v>
      </c>
      <c r="E1392" s="11">
        <f ca="1">D1392*Reference!$D$7*(1-IF(MONTH($A1392)=Reference!$D$6,1,0)*Reference!$D$12)</f>
        <v>313500</v>
      </c>
      <c r="M1392" s="20"/>
      <c r="N1392" s="20"/>
      <c r="O1392" s="19"/>
      <c r="P1392" s="10"/>
      <c r="Q1392" s="10"/>
      <c r="R1392" s="10"/>
      <c r="S1392" s="10"/>
      <c r="T1392" s="10"/>
      <c r="U1392" s="10"/>
      <c r="V1392" s="10"/>
      <c r="W1392" s="10"/>
      <c r="X1392" s="10"/>
      <c r="Y1392" s="10"/>
    </row>
    <row r="1393" spans="1:25" x14ac:dyDescent="0.25">
      <c r="A1393" s="9">
        <v>41931</v>
      </c>
      <c r="B1393" s="10">
        <f ca="1">ROUND(_xlfn.NORM.INV(RAND(),Reference!$C$8,0.1*Reference!$C$8)*(1+Reference!$C$11*(IF(MONTH($A1393)=Reference!$C$4,1,0)+IF(MONTH($A1393)=Reference!$C$5,1,0))+(IF(MONTH($A1393)=Reference!$C$6,Reference!$C$13,0))),0)</f>
        <v>339</v>
      </c>
      <c r="C1393" s="11">
        <f ca="1">B1393*Reference!$C$7*(1-IF(MONTH($A1393)=Reference!$C$6,1,0)*Reference!$C$12)</f>
        <v>315270</v>
      </c>
      <c r="D1393" s="10">
        <f ca="1">ROUND(_xlfn.NORM.INV(RAND(),Reference!$D$8,0.1*Reference!$D$8)*(1+Reference!$D$11*(IF(MONTH($A1393)=Reference!$D$4,1,0)+IF(MONTH($A1393)=Reference!$D$5,1,0))+(IF(MONTH($A1393)=Reference!$D$6,Reference!$D$13,0))),0)</f>
        <v>475</v>
      </c>
      <c r="E1393" s="11">
        <f ca="1">D1393*Reference!$D$7*(1-IF(MONTH($A1393)=Reference!$D$6,1,0)*Reference!$D$12)</f>
        <v>356250</v>
      </c>
      <c r="M1393" s="20"/>
      <c r="N1393" s="20"/>
      <c r="O1393" s="19"/>
      <c r="P1393" s="10"/>
      <c r="Q1393" s="10"/>
      <c r="R1393" s="10"/>
      <c r="S1393" s="10"/>
      <c r="T1393" s="10"/>
      <c r="U1393" s="10"/>
      <c r="V1393" s="10"/>
      <c r="W1393" s="10"/>
      <c r="X1393" s="10"/>
      <c r="Y1393" s="10"/>
    </row>
    <row r="1394" spans="1:25" x14ac:dyDescent="0.25">
      <c r="A1394" s="9">
        <v>41932</v>
      </c>
      <c r="B1394" s="10">
        <f ca="1">ROUND(_xlfn.NORM.INV(RAND(),Reference!$C$8,0.1*Reference!$C$8)*(1+Reference!$C$11*(IF(MONTH($A1394)=Reference!$C$4,1,0)+IF(MONTH($A1394)=Reference!$C$5,1,0))+(IF(MONTH($A1394)=Reference!$C$6,Reference!$C$13,0))),0)</f>
        <v>389</v>
      </c>
      <c r="C1394" s="11">
        <f ca="1">B1394*Reference!$C$7*(1-IF(MONTH($A1394)=Reference!$C$6,1,0)*Reference!$C$12)</f>
        <v>361770</v>
      </c>
      <c r="D1394" s="10">
        <f ca="1">ROUND(_xlfn.NORM.INV(RAND(),Reference!$D$8,0.1*Reference!$D$8)*(1+Reference!$D$11*(IF(MONTH($A1394)=Reference!$D$4,1,0)+IF(MONTH($A1394)=Reference!$D$5,1,0))+(IF(MONTH($A1394)=Reference!$D$6,Reference!$D$13,0))),0)</f>
        <v>415</v>
      </c>
      <c r="E1394" s="11">
        <f ca="1">D1394*Reference!$D$7*(1-IF(MONTH($A1394)=Reference!$D$6,1,0)*Reference!$D$12)</f>
        <v>311250</v>
      </c>
      <c r="M1394" s="20"/>
      <c r="N1394" s="20"/>
      <c r="O1394" s="19"/>
      <c r="P1394" s="10"/>
      <c r="Q1394" s="10"/>
      <c r="R1394" s="10"/>
      <c r="S1394" s="10"/>
      <c r="T1394" s="10"/>
      <c r="U1394" s="10"/>
      <c r="V1394" s="10"/>
      <c r="W1394" s="10"/>
      <c r="X1394" s="10"/>
      <c r="Y1394" s="10"/>
    </row>
    <row r="1395" spans="1:25" x14ac:dyDescent="0.25">
      <c r="A1395" s="9">
        <v>41933</v>
      </c>
      <c r="B1395" s="10">
        <f ca="1">ROUND(_xlfn.NORM.INV(RAND(),Reference!$C$8,0.1*Reference!$C$8)*(1+Reference!$C$11*(IF(MONTH($A1395)=Reference!$C$4,1,0)+IF(MONTH($A1395)=Reference!$C$5,1,0))+(IF(MONTH($A1395)=Reference!$C$6,Reference!$C$13,0))),0)</f>
        <v>364</v>
      </c>
      <c r="C1395" s="11">
        <f ca="1">B1395*Reference!$C$7*(1-IF(MONTH($A1395)=Reference!$C$6,1,0)*Reference!$C$12)</f>
        <v>338520</v>
      </c>
      <c r="D1395" s="10">
        <f ca="1">ROUND(_xlfn.NORM.INV(RAND(),Reference!$D$8,0.1*Reference!$D$8)*(1+Reference!$D$11*(IF(MONTH($A1395)=Reference!$D$4,1,0)+IF(MONTH($A1395)=Reference!$D$5,1,0))+(IF(MONTH($A1395)=Reference!$D$6,Reference!$D$13,0))),0)</f>
        <v>422</v>
      </c>
      <c r="E1395" s="11">
        <f ca="1">D1395*Reference!$D$7*(1-IF(MONTH($A1395)=Reference!$D$6,1,0)*Reference!$D$12)</f>
        <v>316500</v>
      </c>
      <c r="M1395" s="20"/>
      <c r="N1395" s="20"/>
      <c r="O1395" s="19"/>
      <c r="P1395" s="10"/>
      <c r="Q1395" s="10"/>
      <c r="R1395" s="10"/>
      <c r="S1395" s="10"/>
      <c r="T1395" s="10"/>
      <c r="U1395" s="10"/>
      <c r="V1395" s="10"/>
      <c r="W1395" s="10"/>
      <c r="X1395" s="10"/>
      <c r="Y1395" s="10"/>
    </row>
    <row r="1396" spans="1:25" x14ac:dyDescent="0.25">
      <c r="A1396" s="9">
        <v>41934</v>
      </c>
      <c r="B1396" s="10">
        <f ca="1">ROUND(_xlfn.NORM.INV(RAND(),Reference!$C$8,0.1*Reference!$C$8)*(1+Reference!$C$11*(IF(MONTH($A1396)=Reference!$C$4,1,0)+IF(MONTH($A1396)=Reference!$C$5,1,0))+(IF(MONTH($A1396)=Reference!$C$6,Reference!$C$13,0))),0)</f>
        <v>369</v>
      </c>
      <c r="C1396" s="11">
        <f ca="1">B1396*Reference!$C$7*(1-IF(MONTH($A1396)=Reference!$C$6,1,0)*Reference!$C$12)</f>
        <v>343170</v>
      </c>
      <c r="D1396" s="10">
        <f ca="1">ROUND(_xlfn.NORM.INV(RAND(),Reference!$D$8,0.1*Reference!$D$8)*(1+Reference!$D$11*(IF(MONTH($A1396)=Reference!$D$4,1,0)+IF(MONTH($A1396)=Reference!$D$5,1,0))+(IF(MONTH($A1396)=Reference!$D$6,Reference!$D$13,0))),0)</f>
        <v>424</v>
      </c>
      <c r="E1396" s="11">
        <f ca="1">D1396*Reference!$D$7*(1-IF(MONTH($A1396)=Reference!$D$6,1,0)*Reference!$D$12)</f>
        <v>318000</v>
      </c>
      <c r="M1396" s="20"/>
      <c r="N1396" s="20"/>
      <c r="O1396" s="19"/>
      <c r="P1396" s="10"/>
      <c r="Q1396" s="10"/>
      <c r="R1396" s="10"/>
      <c r="S1396" s="10"/>
      <c r="T1396" s="10"/>
      <c r="U1396" s="10"/>
      <c r="V1396" s="10"/>
      <c r="W1396" s="10"/>
      <c r="X1396" s="10"/>
      <c r="Y1396" s="10"/>
    </row>
    <row r="1397" spans="1:25" x14ac:dyDescent="0.25">
      <c r="A1397" s="9">
        <v>41935</v>
      </c>
      <c r="B1397" s="10">
        <f ca="1">ROUND(_xlfn.NORM.INV(RAND(),Reference!$C$8,0.1*Reference!$C$8)*(1+Reference!$C$11*(IF(MONTH($A1397)=Reference!$C$4,1,0)+IF(MONTH($A1397)=Reference!$C$5,1,0))+(IF(MONTH($A1397)=Reference!$C$6,Reference!$C$13,0))),0)</f>
        <v>396</v>
      </c>
      <c r="C1397" s="11">
        <f ca="1">B1397*Reference!$C$7*(1-IF(MONTH($A1397)=Reference!$C$6,1,0)*Reference!$C$12)</f>
        <v>368280</v>
      </c>
      <c r="D1397" s="10">
        <f ca="1">ROUND(_xlfn.NORM.INV(RAND(),Reference!$D$8,0.1*Reference!$D$8)*(1+Reference!$D$11*(IF(MONTH($A1397)=Reference!$D$4,1,0)+IF(MONTH($A1397)=Reference!$D$5,1,0))+(IF(MONTH($A1397)=Reference!$D$6,Reference!$D$13,0))),0)</f>
        <v>478</v>
      </c>
      <c r="E1397" s="11">
        <f ca="1">D1397*Reference!$D$7*(1-IF(MONTH($A1397)=Reference!$D$6,1,0)*Reference!$D$12)</f>
        <v>358500</v>
      </c>
      <c r="M1397" s="20"/>
      <c r="N1397" s="20"/>
      <c r="O1397" s="19"/>
      <c r="P1397" s="10"/>
      <c r="Q1397" s="10"/>
      <c r="R1397" s="10"/>
      <c r="S1397" s="10"/>
      <c r="T1397" s="10"/>
      <c r="U1397" s="10"/>
      <c r="V1397" s="10"/>
      <c r="W1397" s="10"/>
      <c r="X1397" s="10"/>
      <c r="Y1397" s="10"/>
    </row>
    <row r="1398" spans="1:25" x14ac:dyDescent="0.25">
      <c r="A1398" s="9">
        <v>41936</v>
      </c>
      <c r="B1398" s="10">
        <f ca="1">ROUND(_xlfn.NORM.INV(RAND(),Reference!$C$8,0.1*Reference!$C$8)*(1+Reference!$C$11*(IF(MONTH($A1398)=Reference!$C$4,1,0)+IF(MONTH($A1398)=Reference!$C$5,1,0))+(IF(MONTH($A1398)=Reference!$C$6,Reference!$C$13,0))),0)</f>
        <v>399</v>
      </c>
      <c r="C1398" s="11">
        <f ca="1">B1398*Reference!$C$7*(1-IF(MONTH($A1398)=Reference!$C$6,1,0)*Reference!$C$12)</f>
        <v>371070</v>
      </c>
      <c r="D1398" s="10">
        <f ca="1">ROUND(_xlfn.NORM.INV(RAND(),Reference!$D$8,0.1*Reference!$D$8)*(1+Reference!$D$11*(IF(MONTH($A1398)=Reference!$D$4,1,0)+IF(MONTH($A1398)=Reference!$D$5,1,0))+(IF(MONTH($A1398)=Reference!$D$6,Reference!$D$13,0))),0)</f>
        <v>463</v>
      </c>
      <c r="E1398" s="11">
        <f ca="1">D1398*Reference!$D$7*(1-IF(MONTH($A1398)=Reference!$D$6,1,0)*Reference!$D$12)</f>
        <v>347250</v>
      </c>
      <c r="M1398" s="20"/>
      <c r="N1398" s="20"/>
      <c r="O1398" s="19"/>
      <c r="P1398" s="10"/>
      <c r="Q1398" s="10"/>
      <c r="R1398" s="10"/>
      <c r="S1398" s="10"/>
      <c r="T1398" s="10"/>
      <c r="U1398" s="10"/>
      <c r="V1398" s="10"/>
      <c r="W1398" s="10"/>
      <c r="X1398" s="10"/>
      <c r="Y1398" s="10"/>
    </row>
    <row r="1399" spans="1:25" x14ac:dyDescent="0.25">
      <c r="A1399" s="9">
        <v>41937</v>
      </c>
      <c r="B1399" s="10">
        <f ca="1">ROUND(_xlfn.NORM.INV(RAND(),Reference!$C$8,0.1*Reference!$C$8)*(1+Reference!$C$11*(IF(MONTH($A1399)=Reference!$C$4,1,0)+IF(MONTH($A1399)=Reference!$C$5,1,0))+(IF(MONTH($A1399)=Reference!$C$6,Reference!$C$13,0))),0)</f>
        <v>361</v>
      </c>
      <c r="C1399" s="11">
        <f ca="1">B1399*Reference!$C$7*(1-IF(MONTH($A1399)=Reference!$C$6,1,0)*Reference!$C$12)</f>
        <v>335730</v>
      </c>
      <c r="D1399" s="10">
        <f ca="1">ROUND(_xlfn.NORM.INV(RAND(),Reference!$D$8,0.1*Reference!$D$8)*(1+Reference!$D$11*(IF(MONTH($A1399)=Reference!$D$4,1,0)+IF(MONTH($A1399)=Reference!$D$5,1,0))+(IF(MONTH($A1399)=Reference!$D$6,Reference!$D$13,0))),0)</f>
        <v>502</v>
      </c>
      <c r="E1399" s="11">
        <f ca="1">D1399*Reference!$D$7*(1-IF(MONTH($A1399)=Reference!$D$6,1,0)*Reference!$D$12)</f>
        <v>376500</v>
      </c>
      <c r="M1399" s="20"/>
      <c r="N1399" s="20"/>
      <c r="O1399" s="19"/>
      <c r="P1399" s="10"/>
      <c r="Q1399" s="10"/>
      <c r="R1399" s="10"/>
      <c r="S1399" s="10"/>
      <c r="T1399" s="10"/>
      <c r="U1399" s="10"/>
      <c r="V1399" s="10"/>
      <c r="W1399" s="10"/>
      <c r="X1399" s="10"/>
      <c r="Y1399" s="10"/>
    </row>
    <row r="1400" spans="1:25" x14ac:dyDescent="0.25">
      <c r="A1400" s="9">
        <v>41938</v>
      </c>
      <c r="B1400" s="10">
        <f ca="1">ROUND(_xlfn.NORM.INV(RAND(),Reference!$C$8,0.1*Reference!$C$8)*(1+Reference!$C$11*(IF(MONTH($A1400)=Reference!$C$4,1,0)+IF(MONTH($A1400)=Reference!$C$5,1,0))+(IF(MONTH($A1400)=Reference!$C$6,Reference!$C$13,0))),0)</f>
        <v>354</v>
      </c>
      <c r="C1400" s="11">
        <f ca="1">B1400*Reference!$C$7*(1-IF(MONTH($A1400)=Reference!$C$6,1,0)*Reference!$C$12)</f>
        <v>329220</v>
      </c>
      <c r="D1400" s="10">
        <f ca="1">ROUND(_xlfn.NORM.INV(RAND(),Reference!$D$8,0.1*Reference!$D$8)*(1+Reference!$D$11*(IF(MONTH($A1400)=Reference!$D$4,1,0)+IF(MONTH($A1400)=Reference!$D$5,1,0))+(IF(MONTH($A1400)=Reference!$D$6,Reference!$D$13,0))),0)</f>
        <v>491</v>
      </c>
      <c r="E1400" s="11">
        <f ca="1">D1400*Reference!$D$7*(1-IF(MONTH($A1400)=Reference!$D$6,1,0)*Reference!$D$12)</f>
        <v>368250</v>
      </c>
      <c r="M1400" s="20"/>
      <c r="N1400" s="20"/>
      <c r="O1400" s="19"/>
      <c r="P1400" s="10"/>
      <c r="Q1400" s="10"/>
      <c r="R1400" s="10"/>
      <c r="S1400" s="10"/>
      <c r="T1400" s="10"/>
      <c r="U1400" s="10"/>
      <c r="V1400" s="10"/>
      <c r="W1400" s="10"/>
      <c r="X1400" s="10"/>
      <c r="Y1400" s="10"/>
    </row>
    <row r="1401" spans="1:25" x14ac:dyDescent="0.25">
      <c r="A1401" s="9">
        <v>41939</v>
      </c>
      <c r="B1401" s="10">
        <f ca="1">ROUND(_xlfn.NORM.INV(RAND(),Reference!$C$8,0.1*Reference!$C$8)*(1+Reference!$C$11*(IF(MONTH($A1401)=Reference!$C$4,1,0)+IF(MONTH($A1401)=Reference!$C$5,1,0))+(IF(MONTH($A1401)=Reference!$C$6,Reference!$C$13,0))),0)</f>
        <v>411</v>
      </c>
      <c r="C1401" s="11">
        <f ca="1">B1401*Reference!$C$7*(1-IF(MONTH($A1401)=Reference!$C$6,1,0)*Reference!$C$12)</f>
        <v>382230</v>
      </c>
      <c r="D1401" s="10">
        <f ca="1">ROUND(_xlfn.NORM.INV(RAND(),Reference!$D$8,0.1*Reference!$D$8)*(1+Reference!$D$11*(IF(MONTH($A1401)=Reference!$D$4,1,0)+IF(MONTH($A1401)=Reference!$D$5,1,0))+(IF(MONTH($A1401)=Reference!$D$6,Reference!$D$13,0))),0)</f>
        <v>481</v>
      </c>
      <c r="E1401" s="11">
        <f ca="1">D1401*Reference!$D$7*(1-IF(MONTH($A1401)=Reference!$D$6,1,0)*Reference!$D$12)</f>
        <v>360750</v>
      </c>
      <c r="M1401" s="20"/>
      <c r="N1401" s="20"/>
      <c r="O1401" s="19"/>
      <c r="P1401" s="10"/>
      <c r="Q1401" s="10"/>
      <c r="R1401" s="10"/>
      <c r="S1401" s="10"/>
      <c r="T1401" s="10"/>
      <c r="U1401" s="10"/>
      <c r="V1401" s="10"/>
      <c r="W1401" s="10"/>
      <c r="X1401" s="10"/>
      <c r="Y1401" s="10"/>
    </row>
    <row r="1402" spans="1:25" x14ac:dyDescent="0.25">
      <c r="A1402" s="9">
        <v>41940</v>
      </c>
      <c r="B1402" s="10">
        <f ca="1">ROUND(_xlfn.NORM.INV(RAND(),Reference!$C$8,0.1*Reference!$C$8)*(1+Reference!$C$11*(IF(MONTH($A1402)=Reference!$C$4,1,0)+IF(MONTH($A1402)=Reference!$C$5,1,0))+(IF(MONTH($A1402)=Reference!$C$6,Reference!$C$13,0))),0)</f>
        <v>377</v>
      </c>
      <c r="C1402" s="11">
        <f ca="1">B1402*Reference!$C$7*(1-IF(MONTH($A1402)=Reference!$C$6,1,0)*Reference!$C$12)</f>
        <v>350610</v>
      </c>
      <c r="D1402" s="10">
        <f ca="1">ROUND(_xlfn.NORM.INV(RAND(),Reference!$D$8,0.1*Reference!$D$8)*(1+Reference!$D$11*(IF(MONTH($A1402)=Reference!$D$4,1,0)+IF(MONTH($A1402)=Reference!$D$5,1,0))+(IF(MONTH($A1402)=Reference!$D$6,Reference!$D$13,0))),0)</f>
        <v>400</v>
      </c>
      <c r="E1402" s="11">
        <f ca="1">D1402*Reference!$D$7*(1-IF(MONTH($A1402)=Reference!$D$6,1,0)*Reference!$D$12)</f>
        <v>300000</v>
      </c>
      <c r="M1402" s="20"/>
      <c r="N1402" s="20"/>
      <c r="O1402" s="19"/>
      <c r="P1402" s="10"/>
      <c r="Q1402" s="10"/>
      <c r="R1402" s="10"/>
      <c r="S1402" s="10"/>
      <c r="T1402" s="10"/>
      <c r="U1402" s="10"/>
      <c r="V1402" s="10"/>
      <c r="W1402" s="10"/>
      <c r="X1402" s="10"/>
      <c r="Y1402" s="10"/>
    </row>
    <row r="1403" spans="1:25" x14ac:dyDescent="0.25">
      <c r="A1403" s="9">
        <v>41941</v>
      </c>
      <c r="B1403" s="10">
        <f ca="1">ROUND(_xlfn.NORM.INV(RAND(),Reference!$C$8,0.1*Reference!$C$8)*(1+Reference!$C$11*(IF(MONTH($A1403)=Reference!$C$4,1,0)+IF(MONTH($A1403)=Reference!$C$5,1,0))+(IF(MONTH($A1403)=Reference!$C$6,Reference!$C$13,0))),0)</f>
        <v>344</v>
      </c>
      <c r="C1403" s="11">
        <f ca="1">B1403*Reference!$C$7*(1-IF(MONTH($A1403)=Reference!$C$6,1,0)*Reference!$C$12)</f>
        <v>319920</v>
      </c>
      <c r="D1403" s="10">
        <f ca="1">ROUND(_xlfn.NORM.INV(RAND(),Reference!$D$8,0.1*Reference!$D$8)*(1+Reference!$D$11*(IF(MONTH($A1403)=Reference!$D$4,1,0)+IF(MONTH($A1403)=Reference!$D$5,1,0))+(IF(MONTH($A1403)=Reference!$D$6,Reference!$D$13,0))),0)</f>
        <v>442</v>
      </c>
      <c r="E1403" s="11">
        <f ca="1">D1403*Reference!$D$7*(1-IF(MONTH($A1403)=Reference!$D$6,1,0)*Reference!$D$12)</f>
        <v>331500</v>
      </c>
      <c r="M1403" s="20"/>
      <c r="N1403" s="20"/>
      <c r="O1403" s="19"/>
      <c r="P1403" s="10"/>
      <c r="Q1403" s="10"/>
      <c r="R1403" s="10"/>
      <c r="S1403" s="10"/>
      <c r="T1403" s="10"/>
      <c r="U1403" s="10"/>
      <c r="V1403" s="10"/>
      <c r="W1403" s="10"/>
      <c r="X1403" s="10"/>
      <c r="Y1403" s="10"/>
    </row>
    <row r="1404" spans="1:25" x14ac:dyDescent="0.25">
      <c r="A1404" s="9">
        <v>41942</v>
      </c>
      <c r="B1404" s="10">
        <f ca="1">ROUND(_xlfn.NORM.INV(RAND(),Reference!$C$8,0.1*Reference!$C$8)*(1+Reference!$C$11*(IF(MONTH($A1404)=Reference!$C$4,1,0)+IF(MONTH($A1404)=Reference!$C$5,1,0))+(IF(MONTH($A1404)=Reference!$C$6,Reference!$C$13,0))),0)</f>
        <v>288</v>
      </c>
      <c r="C1404" s="11">
        <f ca="1">B1404*Reference!$C$7*(1-IF(MONTH($A1404)=Reference!$C$6,1,0)*Reference!$C$12)</f>
        <v>267840</v>
      </c>
      <c r="D1404" s="10">
        <f ca="1">ROUND(_xlfn.NORM.INV(RAND(),Reference!$D$8,0.1*Reference!$D$8)*(1+Reference!$D$11*(IF(MONTH($A1404)=Reference!$D$4,1,0)+IF(MONTH($A1404)=Reference!$D$5,1,0))+(IF(MONTH($A1404)=Reference!$D$6,Reference!$D$13,0))),0)</f>
        <v>465</v>
      </c>
      <c r="E1404" s="11">
        <f ca="1">D1404*Reference!$D$7*(1-IF(MONTH($A1404)=Reference!$D$6,1,0)*Reference!$D$12)</f>
        <v>348750</v>
      </c>
      <c r="M1404" s="20"/>
      <c r="N1404" s="20"/>
      <c r="O1404" s="19"/>
      <c r="P1404" s="10"/>
      <c r="Q1404" s="10"/>
      <c r="R1404" s="10"/>
      <c r="S1404" s="10"/>
      <c r="T1404" s="10"/>
      <c r="U1404" s="10"/>
      <c r="V1404" s="10"/>
      <c r="W1404" s="10"/>
      <c r="X1404" s="10"/>
      <c r="Y1404" s="10"/>
    </row>
    <row r="1405" spans="1:25" x14ac:dyDescent="0.25">
      <c r="A1405" s="9">
        <v>41943</v>
      </c>
      <c r="B1405" s="10">
        <f ca="1">ROUND(_xlfn.NORM.INV(RAND(),Reference!$C$8,0.1*Reference!$C$8)*(1+Reference!$C$11*(IF(MONTH($A1405)=Reference!$C$4,1,0)+IF(MONTH($A1405)=Reference!$C$5,1,0))+(IF(MONTH($A1405)=Reference!$C$6,Reference!$C$13,0))),0)</f>
        <v>365</v>
      </c>
      <c r="C1405" s="11">
        <f ca="1">B1405*Reference!$C$7*(1-IF(MONTH($A1405)=Reference!$C$6,1,0)*Reference!$C$12)</f>
        <v>339450</v>
      </c>
      <c r="D1405" s="10">
        <f ca="1">ROUND(_xlfn.NORM.INV(RAND(),Reference!$D$8,0.1*Reference!$D$8)*(1+Reference!$D$11*(IF(MONTH($A1405)=Reference!$D$4,1,0)+IF(MONTH($A1405)=Reference!$D$5,1,0))+(IF(MONTH($A1405)=Reference!$D$6,Reference!$D$13,0))),0)</f>
        <v>501</v>
      </c>
      <c r="E1405" s="11">
        <f ca="1">D1405*Reference!$D$7*(1-IF(MONTH($A1405)=Reference!$D$6,1,0)*Reference!$D$12)</f>
        <v>375750</v>
      </c>
      <c r="M1405" s="20"/>
      <c r="N1405" s="20"/>
      <c r="O1405" s="19"/>
      <c r="P1405" s="10"/>
      <c r="Q1405" s="10"/>
      <c r="R1405" s="10"/>
      <c r="S1405" s="10"/>
      <c r="T1405" s="10"/>
      <c r="U1405" s="10"/>
      <c r="V1405" s="10"/>
      <c r="W1405" s="10"/>
      <c r="X1405" s="10"/>
      <c r="Y1405" s="10"/>
    </row>
    <row r="1406" spans="1:25" x14ac:dyDescent="0.25">
      <c r="A1406" s="9">
        <v>41944</v>
      </c>
      <c r="B1406" s="10">
        <f ca="1">ROUND(_xlfn.NORM.INV(RAND(),Reference!$C$8,0.1*Reference!$C$8)*(1+Reference!$C$11*(IF(MONTH($A1406)=Reference!$C$4,1,0)+IF(MONTH($A1406)=Reference!$C$5,1,0))+(IF(MONTH($A1406)=Reference!$C$6,Reference!$C$13,0))),0)</f>
        <v>367</v>
      </c>
      <c r="C1406" s="11">
        <f ca="1">B1406*Reference!$C$7*(1-IF(MONTH($A1406)=Reference!$C$6,1,0)*Reference!$C$12)</f>
        <v>341310</v>
      </c>
      <c r="D1406" s="10">
        <f ca="1">ROUND(_xlfn.NORM.INV(RAND(),Reference!$D$8,0.1*Reference!$D$8)*(1+Reference!$D$11*(IF(MONTH($A1406)=Reference!$D$4,1,0)+IF(MONTH($A1406)=Reference!$D$5,1,0))+(IF(MONTH($A1406)=Reference!$D$6,Reference!$D$13,0))),0)</f>
        <v>478</v>
      </c>
      <c r="E1406" s="11">
        <f ca="1">D1406*Reference!$D$7*(1-IF(MONTH($A1406)=Reference!$D$6,1,0)*Reference!$D$12)</f>
        <v>358500</v>
      </c>
      <c r="M1406" s="20"/>
      <c r="N1406" s="20"/>
      <c r="O1406" s="19"/>
      <c r="P1406" s="10"/>
      <c r="Q1406" s="10"/>
      <c r="R1406" s="10"/>
      <c r="S1406" s="10"/>
      <c r="T1406" s="10"/>
      <c r="U1406" s="10"/>
      <c r="V1406" s="10"/>
      <c r="W1406" s="10"/>
      <c r="X1406" s="10"/>
      <c r="Y1406" s="10"/>
    </row>
    <row r="1407" spans="1:25" x14ac:dyDescent="0.25">
      <c r="A1407" s="9">
        <v>41945</v>
      </c>
      <c r="B1407" s="10">
        <f ca="1">ROUND(_xlfn.NORM.INV(RAND(),Reference!$C$8,0.1*Reference!$C$8)*(1+Reference!$C$11*(IF(MONTH($A1407)=Reference!$C$4,1,0)+IF(MONTH($A1407)=Reference!$C$5,1,0))+(IF(MONTH($A1407)=Reference!$C$6,Reference!$C$13,0))),0)</f>
        <v>335</v>
      </c>
      <c r="C1407" s="11">
        <f ca="1">B1407*Reference!$C$7*(1-IF(MONTH($A1407)=Reference!$C$6,1,0)*Reference!$C$12)</f>
        <v>311550</v>
      </c>
      <c r="D1407" s="10">
        <f ca="1">ROUND(_xlfn.NORM.INV(RAND(),Reference!$D$8,0.1*Reference!$D$8)*(1+Reference!$D$11*(IF(MONTH($A1407)=Reference!$D$4,1,0)+IF(MONTH($A1407)=Reference!$D$5,1,0))+(IF(MONTH($A1407)=Reference!$D$6,Reference!$D$13,0))),0)</f>
        <v>410</v>
      </c>
      <c r="E1407" s="11">
        <f ca="1">D1407*Reference!$D$7*(1-IF(MONTH($A1407)=Reference!$D$6,1,0)*Reference!$D$12)</f>
        <v>307500</v>
      </c>
      <c r="M1407" s="20"/>
      <c r="N1407" s="20"/>
      <c r="O1407" s="19"/>
      <c r="P1407" s="10"/>
      <c r="Q1407" s="10"/>
      <c r="R1407" s="10"/>
      <c r="S1407" s="10"/>
      <c r="T1407" s="10"/>
      <c r="U1407" s="10"/>
      <c r="V1407" s="10"/>
      <c r="W1407" s="10"/>
      <c r="X1407" s="10"/>
      <c r="Y1407" s="10"/>
    </row>
    <row r="1408" spans="1:25" x14ac:dyDescent="0.25">
      <c r="A1408" s="9">
        <v>41946</v>
      </c>
      <c r="B1408" s="10">
        <f ca="1">ROUND(_xlfn.NORM.INV(RAND(),Reference!$C$8,0.1*Reference!$C$8)*(1+Reference!$C$11*(IF(MONTH($A1408)=Reference!$C$4,1,0)+IF(MONTH($A1408)=Reference!$C$5,1,0))+(IF(MONTH($A1408)=Reference!$C$6,Reference!$C$13,0))),0)</f>
        <v>400</v>
      </c>
      <c r="C1408" s="11">
        <f ca="1">B1408*Reference!$C$7*(1-IF(MONTH($A1408)=Reference!$C$6,1,0)*Reference!$C$12)</f>
        <v>372000</v>
      </c>
      <c r="D1408" s="10">
        <f ca="1">ROUND(_xlfn.NORM.INV(RAND(),Reference!$D$8,0.1*Reference!$D$8)*(1+Reference!$D$11*(IF(MONTH($A1408)=Reference!$D$4,1,0)+IF(MONTH($A1408)=Reference!$D$5,1,0))+(IF(MONTH($A1408)=Reference!$D$6,Reference!$D$13,0))),0)</f>
        <v>418</v>
      </c>
      <c r="E1408" s="11">
        <f ca="1">D1408*Reference!$D$7*(1-IF(MONTH($A1408)=Reference!$D$6,1,0)*Reference!$D$12)</f>
        <v>313500</v>
      </c>
      <c r="M1408" s="20"/>
      <c r="N1408" s="20"/>
      <c r="O1408" s="19"/>
      <c r="P1408" s="10"/>
      <c r="Q1408" s="10"/>
      <c r="R1408" s="10"/>
      <c r="S1408" s="10"/>
      <c r="T1408" s="10"/>
      <c r="U1408" s="10"/>
      <c r="V1408" s="10"/>
      <c r="W1408" s="10"/>
      <c r="X1408" s="10"/>
      <c r="Y1408" s="10"/>
    </row>
    <row r="1409" spans="1:25" x14ac:dyDescent="0.25">
      <c r="A1409" s="9">
        <v>41947</v>
      </c>
      <c r="B1409" s="10">
        <f ca="1">ROUND(_xlfn.NORM.INV(RAND(),Reference!$C$8,0.1*Reference!$C$8)*(1+Reference!$C$11*(IF(MONTH($A1409)=Reference!$C$4,1,0)+IF(MONTH($A1409)=Reference!$C$5,1,0))+(IF(MONTH($A1409)=Reference!$C$6,Reference!$C$13,0))),0)</f>
        <v>430</v>
      </c>
      <c r="C1409" s="11">
        <f ca="1">B1409*Reference!$C$7*(1-IF(MONTH($A1409)=Reference!$C$6,1,0)*Reference!$C$12)</f>
        <v>399900</v>
      </c>
      <c r="D1409" s="10">
        <f ca="1">ROUND(_xlfn.NORM.INV(RAND(),Reference!$D$8,0.1*Reference!$D$8)*(1+Reference!$D$11*(IF(MONTH($A1409)=Reference!$D$4,1,0)+IF(MONTH($A1409)=Reference!$D$5,1,0))+(IF(MONTH($A1409)=Reference!$D$6,Reference!$D$13,0))),0)</f>
        <v>541</v>
      </c>
      <c r="E1409" s="11">
        <f ca="1">D1409*Reference!$D$7*(1-IF(MONTH($A1409)=Reference!$D$6,1,0)*Reference!$D$12)</f>
        <v>405750</v>
      </c>
      <c r="M1409" s="20"/>
      <c r="N1409" s="20"/>
      <c r="O1409" s="19"/>
      <c r="P1409" s="10"/>
      <c r="Q1409" s="10"/>
      <c r="R1409" s="10"/>
      <c r="S1409" s="10"/>
      <c r="T1409" s="10"/>
      <c r="U1409" s="10"/>
      <c r="V1409" s="10"/>
      <c r="W1409" s="10"/>
      <c r="X1409" s="10"/>
      <c r="Y1409" s="10"/>
    </row>
    <row r="1410" spans="1:25" x14ac:dyDescent="0.25">
      <c r="A1410" s="9">
        <v>41948</v>
      </c>
      <c r="B1410" s="10">
        <f ca="1">ROUND(_xlfn.NORM.INV(RAND(),Reference!$C$8,0.1*Reference!$C$8)*(1+Reference!$C$11*(IF(MONTH($A1410)=Reference!$C$4,1,0)+IF(MONTH($A1410)=Reference!$C$5,1,0))+(IF(MONTH($A1410)=Reference!$C$6,Reference!$C$13,0))),0)</f>
        <v>308</v>
      </c>
      <c r="C1410" s="11">
        <f ca="1">B1410*Reference!$C$7*(1-IF(MONTH($A1410)=Reference!$C$6,1,0)*Reference!$C$12)</f>
        <v>286440</v>
      </c>
      <c r="D1410" s="10">
        <f ca="1">ROUND(_xlfn.NORM.INV(RAND(),Reference!$D$8,0.1*Reference!$D$8)*(1+Reference!$D$11*(IF(MONTH($A1410)=Reference!$D$4,1,0)+IF(MONTH($A1410)=Reference!$D$5,1,0))+(IF(MONTH($A1410)=Reference!$D$6,Reference!$D$13,0))),0)</f>
        <v>383</v>
      </c>
      <c r="E1410" s="11">
        <f ca="1">D1410*Reference!$D$7*(1-IF(MONTH($A1410)=Reference!$D$6,1,0)*Reference!$D$12)</f>
        <v>287250</v>
      </c>
      <c r="M1410" s="20"/>
      <c r="N1410" s="20"/>
      <c r="O1410" s="19"/>
      <c r="P1410" s="10"/>
      <c r="Q1410" s="10"/>
      <c r="R1410" s="10"/>
      <c r="S1410" s="10"/>
      <c r="T1410" s="10"/>
      <c r="U1410" s="10"/>
      <c r="V1410" s="10"/>
      <c r="W1410" s="10"/>
      <c r="X1410" s="10"/>
      <c r="Y1410" s="10"/>
    </row>
    <row r="1411" spans="1:25" x14ac:dyDescent="0.25">
      <c r="A1411" s="9">
        <v>41949</v>
      </c>
      <c r="B1411" s="10">
        <f ca="1">ROUND(_xlfn.NORM.INV(RAND(),Reference!$C$8,0.1*Reference!$C$8)*(1+Reference!$C$11*(IF(MONTH($A1411)=Reference!$C$4,1,0)+IF(MONTH($A1411)=Reference!$C$5,1,0))+(IF(MONTH($A1411)=Reference!$C$6,Reference!$C$13,0))),0)</f>
        <v>299</v>
      </c>
      <c r="C1411" s="11">
        <f ca="1">B1411*Reference!$C$7*(1-IF(MONTH($A1411)=Reference!$C$6,1,0)*Reference!$C$12)</f>
        <v>278070</v>
      </c>
      <c r="D1411" s="10">
        <f ca="1">ROUND(_xlfn.NORM.INV(RAND(),Reference!$D$8,0.1*Reference!$D$8)*(1+Reference!$D$11*(IF(MONTH($A1411)=Reference!$D$4,1,0)+IF(MONTH($A1411)=Reference!$D$5,1,0))+(IF(MONTH($A1411)=Reference!$D$6,Reference!$D$13,0))),0)</f>
        <v>566</v>
      </c>
      <c r="E1411" s="11">
        <f ca="1">D1411*Reference!$D$7*(1-IF(MONTH($A1411)=Reference!$D$6,1,0)*Reference!$D$12)</f>
        <v>424500</v>
      </c>
      <c r="M1411" s="20"/>
      <c r="N1411" s="20"/>
      <c r="O1411" s="19"/>
      <c r="P1411" s="10"/>
      <c r="Q1411" s="10"/>
      <c r="R1411" s="10"/>
      <c r="S1411" s="10"/>
      <c r="T1411" s="10"/>
      <c r="U1411" s="10"/>
      <c r="V1411" s="10"/>
      <c r="W1411" s="10"/>
      <c r="X1411" s="10"/>
      <c r="Y1411" s="10"/>
    </row>
    <row r="1412" spans="1:25" x14ac:dyDescent="0.25">
      <c r="A1412" s="9">
        <v>41950</v>
      </c>
      <c r="B1412" s="10">
        <f ca="1">ROUND(_xlfn.NORM.INV(RAND(),Reference!$C$8,0.1*Reference!$C$8)*(1+Reference!$C$11*(IF(MONTH($A1412)=Reference!$C$4,1,0)+IF(MONTH($A1412)=Reference!$C$5,1,0))+(IF(MONTH($A1412)=Reference!$C$6,Reference!$C$13,0))),0)</f>
        <v>328</v>
      </c>
      <c r="C1412" s="11">
        <f ca="1">B1412*Reference!$C$7*(1-IF(MONTH($A1412)=Reference!$C$6,1,0)*Reference!$C$12)</f>
        <v>305040</v>
      </c>
      <c r="D1412" s="10">
        <f ca="1">ROUND(_xlfn.NORM.INV(RAND(),Reference!$D$8,0.1*Reference!$D$8)*(1+Reference!$D$11*(IF(MONTH($A1412)=Reference!$D$4,1,0)+IF(MONTH($A1412)=Reference!$D$5,1,0))+(IF(MONTH($A1412)=Reference!$D$6,Reference!$D$13,0))),0)</f>
        <v>505</v>
      </c>
      <c r="E1412" s="11">
        <f ca="1">D1412*Reference!$D$7*(1-IF(MONTH($A1412)=Reference!$D$6,1,0)*Reference!$D$12)</f>
        <v>378750</v>
      </c>
      <c r="M1412" s="20"/>
      <c r="N1412" s="20"/>
      <c r="O1412" s="19"/>
      <c r="P1412" s="10"/>
      <c r="Q1412" s="10"/>
      <c r="R1412" s="10"/>
      <c r="S1412" s="10"/>
      <c r="T1412" s="10"/>
      <c r="U1412" s="10"/>
      <c r="V1412" s="10"/>
      <c r="W1412" s="10"/>
      <c r="X1412" s="10"/>
      <c r="Y1412" s="10"/>
    </row>
    <row r="1413" spans="1:25" x14ac:dyDescent="0.25">
      <c r="A1413" s="9">
        <v>41951</v>
      </c>
      <c r="B1413" s="10">
        <f ca="1">ROUND(_xlfn.NORM.INV(RAND(),Reference!$C$8,0.1*Reference!$C$8)*(1+Reference!$C$11*(IF(MONTH($A1413)=Reference!$C$4,1,0)+IF(MONTH($A1413)=Reference!$C$5,1,0))+(IF(MONTH($A1413)=Reference!$C$6,Reference!$C$13,0))),0)</f>
        <v>349</v>
      </c>
      <c r="C1413" s="11">
        <f ca="1">B1413*Reference!$C$7*(1-IF(MONTH($A1413)=Reference!$C$6,1,0)*Reference!$C$12)</f>
        <v>324570</v>
      </c>
      <c r="D1413" s="10">
        <f ca="1">ROUND(_xlfn.NORM.INV(RAND(),Reference!$D$8,0.1*Reference!$D$8)*(1+Reference!$D$11*(IF(MONTH($A1413)=Reference!$D$4,1,0)+IF(MONTH($A1413)=Reference!$D$5,1,0))+(IF(MONTH($A1413)=Reference!$D$6,Reference!$D$13,0))),0)</f>
        <v>425</v>
      </c>
      <c r="E1413" s="11">
        <f ca="1">D1413*Reference!$D$7*(1-IF(MONTH($A1413)=Reference!$D$6,1,0)*Reference!$D$12)</f>
        <v>318750</v>
      </c>
      <c r="M1413" s="20"/>
      <c r="N1413" s="20"/>
      <c r="O1413" s="19"/>
      <c r="P1413" s="10"/>
      <c r="Q1413" s="10"/>
      <c r="R1413" s="10"/>
      <c r="S1413" s="10"/>
      <c r="T1413" s="10"/>
      <c r="U1413" s="10"/>
      <c r="V1413" s="10"/>
      <c r="W1413" s="10"/>
      <c r="X1413" s="10"/>
      <c r="Y1413" s="10"/>
    </row>
    <row r="1414" spans="1:25" x14ac:dyDescent="0.25">
      <c r="A1414" s="9">
        <v>41952</v>
      </c>
      <c r="B1414" s="10">
        <f ca="1">ROUND(_xlfn.NORM.INV(RAND(),Reference!$C$8,0.1*Reference!$C$8)*(1+Reference!$C$11*(IF(MONTH($A1414)=Reference!$C$4,1,0)+IF(MONTH($A1414)=Reference!$C$5,1,0))+(IF(MONTH($A1414)=Reference!$C$6,Reference!$C$13,0))),0)</f>
        <v>408</v>
      </c>
      <c r="C1414" s="11">
        <f ca="1">B1414*Reference!$C$7*(1-IF(MONTH($A1414)=Reference!$C$6,1,0)*Reference!$C$12)</f>
        <v>379440</v>
      </c>
      <c r="D1414" s="10">
        <f ca="1">ROUND(_xlfn.NORM.INV(RAND(),Reference!$D$8,0.1*Reference!$D$8)*(1+Reference!$D$11*(IF(MONTH($A1414)=Reference!$D$4,1,0)+IF(MONTH($A1414)=Reference!$D$5,1,0))+(IF(MONTH($A1414)=Reference!$D$6,Reference!$D$13,0))),0)</f>
        <v>331</v>
      </c>
      <c r="E1414" s="11">
        <f ca="1">D1414*Reference!$D$7*(1-IF(MONTH($A1414)=Reference!$D$6,1,0)*Reference!$D$12)</f>
        <v>248250</v>
      </c>
      <c r="M1414" s="20"/>
      <c r="N1414" s="20"/>
      <c r="O1414" s="19"/>
      <c r="P1414" s="10"/>
      <c r="Q1414" s="10"/>
      <c r="R1414" s="10"/>
      <c r="S1414" s="10"/>
      <c r="T1414" s="10"/>
      <c r="U1414" s="10"/>
      <c r="V1414" s="10"/>
      <c r="W1414" s="10"/>
      <c r="X1414" s="10"/>
      <c r="Y1414" s="10"/>
    </row>
    <row r="1415" spans="1:25" x14ac:dyDescent="0.25">
      <c r="A1415" s="9">
        <v>41953</v>
      </c>
      <c r="B1415" s="10">
        <f ca="1">ROUND(_xlfn.NORM.INV(RAND(),Reference!$C$8,0.1*Reference!$C$8)*(1+Reference!$C$11*(IF(MONTH($A1415)=Reference!$C$4,1,0)+IF(MONTH($A1415)=Reference!$C$5,1,0))+(IF(MONTH($A1415)=Reference!$C$6,Reference!$C$13,0))),0)</f>
        <v>365</v>
      </c>
      <c r="C1415" s="11">
        <f ca="1">B1415*Reference!$C$7*(1-IF(MONTH($A1415)=Reference!$C$6,1,0)*Reference!$C$12)</f>
        <v>339450</v>
      </c>
      <c r="D1415" s="10">
        <f ca="1">ROUND(_xlfn.NORM.INV(RAND(),Reference!$D$8,0.1*Reference!$D$8)*(1+Reference!$D$11*(IF(MONTH($A1415)=Reference!$D$4,1,0)+IF(MONTH($A1415)=Reference!$D$5,1,0))+(IF(MONTH($A1415)=Reference!$D$6,Reference!$D$13,0))),0)</f>
        <v>464</v>
      </c>
      <c r="E1415" s="11">
        <f ca="1">D1415*Reference!$D$7*(1-IF(MONTH($A1415)=Reference!$D$6,1,0)*Reference!$D$12)</f>
        <v>348000</v>
      </c>
      <c r="M1415" s="20"/>
      <c r="N1415" s="20"/>
      <c r="O1415" s="19"/>
      <c r="P1415" s="10"/>
      <c r="Q1415" s="10"/>
      <c r="R1415" s="10"/>
      <c r="S1415" s="10"/>
      <c r="T1415" s="10"/>
      <c r="U1415" s="10"/>
      <c r="V1415" s="10"/>
      <c r="W1415" s="10"/>
      <c r="X1415" s="10"/>
      <c r="Y1415" s="10"/>
    </row>
    <row r="1416" spans="1:25" x14ac:dyDescent="0.25">
      <c r="A1416" s="9">
        <v>41954</v>
      </c>
      <c r="B1416" s="10">
        <f ca="1">ROUND(_xlfn.NORM.INV(RAND(),Reference!$C$8,0.1*Reference!$C$8)*(1+Reference!$C$11*(IF(MONTH($A1416)=Reference!$C$4,1,0)+IF(MONTH($A1416)=Reference!$C$5,1,0))+(IF(MONTH($A1416)=Reference!$C$6,Reference!$C$13,0))),0)</f>
        <v>345</v>
      </c>
      <c r="C1416" s="11">
        <f ca="1">B1416*Reference!$C$7*(1-IF(MONTH($A1416)=Reference!$C$6,1,0)*Reference!$C$12)</f>
        <v>320850</v>
      </c>
      <c r="D1416" s="10">
        <f ca="1">ROUND(_xlfn.NORM.INV(RAND(),Reference!$D$8,0.1*Reference!$D$8)*(1+Reference!$D$11*(IF(MONTH($A1416)=Reference!$D$4,1,0)+IF(MONTH($A1416)=Reference!$D$5,1,0))+(IF(MONTH($A1416)=Reference!$D$6,Reference!$D$13,0))),0)</f>
        <v>410</v>
      </c>
      <c r="E1416" s="11">
        <f ca="1">D1416*Reference!$D$7*(1-IF(MONTH($A1416)=Reference!$D$6,1,0)*Reference!$D$12)</f>
        <v>307500</v>
      </c>
      <c r="M1416" s="20"/>
      <c r="N1416" s="20"/>
      <c r="O1416" s="19"/>
      <c r="P1416" s="10"/>
      <c r="Q1416" s="10"/>
      <c r="R1416" s="10"/>
      <c r="S1416" s="10"/>
      <c r="T1416" s="10"/>
      <c r="U1416" s="10"/>
      <c r="V1416" s="10"/>
      <c r="W1416" s="10"/>
      <c r="X1416" s="10"/>
      <c r="Y1416" s="10"/>
    </row>
    <row r="1417" spans="1:25" x14ac:dyDescent="0.25">
      <c r="A1417" s="9">
        <v>41955</v>
      </c>
      <c r="B1417" s="10">
        <f ca="1">ROUND(_xlfn.NORM.INV(RAND(),Reference!$C$8,0.1*Reference!$C$8)*(1+Reference!$C$11*(IF(MONTH($A1417)=Reference!$C$4,1,0)+IF(MONTH($A1417)=Reference!$C$5,1,0))+(IF(MONTH($A1417)=Reference!$C$6,Reference!$C$13,0))),0)</f>
        <v>334</v>
      </c>
      <c r="C1417" s="11">
        <f ca="1">B1417*Reference!$C$7*(1-IF(MONTH($A1417)=Reference!$C$6,1,0)*Reference!$C$12)</f>
        <v>310620</v>
      </c>
      <c r="D1417" s="10">
        <f ca="1">ROUND(_xlfn.NORM.INV(RAND(),Reference!$D$8,0.1*Reference!$D$8)*(1+Reference!$D$11*(IF(MONTH($A1417)=Reference!$D$4,1,0)+IF(MONTH($A1417)=Reference!$D$5,1,0))+(IF(MONTH($A1417)=Reference!$D$6,Reference!$D$13,0))),0)</f>
        <v>428</v>
      </c>
      <c r="E1417" s="11">
        <f ca="1">D1417*Reference!$D$7*(1-IF(MONTH($A1417)=Reference!$D$6,1,0)*Reference!$D$12)</f>
        <v>321000</v>
      </c>
      <c r="M1417" s="20"/>
      <c r="N1417" s="20"/>
      <c r="O1417" s="19"/>
      <c r="P1417" s="10"/>
      <c r="Q1417" s="10"/>
      <c r="R1417" s="10"/>
      <c r="S1417" s="10"/>
      <c r="T1417" s="10"/>
      <c r="U1417" s="10"/>
      <c r="V1417" s="10"/>
      <c r="W1417" s="10"/>
      <c r="X1417" s="10"/>
      <c r="Y1417" s="10"/>
    </row>
    <row r="1418" spans="1:25" x14ac:dyDescent="0.25">
      <c r="A1418" s="9">
        <v>41956</v>
      </c>
      <c r="B1418" s="10">
        <f ca="1">ROUND(_xlfn.NORM.INV(RAND(),Reference!$C$8,0.1*Reference!$C$8)*(1+Reference!$C$11*(IF(MONTH($A1418)=Reference!$C$4,1,0)+IF(MONTH($A1418)=Reference!$C$5,1,0))+(IF(MONTH($A1418)=Reference!$C$6,Reference!$C$13,0))),0)</f>
        <v>306</v>
      </c>
      <c r="C1418" s="11">
        <f ca="1">B1418*Reference!$C$7*(1-IF(MONTH($A1418)=Reference!$C$6,1,0)*Reference!$C$12)</f>
        <v>284580</v>
      </c>
      <c r="D1418" s="10">
        <f ca="1">ROUND(_xlfn.NORM.INV(RAND(),Reference!$D$8,0.1*Reference!$D$8)*(1+Reference!$D$11*(IF(MONTH($A1418)=Reference!$D$4,1,0)+IF(MONTH($A1418)=Reference!$D$5,1,0))+(IF(MONTH($A1418)=Reference!$D$6,Reference!$D$13,0))),0)</f>
        <v>490</v>
      </c>
      <c r="E1418" s="11">
        <f ca="1">D1418*Reference!$D$7*(1-IF(MONTH($A1418)=Reference!$D$6,1,0)*Reference!$D$12)</f>
        <v>367500</v>
      </c>
      <c r="M1418" s="20"/>
      <c r="N1418" s="20"/>
      <c r="O1418" s="19"/>
      <c r="P1418" s="10"/>
      <c r="Q1418" s="10"/>
      <c r="R1418" s="10"/>
      <c r="S1418" s="10"/>
      <c r="T1418" s="10"/>
      <c r="U1418" s="10"/>
      <c r="V1418" s="10"/>
      <c r="W1418" s="10"/>
      <c r="X1418" s="10"/>
      <c r="Y1418" s="10"/>
    </row>
    <row r="1419" spans="1:25" x14ac:dyDescent="0.25">
      <c r="A1419" s="9">
        <v>41957</v>
      </c>
      <c r="B1419" s="10">
        <f ca="1">ROUND(_xlfn.NORM.INV(RAND(),Reference!$C$8,0.1*Reference!$C$8)*(1+Reference!$C$11*(IF(MONTH($A1419)=Reference!$C$4,1,0)+IF(MONTH($A1419)=Reference!$C$5,1,0))+(IF(MONTH($A1419)=Reference!$C$6,Reference!$C$13,0))),0)</f>
        <v>356</v>
      </c>
      <c r="C1419" s="11">
        <f ca="1">B1419*Reference!$C$7*(1-IF(MONTH($A1419)=Reference!$C$6,1,0)*Reference!$C$12)</f>
        <v>331080</v>
      </c>
      <c r="D1419" s="10">
        <f ca="1">ROUND(_xlfn.NORM.INV(RAND(),Reference!$D$8,0.1*Reference!$D$8)*(1+Reference!$D$11*(IF(MONTH($A1419)=Reference!$D$4,1,0)+IF(MONTH($A1419)=Reference!$D$5,1,0))+(IF(MONTH($A1419)=Reference!$D$6,Reference!$D$13,0))),0)</f>
        <v>481</v>
      </c>
      <c r="E1419" s="11">
        <f ca="1">D1419*Reference!$D$7*(1-IF(MONTH($A1419)=Reference!$D$6,1,0)*Reference!$D$12)</f>
        <v>360750</v>
      </c>
      <c r="M1419" s="20"/>
      <c r="N1419" s="20"/>
      <c r="O1419" s="19"/>
      <c r="P1419" s="10"/>
      <c r="Q1419" s="10"/>
      <c r="R1419" s="10"/>
      <c r="S1419" s="10"/>
      <c r="T1419" s="10"/>
      <c r="U1419" s="10"/>
      <c r="V1419" s="10"/>
      <c r="W1419" s="10"/>
      <c r="X1419" s="10"/>
      <c r="Y1419" s="10"/>
    </row>
    <row r="1420" spans="1:25" x14ac:dyDescent="0.25">
      <c r="A1420" s="9">
        <v>41958</v>
      </c>
      <c r="B1420" s="10">
        <f ca="1">ROUND(_xlfn.NORM.INV(RAND(),Reference!$C$8,0.1*Reference!$C$8)*(1+Reference!$C$11*(IF(MONTH($A1420)=Reference!$C$4,1,0)+IF(MONTH($A1420)=Reference!$C$5,1,0))+(IF(MONTH($A1420)=Reference!$C$6,Reference!$C$13,0))),0)</f>
        <v>283</v>
      </c>
      <c r="C1420" s="11">
        <f ca="1">B1420*Reference!$C$7*(1-IF(MONTH($A1420)=Reference!$C$6,1,0)*Reference!$C$12)</f>
        <v>263190</v>
      </c>
      <c r="D1420" s="10">
        <f ca="1">ROUND(_xlfn.NORM.INV(RAND(),Reference!$D$8,0.1*Reference!$D$8)*(1+Reference!$D$11*(IF(MONTH($A1420)=Reference!$D$4,1,0)+IF(MONTH($A1420)=Reference!$D$5,1,0))+(IF(MONTH($A1420)=Reference!$D$6,Reference!$D$13,0))),0)</f>
        <v>520</v>
      </c>
      <c r="E1420" s="11">
        <f ca="1">D1420*Reference!$D$7*(1-IF(MONTH($A1420)=Reference!$D$6,1,0)*Reference!$D$12)</f>
        <v>390000</v>
      </c>
      <c r="M1420" s="20"/>
      <c r="N1420" s="20"/>
      <c r="O1420" s="19"/>
      <c r="P1420" s="10"/>
      <c r="Q1420" s="10"/>
      <c r="R1420" s="10"/>
      <c r="S1420" s="10"/>
      <c r="T1420" s="10"/>
      <c r="U1420" s="10"/>
      <c r="V1420" s="10"/>
      <c r="W1420" s="10"/>
      <c r="X1420" s="10"/>
      <c r="Y1420" s="10"/>
    </row>
    <row r="1421" spans="1:25" x14ac:dyDescent="0.25">
      <c r="A1421" s="9">
        <v>41959</v>
      </c>
      <c r="B1421" s="10">
        <f ca="1">ROUND(_xlfn.NORM.INV(RAND(),Reference!$C$8,0.1*Reference!$C$8)*(1+Reference!$C$11*(IF(MONTH($A1421)=Reference!$C$4,1,0)+IF(MONTH($A1421)=Reference!$C$5,1,0))+(IF(MONTH($A1421)=Reference!$C$6,Reference!$C$13,0))),0)</f>
        <v>318</v>
      </c>
      <c r="C1421" s="11">
        <f ca="1">B1421*Reference!$C$7*(1-IF(MONTH($A1421)=Reference!$C$6,1,0)*Reference!$C$12)</f>
        <v>295740</v>
      </c>
      <c r="D1421" s="10">
        <f ca="1">ROUND(_xlfn.NORM.INV(RAND(),Reference!$D$8,0.1*Reference!$D$8)*(1+Reference!$D$11*(IF(MONTH($A1421)=Reference!$D$4,1,0)+IF(MONTH($A1421)=Reference!$D$5,1,0))+(IF(MONTH($A1421)=Reference!$D$6,Reference!$D$13,0))),0)</f>
        <v>373</v>
      </c>
      <c r="E1421" s="11">
        <f ca="1">D1421*Reference!$D$7*(1-IF(MONTH($A1421)=Reference!$D$6,1,0)*Reference!$D$12)</f>
        <v>279750</v>
      </c>
      <c r="M1421" s="20"/>
      <c r="N1421" s="20"/>
      <c r="O1421" s="19"/>
      <c r="P1421" s="10"/>
      <c r="Q1421" s="10"/>
      <c r="R1421" s="10"/>
      <c r="S1421" s="10"/>
      <c r="T1421" s="10"/>
      <c r="U1421" s="10"/>
      <c r="V1421" s="10"/>
      <c r="W1421" s="10"/>
      <c r="X1421" s="10"/>
      <c r="Y1421" s="10"/>
    </row>
    <row r="1422" spans="1:25" x14ac:dyDescent="0.25">
      <c r="A1422" s="9">
        <v>41960</v>
      </c>
      <c r="B1422" s="10">
        <f ca="1">ROUND(_xlfn.NORM.INV(RAND(),Reference!$C$8,0.1*Reference!$C$8)*(1+Reference!$C$11*(IF(MONTH($A1422)=Reference!$C$4,1,0)+IF(MONTH($A1422)=Reference!$C$5,1,0))+(IF(MONTH($A1422)=Reference!$C$6,Reference!$C$13,0))),0)</f>
        <v>334</v>
      </c>
      <c r="C1422" s="11">
        <f ca="1">B1422*Reference!$C$7*(1-IF(MONTH($A1422)=Reference!$C$6,1,0)*Reference!$C$12)</f>
        <v>310620</v>
      </c>
      <c r="D1422" s="10">
        <f ca="1">ROUND(_xlfn.NORM.INV(RAND(),Reference!$D$8,0.1*Reference!$D$8)*(1+Reference!$D$11*(IF(MONTH($A1422)=Reference!$D$4,1,0)+IF(MONTH($A1422)=Reference!$D$5,1,0))+(IF(MONTH($A1422)=Reference!$D$6,Reference!$D$13,0))),0)</f>
        <v>502</v>
      </c>
      <c r="E1422" s="11">
        <f ca="1">D1422*Reference!$D$7*(1-IF(MONTH($A1422)=Reference!$D$6,1,0)*Reference!$D$12)</f>
        <v>376500</v>
      </c>
      <c r="M1422" s="20"/>
      <c r="N1422" s="20"/>
      <c r="O1422" s="19"/>
      <c r="P1422" s="10"/>
      <c r="Q1422" s="10"/>
      <c r="R1422" s="10"/>
      <c r="S1422" s="10"/>
      <c r="T1422" s="10"/>
      <c r="U1422" s="10"/>
      <c r="V1422" s="10"/>
      <c r="W1422" s="10"/>
      <c r="X1422" s="10"/>
      <c r="Y1422" s="10"/>
    </row>
    <row r="1423" spans="1:25" x14ac:dyDescent="0.25">
      <c r="A1423" s="9">
        <v>41961</v>
      </c>
      <c r="B1423" s="10">
        <f ca="1">ROUND(_xlfn.NORM.INV(RAND(),Reference!$C$8,0.1*Reference!$C$8)*(1+Reference!$C$11*(IF(MONTH($A1423)=Reference!$C$4,1,0)+IF(MONTH($A1423)=Reference!$C$5,1,0))+(IF(MONTH($A1423)=Reference!$C$6,Reference!$C$13,0))),0)</f>
        <v>346</v>
      </c>
      <c r="C1423" s="11">
        <f ca="1">B1423*Reference!$C$7*(1-IF(MONTH($A1423)=Reference!$C$6,1,0)*Reference!$C$12)</f>
        <v>321780</v>
      </c>
      <c r="D1423" s="10">
        <f ca="1">ROUND(_xlfn.NORM.INV(RAND(),Reference!$D$8,0.1*Reference!$D$8)*(1+Reference!$D$11*(IF(MONTH($A1423)=Reference!$D$4,1,0)+IF(MONTH($A1423)=Reference!$D$5,1,0))+(IF(MONTH($A1423)=Reference!$D$6,Reference!$D$13,0))),0)</f>
        <v>525</v>
      </c>
      <c r="E1423" s="11">
        <f ca="1">D1423*Reference!$D$7*(1-IF(MONTH($A1423)=Reference!$D$6,1,0)*Reference!$D$12)</f>
        <v>393750</v>
      </c>
      <c r="M1423" s="20"/>
      <c r="N1423" s="20"/>
      <c r="O1423" s="19"/>
      <c r="P1423" s="10"/>
      <c r="Q1423" s="10"/>
      <c r="R1423" s="10"/>
      <c r="S1423" s="10"/>
      <c r="T1423" s="10"/>
      <c r="U1423" s="10"/>
      <c r="V1423" s="10"/>
      <c r="W1423" s="10"/>
      <c r="X1423" s="10"/>
      <c r="Y1423" s="10"/>
    </row>
    <row r="1424" spans="1:25" x14ac:dyDescent="0.25">
      <c r="A1424" s="9">
        <v>41962</v>
      </c>
      <c r="B1424" s="10">
        <f ca="1">ROUND(_xlfn.NORM.INV(RAND(),Reference!$C$8,0.1*Reference!$C$8)*(1+Reference!$C$11*(IF(MONTH($A1424)=Reference!$C$4,1,0)+IF(MONTH($A1424)=Reference!$C$5,1,0))+(IF(MONTH($A1424)=Reference!$C$6,Reference!$C$13,0))),0)</f>
        <v>310</v>
      </c>
      <c r="C1424" s="11">
        <f ca="1">B1424*Reference!$C$7*(1-IF(MONTH($A1424)=Reference!$C$6,1,0)*Reference!$C$12)</f>
        <v>288300</v>
      </c>
      <c r="D1424" s="10">
        <f ca="1">ROUND(_xlfn.NORM.INV(RAND(),Reference!$D$8,0.1*Reference!$D$8)*(1+Reference!$D$11*(IF(MONTH($A1424)=Reference!$D$4,1,0)+IF(MONTH($A1424)=Reference!$D$5,1,0))+(IF(MONTH($A1424)=Reference!$D$6,Reference!$D$13,0))),0)</f>
        <v>432</v>
      </c>
      <c r="E1424" s="11">
        <f ca="1">D1424*Reference!$D$7*(1-IF(MONTH($A1424)=Reference!$D$6,1,0)*Reference!$D$12)</f>
        <v>324000</v>
      </c>
      <c r="M1424" s="20"/>
      <c r="N1424" s="20"/>
      <c r="O1424" s="19"/>
      <c r="P1424" s="10"/>
      <c r="Q1424" s="10"/>
      <c r="R1424" s="10"/>
      <c r="S1424" s="10"/>
      <c r="T1424" s="10"/>
      <c r="U1424" s="10"/>
      <c r="V1424" s="10"/>
      <c r="W1424" s="10"/>
      <c r="X1424" s="10"/>
      <c r="Y1424" s="10"/>
    </row>
    <row r="1425" spans="1:25" x14ac:dyDescent="0.25">
      <c r="A1425" s="9">
        <v>41963</v>
      </c>
      <c r="B1425" s="10">
        <f ca="1">ROUND(_xlfn.NORM.INV(RAND(),Reference!$C$8,0.1*Reference!$C$8)*(1+Reference!$C$11*(IF(MONTH($A1425)=Reference!$C$4,1,0)+IF(MONTH($A1425)=Reference!$C$5,1,0))+(IF(MONTH($A1425)=Reference!$C$6,Reference!$C$13,0))),0)</f>
        <v>422</v>
      </c>
      <c r="C1425" s="11">
        <f ca="1">B1425*Reference!$C$7*(1-IF(MONTH($A1425)=Reference!$C$6,1,0)*Reference!$C$12)</f>
        <v>392460</v>
      </c>
      <c r="D1425" s="10">
        <f ca="1">ROUND(_xlfn.NORM.INV(RAND(),Reference!$D$8,0.1*Reference!$D$8)*(1+Reference!$D$11*(IF(MONTH($A1425)=Reference!$D$4,1,0)+IF(MONTH($A1425)=Reference!$D$5,1,0))+(IF(MONTH($A1425)=Reference!$D$6,Reference!$D$13,0))),0)</f>
        <v>492</v>
      </c>
      <c r="E1425" s="11">
        <f ca="1">D1425*Reference!$D$7*(1-IF(MONTH($A1425)=Reference!$D$6,1,0)*Reference!$D$12)</f>
        <v>369000</v>
      </c>
      <c r="M1425" s="20"/>
      <c r="N1425" s="20"/>
      <c r="O1425" s="19"/>
      <c r="P1425" s="10"/>
      <c r="Q1425" s="10"/>
      <c r="R1425" s="10"/>
      <c r="S1425" s="10"/>
      <c r="T1425" s="10"/>
      <c r="U1425" s="10"/>
      <c r="V1425" s="10"/>
      <c r="W1425" s="10"/>
      <c r="X1425" s="10"/>
      <c r="Y1425" s="10"/>
    </row>
    <row r="1426" spans="1:25" x14ac:dyDescent="0.25">
      <c r="A1426" s="9">
        <v>41964</v>
      </c>
      <c r="B1426" s="10">
        <f ca="1">ROUND(_xlfn.NORM.INV(RAND(),Reference!$C$8,0.1*Reference!$C$8)*(1+Reference!$C$11*(IF(MONTH($A1426)=Reference!$C$4,1,0)+IF(MONTH($A1426)=Reference!$C$5,1,0))+(IF(MONTH($A1426)=Reference!$C$6,Reference!$C$13,0))),0)</f>
        <v>284</v>
      </c>
      <c r="C1426" s="11">
        <f ca="1">B1426*Reference!$C$7*(1-IF(MONTH($A1426)=Reference!$C$6,1,0)*Reference!$C$12)</f>
        <v>264120</v>
      </c>
      <c r="D1426" s="10">
        <f ca="1">ROUND(_xlfn.NORM.INV(RAND(),Reference!$D$8,0.1*Reference!$D$8)*(1+Reference!$D$11*(IF(MONTH($A1426)=Reference!$D$4,1,0)+IF(MONTH($A1426)=Reference!$D$5,1,0))+(IF(MONTH($A1426)=Reference!$D$6,Reference!$D$13,0))),0)</f>
        <v>488</v>
      </c>
      <c r="E1426" s="11">
        <f ca="1">D1426*Reference!$D$7*(1-IF(MONTH($A1426)=Reference!$D$6,1,0)*Reference!$D$12)</f>
        <v>366000</v>
      </c>
      <c r="M1426" s="20"/>
      <c r="N1426" s="20"/>
      <c r="O1426" s="19"/>
      <c r="P1426" s="10"/>
      <c r="Q1426" s="10"/>
      <c r="R1426" s="10"/>
      <c r="S1426" s="10"/>
      <c r="T1426" s="10"/>
      <c r="U1426" s="10"/>
      <c r="V1426" s="10"/>
      <c r="W1426" s="10"/>
      <c r="X1426" s="10"/>
      <c r="Y1426" s="10"/>
    </row>
    <row r="1427" spans="1:25" x14ac:dyDescent="0.25">
      <c r="A1427" s="9">
        <v>41965</v>
      </c>
      <c r="B1427" s="10">
        <f ca="1">ROUND(_xlfn.NORM.INV(RAND(),Reference!$C$8,0.1*Reference!$C$8)*(1+Reference!$C$11*(IF(MONTH($A1427)=Reference!$C$4,1,0)+IF(MONTH($A1427)=Reference!$C$5,1,0))+(IF(MONTH($A1427)=Reference!$C$6,Reference!$C$13,0))),0)</f>
        <v>359</v>
      </c>
      <c r="C1427" s="11">
        <f ca="1">B1427*Reference!$C$7*(1-IF(MONTH($A1427)=Reference!$C$6,1,0)*Reference!$C$12)</f>
        <v>333870</v>
      </c>
      <c r="D1427" s="10">
        <f ca="1">ROUND(_xlfn.NORM.INV(RAND(),Reference!$D$8,0.1*Reference!$D$8)*(1+Reference!$D$11*(IF(MONTH($A1427)=Reference!$D$4,1,0)+IF(MONTH($A1427)=Reference!$D$5,1,0))+(IF(MONTH($A1427)=Reference!$D$6,Reference!$D$13,0))),0)</f>
        <v>440</v>
      </c>
      <c r="E1427" s="11">
        <f ca="1">D1427*Reference!$D$7*(1-IF(MONTH($A1427)=Reference!$D$6,1,0)*Reference!$D$12)</f>
        <v>330000</v>
      </c>
      <c r="M1427" s="20"/>
      <c r="N1427" s="20"/>
      <c r="O1427" s="19"/>
      <c r="P1427" s="10"/>
      <c r="Q1427" s="10"/>
      <c r="R1427" s="10"/>
      <c r="S1427" s="10"/>
      <c r="T1427" s="10"/>
      <c r="U1427" s="10"/>
      <c r="V1427" s="10"/>
      <c r="W1427" s="10"/>
      <c r="X1427" s="10"/>
      <c r="Y1427" s="10"/>
    </row>
    <row r="1428" spans="1:25" x14ac:dyDescent="0.25">
      <c r="A1428" s="9">
        <v>41966</v>
      </c>
      <c r="B1428" s="10">
        <f ca="1">ROUND(_xlfn.NORM.INV(RAND(),Reference!$C$8,0.1*Reference!$C$8)*(1+Reference!$C$11*(IF(MONTH($A1428)=Reference!$C$4,1,0)+IF(MONTH($A1428)=Reference!$C$5,1,0))+(IF(MONTH($A1428)=Reference!$C$6,Reference!$C$13,0))),0)</f>
        <v>323</v>
      </c>
      <c r="C1428" s="11">
        <f ca="1">B1428*Reference!$C$7*(1-IF(MONTH($A1428)=Reference!$C$6,1,0)*Reference!$C$12)</f>
        <v>300390</v>
      </c>
      <c r="D1428" s="10">
        <f ca="1">ROUND(_xlfn.NORM.INV(RAND(),Reference!$D$8,0.1*Reference!$D$8)*(1+Reference!$D$11*(IF(MONTH($A1428)=Reference!$D$4,1,0)+IF(MONTH($A1428)=Reference!$D$5,1,0))+(IF(MONTH($A1428)=Reference!$D$6,Reference!$D$13,0))),0)</f>
        <v>508</v>
      </c>
      <c r="E1428" s="11">
        <f ca="1">D1428*Reference!$D$7*(1-IF(MONTH($A1428)=Reference!$D$6,1,0)*Reference!$D$12)</f>
        <v>381000</v>
      </c>
      <c r="M1428" s="20"/>
      <c r="N1428" s="20"/>
      <c r="O1428" s="19"/>
      <c r="P1428" s="10"/>
      <c r="Q1428" s="10"/>
      <c r="R1428" s="10"/>
      <c r="S1428" s="10"/>
      <c r="T1428" s="10"/>
      <c r="U1428" s="10"/>
      <c r="V1428" s="10"/>
      <c r="W1428" s="10"/>
      <c r="X1428" s="10"/>
      <c r="Y1428" s="10"/>
    </row>
    <row r="1429" spans="1:25" x14ac:dyDescent="0.25">
      <c r="A1429" s="9">
        <v>41967</v>
      </c>
      <c r="B1429" s="10">
        <f ca="1">ROUND(_xlfn.NORM.INV(RAND(),Reference!$C$8,0.1*Reference!$C$8)*(1+Reference!$C$11*(IF(MONTH($A1429)=Reference!$C$4,1,0)+IF(MONTH($A1429)=Reference!$C$5,1,0))+(IF(MONTH($A1429)=Reference!$C$6,Reference!$C$13,0))),0)</f>
        <v>323</v>
      </c>
      <c r="C1429" s="11">
        <f ca="1">B1429*Reference!$C$7*(1-IF(MONTH($A1429)=Reference!$C$6,1,0)*Reference!$C$12)</f>
        <v>300390</v>
      </c>
      <c r="D1429" s="10">
        <f ca="1">ROUND(_xlfn.NORM.INV(RAND(),Reference!$D$8,0.1*Reference!$D$8)*(1+Reference!$D$11*(IF(MONTH($A1429)=Reference!$D$4,1,0)+IF(MONTH($A1429)=Reference!$D$5,1,0))+(IF(MONTH($A1429)=Reference!$D$6,Reference!$D$13,0))),0)</f>
        <v>425</v>
      </c>
      <c r="E1429" s="11">
        <f ca="1">D1429*Reference!$D$7*(1-IF(MONTH($A1429)=Reference!$D$6,1,0)*Reference!$D$12)</f>
        <v>318750</v>
      </c>
      <c r="M1429" s="20"/>
      <c r="N1429" s="20"/>
      <c r="O1429" s="19"/>
      <c r="P1429" s="10"/>
      <c r="Q1429" s="10"/>
      <c r="R1429" s="10"/>
      <c r="S1429" s="10"/>
      <c r="T1429" s="10"/>
      <c r="U1429" s="10"/>
      <c r="V1429" s="10"/>
      <c r="W1429" s="10"/>
      <c r="X1429" s="10"/>
      <c r="Y1429" s="10"/>
    </row>
    <row r="1430" spans="1:25" x14ac:dyDescent="0.25">
      <c r="A1430" s="9">
        <v>41968</v>
      </c>
      <c r="B1430" s="10">
        <f ca="1">ROUND(_xlfn.NORM.INV(RAND(),Reference!$C$8,0.1*Reference!$C$8)*(1+Reference!$C$11*(IF(MONTH($A1430)=Reference!$C$4,1,0)+IF(MONTH($A1430)=Reference!$C$5,1,0))+(IF(MONTH($A1430)=Reference!$C$6,Reference!$C$13,0))),0)</f>
        <v>409</v>
      </c>
      <c r="C1430" s="11">
        <f ca="1">B1430*Reference!$C$7*(1-IF(MONTH($A1430)=Reference!$C$6,1,0)*Reference!$C$12)</f>
        <v>380370</v>
      </c>
      <c r="D1430" s="10">
        <f ca="1">ROUND(_xlfn.NORM.INV(RAND(),Reference!$D$8,0.1*Reference!$D$8)*(1+Reference!$D$11*(IF(MONTH($A1430)=Reference!$D$4,1,0)+IF(MONTH($A1430)=Reference!$D$5,1,0))+(IF(MONTH($A1430)=Reference!$D$6,Reference!$D$13,0))),0)</f>
        <v>498</v>
      </c>
      <c r="E1430" s="11">
        <f ca="1">D1430*Reference!$D$7*(1-IF(MONTH($A1430)=Reference!$D$6,1,0)*Reference!$D$12)</f>
        <v>373500</v>
      </c>
      <c r="M1430" s="20"/>
      <c r="N1430" s="20"/>
      <c r="O1430" s="19"/>
      <c r="P1430" s="10"/>
      <c r="Q1430" s="10"/>
      <c r="R1430" s="10"/>
      <c r="S1430" s="10"/>
      <c r="T1430" s="10"/>
      <c r="U1430" s="10"/>
      <c r="V1430" s="10"/>
      <c r="W1430" s="10"/>
      <c r="X1430" s="10"/>
      <c r="Y1430" s="10"/>
    </row>
    <row r="1431" spans="1:25" x14ac:dyDescent="0.25">
      <c r="A1431" s="9">
        <v>41969</v>
      </c>
      <c r="B1431" s="10">
        <f ca="1">ROUND(_xlfn.NORM.INV(RAND(),Reference!$C$8,0.1*Reference!$C$8)*(1+Reference!$C$11*(IF(MONTH($A1431)=Reference!$C$4,1,0)+IF(MONTH($A1431)=Reference!$C$5,1,0))+(IF(MONTH($A1431)=Reference!$C$6,Reference!$C$13,0))),0)</f>
        <v>404</v>
      </c>
      <c r="C1431" s="11">
        <f ca="1">B1431*Reference!$C$7*(1-IF(MONTH($A1431)=Reference!$C$6,1,0)*Reference!$C$12)</f>
        <v>375720</v>
      </c>
      <c r="D1431" s="10">
        <f ca="1">ROUND(_xlfn.NORM.INV(RAND(),Reference!$D$8,0.1*Reference!$D$8)*(1+Reference!$D$11*(IF(MONTH($A1431)=Reference!$D$4,1,0)+IF(MONTH($A1431)=Reference!$D$5,1,0))+(IF(MONTH($A1431)=Reference!$D$6,Reference!$D$13,0))),0)</f>
        <v>407</v>
      </c>
      <c r="E1431" s="11">
        <f ca="1">D1431*Reference!$D$7*(1-IF(MONTH($A1431)=Reference!$D$6,1,0)*Reference!$D$12)</f>
        <v>305250</v>
      </c>
      <c r="M1431" s="20"/>
      <c r="N1431" s="20"/>
      <c r="O1431" s="19"/>
      <c r="P1431" s="10"/>
      <c r="Q1431" s="10"/>
      <c r="R1431" s="10"/>
      <c r="S1431" s="10"/>
      <c r="T1431" s="10"/>
      <c r="U1431" s="10"/>
      <c r="V1431" s="10"/>
      <c r="W1431" s="10"/>
      <c r="X1431" s="10"/>
      <c r="Y1431" s="10"/>
    </row>
    <row r="1432" spans="1:25" x14ac:dyDescent="0.25">
      <c r="A1432" s="9">
        <v>41970</v>
      </c>
      <c r="B1432" s="10">
        <f ca="1">ROUND(_xlfn.NORM.INV(RAND(),Reference!$C$8,0.1*Reference!$C$8)*(1+Reference!$C$11*(IF(MONTH($A1432)=Reference!$C$4,1,0)+IF(MONTH($A1432)=Reference!$C$5,1,0))+(IF(MONTH($A1432)=Reference!$C$6,Reference!$C$13,0))),0)</f>
        <v>378</v>
      </c>
      <c r="C1432" s="11">
        <f ca="1">B1432*Reference!$C$7*(1-IF(MONTH($A1432)=Reference!$C$6,1,0)*Reference!$C$12)</f>
        <v>351540</v>
      </c>
      <c r="D1432" s="10">
        <f ca="1">ROUND(_xlfn.NORM.INV(RAND(),Reference!$D$8,0.1*Reference!$D$8)*(1+Reference!$D$11*(IF(MONTH($A1432)=Reference!$D$4,1,0)+IF(MONTH($A1432)=Reference!$D$5,1,0))+(IF(MONTH($A1432)=Reference!$D$6,Reference!$D$13,0))),0)</f>
        <v>444</v>
      </c>
      <c r="E1432" s="11">
        <f ca="1">D1432*Reference!$D$7*(1-IF(MONTH($A1432)=Reference!$D$6,1,0)*Reference!$D$12)</f>
        <v>333000</v>
      </c>
      <c r="M1432" s="20"/>
      <c r="N1432" s="20"/>
      <c r="O1432" s="19"/>
      <c r="P1432" s="10"/>
      <c r="Q1432" s="10"/>
      <c r="R1432" s="10"/>
      <c r="S1432" s="10"/>
      <c r="T1432" s="10"/>
      <c r="U1432" s="10"/>
      <c r="V1432" s="10"/>
      <c r="W1432" s="10"/>
      <c r="X1432" s="10"/>
      <c r="Y1432" s="10"/>
    </row>
    <row r="1433" spans="1:25" x14ac:dyDescent="0.25">
      <c r="A1433" s="9">
        <v>41971</v>
      </c>
      <c r="B1433" s="10">
        <f ca="1">ROUND(_xlfn.NORM.INV(RAND(),Reference!$C$8,0.1*Reference!$C$8)*(1+Reference!$C$11*(IF(MONTH($A1433)=Reference!$C$4,1,0)+IF(MONTH($A1433)=Reference!$C$5,1,0))+(IF(MONTH($A1433)=Reference!$C$6,Reference!$C$13,0))),0)</f>
        <v>323</v>
      </c>
      <c r="C1433" s="11">
        <f ca="1">B1433*Reference!$C$7*(1-IF(MONTH($A1433)=Reference!$C$6,1,0)*Reference!$C$12)</f>
        <v>300390</v>
      </c>
      <c r="D1433" s="10">
        <f ca="1">ROUND(_xlfn.NORM.INV(RAND(),Reference!$D$8,0.1*Reference!$D$8)*(1+Reference!$D$11*(IF(MONTH($A1433)=Reference!$D$4,1,0)+IF(MONTH($A1433)=Reference!$D$5,1,0))+(IF(MONTH($A1433)=Reference!$D$6,Reference!$D$13,0))),0)</f>
        <v>416</v>
      </c>
      <c r="E1433" s="11">
        <f ca="1">D1433*Reference!$D$7*(1-IF(MONTH($A1433)=Reference!$D$6,1,0)*Reference!$D$12)</f>
        <v>312000</v>
      </c>
      <c r="M1433" s="20"/>
      <c r="N1433" s="20"/>
      <c r="O1433" s="19"/>
      <c r="P1433" s="10"/>
      <c r="Q1433" s="10"/>
      <c r="R1433" s="10"/>
      <c r="S1433" s="10"/>
      <c r="T1433" s="10"/>
      <c r="U1433" s="10"/>
      <c r="V1433" s="10"/>
      <c r="W1433" s="10"/>
      <c r="X1433" s="10"/>
      <c r="Y1433" s="10"/>
    </row>
    <row r="1434" spans="1:25" x14ac:dyDescent="0.25">
      <c r="A1434" s="9">
        <v>41972</v>
      </c>
      <c r="B1434" s="10">
        <f ca="1">ROUND(_xlfn.NORM.INV(RAND(),Reference!$C$8,0.1*Reference!$C$8)*(1+Reference!$C$11*(IF(MONTH($A1434)=Reference!$C$4,1,0)+IF(MONTH($A1434)=Reference!$C$5,1,0))+(IF(MONTH($A1434)=Reference!$C$6,Reference!$C$13,0))),0)</f>
        <v>414</v>
      </c>
      <c r="C1434" s="11">
        <f ca="1">B1434*Reference!$C$7*(1-IF(MONTH($A1434)=Reference!$C$6,1,0)*Reference!$C$12)</f>
        <v>385020</v>
      </c>
      <c r="D1434" s="10">
        <f ca="1">ROUND(_xlfn.NORM.INV(RAND(),Reference!$D$8,0.1*Reference!$D$8)*(1+Reference!$D$11*(IF(MONTH($A1434)=Reference!$D$4,1,0)+IF(MONTH($A1434)=Reference!$D$5,1,0))+(IF(MONTH($A1434)=Reference!$D$6,Reference!$D$13,0))),0)</f>
        <v>454</v>
      </c>
      <c r="E1434" s="11">
        <f ca="1">D1434*Reference!$D$7*(1-IF(MONTH($A1434)=Reference!$D$6,1,0)*Reference!$D$12)</f>
        <v>340500</v>
      </c>
      <c r="M1434" s="20"/>
      <c r="N1434" s="20"/>
      <c r="O1434" s="19"/>
      <c r="P1434" s="10"/>
      <c r="Q1434" s="10"/>
      <c r="R1434" s="10"/>
      <c r="S1434" s="10"/>
      <c r="T1434" s="10"/>
      <c r="U1434" s="10"/>
      <c r="V1434" s="10"/>
      <c r="W1434" s="10"/>
      <c r="X1434" s="10"/>
      <c r="Y1434" s="10"/>
    </row>
    <row r="1435" spans="1:25" x14ac:dyDescent="0.25">
      <c r="A1435" s="9">
        <v>41973</v>
      </c>
      <c r="B1435" s="10">
        <f ca="1">ROUND(_xlfn.NORM.INV(RAND(),Reference!$C$8,0.1*Reference!$C$8)*(1+Reference!$C$11*(IF(MONTH($A1435)=Reference!$C$4,1,0)+IF(MONTH($A1435)=Reference!$C$5,1,0))+(IF(MONTH($A1435)=Reference!$C$6,Reference!$C$13,0))),0)</f>
        <v>342</v>
      </c>
      <c r="C1435" s="11">
        <f ca="1">B1435*Reference!$C$7*(1-IF(MONTH($A1435)=Reference!$C$6,1,0)*Reference!$C$12)</f>
        <v>318060</v>
      </c>
      <c r="D1435" s="10">
        <f ca="1">ROUND(_xlfn.NORM.INV(RAND(),Reference!$D$8,0.1*Reference!$D$8)*(1+Reference!$D$11*(IF(MONTH($A1435)=Reference!$D$4,1,0)+IF(MONTH($A1435)=Reference!$D$5,1,0))+(IF(MONTH($A1435)=Reference!$D$6,Reference!$D$13,0))),0)</f>
        <v>480</v>
      </c>
      <c r="E1435" s="11">
        <f ca="1">D1435*Reference!$D$7*(1-IF(MONTH($A1435)=Reference!$D$6,1,0)*Reference!$D$12)</f>
        <v>360000</v>
      </c>
      <c r="M1435" s="20"/>
      <c r="N1435" s="20"/>
      <c r="O1435" s="19"/>
      <c r="P1435" s="10"/>
      <c r="Q1435" s="10"/>
      <c r="R1435" s="10"/>
      <c r="S1435" s="10"/>
      <c r="T1435" s="10"/>
      <c r="U1435" s="10"/>
      <c r="V1435" s="10"/>
      <c r="W1435" s="10"/>
      <c r="X1435" s="10"/>
      <c r="Y1435" s="10"/>
    </row>
    <row r="1436" spans="1:25" x14ac:dyDescent="0.25">
      <c r="A1436" s="9">
        <v>41974</v>
      </c>
      <c r="B1436" s="10">
        <f ca="1">ROUND(_xlfn.NORM.INV(RAND(),Reference!$C$8,0.1*Reference!$C$8)*(1+Reference!$C$11*(IF(MONTH($A1436)=Reference!$C$4,1,0)+IF(MONTH($A1436)=Reference!$C$5,1,0))+(IF(MONTH($A1436)=Reference!$C$6,Reference!$C$13,0))),0)</f>
        <v>340</v>
      </c>
      <c r="C1436" s="11">
        <f ca="1">B1436*Reference!$C$7*(1-IF(MONTH($A1436)=Reference!$C$6,1,0)*Reference!$C$12)</f>
        <v>316200</v>
      </c>
      <c r="D1436" s="10">
        <f ca="1">ROUND(_xlfn.NORM.INV(RAND(),Reference!$D$8,0.1*Reference!$D$8)*(1+Reference!$D$11*(IF(MONTH($A1436)=Reference!$D$4,1,0)+IF(MONTH($A1436)=Reference!$D$5,1,0))+(IF(MONTH($A1436)=Reference!$D$6,Reference!$D$13,0))),0)</f>
        <v>426</v>
      </c>
      <c r="E1436" s="11">
        <f ca="1">D1436*Reference!$D$7*(1-IF(MONTH($A1436)=Reference!$D$6,1,0)*Reference!$D$12)</f>
        <v>319500</v>
      </c>
      <c r="M1436" s="20"/>
      <c r="N1436" s="20"/>
      <c r="O1436" s="19"/>
      <c r="P1436" s="10"/>
      <c r="Q1436" s="10"/>
      <c r="R1436" s="10"/>
      <c r="S1436" s="10"/>
      <c r="T1436" s="10"/>
      <c r="U1436" s="10"/>
      <c r="V1436" s="10"/>
      <c r="W1436" s="10"/>
      <c r="X1436" s="10"/>
      <c r="Y1436" s="10"/>
    </row>
    <row r="1437" spans="1:25" x14ac:dyDescent="0.25">
      <c r="A1437" s="9">
        <v>41975</v>
      </c>
      <c r="B1437" s="10">
        <f ca="1">ROUND(_xlfn.NORM.INV(RAND(),Reference!$C$8,0.1*Reference!$C$8)*(1+Reference!$C$11*(IF(MONTH($A1437)=Reference!$C$4,1,0)+IF(MONTH($A1437)=Reference!$C$5,1,0))+(IF(MONTH($A1437)=Reference!$C$6,Reference!$C$13,0))),0)</f>
        <v>375</v>
      </c>
      <c r="C1437" s="11">
        <f ca="1">B1437*Reference!$C$7*(1-IF(MONTH($A1437)=Reference!$C$6,1,0)*Reference!$C$12)</f>
        <v>348750</v>
      </c>
      <c r="D1437" s="10">
        <f ca="1">ROUND(_xlfn.NORM.INV(RAND(),Reference!$D$8,0.1*Reference!$D$8)*(1+Reference!$D$11*(IF(MONTH($A1437)=Reference!$D$4,1,0)+IF(MONTH($A1437)=Reference!$D$5,1,0))+(IF(MONTH($A1437)=Reference!$D$6,Reference!$D$13,0))),0)</f>
        <v>470</v>
      </c>
      <c r="E1437" s="11">
        <f ca="1">D1437*Reference!$D$7*(1-IF(MONTH($A1437)=Reference!$D$6,1,0)*Reference!$D$12)</f>
        <v>352500</v>
      </c>
      <c r="M1437" s="20"/>
      <c r="N1437" s="20"/>
      <c r="O1437" s="19"/>
      <c r="P1437" s="10"/>
      <c r="Q1437" s="10"/>
      <c r="R1437" s="10"/>
      <c r="S1437" s="10"/>
      <c r="T1437" s="10"/>
      <c r="U1437" s="10"/>
      <c r="V1437" s="10"/>
      <c r="W1437" s="10"/>
      <c r="X1437" s="10"/>
      <c r="Y1437" s="10"/>
    </row>
    <row r="1438" spans="1:25" x14ac:dyDescent="0.25">
      <c r="A1438" s="9">
        <v>41976</v>
      </c>
      <c r="B1438" s="10">
        <f ca="1">ROUND(_xlfn.NORM.INV(RAND(),Reference!$C$8,0.1*Reference!$C$8)*(1+Reference!$C$11*(IF(MONTH($A1438)=Reference!$C$4,1,0)+IF(MONTH($A1438)=Reference!$C$5,1,0))+(IF(MONTH($A1438)=Reference!$C$6,Reference!$C$13,0))),0)</f>
        <v>425</v>
      </c>
      <c r="C1438" s="11">
        <f ca="1">B1438*Reference!$C$7*(1-IF(MONTH($A1438)=Reference!$C$6,1,0)*Reference!$C$12)</f>
        <v>395250</v>
      </c>
      <c r="D1438" s="10">
        <f ca="1">ROUND(_xlfn.NORM.INV(RAND(),Reference!$D$8,0.1*Reference!$D$8)*(1+Reference!$D$11*(IF(MONTH($A1438)=Reference!$D$4,1,0)+IF(MONTH($A1438)=Reference!$D$5,1,0))+(IF(MONTH($A1438)=Reference!$D$6,Reference!$D$13,0))),0)</f>
        <v>469</v>
      </c>
      <c r="E1438" s="11">
        <f ca="1">D1438*Reference!$D$7*(1-IF(MONTH($A1438)=Reference!$D$6,1,0)*Reference!$D$12)</f>
        <v>351750</v>
      </c>
      <c r="M1438" s="20"/>
      <c r="N1438" s="20"/>
      <c r="O1438" s="19"/>
      <c r="P1438" s="10"/>
      <c r="Q1438" s="10"/>
      <c r="R1438" s="10"/>
      <c r="S1438" s="10"/>
      <c r="T1438" s="10"/>
      <c r="U1438" s="10"/>
      <c r="V1438" s="10"/>
      <c r="W1438" s="10"/>
      <c r="X1438" s="10"/>
      <c r="Y1438" s="10"/>
    </row>
    <row r="1439" spans="1:25" x14ac:dyDescent="0.25">
      <c r="A1439" s="9">
        <v>41977</v>
      </c>
      <c r="B1439" s="10">
        <f ca="1">ROUND(_xlfn.NORM.INV(RAND(),Reference!$C$8,0.1*Reference!$C$8)*(1+Reference!$C$11*(IF(MONTH($A1439)=Reference!$C$4,1,0)+IF(MONTH($A1439)=Reference!$C$5,1,0))+(IF(MONTH($A1439)=Reference!$C$6,Reference!$C$13,0))),0)</f>
        <v>366</v>
      </c>
      <c r="C1439" s="11">
        <f ca="1">B1439*Reference!$C$7*(1-IF(MONTH($A1439)=Reference!$C$6,1,0)*Reference!$C$12)</f>
        <v>340380</v>
      </c>
      <c r="D1439" s="10">
        <f ca="1">ROUND(_xlfn.NORM.INV(RAND(),Reference!$D$8,0.1*Reference!$D$8)*(1+Reference!$D$11*(IF(MONTH($A1439)=Reference!$D$4,1,0)+IF(MONTH($A1439)=Reference!$D$5,1,0))+(IF(MONTH($A1439)=Reference!$D$6,Reference!$D$13,0))),0)</f>
        <v>461</v>
      </c>
      <c r="E1439" s="11">
        <f ca="1">D1439*Reference!$D$7*(1-IF(MONTH($A1439)=Reference!$D$6,1,0)*Reference!$D$12)</f>
        <v>345750</v>
      </c>
      <c r="M1439" s="20"/>
      <c r="N1439" s="20"/>
      <c r="O1439" s="19"/>
      <c r="P1439" s="10"/>
      <c r="Q1439" s="10"/>
      <c r="R1439" s="10"/>
      <c r="S1439" s="10"/>
      <c r="T1439" s="10"/>
      <c r="U1439" s="10"/>
      <c r="V1439" s="10"/>
      <c r="W1439" s="10"/>
      <c r="X1439" s="10"/>
      <c r="Y1439" s="10"/>
    </row>
    <row r="1440" spans="1:25" x14ac:dyDescent="0.25">
      <c r="A1440" s="9">
        <v>41978</v>
      </c>
      <c r="B1440" s="10">
        <f ca="1">ROUND(_xlfn.NORM.INV(RAND(),Reference!$C$8,0.1*Reference!$C$8)*(1+Reference!$C$11*(IF(MONTH($A1440)=Reference!$C$4,1,0)+IF(MONTH($A1440)=Reference!$C$5,1,0))+(IF(MONTH($A1440)=Reference!$C$6,Reference!$C$13,0))),0)</f>
        <v>431</v>
      </c>
      <c r="C1440" s="11">
        <f ca="1">B1440*Reference!$C$7*(1-IF(MONTH($A1440)=Reference!$C$6,1,0)*Reference!$C$12)</f>
        <v>400830</v>
      </c>
      <c r="D1440" s="10">
        <f ca="1">ROUND(_xlfn.NORM.INV(RAND(),Reference!$D$8,0.1*Reference!$D$8)*(1+Reference!$D$11*(IF(MONTH($A1440)=Reference!$D$4,1,0)+IF(MONTH($A1440)=Reference!$D$5,1,0))+(IF(MONTH($A1440)=Reference!$D$6,Reference!$D$13,0))),0)</f>
        <v>539</v>
      </c>
      <c r="E1440" s="11">
        <f ca="1">D1440*Reference!$D$7*(1-IF(MONTH($A1440)=Reference!$D$6,1,0)*Reference!$D$12)</f>
        <v>404250</v>
      </c>
      <c r="M1440" s="20"/>
      <c r="N1440" s="20"/>
      <c r="O1440" s="19"/>
      <c r="P1440" s="10"/>
      <c r="Q1440" s="10"/>
      <c r="R1440" s="10"/>
      <c r="S1440" s="10"/>
      <c r="T1440" s="10"/>
      <c r="U1440" s="10"/>
      <c r="V1440" s="10"/>
      <c r="W1440" s="10"/>
      <c r="X1440" s="10"/>
      <c r="Y1440" s="10"/>
    </row>
    <row r="1441" spans="1:25" x14ac:dyDescent="0.25">
      <c r="A1441" s="9">
        <v>41979</v>
      </c>
      <c r="B1441" s="10">
        <f ca="1">ROUND(_xlfn.NORM.INV(RAND(),Reference!$C$8,0.1*Reference!$C$8)*(1+Reference!$C$11*(IF(MONTH($A1441)=Reference!$C$4,1,0)+IF(MONTH($A1441)=Reference!$C$5,1,0))+(IF(MONTH($A1441)=Reference!$C$6,Reference!$C$13,0))),0)</f>
        <v>367</v>
      </c>
      <c r="C1441" s="11">
        <f ca="1">B1441*Reference!$C$7*(1-IF(MONTH($A1441)=Reference!$C$6,1,0)*Reference!$C$12)</f>
        <v>341310</v>
      </c>
      <c r="D1441" s="10">
        <f ca="1">ROUND(_xlfn.NORM.INV(RAND(),Reference!$D$8,0.1*Reference!$D$8)*(1+Reference!$D$11*(IF(MONTH($A1441)=Reference!$D$4,1,0)+IF(MONTH($A1441)=Reference!$D$5,1,0))+(IF(MONTH($A1441)=Reference!$D$6,Reference!$D$13,0))),0)</f>
        <v>492</v>
      </c>
      <c r="E1441" s="11">
        <f ca="1">D1441*Reference!$D$7*(1-IF(MONTH($A1441)=Reference!$D$6,1,0)*Reference!$D$12)</f>
        <v>369000</v>
      </c>
      <c r="M1441" s="20"/>
      <c r="N1441" s="20"/>
      <c r="O1441" s="19"/>
      <c r="P1441" s="10"/>
      <c r="Q1441" s="10"/>
      <c r="R1441" s="10"/>
      <c r="S1441" s="10"/>
      <c r="T1441" s="10"/>
      <c r="U1441" s="10"/>
      <c r="V1441" s="10"/>
      <c r="W1441" s="10"/>
      <c r="X1441" s="10"/>
      <c r="Y1441" s="10"/>
    </row>
    <row r="1442" spans="1:25" x14ac:dyDescent="0.25">
      <c r="A1442" s="9">
        <v>41980</v>
      </c>
      <c r="B1442" s="10">
        <f ca="1">ROUND(_xlfn.NORM.INV(RAND(),Reference!$C$8,0.1*Reference!$C$8)*(1+Reference!$C$11*(IF(MONTH($A1442)=Reference!$C$4,1,0)+IF(MONTH($A1442)=Reference!$C$5,1,0))+(IF(MONTH($A1442)=Reference!$C$6,Reference!$C$13,0))),0)</f>
        <v>390</v>
      </c>
      <c r="C1442" s="11">
        <f ca="1">B1442*Reference!$C$7*(1-IF(MONTH($A1442)=Reference!$C$6,1,0)*Reference!$C$12)</f>
        <v>362700</v>
      </c>
      <c r="D1442" s="10">
        <f ca="1">ROUND(_xlfn.NORM.INV(RAND(),Reference!$D$8,0.1*Reference!$D$8)*(1+Reference!$D$11*(IF(MONTH($A1442)=Reference!$D$4,1,0)+IF(MONTH($A1442)=Reference!$D$5,1,0))+(IF(MONTH($A1442)=Reference!$D$6,Reference!$D$13,0))),0)</f>
        <v>467</v>
      </c>
      <c r="E1442" s="11">
        <f ca="1">D1442*Reference!$D$7*(1-IF(MONTH($A1442)=Reference!$D$6,1,0)*Reference!$D$12)</f>
        <v>350250</v>
      </c>
      <c r="M1442" s="20"/>
      <c r="N1442" s="20"/>
      <c r="O1442" s="19"/>
      <c r="P1442" s="10"/>
      <c r="Q1442" s="10"/>
      <c r="R1442" s="10"/>
      <c r="S1442" s="10"/>
      <c r="T1442" s="10"/>
      <c r="U1442" s="10"/>
      <c r="V1442" s="10"/>
      <c r="W1442" s="10"/>
      <c r="X1442" s="10"/>
      <c r="Y1442" s="10"/>
    </row>
    <row r="1443" spans="1:25" x14ac:dyDescent="0.25">
      <c r="A1443" s="9">
        <v>41981</v>
      </c>
      <c r="B1443" s="10">
        <f ca="1">ROUND(_xlfn.NORM.INV(RAND(),Reference!$C$8,0.1*Reference!$C$8)*(1+Reference!$C$11*(IF(MONTH($A1443)=Reference!$C$4,1,0)+IF(MONTH($A1443)=Reference!$C$5,1,0))+(IF(MONTH($A1443)=Reference!$C$6,Reference!$C$13,0))),0)</f>
        <v>367</v>
      </c>
      <c r="C1443" s="11">
        <f ca="1">B1443*Reference!$C$7*(1-IF(MONTH($A1443)=Reference!$C$6,1,0)*Reference!$C$12)</f>
        <v>341310</v>
      </c>
      <c r="D1443" s="10">
        <f ca="1">ROUND(_xlfn.NORM.INV(RAND(),Reference!$D$8,0.1*Reference!$D$8)*(1+Reference!$D$11*(IF(MONTH($A1443)=Reference!$D$4,1,0)+IF(MONTH($A1443)=Reference!$D$5,1,0))+(IF(MONTH($A1443)=Reference!$D$6,Reference!$D$13,0))),0)</f>
        <v>395</v>
      </c>
      <c r="E1443" s="11">
        <f ca="1">D1443*Reference!$D$7*(1-IF(MONTH($A1443)=Reference!$D$6,1,0)*Reference!$D$12)</f>
        <v>296250</v>
      </c>
      <c r="M1443" s="20"/>
      <c r="N1443" s="20"/>
      <c r="O1443" s="19"/>
      <c r="P1443" s="10"/>
      <c r="Q1443" s="10"/>
      <c r="R1443" s="10"/>
      <c r="S1443" s="10"/>
      <c r="T1443" s="10"/>
      <c r="U1443" s="10"/>
      <c r="V1443" s="10"/>
      <c r="W1443" s="10"/>
      <c r="X1443" s="10"/>
      <c r="Y1443" s="10"/>
    </row>
    <row r="1444" spans="1:25" x14ac:dyDescent="0.25">
      <c r="A1444" s="9">
        <v>41982</v>
      </c>
      <c r="B1444" s="10">
        <f ca="1">ROUND(_xlfn.NORM.INV(RAND(),Reference!$C$8,0.1*Reference!$C$8)*(1+Reference!$C$11*(IF(MONTH($A1444)=Reference!$C$4,1,0)+IF(MONTH($A1444)=Reference!$C$5,1,0))+(IF(MONTH($A1444)=Reference!$C$6,Reference!$C$13,0))),0)</f>
        <v>391</v>
      </c>
      <c r="C1444" s="11">
        <f ca="1">B1444*Reference!$C$7*(1-IF(MONTH($A1444)=Reference!$C$6,1,0)*Reference!$C$12)</f>
        <v>363630</v>
      </c>
      <c r="D1444" s="10">
        <f ca="1">ROUND(_xlfn.NORM.INV(RAND(),Reference!$D$8,0.1*Reference!$D$8)*(1+Reference!$D$11*(IF(MONTH($A1444)=Reference!$D$4,1,0)+IF(MONTH($A1444)=Reference!$D$5,1,0))+(IF(MONTH($A1444)=Reference!$D$6,Reference!$D$13,0))),0)</f>
        <v>455</v>
      </c>
      <c r="E1444" s="11">
        <f ca="1">D1444*Reference!$D$7*(1-IF(MONTH($A1444)=Reference!$D$6,1,0)*Reference!$D$12)</f>
        <v>341250</v>
      </c>
      <c r="M1444" s="20"/>
      <c r="N1444" s="20"/>
      <c r="O1444" s="19"/>
      <c r="P1444" s="10"/>
      <c r="Q1444" s="10"/>
      <c r="R1444" s="10"/>
      <c r="S1444" s="10"/>
      <c r="T1444" s="10"/>
      <c r="U1444" s="10"/>
      <c r="V1444" s="10"/>
      <c r="W1444" s="10"/>
      <c r="X1444" s="10"/>
      <c r="Y1444" s="10"/>
    </row>
    <row r="1445" spans="1:25" x14ac:dyDescent="0.25">
      <c r="A1445" s="9">
        <v>41983</v>
      </c>
      <c r="B1445" s="10">
        <f ca="1">ROUND(_xlfn.NORM.INV(RAND(),Reference!$C$8,0.1*Reference!$C$8)*(1+Reference!$C$11*(IF(MONTH($A1445)=Reference!$C$4,1,0)+IF(MONTH($A1445)=Reference!$C$5,1,0))+(IF(MONTH($A1445)=Reference!$C$6,Reference!$C$13,0))),0)</f>
        <v>382</v>
      </c>
      <c r="C1445" s="11">
        <f ca="1">B1445*Reference!$C$7*(1-IF(MONTH($A1445)=Reference!$C$6,1,0)*Reference!$C$12)</f>
        <v>355260</v>
      </c>
      <c r="D1445" s="10">
        <f ca="1">ROUND(_xlfn.NORM.INV(RAND(),Reference!$D$8,0.1*Reference!$D$8)*(1+Reference!$D$11*(IF(MONTH($A1445)=Reference!$D$4,1,0)+IF(MONTH($A1445)=Reference!$D$5,1,0))+(IF(MONTH($A1445)=Reference!$D$6,Reference!$D$13,0))),0)</f>
        <v>512</v>
      </c>
      <c r="E1445" s="11">
        <f ca="1">D1445*Reference!$D$7*(1-IF(MONTH($A1445)=Reference!$D$6,1,0)*Reference!$D$12)</f>
        <v>384000</v>
      </c>
      <c r="M1445" s="20"/>
      <c r="N1445" s="20"/>
      <c r="O1445" s="19"/>
      <c r="P1445" s="10"/>
      <c r="Q1445" s="10"/>
      <c r="R1445" s="10"/>
      <c r="S1445" s="10"/>
      <c r="T1445" s="10"/>
      <c r="U1445" s="10"/>
      <c r="V1445" s="10"/>
      <c r="W1445" s="10"/>
      <c r="X1445" s="10"/>
      <c r="Y1445" s="10"/>
    </row>
    <row r="1446" spans="1:25" x14ac:dyDescent="0.25">
      <c r="A1446" s="9">
        <v>41984</v>
      </c>
      <c r="B1446" s="10">
        <f ca="1">ROUND(_xlfn.NORM.INV(RAND(),Reference!$C$8,0.1*Reference!$C$8)*(1+Reference!$C$11*(IF(MONTH($A1446)=Reference!$C$4,1,0)+IF(MONTH($A1446)=Reference!$C$5,1,0))+(IF(MONTH($A1446)=Reference!$C$6,Reference!$C$13,0))),0)</f>
        <v>360</v>
      </c>
      <c r="C1446" s="11">
        <f ca="1">B1446*Reference!$C$7*(1-IF(MONTH($A1446)=Reference!$C$6,1,0)*Reference!$C$12)</f>
        <v>334800</v>
      </c>
      <c r="D1446" s="10">
        <f ca="1">ROUND(_xlfn.NORM.INV(RAND(),Reference!$D$8,0.1*Reference!$D$8)*(1+Reference!$D$11*(IF(MONTH($A1446)=Reference!$D$4,1,0)+IF(MONTH($A1446)=Reference!$D$5,1,0))+(IF(MONTH($A1446)=Reference!$D$6,Reference!$D$13,0))),0)</f>
        <v>440</v>
      </c>
      <c r="E1446" s="11">
        <f ca="1">D1446*Reference!$D$7*(1-IF(MONTH($A1446)=Reference!$D$6,1,0)*Reference!$D$12)</f>
        <v>330000</v>
      </c>
      <c r="M1446" s="20"/>
      <c r="N1446" s="20"/>
      <c r="O1446" s="19"/>
      <c r="P1446" s="10"/>
      <c r="Q1446" s="10"/>
      <c r="R1446" s="10"/>
      <c r="S1446" s="10"/>
      <c r="T1446" s="10"/>
      <c r="U1446" s="10"/>
      <c r="V1446" s="10"/>
      <c r="W1446" s="10"/>
      <c r="X1446" s="10"/>
      <c r="Y1446" s="10"/>
    </row>
    <row r="1447" spans="1:25" x14ac:dyDescent="0.25">
      <c r="A1447" s="9">
        <v>41985</v>
      </c>
      <c r="B1447" s="10">
        <f ca="1">ROUND(_xlfn.NORM.INV(RAND(),Reference!$C$8,0.1*Reference!$C$8)*(1+Reference!$C$11*(IF(MONTH($A1447)=Reference!$C$4,1,0)+IF(MONTH($A1447)=Reference!$C$5,1,0))+(IF(MONTH($A1447)=Reference!$C$6,Reference!$C$13,0))),0)</f>
        <v>282</v>
      </c>
      <c r="C1447" s="11">
        <f ca="1">B1447*Reference!$C$7*(1-IF(MONTH($A1447)=Reference!$C$6,1,0)*Reference!$C$12)</f>
        <v>262260</v>
      </c>
      <c r="D1447" s="10">
        <f ca="1">ROUND(_xlfn.NORM.INV(RAND(),Reference!$D$8,0.1*Reference!$D$8)*(1+Reference!$D$11*(IF(MONTH($A1447)=Reference!$D$4,1,0)+IF(MONTH($A1447)=Reference!$D$5,1,0))+(IF(MONTH($A1447)=Reference!$D$6,Reference!$D$13,0))),0)</f>
        <v>424</v>
      </c>
      <c r="E1447" s="11">
        <f ca="1">D1447*Reference!$D$7*(1-IF(MONTH($A1447)=Reference!$D$6,1,0)*Reference!$D$12)</f>
        <v>318000</v>
      </c>
      <c r="M1447" s="20"/>
      <c r="N1447" s="20"/>
      <c r="O1447" s="19"/>
      <c r="P1447" s="10"/>
      <c r="Q1447" s="10"/>
      <c r="R1447" s="10"/>
      <c r="S1447" s="10"/>
      <c r="T1447" s="10"/>
      <c r="U1447" s="10"/>
      <c r="V1447" s="10"/>
      <c r="W1447" s="10"/>
      <c r="X1447" s="10"/>
      <c r="Y1447" s="10"/>
    </row>
    <row r="1448" spans="1:25" x14ac:dyDescent="0.25">
      <c r="A1448" s="9">
        <v>41986</v>
      </c>
      <c r="B1448" s="10">
        <f ca="1">ROUND(_xlfn.NORM.INV(RAND(),Reference!$C$8,0.1*Reference!$C$8)*(1+Reference!$C$11*(IF(MONTH($A1448)=Reference!$C$4,1,0)+IF(MONTH($A1448)=Reference!$C$5,1,0))+(IF(MONTH($A1448)=Reference!$C$6,Reference!$C$13,0))),0)</f>
        <v>287</v>
      </c>
      <c r="C1448" s="11">
        <f ca="1">B1448*Reference!$C$7*(1-IF(MONTH($A1448)=Reference!$C$6,1,0)*Reference!$C$12)</f>
        <v>266910</v>
      </c>
      <c r="D1448" s="10">
        <f ca="1">ROUND(_xlfn.NORM.INV(RAND(),Reference!$D$8,0.1*Reference!$D$8)*(1+Reference!$D$11*(IF(MONTH($A1448)=Reference!$D$4,1,0)+IF(MONTH($A1448)=Reference!$D$5,1,0))+(IF(MONTH($A1448)=Reference!$D$6,Reference!$D$13,0))),0)</f>
        <v>460</v>
      </c>
      <c r="E1448" s="11">
        <f ca="1">D1448*Reference!$D$7*(1-IF(MONTH($A1448)=Reference!$D$6,1,0)*Reference!$D$12)</f>
        <v>345000</v>
      </c>
      <c r="M1448" s="20"/>
      <c r="N1448" s="20"/>
      <c r="O1448" s="19"/>
      <c r="P1448" s="10"/>
      <c r="Q1448" s="10"/>
      <c r="R1448" s="10"/>
      <c r="S1448" s="10"/>
      <c r="T1448" s="10"/>
      <c r="U1448" s="10"/>
      <c r="V1448" s="10"/>
      <c r="W1448" s="10"/>
      <c r="X1448" s="10"/>
      <c r="Y1448" s="10"/>
    </row>
    <row r="1449" spans="1:25" x14ac:dyDescent="0.25">
      <c r="A1449" s="9">
        <v>41987</v>
      </c>
      <c r="B1449" s="10">
        <f ca="1">ROUND(_xlfn.NORM.INV(RAND(),Reference!$C$8,0.1*Reference!$C$8)*(1+Reference!$C$11*(IF(MONTH($A1449)=Reference!$C$4,1,0)+IF(MONTH($A1449)=Reference!$C$5,1,0))+(IF(MONTH($A1449)=Reference!$C$6,Reference!$C$13,0))),0)</f>
        <v>318</v>
      </c>
      <c r="C1449" s="11">
        <f ca="1">B1449*Reference!$C$7*(1-IF(MONTH($A1449)=Reference!$C$6,1,0)*Reference!$C$12)</f>
        <v>295740</v>
      </c>
      <c r="D1449" s="10">
        <f ca="1">ROUND(_xlfn.NORM.INV(RAND(),Reference!$D$8,0.1*Reference!$D$8)*(1+Reference!$D$11*(IF(MONTH($A1449)=Reference!$D$4,1,0)+IF(MONTH($A1449)=Reference!$D$5,1,0))+(IF(MONTH($A1449)=Reference!$D$6,Reference!$D$13,0))),0)</f>
        <v>539</v>
      </c>
      <c r="E1449" s="11">
        <f ca="1">D1449*Reference!$D$7*(1-IF(MONTH($A1449)=Reference!$D$6,1,0)*Reference!$D$12)</f>
        <v>404250</v>
      </c>
      <c r="M1449" s="20"/>
      <c r="N1449" s="20"/>
      <c r="O1449" s="19"/>
      <c r="P1449" s="10"/>
      <c r="Q1449" s="10"/>
      <c r="R1449" s="10"/>
      <c r="S1449" s="10"/>
      <c r="T1449" s="10"/>
      <c r="U1449" s="10"/>
      <c r="V1449" s="10"/>
      <c r="W1449" s="10"/>
      <c r="X1449" s="10"/>
      <c r="Y1449" s="10"/>
    </row>
    <row r="1450" spans="1:25" x14ac:dyDescent="0.25">
      <c r="A1450" s="9">
        <v>41988</v>
      </c>
      <c r="B1450" s="10">
        <f ca="1">ROUND(_xlfn.NORM.INV(RAND(),Reference!$C$8,0.1*Reference!$C$8)*(1+Reference!$C$11*(IF(MONTH($A1450)=Reference!$C$4,1,0)+IF(MONTH($A1450)=Reference!$C$5,1,0))+(IF(MONTH($A1450)=Reference!$C$6,Reference!$C$13,0))),0)</f>
        <v>323</v>
      </c>
      <c r="C1450" s="11">
        <f ca="1">B1450*Reference!$C$7*(1-IF(MONTH($A1450)=Reference!$C$6,1,0)*Reference!$C$12)</f>
        <v>300390</v>
      </c>
      <c r="D1450" s="10">
        <f ca="1">ROUND(_xlfn.NORM.INV(RAND(),Reference!$D$8,0.1*Reference!$D$8)*(1+Reference!$D$11*(IF(MONTH($A1450)=Reference!$D$4,1,0)+IF(MONTH($A1450)=Reference!$D$5,1,0))+(IF(MONTH($A1450)=Reference!$D$6,Reference!$D$13,0))),0)</f>
        <v>465</v>
      </c>
      <c r="E1450" s="11">
        <f ca="1">D1450*Reference!$D$7*(1-IF(MONTH($A1450)=Reference!$D$6,1,0)*Reference!$D$12)</f>
        <v>348750</v>
      </c>
      <c r="M1450" s="20"/>
      <c r="N1450" s="20"/>
      <c r="O1450" s="19"/>
      <c r="P1450" s="10"/>
      <c r="Q1450" s="10"/>
      <c r="R1450" s="10"/>
      <c r="S1450" s="10"/>
      <c r="T1450" s="10"/>
      <c r="U1450" s="10"/>
      <c r="V1450" s="10"/>
      <c r="W1450" s="10"/>
      <c r="X1450" s="10"/>
      <c r="Y1450" s="10"/>
    </row>
    <row r="1451" spans="1:25" x14ac:dyDescent="0.25">
      <c r="A1451" s="9">
        <v>41989</v>
      </c>
      <c r="B1451" s="10">
        <f ca="1">ROUND(_xlfn.NORM.INV(RAND(),Reference!$C$8,0.1*Reference!$C$8)*(1+Reference!$C$11*(IF(MONTH($A1451)=Reference!$C$4,1,0)+IF(MONTH($A1451)=Reference!$C$5,1,0))+(IF(MONTH($A1451)=Reference!$C$6,Reference!$C$13,0))),0)</f>
        <v>366</v>
      </c>
      <c r="C1451" s="11">
        <f ca="1">B1451*Reference!$C$7*(1-IF(MONTH($A1451)=Reference!$C$6,1,0)*Reference!$C$12)</f>
        <v>340380</v>
      </c>
      <c r="D1451" s="10">
        <f ca="1">ROUND(_xlfn.NORM.INV(RAND(),Reference!$D$8,0.1*Reference!$D$8)*(1+Reference!$D$11*(IF(MONTH($A1451)=Reference!$D$4,1,0)+IF(MONTH($A1451)=Reference!$D$5,1,0))+(IF(MONTH($A1451)=Reference!$D$6,Reference!$D$13,0))),0)</f>
        <v>450</v>
      </c>
      <c r="E1451" s="11">
        <f ca="1">D1451*Reference!$D$7*(1-IF(MONTH($A1451)=Reference!$D$6,1,0)*Reference!$D$12)</f>
        <v>337500</v>
      </c>
      <c r="M1451" s="20"/>
      <c r="N1451" s="20"/>
      <c r="O1451" s="19"/>
      <c r="P1451" s="10"/>
      <c r="Q1451" s="10"/>
      <c r="R1451" s="10"/>
      <c r="S1451" s="10"/>
      <c r="T1451" s="10"/>
      <c r="U1451" s="10"/>
      <c r="V1451" s="10"/>
      <c r="W1451" s="10"/>
      <c r="X1451" s="10"/>
      <c r="Y1451" s="10"/>
    </row>
    <row r="1452" spans="1:25" x14ac:dyDescent="0.25">
      <c r="A1452" s="9">
        <v>41990</v>
      </c>
      <c r="B1452" s="10">
        <f ca="1">ROUND(_xlfn.NORM.INV(RAND(),Reference!$C$8,0.1*Reference!$C$8)*(1+Reference!$C$11*(IF(MONTH($A1452)=Reference!$C$4,1,0)+IF(MONTH($A1452)=Reference!$C$5,1,0))+(IF(MONTH($A1452)=Reference!$C$6,Reference!$C$13,0))),0)</f>
        <v>329</v>
      </c>
      <c r="C1452" s="11">
        <f ca="1">B1452*Reference!$C$7*(1-IF(MONTH($A1452)=Reference!$C$6,1,0)*Reference!$C$12)</f>
        <v>305970</v>
      </c>
      <c r="D1452" s="10">
        <f ca="1">ROUND(_xlfn.NORM.INV(RAND(),Reference!$D$8,0.1*Reference!$D$8)*(1+Reference!$D$11*(IF(MONTH($A1452)=Reference!$D$4,1,0)+IF(MONTH($A1452)=Reference!$D$5,1,0))+(IF(MONTH($A1452)=Reference!$D$6,Reference!$D$13,0))),0)</f>
        <v>445</v>
      </c>
      <c r="E1452" s="11">
        <f ca="1">D1452*Reference!$D$7*(1-IF(MONTH($A1452)=Reference!$D$6,1,0)*Reference!$D$12)</f>
        <v>333750</v>
      </c>
      <c r="M1452" s="20"/>
      <c r="N1452" s="20"/>
      <c r="O1452" s="19"/>
      <c r="P1452" s="10"/>
      <c r="Q1452" s="10"/>
      <c r="R1452" s="10"/>
      <c r="S1452" s="10"/>
      <c r="T1452" s="10"/>
      <c r="U1452" s="10"/>
      <c r="V1452" s="10"/>
      <c r="W1452" s="10"/>
      <c r="X1452" s="10"/>
      <c r="Y1452" s="10"/>
    </row>
    <row r="1453" spans="1:25" x14ac:dyDescent="0.25">
      <c r="A1453" s="9">
        <v>41991</v>
      </c>
      <c r="B1453" s="10">
        <f ca="1">ROUND(_xlfn.NORM.INV(RAND(),Reference!$C$8,0.1*Reference!$C$8)*(1+Reference!$C$11*(IF(MONTH($A1453)=Reference!$C$4,1,0)+IF(MONTH($A1453)=Reference!$C$5,1,0))+(IF(MONTH($A1453)=Reference!$C$6,Reference!$C$13,0))),0)</f>
        <v>323</v>
      </c>
      <c r="C1453" s="11">
        <f ca="1">B1453*Reference!$C$7*(1-IF(MONTH($A1453)=Reference!$C$6,1,0)*Reference!$C$12)</f>
        <v>300390</v>
      </c>
      <c r="D1453" s="10">
        <f ca="1">ROUND(_xlfn.NORM.INV(RAND(),Reference!$D$8,0.1*Reference!$D$8)*(1+Reference!$D$11*(IF(MONTH($A1453)=Reference!$D$4,1,0)+IF(MONTH($A1453)=Reference!$D$5,1,0))+(IF(MONTH($A1453)=Reference!$D$6,Reference!$D$13,0))),0)</f>
        <v>488</v>
      </c>
      <c r="E1453" s="11">
        <f ca="1">D1453*Reference!$D$7*(1-IF(MONTH($A1453)=Reference!$D$6,1,0)*Reference!$D$12)</f>
        <v>366000</v>
      </c>
      <c r="M1453" s="20"/>
      <c r="N1453" s="20"/>
      <c r="O1453" s="19"/>
      <c r="P1453" s="10"/>
      <c r="Q1453" s="10"/>
      <c r="R1453" s="10"/>
      <c r="S1453" s="10"/>
      <c r="T1453" s="10"/>
      <c r="U1453" s="10"/>
      <c r="V1453" s="10"/>
      <c r="W1453" s="10"/>
      <c r="X1453" s="10"/>
      <c r="Y1453" s="10"/>
    </row>
    <row r="1454" spans="1:25" x14ac:dyDescent="0.25">
      <c r="A1454" s="9">
        <v>41992</v>
      </c>
      <c r="B1454" s="10">
        <f ca="1">ROUND(_xlfn.NORM.INV(RAND(),Reference!$C$8,0.1*Reference!$C$8)*(1+Reference!$C$11*(IF(MONTH($A1454)=Reference!$C$4,1,0)+IF(MONTH($A1454)=Reference!$C$5,1,0))+(IF(MONTH($A1454)=Reference!$C$6,Reference!$C$13,0))),0)</f>
        <v>352</v>
      </c>
      <c r="C1454" s="11">
        <f ca="1">B1454*Reference!$C$7*(1-IF(MONTH($A1454)=Reference!$C$6,1,0)*Reference!$C$12)</f>
        <v>327360</v>
      </c>
      <c r="D1454" s="10">
        <f ca="1">ROUND(_xlfn.NORM.INV(RAND(),Reference!$D$8,0.1*Reference!$D$8)*(1+Reference!$D$11*(IF(MONTH($A1454)=Reference!$D$4,1,0)+IF(MONTH($A1454)=Reference!$D$5,1,0))+(IF(MONTH($A1454)=Reference!$D$6,Reference!$D$13,0))),0)</f>
        <v>448</v>
      </c>
      <c r="E1454" s="11">
        <f ca="1">D1454*Reference!$D$7*(1-IF(MONTH($A1454)=Reference!$D$6,1,0)*Reference!$D$12)</f>
        <v>336000</v>
      </c>
      <c r="M1454" s="20"/>
      <c r="N1454" s="20"/>
      <c r="O1454" s="19"/>
      <c r="P1454" s="10"/>
      <c r="Q1454" s="10"/>
      <c r="R1454" s="10"/>
      <c r="S1454" s="10"/>
      <c r="T1454" s="10"/>
      <c r="U1454" s="10"/>
      <c r="V1454" s="10"/>
      <c r="W1454" s="10"/>
      <c r="X1454" s="10"/>
      <c r="Y1454" s="10"/>
    </row>
    <row r="1455" spans="1:25" x14ac:dyDescent="0.25">
      <c r="A1455" s="9">
        <v>41993</v>
      </c>
      <c r="B1455" s="10">
        <f ca="1">ROUND(_xlfn.NORM.INV(RAND(),Reference!$C$8,0.1*Reference!$C$8)*(1+Reference!$C$11*(IF(MONTH($A1455)=Reference!$C$4,1,0)+IF(MONTH($A1455)=Reference!$C$5,1,0))+(IF(MONTH($A1455)=Reference!$C$6,Reference!$C$13,0))),0)</f>
        <v>369</v>
      </c>
      <c r="C1455" s="11">
        <f ca="1">B1455*Reference!$C$7*(1-IF(MONTH($A1455)=Reference!$C$6,1,0)*Reference!$C$12)</f>
        <v>343170</v>
      </c>
      <c r="D1455" s="10">
        <f ca="1">ROUND(_xlfn.NORM.INV(RAND(),Reference!$D$8,0.1*Reference!$D$8)*(1+Reference!$D$11*(IF(MONTH($A1455)=Reference!$D$4,1,0)+IF(MONTH($A1455)=Reference!$D$5,1,0))+(IF(MONTH($A1455)=Reference!$D$6,Reference!$D$13,0))),0)</f>
        <v>481</v>
      </c>
      <c r="E1455" s="11">
        <f ca="1">D1455*Reference!$D$7*(1-IF(MONTH($A1455)=Reference!$D$6,1,0)*Reference!$D$12)</f>
        <v>360750</v>
      </c>
      <c r="M1455" s="20"/>
      <c r="N1455" s="20"/>
      <c r="O1455" s="19"/>
      <c r="P1455" s="10"/>
      <c r="Q1455" s="10"/>
      <c r="R1455" s="10"/>
      <c r="S1455" s="10"/>
      <c r="T1455" s="10"/>
      <c r="U1455" s="10"/>
      <c r="V1455" s="10"/>
      <c r="W1455" s="10"/>
      <c r="X1455" s="10"/>
      <c r="Y1455" s="10"/>
    </row>
    <row r="1456" spans="1:25" x14ac:dyDescent="0.25">
      <c r="A1456" s="9">
        <v>41994</v>
      </c>
      <c r="B1456" s="10">
        <f ca="1">ROUND(_xlfn.NORM.INV(RAND(),Reference!$C$8,0.1*Reference!$C$8)*(1+Reference!$C$11*(IF(MONTH($A1456)=Reference!$C$4,1,0)+IF(MONTH($A1456)=Reference!$C$5,1,0))+(IF(MONTH($A1456)=Reference!$C$6,Reference!$C$13,0))),0)</f>
        <v>378</v>
      </c>
      <c r="C1456" s="11">
        <f ca="1">B1456*Reference!$C$7*(1-IF(MONTH($A1456)=Reference!$C$6,1,0)*Reference!$C$12)</f>
        <v>351540</v>
      </c>
      <c r="D1456" s="10">
        <f ca="1">ROUND(_xlfn.NORM.INV(RAND(),Reference!$D$8,0.1*Reference!$D$8)*(1+Reference!$D$11*(IF(MONTH($A1456)=Reference!$D$4,1,0)+IF(MONTH($A1456)=Reference!$D$5,1,0))+(IF(MONTH($A1456)=Reference!$D$6,Reference!$D$13,0))),0)</f>
        <v>452</v>
      </c>
      <c r="E1456" s="11">
        <f ca="1">D1456*Reference!$D$7*(1-IF(MONTH($A1456)=Reference!$D$6,1,0)*Reference!$D$12)</f>
        <v>339000</v>
      </c>
      <c r="M1456" s="20"/>
      <c r="N1456" s="20"/>
      <c r="O1456" s="19"/>
      <c r="P1456" s="10"/>
      <c r="Q1456" s="10"/>
      <c r="R1456" s="10"/>
      <c r="S1456" s="10"/>
      <c r="T1456" s="10"/>
      <c r="U1456" s="10"/>
      <c r="V1456" s="10"/>
      <c r="W1456" s="10"/>
      <c r="X1456" s="10"/>
      <c r="Y1456" s="10"/>
    </row>
    <row r="1457" spans="1:25" x14ac:dyDescent="0.25">
      <c r="A1457" s="9">
        <v>41995</v>
      </c>
      <c r="B1457" s="10">
        <f ca="1">ROUND(_xlfn.NORM.INV(RAND(),Reference!$C$8,0.1*Reference!$C$8)*(1+Reference!$C$11*(IF(MONTH($A1457)=Reference!$C$4,1,0)+IF(MONTH($A1457)=Reference!$C$5,1,0))+(IF(MONTH($A1457)=Reference!$C$6,Reference!$C$13,0))),0)</f>
        <v>387</v>
      </c>
      <c r="C1457" s="11">
        <f ca="1">B1457*Reference!$C$7*(1-IF(MONTH($A1457)=Reference!$C$6,1,0)*Reference!$C$12)</f>
        <v>359910</v>
      </c>
      <c r="D1457" s="10">
        <f ca="1">ROUND(_xlfn.NORM.INV(RAND(),Reference!$D$8,0.1*Reference!$D$8)*(1+Reference!$D$11*(IF(MONTH($A1457)=Reference!$D$4,1,0)+IF(MONTH($A1457)=Reference!$D$5,1,0))+(IF(MONTH($A1457)=Reference!$D$6,Reference!$D$13,0))),0)</f>
        <v>437</v>
      </c>
      <c r="E1457" s="11">
        <f ca="1">D1457*Reference!$D$7*(1-IF(MONTH($A1457)=Reference!$D$6,1,0)*Reference!$D$12)</f>
        <v>327750</v>
      </c>
      <c r="M1457" s="20"/>
      <c r="N1457" s="20"/>
      <c r="O1457" s="19"/>
      <c r="P1457" s="10"/>
      <c r="Q1457" s="10"/>
      <c r="R1457" s="10"/>
      <c r="S1457" s="10"/>
      <c r="T1457" s="10"/>
      <c r="U1457" s="10"/>
      <c r="V1457" s="10"/>
      <c r="W1457" s="10"/>
      <c r="X1457" s="10"/>
      <c r="Y1457" s="10"/>
    </row>
    <row r="1458" spans="1:25" x14ac:dyDescent="0.25">
      <c r="A1458" s="9">
        <v>41996</v>
      </c>
      <c r="B1458" s="10">
        <f ca="1">ROUND(_xlfn.NORM.INV(RAND(),Reference!$C$8,0.1*Reference!$C$8)*(1+Reference!$C$11*(IF(MONTH($A1458)=Reference!$C$4,1,0)+IF(MONTH($A1458)=Reference!$C$5,1,0))+(IF(MONTH($A1458)=Reference!$C$6,Reference!$C$13,0))),0)</f>
        <v>361</v>
      </c>
      <c r="C1458" s="11">
        <f ca="1">B1458*Reference!$C$7*(1-IF(MONTH($A1458)=Reference!$C$6,1,0)*Reference!$C$12)</f>
        <v>335730</v>
      </c>
      <c r="D1458" s="10">
        <f ca="1">ROUND(_xlfn.NORM.INV(RAND(),Reference!$D$8,0.1*Reference!$D$8)*(1+Reference!$D$11*(IF(MONTH($A1458)=Reference!$D$4,1,0)+IF(MONTH($A1458)=Reference!$D$5,1,0))+(IF(MONTH($A1458)=Reference!$D$6,Reference!$D$13,0))),0)</f>
        <v>475</v>
      </c>
      <c r="E1458" s="11">
        <f ca="1">D1458*Reference!$D$7*(1-IF(MONTH($A1458)=Reference!$D$6,1,0)*Reference!$D$12)</f>
        <v>356250</v>
      </c>
      <c r="M1458" s="20"/>
      <c r="N1458" s="20"/>
      <c r="O1458" s="19"/>
      <c r="P1458" s="10"/>
      <c r="Q1458" s="10"/>
      <c r="R1458" s="10"/>
      <c r="S1458" s="10"/>
      <c r="T1458" s="10"/>
      <c r="U1458" s="10"/>
      <c r="V1458" s="10"/>
      <c r="W1458" s="10"/>
      <c r="X1458" s="10"/>
      <c r="Y1458" s="10"/>
    </row>
    <row r="1459" spans="1:25" x14ac:dyDescent="0.25">
      <c r="A1459" s="9">
        <v>41997</v>
      </c>
      <c r="B1459" s="10">
        <f ca="1">ROUND(_xlfn.NORM.INV(RAND(),Reference!$C$8,0.1*Reference!$C$8)*(1+Reference!$C$11*(IF(MONTH($A1459)=Reference!$C$4,1,0)+IF(MONTH($A1459)=Reference!$C$5,1,0))+(IF(MONTH($A1459)=Reference!$C$6,Reference!$C$13,0))),0)</f>
        <v>353</v>
      </c>
      <c r="C1459" s="11">
        <f ca="1">B1459*Reference!$C$7*(1-IF(MONTH($A1459)=Reference!$C$6,1,0)*Reference!$C$12)</f>
        <v>328290</v>
      </c>
      <c r="D1459" s="10">
        <f ca="1">ROUND(_xlfn.NORM.INV(RAND(),Reference!$D$8,0.1*Reference!$D$8)*(1+Reference!$D$11*(IF(MONTH($A1459)=Reference!$D$4,1,0)+IF(MONTH($A1459)=Reference!$D$5,1,0))+(IF(MONTH($A1459)=Reference!$D$6,Reference!$D$13,0))),0)</f>
        <v>498</v>
      </c>
      <c r="E1459" s="11">
        <f ca="1">D1459*Reference!$D$7*(1-IF(MONTH($A1459)=Reference!$D$6,1,0)*Reference!$D$12)</f>
        <v>373500</v>
      </c>
      <c r="M1459" s="20"/>
      <c r="N1459" s="20"/>
      <c r="O1459" s="19"/>
      <c r="P1459" s="10"/>
      <c r="Q1459" s="10"/>
      <c r="R1459" s="10"/>
      <c r="S1459" s="10"/>
      <c r="T1459" s="10"/>
      <c r="U1459" s="10"/>
      <c r="V1459" s="10"/>
      <c r="W1459" s="10"/>
      <c r="X1459" s="10"/>
      <c r="Y1459" s="10"/>
    </row>
    <row r="1460" spans="1:25" x14ac:dyDescent="0.25">
      <c r="A1460" s="9">
        <v>41998</v>
      </c>
      <c r="B1460" s="10">
        <f ca="1">ROUND(_xlfn.NORM.INV(RAND(),Reference!$C$8,0.1*Reference!$C$8)*(1+Reference!$C$11*(IF(MONTH($A1460)=Reference!$C$4,1,0)+IF(MONTH($A1460)=Reference!$C$5,1,0))+(IF(MONTH($A1460)=Reference!$C$6,Reference!$C$13,0))),0)</f>
        <v>360</v>
      </c>
      <c r="C1460" s="11">
        <f ca="1">B1460*Reference!$C$7*(1-IF(MONTH($A1460)=Reference!$C$6,1,0)*Reference!$C$12)</f>
        <v>334800</v>
      </c>
      <c r="D1460" s="10">
        <f ca="1">ROUND(_xlfn.NORM.INV(RAND(),Reference!$D$8,0.1*Reference!$D$8)*(1+Reference!$D$11*(IF(MONTH($A1460)=Reference!$D$4,1,0)+IF(MONTH($A1460)=Reference!$D$5,1,0))+(IF(MONTH($A1460)=Reference!$D$6,Reference!$D$13,0))),0)</f>
        <v>440</v>
      </c>
      <c r="E1460" s="11">
        <f ca="1">D1460*Reference!$D$7*(1-IF(MONTH($A1460)=Reference!$D$6,1,0)*Reference!$D$12)</f>
        <v>330000</v>
      </c>
      <c r="M1460" s="20"/>
      <c r="N1460" s="20"/>
      <c r="O1460" s="19"/>
      <c r="P1460" s="10"/>
      <c r="Q1460" s="10"/>
      <c r="R1460" s="10"/>
      <c r="S1460" s="10"/>
      <c r="T1460" s="10"/>
      <c r="U1460" s="10"/>
      <c r="V1460" s="10"/>
      <c r="W1460" s="10"/>
      <c r="X1460" s="10"/>
      <c r="Y1460" s="10"/>
    </row>
    <row r="1461" spans="1:25" x14ac:dyDescent="0.25">
      <c r="A1461" s="9">
        <v>41999</v>
      </c>
      <c r="B1461" s="10">
        <f ca="1">ROUND(_xlfn.NORM.INV(RAND(),Reference!$C$8,0.1*Reference!$C$8)*(1+Reference!$C$11*(IF(MONTH($A1461)=Reference!$C$4,1,0)+IF(MONTH($A1461)=Reference!$C$5,1,0))+(IF(MONTH($A1461)=Reference!$C$6,Reference!$C$13,0))),0)</f>
        <v>398</v>
      </c>
      <c r="C1461" s="11">
        <f ca="1">B1461*Reference!$C$7*(1-IF(MONTH($A1461)=Reference!$C$6,1,0)*Reference!$C$12)</f>
        <v>370140</v>
      </c>
      <c r="D1461" s="10">
        <f ca="1">ROUND(_xlfn.NORM.INV(RAND(),Reference!$D$8,0.1*Reference!$D$8)*(1+Reference!$D$11*(IF(MONTH($A1461)=Reference!$D$4,1,0)+IF(MONTH($A1461)=Reference!$D$5,1,0))+(IF(MONTH($A1461)=Reference!$D$6,Reference!$D$13,0))),0)</f>
        <v>399</v>
      </c>
      <c r="E1461" s="11">
        <f ca="1">D1461*Reference!$D$7*(1-IF(MONTH($A1461)=Reference!$D$6,1,0)*Reference!$D$12)</f>
        <v>299250</v>
      </c>
      <c r="M1461" s="20"/>
      <c r="N1461" s="20"/>
      <c r="O1461" s="19"/>
      <c r="P1461" s="10"/>
      <c r="Q1461" s="10"/>
      <c r="R1461" s="10"/>
      <c r="S1461" s="10"/>
      <c r="T1461" s="10"/>
      <c r="U1461" s="10"/>
      <c r="V1461" s="10"/>
      <c r="W1461" s="10"/>
      <c r="X1461" s="10"/>
      <c r="Y1461" s="10"/>
    </row>
    <row r="1462" spans="1:25" x14ac:dyDescent="0.25">
      <c r="A1462" s="9">
        <v>42000</v>
      </c>
      <c r="B1462" s="10">
        <f ca="1">ROUND(_xlfn.NORM.INV(RAND(),Reference!$C$8,0.1*Reference!$C$8)*(1+Reference!$C$11*(IF(MONTH($A1462)=Reference!$C$4,1,0)+IF(MONTH($A1462)=Reference!$C$5,1,0))+(IF(MONTH($A1462)=Reference!$C$6,Reference!$C$13,0))),0)</f>
        <v>368</v>
      </c>
      <c r="C1462" s="11">
        <f ca="1">B1462*Reference!$C$7*(1-IF(MONTH($A1462)=Reference!$C$6,1,0)*Reference!$C$12)</f>
        <v>342240</v>
      </c>
      <c r="D1462" s="10">
        <f ca="1">ROUND(_xlfn.NORM.INV(RAND(),Reference!$D$8,0.1*Reference!$D$8)*(1+Reference!$D$11*(IF(MONTH($A1462)=Reference!$D$4,1,0)+IF(MONTH($A1462)=Reference!$D$5,1,0))+(IF(MONTH($A1462)=Reference!$D$6,Reference!$D$13,0))),0)</f>
        <v>577</v>
      </c>
      <c r="E1462" s="11">
        <f ca="1">D1462*Reference!$D$7*(1-IF(MONTH($A1462)=Reference!$D$6,1,0)*Reference!$D$12)</f>
        <v>432750</v>
      </c>
      <c r="M1462" s="20"/>
      <c r="N1462" s="20"/>
      <c r="O1462" s="19"/>
      <c r="P1462" s="10"/>
      <c r="Q1462" s="10"/>
      <c r="R1462" s="10"/>
      <c r="S1462" s="10"/>
      <c r="T1462" s="10"/>
      <c r="U1462" s="10"/>
      <c r="V1462" s="10"/>
      <c r="W1462" s="10"/>
      <c r="X1462" s="10"/>
      <c r="Y1462" s="10"/>
    </row>
    <row r="1463" spans="1:25" x14ac:dyDescent="0.25">
      <c r="A1463" s="9">
        <v>42001</v>
      </c>
      <c r="B1463" s="10">
        <f ca="1">ROUND(_xlfn.NORM.INV(RAND(),Reference!$C$8,0.1*Reference!$C$8)*(1+Reference!$C$11*(IF(MONTH($A1463)=Reference!$C$4,1,0)+IF(MONTH($A1463)=Reference!$C$5,1,0))+(IF(MONTH($A1463)=Reference!$C$6,Reference!$C$13,0))),0)</f>
        <v>402</v>
      </c>
      <c r="C1463" s="11">
        <f ca="1">B1463*Reference!$C$7*(1-IF(MONTH($A1463)=Reference!$C$6,1,0)*Reference!$C$12)</f>
        <v>373860</v>
      </c>
      <c r="D1463" s="10">
        <f ca="1">ROUND(_xlfn.NORM.INV(RAND(),Reference!$D$8,0.1*Reference!$D$8)*(1+Reference!$D$11*(IF(MONTH($A1463)=Reference!$D$4,1,0)+IF(MONTH($A1463)=Reference!$D$5,1,0))+(IF(MONTH($A1463)=Reference!$D$6,Reference!$D$13,0))),0)</f>
        <v>495</v>
      </c>
      <c r="E1463" s="11">
        <f ca="1">D1463*Reference!$D$7*(1-IF(MONTH($A1463)=Reference!$D$6,1,0)*Reference!$D$12)</f>
        <v>371250</v>
      </c>
      <c r="M1463" s="20"/>
      <c r="N1463" s="20"/>
      <c r="O1463" s="19"/>
      <c r="P1463" s="10"/>
      <c r="Q1463" s="10"/>
      <c r="R1463" s="10"/>
      <c r="S1463" s="10"/>
      <c r="T1463" s="10"/>
      <c r="U1463" s="10"/>
      <c r="V1463" s="10"/>
      <c r="W1463" s="10"/>
      <c r="X1463" s="10"/>
      <c r="Y1463" s="10"/>
    </row>
    <row r="1464" spans="1:25" x14ac:dyDescent="0.25">
      <c r="A1464" s="9">
        <v>42002</v>
      </c>
      <c r="B1464" s="10">
        <f ca="1">ROUND(_xlfn.NORM.INV(RAND(),Reference!$C$8,0.1*Reference!$C$8)*(1+Reference!$C$11*(IF(MONTH($A1464)=Reference!$C$4,1,0)+IF(MONTH($A1464)=Reference!$C$5,1,0))+(IF(MONTH($A1464)=Reference!$C$6,Reference!$C$13,0))),0)</f>
        <v>338</v>
      </c>
      <c r="C1464" s="11">
        <f ca="1">B1464*Reference!$C$7*(1-IF(MONTH($A1464)=Reference!$C$6,1,0)*Reference!$C$12)</f>
        <v>314340</v>
      </c>
      <c r="D1464" s="10">
        <f ca="1">ROUND(_xlfn.NORM.INV(RAND(),Reference!$D$8,0.1*Reference!$D$8)*(1+Reference!$D$11*(IF(MONTH($A1464)=Reference!$D$4,1,0)+IF(MONTH($A1464)=Reference!$D$5,1,0))+(IF(MONTH($A1464)=Reference!$D$6,Reference!$D$13,0))),0)</f>
        <v>451</v>
      </c>
      <c r="E1464" s="11">
        <f ca="1">D1464*Reference!$D$7*(1-IF(MONTH($A1464)=Reference!$D$6,1,0)*Reference!$D$12)</f>
        <v>338250</v>
      </c>
      <c r="M1464" s="20"/>
      <c r="N1464" s="20"/>
      <c r="O1464" s="19"/>
      <c r="P1464" s="10"/>
      <c r="Q1464" s="10"/>
      <c r="R1464" s="10"/>
      <c r="S1464" s="10"/>
      <c r="T1464" s="10"/>
      <c r="U1464" s="10"/>
      <c r="V1464" s="10"/>
      <c r="W1464" s="10"/>
      <c r="X1464" s="10"/>
      <c r="Y1464" s="10"/>
    </row>
    <row r="1465" spans="1:25" x14ac:dyDescent="0.25">
      <c r="A1465" s="9">
        <v>42003</v>
      </c>
      <c r="B1465" s="10">
        <f ca="1">ROUND(_xlfn.NORM.INV(RAND(),Reference!$C$8,0.1*Reference!$C$8)*(1+Reference!$C$11*(IF(MONTH($A1465)=Reference!$C$4,1,0)+IF(MONTH($A1465)=Reference!$C$5,1,0))+(IF(MONTH($A1465)=Reference!$C$6,Reference!$C$13,0))),0)</f>
        <v>420</v>
      </c>
      <c r="C1465" s="11">
        <f ca="1">B1465*Reference!$C$7*(1-IF(MONTH($A1465)=Reference!$C$6,1,0)*Reference!$C$12)</f>
        <v>390600</v>
      </c>
      <c r="D1465" s="10">
        <f ca="1">ROUND(_xlfn.NORM.INV(RAND(),Reference!$D$8,0.1*Reference!$D$8)*(1+Reference!$D$11*(IF(MONTH($A1465)=Reference!$D$4,1,0)+IF(MONTH($A1465)=Reference!$D$5,1,0))+(IF(MONTH($A1465)=Reference!$D$6,Reference!$D$13,0))),0)</f>
        <v>439</v>
      </c>
      <c r="E1465" s="11">
        <f ca="1">D1465*Reference!$D$7*(1-IF(MONTH($A1465)=Reference!$D$6,1,0)*Reference!$D$12)</f>
        <v>329250</v>
      </c>
      <c r="M1465" s="20"/>
      <c r="N1465" s="20"/>
      <c r="O1465" s="19"/>
      <c r="P1465" s="10"/>
      <c r="Q1465" s="10"/>
      <c r="R1465" s="10"/>
      <c r="S1465" s="10"/>
      <c r="T1465" s="10"/>
      <c r="U1465" s="10"/>
      <c r="V1465" s="10"/>
      <c r="W1465" s="10"/>
      <c r="X1465" s="10"/>
      <c r="Y1465" s="10"/>
    </row>
    <row r="1466" spans="1:25" x14ac:dyDescent="0.25">
      <c r="A1466" s="9">
        <v>42004</v>
      </c>
      <c r="B1466" s="10">
        <f ca="1">ROUND(_xlfn.NORM.INV(RAND(),Reference!$C$8,0.1*Reference!$C$8)*(1+Reference!$C$11*(IF(MONTH($A1466)=Reference!$C$4,1,0)+IF(MONTH($A1466)=Reference!$C$5,1,0))+(IF(MONTH($A1466)=Reference!$C$6,Reference!$C$13,0))),0)</f>
        <v>300</v>
      </c>
      <c r="C1466" s="11">
        <f ca="1">B1466*Reference!$C$7*(1-IF(MONTH($A1466)=Reference!$C$6,1,0)*Reference!$C$12)</f>
        <v>279000</v>
      </c>
      <c r="D1466" s="10">
        <f ca="1">ROUND(_xlfn.NORM.INV(RAND(),Reference!$D$8,0.1*Reference!$D$8)*(1+Reference!$D$11*(IF(MONTH($A1466)=Reference!$D$4,1,0)+IF(MONTH($A1466)=Reference!$D$5,1,0))+(IF(MONTH($A1466)=Reference!$D$6,Reference!$D$13,0))),0)</f>
        <v>443</v>
      </c>
      <c r="E1466" s="11">
        <f ca="1">D1466*Reference!$D$7*(1-IF(MONTH($A1466)=Reference!$D$6,1,0)*Reference!$D$12)</f>
        <v>332250</v>
      </c>
      <c r="M1466" s="20"/>
      <c r="N1466" s="20"/>
      <c r="O1466" s="19"/>
      <c r="P1466" s="10"/>
      <c r="Q1466" s="10"/>
      <c r="R1466" s="10"/>
      <c r="S1466" s="10"/>
      <c r="T1466" s="10"/>
      <c r="U1466" s="10"/>
      <c r="V1466" s="10"/>
      <c r="W1466" s="10"/>
      <c r="X1466" s="10"/>
      <c r="Y1466" s="10"/>
    </row>
    <row r="1467" spans="1:25" x14ac:dyDescent="0.25">
      <c r="A1467" s="9">
        <v>42005</v>
      </c>
      <c r="B1467" s="10">
        <f ca="1">ROUND(_xlfn.NORM.INV(RAND(),Reference!$C$8,0.1*Reference!$C$8)*(1+Reference!$C$11*(IF(MONTH($A1467)=Reference!$C$4,1,0)+IF(MONTH($A1467)=Reference!$C$5,1,0))+(IF(MONTH($A1467)=Reference!$C$6,Reference!$C$13,0))),0)</f>
        <v>352</v>
      </c>
      <c r="C1467" s="11">
        <f ca="1">B1467*Reference!$C$7*(1-IF(MONTH($A1467)=Reference!$C$6,1,0)*Reference!$C$12)</f>
        <v>327360</v>
      </c>
      <c r="D1467" s="10">
        <f ca="1">ROUND(_xlfn.NORM.INV(RAND(),Reference!$D$8,0.1*Reference!$D$8)*(1+Reference!$D$11*(IF(MONTH($A1467)=Reference!$D$4,1,0)+IF(MONTH($A1467)=Reference!$D$5,1,0))+(IF(MONTH($A1467)=Reference!$D$6,Reference!$D$13,0))),0)</f>
        <v>449</v>
      </c>
      <c r="E1467" s="11">
        <f ca="1">D1467*Reference!$D$7*(1-IF(MONTH($A1467)=Reference!$D$6,1,0)*Reference!$D$12)</f>
        <v>336750</v>
      </c>
      <c r="M1467" s="20"/>
      <c r="N1467" s="20"/>
      <c r="O1467" s="19"/>
      <c r="P1467" s="10"/>
      <c r="Q1467" s="10"/>
      <c r="R1467" s="10"/>
      <c r="S1467" s="10"/>
      <c r="T1467" s="10"/>
      <c r="U1467" s="10"/>
      <c r="V1467" s="10"/>
      <c r="W1467" s="10"/>
      <c r="X1467" s="10"/>
      <c r="Y1467" s="10"/>
    </row>
    <row r="1468" spans="1:25" x14ac:dyDescent="0.25">
      <c r="A1468" s="9">
        <v>42006</v>
      </c>
      <c r="B1468" s="10">
        <f ca="1">ROUND(_xlfn.NORM.INV(RAND(),Reference!$C$8,0.1*Reference!$C$8)*(1+Reference!$C$11*(IF(MONTH($A1468)=Reference!$C$4,1,0)+IF(MONTH($A1468)=Reference!$C$5,1,0))+(IF(MONTH($A1468)=Reference!$C$6,Reference!$C$13,0))),0)</f>
        <v>306</v>
      </c>
      <c r="C1468" s="11">
        <f ca="1">B1468*Reference!$C$7*(1-IF(MONTH($A1468)=Reference!$C$6,1,0)*Reference!$C$12)</f>
        <v>284580</v>
      </c>
      <c r="D1468" s="10">
        <f ca="1">ROUND(_xlfn.NORM.INV(RAND(),Reference!$D$8,0.1*Reference!$D$8)*(1+Reference!$D$11*(IF(MONTH($A1468)=Reference!$D$4,1,0)+IF(MONTH($A1468)=Reference!$D$5,1,0))+(IF(MONTH($A1468)=Reference!$D$6,Reference!$D$13,0))),0)</f>
        <v>484</v>
      </c>
      <c r="E1468" s="11">
        <f ca="1">D1468*Reference!$D$7*(1-IF(MONTH($A1468)=Reference!$D$6,1,0)*Reference!$D$12)</f>
        <v>363000</v>
      </c>
      <c r="M1468" s="20"/>
      <c r="N1468" s="20"/>
      <c r="O1468" s="19"/>
      <c r="P1468" s="10"/>
      <c r="Q1468" s="10"/>
      <c r="R1468" s="10"/>
      <c r="S1468" s="10"/>
      <c r="T1468" s="10"/>
      <c r="U1468" s="10"/>
      <c r="V1468" s="10"/>
      <c r="W1468" s="10"/>
      <c r="X1468" s="10"/>
      <c r="Y1468" s="10"/>
    </row>
    <row r="1469" spans="1:25" x14ac:dyDescent="0.25">
      <c r="A1469" s="9">
        <v>42007</v>
      </c>
      <c r="B1469" s="10">
        <f ca="1">ROUND(_xlfn.NORM.INV(RAND(),Reference!$C$8,0.1*Reference!$C$8)*(1+Reference!$C$11*(IF(MONTH($A1469)=Reference!$C$4,1,0)+IF(MONTH($A1469)=Reference!$C$5,1,0))+(IF(MONTH($A1469)=Reference!$C$6,Reference!$C$13,0))),0)</f>
        <v>357</v>
      </c>
      <c r="C1469" s="11">
        <f ca="1">B1469*Reference!$C$7*(1-IF(MONTH($A1469)=Reference!$C$6,1,0)*Reference!$C$12)</f>
        <v>332010</v>
      </c>
      <c r="D1469" s="10">
        <f ca="1">ROUND(_xlfn.NORM.INV(RAND(),Reference!$D$8,0.1*Reference!$D$8)*(1+Reference!$D$11*(IF(MONTH($A1469)=Reference!$D$4,1,0)+IF(MONTH($A1469)=Reference!$D$5,1,0))+(IF(MONTH($A1469)=Reference!$D$6,Reference!$D$13,0))),0)</f>
        <v>422</v>
      </c>
      <c r="E1469" s="11">
        <f ca="1">D1469*Reference!$D$7*(1-IF(MONTH($A1469)=Reference!$D$6,1,0)*Reference!$D$12)</f>
        <v>316500</v>
      </c>
      <c r="M1469" s="20"/>
      <c r="N1469" s="20"/>
      <c r="O1469" s="19"/>
      <c r="P1469" s="10"/>
      <c r="Q1469" s="10"/>
      <c r="R1469" s="10"/>
      <c r="S1469" s="10"/>
      <c r="T1469" s="10"/>
      <c r="U1469" s="10"/>
      <c r="V1469" s="10"/>
      <c r="W1469" s="10"/>
      <c r="X1469" s="10"/>
      <c r="Y1469" s="10"/>
    </row>
    <row r="1470" spans="1:25" x14ac:dyDescent="0.25">
      <c r="A1470" s="9">
        <v>42008</v>
      </c>
      <c r="B1470" s="10">
        <f ca="1">ROUND(_xlfn.NORM.INV(RAND(),Reference!$C$8,0.1*Reference!$C$8)*(1+Reference!$C$11*(IF(MONTH($A1470)=Reference!$C$4,1,0)+IF(MONTH($A1470)=Reference!$C$5,1,0))+(IF(MONTH($A1470)=Reference!$C$6,Reference!$C$13,0))),0)</f>
        <v>399</v>
      </c>
      <c r="C1470" s="11">
        <f ca="1">B1470*Reference!$C$7*(1-IF(MONTH($A1470)=Reference!$C$6,1,0)*Reference!$C$12)</f>
        <v>371070</v>
      </c>
      <c r="D1470" s="10">
        <f ca="1">ROUND(_xlfn.NORM.INV(RAND(),Reference!$D$8,0.1*Reference!$D$8)*(1+Reference!$D$11*(IF(MONTH($A1470)=Reference!$D$4,1,0)+IF(MONTH($A1470)=Reference!$D$5,1,0))+(IF(MONTH($A1470)=Reference!$D$6,Reference!$D$13,0))),0)</f>
        <v>496</v>
      </c>
      <c r="E1470" s="11">
        <f ca="1">D1470*Reference!$D$7*(1-IF(MONTH($A1470)=Reference!$D$6,1,0)*Reference!$D$12)</f>
        <v>372000</v>
      </c>
      <c r="M1470" s="20"/>
      <c r="N1470" s="20"/>
      <c r="O1470" s="19"/>
      <c r="P1470" s="10"/>
      <c r="Q1470" s="10"/>
      <c r="R1470" s="10"/>
      <c r="S1470" s="10"/>
      <c r="T1470" s="10"/>
      <c r="U1470" s="10"/>
      <c r="V1470" s="10"/>
      <c r="W1470" s="10"/>
      <c r="X1470" s="10"/>
      <c r="Y1470" s="10"/>
    </row>
    <row r="1471" spans="1:25" x14ac:dyDescent="0.25">
      <c r="A1471" s="9">
        <v>42009</v>
      </c>
      <c r="B1471" s="10">
        <f ca="1">ROUND(_xlfn.NORM.INV(RAND(),Reference!$C$8,0.1*Reference!$C$8)*(1+Reference!$C$11*(IF(MONTH($A1471)=Reference!$C$4,1,0)+IF(MONTH($A1471)=Reference!$C$5,1,0))+(IF(MONTH($A1471)=Reference!$C$6,Reference!$C$13,0))),0)</f>
        <v>333</v>
      </c>
      <c r="C1471" s="11">
        <f ca="1">B1471*Reference!$C$7*(1-IF(MONTH($A1471)=Reference!$C$6,1,0)*Reference!$C$12)</f>
        <v>309690</v>
      </c>
      <c r="D1471" s="10">
        <f ca="1">ROUND(_xlfn.NORM.INV(RAND(),Reference!$D$8,0.1*Reference!$D$8)*(1+Reference!$D$11*(IF(MONTH($A1471)=Reference!$D$4,1,0)+IF(MONTH($A1471)=Reference!$D$5,1,0))+(IF(MONTH($A1471)=Reference!$D$6,Reference!$D$13,0))),0)</f>
        <v>354</v>
      </c>
      <c r="E1471" s="11">
        <f ca="1">D1471*Reference!$D$7*(1-IF(MONTH($A1471)=Reference!$D$6,1,0)*Reference!$D$12)</f>
        <v>265500</v>
      </c>
      <c r="M1471" s="20"/>
      <c r="N1471" s="20"/>
      <c r="O1471" s="19"/>
      <c r="P1471" s="10"/>
      <c r="Q1471" s="10"/>
      <c r="R1471" s="10"/>
      <c r="S1471" s="10"/>
      <c r="T1471" s="10"/>
      <c r="U1471" s="10"/>
      <c r="V1471" s="10"/>
      <c r="W1471" s="10"/>
      <c r="X1471" s="10"/>
      <c r="Y1471" s="10"/>
    </row>
    <row r="1472" spans="1:25" x14ac:dyDescent="0.25">
      <c r="A1472" s="9">
        <v>42010</v>
      </c>
      <c r="B1472" s="10">
        <f ca="1">ROUND(_xlfn.NORM.INV(RAND(),Reference!$C$8,0.1*Reference!$C$8)*(1+Reference!$C$11*(IF(MONTH($A1472)=Reference!$C$4,1,0)+IF(MONTH($A1472)=Reference!$C$5,1,0))+(IF(MONTH($A1472)=Reference!$C$6,Reference!$C$13,0))),0)</f>
        <v>315</v>
      </c>
      <c r="C1472" s="11">
        <f ca="1">B1472*Reference!$C$7*(1-IF(MONTH($A1472)=Reference!$C$6,1,0)*Reference!$C$12)</f>
        <v>292950</v>
      </c>
      <c r="D1472" s="10">
        <f ca="1">ROUND(_xlfn.NORM.INV(RAND(),Reference!$D$8,0.1*Reference!$D$8)*(1+Reference!$D$11*(IF(MONTH($A1472)=Reference!$D$4,1,0)+IF(MONTH($A1472)=Reference!$D$5,1,0))+(IF(MONTH($A1472)=Reference!$D$6,Reference!$D$13,0))),0)</f>
        <v>414</v>
      </c>
      <c r="E1472" s="11">
        <f ca="1">D1472*Reference!$D$7*(1-IF(MONTH($A1472)=Reference!$D$6,1,0)*Reference!$D$12)</f>
        <v>310500</v>
      </c>
      <c r="M1472" s="20"/>
      <c r="N1472" s="20"/>
      <c r="O1472" s="19"/>
      <c r="P1472" s="10"/>
      <c r="Q1472" s="10"/>
      <c r="R1472" s="10"/>
      <c r="S1472" s="10"/>
      <c r="T1472" s="10"/>
      <c r="U1472" s="10"/>
      <c r="V1472" s="10"/>
      <c r="W1472" s="10"/>
      <c r="X1472" s="10"/>
      <c r="Y1472" s="10"/>
    </row>
    <row r="1473" spans="1:25" x14ac:dyDescent="0.25">
      <c r="A1473" s="9">
        <v>42011</v>
      </c>
      <c r="B1473" s="10">
        <f ca="1">ROUND(_xlfn.NORM.INV(RAND(),Reference!$C$8,0.1*Reference!$C$8)*(1+Reference!$C$11*(IF(MONTH($A1473)=Reference!$C$4,1,0)+IF(MONTH($A1473)=Reference!$C$5,1,0))+(IF(MONTH($A1473)=Reference!$C$6,Reference!$C$13,0))),0)</f>
        <v>333</v>
      </c>
      <c r="C1473" s="11">
        <f ca="1">B1473*Reference!$C$7*(1-IF(MONTH($A1473)=Reference!$C$6,1,0)*Reference!$C$12)</f>
        <v>309690</v>
      </c>
      <c r="D1473" s="10">
        <f ca="1">ROUND(_xlfn.NORM.INV(RAND(),Reference!$D$8,0.1*Reference!$D$8)*(1+Reference!$D$11*(IF(MONTH($A1473)=Reference!$D$4,1,0)+IF(MONTH($A1473)=Reference!$D$5,1,0))+(IF(MONTH($A1473)=Reference!$D$6,Reference!$D$13,0))),0)</f>
        <v>447</v>
      </c>
      <c r="E1473" s="11">
        <f ca="1">D1473*Reference!$D$7*(1-IF(MONTH($A1473)=Reference!$D$6,1,0)*Reference!$D$12)</f>
        <v>335250</v>
      </c>
      <c r="M1473" s="20"/>
      <c r="N1473" s="20"/>
      <c r="O1473" s="19"/>
      <c r="P1473" s="10"/>
      <c r="Q1473" s="10"/>
      <c r="R1473" s="10"/>
      <c r="S1473" s="10"/>
      <c r="T1473" s="10"/>
      <c r="U1473" s="10"/>
      <c r="V1473" s="10"/>
      <c r="W1473" s="10"/>
      <c r="X1473" s="10"/>
      <c r="Y1473" s="10"/>
    </row>
    <row r="1474" spans="1:25" x14ac:dyDescent="0.25">
      <c r="A1474" s="9">
        <v>42012</v>
      </c>
      <c r="B1474" s="10">
        <f ca="1">ROUND(_xlfn.NORM.INV(RAND(),Reference!$C$8,0.1*Reference!$C$8)*(1+Reference!$C$11*(IF(MONTH($A1474)=Reference!$C$4,1,0)+IF(MONTH($A1474)=Reference!$C$5,1,0))+(IF(MONTH($A1474)=Reference!$C$6,Reference!$C$13,0))),0)</f>
        <v>377</v>
      </c>
      <c r="C1474" s="11">
        <f ca="1">B1474*Reference!$C$7*(1-IF(MONTH($A1474)=Reference!$C$6,1,0)*Reference!$C$12)</f>
        <v>350610</v>
      </c>
      <c r="D1474" s="10">
        <f ca="1">ROUND(_xlfn.NORM.INV(RAND(),Reference!$D$8,0.1*Reference!$D$8)*(1+Reference!$D$11*(IF(MONTH($A1474)=Reference!$D$4,1,0)+IF(MONTH($A1474)=Reference!$D$5,1,0))+(IF(MONTH($A1474)=Reference!$D$6,Reference!$D$13,0))),0)</f>
        <v>417</v>
      </c>
      <c r="E1474" s="11">
        <f ca="1">D1474*Reference!$D$7*(1-IF(MONTH($A1474)=Reference!$D$6,1,0)*Reference!$D$12)</f>
        <v>312750</v>
      </c>
      <c r="M1474" s="20"/>
      <c r="N1474" s="20"/>
      <c r="O1474" s="19"/>
      <c r="P1474" s="10"/>
      <c r="Q1474" s="10"/>
      <c r="R1474" s="10"/>
      <c r="S1474" s="10"/>
      <c r="T1474" s="10"/>
      <c r="U1474" s="10"/>
      <c r="V1474" s="10"/>
      <c r="W1474" s="10"/>
      <c r="X1474" s="10"/>
      <c r="Y1474" s="10"/>
    </row>
    <row r="1475" spans="1:25" x14ac:dyDescent="0.25">
      <c r="A1475" s="9">
        <v>42013</v>
      </c>
      <c r="B1475" s="10">
        <f ca="1">ROUND(_xlfn.NORM.INV(RAND(),Reference!$C$8,0.1*Reference!$C$8)*(1+Reference!$C$11*(IF(MONTH($A1475)=Reference!$C$4,1,0)+IF(MONTH($A1475)=Reference!$C$5,1,0))+(IF(MONTH($A1475)=Reference!$C$6,Reference!$C$13,0))),0)</f>
        <v>373</v>
      </c>
      <c r="C1475" s="11">
        <f ca="1">B1475*Reference!$C$7*(1-IF(MONTH($A1475)=Reference!$C$6,1,0)*Reference!$C$12)</f>
        <v>346890</v>
      </c>
      <c r="D1475" s="10">
        <f ca="1">ROUND(_xlfn.NORM.INV(RAND(),Reference!$D$8,0.1*Reference!$D$8)*(1+Reference!$D$11*(IF(MONTH($A1475)=Reference!$D$4,1,0)+IF(MONTH($A1475)=Reference!$D$5,1,0))+(IF(MONTH($A1475)=Reference!$D$6,Reference!$D$13,0))),0)</f>
        <v>512</v>
      </c>
      <c r="E1475" s="11">
        <f ca="1">D1475*Reference!$D$7*(1-IF(MONTH($A1475)=Reference!$D$6,1,0)*Reference!$D$12)</f>
        <v>384000</v>
      </c>
      <c r="M1475" s="20"/>
      <c r="N1475" s="20"/>
      <c r="O1475" s="19"/>
      <c r="P1475" s="10"/>
      <c r="Q1475" s="10"/>
      <c r="R1475" s="10"/>
      <c r="S1475" s="10"/>
      <c r="T1475" s="10"/>
      <c r="U1475" s="10"/>
      <c r="V1475" s="10"/>
      <c r="W1475" s="10"/>
      <c r="X1475" s="10"/>
      <c r="Y1475" s="10"/>
    </row>
    <row r="1476" spans="1:25" x14ac:dyDescent="0.25">
      <c r="A1476" s="9">
        <v>42014</v>
      </c>
      <c r="B1476" s="10">
        <f ca="1">ROUND(_xlfn.NORM.INV(RAND(),Reference!$C$8,0.1*Reference!$C$8)*(1+Reference!$C$11*(IF(MONTH($A1476)=Reference!$C$4,1,0)+IF(MONTH($A1476)=Reference!$C$5,1,0))+(IF(MONTH($A1476)=Reference!$C$6,Reference!$C$13,0))),0)</f>
        <v>350</v>
      </c>
      <c r="C1476" s="11">
        <f ca="1">B1476*Reference!$C$7*(1-IF(MONTH($A1476)=Reference!$C$6,1,0)*Reference!$C$12)</f>
        <v>325500</v>
      </c>
      <c r="D1476" s="10">
        <f ca="1">ROUND(_xlfn.NORM.INV(RAND(),Reference!$D$8,0.1*Reference!$D$8)*(1+Reference!$D$11*(IF(MONTH($A1476)=Reference!$D$4,1,0)+IF(MONTH($A1476)=Reference!$D$5,1,0))+(IF(MONTH($A1476)=Reference!$D$6,Reference!$D$13,0))),0)</f>
        <v>442</v>
      </c>
      <c r="E1476" s="11">
        <f ca="1">D1476*Reference!$D$7*(1-IF(MONTH($A1476)=Reference!$D$6,1,0)*Reference!$D$12)</f>
        <v>331500</v>
      </c>
      <c r="M1476" s="20"/>
      <c r="N1476" s="20"/>
      <c r="O1476" s="19"/>
      <c r="P1476" s="10"/>
      <c r="Q1476" s="10"/>
      <c r="R1476" s="10"/>
      <c r="S1476" s="10"/>
      <c r="T1476" s="10"/>
      <c r="U1476" s="10"/>
      <c r="V1476" s="10"/>
      <c r="W1476" s="10"/>
      <c r="X1476" s="10"/>
      <c r="Y1476" s="10"/>
    </row>
    <row r="1477" spans="1:25" x14ac:dyDescent="0.25">
      <c r="A1477" s="9">
        <v>42015</v>
      </c>
      <c r="B1477" s="10">
        <f ca="1">ROUND(_xlfn.NORM.INV(RAND(),Reference!$C$8,0.1*Reference!$C$8)*(1+Reference!$C$11*(IF(MONTH($A1477)=Reference!$C$4,1,0)+IF(MONTH($A1477)=Reference!$C$5,1,0))+(IF(MONTH($A1477)=Reference!$C$6,Reference!$C$13,0))),0)</f>
        <v>326</v>
      </c>
      <c r="C1477" s="11">
        <f ca="1">B1477*Reference!$C$7*(1-IF(MONTH($A1477)=Reference!$C$6,1,0)*Reference!$C$12)</f>
        <v>303180</v>
      </c>
      <c r="D1477" s="10">
        <f ca="1">ROUND(_xlfn.NORM.INV(RAND(),Reference!$D$8,0.1*Reference!$D$8)*(1+Reference!$D$11*(IF(MONTH($A1477)=Reference!$D$4,1,0)+IF(MONTH($A1477)=Reference!$D$5,1,0))+(IF(MONTH($A1477)=Reference!$D$6,Reference!$D$13,0))),0)</f>
        <v>465</v>
      </c>
      <c r="E1477" s="11">
        <f ca="1">D1477*Reference!$D$7*(1-IF(MONTH($A1477)=Reference!$D$6,1,0)*Reference!$D$12)</f>
        <v>348750</v>
      </c>
      <c r="M1477" s="20"/>
      <c r="N1477" s="20"/>
      <c r="O1477" s="19"/>
      <c r="P1477" s="10"/>
      <c r="Q1477" s="10"/>
      <c r="R1477" s="10"/>
      <c r="S1477" s="10"/>
      <c r="T1477" s="10"/>
      <c r="U1477" s="10"/>
      <c r="V1477" s="10"/>
      <c r="W1477" s="10"/>
      <c r="X1477" s="10"/>
      <c r="Y1477" s="10"/>
    </row>
    <row r="1478" spans="1:25" x14ac:dyDescent="0.25">
      <c r="A1478" s="9">
        <v>42016</v>
      </c>
      <c r="B1478" s="10">
        <f ca="1">ROUND(_xlfn.NORM.INV(RAND(),Reference!$C$8,0.1*Reference!$C$8)*(1+Reference!$C$11*(IF(MONTH($A1478)=Reference!$C$4,1,0)+IF(MONTH($A1478)=Reference!$C$5,1,0))+(IF(MONTH($A1478)=Reference!$C$6,Reference!$C$13,0))),0)</f>
        <v>335</v>
      </c>
      <c r="C1478" s="11">
        <f ca="1">B1478*Reference!$C$7*(1-IF(MONTH($A1478)=Reference!$C$6,1,0)*Reference!$C$12)</f>
        <v>311550</v>
      </c>
      <c r="D1478" s="10">
        <f ca="1">ROUND(_xlfn.NORM.INV(RAND(),Reference!$D$8,0.1*Reference!$D$8)*(1+Reference!$D$11*(IF(MONTH($A1478)=Reference!$D$4,1,0)+IF(MONTH($A1478)=Reference!$D$5,1,0))+(IF(MONTH($A1478)=Reference!$D$6,Reference!$D$13,0))),0)</f>
        <v>465</v>
      </c>
      <c r="E1478" s="11">
        <f ca="1">D1478*Reference!$D$7*(1-IF(MONTH($A1478)=Reference!$D$6,1,0)*Reference!$D$12)</f>
        <v>348750</v>
      </c>
      <c r="M1478" s="20"/>
      <c r="N1478" s="20"/>
      <c r="O1478" s="19"/>
      <c r="P1478" s="10"/>
      <c r="Q1478" s="10"/>
      <c r="R1478" s="10"/>
      <c r="S1478" s="10"/>
      <c r="T1478" s="10"/>
      <c r="U1478" s="10"/>
      <c r="V1478" s="10"/>
      <c r="W1478" s="10"/>
      <c r="X1478" s="10"/>
      <c r="Y1478" s="10"/>
    </row>
    <row r="1479" spans="1:25" x14ac:dyDescent="0.25">
      <c r="A1479" s="9">
        <v>42017</v>
      </c>
      <c r="B1479" s="10">
        <f ca="1">ROUND(_xlfn.NORM.INV(RAND(),Reference!$C$8,0.1*Reference!$C$8)*(1+Reference!$C$11*(IF(MONTH($A1479)=Reference!$C$4,1,0)+IF(MONTH($A1479)=Reference!$C$5,1,0))+(IF(MONTH($A1479)=Reference!$C$6,Reference!$C$13,0))),0)</f>
        <v>367</v>
      </c>
      <c r="C1479" s="11">
        <f ca="1">B1479*Reference!$C$7*(1-IF(MONTH($A1479)=Reference!$C$6,1,0)*Reference!$C$12)</f>
        <v>341310</v>
      </c>
      <c r="D1479" s="10">
        <f ca="1">ROUND(_xlfn.NORM.INV(RAND(),Reference!$D$8,0.1*Reference!$D$8)*(1+Reference!$D$11*(IF(MONTH($A1479)=Reference!$D$4,1,0)+IF(MONTH($A1479)=Reference!$D$5,1,0))+(IF(MONTH($A1479)=Reference!$D$6,Reference!$D$13,0))),0)</f>
        <v>431</v>
      </c>
      <c r="E1479" s="11">
        <f ca="1">D1479*Reference!$D$7*(1-IF(MONTH($A1479)=Reference!$D$6,1,0)*Reference!$D$12)</f>
        <v>323250</v>
      </c>
      <c r="M1479" s="20"/>
      <c r="N1479" s="20"/>
      <c r="O1479" s="19"/>
      <c r="P1479" s="10"/>
      <c r="Q1479" s="10"/>
      <c r="R1479" s="10"/>
      <c r="S1479" s="10"/>
      <c r="T1479" s="10"/>
      <c r="U1479" s="10"/>
      <c r="V1479" s="10"/>
      <c r="W1479" s="10"/>
      <c r="X1479" s="10"/>
      <c r="Y1479" s="10"/>
    </row>
    <row r="1480" spans="1:25" x14ac:dyDescent="0.25">
      <c r="A1480" s="9">
        <v>42018</v>
      </c>
      <c r="B1480" s="10">
        <f ca="1">ROUND(_xlfn.NORM.INV(RAND(),Reference!$C$8,0.1*Reference!$C$8)*(1+Reference!$C$11*(IF(MONTH($A1480)=Reference!$C$4,1,0)+IF(MONTH($A1480)=Reference!$C$5,1,0))+(IF(MONTH($A1480)=Reference!$C$6,Reference!$C$13,0))),0)</f>
        <v>336</v>
      </c>
      <c r="C1480" s="11">
        <f ca="1">B1480*Reference!$C$7*(1-IF(MONTH($A1480)=Reference!$C$6,1,0)*Reference!$C$12)</f>
        <v>312480</v>
      </c>
      <c r="D1480" s="10">
        <f ca="1">ROUND(_xlfn.NORM.INV(RAND(),Reference!$D$8,0.1*Reference!$D$8)*(1+Reference!$D$11*(IF(MONTH($A1480)=Reference!$D$4,1,0)+IF(MONTH($A1480)=Reference!$D$5,1,0))+(IF(MONTH($A1480)=Reference!$D$6,Reference!$D$13,0))),0)</f>
        <v>411</v>
      </c>
      <c r="E1480" s="11">
        <f ca="1">D1480*Reference!$D$7*(1-IF(MONTH($A1480)=Reference!$D$6,1,0)*Reference!$D$12)</f>
        <v>308250</v>
      </c>
      <c r="M1480" s="20"/>
      <c r="N1480" s="20"/>
      <c r="O1480" s="19"/>
      <c r="P1480" s="10"/>
      <c r="Q1480" s="10"/>
      <c r="R1480" s="10"/>
      <c r="S1480" s="10"/>
      <c r="T1480" s="10"/>
      <c r="U1480" s="10"/>
      <c r="V1480" s="10"/>
      <c r="W1480" s="10"/>
      <c r="X1480" s="10"/>
      <c r="Y1480" s="10"/>
    </row>
    <row r="1481" spans="1:25" x14ac:dyDescent="0.25">
      <c r="A1481" s="9">
        <v>42019</v>
      </c>
      <c r="B1481" s="10">
        <f ca="1">ROUND(_xlfn.NORM.INV(RAND(),Reference!$C$8,0.1*Reference!$C$8)*(1+Reference!$C$11*(IF(MONTH($A1481)=Reference!$C$4,1,0)+IF(MONTH($A1481)=Reference!$C$5,1,0))+(IF(MONTH($A1481)=Reference!$C$6,Reference!$C$13,0))),0)</f>
        <v>380</v>
      </c>
      <c r="C1481" s="11">
        <f ca="1">B1481*Reference!$C$7*(1-IF(MONTH($A1481)=Reference!$C$6,1,0)*Reference!$C$12)</f>
        <v>353400</v>
      </c>
      <c r="D1481" s="10">
        <f ca="1">ROUND(_xlfn.NORM.INV(RAND(),Reference!$D$8,0.1*Reference!$D$8)*(1+Reference!$D$11*(IF(MONTH($A1481)=Reference!$D$4,1,0)+IF(MONTH($A1481)=Reference!$D$5,1,0))+(IF(MONTH($A1481)=Reference!$D$6,Reference!$D$13,0))),0)</f>
        <v>407</v>
      </c>
      <c r="E1481" s="11">
        <f ca="1">D1481*Reference!$D$7*(1-IF(MONTH($A1481)=Reference!$D$6,1,0)*Reference!$D$12)</f>
        <v>305250</v>
      </c>
      <c r="M1481" s="20"/>
      <c r="N1481" s="20"/>
      <c r="O1481" s="19"/>
      <c r="P1481" s="10"/>
      <c r="Q1481" s="10"/>
      <c r="R1481" s="10"/>
      <c r="S1481" s="10"/>
      <c r="T1481" s="10"/>
      <c r="U1481" s="10"/>
      <c r="V1481" s="10"/>
      <c r="W1481" s="10"/>
      <c r="X1481" s="10"/>
      <c r="Y1481" s="10"/>
    </row>
    <row r="1482" spans="1:25" x14ac:dyDescent="0.25">
      <c r="A1482" s="9">
        <v>42020</v>
      </c>
      <c r="B1482" s="10">
        <f ca="1">ROUND(_xlfn.NORM.INV(RAND(),Reference!$C$8,0.1*Reference!$C$8)*(1+Reference!$C$11*(IF(MONTH($A1482)=Reference!$C$4,1,0)+IF(MONTH($A1482)=Reference!$C$5,1,0))+(IF(MONTH($A1482)=Reference!$C$6,Reference!$C$13,0))),0)</f>
        <v>405</v>
      </c>
      <c r="C1482" s="11">
        <f ca="1">B1482*Reference!$C$7*(1-IF(MONTH($A1482)=Reference!$C$6,1,0)*Reference!$C$12)</f>
        <v>376650</v>
      </c>
      <c r="D1482" s="10">
        <f ca="1">ROUND(_xlfn.NORM.INV(RAND(),Reference!$D$8,0.1*Reference!$D$8)*(1+Reference!$D$11*(IF(MONTH($A1482)=Reference!$D$4,1,0)+IF(MONTH($A1482)=Reference!$D$5,1,0))+(IF(MONTH($A1482)=Reference!$D$6,Reference!$D$13,0))),0)</f>
        <v>474</v>
      </c>
      <c r="E1482" s="11">
        <f ca="1">D1482*Reference!$D$7*(1-IF(MONTH($A1482)=Reference!$D$6,1,0)*Reference!$D$12)</f>
        <v>355500</v>
      </c>
      <c r="M1482" s="20"/>
      <c r="N1482" s="20"/>
      <c r="O1482" s="19"/>
      <c r="P1482" s="10"/>
      <c r="Q1482" s="10"/>
      <c r="R1482" s="10"/>
      <c r="S1482" s="10"/>
      <c r="T1482" s="10"/>
      <c r="U1482" s="10"/>
      <c r="V1482" s="10"/>
      <c r="W1482" s="10"/>
      <c r="X1482" s="10"/>
      <c r="Y1482" s="10"/>
    </row>
    <row r="1483" spans="1:25" x14ac:dyDescent="0.25">
      <c r="A1483" s="9">
        <v>42021</v>
      </c>
      <c r="B1483" s="10">
        <f ca="1">ROUND(_xlfn.NORM.INV(RAND(),Reference!$C$8,0.1*Reference!$C$8)*(1+Reference!$C$11*(IF(MONTH($A1483)=Reference!$C$4,1,0)+IF(MONTH($A1483)=Reference!$C$5,1,0))+(IF(MONTH($A1483)=Reference!$C$6,Reference!$C$13,0))),0)</f>
        <v>302</v>
      </c>
      <c r="C1483" s="11">
        <f ca="1">B1483*Reference!$C$7*(1-IF(MONTH($A1483)=Reference!$C$6,1,0)*Reference!$C$12)</f>
        <v>280860</v>
      </c>
      <c r="D1483" s="10">
        <f ca="1">ROUND(_xlfn.NORM.INV(RAND(),Reference!$D$8,0.1*Reference!$D$8)*(1+Reference!$D$11*(IF(MONTH($A1483)=Reference!$D$4,1,0)+IF(MONTH($A1483)=Reference!$D$5,1,0))+(IF(MONTH($A1483)=Reference!$D$6,Reference!$D$13,0))),0)</f>
        <v>454</v>
      </c>
      <c r="E1483" s="11">
        <f ca="1">D1483*Reference!$D$7*(1-IF(MONTH($A1483)=Reference!$D$6,1,0)*Reference!$D$12)</f>
        <v>340500</v>
      </c>
      <c r="M1483" s="20"/>
      <c r="N1483" s="20"/>
      <c r="O1483" s="19"/>
      <c r="P1483" s="10"/>
      <c r="Q1483" s="10"/>
      <c r="R1483" s="10"/>
      <c r="S1483" s="10"/>
      <c r="T1483" s="10"/>
      <c r="U1483" s="10"/>
      <c r="V1483" s="10"/>
      <c r="W1483" s="10"/>
      <c r="X1483" s="10"/>
      <c r="Y1483" s="10"/>
    </row>
    <row r="1484" spans="1:25" x14ac:dyDescent="0.25">
      <c r="A1484" s="9">
        <v>42022</v>
      </c>
      <c r="B1484" s="10">
        <f ca="1">ROUND(_xlfn.NORM.INV(RAND(),Reference!$C$8,0.1*Reference!$C$8)*(1+Reference!$C$11*(IF(MONTH($A1484)=Reference!$C$4,1,0)+IF(MONTH($A1484)=Reference!$C$5,1,0))+(IF(MONTH($A1484)=Reference!$C$6,Reference!$C$13,0))),0)</f>
        <v>428</v>
      </c>
      <c r="C1484" s="11">
        <f ca="1">B1484*Reference!$C$7*(1-IF(MONTH($A1484)=Reference!$C$6,1,0)*Reference!$C$12)</f>
        <v>398040</v>
      </c>
      <c r="D1484" s="10">
        <f ca="1">ROUND(_xlfn.NORM.INV(RAND(),Reference!$D$8,0.1*Reference!$D$8)*(1+Reference!$D$11*(IF(MONTH($A1484)=Reference!$D$4,1,0)+IF(MONTH($A1484)=Reference!$D$5,1,0))+(IF(MONTH($A1484)=Reference!$D$6,Reference!$D$13,0))),0)</f>
        <v>469</v>
      </c>
      <c r="E1484" s="11">
        <f ca="1">D1484*Reference!$D$7*(1-IF(MONTH($A1484)=Reference!$D$6,1,0)*Reference!$D$12)</f>
        <v>351750</v>
      </c>
      <c r="M1484" s="20"/>
      <c r="N1484" s="20"/>
      <c r="O1484" s="19"/>
      <c r="P1484" s="10"/>
      <c r="Q1484" s="10"/>
      <c r="R1484" s="10"/>
      <c r="S1484" s="10"/>
      <c r="T1484" s="10"/>
      <c r="U1484" s="10"/>
      <c r="V1484" s="10"/>
      <c r="W1484" s="10"/>
      <c r="X1484" s="10"/>
      <c r="Y1484" s="10"/>
    </row>
    <row r="1485" spans="1:25" x14ac:dyDescent="0.25">
      <c r="A1485" s="9">
        <v>42023</v>
      </c>
      <c r="B1485" s="10">
        <f ca="1">ROUND(_xlfn.NORM.INV(RAND(),Reference!$C$8,0.1*Reference!$C$8)*(1+Reference!$C$11*(IF(MONTH($A1485)=Reference!$C$4,1,0)+IF(MONTH($A1485)=Reference!$C$5,1,0))+(IF(MONTH($A1485)=Reference!$C$6,Reference!$C$13,0))),0)</f>
        <v>376</v>
      </c>
      <c r="C1485" s="11">
        <f ca="1">B1485*Reference!$C$7*(1-IF(MONTH($A1485)=Reference!$C$6,1,0)*Reference!$C$12)</f>
        <v>349680</v>
      </c>
      <c r="D1485" s="10">
        <f ca="1">ROUND(_xlfn.NORM.INV(RAND(),Reference!$D$8,0.1*Reference!$D$8)*(1+Reference!$D$11*(IF(MONTH($A1485)=Reference!$D$4,1,0)+IF(MONTH($A1485)=Reference!$D$5,1,0))+(IF(MONTH($A1485)=Reference!$D$6,Reference!$D$13,0))),0)</f>
        <v>477</v>
      </c>
      <c r="E1485" s="11">
        <f ca="1">D1485*Reference!$D$7*(1-IF(MONTH($A1485)=Reference!$D$6,1,0)*Reference!$D$12)</f>
        <v>357750</v>
      </c>
      <c r="M1485" s="20"/>
      <c r="N1485" s="20"/>
      <c r="O1485" s="19"/>
      <c r="P1485" s="10"/>
      <c r="Q1485" s="10"/>
      <c r="R1485" s="10"/>
      <c r="S1485" s="10"/>
      <c r="T1485" s="10"/>
      <c r="U1485" s="10"/>
      <c r="V1485" s="10"/>
      <c r="W1485" s="10"/>
      <c r="X1485" s="10"/>
      <c r="Y1485" s="10"/>
    </row>
    <row r="1486" spans="1:25" x14ac:dyDescent="0.25">
      <c r="A1486" s="9">
        <v>42024</v>
      </c>
      <c r="B1486" s="10">
        <f ca="1">ROUND(_xlfn.NORM.INV(RAND(),Reference!$C$8,0.1*Reference!$C$8)*(1+Reference!$C$11*(IF(MONTH($A1486)=Reference!$C$4,1,0)+IF(MONTH($A1486)=Reference!$C$5,1,0))+(IF(MONTH($A1486)=Reference!$C$6,Reference!$C$13,0))),0)</f>
        <v>359</v>
      </c>
      <c r="C1486" s="11">
        <f ca="1">B1486*Reference!$C$7*(1-IF(MONTH($A1486)=Reference!$C$6,1,0)*Reference!$C$12)</f>
        <v>333870</v>
      </c>
      <c r="D1486" s="10">
        <f ca="1">ROUND(_xlfn.NORM.INV(RAND(),Reference!$D$8,0.1*Reference!$D$8)*(1+Reference!$D$11*(IF(MONTH($A1486)=Reference!$D$4,1,0)+IF(MONTH($A1486)=Reference!$D$5,1,0))+(IF(MONTH($A1486)=Reference!$D$6,Reference!$D$13,0))),0)</f>
        <v>412</v>
      </c>
      <c r="E1486" s="11">
        <f ca="1">D1486*Reference!$D$7*(1-IF(MONTH($A1486)=Reference!$D$6,1,0)*Reference!$D$12)</f>
        <v>309000</v>
      </c>
      <c r="M1486" s="20"/>
      <c r="N1486" s="20"/>
      <c r="O1486" s="19"/>
      <c r="P1486" s="10"/>
      <c r="Q1486" s="10"/>
      <c r="R1486" s="10"/>
      <c r="S1486" s="10"/>
      <c r="T1486" s="10"/>
      <c r="U1486" s="10"/>
      <c r="V1486" s="10"/>
      <c r="W1486" s="10"/>
      <c r="X1486" s="10"/>
      <c r="Y1486" s="10"/>
    </row>
    <row r="1487" spans="1:25" x14ac:dyDescent="0.25">
      <c r="A1487" s="9">
        <v>42025</v>
      </c>
      <c r="B1487" s="10">
        <f ca="1">ROUND(_xlfn.NORM.INV(RAND(),Reference!$C$8,0.1*Reference!$C$8)*(1+Reference!$C$11*(IF(MONTH($A1487)=Reference!$C$4,1,0)+IF(MONTH($A1487)=Reference!$C$5,1,0))+(IF(MONTH($A1487)=Reference!$C$6,Reference!$C$13,0))),0)</f>
        <v>423</v>
      </c>
      <c r="C1487" s="11">
        <f ca="1">B1487*Reference!$C$7*(1-IF(MONTH($A1487)=Reference!$C$6,1,0)*Reference!$C$12)</f>
        <v>393390</v>
      </c>
      <c r="D1487" s="10">
        <f ca="1">ROUND(_xlfn.NORM.INV(RAND(),Reference!$D$8,0.1*Reference!$D$8)*(1+Reference!$D$11*(IF(MONTH($A1487)=Reference!$D$4,1,0)+IF(MONTH($A1487)=Reference!$D$5,1,0))+(IF(MONTH($A1487)=Reference!$D$6,Reference!$D$13,0))),0)</f>
        <v>453</v>
      </c>
      <c r="E1487" s="11">
        <f ca="1">D1487*Reference!$D$7*(1-IF(MONTH($A1487)=Reference!$D$6,1,0)*Reference!$D$12)</f>
        <v>339750</v>
      </c>
      <c r="M1487" s="20"/>
      <c r="N1487" s="20"/>
      <c r="O1487" s="19"/>
      <c r="P1487" s="10"/>
      <c r="Q1487" s="10"/>
      <c r="R1487" s="10"/>
      <c r="S1487" s="10"/>
      <c r="T1487" s="10"/>
      <c r="U1487" s="10"/>
      <c r="V1487" s="10"/>
      <c r="W1487" s="10"/>
      <c r="X1487" s="10"/>
      <c r="Y1487" s="10"/>
    </row>
    <row r="1488" spans="1:25" x14ac:dyDescent="0.25">
      <c r="A1488" s="9">
        <v>42026</v>
      </c>
      <c r="B1488" s="10">
        <f ca="1">ROUND(_xlfn.NORM.INV(RAND(),Reference!$C$8,0.1*Reference!$C$8)*(1+Reference!$C$11*(IF(MONTH($A1488)=Reference!$C$4,1,0)+IF(MONTH($A1488)=Reference!$C$5,1,0))+(IF(MONTH($A1488)=Reference!$C$6,Reference!$C$13,0))),0)</f>
        <v>357</v>
      </c>
      <c r="C1488" s="11">
        <f ca="1">B1488*Reference!$C$7*(1-IF(MONTH($A1488)=Reference!$C$6,1,0)*Reference!$C$12)</f>
        <v>332010</v>
      </c>
      <c r="D1488" s="10">
        <f ca="1">ROUND(_xlfn.NORM.INV(RAND(),Reference!$D$8,0.1*Reference!$D$8)*(1+Reference!$D$11*(IF(MONTH($A1488)=Reference!$D$4,1,0)+IF(MONTH($A1488)=Reference!$D$5,1,0))+(IF(MONTH($A1488)=Reference!$D$6,Reference!$D$13,0))),0)</f>
        <v>452</v>
      </c>
      <c r="E1488" s="11">
        <f ca="1">D1488*Reference!$D$7*(1-IF(MONTH($A1488)=Reference!$D$6,1,0)*Reference!$D$12)</f>
        <v>339000</v>
      </c>
      <c r="M1488" s="20"/>
      <c r="N1488" s="20"/>
      <c r="O1488" s="19"/>
      <c r="P1488" s="10"/>
      <c r="Q1488" s="10"/>
      <c r="R1488" s="10"/>
      <c r="S1488" s="10"/>
      <c r="T1488" s="10"/>
      <c r="U1488" s="10"/>
      <c r="V1488" s="10"/>
      <c r="W1488" s="10"/>
      <c r="X1488" s="10"/>
      <c r="Y1488" s="10"/>
    </row>
    <row r="1489" spans="1:25" x14ac:dyDescent="0.25">
      <c r="A1489" s="9">
        <v>42027</v>
      </c>
      <c r="B1489" s="10">
        <f ca="1">ROUND(_xlfn.NORM.INV(RAND(),Reference!$C$8,0.1*Reference!$C$8)*(1+Reference!$C$11*(IF(MONTH($A1489)=Reference!$C$4,1,0)+IF(MONTH($A1489)=Reference!$C$5,1,0))+(IF(MONTH($A1489)=Reference!$C$6,Reference!$C$13,0))),0)</f>
        <v>358</v>
      </c>
      <c r="C1489" s="11">
        <f ca="1">B1489*Reference!$C$7*(1-IF(MONTH($A1489)=Reference!$C$6,1,0)*Reference!$C$12)</f>
        <v>332940</v>
      </c>
      <c r="D1489" s="10">
        <f ca="1">ROUND(_xlfn.NORM.INV(RAND(),Reference!$D$8,0.1*Reference!$D$8)*(1+Reference!$D$11*(IF(MONTH($A1489)=Reference!$D$4,1,0)+IF(MONTH($A1489)=Reference!$D$5,1,0))+(IF(MONTH($A1489)=Reference!$D$6,Reference!$D$13,0))),0)</f>
        <v>413</v>
      </c>
      <c r="E1489" s="11">
        <f ca="1">D1489*Reference!$D$7*(1-IF(MONTH($A1489)=Reference!$D$6,1,0)*Reference!$D$12)</f>
        <v>309750</v>
      </c>
      <c r="M1489" s="20"/>
      <c r="N1489" s="20"/>
      <c r="O1489" s="19"/>
      <c r="P1489" s="10"/>
      <c r="Q1489" s="10"/>
      <c r="R1489" s="10"/>
      <c r="S1489" s="10"/>
      <c r="T1489" s="10"/>
      <c r="U1489" s="10"/>
      <c r="V1489" s="10"/>
      <c r="W1489" s="10"/>
      <c r="X1489" s="10"/>
      <c r="Y1489" s="10"/>
    </row>
    <row r="1490" spans="1:25" x14ac:dyDescent="0.25">
      <c r="A1490" s="9">
        <v>42028</v>
      </c>
      <c r="B1490" s="10">
        <f ca="1">ROUND(_xlfn.NORM.INV(RAND(),Reference!$C$8,0.1*Reference!$C$8)*(1+Reference!$C$11*(IF(MONTH($A1490)=Reference!$C$4,1,0)+IF(MONTH($A1490)=Reference!$C$5,1,0))+(IF(MONTH($A1490)=Reference!$C$6,Reference!$C$13,0))),0)</f>
        <v>345</v>
      </c>
      <c r="C1490" s="11">
        <f ca="1">B1490*Reference!$C$7*(1-IF(MONTH($A1490)=Reference!$C$6,1,0)*Reference!$C$12)</f>
        <v>320850</v>
      </c>
      <c r="D1490" s="10">
        <f ca="1">ROUND(_xlfn.NORM.INV(RAND(),Reference!$D$8,0.1*Reference!$D$8)*(1+Reference!$D$11*(IF(MONTH($A1490)=Reference!$D$4,1,0)+IF(MONTH($A1490)=Reference!$D$5,1,0))+(IF(MONTH($A1490)=Reference!$D$6,Reference!$D$13,0))),0)</f>
        <v>385</v>
      </c>
      <c r="E1490" s="11">
        <f ca="1">D1490*Reference!$D$7*(1-IF(MONTH($A1490)=Reference!$D$6,1,0)*Reference!$D$12)</f>
        <v>288750</v>
      </c>
      <c r="M1490" s="20"/>
      <c r="N1490" s="20"/>
      <c r="O1490" s="19"/>
      <c r="P1490" s="10"/>
      <c r="Q1490" s="10"/>
      <c r="R1490" s="10"/>
      <c r="S1490" s="10"/>
      <c r="T1490" s="10"/>
      <c r="U1490" s="10"/>
      <c r="V1490" s="10"/>
      <c r="W1490" s="10"/>
      <c r="X1490" s="10"/>
      <c r="Y1490" s="10"/>
    </row>
    <row r="1491" spans="1:25" x14ac:dyDescent="0.25">
      <c r="A1491" s="9">
        <v>42029</v>
      </c>
      <c r="B1491" s="10">
        <f ca="1">ROUND(_xlfn.NORM.INV(RAND(),Reference!$C$8,0.1*Reference!$C$8)*(1+Reference!$C$11*(IF(MONTH($A1491)=Reference!$C$4,1,0)+IF(MONTH($A1491)=Reference!$C$5,1,0))+(IF(MONTH($A1491)=Reference!$C$6,Reference!$C$13,0))),0)</f>
        <v>370</v>
      </c>
      <c r="C1491" s="11">
        <f ca="1">B1491*Reference!$C$7*(1-IF(MONTH($A1491)=Reference!$C$6,1,0)*Reference!$C$12)</f>
        <v>344100</v>
      </c>
      <c r="D1491" s="10">
        <f ca="1">ROUND(_xlfn.NORM.INV(RAND(),Reference!$D$8,0.1*Reference!$D$8)*(1+Reference!$D$11*(IF(MONTH($A1491)=Reference!$D$4,1,0)+IF(MONTH($A1491)=Reference!$D$5,1,0))+(IF(MONTH($A1491)=Reference!$D$6,Reference!$D$13,0))),0)</f>
        <v>501</v>
      </c>
      <c r="E1491" s="11">
        <f ca="1">D1491*Reference!$D$7*(1-IF(MONTH($A1491)=Reference!$D$6,1,0)*Reference!$D$12)</f>
        <v>375750</v>
      </c>
      <c r="M1491" s="20"/>
      <c r="N1491" s="20"/>
      <c r="O1491" s="19"/>
      <c r="P1491" s="10"/>
      <c r="Q1491" s="10"/>
      <c r="R1491" s="10"/>
      <c r="S1491" s="10"/>
      <c r="T1491" s="10"/>
      <c r="U1491" s="10"/>
      <c r="V1491" s="10"/>
      <c r="W1491" s="10"/>
      <c r="X1491" s="10"/>
      <c r="Y1491" s="10"/>
    </row>
    <row r="1492" spans="1:25" x14ac:dyDescent="0.25">
      <c r="A1492" s="9">
        <v>42030</v>
      </c>
      <c r="B1492" s="10">
        <f ca="1">ROUND(_xlfn.NORM.INV(RAND(),Reference!$C$8,0.1*Reference!$C$8)*(1+Reference!$C$11*(IF(MONTH($A1492)=Reference!$C$4,1,0)+IF(MONTH($A1492)=Reference!$C$5,1,0))+(IF(MONTH($A1492)=Reference!$C$6,Reference!$C$13,0))),0)</f>
        <v>389</v>
      </c>
      <c r="C1492" s="11">
        <f ca="1">B1492*Reference!$C$7*(1-IF(MONTH($A1492)=Reference!$C$6,1,0)*Reference!$C$12)</f>
        <v>361770</v>
      </c>
      <c r="D1492" s="10">
        <f ca="1">ROUND(_xlfn.NORM.INV(RAND(),Reference!$D$8,0.1*Reference!$D$8)*(1+Reference!$D$11*(IF(MONTH($A1492)=Reference!$D$4,1,0)+IF(MONTH($A1492)=Reference!$D$5,1,0))+(IF(MONTH($A1492)=Reference!$D$6,Reference!$D$13,0))),0)</f>
        <v>369</v>
      </c>
      <c r="E1492" s="11">
        <f ca="1">D1492*Reference!$D$7*(1-IF(MONTH($A1492)=Reference!$D$6,1,0)*Reference!$D$12)</f>
        <v>276750</v>
      </c>
      <c r="M1492" s="20"/>
      <c r="N1492" s="20"/>
      <c r="O1492" s="19"/>
      <c r="P1492" s="10"/>
      <c r="Q1492" s="10"/>
      <c r="R1492" s="10"/>
      <c r="S1492" s="10"/>
      <c r="T1492" s="10"/>
      <c r="U1492" s="10"/>
      <c r="V1492" s="10"/>
      <c r="W1492" s="10"/>
      <c r="X1492" s="10"/>
      <c r="Y1492" s="10"/>
    </row>
    <row r="1493" spans="1:25" x14ac:dyDescent="0.25">
      <c r="A1493" s="9">
        <v>42031</v>
      </c>
      <c r="B1493" s="10">
        <f ca="1">ROUND(_xlfn.NORM.INV(RAND(),Reference!$C$8,0.1*Reference!$C$8)*(1+Reference!$C$11*(IF(MONTH($A1493)=Reference!$C$4,1,0)+IF(MONTH($A1493)=Reference!$C$5,1,0))+(IF(MONTH($A1493)=Reference!$C$6,Reference!$C$13,0))),0)</f>
        <v>285</v>
      </c>
      <c r="C1493" s="11">
        <f ca="1">B1493*Reference!$C$7*(1-IF(MONTH($A1493)=Reference!$C$6,1,0)*Reference!$C$12)</f>
        <v>265050</v>
      </c>
      <c r="D1493" s="10">
        <f ca="1">ROUND(_xlfn.NORM.INV(RAND(),Reference!$D$8,0.1*Reference!$D$8)*(1+Reference!$D$11*(IF(MONTH($A1493)=Reference!$D$4,1,0)+IF(MONTH($A1493)=Reference!$D$5,1,0))+(IF(MONTH($A1493)=Reference!$D$6,Reference!$D$13,0))),0)</f>
        <v>511</v>
      </c>
      <c r="E1493" s="11">
        <f ca="1">D1493*Reference!$D$7*(1-IF(MONTH($A1493)=Reference!$D$6,1,0)*Reference!$D$12)</f>
        <v>383250</v>
      </c>
      <c r="M1493" s="20"/>
      <c r="N1493" s="20"/>
      <c r="O1493" s="19"/>
      <c r="P1493" s="10"/>
      <c r="Q1493" s="10"/>
      <c r="R1493" s="10"/>
      <c r="S1493" s="10"/>
      <c r="T1493" s="10"/>
      <c r="U1493" s="10"/>
      <c r="V1493" s="10"/>
      <c r="W1493" s="10"/>
      <c r="X1493" s="10"/>
      <c r="Y1493" s="10"/>
    </row>
    <row r="1494" spans="1:25" x14ac:dyDescent="0.25">
      <c r="A1494" s="9">
        <v>42032</v>
      </c>
      <c r="B1494" s="10">
        <f ca="1">ROUND(_xlfn.NORM.INV(RAND(),Reference!$C$8,0.1*Reference!$C$8)*(1+Reference!$C$11*(IF(MONTH($A1494)=Reference!$C$4,1,0)+IF(MONTH($A1494)=Reference!$C$5,1,0))+(IF(MONTH($A1494)=Reference!$C$6,Reference!$C$13,0))),0)</f>
        <v>320</v>
      </c>
      <c r="C1494" s="11">
        <f ca="1">B1494*Reference!$C$7*(1-IF(MONTH($A1494)=Reference!$C$6,1,0)*Reference!$C$12)</f>
        <v>297600</v>
      </c>
      <c r="D1494" s="10">
        <f ca="1">ROUND(_xlfn.NORM.INV(RAND(),Reference!$D$8,0.1*Reference!$D$8)*(1+Reference!$D$11*(IF(MONTH($A1494)=Reference!$D$4,1,0)+IF(MONTH($A1494)=Reference!$D$5,1,0))+(IF(MONTH($A1494)=Reference!$D$6,Reference!$D$13,0))),0)</f>
        <v>521</v>
      </c>
      <c r="E1494" s="11">
        <f ca="1">D1494*Reference!$D$7*(1-IF(MONTH($A1494)=Reference!$D$6,1,0)*Reference!$D$12)</f>
        <v>390750</v>
      </c>
      <c r="M1494" s="20"/>
      <c r="N1494" s="20"/>
      <c r="O1494" s="19"/>
      <c r="P1494" s="10"/>
      <c r="Q1494" s="10"/>
      <c r="R1494" s="10"/>
      <c r="S1494" s="10"/>
      <c r="T1494" s="10"/>
      <c r="U1494" s="10"/>
      <c r="V1494" s="10"/>
      <c r="W1494" s="10"/>
      <c r="X1494" s="10"/>
      <c r="Y1494" s="10"/>
    </row>
    <row r="1495" spans="1:25" x14ac:dyDescent="0.25">
      <c r="A1495" s="9">
        <v>42033</v>
      </c>
      <c r="B1495" s="10">
        <f ca="1">ROUND(_xlfn.NORM.INV(RAND(),Reference!$C$8,0.1*Reference!$C$8)*(1+Reference!$C$11*(IF(MONTH($A1495)=Reference!$C$4,1,0)+IF(MONTH($A1495)=Reference!$C$5,1,0))+(IF(MONTH($A1495)=Reference!$C$6,Reference!$C$13,0))),0)</f>
        <v>308</v>
      </c>
      <c r="C1495" s="11">
        <f ca="1">B1495*Reference!$C$7*(1-IF(MONTH($A1495)=Reference!$C$6,1,0)*Reference!$C$12)</f>
        <v>286440</v>
      </c>
      <c r="D1495" s="10">
        <f ca="1">ROUND(_xlfn.NORM.INV(RAND(),Reference!$D$8,0.1*Reference!$D$8)*(1+Reference!$D$11*(IF(MONTH($A1495)=Reference!$D$4,1,0)+IF(MONTH($A1495)=Reference!$D$5,1,0))+(IF(MONTH($A1495)=Reference!$D$6,Reference!$D$13,0))),0)</f>
        <v>447</v>
      </c>
      <c r="E1495" s="11">
        <f ca="1">D1495*Reference!$D$7*(1-IF(MONTH($A1495)=Reference!$D$6,1,0)*Reference!$D$12)</f>
        <v>335250</v>
      </c>
      <c r="M1495" s="20"/>
      <c r="N1495" s="20"/>
      <c r="O1495" s="19"/>
      <c r="P1495" s="10"/>
      <c r="Q1495" s="10"/>
      <c r="R1495" s="10"/>
      <c r="S1495" s="10"/>
      <c r="T1495" s="10"/>
      <c r="U1495" s="10"/>
      <c r="V1495" s="10"/>
      <c r="W1495" s="10"/>
      <c r="X1495" s="10"/>
      <c r="Y1495" s="10"/>
    </row>
    <row r="1496" spans="1:25" x14ac:dyDescent="0.25">
      <c r="A1496" s="9">
        <v>42034</v>
      </c>
      <c r="B1496" s="10">
        <f ca="1">ROUND(_xlfn.NORM.INV(RAND(),Reference!$C$8,0.1*Reference!$C$8)*(1+Reference!$C$11*(IF(MONTH($A1496)=Reference!$C$4,1,0)+IF(MONTH($A1496)=Reference!$C$5,1,0))+(IF(MONTH($A1496)=Reference!$C$6,Reference!$C$13,0))),0)</f>
        <v>378</v>
      </c>
      <c r="C1496" s="11">
        <f ca="1">B1496*Reference!$C$7*(1-IF(MONTH($A1496)=Reference!$C$6,1,0)*Reference!$C$12)</f>
        <v>351540</v>
      </c>
      <c r="D1496" s="10">
        <f ca="1">ROUND(_xlfn.NORM.INV(RAND(),Reference!$D$8,0.1*Reference!$D$8)*(1+Reference!$D$11*(IF(MONTH($A1496)=Reference!$D$4,1,0)+IF(MONTH($A1496)=Reference!$D$5,1,0))+(IF(MONTH($A1496)=Reference!$D$6,Reference!$D$13,0))),0)</f>
        <v>463</v>
      </c>
      <c r="E1496" s="11">
        <f ca="1">D1496*Reference!$D$7*(1-IF(MONTH($A1496)=Reference!$D$6,1,0)*Reference!$D$12)</f>
        <v>347250</v>
      </c>
      <c r="M1496" s="20"/>
      <c r="N1496" s="20"/>
      <c r="O1496" s="19"/>
      <c r="P1496" s="10"/>
      <c r="Q1496" s="10"/>
      <c r="R1496" s="10"/>
      <c r="S1496" s="10"/>
      <c r="T1496" s="10"/>
      <c r="U1496" s="10"/>
      <c r="V1496" s="10"/>
      <c r="W1496" s="10"/>
      <c r="X1496" s="10"/>
      <c r="Y1496" s="10"/>
    </row>
    <row r="1497" spans="1:25" x14ac:dyDescent="0.25">
      <c r="A1497" s="9">
        <v>42035</v>
      </c>
      <c r="B1497" s="10">
        <f ca="1">ROUND(_xlfn.NORM.INV(RAND(),Reference!$C$8,0.1*Reference!$C$8)*(1+Reference!$C$11*(IF(MONTH($A1497)=Reference!$C$4,1,0)+IF(MONTH($A1497)=Reference!$C$5,1,0))+(IF(MONTH($A1497)=Reference!$C$6,Reference!$C$13,0))),0)</f>
        <v>367</v>
      </c>
      <c r="C1497" s="11">
        <f ca="1">B1497*Reference!$C$7*(1-IF(MONTH($A1497)=Reference!$C$6,1,0)*Reference!$C$12)</f>
        <v>341310</v>
      </c>
      <c r="D1497" s="10">
        <f ca="1">ROUND(_xlfn.NORM.INV(RAND(),Reference!$D$8,0.1*Reference!$D$8)*(1+Reference!$D$11*(IF(MONTH($A1497)=Reference!$D$4,1,0)+IF(MONTH($A1497)=Reference!$D$5,1,0))+(IF(MONTH($A1497)=Reference!$D$6,Reference!$D$13,0))),0)</f>
        <v>428</v>
      </c>
      <c r="E1497" s="11">
        <f ca="1">D1497*Reference!$D$7*(1-IF(MONTH($A1497)=Reference!$D$6,1,0)*Reference!$D$12)</f>
        <v>321000</v>
      </c>
      <c r="M1497" s="20"/>
      <c r="N1497" s="20"/>
      <c r="O1497" s="19"/>
      <c r="P1497" s="10"/>
      <c r="Q1497" s="10"/>
      <c r="R1497" s="10"/>
      <c r="S1497" s="10"/>
      <c r="T1497" s="10"/>
      <c r="U1497" s="10"/>
      <c r="V1497" s="10"/>
      <c r="W1497" s="10"/>
      <c r="X1497" s="10"/>
      <c r="Y1497" s="10"/>
    </row>
    <row r="1498" spans="1:25" x14ac:dyDescent="0.25">
      <c r="A1498" s="9">
        <v>42036</v>
      </c>
      <c r="B1498" s="10">
        <f ca="1">ROUND(_xlfn.NORM.INV(RAND(),Reference!$C$8,0.1*Reference!$C$8)*(1+Reference!$C$11*(IF(MONTH($A1498)=Reference!$C$4,1,0)+IF(MONTH($A1498)=Reference!$C$5,1,0))+(IF(MONTH($A1498)=Reference!$C$6,Reference!$C$13,0))),0)</f>
        <v>348</v>
      </c>
      <c r="C1498" s="11">
        <f ca="1">B1498*Reference!$C$7*(1-IF(MONTH($A1498)=Reference!$C$6,1,0)*Reference!$C$12)</f>
        <v>323640</v>
      </c>
      <c r="D1498" s="10">
        <f ca="1">ROUND(_xlfn.NORM.INV(RAND(),Reference!$D$8,0.1*Reference!$D$8)*(1+Reference!$D$11*(IF(MONTH($A1498)=Reference!$D$4,1,0)+IF(MONTH($A1498)=Reference!$D$5,1,0))+(IF(MONTH($A1498)=Reference!$D$6,Reference!$D$13,0))),0)</f>
        <v>388</v>
      </c>
      <c r="E1498" s="11">
        <f ca="1">D1498*Reference!$D$7*(1-IF(MONTH($A1498)=Reference!$D$6,1,0)*Reference!$D$12)</f>
        <v>291000</v>
      </c>
      <c r="M1498" s="20"/>
      <c r="N1498" s="20"/>
      <c r="O1498" s="19"/>
      <c r="P1498" s="10"/>
      <c r="Q1498" s="10"/>
      <c r="R1498" s="10"/>
      <c r="S1498" s="10"/>
      <c r="T1498" s="10"/>
      <c r="U1498" s="10"/>
      <c r="V1498" s="10"/>
      <c r="W1498" s="10"/>
      <c r="X1498" s="10"/>
      <c r="Y1498" s="10"/>
    </row>
    <row r="1499" spans="1:25" x14ac:dyDescent="0.25">
      <c r="A1499" s="9">
        <v>42037</v>
      </c>
      <c r="B1499" s="10">
        <f ca="1">ROUND(_xlfn.NORM.INV(RAND(),Reference!$C$8,0.1*Reference!$C$8)*(1+Reference!$C$11*(IF(MONTH($A1499)=Reference!$C$4,1,0)+IF(MONTH($A1499)=Reference!$C$5,1,0))+(IF(MONTH($A1499)=Reference!$C$6,Reference!$C$13,0))),0)</f>
        <v>366</v>
      </c>
      <c r="C1499" s="11">
        <f ca="1">B1499*Reference!$C$7*(1-IF(MONTH($A1499)=Reference!$C$6,1,0)*Reference!$C$12)</f>
        <v>340380</v>
      </c>
      <c r="D1499" s="10">
        <f ca="1">ROUND(_xlfn.NORM.INV(RAND(),Reference!$D$8,0.1*Reference!$D$8)*(1+Reference!$D$11*(IF(MONTH($A1499)=Reference!$D$4,1,0)+IF(MONTH($A1499)=Reference!$D$5,1,0))+(IF(MONTH($A1499)=Reference!$D$6,Reference!$D$13,0))),0)</f>
        <v>414</v>
      </c>
      <c r="E1499" s="11">
        <f ca="1">D1499*Reference!$D$7*(1-IF(MONTH($A1499)=Reference!$D$6,1,0)*Reference!$D$12)</f>
        <v>310500</v>
      </c>
      <c r="M1499" s="20"/>
      <c r="N1499" s="20"/>
      <c r="O1499" s="19"/>
      <c r="P1499" s="10"/>
      <c r="Q1499" s="10"/>
      <c r="R1499" s="10"/>
      <c r="S1499" s="10"/>
      <c r="T1499" s="10"/>
      <c r="U1499" s="10"/>
      <c r="V1499" s="10"/>
      <c r="W1499" s="10"/>
      <c r="X1499" s="10"/>
      <c r="Y1499" s="10"/>
    </row>
    <row r="1500" spans="1:25" x14ac:dyDescent="0.25">
      <c r="A1500" s="9">
        <v>42038</v>
      </c>
      <c r="B1500" s="10">
        <f ca="1">ROUND(_xlfn.NORM.INV(RAND(),Reference!$C$8,0.1*Reference!$C$8)*(1+Reference!$C$11*(IF(MONTH($A1500)=Reference!$C$4,1,0)+IF(MONTH($A1500)=Reference!$C$5,1,0))+(IF(MONTH($A1500)=Reference!$C$6,Reference!$C$13,0))),0)</f>
        <v>446</v>
      </c>
      <c r="C1500" s="11">
        <f ca="1">B1500*Reference!$C$7*(1-IF(MONTH($A1500)=Reference!$C$6,1,0)*Reference!$C$12)</f>
        <v>414780</v>
      </c>
      <c r="D1500" s="10">
        <f ca="1">ROUND(_xlfn.NORM.INV(RAND(),Reference!$D$8,0.1*Reference!$D$8)*(1+Reference!$D$11*(IF(MONTH($A1500)=Reference!$D$4,1,0)+IF(MONTH($A1500)=Reference!$D$5,1,0))+(IF(MONTH($A1500)=Reference!$D$6,Reference!$D$13,0))),0)</f>
        <v>423</v>
      </c>
      <c r="E1500" s="11">
        <f ca="1">D1500*Reference!$D$7*(1-IF(MONTH($A1500)=Reference!$D$6,1,0)*Reference!$D$12)</f>
        <v>317250</v>
      </c>
      <c r="M1500" s="20"/>
      <c r="N1500" s="20"/>
      <c r="O1500" s="19"/>
      <c r="P1500" s="10"/>
      <c r="Q1500" s="10"/>
      <c r="R1500" s="10"/>
      <c r="S1500" s="10"/>
      <c r="T1500" s="10"/>
      <c r="U1500" s="10"/>
      <c r="V1500" s="10"/>
      <c r="W1500" s="10"/>
      <c r="X1500" s="10"/>
      <c r="Y1500" s="10"/>
    </row>
    <row r="1501" spans="1:25" x14ac:dyDescent="0.25">
      <c r="A1501" s="9">
        <v>42039</v>
      </c>
      <c r="B1501" s="10">
        <f ca="1">ROUND(_xlfn.NORM.INV(RAND(),Reference!$C$8,0.1*Reference!$C$8)*(1+Reference!$C$11*(IF(MONTH($A1501)=Reference!$C$4,1,0)+IF(MONTH($A1501)=Reference!$C$5,1,0))+(IF(MONTH($A1501)=Reference!$C$6,Reference!$C$13,0))),0)</f>
        <v>336</v>
      </c>
      <c r="C1501" s="11">
        <f ca="1">B1501*Reference!$C$7*(1-IF(MONTH($A1501)=Reference!$C$6,1,0)*Reference!$C$12)</f>
        <v>312480</v>
      </c>
      <c r="D1501" s="10">
        <f ca="1">ROUND(_xlfn.NORM.INV(RAND(),Reference!$D$8,0.1*Reference!$D$8)*(1+Reference!$D$11*(IF(MONTH($A1501)=Reference!$D$4,1,0)+IF(MONTH($A1501)=Reference!$D$5,1,0))+(IF(MONTH($A1501)=Reference!$D$6,Reference!$D$13,0))),0)</f>
        <v>392</v>
      </c>
      <c r="E1501" s="11">
        <f ca="1">D1501*Reference!$D$7*(1-IF(MONTH($A1501)=Reference!$D$6,1,0)*Reference!$D$12)</f>
        <v>294000</v>
      </c>
      <c r="M1501" s="20"/>
      <c r="N1501" s="20"/>
      <c r="O1501" s="19"/>
      <c r="P1501" s="10"/>
      <c r="Q1501" s="10"/>
      <c r="R1501" s="10"/>
      <c r="S1501" s="10"/>
      <c r="T1501" s="10"/>
      <c r="U1501" s="10"/>
      <c r="V1501" s="10"/>
      <c r="W1501" s="10"/>
      <c r="X1501" s="10"/>
      <c r="Y1501" s="10"/>
    </row>
    <row r="1502" spans="1:25" x14ac:dyDescent="0.25">
      <c r="A1502" s="9">
        <v>42040</v>
      </c>
      <c r="B1502" s="10">
        <f ca="1">ROUND(_xlfn.NORM.INV(RAND(),Reference!$C$8,0.1*Reference!$C$8)*(1+Reference!$C$11*(IF(MONTH($A1502)=Reference!$C$4,1,0)+IF(MONTH($A1502)=Reference!$C$5,1,0))+(IF(MONTH($A1502)=Reference!$C$6,Reference!$C$13,0))),0)</f>
        <v>365</v>
      </c>
      <c r="C1502" s="11">
        <f ca="1">B1502*Reference!$C$7*(1-IF(MONTH($A1502)=Reference!$C$6,1,0)*Reference!$C$12)</f>
        <v>339450</v>
      </c>
      <c r="D1502" s="10">
        <f ca="1">ROUND(_xlfn.NORM.INV(RAND(),Reference!$D$8,0.1*Reference!$D$8)*(1+Reference!$D$11*(IF(MONTH($A1502)=Reference!$D$4,1,0)+IF(MONTH($A1502)=Reference!$D$5,1,0))+(IF(MONTH($A1502)=Reference!$D$6,Reference!$D$13,0))),0)</f>
        <v>496</v>
      </c>
      <c r="E1502" s="11">
        <f ca="1">D1502*Reference!$D$7*(1-IF(MONTH($A1502)=Reference!$D$6,1,0)*Reference!$D$12)</f>
        <v>372000</v>
      </c>
      <c r="M1502" s="20"/>
      <c r="N1502" s="20"/>
      <c r="O1502" s="19"/>
      <c r="P1502" s="10"/>
      <c r="Q1502" s="10"/>
      <c r="R1502" s="10"/>
      <c r="S1502" s="10"/>
      <c r="T1502" s="10"/>
      <c r="U1502" s="10"/>
      <c r="V1502" s="10"/>
      <c r="W1502" s="10"/>
      <c r="X1502" s="10"/>
      <c r="Y1502" s="10"/>
    </row>
    <row r="1503" spans="1:25" x14ac:dyDescent="0.25">
      <c r="A1503" s="9">
        <v>42041</v>
      </c>
      <c r="B1503" s="10">
        <f ca="1">ROUND(_xlfn.NORM.INV(RAND(),Reference!$C$8,0.1*Reference!$C$8)*(1+Reference!$C$11*(IF(MONTH($A1503)=Reference!$C$4,1,0)+IF(MONTH($A1503)=Reference!$C$5,1,0))+(IF(MONTH($A1503)=Reference!$C$6,Reference!$C$13,0))),0)</f>
        <v>377</v>
      </c>
      <c r="C1503" s="11">
        <f ca="1">B1503*Reference!$C$7*(1-IF(MONTH($A1503)=Reference!$C$6,1,0)*Reference!$C$12)</f>
        <v>350610</v>
      </c>
      <c r="D1503" s="10">
        <f ca="1">ROUND(_xlfn.NORM.INV(RAND(),Reference!$D$8,0.1*Reference!$D$8)*(1+Reference!$D$11*(IF(MONTH($A1503)=Reference!$D$4,1,0)+IF(MONTH($A1503)=Reference!$D$5,1,0))+(IF(MONTH($A1503)=Reference!$D$6,Reference!$D$13,0))),0)</f>
        <v>485</v>
      </c>
      <c r="E1503" s="11">
        <f ca="1">D1503*Reference!$D$7*(1-IF(MONTH($A1503)=Reference!$D$6,1,0)*Reference!$D$12)</f>
        <v>363750</v>
      </c>
      <c r="M1503" s="20"/>
      <c r="N1503" s="20"/>
      <c r="O1503" s="19"/>
      <c r="P1503" s="10"/>
      <c r="Q1503" s="10"/>
      <c r="R1503" s="10"/>
      <c r="S1503" s="10"/>
      <c r="T1503" s="10"/>
      <c r="U1503" s="10"/>
      <c r="V1503" s="10"/>
      <c r="W1503" s="10"/>
      <c r="X1503" s="10"/>
      <c r="Y1503" s="10"/>
    </row>
    <row r="1504" spans="1:25" x14ac:dyDescent="0.25">
      <c r="A1504" s="9">
        <v>42042</v>
      </c>
      <c r="B1504" s="10">
        <f ca="1">ROUND(_xlfn.NORM.INV(RAND(),Reference!$C$8,0.1*Reference!$C$8)*(1+Reference!$C$11*(IF(MONTH($A1504)=Reference!$C$4,1,0)+IF(MONTH($A1504)=Reference!$C$5,1,0))+(IF(MONTH($A1504)=Reference!$C$6,Reference!$C$13,0))),0)</f>
        <v>322</v>
      </c>
      <c r="C1504" s="11">
        <f ca="1">B1504*Reference!$C$7*(1-IF(MONTH($A1504)=Reference!$C$6,1,0)*Reference!$C$12)</f>
        <v>299460</v>
      </c>
      <c r="D1504" s="10">
        <f ca="1">ROUND(_xlfn.NORM.INV(RAND(),Reference!$D$8,0.1*Reference!$D$8)*(1+Reference!$D$11*(IF(MONTH($A1504)=Reference!$D$4,1,0)+IF(MONTH($A1504)=Reference!$D$5,1,0))+(IF(MONTH($A1504)=Reference!$D$6,Reference!$D$13,0))),0)</f>
        <v>416</v>
      </c>
      <c r="E1504" s="11">
        <f ca="1">D1504*Reference!$D$7*(1-IF(MONTH($A1504)=Reference!$D$6,1,0)*Reference!$D$12)</f>
        <v>312000</v>
      </c>
      <c r="M1504" s="20"/>
      <c r="N1504" s="20"/>
      <c r="O1504" s="19"/>
      <c r="P1504" s="10"/>
      <c r="Q1504" s="10"/>
      <c r="R1504" s="10"/>
      <c r="S1504" s="10"/>
      <c r="T1504" s="10"/>
      <c r="U1504" s="10"/>
      <c r="V1504" s="10"/>
      <c r="W1504" s="10"/>
      <c r="X1504" s="10"/>
      <c r="Y1504" s="10"/>
    </row>
    <row r="1505" spans="1:25" x14ac:dyDescent="0.25">
      <c r="A1505" s="9">
        <v>42043</v>
      </c>
      <c r="B1505" s="10">
        <f ca="1">ROUND(_xlfn.NORM.INV(RAND(),Reference!$C$8,0.1*Reference!$C$8)*(1+Reference!$C$11*(IF(MONTH($A1505)=Reference!$C$4,1,0)+IF(MONTH($A1505)=Reference!$C$5,1,0))+(IF(MONTH($A1505)=Reference!$C$6,Reference!$C$13,0))),0)</f>
        <v>366</v>
      </c>
      <c r="C1505" s="11">
        <f ca="1">B1505*Reference!$C$7*(1-IF(MONTH($A1505)=Reference!$C$6,1,0)*Reference!$C$12)</f>
        <v>340380</v>
      </c>
      <c r="D1505" s="10">
        <f ca="1">ROUND(_xlfn.NORM.INV(RAND(),Reference!$D$8,0.1*Reference!$D$8)*(1+Reference!$D$11*(IF(MONTH($A1505)=Reference!$D$4,1,0)+IF(MONTH($A1505)=Reference!$D$5,1,0))+(IF(MONTH($A1505)=Reference!$D$6,Reference!$D$13,0))),0)</f>
        <v>403</v>
      </c>
      <c r="E1505" s="11">
        <f ca="1">D1505*Reference!$D$7*(1-IF(MONTH($A1505)=Reference!$D$6,1,0)*Reference!$D$12)</f>
        <v>302250</v>
      </c>
      <c r="M1505" s="20"/>
      <c r="N1505" s="20"/>
      <c r="O1505" s="19"/>
      <c r="P1505" s="10"/>
      <c r="Q1505" s="10"/>
      <c r="R1505" s="10"/>
      <c r="S1505" s="10"/>
      <c r="T1505" s="10"/>
      <c r="U1505" s="10"/>
      <c r="V1505" s="10"/>
      <c r="W1505" s="10"/>
      <c r="X1505" s="10"/>
      <c r="Y1505" s="10"/>
    </row>
    <row r="1506" spans="1:25" x14ac:dyDescent="0.25">
      <c r="A1506" s="9">
        <v>42044</v>
      </c>
      <c r="B1506" s="10">
        <f ca="1">ROUND(_xlfn.NORM.INV(RAND(),Reference!$C$8,0.1*Reference!$C$8)*(1+Reference!$C$11*(IF(MONTH($A1506)=Reference!$C$4,1,0)+IF(MONTH($A1506)=Reference!$C$5,1,0))+(IF(MONTH($A1506)=Reference!$C$6,Reference!$C$13,0))),0)</f>
        <v>421</v>
      </c>
      <c r="C1506" s="11">
        <f ca="1">B1506*Reference!$C$7*(1-IF(MONTH($A1506)=Reference!$C$6,1,0)*Reference!$C$12)</f>
        <v>391530</v>
      </c>
      <c r="D1506" s="10">
        <f ca="1">ROUND(_xlfn.NORM.INV(RAND(),Reference!$D$8,0.1*Reference!$D$8)*(1+Reference!$D$11*(IF(MONTH($A1506)=Reference!$D$4,1,0)+IF(MONTH($A1506)=Reference!$D$5,1,0))+(IF(MONTH($A1506)=Reference!$D$6,Reference!$D$13,0))),0)</f>
        <v>468</v>
      </c>
      <c r="E1506" s="11">
        <f ca="1">D1506*Reference!$D$7*(1-IF(MONTH($A1506)=Reference!$D$6,1,0)*Reference!$D$12)</f>
        <v>351000</v>
      </c>
      <c r="M1506" s="20"/>
      <c r="N1506" s="20"/>
      <c r="O1506" s="19"/>
      <c r="P1506" s="10"/>
      <c r="Q1506" s="10"/>
      <c r="R1506" s="10"/>
      <c r="S1506" s="10"/>
      <c r="T1506" s="10"/>
      <c r="U1506" s="10"/>
      <c r="V1506" s="10"/>
      <c r="W1506" s="10"/>
      <c r="X1506" s="10"/>
      <c r="Y1506" s="10"/>
    </row>
    <row r="1507" spans="1:25" x14ac:dyDescent="0.25">
      <c r="A1507" s="9">
        <v>42045</v>
      </c>
      <c r="B1507" s="10">
        <f ca="1">ROUND(_xlfn.NORM.INV(RAND(),Reference!$C$8,0.1*Reference!$C$8)*(1+Reference!$C$11*(IF(MONTH($A1507)=Reference!$C$4,1,0)+IF(MONTH($A1507)=Reference!$C$5,1,0))+(IF(MONTH($A1507)=Reference!$C$6,Reference!$C$13,0))),0)</f>
        <v>350</v>
      </c>
      <c r="C1507" s="11">
        <f ca="1">B1507*Reference!$C$7*(1-IF(MONTH($A1507)=Reference!$C$6,1,0)*Reference!$C$12)</f>
        <v>325500</v>
      </c>
      <c r="D1507" s="10">
        <f ca="1">ROUND(_xlfn.NORM.INV(RAND(),Reference!$D$8,0.1*Reference!$D$8)*(1+Reference!$D$11*(IF(MONTH($A1507)=Reference!$D$4,1,0)+IF(MONTH($A1507)=Reference!$D$5,1,0))+(IF(MONTH($A1507)=Reference!$D$6,Reference!$D$13,0))),0)</f>
        <v>380</v>
      </c>
      <c r="E1507" s="11">
        <f ca="1">D1507*Reference!$D$7*(1-IF(MONTH($A1507)=Reference!$D$6,1,0)*Reference!$D$12)</f>
        <v>285000</v>
      </c>
      <c r="M1507" s="20"/>
      <c r="N1507" s="20"/>
      <c r="O1507" s="19"/>
      <c r="P1507" s="10"/>
      <c r="Q1507" s="10"/>
      <c r="R1507" s="10"/>
      <c r="S1507" s="10"/>
      <c r="T1507" s="10"/>
      <c r="U1507" s="10"/>
      <c r="V1507" s="10"/>
      <c r="W1507" s="10"/>
      <c r="X1507" s="10"/>
      <c r="Y1507" s="10"/>
    </row>
    <row r="1508" spans="1:25" x14ac:dyDescent="0.25">
      <c r="A1508" s="9">
        <v>42046</v>
      </c>
      <c r="B1508" s="10">
        <f ca="1">ROUND(_xlfn.NORM.INV(RAND(),Reference!$C$8,0.1*Reference!$C$8)*(1+Reference!$C$11*(IF(MONTH($A1508)=Reference!$C$4,1,0)+IF(MONTH($A1508)=Reference!$C$5,1,0))+(IF(MONTH($A1508)=Reference!$C$6,Reference!$C$13,0))),0)</f>
        <v>410</v>
      </c>
      <c r="C1508" s="11">
        <f ca="1">B1508*Reference!$C$7*(1-IF(MONTH($A1508)=Reference!$C$6,1,0)*Reference!$C$12)</f>
        <v>381300</v>
      </c>
      <c r="D1508" s="10">
        <f ca="1">ROUND(_xlfn.NORM.INV(RAND(),Reference!$D$8,0.1*Reference!$D$8)*(1+Reference!$D$11*(IF(MONTH($A1508)=Reference!$D$4,1,0)+IF(MONTH($A1508)=Reference!$D$5,1,0))+(IF(MONTH($A1508)=Reference!$D$6,Reference!$D$13,0))),0)</f>
        <v>388</v>
      </c>
      <c r="E1508" s="11">
        <f ca="1">D1508*Reference!$D$7*(1-IF(MONTH($A1508)=Reference!$D$6,1,0)*Reference!$D$12)</f>
        <v>291000</v>
      </c>
      <c r="M1508" s="20"/>
      <c r="N1508" s="20"/>
      <c r="O1508" s="19"/>
      <c r="P1508" s="10"/>
      <c r="Q1508" s="10"/>
      <c r="R1508" s="10"/>
      <c r="S1508" s="10"/>
      <c r="T1508" s="10"/>
      <c r="U1508" s="10"/>
      <c r="V1508" s="10"/>
      <c r="W1508" s="10"/>
      <c r="X1508" s="10"/>
      <c r="Y1508" s="10"/>
    </row>
    <row r="1509" spans="1:25" x14ac:dyDescent="0.25">
      <c r="A1509" s="9">
        <v>42047</v>
      </c>
      <c r="B1509" s="10">
        <f ca="1">ROUND(_xlfn.NORM.INV(RAND(),Reference!$C$8,0.1*Reference!$C$8)*(1+Reference!$C$11*(IF(MONTH($A1509)=Reference!$C$4,1,0)+IF(MONTH($A1509)=Reference!$C$5,1,0))+(IF(MONTH($A1509)=Reference!$C$6,Reference!$C$13,0))),0)</f>
        <v>352</v>
      </c>
      <c r="C1509" s="11">
        <f ca="1">B1509*Reference!$C$7*(1-IF(MONTH($A1509)=Reference!$C$6,1,0)*Reference!$C$12)</f>
        <v>327360</v>
      </c>
      <c r="D1509" s="10">
        <f ca="1">ROUND(_xlfn.NORM.INV(RAND(),Reference!$D$8,0.1*Reference!$D$8)*(1+Reference!$D$11*(IF(MONTH($A1509)=Reference!$D$4,1,0)+IF(MONTH($A1509)=Reference!$D$5,1,0))+(IF(MONTH($A1509)=Reference!$D$6,Reference!$D$13,0))),0)</f>
        <v>442</v>
      </c>
      <c r="E1509" s="11">
        <f ca="1">D1509*Reference!$D$7*(1-IF(MONTH($A1509)=Reference!$D$6,1,0)*Reference!$D$12)</f>
        <v>331500</v>
      </c>
      <c r="M1509" s="20"/>
      <c r="N1509" s="20"/>
      <c r="O1509" s="19"/>
      <c r="P1509" s="10"/>
      <c r="Q1509" s="10"/>
      <c r="R1509" s="10"/>
      <c r="S1509" s="10"/>
      <c r="T1509" s="10"/>
      <c r="U1509" s="10"/>
      <c r="V1509" s="10"/>
      <c r="W1509" s="10"/>
      <c r="X1509" s="10"/>
      <c r="Y1509" s="10"/>
    </row>
    <row r="1510" spans="1:25" x14ac:dyDescent="0.25">
      <c r="A1510" s="9">
        <v>42048</v>
      </c>
      <c r="B1510" s="10">
        <f ca="1">ROUND(_xlfn.NORM.INV(RAND(),Reference!$C$8,0.1*Reference!$C$8)*(1+Reference!$C$11*(IF(MONTH($A1510)=Reference!$C$4,1,0)+IF(MONTH($A1510)=Reference!$C$5,1,0))+(IF(MONTH($A1510)=Reference!$C$6,Reference!$C$13,0))),0)</f>
        <v>351</v>
      </c>
      <c r="C1510" s="11">
        <f ca="1">B1510*Reference!$C$7*(1-IF(MONTH($A1510)=Reference!$C$6,1,0)*Reference!$C$12)</f>
        <v>326430</v>
      </c>
      <c r="D1510" s="10">
        <f ca="1">ROUND(_xlfn.NORM.INV(RAND(),Reference!$D$8,0.1*Reference!$D$8)*(1+Reference!$D$11*(IF(MONTH($A1510)=Reference!$D$4,1,0)+IF(MONTH($A1510)=Reference!$D$5,1,0))+(IF(MONTH($A1510)=Reference!$D$6,Reference!$D$13,0))),0)</f>
        <v>459</v>
      </c>
      <c r="E1510" s="11">
        <f ca="1">D1510*Reference!$D$7*(1-IF(MONTH($A1510)=Reference!$D$6,1,0)*Reference!$D$12)</f>
        <v>344250</v>
      </c>
      <c r="M1510" s="20"/>
      <c r="N1510" s="20"/>
      <c r="O1510" s="19"/>
      <c r="P1510" s="10"/>
      <c r="Q1510" s="10"/>
      <c r="R1510" s="10"/>
      <c r="S1510" s="10"/>
      <c r="T1510" s="10"/>
      <c r="U1510" s="10"/>
      <c r="V1510" s="10"/>
      <c r="W1510" s="10"/>
      <c r="X1510" s="10"/>
      <c r="Y1510" s="10"/>
    </row>
    <row r="1511" spans="1:25" x14ac:dyDescent="0.25">
      <c r="A1511" s="9">
        <v>42049</v>
      </c>
      <c r="B1511" s="10">
        <f ca="1">ROUND(_xlfn.NORM.INV(RAND(),Reference!$C$8,0.1*Reference!$C$8)*(1+Reference!$C$11*(IF(MONTH($A1511)=Reference!$C$4,1,0)+IF(MONTH($A1511)=Reference!$C$5,1,0))+(IF(MONTH($A1511)=Reference!$C$6,Reference!$C$13,0))),0)</f>
        <v>365</v>
      </c>
      <c r="C1511" s="11">
        <f ca="1">B1511*Reference!$C$7*(1-IF(MONTH($A1511)=Reference!$C$6,1,0)*Reference!$C$12)</f>
        <v>339450</v>
      </c>
      <c r="D1511" s="10">
        <f ca="1">ROUND(_xlfn.NORM.INV(RAND(),Reference!$D$8,0.1*Reference!$D$8)*(1+Reference!$D$11*(IF(MONTH($A1511)=Reference!$D$4,1,0)+IF(MONTH($A1511)=Reference!$D$5,1,0))+(IF(MONTH($A1511)=Reference!$D$6,Reference!$D$13,0))),0)</f>
        <v>426</v>
      </c>
      <c r="E1511" s="11">
        <f ca="1">D1511*Reference!$D$7*(1-IF(MONTH($A1511)=Reference!$D$6,1,0)*Reference!$D$12)</f>
        <v>319500</v>
      </c>
      <c r="M1511" s="20"/>
      <c r="N1511" s="20"/>
      <c r="O1511" s="19"/>
      <c r="P1511" s="10"/>
      <c r="Q1511" s="10"/>
      <c r="R1511" s="10"/>
      <c r="S1511" s="10"/>
      <c r="T1511" s="10"/>
      <c r="U1511" s="10"/>
      <c r="V1511" s="10"/>
      <c r="W1511" s="10"/>
      <c r="X1511" s="10"/>
      <c r="Y1511" s="10"/>
    </row>
    <row r="1512" spans="1:25" x14ac:dyDescent="0.25">
      <c r="A1512" s="9">
        <v>42050</v>
      </c>
      <c r="B1512" s="10">
        <f ca="1">ROUND(_xlfn.NORM.INV(RAND(),Reference!$C$8,0.1*Reference!$C$8)*(1+Reference!$C$11*(IF(MONTH($A1512)=Reference!$C$4,1,0)+IF(MONTH($A1512)=Reference!$C$5,1,0))+(IF(MONTH($A1512)=Reference!$C$6,Reference!$C$13,0))),0)</f>
        <v>359</v>
      </c>
      <c r="C1512" s="11">
        <f ca="1">B1512*Reference!$C$7*(1-IF(MONTH($A1512)=Reference!$C$6,1,0)*Reference!$C$12)</f>
        <v>333870</v>
      </c>
      <c r="D1512" s="10">
        <f ca="1">ROUND(_xlfn.NORM.INV(RAND(),Reference!$D$8,0.1*Reference!$D$8)*(1+Reference!$D$11*(IF(MONTH($A1512)=Reference!$D$4,1,0)+IF(MONTH($A1512)=Reference!$D$5,1,0))+(IF(MONTH($A1512)=Reference!$D$6,Reference!$D$13,0))),0)</f>
        <v>416</v>
      </c>
      <c r="E1512" s="11">
        <f ca="1">D1512*Reference!$D$7*(1-IF(MONTH($A1512)=Reference!$D$6,1,0)*Reference!$D$12)</f>
        <v>312000</v>
      </c>
      <c r="M1512" s="20"/>
      <c r="N1512" s="20"/>
      <c r="O1512" s="19"/>
      <c r="P1512" s="10"/>
      <c r="Q1512" s="10"/>
      <c r="R1512" s="10"/>
      <c r="S1512" s="10"/>
      <c r="T1512" s="10"/>
      <c r="U1512" s="10"/>
      <c r="V1512" s="10"/>
      <c r="W1512" s="10"/>
      <c r="X1512" s="10"/>
      <c r="Y1512" s="10"/>
    </row>
    <row r="1513" spans="1:25" x14ac:dyDescent="0.25">
      <c r="A1513" s="9">
        <v>42051</v>
      </c>
      <c r="B1513" s="10">
        <f ca="1">ROUND(_xlfn.NORM.INV(RAND(),Reference!$C$8,0.1*Reference!$C$8)*(1+Reference!$C$11*(IF(MONTH($A1513)=Reference!$C$4,1,0)+IF(MONTH($A1513)=Reference!$C$5,1,0))+(IF(MONTH($A1513)=Reference!$C$6,Reference!$C$13,0))),0)</f>
        <v>327</v>
      </c>
      <c r="C1513" s="11">
        <f ca="1">B1513*Reference!$C$7*(1-IF(MONTH($A1513)=Reference!$C$6,1,0)*Reference!$C$12)</f>
        <v>304110</v>
      </c>
      <c r="D1513" s="10">
        <f ca="1">ROUND(_xlfn.NORM.INV(RAND(),Reference!$D$8,0.1*Reference!$D$8)*(1+Reference!$D$11*(IF(MONTH($A1513)=Reference!$D$4,1,0)+IF(MONTH($A1513)=Reference!$D$5,1,0))+(IF(MONTH($A1513)=Reference!$D$6,Reference!$D$13,0))),0)</f>
        <v>495</v>
      </c>
      <c r="E1513" s="11">
        <f ca="1">D1513*Reference!$D$7*(1-IF(MONTH($A1513)=Reference!$D$6,1,0)*Reference!$D$12)</f>
        <v>371250</v>
      </c>
      <c r="M1513" s="20"/>
      <c r="N1513" s="20"/>
      <c r="O1513" s="19"/>
      <c r="P1513" s="10"/>
      <c r="Q1513" s="10"/>
      <c r="R1513" s="10"/>
      <c r="S1513" s="10"/>
      <c r="T1513" s="10"/>
      <c r="U1513" s="10"/>
      <c r="V1513" s="10"/>
      <c r="W1513" s="10"/>
      <c r="X1513" s="10"/>
      <c r="Y1513" s="10"/>
    </row>
    <row r="1514" spans="1:25" x14ac:dyDescent="0.25">
      <c r="A1514" s="9">
        <v>42052</v>
      </c>
      <c r="B1514" s="10">
        <f ca="1">ROUND(_xlfn.NORM.INV(RAND(),Reference!$C$8,0.1*Reference!$C$8)*(1+Reference!$C$11*(IF(MONTH($A1514)=Reference!$C$4,1,0)+IF(MONTH($A1514)=Reference!$C$5,1,0))+(IF(MONTH($A1514)=Reference!$C$6,Reference!$C$13,0))),0)</f>
        <v>353</v>
      </c>
      <c r="C1514" s="11">
        <f ca="1">B1514*Reference!$C$7*(1-IF(MONTH($A1514)=Reference!$C$6,1,0)*Reference!$C$12)</f>
        <v>328290</v>
      </c>
      <c r="D1514" s="10">
        <f ca="1">ROUND(_xlfn.NORM.INV(RAND(),Reference!$D$8,0.1*Reference!$D$8)*(1+Reference!$D$11*(IF(MONTH($A1514)=Reference!$D$4,1,0)+IF(MONTH($A1514)=Reference!$D$5,1,0))+(IF(MONTH($A1514)=Reference!$D$6,Reference!$D$13,0))),0)</f>
        <v>395</v>
      </c>
      <c r="E1514" s="11">
        <f ca="1">D1514*Reference!$D$7*(1-IF(MONTH($A1514)=Reference!$D$6,1,0)*Reference!$D$12)</f>
        <v>296250</v>
      </c>
      <c r="M1514" s="20"/>
      <c r="N1514" s="20"/>
      <c r="O1514" s="19"/>
      <c r="P1514" s="10"/>
      <c r="Q1514" s="10"/>
      <c r="R1514" s="10"/>
      <c r="S1514" s="10"/>
      <c r="T1514" s="10"/>
      <c r="U1514" s="10"/>
      <c r="V1514" s="10"/>
      <c r="W1514" s="10"/>
      <c r="X1514" s="10"/>
      <c r="Y1514" s="10"/>
    </row>
    <row r="1515" spans="1:25" x14ac:dyDescent="0.25">
      <c r="A1515" s="9">
        <v>42053</v>
      </c>
      <c r="B1515" s="10">
        <f ca="1">ROUND(_xlfn.NORM.INV(RAND(),Reference!$C$8,0.1*Reference!$C$8)*(1+Reference!$C$11*(IF(MONTH($A1515)=Reference!$C$4,1,0)+IF(MONTH($A1515)=Reference!$C$5,1,0))+(IF(MONTH($A1515)=Reference!$C$6,Reference!$C$13,0))),0)</f>
        <v>374</v>
      </c>
      <c r="C1515" s="11">
        <f ca="1">B1515*Reference!$C$7*(1-IF(MONTH($A1515)=Reference!$C$6,1,0)*Reference!$C$12)</f>
        <v>347820</v>
      </c>
      <c r="D1515" s="10">
        <f ca="1">ROUND(_xlfn.NORM.INV(RAND(),Reference!$D$8,0.1*Reference!$D$8)*(1+Reference!$D$11*(IF(MONTH($A1515)=Reference!$D$4,1,0)+IF(MONTH($A1515)=Reference!$D$5,1,0))+(IF(MONTH($A1515)=Reference!$D$6,Reference!$D$13,0))),0)</f>
        <v>455</v>
      </c>
      <c r="E1515" s="11">
        <f ca="1">D1515*Reference!$D$7*(1-IF(MONTH($A1515)=Reference!$D$6,1,0)*Reference!$D$12)</f>
        <v>341250</v>
      </c>
      <c r="M1515" s="20"/>
      <c r="N1515" s="20"/>
      <c r="O1515" s="19"/>
      <c r="P1515" s="10"/>
      <c r="Q1515" s="10"/>
      <c r="R1515" s="10"/>
      <c r="S1515" s="10"/>
      <c r="T1515" s="10"/>
      <c r="U1515" s="10"/>
      <c r="V1515" s="10"/>
      <c r="W1515" s="10"/>
      <c r="X1515" s="10"/>
      <c r="Y1515" s="10"/>
    </row>
    <row r="1516" spans="1:25" x14ac:dyDescent="0.25">
      <c r="A1516" s="9">
        <v>42054</v>
      </c>
      <c r="B1516" s="10">
        <f ca="1">ROUND(_xlfn.NORM.INV(RAND(),Reference!$C$8,0.1*Reference!$C$8)*(1+Reference!$C$11*(IF(MONTH($A1516)=Reference!$C$4,1,0)+IF(MONTH($A1516)=Reference!$C$5,1,0))+(IF(MONTH($A1516)=Reference!$C$6,Reference!$C$13,0))),0)</f>
        <v>374</v>
      </c>
      <c r="C1516" s="11">
        <f ca="1">B1516*Reference!$C$7*(1-IF(MONTH($A1516)=Reference!$C$6,1,0)*Reference!$C$12)</f>
        <v>347820</v>
      </c>
      <c r="D1516" s="10">
        <f ca="1">ROUND(_xlfn.NORM.INV(RAND(),Reference!$D$8,0.1*Reference!$D$8)*(1+Reference!$D$11*(IF(MONTH($A1516)=Reference!$D$4,1,0)+IF(MONTH($A1516)=Reference!$D$5,1,0))+(IF(MONTH($A1516)=Reference!$D$6,Reference!$D$13,0))),0)</f>
        <v>427</v>
      </c>
      <c r="E1516" s="11">
        <f ca="1">D1516*Reference!$D$7*(1-IF(MONTH($A1516)=Reference!$D$6,1,0)*Reference!$D$12)</f>
        <v>320250</v>
      </c>
      <c r="M1516" s="20"/>
      <c r="N1516" s="20"/>
      <c r="O1516" s="19"/>
      <c r="P1516" s="10"/>
      <c r="Q1516" s="10"/>
      <c r="R1516" s="10"/>
      <c r="S1516" s="10"/>
      <c r="T1516" s="10"/>
      <c r="U1516" s="10"/>
      <c r="V1516" s="10"/>
      <c r="W1516" s="10"/>
      <c r="X1516" s="10"/>
      <c r="Y1516" s="10"/>
    </row>
    <row r="1517" spans="1:25" x14ac:dyDescent="0.25">
      <c r="A1517" s="9">
        <v>42055</v>
      </c>
      <c r="B1517" s="10">
        <f ca="1">ROUND(_xlfn.NORM.INV(RAND(),Reference!$C$8,0.1*Reference!$C$8)*(1+Reference!$C$11*(IF(MONTH($A1517)=Reference!$C$4,1,0)+IF(MONTH($A1517)=Reference!$C$5,1,0))+(IF(MONTH($A1517)=Reference!$C$6,Reference!$C$13,0))),0)</f>
        <v>402</v>
      </c>
      <c r="C1517" s="11">
        <f ca="1">B1517*Reference!$C$7*(1-IF(MONTH($A1517)=Reference!$C$6,1,0)*Reference!$C$12)</f>
        <v>373860</v>
      </c>
      <c r="D1517" s="10">
        <f ca="1">ROUND(_xlfn.NORM.INV(RAND(),Reference!$D$8,0.1*Reference!$D$8)*(1+Reference!$D$11*(IF(MONTH($A1517)=Reference!$D$4,1,0)+IF(MONTH($A1517)=Reference!$D$5,1,0))+(IF(MONTH($A1517)=Reference!$D$6,Reference!$D$13,0))),0)</f>
        <v>465</v>
      </c>
      <c r="E1517" s="11">
        <f ca="1">D1517*Reference!$D$7*(1-IF(MONTH($A1517)=Reference!$D$6,1,0)*Reference!$D$12)</f>
        <v>348750</v>
      </c>
      <c r="M1517" s="20"/>
      <c r="N1517" s="20"/>
      <c r="O1517" s="19"/>
      <c r="P1517" s="10"/>
      <c r="Q1517" s="10"/>
      <c r="R1517" s="10"/>
      <c r="S1517" s="10"/>
      <c r="T1517" s="10"/>
      <c r="U1517" s="10"/>
      <c r="V1517" s="10"/>
      <c r="W1517" s="10"/>
      <c r="X1517" s="10"/>
      <c r="Y1517" s="10"/>
    </row>
    <row r="1518" spans="1:25" x14ac:dyDescent="0.25">
      <c r="A1518" s="9">
        <v>42056</v>
      </c>
      <c r="B1518" s="10">
        <f ca="1">ROUND(_xlfn.NORM.INV(RAND(),Reference!$C$8,0.1*Reference!$C$8)*(1+Reference!$C$11*(IF(MONTH($A1518)=Reference!$C$4,1,0)+IF(MONTH($A1518)=Reference!$C$5,1,0))+(IF(MONTH($A1518)=Reference!$C$6,Reference!$C$13,0))),0)</f>
        <v>357</v>
      </c>
      <c r="C1518" s="11">
        <f ca="1">B1518*Reference!$C$7*(1-IF(MONTH($A1518)=Reference!$C$6,1,0)*Reference!$C$12)</f>
        <v>332010</v>
      </c>
      <c r="D1518" s="10">
        <f ca="1">ROUND(_xlfn.NORM.INV(RAND(),Reference!$D$8,0.1*Reference!$D$8)*(1+Reference!$D$11*(IF(MONTH($A1518)=Reference!$D$4,1,0)+IF(MONTH($A1518)=Reference!$D$5,1,0))+(IF(MONTH($A1518)=Reference!$D$6,Reference!$D$13,0))),0)</f>
        <v>504</v>
      </c>
      <c r="E1518" s="11">
        <f ca="1">D1518*Reference!$D$7*(1-IF(MONTH($A1518)=Reference!$D$6,1,0)*Reference!$D$12)</f>
        <v>378000</v>
      </c>
      <c r="M1518" s="20"/>
      <c r="N1518" s="20"/>
      <c r="O1518" s="19"/>
      <c r="P1518" s="10"/>
      <c r="Q1518" s="10"/>
      <c r="R1518" s="10"/>
      <c r="S1518" s="10"/>
      <c r="T1518" s="10"/>
      <c r="U1518" s="10"/>
      <c r="V1518" s="10"/>
      <c r="W1518" s="10"/>
      <c r="X1518" s="10"/>
      <c r="Y1518" s="10"/>
    </row>
    <row r="1519" spans="1:25" x14ac:dyDescent="0.25">
      <c r="A1519" s="9">
        <v>42057</v>
      </c>
      <c r="B1519" s="10">
        <f ca="1">ROUND(_xlfn.NORM.INV(RAND(),Reference!$C$8,0.1*Reference!$C$8)*(1+Reference!$C$11*(IF(MONTH($A1519)=Reference!$C$4,1,0)+IF(MONTH($A1519)=Reference!$C$5,1,0))+(IF(MONTH($A1519)=Reference!$C$6,Reference!$C$13,0))),0)</f>
        <v>332</v>
      </c>
      <c r="C1519" s="11">
        <f ca="1">B1519*Reference!$C$7*(1-IF(MONTH($A1519)=Reference!$C$6,1,0)*Reference!$C$12)</f>
        <v>308760</v>
      </c>
      <c r="D1519" s="10">
        <f ca="1">ROUND(_xlfn.NORM.INV(RAND(),Reference!$D$8,0.1*Reference!$D$8)*(1+Reference!$D$11*(IF(MONTH($A1519)=Reference!$D$4,1,0)+IF(MONTH($A1519)=Reference!$D$5,1,0))+(IF(MONTH($A1519)=Reference!$D$6,Reference!$D$13,0))),0)</f>
        <v>553</v>
      </c>
      <c r="E1519" s="11">
        <f ca="1">D1519*Reference!$D$7*(1-IF(MONTH($A1519)=Reference!$D$6,1,0)*Reference!$D$12)</f>
        <v>414750</v>
      </c>
      <c r="M1519" s="20"/>
      <c r="N1519" s="20"/>
      <c r="O1519" s="19"/>
      <c r="P1519" s="10"/>
      <c r="Q1519" s="10"/>
      <c r="R1519" s="10"/>
      <c r="S1519" s="10"/>
      <c r="T1519" s="10"/>
      <c r="U1519" s="10"/>
      <c r="V1519" s="10"/>
      <c r="W1519" s="10"/>
      <c r="X1519" s="10"/>
      <c r="Y1519" s="10"/>
    </row>
    <row r="1520" spans="1:25" x14ac:dyDescent="0.25">
      <c r="A1520" s="9">
        <v>42058</v>
      </c>
      <c r="B1520" s="10">
        <f ca="1">ROUND(_xlfn.NORM.INV(RAND(),Reference!$C$8,0.1*Reference!$C$8)*(1+Reference!$C$11*(IF(MONTH($A1520)=Reference!$C$4,1,0)+IF(MONTH($A1520)=Reference!$C$5,1,0))+(IF(MONTH($A1520)=Reference!$C$6,Reference!$C$13,0))),0)</f>
        <v>353</v>
      </c>
      <c r="C1520" s="11">
        <f ca="1">B1520*Reference!$C$7*(1-IF(MONTH($A1520)=Reference!$C$6,1,0)*Reference!$C$12)</f>
        <v>328290</v>
      </c>
      <c r="D1520" s="10">
        <f ca="1">ROUND(_xlfn.NORM.INV(RAND(),Reference!$D$8,0.1*Reference!$D$8)*(1+Reference!$D$11*(IF(MONTH($A1520)=Reference!$D$4,1,0)+IF(MONTH($A1520)=Reference!$D$5,1,0))+(IF(MONTH($A1520)=Reference!$D$6,Reference!$D$13,0))),0)</f>
        <v>445</v>
      </c>
      <c r="E1520" s="11">
        <f ca="1">D1520*Reference!$D$7*(1-IF(MONTH($A1520)=Reference!$D$6,1,0)*Reference!$D$12)</f>
        <v>333750</v>
      </c>
      <c r="M1520" s="20"/>
      <c r="N1520" s="20"/>
      <c r="O1520" s="19"/>
      <c r="P1520" s="10"/>
      <c r="Q1520" s="10"/>
      <c r="R1520" s="10"/>
      <c r="S1520" s="10"/>
      <c r="T1520" s="10"/>
      <c r="U1520" s="10"/>
      <c r="V1520" s="10"/>
      <c r="W1520" s="10"/>
      <c r="X1520" s="10"/>
      <c r="Y1520" s="10"/>
    </row>
    <row r="1521" spans="1:25" x14ac:dyDescent="0.25">
      <c r="A1521" s="9">
        <v>42059</v>
      </c>
      <c r="B1521" s="10">
        <f ca="1">ROUND(_xlfn.NORM.INV(RAND(),Reference!$C$8,0.1*Reference!$C$8)*(1+Reference!$C$11*(IF(MONTH($A1521)=Reference!$C$4,1,0)+IF(MONTH($A1521)=Reference!$C$5,1,0))+(IF(MONTH($A1521)=Reference!$C$6,Reference!$C$13,0))),0)</f>
        <v>345</v>
      </c>
      <c r="C1521" s="11">
        <f ca="1">B1521*Reference!$C$7*(1-IF(MONTH($A1521)=Reference!$C$6,1,0)*Reference!$C$12)</f>
        <v>320850</v>
      </c>
      <c r="D1521" s="10">
        <f ca="1">ROUND(_xlfn.NORM.INV(RAND(),Reference!$D$8,0.1*Reference!$D$8)*(1+Reference!$D$11*(IF(MONTH($A1521)=Reference!$D$4,1,0)+IF(MONTH($A1521)=Reference!$D$5,1,0))+(IF(MONTH($A1521)=Reference!$D$6,Reference!$D$13,0))),0)</f>
        <v>501</v>
      </c>
      <c r="E1521" s="11">
        <f ca="1">D1521*Reference!$D$7*(1-IF(MONTH($A1521)=Reference!$D$6,1,0)*Reference!$D$12)</f>
        <v>375750</v>
      </c>
      <c r="M1521" s="20"/>
      <c r="N1521" s="20"/>
      <c r="O1521" s="19"/>
      <c r="P1521" s="10"/>
      <c r="Q1521" s="10"/>
      <c r="R1521" s="10"/>
      <c r="S1521" s="10"/>
      <c r="T1521" s="10"/>
      <c r="U1521" s="10"/>
      <c r="V1521" s="10"/>
      <c r="W1521" s="10"/>
      <c r="X1521" s="10"/>
      <c r="Y1521" s="10"/>
    </row>
    <row r="1522" spans="1:25" x14ac:dyDescent="0.25">
      <c r="A1522" s="9">
        <v>42060</v>
      </c>
      <c r="B1522" s="10">
        <f ca="1">ROUND(_xlfn.NORM.INV(RAND(),Reference!$C$8,0.1*Reference!$C$8)*(1+Reference!$C$11*(IF(MONTH($A1522)=Reference!$C$4,1,0)+IF(MONTH($A1522)=Reference!$C$5,1,0))+(IF(MONTH($A1522)=Reference!$C$6,Reference!$C$13,0))),0)</f>
        <v>394</v>
      </c>
      <c r="C1522" s="11">
        <f ca="1">B1522*Reference!$C$7*(1-IF(MONTH($A1522)=Reference!$C$6,1,0)*Reference!$C$12)</f>
        <v>366420</v>
      </c>
      <c r="D1522" s="10">
        <f ca="1">ROUND(_xlfn.NORM.INV(RAND(),Reference!$D$8,0.1*Reference!$D$8)*(1+Reference!$D$11*(IF(MONTH($A1522)=Reference!$D$4,1,0)+IF(MONTH($A1522)=Reference!$D$5,1,0))+(IF(MONTH($A1522)=Reference!$D$6,Reference!$D$13,0))),0)</f>
        <v>430</v>
      </c>
      <c r="E1522" s="11">
        <f ca="1">D1522*Reference!$D$7*(1-IF(MONTH($A1522)=Reference!$D$6,1,0)*Reference!$D$12)</f>
        <v>322500</v>
      </c>
      <c r="M1522" s="20"/>
      <c r="N1522" s="20"/>
      <c r="O1522" s="19"/>
      <c r="P1522" s="10"/>
      <c r="Q1522" s="10"/>
      <c r="R1522" s="10"/>
      <c r="S1522" s="10"/>
      <c r="T1522" s="10"/>
      <c r="U1522" s="10"/>
      <c r="V1522" s="10"/>
      <c r="W1522" s="10"/>
      <c r="X1522" s="10"/>
      <c r="Y1522" s="10"/>
    </row>
    <row r="1523" spans="1:25" x14ac:dyDescent="0.25">
      <c r="A1523" s="9">
        <v>42061</v>
      </c>
      <c r="B1523" s="10">
        <f ca="1">ROUND(_xlfn.NORM.INV(RAND(),Reference!$C$8,0.1*Reference!$C$8)*(1+Reference!$C$11*(IF(MONTH($A1523)=Reference!$C$4,1,0)+IF(MONTH($A1523)=Reference!$C$5,1,0))+(IF(MONTH($A1523)=Reference!$C$6,Reference!$C$13,0))),0)</f>
        <v>405</v>
      </c>
      <c r="C1523" s="11">
        <f ca="1">B1523*Reference!$C$7*(1-IF(MONTH($A1523)=Reference!$C$6,1,0)*Reference!$C$12)</f>
        <v>376650</v>
      </c>
      <c r="D1523" s="10">
        <f ca="1">ROUND(_xlfn.NORM.INV(RAND(),Reference!$D$8,0.1*Reference!$D$8)*(1+Reference!$D$11*(IF(MONTH($A1523)=Reference!$D$4,1,0)+IF(MONTH($A1523)=Reference!$D$5,1,0))+(IF(MONTH($A1523)=Reference!$D$6,Reference!$D$13,0))),0)</f>
        <v>484</v>
      </c>
      <c r="E1523" s="11">
        <f ca="1">D1523*Reference!$D$7*(1-IF(MONTH($A1523)=Reference!$D$6,1,0)*Reference!$D$12)</f>
        <v>363000</v>
      </c>
      <c r="M1523" s="20"/>
      <c r="N1523" s="20"/>
      <c r="O1523" s="19"/>
      <c r="P1523" s="10"/>
      <c r="Q1523" s="10"/>
      <c r="R1523" s="10"/>
      <c r="S1523" s="10"/>
      <c r="T1523" s="10"/>
      <c r="U1523" s="10"/>
      <c r="V1523" s="10"/>
      <c r="W1523" s="10"/>
      <c r="X1523" s="10"/>
      <c r="Y1523" s="10"/>
    </row>
    <row r="1524" spans="1:25" x14ac:dyDescent="0.25">
      <c r="A1524" s="9">
        <v>42062</v>
      </c>
      <c r="B1524" s="10">
        <f ca="1">ROUND(_xlfn.NORM.INV(RAND(),Reference!$C$8,0.1*Reference!$C$8)*(1+Reference!$C$11*(IF(MONTH($A1524)=Reference!$C$4,1,0)+IF(MONTH($A1524)=Reference!$C$5,1,0))+(IF(MONTH($A1524)=Reference!$C$6,Reference!$C$13,0))),0)</f>
        <v>390</v>
      </c>
      <c r="C1524" s="11">
        <f ca="1">B1524*Reference!$C$7*(1-IF(MONTH($A1524)=Reference!$C$6,1,0)*Reference!$C$12)</f>
        <v>362700</v>
      </c>
      <c r="D1524" s="10">
        <f ca="1">ROUND(_xlfn.NORM.INV(RAND(),Reference!$D$8,0.1*Reference!$D$8)*(1+Reference!$D$11*(IF(MONTH($A1524)=Reference!$D$4,1,0)+IF(MONTH($A1524)=Reference!$D$5,1,0))+(IF(MONTH($A1524)=Reference!$D$6,Reference!$D$13,0))),0)</f>
        <v>417</v>
      </c>
      <c r="E1524" s="11">
        <f ca="1">D1524*Reference!$D$7*(1-IF(MONTH($A1524)=Reference!$D$6,1,0)*Reference!$D$12)</f>
        <v>312750</v>
      </c>
      <c r="M1524" s="20"/>
      <c r="N1524" s="20"/>
      <c r="O1524" s="19"/>
      <c r="P1524" s="10"/>
      <c r="Q1524" s="10"/>
      <c r="R1524" s="10"/>
      <c r="S1524" s="10"/>
      <c r="T1524" s="10"/>
      <c r="U1524" s="10"/>
      <c r="V1524" s="10"/>
      <c r="W1524" s="10"/>
      <c r="X1524" s="10"/>
      <c r="Y1524" s="10"/>
    </row>
    <row r="1525" spans="1:25" x14ac:dyDescent="0.25">
      <c r="A1525" s="9">
        <v>42063</v>
      </c>
      <c r="B1525" s="10">
        <f ca="1">ROUND(_xlfn.NORM.INV(RAND(),Reference!$C$8,0.1*Reference!$C$8)*(1+Reference!$C$11*(IF(MONTH($A1525)=Reference!$C$4,1,0)+IF(MONTH($A1525)=Reference!$C$5,1,0))+(IF(MONTH($A1525)=Reference!$C$6,Reference!$C$13,0))),0)</f>
        <v>334</v>
      </c>
      <c r="C1525" s="11">
        <f ca="1">B1525*Reference!$C$7*(1-IF(MONTH($A1525)=Reference!$C$6,1,0)*Reference!$C$12)</f>
        <v>310620</v>
      </c>
      <c r="D1525" s="10">
        <f ca="1">ROUND(_xlfn.NORM.INV(RAND(),Reference!$D$8,0.1*Reference!$D$8)*(1+Reference!$D$11*(IF(MONTH($A1525)=Reference!$D$4,1,0)+IF(MONTH($A1525)=Reference!$D$5,1,0))+(IF(MONTH($A1525)=Reference!$D$6,Reference!$D$13,0))),0)</f>
        <v>393</v>
      </c>
      <c r="E1525" s="11">
        <f ca="1">D1525*Reference!$D$7*(1-IF(MONTH($A1525)=Reference!$D$6,1,0)*Reference!$D$12)</f>
        <v>294750</v>
      </c>
      <c r="M1525" s="20"/>
      <c r="N1525" s="20"/>
      <c r="O1525" s="19"/>
      <c r="P1525" s="10"/>
      <c r="Q1525" s="10"/>
      <c r="R1525" s="10"/>
      <c r="S1525" s="10"/>
      <c r="T1525" s="10"/>
      <c r="U1525" s="10"/>
      <c r="V1525" s="10"/>
      <c r="W1525" s="10"/>
      <c r="X1525" s="10"/>
      <c r="Y1525" s="10"/>
    </row>
    <row r="1526" spans="1:25" x14ac:dyDescent="0.25">
      <c r="A1526" s="9">
        <v>42064</v>
      </c>
      <c r="B1526" s="10">
        <f ca="1">ROUND(_xlfn.NORM.INV(RAND(),Reference!$C$8,0.1*Reference!$C$8)*(1+Reference!$C$11*(IF(MONTH($A1526)=Reference!$C$4,1,0)+IF(MONTH($A1526)=Reference!$C$5,1,0))+(IF(MONTH($A1526)=Reference!$C$6,Reference!$C$13,0))),0)</f>
        <v>320</v>
      </c>
      <c r="C1526" s="11">
        <f ca="1">B1526*Reference!$C$7*(1-IF(MONTH($A1526)=Reference!$C$6,1,0)*Reference!$C$12)</f>
        <v>297600</v>
      </c>
      <c r="D1526" s="10">
        <f ca="1">ROUND(_xlfn.NORM.INV(RAND(),Reference!$D$8,0.1*Reference!$D$8)*(1+Reference!$D$11*(IF(MONTH($A1526)=Reference!$D$4,1,0)+IF(MONTH($A1526)=Reference!$D$5,1,0))+(IF(MONTH($A1526)=Reference!$D$6,Reference!$D$13,0))),0)</f>
        <v>429</v>
      </c>
      <c r="E1526" s="11">
        <f ca="1">D1526*Reference!$D$7*(1-IF(MONTH($A1526)=Reference!$D$6,1,0)*Reference!$D$12)</f>
        <v>321750</v>
      </c>
      <c r="M1526" s="20"/>
      <c r="N1526" s="20"/>
      <c r="O1526" s="19"/>
      <c r="P1526" s="10"/>
      <c r="Q1526" s="10"/>
      <c r="R1526" s="10"/>
      <c r="S1526" s="10"/>
      <c r="T1526" s="10"/>
      <c r="U1526" s="10"/>
      <c r="V1526" s="10"/>
      <c r="W1526" s="10"/>
      <c r="X1526" s="10"/>
      <c r="Y1526" s="10"/>
    </row>
    <row r="1527" spans="1:25" x14ac:dyDescent="0.25">
      <c r="A1527" s="9">
        <v>42065</v>
      </c>
      <c r="B1527" s="10">
        <f ca="1">ROUND(_xlfn.NORM.INV(RAND(),Reference!$C$8,0.1*Reference!$C$8)*(1+Reference!$C$11*(IF(MONTH($A1527)=Reference!$C$4,1,0)+IF(MONTH($A1527)=Reference!$C$5,1,0))+(IF(MONTH($A1527)=Reference!$C$6,Reference!$C$13,0))),0)</f>
        <v>391</v>
      </c>
      <c r="C1527" s="11">
        <f ca="1">B1527*Reference!$C$7*(1-IF(MONTH($A1527)=Reference!$C$6,1,0)*Reference!$C$12)</f>
        <v>363630</v>
      </c>
      <c r="D1527" s="10">
        <f ca="1">ROUND(_xlfn.NORM.INV(RAND(),Reference!$D$8,0.1*Reference!$D$8)*(1+Reference!$D$11*(IF(MONTH($A1527)=Reference!$D$4,1,0)+IF(MONTH($A1527)=Reference!$D$5,1,0))+(IF(MONTH($A1527)=Reference!$D$6,Reference!$D$13,0))),0)</f>
        <v>468</v>
      </c>
      <c r="E1527" s="11">
        <f ca="1">D1527*Reference!$D$7*(1-IF(MONTH($A1527)=Reference!$D$6,1,0)*Reference!$D$12)</f>
        <v>351000</v>
      </c>
      <c r="M1527" s="20"/>
      <c r="N1527" s="20"/>
      <c r="O1527" s="19"/>
      <c r="P1527" s="10"/>
      <c r="Q1527" s="10"/>
      <c r="R1527" s="10"/>
      <c r="S1527" s="10"/>
      <c r="T1527" s="10"/>
      <c r="U1527" s="10"/>
      <c r="V1527" s="10"/>
      <c r="W1527" s="10"/>
      <c r="X1527" s="10"/>
      <c r="Y1527" s="10"/>
    </row>
    <row r="1528" spans="1:25" x14ac:dyDescent="0.25">
      <c r="A1528" s="9">
        <v>42066</v>
      </c>
      <c r="B1528" s="10">
        <f ca="1">ROUND(_xlfn.NORM.INV(RAND(),Reference!$C$8,0.1*Reference!$C$8)*(1+Reference!$C$11*(IF(MONTH($A1528)=Reference!$C$4,1,0)+IF(MONTH($A1528)=Reference!$C$5,1,0))+(IF(MONTH($A1528)=Reference!$C$6,Reference!$C$13,0))),0)</f>
        <v>356</v>
      </c>
      <c r="C1528" s="11">
        <f ca="1">B1528*Reference!$C$7*(1-IF(MONTH($A1528)=Reference!$C$6,1,0)*Reference!$C$12)</f>
        <v>331080</v>
      </c>
      <c r="D1528" s="10">
        <f ca="1">ROUND(_xlfn.NORM.INV(RAND(),Reference!$D$8,0.1*Reference!$D$8)*(1+Reference!$D$11*(IF(MONTH($A1528)=Reference!$D$4,1,0)+IF(MONTH($A1528)=Reference!$D$5,1,0))+(IF(MONTH($A1528)=Reference!$D$6,Reference!$D$13,0))),0)</f>
        <v>486</v>
      </c>
      <c r="E1528" s="11">
        <f ca="1">D1528*Reference!$D$7*(1-IF(MONTH($A1528)=Reference!$D$6,1,0)*Reference!$D$12)</f>
        <v>364500</v>
      </c>
      <c r="M1528" s="20"/>
      <c r="N1528" s="20"/>
      <c r="O1528" s="19"/>
      <c r="P1528" s="10"/>
      <c r="Q1528" s="10"/>
      <c r="R1528" s="10"/>
      <c r="S1528" s="10"/>
      <c r="T1528" s="10"/>
      <c r="U1528" s="10"/>
      <c r="V1528" s="10"/>
      <c r="W1528" s="10"/>
      <c r="X1528" s="10"/>
      <c r="Y1528" s="10"/>
    </row>
    <row r="1529" spans="1:25" x14ac:dyDescent="0.25">
      <c r="A1529" s="9">
        <v>42067</v>
      </c>
      <c r="B1529" s="10">
        <f ca="1">ROUND(_xlfn.NORM.INV(RAND(),Reference!$C$8,0.1*Reference!$C$8)*(1+Reference!$C$11*(IF(MONTH($A1529)=Reference!$C$4,1,0)+IF(MONTH($A1529)=Reference!$C$5,1,0))+(IF(MONTH($A1529)=Reference!$C$6,Reference!$C$13,0))),0)</f>
        <v>302</v>
      </c>
      <c r="C1529" s="11">
        <f ca="1">B1529*Reference!$C$7*(1-IF(MONTH($A1529)=Reference!$C$6,1,0)*Reference!$C$12)</f>
        <v>280860</v>
      </c>
      <c r="D1529" s="10">
        <f ca="1">ROUND(_xlfn.NORM.INV(RAND(),Reference!$D$8,0.1*Reference!$D$8)*(1+Reference!$D$11*(IF(MONTH($A1529)=Reference!$D$4,1,0)+IF(MONTH($A1529)=Reference!$D$5,1,0))+(IF(MONTH($A1529)=Reference!$D$6,Reference!$D$13,0))),0)</f>
        <v>422</v>
      </c>
      <c r="E1529" s="11">
        <f ca="1">D1529*Reference!$D$7*(1-IF(MONTH($A1529)=Reference!$D$6,1,0)*Reference!$D$12)</f>
        <v>316500</v>
      </c>
      <c r="M1529" s="20"/>
      <c r="N1529" s="20"/>
      <c r="O1529" s="19"/>
      <c r="P1529" s="10"/>
      <c r="Q1529" s="10"/>
      <c r="R1529" s="10"/>
      <c r="S1529" s="10"/>
      <c r="T1529" s="10"/>
      <c r="U1529" s="10"/>
      <c r="V1529" s="10"/>
      <c r="W1529" s="10"/>
      <c r="X1529" s="10"/>
      <c r="Y1529" s="10"/>
    </row>
    <row r="1530" spans="1:25" x14ac:dyDescent="0.25">
      <c r="A1530" s="9">
        <v>42068</v>
      </c>
      <c r="B1530" s="10">
        <f ca="1">ROUND(_xlfn.NORM.INV(RAND(),Reference!$C$8,0.1*Reference!$C$8)*(1+Reference!$C$11*(IF(MONTH($A1530)=Reference!$C$4,1,0)+IF(MONTH($A1530)=Reference!$C$5,1,0))+(IF(MONTH($A1530)=Reference!$C$6,Reference!$C$13,0))),0)</f>
        <v>428</v>
      </c>
      <c r="C1530" s="11">
        <f ca="1">B1530*Reference!$C$7*(1-IF(MONTH($A1530)=Reference!$C$6,1,0)*Reference!$C$12)</f>
        <v>398040</v>
      </c>
      <c r="D1530" s="10">
        <f ca="1">ROUND(_xlfn.NORM.INV(RAND(),Reference!$D$8,0.1*Reference!$D$8)*(1+Reference!$D$11*(IF(MONTH($A1530)=Reference!$D$4,1,0)+IF(MONTH($A1530)=Reference!$D$5,1,0))+(IF(MONTH($A1530)=Reference!$D$6,Reference!$D$13,0))),0)</f>
        <v>415</v>
      </c>
      <c r="E1530" s="11">
        <f ca="1">D1530*Reference!$D$7*(1-IF(MONTH($A1530)=Reference!$D$6,1,0)*Reference!$D$12)</f>
        <v>311250</v>
      </c>
      <c r="M1530" s="20"/>
      <c r="N1530" s="20"/>
      <c r="O1530" s="19"/>
      <c r="P1530" s="10"/>
      <c r="Q1530" s="10"/>
      <c r="R1530" s="10"/>
      <c r="S1530" s="10"/>
      <c r="T1530" s="10"/>
      <c r="U1530" s="10"/>
      <c r="V1530" s="10"/>
      <c r="W1530" s="10"/>
      <c r="X1530" s="10"/>
      <c r="Y1530" s="10"/>
    </row>
    <row r="1531" spans="1:25" x14ac:dyDescent="0.25">
      <c r="A1531" s="9">
        <v>42069</v>
      </c>
      <c r="B1531" s="10">
        <f ca="1">ROUND(_xlfn.NORM.INV(RAND(),Reference!$C$8,0.1*Reference!$C$8)*(1+Reference!$C$11*(IF(MONTH($A1531)=Reference!$C$4,1,0)+IF(MONTH($A1531)=Reference!$C$5,1,0))+(IF(MONTH($A1531)=Reference!$C$6,Reference!$C$13,0))),0)</f>
        <v>329</v>
      </c>
      <c r="C1531" s="11">
        <f ca="1">B1531*Reference!$C$7*(1-IF(MONTH($A1531)=Reference!$C$6,1,0)*Reference!$C$12)</f>
        <v>305970</v>
      </c>
      <c r="D1531" s="10">
        <f ca="1">ROUND(_xlfn.NORM.INV(RAND(),Reference!$D$8,0.1*Reference!$D$8)*(1+Reference!$D$11*(IF(MONTH($A1531)=Reference!$D$4,1,0)+IF(MONTH($A1531)=Reference!$D$5,1,0))+(IF(MONTH($A1531)=Reference!$D$6,Reference!$D$13,0))),0)</f>
        <v>469</v>
      </c>
      <c r="E1531" s="11">
        <f ca="1">D1531*Reference!$D$7*(1-IF(MONTH($A1531)=Reference!$D$6,1,0)*Reference!$D$12)</f>
        <v>351750</v>
      </c>
      <c r="M1531" s="20"/>
      <c r="N1531" s="20"/>
      <c r="O1531" s="19"/>
      <c r="P1531" s="10"/>
      <c r="Q1531" s="10"/>
      <c r="R1531" s="10"/>
      <c r="S1531" s="10"/>
      <c r="T1531" s="10"/>
      <c r="U1531" s="10"/>
      <c r="V1531" s="10"/>
      <c r="W1531" s="10"/>
      <c r="X1531" s="10"/>
      <c r="Y1531" s="10"/>
    </row>
    <row r="1532" spans="1:25" x14ac:dyDescent="0.25">
      <c r="A1532" s="9">
        <v>42070</v>
      </c>
      <c r="B1532" s="10">
        <f ca="1">ROUND(_xlfn.NORM.INV(RAND(),Reference!$C$8,0.1*Reference!$C$8)*(1+Reference!$C$11*(IF(MONTH($A1532)=Reference!$C$4,1,0)+IF(MONTH($A1532)=Reference!$C$5,1,0))+(IF(MONTH($A1532)=Reference!$C$6,Reference!$C$13,0))),0)</f>
        <v>356</v>
      </c>
      <c r="C1532" s="11">
        <f ca="1">B1532*Reference!$C$7*(1-IF(MONTH($A1532)=Reference!$C$6,1,0)*Reference!$C$12)</f>
        <v>331080</v>
      </c>
      <c r="D1532" s="10">
        <f ca="1">ROUND(_xlfn.NORM.INV(RAND(),Reference!$D$8,0.1*Reference!$D$8)*(1+Reference!$D$11*(IF(MONTH($A1532)=Reference!$D$4,1,0)+IF(MONTH($A1532)=Reference!$D$5,1,0))+(IF(MONTH($A1532)=Reference!$D$6,Reference!$D$13,0))),0)</f>
        <v>553</v>
      </c>
      <c r="E1532" s="11">
        <f ca="1">D1532*Reference!$D$7*(1-IF(MONTH($A1532)=Reference!$D$6,1,0)*Reference!$D$12)</f>
        <v>414750</v>
      </c>
      <c r="M1532" s="20"/>
      <c r="N1532" s="20"/>
      <c r="O1532" s="19"/>
      <c r="P1532" s="10"/>
      <c r="Q1532" s="10"/>
      <c r="R1532" s="10"/>
      <c r="S1532" s="10"/>
      <c r="T1532" s="10"/>
      <c r="U1532" s="10"/>
      <c r="V1532" s="10"/>
      <c r="W1532" s="10"/>
      <c r="X1532" s="10"/>
      <c r="Y1532" s="10"/>
    </row>
    <row r="1533" spans="1:25" x14ac:dyDescent="0.25">
      <c r="A1533" s="9">
        <v>42071</v>
      </c>
      <c r="B1533" s="10">
        <f ca="1">ROUND(_xlfn.NORM.INV(RAND(),Reference!$C$8,0.1*Reference!$C$8)*(1+Reference!$C$11*(IF(MONTH($A1533)=Reference!$C$4,1,0)+IF(MONTH($A1533)=Reference!$C$5,1,0))+(IF(MONTH($A1533)=Reference!$C$6,Reference!$C$13,0))),0)</f>
        <v>418</v>
      </c>
      <c r="C1533" s="11">
        <f ca="1">B1533*Reference!$C$7*(1-IF(MONTH($A1533)=Reference!$C$6,1,0)*Reference!$C$12)</f>
        <v>388740</v>
      </c>
      <c r="D1533" s="10">
        <f ca="1">ROUND(_xlfn.NORM.INV(RAND(),Reference!$D$8,0.1*Reference!$D$8)*(1+Reference!$D$11*(IF(MONTH($A1533)=Reference!$D$4,1,0)+IF(MONTH($A1533)=Reference!$D$5,1,0))+(IF(MONTH($A1533)=Reference!$D$6,Reference!$D$13,0))),0)</f>
        <v>519</v>
      </c>
      <c r="E1533" s="11">
        <f ca="1">D1533*Reference!$D$7*(1-IF(MONTH($A1533)=Reference!$D$6,1,0)*Reference!$D$12)</f>
        <v>389250</v>
      </c>
      <c r="M1533" s="20"/>
      <c r="N1533" s="20"/>
      <c r="O1533" s="19"/>
      <c r="P1533" s="10"/>
      <c r="Q1533" s="10"/>
      <c r="R1533" s="10"/>
      <c r="S1533" s="10"/>
      <c r="T1533" s="10"/>
      <c r="U1533" s="10"/>
      <c r="V1533" s="10"/>
      <c r="W1533" s="10"/>
      <c r="X1533" s="10"/>
      <c r="Y1533" s="10"/>
    </row>
    <row r="1534" spans="1:25" x14ac:dyDescent="0.25">
      <c r="A1534" s="9">
        <v>42072</v>
      </c>
      <c r="B1534" s="10">
        <f ca="1">ROUND(_xlfn.NORM.INV(RAND(),Reference!$C$8,0.1*Reference!$C$8)*(1+Reference!$C$11*(IF(MONTH($A1534)=Reference!$C$4,1,0)+IF(MONTH($A1534)=Reference!$C$5,1,0))+(IF(MONTH($A1534)=Reference!$C$6,Reference!$C$13,0))),0)</f>
        <v>404</v>
      </c>
      <c r="C1534" s="11">
        <f ca="1">B1534*Reference!$C$7*(1-IF(MONTH($A1534)=Reference!$C$6,1,0)*Reference!$C$12)</f>
        <v>375720</v>
      </c>
      <c r="D1534" s="10">
        <f ca="1">ROUND(_xlfn.NORM.INV(RAND(),Reference!$D$8,0.1*Reference!$D$8)*(1+Reference!$D$11*(IF(MONTH($A1534)=Reference!$D$4,1,0)+IF(MONTH($A1534)=Reference!$D$5,1,0))+(IF(MONTH($A1534)=Reference!$D$6,Reference!$D$13,0))),0)</f>
        <v>438</v>
      </c>
      <c r="E1534" s="11">
        <f ca="1">D1534*Reference!$D$7*(1-IF(MONTH($A1534)=Reference!$D$6,1,0)*Reference!$D$12)</f>
        <v>328500</v>
      </c>
      <c r="M1534" s="20"/>
      <c r="N1534" s="20"/>
      <c r="O1534" s="19"/>
      <c r="P1534" s="10"/>
      <c r="Q1534" s="10"/>
      <c r="R1534" s="10"/>
      <c r="S1534" s="10"/>
      <c r="T1534" s="10"/>
      <c r="U1534" s="10"/>
      <c r="V1534" s="10"/>
      <c r="W1534" s="10"/>
      <c r="X1534" s="10"/>
      <c r="Y1534" s="10"/>
    </row>
    <row r="1535" spans="1:25" x14ac:dyDescent="0.25">
      <c r="A1535" s="9">
        <v>42073</v>
      </c>
      <c r="B1535" s="10">
        <f ca="1">ROUND(_xlfn.NORM.INV(RAND(),Reference!$C$8,0.1*Reference!$C$8)*(1+Reference!$C$11*(IF(MONTH($A1535)=Reference!$C$4,1,0)+IF(MONTH($A1535)=Reference!$C$5,1,0))+(IF(MONTH($A1535)=Reference!$C$6,Reference!$C$13,0))),0)</f>
        <v>340</v>
      </c>
      <c r="C1535" s="11">
        <f ca="1">B1535*Reference!$C$7*(1-IF(MONTH($A1535)=Reference!$C$6,1,0)*Reference!$C$12)</f>
        <v>316200</v>
      </c>
      <c r="D1535" s="10">
        <f ca="1">ROUND(_xlfn.NORM.INV(RAND(),Reference!$D$8,0.1*Reference!$D$8)*(1+Reference!$D$11*(IF(MONTH($A1535)=Reference!$D$4,1,0)+IF(MONTH($A1535)=Reference!$D$5,1,0))+(IF(MONTH($A1535)=Reference!$D$6,Reference!$D$13,0))),0)</f>
        <v>450</v>
      </c>
      <c r="E1535" s="11">
        <f ca="1">D1535*Reference!$D$7*(1-IF(MONTH($A1535)=Reference!$D$6,1,0)*Reference!$D$12)</f>
        <v>337500</v>
      </c>
      <c r="M1535" s="20"/>
      <c r="N1535" s="20"/>
      <c r="O1535" s="19"/>
      <c r="P1535" s="10"/>
      <c r="Q1535" s="10"/>
      <c r="R1535" s="10"/>
      <c r="S1535" s="10"/>
      <c r="T1535" s="10"/>
      <c r="U1535" s="10"/>
      <c r="V1535" s="10"/>
      <c r="W1535" s="10"/>
      <c r="X1535" s="10"/>
      <c r="Y1535" s="10"/>
    </row>
    <row r="1536" spans="1:25" x14ac:dyDescent="0.25">
      <c r="A1536" s="9">
        <v>42074</v>
      </c>
      <c r="B1536" s="10">
        <f ca="1">ROUND(_xlfn.NORM.INV(RAND(),Reference!$C$8,0.1*Reference!$C$8)*(1+Reference!$C$11*(IF(MONTH($A1536)=Reference!$C$4,1,0)+IF(MONTH($A1536)=Reference!$C$5,1,0))+(IF(MONTH($A1536)=Reference!$C$6,Reference!$C$13,0))),0)</f>
        <v>362</v>
      </c>
      <c r="C1536" s="11">
        <f ca="1">B1536*Reference!$C$7*(1-IF(MONTH($A1536)=Reference!$C$6,1,0)*Reference!$C$12)</f>
        <v>336660</v>
      </c>
      <c r="D1536" s="10">
        <f ca="1">ROUND(_xlfn.NORM.INV(RAND(),Reference!$D$8,0.1*Reference!$D$8)*(1+Reference!$D$11*(IF(MONTH($A1536)=Reference!$D$4,1,0)+IF(MONTH($A1536)=Reference!$D$5,1,0))+(IF(MONTH($A1536)=Reference!$D$6,Reference!$D$13,0))),0)</f>
        <v>497</v>
      </c>
      <c r="E1536" s="11">
        <f ca="1">D1536*Reference!$D$7*(1-IF(MONTH($A1536)=Reference!$D$6,1,0)*Reference!$D$12)</f>
        <v>372750</v>
      </c>
      <c r="M1536" s="20"/>
      <c r="N1536" s="20"/>
      <c r="O1536" s="19"/>
      <c r="P1536" s="10"/>
      <c r="Q1536" s="10"/>
      <c r="R1536" s="10"/>
      <c r="S1536" s="10"/>
      <c r="T1536" s="10"/>
      <c r="U1536" s="10"/>
      <c r="V1536" s="10"/>
      <c r="W1536" s="10"/>
      <c r="X1536" s="10"/>
      <c r="Y1536" s="10"/>
    </row>
    <row r="1537" spans="1:25" x14ac:dyDescent="0.25">
      <c r="A1537" s="9">
        <v>42075</v>
      </c>
      <c r="B1537" s="10">
        <f ca="1">ROUND(_xlfn.NORM.INV(RAND(),Reference!$C$8,0.1*Reference!$C$8)*(1+Reference!$C$11*(IF(MONTH($A1537)=Reference!$C$4,1,0)+IF(MONTH($A1537)=Reference!$C$5,1,0))+(IF(MONTH($A1537)=Reference!$C$6,Reference!$C$13,0))),0)</f>
        <v>382</v>
      </c>
      <c r="C1537" s="11">
        <f ca="1">B1537*Reference!$C$7*(1-IF(MONTH($A1537)=Reference!$C$6,1,0)*Reference!$C$12)</f>
        <v>355260</v>
      </c>
      <c r="D1537" s="10">
        <f ca="1">ROUND(_xlfn.NORM.INV(RAND(),Reference!$D$8,0.1*Reference!$D$8)*(1+Reference!$D$11*(IF(MONTH($A1537)=Reference!$D$4,1,0)+IF(MONTH($A1537)=Reference!$D$5,1,0))+(IF(MONTH($A1537)=Reference!$D$6,Reference!$D$13,0))),0)</f>
        <v>472</v>
      </c>
      <c r="E1537" s="11">
        <f ca="1">D1537*Reference!$D$7*(1-IF(MONTH($A1537)=Reference!$D$6,1,0)*Reference!$D$12)</f>
        <v>354000</v>
      </c>
      <c r="M1537" s="20"/>
      <c r="N1537" s="20"/>
      <c r="O1537" s="19"/>
      <c r="P1537" s="10"/>
      <c r="Q1537" s="10"/>
      <c r="R1537" s="10"/>
      <c r="S1537" s="10"/>
      <c r="T1537" s="10"/>
      <c r="U1537" s="10"/>
      <c r="V1537" s="10"/>
      <c r="W1537" s="10"/>
      <c r="X1537" s="10"/>
      <c r="Y1537" s="10"/>
    </row>
    <row r="1538" spans="1:25" x14ac:dyDescent="0.25">
      <c r="A1538" s="9">
        <v>42076</v>
      </c>
      <c r="B1538" s="10">
        <f ca="1">ROUND(_xlfn.NORM.INV(RAND(),Reference!$C$8,0.1*Reference!$C$8)*(1+Reference!$C$11*(IF(MONTH($A1538)=Reference!$C$4,1,0)+IF(MONTH($A1538)=Reference!$C$5,1,0))+(IF(MONTH($A1538)=Reference!$C$6,Reference!$C$13,0))),0)</f>
        <v>363</v>
      </c>
      <c r="C1538" s="11">
        <f ca="1">B1538*Reference!$C$7*(1-IF(MONTH($A1538)=Reference!$C$6,1,0)*Reference!$C$12)</f>
        <v>337590</v>
      </c>
      <c r="D1538" s="10">
        <f ca="1">ROUND(_xlfn.NORM.INV(RAND(),Reference!$D$8,0.1*Reference!$D$8)*(1+Reference!$D$11*(IF(MONTH($A1538)=Reference!$D$4,1,0)+IF(MONTH($A1538)=Reference!$D$5,1,0))+(IF(MONTH($A1538)=Reference!$D$6,Reference!$D$13,0))),0)</f>
        <v>390</v>
      </c>
      <c r="E1538" s="11">
        <f ca="1">D1538*Reference!$D$7*(1-IF(MONTH($A1538)=Reference!$D$6,1,0)*Reference!$D$12)</f>
        <v>292500</v>
      </c>
      <c r="M1538" s="20"/>
      <c r="N1538" s="20"/>
      <c r="O1538" s="19"/>
      <c r="P1538" s="10"/>
      <c r="Q1538" s="10"/>
      <c r="R1538" s="10"/>
      <c r="S1538" s="10"/>
      <c r="T1538" s="10"/>
      <c r="U1538" s="10"/>
      <c r="V1538" s="10"/>
      <c r="W1538" s="10"/>
      <c r="X1538" s="10"/>
      <c r="Y1538" s="10"/>
    </row>
    <row r="1539" spans="1:25" x14ac:dyDescent="0.25">
      <c r="A1539" s="9">
        <v>42077</v>
      </c>
      <c r="B1539" s="10">
        <f ca="1">ROUND(_xlfn.NORM.INV(RAND(),Reference!$C$8,0.1*Reference!$C$8)*(1+Reference!$C$11*(IF(MONTH($A1539)=Reference!$C$4,1,0)+IF(MONTH($A1539)=Reference!$C$5,1,0))+(IF(MONTH($A1539)=Reference!$C$6,Reference!$C$13,0))),0)</f>
        <v>294</v>
      </c>
      <c r="C1539" s="11">
        <f ca="1">B1539*Reference!$C$7*(1-IF(MONTH($A1539)=Reference!$C$6,1,0)*Reference!$C$12)</f>
        <v>273420</v>
      </c>
      <c r="D1539" s="10">
        <f ca="1">ROUND(_xlfn.NORM.INV(RAND(),Reference!$D$8,0.1*Reference!$D$8)*(1+Reference!$D$11*(IF(MONTH($A1539)=Reference!$D$4,1,0)+IF(MONTH($A1539)=Reference!$D$5,1,0))+(IF(MONTH($A1539)=Reference!$D$6,Reference!$D$13,0))),0)</f>
        <v>460</v>
      </c>
      <c r="E1539" s="11">
        <f ca="1">D1539*Reference!$D$7*(1-IF(MONTH($A1539)=Reference!$D$6,1,0)*Reference!$D$12)</f>
        <v>345000</v>
      </c>
      <c r="M1539" s="20"/>
      <c r="N1539" s="20"/>
      <c r="O1539" s="19"/>
      <c r="P1539" s="10"/>
      <c r="Q1539" s="10"/>
      <c r="R1539" s="10"/>
      <c r="S1539" s="10"/>
      <c r="T1539" s="10"/>
      <c r="U1539" s="10"/>
      <c r="V1539" s="10"/>
      <c r="W1539" s="10"/>
      <c r="X1539" s="10"/>
      <c r="Y1539" s="10"/>
    </row>
    <row r="1540" spans="1:25" x14ac:dyDescent="0.25">
      <c r="A1540" s="9">
        <v>42078</v>
      </c>
      <c r="B1540" s="10">
        <f ca="1">ROUND(_xlfn.NORM.INV(RAND(),Reference!$C$8,0.1*Reference!$C$8)*(1+Reference!$C$11*(IF(MONTH($A1540)=Reference!$C$4,1,0)+IF(MONTH($A1540)=Reference!$C$5,1,0))+(IF(MONTH($A1540)=Reference!$C$6,Reference!$C$13,0))),0)</f>
        <v>263</v>
      </c>
      <c r="C1540" s="11">
        <f ca="1">B1540*Reference!$C$7*(1-IF(MONTH($A1540)=Reference!$C$6,1,0)*Reference!$C$12)</f>
        <v>244590</v>
      </c>
      <c r="D1540" s="10">
        <f ca="1">ROUND(_xlfn.NORM.INV(RAND(),Reference!$D$8,0.1*Reference!$D$8)*(1+Reference!$D$11*(IF(MONTH($A1540)=Reference!$D$4,1,0)+IF(MONTH($A1540)=Reference!$D$5,1,0))+(IF(MONTH($A1540)=Reference!$D$6,Reference!$D$13,0))),0)</f>
        <v>370</v>
      </c>
      <c r="E1540" s="11">
        <f ca="1">D1540*Reference!$D$7*(1-IF(MONTH($A1540)=Reference!$D$6,1,0)*Reference!$D$12)</f>
        <v>277500</v>
      </c>
      <c r="M1540" s="20"/>
      <c r="N1540" s="20"/>
      <c r="O1540" s="19"/>
      <c r="P1540" s="10"/>
      <c r="Q1540" s="10"/>
      <c r="R1540" s="10"/>
      <c r="S1540" s="10"/>
      <c r="T1540" s="10"/>
      <c r="U1540" s="10"/>
      <c r="V1540" s="10"/>
      <c r="W1540" s="10"/>
      <c r="X1540" s="10"/>
      <c r="Y1540" s="10"/>
    </row>
    <row r="1541" spans="1:25" x14ac:dyDescent="0.25">
      <c r="A1541" s="9">
        <v>42079</v>
      </c>
      <c r="B1541" s="10">
        <f ca="1">ROUND(_xlfn.NORM.INV(RAND(),Reference!$C$8,0.1*Reference!$C$8)*(1+Reference!$C$11*(IF(MONTH($A1541)=Reference!$C$4,1,0)+IF(MONTH($A1541)=Reference!$C$5,1,0))+(IF(MONTH($A1541)=Reference!$C$6,Reference!$C$13,0))),0)</f>
        <v>371</v>
      </c>
      <c r="C1541" s="11">
        <f ca="1">B1541*Reference!$C$7*(1-IF(MONTH($A1541)=Reference!$C$6,1,0)*Reference!$C$12)</f>
        <v>345030</v>
      </c>
      <c r="D1541" s="10">
        <f ca="1">ROUND(_xlfn.NORM.INV(RAND(),Reference!$D$8,0.1*Reference!$D$8)*(1+Reference!$D$11*(IF(MONTH($A1541)=Reference!$D$4,1,0)+IF(MONTH($A1541)=Reference!$D$5,1,0))+(IF(MONTH($A1541)=Reference!$D$6,Reference!$D$13,0))),0)</f>
        <v>378</v>
      </c>
      <c r="E1541" s="11">
        <f ca="1">D1541*Reference!$D$7*(1-IF(MONTH($A1541)=Reference!$D$6,1,0)*Reference!$D$12)</f>
        <v>283500</v>
      </c>
      <c r="M1541" s="20"/>
      <c r="N1541" s="20"/>
      <c r="O1541" s="19"/>
      <c r="P1541" s="10"/>
      <c r="Q1541" s="10"/>
      <c r="R1541" s="10"/>
      <c r="S1541" s="10"/>
      <c r="T1541" s="10"/>
      <c r="U1541" s="10"/>
      <c r="V1541" s="10"/>
      <c r="W1541" s="10"/>
      <c r="X1541" s="10"/>
      <c r="Y1541" s="10"/>
    </row>
    <row r="1542" spans="1:25" x14ac:dyDescent="0.25">
      <c r="A1542" s="9">
        <v>42080</v>
      </c>
      <c r="B1542" s="10">
        <f ca="1">ROUND(_xlfn.NORM.INV(RAND(),Reference!$C$8,0.1*Reference!$C$8)*(1+Reference!$C$11*(IF(MONTH($A1542)=Reference!$C$4,1,0)+IF(MONTH($A1542)=Reference!$C$5,1,0))+(IF(MONTH($A1542)=Reference!$C$6,Reference!$C$13,0))),0)</f>
        <v>408</v>
      </c>
      <c r="C1542" s="11">
        <f ca="1">B1542*Reference!$C$7*(1-IF(MONTH($A1542)=Reference!$C$6,1,0)*Reference!$C$12)</f>
        <v>379440</v>
      </c>
      <c r="D1542" s="10">
        <f ca="1">ROUND(_xlfn.NORM.INV(RAND(),Reference!$D$8,0.1*Reference!$D$8)*(1+Reference!$D$11*(IF(MONTH($A1542)=Reference!$D$4,1,0)+IF(MONTH($A1542)=Reference!$D$5,1,0))+(IF(MONTH($A1542)=Reference!$D$6,Reference!$D$13,0))),0)</f>
        <v>426</v>
      </c>
      <c r="E1542" s="11">
        <f ca="1">D1542*Reference!$D$7*(1-IF(MONTH($A1542)=Reference!$D$6,1,0)*Reference!$D$12)</f>
        <v>319500</v>
      </c>
      <c r="M1542" s="20"/>
      <c r="N1542" s="20"/>
      <c r="O1542" s="19"/>
      <c r="P1542" s="10"/>
      <c r="Q1542" s="10"/>
      <c r="R1542" s="10"/>
      <c r="S1542" s="10"/>
      <c r="T1542" s="10"/>
      <c r="U1542" s="10"/>
      <c r="V1542" s="10"/>
      <c r="W1542" s="10"/>
      <c r="X1542" s="10"/>
      <c r="Y1542" s="10"/>
    </row>
    <row r="1543" spans="1:25" x14ac:dyDescent="0.25">
      <c r="A1543" s="9">
        <v>42081</v>
      </c>
      <c r="B1543" s="10">
        <f ca="1">ROUND(_xlfn.NORM.INV(RAND(),Reference!$C$8,0.1*Reference!$C$8)*(1+Reference!$C$11*(IF(MONTH($A1543)=Reference!$C$4,1,0)+IF(MONTH($A1543)=Reference!$C$5,1,0))+(IF(MONTH($A1543)=Reference!$C$6,Reference!$C$13,0))),0)</f>
        <v>351</v>
      </c>
      <c r="C1543" s="11">
        <f ca="1">B1543*Reference!$C$7*(1-IF(MONTH($A1543)=Reference!$C$6,1,0)*Reference!$C$12)</f>
        <v>326430</v>
      </c>
      <c r="D1543" s="10">
        <f ca="1">ROUND(_xlfn.NORM.INV(RAND(),Reference!$D$8,0.1*Reference!$D$8)*(1+Reference!$D$11*(IF(MONTH($A1543)=Reference!$D$4,1,0)+IF(MONTH($A1543)=Reference!$D$5,1,0))+(IF(MONTH($A1543)=Reference!$D$6,Reference!$D$13,0))),0)</f>
        <v>520</v>
      </c>
      <c r="E1543" s="11">
        <f ca="1">D1543*Reference!$D$7*(1-IF(MONTH($A1543)=Reference!$D$6,1,0)*Reference!$D$12)</f>
        <v>390000</v>
      </c>
      <c r="M1543" s="20"/>
      <c r="N1543" s="20"/>
      <c r="O1543" s="19"/>
      <c r="P1543" s="10"/>
      <c r="Q1543" s="10"/>
      <c r="R1543" s="10"/>
      <c r="S1543" s="10"/>
      <c r="T1543" s="10"/>
      <c r="U1543" s="10"/>
      <c r="V1543" s="10"/>
      <c r="W1543" s="10"/>
      <c r="X1543" s="10"/>
      <c r="Y1543" s="10"/>
    </row>
    <row r="1544" spans="1:25" x14ac:dyDescent="0.25">
      <c r="A1544" s="9">
        <v>42082</v>
      </c>
      <c r="B1544" s="10">
        <f ca="1">ROUND(_xlfn.NORM.INV(RAND(),Reference!$C$8,0.1*Reference!$C$8)*(1+Reference!$C$11*(IF(MONTH($A1544)=Reference!$C$4,1,0)+IF(MONTH($A1544)=Reference!$C$5,1,0))+(IF(MONTH($A1544)=Reference!$C$6,Reference!$C$13,0))),0)</f>
        <v>347</v>
      </c>
      <c r="C1544" s="11">
        <f ca="1">B1544*Reference!$C$7*(1-IF(MONTH($A1544)=Reference!$C$6,1,0)*Reference!$C$12)</f>
        <v>322710</v>
      </c>
      <c r="D1544" s="10">
        <f ca="1">ROUND(_xlfn.NORM.INV(RAND(),Reference!$D$8,0.1*Reference!$D$8)*(1+Reference!$D$11*(IF(MONTH($A1544)=Reference!$D$4,1,0)+IF(MONTH($A1544)=Reference!$D$5,1,0))+(IF(MONTH($A1544)=Reference!$D$6,Reference!$D$13,0))),0)</f>
        <v>505</v>
      </c>
      <c r="E1544" s="11">
        <f ca="1">D1544*Reference!$D$7*(1-IF(MONTH($A1544)=Reference!$D$6,1,0)*Reference!$D$12)</f>
        <v>378750</v>
      </c>
      <c r="M1544" s="20"/>
      <c r="N1544" s="20"/>
      <c r="O1544" s="19"/>
      <c r="P1544" s="10"/>
      <c r="Q1544" s="10"/>
      <c r="R1544" s="10"/>
      <c r="S1544" s="10"/>
      <c r="T1544" s="10"/>
      <c r="U1544" s="10"/>
      <c r="V1544" s="10"/>
      <c r="W1544" s="10"/>
      <c r="X1544" s="10"/>
      <c r="Y1544" s="10"/>
    </row>
    <row r="1545" spans="1:25" x14ac:dyDescent="0.25">
      <c r="A1545" s="9">
        <v>42083</v>
      </c>
      <c r="B1545" s="10">
        <f ca="1">ROUND(_xlfn.NORM.INV(RAND(),Reference!$C$8,0.1*Reference!$C$8)*(1+Reference!$C$11*(IF(MONTH($A1545)=Reference!$C$4,1,0)+IF(MONTH($A1545)=Reference!$C$5,1,0))+(IF(MONTH($A1545)=Reference!$C$6,Reference!$C$13,0))),0)</f>
        <v>371</v>
      </c>
      <c r="C1545" s="11">
        <f ca="1">B1545*Reference!$C$7*(1-IF(MONTH($A1545)=Reference!$C$6,1,0)*Reference!$C$12)</f>
        <v>345030</v>
      </c>
      <c r="D1545" s="10">
        <f ca="1">ROUND(_xlfn.NORM.INV(RAND(),Reference!$D$8,0.1*Reference!$D$8)*(1+Reference!$D$11*(IF(MONTH($A1545)=Reference!$D$4,1,0)+IF(MONTH($A1545)=Reference!$D$5,1,0))+(IF(MONTH($A1545)=Reference!$D$6,Reference!$D$13,0))),0)</f>
        <v>519</v>
      </c>
      <c r="E1545" s="11">
        <f ca="1">D1545*Reference!$D$7*(1-IF(MONTH($A1545)=Reference!$D$6,1,0)*Reference!$D$12)</f>
        <v>389250</v>
      </c>
      <c r="M1545" s="20"/>
      <c r="N1545" s="20"/>
      <c r="O1545" s="19"/>
      <c r="P1545" s="10"/>
      <c r="Q1545" s="10"/>
      <c r="R1545" s="10"/>
      <c r="S1545" s="10"/>
      <c r="T1545" s="10"/>
      <c r="U1545" s="10"/>
      <c r="V1545" s="10"/>
      <c r="W1545" s="10"/>
      <c r="X1545" s="10"/>
      <c r="Y1545" s="10"/>
    </row>
    <row r="1546" spans="1:25" x14ac:dyDescent="0.25">
      <c r="A1546" s="9">
        <v>42084</v>
      </c>
      <c r="B1546" s="10">
        <f ca="1">ROUND(_xlfn.NORM.INV(RAND(),Reference!$C$8,0.1*Reference!$C$8)*(1+Reference!$C$11*(IF(MONTH($A1546)=Reference!$C$4,1,0)+IF(MONTH($A1546)=Reference!$C$5,1,0))+(IF(MONTH($A1546)=Reference!$C$6,Reference!$C$13,0))),0)</f>
        <v>335</v>
      </c>
      <c r="C1546" s="11">
        <f ca="1">B1546*Reference!$C$7*(1-IF(MONTH($A1546)=Reference!$C$6,1,0)*Reference!$C$12)</f>
        <v>311550</v>
      </c>
      <c r="D1546" s="10">
        <f ca="1">ROUND(_xlfn.NORM.INV(RAND(),Reference!$D$8,0.1*Reference!$D$8)*(1+Reference!$D$11*(IF(MONTH($A1546)=Reference!$D$4,1,0)+IF(MONTH($A1546)=Reference!$D$5,1,0))+(IF(MONTH($A1546)=Reference!$D$6,Reference!$D$13,0))),0)</f>
        <v>484</v>
      </c>
      <c r="E1546" s="11">
        <f ca="1">D1546*Reference!$D$7*(1-IF(MONTH($A1546)=Reference!$D$6,1,0)*Reference!$D$12)</f>
        <v>363000</v>
      </c>
      <c r="M1546" s="20"/>
      <c r="N1546" s="20"/>
      <c r="O1546" s="19"/>
      <c r="P1546" s="10"/>
      <c r="Q1546" s="10"/>
      <c r="R1546" s="10"/>
      <c r="S1546" s="10"/>
      <c r="T1546" s="10"/>
      <c r="U1546" s="10"/>
      <c r="V1546" s="10"/>
      <c r="W1546" s="10"/>
      <c r="X1546" s="10"/>
      <c r="Y1546" s="10"/>
    </row>
    <row r="1547" spans="1:25" x14ac:dyDescent="0.25">
      <c r="A1547" s="9">
        <v>42085</v>
      </c>
      <c r="B1547" s="10">
        <f ca="1">ROUND(_xlfn.NORM.INV(RAND(),Reference!$C$8,0.1*Reference!$C$8)*(1+Reference!$C$11*(IF(MONTH($A1547)=Reference!$C$4,1,0)+IF(MONTH($A1547)=Reference!$C$5,1,0))+(IF(MONTH($A1547)=Reference!$C$6,Reference!$C$13,0))),0)</f>
        <v>382</v>
      </c>
      <c r="C1547" s="11">
        <f ca="1">B1547*Reference!$C$7*(1-IF(MONTH($A1547)=Reference!$C$6,1,0)*Reference!$C$12)</f>
        <v>355260</v>
      </c>
      <c r="D1547" s="10">
        <f ca="1">ROUND(_xlfn.NORM.INV(RAND(),Reference!$D$8,0.1*Reference!$D$8)*(1+Reference!$D$11*(IF(MONTH($A1547)=Reference!$D$4,1,0)+IF(MONTH($A1547)=Reference!$D$5,1,0))+(IF(MONTH($A1547)=Reference!$D$6,Reference!$D$13,0))),0)</f>
        <v>482</v>
      </c>
      <c r="E1547" s="11">
        <f ca="1">D1547*Reference!$D$7*(1-IF(MONTH($A1547)=Reference!$D$6,1,0)*Reference!$D$12)</f>
        <v>361500</v>
      </c>
      <c r="M1547" s="20"/>
      <c r="N1547" s="20"/>
      <c r="O1547" s="19"/>
      <c r="P1547" s="10"/>
      <c r="Q1547" s="10"/>
      <c r="R1547" s="10"/>
      <c r="S1547" s="10"/>
      <c r="T1547" s="10"/>
      <c r="U1547" s="10"/>
      <c r="V1547" s="10"/>
      <c r="W1547" s="10"/>
      <c r="X1547" s="10"/>
      <c r="Y1547" s="10"/>
    </row>
    <row r="1548" spans="1:25" x14ac:dyDescent="0.25">
      <c r="A1548" s="9">
        <v>42086</v>
      </c>
      <c r="B1548" s="10">
        <f ca="1">ROUND(_xlfn.NORM.INV(RAND(),Reference!$C$8,0.1*Reference!$C$8)*(1+Reference!$C$11*(IF(MONTH($A1548)=Reference!$C$4,1,0)+IF(MONTH($A1548)=Reference!$C$5,1,0))+(IF(MONTH($A1548)=Reference!$C$6,Reference!$C$13,0))),0)</f>
        <v>376</v>
      </c>
      <c r="C1548" s="11">
        <f ca="1">B1548*Reference!$C$7*(1-IF(MONTH($A1548)=Reference!$C$6,1,0)*Reference!$C$12)</f>
        <v>349680</v>
      </c>
      <c r="D1548" s="10">
        <f ca="1">ROUND(_xlfn.NORM.INV(RAND(),Reference!$D$8,0.1*Reference!$D$8)*(1+Reference!$D$11*(IF(MONTH($A1548)=Reference!$D$4,1,0)+IF(MONTH($A1548)=Reference!$D$5,1,0))+(IF(MONTH($A1548)=Reference!$D$6,Reference!$D$13,0))),0)</f>
        <v>405</v>
      </c>
      <c r="E1548" s="11">
        <f ca="1">D1548*Reference!$D$7*(1-IF(MONTH($A1548)=Reference!$D$6,1,0)*Reference!$D$12)</f>
        <v>303750</v>
      </c>
      <c r="M1548" s="20"/>
      <c r="N1548" s="20"/>
      <c r="O1548" s="19"/>
      <c r="P1548" s="10"/>
      <c r="Q1548" s="10"/>
      <c r="R1548" s="10"/>
      <c r="S1548" s="10"/>
      <c r="T1548" s="10"/>
      <c r="U1548" s="10"/>
      <c r="V1548" s="10"/>
      <c r="W1548" s="10"/>
      <c r="X1548" s="10"/>
      <c r="Y1548" s="10"/>
    </row>
    <row r="1549" spans="1:25" x14ac:dyDescent="0.25">
      <c r="A1549" s="9">
        <v>42087</v>
      </c>
      <c r="B1549" s="10">
        <f ca="1">ROUND(_xlfn.NORM.INV(RAND(),Reference!$C$8,0.1*Reference!$C$8)*(1+Reference!$C$11*(IF(MONTH($A1549)=Reference!$C$4,1,0)+IF(MONTH($A1549)=Reference!$C$5,1,0))+(IF(MONTH($A1549)=Reference!$C$6,Reference!$C$13,0))),0)</f>
        <v>325</v>
      </c>
      <c r="C1549" s="11">
        <f ca="1">B1549*Reference!$C$7*(1-IF(MONTH($A1549)=Reference!$C$6,1,0)*Reference!$C$12)</f>
        <v>302250</v>
      </c>
      <c r="D1549" s="10">
        <f ca="1">ROUND(_xlfn.NORM.INV(RAND(),Reference!$D$8,0.1*Reference!$D$8)*(1+Reference!$D$11*(IF(MONTH($A1549)=Reference!$D$4,1,0)+IF(MONTH($A1549)=Reference!$D$5,1,0))+(IF(MONTH($A1549)=Reference!$D$6,Reference!$D$13,0))),0)</f>
        <v>431</v>
      </c>
      <c r="E1549" s="11">
        <f ca="1">D1549*Reference!$D$7*(1-IF(MONTH($A1549)=Reference!$D$6,1,0)*Reference!$D$12)</f>
        <v>323250</v>
      </c>
      <c r="M1549" s="20"/>
      <c r="N1549" s="20"/>
      <c r="O1549" s="19"/>
      <c r="P1549" s="10"/>
      <c r="Q1549" s="10"/>
      <c r="R1549" s="10"/>
      <c r="S1549" s="10"/>
      <c r="T1549" s="10"/>
      <c r="U1549" s="10"/>
      <c r="V1549" s="10"/>
      <c r="W1549" s="10"/>
      <c r="X1549" s="10"/>
      <c r="Y1549" s="10"/>
    </row>
    <row r="1550" spans="1:25" x14ac:dyDescent="0.25">
      <c r="A1550" s="9">
        <v>42088</v>
      </c>
      <c r="B1550" s="10">
        <f ca="1">ROUND(_xlfn.NORM.INV(RAND(),Reference!$C$8,0.1*Reference!$C$8)*(1+Reference!$C$11*(IF(MONTH($A1550)=Reference!$C$4,1,0)+IF(MONTH($A1550)=Reference!$C$5,1,0))+(IF(MONTH($A1550)=Reference!$C$6,Reference!$C$13,0))),0)</f>
        <v>364</v>
      </c>
      <c r="C1550" s="11">
        <f ca="1">B1550*Reference!$C$7*(1-IF(MONTH($A1550)=Reference!$C$6,1,0)*Reference!$C$12)</f>
        <v>338520</v>
      </c>
      <c r="D1550" s="10">
        <f ca="1">ROUND(_xlfn.NORM.INV(RAND(),Reference!$D$8,0.1*Reference!$D$8)*(1+Reference!$D$11*(IF(MONTH($A1550)=Reference!$D$4,1,0)+IF(MONTH($A1550)=Reference!$D$5,1,0))+(IF(MONTH($A1550)=Reference!$D$6,Reference!$D$13,0))),0)</f>
        <v>434</v>
      </c>
      <c r="E1550" s="11">
        <f ca="1">D1550*Reference!$D$7*(1-IF(MONTH($A1550)=Reference!$D$6,1,0)*Reference!$D$12)</f>
        <v>325500</v>
      </c>
      <c r="M1550" s="20"/>
      <c r="N1550" s="20"/>
      <c r="O1550" s="19"/>
      <c r="P1550" s="10"/>
      <c r="Q1550" s="10"/>
      <c r="R1550" s="10"/>
      <c r="S1550" s="10"/>
      <c r="T1550" s="10"/>
      <c r="U1550" s="10"/>
      <c r="V1550" s="10"/>
      <c r="W1550" s="10"/>
      <c r="X1550" s="10"/>
      <c r="Y1550" s="10"/>
    </row>
    <row r="1551" spans="1:25" x14ac:dyDescent="0.25">
      <c r="A1551" s="9">
        <v>42089</v>
      </c>
      <c r="B1551" s="10">
        <f ca="1">ROUND(_xlfn.NORM.INV(RAND(),Reference!$C$8,0.1*Reference!$C$8)*(1+Reference!$C$11*(IF(MONTH($A1551)=Reference!$C$4,1,0)+IF(MONTH($A1551)=Reference!$C$5,1,0))+(IF(MONTH($A1551)=Reference!$C$6,Reference!$C$13,0))),0)</f>
        <v>374</v>
      </c>
      <c r="C1551" s="11">
        <f ca="1">B1551*Reference!$C$7*(1-IF(MONTH($A1551)=Reference!$C$6,1,0)*Reference!$C$12)</f>
        <v>347820</v>
      </c>
      <c r="D1551" s="10">
        <f ca="1">ROUND(_xlfn.NORM.INV(RAND(),Reference!$D$8,0.1*Reference!$D$8)*(1+Reference!$D$11*(IF(MONTH($A1551)=Reference!$D$4,1,0)+IF(MONTH($A1551)=Reference!$D$5,1,0))+(IF(MONTH($A1551)=Reference!$D$6,Reference!$D$13,0))),0)</f>
        <v>430</v>
      </c>
      <c r="E1551" s="11">
        <f ca="1">D1551*Reference!$D$7*(1-IF(MONTH($A1551)=Reference!$D$6,1,0)*Reference!$D$12)</f>
        <v>322500</v>
      </c>
      <c r="M1551" s="20"/>
      <c r="N1551" s="20"/>
      <c r="O1551" s="19"/>
      <c r="P1551" s="10"/>
      <c r="Q1551" s="10"/>
      <c r="R1551" s="10"/>
      <c r="S1551" s="10"/>
      <c r="T1551" s="10"/>
      <c r="U1551" s="10"/>
      <c r="V1551" s="10"/>
      <c r="W1551" s="10"/>
      <c r="X1551" s="10"/>
      <c r="Y1551" s="10"/>
    </row>
    <row r="1552" spans="1:25" x14ac:dyDescent="0.25">
      <c r="A1552" s="9">
        <v>42090</v>
      </c>
      <c r="B1552" s="10">
        <f ca="1">ROUND(_xlfn.NORM.INV(RAND(),Reference!$C$8,0.1*Reference!$C$8)*(1+Reference!$C$11*(IF(MONTH($A1552)=Reference!$C$4,1,0)+IF(MONTH($A1552)=Reference!$C$5,1,0))+(IF(MONTH($A1552)=Reference!$C$6,Reference!$C$13,0))),0)</f>
        <v>397</v>
      </c>
      <c r="C1552" s="11">
        <f ca="1">B1552*Reference!$C$7*(1-IF(MONTH($A1552)=Reference!$C$6,1,0)*Reference!$C$12)</f>
        <v>369210</v>
      </c>
      <c r="D1552" s="10">
        <f ca="1">ROUND(_xlfn.NORM.INV(RAND(),Reference!$D$8,0.1*Reference!$D$8)*(1+Reference!$D$11*(IF(MONTH($A1552)=Reference!$D$4,1,0)+IF(MONTH($A1552)=Reference!$D$5,1,0))+(IF(MONTH($A1552)=Reference!$D$6,Reference!$D$13,0))),0)</f>
        <v>510</v>
      </c>
      <c r="E1552" s="11">
        <f ca="1">D1552*Reference!$D$7*(1-IF(MONTH($A1552)=Reference!$D$6,1,0)*Reference!$D$12)</f>
        <v>382500</v>
      </c>
      <c r="M1552" s="20"/>
      <c r="N1552" s="20"/>
      <c r="O1552" s="19"/>
      <c r="P1552" s="10"/>
      <c r="Q1552" s="10"/>
      <c r="R1552" s="10"/>
      <c r="S1552" s="10"/>
      <c r="T1552" s="10"/>
      <c r="U1552" s="10"/>
      <c r="V1552" s="10"/>
      <c r="W1552" s="10"/>
      <c r="X1552" s="10"/>
      <c r="Y1552" s="10"/>
    </row>
    <row r="1553" spans="1:25" x14ac:dyDescent="0.25">
      <c r="A1553" s="9">
        <v>42091</v>
      </c>
      <c r="B1553" s="10">
        <f ca="1">ROUND(_xlfn.NORM.INV(RAND(),Reference!$C$8,0.1*Reference!$C$8)*(1+Reference!$C$11*(IF(MONTH($A1553)=Reference!$C$4,1,0)+IF(MONTH($A1553)=Reference!$C$5,1,0))+(IF(MONTH($A1553)=Reference!$C$6,Reference!$C$13,0))),0)</f>
        <v>360</v>
      </c>
      <c r="C1553" s="11">
        <f ca="1">B1553*Reference!$C$7*(1-IF(MONTH($A1553)=Reference!$C$6,1,0)*Reference!$C$12)</f>
        <v>334800</v>
      </c>
      <c r="D1553" s="10">
        <f ca="1">ROUND(_xlfn.NORM.INV(RAND(),Reference!$D$8,0.1*Reference!$D$8)*(1+Reference!$D$11*(IF(MONTH($A1553)=Reference!$D$4,1,0)+IF(MONTH($A1553)=Reference!$D$5,1,0))+(IF(MONTH($A1553)=Reference!$D$6,Reference!$D$13,0))),0)</f>
        <v>476</v>
      </c>
      <c r="E1553" s="11">
        <f ca="1">D1553*Reference!$D$7*(1-IF(MONTH($A1553)=Reference!$D$6,1,0)*Reference!$D$12)</f>
        <v>357000</v>
      </c>
      <c r="M1553" s="20"/>
      <c r="N1553" s="20"/>
      <c r="O1553" s="19"/>
      <c r="P1553" s="10"/>
      <c r="Q1553" s="10"/>
      <c r="R1553" s="10"/>
      <c r="S1553" s="10"/>
      <c r="T1553" s="10"/>
      <c r="U1553" s="10"/>
      <c r="V1553" s="10"/>
      <c r="W1553" s="10"/>
      <c r="X1553" s="10"/>
      <c r="Y1553" s="10"/>
    </row>
    <row r="1554" spans="1:25" x14ac:dyDescent="0.25">
      <c r="A1554" s="9">
        <v>42092</v>
      </c>
      <c r="B1554" s="10">
        <f ca="1">ROUND(_xlfn.NORM.INV(RAND(),Reference!$C$8,0.1*Reference!$C$8)*(1+Reference!$C$11*(IF(MONTH($A1554)=Reference!$C$4,1,0)+IF(MONTH($A1554)=Reference!$C$5,1,0))+(IF(MONTH($A1554)=Reference!$C$6,Reference!$C$13,0))),0)</f>
        <v>372</v>
      </c>
      <c r="C1554" s="11">
        <f ca="1">B1554*Reference!$C$7*(1-IF(MONTH($A1554)=Reference!$C$6,1,0)*Reference!$C$12)</f>
        <v>345960</v>
      </c>
      <c r="D1554" s="10">
        <f ca="1">ROUND(_xlfn.NORM.INV(RAND(),Reference!$D$8,0.1*Reference!$D$8)*(1+Reference!$D$11*(IF(MONTH($A1554)=Reference!$D$4,1,0)+IF(MONTH($A1554)=Reference!$D$5,1,0))+(IF(MONTH($A1554)=Reference!$D$6,Reference!$D$13,0))),0)</f>
        <v>465</v>
      </c>
      <c r="E1554" s="11">
        <f ca="1">D1554*Reference!$D$7*(1-IF(MONTH($A1554)=Reference!$D$6,1,0)*Reference!$D$12)</f>
        <v>348750</v>
      </c>
      <c r="M1554" s="20"/>
      <c r="N1554" s="20"/>
      <c r="O1554" s="19"/>
      <c r="P1554" s="10"/>
      <c r="Q1554" s="10"/>
      <c r="R1554" s="10"/>
      <c r="S1554" s="10"/>
      <c r="T1554" s="10"/>
      <c r="U1554" s="10"/>
      <c r="V1554" s="10"/>
      <c r="W1554" s="10"/>
      <c r="X1554" s="10"/>
      <c r="Y1554" s="10"/>
    </row>
    <row r="1555" spans="1:25" x14ac:dyDescent="0.25">
      <c r="A1555" s="9">
        <v>42093</v>
      </c>
      <c r="B1555" s="10">
        <f ca="1">ROUND(_xlfn.NORM.INV(RAND(),Reference!$C$8,0.1*Reference!$C$8)*(1+Reference!$C$11*(IF(MONTH($A1555)=Reference!$C$4,1,0)+IF(MONTH($A1555)=Reference!$C$5,1,0))+(IF(MONTH($A1555)=Reference!$C$6,Reference!$C$13,0))),0)</f>
        <v>327</v>
      </c>
      <c r="C1555" s="11">
        <f ca="1">B1555*Reference!$C$7*(1-IF(MONTH($A1555)=Reference!$C$6,1,0)*Reference!$C$12)</f>
        <v>304110</v>
      </c>
      <c r="D1555" s="10">
        <f ca="1">ROUND(_xlfn.NORM.INV(RAND(),Reference!$D$8,0.1*Reference!$D$8)*(1+Reference!$D$11*(IF(MONTH($A1555)=Reference!$D$4,1,0)+IF(MONTH($A1555)=Reference!$D$5,1,0))+(IF(MONTH($A1555)=Reference!$D$6,Reference!$D$13,0))),0)</f>
        <v>431</v>
      </c>
      <c r="E1555" s="11">
        <f ca="1">D1555*Reference!$D$7*(1-IF(MONTH($A1555)=Reference!$D$6,1,0)*Reference!$D$12)</f>
        <v>323250</v>
      </c>
      <c r="M1555" s="20"/>
      <c r="N1555" s="20"/>
      <c r="O1555" s="19"/>
      <c r="P1555" s="10"/>
      <c r="Q1555" s="10"/>
      <c r="R1555" s="10"/>
      <c r="S1555" s="10"/>
      <c r="T1555" s="10"/>
      <c r="U1555" s="10"/>
      <c r="V1555" s="10"/>
      <c r="W1555" s="10"/>
      <c r="X1555" s="10"/>
      <c r="Y1555" s="10"/>
    </row>
    <row r="1556" spans="1:25" x14ac:dyDescent="0.25">
      <c r="A1556" s="9">
        <v>42094</v>
      </c>
      <c r="B1556" s="10">
        <f ca="1">ROUND(_xlfn.NORM.INV(RAND(),Reference!$C$8,0.1*Reference!$C$8)*(1+Reference!$C$11*(IF(MONTH($A1556)=Reference!$C$4,1,0)+IF(MONTH($A1556)=Reference!$C$5,1,0))+(IF(MONTH($A1556)=Reference!$C$6,Reference!$C$13,0))),0)</f>
        <v>356</v>
      </c>
      <c r="C1556" s="11">
        <f ca="1">B1556*Reference!$C$7*(1-IF(MONTH($A1556)=Reference!$C$6,1,0)*Reference!$C$12)</f>
        <v>331080</v>
      </c>
      <c r="D1556" s="10">
        <f ca="1">ROUND(_xlfn.NORM.INV(RAND(),Reference!$D$8,0.1*Reference!$D$8)*(1+Reference!$D$11*(IF(MONTH($A1556)=Reference!$D$4,1,0)+IF(MONTH($A1556)=Reference!$D$5,1,0))+(IF(MONTH($A1556)=Reference!$D$6,Reference!$D$13,0))),0)</f>
        <v>428</v>
      </c>
      <c r="E1556" s="11">
        <f ca="1">D1556*Reference!$D$7*(1-IF(MONTH($A1556)=Reference!$D$6,1,0)*Reference!$D$12)</f>
        <v>321000</v>
      </c>
      <c r="M1556" s="20"/>
      <c r="N1556" s="20"/>
      <c r="O1556" s="19"/>
      <c r="P1556" s="10"/>
      <c r="Q1556" s="10"/>
      <c r="R1556" s="10"/>
      <c r="S1556" s="10"/>
      <c r="T1556" s="10"/>
      <c r="U1556" s="10"/>
      <c r="V1556" s="10"/>
      <c r="W1556" s="10"/>
      <c r="X1556" s="10"/>
      <c r="Y1556" s="10"/>
    </row>
    <row r="1557" spans="1:25" x14ac:dyDescent="0.25">
      <c r="A1557" s="9">
        <v>42095</v>
      </c>
      <c r="B1557" s="10">
        <f ca="1">ROUND(_xlfn.NORM.INV(RAND(),Reference!$C$8,0.1*Reference!$C$8)*(1+Reference!$C$11*(IF(MONTH($A1557)=Reference!$C$4,1,0)+IF(MONTH($A1557)=Reference!$C$5,1,0))+(IF(MONTH($A1557)=Reference!$C$6,Reference!$C$13,0))),0)</f>
        <v>631</v>
      </c>
      <c r="C1557" s="11">
        <f ca="1">B1557*Reference!$C$7*(1-IF(MONTH($A1557)=Reference!$C$6,1,0)*Reference!$C$12)</f>
        <v>586830</v>
      </c>
      <c r="D1557" s="10">
        <f ca="1">ROUND(_xlfn.NORM.INV(RAND(),Reference!$D$8,0.1*Reference!$D$8)*(1+Reference!$D$11*(IF(MONTH($A1557)=Reference!$D$4,1,0)+IF(MONTH($A1557)=Reference!$D$5,1,0))+(IF(MONTH($A1557)=Reference!$D$6,Reference!$D$13,0))),0)</f>
        <v>544</v>
      </c>
      <c r="E1557" s="11">
        <f ca="1">D1557*Reference!$D$7*(1-IF(MONTH($A1557)=Reference!$D$6,1,0)*Reference!$D$12)</f>
        <v>408000</v>
      </c>
      <c r="M1557" s="20"/>
      <c r="N1557" s="20"/>
      <c r="O1557" s="19"/>
      <c r="P1557" s="10"/>
      <c r="Q1557" s="10"/>
      <c r="R1557" s="10"/>
      <c r="S1557" s="10"/>
      <c r="T1557" s="10"/>
      <c r="U1557" s="10"/>
      <c r="V1557" s="10"/>
      <c r="W1557" s="10"/>
      <c r="X1557" s="10"/>
      <c r="Y1557" s="10"/>
    </row>
    <row r="1558" spans="1:25" x14ac:dyDescent="0.25">
      <c r="A1558" s="9">
        <v>42096</v>
      </c>
      <c r="B1558" s="10">
        <f ca="1">ROUND(_xlfn.NORM.INV(RAND(),Reference!$C$8,0.1*Reference!$C$8)*(1+Reference!$C$11*(IF(MONTH($A1558)=Reference!$C$4,1,0)+IF(MONTH($A1558)=Reference!$C$5,1,0))+(IF(MONTH($A1558)=Reference!$C$6,Reference!$C$13,0))),0)</f>
        <v>674</v>
      </c>
      <c r="C1558" s="11">
        <f ca="1">B1558*Reference!$C$7*(1-IF(MONTH($A1558)=Reference!$C$6,1,0)*Reference!$C$12)</f>
        <v>626820</v>
      </c>
      <c r="D1558" s="10">
        <f ca="1">ROUND(_xlfn.NORM.INV(RAND(),Reference!$D$8,0.1*Reference!$D$8)*(1+Reference!$D$11*(IF(MONTH($A1558)=Reference!$D$4,1,0)+IF(MONTH($A1558)=Reference!$D$5,1,0))+(IF(MONTH($A1558)=Reference!$D$6,Reference!$D$13,0))),0)</f>
        <v>408</v>
      </c>
      <c r="E1558" s="11">
        <f ca="1">D1558*Reference!$D$7*(1-IF(MONTH($A1558)=Reference!$D$6,1,0)*Reference!$D$12)</f>
        <v>306000</v>
      </c>
      <c r="M1558" s="20"/>
      <c r="N1558" s="20"/>
      <c r="O1558" s="19"/>
      <c r="P1558" s="10"/>
      <c r="Q1558" s="10"/>
      <c r="R1558" s="10"/>
      <c r="S1558" s="10"/>
      <c r="T1558" s="10"/>
      <c r="U1558" s="10"/>
      <c r="V1558" s="10"/>
      <c r="W1558" s="10"/>
      <c r="X1558" s="10"/>
      <c r="Y1558" s="10"/>
    </row>
    <row r="1559" spans="1:25" x14ac:dyDescent="0.25">
      <c r="A1559" s="9">
        <v>42097</v>
      </c>
      <c r="B1559" s="10">
        <f ca="1">ROUND(_xlfn.NORM.INV(RAND(),Reference!$C$8,0.1*Reference!$C$8)*(1+Reference!$C$11*(IF(MONTH($A1559)=Reference!$C$4,1,0)+IF(MONTH($A1559)=Reference!$C$5,1,0))+(IF(MONTH($A1559)=Reference!$C$6,Reference!$C$13,0))),0)</f>
        <v>615</v>
      </c>
      <c r="C1559" s="11">
        <f ca="1">B1559*Reference!$C$7*(1-IF(MONTH($A1559)=Reference!$C$6,1,0)*Reference!$C$12)</f>
        <v>571950</v>
      </c>
      <c r="D1559" s="10">
        <f ca="1">ROUND(_xlfn.NORM.INV(RAND(),Reference!$D$8,0.1*Reference!$D$8)*(1+Reference!$D$11*(IF(MONTH($A1559)=Reference!$D$4,1,0)+IF(MONTH($A1559)=Reference!$D$5,1,0))+(IF(MONTH($A1559)=Reference!$D$6,Reference!$D$13,0))),0)</f>
        <v>459</v>
      </c>
      <c r="E1559" s="11">
        <f ca="1">D1559*Reference!$D$7*(1-IF(MONTH($A1559)=Reference!$D$6,1,0)*Reference!$D$12)</f>
        <v>344250</v>
      </c>
      <c r="M1559" s="20"/>
      <c r="N1559" s="20"/>
      <c r="O1559" s="19"/>
      <c r="P1559" s="10"/>
      <c r="Q1559" s="10"/>
      <c r="R1559" s="10"/>
      <c r="S1559" s="10"/>
      <c r="T1559" s="10"/>
      <c r="U1559" s="10"/>
      <c r="V1559" s="10"/>
      <c r="W1559" s="10"/>
      <c r="X1559" s="10"/>
      <c r="Y1559" s="10"/>
    </row>
    <row r="1560" spans="1:25" x14ac:dyDescent="0.25">
      <c r="A1560" s="9">
        <v>42098</v>
      </c>
      <c r="B1560" s="10">
        <f ca="1">ROUND(_xlfn.NORM.INV(RAND(),Reference!$C$8,0.1*Reference!$C$8)*(1+Reference!$C$11*(IF(MONTH($A1560)=Reference!$C$4,1,0)+IF(MONTH($A1560)=Reference!$C$5,1,0))+(IF(MONTH($A1560)=Reference!$C$6,Reference!$C$13,0))),0)</f>
        <v>626</v>
      </c>
      <c r="C1560" s="11">
        <f ca="1">B1560*Reference!$C$7*(1-IF(MONTH($A1560)=Reference!$C$6,1,0)*Reference!$C$12)</f>
        <v>582180</v>
      </c>
      <c r="D1560" s="10">
        <f ca="1">ROUND(_xlfn.NORM.INV(RAND(),Reference!$D$8,0.1*Reference!$D$8)*(1+Reference!$D$11*(IF(MONTH($A1560)=Reference!$D$4,1,0)+IF(MONTH($A1560)=Reference!$D$5,1,0))+(IF(MONTH($A1560)=Reference!$D$6,Reference!$D$13,0))),0)</f>
        <v>435</v>
      </c>
      <c r="E1560" s="11">
        <f ca="1">D1560*Reference!$D$7*(1-IF(MONTH($A1560)=Reference!$D$6,1,0)*Reference!$D$12)</f>
        <v>326250</v>
      </c>
      <c r="M1560" s="20"/>
      <c r="N1560" s="20"/>
      <c r="O1560" s="19"/>
      <c r="P1560" s="10"/>
      <c r="Q1560" s="10"/>
      <c r="R1560" s="10"/>
      <c r="S1560" s="10"/>
      <c r="T1560" s="10"/>
      <c r="U1560" s="10"/>
      <c r="V1560" s="10"/>
      <c r="W1560" s="10"/>
      <c r="X1560" s="10"/>
      <c r="Y1560" s="10"/>
    </row>
    <row r="1561" spans="1:25" x14ac:dyDescent="0.25">
      <c r="A1561" s="9">
        <v>42099</v>
      </c>
      <c r="B1561" s="10">
        <f ca="1">ROUND(_xlfn.NORM.INV(RAND(),Reference!$C$8,0.1*Reference!$C$8)*(1+Reference!$C$11*(IF(MONTH($A1561)=Reference!$C$4,1,0)+IF(MONTH($A1561)=Reference!$C$5,1,0))+(IF(MONTH($A1561)=Reference!$C$6,Reference!$C$13,0))),0)</f>
        <v>532</v>
      </c>
      <c r="C1561" s="11">
        <f ca="1">B1561*Reference!$C$7*(1-IF(MONTH($A1561)=Reference!$C$6,1,0)*Reference!$C$12)</f>
        <v>494760</v>
      </c>
      <c r="D1561" s="10">
        <f ca="1">ROUND(_xlfn.NORM.INV(RAND(),Reference!$D$8,0.1*Reference!$D$8)*(1+Reference!$D$11*(IF(MONTH($A1561)=Reference!$D$4,1,0)+IF(MONTH($A1561)=Reference!$D$5,1,0))+(IF(MONTH($A1561)=Reference!$D$6,Reference!$D$13,0))),0)</f>
        <v>450</v>
      </c>
      <c r="E1561" s="11">
        <f ca="1">D1561*Reference!$D$7*(1-IF(MONTH($A1561)=Reference!$D$6,1,0)*Reference!$D$12)</f>
        <v>337500</v>
      </c>
      <c r="M1561" s="20"/>
      <c r="N1561" s="20"/>
      <c r="O1561" s="19"/>
      <c r="P1561" s="10"/>
      <c r="Q1561" s="10"/>
      <c r="R1561" s="10"/>
      <c r="S1561" s="10"/>
      <c r="T1561" s="10"/>
      <c r="U1561" s="10"/>
      <c r="V1561" s="10"/>
      <c r="W1561" s="10"/>
      <c r="X1561" s="10"/>
      <c r="Y1561" s="10"/>
    </row>
    <row r="1562" spans="1:25" x14ac:dyDescent="0.25">
      <c r="A1562" s="9">
        <v>42100</v>
      </c>
      <c r="B1562" s="10">
        <f ca="1">ROUND(_xlfn.NORM.INV(RAND(),Reference!$C$8,0.1*Reference!$C$8)*(1+Reference!$C$11*(IF(MONTH($A1562)=Reference!$C$4,1,0)+IF(MONTH($A1562)=Reference!$C$5,1,0))+(IF(MONTH($A1562)=Reference!$C$6,Reference!$C$13,0))),0)</f>
        <v>501</v>
      </c>
      <c r="C1562" s="11">
        <f ca="1">B1562*Reference!$C$7*(1-IF(MONTH($A1562)=Reference!$C$6,1,0)*Reference!$C$12)</f>
        <v>465930</v>
      </c>
      <c r="D1562" s="10">
        <f ca="1">ROUND(_xlfn.NORM.INV(RAND(),Reference!$D$8,0.1*Reference!$D$8)*(1+Reference!$D$11*(IF(MONTH($A1562)=Reference!$D$4,1,0)+IF(MONTH($A1562)=Reference!$D$5,1,0))+(IF(MONTH($A1562)=Reference!$D$6,Reference!$D$13,0))),0)</f>
        <v>411</v>
      </c>
      <c r="E1562" s="11">
        <f ca="1">D1562*Reference!$D$7*(1-IF(MONTH($A1562)=Reference!$D$6,1,0)*Reference!$D$12)</f>
        <v>308250</v>
      </c>
      <c r="M1562" s="20"/>
      <c r="N1562" s="20"/>
      <c r="O1562" s="19"/>
      <c r="P1562" s="10"/>
      <c r="Q1562" s="10"/>
      <c r="R1562" s="10"/>
      <c r="S1562" s="10"/>
      <c r="T1562" s="10"/>
      <c r="U1562" s="10"/>
      <c r="V1562" s="10"/>
      <c r="W1562" s="10"/>
      <c r="X1562" s="10"/>
      <c r="Y1562" s="10"/>
    </row>
    <row r="1563" spans="1:25" x14ac:dyDescent="0.25">
      <c r="A1563" s="9">
        <v>42101</v>
      </c>
      <c r="B1563" s="10">
        <f ca="1">ROUND(_xlfn.NORM.INV(RAND(),Reference!$C$8,0.1*Reference!$C$8)*(1+Reference!$C$11*(IF(MONTH($A1563)=Reference!$C$4,1,0)+IF(MONTH($A1563)=Reference!$C$5,1,0))+(IF(MONTH($A1563)=Reference!$C$6,Reference!$C$13,0))),0)</f>
        <v>521</v>
      </c>
      <c r="C1563" s="11">
        <f ca="1">B1563*Reference!$C$7*(1-IF(MONTH($A1563)=Reference!$C$6,1,0)*Reference!$C$12)</f>
        <v>484530</v>
      </c>
      <c r="D1563" s="10">
        <f ca="1">ROUND(_xlfn.NORM.INV(RAND(),Reference!$D$8,0.1*Reference!$D$8)*(1+Reference!$D$11*(IF(MONTH($A1563)=Reference!$D$4,1,0)+IF(MONTH($A1563)=Reference!$D$5,1,0))+(IF(MONTH($A1563)=Reference!$D$6,Reference!$D$13,0))),0)</f>
        <v>438</v>
      </c>
      <c r="E1563" s="11">
        <f ca="1">D1563*Reference!$D$7*(1-IF(MONTH($A1563)=Reference!$D$6,1,0)*Reference!$D$12)</f>
        <v>328500</v>
      </c>
      <c r="M1563" s="20"/>
      <c r="N1563" s="20"/>
      <c r="O1563" s="19"/>
      <c r="P1563" s="10"/>
      <c r="Q1563" s="10"/>
      <c r="R1563" s="10"/>
      <c r="S1563" s="10"/>
      <c r="T1563" s="10"/>
      <c r="U1563" s="10"/>
      <c r="V1563" s="10"/>
      <c r="W1563" s="10"/>
      <c r="X1563" s="10"/>
      <c r="Y1563" s="10"/>
    </row>
    <row r="1564" spans="1:25" x14ac:dyDescent="0.25">
      <c r="A1564" s="9">
        <v>42102</v>
      </c>
      <c r="B1564" s="10">
        <f ca="1">ROUND(_xlfn.NORM.INV(RAND(),Reference!$C$8,0.1*Reference!$C$8)*(1+Reference!$C$11*(IF(MONTH($A1564)=Reference!$C$4,1,0)+IF(MONTH($A1564)=Reference!$C$5,1,0))+(IF(MONTH($A1564)=Reference!$C$6,Reference!$C$13,0))),0)</f>
        <v>600</v>
      </c>
      <c r="C1564" s="11">
        <f ca="1">B1564*Reference!$C$7*(1-IF(MONTH($A1564)=Reference!$C$6,1,0)*Reference!$C$12)</f>
        <v>558000</v>
      </c>
      <c r="D1564" s="10">
        <f ca="1">ROUND(_xlfn.NORM.INV(RAND(),Reference!$D$8,0.1*Reference!$D$8)*(1+Reference!$D$11*(IF(MONTH($A1564)=Reference!$D$4,1,0)+IF(MONTH($A1564)=Reference!$D$5,1,0))+(IF(MONTH($A1564)=Reference!$D$6,Reference!$D$13,0))),0)</f>
        <v>450</v>
      </c>
      <c r="E1564" s="11">
        <f ca="1">D1564*Reference!$D$7*(1-IF(MONTH($A1564)=Reference!$D$6,1,0)*Reference!$D$12)</f>
        <v>337500</v>
      </c>
      <c r="M1564" s="20"/>
      <c r="N1564" s="20"/>
      <c r="O1564" s="19"/>
      <c r="P1564" s="10"/>
      <c r="Q1564" s="10"/>
      <c r="R1564" s="10"/>
      <c r="S1564" s="10"/>
      <c r="T1564" s="10"/>
      <c r="U1564" s="10"/>
      <c r="V1564" s="10"/>
      <c r="W1564" s="10"/>
      <c r="X1564" s="10"/>
      <c r="Y1564" s="10"/>
    </row>
    <row r="1565" spans="1:25" x14ac:dyDescent="0.25">
      <c r="A1565" s="9">
        <v>42103</v>
      </c>
      <c r="B1565" s="10">
        <f ca="1">ROUND(_xlfn.NORM.INV(RAND(),Reference!$C$8,0.1*Reference!$C$8)*(1+Reference!$C$11*(IF(MONTH($A1565)=Reference!$C$4,1,0)+IF(MONTH($A1565)=Reference!$C$5,1,0))+(IF(MONTH($A1565)=Reference!$C$6,Reference!$C$13,0))),0)</f>
        <v>575</v>
      </c>
      <c r="C1565" s="11">
        <f ca="1">B1565*Reference!$C$7*(1-IF(MONTH($A1565)=Reference!$C$6,1,0)*Reference!$C$12)</f>
        <v>534750</v>
      </c>
      <c r="D1565" s="10">
        <f ca="1">ROUND(_xlfn.NORM.INV(RAND(),Reference!$D$8,0.1*Reference!$D$8)*(1+Reference!$D$11*(IF(MONTH($A1565)=Reference!$D$4,1,0)+IF(MONTH($A1565)=Reference!$D$5,1,0))+(IF(MONTH($A1565)=Reference!$D$6,Reference!$D$13,0))),0)</f>
        <v>489</v>
      </c>
      <c r="E1565" s="11">
        <f ca="1">D1565*Reference!$D$7*(1-IF(MONTH($A1565)=Reference!$D$6,1,0)*Reference!$D$12)</f>
        <v>366750</v>
      </c>
      <c r="M1565" s="20"/>
      <c r="N1565" s="20"/>
      <c r="O1565" s="19"/>
      <c r="P1565" s="10"/>
      <c r="Q1565" s="10"/>
      <c r="R1565" s="10"/>
      <c r="S1565" s="10"/>
      <c r="T1565" s="10"/>
      <c r="U1565" s="10"/>
      <c r="V1565" s="10"/>
      <c r="W1565" s="10"/>
      <c r="X1565" s="10"/>
      <c r="Y1565" s="10"/>
    </row>
    <row r="1566" spans="1:25" x14ac:dyDescent="0.25">
      <c r="A1566" s="9">
        <v>42104</v>
      </c>
      <c r="B1566" s="10">
        <f ca="1">ROUND(_xlfn.NORM.INV(RAND(),Reference!$C$8,0.1*Reference!$C$8)*(1+Reference!$C$11*(IF(MONTH($A1566)=Reference!$C$4,1,0)+IF(MONTH($A1566)=Reference!$C$5,1,0))+(IF(MONTH($A1566)=Reference!$C$6,Reference!$C$13,0))),0)</f>
        <v>561</v>
      </c>
      <c r="C1566" s="11">
        <f ca="1">B1566*Reference!$C$7*(1-IF(MONTH($A1566)=Reference!$C$6,1,0)*Reference!$C$12)</f>
        <v>521730</v>
      </c>
      <c r="D1566" s="10">
        <f ca="1">ROUND(_xlfn.NORM.INV(RAND(),Reference!$D$8,0.1*Reference!$D$8)*(1+Reference!$D$11*(IF(MONTH($A1566)=Reference!$D$4,1,0)+IF(MONTH($A1566)=Reference!$D$5,1,0))+(IF(MONTH($A1566)=Reference!$D$6,Reference!$D$13,0))),0)</f>
        <v>489</v>
      </c>
      <c r="E1566" s="11">
        <f ca="1">D1566*Reference!$D$7*(1-IF(MONTH($A1566)=Reference!$D$6,1,0)*Reference!$D$12)</f>
        <v>366750</v>
      </c>
      <c r="M1566" s="20"/>
      <c r="N1566" s="20"/>
      <c r="O1566" s="19"/>
      <c r="P1566" s="10"/>
      <c r="Q1566" s="10"/>
      <c r="R1566" s="10"/>
      <c r="S1566" s="10"/>
      <c r="T1566" s="10"/>
      <c r="U1566" s="10"/>
      <c r="V1566" s="10"/>
      <c r="W1566" s="10"/>
      <c r="X1566" s="10"/>
      <c r="Y1566" s="10"/>
    </row>
    <row r="1567" spans="1:25" x14ac:dyDescent="0.25">
      <c r="A1567" s="9">
        <v>42105</v>
      </c>
      <c r="B1567" s="10">
        <f ca="1">ROUND(_xlfn.NORM.INV(RAND(),Reference!$C$8,0.1*Reference!$C$8)*(1+Reference!$C$11*(IF(MONTH($A1567)=Reference!$C$4,1,0)+IF(MONTH($A1567)=Reference!$C$5,1,0))+(IF(MONTH($A1567)=Reference!$C$6,Reference!$C$13,0))),0)</f>
        <v>645</v>
      </c>
      <c r="C1567" s="11">
        <f ca="1">B1567*Reference!$C$7*(1-IF(MONTH($A1567)=Reference!$C$6,1,0)*Reference!$C$12)</f>
        <v>599850</v>
      </c>
      <c r="D1567" s="10">
        <f ca="1">ROUND(_xlfn.NORM.INV(RAND(),Reference!$D$8,0.1*Reference!$D$8)*(1+Reference!$D$11*(IF(MONTH($A1567)=Reference!$D$4,1,0)+IF(MONTH($A1567)=Reference!$D$5,1,0))+(IF(MONTH($A1567)=Reference!$D$6,Reference!$D$13,0))),0)</f>
        <v>326</v>
      </c>
      <c r="E1567" s="11">
        <f ca="1">D1567*Reference!$D$7*(1-IF(MONTH($A1567)=Reference!$D$6,1,0)*Reference!$D$12)</f>
        <v>244500</v>
      </c>
      <c r="M1567" s="20"/>
      <c r="N1567" s="20"/>
      <c r="O1567" s="19"/>
      <c r="P1567" s="10"/>
      <c r="Q1567" s="10"/>
      <c r="R1567" s="10"/>
      <c r="S1567" s="10"/>
      <c r="T1567" s="10"/>
      <c r="U1567" s="10"/>
      <c r="V1567" s="10"/>
      <c r="W1567" s="10"/>
      <c r="X1567" s="10"/>
      <c r="Y1567" s="10"/>
    </row>
    <row r="1568" spans="1:25" x14ac:dyDescent="0.25">
      <c r="A1568" s="9">
        <v>42106</v>
      </c>
      <c r="B1568" s="10">
        <f ca="1">ROUND(_xlfn.NORM.INV(RAND(),Reference!$C$8,0.1*Reference!$C$8)*(1+Reference!$C$11*(IF(MONTH($A1568)=Reference!$C$4,1,0)+IF(MONTH($A1568)=Reference!$C$5,1,0))+(IF(MONTH($A1568)=Reference!$C$6,Reference!$C$13,0))),0)</f>
        <v>625</v>
      </c>
      <c r="C1568" s="11">
        <f ca="1">B1568*Reference!$C$7*(1-IF(MONTH($A1568)=Reference!$C$6,1,0)*Reference!$C$12)</f>
        <v>581250</v>
      </c>
      <c r="D1568" s="10">
        <f ca="1">ROUND(_xlfn.NORM.INV(RAND(),Reference!$D$8,0.1*Reference!$D$8)*(1+Reference!$D$11*(IF(MONTH($A1568)=Reference!$D$4,1,0)+IF(MONTH($A1568)=Reference!$D$5,1,0))+(IF(MONTH($A1568)=Reference!$D$6,Reference!$D$13,0))),0)</f>
        <v>453</v>
      </c>
      <c r="E1568" s="11">
        <f ca="1">D1568*Reference!$D$7*(1-IF(MONTH($A1568)=Reference!$D$6,1,0)*Reference!$D$12)</f>
        <v>339750</v>
      </c>
      <c r="M1568" s="20"/>
      <c r="N1568" s="20"/>
      <c r="O1568" s="19"/>
      <c r="P1568" s="10"/>
      <c r="Q1568" s="10"/>
      <c r="R1568" s="10"/>
      <c r="S1568" s="10"/>
      <c r="T1568" s="10"/>
      <c r="U1568" s="10"/>
      <c r="V1568" s="10"/>
      <c r="W1568" s="10"/>
      <c r="X1568" s="10"/>
      <c r="Y1568" s="10"/>
    </row>
    <row r="1569" spans="1:25" x14ac:dyDescent="0.25">
      <c r="A1569" s="9">
        <v>42107</v>
      </c>
      <c r="B1569" s="10">
        <f ca="1">ROUND(_xlfn.NORM.INV(RAND(),Reference!$C$8,0.1*Reference!$C$8)*(1+Reference!$C$11*(IF(MONTH($A1569)=Reference!$C$4,1,0)+IF(MONTH($A1569)=Reference!$C$5,1,0))+(IF(MONTH($A1569)=Reference!$C$6,Reference!$C$13,0))),0)</f>
        <v>528</v>
      </c>
      <c r="C1569" s="11">
        <f ca="1">B1569*Reference!$C$7*(1-IF(MONTH($A1569)=Reference!$C$6,1,0)*Reference!$C$12)</f>
        <v>491040</v>
      </c>
      <c r="D1569" s="10">
        <f ca="1">ROUND(_xlfn.NORM.INV(RAND(),Reference!$D$8,0.1*Reference!$D$8)*(1+Reference!$D$11*(IF(MONTH($A1569)=Reference!$D$4,1,0)+IF(MONTH($A1569)=Reference!$D$5,1,0))+(IF(MONTH($A1569)=Reference!$D$6,Reference!$D$13,0))),0)</f>
        <v>488</v>
      </c>
      <c r="E1569" s="11">
        <f ca="1">D1569*Reference!$D$7*(1-IF(MONTH($A1569)=Reference!$D$6,1,0)*Reference!$D$12)</f>
        <v>366000</v>
      </c>
      <c r="M1569" s="20"/>
      <c r="N1569" s="20"/>
      <c r="O1569" s="19"/>
      <c r="P1569" s="10"/>
      <c r="Q1569" s="10"/>
      <c r="R1569" s="10"/>
      <c r="S1569" s="10"/>
      <c r="T1569" s="10"/>
      <c r="U1569" s="10"/>
      <c r="V1569" s="10"/>
      <c r="W1569" s="10"/>
      <c r="X1569" s="10"/>
      <c r="Y1569" s="10"/>
    </row>
    <row r="1570" spans="1:25" x14ac:dyDescent="0.25">
      <c r="A1570" s="9">
        <v>42108</v>
      </c>
      <c r="B1570" s="10">
        <f ca="1">ROUND(_xlfn.NORM.INV(RAND(),Reference!$C$8,0.1*Reference!$C$8)*(1+Reference!$C$11*(IF(MONTH($A1570)=Reference!$C$4,1,0)+IF(MONTH($A1570)=Reference!$C$5,1,0))+(IF(MONTH($A1570)=Reference!$C$6,Reference!$C$13,0))),0)</f>
        <v>582</v>
      </c>
      <c r="C1570" s="11">
        <f ca="1">B1570*Reference!$C$7*(1-IF(MONTH($A1570)=Reference!$C$6,1,0)*Reference!$C$12)</f>
        <v>541260</v>
      </c>
      <c r="D1570" s="10">
        <f ca="1">ROUND(_xlfn.NORM.INV(RAND(),Reference!$D$8,0.1*Reference!$D$8)*(1+Reference!$D$11*(IF(MONTH($A1570)=Reference!$D$4,1,0)+IF(MONTH($A1570)=Reference!$D$5,1,0))+(IF(MONTH($A1570)=Reference!$D$6,Reference!$D$13,0))),0)</f>
        <v>459</v>
      </c>
      <c r="E1570" s="11">
        <f ca="1">D1570*Reference!$D$7*(1-IF(MONTH($A1570)=Reference!$D$6,1,0)*Reference!$D$12)</f>
        <v>344250</v>
      </c>
      <c r="M1570" s="20"/>
      <c r="N1570" s="20"/>
      <c r="O1570" s="19"/>
      <c r="P1570" s="10"/>
      <c r="Q1570" s="10"/>
      <c r="R1570" s="10"/>
      <c r="S1570" s="10"/>
      <c r="T1570" s="10"/>
      <c r="U1570" s="10"/>
      <c r="V1570" s="10"/>
      <c r="W1570" s="10"/>
      <c r="X1570" s="10"/>
      <c r="Y1570" s="10"/>
    </row>
    <row r="1571" spans="1:25" x14ac:dyDescent="0.25">
      <c r="A1571" s="9">
        <v>42109</v>
      </c>
      <c r="B1571" s="10">
        <f ca="1">ROUND(_xlfn.NORM.INV(RAND(),Reference!$C$8,0.1*Reference!$C$8)*(1+Reference!$C$11*(IF(MONTH($A1571)=Reference!$C$4,1,0)+IF(MONTH($A1571)=Reference!$C$5,1,0))+(IF(MONTH($A1571)=Reference!$C$6,Reference!$C$13,0))),0)</f>
        <v>543</v>
      </c>
      <c r="C1571" s="11">
        <f ca="1">B1571*Reference!$C$7*(1-IF(MONTH($A1571)=Reference!$C$6,1,0)*Reference!$C$12)</f>
        <v>504990</v>
      </c>
      <c r="D1571" s="10">
        <f ca="1">ROUND(_xlfn.NORM.INV(RAND(),Reference!$D$8,0.1*Reference!$D$8)*(1+Reference!$D$11*(IF(MONTH($A1571)=Reference!$D$4,1,0)+IF(MONTH($A1571)=Reference!$D$5,1,0))+(IF(MONTH($A1571)=Reference!$D$6,Reference!$D$13,0))),0)</f>
        <v>526</v>
      </c>
      <c r="E1571" s="11">
        <f ca="1">D1571*Reference!$D$7*(1-IF(MONTH($A1571)=Reference!$D$6,1,0)*Reference!$D$12)</f>
        <v>394500</v>
      </c>
      <c r="M1571" s="20"/>
      <c r="N1571" s="20"/>
      <c r="O1571" s="19"/>
      <c r="P1571" s="10"/>
      <c r="Q1571" s="10"/>
      <c r="R1571" s="10"/>
      <c r="S1571" s="10"/>
      <c r="T1571" s="10"/>
      <c r="U1571" s="10"/>
      <c r="V1571" s="10"/>
      <c r="W1571" s="10"/>
      <c r="X1571" s="10"/>
      <c r="Y1571" s="10"/>
    </row>
    <row r="1572" spans="1:25" x14ac:dyDescent="0.25">
      <c r="A1572" s="9">
        <v>42110</v>
      </c>
      <c r="B1572" s="10">
        <f ca="1">ROUND(_xlfn.NORM.INV(RAND(),Reference!$C$8,0.1*Reference!$C$8)*(1+Reference!$C$11*(IF(MONTH($A1572)=Reference!$C$4,1,0)+IF(MONTH($A1572)=Reference!$C$5,1,0))+(IF(MONTH($A1572)=Reference!$C$6,Reference!$C$13,0))),0)</f>
        <v>574</v>
      </c>
      <c r="C1572" s="11">
        <f ca="1">B1572*Reference!$C$7*(1-IF(MONTH($A1572)=Reference!$C$6,1,0)*Reference!$C$12)</f>
        <v>533820</v>
      </c>
      <c r="D1572" s="10">
        <f ca="1">ROUND(_xlfn.NORM.INV(RAND(),Reference!$D$8,0.1*Reference!$D$8)*(1+Reference!$D$11*(IF(MONTH($A1572)=Reference!$D$4,1,0)+IF(MONTH($A1572)=Reference!$D$5,1,0))+(IF(MONTH($A1572)=Reference!$D$6,Reference!$D$13,0))),0)</f>
        <v>488</v>
      </c>
      <c r="E1572" s="11">
        <f ca="1">D1572*Reference!$D$7*(1-IF(MONTH($A1572)=Reference!$D$6,1,0)*Reference!$D$12)</f>
        <v>366000</v>
      </c>
      <c r="M1572" s="20"/>
      <c r="N1572" s="20"/>
      <c r="O1572" s="19"/>
      <c r="P1572" s="10"/>
      <c r="Q1572" s="10"/>
      <c r="R1572" s="10"/>
      <c r="S1572" s="10"/>
      <c r="T1572" s="10"/>
      <c r="U1572" s="10"/>
      <c r="V1572" s="10"/>
      <c r="W1572" s="10"/>
      <c r="X1572" s="10"/>
      <c r="Y1572" s="10"/>
    </row>
    <row r="1573" spans="1:25" x14ac:dyDescent="0.25">
      <c r="A1573" s="9">
        <v>42111</v>
      </c>
      <c r="B1573" s="10">
        <f ca="1">ROUND(_xlfn.NORM.INV(RAND(),Reference!$C$8,0.1*Reference!$C$8)*(1+Reference!$C$11*(IF(MONTH($A1573)=Reference!$C$4,1,0)+IF(MONTH($A1573)=Reference!$C$5,1,0))+(IF(MONTH($A1573)=Reference!$C$6,Reference!$C$13,0))),0)</f>
        <v>525</v>
      </c>
      <c r="C1573" s="11">
        <f ca="1">B1573*Reference!$C$7*(1-IF(MONTH($A1573)=Reference!$C$6,1,0)*Reference!$C$12)</f>
        <v>488250</v>
      </c>
      <c r="D1573" s="10">
        <f ca="1">ROUND(_xlfn.NORM.INV(RAND(),Reference!$D$8,0.1*Reference!$D$8)*(1+Reference!$D$11*(IF(MONTH($A1573)=Reference!$D$4,1,0)+IF(MONTH($A1573)=Reference!$D$5,1,0))+(IF(MONTH($A1573)=Reference!$D$6,Reference!$D$13,0))),0)</f>
        <v>447</v>
      </c>
      <c r="E1573" s="11">
        <f ca="1">D1573*Reference!$D$7*(1-IF(MONTH($A1573)=Reference!$D$6,1,0)*Reference!$D$12)</f>
        <v>335250</v>
      </c>
      <c r="M1573" s="20"/>
      <c r="N1573" s="20"/>
      <c r="O1573" s="19"/>
      <c r="P1573" s="10"/>
      <c r="Q1573" s="10"/>
      <c r="R1573" s="10"/>
      <c r="S1573" s="10"/>
      <c r="T1573" s="10"/>
      <c r="U1573" s="10"/>
      <c r="V1573" s="10"/>
      <c r="W1573" s="10"/>
      <c r="X1573" s="10"/>
      <c r="Y1573" s="10"/>
    </row>
    <row r="1574" spans="1:25" x14ac:dyDescent="0.25">
      <c r="A1574" s="9">
        <v>42112</v>
      </c>
      <c r="B1574" s="10">
        <f ca="1">ROUND(_xlfn.NORM.INV(RAND(),Reference!$C$8,0.1*Reference!$C$8)*(1+Reference!$C$11*(IF(MONTH($A1574)=Reference!$C$4,1,0)+IF(MONTH($A1574)=Reference!$C$5,1,0))+(IF(MONTH($A1574)=Reference!$C$6,Reference!$C$13,0))),0)</f>
        <v>498</v>
      </c>
      <c r="C1574" s="11">
        <f ca="1">B1574*Reference!$C$7*(1-IF(MONTH($A1574)=Reference!$C$6,1,0)*Reference!$C$12)</f>
        <v>463140</v>
      </c>
      <c r="D1574" s="10">
        <f ca="1">ROUND(_xlfn.NORM.INV(RAND(),Reference!$D$8,0.1*Reference!$D$8)*(1+Reference!$D$11*(IF(MONTH($A1574)=Reference!$D$4,1,0)+IF(MONTH($A1574)=Reference!$D$5,1,0))+(IF(MONTH($A1574)=Reference!$D$6,Reference!$D$13,0))),0)</f>
        <v>456</v>
      </c>
      <c r="E1574" s="11">
        <f ca="1">D1574*Reference!$D$7*(1-IF(MONTH($A1574)=Reference!$D$6,1,0)*Reference!$D$12)</f>
        <v>342000</v>
      </c>
      <c r="M1574" s="20"/>
      <c r="N1574" s="20"/>
      <c r="O1574" s="19"/>
      <c r="P1574" s="10"/>
      <c r="Q1574" s="10"/>
      <c r="R1574" s="10"/>
      <c r="S1574" s="10"/>
      <c r="T1574" s="10"/>
      <c r="U1574" s="10"/>
      <c r="V1574" s="10"/>
      <c r="W1574" s="10"/>
      <c r="X1574" s="10"/>
      <c r="Y1574" s="10"/>
    </row>
    <row r="1575" spans="1:25" x14ac:dyDescent="0.25">
      <c r="A1575" s="9">
        <v>42113</v>
      </c>
      <c r="B1575" s="10">
        <f ca="1">ROUND(_xlfn.NORM.INV(RAND(),Reference!$C$8,0.1*Reference!$C$8)*(1+Reference!$C$11*(IF(MONTH($A1575)=Reference!$C$4,1,0)+IF(MONTH($A1575)=Reference!$C$5,1,0))+(IF(MONTH($A1575)=Reference!$C$6,Reference!$C$13,0))),0)</f>
        <v>518</v>
      </c>
      <c r="C1575" s="11">
        <f ca="1">B1575*Reference!$C$7*(1-IF(MONTH($A1575)=Reference!$C$6,1,0)*Reference!$C$12)</f>
        <v>481740</v>
      </c>
      <c r="D1575" s="10">
        <f ca="1">ROUND(_xlfn.NORM.INV(RAND(),Reference!$D$8,0.1*Reference!$D$8)*(1+Reference!$D$11*(IF(MONTH($A1575)=Reference!$D$4,1,0)+IF(MONTH($A1575)=Reference!$D$5,1,0))+(IF(MONTH($A1575)=Reference!$D$6,Reference!$D$13,0))),0)</f>
        <v>417</v>
      </c>
      <c r="E1575" s="11">
        <f ca="1">D1575*Reference!$D$7*(1-IF(MONTH($A1575)=Reference!$D$6,1,0)*Reference!$D$12)</f>
        <v>312750</v>
      </c>
      <c r="M1575" s="20"/>
      <c r="N1575" s="20"/>
      <c r="O1575" s="19"/>
      <c r="P1575" s="10"/>
      <c r="Q1575" s="10"/>
      <c r="R1575" s="10"/>
      <c r="S1575" s="10"/>
      <c r="T1575" s="10"/>
      <c r="U1575" s="10"/>
      <c r="V1575" s="10"/>
      <c r="W1575" s="10"/>
      <c r="X1575" s="10"/>
      <c r="Y1575" s="10"/>
    </row>
    <row r="1576" spans="1:25" x14ac:dyDescent="0.25">
      <c r="A1576" s="9">
        <v>42114</v>
      </c>
      <c r="B1576" s="10">
        <f ca="1">ROUND(_xlfn.NORM.INV(RAND(),Reference!$C$8,0.1*Reference!$C$8)*(1+Reference!$C$11*(IF(MONTH($A1576)=Reference!$C$4,1,0)+IF(MONTH($A1576)=Reference!$C$5,1,0))+(IF(MONTH($A1576)=Reference!$C$6,Reference!$C$13,0))),0)</f>
        <v>555</v>
      </c>
      <c r="C1576" s="11">
        <f ca="1">B1576*Reference!$C$7*(1-IF(MONTH($A1576)=Reference!$C$6,1,0)*Reference!$C$12)</f>
        <v>516150</v>
      </c>
      <c r="D1576" s="10">
        <f ca="1">ROUND(_xlfn.NORM.INV(RAND(),Reference!$D$8,0.1*Reference!$D$8)*(1+Reference!$D$11*(IF(MONTH($A1576)=Reference!$D$4,1,0)+IF(MONTH($A1576)=Reference!$D$5,1,0))+(IF(MONTH($A1576)=Reference!$D$6,Reference!$D$13,0))),0)</f>
        <v>449</v>
      </c>
      <c r="E1576" s="11">
        <f ca="1">D1576*Reference!$D$7*(1-IF(MONTH($A1576)=Reference!$D$6,1,0)*Reference!$D$12)</f>
        <v>336750</v>
      </c>
      <c r="M1576" s="20"/>
      <c r="N1576" s="20"/>
      <c r="O1576" s="19"/>
      <c r="P1576" s="10"/>
      <c r="Q1576" s="10"/>
      <c r="R1576" s="10"/>
      <c r="S1576" s="10"/>
      <c r="T1576" s="10"/>
      <c r="U1576" s="10"/>
      <c r="V1576" s="10"/>
      <c r="W1576" s="10"/>
      <c r="X1576" s="10"/>
      <c r="Y1576" s="10"/>
    </row>
    <row r="1577" spans="1:25" x14ac:dyDescent="0.25">
      <c r="A1577" s="9">
        <v>42115</v>
      </c>
      <c r="B1577" s="10">
        <f ca="1">ROUND(_xlfn.NORM.INV(RAND(),Reference!$C$8,0.1*Reference!$C$8)*(1+Reference!$C$11*(IF(MONTH($A1577)=Reference!$C$4,1,0)+IF(MONTH($A1577)=Reference!$C$5,1,0))+(IF(MONTH($A1577)=Reference!$C$6,Reference!$C$13,0))),0)</f>
        <v>555</v>
      </c>
      <c r="C1577" s="11">
        <f ca="1">B1577*Reference!$C$7*(1-IF(MONTH($A1577)=Reference!$C$6,1,0)*Reference!$C$12)</f>
        <v>516150</v>
      </c>
      <c r="D1577" s="10">
        <f ca="1">ROUND(_xlfn.NORM.INV(RAND(),Reference!$D$8,0.1*Reference!$D$8)*(1+Reference!$D$11*(IF(MONTH($A1577)=Reference!$D$4,1,0)+IF(MONTH($A1577)=Reference!$D$5,1,0))+(IF(MONTH($A1577)=Reference!$D$6,Reference!$D$13,0))),0)</f>
        <v>463</v>
      </c>
      <c r="E1577" s="11">
        <f ca="1">D1577*Reference!$D$7*(1-IF(MONTH($A1577)=Reference!$D$6,1,0)*Reference!$D$12)</f>
        <v>347250</v>
      </c>
      <c r="M1577" s="20"/>
      <c r="N1577" s="20"/>
      <c r="O1577" s="19"/>
      <c r="P1577" s="10"/>
      <c r="Q1577" s="10"/>
      <c r="R1577" s="10"/>
      <c r="S1577" s="10"/>
      <c r="T1577" s="10"/>
      <c r="U1577" s="10"/>
      <c r="V1577" s="10"/>
      <c r="W1577" s="10"/>
      <c r="X1577" s="10"/>
      <c r="Y1577" s="10"/>
    </row>
    <row r="1578" spans="1:25" x14ac:dyDescent="0.25">
      <c r="A1578" s="9">
        <v>42116</v>
      </c>
      <c r="B1578" s="10">
        <f ca="1">ROUND(_xlfn.NORM.INV(RAND(),Reference!$C$8,0.1*Reference!$C$8)*(1+Reference!$C$11*(IF(MONTH($A1578)=Reference!$C$4,1,0)+IF(MONTH($A1578)=Reference!$C$5,1,0))+(IF(MONTH($A1578)=Reference!$C$6,Reference!$C$13,0))),0)</f>
        <v>582</v>
      </c>
      <c r="C1578" s="11">
        <f ca="1">B1578*Reference!$C$7*(1-IF(MONTH($A1578)=Reference!$C$6,1,0)*Reference!$C$12)</f>
        <v>541260</v>
      </c>
      <c r="D1578" s="10">
        <f ca="1">ROUND(_xlfn.NORM.INV(RAND(),Reference!$D$8,0.1*Reference!$D$8)*(1+Reference!$D$11*(IF(MONTH($A1578)=Reference!$D$4,1,0)+IF(MONTH($A1578)=Reference!$D$5,1,0))+(IF(MONTH($A1578)=Reference!$D$6,Reference!$D$13,0))),0)</f>
        <v>471</v>
      </c>
      <c r="E1578" s="11">
        <f ca="1">D1578*Reference!$D$7*(1-IF(MONTH($A1578)=Reference!$D$6,1,0)*Reference!$D$12)</f>
        <v>353250</v>
      </c>
      <c r="M1578" s="20"/>
      <c r="N1578" s="20"/>
      <c r="O1578" s="19"/>
      <c r="P1578" s="10"/>
      <c r="Q1578" s="10"/>
      <c r="R1578" s="10"/>
      <c r="S1578" s="10"/>
      <c r="T1578" s="10"/>
      <c r="U1578" s="10"/>
      <c r="V1578" s="10"/>
      <c r="W1578" s="10"/>
      <c r="X1578" s="10"/>
      <c r="Y1578" s="10"/>
    </row>
    <row r="1579" spans="1:25" x14ac:dyDescent="0.25">
      <c r="A1579" s="9">
        <v>42117</v>
      </c>
      <c r="B1579" s="10">
        <f ca="1">ROUND(_xlfn.NORM.INV(RAND(),Reference!$C$8,0.1*Reference!$C$8)*(1+Reference!$C$11*(IF(MONTH($A1579)=Reference!$C$4,1,0)+IF(MONTH($A1579)=Reference!$C$5,1,0))+(IF(MONTH($A1579)=Reference!$C$6,Reference!$C$13,0))),0)</f>
        <v>574</v>
      </c>
      <c r="C1579" s="11">
        <f ca="1">B1579*Reference!$C$7*(1-IF(MONTH($A1579)=Reference!$C$6,1,0)*Reference!$C$12)</f>
        <v>533820</v>
      </c>
      <c r="D1579" s="10">
        <f ca="1">ROUND(_xlfn.NORM.INV(RAND(),Reference!$D$8,0.1*Reference!$D$8)*(1+Reference!$D$11*(IF(MONTH($A1579)=Reference!$D$4,1,0)+IF(MONTH($A1579)=Reference!$D$5,1,0))+(IF(MONTH($A1579)=Reference!$D$6,Reference!$D$13,0))),0)</f>
        <v>450</v>
      </c>
      <c r="E1579" s="11">
        <f ca="1">D1579*Reference!$D$7*(1-IF(MONTH($A1579)=Reference!$D$6,1,0)*Reference!$D$12)</f>
        <v>337500</v>
      </c>
      <c r="M1579" s="20"/>
      <c r="N1579" s="20"/>
      <c r="O1579" s="19"/>
      <c r="P1579" s="10"/>
      <c r="Q1579" s="10"/>
      <c r="R1579" s="10"/>
      <c r="S1579" s="10"/>
      <c r="T1579" s="10"/>
      <c r="U1579" s="10"/>
      <c r="V1579" s="10"/>
      <c r="W1579" s="10"/>
      <c r="X1579" s="10"/>
      <c r="Y1579" s="10"/>
    </row>
    <row r="1580" spans="1:25" x14ac:dyDescent="0.25">
      <c r="A1580" s="9">
        <v>42118</v>
      </c>
      <c r="B1580" s="10">
        <f ca="1">ROUND(_xlfn.NORM.INV(RAND(),Reference!$C$8,0.1*Reference!$C$8)*(1+Reference!$C$11*(IF(MONTH($A1580)=Reference!$C$4,1,0)+IF(MONTH($A1580)=Reference!$C$5,1,0))+(IF(MONTH($A1580)=Reference!$C$6,Reference!$C$13,0))),0)</f>
        <v>552</v>
      </c>
      <c r="C1580" s="11">
        <f ca="1">B1580*Reference!$C$7*(1-IF(MONTH($A1580)=Reference!$C$6,1,0)*Reference!$C$12)</f>
        <v>513360</v>
      </c>
      <c r="D1580" s="10">
        <f ca="1">ROUND(_xlfn.NORM.INV(RAND(),Reference!$D$8,0.1*Reference!$D$8)*(1+Reference!$D$11*(IF(MONTH($A1580)=Reference!$D$4,1,0)+IF(MONTH($A1580)=Reference!$D$5,1,0))+(IF(MONTH($A1580)=Reference!$D$6,Reference!$D$13,0))),0)</f>
        <v>481</v>
      </c>
      <c r="E1580" s="11">
        <f ca="1">D1580*Reference!$D$7*(1-IF(MONTH($A1580)=Reference!$D$6,1,0)*Reference!$D$12)</f>
        <v>360750</v>
      </c>
      <c r="M1580" s="20"/>
      <c r="N1580" s="20"/>
      <c r="O1580" s="19"/>
      <c r="P1580" s="10"/>
      <c r="Q1580" s="10"/>
      <c r="R1580" s="10"/>
      <c r="S1580" s="10"/>
      <c r="T1580" s="10"/>
      <c r="U1580" s="10"/>
      <c r="V1580" s="10"/>
      <c r="W1580" s="10"/>
      <c r="X1580" s="10"/>
      <c r="Y1580" s="10"/>
    </row>
    <row r="1581" spans="1:25" x14ac:dyDescent="0.25">
      <c r="A1581" s="9">
        <v>42119</v>
      </c>
      <c r="B1581" s="10">
        <f ca="1">ROUND(_xlfn.NORM.INV(RAND(),Reference!$C$8,0.1*Reference!$C$8)*(1+Reference!$C$11*(IF(MONTH($A1581)=Reference!$C$4,1,0)+IF(MONTH($A1581)=Reference!$C$5,1,0))+(IF(MONTH($A1581)=Reference!$C$6,Reference!$C$13,0))),0)</f>
        <v>497</v>
      </c>
      <c r="C1581" s="11">
        <f ca="1">B1581*Reference!$C$7*(1-IF(MONTH($A1581)=Reference!$C$6,1,0)*Reference!$C$12)</f>
        <v>462210</v>
      </c>
      <c r="D1581" s="10">
        <f ca="1">ROUND(_xlfn.NORM.INV(RAND(),Reference!$D$8,0.1*Reference!$D$8)*(1+Reference!$D$11*(IF(MONTH($A1581)=Reference!$D$4,1,0)+IF(MONTH($A1581)=Reference!$D$5,1,0))+(IF(MONTH($A1581)=Reference!$D$6,Reference!$D$13,0))),0)</f>
        <v>507</v>
      </c>
      <c r="E1581" s="11">
        <f ca="1">D1581*Reference!$D$7*(1-IF(MONTH($A1581)=Reference!$D$6,1,0)*Reference!$D$12)</f>
        <v>380250</v>
      </c>
      <c r="M1581" s="20"/>
      <c r="N1581" s="20"/>
      <c r="O1581" s="19"/>
      <c r="P1581" s="10"/>
      <c r="Q1581" s="10"/>
      <c r="R1581" s="10"/>
      <c r="S1581" s="10"/>
      <c r="T1581" s="10"/>
      <c r="U1581" s="10"/>
      <c r="V1581" s="10"/>
      <c r="W1581" s="10"/>
      <c r="X1581" s="10"/>
      <c r="Y1581" s="10"/>
    </row>
    <row r="1582" spans="1:25" x14ac:dyDescent="0.25">
      <c r="A1582" s="9">
        <v>42120</v>
      </c>
      <c r="B1582" s="10">
        <f ca="1">ROUND(_xlfn.NORM.INV(RAND(),Reference!$C$8,0.1*Reference!$C$8)*(1+Reference!$C$11*(IF(MONTH($A1582)=Reference!$C$4,1,0)+IF(MONTH($A1582)=Reference!$C$5,1,0))+(IF(MONTH($A1582)=Reference!$C$6,Reference!$C$13,0))),0)</f>
        <v>568</v>
      </c>
      <c r="C1582" s="11">
        <f ca="1">B1582*Reference!$C$7*(1-IF(MONTH($A1582)=Reference!$C$6,1,0)*Reference!$C$12)</f>
        <v>528240</v>
      </c>
      <c r="D1582" s="10">
        <f ca="1">ROUND(_xlfn.NORM.INV(RAND(),Reference!$D$8,0.1*Reference!$D$8)*(1+Reference!$D$11*(IF(MONTH($A1582)=Reference!$D$4,1,0)+IF(MONTH($A1582)=Reference!$D$5,1,0))+(IF(MONTH($A1582)=Reference!$D$6,Reference!$D$13,0))),0)</f>
        <v>402</v>
      </c>
      <c r="E1582" s="11">
        <f ca="1">D1582*Reference!$D$7*(1-IF(MONTH($A1582)=Reference!$D$6,1,0)*Reference!$D$12)</f>
        <v>301500</v>
      </c>
      <c r="M1582" s="20"/>
      <c r="N1582" s="20"/>
      <c r="O1582" s="19"/>
      <c r="P1582" s="10"/>
      <c r="Q1582" s="10"/>
      <c r="R1582" s="10"/>
      <c r="S1582" s="10"/>
      <c r="T1582" s="10"/>
      <c r="U1582" s="10"/>
      <c r="V1582" s="10"/>
      <c r="W1582" s="10"/>
      <c r="X1582" s="10"/>
      <c r="Y1582" s="10"/>
    </row>
    <row r="1583" spans="1:25" x14ac:dyDescent="0.25">
      <c r="A1583" s="9">
        <v>42121</v>
      </c>
      <c r="B1583" s="10">
        <f ca="1">ROUND(_xlfn.NORM.INV(RAND(),Reference!$C$8,0.1*Reference!$C$8)*(1+Reference!$C$11*(IF(MONTH($A1583)=Reference!$C$4,1,0)+IF(MONTH($A1583)=Reference!$C$5,1,0))+(IF(MONTH($A1583)=Reference!$C$6,Reference!$C$13,0))),0)</f>
        <v>577</v>
      </c>
      <c r="C1583" s="11">
        <f ca="1">B1583*Reference!$C$7*(1-IF(MONTH($A1583)=Reference!$C$6,1,0)*Reference!$C$12)</f>
        <v>536610</v>
      </c>
      <c r="D1583" s="10">
        <f ca="1">ROUND(_xlfn.NORM.INV(RAND(),Reference!$D$8,0.1*Reference!$D$8)*(1+Reference!$D$11*(IF(MONTH($A1583)=Reference!$D$4,1,0)+IF(MONTH($A1583)=Reference!$D$5,1,0))+(IF(MONTH($A1583)=Reference!$D$6,Reference!$D$13,0))),0)</f>
        <v>489</v>
      </c>
      <c r="E1583" s="11">
        <f ca="1">D1583*Reference!$D$7*(1-IF(MONTH($A1583)=Reference!$D$6,1,0)*Reference!$D$12)</f>
        <v>366750</v>
      </c>
      <c r="M1583" s="20"/>
      <c r="N1583" s="20"/>
      <c r="O1583" s="19"/>
      <c r="P1583" s="10"/>
      <c r="Q1583" s="10"/>
      <c r="R1583" s="10"/>
      <c r="S1583" s="10"/>
      <c r="T1583" s="10"/>
      <c r="U1583" s="10"/>
      <c r="V1583" s="10"/>
      <c r="W1583" s="10"/>
      <c r="X1583" s="10"/>
      <c r="Y1583" s="10"/>
    </row>
    <row r="1584" spans="1:25" x14ac:dyDescent="0.25">
      <c r="A1584" s="9">
        <v>42122</v>
      </c>
      <c r="B1584" s="10">
        <f ca="1">ROUND(_xlfn.NORM.INV(RAND(),Reference!$C$8,0.1*Reference!$C$8)*(1+Reference!$C$11*(IF(MONTH($A1584)=Reference!$C$4,1,0)+IF(MONTH($A1584)=Reference!$C$5,1,0))+(IF(MONTH($A1584)=Reference!$C$6,Reference!$C$13,0))),0)</f>
        <v>500</v>
      </c>
      <c r="C1584" s="11">
        <f ca="1">B1584*Reference!$C$7*(1-IF(MONTH($A1584)=Reference!$C$6,1,0)*Reference!$C$12)</f>
        <v>465000</v>
      </c>
      <c r="D1584" s="10">
        <f ca="1">ROUND(_xlfn.NORM.INV(RAND(),Reference!$D$8,0.1*Reference!$D$8)*(1+Reference!$D$11*(IF(MONTH($A1584)=Reference!$D$4,1,0)+IF(MONTH($A1584)=Reference!$D$5,1,0))+(IF(MONTH($A1584)=Reference!$D$6,Reference!$D$13,0))),0)</f>
        <v>506</v>
      </c>
      <c r="E1584" s="11">
        <f ca="1">D1584*Reference!$D$7*(1-IF(MONTH($A1584)=Reference!$D$6,1,0)*Reference!$D$12)</f>
        <v>379500</v>
      </c>
      <c r="M1584" s="20"/>
      <c r="N1584" s="20"/>
      <c r="O1584" s="19"/>
      <c r="P1584" s="10"/>
      <c r="Q1584" s="10"/>
      <c r="R1584" s="10"/>
      <c r="S1584" s="10"/>
      <c r="T1584" s="10"/>
      <c r="U1584" s="10"/>
      <c r="V1584" s="10"/>
      <c r="W1584" s="10"/>
      <c r="X1584" s="10"/>
      <c r="Y1584" s="10"/>
    </row>
    <row r="1585" spans="1:25" x14ac:dyDescent="0.25">
      <c r="A1585" s="9">
        <v>42123</v>
      </c>
      <c r="B1585" s="10">
        <f ca="1">ROUND(_xlfn.NORM.INV(RAND(),Reference!$C$8,0.1*Reference!$C$8)*(1+Reference!$C$11*(IF(MONTH($A1585)=Reference!$C$4,1,0)+IF(MONTH($A1585)=Reference!$C$5,1,0))+(IF(MONTH($A1585)=Reference!$C$6,Reference!$C$13,0))),0)</f>
        <v>556</v>
      </c>
      <c r="C1585" s="11">
        <f ca="1">B1585*Reference!$C$7*(1-IF(MONTH($A1585)=Reference!$C$6,1,0)*Reference!$C$12)</f>
        <v>517080</v>
      </c>
      <c r="D1585" s="10">
        <f ca="1">ROUND(_xlfn.NORM.INV(RAND(),Reference!$D$8,0.1*Reference!$D$8)*(1+Reference!$D$11*(IF(MONTH($A1585)=Reference!$D$4,1,0)+IF(MONTH($A1585)=Reference!$D$5,1,0))+(IF(MONTH($A1585)=Reference!$D$6,Reference!$D$13,0))),0)</f>
        <v>450</v>
      </c>
      <c r="E1585" s="11">
        <f ca="1">D1585*Reference!$D$7*(1-IF(MONTH($A1585)=Reference!$D$6,1,0)*Reference!$D$12)</f>
        <v>337500</v>
      </c>
      <c r="M1585" s="20"/>
      <c r="N1585" s="20"/>
      <c r="O1585" s="19"/>
      <c r="P1585" s="10"/>
      <c r="Q1585" s="10"/>
      <c r="R1585" s="10"/>
      <c r="S1585" s="10"/>
      <c r="T1585" s="10"/>
      <c r="U1585" s="10"/>
      <c r="V1585" s="10"/>
      <c r="W1585" s="10"/>
      <c r="X1585" s="10"/>
      <c r="Y1585" s="10"/>
    </row>
    <row r="1586" spans="1:25" x14ac:dyDescent="0.25">
      <c r="A1586" s="9">
        <v>42124</v>
      </c>
      <c r="B1586" s="10">
        <f ca="1">ROUND(_xlfn.NORM.INV(RAND(),Reference!$C$8,0.1*Reference!$C$8)*(1+Reference!$C$11*(IF(MONTH($A1586)=Reference!$C$4,1,0)+IF(MONTH($A1586)=Reference!$C$5,1,0))+(IF(MONTH($A1586)=Reference!$C$6,Reference!$C$13,0))),0)</f>
        <v>565</v>
      </c>
      <c r="C1586" s="11">
        <f ca="1">B1586*Reference!$C$7*(1-IF(MONTH($A1586)=Reference!$C$6,1,0)*Reference!$C$12)</f>
        <v>525450</v>
      </c>
      <c r="D1586" s="10">
        <f ca="1">ROUND(_xlfn.NORM.INV(RAND(),Reference!$D$8,0.1*Reference!$D$8)*(1+Reference!$D$11*(IF(MONTH($A1586)=Reference!$D$4,1,0)+IF(MONTH($A1586)=Reference!$D$5,1,0))+(IF(MONTH($A1586)=Reference!$D$6,Reference!$D$13,0))),0)</f>
        <v>447</v>
      </c>
      <c r="E1586" s="11">
        <f ca="1">D1586*Reference!$D$7*(1-IF(MONTH($A1586)=Reference!$D$6,1,0)*Reference!$D$12)</f>
        <v>335250</v>
      </c>
      <c r="M1586" s="20"/>
      <c r="N1586" s="20"/>
      <c r="O1586" s="19"/>
      <c r="P1586" s="10"/>
      <c r="Q1586" s="10"/>
      <c r="R1586" s="10"/>
      <c r="S1586" s="10"/>
      <c r="T1586" s="10"/>
      <c r="U1586" s="10"/>
      <c r="V1586" s="10"/>
      <c r="W1586" s="10"/>
      <c r="X1586" s="10"/>
      <c r="Y1586" s="10"/>
    </row>
    <row r="1587" spans="1:25" x14ac:dyDescent="0.25">
      <c r="A1587" s="9">
        <v>42125</v>
      </c>
      <c r="B1587" s="10">
        <f ca="1">ROUND(_xlfn.NORM.INV(RAND(),Reference!$C$8,0.1*Reference!$C$8)*(1+Reference!$C$11*(IF(MONTH($A1587)=Reference!$C$4,1,0)+IF(MONTH($A1587)=Reference!$C$5,1,0))+(IF(MONTH($A1587)=Reference!$C$6,Reference!$C$13,0))),0)</f>
        <v>445</v>
      </c>
      <c r="C1587" s="11">
        <f ca="1">B1587*Reference!$C$7*(1-IF(MONTH($A1587)=Reference!$C$6,1,0)*Reference!$C$12)</f>
        <v>413850</v>
      </c>
      <c r="D1587" s="10">
        <f ca="1">ROUND(_xlfn.NORM.INV(RAND(),Reference!$D$8,0.1*Reference!$D$8)*(1+Reference!$D$11*(IF(MONTH($A1587)=Reference!$D$4,1,0)+IF(MONTH($A1587)=Reference!$D$5,1,0))+(IF(MONTH($A1587)=Reference!$D$6,Reference!$D$13,0))),0)</f>
        <v>462</v>
      </c>
      <c r="E1587" s="11">
        <f ca="1">D1587*Reference!$D$7*(1-IF(MONTH($A1587)=Reference!$D$6,1,0)*Reference!$D$12)</f>
        <v>346500</v>
      </c>
      <c r="M1587" s="20"/>
      <c r="N1587" s="20"/>
      <c r="O1587" s="19"/>
      <c r="P1587" s="10"/>
      <c r="Q1587" s="10"/>
      <c r="R1587" s="10"/>
      <c r="S1587" s="10"/>
      <c r="T1587" s="10"/>
      <c r="U1587" s="10"/>
      <c r="V1587" s="10"/>
      <c r="W1587" s="10"/>
      <c r="X1587" s="10"/>
      <c r="Y1587" s="10"/>
    </row>
    <row r="1588" spans="1:25" x14ac:dyDescent="0.25">
      <c r="A1588" s="9">
        <v>42126</v>
      </c>
      <c r="B1588" s="10">
        <f ca="1">ROUND(_xlfn.NORM.INV(RAND(),Reference!$C$8,0.1*Reference!$C$8)*(1+Reference!$C$11*(IF(MONTH($A1588)=Reference!$C$4,1,0)+IF(MONTH($A1588)=Reference!$C$5,1,0))+(IF(MONTH($A1588)=Reference!$C$6,Reference!$C$13,0))),0)</f>
        <v>590</v>
      </c>
      <c r="C1588" s="11">
        <f ca="1">B1588*Reference!$C$7*(1-IF(MONTH($A1588)=Reference!$C$6,1,0)*Reference!$C$12)</f>
        <v>548700</v>
      </c>
      <c r="D1588" s="10">
        <f ca="1">ROUND(_xlfn.NORM.INV(RAND(),Reference!$D$8,0.1*Reference!$D$8)*(1+Reference!$D$11*(IF(MONTH($A1588)=Reference!$D$4,1,0)+IF(MONTH($A1588)=Reference!$D$5,1,0))+(IF(MONTH($A1588)=Reference!$D$6,Reference!$D$13,0))),0)</f>
        <v>465</v>
      </c>
      <c r="E1588" s="11">
        <f ca="1">D1588*Reference!$D$7*(1-IF(MONTH($A1588)=Reference!$D$6,1,0)*Reference!$D$12)</f>
        <v>348750</v>
      </c>
      <c r="M1588" s="20"/>
      <c r="N1588" s="20"/>
      <c r="O1588" s="19"/>
      <c r="P1588" s="10"/>
      <c r="Q1588" s="10"/>
      <c r="R1588" s="10"/>
      <c r="S1588" s="10"/>
      <c r="T1588" s="10"/>
      <c r="U1588" s="10"/>
      <c r="V1588" s="10"/>
      <c r="W1588" s="10"/>
      <c r="X1588" s="10"/>
      <c r="Y1588" s="10"/>
    </row>
    <row r="1589" spans="1:25" x14ac:dyDescent="0.25">
      <c r="A1589" s="9">
        <v>42127</v>
      </c>
      <c r="B1589" s="10">
        <f ca="1">ROUND(_xlfn.NORM.INV(RAND(),Reference!$C$8,0.1*Reference!$C$8)*(1+Reference!$C$11*(IF(MONTH($A1589)=Reference!$C$4,1,0)+IF(MONTH($A1589)=Reference!$C$5,1,0))+(IF(MONTH($A1589)=Reference!$C$6,Reference!$C$13,0))),0)</f>
        <v>421</v>
      </c>
      <c r="C1589" s="11">
        <f ca="1">B1589*Reference!$C$7*(1-IF(MONTH($A1589)=Reference!$C$6,1,0)*Reference!$C$12)</f>
        <v>391530</v>
      </c>
      <c r="D1589" s="10">
        <f ca="1">ROUND(_xlfn.NORM.INV(RAND(),Reference!$D$8,0.1*Reference!$D$8)*(1+Reference!$D$11*(IF(MONTH($A1589)=Reference!$D$4,1,0)+IF(MONTH($A1589)=Reference!$D$5,1,0))+(IF(MONTH($A1589)=Reference!$D$6,Reference!$D$13,0))),0)</f>
        <v>462</v>
      </c>
      <c r="E1589" s="11">
        <f ca="1">D1589*Reference!$D$7*(1-IF(MONTH($A1589)=Reference!$D$6,1,0)*Reference!$D$12)</f>
        <v>346500</v>
      </c>
      <c r="M1589" s="20"/>
      <c r="N1589" s="20"/>
      <c r="O1589" s="19"/>
      <c r="P1589" s="10"/>
      <c r="Q1589" s="10"/>
      <c r="R1589" s="10"/>
      <c r="S1589" s="10"/>
      <c r="T1589" s="10"/>
      <c r="U1589" s="10"/>
      <c r="V1589" s="10"/>
      <c r="W1589" s="10"/>
      <c r="X1589" s="10"/>
      <c r="Y1589" s="10"/>
    </row>
    <row r="1590" spans="1:25" x14ac:dyDescent="0.25">
      <c r="A1590" s="9">
        <v>42128</v>
      </c>
      <c r="B1590" s="10">
        <f ca="1">ROUND(_xlfn.NORM.INV(RAND(),Reference!$C$8,0.1*Reference!$C$8)*(1+Reference!$C$11*(IF(MONTH($A1590)=Reference!$C$4,1,0)+IF(MONTH($A1590)=Reference!$C$5,1,0))+(IF(MONTH($A1590)=Reference!$C$6,Reference!$C$13,0))),0)</f>
        <v>559</v>
      </c>
      <c r="C1590" s="11">
        <f ca="1">B1590*Reference!$C$7*(1-IF(MONTH($A1590)=Reference!$C$6,1,0)*Reference!$C$12)</f>
        <v>519870</v>
      </c>
      <c r="D1590" s="10">
        <f ca="1">ROUND(_xlfn.NORM.INV(RAND(),Reference!$D$8,0.1*Reference!$D$8)*(1+Reference!$D$11*(IF(MONTH($A1590)=Reference!$D$4,1,0)+IF(MONTH($A1590)=Reference!$D$5,1,0))+(IF(MONTH($A1590)=Reference!$D$6,Reference!$D$13,0))),0)</f>
        <v>437</v>
      </c>
      <c r="E1590" s="11">
        <f ca="1">D1590*Reference!$D$7*(1-IF(MONTH($A1590)=Reference!$D$6,1,0)*Reference!$D$12)</f>
        <v>327750</v>
      </c>
      <c r="M1590" s="20"/>
      <c r="N1590" s="20"/>
      <c r="O1590" s="19"/>
      <c r="P1590" s="10"/>
      <c r="Q1590" s="10"/>
      <c r="R1590" s="10"/>
      <c r="S1590" s="10"/>
      <c r="T1590" s="10"/>
      <c r="U1590" s="10"/>
      <c r="V1590" s="10"/>
      <c r="W1590" s="10"/>
      <c r="X1590" s="10"/>
      <c r="Y1590" s="10"/>
    </row>
    <row r="1591" spans="1:25" x14ac:dyDescent="0.25">
      <c r="A1591" s="9">
        <v>42129</v>
      </c>
      <c r="B1591" s="10">
        <f ca="1">ROUND(_xlfn.NORM.INV(RAND(),Reference!$C$8,0.1*Reference!$C$8)*(1+Reference!$C$11*(IF(MONTH($A1591)=Reference!$C$4,1,0)+IF(MONTH($A1591)=Reference!$C$5,1,0))+(IF(MONTH($A1591)=Reference!$C$6,Reference!$C$13,0))),0)</f>
        <v>556</v>
      </c>
      <c r="C1591" s="11">
        <f ca="1">B1591*Reference!$C$7*(1-IF(MONTH($A1591)=Reference!$C$6,1,0)*Reference!$C$12)</f>
        <v>517080</v>
      </c>
      <c r="D1591" s="10">
        <f ca="1">ROUND(_xlfn.NORM.INV(RAND(),Reference!$D$8,0.1*Reference!$D$8)*(1+Reference!$D$11*(IF(MONTH($A1591)=Reference!$D$4,1,0)+IF(MONTH($A1591)=Reference!$D$5,1,0))+(IF(MONTH($A1591)=Reference!$D$6,Reference!$D$13,0))),0)</f>
        <v>479</v>
      </c>
      <c r="E1591" s="11">
        <f ca="1">D1591*Reference!$D$7*(1-IF(MONTH($A1591)=Reference!$D$6,1,0)*Reference!$D$12)</f>
        <v>359250</v>
      </c>
      <c r="M1591" s="20"/>
      <c r="N1591" s="20"/>
      <c r="O1591" s="19"/>
      <c r="P1591" s="10"/>
      <c r="Q1591" s="10"/>
      <c r="R1591" s="10"/>
      <c r="S1591" s="10"/>
      <c r="T1591" s="10"/>
      <c r="U1591" s="10"/>
      <c r="V1591" s="10"/>
      <c r="W1591" s="10"/>
      <c r="X1591" s="10"/>
      <c r="Y1591" s="10"/>
    </row>
    <row r="1592" spans="1:25" x14ac:dyDescent="0.25">
      <c r="A1592" s="9">
        <v>42130</v>
      </c>
      <c r="B1592" s="10">
        <f ca="1">ROUND(_xlfn.NORM.INV(RAND(),Reference!$C$8,0.1*Reference!$C$8)*(1+Reference!$C$11*(IF(MONTH($A1592)=Reference!$C$4,1,0)+IF(MONTH($A1592)=Reference!$C$5,1,0))+(IF(MONTH($A1592)=Reference!$C$6,Reference!$C$13,0))),0)</f>
        <v>566</v>
      </c>
      <c r="C1592" s="11">
        <f ca="1">B1592*Reference!$C$7*(1-IF(MONTH($A1592)=Reference!$C$6,1,0)*Reference!$C$12)</f>
        <v>526380</v>
      </c>
      <c r="D1592" s="10">
        <f ca="1">ROUND(_xlfn.NORM.INV(RAND(),Reference!$D$8,0.1*Reference!$D$8)*(1+Reference!$D$11*(IF(MONTH($A1592)=Reference!$D$4,1,0)+IF(MONTH($A1592)=Reference!$D$5,1,0))+(IF(MONTH($A1592)=Reference!$D$6,Reference!$D$13,0))),0)</f>
        <v>378</v>
      </c>
      <c r="E1592" s="11">
        <f ca="1">D1592*Reference!$D$7*(1-IF(MONTH($A1592)=Reference!$D$6,1,0)*Reference!$D$12)</f>
        <v>283500</v>
      </c>
      <c r="M1592" s="20"/>
      <c r="N1592" s="20"/>
      <c r="O1592" s="19"/>
      <c r="P1592" s="10"/>
      <c r="Q1592" s="10"/>
      <c r="R1592" s="10"/>
      <c r="S1592" s="10"/>
      <c r="T1592" s="10"/>
      <c r="U1592" s="10"/>
      <c r="V1592" s="10"/>
      <c r="W1592" s="10"/>
      <c r="X1592" s="10"/>
      <c r="Y1592" s="10"/>
    </row>
    <row r="1593" spans="1:25" x14ac:dyDescent="0.25">
      <c r="A1593" s="9">
        <v>42131</v>
      </c>
      <c r="B1593" s="10">
        <f ca="1">ROUND(_xlfn.NORM.INV(RAND(),Reference!$C$8,0.1*Reference!$C$8)*(1+Reference!$C$11*(IF(MONTH($A1593)=Reference!$C$4,1,0)+IF(MONTH($A1593)=Reference!$C$5,1,0))+(IF(MONTH($A1593)=Reference!$C$6,Reference!$C$13,0))),0)</f>
        <v>547</v>
      </c>
      <c r="C1593" s="11">
        <f ca="1">B1593*Reference!$C$7*(1-IF(MONTH($A1593)=Reference!$C$6,1,0)*Reference!$C$12)</f>
        <v>508710</v>
      </c>
      <c r="D1593" s="10">
        <f ca="1">ROUND(_xlfn.NORM.INV(RAND(),Reference!$D$8,0.1*Reference!$D$8)*(1+Reference!$D$11*(IF(MONTH($A1593)=Reference!$D$4,1,0)+IF(MONTH($A1593)=Reference!$D$5,1,0))+(IF(MONTH($A1593)=Reference!$D$6,Reference!$D$13,0))),0)</f>
        <v>354</v>
      </c>
      <c r="E1593" s="11">
        <f ca="1">D1593*Reference!$D$7*(1-IF(MONTH($A1593)=Reference!$D$6,1,0)*Reference!$D$12)</f>
        <v>265500</v>
      </c>
      <c r="M1593" s="20"/>
      <c r="N1593" s="20"/>
      <c r="O1593" s="19"/>
      <c r="P1593" s="10"/>
      <c r="Q1593" s="10"/>
      <c r="R1593" s="10"/>
      <c r="S1593" s="10"/>
      <c r="T1593" s="10"/>
      <c r="U1593" s="10"/>
      <c r="V1593" s="10"/>
      <c r="W1593" s="10"/>
      <c r="X1593" s="10"/>
      <c r="Y1593" s="10"/>
    </row>
    <row r="1594" spans="1:25" x14ac:dyDescent="0.25">
      <c r="A1594" s="9">
        <v>42132</v>
      </c>
      <c r="B1594" s="10">
        <f ca="1">ROUND(_xlfn.NORM.INV(RAND(),Reference!$C$8,0.1*Reference!$C$8)*(1+Reference!$C$11*(IF(MONTH($A1594)=Reference!$C$4,1,0)+IF(MONTH($A1594)=Reference!$C$5,1,0))+(IF(MONTH($A1594)=Reference!$C$6,Reference!$C$13,0))),0)</f>
        <v>544</v>
      </c>
      <c r="C1594" s="11">
        <f ca="1">B1594*Reference!$C$7*(1-IF(MONTH($A1594)=Reference!$C$6,1,0)*Reference!$C$12)</f>
        <v>505920</v>
      </c>
      <c r="D1594" s="10">
        <f ca="1">ROUND(_xlfn.NORM.INV(RAND(),Reference!$D$8,0.1*Reference!$D$8)*(1+Reference!$D$11*(IF(MONTH($A1594)=Reference!$D$4,1,0)+IF(MONTH($A1594)=Reference!$D$5,1,0))+(IF(MONTH($A1594)=Reference!$D$6,Reference!$D$13,0))),0)</f>
        <v>447</v>
      </c>
      <c r="E1594" s="11">
        <f ca="1">D1594*Reference!$D$7*(1-IF(MONTH($A1594)=Reference!$D$6,1,0)*Reference!$D$12)</f>
        <v>335250</v>
      </c>
      <c r="M1594" s="20"/>
      <c r="N1594" s="20"/>
      <c r="O1594" s="19"/>
      <c r="P1594" s="10"/>
      <c r="Q1594" s="10"/>
      <c r="R1594" s="10"/>
      <c r="S1594" s="10"/>
      <c r="T1594" s="10"/>
      <c r="U1594" s="10"/>
      <c r="V1594" s="10"/>
      <c r="W1594" s="10"/>
      <c r="X1594" s="10"/>
      <c r="Y1594" s="10"/>
    </row>
    <row r="1595" spans="1:25" x14ac:dyDescent="0.25">
      <c r="A1595" s="9">
        <v>42133</v>
      </c>
      <c r="B1595" s="10">
        <f ca="1">ROUND(_xlfn.NORM.INV(RAND(),Reference!$C$8,0.1*Reference!$C$8)*(1+Reference!$C$11*(IF(MONTH($A1595)=Reference!$C$4,1,0)+IF(MONTH($A1595)=Reference!$C$5,1,0))+(IF(MONTH($A1595)=Reference!$C$6,Reference!$C$13,0))),0)</f>
        <v>589</v>
      </c>
      <c r="C1595" s="11">
        <f ca="1">B1595*Reference!$C$7*(1-IF(MONTH($A1595)=Reference!$C$6,1,0)*Reference!$C$12)</f>
        <v>547770</v>
      </c>
      <c r="D1595" s="10">
        <f ca="1">ROUND(_xlfn.NORM.INV(RAND(),Reference!$D$8,0.1*Reference!$D$8)*(1+Reference!$D$11*(IF(MONTH($A1595)=Reference!$D$4,1,0)+IF(MONTH($A1595)=Reference!$D$5,1,0))+(IF(MONTH($A1595)=Reference!$D$6,Reference!$D$13,0))),0)</f>
        <v>444</v>
      </c>
      <c r="E1595" s="11">
        <f ca="1">D1595*Reference!$D$7*(1-IF(MONTH($A1595)=Reference!$D$6,1,0)*Reference!$D$12)</f>
        <v>333000</v>
      </c>
      <c r="M1595" s="20"/>
      <c r="N1595" s="20"/>
      <c r="O1595" s="19"/>
      <c r="P1595" s="10"/>
      <c r="Q1595" s="10"/>
      <c r="R1595" s="10"/>
      <c r="S1595" s="10"/>
      <c r="T1595" s="10"/>
      <c r="U1595" s="10"/>
      <c r="V1595" s="10"/>
      <c r="W1595" s="10"/>
      <c r="X1595" s="10"/>
      <c r="Y1595" s="10"/>
    </row>
    <row r="1596" spans="1:25" x14ac:dyDescent="0.25">
      <c r="A1596" s="9">
        <v>42134</v>
      </c>
      <c r="B1596" s="10">
        <f ca="1">ROUND(_xlfn.NORM.INV(RAND(),Reference!$C$8,0.1*Reference!$C$8)*(1+Reference!$C$11*(IF(MONTH($A1596)=Reference!$C$4,1,0)+IF(MONTH($A1596)=Reference!$C$5,1,0))+(IF(MONTH($A1596)=Reference!$C$6,Reference!$C$13,0))),0)</f>
        <v>521</v>
      </c>
      <c r="C1596" s="11">
        <f ca="1">B1596*Reference!$C$7*(1-IF(MONTH($A1596)=Reference!$C$6,1,0)*Reference!$C$12)</f>
        <v>484530</v>
      </c>
      <c r="D1596" s="10">
        <f ca="1">ROUND(_xlfn.NORM.INV(RAND(),Reference!$D$8,0.1*Reference!$D$8)*(1+Reference!$D$11*(IF(MONTH($A1596)=Reference!$D$4,1,0)+IF(MONTH($A1596)=Reference!$D$5,1,0))+(IF(MONTH($A1596)=Reference!$D$6,Reference!$D$13,0))),0)</f>
        <v>423</v>
      </c>
      <c r="E1596" s="11">
        <f ca="1">D1596*Reference!$D$7*(1-IF(MONTH($A1596)=Reference!$D$6,1,0)*Reference!$D$12)</f>
        <v>317250</v>
      </c>
      <c r="M1596" s="20"/>
      <c r="N1596" s="20"/>
      <c r="O1596" s="19"/>
      <c r="P1596" s="10"/>
      <c r="Q1596" s="10"/>
      <c r="R1596" s="10"/>
      <c r="S1596" s="10"/>
      <c r="T1596" s="10"/>
      <c r="U1596" s="10"/>
      <c r="V1596" s="10"/>
      <c r="W1596" s="10"/>
      <c r="X1596" s="10"/>
      <c r="Y1596" s="10"/>
    </row>
    <row r="1597" spans="1:25" x14ac:dyDescent="0.25">
      <c r="A1597" s="9">
        <v>42135</v>
      </c>
      <c r="B1597" s="10">
        <f ca="1">ROUND(_xlfn.NORM.INV(RAND(),Reference!$C$8,0.1*Reference!$C$8)*(1+Reference!$C$11*(IF(MONTH($A1597)=Reference!$C$4,1,0)+IF(MONTH($A1597)=Reference!$C$5,1,0))+(IF(MONTH($A1597)=Reference!$C$6,Reference!$C$13,0))),0)</f>
        <v>488</v>
      </c>
      <c r="C1597" s="11">
        <f ca="1">B1597*Reference!$C$7*(1-IF(MONTH($A1597)=Reference!$C$6,1,0)*Reference!$C$12)</f>
        <v>453840</v>
      </c>
      <c r="D1597" s="10">
        <f ca="1">ROUND(_xlfn.NORM.INV(RAND(),Reference!$D$8,0.1*Reference!$D$8)*(1+Reference!$D$11*(IF(MONTH($A1597)=Reference!$D$4,1,0)+IF(MONTH($A1597)=Reference!$D$5,1,0))+(IF(MONTH($A1597)=Reference!$D$6,Reference!$D$13,0))),0)</f>
        <v>483</v>
      </c>
      <c r="E1597" s="11">
        <f ca="1">D1597*Reference!$D$7*(1-IF(MONTH($A1597)=Reference!$D$6,1,0)*Reference!$D$12)</f>
        <v>362250</v>
      </c>
      <c r="M1597" s="20"/>
      <c r="N1597" s="20"/>
      <c r="O1597" s="19"/>
      <c r="P1597" s="10"/>
      <c r="Q1597" s="10"/>
      <c r="R1597" s="10"/>
      <c r="S1597" s="10"/>
      <c r="T1597" s="10"/>
      <c r="U1597" s="10"/>
      <c r="V1597" s="10"/>
      <c r="W1597" s="10"/>
      <c r="X1597" s="10"/>
      <c r="Y1597" s="10"/>
    </row>
    <row r="1598" spans="1:25" x14ac:dyDescent="0.25">
      <c r="A1598" s="9">
        <v>42136</v>
      </c>
      <c r="B1598" s="10">
        <f ca="1">ROUND(_xlfn.NORM.INV(RAND(),Reference!$C$8,0.1*Reference!$C$8)*(1+Reference!$C$11*(IF(MONTH($A1598)=Reference!$C$4,1,0)+IF(MONTH($A1598)=Reference!$C$5,1,0))+(IF(MONTH($A1598)=Reference!$C$6,Reference!$C$13,0))),0)</f>
        <v>615</v>
      </c>
      <c r="C1598" s="11">
        <f ca="1">B1598*Reference!$C$7*(1-IF(MONTH($A1598)=Reference!$C$6,1,0)*Reference!$C$12)</f>
        <v>571950</v>
      </c>
      <c r="D1598" s="10">
        <f ca="1">ROUND(_xlfn.NORM.INV(RAND(),Reference!$D$8,0.1*Reference!$D$8)*(1+Reference!$D$11*(IF(MONTH($A1598)=Reference!$D$4,1,0)+IF(MONTH($A1598)=Reference!$D$5,1,0))+(IF(MONTH($A1598)=Reference!$D$6,Reference!$D$13,0))),0)</f>
        <v>465</v>
      </c>
      <c r="E1598" s="11">
        <f ca="1">D1598*Reference!$D$7*(1-IF(MONTH($A1598)=Reference!$D$6,1,0)*Reference!$D$12)</f>
        <v>348750</v>
      </c>
      <c r="M1598" s="20"/>
      <c r="N1598" s="20"/>
      <c r="O1598" s="19"/>
      <c r="P1598" s="10"/>
      <c r="Q1598" s="10"/>
      <c r="R1598" s="10"/>
      <c r="S1598" s="10"/>
      <c r="T1598" s="10"/>
      <c r="U1598" s="10"/>
      <c r="V1598" s="10"/>
      <c r="W1598" s="10"/>
      <c r="X1598" s="10"/>
      <c r="Y1598" s="10"/>
    </row>
    <row r="1599" spans="1:25" x14ac:dyDescent="0.25">
      <c r="A1599" s="9">
        <v>42137</v>
      </c>
      <c r="B1599" s="10">
        <f ca="1">ROUND(_xlfn.NORM.INV(RAND(),Reference!$C$8,0.1*Reference!$C$8)*(1+Reference!$C$11*(IF(MONTH($A1599)=Reference!$C$4,1,0)+IF(MONTH($A1599)=Reference!$C$5,1,0))+(IF(MONTH($A1599)=Reference!$C$6,Reference!$C$13,0))),0)</f>
        <v>559</v>
      </c>
      <c r="C1599" s="11">
        <f ca="1">B1599*Reference!$C$7*(1-IF(MONTH($A1599)=Reference!$C$6,1,0)*Reference!$C$12)</f>
        <v>519870</v>
      </c>
      <c r="D1599" s="10">
        <f ca="1">ROUND(_xlfn.NORM.INV(RAND(),Reference!$D$8,0.1*Reference!$D$8)*(1+Reference!$D$11*(IF(MONTH($A1599)=Reference!$D$4,1,0)+IF(MONTH($A1599)=Reference!$D$5,1,0))+(IF(MONTH($A1599)=Reference!$D$6,Reference!$D$13,0))),0)</f>
        <v>447</v>
      </c>
      <c r="E1599" s="11">
        <f ca="1">D1599*Reference!$D$7*(1-IF(MONTH($A1599)=Reference!$D$6,1,0)*Reference!$D$12)</f>
        <v>335250</v>
      </c>
      <c r="M1599" s="20"/>
      <c r="N1599" s="20"/>
      <c r="O1599" s="19"/>
      <c r="P1599" s="10"/>
      <c r="Q1599" s="10"/>
      <c r="R1599" s="10"/>
      <c r="S1599" s="10"/>
      <c r="T1599" s="10"/>
      <c r="U1599" s="10"/>
      <c r="V1599" s="10"/>
      <c r="W1599" s="10"/>
      <c r="X1599" s="10"/>
      <c r="Y1599" s="10"/>
    </row>
    <row r="1600" spans="1:25" x14ac:dyDescent="0.25">
      <c r="A1600" s="9">
        <v>42138</v>
      </c>
      <c r="B1600" s="10">
        <f ca="1">ROUND(_xlfn.NORM.INV(RAND(),Reference!$C$8,0.1*Reference!$C$8)*(1+Reference!$C$11*(IF(MONTH($A1600)=Reference!$C$4,1,0)+IF(MONTH($A1600)=Reference!$C$5,1,0))+(IF(MONTH($A1600)=Reference!$C$6,Reference!$C$13,0))),0)</f>
        <v>493</v>
      </c>
      <c r="C1600" s="11">
        <f ca="1">B1600*Reference!$C$7*(1-IF(MONTH($A1600)=Reference!$C$6,1,0)*Reference!$C$12)</f>
        <v>458490</v>
      </c>
      <c r="D1600" s="10">
        <f ca="1">ROUND(_xlfn.NORM.INV(RAND(),Reference!$D$8,0.1*Reference!$D$8)*(1+Reference!$D$11*(IF(MONTH($A1600)=Reference!$D$4,1,0)+IF(MONTH($A1600)=Reference!$D$5,1,0))+(IF(MONTH($A1600)=Reference!$D$6,Reference!$D$13,0))),0)</f>
        <v>441</v>
      </c>
      <c r="E1600" s="11">
        <f ca="1">D1600*Reference!$D$7*(1-IF(MONTH($A1600)=Reference!$D$6,1,0)*Reference!$D$12)</f>
        <v>330750</v>
      </c>
      <c r="M1600" s="20"/>
      <c r="N1600" s="20"/>
      <c r="O1600" s="19"/>
      <c r="P1600" s="10"/>
      <c r="Q1600" s="10"/>
      <c r="R1600" s="10"/>
      <c r="S1600" s="10"/>
      <c r="T1600" s="10"/>
      <c r="U1600" s="10"/>
      <c r="V1600" s="10"/>
      <c r="W1600" s="10"/>
      <c r="X1600" s="10"/>
      <c r="Y1600" s="10"/>
    </row>
    <row r="1601" spans="1:25" x14ac:dyDescent="0.25">
      <c r="A1601" s="9">
        <v>42139</v>
      </c>
      <c r="B1601" s="10">
        <f ca="1">ROUND(_xlfn.NORM.INV(RAND(),Reference!$C$8,0.1*Reference!$C$8)*(1+Reference!$C$11*(IF(MONTH($A1601)=Reference!$C$4,1,0)+IF(MONTH($A1601)=Reference!$C$5,1,0))+(IF(MONTH($A1601)=Reference!$C$6,Reference!$C$13,0))),0)</f>
        <v>559</v>
      </c>
      <c r="C1601" s="11">
        <f ca="1">B1601*Reference!$C$7*(1-IF(MONTH($A1601)=Reference!$C$6,1,0)*Reference!$C$12)</f>
        <v>519870</v>
      </c>
      <c r="D1601" s="10">
        <f ca="1">ROUND(_xlfn.NORM.INV(RAND(),Reference!$D$8,0.1*Reference!$D$8)*(1+Reference!$D$11*(IF(MONTH($A1601)=Reference!$D$4,1,0)+IF(MONTH($A1601)=Reference!$D$5,1,0))+(IF(MONTH($A1601)=Reference!$D$6,Reference!$D$13,0))),0)</f>
        <v>434</v>
      </c>
      <c r="E1601" s="11">
        <f ca="1">D1601*Reference!$D$7*(1-IF(MONTH($A1601)=Reference!$D$6,1,0)*Reference!$D$12)</f>
        <v>325500</v>
      </c>
      <c r="M1601" s="20"/>
      <c r="N1601" s="20"/>
      <c r="O1601" s="19"/>
      <c r="P1601" s="10"/>
      <c r="Q1601" s="10"/>
      <c r="R1601" s="10"/>
      <c r="S1601" s="10"/>
      <c r="T1601" s="10"/>
      <c r="U1601" s="10"/>
      <c r="V1601" s="10"/>
      <c r="W1601" s="10"/>
      <c r="X1601" s="10"/>
      <c r="Y1601" s="10"/>
    </row>
    <row r="1602" spans="1:25" x14ac:dyDescent="0.25">
      <c r="A1602" s="9">
        <v>42140</v>
      </c>
      <c r="B1602" s="10">
        <f ca="1">ROUND(_xlfn.NORM.INV(RAND(),Reference!$C$8,0.1*Reference!$C$8)*(1+Reference!$C$11*(IF(MONTH($A1602)=Reference!$C$4,1,0)+IF(MONTH($A1602)=Reference!$C$5,1,0))+(IF(MONTH($A1602)=Reference!$C$6,Reference!$C$13,0))),0)</f>
        <v>484</v>
      </c>
      <c r="C1602" s="11">
        <f ca="1">B1602*Reference!$C$7*(1-IF(MONTH($A1602)=Reference!$C$6,1,0)*Reference!$C$12)</f>
        <v>450120</v>
      </c>
      <c r="D1602" s="10">
        <f ca="1">ROUND(_xlfn.NORM.INV(RAND(),Reference!$D$8,0.1*Reference!$D$8)*(1+Reference!$D$11*(IF(MONTH($A1602)=Reference!$D$4,1,0)+IF(MONTH($A1602)=Reference!$D$5,1,0))+(IF(MONTH($A1602)=Reference!$D$6,Reference!$D$13,0))),0)</f>
        <v>517</v>
      </c>
      <c r="E1602" s="11">
        <f ca="1">D1602*Reference!$D$7*(1-IF(MONTH($A1602)=Reference!$D$6,1,0)*Reference!$D$12)</f>
        <v>387750</v>
      </c>
      <c r="M1602" s="20"/>
      <c r="N1602" s="20"/>
      <c r="O1602" s="19"/>
      <c r="P1602" s="10"/>
      <c r="Q1602" s="10"/>
      <c r="R1602" s="10"/>
      <c r="S1602" s="10"/>
      <c r="T1602" s="10"/>
      <c r="U1602" s="10"/>
      <c r="V1602" s="10"/>
      <c r="W1602" s="10"/>
      <c r="X1602" s="10"/>
      <c r="Y1602" s="10"/>
    </row>
    <row r="1603" spans="1:25" x14ac:dyDescent="0.25">
      <c r="A1603" s="9">
        <v>42141</v>
      </c>
      <c r="B1603" s="10">
        <f ca="1">ROUND(_xlfn.NORM.INV(RAND(),Reference!$C$8,0.1*Reference!$C$8)*(1+Reference!$C$11*(IF(MONTH($A1603)=Reference!$C$4,1,0)+IF(MONTH($A1603)=Reference!$C$5,1,0))+(IF(MONTH($A1603)=Reference!$C$6,Reference!$C$13,0))),0)</f>
        <v>563</v>
      </c>
      <c r="C1603" s="11">
        <f ca="1">B1603*Reference!$C$7*(1-IF(MONTH($A1603)=Reference!$C$6,1,0)*Reference!$C$12)</f>
        <v>523590</v>
      </c>
      <c r="D1603" s="10">
        <f ca="1">ROUND(_xlfn.NORM.INV(RAND(),Reference!$D$8,0.1*Reference!$D$8)*(1+Reference!$D$11*(IF(MONTH($A1603)=Reference!$D$4,1,0)+IF(MONTH($A1603)=Reference!$D$5,1,0))+(IF(MONTH($A1603)=Reference!$D$6,Reference!$D$13,0))),0)</f>
        <v>482</v>
      </c>
      <c r="E1603" s="11">
        <f ca="1">D1603*Reference!$D$7*(1-IF(MONTH($A1603)=Reference!$D$6,1,0)*Reference!$D$12)</f>
        <v>361500</v>
      </c>
      <c r="M1603" s="20"/>
      <c r="N1603" s="20"/>
      <c r="O1603" s="19"/>
      <c r="P1603" s="10"/>
      <c r="Q1603" s="10"/>
      <c r="R1603" s="10"/>
      <c r="S1603" s="10"/>
      <c r="T1603" s="10"/>
      <c r="U1603" s="10"/>
      <c r="V1603" s="10"/>
      <c r="W1603" s="10"/>
      <c r="X1603" s="10"/>
      <c r="Y1603" s="10"/>
    </row>
    <row r="1604" spans="1:25" x14ac:dyDescent="0.25">
      <c r="A1604" s="9">
        <v>42142</v>
      </c>
      <c r="B1604" s="10">
        <f ca="1">ROUND(_xlfn.NORM.INV(RAND(),Reference!$C$8,0.1*Reference!$C$8)*(1+Reference!$C$11*(IF(MONTH($A1604)=Reference!$C$4,1,0)+IF(MONTH($A1604)=Reference!$C$5,1,0))+(IF(MONTH($A1604)=Reference!$C$6,Reference!$C$13,0))),0)</f>
        <v>518</v>
      </c>
      <c r="C1604" s="11">
        <f ca="1">B1604*Reference!$C$7*(1-IF(MONTH($A1604)=Reference!$C$6,1,0)*Reference!$C$12)</f>
        <v>481740</v>
      </c>
      <c r="D1604" s="10">
        <f ca="1">ROUND(_xlfn.NORM.INV(RAND(),Reference!$D$8,0.1*Reference!$D$8)*(1+Reference!$D$11*(IF(MONTH($A1604)=Reference!$D$4,1,0)+IF(MONTH($A1604)=Reference!$D$5,1,0))+(IF(MONTH($A1604)=Reference!$D$6,Reference!$D$13,0))),0)</f>
        <v>473</v>
      </c>
      <c r="E1604" s="11">
        <f ca="1">D1604*Reference!$D$7*(1-IF(MONTH($A1604)=Reference!$D$6,1,0)*Reference!$D$12)</f>
        <v>354750</v>
      </c>
      <c r="M1604" s="20"/>
      <c r="N1604" s="20"/>
      <c r="O1604" s="19"/>
      <c r="P1604" s="10"/>
      <c r="Q1604" s="10"/>
      <c r="R1604" s="10"/>
      <c r="S1604" s="10"/>
      <c r="T1604" s="10"/>
      <c r="U1604" s="10"/>
      <c r="V1604" s="10"/>
      <c r="W1604" s="10"/>
      <c r="X1604" s="10"/>
      <c r="Y1604" s="10"/>
    </row>
    <row r="1605" spans="1:25" x14ac:dyDescent="0.25">
      <c r="A1605" s="9">
        <v>42143</v>
      </c>
      <c r="B1605" s="10">
        <f ca="1">ROUND(_xlfn.NORM.INV(RAND(),Reference!$C$8,0.1*Reference!$C$8)*(1+Reference!$C$11*(IF(MONTH($A1605)=Reference!$C$4,1,0)+IF(MONTH($A1605)=Reference!$C$5,1,0))+(IF(MONTH($A1605)=Reference!$C$6,Reference!$C$13,0))),0)</f>
        <v>512</v>
      </c>
      <c r="C1605" s="11">
        <f ca="1">B1605*Reference!$C$7*(1-IF(MONTH($A1605)=Reference!$C$6,1,0)*Reference!$C$12)</f>
        <v>476160</v>
      </c>
      <c r="D1605" s="10">
        <f ca="1">ROUND(_xlfn.NORM.INV(RAND(),Reference!$D$8,0.1*Reference!$D$8)*(1+Reference!$D$11*(IF(MONTH($A1605)=Reference!$D$4,1,0)+IF(MONTH($A1605)=Reference!$D$5,1,0))+(IF(MONTH($A1605)=Reference!$D$6,Reference!$D$13,0))),0)</f>
        <v>376</v>
      </c>
      <c r="E1605" s="11">
        <f ca="1">D1605*Reference!$D$7*(1-IF(MONTH($A1605)=Reference!$D$6,1,0)*Reference!$D$12)</f>
        <v>282000</v>
      </c>
      <c r="M1605" s="20"/>
      <c r="N1605" s="20"/>
      <c r="O1605" s="19"/>
      <c r="P1605" s="10"/>
      <c r="Q1605" s="10"/>
      <c r="R1605" s="10"/>
      <c r="S1605" s="10"/>
      <c r="T1605" s="10"/>
      <c r="U1605" s="10"/>
      <c r="V1605" s="10"/>
      <c r="W1605" s="10"/>
      <c r="X1605" s="10"/>
      <c r="Y1605" s="10"/>
    </row>
    <row r="1606" spans="1:25" x14ac:dyDescent="0.25">
      <c r="A1606" s="9">
        <v>42144</v>
      </c>
      <c r="B1606" s="10">
        <f ca="1">ROUND(_xlfn.NORM.INV(RAND(),Reference!$C$8,0.1*Reference!$C$8)*(1+Reference!$C$11*(IF(MONTH($A1606)=Reference!$C$4,1,0)+IF(MONTH($A1606)=Reference!$C$5,1,0))+(IF(MONTH($A1606)=Reference!$C$6,Reference!$C$13,0))),0)</f>
        <v>578</v>
      </c>
      <c r="C1606" s="11">
        <f ca="1">B1606*Reference!$C$7*(1-IF(MONTH($A1606)=Reference!$C$6,1,0)*Reference!$C$12)</f>
        <v>537540</v>
      </c>
      <c r="D1606" s="10">
        <f ca="1">ROUND(_xlfn.NORM.INV(RAND(),Reference!$D$8,0.1*Reference!$D$8)*(1+Reference!$D$11*(IF(MONTH($A1606)=Reference!$D$4,1,0)+IF(MONTH($A1606)=Reference!$D$5,1,0))+(IF(MONTH($A1606)=Reference!$D$6,Reference!$D$13,0))),0)</f>
        <v>391</v>
      </c>
      <c r="E1606" s="11">
        <f ca="1">D1606*Reference!$D$7*(1-IF(MONTH($A1606)=Reference!$D$6,1,0)*Reference!$D$12)</f>
        <v>293250</v>
      </c>
      <c r="M1606" s="20"/>
      <c r="N1606" s="20"/>
      <c r="O1606" s="19"/>
      <c r="P1606" s="10"/>
      <c r="Q1606" s="10"/>
      <c r="R1606" s="10"/>
      <c r="S1606" s="10"/>
      <c r="T1606" s="10"/>
      <c r="U1606" s="10"/>
      <c r="V1606" s="10"/>
      <c r="W1606" s="10"/>
      <c r="X1606" s="10"/>
      <c r="Y1606" s="10"/>
    </row>
    <row r="1607" spans="1:25" x14ac:dyDescent="0.25">
      <c r="A1607" s="9">
        <v>42145</v>
      </c>
      <c r="B1607" s="10">
        <f ca="1">ROUND(_xlfn.NORM.INV(RAND(),Reference!$C$8,0.1*Reference!$C$8)*(1+Reference!$C$11*(IF(MONTH($A1607)=Reference!$C$4,1,0)+IF(MONTH($A1607)=Reference!$C$5,1,0))+(IF(MONTH($A1607)=Reference!$C$6,Reference!$C$13,0))),0)</f>
        <v>580</v>
      </c>
      <c r="C1607" s="11">
        <f ca="1">B1607*Reference!$C$7*(1-IF(MONTH($A1607)=Reference!$C$6,1,0)*Reference!$C$12)</f>
        <v>539400</v>
      </c>
      <c r="D1607" s="10">
        <f ca="1">ROUND(_xlfn.NORM.INV(RAND(),Reference!$D$8,0.1*Reference!$D$8)*(1+Reference!$D$11*(IF(MONTH($A1607)=Reference!$D$4,1,0)+IF(MONTH($A1607)=Reference!$D$5,1,0))+(IF(MONTH($A1607)=Reference!$D$6,Reference!$D$13,0))),0)</f>
        <v>321</v>
      </c>
      <c r="E1607" s="11">
        <f ca="1">D1607*Reference!$D$7*(1-IF(MONTH($A1607)=Reference!$D$6,1,0)*Reference!$D$12)</f>
        <v>240750</v>
      </c>
      <c r="M1607" s="20"/>
      <c r="N1607" s="20"/>
      <c r="O1607" s="19"/>
      <c r="P1607" s="10"/>
      <c r="Q1607" s="10"/>
      <c r="R1607" s="10"/>
      <c r="S1607" s="10"/>
      <c r="T1607" s="10"/>
      <c r="U1607" s="10"/>
      <c r="V1607" s="10"/>
      <c r="W1607" s="10"/>
      <c r="X1607" s="10"/>
      <c r="Y1607" s="10"/>
    </row>
    <row r="1608" spans="1:25" x14ac:dyDescent="0.25">
      <c r="A1608" s="9">
        <v>42146</v>
      </c>
      <c r="B1608" s="10">
        <f ca="1">ROUND(_xlfn.NORM.INV(RAND(),Reference!$C$8,0.1*Reference!$C$8)*(1+Reference!$C$11*(IF(MONTH($A1608)=Reference!$C$4,1,0)+IF(MONTH($A1608)=Reference!$C$5,1,0))+(IF(MONTH($A1608)=Reference!$C$6,Reference!$C$13,0))),0)</f>
        <v>564</v>
      </c>
      <c r="C1608" s="11">
        <f ca="1">B1608*Reference!$C$7*(1-IF(MONTH($A1608)=Reference!$C$6,1,0)*Reference!$C$12)</f>
        <v>524520</v>
      </c>
      <c r="D1608" s="10">
        <f ca="1">ROUND(_xlfn.NORM.INV(RAND(),Reference!$D$8,0.1*Reference!$D$8)*(1+Reference!$D$11*(IF(MONTH($A1608)=Reference!$D$4,1,0)+IF(MONTH($A1608)=Reference!$D$5,1,0))+(IF(MONTH($A1608)=Reference!$D$6,Reference!$D$13,0))),0)</f>
        <v>457</v>
      </c>
      <c r="E1608" s="11">
        <f ca="1">D1608*Reference!$D$7*(1-IF(MONTH($A1608)=Reference!$D$6,1,0)*Reference!$D$12)</f>
        <v>342750</v>
      </c>
      <c r="M1608" s="20"/>
      <c r="N1608" s="20"/>
      <c r="O1608" s="19"/>
      <c r="P1608" s="10"/>
      <c r="Q1608" s="10"/>
      <c r="R1608" s="10"/>
      <c r="S1608" s="10"/>
      <c r="T1608" s="10"/>
      <c r="U1608" s="10"/>
      <c r="V1608" s="10"/>
      <c r="W1608" s="10"/>
      <c r="X1608" s="10"/>
      <c r="Y1608" s="10"/>
    </row>
    <row r="1609" spans="1:25" x14ac:dyDescent="0.25">
      <c r="A1609" s="9">
        <v>42147</v>
      </c>
      <c r="B1609" s="10">
        <f ca="1">ROUND(_xlfn.NORM.INV(RAND(),Reference!$C$8,0.1*Reference!$C$8)*(1+Reference!$C$11*(IF(MONTH($A1609)=Reference!$C$4,1,0)+IF(MONTH($A1609)=Reference!$C$5,1,0))+(IF(MONTH($A1609)=Reference!$C$6,Reference!$C$13,0))),0)</f>
        <v>531</v>
      </c>
      <c r="C1609" s="11">
        <f ca="1">B1609*Reference!$C$7*(1-IF(MONTH($A1609)=Reference!$C$6,1,0)*Reference!$C$12)</f>
        <v>493830</v>
      </c>
      <c r="D1609" s="10">
        <f ca="1">ROUND(_xlfn.NORM.INV(RAND(),Reference!$D$8,0.1*Reference!$D$8)*(1+Reference!$D$11*(IF(MONTH($A1609)=Reference!$D$4,1,0)+IF(MONTH($A1609)=Reference!$D$5,1,0))+(IF(MONTH($A1609)=Reference!$D$6,Reference!$D$13,0))),0)</f>
        <v>543</v>
      </c>
      <c r="E1609" s="11">
        <f ca="1">D1609*Reference!$D$7*(1-IF(MONTH($A1609)=Reference!$D$6,1,0)*Reference!$D$12)</f>
        <v>407250</v>
      </c>
      <c r="M1609" s="20"/>
      <c r="N1609" s="20"/>
      <c r="O1609" s="19"/>
      <c r="P1609" s="10"/>
      <c r="Q1609" s="10"/>
      <c r="R1609" s="10"/>
      <c r="S1609" s="10"/>
      <c r="T1609" s="10"/>
      <c r="U1609" s="10"/>
      <c r="V1609" s="10"/>
      <c r="W1609" s="10"/>
      <c r="X1609" s="10"/>
      <c r="Y1609" s="10"/>
    </row>
    <row r="1610" spans="1:25" x14ac:dyDescent="0.25">
      <c r="A1610" s="9">
        <v>42148</v>
      </c>
      <c r="B1610" s="10">
        <f ca="1">ROUND(_xlfn.NORM.INV(RAND(),Reference!$C$8,0.1*Reference!$C$8)*(1+Reference!$C$11*(IF(MONTH($A1610)=Reference!$C$4,1,0)+IF(MONTH($A1610)=Reference!$C$5,1,0))+(IF(MONTH($A1610)=Reference!$C$6,Reference!$C$13,0))),0)</f>
        <v>540</v>
      </c>
      <c r="C1610" s="11">
        <f ca="1">B1610*Reference!$C$7*(1-IF(MONTH($A1610)=Reference!$C$6,1,0)*Reference!$C$12)</f>
        <v>502200</v>
      </c>
      <c r="D1610" s="10">
        <f ca="1">ROUND(_xlfn.NORM.INV(RAND(),Reference!$D$8,0.1*Reference!$D$8)*(1+Reference!$D$11*(IF(MONTH($A1610)=Reference!$D$4,1,0)+IF(MONTH($A1610)=Reference!$D$5,1,0))+(IF(MONTH($A1610)=Reference!$D$6,Reference!$D$13,0))),0)</f>
        <v>354</v>
      </c>
      <c r="E1610" s="11">
        <f ca="1">D1610*Reference!$D$7*(1-IF(MONTH($A1610)=Reference!$D$6,1,0)*Reference!$D$12)</f>
        <v>265500</v>
      </c>
      <c r="M1610" s="20"/>
      <c r="N1610" s="20"/>
      <c r="O1610" s="19"/>
      <c r="P1610" s="10"/>
      <c r="Q1610" s="10"/>
      <c r="R1610" s="10"/>
      <c r="S1610" s="10"/>
      <c r="T1610" s="10"/>
      <c r="U1610" s="10"/>
      <c r="V1610" s="10"/>
      <c r="W1610" s="10"/>
      <c r="X1610" s="10"/>
      <c r="Y1610" s="10"/>
    </row>
    <row r="1611" spans="1:25" x14ac:dyDescent="0.25">
      <c r="A1611" s="9">
        <v>42149</v>
      </c>
      <c r="B1611" s="10">
        <f ca="1">ROUND(_xlfn.NORM.INV(RAND(),Reference!$C$8,0.1*Reference!$C$8)*(1+Reference!$C$11*(IF(MONTH($A1611)=Reference!$C$4,1,0)+IF(MONTH($A1611)=Reference!$C$5,1,0))+(IF(MONTH($A1611)=Reference!$C$6,Reference!$C$13,0))),0)</f>
        <v>441</v>
      </c>
      <c r="C1611" s="11">
        <f ca="1">B1611*Reference!$C$7*(1-IF(MONTH($A1611)=Reference!$C$6,1,0)*Reference!$C$12)</f>
        <v>410130</v>
      </c>
      <c r="D1611" s="10">
        <f ca="1">ROUND(_xlfn.NORM.INV(RAND(),Reference!$D$8,0.1*Reference!$D$8)*(1+Reference!$D$11*(IF(MONTH($A1611)=Reference!$D$4,1,0)+IF(MONTH($A1611)=Reference!$D$5,1,0))+(IF(MONTH($A1611)=Reference!$D$6,Reference!$D$13,0))),0)</f>
        <v>457</v>
      </c>
      <c r="E1611" s="11">
        <f ca="1">D1611*Reference!$D$7*(1-IF(MONTH($A1611)=Reference!$D$6,1,0)*Reference!$D$12)</f>
        <v>342750</v>
      </c>
      <c r="M1611" s="20"/>
      <c r="N1611" s="20"/>
      <c r="O1611" s="19"/>
      <c r="P1611" s="10"/>
      <c r="Q1611" s="10"/>
      <c r="R1611" s="10"/>
      <c r="S1611" s="10"/>
      <c r="T1611" s="10"/>
      <c r="U1611" s="10"/>
      <c r="V1611" s="10"/>
      <c r="W1611" s="10"/>
      <c r="X1611" s="10"/>
      <c r="Y1611" s="10"/>
    </row>
    <row r="1612" spans="1:25" x14ac:dyDescent="0.25">
      <c r="A1612" s="9">
        <v>42150</v>
      </c>
      <c r="B1612" s="10">
        <f ca="1">ROUND(_xlfn.NORM.INV(RAND(),Reference!$C$8,0.1*Reference!$C$8)*(1+Reference!$C$11*(IF(MONTH($A1612)=Reference!$C$4,1,0)+IF(MONTH($A1612)=Reference!$C$5,1,0))+(IF(MONTH($A1612)=Reference!$C$6,Reference!$C$13,0))),0)</f>
        <v>603</v>
      </c>
      <c r="C1612" s="11">
        <f ca="1">B1612*Reference!$C$7*(1-IF(MONTH($A1612)=Reference!$C$6,1,0)*Reference!$C$12)</f>
        <v>560790</v>
      </c>
      <c r="D1612" s="10">
        <f ca="1">ROUND(_xlfn.NORM.INV(RAND(),Reference!$D$8,0.1*Reference!$D$8)*(1+Reference!$D$11*(IF(MONTH($A1612)=Reference!$D$4,1,0)+IF(MONTH($A1612)=Reference!$D$5,1,0))+(IF(MONTH($A1612)=Reference!$D$6,Reference!$D$13,0))),0)</f>
        <v>411</v>
      </c>
      <c r="E1612" s="11">
        <f ca="1">D1612*Reference!$D$7*(1-IF(MONTH($A1612)=Reference!$D$6,1,0)*Reference!$D$12)</f>
        <v>308250</v>
      </c>
      <c r="M1612" s="20"/>
      <c r="N1612" s="20"/>
      <c r="O1612" s="19"/>
      <c r="P1612" s="10"/>
      <c r="Q1612" s="10"/>
      <c r="R1612" s="10"/>
      <c r="S1612" s="10"/>
      <c r="T1612" s="10"/>
      <c r="U1612" s="10"/>
      <c r="V1612" s="10"/>
      <c r="W1612" s="10"/>
      <c r="X1612" s="10"/>
      <c r="Y1612" s="10"/>
    </row>
    <row r="1613" spans="1:25" x14ac:dyDescent="0.25">
      <c r="A1613" s="9">
        <v>42151</v>
      </c>
      <c r="B1613" s="10">
        <f ca="1">ROUND(_xlfn.NORM.INV(RAND(),Reference!$C$8,0.1*Reference!$C$8)*(1+Reference!$C$11*(IF(MONTH($A1613)=Reference!$C$4,1,0)+IF(MONTH($A1613)=Reference!$C$5,1,0))+(IF(MONTH($A1613)=Reference!$C$6,Reference!$C$13,0))),0)</f>
        <v>466</v>
      </c>
      <c r="C1613" s="11">
        <f ca="1">B1613*Reference!$C$7*(1-IF(MONTH($A1613)=Reference!$C$6,1,0)*Reference!$C$12)</f>
        <v>433380</v>
      </c>
      <c r="D1613" s="10">
        <f ca="1">ROUND(_xlfn.NORM.INV(RAND(),Reference!$D$8,0.1*Reference!$D$8)*(1+Reference!$D$11*(IF(MONTH($A1613)=Reference!$D$4,1,0)+IF(MONTH($A1613)=Reference!$D$5,1,0))+(IF(MONTH($A1613)=Reference!$D$6,Reference!$D$13,0))),0)</f>
        <v>477</v>
      </c>
      <c r="E1613" s="11">
        <f ca="1">D1613*Reference!$D$7*(1-IF(MONTH($A1613)=Reference!$D$6,1,0)*Reference!$D$12)</f>
        <v>357750</v>
      </c>
      <c r="M1613" s="20"/>
      <c r="N1613" s="20"/>
      <c r="O1613" s="19"/>
      <c r="P1613" s="10"/>
      <c r="Q1613" s="10"/>
      <c r="R1613" s="10"/>
      <c r="S1613" s="10"/>
      <c r="T1613" s="10"/>
      <c r="U1613" s="10"/>
      <c r="V1613" s="10"/>
      <c r="W1613" s="10"/>
      <c r="X1613" s="10"/>
      <c r="Y1613" s="10"/>
    </row>
    <row r="1614" spans="1:25" x14ac:dyDescent="0.25">
      <c r="A1614" s="9">
        <v>42152</v>
      </c>
      <c r="B1614" s="10">
        <f ca="1">ROUND(_xlfn.NORM.INV(RAND(),Reference!$C$8,0.1*Reference!$C$8)*(1+Reference!$C$11*(IF(MONTH($A1614)=Reference!$C$4,1,0)+IF(MONTH($A1614)=Reference!$C$5,1,0))+(IF(MONTH($A1614)=Reference!$C$6,Reference!$C$13,0))),0)</f>
        <v>535</v>
      </c>
      <c r="C1614" s="11">
        <f ca="1">B1614*Reference!$C$7*(1-IF(MONTH($A1614)=Reference!$C$6,1,0)*Reference!$C$12)</f>
        <v>497550</v>
      </c>
      <c r="D1614" s="10">
        <f ca="1">ROUND(_xlfn.NORM.INV(RAND(),Reference!$D$8,0.1*Reference!$D$8)*(1+Reference!$D$11*(IF(MONTH($A1614)=Reference!$D$4,1,0)+IF(MONTH($A1614)=Reference!$D$5,1,0))+(IF(MONTH($A1614)=Reference!$D$6,Reference!$D$13,0))),0)</f>
        <v>418</v>
      </c>
      <c r="E1614" s="11">
        <f ca="1">D1614*Reference!$D$7*(1-IF(MONTH($A1614)=Reference!$D$6,1,0)*Reference!$D$12)</f>
        <v>313500</v>
      </c>
      <c r="M1614" s="20"/>
      <c r="N1614" s="20"/>
      <c r="O1614" s="19"/>
      <c r="P1614" s="10"/>
      <c r="Q1614" s="10"/>
      <c r="R1614" s="10"/>
      <c r="S1614" s="10"/>
      <c r="T1614" s="10"/>
      <c r="U1614" s="10"/>
      <c r="V1614" s="10"/>
      <c r="W1614" s="10"/>
      <c r="X1614" s="10"/>
      <c r="Y1614" s="10"/>
    </row>
    <row r="1615" spans="1:25" x14ac:dyDescent="0.25">
      <c r="A1615" s="9">
        <v>42153</v>
      </c>
      <c r="B1615" s="10">
        <f ca="1">ROUND(_xlfn.NORM.INV(RAND(),Reference!$C$8,0.1*Reference!$C$8)*(1+Reference!$C$11*(IF(MONTH($A1615)=Reference!$C$4,1,0)+IF(MONTH($A1615)=Reference!$C$5,1,0))+(IF(MONTH($A1615)=Reference!$C$6,Reference!$C$13,0))),0)</f>
        <v>516</v>
      </c>
      <c r="C1615" s="11">
        <f ca="1">B1615*Reference!$C$7*(1-IF(MONTH($A1615)=Reference!$C$6,1,0)*Reference!$C$12)</f>
        <v>479880</v>
      </c>
      <c r="D1615" s="10">
        <f ca="1">ROUND(_xlfn.NORM.INV(RAND(),Reference!$D$8,0.1*Reference!$D$8)*(1+Reference!$D$11*(IF(MONTH($A1615)=Reference!$D$4,1,0)+IF(MONTH($A1615)=Reference!$D$5,1,0))+(IF(MONTH($A1615)=Reference!$D$6,Reference!$D$13,0))),0)</f>
        <v>487</v>
      </c>
      <c r="E1615" s="11">
        <f ca="1">D1615*Reference!$D$7*(1-IF(MONTH($A1615)=Reference!$D$6,1,0)*Reference!$D$12)</f>
        <v>365250</v>
      </c>
      <c r="M1615" s="20"/>
      <c r="N1615" s="20"/>
      <c r="O1615" s="19"/>
      <c r="P1615" s="10"/>
      <c r="Q1615" s="10"/>
      <c r="R1615" s="10"/>
      <c r="S1615" s="10"/>
      <c r="T1615" s="10"/>
      <c r="U1615" s="10"/>
      <c r="V1615" s="10"/>
      <c r="W1615" s="10"/>
      <c r="X1615" s="10"/>
      <c r="Y1615" s="10"/>
    </row>
    <row r="1616" spans="1:25" x14ac:dyDescent="0.25">
      <c r="A1616" s="9">
        <v>42154</v>
      </c>
      <c r="B1616" s="10">
        <f ca="1">ROUND(_xlfn.NORM.INV(RAND(),Reference!$C$8,0.1*Reference!$C$8)*(1+Reference!$C$11*(IF(MONTH($A1616)=Reference!$C$4,1,0)+IF(MONTH($A1616)=Reference!$C$5,1,0))+(IF(MONTH($A1616)=Reference!$C$6,Reference!$C$13,0))),0)</f>
        <v>603</v>
      </c>
      <c r="C1616" s="11">
        <f ca="1">B1616*Reference!$C$7*(1-IF(MONTH($A1616)=Reference!$C$6,1,0)*Reference!$C$12)</f>
        <v>560790</v>
      </c>
      <c r="D1616" s="10">
        <f ca="1">ROUND(_xlfn.NORM.INV(RAND(),Reference!$D$8,0.1*Reference!$D$8)*(1+Reference!$D$11*(IF(MONTH($A1616)=Reference!$D$4,1,0)+IF(MONTH($A1616)=Reference!$D$5,1,0))+(IF(MONTH($A1616)=Reference!$D$6,Reference!$D$13,0))),0)</f>
        <v>433</v>
      </c>
      <c r="E1616" s="11">
        <f ca="1">D1616*Reference!$D$7*(1-IF(MONTH($A1616)=Reference!$D$6,1,0)*Reference!$D$12)</f>
        <v>324750</v>
      </c>
      <c r="M1616" s="20"/>
      <c r="N1616" s="20"/>
      <c r="O1616" s="19"/>
      <c r="P1616" s="10"/>
      <c r="Q1616" s="10"/>
      <c r="R1616" s="10"/>
      <c r="S1616" s="10"/>
      <c r="T1616" s="10"/>
      <c r="U1616" s="10"/>
      <c r="V1616" s="10"/>
      <c r="W1616" s="10"/>
      <c r="X1616" s="10"/>
      <c r="Y1616" s="10"/>
    </row>
    <row r="1617" spans="1:25" x14ac:dyDescent="0.25">
      <c r="A1617" s="9">
        <v>42155</v>
      </c>
      <c r="B1617" s="10">
        <f ca="1">ROUND(_xlfn.NORM.INV(RAND(),Reference!$C$8,0.1*Reference!$C$8)*(1+Reference!$C$11*(IF(MONTH($A1617)=Reference!$C$4,1,0)+IF(MONTH($A1617)=Reference!$C$5,1,0))+(IF(MONTH($A1617)=Reference!$C$6,Reference!$C$13,0))),0)</f>
        <v>671</v>
      </c>
      <c r="C1617" s="11">
        <f ca="1">B1617*Reference!$C$7*(1-IF(MONTH($A1617)=Reference!$C$6,1,0)*Reference!$C$12)</f>
        <v>624030</v>
      </c>
      <c r="D1617" s="10">
        <f ca="1">ROUND(_xlfn.NORM.INV(RAND(),Reference!$D$8,0.1*Reference!$D$8)*(1+Reference!$D$11*(IF(MONTH($A1617)=Reference!$D$4,1,0)+IF(MONTH($A1617)=Reference!$D$5,1,0))+(IF(MONTH($A1617)=Reference!$D$6,Reference!$D$13,0))),0)</f>
        <v>525</v>
      </c>
      <c r="E1617" s="11">
        <f ca="1">D1617*Reference!$D$7*(1-IF(MONTH($A1617)=Reference!$D$6,1,0)*Reference!$D$12)</f>
        <v>393750</v>
      </c>
      <c r="M1617" s="20"/>
      <c r="N1617" s="20"/>
      <c r="O1617" s="19"/>
      <c r="P1617" s="10"/>
      <c r="Q1617" s="10"/>
      <c r="R1617" s="10"/>
      <c r="S1617" s="10"/>
      <c r="T1617" s="10"/>
      <c r="U1617" s="10"/>
      <c r="V1617" s="10"/>
      <c r="W1617" s="10"/>
      <c r="X1617" s="10"/>
      <c r="Y1617" s="10"/>
    </row>
    <row r="1618" spans="1:25" x14ac:dyDescent="0.25">
      <c r="A1618" s="9">
        <v>42156</v>
      </c>
      <c r="B1618" s="10">
        <f ca="1">ROUND(_xlfn.NORM.INV(RAND(),Reference!$C$8,0.1*Reference!$C$8)*(1+Reference!$C$11*(IF(MONTH($A1618)=Reference!$C$4,1,0)+IF(MONTH($A1618)=Reference!$C$5,1,0))+(IF(MONTH($A1618)=Reference!$C$6,Reference!$C$13,0))),0)</f>
        <v>479</v>
      </c>
      <c r="C1618" s="11">
        <f ca="1">B1618*Reference!$C$7*(1-IF(MONTH($A1618)=Reference!$C$6,1,0)*Reference!$C$12)</f>
        <v>178188</v>
      </c>
      <c r="D1618" s="10">
        <f ca="1">ROUND(_xlfn.NORM.INV(RAND(),Reference!$D$8,0.1*Reference!$D$8)*(1+Reference!$D$11*(IF(MONTH($A1618)=Reference!$D$4,1,0)+IF(MONTH($A1618)=Reference!$D$5,1,0))+(IF(MONTH($A1618)=Reference!$D$6,Reference!$D$13,0))),0)</f>
        <v>483</v>
      </c>
      <c r="E1618" s="11">
        <f ca="1">D1618*Reference!$D$7*(1-IF(MONTH($A1618)=Reference!$D$6,1,0)*Reference!$D$12)</f>
        <v>362250</v>
      </c>
      <c r="M1618" s="20"/>
      <c r="N1618" s="20"/>
      <c r="O1618" s="19"/>
      <c r="P1618" s="10"/>
      <c r="Q1618" s="10"/>
      <c r="R1618" s="10"/>
      <c r="S1618" s="10"/>
      <c r="T1618" s="10"/>
      <c r="U1618" s="10"/>
      <c r="V1618" s="10"/>
      <c r="W1618" s="10"/>
      <c r="X1618" s="10"/>
      <c r="Y1618" s="10"/>
    </row>
    <row r="1619" spans="1:25" x14ac:dyDescent="0.25">
      <c r="A1619" s="9">
        <v>42157</v>
      </c>
      <c r="B1619" s="10">
        <f ca="1">ROUND(_xlfn.NORM.INV(RAND(),Reference!$C$8,0.1*Reference!$C$8)*(1+Reference!$C$11*(IF(MONTH($A1619)=Reference!$C$4,1,0)+IF(MONTH($A1619)=Reference!$C$5,1,0))+(IF(MONTH($A1619)=Reference!$C$6,Reference!$C$13,0))),0)</f>
        <v>434</v>
      </c>
      <c r="C1619" s="11">
        <f ca="1">B1619*Reference!$C$7*(1-IF(MONTH($A1619)=Reference!$C$6,1,0)*Reference!$C$12)</f>
        <v>161448</v>
      </c>
      <c r="D1619" s="10">
        <f ca="1">ROUND(_xlfn.NORM.INV(RAND(),Reference!$D$8,0.1*Reference!$D$8)*(1+Reference!$D$11*(IF(MONTH($A1619)=Reference!$D$4,1,0)+IF(MONTH($A1619)=Reference!$D$5,1,0))+(IF(MONTH($A1619)=Reference!$D$6,Reference!$D$13,0))),0)</f>
        <v>473</v>
      </c>
      <c r="E1619" s="11">
        <f ca="1">D1619*Reference!$D$7*(1-IF(MONTH($A1619)=Reference!$D$6,1,0)*Reference!$D$12)</f>
        <v>354750</v>
      </c>
      <c r="M1619" s="20"/>
      <c r="N1619" s="20"/>
      <c r="O1619" s="19"/>
      <c r="P1619" s="10"/>
      <c r="Q1619" s="10"/>
      <c r="R1619" s="10"/>
      <c r="S1619" s="10"/>
      <c r="T1619" s="10"/>
      <c r="U1619" s="10"/>
      <c r="V1619" s="10"/>
      <c r="W1619" s="10"/>
      <c r="X1619" s="10"/>
      <c r="Y1619" s="10"/>
    </row>
    <row r="1620" spans="1:25" x14ac:dyDescent="0.25">
      <c r="A1620" s="9">
        <v>42158</v>
      </c>
      <c r="B1620" s="10">
        <f ca="1">ROUND(_xlfn.NORM.INV(RAND(),Reference!$C$8,0.1*Reference!$C$8)*(1+Reference!$C$11*(IF(MONTH($A1620)=Reference!$C$4,1,0)+IF(MONTH($A1620)=Reference!$C$5,1,0))+(IF(MONTH($A1620)=Reference!$C$6,Reference!$C$13,0))),0)</f>
        <v>433</v>
      </c>
      <c r="C1620" s="11">
        <f ca="1">B1620*Reference!$C$7*(1-IF(MONTH($A1620)=Reference!$C$6,1,0)*Reference!$C$12)</f>
        <v>161076</v>
      </c>
      <c r="D1620" s="10">
        <f ca="1">ROUND(_xlfn.NORM.INV(RAND(),Reference!$D$8,0.1*Reference!$D$8)*(1+Reference!$D$11*(IF(MONTH($A1620)=Reference!$D$4,1,0)+IF(MONTH($A1620)=Reference!$D$5,1,0))+(IF(MONTH($A1620)=Reference!$D$6,Reference!$D$13,0))),0)</f>
        <v>438</v>
      </c>
      <c r="E1620" s="11">
        <f ca="1">D1620*Reference!$D$7*(1-IF(MONTH($A1620)=Reference!$D$6,1,0)*Reference!$D$12)</f>
        <v>328500</v>
      </c>
      <c r="M1620" s="20"/>
      <c r="N1620" s="20"/>
      <c r="O1620" s="19"/>
      <c r="P1620" s="10"/>
      <c r="Q1620" s="10"/>
      <c r="R1620" s="10"/>
      <c r="S1620" s="10"/>
      <c r="T1620" s="10"/>
      <c r="U1620" s="10"/>
      <c r="V1620" s="10"/>
      <c r="W1620" s="10"/>
      <c r="X1620" s="10"/>
      <c r="Y1620" s="10"/>
    </row>
    <row r="1621" spans="1:25" x14ac:dyDescent="0.25">
      <c r="A1621" s="9">
        <v>42159</v>
      </c>
      <c r="B1621" s="10">
        <f ca="1">ROUND(_xlfn.NORM.INV(RAND(),Reference!$C$8,0.1*Reference!$C$8)*(1+Reference!$C$11*(IF(MONTH($A1621)=Reference!$C$4,1,0)+IF(MONTH($A1621)=Reference!$C$5,1,0))+(IF(MONTH($A1621)=Reference!$C$6,Reference!$C$13,0))),0)</f>
        <v>421</v>
      </c>
      <c r="C1621" s="11">
        <f ca="1">B1621*Reference!$C$7*(1-IF(MONTH($A1621)=Reference!$C$6,1,0)*Reference!$C$12)</f>
        <v>156612</v>
      </c>
      <c r="D1621" s="10">
        <f ca="1">ROUND(_xlfn.NORM.INV(RAND(),Reference!$D$8,0.1*Reference!$D$8)*(1+Reference!$D$11*(IF(MONTH($A1621)=Reference!$D$4,1,0)+IF(MONTH($A1621)=Reference!$D$5,1,0))+(IF(MONTH($A1621)=Reference!$D$6,Reference!$D$13,0))),0)</f>
        <v>412</v>
      </c>
      <c r="E1621" s="11">
        <f ca="1">D1621*Reference!$D$7*(1-IF(MONTH($A1621)=Reference!$D$6,1,0)*Reference!$D$12)</f>
        <v>309000</v>
      </c>
      <c r="M1621" s="20"/>
      <c r="N1621" s="20"/>
      <c r="O1621" s="19"/>
      <c r="P1621" s="10"/>
      <c r="Q1621" s="10"/>
      <c r="R1621" s="10"/>
      <c r="S1621" s="10"/>
      <c r="T1621" s="10"/>
      <c r="U1621" s="10"/>
      <c r="V1621" s="10"/>
      <c r="W1621" s="10"/>
      <c r="X1621" s="10"/>
      <c r="Y1621" s="10"/>
    </row>
    <row r="1622" spans="1:25" x14ac:dyDescent="0.25">
      <c r="A1622" s="9">
        <v>42160</v>
      </c>
      <c r="B1622" s="10">
        <f ca="1">ROUND(_xlfn.NORM.INV(RAND(),Reference!$C$8,0.1*Reference!$C$8)*(1+Reference!$C$11*(IF(MONTH($A1622)=Reference!$C$4,1,0)+IF(MONTH($A1622)=Reference!$C$5,1,0))+(IF(MONTH($A1622)=Reference!$C$6,Reference!$C$13,0))),0)</f>
        <v>404</v>
      </c>
      <c r="C1622" s="11">
        <f ca="1">B1622*Reference!$C$7*(1-IF(MONTH($A1622)=Reference!$C$6,1,0)*Reference!$C$12)</f>
        <v>150288</v>
      </c>
      <c r="D1622" s="10">
        <f ca="1">ROUND(_xlfn.NORM.INV(RAND(),Reference!$D$8,0.1*Reference!$D$8)*(1+Reference!$D$11*(IF(MONTH($A1622)=Reference!$D$4,1,0)+IF(MONTH($A1622)=Reference!$D$5,1,0))+(IF(MONTH($A1622)=Reference!$D$6,Reference!$D$13,0))),0)</f>
        <v>454</v>
      </c>
      <c r="E1622" s="11">
        <f ca="1">D1622*Reference!$D$7*(1-IF(MONTH($A1622)=Reference!$D$6,1,0)*Reference!$D$12)</f>
        <v>340500</v>
      </c>
      <c r="M1622" s="20"/>
      <c r="N1622" s="20"/>
      <c r="O1622" s="19"/>
      <c r="P1622" s="10"/>
      <c r="Q1622" s="10"/>
      <c r="R1622" s="10"/>
      <c r="S1622" s="10"/>
      <c r="T1622" s="10"/>
      <c r="U1622" s="10"/>
      <c r="V1622" s="10"/>
      <c r="W1622" s="10"/>
      <c r="X1622" s="10"/>
      <c r="Y1622" s="10"/>
    </row>
    <row r="1623" spans="1:25" x14ac:dyDescent="0.25">
      <c r="A1623" s="9">
        <v>42161</v>
      </c>
      <c r="B1623" s="10">
        <f ca="1">ROUND(_xlfn.NORM.INV(RAND(),Reference!$C$8,0.1*Reference!$C$8)*(1+Reference!$C$11*(IF(MONTH($A1623)=Reference!$C$4,1,0)+IF(MONTH($A1623)=Reference!$C$5,1,0))+(IF(MONTH($A1623)=Reference!$C$6,Reference!$C$13,0))),0)</f>
        <v>409</v>
      </c>
      <c r="C1623" s="11">
        <f ca="1">B1623*Reference!$C$7*(1-IF(MONTH($A1623)=Reference!$C$6,1,0)*Reference!$C$12)</f>
        <v>152148</v>
      </c>
      <c r="D1623" s="10">
        <f ca="1">ROUND(_xlfn.NORM.INV(RAND(),Reference!$D$8,0.1*Reference!$D$8)*(1+Reference!$D$11*(IF(MONTH($A1623)=Reference!$D$4,1,0)+IF(MONTH($A1623)=Reference!$D$5,1,0))+(IF(MONTH($A1623)=Reference!$D$6,Reference!$D$13,0))),0)</f>
        <v>436</v>
      </c>
      <c r="E1623" s="11">
        <f ca="1">D1623*Reference!$D$7*(1-IF(MONTH($A1623)=Reference!$D$6,1,0)*Reference!$D$12)</f>
        <v>327000</v>
      </c>
      <c r="M1623" s="20"/>
      <c r="N1623" s="20"/>
      <c r="O1623" s="19"/>
      <c r="P1623" s="10"/>
      <c r="Q1623" s="10"/>
      <c r="R1623" s="10"/>
      <c r="S1623" s="10"/>
      <c r="T1623" s="10"/>
      <c r="U1623" s="10"/>
      <c r="V1623" s="10"/>
      <c r="W1623" s="10"/>
      <c r="X1623" s="10"/>
      <c r="Y1623" s="10"/>
    </row>
    <row r="1624" spans="1:25" x14ac:dyDescent="0.25">
      <c r="A1624" s="9">
        <v>42162</v>
      </c>
      <c r="B1624" s="10">
        <f ca="1">ROUND(_xlfn.NORM.INV(RAND(),Reference!$C$8,0.1*Reference!$C$8)*(1+Reference!$C$11*(IF(MONTH($A1624)=Reference!$C$4,1,0)+IF(MONTH($A1624)=Reference!$C$5,1,0))+(IF(MONTH($A1624)=Reference!$C$6,Reference!$C$13,0))),0)</f>
        <v>450</v>
      </c>
      <c r="C1624" s="11">
        <f ca="1">B1624*Reference!$C$7*(1-IF(MONTH($A1624)=Reference!$C$6,1,0)*Reference!$C$12)</f>
        <v>167400</v>
      </c>
      <c r="D1624" s="10">
        <f ca="1">ROUND(_xlfn.NORM.INV(RAND(),Reference!$D$8,0.1*Reference!$D$8)*(1+Reference!$D$11*(IF(MONTH($A1624)=Reference!$D$4,1,0)+IF(MONTH($A1624)=Reference!$D$5,1,0))+(IF(MONTH($A1624)=Reference!$D$6,Reference!$D$13,0))),0)</f>
        <v>487</v>
      </c>
      <c r="E1624" s="11">
        <f ca="1">D1624*Reference!$D$7*(1-IF(MONTH($A1624)=Reference!$D$6,1,0)*Reference!$D$12)</f>
        <v>365250</v>
      </c>
      <c r="M1624" s="20"/>
      <c r="N1624" s="20"/>
      <c r="O1624" s="19"/>
      <c r="P1624" s="10"/>
      <c r="Q1624" s="10"/>
      <c r="R1624" s="10"/>
      <c r="S1624" s="10"/>
      <c r="T1624" s="10"/>
      <c r="U1624" s="10"/>
      <c r="V1624" s="10"/>
      <c r="W1624" s="10"/>
      <c r="X1624" s="10"/>
      <c r="Y1624" s="10"/>
    </row>
    <row r="1625" spans="1:25" x14ac:dyDescent="0.25">
      <c r="A1625" s="9">
        <v>42163</v>
      </c>
      <c r="B1625" s="10">
        <f ca="1">ROUND(_xlfn.NORM.INV(RAND(),Reference!$C$8,0.1*Reference!$C$8)*(1+Reference!$C$11*(IF(MONTH($A1625)=Reference!$C$4,1,0)+IF(MONTH($A1625)=Reference!$C$5,1,0))+(IF(MONTH($A1625)=Reference!$C$6,Reference!$C$13,0))),0)</f>
        <v>438</v>
      </c>
      <c r="C1625" s="11">
        <f ca="1">B1625*Reference!$C$7*(1-IF(MONTH($A1625)=Reference!$C$6,1,0)*Reference!$C$12)</f>
        <v>162936</v>
      </c>
      <c r="D1625" s="10">
        <f ca="1">ROUND(_xlfn.NORM.INV(RAND(),Reference!$D$8,0.1*Reference!$D$8)*(1+Reference!$D$11*(IF(MONTH($A1625)=Reference!$D$4,1,0)+IF(MONTH($A1625)=Reference!$D$5,1,0))+(IF(MONTH($A1625)=Reference!$D$6,Reference!$D$13,0))),0)</f>
        <v>403</v>
      </c>
      <c r="E1625" s="11">
        <f ca="1">D1625*Reference!$D$7*(1-IF(MONTH($A1625)=Reference!$D$6,1,0)*Reference!$D$12)</f>
        <v>302250</v>
      </c>
      <c r="M1625" s="20"/>
      <c r="N1625" s="20"/>
      <c r="O1625" s="19"/>
      <c r="P1625" s="10"/>
      <c r="Q1625" s="10"/>
      <c r="R1625" s="10"/>
      <c r="S1625" s="10"/>
      <c r="T1625" s="10"/>
      <c r="U1625" s="10"/>
      <c r="V1625" s="10"/>
      <c r="W1625" s="10"/>
      <c r="X1625" s="10"/>
      <c r="Y1625" s="10"/>
    </row>
    <row r="1626" spans="1:25" x14ac:dyDescent="0.25">
      <c r="A1626" s="9">
        <v>42164</v>
      </c>
      <c r="B1626" s="10">
        <f ca="1">ROUND(_xlfn.NORM.INV(RAND(),Reference!$C$8,0.1*Reference!$C$8)*(1+Reference!$C$11*(IF(MONTH($A1626)=Reference!$C$4,1,0)+IF(MONTH($A1626)=Reference!$C$5,1,0))+(IF(MONTH($A1626)=Reference!$C$6,Reference!$C$13,0))),0)</f>
        <v>577</v>
      </c>
      <c r="C1626" s="11">
        <f ca="1">B1626*Reference!$C$7*(1-IF(MONTH($A1626)=Reference!$C$6,1,0)*Reference!$C$12)</f>
        <v>214644</v>
      </c>
      <c r="D1626" s="10">
        <f ca="1">ROUND(_xlfn.NORM.INV(RAND(),Reference!$D$8,0.1*Reference!$D$8)*(1+Reference!$D$11*(IF(MONTH($A1626)=Reference!$D$4,1,0)+IF(MONTH($A1626)=Reference!$D$5,1,0))+(IF(MONTH($A1626)=Reference!$D$6,Reference!$D$13,0))),0)</f>
        <v>415</v>
      </c>
      <c r="E1626" s="11">
        <f ca="1">D1626*Reference!$D$7*(1-IF(MONTH($A1626)=Reference!$D$6,1,0)*Reference!$D$12)</f>
        <v>311250</v>
      </c>
      <c r="M1626" s="20"/>
      <c r="N1626" s="20"/>
      <c r="O1626" s="19"/>
      <c r="P1626" s="10"/>
      <c r="Q1626" s="10"/>
      <c r="R1626" s="10"/>
      <c r="S1626" s="10"/>
      <c r="T1626" s="10"/>
      <c r="U1626" s="10"/>
      <c r="V1626" s="10"/>
      <c r="W1626" s="10"/>
      <c r="X1626" s="10"/>
      <c r="Y1626" s="10"/>
    </row>
    <row r="1627" spans="1:25" x14ac:dyDescent="0.25">
      <c r="A1627" s="9">
        <v>42165</v>
      </c>
      <c r="B1627" s="10">
        <f ca="1">ROUND(_xlfn.NORM.INV(RAND(),Reference!$C$8,0.1*Reference!$C$8)*(1+Reference!$C$11*(IF(MONTH($A1627)=Reference!$C$4,1,0)+IF(MONTH($A1627)=Reference!$C$5,1,0))+(IF(MONTH($A1627)=Reference!$C$6,Reference!$C$13,0))),0)</f>
        <v>525</v>
      </c>
      <c r="C1627" s="11">
        <f ca="1">B1627*Reference!$C$7*(1-IF(MONTH($A1627)=Reference!$C$6,1,0)*Reference!$C$12)</f>
        <v>195300</v>
      </c>
      <c r="D1627" s="10">
        <f ca="1">ROUND(_xlfn.NORM.INV(RAND(),Reference!$D$8,0.1*Reference!$D$8)*(1+Reference!$D$11*(IF(MONTH($A1627)=Reference!$D$4,1,0)+IF(MONTH($A1627)=Reference!$D$5,1,0))+(IF(MONTH($A1627)=Reference!$D$6,Reference!$D$13,0))),0)</f>
        <v>527</v>
      </c>
      <c r="E1627" s="11">
        <f ca="1">D1627*Reference!$D$7*(1-IF(MONTH($A1627)=Reference!$D$6,1,0)*Reference!$D$12)</f>
        <v>395250</v>
      </c>
      <c r="M1627" s="20"/>
      <c r="N1627" s="20"/>
      <c r="O1627" s="19"/>
      <c r="P1627" s="10"/>
      <c r="Q1627" s="10"/>
      <c r="R1627" s="10"/>
      <c r="S1627" s="10"/>
      <c r="T1627" s="10"/>
      <c r="U1627" s="10"/>
      <c r="V1627" s="10"/>
      <c r="W1627" s="10"/>
      <c r="X1627" s="10"/>
      <c r="Y1627" s="10"/>
    </row>
    <row r="1628" spans="1:25" x14ac:dyDescent="0.25">
      <c r="A1628" s="9">
        <v>42166</v>
      </c>
      <c r="B1628" s="10">
        <f ca="1">ROUND(_xlfn.NORM.INV(RAND(),Reference!$C$8,0.1*Reference!$C$8)*(1+Reference!$C$11*(IF(MONTH($A1628)=Reference!$C$4,1,0)+IF(MONTH($A1628)=Reference!$C$5,1,0))+(IF(MONTH($A1628)=Reference!$C$6,Reference!$C$13,0))),0)</f>
        <v>488</v>
      </c>
      <c r="C1628" s="11">
        <f ca="1">B1628*Reference!$C$7*(1-IF(MONTH($A1628)=Reference!$C$6,1,0)*Reference!$C$12)</f>
        <v>181536</v>
      </c>
      <c r="D1628" s="10">
        <f ca="1">ROUND(_xlfn.NORM.INV(RAND(),Reference!$D$8,0.1*Reference!$D$8)*(1+Reference!$D$11*(IF(MONTH($A1628)=Reference!$D$4,1,0)+IF(MONTH($A1628)=Reference!$D$5,1,0))+(IF(MONTH($A1628)=Reference!$D$6,Reference!$D$13,0))),0)</f>
        <v>410</v>
      </c>
      <c r="E1628" s="11">
        <f ca="1">D1628*Reference!$D$7*(1-IF(MONTH($A1628)=Reference!$D$6,1,0)*Reference!$D$12)</f>
        <v>307500</v>
      </c>
      <c r="M1628" s="20"/>
      <c r="N1628" s="20"/>
      <c r="O1628" s="19"/>
      <c r="P1628" s="10"/>
      <c r="Q1628" s="10"/>
      <c r="R1628" s="10"/>
      <c r="S1628" s="10"/>
      <c r="T1628" s="10"/>
      <c r="U1628" s="10"/>
      <c r="V1628" s="10"/>
      <c r="W1628" s="10"/>
      <c r="X1628" s="10"/>
      <c r="Y1628" s="10"/>
    </row>
    <row r="1629" spans="1:25" x14ac:dyDescent="0.25">
      <c r="A1629" s="9">
        <v>42167</v>
      </c>
      <c r="B1629" s="10">
        <f ca="1">ROUND(_xlfn.NORM.INV(RAND(),Reference!$C$8,0.1*Reference!$C$8)*(1+Reference!$C$11*(IF(MONTH($A1629)=Reference!$C$4,1,0)+IF(MONTH($A1629)=Reference!$C$5,1,0))+(IF(MONTH($A1629)=Reference!$C$6,Reference!$C$13,0))),0)</f>
        <v>361</v>
      </c>
      <c r="C1629" s="11">
        <f ca="1">B1629*Reference!$C$7*(1-IF(MONTH($A1629)=Reference!$C$6,1,0)*Reference!$C$12)</f>
        <v>134292</v>
      </c>
      <c r="D1629" s="10">
        <f ca="1">ROUND(_xlfn.NORM.INV(RAND(),Reference!$D$8,0.1*Reference!$D$8)*(1+Reference!$D$11*(IF(MONTH($A1629)=Reference!$D$4,1,0)+IF(MONTH($A1629)=Reference!$D$5,1,0))+(IF(MONTH($A1629)=Reference!$D$6,Reference!$D$13,0))),0)</f>
        <v>446</v>
      </c>
      <c r="E1629" s="11">
        <f ca="1">D1629*Reference!$D$7*(1-IF(MONTH($A1629)=Reference!$D$6,1,0)*Reference!$D$12)</f>
        <v>334500</v>
      </c>
      <c r="M1629" s="20"/>
      <c r="N1629" s="20"/>
      <c r="O1629" s="19"/>
      <c r="P1629" s="10"/>
      <c r="Q1629" s="10"/>
      <c r="R1629" s="10"/>
      <c r="S1629" s="10"/>
      <c r="T1629" s="10"/>
      <c r="U1629" s="10"/>
      <c r="V1629" s="10"/>
      <c r="W1629" s="10"/>
      <c r="X1629" s="10"/>
      <c r="Y1629" s="10"/>
    </row>
    <row r="1630" spans="1:25" x14ac:dyDescent="0.25">
      <c r="A1630" s="9">
        <v>42168</v>
      </c>
      <c r="B1630" s="10">
        <f ca="1">ROUND(_xlfn.NORM.INV(RAND(),Reference!$C$8,0.1*Reference!$C$8)*(1+Reference!$C$11*(IF(MONTH($A1630)=Reference!$C$4,1,0)+IF(MONTH($A1630)=Reference!$C$5,1,0))+(IF(MONTH($A1630)=Reference!$C$6,Reference!$C$13,0))),0)</f>
        <v>370</v>
      </c>
      <c r="C1630" s="11">
        <f ca="1">B1630*Reference!$C$7*(1-IF(MONTH($A1630)=Reference!$C$6,1,0)*Reference!$C$12)</f>
        <v>137640</v>
      </c>
      <c r="D1630" s="10">
        <f ca="1">ROUND(_xlfn.NORM.INV(RAND(),Reference!$D$8,0.1*Reference!$D$8)*(1+Reference!$D$11*(IF(MONTH($A1630)=Reference!$D$4,1,0)+IF(MONTH($A1630)=Reference!$D$5,1,0))+(IF(MONTH($A1630)=Reference!$D$6,Reference!$D$13,0))),0)</f>
        <v>417</v>
      </c>
      <c r="E1630" s="11">
        <f ca="1">D1630*Reference!$D$7*(1-IF(MONTH($A1630)=Reference!$D$6,1,0)*Reference!$D$12)</f>
        <v>312750</v>
      </c>
      <c r="M1630" s="20"/>
      <c r="N1630" s="20"/>
      <c r="O1630" s="19"/>
      <c r="P1630" s="10"/>
      <c r="Q1630" s="10"/>
      <c r="R1630" s="10"/>
      <c r="S1630" s="10"/>
      <c r="T1630" s="10"/>
      <c r="U1630" s="10"/>
      <c r="V1630" s="10"/>
      <c r="W1630" s="10"/>
      <c r="X1630" s="10"/>
      <c r="Y1630" s="10"/>
    </row>
    <row r="1631" spans="1:25" x14ac:dyDescent="0.25">
      <c r="A1631" s="9">
        <v>42169</v>
      </c>
      <c r="B1631" s="10">
        <f ca="1">ROUND(_xlfn.NORM.INV(RAND(),Reference!$C$8,0.1*Reference!$C$8)*(1+Reference!$C$11*(IF(MONTH($A1631)=Reference!$C$4,1,0)+IF(MONTH($A1631)=Reference!$C$5,1,0))+(IF(MONTH($A1631)=Reference!$C$6,Reference!$C$13,0))),0)</f>
        <v>384</v>
      </c>
      <c r="C1631" s="11">
        <f ca="1">B1631*Reference!$C$7*(1-IF(MONTH($A1631)=Reference!$C$6,1,0)*Reference!$C$12)</f>
        <v>142848</v>
      </c>
      <c r="D1631" s="10">
        <f ca="1">ROUND(_xlfn.NORM.INV(RAND(),Reference!$D$8,0.1*Reference!$D$8)*(1+Reference!$D$11*(IF(MONTH($A1631)=Reference!$D$4,1,0)+IF(MONTH($A1631)=Reference!$D$5,1,0))+(IF(MONTH($A1631)=Reference!$D$6,Reference!$D$13,0))),0)</f>
        <v>373</v>
      </c>
      <c r="E1631" s="11">
        <f ca="1">D1631*Reference!$D$7*(1-IF(MONTH($A1631)=Reference!$D$6,1,0)*Reference!$D$12)</f>
        <v>279750</v>
      </c>
      <c r="M1631" s="20"/>
      <c r="N1631" s="20"/>
      <c r="O1631" s="19"/>
      <c r="P1631" s="10"/>
      <c r="Q1631" s="10"/>
      <c r="R1631" s="10"/>
      <c r="S1631" s="10"/>
      <c r="T1631" s="10"/>
      <c r="U1631" s="10"/>
      <c r="V1631" s="10"/>
      <c r="W1631" s="10"/>
      <c r="X1631" s="10"/>
      <c r="Y1631" s="10"/>
    </row>
    <row r="1632" spans="1:25" x14ac:dyDescent="0.25">
      <c r="A1632" s="9">
        <v>42170</v>
      </c>
      <c r="B1632" s="10">
        <f ca="1">ROUND(_xlfn.NORM.INV(RAND(),Reference!$C$8,0.1*Reference!$C$8)*(1+Reference!$C$11*(IF(MONTH($A1632)=Reference!$C$4,1,0)+IF(MONTH($A1632)=Reference!$C$5,1,0))+(IF(MONTH($A1632)=Reference!$C$6,Reference!$C$13,0))),0)</f>
        <v>483</v>
      </c>
      <c r="C1632" s="11">
        <f ca="1">B1632*Reference!$C$7*(1-IF(MONTH($A1632)=Reference!$C$6,1,0)*Reference!$C$12)</f>
        <v>179676</v>
      </c>
      <c r="D1632" s="10">
        <f ca="1">ROUND(_xlfn.NORM.INV(RAND(),Reference!$D$8,0.1*Reference!$D$8)*(1+Reference!$D$11*(IF(MONTH($A1632)=Reference!$D$4,1,0)+IF(MONTH($A1632)=Reference!$D$5,1,0))+(IF(MONTH($A1632)=Reference!$D$6,Reference!$D$13,0))),0)</f>
        <v>502</v>
      </c>
      <c r="E1632" s="11">
        <f ca="1">D1632*Reference!$D$7*(1-IF(MONTH($A1632)=Reference!$D$6,1,0)*Reference!$D$12)</f>
        <v>376500</v>
      </c>
      <c r="M1632" s="20"/>
      <c r="N1632" s="20"/>
      <c r="O1632" s="19"/>
      <c r="P1632" s="10"/>
      <c r="Q1632" s="10"/>
      <c r="R1632" s="10"/>
      <c r="S1632" s="10"/>
      <c r="T1632" s="10"/>
      <c r="U1632" s="10"/>
      <c r="V1632" s="10"/>
      <c r="W1632" s="10"/>
      <c r="X1632" s="10"/>
      <c r="Y1632" s="10"/>
    </row>
    <row r="1633" spans="1:25" x14ac:dyDescent="0.25">
      <c r="A1633" s="9">
        <v>42171</v>
      </c>
      <c r="B1633" s="10">
        <f ca="1">ROUND(_xlfn.NORM.INV(RAND(),Reference!$C$8,0.1*Reference!$C$8)*(1+Reference!$C$11*(IF(MONTH($A1633)=Reference!$C$4,1,0)+IF(MONTH($A1633)=Reference!$C$5,1,0))+(IF(MONTH($A1633)=Reference!$C$6,Reference!$C$13,0))),0)</f>
        <v>468</v>
      </c>
      <c r="C1633" s="11">
        <f ca="1">B1633*Reference!$C$7*(1-IF(MONTH($A1633)=Reference!$C$6,1,0)*Reference!$C$12)</f>
        <v>174096</v>
      </c>
      <c r="D1633" s="10">
        <f ca="1">ROUND(_xlfn.NORM.INV(RAND(),Reference!$D$8,0.1*Reference!$D$8)*(1+Reference!$D$11*(IF(MONTH($A1633)=Reference!$D$4,1,0)+IF(MONTH($A1633)=Reference!$D$5,1,0))+(IF(MONTH($A1633)=Reference!$D$6,Reference!$D$13,0))),0)</f>
        <v>456</v>
      </c>
      <c r="E1633" s="11">
        <f ca="1">D1633*Reference!$D$7*(1-IF(MONTH($A1633)=Reference!$D$6,1,0)*Reference!$D$12)</f>
        <v>342000</v>
      </c>
      <c r="M1633" s="20"/>
      <c r="N1633" s="20"/>
      <c r="O1633" s="19"/>
      <c r="P1633" s="10"/>
      <c r="Q1633" s="10"/>
      <c r="R1633" s="10"/>
      <c r="S1633" s="10"/>
      <c r="T1633" s="10"/>
      <c r="U1633" s="10"/>
      <c r="V1633" s="10"/>
      <c r="W1633" s="10"/>
      <c r="X1633" s="10"/>
      <c r="Y1633" s="10"/>
    </row>
    <row r="1634" spans="1:25" x14ac:dyDescent="0.25">
      <c r="A1634" s="9">
        <v>42172</v>
      </c>
      <c r="B1634" s="10">
        <f ca="1">ROUND(_xlfn.NORM.INV(RAND(),Reference!$C$8,0.1*Reference!$C$8)*(1+Reference!$C$11*(IF(MONTH($A1634)=Reference!$C$4,1,0)+IF(MONTH($A1634)=Reference!$C$5,1,0))+(IF(MONTH($A1634)=Reference!$C$6,Reference!$C$13,0))),0)</f>
        <v>421</v>
      </c>
      <c r="C1634" s="11">
        <f ca="1">B1634*Reference!$C$7*(1-IF(MONTH($A1634)=Reference!$C$6,1,0)*Reference!$C$12)</f>
        <v>156612</v>
      </c>
      <c r="D1634" s="10">
        <f ca="1">ROUND(_xlfn.NORM.INV(RAND(),Reference!$D$8,0.1*Reference!$D$8)*(1+Reference!$D$11*(IF(MONTH($A1634)=Reference!$D$4,1,0)+IF(MONTH($A1634)=Reference!$D$5,1,0))+(IF(MONTH($A1634)=Reference!$D$6,Reference!$D$13,0))),0)</f>
        <v>430</v>
      </c>
      <c r="E1634" s="11">
        <f ca="1">D1634*Reference!$D$7*(1-IF(MONTH($A1634)=Reference!$D$6,1,0)*Reference!$D$12)</f>
        <v>322500</v>
      </c>
      <c r="M1634" s="20"/>
      <c r="N1634" s="20"/>
      <c r="O1634" s="19"/>
      <c r="P1634" s="10"/>
      <c r="Q1634" s="10"/>
      <c r="R1634" s="10"/>
      <c r="S1634" s="10"/>
      <c r="T1634" s="10"/>
      <c r="U1634" s="10"/>
      <c r="V1634" s="10"/>
      <c r="W1634" s="10"/>
      <c r="X1634" s="10"/>
      <c r="Y1634" s="10"/>
    </row>
    <row r="1635" spans="1:25" x14ac:dyDescent="0.25">
      <c r="A1635" s="9">
        <v>42173</v>
      </c>
      <c r="B1635" s="10">
        <f ca="1">ROUND(_xlfn.NORM.INV(RAND(),Reference!$C$8,0.1*Reference!$C$8)*(1+Reference!$C$11*(IF(MONTH($A1635)=Reference!$C$4,1,0)+IF(MONTH($A1635)=Reference!$C$5,1,0))+(IF(MONTH($A1635)=Reference!$C$6,Reference!$C$13,0))),0)</f>
        <v>529</v>
      </c>
      <c r="C1635" s="11">
        <f ca="1">B1635*Reference!$C$7*(1-IF(MONTH($A1635)=Reference!$C$6,1,0)*Reference!$C$12)</f>
        <v>196788</v>
      </c>
      <c r="D1635" s="10">
        <f ca="1">ROUND(_xlfn.NORM.INV(RAND(),Reference!$D$8,0.1*Reference!$D$8)*(1+Reference!$D$11*(IF(MONTH($A1635)=Reference!$D$4,1,0)+IF(MONTH($A1635)=Reference!$D$5,1,0))+(IF(MONTH($A1635)=Reference!$D$6,Reference!$D$13,0))),0)</f>
        <v>373</v>
      </c>
      <c r="E1635" s="11">
        <f ca="1">D1635*Reference!$D$7*(1-IF(MONTH($A1635)=Reference!$D$6,1,0)*Reference!$D$12)</f>
        <v>279750</v>
      </c>
      <c r="M1635" s="20"/>
      <c r="N1635" s="20"/>
      <c r="O1635" s="19"/>
      <c r="P1635" s="10"/>
      <c r="Q1635" s="10"/>
      <c r="R1635" s="10"/>
      <c r="S1635" s="10"/>
      <c r="T1635" s="10"/>
      <c r="U1635" s="10"/>
      <c r="V1635" s="10"/>
      <c r="W1635" s="10"/>
      <c r="X1635" s="10"/>
      <c r="Y1635" s="10"/>
    </row>
    <row r="1636" spans="1:25" x14ac:dyDescent="0.25">
      <c r="A1636" s="9">
        <v>42174</v>
      </c>
      <c r="B1636" s="10">
        <f ca="1">ROUND(_xlfn.NORM.INV(RAND(),Reference!$C$8,0.1*Reference!$C$8)*(1+Reference!$C$11*(IF(MONTH($A1636)=Reference!$C$4,1,0)+IF(MONTH($A1636)=Reference!$C$5,1,0))+(IF(MONTH($A1636)=Reference!$C$6,Reference!$C$13,0))),0)</f>
        <v>506</v>
      </c>
      <c r="C1636" s="11">
        <f ca="1">B1636*Reference!$C$7*(1-IF(MONTH($A1636)=Reference!$C$6,1,0)*Reference!$C$12)</f>
        <v>188232</v>
      </c>
      <c r="D1636" s="10">
        <f ca="1">ROUND(_xlfn.NORM.INV(RAND(),Reference!$D$8,0.1*Reference!$D$8)*(1+Reference!$D$11*(IF(MONTH($A1636)=Reference!$D$4,1,0)+IF(MONTH($A1636)=Reference!$D$5,1,0))+(IF(MONTH($A1636)=Reference!$D$6,Reference!$D$13,0))),0)</f>
        <v>467</v>
      </c>
      <c r="E1636" s="11">
        <f ca="1">D1636*Reference!$D$7*(1-IF(MONTH($A1636)=Reference!$D$6,1,0)*Reference!$D$12)</f>
        <v>350250</v>
      </c>
      <c r="M1636" s="20"/>
      <c r="N1636" s="20"/>
      <c r="O1636" s="19"/>
      <c r="P1636" s="10"/>
      <c r="Q1636" s="10"/>
      <c r="R1636" s="10"/>
      <c r="S1636" s="10"/>
      <c r="T1636" s="10"/>
      <c r="U1636" s="10"/>
      <c r="V1636" s="10"/>
      <c r="W1636" s="10"/>
      <c r="X1636" s="10"/>
      <c r="Y1636" s="10"/>
    </row>
    <row r="1637" spans="1:25" x14ac:dyDescent="0.25">
      <c r="A1637" s="9">
        <v>42175</v>
      </c>
      <c r="B1637" s="10">
        <f ca="1">ROUND(_xlfn.NORM.INV(RAND(),Reference!$C$8,0.1*Reference!$C$8)*(1+Reference!$C$11*(IF(MONTH($A1637)=Reference!$C$4,1,0)+IF(MONTH($A1637)=Reference!$C$5,1,0))+(IF(MONTH($A1637)=Reference!$C$6,Reference!$C$13,0))),0)</f>
        <v>538</v>
      </c>
      <c r="C1637" s="11">
        <f ca="1">B1637*Reference!$C$7*(1-IF(MONTH($A1637)=Reference!$C$6,1,0)*Reference!$C$12)</f>
        <v>200136</v>
      </c>
      <c r="D1637" s="10">
        <f ca="1">ROUND(_xlfn.NORM.INV(RAND(),Reference!$D$8,0.1*Reference!$D$8)*(1+Reference!$D$11*(IF(MONTH($A1637)=Reference!$D$4,1,0)+IF(MONTH($A1637)=Reference!$D$5,1,0))+(IF(MONTH($A1637)=Reference!$D$6,Reference!$D$13,0))),0)</f>
        <v>478</v>
      </c>
      <c r="E1637" s="11">
        <f ca="1">D1637*Reference!$D$7*(1-IF(MONTH($A1637)=Reference!$D$6,1,0)*Reference!$D$12)</f>
        <v>358500</v>
      </c>
      <c r="M1637" s="20"/>
      <c r="N1637" s="20"/>
      <c r="O1637" s="19"/>
      <c r="P1637" s="10"/>
      <c r="Q1637" s="10"/>
      <c r="R1637" s="10"/>
      <c r="S1637" s="10"/>
      <c r="T1637" s="10"/>
      <c r="U1637" s="10"/>
      <c r="V1637" s="10"/>
      <c r="W1637" s="10"/>
      <c r="X1637" s="10"/>
      <c r="Y1637" s="10"/>
    </row>
    <row r="1638" spans="1:25" x14ac:dyDescent="0.25">
      <c r="A1638" s="9">
        <v>42176</v>
      </c>
      <c r="B1638" s="10">
        <f ca="1">ROUND(_xlfn.NORM.INV(RAND(),Reference!$C$8,0.1*Reference!$C$8)*(1+Reference!$C$11*(IF(MONTH($A1638)=Reference!$C$4,1,0)+IF(MONTH($A1638)=Reference!$C$5,1,0))+(IF(MONTH($A1638)=Reference!$C$6,Reference!$C$13,0))),0)</f>
        <v>479</v>
      </c>
      <c r="C1638" s="11">
        <f ca="1">B1638*Reference!$C$7*(1-IF(MONTH($A1638)=Reference!$C$6,1,0)*Reference!$C$12)</f>
        <v>178188</v>
      </c>
      <c r="D1638" s="10">
        <f ca="1">ROUND(_xlfn.NORM.INV(RAND(),Reference!$D$8,0.1*Reference!$D$8)*(1+Reference!$D$11*(IF(MONTH($A1638)=Reference!$D$4,1,0)+IF(MONTH($A1638)=Reference!$D$5,1,0))+(IF(MONTH($A1638)=Reference!$D$6,Reference!$D$13,0))),0)</f>
        <v>447</v>
      </c>
      <c r="E1638" s="11">
        <f ca="1">D1638*Reference!$D$7*(1-IF(MONTH($A1638)=Reference!$D$6,1,0)*Reference!$D$12)</f>
        <v>335250</v>
      </c>
      <c r="M1638" s="20"/>
      <c r="N1638" s="20"/>
      <c r="O1638" s="19"/>
      <c r="P1638" s="10"/>
      <c r="Q1638" s="10"/>
      <c r="R1638" s="10"/>
      <c r="S1638" s="10"/>
      <c r="T1638" s="10"/>
      <c r="U1638" s="10"/>
      <c r="V1638" s="10"/>
      <c r="W1638" s="10"/>
      <c r="X1638" s="10"/>
      <c r="Y1638" s="10"/>
    </row>
    <row r="1639" spans="1:25" x14ac:dyDescent="0.25">
      <c r="A1639" s="9">
        <v>42177</v>
      </c>
      <c r="B1639" s="10">
        <f ca="1">ROUND(_xlfn.NORM.INV(RAND(),Reference!$C$8,0.1*Reference!$C$8)*(1+Reference!$C$11*(IF(MONTH($A1639)=Reference!$C$4,1,0)+IF(MONTH($A1639)=Reference!$C$5,1,0))+(IF(MONTH($A1639)=Reference!$C$6,Reference!$C$13,0))),0)</f>
        <v>455</v>
      </c>
      <c r="C1639" s="11">
        <f ca="1">B1639*Reference!$C$7*(1-IF(MONTH($A1639)=Reference!$C$6,1,0)*Reference!$C$12)</f>
        <v>169260</v>
      </c>
      <c r="D1639" s="10">
        <f ca="1">ROUND(_xlfn.NORM.INV(RAND(),Reference!$D$8,0.1*Reference!$D$8)*(1+Reference!$D$11*(IF(MONTH($A1639)=Reference!$D$4,1,0)+IF(MONTH($A1639)=Reference!$D$5,1,0))+(IF(MONTH($A1639)=Reference!$D$6,Reference!$D$13,0))),0)</f>
        <v>484</v>
      </c>
      <c r="E1639" s="11">
        <f ca="1">D1639*Reference!$D$7*(1-IF(MONTH($A1639)=Reference!$D$6,1,0)*Reference!$D$12)</f>
        <v>363000</v>
      </c>
      <c r="M1639" s="20"/>
      <c r="N1639" s="20"/>
      <c r="O1639" s="19"/>
      <c r="P1639" s="10"/>
      <c r="Q1639" s="10"/>
      <c r="R1639" s="10"/>
      <c r="S1639" s="10"/>
      <c r="T1639" s="10"/>
      <c r="U1639" s="10"/>
      <c r="V1639" s="10"/>
      <c r="W1639" s="10"/>
      <c r="X1639" s="10"/>
      <c r="Y1639" s="10"/>
    </row>
    <row r="1640" spans="1:25" x14ac:dyDescent="0.25">
      <c r="A1640" s="9">
        <v>42178</v>
      </c>
      <c r="B1640" s="10">
        <f ca="1">ROUND(_xlfn.NORM.INV(RAND(),Reference!$C$8,0.1*Reference!$C$8)*(1+Reference!$C$11*(IF(MONTH($A1640)=Reference!$C$4,1,0)+IF(MONTH($A1640)=Reference!$C$5,1,0))+(IF(MONTH($A1640)=Reference!$C$6,Reference!$C$13,0))),0)</f>
        <v>410</v>
      </c>
      <c r="C1640" s="11">
        <f ca="1">B1640*Reference!$C$7*(1-IF(MONTH($A1640)=Reference!$C$6,1,0)*Reference!$C$12)</f>
        <v>152520</v>
      </c>
      <c r="D1640" s="10">
        <f ca="1">ROUND(_xlfn.NORM.INV(RAND(),Reference!$D$8,0.1*Reference!$D$8)*(1+Reference!$D$11*(IF(MONTH($A1640)=Reference!$D$4,1,0)+IF(MONTH($A1640)=Reference!$D$5,1,0))+(IF(MONTH($A1640)=Reference!$D$6,Reference!$D$13,0))),0)</f>
        <v>452</v>
      </c>
      <c r="E1640" s="11">
        <f ca="1">D1640*Reference!$D$7*(1-IF(MONTH($A1640)=Reference!$D$6,1,0)*Reference!$D$12)</f>
        <v>339000</v>
      </c>
      <c r="M1640" s="20"/>
      <c r="N1640" s="20"/>
      <c r="O1640" s="19"/>
      <c r="P1640" s="10"/>
      <c r="Q1640" s="10"/>
      <c r="R1640" s="10"/>
      <c r="S1640" s="10"/>
      <c r="T1640" s="10"/>
      <c r="U1640" s="10"/>
      <c r="V1640" s="10"/>
      <c r="W1640" s="10"/>
      <c r="X1640" s="10"/>
      <c r="Y1640" s="10"/>
    </row>
    <row r="1641" spans="1:25" x14ac:dyDescent="0.25">
      <c r="A1641" s="9">
        <v>42179</v>
      </c>
      <c r="B1641" s="10">
        <f ca="1">ROUND(_xlfn.NORM.INV(RAND(),Reference!$C$8,0.1*Reference!$C$8)*(1+Reference!$C$11*(IF(MONTH($A1641)=Reference!$C$4,1,0)+IF(MONTH($A1641)=Reference!$C$5,1,0))+(IF(MONTH($A1641)=Reference!$C$6,Reference!$C$13,0))),0)</f>
        <v>443</v>
      </c>
      <c r="C1641" s="11">
        <f ca="1">B1641*Reference!$C$7*(1-IF(MONTH($A1641)=Reference!$C$6,1,0)*Reference!$C$12)</f>
        <v>164796</v>
      </c>
      <c r="D1641" s="10">
        <f ca="1">ROUND(_xlfn.NORM.INV(RAND(),Reference!$D$8,0.1*Reference!$D$8)*(1+Reference!$D$11*(IF(MONTH($A1641)=Reference!$D$4,1,0)+IF(MONTH($A1641)=Reference!$D$5,1,0))+(IF(MONTH($A1641)=Reference!$D$6,Reference!$D$13,0))),0)</f>
        <v>465</v>
      </c>
      <c r="E1641" s="11">
        <f ca="1">D1641*Reference!$D$7*(1-IF(MONTH($A1641)=Reference!$D$6,1,0)*Reference!$D$12)</f>
        <v>348750</v>
      </c>
      <c r="M1641" s="20"/>
      <c r="N1641" s="20"/>
      <c r="O1641" s="19"/>
      <c r="P1641" s="10"/>
      <c r="Q1641" s="10"/>
      <c r="R1641" s="10"/>
      <c r="S1641" s="10"/>
      <c r="T1641" s="10"/>
      <c r="U1641" s="10"/>
      <c r="V1641" s="10"/>
      <c r="W1641" s="10"/>
      <c r="X1641" s="10"/>
      <c r="Y1641" s="10"/>
    </row>
    <row r="1642" spans="1:25" x14ac:dyDescent="0.25">
      <c r="A1642" s="9">
        <v>42180</v>
      </c>
      <c r="B1642" s="10">
        <f ca="1">ROUND(_xlfn.NORM.INV(RAND(),Reference!$C$8,0.1*Reference!$C$8)*(1+Reference!$C$11*(IF(MONTH($A1642)=Reference!$C$4,1,0)+IF(MONTH($A1642)=Reference!$C$5,1,0))+(IF(MONTH($A1642)=Reference!$C$6,Reference!$C$13,0))),0)</f>
        <v>440</v>
      </c>
      <c r="C1642" s="11">
        <f ca="1">B1642*Reference!$C$7*(1-IF(MONTH($A1642)=Reference!$C$6,1,0)*Reference!$C$12)</f>
        <v>163680</v>
      </c>
      <c r="D1642" s="10">
        <f ca="1">ROUND(_xlfn.NORM.INV(RAND(),Reference!$D$8,0.1*Reference!$D$8)*(1+Reference!$D$11*(IF(MONTH($A1642)=Reference!$D$4,1,0)+IF(MONTH($A1642)=Reference!$D$5,1,0))+(IF(MONTH($A1642)=Reference!$D$6,Reference!$D$13,0))),0)</f>
        <v>440</v>
      </c>
      <c r="E1642" s="11">
        <f ca="1">D1642*Reference!$D$7*(1-IF(MONTH($A1642)=Reference!$D$6,1,0)*Reference!$D$12)</f>
        <v>330000</v>
      </c>
      <c r="M1642" s="20"/>
      <c r="N1642" s="20"/>
      <c r="O1642" s="19"/>
      <c r="P1642" s="10"/>
      <c r="Q1642" s="10"/>
      <c r="R1642" s="10"/>
      <c r="S1642" s="10"/>
      <c r="T1642" s="10"/>
      <c r="U1642" s="10"/>
      <c r="V1642" s="10"/>
      <c r="W1642" s="10"/>
      <c r="X1642" s="10"/>
      <c r="Y1642" s="10"/>
    </row>
    <row r="1643" spans="1:25" x14ac:dyDescent="0.25">
      <c r="A1643" s="9">
        <v>42181</v>
      </c>
      <c r="B1643" s="10">
        <f ca="1">ROUND(_xlfn.NORM.INV(RAND(),Reference!$C$8,0.1*Reference!$C$8)*(1+Reference!$C$11*(IF(MONTH($A1643)=Reference!$C$4,1,0)+IF(MONTH($A1643)=Reference!$C$5,1,0))+(IF(MONTH($A1643)=Reference!$C$6,Reference!$C$13,0))),0)</f>
        <v>477</v>
      </c>
      <c r="C1643" s="11">
        <f ca="1">B1643*Reference!$C$7*(1-IF(MONTH($A1643)=Reference!$C$6,1,0)*Reference!$C$12)</f>
        <v>177444</v>
      </c>
      <c r="D1643" s="10">
        <f ca="1">ROUND(_xlfn.NORM.INV(RAND(),Reference!$D$8,0.1*Reference!$D$8)*(1+Reference!$D$11*(IF(MONTH($A1643)=Reference!$D$4,1,0)+IF(MONTH($A1643)=Reference!$D$5,1,0))+(IF(MONTH($A1643)=Reference!$D$6,Reference!$D$13,0))),0)</f>
        <v>473</v>
      </c>
      <c r="E1643" s="11">
        <f ca="1">D1643*Reference!$D$7*(1-IF(MONTH($A1643)=Reference!$D$6,1,0)*Reference!$D$12)</f>
        <v>354750</v>
      </c>
      <c r="M1643" s="20"/>
      <c r="N1643" s="20"/>
      <c r="O1643" s="19"/>
      <c r="P1643" s="10"/>
      <c r="Q1643" s="10"/>
      <c r="R1643" s="10"/>
      <c r="S1643" s="10"/>
      <c r="T1643" s="10"/>
      <c r="U1643" s="10"/>
      <c r="V1643" s="10"/>
      <c r="W1643" s="10"/>
      <c r="X1643" s="10"/>
      <c r="Y1643" s="10"/>
    </row>
    <row r="1644" spans="1:25" x14ac:dyDescent="0.25">
      <c r="A1644" s="9">
        <v>42182</v>
      </c>
      <c r="B1644" s="10">
        <f ca="1">ROUND(_xlfn.NORM.INV(RAND(),Reference!$C$8,0.1*Reference!$C$8)*(1+Reference!$C$11*(IF(MONTH($A1644)=Reference!$C$4,1,0)+IF(MONTH($A1644)=Reference!$C$5,1,0))+(IF(MONTH($A1644)=Reference!$C$6,Reference!$C$13,0))),0)</f>
        <v>395</v>
      </c>
      <c r="C1644" s="11">
        <f ca="1">B1644*Reference!$C$7*(1-IF(MONTH($A1644)=Reference!$C$6,1,0)*Reference!$C$12)</f>
        <v>146940</v>
      </c>
      <c r="D1644" s="10">
        <f ca="1">ROUND(_xlfn.NORM.INV(RAND(),Reference!$D$8,0.1*Reference!$D$8)*(1+Reference!$D$11*(IF(MONTH($A1644)=Reference!$D$4,1,0)+IF(MONTH($A1644)=Reference!$D$5,1,0))+(IF(MONTH($A1644)=Reference!$D$6,Reference!$D$13,0))),0)</f>
        <v>458</v>
      </c>
      <c r="E1644" s="11">
        <f ca="1">D1644*Reference!$D$7*(1-IF(MONTH($A1644)=Reference!$D$6,1,0)*Reference!$D$12)</f>
        <v>343500</v>
      </c>
      <c r="M1644" s="20"/>
      <c r="N1644" s="20"/>
      <c r="O1644" s="19"/>
      <c r="P1644" s="10"/>
      <c r="Q1644" s="10"/>
      <c r="R1644" s="10"/>
      <c r="S1644" s="10"/>
      <c r="T1644" s="10"/>
      <c r="U1644" s="10"/>
      <c r="V1644" s="10"/>
      <c r="W1644" s="10"/>
      <c r="X1644" s="10"/>
      <c r="Y1644" s="10"/>
    </row>
    <row r="1645" spans="1:25" x14ac:dyDescent="0.25">
      <c r="A1645" s="9">
        <v>42183</v>
      </c>
      <c r="B1645" s="10">
        <f ca="1">ROUND(_xlfn.NORM.INV(RAND(),Reference!$C$8,0.1*Reference!$C$8)*(1+Reference!$C$11*(IF(MONTH($A1645)=Reference!$C$4,1,0)+IF(MONTH($A1645)=Reference!$C$5,1,0))+(IF(MONTH($A1645)=Reference!$C$6,Reference!$C$13,0))),0)</f>
        <v>491</v>
      </c>
      <c r="C1645" s="11">
        <f ca="1">B1645*Reference!$C$7*(1-IF(MONTH($A1645)=Reference!$C$6,1,0)*Reference!$C$12)</f>
        <v>182652</v>
      </c>
      <c r="D1645" s="10">
        <f ca="1">ROUND(_xlfn.NORM.INV(RAND(),Reference!$D$8,0.1*Reference!$D$8)*(1+Reference!$D$11*(IF(MONTH($A1645)=Reference!$D$4,1,0)+IF(MONTH($A1645)=Reference!$D$5,1,0))+(IF(MONTH($A1645)=Reference!$D$6,Reference!$D$13,0))),0)</f>
        <v>424</v>
      </c>
      <c r="E1645" s="11">
        <f ca="1">D1645*Reference!$D$7*(1-IF(MONTH($A1645)=Reference!$D$6,1,0)*Reference!$D$12)</f>
        <v>318000</v>
      </c>
      <c r="M1645" s="20"/>
      <c r="N1645" s="20"/>
      <c r="O1645" s="19"/>
      <c r="P1645" s="10"/>
      <c r="Q1645" s="10"/>
      <c r="R1645" s="10"/>
      <c r="S1645" s="10"/>
      <c r="T1645" s="10"/>
      <c r="U1645" s="10"/>
      <c r="V1645" s="10"/>
      <c r="W1645" s="10"/>
      <c r="X1645" s="10"/>
      <c r="Y1645" s="10"/>
    </row>
    <row r="1646" spans="1:25" x14ac:dyDescent="0.25">
      <c r="A1646" s="9">
        <v>42184</v>
      </c>
      <c r="B1646" s="10">
        <f ca="1">ROUND(_xlfn.NORM.INV(RAND(),Reference!$C$8,0.1*Reference!$C$8)*(1+Reference!$C$11*(IF(MONTH($A1646)=Reference!$C$4,1,0)+IF(MONTH($A1646)=Reference!$C$5,1,0))+(IF(MONTH($A1646)=Reference!$C$6,Reference!$C$13,0))),0)</f>
        <v>403</v>
      </c>
      <c r="C1646" s="11">
        <f ca="1">B1646*Reference!$C$7*(1-IF(MONTH($A1646)=Reference!$C$6,1,0)*Reference!$C$12)</f>
        <v>149916</v>
      </c>
      <c r="D1646" s="10">
        <f ca="1">ROUND(_xlfn.NORM.INV(RAND(),Reference!$D$8,0.1*Reference!$D$8)*(1+Reference!$D$11*(IF(MONTH($A1646)=Reference!$D$4,1,0)+IF(MONTH($A1646)=Reference!$D$5,1,0))+(IF(MONTH($A1646)=Reference!$D$6,Reference!$D$13,0))),0)</f>
        <v>471</v>
      </c>
      <c r="E1646" s="11">
        <f ca="1">D1646*Reference!$D$7*(1-IF(MONTH($A1646)=Reference!$D$6,1,0)*Reference!$D$12)</f>
        <v>353250</v>
      </c>
      <c r="M1646" s="20"/>
      <c r="N1646" s="20"/>
      <c r="O1646" s="19"/>
      <c r="P1646" s="10"/>
      <c r="Q1646" s="10"/>
      <c r="R1646" s="10"/>
      <c r="S1646" s="10"/>
      <c r="T1646" s="10"/>
      <c r="U1646" s="10"/>
      <c r="V1646" s="10"/>
      <c r="W1646" s="10"/>
      <c r="X1646" s="10"/>
      <c r="Y1646" s="10"/>
    </row>
    <row r="1647" spans="1:25" x14ac:dyDescent="0.25">
      <c r="A1647" s="9">
        <v>42185</v>
      </c>
      <c r="B1647" s="10">
        <f ca="1">ROUND(_xlfn.NORM.INV(RAND(),Reference!$C$8,0.1*Reference!$C$8)*(1+Reference!$C$11*(IF(MONTH($A1647)=Reference!$C$4,1,0)+IF(MONTH($A1647)=Reference!$C$5,1,0))+(IF(MONTH($A1647)=Reference!$C$6,Reference!$C$13,0))),0)</f>
        <v>516</v>
      </c>
      <c r="C1647" s="11">
        <f ca="1">B1647*Reference!$C$7*(1-IF(MONTH($A1647)=Reference!$C$6,1,0)*Reference!$C$12)</f>
        <v>191952</v>
      </c>
      <c r="D1647" s="10">
        <f ca="1">ROUND(_xlfn.NORM.INV(RAND(),Reference!$D$8,0.1*Reference!$D$8)*(1+Reference!$D$11*(IF(MONTH($A1647)=Reference!$D$4,1,0)+IF(MONTH($A1647)=Reference!$D$5,1,0))+(IF(MONTH($A1647)=Reference!$D$6,Reference!$D$13,0))),0)</f>
        <v>375</v>
      </c>
      <c r="E1647" s="11">
        <f ca="1">D1647*Reference!$D$7*(1-IF(MONTH($A1647)=Reference!$D$6,1,0)*Reference!$D$12)</f>
        <v>281250</v>
      </c>
      <c r="M1647" s="20"/>
      <c r="N1647" s="20"/>
      <c r="O1647" s="19"/>
      <c r="P1647" s="10"/>
      <c r="Q1647" s="10"/>
      <c r="R1647" s="10"/>
      <c r="S1647" s="10"/>
      <c r="T1647" s="10"/>
      <c r="U1647" s="10"/>
      <c r="V1647" s="10"/>
      <c r="W1647" s="10"/>
      <c r="X1647" s="10"/>
      <c r="Y1647" s="10"/>
    </row>
    <row r="1648" spans="1:25" x14ac:dyDescent="0.25">
      <c r="A1648" s="9">
        <v>42186</v>
      </c>
      <c r="B1648" s="10">
        <f ca="1">ROUND(_xlfn.NORM.INV(RAND(),Reference!$C$8,0.1*Reference!$C$8)*(1+Reference!$C$11*(IF(MONTH($A1648)=Reference!$C$4,1,0)+IF(MONTH($A1648)=Reference!$C$5,1,0))+(IF(MONTH($A1648)=Reference!$C$6,Reference!$C$13,0))),0)</f>
        <v>331</v>
      </c>
      <c r="C1648" s="11">
        <f ca="1">B1648*Reference!$C$7*(1-IF(MONTH($A1648)=Reference!$C$6,1,0)*Reference!$C$12)</f>
        <v>307830</v>
      </c>
      <c r="D1648" s="10">
        <f ca="1">ROUND(_xlfn.NORM.INV(RAND(),Reference!$D$8,0.1*Reference!$D$8)*(1+Reference!$D$11*(IF(MONTH($A1648)=Reference!$D$4,1,0)+IF(MONTH($A1648)=Reference!$D$5,1,0))+(IF(MONTH($A1648)=Reference!$D$6,Reference!$D$13,0))),0)</f>
        <v>471</v>
      </c>
      <c r="E1648" s="11">
        <f ca="1">D1648*Reference!$D$7*(1-IF(MONTH($A1648)=Reference!$D$6,1,0)*Reference!$D$12)</f>
        <v>353250</v>
      </c>
      <c r="M1648" s="20"/>
      <c r="N1648" s="20"/>
      <c r="O1648" s="19"/>
      <c r="P1648" s="10"/>
      <c r="Q1648" s="10"/>
      <c r="R1648" s="10"/>
      <c r="S1648" s="10"/>
      <c r="T1648" s="10"/>
      <c r="U1648" s="10"/>
      <c r="V1648" s="10"/>
      <c r="W1648" s="10"/>
      <c r="X1648" s="10"/>
      <c r="Y1648" s="10"/>
    </row>
    <row r="1649" spans="1:25" x14ac:dyDescent="0.25">
      <c r="A1649" s="9">
        <v>42187</v>
      </c>
      <c r="B1649" s="10">
        <f ca="1">ROUND(_xlfn.NORM.INV(RAND(),Reference!$C$8,0.1*Reference!$C$8)*(1+Reference!$C$11*(IF(MONTH($A1649)=Reference!$C$4,1,0)+IF(MONTH($A1649)=Reference!$C$5,1,0))+(IF(MONTH($A1649)=Reference!$C$6,Reference!$C$13,0))),0)</f>
        <v>412</v>
      </c>
      <c r="C1649" s="11">
        <f ca="1">B1649*Reference!$C$7*(1-IF(MONTH($A1649)=Reference!$C$6,1,0)*Reference!$C$12)</f>
        <v>383160</v>
      </c>
      <c r="D1649" s="10">
        <f ca="1">ROUND(_xlfn.NORM.INV(RAND(),Reference!$D$8,0.1*Reference!$D$8)*(1+Reference!$D$11*(IF(MONTH($A1649)=Reference!$D$4,1,0)+IF(MONTH($A1649)=Reference!$D$5,1,0))+(IF(MONTH($A1649)=Reference!$D$6,Reference!$D$13,0))),0)</f>
        <v>547</v>
      </c>
      <c r="E1649" s="11">
        <f ca="1">D1649*Reference!$D$7*(1-IF(MONTH($A1649)=Reference!$D$6,1,0)*Reference!$D$12)</f>
        <v>410250</v>
      </c>
      <c r="M1649" s="20"/>
      <c r="N1649" s="20"/>
      <c r="O1649" s="19"/>
      <c r="P1649" s="10"/>
      <c r="Q1649" s="10"/>
      <c r="R1649" s="10"/>
      <c r="S1649" s="10"/>
      <c r="T1649" s="10"/>
      <c r="U1649" s="10"/>
      <c r="V1649" s="10"/>
      <c r="W1649" s="10"/>
      <c r="X1649" s="10"/>
      <c r="Y1649" s="10"/>
    </row>
    <row r="1650" spans="1:25" x14ac:dyDescent="0.25">
      <c r="A1650" s="9">
        <v>42188</v>
      </c>
      <c r="B1650" s="10">
        <f ca="1">ROUND(_xlfn.NORM.INV(RAND(),Reference!$C$8,0.1*Reference!$C$8)*(1+Reference!$C$11*(IF(MONTH($A1650)=Reference!$C$4,1,0)+IF(MONTH($A1650)=Reference!$C$5,1,0))+(IF(MONTH($A1650)=Reference!$C$6,Reference!$C$13,0))),0)</f>
        <v>361</v>
      </c>
      <c r="C1650" s="11">
        <f ca="1">B1650*Reference!$C$7*(1-IF(MONTH($A1650)=Reference!$C$6,1,0)*Reference!$C$12)</f>
        <v>335730</v>
      </c>
      <c r="D1650" s="10">
        <f ca="1">ROUND(_xlfn.NORM.INV(RAND(),Reference!$D$8,0.1*Reference!$D$8)*(1+Reference!$D$11*(IF(MONTH($A1650)=Reference!$D$4,1,0)+IF(MONTH($A1650)=Reference!$D$5,1,0))+(IF(MONTH($A1650)=Reference!$D$6,Reference!$D$13,0))),0)</f>
        <v>448</v>
      </c>
      <c r="E1650" s="11">
        <f ca="1">D1650*Reference!$D$7*(1-IF(MONTH($A1650)=Reference!$D$6,1,0)*Reference!$D$12)</f>
        <v>336000</v>
      </c>
      <c r="M1650" s="20"/>
      <c r="N1650" s="20"/>
      <c r="O1650" s="19"/>
      <c r="P1650" s="10"/>
      <c r="Q1650" s="10"/>
      <c r="R1650" s="10"/>
      <c r="S1650" s="10"/>
      <c r="T1650" s="10"/>
      <c r="U1650" s="10"/>
      <c r="V1650" s="10"/>
      <c r="W1650" s="10"/>
      <c r="X1650" s="10"/>
      <c r="Y1650" s="10"/>
    </row>
    <row r="1651" spans="1:25" x14ac:dyDescent="0.25">
      <c r="A1651" s="9">
        <v>42189</v>
      </c>
      <c r="B1651" s="10">
        <f ca="1">ROUND(_xlfn.NORM.INV(RAND(),Reference!$C$8,0.1*Reference!$C$8)*(1+Reference!$C$11*(IF(MONTH($A1651)=Reference!$C$4,1,0)+IF(MONTH($A1651)=Reference!$C$5,1,0))+(IF(MONTH($A1651)=Reference!$C$6,Reference!$C$13,0))),0)</f>
        <v>361</v>
      </c>
      <c r="C1651" s="11">
        <f ca="1">B1651*Reference!$C$7*(1-IF(MONTH($A1651)=Reference!$C$6,1,0)*Reference!$C$12)</f>
        <v>335730</v>
      </c>
      <c r="D1651" s="10">
        <f ca="1">ROUND(_xlfn.NORM.INV(RAND(),Reference!$D$8,0.1*Reference!$D$8)*(1+Reference!$D$11*(IF(MONTH($A1651)=Reference!$D$4,1,0)+IF(MONTH($A1651)=Reference!$D$5,1,0))+(IF(MONTH($A1651)=Reference!$D$6,Reference!$D$13,0))),0)</f>
        <v>481</v>
      </c>
      <c r="E1651" s="11">
        <f ca="1">D1651*Reference!$D$7*(1-IF(MONTH($A1651)=Reference!$D$6,1,0)*Reference!$D$12)</f>
        <v>360750</v>
      </c>
      <c r="M1651" s="20"/>
      <c r="N1651" s="20"/>
      <c r="O1651" s="19"/>
      <c r="P1651" s="10"/>
      <c r="Q1651" s="10"/>
      <c r="R1651" s="10"/>
      <c r="S1651" s="10"/>
      <c r="T1651" s="10"/>
      <c r="U1651" s="10"/>
      <c r="V1651" s="10"/>
      <c r="W1651" s="10"/>
      <c r="X1651" s="10"/>
      <c r="Y1651" s="10"/>
    </row>
    <row r="1652" spans="1:25" x14ac:dyDescent="0.25">
      <c r="A1652" s="9">
        <v>42190</v>
      </c>
      <c r="B1652" s="10">
        <f ca="1">ROUND(_xlfn.NORM.INV(RAND(),Reference!$C$8,0.1*Reference!$C$8)*(1+Reference!$C$11*(IF(MONTH($A1652)=Reference!$C$4,1,0)+IF(MONTH($A1652)=Reference!$C$5,1,0))+(IF(MONTH($A1652)=Reference!$C$6,Reference!$C$13,0))),0)</f>
        <v>325</v>
      </c>
      <c r="C1652" s="11">
        <f ca="1">B1652*Reference!$C$7*(1-IF(MONTH($A1652)=Reference!$C$6,1,0)*Reference!$C$12)</f>
        <v>302250</v>
      </c>
      <c r="D1652" s="10">
        <f ca="1">ROUND(_xlfn.NORM.INV(RAND(),Reference!$D$8,0.1*Reference!$D$8)*(1+Reference!$D$11*(IF(MONTH($A1652)=Reference!$D$4,1,0)+IF(MONTH($A1652)=Reference!$D$5,1,0))+(IF(MONTH($A1652)=Reference!$D$6,Reference!$D$13,0))),0)</f>
        <v>446</v>
      </c>
      <c r="E1652" s="11">
        <f ca="1">D1652*Reference!$D$7*(1-IF(MONTH($A1652)=Reference!$D$6,1,0)*Reference!$D$12)</f>
        <v>334500</v>
      </c>
      <c r="M1652" s="20"/>
      <c r="N1652" s="20"/>
      <c r="O1652" s="19"/>
      <c r="P1652" s="10"/>
      <c r="Q1652" s="10"/>
      <c r="R1652" s="10"/>
      <c r="S1652" s="10"/>
      <c r="T1652" s="10"/>
      <c r="U1652" s="10"/>
      <c r="V1652" s="10"/>
      <c r="W1652" s="10"/>
      <c r="X1652" s="10"/>
      <c r="Y1652" s="10"/>
    </row>
    <row r="1653" spans="1:25" x14ac:dyDescent="0.25">
      <c r="A1653" s="9">
        <v>42191</v>
      </c>
      <c r="B1653" s="10">
        <f ca="1">ROUND(_xlfn.NORM.INV(RAND(),Reference!$C$8,0.1*Reference!$C$8)*(1+Reference!$C$11*(IF(MONTH($A1653)=Reference!$C$4,1,0)+IF(MONTH($A1653)=Reference!$C$5,1,0))+(IF(MONTH($A1653)=Reference!$C$6,Reference!$C$13,0))),0)</f>
        <v>296</v>
      </c>
      <c r="C1653" s="11">
        <f ca="1">B1653*Reference!$C$7*(1-IF(MONTH($A1653)=Reference!$C$6,1,0)*Reference!$C$12)</f>
        <v>275280</v>
      </c>
      <c r="D1653" s="10">
        <f ca="1">ROUND(_xlfn.NORM.INV(RAND(),Reference!$D$8,0.1*Reference!$D$8)*(1+Reference!$D$11*(IF(MONTH($A1653)=Reference!$D$4,1,0)+IF(MONTH($A1653)=Reference!$D$5,1,0))+(IF(MONTH($A1653)=Reference!$D$6,Reference!$D$13,0))),0)</f>
        <v>542</v>
      </c>
      <c r="E1653" s="11">
        <f ca="1">D1653*Reference!$D$7*(1-IF(MONTH($A1653)=Reference!$D$6,1,0)*Reference!$D$12)</f>
        <v>406500</v>
      </c>
      <c r="M1653" s="20"/>
      <c r="N1653" s="20"/>
      <c r="O1653" s="19"/>
      <c r="P1653" s="10"/>
      <c r="Q1653" s="10"/>
      <c r="R1653" s="10"/>
      <c r="S1653" s="10"/>
      <c r="T1653" s="10"/>
      <c r="U1653" s="10"/>
      <c r="V1653" s="10"/>
      <c r="W1653" s="10"/>
      <c r="X1653" s="10"/>
      <c r="Y1653" s="10"/>
    </row>
    <row r="1654" spans="1:25" x14ac:dyDescent="0.25">
      <c r="A1654" s="9">
        <v>42192</v>
      </c>
      <c r="B1654" s="10">
        <f ca="1">ROUND(_xlfn.NORM.INV(RAND(),Reference!$C$8,0.1*Reference!$C$8)*(1+Reference!$C$11*(IF(MONTH($A1654)=Reference!$C$4,1,0)+IF(MONTH($A1654)=Reference!$C$5,1,0))+(IF(MONTH($A1654)=Reference!$C$6,Reference!$C$13,0))),0)</f>
        <v>363</v>
      </c>
      <c r="C1654" s="11">
        <f ca="1">B1654*Reference!$C$7*(1-IF(MONTH($A1654)=Reference!$C$6,1,0)*Reference!$C$12)</f>
        <v>337590</v>
      </c>
      <c r="D1654" s="10">
        <f ca="1">ROUND(_xlfn.NORM.INV(RAND(),Reference!$D$8,0.1*Reference!$D$8)*(1+Reference!$D$11*(IF(MONTH($A1654)=Reference!$D$4,1,0)+IF(MONTH($A1654)=Reference!$D$5,1,0))+(IF(MONTH($A1654)=Reference!$D$6,Reference!$D$13,0))),0)</f>
        <v>504</v>
      </c>
      <c r="E1654" s="11">
        <f ca="1">D1654*Reference!$D$7*(1-IF(MONTH($A1654)=Reference!$D$6,1,0)*Reference!$D$12)</f>
        <v>378000</v>
      </c>
      <c r="M1654" s="20"/>
      <c r="N1654" s="20"/>
      <c r="O1654" s="19"/>
      <c r="P1654" s="10"/>
      <c r="Q1654" s="10"/>
      <c r="R1654" s="10"/>
      <c r="S1654" s="10"/>
      <c r="T1654" s="10"/>
      <c r="U1654" s="10"/>
      <c r="V1654" s="10"/>
      <c r="W1654" s="10"/>
      <c r="X1654" s="10"/>
      <c r="Y1654" s="10"/>
    </row>
    <row r="1655" spans="1:25" x14ac:dyDescent="0.25">
      <c r="A1655" s="9">
        <v>42193</v>
      </c>
      <c r="B1655" s="10">
        <f ca="1">ROUND(_xlfn.NORM.INV(RAND(),Reference!$C$8,0.1*Reference!$C$8)*(1+Reference!$C$11*(IF(MONTH($A1655)=Reference!$C$4,1,0)+IF(MONTH($A1655)=Reference!$C$5,1,0))+(IF(MONTH($A1655)=Reference!$C$6,Reference!$C$13,0))),0)</f>
        <v>292</v>
      </c>
      <c r="C1655" s="11">
        <f ca="1">B1655*Reference!$C$7*(1-IF(MONTH($A1655)=Reference!$C$6,1,0)*Reference!$C$12)</f>
        <v>271560</v>
      </c>
      <c r="D1655" s="10">
        <f ca="1">ROUND(_xlfn.NORM.INV(RAND(),Reference!$D$8,0.1*Reference!$D$8)*(1+Reference!$D$11*(IF(MONTH($A1655)=Reference!$D$4,1,0)+IF(MONTH($A1655)=Reference!$D$5,1,0))+(IF(MONTH($A1655)=Reference!$D$6,Reference!$D$13,0))),0)</f>
        <v>462</v>
      </c>
      <c r="E1655" s="11">
        <f ca="1">D1655*Reference!$D$7*(1-IF(MONTH($A1655)=Reference!$D$6,1,0)*Reference!$D$12)</f>
        <v>346500</v>
      </c>
      <c r="M1655" s="20"/>
      <c r="N1655" s="20"/>
      <c r="O1655" s="19"/>
      <c r="P1655" s="10"/>
      <c r="Q1655" s="10"/>
      <c r="R1655" s="10"/>
      <c r="S1655" s="10"/>
      <c r="T1655" s="10"/>
      <c r="U1655" s="10"/>
      <c r="V1655" s="10"/>
      <c r="W1655" s="10"/>
      <c r="X1655" s="10"/>
      <c r="Y1655" s="10"/>
    </row>
    <row r="1656" spans="1:25" x14ac:dyDescent="0.25">
      <c r="A1656" s="9">
        <v>42194</v>
      </c>
      <c r="B1656" s="10">
        <f ca="1">ROUND(_xlfn.NORM.INV(RAND(),Reference!$C$8,0.1*Reference!$C$8)*(1+Reference!$C$11*(IF(MONTH($A1656)=Reference!$C$4,1,0)+IF(MONTH($A1656)=Reference!$C$5,1,0))+(IF(MONTH($A1656)=Reference!$C$6,Reference!$C$13,0))),0)</f>
        <v>344</v>
      </c>
      <c r="C1656" s="11">
        <f ca="1">B1656*Reference!$C$7*(1-IF(MONTH($A1656)=Reference!$C$6,1,0)*Reference!$C$12)</f>
        <v>319920</v>
      </c>
      <c r="D1656" s="10">
        <f ca="1">ROUND(_xlfn.NORM.INV(RAND(),Reference!$D$8,0.1*Reference!$D$8)*(1+Reference!$D$11*(IF(MONTH($A1656)=Reference!$D$4,1,0)+IF(MONTH($A1656)=Reference!$D$5,1,0))+(IF(MONTH($A1656)=Reference!$D$6,Reference!$D$13,0))),0)</f>
        <v>414</v>
      </c>
      <c r="E1656" s="11">
        <f ca="1">D1656*Reference!$D$7*(1-IF(MONTH($A1656)=Reference!$D$6,1,0)*Reference!$D$12)</f>
        <v>310500</v>
      </c>
      <c r="M1656" s="20"/>
      <c r="N1656" s="20"/>
      <c r="O1656" s="19"/>
      <c r="P1656" s="10"/>
      <c r="Q1656" s="10"/>
      <c r="R1656" s="10"/>
      <c r="S1656" s="10"/>
      <c r="T1656" s="10"/>
      <c r="U1656" s="10"/>
      <c r="V1656" s="10"/>
      <c r="W1656" s="10"/>
      <c r="X1656" s="10"/>
      <c r="Y1656" s="10"/>
    </row>
    <row r="1657" spans="1:25" x14ac:dyDescent="0.25">
      <c r="A1657" s="9">
        <v>42195</v>
      </c>
      <c r="B1657" s="10">
        <f ca="1">ROUND(_xlfn.NORM.INV(RAND(),Reference!$C$8,0.1*Reference!$C$8)*(1+Reference!$C$11*(IF(MONTH($A1657)=Reference!$C$4,1,0)+IF(MONTH($A1657)=Reference!$C$5,1,0))+(IF(MONTH($A1657)=Reference!$C$6,Reference!$C$13,0))),0)</f>
        <v>421</v>
      </c>
      <c r="C1657" s="11">
        <f ca="1">B1657*Reference!$C$7*(1-IF(MONTH($A1657)=Reference!$C$6,1,0)*Reference!$C$12)</f>
        <v>391530</v>
      </c>
      <c r="D1657" s="10">
        <f ca="1">ROUND(_xlfn.NORM.INV(RAND(),Reference!$D$8,0.1*Reference!$D$8)*(1+Reference!$D$11*(IF(MONTH($A1657)=Reference!$D$4,1,0)+IF(MONTH($A1657)=Reference!$D$5,1,0))+(IF(MONTH($A1657)=Reference!$D$6,Reference!$D$13,0))),0)</f>
        <v>459</v>
      </c>
      <c r="E1657" s="11">
        <f ca="1">D1657*Reference!$D$7*(1-IF(MONTH($A1657)=Reference!$D$6,1,0)*Reference!$D$12)</f>
        <v>344250</v>
      </c>
      <c r="M1657" s="20"/>
      <c r="N1657" s="20"/>
      <c r="O1657" s="19"/>
      <c r="P1657" s="10"/>
      <c r="Q1657" s="10"/>
      <c r="R1657" s="10"/>
      <c r="S1657" s="10"/>
      <c r="T1657" s="10"/>
      <c r="U1657" s="10"/>
      <c r="V1657" s="10"/>
      <c r="W1657" s="10"/>
      <c r="X1657" s="10"/>
      <c r="Y1657" s="10"/>
    </row>
    <row r="1658" spans="1:25" x14ac:dyDescent="0.25">
      <c r="A1658" s="9">
        <v>42196</v>
      </c>
      <c r="B1658" s="10">
        <f ca="1">ROUND(_xlfn.NORM.INV(RAND(),Reference!$C$8,0.1*Reference!$C$8)*(1+Reference!$C$11*(IF(MONTH($A1658)=Reference!$C$4,1,0)+IF(MONTH($A1658)=Reference!$C$5,1,0))+(IF(MONTH($A1658)=Reference!$C$6,Reference!$C$13,0))),0)</f>
        <v>374</v>
      </c>
      <c r="C1658" s="11">
        <f ca="1">B1658*Reference!$C$7*(1-IF(MONTH($A1658)=Reference!$C$6,1,0)*Reference!$C$12)</f>
        <v>347820</v>
      </c>
      <c r="D1658" s="10">
        <f ca="1">ROUND(_xlfn.NORM.INV(RAND(),Reference!$D$8,0.1*Reference!$D$8)*(1+Reference!$D$11*(IF(MONTH($A1658)=Reference!$D$4,1,0)+IF(MONTH($A1658)=Reference!$D$5,1,0))+(IF(MONTH($A1658)=Reference!$D$6,Reference!$D$13,0))),0)</f>
        <v>515</v>
      </c>
      <c r="E1658" s="11">
        <f ca="1">D1658*Reference!$D$7*(1-IF(MONTH($A1658)=Reference!$D$6,1,0)*Reference!$D$12)</f>
        <v>386250</v>
      </c>
      <c r="M1658" s="20"/>
      <c r="N1658" s="20"/>
      <c r="O1658" s="19"/>
      <c r="P1658" s="10"/>
      <c r="Q1658" s="10"/>
      <c r="R1658" s="10"/>
      <c r="S1658" s="10"/>
      <c r="T1658" s="10"/>
      <c r="U1658" s="10"/>
      <c r="V1658" s="10"/>
      <c r="W1658" s="10"/>
      <c r="X1658" s="10"/>
      <c r="Y1658" s="10"/>
    </row>
    <row r="1659" spans="1:25" x14ac:dyDescent="0.25">
      <c r="A1659" s="9">
        <v>42197</v>
      </c>
      <c r="B1659" s="10">
        <f ca="1">ROUND(_xlfn.NORM.INV(RAND(),Reference!$C$8,0.1*Reference!$C$8)*(1+Reference!$C$11*(IF(MONTH($A1659)=Reference!$C$4,1,0)+IF(MONTH($A1659)=Reference!$C$5,1,0))+(IF(MONTH($A1659)=Reference!$C$6,Reference!$C$13,0))),0)</f>
        <v>470</v>
      </c>
      <c r="C1659" s="11">
        <f ca="1">B1659*Reference!$C$7*(1-IF(MONTH($A1659)=Reference!$C$6,1,0)*Reference!$C$12)</f>
        <v>437100</v>
      </c>
      <c r="D1659" s="10">
        <f ca="1">ROUND(_xlfn.NORM.INV(RAND(),Reference!$D$8,0.1*Reference!$D$8)*(1+Reference!$D$11*(IF(MONTH($A1659)=Reference!$D$4,1,0)+IF(MONTH($A1659)=Reference!$D$5,1,0))+(IF(MONTH($A1659)=Reference!$D$6,Reference!$D$13,0))),0)</f>
        <v>583</v>
      </c>
      <c r="E1659" s="11">
        <f ca="1">D1659*Reference!$D$7*(1-IF(MONTH($A1659)=Reference!$D$6,1,0)*Reference!$D$12)</f>
        <v>437250</v>
      </c>
      <c r="M1659" s="20"/>
      <c r="N1659" s="20"/>
      <c r="O1659" s="19"/>
      <c r="P1659" s="10"/>
      <c r="Q1659" s="10"/>
      <c r="R1659" s="10"/>
      <c r="S1659" s="10"/>
      <c r="T1659" s="10"/>
      <c r="U1659" s="10"/>
      <c r="V1659" s="10"/>
      <c r="W1659" s="10"/>
      <c r="X1659" s="10"/>
      <c r="Y1659" s="10"/>
    </row>
    <row r="1660" spans="1:25" x14ac:dyDescent="0.25">
      <c r="A1660" s="9">
        <v>42198</v>
      </c>
      <c r="B1660" s="10">
        <f ca="1">ROUND(_xlfn.NORM.INV(RAND(),Reference!$C$8,0.1*Reference!$C$8)*(1+Reference!$C$11*(IF(MONTH($A1660)=Reference!$C$4,1,0)+IF(MONTH($A1660)=Reference!$C$5,1,0))+(IF(MONTH($A1660)=Reference!$C$6,Reference!$C$13,0))),0)</f>
        <v>359</v>
      </c>
      <c r="C1660" s="11">
        <f ca="1">B1660*Reference!$C$7*(1-IF(MONTH($A1660)=Reference!$C$6,1,0)*Reference!$C$12)</f>
        <v>333870</v>
      </c>
      <c r="D1660" s="10">
        <f ca="1">ROUND(_xlfn.NORM.INV(RAND(),Reference!$D$8,0.1*Reference!$D$8)*(1+Reference!$D$11*(IF(MONTH($A1660)=Reference!$D$4,1,0)+IF(MONTH($A1660)=Reference!$D$5,1,0))+(IF(MONTH($A1660)=Reference!$D$6,Reference!$D$13,0))),0)</f>
        <v>399</v>
      </c>
      <c r="E1660" s="11">
        <f ca="1">D1660*Reference!$D$7*(1-IF(MONTH($A1660)=Reference!$D$6,1,0)*Reference!$D$12)</f>
        <v>299250</v>
      </c>
      <c r="M1660" s="20"/>
      <c r="N1660" s="20"/>
      <c r="O1660" s="19"/>
      <c r="P1660" s="10"/>
      <c r="Q1660" s="10"/>
      <c r="R1660" s="10"/>
      <c r="S1660" s="10"/>
      <c r="T1660" s="10"/>
      <c r="U1660" s="10"/>
      <c r="V1660" s="10"/>
      <c r="W1660" s="10"/>
      <c r="X1660" s="10"/>
      <c r="Y1660" s="10"/>
    </row>
    <row r="1661" spans="1:25" x14ac:dyDescent="0.25">
      <c r="A1661" s="9">
        <v>42199</v>
      </c>
      <c r="B1661" s="10">
        <f ca="1">ROUND(_xlfn.NORM.INV(RAND(),Reference!$C$8,0.1*Reference!$C$8)*(1+Reference!$C$11*(IF(MONTH($A1661)=Reference!$C$4,1,0)+IF(MONTH($A1661)=Reference!$C$5,1,0))+(IF(MONTH($A1661)=Reference!$C$6,Reference!$C$13,0))),0)</f>
        <v>348</v>
      </c>
      <c r="C1661" s="11">
        <f ca="1">B1661*Reference!$C$7*(1-IF(MONTH($A1661)=Reference!$C$6,1,0)*Reference!$C$12)</f>
        <v>323640</v>
      </c>
      <c r="D1661" s="10">
        <f ca="1">ROUND(_xlfn.NORM.INV(RAND(),Reference!$D$8,0.1*Reference!$D$8)*(1+Reference!$D$11*(IF(MONTH($A1661)=Reference!$D$4,1,0)+IF(MONTH($A1661)=Reference!$D$5,1,0))+(IF(MONTH($A1661)=Reference!$D$6,Reference!$D$13,0))),0)</f>
        <v>543</v>
      </c>
      <c r="E1661" s="11">
        <f ca="1">D1661*Reference!$D$7*(1-IF(MONTH($A1661)=Reference!$D$6,1,0)*Reference!$D$12)</f>
        <v>407250</v>
      </c>
      <c r="M1661" s="20"/>
      <c r="N1661" s="20"/>
      <c r="O1661" s="19"/>
      <c r="P1661" s="10"/>
      <c r="Q1661" s="10"/>
      <c r="R1661" s="10"/>
      <c r="S1661" s="10"/>
      <c r="T1661" s="10"/>
      <c r="U1661" s="10"/>
      <c r="V1661" s="10"/>
      <c r="W1661" s="10"/>
      <c r="X1661" s="10"/>
      <c r="Y1661" s="10"/>
    </row>
    <row r="1662" spans="1:25" x14ac:dyDescent="0.25">
      <c r="A1662" s="9">
        <v>42200</v>
      </c>
      <c r="B1662" s="10">
        <f ca="1">ROUND(_xlfn.NORM.INV(RAND(),Reference!$C$8,0.1*Reference!$C$8)*(1+Reference!$C$11*(IF(MONTH($A1662)=Reference!$C$4,1,0)+IF(MONTH($A1662)=Reference!$C$5,1,0))+(IF(MONTH($A1662)=Reference!$C$6,Reference!$C$13,0))),0)</f>
        <v>375</v>
      </c>
      <c r="C1662" s="11">
        <f ca="1">B1662*Reference!$C$7*(1-IF(MONTH($A1662)=Reference!$C$6,1,0)*Reference!$C$12)</f>
        <v>348750</v>
      </c>
      <c r="D1662" s="10">
        <f ca="1">ROUND(_xlfn.NORM.INV(RAND(),Reference!$D$8,0.1*Reference!$D$8)*(1+Reference!$D$11*(IF(MONTH($A1662)=Reference!$D$4,1,0)+IF(MONTH($A1662)=Reference!$D$5,1,0))+(IF(MONTH($A1662)=Reference!$D$6,Reference!$D$13,0))),0)</f>
        <v>502</v>
      </c>
      <c r="E1662" s="11">
        <f ca="1">D1662*Reference!$D$7*(1-IF(MONTH($A1662)=Reference!$D$6,1,0)*Reference!$D$12)</f>
        <v>376500</v>
      </c>
      <c r="M1662" s="20"/>
      <c r="N1662" s="20"/>
      <c r="O1662" s="19"/>
      <c r="P1662" s="10"/>
      <c r="Q1662" s="10"/>
      <c r="R1662" s="10"/>
      <c r="S1662" s="10"/>
      <c r="T1662" s="10"/>
      <c r="U1662" s="10"/>
      <c r="V1662" s="10"/>
      <c r="W1662" s="10"/>
      <c r="X1662" s="10"/>
      <c r="Y1662" s="10"/>
    </row>
    <row r="1663" spans="1:25" x14ac:dyDescent="0.25">
      <c r="A1663" s="9">
        <v>42201</v>
      </c>
      <c r="B1663" s="10">
        <f ca="1">ROUND(_xlfn.NORM.INV(RAND(),Reference!$C$8,0.1*Reference!$C$8)*(1+Reference!$C$11*(IF(MONTH($A1663)=Reference!$C$4,1,0)+IF(MONTH($A1663)=Reference!$C$5,1,0))+(IF(MONTH($A1663)=Reference!$C$6,Reference!$C$13,0))),0)</f>
        <v>357</v>
      </c>
      <c r="C1663" s="11">
        <f ca="1">B1663*Reference!$C$7*(1-IF(MONTH($A1663)=Reference!$C$6,1,0)*Reference!$C$12)</f>
        <v>332010</v>
      </c>
      <c r="D1663" s="10">
        <f ca="1">ROUND(_xlfn.NORM.INV(RAND(),Reference!$D$8,0.1*Reference!$D$8)*(1+Reference!$D$11*(IF(MONTH($A1663)=Reference!$D$4,1,0)+IF(MONTH($A1663)=Reference!$D$5,1,0))+(IF(MONTH($A1663)=Reference!$D$6,Reference!$D$13,0))),0)</f>
        <v>459</v>
      </c>
      <c r="E1663" s="11">
        <f ca="1">D1663*Reference!$D$7*(1-IF(MONTH($A1663)=Reference!$D$6,1,0)*Reference!$D$12)</f>
        <v>344250</v>
      </c>
      <c r="M1663" s="20"/>
      <c r="N1663" s="20"/>
      <c r="O1663" s="19"/>
      <c r="P1663" s="10"/>
      <c r="Q1663" s="10"/>
      <c r="R1663" s="10"/>
      <c r="S1663" s="10"/>
      <c r="T1663" s="10"/>
      <c r="U1663" s="10"/>
      <c r="V1663" s="10"/>
      <c r="W1663" s="10"/>
      <c r="X1663" s="10"/>
      <c r="Y1663" s="10"/>
    </row>
    <row r="1664" spans="1:25" x14ac:dyDescent="0.25">
      <c r="A1664" s="9">
        <v>42202</v>
      </c>
      <c r="B1664" s="10">
        <f ca="1">ROUND(_xlfn.NORM.INV(RAND(),Reference!$C$8,0.1*Reference!$C$8)*(1+Reference!$C$11*(IF(MONTH($A1664)=Reference!$C$4,1,0)+IF(MONTH($A1664)=Reference!$C$5,1,0))+(IF(MONTH($A1664)=Reference!$C$6,Reference!$C$13,0))),0)</f>
        <v>365</v>
      </c>
      <c r="C1664" s="11">
        <f ca="1">B1664*Reference!$C$7*(1-IF(MONTH($A1664)=Reference!$C$6,1,0)*Reference!$C$12)</f>
        <v>339450</v>
      </c>
      <c r="D1664" s="10">
        <f ca="1">ROUND(_xlfn.NORM.INV(RAND(),Reference!$D$8,0.1*Reference!$D$8)*(1+Reference!$D$11*(IF(MONTH($A1664)=Reference!$D$4,1,0)+IF(MONTH($A1664)=Reference!$D$5,1,0))+(IF(MONTH($A1664)=Reference!$D$6,Reference!$D$13,0))),0)</f>
        <v>443</v>
      </c>
      <c r="E1664" s="11">
        <f ca="1">D1664*Reference!$D$7*(1-IF(MONTH($A1664)=Reference!$D$6,1,0)*Reference!$D$12)</f>
        <v>332250</v>
      </c>
      <c r="M1664" s="20"/>
      <c r="N1664" s="20"/>
      <c r="O1664" s="19"/>
      <c r="P1664" s="10"/>
      <c r="Q1664" s="10"/>
      <c r="R1664" s="10"/>
      <c r="S1664" s="10"/>
      <c r="T1664" s="10"/>
      <c r="U1664" s="10"/>
      <c r="V1664" s="10"/>
      <c r="W1664" s="10"/>
      <c r="X1664" s="10"/>
      <c r="Y1664" s="10"/>
    </row>
    <row r="1665" spans="1:25" x14ac:dyDescent="0.25">
      <c r="A1665" s="9">
        <v>42203</v>
      </c>
      <c r="B1665" s="10">
        <f ca="1">ROUND(_xlfn.NORM.INV(RAND(),Reference!$C$8,0.1*Reference!$C$8)*(1+Reference!$C$11*(IF(MONTH($A1665)=Reference!$C$4,1,0)+IF(MONTH($A1665)=Reference!$C$5,1,0))+(IF(MONTH($A1665)=Reference!$C$6,Reference!$C$13,0))),0)</f>
        <v>316</v>
      </c>
      <c r="C1665" s="11">
        <f ca="1">B1665*Reference!$C$7*(1-IF(MONTH($A1665)=Reference!$C$6,1,0)*Reference!$C$12)</f>
        <v>293880</v>
      </c>
      <c r="D1665" s="10">
        <f ca="1">ROUND(_xlfn.NORM.INV(RAND(),Reference!$D$8,0.1*Reference!$D$8)*(1+Reference!$D$11*(IF(MONTH($A1665)=Reference!$D$4,1,0)+IF(MONTH($A1665)=Reference!$D$5,1,0))+(IF(MONTH($A1665)=Reference!$D$6,Reference!$D$13,0))),0)</f>
        <v>472</v>
      </c>
      <c r="E1665" s="11">
        <f ca="1">D1665*Reference!$D$7*(1-IF(MONTH($A1665)=Reference!$D$6,1,0)*Reference!$D$12)</f>
        <v>354000</v>
      </c>
      <c r="M1665" s="20"/>
      <c r="N1665" s="20"/>
      <c r="O1665" s="19"/>
      <c r="P1665" s="10"/>
      <c r="Q1665" s="10"/>
      <c r="R1665" s="10"/>
      <c r="S1665" s="10"/>
      <c r="T1665" s="10"/>
      <c r="U1665" s="10"/>
      <c r="V1665" s="10"/>
      <c r="W1665" s="10"/>
      <c r="X1665" s="10"/>
      <c r="Y1665" s="10"/>
    </row>
    <row r="1666" spans="1:25" x14ac:dyDescent="0.25">
      <c r="A1666" s="9">
        <v>42204</v>
      </c>
      <c r="B1666" s="10">
        <f ca="1">ROUND(_xlfn.NORM.INV(RAND(),Reference!$C$8,0.1*Reference!$C$8)*(1+Reference!$C$11*(IF(MONTH($A1666)=Reference!$C$4,1,0)+IF(MONTH($A1666)=Reference!$C$5,1,0))+(IF(MONTH($A1666)=Reference!$C$6,Reference!$C$13,0))),0)</f>
        <v>336</v>
      </c>
      <c r="C1666" s="11">
        <f ca="1">B1666*Reference!$C$7*(1-IF(MONTH($A1666)=Reference!$C$6,1,0)*Reference!$C$12)</f>
        <v>312480</v>
      </c>
      <c r="D1666" s="10">
        <f ca="1">ROUND(_xlfn.NORM.INV(RAND(),Reference!$D$8,0.1*Reference!$D$8)*(1+Reference!$D$11*(IF(MONTH($A1666)=Reference!$D$4,1,0)+IF(MONTH($A1666)=Reference!$D$5,1,0))+(IF(MONTH($A1666)=Reference!$D$6,Reference!$D$13,0))),0)</f>
        <v>511</v>
      </c>
      <c r="E1666" s="11">
        <f ca="1">D1666*Reference!$D$7*(1-IF(MONTH($A1666)=Reference!$D$6,1,0)*Reference!$D$12)</f>
        <v>383250</v>
      </c>
      <c r="M1666" s="20"/>
      <c r="N1666" s="20"/>
      <c r="O1666" s="19"/>
      <c r="P1666" s="10"/>
      <c r="Q1666" s="10"/>
      <c r="R1666" s="10"/>
      <c r="S1666" s="10"/>
      <c r="T1666" s="10"/>
      <c r="U1666" s="10"/>
      <c r="V1666" s="10"/>
      <c r="W1666" s="10"/>
      <c r="X1666" s="10"/>
      <c r="Y1666" s="10"/>
    </row>
    <row r="1667" spans="1:25" x14ac:dyDescent="0.25">
      <c r="A1667" s="9">
        <v>42205</v>
      </c>
      <c r="B1667" s="10">
        <f ca="1">ROUND(_xlfn.NORM.INV(RAND(),Reference!$C$8,0.1*Reference!$C$8)*(1+Reference!$C$11*(IF(MONTH($A1667)=Reference!$C$4,1,0)+IF(MONTH($A1667)=Reference!$C$5,1,0))+(IF(MONTH($A1667)=Reference!$C$6,Reference!$C$13,0))),0)</f>
        <v>338</v>
      </c>
      <c r="C1667" s="11">
        <f ca="1">B1667*Reference!$C$7*(1-IF(MONTH($A1667)=Reference!$C$6,1,0)*Reference!$C$12)</f>
        <v>314340</v>
      </c>
      <c r="D1667" s="10">
        <f ca="1">ROUND(_xlfn.NORM.INV(RAND(),Reference!$D$8,0.1*Reference!$D$8)*(1+Reference!$D$11*(IF(MONTH($A1667)=Reference!$D$4,1,0)+IF(MONTH($A1667)=Reference!$D$5,1,0))+(IF(MONTH($A1667)=Reference!$D$6,Reference!$D$13,0))),0)</f>
        <v>561</v>
      </c>
      <c r="E1667" s="11">
        <f ca="1">D1667*Reference!$D$7*(1-IF(MONTH($A1667)=Reference!$D$6,1,0)*Reference!$D$12)</f>
        <v>420750</v>
      </c>
      <c r="M1667" s="20"/>
      <c r="N1667" s="20"/>
      <c r="O1667" s="19"/>
      <c r="P1667" s="10"/>
      <c r="Q1667" s="10"/>
      <c r="R1667" s="10"/>
      <c r="S1667" s="10"/>
      <c r="T1667" s="10"/>
      <c r="U1667" s="10"/>
      <c r="V1667" s="10"/>
      <c r="W1667" s="10"/>
      <c r="X1667" s="10"/>
      <c r="Y1667" s="10"/>
    </row>
    <row r="1668" spans="1:25" x14ac:dyDescent="0.25">
      <c r="A1668" s="9">
        <v>42206</v>
      </c>
      <c r="B1668" s="10">
        <f ca="1">ROUND(_xlfn.NORM.INV(RAND(),Reference!$C$8,0.1*Reference!$C$8)*(1+Reference!$C$11*(IF(MONTH($A1668)=Reference!$C$4,1,0)+IF(MONTH($A1668)=Reference!$C$5,1,0))+(IF(MONTH($A1668)=Reference!$C$6,Reference!$C$13,0))),0)</f>
        <v>358</v>
      </c>
      <c r="C1668" s="11">
        <f ca="1">B1668*Reference!$C$7*(1-IF(MONTH($A1668)=Reference!$C$6,1,0)*Reference!$C$12)</f>
        <v>332940</v>
      </c>
      <c r="D1668" s="10">
        <f ca="1">ROUND(_xlfn.NORM.INV(RAND(),Reference!$D$8,0.1*Reference!$D$8)*(1+Reference!$D$11*(IF(MONTH($A1668)=Reference!$D$4,1,0)+IF(MONTH($A1668)=Reference!$D$5,1,0))+(IF(MONTH($A1668)=Reference!$D$6,Reference!$D$13,0))),0)</f>
        <v>499</v>
      </c>
      <c r="E1668" s="11">
        <f ca="1">D1668*Reference!$D$7*(1-IF(MONTH($A1668)=Reference!$D$6,1,0)*Reference!$D$12)</f>
        <v>374250</v>
      </c>
      <c r="M1668" s="20"/>
      <c r="N1668" s="20"/>
      <c r="O1668" s="19"/>
      <c r="P1668" s="10"/>
      <c r="Q1668" s="10"/>
      <c r="R1668" s="10"/>
      <c r="S1668" s="10"/>
      <c r="T1668" s="10"/>
      <c r="U1668" s="10"/>
      <c r="V1668" s="10"/>
      <c r="W1668" s="10"/>
      <c r="X1668" s="10"/>
      <c r="Y1668" s="10"/>
    </row>
    <row r="1669" spans="1:25" x14ac:dyDescent="0.25">
      <c r="A1669" s="9">
        <v>42207</v>
      </c>
      <c r="B1669" s="10">
        <f ca="1">ROUND(_xlfn.NORM.INV(RAND(),Reference!$C$8,0.1*Reference!$C$8)*(1+Reference!$C$11*(IF(MONTH($A1669)=Reference!$C$4,1,0)+IF(MONTH($A1669)=Reference!$C$5,1,0))+(IF(MONTH($A1669)=Reference!$C$6,Reference!$C$13,0))),0)</f>
        <v>330</v>
      </c>
      <c r="C1669" s="11">
        <f ca="1">B1669*Reference!$C$7*(1-IF(MONTH($A1669)=Reference!$C$6,1,0)*Reference!$C$12)</f>
        <v>306900</v>
      </c>
      <c r="D1669" s="10">
        <f ca="1">ROUND(_xlfn.NORM.INV(RAND(),Reference!$D$8,0.1*Reference!$D$8)*(1+Reference!$D$11*(IF(MONTH($A1669)=Reference!$D$4,1,0)+IF(MONTH($A1669)=Reference!$D$5,1,0))+(IF(MONTH($A1669)=Reference!$D$6,Reference!$D$13,0))),0)</f>
        <v>424</v>
      </c>
      <c r="E1669" s="11">
        <f ca="1">D1669*Reference!$D$7*(1-IF(MONTH($A1669)=Reference!$D$6,1,0)*Reference!$D$12)</f>
        <v>318000</v>
      </c>
      <c r="M1669" s="20"/>
      <c r="N1669" s="20"/>
      <c r="O1669" s="19"/>
      <c r="P1669" s="10"/>
      <c r="Q1669" s="10"/>
      <c r="R1669" s="10"/>
      <c r="S1669" s="10"/>
      <c r="T1669" s="10"/>
      <c r="U1669" s="10"/>
      <c r="V1669" s="10"/>
      <c r="W1669" s="10"/>
      <c r="X1669" s="10"/>
      <c r="Y1669" s="10"/>
    </row>
    <row r="1670" spans="1:25" x14ac:dyDescent="0.25">
      <c r="A1670" s="9">
        <v>42208</v>
      </c>
      <c r="B1670" s="10">
        <f ca="1">ROUND(_xlfn.NORM.INV(RAND(),Reference!$C$8,0.1*Reference!$C$8)*(1+Reference!$C$11*(IF(MONTH($A1670)=Reference!$C$4,1,0)+IF(MONTH($A1670)=Reference!$C$5,1,0))+(IF(MONTH($A1670)=Reference!$C$6,Reference!$C$13,0))),0)</f>
        <v>349</v>
      </c>
      <c r="C1670" s="11">
        <f ca="1">B1670*Reference!$C$7*(1-IF(MONTH($A1670)=Reference!$C$6,1,0)*Reference!$C$12)</f>
        <v>324570</v>
      </c>
      <c r="D1670" s="10">
        <f ca="1">ROUND(_xlfn.NORM.INV(RAND(),Reference!$D$8,0.1*Reference!$D$8)*(1+Reference!$D$11*(IF(MONTH($A1670)=Reference!$D$4,1,0)+IF(MONTH($A1670)=Reference!$D$5,1,0))+(IF(MONTH($A1670)=Reference!$D$6,Reference!$D$13,0))),0)</f>
        <v>541</v>
      </c>
      <c r="E1670" s="11">
        <f ca="1">D1670*Reference!$D$7*(1-IF(MONTH($A1670)=Reference!$D$6,1,0)*Reference!$D$12)</f>
        <v>405750</v>
      </c>
      <c r="M1670" s="20"/>
      <c r="N1670" s="20"/>
      <c r="O1670" s="19"/>
      <c r="P1670" s="10"/>
      <c r="Q1670" s="10"/>
      <c r="R1670" s="10"/>
      <c r="S1670" s="10"/>
      <c r="T1670" s="10"/>
      <c r="U1670" s="10"/>
      <c r="V1670" s="10"/>
      <c r="W1670" s="10"/>
      <c r="X1670" s="10"/>
      <c r="Y1670" s="10"/>
    </row>
    <row r="1671" spans="1:25" x14ac:dyDescent="0.25">
      <c r="A1671" s="9">
        <v>42209</v>
      </c>
      <c r="B1671" s="10">
        <f ca="1">ROUND(_xlfn.NORM.INV(RAND(),Reference!$C$8,0.1*Reference!$C$8)*(1+Reference!$C$11*(IF(MONTH($A1671)=Reference!$C$4,1,0)+IF(MONTH($A1671)=Reference!$C$5,1,0))+(IF(MONTH($A1671)=Reference!$C$6,Reference!$C$13,0))),0)</f>
        <v>343</v>
      </c>
      <c r="C1671" s="11">
        <f ca="1">B1671*Reference!$C$7*(1-IF(MONTH($A1671)=Reference!$C$6,1,0)*Reference!$C$12)</f>
        <v>318990</v>
      </c>
      <c r="D1671" s="10">
        <f ca="1">ROUND(_xlfn.NORM.INV(RAND(),Reference!$D$8,0.1*Reference!$D$8)*(1+Reference!$D$11*(IF(MONTH($A1671)=Reference!$D$4,1,0)+IF(MONTH($A1671)=Reference!$D$5,1,0))+(IF(MONTH($A1671)=Reference!$D$6,Reference!$D$13,0))),0)</f>
        <v>492</v>
      </c>
      <c r="E1671" s="11">
        <f ca="1">D1671*Reference!$D$7*(1-IF(MONTH($A1671)=Reference!$D$6,1,0)*Reference!$D$12)</f>
        <v>369000</v>
      </c>
      <c r="M1671" s="20"/>
      <c r="N1671" s="20"/>
      <c r="O1671" s="19"/>
      <c r="P1671" s="10"/>
      <c r="Q1671" s="10"/>
      <c r="R1671" s="10"/>
      <c r="S1671" s="10"/>
      <c r="T1671" s="10"/>
      <c r="U1671" s="10"/>
      <c r="V1671" s="10"/>
      <c r="W1671" s="10"/>
      <c r="X1671" s="10"/>
      <c r="Y1671" s="10"/>
    </row>
    <row r="1672" spans="1:25" x14ac:dyDescent="0.25">
      <c r="A1672" s="9">
        <v>42210</v>
      </c>
      <c r="B1672" s="10">
        <f ca="1">ROUND(_xlfn.NORM.INV(RAND(),Reference!$C$8,0.1*Reference!$C$8)*(1+Reference!$C$11*(IF(MONTH($A1672)=Reference!$C$4,1,0)+IF(MONTH($A1672)=Reference!$C$5,1,0))+(IF(MONTH($A1672)=Reference!$C$6,Reference!$C$13,0))),0)</f>
        <v>347</v>
      </c>
      <c r="C1672" s="11">
        <f ca="1">B1672*Reference!$C$7*(1-IF(MONTH($A1672)=Reference!$C$6,1,0)*Reference!$C$12)</f>
        <v>322710</v>
      </c>
      <c r="D1672" s="10">
        <f ca="1">ROUND(_xlfn.NORM.INV(RAND(),Reference!$D$8,0.1*Reference!$D$8)*(1+Reference!$D$11*(IF(MONTH($A1672)=Reference!$D$4,1,0)+IF(MONTH($A1672)=Reference!$D$5,1,0))+(IF(MONTH($A1672)=Reference!$D$6,Reference!$D$13,0))),0)</f>
        <v>448</v>
      </c>
      <c r="E1672" s="11">
        <f ca="1">D1672*Reference!$D$7*(1-IF(MONTH($A1672)=Reference!$D$6,1,0)*Reference!$D$12)</f>
        <v>336000</v>
      </c>
      <c r="M1672" s="20"/>
      <c r="N1672" s="20"/>
      <c r="O1672" s="19"/>
      <c r="P1672" s="10"/>
      <c r="Q1672" s="10"/>
      <c r="R1672" s="10"/>
      <c r="S1672" s="10"/>
      <c r="T1672" s="10"/>
      <c r="U1672" s="10"/>
      <c r="V1672" s="10"/>
      <c r="W1672" s="10"/>
      <c r="X1672" s="10"/>
      <c r="Y1672" s="10"/>
    </row>
    <row r="1673" spans="1:25" x14ac:dyDescent="0.25">
      <c r="A1673" s="9">
        <v>42211</v>
      </c>
      <c r="B1673" s="10">
        <f ca="1">ROUND(_xlfn.NORM.INV(RAND(),Reference!$C$8,0.1*Reference!$C$8)*(1+Reference!$C$11*(IF(MONTH($A1673)=Reference!$C$4,1,0)+IF(MONTH($A1673)=Reference!$C$5,1,0))+(IF(MONTH($A1673)=Reference!$C$6,Reference!$C$13,0))),0)</f>
        <v>348</v>
      </c>
      <c r="C1673" s="11">
        <f ca="1">B1673*Reference!$C$7*(1-IF(MONTH($A1673)=Reference!$C$6,1,0)*Reference!$C$12)</f>
        <v>323640</v>
      </c>
      <c r="D1673" s="10">
        <f ca="1">ROUND(_xlfn.NORM.INV(RAND(),Reference!$D$8,0.1*Reference!$D$8)*(1+Reference!$D$11*(IF(MONTH($A1673)=Reference!$D$4,1,0)+IF(MONTH($A1673)=Reference!$D$5,1,0))+(IF(MONTH($A1673)=Reference!$D$6,Reference!$D$13,0))),0)</f>
        <v>431</v>
      </c>
      <c r="E1673" s="11">
        <f ca="1">D1673*Reference!$D$7*(1-IF(MONTH($A1673)=Reference!$D$6,1,0)*Reference!$D$12)</f>
        <v>323250</v>
      </c>
      <c r="M1673" s="20"/>
      <c r="N1673" s="20"/>
      <c r="O1673" s="19"/>
      <c r="P1673" s="10"/>
      <c r="Q1673" s="10"/>
      <c r="R1673" s="10"/>
      <c r="S1673" s="10"/>
      <c r="T1673" s="10"/>
      <c r="U1673" s="10"/>
      <c r="V1673" s="10"/>
      <c r="W1673" s="10"/>
      <c r="X1673" s="10"/>
      <c r="Y1673" s="10"/>
    </row>
    <row r="1674" spans="1:25" x14ac:dyDescent="0.25">
      <c r="A1674" s="9">
        <v>42212</v>
      </c>
      <c r="B1674" s="10">
        <f ca="1">ROUND(_xlfn.NORM.INV(RAND(),Reference!$C$8,0.1*Reference!$C$8)*(1+Reference!$C$11*(IF(MONTH($A1674)=Reference!$C$4,1,0)+IF(MONTH($A1674)=Reference!$C$5,1,0))+(IF(MONTH($A1674)=Reference!$C$6,Reference!$C$13,0))),0)</f>
        <v>325</v>
      </c>
      <c r="C1674" s="11">
        <f ca="1">B1674*Reference!$C$7*(1-IF(MONTH($A1674)=Reference!$C$6,1,0)*Reference!$C$12)</f>
        <v>302250</v>
      </c>
      <c r="D1674" s="10">
        <f ca="1">ROUND(_xlfn.NORM.INV(RAND(),Reference!$D$8,0.1*Reference!$D$8)*(1+Reference!$D$11*(IF(MONTH($A1674)=Reference!$D$4,1,0)+IF(MONTH($A1674)=Reference!$D$5,1,0))+(IF(MONTH($A1674)=Reference!$D$6,Reference!$D$13,0))),0)</f>
        <v>478</v>
      </c>
      <c r="E1674" s="11">
        <f ca="1">D1674*Reference!$D$7*(1-IF(MONTH($A1674)=Reference!$D$6,1,0)*Reference!$D$12)</f>
        <v>358500</v>
      </c>
      <c r="M1674" s="20"/>
      <c r="N1674" s="20"/>
      <c r="O1674" s="19"/>
      <c r="P1674" s="10"/>
      <c r="Q1674" s="10"/>
      <c r="R1674" s="10"/>
      <c r="S1674" s="10"/>
      <c r="T1674" s="10"/>
      <c r="U1674" s="10"/>
      <c r="V1674" s="10"/>
      <c r="W1674" s="10"/>
      <c r="X1674" s="10"/>
      <c r="Y1674" s="10"/>
    </row>
    <row r="1675" spans="1:25" x14ac:dyDescent="0.25">
      <c r="A1675" s="9">
        <v>42213</v>
      </c>
      <c r="B1675" s="10">
        <f ca="1">ROUND(_xlfn.NORM.INV(RAND(),Reference!$C$8,0.1*Reference!$C$8)*(1+Reference!$C$11*(IF(MONTH($A1675)=Reference!$C$4,1,0)+IF(MONTH($A1675)=Reference!$C$5,1,0))+(IF(MONTH($A1675)=Reference!$C$6,Reference!$C$13,0))),0)</f>
        <v>349</v>
      </c>
      <c r="C1675" s="11">
        <f ca="1">B1675*Reference!$C$7*(1-IF(MONTH($A1675)=Reference!$C$6,1,0)*Reference!$C$12)</f>
        <v>324570</v>
      </c>
      <c r="D1675" s="10">
        <f ca="1">ROUND(_xlfn.NORM.INV(RAND(),Reference!$D$8,0.1*Reference!$D$8)*(1+Reference!$D$11*(IF(MONTH($A1675)=Reference!$D$4,1,0)+IF(MONTH($A1675)=Reference!$D$5,1,0))+(IF(MONTH($A1675)=Reference!$D$6,Reference!$D$13,0))),0)</f>
        <v>490</v>
      </c>
      <c r="E1675" s="11">
        <f ca="1">D1675*Reference!$D$7*(1-IF(MONTH($A1675)=Reference!$D$6,1,0)*Reference!$D$12)</f>
        <v>367500</v>
      </c>
      <c r="M1675" s="20"/>
      <c r="N1675" s="20"/>
      <c r="O1675" s="19"/>
      <c r="P1675" s="10"/>
      <c r="Q1675" s="10"/>
      <c r="R1675" s="10"/>
      <c r="S1675" s="10"/>
      <c r="T1675" s="10"/>
      <c r="U1675" s="10"/>
      <c r="V1675" s="10"/>
      <c r="W1675" s="10"/>
      <c r="X1675" s="10"/>
      <c r="Y1675" s="10"/>
    </row>
    <row r="1676" spans="1:25" x14ac:dyDescent="0.25">
      <c r="A1676" s="9">
        <v>42214</v>
      </c>
      <c r="B1676" s="10">
        <f ca="1">ROUND(_xlfn.NORM.INV(RAND(),Reference!$C$8,0.1*Reference!$C$8)*(1+Reference!$C$11*(IF(MONTH($A1676)=Reference!$C$4,1,0)+IF(MONTH($A1676)=Reference!$C$5,1,0))+(IF(MONTH($A1676)=Reference!$C$6,Reference!$C$13,0))),0)</f>
        <v>395</v>
      </c>
      <c r="C1676" s="11">
        <f ca="1">B1676*Reference!$C$7*(1-IF(MONTH($A1676)=Reference!$C$6,1,0)*Reference!$C$12)</f>
        <v>367350</v>
      </c>
      <c r="D1676" s="10">
        <f ca="1">ROUND(_xlfn.NORM.INV(RAND(),Reference!$D$8,0.1*Reference!$D$8)*(1+Reference!$D$11*(IF(MONTH($A1676)=Reference!$D$4,1,0)+IF(MONTH($A1676)=Reference!$D$5,1,0))+(IF(MONTH($A1676)=Reference!$D$6,Reference!$D$13,0))),0)</f>
        <v>558</v>
      </c>
      <c r="E1676" s="11">
        <f ca="1">D1676*Reference!$D$7*(1-IF(MONTH($A1676)=Reference!$D$6,1,0)*Reference!$D$12)</f>
        <v>418500</v>
      </c>
      <c r="M1676" s="20"/>
      <c r="N1676" s="20"/>
      <c r="O1676" s="19"/>
      <c r="P1676" s="10"/>
      <c r="Q1676" s="10"/>
      <c r="R1676" s="10"/>
      <c r="S1676" s="10"/>
      <c r="T1676" s="10"/>
      <c r="U1676" s="10"/>
      <c r="V1676" s="10"/>
      <c r="W1676" s="10"/>
      <c r="X1676" s="10"/>
      <c r="Y1676" s="10"/>
    </row>
    <row r="1677" spans="1:25" x14ac:dyDescent="0.25">
      <c r="A1677" s="9">
        <v>42215</v>
      </c>
      <c r="B1677" s="10">
        <f ca="1">ROUND(_xlfn.NORM.INV(RAND(),Reference!$C$8,0.1*Reference!$C$8)*(1+Reference!$C$11*(IF(MONTH($A1677)=Reference!$C$4,1,0)+IF(MONTH($A1677)=Reference!$C$5,1,0))+(IF(MONTH($A1677)=Reference!$C$6,Reference!$C$13,0))),0)</f>
        <v>346</v>
      </c>
      <c r="C1677" s="11">
        <f ca="1">B1677*Reference!$C$7*(1-IF(MONTH($A1677)=Reference!$C$6,1,0)*Reference!$C$12)</f>
        <v>321780</v>
      </c>
      <c r="D1677" s="10">
        <f ca="1">ROUND(_xlfn.NORM.INV(RAND(),Reference!$D$8,0.1*Reference!$D$8)*(1+Reference!$D$11*(IF(MONTH($A1677)=Reference!$D$4,1,0)+IF(MONTH($A1677)=Reference!$D$5,1,0))+(IF(MONTH($A1677)=Reference!$D$6,Reference!$D$13,0))),0)</f>
        <v>435</v>
      </c>
      <c r="E1677" s="11">
        <f ca="1">D1677*Reference!$D$7*(1-IF(MONTH($A1677)=Reference!$D$6,1,0)*Reference!$D$12)</f>
        <v>326250</v>
      </c>
      <c r="M1677" s="20"/>
      <c r="N1677" s="20"/>
      <c r="O1677" s="19"/>
      <c r="P1677" s="10"/>
      <c r="Q1677" s="10"/>
      <c r="R1677" s="10"/>
      <c r="S1677" s="10"/>
      <c r="T1677" s="10"/>
      <c r="U1677" s="10"/>
      <c r="V1677" s="10"/>
      <c r="W1677" s="10"/>
      <c r="X1677" s="10"/>
      <c r="Y1677" s="10"/>
    </row>
    <row r="1678" spans="1:25" x14ac:dyDescent="0.25">
      <c r="A1678" s="9">
        <v>42216</v>
      </c>
      <c r="B1678" s="10">
        <f ca="1">ROUND(_xlfn.NORM.INV(RAND(),Reference!$C$8,0.1*Reference!$C$8)*(1+Reference!$C$11*(IF(MONTH($A1678)=Reference!$C$4,1,0)+IF(MONTH($A1678)=Reference!$C$5,1,0))+(IF(MONTH($A1678)=Reference!$C$6,Reference!$C$13,0))),0)</f>
        <v>345</v>
      </c>
      <c r="C1678" s="11">
        <f ca="1">B1678*Reference!$C$7*(1-IF(MONTH($A1678)=Reference!$C$6,1,0)*Reference!$C$12)</f>
        <v>320850</v>
      </c>
      <c r="D1678" s="10">
        <f ca="1">ROUND(_xlfn.NORM.INV(RAND(),Reference!$D$8,0.1*Reference!$D$8)*(1+Reference!$D$11*(IF(MONTH($A1678)=Reference!$D$4,1,0)+IF(MONTH($A1678)=Reference!$D$5,1,0))+(IF(MONTH($A1678)=Reference!$D$6,Reference!$D$13,0))),0)</f>
        <v>488</v>
      </c>
      <c r="E1678" s="11">
        <f ca="1">D1678*Reference!$D$7*(1-IF(MONTH($A1678)=Reference!$D$6,1,0)*Reference!$D$12)</f>
        <v>366000</v>
      </c>
      <c r="M1678" s="20"/>
      <c r="N1678" s="20"/>
      <c r="O1678" s="19"/>
      <c r="P1678" s="10"/>
      <c r="Q1678" s="10"/>
      <c r="R1678" s="10"/>
      <c r="S1678" s="10"/>
      <c r="T1678" s="10"/>
      <c r="U1678" s="10"/>
      <c r="V1678" s="10"/>
      <c r="W1678" s="10"/>
      <c r="X1678" s="10"/>
      <c r="Y1678" s="10"/>
    </row>
    <row r="1679" spans="1:25" x14ac:dyDescent="0.25">
      <c r="A1679" s="9">
        <v>42217</v>
      </c>
      <c r="B1679" s="10">
        <f ca="1">ROUND(_xlfn.NORM.INV(RAND(),Reference!$C$8,0.1*Reference!$C$8)*(1+Reference!$C$11*(IF(MONTH($A1679)=Reference!$C$4,1,0)+IF(MONTH($A1679)=Reference!$C$5,1,0))+(IF(MONTH($A1679)=Reference!$C$6,Reference!$C$13,0))),0)</f>
        <v>338</v>
      </c>
      <c r="C1679" s="11">
        <f ca="1">B1679*Reference!$C$7*(1-IF(MONTH($A1679)=Reference!$C$6,1,0)*Reference!$C$12)</f>
        <v>314340</v>
      </c>
      <c r="D1679" s="10">
        <f ca="1">ROUND(_xlfn.NORM.INV(RAND(),Reference!$D$8,0.1*Reference!$D$8)*(1+Reference!$D$11*(IF(MONTH($A1679)=Reference!$D$4,1,0)+IF(MONTH($A1679)=Reference!$D$5,1,0))+(IF(MONTH($A1679)=Reference!$D$6,Reference!$D$13,0))),0)</f>
        <v>479</v>
      </c>
      <c r="E1679" s="11">
        <f ca="1">D1679*Reference!$D$7*(1-IF(MONTH($A1679)=Reference!$D$6,1,0)*Reference!$D$12)</f>
        <v>359250</v>
      </c>
      <c r="M1679" s="20"/>
      <c r="N1679" s="20"/>
      <c r="O1679" s="19"/>
      <c r="P1679" s="10"/>
      <c r="Q1679" s="10"/>
      <c r="R1679" s="10"/>
      <c r="S1679" s="10"/>
      <c r="T1679" s="10"/>
      <c r="U1679" s="10"/>
      <c r="V1679" s="10"/>
      <c r="W1679" s="10"/>
      <c r="X1679" s="10"/>
      <c r="Y1679" s="10"/>
    </row>
    <row r="1680" spans="1:25" x14ac:dyDescent="0.25">
      <c r="A1680" s="9">
        <v>42218</v>
      </c>
      <c r="B1680" s="10">
        <f ca="1">ROUND(_xlfn.NORM.INV(RAND(),Reference!$C$8,0.1*Reference!$C$8)*(1+Reference!$C$11*(IF(MONTH($A1680)=Reference!$C$4,1,0)+IF(MONTH($A1680)=Reference!$C$5,1,0))+(IF(MONTH($A1680)=Reference!$C$6,Reference!$C$13,0))),0)</f>
        <v>439</v>
      </c>
      <c r="C1680" s="11">
        <f ca="1">B1680*Reference!$C$7*(1-IF(MONTH($A1680)=Reference!$C$6,1,0)*Reference!$C$12)</f>
        <v>408270</v>
      </c>
      <c r="D1680" s="10">
        <f ca="1">ROUND(_xlfn.NORM.INV(RAND(),Reference!$D$8,0.1*Reference!$D$8)*(1+Reference!$D$11*(IF(MONTH($A1680)=Reference!$D$4,1,0)+IF(MONTH($A1680)=Reference!$D$5,1,0))+(IF(MONTH($A1680)=Reference!$D$6,Reference!$D$13,0))),0)</f>
        <v>595</v>
      </c>
      <c r="E1680" s="11">
        <f ca="1">D1680*Reference!$D$7*(1-IF(MONTH($A1680)=Reference!$D$6,1,0)*Reference!$D$12)</f>
        <v>446250</v>
      </c>
      <c r="M1680" s="20"/>
      <c r="N1680" s="20"/>
      <c r="O1680" s="19"/>
      <c r="P1680" s="10"/>
      <c r="Q1680" s="10"/>
      <c r="R1680" s="10"/>
      <c r="S1680" s="10"/>
      <c r="T1680" s="10"/>
      <c r="U1680" s="10"/>
      <c r="V1680" s="10"/>
      <c r="W1680" s="10"/>
      <c r="X1680" s="10"/>
      <c r="Y1680" s="10"/>
    </row>
    <row r="1681" spans="1:25" x14ac:dyDescent="0.25">
      <c r="A1681" s="9">
        <v>42219</v>
      </c>
      <c r="B1681" s="10">
        <f ca="1">ROUND(_xlfn.NORM.INV(RAND(),Reference!$C$8,0.1*Reference!$C$8)*(1+Reference!$C$11*(IF(MONTH($A1681)=Reference!$C$4,1,0)+IF(MONTH($A1681)=Reference!$C$5,1,0))+(IF(MONTH($A1681)=Reference!$C$6,Reference!$C$13,0))),0)</f>
        <v>383</v>
      </c>
      <c r="C1681" s="11">
        <f ca="1">B1681*Reference!$C$7*(1-IF(MONTH($A1681)=Reference!$C$6,1,0)*Reference!$C$12)</f>
        <v>356190</v>
      </c>
      <c r="D1681" s="10">
        <f ca="1">ROUND(_xlfn.NORM.INV(RAND(),Reference!$D$8,0.1*Reference!$D$8)*(1+Reference!$D$11*(IF(MONTH($A1681)=Reference!$D$4,1,0)+IF(MONTH($A1681)=Reference!$D$5,1,0))+(IF(MONTH($A1681)=Reference!$D$6,Reference!$D$13,0))),0)</f>
        <v>481</v>
      </c>
      <c r="E1681" s="11">
        <f ca="1">D1681*Reference!$D$7*(1-IF(MONTH($A1681)=Reference!$D$6,1,0)*Reference!$D$12)</f>
        <v>360750</v>
      </c>
      <c r="M1681" s="20"/>
      <c r="N1681" s="20"/>
      <c r="O1681" s="19"/>
      <c r="P1681" s="10"/>
      <c r="Q1681" s="10"/>
      <c r="R1681" s="10"/>
      <c r="S1681" s="10"/>
      <c r="T1681" s="10"/>
      <c r="U1681" s="10"/>
      <c r="V1681" s="10"/>
      <c r="W1681" s="10"/>
      <c r="X1681" s="10"/>
      <c r="Y1681" s="10"/>
    </row>
    <row r="1682" spans="1:25" x14ac:dyDescent="0.25">
      <c r="A1682" s="9">
        <v>42220</v>
      </c>
      <c r="B1682" s="10">
        <f ca="1">ROUND(_xlfn.NORM.INV(RAND(),Reference!$C$8,0.1*Reference!$C$8)*(1+Reference!$C$11*(IF(MONTH($A1682)=Reference!$C$4,1,0)+IF(MONTH($A1682)=Reference!$C$5,1,0))+(IF(MONTH($A1682)=Reference!$C$6,Reference!$C$13,0))),0)</f>
        <v>365</v>
      </c>
      <c r="C1682" s="11">
        <f ca="1">B1682*Reference!$C$7*(1-IF(MONTH($A1682)=Reference!$C$6,1,0)*Reference!$C$12)</f>
        <v>339450</v>
      </c>
      <c r="D1682" s="10">
        <f ca="1">ROUND(_xlfn.NORM.INV(RAND(),Reference!$D$8,0.1*Reference!$D$8)*(1+Reference!$D$11*(IF(MONTH($A1682)=Reference!$D$4,1,0)+IF(MONTH($A1682)=Reference!$D$5,1,0))+(IF(MONTH($A1682)=Reference!$D$6,Reference!$D$13,0))),0)</f>
        <v>471</v>
      </c>
      <c r="E1682" s="11">
        <f ca="1">D1682*Reference!$D$7*(1-IF(MONTH($A1682)=Reference!$D$6,1,0)*Reference!$D$12)</f>
        <v>353250</v>
      </c>
      <c r="M1682" s="20"/>
      <c r="N1682" s="20"/>
      <c r="O1682" s="19"/>
      <c r="P1682" s="10"/>
      <c r="Q1682" s="10"/>
      <c r="R1682" s="10"/>
      <c r="S1682" s="10"/>
      <c r="T1682" s="10"/>
      <c r="U1682" s="10"/>
      <c r="V1682" s="10"/>
      <c r="W1682" s="10"/>
      <c r="X1682" s="10"/>
      <c r="Y1682" s="10"/>
    </row>
    <row r="1683" spans="1:25" x14ac:dyDescent="0.25">
      <c r="A1683" s="9">
        <v>42221</v>
      </c>
      <c r="B1683" s="10">
        <f ca="1">ROUND(_xlfn.NORM.INV(RAND(),Reference!$C$8,0.1*Reference!$C$8)*(1+Reference!$C$11*(IF(MONTH($A1683)=Reference!$C$4,1,0)+IF(MONTH($A1683)=Reference!$C$5,1,0))+(IF(MONTH($A1683)=Reference!$C$6,Reference!$C$13,0))),0)</f>
        <v>348</v>
      </c>
      <c r="C1683" s="11">
        <f ca="1">B1683*Reference!$C$7*(1-IF(MONTH($A1683)=Reference!$C$6,1,0)*Reference!$C$12)</f>
        <v>323640</v>
      </c>
      <c r="D1683" s="10">
        <f ca="1">ROUND(_xlfn.NORM.INV(RAND(),Reference!$D$8,0.1*Reference!$D$8)*(1+Reference!$D$11*(IF(MONTH($A1683)=Reference!$D$4,1,0)+IF(MONTH($A1683)=Reference!$D$5,1,0))+(IF(MONTH($A1683)=Reference!$D$6,Reference!$D$13,0))),0)</f>
        <v>501</v>
      </c>
      <c r="E1683" s="11">
        <f ca="1">D1683*Reference!$D$7*(1-IF(MONTH($A1683)=Reference!$D$6,1,0)*Reference!$D$12)</f>
        <v>375750</v>
      </c>
      <c r="M1683" s="20"/>
      <c r="N1683" s="20"/>
      <c r="O1683" s="19"/>
      <c r="P1683" s="10"/>
      <c r="Q1683" s="10"/>
      <c r="R1683" s="10"/>
      <c r="S1683" s="10"/>
      <c r="T1683" s="10"/>
      <c r="U1683" s="10"/>
      <c r="V1683" s="10"/>
      <c r="W1683" s="10"/>
      <c r="X1683" s="10"/>
      <c r="Y1683" s="10"/>
    </row>
    <row r="1684" spans="1:25" x14ac:dyDescent="0.25">
      <c r="A1684" s="9">
        <v>42222</v>
      </c>
      <c r="B1684" s="10">
        <f ca="1">ROUND(_xlfn.NORM.INV(RAND(),Reference!$C$8,0.1*Reference!$C$8)*(1+Reference!$C$11*(IF(MONTH($A1684)=Reference!$C$4,1,0)+IF(MONTH($A1684)=Reference!$C$5,1,0))+(IF(MONTH($A1684)=Reference!$C$6,Reference!$C$13,0))),0)</f>
        <v>417</v>
      </c>
      <c r="C1684" s="11">
        <f ca="1">B1684*Reference!$C$7*(1-IF(MONTH($A1684)=Reference!$C$6,1,0)*Reference!$C$12)</f>
        <v>387810</v>
      </c>
      <c r="D1684" s="10">
        <f ca="1">ROUND(_xlfn.NORM.INV(RAND(),Reference!$D$8,0.1*Reference!$D$8)*(1+Reference!$D$11*(IF(MONTH($A1684)=Reference!$D$4,1,0)+IF(MONTH($A1684)=Reference!$D$5,1,0))+(IF(MONTH($A1684)=Reference!$D$6,Reference!$D$13,0))),0)</f>
        <v>472</v>
      </c>
      <c r="E1684" s="11">
        <f ca="1">D1684*Reference!$D$7*(1-IF(MONTH($A1684)=Reference!$D$6,1,0)*Reference!$D$12)</f>
        <v>354000</v>
      </c>
      <c r="M1684" s="20"/>
      <c r="N1684" s="20"/>
      <c r="O1684" s="19"/>
      <c r="P1684" s="10"/>
      <c r="Q1684" s="10"/>
      <c r="R1684" s="10"/>
      <c r="S1684" s="10"/>
      <c r="T1684" s="10"/>
      <c r="U1684" s="10"/>
      <c r="V1684" s="10"/>
      <c r="W1684" s="10"/>
      <c r="X1684" s="10"/>
      <c r="Y1684" s="10"/>
    </row>
    <row r="1685" spans="1:25" x14ac:dyDescent="0.25">
      <c r="A1685" s="9">
        <v>42223</v>
      </c>
      <c r="B1685" s="10">
        <f ca="1">ROUND(_xlfn.NORM.INV(RAND(),Reference!$C$8,0.1*Reference!$C$8)*(1+Reference!$C$11*(IF(MONTH($A1685)=Reference!$C$4,1,0)+IF(MONTH($A1685)=Reference!$C$5,1,0))+(IF(MONTH($A1685)=Reference!$C$6,Reference!$C$13,0))),0)</f>
        <v>390</v>
      </c>
      <c r="C1685" s="11">
        <f ca="1">B1685*Reference!$C$7*(1-IF(MONTH($A1685)=Reference!$C$6,1,0)*Reference!$C$12)</f>
        <v>362700</v>
      </c>
      <c r="D1685" s="10">
        <f ca="1">ROUND(_xlfn.NORM.INV(RAND(),Reference!$D$8,0.1*Reference!$D$8)*(1+Reference!$D$11*(IF(MONTH($A1685)=Reference!$D$4,1,0)+IF(MONTH($A1685)=Reference!$D$5,1,0))+(IF(MONTH($A1685)=Reference!$D$6,Reference!$D$13,0))),0)</f>
        <v>534</v>
      </c>
      <c r="E1685" s="11">
        <f ca="1">D1685*Reference!$D$7*(1-IF(MONTH($A1685)=Reference!$D$6,1,0)*Reference!$D$12)</f>
        <v>400500</v>
      </c>
      <c r="M1685" s="20"/>
      <c r="N1685" s="20"/>
      <c r="O1685" s="19"/>
      <c r="P1685" s="10"/>
      <c r="Q1685" s="10"/>
      <c r="R1685" s="10"/>
      <c r="S1685" s="10"/>
      <c r="T1685" s="10"/>
      <c r="U1685" s="10"/>
      <c r="V1685" s="10"/>
      <c r="W1685" s="10"/>
      <c r="X1685" s="10"/>
      <c r="Y1685" s="10"/>
    </row>
    <row r="1686" spans="1:25" x14ac:dyDescent="0.25">
      <c r="A1686" s="9">
        <v>42224</v>
      </c>
      <c r="B1686" s="10">
        <f ca="1">ROUND(_xlfn.NORM.INV(RAND(),Reference!$C$8,0.1*Reference!$C$8)*(1+Reference!$C$11*(IF(MONTH($A1686)=Reference!$C$4,1,0)+IF(MONTH($A1686)=Reference!$C$5,1,0))+(IF(MONTH($A1686)=Reference!$C$6,Reference!$C$13,0))),0)</f>
        <v>389</v>
      </c>
      <c r="C1686" s="11">
        <f ca="1">B1686*Reference!$C$7*(1-IF(MONTH($A1686)=Reference!$C$6,1,0)*Reference!$C$12)</f>
        <v>361770</v>
      </c>
      <c r="D1686" s="10">
        <f ca="1">ROUND(_xlfn.NORM.INV(RAND(),Reference!$D$8,0.1*Reference!$D$8)*(1+Reference!$D$11*(IF(MONTH($A1686)=Reference!$D$4,1,0)+IF(MONTH($A1686)=Reference!$D$5,1,0))+(IF(MONTH($A1686)=Reference!$D$6,Reference!$D$13,0))),0)</f>
        <v>576</v>
      </c>
      <c r="E1686" s="11">
        <f ca="1">D1686*Reference!$D$7*(1-IF(MONTH($A1686)=Reference!$D$6,1,0)*Reference!$D$12)</f>
        <v>432000</v>
      </c>
      <c r="M1686" s="20"/>
      <c r="N1686" s="20"/>
      <c r="O1686" s="19"/>
      <c r="P1686" s="10"/>
      <c r="Q1686" s="10"/>
      <c r="R1686" s="10"/>
      <c r="S1686" s="10"/>
      <c r="T1686" s="10"/>
      <c r="U1686" s="10"/>
      <c r="V1686" s="10"/>
      <c r="W1686" s="10"/>
      <c r="X1686" s="10"/>
      <c r="Y1686" s="10"/>
    </row>
    <row r="1687" spans="1:25" x14ac:dyDescent="0.25">
      <c r="A1687" s="9">
        <v>42225</v>
      </c>
      <c r="B1687" s="10">
        <f ca="1">ROUND(_xlfn.NORM.INV(RAND(),Reference!$C$8,0.1*Reference!$C$8)*(1+Reference!$C$11*(IF(MONTH($A1687)=Reference!$C$4,1,0)+IF(MONTH($A1687)=Reference!$C$5,1,0))+(IF(MONTH($A1687)=Reference!$C$6,Reference!$C$13,0))),0)</f>
        <v>378</v>
      </c>
      <c r="C1687" s="11">
        <f ca="1">B1687*Reference!$C$7*(1-IF(MONTH($A1687)=Reference!$C$6,1,0)*Reference!$C$12)</f>
        <v>351540</v>
      </c>
      <c r="D1687" s="10">
        <f ca="1">ROUND(_xlfn.NORM.INV(RAND(),Reference!$D$8,0.1*Reference!$D$8)*(1+Reference!$D$11*(IF(MONTH($A1687)=Reference!$D$4,1,0)+IF(MONTH($A1687)=Reference!$D$5,1,0))+(IF(MONTH($A1687)=Reference!$D$6,Reference!$D$13,0))),0)</f>
        <v>462</v>
      </c>
      <c r="E1687" s="11">
        <f ca="1">D1687*Reference!$D$7*(1-IF(MONTH($A1687)=Reference!$D$6,1,0)*Reference!$D$12)</f>
        <v>346500</v>
      </c>
      <c r="M1687" s="20"/>
      <c r="N1687" s="20"/>
      <c r="O1687" s="19"/>
      <c r="P1687" s="10"/>
      <c r="Q1687" s="10"/>
      <c r="R1687" s="10"/>
      <c r="S1687" s="10"/>
      <c r="T1687" s="10"/>
      <c r="U1687" s="10"/>
      <c r="V1687" s="10"/>
      <c r="W1687" s="10"/>
      <c r="X1687" s="10"/>
      <c r="Y1687" s="10"/>
    </row>
    <row r="1688" spans="1:25" x14ac:dyDescent="0.25">
      <c r="A1688" s="9">
        <v>42226</v>
      </c>
      <c r="B1688" s="10">
        <f ca="1">ROUND(_xlfn.NORM.INV(RAND(),Reference!$C$8,0.1*Reference!$C$8)*(1+Reference!$C$11*(IF(MONTH($A1688)=Reference!$C$4,1,0)+IF(MONTH($A1688)=Reference!$C$5,1,0))+(IF(MONTH($A1688)=Reference!$C$6,Reference!$C$13,0))),0)</f>
        <v>365</v>
      </c>
      <c r="C1688" s="11">
        <f ca="1">B1688*Reference!$C$7*(1-IF(MONTH($A1688)=Reference!$C$6,1,0)*Reference!$C$12)</f>
        <v>339450</v>
      </c>
      <c r="D1688" s="10">
        <f ca="1">ROUND(_xlfn.NORM.INV(RAND(),Reference!$D$8,0.1*Reference!$D$8)*(1+Reference!$D$11*(IF(MONTH($A1688)=Reference!$D$4,1,0)+IF(MONTH($A1688)=Reference!$D$5,1,0))+(IF(MONTH($A1688)=Reference!$D$6,Reference!$D$13,0))),0)</f>
        <v>473</v>
      </c>
      <c r="E1688" s="11">
        <f ca="1">D1688*Reference!$D$7*(1-IF(MONTH($A1688)=Reference!$D$6,1,0)*Reference!$D$12)</f>
        <v>354750</v>
      </c>
      <c r="M1688" s="20"/>
      <c r="N1688" s="20"/>
      <c r="O1688" s="19"/>
      <c r="P1688" s="10"/>
      <c r="Q1688" s="10"/>
      <c r="R1688" s="10"/>
      <c r="S1688" s="10"/>
      <c r="T1688" s="10"/>
      <c r="U1688" s="10"/>
      <c r="V1688" s="10"/>
      <c r="W1688" s="10"/>
      <c r="X1688" s="10"/>
      <c r="Y1688" s="10"/>
    </row>
    <row r="1689" spans="1:25" x14ac:dyDescent="0.25">
      <c r="A1689" s="9">
        <v>42227</v>
      </c>
      <c r="B1689" s="10">
        <f ca="1">ROUND(_xlfn.NORM.INV(RAND(),Reference!$C$8,0.1*Reference!$C$8)*(1+Reference!$C$11*(IF(MONTH($A1689)=Reference!$C$4,1,0)+IF(MONTH($A1689)=Reference!$C$5,1,0))+(IF(MONTH($A1689)=Reference!$C$6,Reference!$C$13,0))),0)</f>
        <v>331</v>
      </c>
      <c r="C1689" s="11">
        <f ca="1">B1689*Reference!$C$7*(1-IF(MONTH($A1689)=Reference!$C$6,1,0)*Reference!$C$12)</f>
        <v>307830</v>
      </c>
      <c r="D1689" s="10">
        <f ca="1">ROUND(_xlfn.NORM.INV(RAND(),Reference!$D$8,0.1*Reference!$D$8)*(1+Reference!$D$11*(IF(MONTH($A1689)=Reference!$D$4,1,0)+IF(MONTH($A1689)=Reference!$D$5,1,0))+(IF(MONTH($A1689)=Reference!$D$6,Reference!$D$13,0))),0)</f>
        <v>416</v>
      </c>
      <c r="E1689" s="11">
        <f ca="1">D1689*Reference!$D$7*(1-IF(MONTH($A1689)=Reference!$D$6,1,0)*Reference!$D$12)</f>
        <v>312000</v>
      </c>
      <c r="M1689" s="20"/>
      <c r="N1689" s="20"/>
      <c r="O1689" s="19"/>
      <c r="P1689" s="10"/>
      <c r="Q1689" s="10"/>
      <c r="R1689" s="10"/>
      <c r="S1689" s="10"/>
      <c r="T1689" s="10"/>
      <c r="U1689" s="10"/>
      <c r="V1689" s="10"/>
      <c r="W1689" s="10"/>
      <c r="X1689" s="10"/>
      <c r="Y1689" s="10"/>
    </row>
    <row r="1690" spans="1:25" x14ac:dyDescent="0.25">
      <c r="A1690" s="9">
        <v>42228</v>
      </c>
      <c r="B1690" s="10">
        <f ca="1">ROUND(_xlfn.NORM.INV(RAND(),Reference!$C$8,0.1*Reference!$C$8)*(1+Reference!$C$11*(IF(MONTH($A1690)=Reference!$C$4,1,0)+IF(MONTH($A1690)=Reference!$C$5,1,0))+(IF(MONTH($A1690)=Reference!$C$6,Reference!$C$13,0))),0)</f>
        <v>406</v>
      </c>
      <c r="C1690" s="11">
        <f ca="1">B1690*Reference!$C$7*(1-IF(MONTH($A1690)=Reference!$C$6,1,0)*Reference!$C$12)</f>
        <v>377580</v>
      </c>
      <c r="D1690" s="10">
        <f ca="1">ROUND(_xlfn.NORM.INV(RAND(),Reference!$D$8,0.1*Reference!$D$8)*(1+Reference!$D$11*(IF(MONTH($A1690)=Reference!$D$4,1,0)+IF(MONTH($A1690)=Reference!$D$5,1,0))+(IF(MONTH($A1690)=Reference!$D$6,Reference!$D$13,0))),0)</f>
        <v>482</v>
      </c>
      <c r="E1690" s="11">
        <f ca="1">D1690*Reference!$D$7*(1-IF(MONTH($A1690)=Reference!$D$6,1,0)*Reference!$D$12)</f>
        <v>361500</v>
      </c>
      <c r="M1690" s="20"/>
      <c r="N1690" s="20"/>
      <c r="O1690" s="19"/>
      <c r="P1690" s="10"/>
      <c r="Q1690" s="10"/>
      <c r="R1690" s="10"/>
      <c r="S1690" s="10"/>
      <c r="T1690" s="10"/>
      <c r="U1690" s="10"/>
      <c r="V1690" s="10"/>
      <c r="W1690" s="10"/>
      <c r="X1690" s="10"/>
      <c r="Y1690" s="10"/>
    </row>
    <row r="1691" spans="1:25" x14ac:dyDescent="0.25">
      <c r="A1691" s="9">
        <v>42229</v>
      </c>
      <c r="B1691" s="10">
        <f ca="1">ROUND(_xlfn.NORM.INV(RAND(),Reference!$C$8,0.1*Reference!$C$8)*(1+Reference!$C$11*(IF(MONTH($A1691)=Reference!$C$4,1,0)+IF(MONTH($A1691)=Reference!$C$5,1,0))+(IF(MONTH($A1691)=Reference!$C$6,Reference!$C$13,0))),0)</f>
        <v>288</v>
      </c>
      <c r="C1691" s="11">
        <f ca="1">B1691*Reference!$C$7*(1-IF(MONTH($A1691)=Reference!$C$6,1,0)*Reference!$C$12)</f>
        <v>267840</v>
      </c>
      <c r="D1691" s="10">
        <f ca="1">ROUND(_xlfn.NORM.INV(RAND(),Reference!$D$8,0.1*Reference!$D$8)*(1+Reference!$D$11*(IF(MONTH($A1691)=Reference!$D$4,1,0)+IF(MONTH($A1691)=Reference!$D$5,1,0))+(IF(MONTH($A1691)=Reference!$D$6,Reference!$D$13,0))),0)</f>
        <v>458</v>
      </c>
      <c r="E1691" s="11">
        <f ca="1">D1691*Reference!$D$7*(1-IF(MONTH($A1691)=Reference!$D$6,1,0)*Reference!$D$12)</f>
        <v>343500</v>
      </c>
      <c r="M1691" s="20"/>
      <c r="N1691" s="20"/>
      <c r="O1691" s="19"/>
      <c r="P1691" s="10"/>
      <c r="Q1691" s="10"/>
      <c r="R1691" s="10"/>
      <c r="S1691" s="10"/>
      <c r="T1691" s="10"/>
      <c r="U1691" s="10"/>
      <c r="V1691" s="10"/>
      <c r="W1691" s="10"/>
      <c r="X1691" s="10"/>
      <c r="Y1691" s="10"/>
    </row>
    <row r="1692" spans="1:25" x14ac:dyDescent="0.25">
      <c r="A1692" s="9">
        <v>42230</v>
      </c>
      <c r="B1692" s="10">
        <f ca="1">ROUND(_xlfn.NORM.INV(RAND(),Reference!$C$8,0.1*Reference!$C$8)*(1+Reference!$C$11*(IF(MONTH($A1692)=Reference!$C$4,1,0)+IF(MONTH($A1692)=Reference!$C$5,1,0))+(IF(MONTH($A1692)=Reference!$C$6,Reference!$C$13,0))),0)</f>
        <v>270</v>
      </c>
      <c r="C1692" s="11">
        <f ca="1">B1692*Reference!$C$7*(1-IF(MONTH($A1692)=Reference!$C$6,1,0)*Reference!$C$12)</f>
        <v>251100</v>
      </c>
      <c r="D1692" s="10">
        <f ca="1">ROUND(_xlfn.NORM.INV(RAND(),Reference!$D$8,0.1*Reference!$D$8)*(1+Reference!$D$11*(IF(MONTH($A1692)=Reference!$D$4,1,0)+IF(MONTH($A1692)=Reference!$D$5,1,0))+(IF(MONTH($A1692)=Reference!$D$6,Reference!$D$13,0))),0)</f>
        <v>543</v>
      </c>
      <c r="E1692" s="11">
        <f ca="1">D1692*Reference!$D$7*(1-IF(MONTH($A1692)=Reference!$D$6,1,0)*Reference!$D$12)</f>
        <v>407250</v>
      </c>
      <c r="M1692" s="20"/>
      <c r="N1692" s="20"/>
      <c r="O1692" s="19"/>
      <c r="P1692" s="10"/>
      <c r="Q1692" s="10"/>
      <c r="R1692" s="10"/>
      <c r="S1692" s="10"/>
      <c r="T1692" s="10"/>
      <c r="U1692" s="10"/>
      <c r="V1692" s="10"/>
      <c r="W1692" s="10"/>
      <c r="X1692" s="10"/>
      <c r="Y1692" s="10"/>
    </row>
    <row r="1693" spans="1:25" x14ac:dyDescent="0.25">
      <c r="A1693" s="9">
        <v>42231</v>
      </c>
      <c r="B1693" s="10">
        <f ca="1">ROUND(_xlfn.NORM.INV(RAND(),Reference!$C$8,0.1*Reference!$C$8)*(1+Reference!$C$11*(IF(MONTH($A1693)=Reference!$C$4,1,0)+IF(MONTH($A1693)=Reference!$C$5,1,0))+(IF(MONTH($A1693)=Reference!$C$6,Reference!$C$13,0))),0)</f>
        <v>349</v>
      </c>
      <c r="C1693" s="11">
        <f ca="1">B1693*Reference!$C$7*(1-IF(MONTH($A1693)=Reference!$C$6,1,0)*Reference!$C$12)</f>
        <v>324570</v>
      </c>
      <c r="D1693" s="10">
        <f ca="1">ROUND(_xlfn.NORM.INV(RAND(),Reference!$D$8,0.1*Reference!$D$8)*(1+Reference!$D$11*(IF(MONTH($A1693)=Reference!$D$4,1,0)+IF(MONTH($A1693)=Reference!$D$5,1,0))+(IF(MONTH($A1693)=Reference!$D$6,Reference!$D$13,0))),0)</f>
        <v>500</v>
      </c>
      <c r="E1693" s="11">
        <f ca="1">D1693*Reference!$D$7*(1-IF(MONTH($A1693)=Reference!$D$6,1,0)*Reference!$D$12)</f>
        <v>375000</v>
      </c>
      <c r="M1693" s="20"/>
      <c r="N1693" s="20"/>
      <c r="O1693" s="19"/>
      <c r="P1693" s="10"/>
      <c r="Q1693" s="10"/>
      <c r="R1693" s="10"/>
      <c r="S1693" s="10"/>
      <c r="T1693" s="10"/>
      <c r="U1693" s="10"/>
      <c r="V1693" s="10"/>
      <c r="W1693" s="10"/>
      <c r="X1693" s="10"/>
      <c r="Y1693" s="10"/>
    </row>
    <row r="1694" spans="1:25" x14ac:dyDescent="0.25">
      <c r="A1694" s="9">
        <v>42232</v>
      </c>
      <c r="B1694" s="10">
        <f ca="1">ROUND(_xlfn.NORM.INV(RAND(),Reference!$C$8,0.1*Reference!$C$8)*(1+Reference!$C$11*(IF(MONTH($A1694)=Reference!$C$4,1,0)+IF(MONTH($A1694)=Reference!$C$5,1,0))+(IF(MONTH($A1694)=Reference!$C$6,Reference!$C$13,0))),0)</f>
        <v>391</v>
      </c>
      <c r="C1694" s="11">
        <f ca="1">B1694*Reference!$C$7*(1-IF(MONTH($A1694)=Reference!$C$6,1,0)*Reference!$C$12)</f>
        <v>363630</v>
      </c>
      <c r="D1694" s="10">
        <f ca="1">ROUND(_xlfn.NORM.INV(RAND(),Reference!$D$8,0.1*Reference!$D$8)*(1+Reference!$D$11*(IF(MONTH($A1694)=Reference!$D$4,1,0)+IF(MONTH($A1694)=Reference!$D$5,1,0))+(IF(MONTH($A1694)=Reference!$D$6,Reference!$D$13,0))),0)</f>
        <v>462</v>
      </c>
      <c r="E1694" s="11">
        <f ca="1">D1694*Reference!$D$7*(1-IF(MONTH($A1694)=Reference!$D$6,1,0)*Reference!$D$12)</f>
        <v>346500</v>
      </c>
      <c r="M1694" s="20"/>
      <c r="N1694" s="20"/>
      <c r="O1694" s="19"/>
      <c r="P1694" s="10"/>
      <c r="Q1694" s="10"/>
      <c r="R1694" s="10"/>
      <c r="S1694" s="10"/>
      <c r="T1694" s="10"/>
      <c r="U1694" s="10"/>
      <c r="V1694" s="10"/>
      <c r="W1694" s="10"/>
      <c r="X1694" s="10"/>
      <c r="Y1694" s="10"/>
    </row>
    <row r="1695" spans="1:25" x14ac:dyDescent="0.25">
      <c r="A1695" s="9">
        <v>42233</v>
      </c>
      <c r="B1695" s="10">
        <f ca="1">ROUND(_xlfn.NORM.INV(RAND(),Reference!$C$8,0.1*Reference!$C$8)*(1+Reference!$C$11*(IF(MONTH($A1695)=Reference!$C$4,1,0)+IF(MONTH($A1695)=Reference!$C$5,1,0))+(IF(MONTH($A1695)=Reference!$C$6,Reference!$C$13,0))),0)</f>
        <v>356</v>
      </c>
      <c r="C1695" s="11">
        <f ca="1">B1695*Reference!$C$7*(1-IF(MONTH($A1695)=Reference!$C$6,1,0)*Reference!$C$12)</f>
        <v>331080</v>
      </c>
      <c r="D1695" s="10">
        <f ca="1">ROUND(_xlfn.NORM.INV(RAND(),Reference!$D$8,0.1*Reference!$D$8)*(1+Reference!$D$11*(IF(MONTH($A1695)=Reference!$D$4,1,0)+IF(MONTH($A1695)=Reference!$D$5,1,0))+(IF(MONTH($A1695)=Reference!$D$6,Reference!$D$13,0))),0)</f>
        <v>524</v>
      </c>
      <c r="E1695" s="11">
        <f ca="1">D1695*Reference!$D$7*(1-IF(MONTH($A1695)=Reference!$D$6,1,0)*Reference!$D$12)</f>
        <v>393000</v>
      </c>
      <c r="M1695" s="20"/>
      <c r="N1695" s="20"/>
      <c r="O1695" s="19"/>
      <c r="P1695" s="10"/>
      <c r="Q1695" s="10"/>
      <c r="R1695" s="10"/>
      <c r="S1695" s="10"/>
      <c r="T1695" s="10"/>
      <c r="U1695" s="10"/>
      <c r="V1695" s="10"/>
      <c r="W1695" s="10"/>
      <c r="X1695" s="10"/>
      <c r="Y1695" s="10"/>
    </row>
    <row r="1696" spans="1:25" x14ac:dyDescent="0.25">
      <c r="A1696" s="9">
        <v>42234</v>
      </c>
      <c r="B1696" s="10">
        <f ca="1">ROUND(_xlfn.NORM.INV(RAND(),Reference!$C$8,0.1*Reference!$C$8)*(1+Reference!$C$11*(IF(MONTH($A1696)=Reference!$C$4,1,0)+IF(MONTH($A1696)=Reference!$C$5,1,0))+(IF(MONTH($A1696)=Reference!$C$6,Reference!$C$13,0))),0)</f>
        <v>362</v>
      </c>
      <c r="C1696" s="11">
        <f ca="1">B1696*Reference!$C$7*(1-IF(MONTH($A1696)=Reference!$C$6,1,0)*Reference!$C$12)</f>
        <v>336660</v>
      </c>
      <c r="D1696" s="10">
        <f ca="1">ROUND(_xlfn.NORM.INV(RAND(),Reference!$D$8,0.1*Reference!$D$8)*(1+Reference!$D$11*(IF(MONTH($A1696)=Reference!$D$4,1,0)+IF(MONTH($A1696)=Reference!$D$5,1,0))+(IF(MONTH($A1696)=Reference!$D$6,Reference!$D$13,0))),0)</f>
        <v>455</v>
      </c>
      <c r="E1696" s="11">
        <f ca="1">D1696*Reference!$D$7*(1-IF(MONTH($A1696)=Reference!$D$6,1,0)*Reference!$D$12)</f>
        <v>341250</v>
      </c>
      <c r="M1696" s="20"/>
      <c r="N1696" s="20"/>
      <c r="O1696" s="19"/>
      <c r="P1696" s="10"/>
      <c r="Q1696" s="10"/>
      <c r="R1696" s="10"/>
      <c r="S1696" s="10"/>
      <c r="T1696" s="10"/>
      <c r="U1696" s="10"/>
      <c r="V1696" s="10"/>
      <c r="W1696" s="10"/>
      <c r="X1696" s="10"/>
      <c r="Y1696" s="10"/>
    </row>
    <row r="1697" spans="1:25" x14ac:dyDescent="0.25">
      <c r="A1697" s="9">
        <v>42235</v>
      </c>
      <c r="B1697" s="10">
        <f ca="1">ROUND(_xlfn.NORM.INV(RAND(),Reference!$C$8,0.1*Reference!$C$8)*(1+Reference!$C$11*(IF(MONTH($A1697)=Reference!$C$4,1,0)+IF(MONTH($A1697)=Reference!$C$5,1,0))+(IF(MONTH($A1697)=Reference!$C$6,Reference!$C$13,0))),0)</f>
        <v>477</v>
      </c>
      <c r="C1697" s="11">
        <f ca="1">B1697*Reference!$C$7*(1-IF(MONTH($A1697)=Reference!$C$6,1,0)*Reference!$C$12)</f>
        <v>443610</v>
      </c>
      <c r="D1697" s="10">
        <f ca="1">ROUND(_xlfn.NORM.INV(RAND(),Reference!$D$8,0.1*Reference!$D$8)*(1+Reference!$D$11*(IF(MONTH($A1697)=Reference!$D$4,1,0)+IF(MONTH($A1697)=Reference!$D$5,1,0))+(IF(MONTH($A1697)=Reference!$D$6,Reference!$D$13,0))),0)</f>
        <v>504</v>
      </c>
      <c r="E1697" s="11">
        <f ca="1">D1697*Reference!$D$7*(1-IF(MONTH($A1697)=Reference!$D$6,1,0)*Reference!$D$12)</f>
        <v>378000</v>
      </c>
      <c r="M1697" s="20"/>
      <c r="N1697" s="20"/>
      <c r="O1697" s="19"/>
      <c r="P1697" s="10"/>
      <c r="Q1697" s="10"/>
      <c r="R1697" s="10"/>
      <c r="S1697" s="10"/>
      <c r="T1697" s="10"/>
      <c r="U1697" s="10"/>
      <c r="V1697" s="10"/>
      <c r="W1697" s="10"/>
      <c r="X1697" s="10"/>
      <c r="Y1697" s="10"/>
    </row>
    <row r="1698" spans="1:25" x14ac:dyDescent="0.25">
      <c r="A1698" s="9">
        <v>42236</v>
      </c>
      <c r="B1698" s="10">
        <f ca="1">ROUND(_xlfn.NORM.INV(RAND(),Reference!$C$8,0.1*Reference!$C$8)*(1+Reference!$C$11*(IF(MONTH($A1698)=Reference!$C$4,1,0)+IF(MONTH($A1698)=Reference!$C$5,1,0))+(IF(MONTH($A1698)=Reference!$C$6,Reference!$C$13,0))),0)</f>
        <v>409</v>
      </c>
      <c r="C1698" s="11">
        <f ca="1">B1698*Reference!$C$7*(1-IF(MONTH($A1698)=Reference!$C$6,1,0)*Reference!$C$12)</f>
        <v>380370</v>
      </c>
      <c r="D1698" s="10">
        <f ca="1">ROUND(_xlfn.NORM.INV(RAND(),Reference!$D$8,0.1*Reference!$D$8)*(1+Reference!$D$11*(IF(MONTH($A1698)=Reference!$D$4,1,0)+IF(MONTH($A1698)=Reference!$D$5,1,0))+(IF(MONTH($A1698)=Reference!$D$6,Reference!$D$13,0))),0)</f>
        <v>463</v>
      </c>
      <c r="E1698" s="11">
        <f ca="1">D1698*Reference!$D$7*(1-IF(MONTH($A1698)=Reference!$D$6,1,0)*Reference!$D$12)</f>
        <v>347250</v>
      </c>
      <c r="M1698" s="20"/>
      <c r="N1698" s="20"/>
      <c r="O1698" s="19"/>
      <c r="P1698" s="10"/>
      <c r="Q1698" s="10"/>
      <c r="R1698" s="10"/>
      <c r="S1698" s="10"/>
      <c r="T1698" s="10"/>
      <c r="U1698" s="10"/>
      <c r="V1698" s="10"/>
      <c r="W1698" s="10"/>
      <c r="X1698" s="10"/>
      <c r="Y1698" s="10"/>
    </row>
    <row r="1699" spans="1:25" x14ac:dyDescent="0.25">
      <c r="A1699" s="9">
        <v>42237</v>
      </c>
      <c r="B1699" s="10">
        <f ca="1">ROUND(_xlfn.NORM.INV(RAND(),Reference!$C$8,0.1*Reference!$C$8)*(1+Reference!$C$11*(IF(MONTH($A1699)=Reference!$C$4,1,0)+IF(MONTH($A1699)=Reference!$C$5,1,0))+(IF(MONTH($A1699)=Reference!$C$6,Reference!$C$13,0))),0)</f>
        <v>350</v>
      </c>
      <c r="C1699" s="11">
        <f ca="1">B1699*Reference!$C$7*(1-IF(MONTH($A1699)=Reference!$C$6,1,0)*Reference!$C$12)</f>
        <v>325500</v>
      </c>
      <c r="D1699" s="10">
        <f ca="1">ROUND(_xlfn.NORM.INV(RAND(),Reference!$D$8,0.1*Reference!$D$8)*(1+Reference!$D$11*(IF(MONTH($A1699)=Reference!$D$4,1,0)+IF(MONTH($A1699)=Reference!$D$5,1,0))+(IF(MONTH($A1699)=Reference!$D$6,Reference!$D$13,0))),0)</f>
        <v>554</v>
      </c>
      <c r="E1699" s="11">
        <f ca="1">D1699*Reference!$D$7*(1-IF(MONTH($A1699)=Reference!$D$6,1,0)*Reference!$D$12)</f>
        <v>415500</v>
      </c>
      <c r="M1699" s="20"/>
      <c r="N1699" s="20"/>
      <c r="O1699" s="19"/>
      <c r="P1699" s="10"/>
      <c r="Q1699" s="10"/>
      <c r="R1699" s="10"/>
      <c r="S1699" s="10"/>
      <c r="T1699" s="10"/>
      <c r="U1699" s="10"/>
      <c r="V1699" s="10"/>
      <c r="W1699" s="10"/>
      <c r="X1699" s="10"/>
      <c r="Y1699" s="10"/>
    </row>
    <row r="1700" spans="1:25" x14ac:dyDescent="0.25">
      <c r="A1700" s="9">
        <v>42238</v>
      </c>
      <c r="B1700" s="10">
        <f ca="1">ROUND(_xlfn.NORM.INV(RAND(),Reference!$C$8,0.1*Reference!$C$8)*(1+Reference!$C$11*(IF(MONTH($A1700)=Reference!$C$4,1,0)+IF(MONTH($A1700)=Reference!$C$5,1,0))+(IF(MONTH($A1700)=Reference!$C$6,Reference!$C$13,0))),0)</f>
        <v>350</v>
      </c>
      <c r="C1700" s="11">
        <f ca="1">B1700*Reference!$C$7*(1-IF(MONTH($A1700)=Reference!$C$6,1,0)*Reference!$C$12)</f>
        <v>325500</v>
      </c>
      <c r="D1700" s="10">
        <f ca="1">ROUND(_xlfn.NORM.INV(RAND(),Reference!$D$8,0.1*Reference!$D$8)*(1+Reference!$D$11*(IF(MONTH($A1700)=Reference!$D$4,1,0)+IF(MONTH($A1700)=Reference!$D$5,1,0))+(IF(MONTH($A1700)=Reference!$D$6,Reference!$D$13,0))),0)</f>
        <v>548</v>
      </c>
      <c r="E1700" s="11">
        <f ca="1">D1700*Reference!$D$7*(1-IF(MONTH($A1700)=Reference!$D$6,1,0)*Reference!$D$12)</f>
        <v>411000</v>
      </c>
      <c r="M1700" s="20"/>
      <c r="N1700" s="20"/>
      <c r="O1700" s="19"/>
      <c r="P1700" s="10"/>
      <c r="Q1700" s="10"/>
      <c r="R1700" s="10"/>
      <c r="S1700" s="10"/>
      <c r="T1700" s="10"/>
      <c r="U1700" s="10"/>
      <c r="V1700" s="10"/>
      <c r="W1700" s="10"/>
      <c r="X1700" s="10"/>
      <c r="Y1700" s="10"/>
    </row>
    <row r="1701" spans="1:25" x14ac:dyDescent="0.25">
      <c r="A1701" s="9">
        <v>42239</v>
      </c>
      <c r="B1701" s="10">
        <f ca="1">ROUND(_xlfn.NORM.INV(RAND(),Reference!$C$8,0.1*Reference!$C$8)*(1+Reference!$C$11*(IF(MONTH($A1701)=Reference!$C$4,1,0)+IF(MONTH($A1701)=Reference!$C$5,1,0))+(IF(MONTH($A1701)=Reference!$C$6,Reference!$C$13,0))),0)</f>
        <v>355</v>
      </c>
      <c r="C1701" s="11">
        <f ca="1">B1701*Reference!$C$7*(1-IF(MONTH($A1701)=Reference!$C$6,1,0)*Reference!$C$12)</f>
        <v>330150</v>
      </c>
      <c r="D1701" s="10">
        <f ca="1">ROUND(_xlfn.NORM.INV(RAND(),Reference!$D$8,0.1*Reference!$D$8)*(1+Reference!$D$11*(IF(MONTH($A1701)=Reference!$D$4,1,0)+IF(MONTH($A1701)=Reference!$D$5,1,0))+(IF(MONTH($A1701)=Reference!$D$6,Reference!$D$13,0))),0)</f>
        <v>511</v>
      </c>
      <c r="E1701" s="11">
        <f ca="1">D1701*Reference!$D$7*(1-IF(MONTH($A1701)=Reference!$D$6,1,0)*Reference!$D$12)</f>
        <v>383250</v>
      </c>
      <c r="M1701" s="20"/>
      <c r="N1701" s="20"/>
      <c r="O1701" s="19"/>
      <c r="P1701" s="10"/>
      <c r="Q1701" s="10"/>
      <c r="R1701" s="10"/>
      <c r="S1701" s="10"/>
      <c r="T1701" s="10"/>
      <c r="U1701" s="10"/>
      <c r="V1701" s="10"/>
      <c r="W1701" s="10"/>
      <c r="X1701" s="10"/>
      <c r="Y1701" s="10"/>
    </row>
    <row r="1702" spans="1:25" x14ac:dyDescent="0.25">
      <c r="A1702" s="9">
        <v>42240</v>
      </c>
      <c r="B1702" s="10">
        <f ca="1">ROUND(_xlfn.NORM.INV(RAND(),Reference!$C$8,0.1*Reference!$C$8)*(1+Reference!$C$11*(IF(MONTH($A1702)=Reference!$C$4,1,0)+IF(MONTH($A1702)=Reference!$C$5,1,0))+(IF(MONTH($A1702)=Reference!$C$6,Reference!$C$13,0))),0)</f>
        <v>347</v>
      </c>
      <c r="C1702" s="11">
        <f ca="1">B1702*Reference!$C$7*(1-IF(MONTH($A1702)=Reference!$C$6,1,0)*Reference!$C$12)</f>
        <v>322710</v>
      </c>
      <c r="D1702" s="10">
        <f ca="1">ROUND(_xlfn.NORM.INV(RAND(),Reference!$D$8,0.1*Reference!$D$8)*(1+Reference!$D$11*(IF(MONTH($A1702)=Reference!$D$4,1,0)+IF(MONTH($A1702)=Reference!$D$5,1,0))+(IF(MONTH($A1702)=Reference!$D$6,Reference!$D$13,0))),0)</f>
        <v>416</v>
      </c>
      <c r="E1702" s="11">
        <f ca="1">D1702*Reference!$D$7*(1-IF(MONTH($A1702)=Reference!$D$6,1,0)*Reference!$D$12)</f>
        <v>312000</v>
      </c>
      <c r="M1702" s="20"/>
      <c r="N1702" s="20"/>
      <c r="O1702" s="19"/>
      <c r="P1702" s="10"/>
      <c r="Q1702" s="10"/>
      <c r="R1702" s="10"/>
      <c r="S1702" s="10"/>
      <c r="T1702" s="10"/>
      <c r="U1702" s="10"/>
      <c r="V1702" s="10"/>
      <c r="W1702" s="10"/>
      <c r="X1702" s="10"/>
      <c r="Y1702" s="10"/>
    </row>
    <row r="1703" spans="1:25" x14ac:dyDescent="0.25">
      <c r="A1703" s="9">
        <v>42241</v>
      </c>
      <c r="B1703" s="10">
        <f ca="1">ROUND(_xlfn.NORM.INV(RAND(),Reference!$C$8,0.1*Reference!$C$8)*(1+Reference!$C$11*(IF(MONTH($A1703)=Reference!$C$4,1,0)+IF(MONTH($A1703)=Reference!$C$5,1,0))+(IF(MONTH($A1703)=Reference!$C$6,Reference!$C$13,0))),0)</f>
        <v>302</v>
      </c>
      <c r="C1703" s="11">
        <f ca="1">B1703*Reference!$C$7*(1-IF(MONTH($A1703)=Reference!$C$6,1,0)*Reference!$C$12)</f>
        <v>280860</v>
      </c>
      <c r="D1703" s="10">
        <f ca="1">ROUND(_xlfn.NORM.INV(RAND(),Reference!$D$8,0.1*Reference!$D$8)*(1+Reference!$D$11*(IF(MONTH($A1703)=Reference!$D$4,1,0)+IF(MONTH($A1703)=Reference!$D$5,1,0))+(IF(MONTH($A1703)=Reference!$D$6,Reference!$D$13,0))),0)</f>
        <v>365</v>
      </c>
      <c r="E1703" s="11">
        <f ca="1">D1703*Reference!$D$7*(1-IF(MONTH($A1703)=Reference!$D$6,1,0)*Reference!$D$12)</f>
        <v>273750</v>
      </c>
      <c r="M1703" s="20"/>
      <c r="N1703" s="20"/>
      <c r="O1703" s="19"/>
      <c r="P1703" s="10"/>
      <c r="Q1703" s="10"/>
      <c r="R1703" s="10"/>
      <c r="S1703" s="10"/>
      <c r="T1703" s="10"/>
      <c r="U1703" s="10"/>
      <c r="V1703" s="10"/>
      <c r="W1703" s="10"/>
      <c r="X1703" s="10"/>
      <c r="Y1703" s="10"/>
    </row>
    <row r="1704" spans="1:25" x14ac:dyDescent="0.25">
      <c r="A1704" s="9">
        <v>42242</v>
      </c>
      <c r="B1704" s="10">
        <f ca="1">ROUND(_xlfn.NORM.INV(RAND(),Reference!$C$8,0.1*Reference!$C$8)*(1+Reference!$C$11*(IF(MONTH($A1704)=Reference!$C$4,1,0)+IF(MONTH($A1704)=Reference!$C$5,1,0))+(IF(MONTH($A1704)=Reference!$C$6,Reference!$C$13,0))),0)</f>
        <v>317</v>
      </c>
      <c r="C1704" s="11">
        <f ca="1">B1704*Reference!$C$7*(1-IF(MONTH($A1704)=Reference!$C$6,1,0)*Reference!$C$12)</f>
        <v>294810</v>
      </c>
      <c r="D1704" s="10">
        <f ca="1">ROUND(_xlfn.NORM.INV(RAND(),Reference!$D$8,0.1*Reference!$D$8)*(1+Reference!$D$11*(IF(MONTH($A1704)=Reference!$D$4,1,0)+IF(MONTH($A1704)=Reference!$D$5,1,0))+(IF(MONTH($A1704)=Reference!$D$6,Reference!$D$13,0))),0)</f>
        <v>464</v>
      </c>
      <c r="E1704" s="11">
        <f ca="1">D1704*Reference!$D$7*(1-IF(MONTH($A1704)=Reference!$D$6,1,0)*Reference!$D$12)</f>
        <v>348000</v>
      </c>
      <c r="M1704" s="20"/>
      <c r="N1704" s="20"/>
      <c r="O1704" s="19"/>
      <c r="P1704" s="10"/>
      <c r="Q1704" s="10"/>
      <c r="R1704" s="10"/>
      <c r="S1704" s="10"/>
      <c r="T1704" s="10"/>
      <c r="U1704" s="10"/>
      <c r="V1704" s="10"/>
      <c r="W1704" s="10"/>
      <c r="X1704" s="10"/>
      <c r="Y1704" s="10"/>
    </row>
    <row r="1705" spans="1:25" x14ac:dyDescent="0.25">
      <c r="A1705" s="9">
        <v>42243</v>
      </c>
      <c r="B1705" s="10">
        <f ca="1">ROUND(_xlfn.NORM.INV(RAND(),Reference!$C$8,0.1*Reference!$C$8)*(1+Reference!$C$11*(IF(MONTH($A1705)=Reference!$C$4,1,0)+IF(MONTH($A1705)=Reference!$C$5,1,0))+(IF(MONTH($A1705)=Reference!$C$6,Reference!$C$13,0))),0)</f>
        <v>361</v>
      </c>
      <c r="C1705" s="11">
        <f ca="1">B1705*Reference!$C$7*(1-IF(MONTH($A1705)=Reference!$C$6,1,0)*Reference!$C$12)</f>
        <v>335730</v>
      </c>
      <c r="D1705" s="10">
        <f ca="1">ROUND(_xlfn.NORM.INV(RAND(),Reference!$D$8,0.1*Reference!$D$8)*(1+Reference!$D$11*(IF(MONTH($A1705)=Reference!$D$4,1,0)+IF(MONTH($A1705)=Reference!$D$5,1,0))+(IF(MONTH($A1705)=Reference!$D$6,Reference!$D$13,0))),0)</f>
        <v>558</v>
      </c>
      <c r="E1705" s="11">
        <f ca="1">D1705*Reference!$D$7*(1-IF(MONTH($A1705)=Reference!$D$6,1,0)*Reference!$D$12)</f>
        <v>418500</v>
      </c>
      <c r="M1705" s="20"/>
      <c r="N1705" s="20"/>
      <c r="O1705" s="19"/>
      <c r="P1705" s="10"/>
      <c r="Q1705" s="10"/>
      <c r="R1705" s="10"/>
      <c r="S1705" s="10"/>
      <c r="T1705" s="10"/>
      <c r="U1705" s="10"/>
      <c r="V1705" s="10"/>
      <c r="W1705" s="10"/>
      <c r="X1705" s="10"/>
      <c r="Y1705" s="10"/>
    </row>
    <row r="1706" spans="1:25" x14ac:dyDescent="0.25">
      <c r="A1706" s="9">
        <v>42244</v>
      </c>
      <c r="B1706" s="10">
        <f ca="1">ROUND(_xlfn.NORM.INV(RAND(),Reference!$C$8,0.1*Reference!$C$8)*(1+Reference!$C$11*(IF(MONTH($A1706)=Reference!$C$4,1,0)+IF(MONTH($A1706)=Reference!$C$5,1,0))+(IF(MONTH($A1706)=Reference!$C$6,Reference!$C$13,0))),0)</f>
        <v>424</v>
      </c>
      <c r="C1706" s="11">
        <f ca="1">B1706*Reference!$C$7*(1-IF(MONTH($A1706)=Reference!$C$6,1,0)*Reference!$C$12)</f>
        <v>394320</v>
      </c>
      <c r="D1706" s="10">
        <f ca="1">ROUND(_xlfn.NORM.INV(RAND(),Reference!$D$8,0.1*Reference!$D$8)*(1+Reference!$D$11*(IF(MONTH($A1706)=Reference!$D$4,1,0)+IF(MONTH($A1706)=Reference!$D$5,1,0))+(IF(MONTH($A1706)=Reference!$D$6,Reference!$D$13,0))),0)</f>
        <v>466</v>
      </c>
      <c r="E1706" s="11">
        <f ca="1">D1706*Reference!$D$7*(1-IF(MONTH($A1706)=Reference!$D$6,1,0)*Reference!$D$12)</f>
        <v>349500</v>
      </c>
      <c r="M1706" s="20"/>
      <c r="N1706" s="20"/>
      <c r="O1706" s="19"/>
      <c r="P1706" s="10"/>
      <c r="Q1706" s="10"/>
      <c r="R1706" s="10"/>
      <c r="S1706" s="10"/>
      <c r="T1706" s="10"/>
      <c r="U1706" s="10"/>
      <c r="V1706" s="10"/>
      <c r="W1706" s="10"/>
      <c r="X1706" s="10"/>
      <c r="Y1706" s="10"/>
    </row>
    <row r="1707" spans="1:25" x14ac:dyDescent="0.25">
      <c r="A1707" s="9">
        <v>42245</v>
      </c>
      <c r="B1707" s="10">
        <f ca="1">ROUND(_xlfn.NORM.INV(RAND(),Reference!$C$8,0.1*Reference!$C$8)*(1+Reference!$C$11*(IF(MONTH($A1707)=Reference!$C$4,1,0)+IF(MONTH($A1707)=Reference!$C$5,1,0))+(IF(MONTH($A1707)=Reference!$C$6,Reference!$C$13,0))),0)</f>
        <v>369</v>
      </c>
      <c r="C1707" s="11">
        <f ca="1">B1707*Reference!$C$7*(1-IF(MONTH($A1707)=Reference!$C$6,1,0)*Reference!$C$12)</f>
        <v>343170</v>
      </c>
      <c r="D1707" s="10">
        <f ca="1">ROUND(_xlfn.NORM.INV(RAND(),Reference!$D$8,0.1*Reference!$D$8)*(1+Reference!$D$11*(IF(MONTH($A1707)=Reference!$D$4,1,0)+IF(MONTH($A1707)=Reference!$D$5,1,0))+(IF(MONTH($A1707)=Reference!$D$6,Reference!$D$13,0))),0)</f>
        <v>498</v>
      </c>
      <c r="E1707" s="11">
        <f ca="1">D1707*Reference!$D$7*(1-IF(MONTH($A1707)=Reference!$D$6,1,0)*Reference!$D$12)</f>
        <v>373500</v>
      </c>
      <c r="M1707" s="20"/>
      <c r="N1707" s="20"/>
      <c r="O1707" s="19"/>
      <c r="P1707" s="10"/>
      <c r="Q1707" s="10"/>
      <c r="R1707" s="10"/>
      <c r="S1707" s="10"/>
      <c r="T1707" s="10"/>
      <c r="U1707" s="10"/>
      <c r="V1707" s="10"/>
      <c r="W1707" s="10"/>
      <c r="X1707" s="10"/>
      <c r="Y1707" s="10"/>
    </row>
    <row r="1708" spans="1:25" x14ac:dyDescent="0.25">
      <c r="A1708" s="9">
        <v>42246</v>
      </c>
      <c r="B1708" s="10">
        <f ca="1">ROUND(_xlfn.NORM.INV(RAND(),Reference!$C$8,0.1*Reference!$C$8)*(1+Reference!$C$11*(IF(MONTH($A1708)=Reference!$C$4,1,0)+IF(MONTH($A1708)=Reference!$C$5,1,0))+(IF(MONTH($A1708)=Reference!$C$6,Reference!$C$13,0))),0)</f>
        <v>334</v>
      </c>
      <c r="C1708" s="11">
        <f ca="1">B1708*Reference!$C$7*(1-IF(MONTH($A1708)=Reference!$C$6,1,0)*Reference!$C$12)</f>
        <v>310620</v>
      </c>
      <c r="D1708" s="10">
        <f ca="1">ROUND(_xlfn.NORM.INV(RAND(),Reference!$D$8,0.1*Reference!$D$8)*(1+Reference!$D$11*(IF(MONTH($A1708)=Reference!$D$4,1,0)+IF(MONTH($A1708)=Reference!$D$5,1,0))+(IF(MONTH($A1708)=Reference!$D$6,Reference!$D$13,0))),0)</f>
        <v>495</v>
      </c>
      <c r="E1708" s="11">
        <f ca="1">D1708*Reference!$D$7*(1-IF(MONTH($A1708)=Reference!$D$6,1,0)*Reference!$D$12)</f>
        <v>371250</v>
      </c>
      <c r="M1708" s="20"/>
      <c r="N1708" s="20"/>
      <c r="O1708" s="19"/>
      <c r="P1708" s="10"/>
      <c r="Q1708" s="10"/>
      <c r="R1708" s="10"/>
      <c r="S1708" s="10"/>
      <c r="T1708" s="10"/>
      <c r="U1708" s="10"/>
      <c r="V1708" s="10"/>
      <c r="W1708" s="10"/>
      <c r="X1708" s="10"/>
      <c r="Y1708" s="10"/>
    </row>
    <row r="1709" spans="1:25" x14ac:dyDescent="0.25">
      <c r="A1709" s="9">
        <v>42247</v>
      </c>
      <c r="B1709" s="10">
        <f ca="1">ROUND(_xlfn.NORM.INV(RAND(),Reference!$C$8,0.1*Reference!$C$8)*(1+Reference!$C$11*(IF(MONTH($A1709)=Reference!$C$4,1,0)+IF(MONTH($A1709)=Reference!$C$5,1,0))+(IF(MONTH($A1709)=Reference!$C$6,Reference!$C$13,0))),0)</f>
        <v>331</v>
      </c>
      <c r="C1709" s="11">
        <f ca="1">B1709*Reference!$C$7*(1-IF(MONTH($A1709)=Reference!$C$6,1,0)*Reference!$C$12)</f>
        <v>307830</v>
      </c>
      <c r="D1709" s="10">
        <f ca="1">ROUND(_xlfn.NORM.INV(RAND(),Reference!$D$8,0.1*Reference!$D$8)*(1+Reference!$D$11*(IF(MONTH($A1709)=Reference!$D$4,1,0)+IF(MONTH($A1709)=Reference!$D$5,1,0))+(IF(MONTH($A1709)=Reference!$D$6,Reference!$D$13,0))),0)</f>
        <v>553</v>
      </c>
      <c r="E1709" s="11">
        <f ca="1">D1709*Reference!$D$7*(1-IF(MONTH($A1709)=Reference!$D$6,1,0)*Reference!$D$12)</f>
        <v>414750</v>
      </c>
      <c r="M1709" s="20"/>
      <c r="N1709" s="20"/>
      <c r="O1709" s="19"/>
      <c r="P1709" s="10"/>
      <c r="Q1709" s="10"/>
      <c r="R1709" s="10"/>
      <c r="S1709" s="10"/>
      <c r="T1709" s="10"/>
      <c r="U1709" s="10"/>
      <c r="V1709" s="10"/>
      <c r="W1709" s="10"/>
      <c r="X1709" s="10"/>
      <c r="Y1709" s="10"/>
    </row>
    <row r="1710" spans="1:25" x14ac:dyDescent="0.25">
      <c r="A1710" s="9">
        <v>42248</v>
      </c>
      <c r="B1710" s="10">
        <f ca="1">ROUND(_xlfn.NORM.INV(RAND(),Reference!$C$8,0.1*Reference!$C$8)*(1+Reference!$C$11*(IF(MONTH($A1710)=Reference!$C$4,1,0)+IF(MONTH($A1710)=Reference!$C$5,1,0))+(IF(MONTH($A1710)=Reference!$C$6,Reference!$C$13,0))),0)</f>
        <v>294</v>
      </c>
      <c r="C1710" s="11">
        <f ca="1">B1710*Reference!$C$7*(1-IF(MONTH($A1710)=Reference!$C$6,1,0)*Reference!$C$12)</f>
        <v>273420</v>
      </c>
      <c r="D1710" s="10">
        <f ca="1">ROUND(_xlfn.NORM.INV(RAND(),Reference!$D$8,0.1*Reference!$D$8)*(1+Reference!$D$11*(IF(MONTH($A1710)=Reference!$D$4,1,0)+IF(MONTH($A1710)=Reference!$D$5,1,0))+(IF(MONTH($A1710)=Reference!$D$6,Reference!$D$13,0))),0)</f>
        <v>518</v>
      </c>
      <c r="E1710" s="11">
        <f ca="1">D1710*Reference!$D$7*(1-IF(MONTH($A1710)=Reference!$D$6,1,0)*Reference!$D$12)</f>
        <v>369075</v>
      </c>
      <c r="M1710" s="20"/>
      <c r="N1710" s="20"/>
      <c r="O1710" s="19"/>
      <c r="P1710" s="10"/>
      <c r="Q1710" s="10"/>
      <c r="R1710" s="10"/>
      <c r="S1710" s="10"/>
      <c r="T1710" s="10"/>
      <c r="U1710" s="10"/>
      <c r="V1710" s="10"/>
      <c r="W1710" s="10"/>
      <c r="X1710" s="10"/>
      <c r="Y1710" s="10"/>
    </row>
    <row r="1711" spans="1:25" x14ac:dyDescent="0.25">
      <c r="A1711" s="9">
        <v>42249</v>
      </c>
      <c r="B1711" s="10">
        <f ca="1">ROUND(_xlfn.NORM.INV(RAND(),Reference!$C$8,0.1*Reference!$C$8)*(1+Reference!$C$11*(IF(MONTH($A1711)=Reference!$C$4,1,0)+IF(MONTH($A1711)=Reference!$C$5,1,0))+(IF(MONTH($A1711)=Reference!$C$6,Reference!$C$13,0))),0)</f>
        <v>338</v>
      </c>
      <c r="C1711" s="11">
        <f ca="1">B1711*Reference!$C$7*(1-IF(MONTH($A1711)=Reference!$C$6,1,0)*Reference!$C$12)</f>
        <v>314340</v>
      </c>
      <c r="D1711" s="10">
        <f ca="1">ROUND(_xlfn.NORM.INV(RAND(),Reference!$D$8,0.1*Reference!$D$8)*(1+Reference!$D$11*(IF(MONTH($A1711)=Reference!$D$4,1,0)+IF(MONTH($A1711)=Reference!$D$5,1,0))+(IF(MONTH($A1711)=Reference!$D$6,Reference!$D$13,0))),0)</f>
        <v>584</v>
      </c>
      <c r="E1711" s="11">
        <f ca="1">D1711*Reference!$D$7*(1-IF(MONTH($A1711)=Reference!$D$6,1,0)*Reference!$D$12)</f>
        <v>416100</v>
      </c>
      <c r="M1711" s="20"/>
      <c r="N1711" s="20"/>
      <c r="O1711" s="19"/>
      <c r="P1711" s="10"/>
      <c r="Q1711" s="10"/>
      <c r="R1711" s="10"/>
      <c r="S1711" s="10"/>
      <c r="T1711" s="10"/>
      <c r="U1711" s="10"/>
      <c r="V1711" s="10"/>
      <c r="W1711" s="10"/>
      <c r="X1711" s="10"/>
      <c r="Y1711" s="10"/>
    </row>
    <row r="1712" spans="1:25" x14ac:dyDescent="0.25">
      <c r="A1712" s="9">
        <v>42250</v>
      </c>
      <c r="B1712" s="10">
        <f ca="1">ROUND(_xlfn.NORM.INV(RAND(),Reference!$C$8,0.1*Reference!$C$8)*(1+Reference!$C$11*(IF(MONTH($A1712)=Reference!$C$4,1,0)+IF(MONTH($A1712)=Reference!$C$5,1,0))+(IF(MONTH($A1712)=Reference!$C$6,Reference!$C$13,0))),0)</f>
        <v>321</v>
      </c>
      <c r="C1712" s="11">
        <f ca="1">B1712*Reference!$C$7*(1-IF(MONTH($A1712)=Reference!$C$6,1,0)*Reference!$C$12)</f>
        <v>298530</v>
      </c>
      <c r="D1712" s="10">
        <f ca="1">ROUND(_xlfn.NORM.INV(RAND(),Reference!$D$8,0.1*Reference!$D$8)*(1+Reference!$D$11*(IF(MONTH($A1712)=Reference!$D$4,1,0)+IF(MONTH($A1712)=Reference!$D$5,1,0))+(IF(MONTH($A1712)=Reference!$D$6,Reference!$D$13,0))),0)</f>
        <v>499</v>
      </c>
      <c r="E1712" s="11">
        <f ca="1">D1712*Reference!$D$7*(1-IF(MONTH($A1712)=Reference!$D$6,1,0)*Reference!$D$12)</f>
        <v>355537.5</v>
      </c>
      <c r="M1712" s="20"/>
      <c r="N1712" s="20"/>
      <c r="O1712" s="19"/>
      <c r="P1712" s="10"/>
      <c r="Q1712" s="10"/>
      <c r="R1712" s="10"/>
      <c r="S1712" s="10"/>
      <c r="T1712" s="10"/>
      <c r="U1712" s="10"/>
      <c r="V1712" s="10"/>
      <c r="W1712" s="10"/>
      <c r="X1712" s="10"/>
      <c r="Y1712" s="10"/>
    </row>
    <row r="1713" spans="1:25" x14ac:dyDescent="0.25">
      <c r="A1713" s="9">
        <v>42251</v>
      </c>
      <c r="B1713" s="10">
        <f ca="1">ROUND(_xlfn.NORM.INV(RAND(),Reference!$C$8,0.1*Reference!$C$8)*(1+Reference!$C$11*(IF(MONTH($A1713)=Reference!$C$4,1,0)+IF(MONTH($A1713)=Reference!$C$5,1,0))+(IF(MONTH($A1713)=Reference!$C$6,Reference!$C$13,0))),0)</f>
        <v>350</v>
      </c>
      <c r="C1713" s="11">
        <f ca="1">B1713*Reference!$C$7*(1-IF(MONTH($A1713)=Reference!$C$6,1,0)*Reference!$C$12)</f>
        <v>325500</v>
      </c>
      <c r="D1713" s="10">
        <f ca="1">ROUND(_xlfn.NORM.INV(RAND(),Reference!$D$8,0.1*Reference!$D$8)*(1+Reference!$D$11*(IF(MONTH($A1713)=Reference!$D$4,1,0)+IF(MONTH($A1713)=Reference!$D$5,1,0))+(IF(MONTH($A1713)=Reference!$D$6,Reference!$D$13,0))),0)</f>
        <v>556</v>
      </c>
      <c r="E1713" s="11">
        <f ca="1">D1713*Reference!$D$7*(1-IF(MONTH($A1713)=Reference!$D$6,1,0)*Reference!$D$12)</f>
        <v>396150</v>
      </c>
      <c r="M1713" s="20"/>
      <c r="N1713" s="20"/>
      <c r="O1713" s="19"/>
      <c r="P1713" s="10"/>
      <c r="Q1713" s="10"/>
      <c r="R1713" s="10"/>
      <c r="S1713" s="10"/>
      <c r="T1713" s="10"/>
      <c r="U1713" s="10"/>
      <c r="V1713" s="10"/>
      <c r="W1713" s="10"/>
      <c r="X1713" s="10"/>
      <c r="Y1713" s="10"/>
    </row>
    <row r="1714" spans="1:25" x14ac:dyDescent="0.25">
      <c r="A1714" s="9">
        <v>42252</v>
      </c>
      <c r="B1714" s="10">
        <f ca="1">ROUND(_xlfn.NORM.INV(RAND(),Reference!$C$8,0.1*Reference!$C$8)*(1+Reference!$C$11*(IF(MONTH($A1714)=Reference!$C$4,1,0)+IF(MONTH($A1714)=Reference!$C$5,1,0))+(IF(MONTH($A1714)=Reference!$C$6,Reference!$C$13,0))),0)</f>
        <v>381</v>
      </c>
      <c r="C1714" s="11">
        <f ca="1">B1714*Reference!$C$7*(1-IF(MONTH($A1714)=Reference!$C$6,1,0)*Reference!$C$12)</f>
        <v>354330</v>
      </c>
      <c r="D1714" s="10">
        <f ca="1">ROUND(_xlfn.NORM.INV(RAND(),Reference!$D$8,0.1*Reference!$D$8)*(1+Reference!$D$11*(IF(MONTH($A1714)=Reference!$D$4,1,0)+IF(MONTH($A1714)=Reference!$D$5,1,0))+(IF(MONTH($A1714)=Reference!$D$6,Reference!$D$13,0))),0)</f>
        <v>456</v>
      </c>
      <c r="E1714" s="11">
        <f ca="1">D1714*Reference!$D$7*(1-IF(MONTH($A1714)=Reference!$D$6,1,0)*Reference!$D$12)</f>
        <v>324900</v>
      </c>
      <c r="M1714" s="20"/>
      <c r="N1714" s="20"/>
      <c r="O1714" s="19"/>
      <c r="P1714" s="10"/>
      <c r="Q1714" s="10"/>
      <c r="R1714" s="10"/>
      <c r="S1714" s="10"/>
      <c r="T1714" s="10"/>
      <c r="U1714" s="10"/>
      <c r="V1714" s="10"/>
      <c r="W1714" s="10"/>
      <c r="X1714" s="10"/>
      <c r="Y1714" s="10"/>
    </row>
    <row r="1715" spans="1:25" x14ac:dyDescent="0.25">
      <c r="A1715" s="9">
        <v>42253</v>
      </c>
      <c r="B1715" s="10">
        <f ca="1">ROUND(_xlfn.NORM.INV(RAND(),Reference!$C$8,0.1*Reference!$C$8)*(1+Reference!$C$11*(IF(MONTH($A1715)=Reference!$C$4,1,0)+IF(MONTH($A1715)=Reference!$C$5,1,0))+(IF(MONTH($A1715)=Reference!$C$6,Reference!$C$13,0))),0)</f>
        <v>332</v>
      </c>
      <c r="C1715" s="11">
        <f ca="1">B1715*Reference!$C$7*(1-IF(MONTH($A1715)=Reference!$C$6,1,0)*Reference!$C$12)</f>
        <v>308760</v>
      </c>
      <c r="D1715" s="10">
        <f ca="1">ROUND(_xlfn.NORM.INV(RAND(),Reference!$D$8,0.1*Reference!$D$8)*(1+Reference!$D$11*(IF(MONTH($A1715)=Reference!$D$4,1,0)+IF(MONTH($A1715)=Reference!$D$5,1,0))+(IF(MONTH($A1715)=Reference!$D$6,Reference!$D$13,0))),0)</f>
        <v>470</v>
      </c>
      <c r="E1715" s="11">
        <f ca="1">D1715*Reference!$D$7*(1-IF(MONTH($A1715)=Reference!$D$6,1,0)*Reference!$D$12)</f>
        <v>334875</v>
      </c>
      <c r="M1715" s="20"/>
      <c r="N1715" s="20"/>
      <c r="O1715" s="19"/>
      <c r="P1715" s="10"/>
      <c r="Q1715" s="10"/>
      <c r="R1715" s="10"/>
      <c r="S1715" s="10"/>
      <c r="T1715" s="10"/>
      <c r="U1715" s="10"/>
      <c r="V1715" s="10"/>
      <c r="W1715" s="10"/>
      <c r="X1715" s="10"/>
      <c r="Y1715" s="10"/>
    </row>
    <row r="1716" spans="1:25" x14ac:dyDescent="0.25">
      <c r="A1716" s="9">
        <v>42254</v>
      </c>
      <c r="B1716" s="10">
        <f ca="1">ROUND(_xlfn.NORM.INV(RAND(),Reference!$C$8,0.1*Reference!$C$8)*(1+Reference!$C$11*(IF(MONTH($A1716)=Reference!$C$4,1,0)+IF(MONTH($A1716)=Reference!$C$5,1,0))+(IF(MONTH($A1716)=Reference!$C$6,Reference!$C$13,0))),0)</f>
        <v>352</v>
      </c>
      <c r="C1716" s="11">
        <f ca="1">B1716*Reference!$C$7*(1-IF(MONTH($A1716)=Reference!$C$6,1,0)*Reference!$C$12)</f>
        <v>327360</v>
      </c>
      <c r="D1716" s="10">
        <f ca="1">ROUND(_xlfn.NORM.INV(RAND(),Reference!$D$8,0.1*Reference!$D$8)*(1+Reference!$D$11*(IF(MONTH($A1716)=Reference!$D$4,1,0)+IF(MONTH($A1716)=Reference!$D$5,1,0))+(IF(MONTH($A1716)=Reference!$D$6,Reference!$D$13,0))),0)</f>
        <v>428</v>
      </c>
      <c r="E1716" s="11">
        <f ca="1">D1716*Reference!$D$7*(1-IF(MONTH($A1716)=Reference!$D$6,1,0)*Reference!$D$12)</f>
        <v>304950</v>
      </c>
      <c r="M1716" s="20"/>
      <c r="N1716" s="20"/>
      <c r="O1716" s="19"/>
      <c r="P1716" s="10"/>
      <c r="Q1716" s="10"/>
      <c r="R1716" s="10"/>
      <c r="S1716" s="10"/>
      <c r="T1716" s="10"/>
      <c r="U1716" s="10"/>
      <c r="V1716" s="10"/>
      <c r="W1716" s="10"/>
      <c r="X1716" s="10"/>
      <c r="Y1716" s="10"/>
    </row>
    <row r="1717" spans="1:25" x14ac:dyDescent="0.25">
      <c r="A1717" s="9">
        <v>42255</v>
      </c>
      <c r="B1717" s="10">
        <f ca="1">ROUND(_xlfn.NORM.INV(RAND(),Reference!$C$8,0.1*Reference!$C$8)*(1+Reference!$C$11*(IF(MONTH($A1717)=Reference!$C$4,1,0)+IF(MONTH($A1717)=Reference!$C$5,1,0))+(IF(MONTH($A1717)=Reference!$C$6,Reference!$C$13,0))),0)</f>
        <v>373</v>
      </c>
      <c r="C1717" s="11">
        <f ca="1">B1717*Reference!$C$7*(1-IF(MONTH($A1717)=Reference!$C$6,1,0)*Reference!$C$12)</f>
        <v>346890</v>
      </c>
      <c r="D1717" s="10">
        <f ca="1">ROUND(_xlfn.NORM.INV(RAND(),Reference!$D$8,0.1*Reference!$D$8)*(1+Reference!$D$11*(IF(MONTH($A1717)=Reference!$D$4,1,0)+IF(MONTH($A1717)=Reference!$D$5,1,0))+(IF(MONTH($A1717)=Reference!$D$6,Reference!$D$13,0))),0)</f>
        <v>402</v>
      </c>
      <c r="E1717" s="11">
        <f ca="1">D1717*Reference!$D$7*(1-IF(MONTH($A1717)=Reference!$D$6,1,0)*Reference!$D$12)</f>
        <v>286425</v>
      </c>
      <c r="M1717" s="20"/>
      <c r="N1717" s="20"/>
      <c r="O1717" s="19"/>
      <c r="P1717" s="10"/>
      <c r="Q1717" s="10"/>
      <c r="R1717" s="10"/>
      <c r="S1717" s="10"/>
      <c r="T1717" s="10"/>
      <c r="U1717" s="10"/>
      <c r="V1717" s="10"/>
      <c r="W1717" s="10"/>
      <c r="X1717" s="10"/>
      <c r="Y1717" s="10"/>
    </row>
    <row r="1718" spans="1:25" x14ac:dyDescent="0.25">
      <c r="A1718" s="9">
        <v>42256</v>
      </c>
      <c r="B1718" s="10">
        <f ca="1">ROUND(_xlfn.NORM.INV(RAND(),Reference!$C$8,0.1*Reference!$C$8)*(1+Reference!$C$11*(IF(MONTH($A1718)=Reference!$C$4,1,0)+IF(MONTH($A1718)=Reference!$C$5,1,0))+(IF(MONTH($A1718)=Reference!$C$6,Reference!$C$13,0))),0)</f>
        <v>391</v>
      </c>
      <c r="C1718" s="11">
        <f ca="1">B1718*Reference!$C$7*(1-IF(MONTH($A1718)=Reference!$C$6,1,0)*Reference!$C$12)</f>
        <v>363630</v>
      </c>
      <c r="D1718" s="10">
        <f ca="1">ROUND(_xlfn.NORM.INV(RAND(),Reference!$D$8,0.1*Reference!$D$8)*(1+Reference!$D$11*(IF(MONTH($A1718)=Reference!$D$4,1,0)+IF(MONTH($A1718)=Reference!$D$5,1,0))+(IF(MONTH($A1718)=Reference!$D$6,Reference!$D$13,0))),0)</f>
        <v>389</v>
      </c>
      <c r="E1718" s="11">
        <f ca="1">D1718*Reference!$D$7*(1-IF(MONTH($A1718)=Reference!$D$6,1,0)*Reference!$D$12)</f>
        <v>277162.5</v>
      </c>
      <c r="M1718" s="20"/>
      <c r="N1718" s="20"/>
      <c r="O1718" s="19"/>
      <c r="P1718" s="10"/>
      <c r="Q1718" s="10"/>
      <c r="R1718" s="10"/>
      <c r="S1718" s="10"/>
      <c r="T1718" s="10"/>
      <c r="U1718" s="10"/>
      <c r="V1718" s="10"/>
      <c r="W1718" s="10"/>
      <c r="X1718" s="10"/>
      <c r="Y1718" s="10"/>
    </row>
    <row r="1719" spans="1:25" x14ac:dyDescent="0.25">
      <c r="A1719" s="9">
        <v>42257</v>
      </c>
      <c r="B1719" s="10">
        <f ca="1">ROUND(_xlfn.NORM.INV(RAND(),Reference!$C$8,0.1*Reference!$C$8)*(1+Reference!$C$11*(IF(MONTH($A1719)=Reference!$C$4,1,0)+IF(MONTH($A1719)=Reference!$C$5,1,0))+(IF(MONTH($A1719)=Reference!$C$6,Reference!$C$13,0))),0)</f>
        <v>347</v>
      </c>
      <c r="C1719" s="11">
        <f ca="1">B1719*Reference!$C$7*(1-IF(MONTH($A1719)=Reference!$C$6,1,0)*Reference!$C$12)</f>
        <v>322710</v>
      </c>
      <c r="D1719" s="10">
        <f ca="1">ROUND(_xlfn.NORM.INV(RAND(),Reference!$D$8,0.1*Reference!$D$8)*(1+Reference!$D$11*(IF(MONTH($A1719)=Reference!$D$4,1,0)+IF(MONTH($A1719)=Reference!$D$5,1,0))+(IF(MONTH($A1719)=Reference!$D$6,Reference!$D$13,0))),0)</f>
        <v>557</v>
      </c>
      <c r="E1719" s="11">
        <f ca="1">D1719*Reference!$D$7*(1-IF(MONTH($A1719)=Reference!$D$6,1,0)*Reference!$D$12)</f>
        <v>396862.5</v>
      </c>
      <c r="M1719" s="20"/>
      <c r="N1719" s="20"/>
      <c r="O1719" s="19"/>
      <c r="P1719" s="10"/>
      <c r="Q1719" s="10"/>
      <c r="R1719" s="10"/>
      <c r="S1719" s="10"/>
      <c r="T1719" s="10"/>
      <c r="U1719" s="10"/>
      <c r="V1719" s="10"/>
      <c r="W1719" s="10"/>
      <c r="X1719" s="10"/>
      <c r="Y1719" s="10"/>
    </row>
    <row r="1720" spans="1:25" x14ac:dyDescent="0.25">
      <c r="A1720" s="9">
        <v>42258</v>
      </c>
      <c r="B1720" s="10">
        <f ca="1">ROUND(_xlfn.NORM.INV(RAND(),Reference!$C$8,0.1*Reference!$C$8)*(1+Reference!$C$11*(IF(MONTH($A1720)=Reference!$C$4,1,0)+IF(MONTH($A1720)=Reference!$C$5,1,0))+(IF(MONTH($A1720)=Reference!$C$6,Reference!$C$13,0))),0)</f>
        <v>318</v>
      </c>
      <c r="C1720" s="11">
        <f ca="1">B1720*Reference!$C$7*(1-IF(MONTH($A1720)=Reference!$C$6,1,0)*Reference!$C$12)</f>
        <v>295740</v>
      </c>
      <c r="D1720" s="10">
        <f ca="1">ROUND(_xlfn.NORM.INV(RAND(),Reference!$D$8,0.1*Reference!$D$8)*(1+Reference!$D$11*(IF(MONTH($A1720)=Reference!$D$4,1,0)+IF(MONTH($A1720)=Reference!$D$5,1,0))+(IF(MONTH($A1720)=Reference!$D$6,Reference!$D$13,0))),0)</f>
        <v>615</v>
      </c>
      <c r="E1720" s="11">
        <f ca="1">D1720*Reference!$D$7*(1-IF(MONTH($A1720)=Reference!$D$6,1,0)*Reference!$D$12)</f>
        <v>438187.5</v>
      </c>
      <c r="M1720" s="20"/>
      <c r="N1720" s="20"/>
      <c r="O1720" s="19"/>
      <c r="P1720" s="10"/>
      <c r="Q1720" s="10"/>
      <c r="R1720" s="10"/>
      <c r="S1720" s="10"/>
      <c r="T1720" s="10"/>
      <c r="U1720" s="10"/>
      <c r="V1720" s="10"/>
      <c r="W1720" s="10"/>
      <c r="X1720" s="10"/>
      <c r="Y1720" s="10"/>
    </row>
    <row r="1721" spans="1:25" x14ac:dyDescent="0.25">
      <c r="A1721" s="9">
        <v>42259</v>
      </c>
      <c r="B1721" s="10">
        <f ca="1">ROUND(_xlfn.NORM.INV(RAND(),Reference!$C$8,0.1*Reference!$C$8)*(1+Reference!$C$11*(IF(MONTH($A1721)=Reference!$C$4,1,0)+IF(MONTH($A1721)=Reference!$C$5,1,0))+(IF(MONTH($A1721)=Reference!$C$6,Reference!$C$13,0))),0)</f>
        <v>303</v>
      </c>
      <c r="C1721" s="11">
        <f ca="1">B1721*Reference!$C$7*(1-IF(MONTH($A1721)=Reference!$C$6,1,0)*Reference!$C$12)</f>
        <v>281790</v>
      </c>
      <c r="D1721" s="10">
        <f ca="1">ROUND(_xlfn.NORM.INV(RAND(),Reference!$D$8,0.1*Reference!$D$8)*(1+Reference!$D$11*(IF(MONTH($A1721)=Reference!$D$4,1,0)+IF(MONTH($A1721)=Reference!$D$5,1,0))+(IF(MONTH($A1721)=Reference!$D$6,Reference!$D$13,0))),0)</f>
        <v>517</v>
      </c>
      <c r="E1721" s="11">
        <f ca="1">D1721*Reference!$D$7*(1-IF(MONTH($A1721)=Reference!$D$6,1,0)*Reference!$D$12)</f>
        <v>368362.5</v>
      </c>
      <c r="M1721" s="20"/>
      <c r="N1721" s="20"/>
      <c r="O1721" s="19"/>
      <c r="P1721" s="10"/>
      <c r="Q1721" s="10"/>
      <c r="R1721" s="10"/>
      <c r="S1721" s="10"/>
      <c r="T1721" s="10"/>
      <c r="U1721" s="10"/>
      <c r="V1721" s="10"/>
      <c r="W1721" s="10"/>
      <c r="X1721" s="10"/>
      <c r="Y1721" s="10"/>
    </row>
    <row r="1722" spans="1:25" x14ac:dyDescent="0.25">
      <c r="A1722" s="9">
        <v>42260</v>
      </c>
      <c r="B1722" s="10">
        <f ca="1">ROUND(_xlfn.NORM.INV(RAND(),Reference!$C$8,0.1*Reference!$C$8)*(1+Reference!$C$11*(IF(MONTH($A1722)=Reference!$C$4,1,0)+IF(MONTH($A1722)=Reference!$C$5,1,0))+(IF(MONTH($A1722)=Reference!$C$6,Reference!$C$13,0))),0)</f>
        <v>354</v>
      </c>
      <c r="C1722" s="11">
        <f ca="1">B1722*Reference!$C$7*(1-IF(MONTH($A1722)=Reference!$C$6,1,0)*Reference!$C$12)</f>
        <v>329220</v>
      </c>
      <c r="D1722" s="10">
        <f ca="1">ROUND(_xlfn.NORM.INV(RAND(),Reference!$D$8,0.1*Reference!$D$8)*(1+Reference!$D$11*(IF(MONTH($A1722)=Reference!$D$4,1,0)+IF(MONTH($A1722)=Reference!$D$5,1,0))+(IF(MONTH($A1722)=Reference!$D$6,Reference!$D$13,0))),0)</f>
        <v>493</v>
      </c>
      <c r="E1722" s="11">
        <f ca="1">D1722*Reference!$D$7*(1-IF(MONTH($A1722)=Reference!$D$6,1,0)*Reference!$D$12)</f>
        <v>351262.5</v>
      </c>
      <c r="M1722" s="20"/>
      <c r="N1722" s="20"/>
      <c r="O1722" s="19"/>
      <c r="P1722" s="10"/>
      <c r="Q1722" s="10"/>
      <c r="R1722" s="10"/>
      <c r="S1722" s="10"/>
      <c r="T1722" s="10"/>
      <c r="U1722" s="10"/>
      <c r="V1722" s="10"/>
      <c r="W1722" s="10"/>
      <c r="X1722" s="10"/>
      <c r="Y1722" s="10"/>
    </row>
    <row r="1723" spans="1:25" x14ac:dyDescent="0.25">
      <c r="A1723" s="9">
        <v>42261</v>
      </c>
      <c r="B1723" s="10">
        <f ca="1">ROUND(_xlfn.NORM.INV(RAND(),Reference!$C$8,0.1*Reference!$C$8)*(1+Reference!$C$11*(IF(MONTH($A1723)=Reference!$C$4,1,0)+IF(MONTH($A1723)=Reference!$C$5,1,0))+(IF(MONTH($A1723)=Reference!$C$6,Reference!$C$13,0))),0)</f>
        <v>377</v>
      </c>
      <c r="C1723" s="11">
        <f ca="1">B1723*Reference!$C$7*(1-IF(MONTH($A1723)=Reference!$C$6,1,0)*Reference!$C$12)</f>
        <v>350610</v>
      </c>
      <c r="D1723" s="10">
        <f ca="1">ROUND(_xlfn.NORM.INV(RAND(),Reference!$D$8,0.1*Reference!$D$8)*(1+Reference!$D$11*(IF(MONTH($A1723)=Reference!$D$4,1,0)+IF(MONTH($A1723)=Reference!$D$5,1,0))+(IF(MONTH($A1723)=Reference!$D$6,Reference!$D$13,0))),0)</f>
        <v>455</v>
      </c>
      <c r="E1723" s="11">
        <f ca="1">D1723*Reference!$D$7*(1-IF(MONTH($A1723)=Reference!$D$6,1,0)*Reference!$D$12)</f>
        <v>324187.5</v>
      </c>
      <c r="M1723" s="20"/>
      <c r="N1723" s="20"/>
      <c r="O1723" s="19"/>
      <c r="P1723" s="10"/>
      <c r="Q1723" s="10"/>
      <c r="R1723" s="10"/>
      <c r="S1723" s="10"/>
      <c r="T1723" s="10"/>
      <c r="U1723" s="10"/>
      <c r="V1723" s="10"/>
      <c r="W1723" s="10"/>
      <c r="X1723" s="10"/>
      <c r="Y1723" s="10"/>
    </row>
    <row r="1724" spans="1:25" x14ac:dyDescent="0.25">
      <c r="A1724" s="9">
        <v>42262</v>
      </c>
      <c r="B1724" s="10">
        <f ca="1">ROUND(_xlfn.NORM.INV(RAND(),Reference!$C$8,0.1*Reference!$C$8)*(1+Reference!$C$11*(IF(MONTH($A1724)=Reference!$C$4,1,0)+IF(MONTH($A1724)=Reference!$C$5,1,0))+(IF(MONTH($A1724)=Reference!$C$6,Reference!$C$13,0))),0)</f>
        <v>347</v>
      </c>
      <c r="C1724" s="11">
        <f ca="1">B1724*Reference!$C$7*(1-IF(MONTH($A1724)=Reference!$C$6,1,0)*Reference!$C$12)</f>
        <v>322710</v>
      </c>
      <c r="D1724" s="10">
        <f ca="1">ROUND(_xlfn.NORM.INV(RAND(),Reference!$D$8,0.1*Reference!$D$8)*(1+Reference!$D$11*(IF(MONTH($A1724)=Reference!$D$4,1,0)+IF(MONTH($A1724)=Reference!$D$5,1,0))+(IF(MONTH($A1724)=Reference!$D$6,Reference!$D$13,0))),0)</f>
        <v>501</v>
      </c>
      <c r="E1724" s="11">
        <f ca="1">D1724*Reference!$D$7*(1-IF(MONTH($A1724)=Reference!$D$6,1,0)*Reference!$D$12)</f>
        <v>356962.5</v>
      </c>
      <c r="M1724" s="20"/>
      <c r="N1724" s="20"/>
      <c r="O1724" s="19"/>
      <c r="P1724" s="10"/>
      <c r="Q1724" s="10"/>
      <c r="R1724" s="10"/>
      <c r="S1724" s="10"/>
      <c r="T1724" s="10"/>
      <c r="U1724" s="10"/>
      <c r="V1724" s="10"/>
      <c r="W1724" s="10"/>
      <c r="X1724" s="10"/>
      <c r="Y1724" s="10"/>
    </row>
    <row r="1725" spans="1:25" x14ac:dyDescent="0.25">
      <c r="A1725" s="9">
        <v>42263</v>
      </c>
      <c r="B1725" s="10">
        <f ca="1">ROUND(_xlfn.NORM.INV(RAND(),Reference!$C$8,0.1*Reference!$C$8)*(1+Reference!$C$11*(IF(MONTH($A1725)=Reference!$C$4,1,0)+IF(MONTH($A1725)=Reference!$C$5,1,0))+(IF(MONTH($A1725)=Reference!$C$6,Reference!$C$13,0))),0)</f>
        <v>352</v>
      </c>
      <c r="C1725" s="11">
        <f ca="1">B1725*Reference!$C$7*(1-IF(MONTH($A1725)=Reference!$C$6,1,0)*Reference!$C$12)</f>
        <v>327360</v>
      </c>
      <c r="D1725" s="10">
        <f ca="1">ROUND(_xlfn.NORM.INV(RAND(),Reference!$D$8,0.1*Reference!$D$8)*(1+Reference!$D$11*(IF(MONTH($A1725)=Reference!$D$4,1,0)+IF(MONTH($A1725)=Reference!$D$5,1,0))+(IF(MONTH($A1725)=Reference!$D$6,Reference!$D$13,0))),0)</f>
        <v>545</v>
      </c>
      <c r="E1725" s="11">
        <f ca="1">D1725*Reference!$D$7*(1-IF(MONTH($A1725)=Reference!$D$6,1,0)*Reference!$D$12)</f>
        <v>388312.5</v>
      </c>
      <c r="M1725" s="20"/>
      <c r="N1725" s="20"/>
      <c r="O1725" s="19"/>
      <c r="P1725" s="10"/>
      <c r="Q1725" s="10"/>
      <c r="R1725" s="10"/>
      <c r="S1725" s="10"/>
      <c r="T1725" s="10"/>
      <c r="U1725" s="10"/>
      <c r="V1725" s="10"/>
      <c r="W1725" s="10"/>
      <c r="X1725" s="10"/>
      <c r="Y1725" s="10"/>
    </row>
    <row r="1726" spans="1:25" x14ac:dyDescent="0.25">
      <c r="A1726" s="9">
        <v>42264</v>
      </c>
      <c r="B1726" s="10">
        <f ca="1">ROUND(_xlfn.NORM.INV(RAND(),Reference!$C$8,0.1*Reference!$C$8)*(1+Reference!$C$11*(IF(MONTH($A1726)=Reference!$C$4,1,0)+IF(MONTH($A1726)=Reference!$C$5,1,0))+(IF(MONTH($A1726)=Reference!$C$6,Reference!$C$13,0))),0)</f>
        <v>413</v>
      </c>
      <c r="C1726" s="11">
        <f ca="1">B1726*Reference!$C$7*(1-IF(MONTH($A1726)=Reference!$C$6,1,0)*Reference!$C$12)</f>
        <v>384090</v>
      </c>
      <c r="D1726" s="10">
        <f ca="1">ROUND(_xlfn.NORM.INV(RAND(),Reference!$D$8,0.1*Reference!$D$8)*(1+Reference!$D$11*(IF(MONTH($A1726)=Reference!$D$4,1,0)+IF(MONTH($A1726)=Reference!$D$5,1,0))+(IF(MONTH($A1726)=Reference!$D$6,Reference!$D$13,0))),0)</f>
        <v>559</v>
      </c>
      <c r="E1726" s="11">
        <f ca="1">D1726*Reference!$D$7*(1-IF(MONTH($A1726)=Reference!$D$6,1,0)*Reference!$D$12)</f>
        <v>398287.5</v>
      </c>
      <c r="M1726" s="20"/>
      <c r="N1726" s="20"/>
      <c r="O1726" s="19"/>
      <c r="P1726" s="10"/>
      <c r="Q1726" s="10"/>
      <c r="R1726" s="10"/>
      <c r="S1726" s="10"/>
      <c r="T1726" s="10"/>
      <c r="U1726" s="10"/>
      <c r="V1726" s="10"/>
      <c r="W1726" s="10"/>
      <c r="X1726" s="10"/>
      <c r="Y1726" s="10"/>
    </row>
    <row r="1727" spans="1:25" x14ac:dyDescent="0.25">
      <c r="A1727" s="9">
        <v>42265</v>
      </c>
      <c r="B1727" s="10">
        <f ca="1">ROUND(_xlfn.NORM.INV(RAND(),Reference!$C$8,0.1*Reference!$C$8)*(1+Reference!$C$11*(IF(MONTH($A1727)=Reference!$C$4,1,0)+IF(MONTH($A1727)=Reference!$C$5,1,0))+(IF(MONTH($A1727)=Reference!$C$6,Reference!$C$13,0))),0)</f>
        <v>329</v>
      </c>
      <c r="C1727" s="11">
        <f ca="1">B1727*Reference!$C$7*(1-IF(MONTH($A1727)=Reference!$C$6,1,0)*Reference!$C$12)</f>
        <v>305970</v>
      </c>
      <c r="D1727" s="10">
        <f ca="1">ROUND(_xlfn.NORM.INV(RAND(),Reference!$D$8,0.1*Reference!$D$8)*(1+Reference!$D$11*(IF(MONTH($A1727)=Reference!$D$4,1,0)+IF(MONTH($A1727)=Reference!$D$5,1,0))+(IF(MONTH($A1727)=Reference!$D$6,Reference!$D$13,0))),0)</f>
        <v>444</v>
      </c>
      <c r="E1727" s="11">
        <f ca="1">D1727*Reference!$D$7*(1-IF(MONTH($A1727)=Reference!$D$6,1,0)*Reference!$D$12)</f>
        <v>316350</v>
      </c>
      <c r="M1727" s="20"/>
      <c r="N1727" s="20"/>
      <c r="O1727" s="19"/>
      <c r="P1727" s="10"/>
      <c r="Q1727" s="10"/>
      <c r="R1727" s="10"/>
      <c r="S1727" s="10"/>
      <c r="T1727" s="10"/>
      <c r="U1727" s="10"/>
      <c r="V1727" s="10"/>
      <c r="W1727" s="10"/>
      <c r="X1727" s="10"/>
      <c r="Y1727" s="10"/>
    </row>
    <row r="1728" spans="1:25" x14ac:dyDescent="0.25">
      <c r="A1728" s="9">
        <v>42266</v>
      </c>
      <c r="B1728" s="10">
        <f ca="1">ROUND(_xlfn.NORM.INV(RAND(),Reference!$C$8,0.1*Reference!$C$8)*(1+Reference!$C$11*(IF(MONTH($A1728)=Reference!$C$4,1,0)+IF(MONTH($A1728)=Reference!$C$5,1,0))+(IF(MONTH($A1728)=Reference!$C$6,Reference!$C$13,0))),0)</f>
        <v>360</v>
      </c>
      <c r="C1728" s="11">
        <f ca="1">B1728*Reference!$C$7*(1-IF(MONTH($A1728)=Reference!$C$6,1,0)*Reference!$C$12)</f>
        <v>334800</v>
      </c>
      <c r="D1728" s="10">
        <f ca="1">ROUND(_xlfn.NORM.INV(RAND(),Reference!$D$8,0.1*Reference!$D$8)*(1+Reference!$D$11*(IF(MONTH($A1728)=Reference!$D$4,1,0)+IF(MONTH($A1728)=Reference!$D$5,1,0))+(IF(MONTH($A1728)=Reference!$D$6,Reference!$D$13,0))),0)</f>
        <v>517</v>
      </c>
      <c r="E1728" s="11">
        <f ca="1">D1728*Reference!$D$7*(1-IF(MONTH($A1728)=Reference!$D$6,1,0)*Reference!$D$12)</f>
        <v>368362.5</v>
      </c>
      <c r="M1728" s="20"/>
      <c r="N1728" s="20"/>
      <c r="O1728" s="19"/>
      <c r="P1728" s="10"/>
      <c r="Q1728" s="10"/>
      <c r="R1728" s="10"/>
      <c r="S1728" s="10"/>
      <c r="T1728" s="10"/>
      <c r="U1728" s="10"/>
      <c r="V1728" s="10"/>
      <c r="W1728" s="10"/>
      <c r="X1728" s="10"/>
      <c r="Y1728" s="10"/>
    </row>
    <row r="1729" spans="1:25" x14ac:dyDescent="0.25">
      <c r="A1729" s="9">
        <v>42267</v>
      </c>
      <c r="B1729" s="10">
        <f ca="1">ROUND(_xlfn.NORM.INV(RAND(),Reference!$C$8,0.1*Reference!$C$8)*(1+Reference!$C$11*(IF(MONTH($A1729)=Reference!$C$4,1,0)+IF(MONTH($A1729)=Reference!$C$5,1,0))+(IF(MONTH($A1729)=Reference!$C$6,Reference!$C$13,0))),0)</f>
        <v>365</v>
      </c>
      <c r="C1729" s="11">
        <f ca="1">B1729*Reference!$C$7*(1-IF(MONTH($A1729)=Reference!$C$6,1,0)*Reference!$C$12)</f>
        <v>339450</v>
      </c>
      <c r="D1729" s="10">
        <f ca="1">ROUND(_xlfn.NORM.INV(RAND(),Reference!$D$8,0.1*Reference!$D$8)*(1+Reference!$D$11*(IF(MONTH($A1729)=Reference!$D$4,1,0)+IF(MONTH($A1729)=Reference!$D$5,1,0))+(IF(MONTH($A1729)=Reference!$D$6,Reference!$D$13,0))),0)</f>
        <v>455</v>
      </c>
      <c r="E1729" s="11">
        <f ca="1">D1729*Reference!$D$7*(1-IF(MONTH($A1729)=Reference!$D$6,1,0)*Reference!$D$12)</f>
        <v>324187.5</v>
      </c>
      <c r="M1729" s="20"/>
      <c r="N1729" s="20"/>
      <c r="O1729" s="19"/>
      <c r="P1729" s="10"/>
      <c r="Q1729" s="10"/>
      <c r="R1729" s="10"/>
      <c r="S1729" s="10"/>
      <c r="T1729" s="10"/>
      <c r="U1729" s="10"/>
      <c r="V1729" s="10"/>
      <c r="W1729" s="10"/>
      <c r="X1729" s="10"/>
      <c r="Y1729" s="10"/>
    </row>
    <row r="1730" spans="1:25" x14ac:dyDescent="0.25">
      <c r="A1730" s="9">
        <v>42268</v>
      </c>
      <c r="B1730" s="10">
        <f ca="1">ROUND(_xlfn.NORM.INV(RAND(),Reference!$C$8,0.1*Reference!$C$8)*(1+Reference!$C$11*(IF(MONTH($A1730)=Reference!$C$4,1,0)+IF(MONTH($A1730)=Reference!$C$5,1,0))+(IF(MONTH($A1730)=Reference!$C$6,Reference!$C$13,0))),0)</f>
        <v>392</v>
      </c>
      <c r="C1730" s="11">
        <f ca="1">B1730*Reference!$C$7*(1-IF(MONTH($A1730)=Reference!$C$6,1,0)*Reference!$C$12)</f>
        <v>364560</v>
      </c>
      <c r="D1730" s="10">
        <f ca="1">ROUND(_xlfn.NORM.INV(RAND(),Reference!$D$8,0.1*Reference!$D$8)*(1+Reference!$D$11*(IF(MONTH($A1730)=Reference!$D$4,1,0)+IF(MONTH($A1730)=Reference!$D$5,1,0))+(IF(MONTH($A1730)=Reference!$D$6,Reference!$D$13,0))),0)</f>
        <v>416</v>
      </c>
      <c r="E1730" s="11">
        <f ca="1">D1730*Reference!$D$7*(1-IF(MONTH($A1730)=Reference!$D$6,1,0)*Reference!$D$12)</f>
        <v>296400</v>
      </c>
      <c r="M1730" s="20"/>
      <c r="N1730" s="20"/>
      <c r="O1730" s="19"/>
      <c r="P1730" s="10"/>
      <c r="Q1730" s="10"/>
      <c r="R1730" s="10"/>
      <c r="S1730" s="10"/>
      <c r="T1730" s="10"/>
      <c r="U1730" s="10"/>
      <c r="V1730" s="10"/>
      <c r="W1730" s="10"/>
      <c r="X1730" s="10"/>
      <c r="Y1730" s="10"/>
    </row>
    <row r="1731" spans="1:25" x14ac:dyDescent="0.25">
      <c r="A1731" s="9">
        <v>42269</v>
      </c>
      <c r="B1731" s="10">
        <f ca="1">ROUND(_xlfn.NORM.INV(RAND(),Reference!$C$8,0.1*Reference!$C$8)*(1+Reference!$C$11*(IF(MONTH($A1731)=Reference!$C$4,1,0)+IF(MONTH($A1731)=Reference!$C$5,1,0))+(IF(MONTH($A1731)=Reference!$C$6,Reference!$C$13,0))),0)</f>
        <v>336</v>
      </c>
      <c r="C1731" s="11">
        <f ca="1">B1731*Reference!$C$7*(1-IF(MONTH($A1731)=Reference!$C$6,1,0)*Reference!$C$12)</f>
        <v>312480</v>
      </c>
      <c r="D1731" s="10">
        <f ca="1">ROUND(_xlfn.NORM.INV(RAND(),Reference!$D$8,0.1*Reference!$D$8)*(1+Reference!$D$11*(IF(MONTH($A1731)=Reference!$D$4,1,0)+IF(MONTH($A1731)=Reference!$D$5,1,0))+(IF(MONTH($A1731)=Reference!$D$6,Reference!$D$13,0))),0)</f>
        <v>543</v>
      </c>
      <c r="E1731" s="11">
        <f ca="1">D1731*Reference!$D$7*(1-IF(MONTH($A1731)=Reference!$D$6,1,0)*Reference!$D$12)</f>
        <v>386887.5</v>
      </c>
      <c r="M1731" s="20"/>
      <c r="N1731" s="20"/>
      <c r="O1731" s="19"/>
      <c r="P1731" s="10"/>
      <c r="Q1731" s="10"/>
      <c r="R1731" s="10"/>
      <c r="S1731" s="10"/>
      <c r="T1731" s="10"/>
      <c r="U1731" s="10"/>
      <c r="V1731" s="10"/>
      <c r="W1731" s="10"/>
      <c r="X1731" s="10"/>
      <c r="Y1731" s="10"/>
    </row>
    <row r="1732" spans="1:25" x14ac:dyDescent="0.25">
      <c r="A1732" s="9">
        <v>42270</v>
      </c>
      <c r="B1732" s="10">
        <f ca="1">ROUND(_xlfn.NORM.INV(RAND(),Reference!$C$8,0.1*Reference!$C$8)*(1+Reference!$C$11*(IF(MONTH($A1732)=Reference!$C$4,1,0)+IF(MONTH($A1732)=Reference!$C$5,1,0))+(IF(MONTH($A1732)=Reference!$C$6,Reference!$C$13,0))),0)</f>
        <v>381</v>
      </c>
      <c r="C1732" s="11">
        <f ca="1">B1732*Reference!$C$7*(1-IF(MONTH($A1732)=Reference!$C$6,1,0)*Reference!$C$12)</f>
        <v>354330</v>
      </c>
      <c r="D1732" s="10">
        <f ca="1">ROUND(_xlfn.NORM.INV(RAND(),Reference!$D$8,0.1*Reference!$D$8)*(1+Reference!$D$11*(IF(MONTH($A1732)=Reference!$D$4,1,0)+IF(MONTH($A1732)=Reference!$D$5,1,0))+(IF(MONTH($A1732)=Reference!$D$6,Reference!$D$13,0))),0)</f>
        <v>447</v>
      </c>
      <c r="E1732" s="11">
        <f ca="1">D1732*Reference!$D$7*(1-IF(MONTH($A1732)=Reference!$D$6,1,0)*Reference!$D$12)</f>
        <v>318487.5</v>
      </c>
      <c r="M1732" s="20"/>
      <c r="N1732" s="20"/>
      <c r="O1732" s="19"/>
      <c r="P1732" s="10"/>
      <c r="Q1732" s="10"/>
      <c r="R1732" s="10"/>
      <c r="S1732" s="10"/>
      <c r="T1732" s="10"/>
      <c r="U1732" s="10"/>
      <c r="V1732" s="10"/>
      <c r="W1732" s="10"/>
      <c r="X1732" s="10"/>
      <c r="Y1732" s="10"/>
    </row>
    <row r="1733" spans="1:25" x14ac:dyDescent="0.25">
      <c r="A1733" s="9">
        <v>42271</v>
      </c>
      <c r="B1733" s="10">
        <f ca="1">ROUND(_xlfn.NORM.INV(RAND(),Reference!$C$8,0.1*Reference!$C$8)*(1+Reference!$C$11*(IF(MONTH($A1733)=Reference!$C$4,1,0)+IF(MONTH($A1733)=Reference!$C$5,1,0))+(IF(MONTH($A1733)=Reference!$C$6,Reference!$C$13,0))),0)</f>
        <v>302</v>
      </c>
      <c r="C1733" s="11">
        <f ca="1">B1733*Reference!$C$7*(1-IF(MONTH($A1733)=Reference!$C$6,1,0)*Reference!$C$12)</f>
        <v>280860</v>
      </c>
      <c r="D1733" s="10">
        <f ca="1">ROUND(_xlfn.NORM.INV(RAND(),Reference!$D$8,0.1*Reference!$D$8)*(1+Reference!$D$11*(IF(MONTH($A1733)=Reference!$D$4,1,0)+IF(MONTH($A1733)=Reference!$D$5,1,0))+(IF(MONTH($A1733)=Reference!$D$6,Reference!$D$13,0))),0)</f>
        <v>529</v>
      </c>
      <c r="E1733" s="11">
        <f ca="1">D1733*Reference!$D$7*(1-IF(MONTH($A1733)=Reference!$D$6,1,0)*Reference!$D$12)</f>
        <v>376912.5</v>
      </c>
      <c r="M1733" s="20"/>
      <c r="N1733" s="20"/>
      <c r="O1733" s="19"/>
      <c r="P1733" s="10"/>
      <c r="Q1733" s="10"/>
      <c r="R1733" s="10"/>
      <c r="S1733" s="10"/>
      <c r="T1733" s="10"/>
      <c r="U1733" s="10"/>
      <c r="V1733" s="10"/>
      <c r="W1733" s="10"/>
      <c r="X1733" s="10"/>
      <c r="Y1733" s="10"/>
    </row>
    <row r="1734" spans="1:25" x14ac:dyDescent="0.25">
      <c r="A1734" s="9">
        <v>42272</v>
      </c>
      <c r="B1734" s="10">
        <f ca="1">ROUND(_xlfn.NORM.INV(RAND(),Reference!$C$8,0.1*Reference!$C$8)*(1+Reference!$C$11*(IF(MONTH($A1734)=Reference!$C$4,1,0)+IF(MONTH($A1734)=Reference!$C$5,1,0))+(IF(MONTH($A1734)=Reference!$C$6,Reference!$C$13,0))),0)</f>
        <v>378</v>
      </c>
      <c r="C1734" s="11">
        <f ca="1">B1734*Reference!$C$7*(1-IF(MONTH($A1734)=Reference!$C$6,1,0)*Reference!$C$12)</f>
        <v>351540</v>
      </c>
      <c r="D1734" s="10">
        <f ca="1">ROUND(_xlfn.NORM.INV(RAND(),Reference!$D$8,0.1*Reference!$D$8)*(1+Reference!$D$11*(IF(MONTH($A1734)=Reference!$D$4,1,0)+IF(MONTH($A1734)=Reference!$D$5,1,0))+(IF(MONTH($A1734)=Reference!$D$6,Reference!$D$13,0))),0)</f>
        <v>323</v>
      </c>
      <c r="E1734" s="11">
        <f ca="1">D1734*Reference!$D$7*(1-IF(MONTH($A1734)=Reference!$D$6,1,0)*Reference!$D$12)</f>
        <v>230137.5</v>
      </c>
      <c r="M1734" s="20"/>
      <c r="N1734" s="20"/>
      <c r="O1734" s="19"/>
      <c r="P1734" s="10"/>
      <c r="Q1734" s="10"/>
      <c r="R1734" s="10"/>
      <c r="S1734" s="10"/>
      <c r="T1734" s="10"/>
      <c r="U1734" s="10"/>
      <c r="V1734" s="10"/>
      <c r="W1734" s="10"/>
      <c r="X1734" s="10"/>
      <c r="Y1734" s="10"/>
    </row>
    <row r="1735" spans="1:25" x14ac:dyDescent="0.25">
      <c r="A1735" s="9">
        <v>42273</v>
      </c>
      <c r="B1735" s="10">
        <f ca="1">ROUND(_xlfn.NORM.INV(RAND(),Reference!$C$8,0.1*Reference!$C$8)*(1+Reference!$C$11*(IF(MONTH($A1735)=Reference!$C$4,1,0)+IF(MONTH($A1735)=Reference!$C$5,1,0))+(IF(MONTH($A1735)=Reference!$C$6,Reference!$C$13,0))),0)</f>
        <v>351</v>
      </c>
      <c r="C1735" s="11">
        <f ca="1">B1735*Reference!$C$7*(1-IF(MONTH($A1735)=Reference!$C$6,1,0)*Reference!$C$12)</f>
        <v>326430</v>
      </c>
      <c r="D1735" s="10">
        <f ca="1">ROUND(_xlfn.NORM.INV(RAND(),Reference!$D$8,0.1*Reference!$D$8)*(1+Reference!$D$11*(IF(MONTH($A1735)=Reference!$D$4,1,0)+IF(MONTH($A1735)=Reference!$D$5,1,0))+(IF(MONTH($A1735)=Reference!$D$6,Reference!$D$13,0))),0)</f>
        <v>595</v>
      </c>
      <c r="E1735" s="11">
        <f ca="1">D1735*Reference!$D$7*(1-IF(MONTH($A1735)=Reference!$D$6,1,0)*Reference!$D$12)</f>
        <v>423937.5</v>
      </c>
      <c r="M1735" s="20"/>
      <c r="N1735" s="20"/>
      <c r="O1735" s="19"/>
      <c r="P1735" s="10"/>
      <c r="Q1735" s="10"/>
      <c r="R1735" s="10"/>
      <c r="S1735" s="10"/>
      <c r="T1735" s="10"/>
      <c r="U1735" s="10"/>
      <c r="V1735" s="10"/>
      <c r="W1735" s="10"/>
      <c r="X1735" s="10"/>
      <c r="Y1735" s="10"/>
    </row>
    <row r="1736" spans="1:25" x14ac:dyDescent="0.25">
      <c r="A1736" s="9">
        <v>42274</v>
      </c>
      <c r="B1736" s="10">
        <f ca="1">ROUND(_xlfn.NORM.INV(RAND(),Reference!$C$8,0.1*Reference!$C$8)*(1+Reference!$C$11*(IF(MONTH($A1736)=Reference!$C$4,1,0)+IF(MONTH($A1736)=Reference!$C$5,1,0))+(IF(MONTH($A1736)=Reference!$C$6,Reference!$C$13,0))),0)</f>
        <v>360</v>
      </c>
      <c r="C1736" s="11">
        <f ca="1">B1736*Reference!$C$7*(1-IF(MONTH($A1736)=Reference!$C$6,1,0)*Reference!$C$12)</f>
        <v>334800</v>
      </c>
      <c r="D1736" s="10">
        <f ca="1">ROUND(_xlfn.NORM.INV(RAND(),Reference!$D$8,0.1*Reference!$D$8)*(1+Reference!$D$11*(IF(MONTH($A1736)=Reference!$D$4,1,0)+IF(MONTH($A1736)=Reference!$D$5,1,0))+(IF(MONTH($A1736)=Reference!$D$6,Reference!$D$13,0))),0)</f>
        <v>552</v>
      </c>
      <c r="E1736" s="11">
        <f ca="1">D1736*Reference!$D$7*(1-IF(MONTH($A1736)=Reference!$D$6,1,0)*Reference!$D$12)</f>
        <v>393300</v>
      </c>
      <c r="M1736" s="20"/>
      <c r="N1736" s="20"/>
      <c r="O1736" s="19"/>
      <c r="P1736" s="10"/>
      <c r="Q1736" s="10"/>
      <c r="R1736" s="10"/>
      <c r="S1736" s="10"/>
      <c r="T1736" s="10"/>
      <c r="U1736" s="10"/>
      <c r="V1736" s="10"/>
      <c r="W1736" s="10"/>
      <c r="X1736" s="10"/>
      <c r="Y1736" s="10"/>
    </row>
    <row r="1737" spans="1:25" x14ac:dyDescent="0.25">
      <c r="A1737" s="9">
        <v>42275</v>
      </c>
      <c r="B1737" s="10">
        <f ca="1">ROUND(_xlfn.NORM.INV(RAND(),Reference!$C$8,0.1*Reference!$C$8)*(1+Reference!$C$11*(IF(MONTH($A1737)=Reference!$C$4,1,0)+IF(MONTH($A1737)=Reference!$C$5,1,0))+(IF(MONTH($A1737)=Reference!$C$6,Reference!$C$13,0))),0)</f>
        <v>410</v>
      </c>
      <c r="C1737" s="11">
        <f ca="1">B1737*Reference!$C$7*(1-IF(MONTH($A1737)=Reference!$C$6,1,0)*Reference!$C$12)</f>
        <v>381300</v>
      </c>
      <c r="D1737" s="10">
        <f ca="1">ROUND(_xlfn.NORM.INV(RAND(),Reference!$D$8,0.1*Reference!$D$8)*(1+Reference!$D$11*(IF(MONTH($A1737)=Reference!$D$4,1,0)+IF(MONTH($A1737)=Reference!$D$5,1,0))+(IF(MONTH($A1737)=Reference!$D$6,Reference!$D$13,0))),0)</f>
        <v>474</v>
      </c>
      <c r="E1737" s="11">
        <f ca="1">D1737*Reference!$D$7*(1-IF(MONTH($A1737)=Reference!$D$6,1,0)*Reference!$D$12)</f>
        <v>337725</v>
      </c>
      <c r="M1737" s="20"/>
      <c r="N1737" s="20"/>
      <c r="O1737" s="19"/>
      <c r="P1737" s="10"/>
      <c r="Q1737" s="10"/>
      <c r="R1737" s="10"/>
      <c r="S1737" s="10"/>
      <c r="T1737" s="10"/>
      <c r="U1737" s="10"/>
      <c r="V1737" s="10"/>
      <c r="W1737" s="10"/>
      <c r="X1737" s="10"/>
      <c r="Y1737" s="10"/>
    </row>
    <row r="1738" spans="1:25" x14ac:dyDescent="0.25">
      <c r="A1738" s="9">
        <v>42276</v>
      </c>
      <c r="B1738" s="10">
        <f ca="1">ROUND(_xlfn.NORM.INV(RAND(),Reference!$C$8,0.1*Reference!$C$8)*(1+Reference!$C$11*(IF(MONTH($A1738)=Reference!$C$4,1,0)+IF(MONTH($A1738)=Reference!$C$5,1,0))+(IF(MONTH($A1738)=Reference!$C$6,Reference!$C$13,0))),0)</f>
        <v>317</v>
      </c>
      <c r="C1738" s="11">
        <f ca="1">B1738*Reference!$C$7*(1-IF(MONTH($A1738)=Reference!$C$6,1,0)*Reference!$C$12)</f>
        <v>294810</v>
      </c>
      <c r="D1738" s="10">
        <f ca="1">ROUND(_xlfn.NORM.INV(RAND(),Reference!$D$8,0.1*Reference!$D$8)*(1+Reference!$D$11*(IF(MONTH($A1738)=Reference!$D$4,1,0)+IF(MONTH($A1738)=Reference!$D$5,1,0))+(IF(MONTH($A1738)=Reference!$D$6,Reference!$D$13,0))),0)</f>
        <v>469</v>
      </c>
      <c r="E1738" s="11">
        <f ca="1">D1738*Reference!$D$7*(1-IF(MONTH($A1738)=Reference!$D$6,1,0)*Reference!$D$12)</f>
        <v>334162.5</v>
      </c>
      <c r="M1738" s="20"/>
      <c r="N1738" s="20"/>
      <c r="O1738" s="19"/>
      <c r="P1738" s="10"/>
      <c r="Q1738" s="10"/>
      <c r="R1738" s="10"/>
      <c r="S1738" s="10"/>
      <c r="T1738" s="10"/>
      <c r="U1738" s="10"/>
      <c r="V1738" s="10"/>
      <c r="W1738" s="10"/>
      <c r="X1738" s="10"/>
      <c r="Y1738" s="10"/>
    </row>
    <row r="1739" spans="1:25" x14ac:dyDescent="0.25">
      <c r="A1739" s="9">
        <v>42277</v>
      </c>
      <c r="B1739" s="10">
        <f ca="1">ROUND(_xlfn.NORM.INV(RAND(),Reference!$C$8,0.1*Reference!$C$8)*(1+Reference!$C$11*(IF(MONTH($A1739)=Reference!$C$4,1,0)+IF(MONTH($A1739)=Reference!$C$5,1,0))+(IF(MONTH($A1739)=Reference!$C$6,Reference!$C$13,0))),0)</f>
        <v>299</v>
      </c>
      <c r="C1739" s="11">
        <f ca="1">B1739*Reference!$C$7*(1-IF(MONTH($A1739)=Reference!$C$6,1,0)*Reference!$C$12)</f>
        <v>278070</v>
      </c>
      <c r="D1739" s="10">
        <f ca="1">ROUND(_xlfn.NORM.INV(RAND(),Reference!$D$8,0.1*Reference!$D$8)*(1+Reference!$D$11*(IF(MONTH($A1739)=Reference!$D$4,1,0)+IF(MONTH($A1739)=Reference!$D$5,1,0))+(IF(MONTH($A1739)=Reference!$D$6,Reference!$D$13,0))),0)</f>
        <v>565</v>
      </c>
      <c r="E1739" s="11">
        <f ca="1">D1739*Reference!$D$7*(1-IF(MONTH($A1739)=Reference!$D$6,1,0)*Reference!$D$12)</f>
        <v>402562.5</v>
      </c>
      <c r="M1739" s="20"/>
      <c r="N1739" s="20"/>
      <c r="O1739" s="19"/>
      <c r="P1739" s="10"/>
      <c r="Q1739" s="10"/>
      <c r="R1739" s="10"/>
      <c r="S1739" s="10"/>
      <c r="T1739" s="10"/>
      <c r="U1739" s="10"/>
      <c r="V1739" s="10"/>
      <c r="W1739" s="10"/>
      <c r="X1739" s="10"/>
      <c r="Y1739" s="10"/>
    </row>
    <row r="1740" spans="1:25" x14ac:dyDescent="0.25">
      <c r="A1740" s="9">
        <v>42278</v>
      </c>
      <c r="B1740" s="10">
        <f ca="1">ROUND(_xlfn.NORM.INV(RAND(),Reference!$C$8,0.1*Reference!$C$8)*(1+Reference!$C$11*(IF(MONTH($A1740)=Reference!$C$4,1,0)+IF(MONTH($A1740)=Reference!$C$5,1,0))+(IF(MONTH($A1740)=Reference!$C$6,Reference!$C$13,0))),0)</f>
        <v>334</v>
      </c>
      <c r="C1740" s="11">
        <f ca="1">B1740*Reference!$C$7*(1-IF(MONTH($A1740)=Reference!$C$6,1,0)*Reference!$C$12)</f>
        <v>310620</v>
      </c>
      <c r="D1740" s="10">
        <f ca="1">ROUND(_xlfn.NORM.INV(RAND(),Reference!$D$8,0.1*Reference!$D$8)*(1+Reference!$D$11*(IF(MONTH($A1740)=Reference!$D$4,1,0)+IF(MONTH($A1740)=Reference!$D$5,1,0))+(IF(MONTH($A1740)=Reference!$D$6,Reference!$D$13,0))),0)</f>
        <v>437</v>
      </c>
      <c r="E1740" s="11">
        <f ca="1">D1740*Reference!$D$7*(1-IF(MONTH($A1740)=Reference!$D$6,1,0)*Reference!$D$12)</f>
        <v>327750</v>
      </c>
      <c r="M1740" s="20"/>
      <c r="N1740" s="20"/>
      <c r="O1740" s="19"/>
      <c r="P1740" s="10"/>
      <c r="Q1740" s="10"/>
      <c r="R1740" s="10"/>
      <c r="S1740" s="10"/>
      <c r="T1740" s="10"/>
      <c r="U1740" s="10"/>
      <c r="V1740" s="10"/>
      <c r="W1740" s="10"/>
      <c r="X1740" s="10"/>
      <c r="Y1740" s="10"/>
    </row>
    <row r="1741" spans="1:25" x14ac:dyDescent="0.25">
      <c r="A1741" s="9">
        <v>42279</v>
      </c>
      <c r="B1741" s="10">
        <f ca="1">ROUND(_xlfn.NORM.INV(RAND(),Reference!$C$8,0.1*Reference!$C$8)*(1+Reference!$C$11*(IF(MONTH($A1741)=Reference!$C$4,1,0)+IF(MONTH($A1741)=Reference!$C$5,1,0))+(IF(MONTH($A1741)=Reference!$C$6,Reference!$C$13,0))),0)</f>
        <v>306</v>
      </c>
      <c r="C1741" s="11">
        <f ca="1">B1741*Reference!$C$7*(1-IF(MONTH($A1741)=Reference!$C$6,1,0)*Reference!$C$12)</f>
        <v>284580</v>
      </c>
      <c r="D1741" s="10">
        <f ca="1">ROUND(_xlfn.NORM.INV(RAND(),Reference!$D$8,0.1*Reference!$D$8)*(1+Reference!$D$11*(IF(MONTH($A1741)=Reference!$D$4,1,0)+IF(MONTH($A1741)=Reference!$D$5,1,0))+(IF(MONTH($A1741)=Reference!$D$6,Reference!$D$13,0))),0)</f>
        <v>460</v>
      </c>
      <c r="E1741" s="11">
        <f ca="1">D1741*Reference!$D$7*(1-IF(MONTH($A1741)=Reference!$D$6,1,0)*Reference!$D$12)</f>
        <v>345000</v>
      </c>
      <c r="M1741" s="20"/>
      <c r="N1741" s="20"/>
      <c r="O1741" s="19"/>
      <c r="P1741" s="10"/>
      <c r="Q1741" s="10"/>
      <c r="R1741" s="10"/>
      <c r="S1741" s="10"/>
      <c r="T1741" s="10"/>
      <c r="U1741" s="10"/>
      <c r="V1741" s="10"/>
      <c r="W1741" s="10"/>
      <c r="X1741" s="10"/>
      <c r="Y1741" s="10"/>
    </row>
    <row r="1742" spans="1:25" x14ac:dyDescent="0.25">
      <c r="A1742" s="9">
        <v>42280</v>
      </c>
      <c r="B1742" s="10">
        <f ca="1">ROUND(_xlfn.NORM.INV(RAND(),Reference!$C$8,0.1*Reference!$C$8)*(1+Reference!$C$11*(IF(MONTH($A1742)=Reference!$C$4,1,0)+IF(MONTH($A1742)=Reference!$C$5,1,0))+(IF(MONTH($A1742)=Reference!$C$6,Reference!$C$13,0))),0)</f>
        <v>374</v>
      </c>
      <c r="C1742" s="11">
        <f ca="1">B1742*Reference!$C$7*(1-IF(MONTH($A1742)=Reference!$C$6,1,0)*Reference!$C$12)</f>
        <v>347820</v>
      </c>
      <c r="D1742" s="10">
        <f ca="1">ROUND(_xlfn.NORM.INV(RAND(),Reference!$D$8,0.1*Reference!$D$8)*(1+Reference!$D$11*(IF(MONTH($A1742)=Reference!$D$4,1,0)+IF(MONTH($A1742)=Reference!$D$5,1,0))+(IF(MONTH($A1742)=Reference!$D$6,Reference!$D$13,0))),0)</f>
        <v>385</v>
      </c>
      <c r="E1742" s="11">
        <f ca="1">D1742*Reference!$D$7*(1-IF(MONTH($A1742)=Reference!$D$6,1,0)*Reference!$D$12)</f>
        <v>288750</v>
      </c>
      <c r="M1742" s="20"/>
      <c r="N1742" s="20"/>
      <c r="O1742" s="19"/>
      <c r="P1742" s="10"/>
      <c r="Q1742" s="10"/>
      <c r="R1742" s="10"/>
      <c r="S1742" s="10"/>
      <c r="T1742" s="10"/>
      <c r="U1742" s="10"/>
      <c r="V1742" s="10"/>
      <c r="W1742" s="10"/>
      <c r="X1742" s="10"/>
      <c r="Y1742" s="10"/>
    </row>
    <row r="1743" spans="1:25" x14ac:dyDescent="0.25">
      <c r="A1743" s="9">
        <v>42281</v>
      </c>
      <c r="B1743" s="10">
        <f ca="1">ROUND(_xlfn.NORM.INV(RAND(),Reference!$C$8,0.1*Reference!$C$8)*(1+Reference!$C$11*(IF(MONTH($A1743)=Reference!$C$4,1,0)+IF(MONTH($A1743)=Reference!$C$5,1,0))+(IF(MONTH($A1743)=Reference!$C$6,Reference!$C$13,0))),0)</f>
        <v>330</v>
      </c>
      <c r="C1743" s="11">
        <f ca="1">B1743*Reference!$C$7*(1-IF(MONTH($A1743)=Reference!$C$6,1,0)*Reference!$C$12)</f>
        <v>306900</v>
      </c>
      <c r="D1743" s="10">
        <f ca="1">ROUND(_xlfn.NORM.INV(RAND(),Reference!$D$8,0.1*Reference!$D$8)*(1+Reference!$D$11*(IF(MONTH($A1743)=Reference!$D$4,1,0)+IF(MONTH($A1743)=Reference!$D$5,1,0))+(IF(MONTH($A1743)=Reference!$D$6,Reference!$D$13,0))),0)</f>
        <v>491</v>
      </c>
      <c r="E1743" s="11">
        <f ca="1">D1743*Reference!$D$7*(1-IF(MONTH($A1743)=Reference!$D$6,1,0)*Reference!$D$12)</f>
        <v>368250</v>
      </c>
      <c r="M1743" s="20"/>
      <c r="N1743" s="20"/>
      <c r="O1743" s="19"/>
      <c r="P1743" s="10"/>
      <c r="Q1743" s="10"/>
      <c r="R1743" s="10"/>
      <c r="S1743" s="10"/>
      <c r="T1743" s="10"/>
      <c r="U1743" s="10"/>
      <c r="V1743" s="10"/>
      <c r="W1743" s="10"/>
      <c r="X1743" s="10"/>
      <c r="Y1743" s="10"/>
    </row>
    <row r="1744" spans="1:25" x14ac:dyDescent="0.25">
      <c r="A1744" s="9">
        <v>42282</v>
      </c>
      <c r="B1744" s="10">
        <f ca="1">ROUND(_xlfn.NORM.INV(RAND(),Reference!$C$8,0.1*Reference!$C$8)*(1+Reference!$C$11*(IF(MONTH($A1744)=Reference!$C$4,1,0)+IF(MONTH($A1744)=Reference!$C$5,1,0))+(IF(MONTH($A1744)=Reference!$C$6,Reference!$C$13,0))),0)</f>
        <v>351</v>
      </c>
      <c r="C1744" s="11">
        <f ca="1">B1744*Reference!$C$7*(1-IF(MONTH($A1744)=Reference!$C$6,1,0)*Reference!$C$12)</f>
        <v>326430</v>
      </c>
      <c r="D1744" s="10">
        <f ca="1">ROUND(_xlfn.NORM.INV(RAND(),Reference!$D$8,0.1*Reference!$D$8)*(1+Reference!$D$11*(IF(MONTH($A1744)=Reference!$D$4,1,0)+IF(MONTH($A1744)=Reference!$D$5,1,0))+(IF(MONTH($A1744)=Reference!$D$6,Reference!$D$13,0))),0)</f>
        <v>451</v>
      </c>
      <c r="E1744" s="11">
        <f ca="1">D1744*Reference!$D$7*(1-IF(MONTH($A1744)=Reference!$D$6,1,0)*Reference!$D$12)</f>
        <v>338250</v>
      </c>
      <c r="M1744" s="20"/>
      <c r="N1744" s="20"/>
      <c r="O1744" s="19"/>
      <c r="P1744" s="10"/>
      <c r="Q1744" s="10"/>
      <c r="R1744" s="10"/>
      <c r="S1744" s="10"/>
      <c r="T1744" s="10"/>
      <c r="U1744" s="10"/>
      <c r="V1744" s="10"/>
      <c r="W1744" s="10"/>
      <c r="X1744" s="10"/>
      <c r="Y1744" s="10"/>
    </row>
    <row r="1745" spans="1:25" x14ac:dyDescent="0.25">
      <c r="A1745" s="9">
        <v>42283</v>
      </c>
      <c r="B1745" s="10">
        <f ca="1">ROUND(_xlfn.NORM.INV(RAND(),Reference!$C$8,0.1*Reference!$C$8)*(1+Reference!$C$11*(IF(MONTH($A1745)=Reference!$C$4,1,0)+IF(MONTH($A1745)=Reference!$C$5,1,0))+(IF(MONTH($A1745)=Reference!$C$6,Reference!$C$13,0))),0)</f>
        <v>355</v>
      </c>
      <c r="C1745" s="11">
        <f ca="1">B1745*Reference!$C$7*(1-IF(MONTH($A1745)=Reference!$C$6,1,0)*Reference!$C$12)</f>
        <v>330150</v>
      </c>
      <c r="D1745" s="10">
        <f ca="1">ROUND(_xlfn.NORM.INV(RAND(),Reference!$D$8,0.1*Reference!$D$8)*(1+Reference!$D$11*(IF(MONTH($A1745)=Reference!$D$4,1,0)+IF(MONTH($A1745)=Reference!$D$5,1,0))+(IF(MONTH($A1745)=Reference!$D$6,Reference!$D$13,0))),0)</f>
        <v>469</v>
      </c>
      <c r="E1745" s="11">
        <f ca="1">D1745*Reference!$D$7*(1-IF(MONTH($A1745)=Reference!$D$6,1,0)*Reference!$D$12)</f>
        <v>351750</v>
      </c>
      <c r="M1745" s="20"/>
      <c r="N1745" s="20"/>
      <c r="O1745" s="19"/>
      <c r="P1745" s="10"/>
      <c r="Q1745" s="10"/>
      <c r="R1745" s="10"/>
      <c r="S1745" s="10"/>
      <c r="T1745" s="10"/>
      <c r="U1745" s="10"/>
      <c r="V1745" s="10"/>
      <c r="W1745" s="10"/>
      <c r="X1745" s="10"/>
      <c r="Y1745" s="10"/>
    </row>
    <row r="1746" spans="1:25" x14ac:dyDescent="0.25">
      <c r="A1746" s="9">
        <v>42284</v>
      </c>
      <c r="B1746" s="10">
        <f ca="1">ROUND(_xlfn.NORM.INV(RAND(),Reference!$C$8,0.1*Reference!$C$8)*(1+Reference!$C$11*(IF(MONTH($A1746)=Reference!$C$4,1,0)+IF(MONTH($A1746)=Reference!$C$5,1,0))+(IF(MONTH($A1746)=Reference!$C$6,Reference!$C$13,0))),0)</f>
        <v>368</v>
      </c>
      <c r="C1746" s="11">
        <f ca="1">B1746*Reference!$C$7*(1-IF(MONTH($A1746)=Reference!$C$6,1,0)*Reference!$C$12)</f>
        <v>342240</v>
      </c>
      <c r="D1746" s="10">
        <f ca="1">ROUND(_xlfn.NORM.INV(RAND(),Reference!$D$8,0.1*Reference!$D$8)*(1+Reference!$D$11*(IF(MONTH($A1746)=Reference!$D$4,1,0)+IF(MONTH($A1746)=Reference!$D$5,1,0))+(IF(MONTH($A1746)=Reference!$D$6,Reference!$D$13,0))),0)</f>
        <v>373</v>
      </c>
      <c r="E1746" s="11">
        <f ca="1">D1746*Reference!$D$7*(1-IF(MONTH($A1746)=Reference!$D$6,1,0)*Reference!$D$12)</f>
        <v>279750</v>
      </c>
      <c r="M1746" s="20"/>
      <c r="N1746" s="20"/>
      <c r="O1746" s="19"/>
      <c r="P1746" s="10"/>
      <c r="Q1746" s="10"/>
      <c r="R1746" s="10"/>
      <c r="S1746" s="10"/>
      <c r="T1746" s="10"/>
      <c r="U1746" s="10"/>
      <c r="V1746" s="10"/>
      <c r="W1746" s="10"/>
      <c r="X1746" s="10"/>
      <c r="Y1746" s="10"/>
    </row>
    <row r="1747" spans="1:25" x14ac:dyDescent="0.25">
      <c r="A1747" s="9">
        <v>42285</v>
      </c>
      <c r="B1747" s="10">
        <f ca="1">ROUND(_xlfn.NORM.INV(RAND(),Reference!$C$8,0.1*Reference!$C$8)*(1+Reference!$C$11*(IF(MONTH($A1747)=Reference!$C$4,1,0)+IF(MONTH($A1747)=Reference!$C$5,1,0))+(IF(MONTH($A1747)=Reference!$C$6,Reference!$C$13,0))),0)</f>
        <v>345</v>
      </c>
      <c r="C1747" s="11">
        <f ca="1">B1747*Reference!$C$7*(1-IF(MONTH($A1747)=Reference!$C$6,1,0)*Reference!$C$12)</f>
        <v>320850</v>
      </c>
      <c r="D1747" s="10">
        <f ca="1">ROUND(_xlfn.NORM.INV(RAND(),Reference!$D$8,0.1*Reference!$D$8)*(1+Reference!$D$11*(IF(MONTH($A1747)=Reference!$D$4,1,0)+IF(MONTH($A1747)=Reference!$D$5,1,0))+(IF(MONTH($A1747)=Reference!$D$6,Reference!$D$13,0))),0)</f>
        <v>480</v>
      </c>
      <c r="E1747" s="11">
        <f ca="1">D1747*Reference!$D$7*(1-IF(MONTH($A1747)=Reference!$D$6,1,0)*Reference!$D$12)</f>
        <v>360000</v>
      </c>
      <c r="M1747" s="20"/>
      <c r="N1747" s="20"/>
      <c r="O1747" s="19"/>
      <c r="P1747" s="10"/>
      <c r="Q1747" s="10"/>
      <c r="R1747" s="10"/>
      <c r="S1747" s="10"/>
      <c r="T1747" s="10"/>
      <c r="U1747" s="10"/>
      <c r="V1747" s="10"/>
      <c r="W1747" s="10"/>
      <c r="X1747" s="10"/>
      <c r="Y1747" s="10"/>
    </row>
    <row r="1748" spans="1:25" x14ac:dyDescent="0.25">
      <c r="A1748" s="9">
        <v>42286</v>
      </c>
      <c r="B1748" s="10">
        <f ca="1">ROUND(_xlfn.NORM.INV(RAND(),Reference!$C$8,0.1*Reference!$C$8)*(1+Reference!$C$11*(IF(MONTH($A1748)=Reference!$C$4,1,0)+IF(MONTH($A1748)=Reference!$C$5,1,0))+(IF(MONTH($A1748)=Reference!$C$6,Reference!$C$13,0))),0)</f>
        <v>352</v>
      </c>
      <c r="C1748" s="11">
        <f ca="1">B1748*Reference!$C$7*(1-IF(MONTH($A1748)=Reference!$C$6,1,0)*Reference!$C$12)</f>
        <v>327360</v>
      </c>
      <c r="D1748" s="10">
        <f ca="1">ROUND(_xlfn.NORM.INV(RAND(),Reference!$D$8,0.1*Reference!$D$8)*(1+Reference!$D$11*(IF(MONTH($A1748)=Reference!$D$4,1,0)+IF(MONTH($A1748)=Reference!$D$5,1,0))+(IF(MONTH($A1748)=Reference!$D$6,Reference!$D$13,0))),0)</f>
        <v>412</v>
      </c>
      <c r="E1748" s="11">
        <f ca="1">D1748*Reference!$D$7*(1-IF(MONTH($A1748)=Reference!$D$6,1,0)*Reference!$D$12)</f>
        <v>309000</v>
      </c>
      <c r="M1748" s="20"/>
      <c r="N1748" s="20"/>
      <c r="O1748" s="19"/>
      <c r="P1748" s="10"/>
      <c r="Q1748" s="10"/>
      <c r="R1748" s="10"/>
      <c r="S1748" s="10"/>
      <c r="T1748" s="10"/>
      <c r="U1748" s="10"/>
      <c r="V1748" s="10"/>
      <c r="W1748" s="10"/>
      <c r="X1748" s="10"/>
      <c r="Y1748" s="10"/>
    </row>
    <row r="1749" spans="1:25" x14ac:dyDescent="0.25">
      <c r="A1749" s="9">
        <v>42287</v>
      </c>
      <c r="B1749" s="10">
        <f ca="1">ROUND(_xlfn.NORM.INV(RAND(),Reference!$C$8,0.1*Reference!$C$8)*(1+Reference!$C$11*(IF(MONTH($A1749)=Reference!$C$4,1,0)+IF(MONTH($A1749)=Reference!$C$5,1,0))+(IF(MONTH($A1749)=Reference!$C$6,Reference!$C$13,0))),0)</f>
        <v>391</v>
      </c>
      <c r="C1749" s="11">
        <f ca="1">B1749*Reference!$C$7*(1-IF(MONTH($A1749)=Reference!$C$6,1,0)*Reference!$C$12)</f>
        <v>363630</v>
      </c>
      <c r="D1749" s="10">
        <f ca="1">ROUND(_xlfn.NORM.INV(RAND(),Reference!$D$8,0.1*Reference!$D$8)*(1+Reference!$D$11*(IF(MONTH($A1749)=Reference!$D$4,1,0)+IF(MONTH($A1749)=Reference!$D$5,1,0))+(IF(MONTH($A1749)=Reference!$D$6,Reference!$D$13,0))),0)</f>
        <v>432</v>
      </c>
      <c r="E1749" s="11">
        <f ca="1">D1749*Reference!$D$7*(1-IF(MONTH($A1749)=Reference!$D$6,1,0)*Reference!$D$12)</f>
        <v>324000</v>
      </c>
      <c r="M1749" s="20"/>
      <c r="N1749" s="20"/>
      <c r="O1749" s="19"/>
      <c r="P1749" s="10"/>
      <c r="Q1749" s="10"/>
      <c r="R1749" s="10"/>
      <c r="S1749" s="10"/>
      <c r="T1749" s="10"/>
      <c r="U1749" s="10"/>
      <c r="V1749" s="10"/>
      <c r="W1749" s="10"/>
      <c r="X1749" s="10"/>
      <c r="Y1749" s="10"/>
    </row>
    <row r="1750" spans="1:25" x14ac:dyDescent="0.25">
      <c r="A1750" s="9">
        <v>42288</v>
      </c>
      <c r="B1750" s="10">
        <f ca="1">ROUND(_xlfn.NORM.INV(RAND(),Reference!$C$8,0.1*Reference!$C$8)*(1+Reference!$C$11*(IF(MONTH($A1750)=Reference!$C$4,1,0)+IF(MONTH($A1750)=Reference!$C$5,1,0))+(IF(MONTH($A1750)=Reference!$C$6,Reference!$C$13,0))),0)</f>
        <v>356</v>
      </c>
      <c r="C1750" s="11">
        <f ca="1">B1750*Reference!$C$7*(1-IF(MONTH($A1750)=Reference!$C$6,1,0)*Reference!$C$12)</f>
        <v>331080</v>
      </c>
      <c r="D1750" s="10">
        <f ca="1">ROUND(_xlfn.NORM.INV(RAND(),Reference!$D$8,0.1*Reference!$D$8)*(1+Reference!$D$11*(IF(MONTH($A1750)=Reference!$D$4,1,0)+IF(MONTH($A1750)=Reference!$D$5,1,0))+(IF(MONTH($A1750)=Reference!$D$6,Reference!$D$13,0))),0)</f>
        <v>422</v>
      </c>
      <c r="E1750" s="11">
        <f ca="1">D1750*Reference!$D$7*(1-IF(MONTH($A1750)=Reference!$D$6,1,0)*Reference!$D$12)</f>
        <v>316500</v>
      </c>
      <c r="M1750" s="20"/>
      <c r="N1750" s="20"/>
      <c r="O1750" s="19"/>
      <c r="P1750" s="10"/>
      <c r="Q1750" s="10"/>
      <c r="R1750" s="10"/>
      <c r="S1750" s="10"/>
      <c r="T1750" s="10"/>
      <c r="U1750" s="10"/>
      <c r="V1750" s="10"/>
      <c r="W1750" s="10"/>
      <c r="X1750" s="10"/>
      <c r="Y1750" s="10"/>
    </row>
    <row r="1751" spans="1:25" x14ac:dyDescent="0.25">
      <c r="A1751" s="9">
        <v>42289</v>
      </c>
      <c r="B1751" s="10">
        <f ca="1">ROUND(_xlfn.NORM.INV(RAND(),Reference!$C$8,0.1*Reference!$C$8)*(1+Reference!$C$11*(IF(MONTH($A1751)=Reference!$C$4,1,0)+IF(MONTH($A1751)=Reference!$C$5,1,0))+(IF(MONTH($A1751)=Reference!$C$6,Reference!$C$13,0))),0)</f>
        <v>430</v>
      </c>
      <c r="C1751" s="11">
        <f ca="1">B1751*Reference!$C$7*(1-IF(MONTH($A1751)=Reference!$C$6,1,0)*Reference!$C$12)</f>
        <v>399900</v>
      </c>
      <c r="D1751" s="10">
        <f ca="1">ROUND(_xlfn.NORM.INV(RAND(),Reference!$D$8,0.1*Reference!$D$8)*(1+Reference!$D$11*(IF(MONTH($A1751)=Reference!$D$4,1,0)+IF(MONTH($A1751)=Reference!$D$5,1,0))+(IF(MONTH($A1751)=Reference!$D$6,Reference!$D$13,0))),0)</f>
        <v>451</v>
      </c>
      <c r="E1751" s="11">
        <f ca="1">D1751*Reference!$D$7*(1-IF(MONTH($A1751)=Reference!$D$6,1,0)*Reference!$D$12)</f>
        <v>338250</v>
      </c>
      <c r="M1751" s="20"/>
      <c r="N1751" s="20"/>
      <c r="O1751" s="19"/>
      <c r="P1751" s="10"/>
      <c r="Q1751" s="10"/>
      <c r="R1751" s="10"/>
      <c r="S1751" s="10"/>
      <c r="T1751" s="10"/>
      <c r="U1751" s="10"/>
      <c r="V1751" s="10"/>
      <c r="W1751" s="10"/>
      <c r="X1751" s="10"/>
      <c r="Y1751" s="10"/>
    </row>
    <row r="1752" spans="1:25" x14ac:dyDescent="0.25">
      <c r="A1752" s="9">
        <v>42290</v>
      </c>
      <c r="B1752" s="10">
        <f ca="1">ROUND(_xlfn.NORM.INV(RAND(),Reference!$C$8,0.1*Reference!$C$8)*(1+Reference!$C$11*(IF(MONTH($A1752)=Reference!$C$4,1,0)+IF(MONTH($A1752)=Reference!$C$5,1,0))+(IF(MONTH($A1752)=Reference!$C$6,Reference!$C$13,0))),0)</f>
        <v>371</v>
      </c>
      <c r="C1752" s="11">
        <f ca="1">B1752*Reference!$C$7*(1-IF(MONTH($A1752)=Reference!$C$6,1,0)*Reference!$C$12)</f>
        <v>345030</v>
      </c>
      <c r="D1752" s="10">
        <f ca="1">ROUND(_xlfn.NORM.INV(RAND(),Reference!$D$8,0.1*Reference!$D$8)*(1+Reference!$D$11*(IF(MONTH($A1752)=Reference!$D$4,1,0)+IF(MONTH($A1752)=Reference!$D$5,1,0))+(IF(MONTH($A1752)=Reference!$D$6,Reference!$D$13,0))),0)</f>
        <v>589</v>
      </c>
      <c r="E1752" s="11">
        <f ca="1">D1752*Reference!$D$7*(1-IF(MONTH($A1752)=Reference!$D$6,1,0)*Reference!$D$12)</f>
        <v>441750</v>
      </c>
      <c r="M1752" s="20"/>
      <c r="N1752" s="20"/>
      <c r="O1752" s="19"/>
      <c r="P1752" s="10"/>
      <c r="Q1752" s="10"/>
      <c r="R1752" s="10"/>
      <c r="S1752" s="10"/>
      <c r="T1752" s="10"/>
      <c r="U1752" s="10"/>
      <c r="V1752" s="10"/>
      <c r="W1752" s="10"/>
      <c r="X1752" s="10"/>
      <c r="Y1752" s="10"/>
    </row>
    <row r="1753" spans="1:25" x14ac:dyDescent="0.25">
      <c r="A1753" s="9">
        <v>42291</v>
      </c>
      <c r="B1753" s="10">
        <f ca="1">ROUND(_xlfn.NORM.INV(RAND(),Reference!$C$8,0.1*Reference!$C$8)*(1+Reference!$C$11*(IF(MONTH($A1753)=Reference!$C$4,1,0)+IF(MONTH($A1753)=Reference!$C$5,1,0))+(IF(MONTH($A1753)=Reference!$C$6,Reference!$C$13,0))),0)</f>
        <v>424</v>
      </c>
      <c r="C1753" s="11">
        <f ca="1">B1753*Reference!$C$7*(1-IF(MONTH($A1753)=Reference!$C$6,1,0)*Reference!$C$12)</f>
        <v>394320</v>
      </c>
      <c r="D1753" s="10">
        <f ca="1">ROUND(_xlfn.NORM.INV(RAND(),Reference!$D$8,0.1*Reference!$D$8)*(1+Reference!$D$11*(IF(MONTH($A1753)=Reference!$D$4,1,0)+IF(MONTH($A1753)=Reference!$D$5,1,0))+(IF(MONTH($A1753)=Reference!$D$6,Reference!$D$13,0))),0)</f>
        <v>434</v>
      </c>
      <c r="E1753" s="11">
        <f ca="1">D1753*Reference!$D$7*(1-IF(MONTH($A1753)=Reference!$D$6,1,0)*Reference!$D$12)</f>
        <v>325500</v>
      </c>
      <c r="M1753" s="20"/>
      <c r="N1753" s="20"/>
      <c r="O1753" s="19"/>
      <c r="P1753" s="10"/>
      <c r="Q1753" s="10"/>
      <c r="R1753" s="10"/>
      <c r="S1753" s="10"/>
      <c r="T1753" s="10"/>
      <c r="U1753" s="10"/>
      <c r="V1753" s="10"/>
      <c r="W1753" s="10"/>
      <c r="X1753" s="10"/>
      <c r="Y1753" s="10"/>
    </row>
    <row r="1754" spans="1:25" x14ac:dyDescent="0.25">
      <c r="A1754" s="9">
        <v>42292</v>
      </c>
      <c r="B1754" s="10">
        <f ca="1">ROUND(_xlfn.NORM.INV(RAND(),Reference!$C$8,0.1*Reference!$C$8)*(1+Reference!$C$11*(IF(MONTH($A1754)=Reference!$C$4,1,0)+IF(MONTH($A1754)=Reference!$C$5,1,0))+(IF(MONTH($A1754)=Reference!$C$6,Reference!$C$13,0))),0)</f>
        <v>333</v>
      </c>
      <c r="C1754" s="11">
        <f ca="1">B1754*Reference!$C$7*(1-IF(MONTH($A1754)=Reference!$C$6,1,0)*Reference!$C$12)</f>
        <v>309690</v>
      </c>
      <c r="D1754" s="10">
        <f ca="1">ROUND(_xlfn.NORM.INV(RAND(),Reference!$D$8,0.1*Reference!$D$8)*(1+Reference!$D$11*(IF(MONTH($A1754)=Reference!$D$4,1,0)+IF(MONTH($A1754)=Reference!$D$5,1,0))+(IF(MONTH($A1754)=Reference!$D$6,Reference!$D$13,0))),0)</f>
        <v>493</v>
      </c>
      <c r="E1754" s="11">
        <f ca="1">D1754*Reference!$D$7*(1-IF(MONTH($A1754)=Reference!$D$6,1,0)*Reference!$D$12)</f>
        <v>369750</v>
      </c>
      <c r="M1754" s="20"/>
      <c r="N1754" s="20"/>
      <c r="O1754" s="19"/>
      <c r="P1754" s="10"/>
      <c r="Q1754" s="10"/>
      <c r="R1754" s="10"/>
      <c r="S1754" s="10"/>
      <c r="T1754" s="10"/>
      <c r="U1754" s="10"/>
      <c r="V1754" s="10"/>
      <c r="W1754" s="10"/>
      <c r="X1754" s="10"/>
      <c r="Y1754" s="10"/>
    </row>
    <row r="1755" spans="1:25" x14ac:dyDescent="0.25">
      <c r="A1755" s="9">
        <v>42293</v>
      </c>
      <c r="B1755" s="10">
        <f ca="1">ROUND(_xlfn.NORM.INV(RAND(),Reference!$C$8,0.1*Reference!$C$8)*(1+Reference!$C$11*(IF(MONTH($A1755)=Reference!$C$4,1,0)+IF(MONTH($A1755)=Reference!$C$5,1,0))+(IF(MONTH($A1755)=Reference!$C$6,Reference!$C$13,0))),0)</f>
        <v>307</v>
      </c>
      <c r="C1755" s="11">
        <f ca="1">B1755*Reference!$C$7*(1-IF(MONTH($A1755)=Reference!$C$6,1,0)*Reference!$C$12)</f>
        <v>285510</v>
      </c>
      <c r="D1755" s="10">
        <f ca="1">ROUND(_xlfn.NORM.INV(RAND(),Reference!$D$8,0.1*Reference!$D$8)*(1+Reference!$D$11*(IF(MONTH($A1755)=Reference!$D$4,1,0)+IF(MONTH($A1755)=Reference!$D$5,1,0))+(IF(MONTH($A1755)=Reference!$D$6,Reference!$D$13,0))),0)</f>
        <v>456</v>
      </c>
      <c r="E1755" s="11">
        <f ca="1">D1755*Reference!$D$7*(1-IF(MONTH($A1755)=Reference!$D$6,1,0)*Reference!$D$12)</f>
        <v>342000</v>
      </c>
      <c r="M1755" s="20"/>
      <c r="N1755" s="20"/>
      <c r="O1755" s="19"/>
      <c r="P1755" s="10"/>
      <c r="Q1755" s="10"/>
      <c r="R1755" s="10"/>
      <c r="S1755" s="10"/>
      <c r="T1755" s="10"/>
      <c r="U1755" s="10"/>
      <c r="V1755" s="10"/>
      <c r="W1755" s="10"/>
      <c r="X1755" s="10"/>
      <c r="Y1755" s="10"/>
    </row>
    <row r="1756" spans="1:25" x14ac:dyDescent="0.25">
      <c r="A1756" s="9">
        <v>42294</v>
      </c>
      <c r="B1756" s="10">
        <f ca="1">ROUND(_xlfn.NORM.INV(RAND(),Reference!$C$8,0.1*Reference!$C$8)*(1+Reference!$C$11*(IF(MONTH($A1756)=Reference!$C$4,1,0)+IF(MONTH($A1756)=Reference!$C$5,1,0))+(IF(MONTH($A1756)=Reference!$C$6,Reference!$C$13,0))),0)</f>
        <v>324</v>
      </c>
      <c r="C1756" s="11">
        <f ca="1">B1756*Reference!$C$7*(1-IF(MONTH($A1756)=Reference!$C$6,1,0)*Reference!$C$12)</f>
        <v>301320</v>
      </c>
      <c r="D1756" s="10">
        <f ca="1">ROUND(_xlfn.NORM.INV(RAND(),Reference!$D$8,0.1*Reference!$D$8)*(1+Reference!$D$11*(IF(MONTH($A1756)=Reference!$D$4,1,0)+IF(MONTH($A1756)=Reference!$D$5,1,0))+(IF(MONTH($A1756)=Reference!$D$6,Reference!$D$13,0))),0)</f>
        <v>459</v>
      </c>
      <c r="E1756" s="11">
        <f ca="1">D1756*Reference!$D$7*(1-IF(MONTH($A1756)=Reference!$D$6,1,0)*Reference!$D$12)</f>
        <v>344250</v>
      </c>
      <c r="M1756" s="20"/>
      <c r="N1756" s="20"/>
      <c r="O1756" s="19"/>
      <c r="P1756" s="10"/>
      <c r="Q1756" s="10"/>
      <c r="R1756" s="10"/>
      <c r="S1756" s="10"/>
      <c r="T1756" s="10"/>
      <c r="U1756" s="10"/>
      <c r="V1756" s="10"/>
      <c r="W1756" s="10"/>
      <c r="X1756" s="10"/>
      <c r="Y1756" s="10"/>
    </row>
    <row r="1757" spans="1:25" x14ac:dyDescent="0.25">
      <c r="A1757" s="9">
        <v>42295</v>
      </c>
      <c r="B1757" s="10">
        <f ca="1">ROUND(_xlfn.NORM.INV(RAND(),Reference!$C$8,0.1*Reference!$C$8)*(1+Reference!$C$11*(IF(MONTH($A1757)=Reference!$C$4,1,0)+IF(MONTH($A1757)=Reference!$C$5,1,0))+(IF(MONTH($A1757)=Reference!$C$6,Reference!$C$13,0))),0)</f>
        <v>376</v>
      </c>
      <c r="C1757" s="11">
        <f ca="1">B1757*Reference!$C$7*(1-IF(MONTH($A1757)=Reference!$C$6,1,0)*Reference!$C$12)</f>
        <v>349680</v>
      </c>
      <c r="D1757" s="10">
        <f ca="1">ROUND(_xlfn.NORM.INV(RAND(),Reference!$D$8,0.1*Reference!$D$8)*(1+Reference!$D$11*(IF(MONTH($A1757)=Reference!$D$4,1,0)+IF(MONTH($A1757)=Reference!$D$5,1,0))+(IF(MONTH($A1757)=Reference!$D$6,Reference!$D$13,0))),0)</f>
        <v>545</v>
      </c>
      <c r="E1757" s="11">
        <f ca="1">D1757*Reference!$D$7*(1-IF(MONTH($A1757)=Reference!$D$6,1,0)*Reference!$D$12)</f>
        <v>408750</v>
      </c>
      <c r="M1757" s="20"/>
      <c r="N1757" s="20"/>
      <c r="O1757" s="19"/>
      <c r="P1757" s="10"/>
      <c r="Q1757" s="10"/>
      <c r="R1757" s="10"/>
      <c r="S1757" s="10"/>
      <c r="T1757" s="10"/>
      <c r="U1757" s="10"/>
      <c r="V1757" s="10"/>
      <c r="W1757" s="10"/>
      <c r="X1757" s="10"/>
      <c r="Y1757" s="10"/>
    </row>
    <row r="1758" spans="1:25" x14ac:dyDescent="0.25">
      <c r="A1758" s="9">
        <v>42296</v>
      </c>
      <c r="B1758" s="10">
        <f ca="1">ROUND(_xlfn.NORM.INV(RAND(),Reference!$C$8,0.1*Reference!$C$8)*(1+Reference!$C$11*(IF(MONTH($A1758)=Reference!$C$4,1,0)+IF(MONTH($A1758)=Reference!$C$5,1,0))+(IF(MONTH($A1758)=Reference!$C$6,Reference!$C$13,0))),0)</f>
        <v>361</v>
      </c>
      <c r="C1758" s="11">
        <f ca="1">B1758*Reference!$C$7*(1-IF(MONTH($A1758)=Reference!$C$6,1,0)*Reference!$C$12)</f>
        <v>335730</v>
      </c>
      <c r="D1758" s="10">
        <f ca="1">ROUND(_xlfn.NORM.INV(RAND(),Reference!$D$8,0.1*Reference!$D$8)*(1+Reference!$D$11*(IF(MONTH($A1758)=Reference!$D$4,1,0)+IF(MONTH($A1758)=Reference!$D$5,1,0))+(IF(MONTH($A1758)=Reference!$D$6,Reference!$D$13,0))),0)</f>
        <v>349</v>
      </c>
      <c r="E1758" s="11">
        <f ca="1">D1758*Reference!$D$7*(1-IF(MONTH($A1758)=Reference!$D$6,1,0)*Reference!$D$12)</f>
        <v>261750</v>
      </c>
      <c r="M1758" s="20"/>
      <c r="N1758" s="20"/>
      <c r="O1758" s="19"/>
      <c r="P1758" s="10"/>
      <c r="Q1758" s="10"/>
      <c r="R1758" s="10"/>
      <c r="S1758" s="10"/>
      <c r="T1758" s="10"/>
      <c r="U1758" s="10"/>
      <c r="V1758" s="10"/>
      <c r="W1758" s="10"/>
      <c r="X1758" s="10"/>
      <c r="Y1758" s="10"/>
    </row>
    <row r="1759" spans="1:25" x14ac:dyDescent="0.25">
      <c r="A1759" s="9">
        <v>42297</v>
      </c>
      <c r="B1759" s="10">
        <f ca="1">ROUND(_xlfn.NORM.INV(RAND(),Reference!$C$8,0.1*Reference!$C$8)*(1+Reference!$C$11*(IF(MONTH($A1759)=Reference!$C$4,1,0)+IF(MONTH($A1759)=Reference!$C$5,1,0))+(IF(MONTH($A1759)=Reference!$C$6,Reference!$C$13,0))),0)</f>
        <v>407</v>
      </c>
      <c r="C1759" s="11">
        <f ca="1">B1759*Reference!$C$7*(1-IF(MONTH($A1759)=Reference!$C$6,1,0)*Reference!$C$12)</f>
        <v>378510</v>
      </c>
      <c r="D1759" s="10">
        <f ca="1">ROUND(_xlfn.NORM.INV(RAND(),Reference!$D$8,0.1*Reference!$D$8)*(1+Reference!$D$11*(IF(MONTH($A1759)=Reference!$D$4,1,0)+IF(MONTH($A1759)=Reference!$D$5,1,0))+(IF(MONTH($A1759)=Reference!$D$6,Reference!$D$13,0))),0)</f>
        <v>359</v>
      </c>
      <c r="E1759" s="11">
        <f ca="1">D1759*Reference!$D$7*(1-IF(MONTH($A1759)=Reference!$D$6,1,0)*Reference!$D$12)</f>
        <v>269250</v>
      </c>
      <c r="M1759" s="20"/>
      <c r="N1759" s="20"/>
      <c r="O1759" s="19"/>
      <c r="P1759" s="10"/>
      <c r="Q1759" s="10"/>
      <c r="R1759" s="10"/>
      <c r="S1759" s="10"/>
      <c r="T1759" s="10"/>
      <c r="U1759" s="10"/>
      <c r="V1759" s="10"/>
      <c r="W1759" s="10"/>
      <c r="X1759" s="10"/>
      <c r="Y1759" s="10"/>
    </row>
    <row r="1760" spans="1:25" x14ac:dyDescent="0.25">
      <c r="A1760" s="9">
        <v>42298</v>
      </c>
      <c r="B1760" s="10">
        <f ca="1">ROUND(_xlfn.NORM.INV(RAND(),Reference!$C$8,0.1*Reference!$C$8)*(1+Reference!$C$11*(IF(MONTH($A1760)=Reference!$C$4,1,0)+IF(MONTH($A1760)=Reference!$C$5,1,0))+(IF(MONTH($A1760)=Reference!$C$6,Reference!$C$13,0))),0)</f>
        <v>371</v>
      </c>
      <c r="C1760" s="11">
        <f ca="1">B1760*Reference!$C$7*(1-IF(MONTH($A1760)=Reference!$C$6,1,0)*Reference!$C$12)</f>
        <v>345030</v>
      </c>
      <c r="D1760" s="10">
        <f ca="1">ROUND(_xlfn.NORM.INV(RAND(),Reference!$D$8,0.1*Reference!$D$8)*(1+Reference!$D$11*(IF(MONTH($A1760)=Reference!$D$4,1,0)+IF(MONTH($A1760)=Reference!$D$5,1,0))+(IF(MONTH($A1760)=Reference!$D$6,Reference!$D$13,0))),0)</f>
        <v>449</v>
      </c>
      <c r="E1760" s="11">
        <f ca="1">D1760*Reference!$D$7*(1-IF(MONTH($A1760)=Reference!$D$6,1,0)*Reference!$D$12)</f>
        <v>336750</v>
      </c>
      <c r="M1760" s="20"/>
      <c r="N1760" s="20"/>
      <c r="O1760" s="19"/>
      <c r="P1760" s="10"/>
      <c r="Q1760" s="10"/>
      <c r="R1760" s="10"/>
      <c r="S1760" s="10"/>
      <c r="T1760" s="10"/>
      <c r="U1760" s="10"/>
      <c r="V1760" s="10"/>
      <c r="W1760" s="10"/>
      <c r="X1760" s="10"/>
      <c r="Y1760" s="10"/>
    </row>
    <row r="1761" spans="1:25" x14ac:dyDescent="0.25">
      <c r="A1761" s="9">
        <v>42299</v>
      </c>
      <c r="B1761" s="10">
        <f ca="1">ROUND(_xlfn.NORM.INV(RAND(),Reference!$C$8,0.1*Reference!$C$8)*(1+Reference!$C$11*(IF(MONTH($A1761)=Reference!$C$4,1,0)+IF(MONTH($A1761)=Reference!$C$5,1,0))+(IF(MONTH($A1761)=Reference!$C$6,Reference!$C$13,0))),0)</f>
        <v>406</v>
      </c>
      <c r="C1761" s="11">
        <f ca="1">B1761*Reference!$C$7*(1-IF(MONTH($A1761)=Reference!$C$6,1,0)*Reference!$C$12)</f>
        <v>377580</v>
      </c>
      <c r="D1761" s="10">
        <f ca="1">ROUND(_xlfn.NORM.INV(RAND(),Reference!$D$8,0.1*Reference!$D$8)*(1+Reference!$D$11*(IF(MONTH($A1761)=Reference!$D$4,1,0)+IF(MONTH($A1761)=Reference!$D$5,1,0))+(IF(MONTH($A1761)=Reference!$D$6,Reference!$D$13,0))),0)</f>
        <v>394</v>
      </c>
      <c r="E1761" s="11">
        <f ca="1">D1761*Reference!$D$7*(1-IF(MONTH($A1761)=Reference!$D$6,1,0)*Reference!$D$12)</f>
        <v>295500</v>
      </c>
      <c r="M1761" s="20"/>
      <c r="N1761" s="20"/>
      <c r="O1761" s="19"/>
      <c r="P1761" s="10"/>
      <c r="Q1761" s="10"/>
      <c r="R1761" s="10"/>
      <c r="S1761" s="10"/>
      <c r="T1761" s="10"/>
      <c r="U1761" s="10"/>
      <c r="V1761" s="10"/>
      <c r="W1761" s="10"/>
      <c r="X1761" s="10"/>
      <c r="Y1761" s="10"/>
    </row>
    <row r="1762" spans="1:25" x14ac:dyDescent="0.25">
      <c r="A1762" s="9">
        <v>42300</v>
      </c>
      <c r="B1762" s="10">
        <f ca="1">ROUND(_xlfn.NORM.INV(RAND(),Reference!$C$8,0.1*Reference!$C$8)*(1+Reference!$C$11*(IF(MONTH($A1762)=Reference!$C$4,1,0)+IF(MONTH($A1762)=Reference!$C$5,1,0))+(IF(MONTH($A1762)=Reference!$C$6,Reference!$C$13,0))),0)</f>
        <v>388</v>
      </c>
      <c r="C1762" s="11">
        <f ca="1">B1762*Reference!$C$7*(1-IF(MONTH($A1762)=Reference!$C$6,1,0)*Reference!$C$12)</f>
        <v>360840</v>
      </c>
      <c r="D1762" s="10">
        <f ca="1">ROUND(_xlfn.NORM.INV(RAND(),Reference!$D$8,0.1*Reference!$D$8)*(1+Reference!$D$11*(IF(MONTH($A1762)=Reference!$D$4,1,0)+IF(MONTH($A1762)=Reference!$D$5,1,0))+(IF(MONTH($A1762)=Reference!$D$6,Reference!$D$13,0))),0)</f>
        <v>454</v>
      </c>
      <c r="E1762" s="11">
        <f ca="1">D1762*Reference!$D$7*(1-IF(MONTH($A1762)=Reference!$D$6,1,0)*Reference!$D$12)</f>
        <v>340500</v>
      </c>
      <c r="M1762" s="20"/>
      <c r="N1762" s="20"/>
      <c r="O1762" s="19"/>
      <c r="P1762" s="10"/>
      <c r="Q1762" s="10"/>
      <c r="R1762" s="10"/>
      <c r="S1762" s="10"/>
      <c r="T1762" s="10"/>
      <c r="U1762" s="10"/>
      <c r="V1762" s="10"/>
      <c r="W1762" s="10"/>
      <c r="X1762" s="10"/>
      <c r="Y1762" s="10"/>
    </row>
    <row r="1763" spans="1:25" x14ac:dyDescent="0.25">
      <c r="A1763" s="9">
        <v>42301</v>
      </c>
      <c r="B1763" s="10">
        <f ca="1">ROUND(_xlfn.NORM.INV(RAND(),Reference!$C$8,0.1*Reference!$C$8)*(1+Reference!$C$11*(IF(MONTH($A1763)=Reference!$C$4,1,0)+IF(MONTH($A1763)=Reference!$C$5,1,0))+(IF(MONTH($A1763)=Reference!$C$6,Reference!$C$13,0))),0)</f>
        <v>341</v>
      </c>
      <c r="C1763" s="11">
        <f ca="1">B1763*Reference!$C$7*(1-IF(MONTH($A1763)=Reference!$C$6,1,0)*Reference!$C$12)</f>
        <v>317130</v>
      </c>
      <c r="D1763" s="10">
        <f ca="1">ROUND(_xlfn.NORM.INV(RAND(),Reference!$D$8,0.1*Reference!$D$8)*(1+Reference!$D$11*(IF(MONTH($A1763)=Reference!$D$4,1,0)+IF(MONTH($A1763)=Reference!$D$5,1,0))+(IF(MONTH($A1763)=Reference!$D$6,Reference!$D$13,0))),0)</f>
        <v>477</v>
      </c>
      <c r="E1763" s="11">
        <f ca="1">D1763*Reference!$D$7*(1-IF(MONTH($A1763)=Reference!$D$6,1,0)*Reference!$D$12)</f>
        <v>357750</v>
      </c>
      <c r="M1763" s="20"/>
      <c r="N1763" s="20"/>
      <c r="O1763" s="19"/>
      <c r="P1763" s="10"/>
      <c r="Q1763" s="10"/>
      <c r="R1763" s="10"/>
      <c r="S1763" s="10"/>
      <c r="T1763" s="10"/>
      <c r="U1763" s="10"/>
      <c r="V1763" s="10"/>
      <c r="W1763" s="10"/>
      <c r="X1763" s="10"/>
      <c r="Y1763" s="10"/>
    </row>
    <row r="1764" spans="1:25" x14ac:dyDescent="0.25">
      <c r="A1764" s="9">
        <v>42302</v>
      </c>
      <c r="B1764" s="10">
        <f ca="1">ROUND(_xlfn.NORM.INV(RAND(),Reference!$C$8,0.1*Reference!$C$8)*(1+Reference!$C$11*(IF(MONTH($A1764)=Reference!$C$4,1,0)+IF(MONTH($A1764)=Reference!$C$5,1,0))+(IF(MONTH($A1764)=Reference!$C$6,Reference!$C$13,0))),0)</f>
        <v>365</v>
      </c>
      <c r="C1764" s="11">
        <f ca="1">B1764*Reference!$C$7*(1-IF(MONTH($A1764)=Reference!$C$6,1,0)*Reference!$C$12)</f>
        <v>339450</v>
      </c>
      <c r="D1764" s="10">
        <f ca="1">ROUND(_xlfn.NORM.INV(RAND(),Reference!$D$8,0.1*Reference!$D$8)*(1+Reference!$D$11*(IF(MONTH($A1764)=Reference!$D$4,1,0)+IF(MONTH($A1764)=Reference!$D$5,1,0))+(IF(MONTH($A1764)=Reference!$D$6,Reference!$D$13,0))),0)</f>
        <v>447</v>
      </c>
      <c r="E1764" s="11">
        <f ca="1">D1764*Reference!$D$7*(1-IF(MONTH($A1764)=Reference!$D$6,1,0)*Reference!$D$12)</f>
        <v>335250</v>
      </c>
      <c r="M1764" s="20"/>
      <c r="N1764" s="20"/>
      <c r="O1764" s="19"/>
      <c r="P1764" s="10"/>
      <c r="Q1764" s="10"/>
      <c r="R1764" s="10"/>
      <c r="S1764" s="10"/>
      <c r="T1764" s="10"/>
      <c r="U1764" s="10"/>
      <c r="V1764" s="10"/>
      <c r="W1764" s="10"/>
      <c r="X1764" s="10"/>
      <c r="Y1764" s="10"/>
    </row>
    <row r="1765" spans="1:25" x14ac:dyDescent="0.25">
      <c r="A1765" s="9">
        <v>42303</v>
      </c>
      <c r="B1765" s="10">
        <f ca="1">ROUND(_xlfn.NORM.INV(RAND(),Reference!$C$8,0.1*Reference!$C$8)*(1+Reference!$C$11*(IF(MONTH($A1765)=Reference!$C$4,1,0)+IF(MONTH($A1765)=Reference!$C$5,1,0))+(IF(MONTH($A1765)=Reference!$C$6,Reference!$C$13,0))),0)</f>
        <v>377</v>
      </c>
      <c r="C1765" s="11">
        <f ca="1">B1765*Reference!$C$7*(1-IF(MONTH($A1765)=Reference!$C$6,1,0)*Reference!$C$12)</f>
        <v>350610</v>
      </c>
      <c r="D1765" s="10">
        <f ca="1">ROUND(_xlfn.NORM.INV(RAND(),Reference!$D$8,0.1*Reference!$D$8)*(1+Reference!$D$11*(IF(MONTH($A1765)=Reference!$D$4,1,0)+IF(MONTH($A1765)=Reference!$D$5,1,0))+(IF(MONTH($A1765)=Reference!$D$6,Reference!$D$13,0))),0)</f>
        <v>472</v>
      </c>
      <c r="E1765" s="11">
        <f ca="1">D1765*Reference!$D$7*(1-IF(MONTH($A1765)=Reference!$D$6,1,0)*Reference!$D$12)</f>
        <v>354000</v>
      </c>
      <c r="M1765" s="20"/>
      <c r="N1765" s="20"/>
      <c r="O1765" s="19"/>
      <c r="P1765" s="10"/>
      <c r="Q1765" s="10"/>
      <c r="R1765" s="10"/>
      <c r="S1765" s="10"/>
      <c r="T1765" s="10"/>
      <c r="U1765" s="10"/>
      <c r="V1765" s="10"/>
      <c r="W1765" s="10"/>
      <c r="X1765" s="10"/>
      <c r="Y1765" s="10"/>
    </row>
    <row r="1766" spans="1:25" x14ac:dyDescent="0.25">
      <c r="A1766" s="9">
        <v>42304</v>
      </c>
      <c r="B1766" s="10">
        <f ca="1">ROUND(_xlfn.NORM.INV(RAND(),Reference!$C$8,0.1*Reference!$C$8)*(1+Reference!$C$11*(IF(MONTH($A1766)=Reference!$C$4,1,0)+IF(MONTH($A1766)=Reference!$C$5,1,0))+(IF(MONTH($A1766)=Reference!$C$6,Reference!$C$13,0))),0)</f>
        <v>349</v>
      </c>
      <c r="C1766" s="11">
        <f ca="1">B1766*Reference!$C$7*(1-IF(MONTH($A1766)=Reference!$C$6,1,0)*Reference!$C$12)</f>
        <v>324570</v>
      </c>
      <c r="D1766" s="10">
        <f ca="1">ROUND(_xlfn.NORM.INV(RAND(),Reference!$D$8,0.1*Reference!$D$8)*(1+Reference!$D$11*(IF(MONTH($A1766)=Reference!$D$4,1,0)+IF(MONTH($A1766)=Reference!$D$5,1,0))+(IF(MONTH($A1766)=Reference!$D$6,Reference!$D$13,0))),0)</f>
        <v>471</v>
      </c>
      <c r="E1766" s="11">
        <f ca="1">D1766*Reference!$D$7*(1-IF(MONTH($A1766)=Reference!$D$6,1,0)*Reference!$D$12)</f>
        <v>353250</v>
      </c>
      <c r="M1766" s="20"/>
      <c r="N1766" s="20"/>
      <c r="O1766" s="19"/>
      <c r="P1766" s="10"/>
      <c r="Q1766" s="10"/>
      <c r="R1766" s="10"/>
      <c r="S1766" s="10"/>
      <c r="T1766" s="10"/>
      <c r="U1766" s="10"/>
      <c r="V1766" s="10"/>
      <c r="W1766" s="10"/>
      <c r="X1766" s="10"/>
      <c r="Y1766" s="10"/>
    </row>
    <row r="1767" spans="1:25" x14ac:dyDescent="0.25">
      <c r="A1767" s="9">
        <v>42305</v>
      </c>
      <c r="B1767" s="10">
        <f ca="1">ROUND(_xlfn.NORM.INV(RAND(),Reference!$C$8,0.1*Reference!$C$8)*(1+Reference!$C$11*(IF(MONTH($A1767)=Reference!$C$4,1,0)+IF(MONTH($A1767)=Reference!$C$5,1,0))+(IF(MONTH($A1767)=Reference!$C$6,Reference!$C$13,0))),0)</f>
        <v>397</v>
      </c>
      <c r="C1767" s="11">
        <f ca="1">B1767*Reference!$C$7*(1-IF(MONTH($A1767)=Reference!$C$6,1,0)*Reference!$C$12)</f>
        <v>369210</v>
      </c>
      <c r="D1767" s="10">
        <f ca="1">ROUND(_xlfn.NORM.INV(RAND(),Reference!$D$8,0.1*Reference!$D$8)*(1+Reference!$D$11*(IF(MONTH($A1767)=Reference!$D$4,1,0)+IF(MONTH($A1767)=Reference!$D$5,1,0))+(IF(MONTH($A1767)=Reference!$D$6,Reference!$D$13,0))),0)</f>
        <v>432</v>
      </c>
      <c r="E1767" s="11">
        <f ca="1">D1767*Reference!$D$7*(1-IF(MONTH($A1767)=Reference!$D$6,1,0)*Reference!$D$12)</f>
        <v>324000</v>
      </c>
      <c r="M1767" s="20"/>
      <c r="N1767" s="20"/>
      <c r="O1767" s="19"/>
      <c r="P1767" s="10"/>
      <c r="Q1767" s="10"/>
      <c r="R1767" s="10"/>
      <c r="S1767" s="10"/>
      <c r="T1767" s="10"/>
      <c r="U1767" s="10"/>
      <c r="V1767" s="10"/>
      <c r="W1767" s="10"/>
      <c r="X1767" s="10"/>
      <c r="Y1767" s="10"/>
    </row>
    <row r="1768" spans="1:25" x14ac:dyDescent="0.25">
      <c r="A1768" s="9">
        <v>42306</v>
      </c>
      <c r="B1768" s="10">
        <f ca="1">ROUND(_xlfn.NORM.INV(RAND(),Reference!$C$8,0.1*Reference!$C$8)*(1+Reference!$C$11*(IF(MONTH($A1768)=Reference!$C$4,1,0)+IF(MONTH($A1768)=Reference!$C$5,1,0))+(IF(MONTH($A1768)=Reference!$C$6,Reference!$C$13,0))),0)</f>
        <v>399</v>
      </c>
      <c r="C1768" s="11">
        <f ca="1">B1768*Reference!$C$7*(1-IF(MONTH($A1768)=Reference!$C$6,1,0)*Reference!$C$12)</f>
        <v>371070</v>
      </c>
      <c r="D1768" s="10">
        <f ca="1">ROUND(_xlfn.NORM.INV(RAND(),Reference!$D$8,0.1*Reference!$D$8)*(1+Reference!$D$11*(IF(MONTH($A1768)=Reference!$D$4,1,0)+IF(MONTH($A1768)=Reference!$D$5,1,0))+(IF(MONTH($A1768)=Reference!$D$6,Reference!$D$13,0))),0)</f>
        <v>399</v>
      </c>
      <c r="E1768" s="11">
        <f ca="1">D1768*Reference!$D$7*(1-IF(MONTH($A1768)=Reference!$D$6,1,0)*Reference!$D$12)</f>
        <v>299250</v>
      </c>
      <c r="M1768" s="20"/>
      <c r="N1768" s="20"/>
      <c r="O1768" s="19"/>
      <c r="P1768" s="10"/>
      <c r="Q1768" s="10"/>
      <c r="R1768" s="10"/>
      <c r="S1768" s="10"/>
      <c r="T1768" s="10"/>
      <c r="U1768" s="10"/>
      <c r="V1768" s="10"/>
      <c r="W1768" s="10"/>
      <c r="X1768" s="10"/>
      <c r="Y1768" s="10"/>
    </row>
    <row r="1769" spans="1:25" x14ac:dyDescent="0.25">
      <c r="A1769" s="9">
        <v>42307</v>
      </c>
      <c r="B1769" s="10">
        <f ca="1">ROUND(_xlfn.NORM.INV(RAND(),Reference!$C$8,0.1*Reference!$C$8)*(1+Reference!$C$11*(IF(MONTH($A1769)=Reference!$C$4,1,0)+IF(MONTH($A1769)=Reference!$C$5,1,0))+(IF(MONTH($A1769)=Reference!$C$6,Reference!$C$13,0))),0)</f>
        <v>332</v>
      </c>
      <c r="C1769" s="11">
        <f ca="1">B1769*Reference!$C$7*(1-IF(MONTH($A1769)=Reference!$C$6,1,0)*Reference!$C$12)</f>
        <v>308760</v>
      </c>
      <c r="D1769" s="10">
        <f ca="1">ROUND(_xlfn.NORM.INV(RAND(),Reference!$D$8,0.1*Reference!$D$8)*(1+Reference!$D$11*(IF(MONTH($A1769)=Reference!$D$4,1,0)+IF(MONTH($A1769)=Reference!$D$5,1,0))+(IF(MONTH($A1769)=Reference!$D$6,Reference!$D$13,0))),0)</f>
        <v>415</v>
      </c>
      <c r="E1769" s="11">
        <f ca="1">D1769*Reference!$D$7*(1-IF(MONTH($A1769)=Reference!$D$6,1,0)*Reference!$D$12)</f>
        <v>311250</v>
      </c>
      <c r="M1769" s="20"/>
      <c r="N1769" s="20"/>
      <c r="O1769" s="19"/>
      <c r="P1769" s="10"/>
      <c r="Q1769" s="10"/>
      <c r="R1769" s="10"/>
      <c r="S1769" s="10"/>
      <c r="T1769" s="10"/>
      <c r="U1769" s="10"/>
      <c r="V1769" s="10"/>
      <c r="W1769" s="10"/>
      <c r="X1769" s="10"/>
      <c r="Y1769" s="10"/>
    </row>
    <row r="1770" spans="1:25" x14ac:dyDescent="0.25">
      <c r="A1770" s="9">
        <v>42308</v>
      </c>
      <c r="B1770" s="10">
        <f ca="1">ROUND(_xlfn.NORM.INV(RAND(),Reference!$C$8,0.1*Reference!$C$8)*(1+Reference!$C$11*(IF(MONTH($A1770)=Reference!$C$4,1,0)+IF(MONTH($A1770)=Reference!$C$5,1,0))+(IF(MONTH($A1770)=Reference!$C$6,Reference!$C$13,0))),0)</f>
        <v>416</v>
      </c>
      <c r="C1770" s="11">
        <f ca="1">B1770*Reference!$C$7*(1-IF(MONTH($A1770)=Reference!$C$6,1,0)*Reference!$C$12)</f>
        <v>386880</v>
      </c>
      <c r="D1770" s="10">
        <f ca="1">ROUND(_xlfn.NORM.INV(RAND(),Reference!$D$8,0.1*Reference!$D$8)*(1+Reference!$D$11*(IF(MONTH($A1770)=Reference!$D$4,1,0)+IF(MONTH($A1770)=Reference!$D$5,1,0))+(IF(MONTH($A1770)=Reference!$D$6,Reference!$D$13,0))),0)</f>
        <v>463</v>
      </c>
      <c r="E1770" s="11">
        <f ca="1">D1770*Reference!$D$7*(1-IF(MONTH($A1770)=Reference!$D$6,1,0)*Reference!$D$12)</f>
        <v>347250</v>
      </c>
      <c r="M1770" s="20"/>
      <c r="N1770" s="20"/>
      <c r="O1770" s="19"/>
      <c r="P1770" s="10"/>
      <c r="Q1770" s="10"/>
      <c r="R1770" s="10"/>
      <c r="S1770" s="10"/>
      <c r="T1770" s="10"/>
      <c r="U1770" s="10"/>
      <c r="V1770" s="10"/>
      <c r="W1770" s="10"/>
      <c r="X1770" s="10"/>
      <c r="Y1770" s="10"/>
    </row>
    <row r="1771" spans="1:25" x14ac:dyDescent="0.25">
      <c r="A1771" s="9">
        <v>42309</v>
      </c>
      <c r="B1771" s="10">
        <f ca="1">ROUND(_xlfn.NORM.INV(RAND(),Reference!$C$8,0.1*Reference!$C$8)*(1+Reference!$C$11*(IF(MONTH($A1771)=Reference!$C$4,1,0)+IF(MONTH($A1771)=Reference!$C$5,1,0))+(IF(MONTH($A1771)=Reference!$C$6,Reference!$C$13,0))),0)</f>
        <v>317</v>
      </c>
      <c r="C1771" s="11">
        <f ca="1">B1771*Reference!$C$7*(1-IF(MONTH($A1771)=Reference!$C$6,1,0)*Reference!$C$12)</f>
        <v>294810</v>
      </c>
      <c r="D1771" s="10">
        <f ca="1">ROUND(_xlfn.NORM.INV(RAND(),Reference!$D$8,0.1*Reference!$D$8)*(1+Reference!$D$11*(IF(MONTH($A1771)=Reference!$D$4,1,0)+IF(MONTH($A1771)=Reference!$D$5,1,0))+(IF(MONTH($A1771)=Reference!$D$6,Reference!$D$13,0))),0)</f>
        <v>461</v>
      </c>
      <c r="E1771" s="11">
        <f ca="1">D1771*Reference!$D$7*(1-IF(MONTH($A1771)=Reference!$D$6,1,0)*Reference!$D$12)</f>
        <v>345750</v>
      </c>
      <c r="M1771" s="20"/>
      <c r="N1771" s="20"/>
      <c r="O1771" s="19"/>
      <c r="P1771" s="10"/>
      <c r="Q1771" s="10"/>
      <c r="R1771" s="10"/>
      <c r="S1771" s="10"/>
      <c r="T1771" s="10"/>
      <c r="U1771" s="10"/>
      <c r="V1771" s="10"/>
      <c r="W1771" s="10"/>
      <c r="X1771" s="10"/>
      <c r="Y1771" s="10"/>
    </row>
    <row r="1772" spans="1:25" x14ac:dyDescent="0.25">
      <c r="A1772" s="9">
        <v>42310</v>
      </c>
      <c r="B1772" s="10">
        <f ca="1">ROUND(_xlfn.NORM.INV(RAND(),Reference!$C$8,0.1*Reference!$C$8)*(1+Reference!$C$11*(IF(MONTH($A1772)=Reference!$C$4,1,0)+IF(MONTH($A1772)=Reference!$C$5,1,0))+(IF(MONTH($A1772)=Reference!$C$6,Reference!$C$13,0))),0)</f>
        <v>406</v>
      </c>
      <c r="C1772" s="11">
        <f ca="1">B1772*Reference!$C$7*(1-IF(MONTH($A1772)=Reference!$C$6,1,0)*Reference!$C$12)</f>
        <v>377580</v>
      </c>
      <c r="D1772" s="10">
        <f ca="1">ROUND(_xlfn.NORM.INV(RAND(),Reference!$D$8,0.1*Reference!$D$8)*(1+Reference!$D$11*(IF(MONTH($A1772)=Reference!$D$4,1,0)+IF(MONTH($A1772)=Reference!$D$5,1,0))+(IF(MONTH($A1772)=Reference!$D$6,Reference!$D$13,0))),0)</f>
        <v>455</v>
      </c>
      <c r="E1772" s="11">
        <f ca="1">D1772*Reference!$D$7*(1-IF(MONTH($A1772)=Reference!$D$6,1,0)*Reference!$D$12)</f>
        <v>341250</v>
      </c>
      <c r="M1772" s="20"/>
      <c r="N1772" s="20"/>
      <c r="O1772" s="19"/>
      <c r="P1772" s="10"/>
      <c r="Q1772" s="10"/>
      <c r="R1772" s="10"/>
      <c r="S1772" s="10"/>
      <c r="T1772" s="10"/>
      <c r="U1772" s="10"/>
      <c r="V1772" s="10"/>
      <c r="W1772" s="10"/>
      <c r="X1772" s="10"/>
      <c r="Y1772" s="10"/>
    </row>
    <row r="1773" spans="1:25" x14ac:dyDescent="0.25">
      <c r="A1773" s="9">
        <v>42311</v>
      </c>
      <c r="B1773" s="10">
        <f ca="1">ROUND(_xlfn.NORM.INV(RAND(),Reference!$C$8,0.1*Reference!$C$8)*(1+Reference!$C$11*(IF(MONTH($A1773)=Reference!$C$4,1,0)+IF(MONTH($A1773)=Reference!$C$5,1,0))+(IF(MONTH($A1773)=Reference!$C$6,Reference!$C$13,0))),0)</f>
        <v>364</v>
      </c>
      <c r="C1773" s="11">
        <f ca="1">B1773*Reference!$C$7*(1-IF(MONTH($A1773)=Reference!$C$6,1,0)*Reference!$C$12)</f>
        <v>338520</v>
      </c>
      <c r="D1773" s="10">
        <f ca="1">ROUND(_xlfn.NORM.INV(RAND(),Reference!$D$8,0.1*Reference!$D$8)*(1+Reference!$D$11*(IF(MONTH($A1773)=Reference!$D$4,1,0)+IF(MONTH($A1773)=Reference!$D$5,1,0))+(IF(MONTH($A1773)=Reference!$D$6,Reference!$D$13,0))),0)</f>
        <v>453</v>
      </c>
      <c r="E1773" s="11">
        <f ca="1">D1773*Reference!$D$7*(1-IF(MONTH($A1773)=Reference!$D$6,1,0)*Reference!$D$12)</f>
        <v>339750</v>
      </c>
      <c r="M1773" s="20"/>
      <c r="N1773" s="20"/>
      <c r="O1773" s="19"/>
      <c r="P1773" s="10"/>
      <c r="Q1773" s="10"/>
      <c r="R1773" s="10"/>
      <c r="S1773" s="10"/>
      <c r="T1773" s="10"/>
      <c r="U1773" s="10"/>
      <c r="V1773" s="10"/>
      <c r="W1773" s="10"/>
      <c r="X1773" s="10"/>
      <c r="Y1773" s="10"/>
    </row>
    <row r="1774" spans="1:25" x14ac:dyDescent="0.25">
      <c r="A1774" s="9">
        <v>42312</v>
      </c>
      <c r="B1774" s="10">
        <f ca="1">ROUND(_xlfn.NORM.INV(RAND(),Reference!$C$8,0.1*Reference!$C$8)*(1+Reference!$C$11*(IF(MONTH($A1774)=Reference!$C$4,1,0)+IF(MONTH($A1774)=Reference!$C$5,1,0))+(IF(MONTH($A1774)=Reference!$C$6,Reference!$C$13,0))),0)</f>
        <v>339</v>
      </c>
      <c r="C1774" s="11">
        <f ca="1">B1774*Reference!$C$7*(1-IF(MONTH($A1774)=Reference!$C$6,1,0)*Reference!$C$12)</f>
        <v>315270</v>
      </c>
      <c r="D1774" s="10">
        <f ca="1">ROUND(_xlfn.NORM.INV(RAND(),Reference!$D$8,0.1*Reference!$D$8)*(1+Reference!$D$11*(IF(MONTH($A1774)=Reference!$D$4,1,0)+IF(MONTH($A1774)=Reference!$D$5,1,0))+(IF(MONTH($A1774)=Reference!$D$6,Reference!$D$13,0))),0)</f>
        <v>438</v>
      </c>
      <c r="E1774" s="11">
        <f ca="1">D1774*Reference!$D$7*(1-IF(MONTH($A1774)=Reference!$D$6,1,0)*Reference!$D$12)</f>
        <v>328500</v>
      </c>
      <c r="M1774" s="20"/>
      <c r="N1774" s="20"/>
      <c r="O1774" s="19"/>
      <c r="P1774" s="10"/>
      <c r="Q1774" s="10"/>
      <c r="R1774" s="10"/>
      <c r="S1774" s="10"/>
      <c r="T1774" s="10"/>
      <c r="U1774" s="10"/>
      <c r="V1774" s="10"/>
      <c r="W1774" s="10"/>
      <c r="X1774" s="10"/>
      <c r="Y1774" s="10"/>
    </row>
    <row r="1775" spans="1:25" x14ac:dyDescent="0.25">
      <c r="A1775" s="9">
        <v>42313</v>
      </c>
      <c r="B1775" s="10">
        <f ca="1">ROUND(_xlfn.NORM.INV(RAND(),Reference!$C$8,0.1*Reference!$C$8)*(1+Reference!$C$11*(IF(MONTH($A1775)=Reference!$C$4,1,0)+IF(MONTH($A1775)=Reference!$C$5,1,0))+(IF(MONTH($A1775)=Reference!$C$6,Reference!$C$13,0))),0)</f>
        <v>350</v>
      </c>
      <c r="C1775" s="11">
        <f ca="1">B1775*Reference!$C$7*(1-IF(MONTH($A1775)=Reference!$C$6,1,0)*Reference!$C$12)</f>
        <v>325500</v>
      </c>
      <c r="D1775" s="10">
        <f ca="1">ROUND(_xlfn.NORM.INV(RAND(),Reference!$D$8,0.1*Reference!$D$8)*(1+Reference!$D$11*(IF(MONTH($A1775)=Reference!$D$4,1,0)+IF(MONTH($A1775)=Reference!$D$5,1,0))+(IF(MONTH($A1775)=Reference!$D$6,Reference!$D$13,0))),0)</f>
        <v>461</v>
      </c>
      <c r="E1775" s="11">
        <f ca="1">D1775*Reference!$D$7*(1-IF(MONTH($A1775)=Reference!$D$6,1,0)*Reference!$D$12)</f>
        <v>345750</v>
      </c>
      <c r="M1775" s="20"/>
      <c r="N1775" s="20"/>
      <c r="O1775" s="19"/>
      <c r="P1775" s="10"/>
      <c r="Q1775" s="10"/>
      <c r="R1775" s="10"/>
      <c r="S1775" s="10"/>
      <c r="T1775" s="10"/>
      <c r="U1775" s="10"/>
      <c r="V1775" s="10"/>
      <c r="W1775" s="10"/>
      <c r="X1775" s="10"/>
      <c r="Y1775" s="10"/>
    </row>
    <row r="1776" spans="1:25" x14ac:dyDescent="0.25">
      <c r="A1776" s="9">
        <v>42314</v>
      </c>
      <c r="B1776" s="10">
        <f ca="1">ROUND(_xlfn.NORM.INV(RAND(),Reference!$C$8,0.1*Reference!$C$8)*(1+Reference!$C$11*(IF(MONTH($A1776)=Reference!$C$4,1,0)+IF(MONTH($A1776)=Reference!$C$5,1,0))+(IF(MONTH($A1776)=Reference!$C$6,Reference!$C$13,0))),0)</f>
        <v>382</v>
      </c>
      <c r="C1776" s="11">
        <f ca="1">B1776*Reference!$C$7*(1-IF(MONTH($A1776)=Reference!$C$6,1,0)*Reference!$C$12)</f>
        <v>355260</v>
      </c>
      <c r="D1776" s="10">
        <f ca="1">ROUND(_xlfn.NORM.INV(RAND(),Reference!$D$8,0.1*Reference!$D$8)*(1+Reference!$D$11*(IF(MONTH($A1776)=Reference!$D$4,1,0)+IF(MONTH($A1776)=Reference!$D$5,1,0))+(IF(MONTH($A1776)=Reference!$D$6,Reference!$D$13,0))),0)</f>
        <v>444</v>
      </c>
      <c r="E1776" s="11">
        <f ca="1">D1776*Reference!$D$7*(1-IF(MONTH($A1776)=Reference!$D$6,1,0)*Reference!$D$12)</f>
        <v>333000</v>
      </c>
      <c r="M1776" s="20"/>
      <c r="N1776" s="20"/>
      <c r="O1776" s="19"/>
      <c r="P1776" s="10"/>
      <c r="Q1776" s="10"/>
      <c r="R1776" s="10"/>
      <c r="S1776" s="10"/>
      <c r="T1776" s="10"/>
      <c r="U1776" s="10"/>
      <c r="V1776" s="10"/>
      <c r="W1776" s="10"/>
      <c r="X1776" s="10"/>
      <c r="Y1776" s="10"/>
    </row>
    <row r="1777" spans="1:25" x14ac:dyDescent="0.25">
      <c r="A1777" s="9">
        <v>42315</v>
      </c>
      <c r="B1777" s="10">
        <f ca="1">ROUND(_xlfn.NORM.INV(RAND(),Reference!$C$8,0.1*Reference!$C$8)*(1+Reference!$C$11*(IF(MONTH($A1777)=Reference!$C$4,1,0)+IF(MONTH($A1777)=Reference!$C$5,1,0))+(IF(MONTH($A1777)=Reference!$C$6,Reference!$C$13,0))),0)</f>
        <v>392</v>
      </c>
      <c r="C1777" s="11">
        <f ca="1">B1777*Reference!$C$7*(1-IF(MONTH($A1777)=Reference!$C$6,1,0)*Reference!$C$12)</f>
        <v>364560</v>
      </c>
      <c r="D1777" s="10">
        <f ca="1">ROUND(_xlfn.NORM.INV(RAND(),Reference!$D$8,0.1*Reference!$D$8)*(1+Reference!$D$11*(IF(MONTH($A1777)=Reference!$D$4,1,0)+IF(MONTH($A1777)=Reference!$D$5,1,0))+(IF(MONTH($A1777)=Reference!$D$6,Reference!$D$13,0))),0)</f>
        <v>447</v>
      </c>
      <c r="E1777" s="11">
        <f ca="1">D1777*Reference!$D$7*(1-IF(MONTH($A1777)=Reference!$D$6,1,0)*Reference!$D$12)</f>
        <v>335250</v>
      </c>
      <c r="M1777" s="20"/>
      <c r="N1777" s="20"/>
      <c r="O1777" s="19"/>
      <c r="P1777" s="10"/>
      <c r="Q1777" s="10"/>
      <c r="R1777" s="10"/>
      <c r="S1777" s="10"/>
      <c r="T1777" s="10"/>
      <c r="U1777" s="10"/>
      <c r="V1777" s="10"/>
      <c r="W1777" s="10"/>
      <c r="X1777" s="10"/>
      <c r="Y1777" s="10"/>
    </row>
    <row r="1778" spans="1:25" x14ac:dyDescent="0.25">
      <c r="A1778" s="9">
        <v>42316</v>
      </c>
      <c r="B1778" s="10">
        <f ca="1">ROUND(_xlfn.NORM.INV(RAND(),Reference!$C$8,0.1*Reference!$C$8)*(1+Reference!$C$11*(IF(MONTH($A1778)=Reference!$C$4,1,0)+IF(MONTH($A1778)=Reference!$C$5,1,0))+(IF(MONTH($A1778)=Reference!$C$6,Reference!$C$13,0))),0)</f>
        <v>403</v>
      </c>
      <c r="C1778" s="11">
        <f ca="1">B1778*Reference!$C$7*(1-IF(MONTH($A1778)=Reference!$C$6,1,0)*Reference!$C$12)</f>
        <v>374790</v>
      </c>
      <c r="D1778" s="10">
        <f ca="1">ROUND(_xlfn.NORM.INV(RAND(),Reference!$D$8,0.1*Reference!$D$8)*(1+Reference!$D$11*(IF(MONTH($A1778)=Reference!$D$4,1,0)+IF(MONTH($A1778)=Reference!$D$5,1,0))+(IF(MONTH($A1778)=Reference!$D$6,Reference!$D$13,0))),0)</f>
        <v>449</v>
      </c>
      <c r="E1778" s="11">
        <f ca="1">D1778*Reference!$D$7*(1-IF(MONTH($A1778)=Reference!$D$6,1,0)*Reference!$D$12)</f>
        <v>336750</v>
      </c>
      <c r="M1778" s="20"/>
      <c r="N1778" s="20"/>
      <c r="O1778" s="19"/>
      <c r="P1778" s="10"/>
      <c r="Q1778" s="10"/>
      <c r="R1778" s="10"/>
      <c r="S1778" s="10"/>
      <c r="T1778" s="10"/>
      <c r="U1778" s="10"/>
      <c r="V1778" s="10"/>
      <c r="W1778" s="10"/>
      <c r="X1778" s="10"/>
      <c r="Y1778" s="10"/>
    </row>
    <row r="1779" spans="1:25" x14ac:dyDescent="0.25">
      <c r="A1779" s="9">
        <v>42317</v>
      </c>
      <c r="B1779" s="10">
        <f ca="1">ROUND(_xlfn.NORM.INV(RAND(),Reference!$C$8,0.1*Reference!$C$8)*(1+Reference!$C$11*(IF(MONTH($A1779)=Reference!$C$4,1,0)+IF(MONTH($A1779)=Reference!$C$5,1,0))+(IF(MONTH($A1779)=Reference!$C$6,Reference!$C$13,0))),0)</f>
        <v>371</v>
      </c>
      <c r="C1779" s="11">
        <f ca="1">B1779*Reference!$C$7*(1-IF(MONTH($A1779)=Reference!$C$6,1,0)*Reference!$C$12)</f>
        <v>345030</v>
      </c>
      <c r="D1779" s="10">
        <f ca="1">ROUND(_xlfn.NORM.INV(RAND(),Reference!$D$8,0.1*Reference!$D$8)*(1+Reference!$D$11*(IF(MONTH($A1779)=Reference!$D$4,1,0)+IF(MONTH($A1779)=Reference!$D$5,1,0))+(IF(MONTH($A1779)=Reference!$D$6,Reference!$D$13,0))),0)</f>
        <v>407</v>
      </c>
      <c r="E1779" s="11">
        <f ca="1">D1779*Reference!$D$7*(1-IF(MONTH($A1779)=Reference!$D$6,1,0)*Reference!$D$12)</f>
        <v>305250</v>
      </c>
      <c r="M1779" s="20"/>
      <c r="N1779" s="20"/>
      <c r="O1779" s="19"/>
      <c r="P1779" s="10"/>
      <c r="Q1779" s="10"/>
      <c r="R1779" s="10"/>
      <c r="S1779" s="10"/>
      <c r="T1779" s="10"/>
      <c r="U1779" s="10"/>
      <c r="V1779" s="10"/>
      <c r="W1779" s="10"/>
      <c r="X1779" s="10"/>
      <c r="Y1779" s="10"/>
    </row>
    <row r="1780" spans="1:25" x14ac:dyDescent="0.25">
      <c r="A1780" s="9">
        <v>42318</v>
      </c>
      <c r="B1780" s="10">
        <f ca="1">ROUND(_xlfn.NORM.INV(RAND(),Reference!$C$8,0.1*Reference!$C$8)*(1+Reference!$C$11*(IF(MONTH($A1780)=Reference!$C$4,1,0)+IF(MONTH($A1780)=Reference!$C$5,1,0))+(IF(MONTH($A1780)=Reference!$C$6,Reference!$C$13,0))),0)</f>
        <v>365</v>
      </c>
      <c r="C1780" s="11">
        <f ca="1">B1780*Reference!$C$7*(1-IF(MONTH($A1780)=Reference!$C$6,1,0)*Reference!$C$12)</f>
        <v>339450</v>
      </c>
      <c r="D1780" s="10">
        <f ca="1">ROUND(_xlfn.NORM.INV(RAND(),Reference!$D$8,0.1*Reference!$D$8)*(1+Reference!$D$11*(IF(MONTH($A1780)=Reference!$D$4,1,0)+IF(MONTH($A1780)=Reference!$D$5,1,0))+(IF(MONTH($A1780)=Reference!$D$6,Reference!$D$13,0))),0)</f>
        <v>512</v>
      </c>
      <c r="E1780" s="11">
        <f ca="1">D1780*Reference!$D$7*(1-IF(MONTH($A1780)=Reference!$D$6,1,0)*Reference!$D$12)</f>
        <v>384000</v>
      </c>
      <c r="M1780" s="20"/>
      <c r="N1780" s="20"/>
      <c r="O1780" s="19"/>
      <c r="P1780" s="10"/>
      <c r="Q1780" s="10"/>
      <c r="R1780" s="10"/>
      <c r="S1780" s="10"/>
      <c r="T1780" s="10"/>
      <c r="U1780" s="10"/>
      <c r="V1780" s="10"/>
      <c r="W1780" s="10"/>
      <c r="X1780" s="10"/>
      <c r="Y1780" s="10"/>
    </row>
    <row r="1781" spans="1:25" x14ac:dyDescent="0.25">
      <c r="A1781" s="9">
        <v>42319</v>
      </c>
      <c r="B1781" s="10">
        <f ca="1">ROUND(_xlfn.NORM.INV(RAND(),Reference!$C$8,0.1*Reference!$C$8)*(1+Reference!$C$11*(IF(MONTH($A1781)=Reference!$C$4,1,0)+IF(MONTH($A1781)=Reference!$C$5,1,0))+(IF(MONTH($A1781)=Reference!$C$6,Reference!$C$13,0))),0)</f>
        <v>404</v>
      </c>
      <c r="C1781" s="11">
        <f ca="1">B1781*Reference!$C$7*(1-IF(MONTH($A1781)=Reference!$C$6,1,0)*Reference!$C$12)</f>
        <v>375720</v>
      </c>
      <c r="D1781" s="10">
        <f ca="1">ROUND(_xlfn.NORM.INV(RAND(),Reference!$D$8,0.1*Reference!$D$8)*(1+Reference!$D$11*(IF(MONTH($A1781)=Reference!$D$4,1,0)+IF(MONTH($A1781)=Reference!$D$5,1,0))+(IF(MONTH($A1781)=Reference!$D$6,Reference!$D$13,0))),0)</f>
        <v>341</v>
      </c>
      <c r="E1781" s="11">
        <f ca="1">D1781*Reference!$D$7*(1-IF(MONTH($A1781)=Reference!$D$6,1,0)*Reference!$D$12)</f>
        <v>255750</v>
      </c>
      <c r="M1781" s="20"/>
      <c r="N1781" s="20"/>
      <c r="O1781" s="19"/>
      <c r="P1781" s="10"/>
      <c r="Q1781" s="10"/>
      <c r="R1781" s="10"/>
      <c r="S1781" s="10"/>
      <c r="T1781" s="10"/>
      <c r="U1781" s="10"/>
      <c r="V1781" s="10"/>
      <c r="W1781" s="10"/>
      <c r="X1781" s="10"/>
      <c r="Y1781" s="10"/>
    </row>
    <row r="1782" spans="1:25" x14ac:dyDescent="0.25">
      <c r="A1782" s="9">
        <v>42320</v>
      </c>
      <c r="B1782" s="10">
        <f ca="1">ROUND(_xlfn.NORM.INV(RAND(),Reference!$C$8,0.1*Reference!$C$8)*(1+Reference!$C$11*(IF(MONTH($A1782)=Reference!$C$4,1,0)+IF(MONTH($A1782)=Reference!$C$5,1,0))+(IF(MONTH($A1782)=Reference!$C$6,Reference!$C$13,0))),0)</f>
        <v>342</v>
      </c>
      <c r="C1782" s="11">
        <f ca="1">B1782*Reference!$C$7*(1-IF(MONTH($A1782)=Reference!$C$6,1,0)*Reference!$C$12)</f>
        <v>318060</v>
      </c>
      <c r="D1782" s="10">
        <f ca="1">ROUND(_xlfn.NORM.INV(RAND(),Reference!$D$8,0.1*Reference!$D$8)*(1+Reference!$D$11*(IF(MONTH($A1782)=Reference!$D$4,1,0)+IF(MONTH($A1782)=Reference!$D$5,1,0))+(IF(MONTH($A1782)=Reference!$D$6,Reference!$D$13,0))),0)</f>
        <v>420</v>
      </c>
      <c r="E1782" s="11">
        <f ca="1">D1782*Reference!$D$7*(1-IF(MONTH($A1782)=Reference!$D$6,1,0)*Reference!$D$12)</f>
        <v>315000</v>
      </c>
      <c r="M1782" s="20"/>
      <c r="N1782" s="20"/>
      <c r="O1782" s="19"/>
      <c r="P1782" s="10"/>
      <c r="Q1782" s="10"/>
      <c r="R1782" s="10"/>
      <c r="S1782" s="10"/>
      <c r="T1782" s="10"/>
      <c r="U1782" s="10"/>
      <c r="V1782" s="10"/>
      <c r="W1782" s="10"/>
      <c r="X1782" s="10"/>
      <c r="Y1782" s="10"/>
    </row>
    <row r="1783" spans="1:25" x14ac:dyDescent="0.25">
      <c r="A1783" s="9">
        <v>42321</v>
      </c>
      <c r="B1783" s="10">
        <f ca="1">ROUND(_xlfn.NORM.INV(RAND(),Reference!$C$8,0.1*Reference!$C$8)*(1+Reference!$C$11*(IF(MONTH($A1783)=Reference!$C$4,1,0)+IF(MONTH($A1783)=Reference!$C$5,1,0))+(IF(MONTH($A1783)=Reference!$C$6,Reference!$C$13,0))),0)</f>
        <v>411</v>
      </c>
      <c r="C1783" s="11">
        <f ca="1">B1783*Reference!$C$7*(1-IF(MONTH($A1783)=Reference!$C$6,1,0)*Reference!$C$12)</f>
        <v>382230</v>
      </c>
      <c r="D1783" s="10">
        <f ca="1">ROUND(_xlfn.NORM.INV(RAND(),Reference!$D$8,0.1*Reference!$D$8)*(1+Reference!$D$11*(IF(MONTH($A1783)=Reference!$D$4,1,0)+IF(MONTH($A1783)=Reference!$D$5,1,0))+(IF(MONTH($A1783)=Reference!$D$6,Reference!$D$13,0))),0)</f>
        <v>410</v>
      </c>
      <c r="E1783" s="11">
        <f ca="1">D1783*Reference!$D$7*(1-IF(MONTH($A1783)=Reference!$D$6,1,0)*Reference!$D$12)</f>
        <v>307500</v>
      </c>
      <c r="M1783" s="20"/>
      <c r="N1783" s="20"/>
      <c r="O1783" s="19"/>
      <c r="P1783" s="10"/>
      <c r="Q1783" s="10"/>
      <c r="R1783" s="10"/>
      <c r="S1783" s="10"/>
      <c r="T1783" s="10"/>
      <c r="U1783" s="10"/>
      <c r="V1783" s="10"/>
      <c r="W1783" s="10"/>
      <c r="X1783" s="10"/>
      <c r="Y1783" s="10"/>
    </row>
    <row r="1784" spans="1:25" x14ac:dyDescent="0.25">
      <c r="A1784" s="9">
        <v>42322</v>
      </c>
      <c r="B1784" s="10">
        <f ca="1">ROUND(_xlfn.NORM.INV(RAND(),Reference!$C$8,0.1*Reference!$C$8)*(1+Reference!$C$11*(IF(MONTH($A1784)=Reference!$C$4,1,0)+IF(MONTH($A1784)=Reference!$C$5,1,0))+(IF(MONTH($A1784)=Reference!$C$6,Reference!$C$13,0))),0)</f>
        <v>340</v>
      </c>
      <c r="C1784" s="11">
        <f ca="1">B1784*Reference!$C$7*(1-IF(MONTH($A1784)=Reference!$C$6,1,0)*Reference!$C$12)</f>
        <v>316200</v>
      </c>
      <c r="D1784" s="10">
        <f ca="1">ROUND(_xlfn.NORM.INV(RAND(),Reference!$D$8,0.1*Reference!$D$8)*(1+Reference!$D$11*(IF(MONTH($A1784)=Reference!$D$4,1,0)+IF(MONTH($A1784)=Reference!$D$5,1,0))+(IF(MONTH($A1784)=Reference!$D$6,Reference!$D$13,0))),0)</f>
        <v>510</v>
      </c>
      <c r="E1784" s="11">
        <f ca="1">D1784*Reference!$D$7*(1-IF(MONTH($A1784)=Reference!$D$6,1,0)*Reference!$D$12)</f>
        <v>382500</v>
      </c>
      <c r="M1784" s="20"/>
      <c r="N1784" s="20"/>
      <c r="O1784" s="19"/>
      <c r="P1784" s="10"/>
      <c r="Q1784" s="10"/>
      <c r="R1784" s="10"/>
      <c r="S1784" s="10"/>
      <c r="T1784" s="10"/>
      <c r="U1784" s="10"/>
      <c r="V1784" s="10"/>
      <c r="W1784" s="10"/>
      <c r="X1784" s="10"/>
      <c r="Y1784" s="10"/>
    </row>
    <row r="1785" spans="1:25" x14ac:dyDescent="0.25">
      <c r="A1785" s="9">
        <v>42323</v>
      </c>
      <c r="B1785" s="10">
        <f ca="1">ROUND(_xlfn.NORM.INV(RAND(),Reference!$C$8,0.1*Reference!$C$8)*(1+Reference!$C$11*(IF(MONTH($A1785)=Reference!$C$4,1,0)+IF(MONTH($A1785)=Reference!$C$5,1,0))+(IF(MONTH($A1785)=Reference!$C$6,Reference!$C$13,0))),0)</f>
        <v>372</v>
      </c>
      <c r="C1785" s="11">
        <f ca="1">B1785*Reference!$C$7*(1-IF(MONTH($A1785)=Reference!$C$6,1,0)*Reference!$C$12)</f>
        <v>345960</v>
      </c>
      <c r="D1785" s="10">
        <f ca="1">ROUND(_xlfn.NORM.INV(RAND(),Reference!$D$8,0.1*Reference!$D$8)*(1+Reference!$D$11*(IF(MONTH($A1785)=Reference!$D$4,1,0)+IF(MONTH($A1785)=Reference!$D$5,1,0))+(IF(MONTH($A1785)=Reference!$D$6,Reference!$D$13,0))),0)</f>
        <v>379</v>
      </c>
      <c r="E1785" s="11">
        <f ca="1">D1785*Reference!$D$7*(1-IF(MONTH($A1785)=Reference!$D$6,1,0)*Reference!$D$12)</f>
        <v>284250</v>
      </c>
      <c r="M1785" s="20"/>
      <c r="N1785" s="20"/>
      <c r="O1785" s="19"/>
      <c r="P1785" s="10"/>
      <c r="Q1785" s="10"/>
      <c r="R1785" s="10"/>
      <c r="S1785" s="10"/>
      <c r="T1785" s="10"/>
      <c r="U1785" s="10"/>
      <c r="V1785" s="10"/>
      <c r="W1785" s="10"/>
      <c r="X1785" s="10"/>
      <c r="Y1785" s="10"/>
    </row>
    <row r="1786" spans="1:25" x14ac:dyDescent="0.25">
      <c r="A1786" s="9">
        <v>42324</v>
      </c>
      <c r="B1786" s="10">
        <f ca="1">ROUND(_xlfn.NORM.INV(RAND(),Reference!$C$8,0.1*Reference!$C$8)*(1+Reference!$C$11*(IF(MONTH($A1786)=Reference!$C$4,1,0)+IF(MONTH($A1786)=Reference!$C$5,1,0))+(IF(MONTH($A1786)=Reference!$C$6,Reference!$C$13,0))),0)</f>
        <v>323</v>
      </c>
      <c r="C1786" s="11">
        <f ca="1">B1786*Reference!$C$7*(1-IF(MONTH($A1786)=Reference!$C$6,1,0)*Reference!$C$12)</f>
        <v>300390</v>
      </c>
      <c r="D1786" s="10">
        <f ca="1">ROUND(_xlfn.NORM.INV(RAND(),Reference!$D$8,0.1*Reference!$D$8)*(1+Reference!$D$11*(IF(MONTH($A1786)=Reference!$D$4,1,0)+IF(MONTH($A1786)=Reference!$D$5,1,0))+(IF(MONTH($A1786)=Reference!$D$6,Reference!$D$13,0))),0)</f>
        <v>459</v>
      </c>
      <c r="E1786" s="11">
        <f ca="1">D1786*Reference!$D$7*(1-IF(MONTH($A1786)=Reference!$D$6,1,0)*Reference!$D$12)</f>
        <v>344250</v>
      </c>
      <c r="M1786" s="20"/>
      <c r="N1786" s="20"/>
      <c r="O1786" s="19"/>
      <c r="P1786" s="10"/>
      <c r="Q1786" s="10"/>
      <c r="R1786" s="10"/>
      <c r="S1786" s="10"/>
      <c r="T1786" s="10"/>
      <c r="U1786" s="10"/>
      <c r="V1786" s="10"/>
      <c r="W1786" s="10"/>
      <c r="X1786" s="10"/>
      <c r="Y1786" s="10"/>
    </row>
    <row r="1787" spans="1:25" x14ac:dyDescent="0.25">
      <c r="A1787" s="9">
        <v>42325</v>
      </c>
      <c r="B1787" s="10">
        <f ca="1">ROUND(_xlfn.NORM.INV(RAND(),Reference!$C$8,0.1*Reference!$C$8)*(1+Reference!$C$11*(IF(MONTH($A1787)=Reference!$C$4,1,0)+IF(MONTH($A1787)=Reference!$C$5,1,0))+(IF(MONTH($A1787)=Reference!$C$6,Reference!$C$13,0))),0)</f>
        <v>384</v>
      </c>
      <c r="C1787" s="11">
        <f ca="1">B1787*Reference!$C$7*(1-IF(MONTH($A1787)=Reference!$C$6,1,0)*Reference!$C$12)</f>
        <v>357120</v>
      </c>
      <c r="D1787" s="10">
        <f ca="1">ROUND(_xlfn.NORM.INV(RAND(),Reference!$D$8,0.1*Reference!$D$8)*(1+Reference!$D$11*(IF(MONTH($A1787)=Reference!$D$4,1,0)+IF(MONTH($A1787)=Reference!$D$5,1,0))+(IF(MONTH($A1787)=Reference!$D$6,Reference!$D$13,0))),0)</f>
        <v>405</v>
      </c>
      <c r="E1787" s="11">
        <f ca="1">D1787*Reference!$D$7*(1-IF(MONTH($A1787)=Reference!$D$6,1,0)*Reference!$D$12)</f>
        <v>303750</v>
      </c>
      <c r="M1787" s="20"/>
      <c r="N1787" s="20"/>
      <c r="O1787" s="19"/>
      <c r="P1787" s="10"/>
      <c r="Q1787" s="10"/>
      <c r="R1787" s="10"/>
      <c r="S1787" s="10"/>
      <c r="T1787" s="10"/>
      <c r="U1787" s="10"/>
      <c r="V1787" s="10"/>
      <c r="W1787" s="10"/>
      <c r="X1787" s="10"/>
      <c r="Y1787" s="10"/>
    </row>
    <row r="1788" spans="1:25" x14ac:dyDescent="0.25">
      <c r="A1788" s="9">
        <v>42326</v>
      </c>
      <c r="B1788" s="10">
        <f ca="1">ROUND(_xlfn.NORM.INV(RAND(),Reference!$C$8,0.1*Reference!$C$8)*(1+Reference!$C$11*(IF(MONTH($A1788)=Reference!$C$4,1,0)+IF(MONTH($A1788)=Reference!$C$5,1,0))+(IF(MONTH($A1788)=Reference!$C$6,Reference!$C$13,0))),0)</f>
        <v>426</v>
      </c>
      <c r="C1788" s="11">
        <f ca="1">B1788*Reference!$C$7*(1-IF(MONTH($A1788)=Reference!$C$6,1,0)*Reference!$C$12)</f>
        <v>396180</v>
      </c>
      <c r="D1788" s="10">
        <f ca="1">ROUND(_xlfn.NORM.INV(RAND(),Reference!$D$8,0.1*Reference!$D$8)*(1+Reference!$D$11*(IF(MONTH($A1788)=Reference!$D$4,1,0)+IF(MONTH($A1788)=Reference!$D$5,1,0))+(IF(MONTH($A1788)=Reference!$D$6,Reference!$D$13,0))),0)</f>
        <v>467</v>
      </c>
      <c r="E1788" s="11">
        <f ca="1">D1788*Reference!$D$7*(1-IF(MONTH($A1788)=Reference!$D$6,1,0)*Reference!$D$12)</f>
        <v>350250</v>
      </c>
      <c r="M1788" s="20"/>
      <c r="N1788" s="20"/>
      <c r="O1788" s="19"/>
      <c r="P1788" s="10"/>
      <c r="Q1788" s="10"/>
      <c r="R1788" s="10"/>
      <c r="S1788" s="10"/>
      <c r="T1788" s="10"/>
      <c r="U1788" s="10"/>
      <c r="V1788" s="10"/>
      <c r="W1788" s="10"/>
      <c r="X1788" s="10"/>
      <c r="Y1788" s="10"/>
    </row>
    <row r="1789" spans="1:25" x14ac:dyDescent="0.25">
      <c r="A1789" s="9">
        <v>42327</v>
      </c>
      <c r="B1789" s="10">
        <f ca="1">ROUND(_xlfn.NORM.INV(RAND(),Reference!$C$8,0.1*Reference!$C$8)*(1+Reference!$C$11*(IF(MONTH($A1789)=Reference!$C$4,1,0)+IF(MONTH($A1789)=Reference!$C$5,1,0))+(IF(MONTH($A1789)=Reference!$C$6,Reference!$C$13,0))),0)</f>
        <v>359</v>
      </c>
      <c r="C1789" s="11">
        <f ca="1">B1789*Reference!$C$7*(1-IF(MONTH($A1789)=Reference!$C$6,1,0)*Reference!$C$12)</f>
        <v>333870</v>
      </c>
      <c r="D1789" s="10">
        <f ca="1">ROUND(_xlfn.NORM.INV(RAND(),Reference!$D$8,0.1*Reference!$D$8)*(1+Reference!$D$11*(IF(MONTH($A1789)=Reference!$D$4,1,0)+IF(MONTH($A1789)=Reference!$D$5,1,0))+(IF(MONTH($A1789)=Reference!$D$6,Reference!$D$13,0))),0)</f>
        <v>516</v>
      </c>
      <c r="E1789" s="11">
        <f ca="1">D1789*Reference!$D$7*(1-IF(MONTH($A1789)=Reference!$D$6,1,0)*Reference!$D$12)</f>
        <v>387000</v>
      </c>
      <c r="M1789" s="20"/>
      <c r="N1789" s="20"/>
      <c r="O1789" s="19"/>
      <c r="P1789" s="10"/>
      <c r="Q1789" s="10"/>
      <c r="R1789" s="10"/>
      <c r="S1789" s="10"/>
      <c r="T1789" s="10"/>
      <c r="U1789" s="10"/>
      <c r="V1789" s="10"/>
      <c r="W1789" s="10"/>
      <c r="X1789" s="10"/>
      <c r="Y1789" s="10"/>
    </row>
    <row r="1790" spans="1:25" x14ac:dyDescent="0.25">
      <c r="A1790" s="9">
        <v>42328</v>
      </c>
      <c r="B1790" s="10">
        <f ca="1">ROUND(_xlfn.NORM.INV(RAND(),Reference!$C$8,0.1*Reference!$C$8)*(1+Reference!$C$11*(IF(MONTH($A1790)=Reference!$C$4,1,0)+IF(MONTH($A1790)=Reference!$C$5,1,0))+(IF(MONTH($A1790)=Reference!$C$6,Reference!$C$13,0))),0)</f>
        <v>326</v>
      </c>
      <c r="C1790" s="11">
        <f ca="1">B1790*Reference!$C$7*(1-IF(MONTH($A1790)=Reference!$C$6,1,0)*Reference!$C$12)</f>
        <v>303180</v>
      </c>
      <c r="D1790" s="10">
        <f ca="1">ROUND(_xlfn.NORM.INV(RAND(),Reference!$D$8,0.1*Reference!$D$8)*(1+Reference!$D$11*(IF(MONTH($A1790)=Reference!$D$4,1,0)+IF(MONTH($A1790)=Reference!$D$5,1,0))+(IF(MONTH($A1790)=Reference!$D$6,Reference!$D$13,0))),0)</f>
        <v>487</v>
      </c>
      <c r="E1790" s="11">
        <f ca="1">D1790*Reference!$D$7*(1-IF(MONTH($A1790)=Reference!$D$6,1,0)*Reference!$D$12)</f>
        <v>365250</v>
      </c>
      <c r="M1790" s="20"/>
      <c r="N1790" s="20"/>
      <c r="O1790" s="19"/>
      <c r="P1790" s="10"/>
      <c r="Q1790" s="10"/>
      <c r="R1790" s="10"/>
      <c r="S1790" s="10"/>
      <c r="T1790" s="10"/>
      <c r="U1790" s="10"/>
      <c r="V1790" s="10"/>
      <c r="W1790" s="10"/>
      <c r="X1790" s="10"/>
      <c r="Y1790" s="10"/>
    </row>
    <row r="1791" spans="1:25" x14ac:dyDescent="0.25">
      <c r="A1791" s="9">
        <v>42329</v>
      </c>
      <c r="B1791" s="10">
        <f ca="1">ROUND(_xlfn.NORM.INV(RAND(),Reference!$C$8,0.1*Reference!$C$8)*(1+Reference!$C$11*(IF(MONTH($A1791)=Reference!$C$4,1,0)+IF(MONTH($A1791)=Reference!$C$5,1,0))+(IF(MONTH($A1791)=Reference!$C$6,Reference!$C$13,0))),0)</f>
        <v>363</v>
      </c>
      <c r="C1791" s="11">
        <f ca="1">B1791*Reference!$C$7*(1-IF(MONTH($A1791)=Reference!$C$6,1,0)*Reference!$C$12)</f>
        <v>337590</v>
      </c>
      <c r="D1791" s="10">
        <f ca="1">ROUND(_xlfn.NORM.INV(RAND(),Reference!$D$8,0.1*Reference!$D$8)*(1+Reference!$D$11*(IF(MONTH($A1791)=Reference!$D$4,1,0)+IF(MONTH($A1791)=Reference!$D$5,1,0))+(IF(MONTH($A1791)=Reference!$D$6,Reference!$D$13,0))),0)</f>
        <v>455</v>
      </c>
      <c r="E1791" s="11">
        <f ca="1">D1791*Reference!$D$7*(1-IF(MONTH($A1791)=Reference!$D$6,1,0)*Reference!$D$12)</f>
        <v>341250</v>
      </c>
      <c r="M1791" s="20"/>
      <c r="N1791" s="20"/>
      <c r="O1791" s="19"/>
      <c r="P1791" s="10"/>
      <c r="Q1791" s="10"/>
      <c r="R1791" s="10"/>
      <c r="S1791" s="10"/>
      <c r="T1791" s="10"/>
      <c r="U1791" s="10"/>
      <c r="V1791" s="10"/>
      <c r="W1791" s="10"/>
      <c r="X1791" s="10"/>
      <c r="Y1791" s="10"/>
    </row>
    <row r="1792" spans="1:25" x14ac:dyDescent="0.25">
      <c r="A1792" s="9">
        <v>42330</v>
      </c>
      <c r="B1792" s="10">
        <f ca="1">ROUND(_xlfn.NORM.INV(RAND(),Reference!$C$8,0.1*Reference!$C$8)*(1+Reference!$C$11*(IF(MONTH($A1792)=Reference!$C$4,1,0)+IF(MONTH($A1792)=Reference!$C$5,1,0))+(IF(MONTH($A1792)=Reference!$C$6,Reference!$C$13,0))),0)</f>
        <v>341</v>
      </c>
      <c r="C1792" s="11">
        <f ca="1">B1792*Reference!$C$7*(1-IF(MONTH($A1792)=Reference!$C$6,1,0)*Reference!$C$12)</f>
        <v>317130</v>
      </c>
      <c r="D1792" s="10">
        <f ca="1">ROUND(_xlfn.NORM.INV(RAND(),Reference!$D$8,0.1*Reference!$D$8)*(1+Reference!$D$11*(IF(MONTH($A1792)=Reference!$D$4,1,0)+IF(MONTH($A1792)=Reference!$D$5,1,0))+(IF(MONTH($A1792)=Reference!$D$6,Reference!$D$13,0))),0)</f>
        <v>489</v>
      </c>
      <c r="E1792" s="11">
        <f ca="1">D1792*Reference!$D$7*(1-IF(MONTH($A1792)=Reference!$D$6,1,0)*Reference!$D$12)</f>
        <v>366750</v>
      </c>
      <c r="M1792" s="20"/>
      <c r="N1792" s="20"/>
      <c r="O1792" s="19"/>
      <c r="P1792" s="10"/>
      <c r="Q1792" s="10"/>
      <c r="R1792" s="10"/>
      <c r="S1792" s="10"/>
      <c r="T1792" s="10"/>
      <c r="U1792" s="10"/>
      <c r="V1792" s="10"/>
      <c r="W1792" s="10"/>
      <c r="X1792" s="10"/>
      <c r="Y1792" s="10"/>
    </row>
    <row r="1793" spans="1:25" x14ac:dyDescent="0.25">
      <c r="A1793" s="9">
        <v>42331</v>
      </c>
      <c r="B1793" s="10">
        <f ca="1">ROUND(_xlfn.NORM.INV(RAND(),Reference!$C$8,0.1*Reference!$C$8)*(1+Reference!$C$11*(IF(MONTH($A1793)=Reference!$C$4,1,0)+IF(MONTH($A1793)=Reference!$C$5,1,0))+(IF(MONTH($A1793)=Reference!$C$6,Reference!$C$13,0))),0)</f>
        <v>411</v>
      </c>
      <c r="C1793" s="11">
        <f ca="1">B1793*Reference!$C$7*(1-IF(MONTH($A1793)=Reference!$C$6,1,0)*Reference!$C$12)</f>
        <v>382230</v>
      </c>
      <c r="D1793" s="10">
        <f ca="1">ROUND(_xlfn.NORM.INV(RAND(),Reference!$D$8,0.1*Reference!$D$8)*(1+Reference!$D$11*(IF(MONTH($A1793)=Reference!$D$4,1,0)+IF(MONTH($A1793)=Reference!$D$5,1,0))+(IF(MONTH($A1793)=Reference!$D$6,Reference!$D$13,0))),0)</f>
        <v>443</v>
      </c>
      <c r="E1793" s="11">
        <f ca="1">D1793*Reference!$D$7*(1-IF(MONTH($A1793)=Reference!$D$6,1,0)*Reference!$D$12)</f>
        <v>332250</v>
      </c>
      <c r="M1793" s="20"/>
      <c r="N1793" s="20"/>
      <c r="O1793" s="19"/>
      <c r="P1793" s="10"/>
      <c r="Q1793" s="10"/>
      <c r="R1793" s="10"/>
      <c r="S1793" s="10"/>
      <c r="T1793" s="10"/>
      <c r="U1793" s="10"/>
      <c r="V1793" s="10"/>
      <c r="W1793" s="10"/>
      <c r="X1793" s="10"/>
      <c r="Y1793" s="10"/>
    </row>
    <row r="1794" spans="1:25" x14ac:dyDescent="0.25">
      <c r="A1794" s="9">
        <v>42332</v>
      </c>
      <c r="B1794" s="10">
        <f ca="1">ROUND(_xlfn.NORM.INV(RAND(),Reference!$C$8,0.1*Reference!$C$8)*(1+Reference!$C$11*(IF(MONTH($A1794)=Reference!$C$4,1,0)+IF(MONTH($A1794)=Reference!$C$5,1,0))+(IF(MONTH($A1794)=Reference!$C$6,Reference!$C$13,0))),0)</f>
        <v>363</v>
      </c>
      <c r="C1794" s="11">
        <f ca="1">B1794*Reference!$C$7*(1-IF(MONTH($A1794)=Reference!$C$6,1,0)*Reference!$C$12)</f>
        <v>337590</v>
      </c>
      <c r="D1794" s="10">
        <f ca="1">ROUND(_xlfn.NORM.INV(RAND(),Reference!$D$8,0.1*Reference!$D$8)*(1+Reference!$D$11*(IF(MONTH($A1794)=Reference!$D$4,1,0)+IF(MONTH($A1794)=Reference!$D$5,1,0))+(IF(MONTH($A1794)=Reference!$D$6,Reference!$D$13,0))),0)</f>
        <v>370</v>
      </c>
      <c r="E1794" s="11">
        <f ca="1">D1794*Reference!$D$7*(1-IF(MONTH($A1794)=Reference!$D$6,1,0)*Reference!$D$12)</f>
        <v>277500</v>
      </c>
      <c r="M1794" s="20"/>
      <c r="N1794" s="20"/>
      <c r="O1794" s="19"/>
      <c r="P1794" s="10"/>
      <c r="Q1794" s="10"/>
      <c r="R1794" s="10"/>
      <c r="S1794" s="10"/>
      <c r="T1794" s="10"/>
      <c r="U1794" s="10"/>
      <c r="V1794" s="10"/>
      <c r="W1794" s="10"/>
      <c r="X1794" s="10"/>
      <c r="Y1794" s="10"/>
    </row>
    <row r="1795" spans="1:25" x14ac:dyDescent="0.25">
      <c r="A1795" s="9">
        <v>42333</v>
      </c>
      <c r="B1795" s="10">
        <f ca="1">ROUND(_xlfn.NORM.INV(RAND(),Reference!$C$8,0.1*Reference!$C$8)*(1+Reference!$C$11*(IF(MONTH($A1795)=Reference!$C$4,1,0)+IF(MONTH($A1795)=Reference!$C$5,1,0))+(IF(MONTH($A1795)=Reference!$C$6,Reference!$C$13,0))),0)</f>
        <v>349</v>
      </c>
      <c r="C1795" s="11">
        <f ca="1">B1795*Reference!$C$7*(1-IF(MONTH($A1795)=Reference!$C$6,1,0)*Reference!$C$12)</f>
        <v>324570</v>
      </c>
      <c r="D1795" s="10">
        <f ca="1">ROUND(_xlfn.NORM.INV(RAND(),Reference!$D$8,0.1*Reference!$D$8)*(1+Reference!$D$11*(IF(MONTH($A1795)=Reference!$D$4,1,0)+IF(MONTH($A1795)=Reference!$D$5,1,0))+(IF(MONTH($A1795)=Reference!$D$6,Reference!$D$13,0))),0)</f>
        <v>415</v>
      </c>
      <c r="E1795" s="11">
        <f ca="1">D1795*Reference!$D$7*(1-IF(MONTH($A1795)=Reference!$D$6,1,0)*Reference!$D$12)</f>
        <v>311250</v>
      </c>
      <c r="M1795" s="20"/>
      <c r="N1795" s="20"/>
      <c r="O1795" s="19"/>
      <c r="P1795" s="10"/>
      <c r="Q1795" s="10"/>
      <c r="R1795" s="10"/>
      <c r="S1795" s="10"/>
      <c r="T1795" s="10"/>
      <c r="U1795" s="10"/>
      <c r="V1795" s="10"/>
      <c r="W1795" s="10"/>
      <c r="X1795" s="10"/>
      <c r="Y1795" s="10"/>
    </row>
    <row r="1796" spans="1:25" x14ac:dyDescent="0.25">
      <c r="A1796" s="9">
        <v>42334</v>
      </c>
      <c r="B1796" s="10">
        <f ca="1">ROUND(_xlfn.NORM.INV(RAND(),Reference!$C$8,0.1*Reference!$C$8)*(1+Reference!$C$11*(IF(MONTH($A1796)=Reference!$C$4,1,0)+IF(MONTH($A1796)=Reference!$C$5,1,0))+(IF(MONTH($A1796)=Reference!$C$6,Reference!$C$13,0))),0)</f>
        <v>391</v>
      </c>
      <c r="C1796" s="11">
        <f ca="1">B1796*Reference!$C$7*(1-IF(MONTH($A1796)=Reference!$C$6,1,0)*Reference!$C$12)</f>
        <v>363630</v>
      </c>
      <c r="D1796" s="10">
        <f ca="1">ROUND(_xlfn.NORM.INV(RAND(),Reference!$D$8,0.1*Reference!$D$8)*(1+Reference!$D$11*(IF(MONTH($A1796)=Reference!$D$4,1,0)+IF(MONTH($A1796)=Reference!$D$5,1,0))+(IF(MONTH($A1796)=Reference!$D$6,Reference!$D$13,0))),0)</f>
        <v>467</v>
      </c>
      <c r="E1796" s="11">
        <f ca="1">D1796*Reference!$D$7*(1-IF(MONTH($A1796)=Reference!$D$6,1,0)*Reference!$D$12)</f>
        <v>350250</v>
      </c>
      <c r="M1796" s="20"/>
      <c r="N1796" s="20"/>
      <c r="O1796" s="19"/>
      <c r="P1796" s="10"/>
      <c r="Q1796" s="10"/>
      <c r="R1796" s="10"/>
      <c r="S1796" s="10"/>
      <c r="T1796" s="10"/>
      <c r="U1796" s="10"/>
      <c r="V1796" s="10"/>
      <c r="W1796" s="10"/>
      <c r="X1796" s="10"/>
      <c r="Y1796" s="10"/>
    </row>
    <row r="1797" spans="1:25" x14ac:dyDescent="0.25">
      <c r="A1797" s="9">
        <v>42335</v>
      </c>
      <c r="B1797" s="10">
        <f ca="1">ROUND(_xlfn.NORM.INV(RAND(),Reference!$C$8,0.1*Reference!$C$8)*(1+Reference!$C$11*(IF(MONTH($A1797)=Reference!$C$4,1,0)+IF(MONTH($A1797)=Reference!$C$5,1,0))+(IF(MONTH($A1797)=Reference!$C$6,Reference!$C$13,0))),0)</f>
        <v>342</v>
      </c>
      <c r="C1797" s="11">
        <f ca="1">B1797*Reference!$C$7*(1-IF(MONTH($A1797)=Reference!$C$6,1,0)*Reference!$C$12)</f>
        <v>318060</v>
      </c>
      <c r="D1797" s="10">
        <f ca="1">ROUND(_xlfn.NORM.INV(RAND(),Reference!$D$8,0.1*Reference!$D$8)*(1+Reference!$D$11*(IF(MONTH($A1797)=Reference!$D$4,1,0)+IF(MONTH($A1797)=Reference!$D$5,1,0))+(IF(MONTH($A1797)=Reference!$D$6,Reference!$D$13,0))),0)</f>
        <v>489</v>
      </c>
      <c r="E1797" s="11">
        <f ca="1">D1797*Reference!$D$7*(1-IF(MONTH($A1797)=Reference!$D$6,1,0)*Reference!$D$12)</f>
        <v>366750</v>
      </c>
      <c r="M1797" s="20"/>
      <c r="N1797" s="20"/>
      <c r="O1797" s="19"/>
      <c r="P1797" s="10"/>
      <c r="Q1797" s="10"/>
      <c r="R1797" s="10"/>
      <c r="S1797" s="10"/>
      <c r="T1797" s="10"/>
      <c r="U1797" s="10"/>
      <c r="V1797" s="10"/>
      <c r="W1797" s="10"/>
      <c r="X1797" s="10"/>
      <c r="Y1797" s="10"/>
    </row>
    <row r="1798" spans="1:25" x14ac:dyDescent="0.25">
      <c r="A1798" s="9">
        <v>42336</v>
      </c>
      <c r="B1798" s="10">
        <f ca="1">ROUND(_xlfn.NORM.INV(RAND(),Reference!$C$8,0.1*Reference!$C$8)*(1+Reference!$C$11*(IF(MONTH($A1798)=Reference!$C$4,1,0)+IF(MONTH($A1798)=Reference!$C$5,1,0))+(IF(MONTH($A1798)=Reference!$C$6,Reference!$C$13,0))),0)</f>
        <v>312</v>
      </c>
      <c r="C1798" s="11">
        <f ca="1">B1798*Reference!$C$7*(1-IF(MONTH($A1798)=Reference!$C$6,1,0)*Reference!$C$12)</f>
        <v>290160</v>
      </c>
      <c r="D1798" s="10">
        <f ca="1">ROUND(_xlfn.NORM.INV(RAND(),Reference!$D$8,0.1*Reference!$D$8)*(1+Reference!$D$11*(IF(MONTH($A1798)=Reference!$D$4,1,0)+IF(MONTH($A1798)=Reference!$D$5,1,0))+(IF(MONTH($A1798)=Reference!$D$6,Reference!$D$13,0))),0)</f>
        <v>479</v>
      </c>
      <c r="E1798" s="11">
        <f ca="1">D1798*Reference!$D$7*(1-IF(MONTH($A1798)=Reference!$D$6,1,0)*Reference!$D$12)</f>
        <v>359250</v>
      </c>
      <c r="M1798" s="20"/>
      <c r="N1798" s="20"/>
      <c r="O1798" s="19"/>
      <c r="P1798" s="10"/>
      <c r="Q1798" s="10"/>
      <c r="R1798" s="10"/>
      <c r="S1798" s="10"/>
      <c r="T1798" s="10"/>
      <c r="U1798" s="10"/>
      <c r="V1798" s="10"/>
      <c r="W1798" s="10"/>
      <c r="X1798" s="10"/>
      <c r="Y1798" s="10"/>
    </row>
    <row r="1799" spans="1:25" x14ac:dyDescent="0.25">
      <c r="A1799" s="9">
        <v>42337</v>
      </c>
      <c r="B1799" s="10">
        <f ca="1">ROUND(_xlfn.NORM.INV(RAND(),Reference!$C$8,0.1*Reference!$C$8)*(1+Reference!$C$11*(IF(MONTH($A1799)=Reference!$C$4,1,0)+IF(MONTH($A1799)=Reference!$C$5,1,0))+(IF(MONTH($A1799)=Reference!$C$6,Reference!$C$13,0))),0)</f>
        <v>277</v>
      </c>
      <c r="C1799" s="11">
        <f ca="1">B1799*Reference!$C$7*(1-IF(MONTH($A1799)=Reference!$C$6,1,0)*Reference!$C$12)</f>
        <v>257610</v>
      </c>
      <c r="D1799" s="10">
        <f ca="1">ROUND(_xlfn.NORM.INV(RAND(),Reference!$D$8,0.1*Reference!$D$8)*(1+Reference!$D$11*(IF(MONTH($A1799)=Reference!$D$4,1,0)+IF(MONTH($A1799)=Reference!$D$5,1,0))+(IF(MONTH($A1799)=Reference!$D$6,Reference!$D$13,0))),0)</f>
        <v>452</v>
      </c>
      <c r="E1799" s="11">
        <f ca="1">D1799*Reference!$D$7*(1-IF(MONTH($A1799)=Reference!$D$6,1,0)*Reference!$D$12)</f>
        <v>339000</v>
      </c>
      <c r="M1799" s="20"/>
      <c r="N1799" s="20"/>
      <c r="O1799" s="19"/>
      <c r="P1799" s="10"/>
      <c r="Q1799" s="10"/>
      <c r="R1799" s="10"/>
      <c r="S1799" s="10"/>
      <c r="T1799" s="10"/>
      <c r="U1799" s="10"/>
      <c r="V1799" s="10"/>
      <c r="W1799" s="10"/>
      <c r="X1799" s="10"/>
      <c r="Y1799" s="10"/>
    </row>
    <row r="1800" spans="1:25" x14ac:dyDescent="0.25">
      <c r="A1800" s="9">
        <v>42338</v>
      </c>
      <c r="B1800" s="10">
        <f ca="1">ROUND(_xlfn.NORM.INV(RAND(),Reference!$C$8,0.1*Reference!$C$8)*(1+Reference!$C$11*(IF(MONTH($A1800)=Reference!$C$4,1,0)+IF(MONTH($A1800)=Reference!$C$5,1,0))+(IF(MONTH($A1800)=Reference!$C$6,Reference!$C$13,0))),0)</f>
        <v>319</v>
      </c>
      <c r="C1800" s="11">
        <f ca="1">B1800*Reference!$C$7*(1-IF(MONTH($A1800)=Reference!$C$6,1,0)*Reference!$C$12)</f>
        <v>296670</v>
      </c>
      <c r="D1800" s="10">
        <f ca="1">ROUND(_xlfn.NORM.INV(RAND(),Reference!$D$8,0.1*Reference!$D$8)*(1+Reference!$D$11*(IF(MONTH($A1800)=Reference!$D$4,1,0)+IF(MONTH($A1800)=Reference!$D$5,1,0))+(IF(MONTH($A1800)=Reference!$D$6,Reference!$D$13,0))),0)</f>
        <v>520</v>
      </c>
      <c r="E1800" s="11">
        <f ca="1">D1800*Reference!$D$7*(1-IF(MONTH($A1800)=Reference!$D$6,1,0)*Reference!$D$12)</f>
        <v>390000</v>
      </c>
      <c r="M1800" s="20"/>
      <c r="N1800" s="20"/>
      <c r="O1800" s="19"/>
      <c r="P1800" s="10"/>
      <c r="Q1800" s="10"/>
      <c r="R1800" s="10"/>
      <c r="S1800" s="10"/>
      <c r="T1800" s="10"/>
      <c r="U1800" s="10"/>
      <c r="V1800" s="10"/>
      <c r="W1800" s="10"/>
      <c r="X1800" s="10"/>
      <c r="Y1800" s="10"/>
    </row>
    <row r="1801" spans="1:25" x14ac:dyDescent="0.25">
      <c r="A1801" s="9">
        <v>42339</v>
      </c>
      <c r="B1801" s="10">
        <f ca="1">ROUND(_xlfn.NORM.INV(RAND(),Reference!$C$8,0.1*Reference!$C$8)*(1+Reference!$C$11*(IF(MONTH($A1801)=Reference!$C$4,1,0)+IF(MONTH($A1801)=Reference!$C$5,1,0))+(IF(MONTH($A1801)=Reference!$C$6,Reference!$C$13,0))),0)</f>
        <v>370</v>
      </c>
      <c r="C1801" s="11">
        <f ca="1">B1801*Reference!$C$7*(1-IF(MONTH($A1801)=Reference!$C$6,1,0)*Reference!$C$12)</f>
        <v>344100</v>
      </c>
      <c r="D1801" s="10">
        <f ca="1">ROUND(_xlfn.NORM.INV(RAND(),Reference!$D$8,0.1*Reference!$D$8)*(1+Reference!$D$11*(IF(MONTH($A1801)=Reference!$D$4,1,0)+IF(MONTH($A1801)=Reference!$D$5,1,0))+(IF(MONTH($A1801)=Reference!$D$6,Reference!$D$13,0))),0)</f>
        <v>438</v>
      </c>
      <c r="E1801" s="11">
        <f ca="1">D1801*Reference!$D$7*(1-IF(MONTH($A1801)=Reference!$D$6,1,0)*Reference!$D$12)</f>
        <v>328500</v>
      </c>
      <c r="M1801" s="20"/>
      <c r="N1801" s="20"/>
      <c r="O1801" s="19"/>
      <c r="P1801" s="10"/>
      <c r="Q1801" s="10"/>
      <c r="R1801" s="10"/>
      <c r="S1801" s="10"/>
      <c r="T1801" s="10"/>
      <c r="U1801" s="10"/>
      <c r="V1801" s="10"/>
      <c r="W1801" s="10"/>
      <c r="X1801" s="10"/>
      <c r="Y1801" s="10"/>
    </row>
    <row r="1802" spans="1:25" x14ac:dyDescent="0.25">
      <c r="A1802" s="9">
        <v>42340</v>
      </c>
      <c r="B1802" s="10">
        <f ca="1">ROUND(_xlfn.NORM.INV(RAND(),Reference!$C$8,0.1*Reference!$C$8)*(1+Reference!$C$11*(IF(MONTH($A1802)=Reference!$C$4,1,0)+IF(MONTH($A1802)=Reference!$C$5,1,0))+(IF(MONTH($A1802)=Reference!$C$6,Reference!$C$13,0))),0)</f>
        <v>374</v>
      </c>
      <c r="C1802" s="11">
        <f ca="1">B1802*Reference!$C$7*(1-IF(MONTH($A1802)=Reference!$C$6,1,0)*Reference!$C$12)</f>
        <v>347820</v>
      </c>
      <c r="D1802" s="10">
        <f ca="1">ROUND(_xlfn.NORM.INV(RAND(),Reference!$D$8,0.1*Reference!$D$8)*(1+Reference!$D$11*(IF(MONTH($A1802)=Reference!$D$4,1,0)+IF(MONTH($A1802)=Reference!$D$5,1,0))+(IF(MONTH($A1802)=Reference!$D$6,Reference!$D$13,0))),0)</f>
        <v>499</v>
      </c>
      <c r="E1802" s="11">
        <f ca="1">D1802*Reference!$D$7*(1-IF(MONTH($A1802)=Reference!$D$6,1,0)*Reference!$D$12)</f>
        <v>374250</v>
      </c>
      <c r="M1802" s="20"/>
      <c r="N1802" s="20"/>
      <c r="O1802" s="19"/>
      <c r="P1802" s="10"/>
      <c r="Q1802" s="10"/>
      <c r="R1802" s="10"/>
      <c r="S1802" s="10"/>
      <c r="T1802" s="10"/>
      <c r="U1802" s="10"/>
      <c r="V1802" s="10"/>
      <c r="W1802" s="10"/>
      <c r="X1802" s="10"/>
      <c r="Y1802" s="10"/>
    </row>
    <row r="1803" spans="1:25" x14ac:dyDescent="0.25">
      <c r="A1803" s="9">
        <v>42341</v>
      </c>
      <c r="B1803" s="10">
        <f ca="1">ROUND(_xlfn.NORM.INV(RAND(),Reference!$C$8,0.1*Reference!$C$8)*(1+Reference!$C$11*(IF(MONTH($A1803)=Reference!$C$4,1,0)+IF(MONTH($A1803)=Reference!$C$5,1,0))+(IF(MONTH($A1803)=Reference!$C$6,Reference!$C$13,0))),0)</f>
        <v>370</v>
      </c>
      <c r="C1803" s="11">
        <f ca="1">B1803*Reference!$C$7*(1-IF(MONTH($A1803)=Reference!$C$6,1,0)*Reference!$C$12)</f>
        <v>344100</v>
      </c>
      <c r="D1803" s="10">
        <f ca="1">ROUND(_xlfn.NORM.INV(RAND(),Reference!$D$8,0.1*Reference!$D$8)*(1+Reference!$D$11*(IF(MONTH($A1803)=Reference!$D$4,1,0)+IF(MONTH($A1803)=Reference!$D$5,1,0))+(IF(MONTH($A1803)=Reference!$D$6,Reference!$D$13,0))),0)</f>
        <v>428</v>
      </c>
      <c r="E1803" s="11">
        <f ca="1">D1803*Reference!$D$7*(1-IF(MONTH($A1803)=Reference!$D$6,1,0)*Reference!$D$12)</f>
        <v>321000</v>
      </c>
      <c r="M1803" s="20"/>
      <c r="N1803" s="20"/>
      <c r="O1803" s="19"/>
      <c r="P1803" s="10"/>
      <c r="Q1803" s="10"/>
      <c r="R1803" s="10"/>
      <c r="S1803" s="10"/>
      <c r="T1803" s="10"/>
      <c r="U1803" s="10"/>
      <c r="V1803" s="10"/>
      <c r="W1803" s="10"/>
      <c r="X1803" s="10"/>
      <c r="Y1803" s="10"/>
    </row>
    <row r="1804" spans="1:25" x14ac:dyDescent="0.25">
      <c r="A1804" s="9">
        <v>42342</v>
      </c>
      <c r="B1804" s="10">
        <f ca="1">ROUND(_xlfn.NORM.INV(RAND(),Reference!$C$8,0.1*Reference!$C$8)*(1+Reference!$C$11*(IF(MONTH($A1804)=Reference!$C$4,1,0)+IF(MONTH($A1804)=Reference!$C$5,1,0))+(IF(MONTH($A1804)=Reference!$C$6,Reference!$C$13,0))),0)</f>
        <v>327</v>
      </c>
      <c r="C1804" s="11">
        <f ca="1">B1804*Reference!$C$7*(1-IF(MONTH($A1804)=Reference!$C$6,1,0)*Reference!$C$12)</f>
        <v>304110</v>
      </c>
      <c r="D1804" s="10">
        <f ca="1">ROUND(_xlfn.NORM.INV(RAND(),Reference!$D$8,0.1*Reference!$D$8)*(1+Reference!$D$11*(IF(MONTH($A1804)=Reference!$D$4,1,0)+IF(MONTH($A1804)=Reference!$D$5,1,0))+(IF(MONTH($A1804)=Reference!$D$6,Reference!$D$13,0))),0)</f>
        <v>418</v>
      </c>
      <c r="E1804" s="11">
        <f ca="1">D1804*Reference!$D$7*(1-IF(MONTH($A1804)=Reference!$D$6,1,0)*Reference!$D$12)</f>
        <v>313500</v>
      </c>
      <c r="M1804" s="20"/>
      <c r="N1804" s="20"/>
      <c r="O1804" s="19"/>
      <c r="P1804" s="10"/>
      <c r="Q1804" s="10"/>
      <c r="R1804" s="10"/>
      <c r="S1804" s="10"/>
      <c r="T1804" s="10"/>
      <c r="U1804" s="10"/>
      <c r="V1804" s="10"/>
      <c r="W1804" s="10"/>
      <c r="X1804" s="10"/>
      <c r="Y1804" s="10"/>
    </row>
    <row r="1805" spans="1:25" x14ac:dyDescent="0.25">
      <c r="A1805" s="9">
        <v>42343</v>
      </c>
      <c r="B1805" s="10">
        <f ca="1">ROUND(_xlfn.NORM.INV(RAND(),Reference!$C$8,0.1*Reference!$C$8)*(1+Reference!$C$11*(IF(MONTH($A1805)=Reference!$C$4,1,0)+IF(MONTH($A1805)=Reference!$C$5,1,0))+(IF(MONTH($A1805)=Reference!$C$6,Reference!$C$13,0))),0)</f>
        <v>311</v>
      </c>
      <c r="C1805" s="11">
        <f ca="1">B1805*Reference!$C$7*(1-IF(MONTH($A1805)=Reference!$C$6,1,0)*Reference!$C$12)</f>
        <v>289230</v>
      </c>
      <c r="D1805" s="10">
        <f ca="1">ROUND(_xlfn.NORM.INV(RAND(),Reference!$D$8,0.1*Reference!$D$8)*(1+Reference!$D$11*(IF(MONTH($A1805)=Reference!$D$4,1,0)+IF(MONTH($A1805)=Reference!$D$5,1,0))+(IF(MONTH($A1805)=Reference!$D$6,Reference!$D$13,0))),0)</f>
        <v>403</v>
      </c>
      <c r="E1805" s="11">
        <f ca="1">D1805*Reference!$D$7*(1-IF(MONTH($A1805)=Reference!$D$6,1,0)*Reference!$D$12)</f>
        <v>302250</v>
      </c>
      <c r="M1805" s="20"/>
      <c r="N1805" s="20"/>
      <c r="O1805" s="19"/>
      <c r="P1805" s="10"/>
      <c r="Q1805" s="10"/>
      <c r="R1805" s="10"/>
      <c r="S1805" s="10"/>
      <c r="T1805" s="10"/>
      <c r="U1805" s="10"/>
      <c r="V1805" s="10"/>
      <c r="W1805" s="10"/>
      <c r="X1805" s="10"/>
      <c r="Y1805" s="10"/>
    </row>
    <row r="1806" spans="1:25" x14ac:dyDescent="0.25">
      <c r="A1806" s="9">
        <v>42344</v>
      </c>
      <c r="B1806" s="10">
        <f ca="1">ROUND(_xlfn.NORM.INV(RAND(),Reference!$C$8,0.1*Reference!$C$8)*(1+Reference!$C$11*(IF(MONTH($A1806)=Reference!$C$4,1,0)+IF(MONTH($A1806)=Reference!$C$5,1,0))+(IF(MONTH($A1806)=Reference!$C$6,Reference!$C$13,0))),0)</f>
        <v>362</v>
      </c>
      <c r="C1806" s="11">
        <f ca="1">B1806*Reference!$C$7*(1-IF(MONTH($A1806)=Reference!$C$6,1,0)*Reference!$C$12)</f>
        <v>336660</v>
      </c>
      <c r="D1806" s="10">
        <f ca="1">ROUND(_xlfn.NORM.INV(RAND(),Reference!$D$8,0.1*Reference!$D$8)*(1+Reference!$D$11*(IF(MONTH($A1806)=Reference!$D$4,1,0)+IF(MONTH($A1806)=Reference!$D$5,1,0))+(IF(MONTH($A1806)=Reference!$D$6,Reference!$D$13,0))),0)</f>
        <v>431</v>
      </c>
      <c r="E1806" s="11">
        <f ca="1">D1806*Reference!$D$7*(1-IF(MONTH($A1806)=Reference!$D$6,1,0)*Reference!$D$12)</f>
        <v>323250</v>
      </c>
      <c r="M1806" s="20"/>
      <c r="N1806" s="20"/>
      <c r="O1806" s="19"/>
      <c r="P1806" s="10"/>
      <c r="Q1806" s="10"/>
      <c r="R1806" s="10"/>
      <c r="S1806" s="10"/>
      <c r="T1806" s="10"/>
      <c r="U1806" s="10"/>
      <c r="V1806" s="10"/>
      <c r="W1806" s="10"/>
      <c r="X1806" s="10"/>
      <c r="Y1806" s="10"/>
    </row>
    <row r="1807" spans="1:25" x14ac:dyDescent="0.25">
      <c r="A1807" s="9">
        <v>42345</v>
      </c>
      <c r="B1807" s="10">
        <f ca="1">ROUND(_xlfn.NORM.INV(RAND(),Reference!$C$8,0.1*Reference!$C$8)*(1+Reference!$C$11*(IF(MONTH($A1807)=Reference!$C$4,1,0)+IF(MONTH($A1807)=Reference!$C$5,1,0))+(IF(MONTH($A1807)=Reference!$C$6,Reference!$C$13,0))),0)</f>
        <v>387</v>
      </c>
      <c r="C1807" s="11">
        <f ca="1">B1807*Reference!$C$7*(1-IF(MONTH($A1807)=Reference!$C$6,1,0)*Reference!$C$12)</f>
        <v>359910</v>
      </c>
      <c r="D1807" s="10">
        <f ca="1">ROUND(_xlfn.NORM.INV(RAND(),Reference!$D$8,0.1*Reference!$D$8)*(1+Reference!$D$11*(IF(MONTH($A1807)=Reference!$D$4,1,0)+IF(MONTH($A1807)=Reference!$D$5,1,0))+(IF(MONTH($A1807)=Reference!$D$6,Reference!$D$13,0))),0)</f>
        <v>534</v>
      </c>
      <c r="E1807" s="11">
        <f ca="1">D1807*Reference!$D$7*(1-IF(MONTH($A1807)=Reference!$D$6,1,0)*Reference!$D$12)</f>
        <v>400500</v>
      </c>
      <c r="M1807" s="20"/>
      <c r="N1807" s="20"/>
      <c r="O1807" s="19"/>
      <c r="P1807" s="10"/>
      <c r="Q1807" s="10"/>
      <c r="R1807" s="10"/>
      <c r="S1807" s="10"/>
      <c r="T1807" s="10"/>
      <c r="U1807" s="10"/>
      <c r="V1807" s="10"/>
      <c r="W1807" s="10"/>
      <c r="X1807" s="10"/>
      <c r="Y1807" s="10"/>
    </row>
    <row r="1808" spans="1:25" x14ac:dyDescent="0.25">
      <c r="A1808" s="9">
        <v>42346</v>
      </c>
      <c r="B1808" s="10">
        <f ca="1">ROUND(_xlfn.NORM.INV(RAND(),Reference!$C$8,0.1*Reference!$C$8)*(1+Reference!$C$11*(IF(MONTH($A1808)=Reference!$C$4,1,0)+IF(MONTH($A1808)=Reference!$C$5,1,0))+(IF(MONTH($A1808)=Reference!$C$6,Reference!$C$13,0))),0)</f>
        <v>386</v>
      </c>
      <c r="C1808" s="11">
        <f ca="1">B1808*Reference!$C$7*(1-IF(MONTH($A1808)=Reference!$C$6,1,0)*Reference!$C$12)</f>
        <v>358980</v>
      </c>
      <c r="D1808" s="10">
        <f ca="1">ROUND(_xlfn.NORM.INV(RAND(),Reference!$D$8,0.1*Reference!$D$8)*(1+Reference!$D$11*(IF(MONTH($A1808)=Reference!$D$4,1,0)+IF(MONTH($A1808)=Reference!$D$5,1,0))+(IF(MONTH($A1808)=Reference!$D$6,Reference!$D$13,0))),0)</f>
        <v>446</v>
      </c>
      <c r="E1808" s="11">
        <f ca="1">D1808*Reference!$D$7*(1-IF(MONTH($A1808)=Reference!$D$6,1,0)*Reference!$D$12)</f>
        <v>334500</v>
      </c>
      <c r="M1808" s="20"/>
      <c r="N1808" s="20"/>
      <c r="O1808" s="19"/>
      <c r="P1808" s="10"/>
      <c r="Q1808" s="10"/>
      <c r="R1808" s="10"/>
      <c r="S1808" s="10"/>
      <c r="T1808" s="10"/>
      <c r="U1808" s="10"/>
      <c r="V1808" s="10"/>
      <c r="W1808" s="10"/>
      <c r="X1808" s="10"/>
      <c r="Y1808" s="10"/>
    </row>
    <row r="1809" spans="1:25" x14ac:dyDescent="0.25">
      <c r="A1809" s="9">
        <v>42347</v>
      </c>
      <c r="B1809" s="10">
        <f ca="1">ROUND(_xlfn.NORM.INV(RAND(),Reference!$C$8,0.1*Reference!$C$8)*(1+Reference!$C$11*(IF(MONTH($A1809)=Reference!$C$4,1,0)+IF(MONTH($A1809)=Reference!$C$5,1,0))+(IF(MONTH($A1809)=Reference!$C$6,Reference!$C$13,0))),0)</f>
        <v>344</v>
      </c>
      <c r="C1809" s="11">
        <f ca="1">B1809*Reference!$C$7*(1-IF(MONTH($A1809)=Reference!$C$6,1,0)*Reference!$C$12)</f>
        <v>319920</v>
      </c>
      <c r="D1809" s="10">
        <f ca="1">ROUND(_xlfn.NORM.INV(RAND(),Reference!$D$8,0.1*Reference!$D$8)*(1+Reference!$D$11*(IF(MONTH($A1809)=Reference!$D$4,1,0)+IF(MONTH($A1809)=Reference!$D$5,1,0))+(IF(MONTH($A1809)=Reference!$D$6,Reference!$D$13,0))),0)</f>
        <v>464</v>
      </c>
      <c r="E1809" s="11">
        <f ca="1">D1809*Reference!$D$7*(1-IF(MONTH($A1809)=Reference!$D$6,1,0)*Reference!$D$12)</f>
        <v>348000</v>
      </c>
      <c r="M1809" s="20"/>
      <c r="N1809" s="20"/>
      <c r="O1809" s="19"/>
      <c r="P1809" s="10"/>
      <c r="Q1809" s="10"/>
      <c r="R1809" s="10"/>
      <c r="S1809" s="10"/>
      <c r="T1809" s="10"/>
      <c r="U1809" s="10"/>
      <c r="V1809" s="10"/>
      <c r="W1809" s="10"/>
      <c r="X1809" s="10"/>
      <c r="Y1809" s="10"/>
    </row>
    <row r="1810" spans="1:25" x14ac:dyDescent="0.25">
      <c r="A1810" s="9">
        <v>42348</v>
      </c>
      <c r="B1810" s="10">
        <f ca="1">ROUND(_xlfn.NORM.INV(RAND(),Reference!$C$8,0.1*Reference!$C$8)*(1+Reference!$C$11*(IF(MONTH($A1810)=Reference!$C$4,1,0)+IF(MONTH($A1810)=Reference!$C$5,1,0))+(IF(MONTH($A1810)=Reference!$C$6,Reference!$C$13,0))),0)</f>
        <v>426</v>
      </c>
      <c r="C1810" s="11">
        <f ca="1">B1810*Reference!$C$7*(1-IF(MONTH($A1810)=Reference!$C$6,1,0)*Reference!$C$12)</f>
        <v>396180</v>
      </c>
      <c r="D1810" s="10">
        <f ca="1">ROUND(_xlfn.NORM.INV(RAND(),Reference!$D$8,0.1*Reference!$D$8)*(1+Reference!$D$11*(IF(MONTH($A1810)=Reference!$D$4,1,0)+IF(MONTH($A1810)=Reference!$D$5,1,0))+(IF(MONTH($A1810)=Reference!$D$6,Reference!$D$13,0))),0)</f>
        <v>278</v>
      </c>
      <c r="E1810" s="11">
        <f ca="1">D1810*Reference!$D$7*(1-IF(MONTH($A1810)=Reference!$D$6,1,0)*Reference!$D$12)</f>
        <v>208500</v>
      </c>
      <c r="M1810" s="20"/>
      <c r="N1810" s="20"/>
      <c r="O1810" s="19"/>
      <c r="P1810" s="10"/>
      <c r="Q1810" s="10"/>
      <c r="R1810" s="10"/>
      <c r="S1810" s="10"/>
      <c r="T1810" s="10"/>
      <c r="U1810" s="10"/>
      <c r="V1810" s="10"/>
      <c r="W1810" s="10"/>
      <c r="X1810" s="10"/>
      <c r="Y1810" s="10"/>
    </row>
    <row r="1811" spans="1:25" x14ac:dyDescent="0.25">
      <c r="A1811" s="9">
        <v>42349</v>
      </c>
      <c r="B1811" s="10">
        <f ca="1">ROUND(_xlfn.NORM.INV(RAND(),Reference!$C$8,0.1*Reference!$C$8)*(1+Reference!$C$11*(IF(MONTH($A1811)=Reference!$C$4,1,0)+IF(MONTH($A1811)=Reference!$C$5,1,0))+(IF(MONTH($A1811)=Reference!$C$6,Reference!$C$13,0))),0)</f>
        <v>374</v>
      </c>
      <c r="C1811" s="11">
        <f ca="1">B1811*Reference!$C$7*(1-IF(MONTH($A1811)=Reference!$C$6,1,0)*Reference!$C$12)</f>
        <v>347820</v>
      </c>
      <c r="D1811" s="10">
        <f ca="1">ROUND(_xlfn.NORM.INV(RAND(),Reference!$D$8,0.1*Reference!$D$8)*(1+Reference!$D$11*(IF(MONTH($A1811)=Reference!$D$4,1,0)+IF(MONTH($A1811)=Reference!$D$5,1,0))+(IF(MONTH($A1811)=Reference!$D$6,Reference!$D$13,0))),0)</f>
        <v>489</v>
      </c>
      <c r="E1811" s="11">
        <f ca="1">D1811*Reference!$D$7*(1-IF(MONTH($A1811)=Reference!$D$6,1,0)*Reference!$D$12)</f>
        <v>366750</v>
      </c>
      <c r="M1811" s="20"/>
      <c r="N1811" s="20"/>
      <c r="O1811" s="19"/>
      <c r="P1811" s="10"/>
      <c r="Q1811" s="10"/>
      <c r="R1811" s="10"/>
      <c r="S1811" s="10"/>
      <c r="T1811" s="10"/>
      <c r="U1811" s="10"/>
      <c r="V1811" s="10"/>
      <c r="W1811" s="10"/>
      <c r="X1811" s="10"/>
      <c r="Y1811" s="10"/>
    </row>
    <row r="1812" spans="1:25" x14ac:dyDescent="0.25">
      <c r="A1812" s="9">
        <v>42350</v>
      </c>
      <c r="B1812" s="10">
        <f ca="1">ROUND(_xlfn.NORM.INV(RAND(),Reference!$C$8,0.1*Reference!$C$8)*(1+Reference!$C$11*(IF(MONTH($A1812)=Reference!$C$4,1,0)+IF(MONTH($A1812)=Reference!$C$5,1,0))+(IF(MONTH($A1812)=Reference!$C$6,Reference!$C$13,0))),0)</f>
        <v>382</v>
      </c>
      <c r="C1812" s="11">
        <f ca="1">B1812*Reference!$C$7*(1-IF(MONTH($A1812)=Reference!$C$6,1,0)*Reference!$C$12)</f>
        <v>355260</v>
      </c>
      <c r="D1812" s="10">
        <f ca="1">ROUND(_xlfn.NORM.INV(RAND(),Reference!$D$8,0.1*Reference!$D$8)*(1+Reference!$D$11*(IF(MONTH($A1812)=Reference!$D$4,1,0)+IF(MONTH($A1812)=Reference!$D$5,1,0))+(IF(MONTH($A1812)=Reference!$D$6,Reference!$D$13,0))),0)</f>
        <v>473</v>
      </c>
      <c r="E1812" s="11">
        <f ca="1">D1812*Reference!$D$7*(1-IF(MONTH($A1812)=Reference!$D$6,1,0)*Reference!$D$12)</f>
        <v>354750</v>
      </c>
      <c r="M1812" s="20"/>
      <c r="N1812" s="20"/>
      <c r="O1812" s="19"/>
      <c r="P1812" s="10"/>
      <c r="Q1812" s="10"/>
      <c r="R1812" s="10"/>
      <c r="S1812" s="10"/>
      <c r="T1812" s="10"/>
      <c r="U1812" s="10"/>
      <c r="V1812" s="10"/>
      <c r="W1812" s="10"/>
      <c r="X1812" s="10"/>
      <c r="Y1812" s="10"/>
    </row>
    <row r="1813" spans="1:25" x14ac:dyDescent="0.25">
      <c r="A1813" s="9">
        <v>42351</v>
      </c>
      <c r="B1813" s="10">
        <f ca="1">ROUND(_xlfn.NORM.INV(RAND(),Reference!$C$8,0.1*Reference!$C$8)*(1+Reference!$C$11*(IF(MONTH($A1813)=Reference!$C$4,1,0)+IF(MONTH($A1813)=Reference!$C$5,1,0))+(IF(MONTH($A1813)=Reference!$C$6,Reference!$C$13,0))),0)</f>
        <v>264</v>
      </c>
      <c r="C1813" s="11">
        <f ca="1">B1813*Reference!$C$7*(1-IF(MONTH($A1813)=Reference!$C$6,1,0)*Reference!$C$12)</f>
        <v>245520</v>
      </c>
      <c r="D1813" s="10">
        <f ca="1">ROUND(_xlfn.NORM.INV(RAND(),Reference!$D$8,0.1*Reference!$D$8)*(1+Reference!$D$11*(IF(MONTH($A1813)=Reference!$D$4,1,0)+IF(MONTH($A1813)=Reference!$D$5,1,0))+(IF(MONTH($A1813)=Reference!$D$6,Reference!$D$13,0))),0)</f>
        <v>415</v>
      </c>
      <c r="E1813" s="11">
        <f ca="1">D1813*Reference!$D$7*(1-IF(MONTH($A1813)=Reference!$D$6,1,0)*Reference!$D$12)</f>
        <v>311250</v>
      </c>
      <c r="M1813" s="20"/>
      <c r="N1813" s="20"/>
      <c r="O1813" s="19"/>
      <c r="P1813" s="10"/>
      <c r="Q1813" s="10"/>
      <c r="R1813" s="10"/>
      <c r="S1813" s="10"/>
      <c r="T1813" s="10"/>
      <c r="U1813" s="10"/>
      <c r="V1813" s="10"/>
      <c r="W1813" s="10"/>
      <c r="X1813" s="10"/>
      <c r="Y1813" s="10"/>
    </row>
    <row r="1814" spans="1:25" x14ac:dyDescent="0.25">
      <c r="A1814" s="9">
        <v>42352</v>
      </c>
      <c r="B1814" s="10">
        <f ca="1">ROUND(_xlfn.NORM.INV(RAND(),Reference!$C$8,0.1*Reference!$C$8)*(1+Reference!$C$11*(IF(MONTH($A1814)=Reference!$C$4,1,0)+IF(MONTH($A1814)=Reference!$C$5,1,0))+(IF(MONTH($A1814)=Reference!$C$6,Reference!$C$13,0))),0)</f>
        <v>347</v>
      </c>
      <c r="C1814" s="11">
        <f ca="1">B1814*Reference!$C$7*(1-IF(MONTH($A1814)=Reference!$C$6,1,0)*Reference!$C$12)</f>
        <v>322710</v>
      </c>
      <c r="D1814" s="10">
        <f ca="1">ROUND(_xlfn.NORM.INV(RAND(),Reference!$D$8,0.1*Reference!$D$8)*(1+Reference!$D$11*(IF(MONTH($A1814)=Reference!$D$4,1,0)+IF(MONTH($A1814)=Reference!$D$5,1,0))+(IF(MONTH($A1814)=Reference!$D$6,Reference!$D$13,0))),0)</f>
        <v>477</v>
      </c>
      <c r="E1814" s="11">
        <f ca="1">D1814*Reference!$D$7*(1-IF(MONTH($A1814)=Reference!$D$6,1,0)*Reference!$D$12)</f>
        <v>357750</v>
      </c>
      <c r="M1814" s="20"/>
      <c r="N1814" s="20"/>
      <c r="O1814" s="19"/>
      <c r="P1814" s="10"/>
      <c r="Q1814" s="10"/>
      <c r="R1814" s="10"/>
      <c r="S1814" s="10"/>
      <c r="T1814" s="10"/>
      <c r="U1814" s="10"/>
      <c r="V1814" s="10"/>
      <c r="W1814" s="10"/>
      <c r="X1814" s="10"/>
      <c r="Y1814" s="10"/>
    </row>
    <row r="1815" spans="1:25" x14ac:dyDescent="0.25">
      <c r="A1815" s="9">
        <v>42353</v>
      </c>
      <c r="B1815" s="10">
        <f ca="1">ROUND(_xlfn.NORM.INV(RAND(),Reference!$C$8,0.1*Reference!$C$8)*(1+Reference!$C$11*(IF(MONTH($A1815)=Reference!$C$4,1,0)+IF(MONTH($A1815)=Reference!$C$5,1,0))+(IF(MONTH($A1815)=Reference!$C$6,Reference!$C$13,0))),0)</f>
        <v>382</v>
      </c>
      <c r="C1815" s="11">
        <f ca="1">B1815*Reference!$C$7*(1-IF(MONTH($A1815)=Reference!$C$6,1,0)*Reference!$C$12)</f>
        <v>355260</v>
      </c>
      <c r="D1815" s="10">
        <f ca="1">ROUND(_xlfn.NORM.INV(RAND(),Reference!$D$8,0.1*Reference!$D$8)*(1+Reference!$D$11*(IF(MONTH($A1815)=Reference!$D$4,1,0)+IF(MONTH($A1815)=Reference!$D$5,1,0))+(IF(MONTH($A1815)=Reference!$D$6,Reference!$D$13,0))),0)</f>
        <v>469</v>
      </c>
      <c r="E1815" s="11">
        <f ca="1">D1815*Reference!$D$7*(1-IF(MONTH($A1815)=Reference!$D$6,1,0)*Reference!$D$12)</f>
        <v>351750</v>
      </c>
      <c r="M1815" s="20"/>
      <c r="N1815" s="20"/>
      <c r="O1815" s="19"/>
      <c r="P1815" s="10"/>
      <c r="Q1815" s="10"/>
      <c r="R1815" s="10"/>
      <c r="S1815" s="10"/>
      <c r="T1815" s="10"/>
      <c r="U1815" s="10"/>
      <c r="V1815" s="10"/>
      <c r="W1815" s="10"/>
      <c r="X1815" s="10"/>
      <c r="Y1815" s="10"/>
    </row>
    <row r="1816" spans="1:25" x14ac:dyDescent="0.25">
      <c r="A1816" s="9">
        <v>42354</v>
      </c>
      <c r="B1816" s="10">
        <f ca="1">ROUND(_xlfn.NORM.INV(RAND(),Reference!$C$8,0.1*Reference!$C$8)*(1+Reference!$C$11*(IF(MONTH($A1816)=Reference!$C$4,1,0)+IF(MONTH($A1816)=Reference!$C$5,1,0))+(IF(MONTH($A1816)=Reference!$C$6,Reference!$C$13,0))),0)</f>
        <v>411</v>
      </c>
      <c r="C1816" s="11">
        <f ca="1">B1816*Reference!$C$7*(1-IF(MONTH($A1816)=Reference!$C$6,1,0)*Reference!$C$12)</f>
        <v>382230</v>
      </c>
      <c r="D1816" s="10">
        <f ca="1">ROUND(_xlfn.NORM.INV(RAND(),Reference!$D$8,0.1*Reference!$D$8)*(1+Reference!$D$11*(IF(MONTH($A1816)=Reference!$D$4,1,0)+IF(MONTH($A1816)=Reference!$D$5,1,0))+(IF(MONTH($A1816)=Reference!$D$6,Reference!$D$13,0))),0)</f>
        <v>465</v>
      </c>
      <c r="E1816" s="11">
        <f ca="1">D1816*Reference!$D$7*(1-IF(MONTH($A1816)=Reference!$D$6,1,0)*Reference!$D$12)</f>
        <v>348750</v>
      </c>
      <c r="M1816" s="20"/>
      <c r="N1816" s="20"/>
      <c r="O1816" s="19"/>
      <c r="P1816" s="10"/>
      <c r="Q1816" s="10"/>
      <c r="R1816" s="10"/>
      <c r="S1816" s="10"/>
      <c r="T1816" s="10"/>
      <c r="U1816" s="10"/>
      <c r="V1816" s="10"/>
      <c r="W1816" s="10"/>
      <c r="X1816" s="10"/>
      <c r="Y1816" s="10"/>
    </row>
    <row r="1817" spans="1:25" x14ac:dyDescent="0.25">
      <c r="A1817" s="9">
        <v>42355</v>
      </c>
      <c r="B1817" s="10">
        <f ca="1">ROUND(_xlfn.NORM.INV(RAND(),Reference!$C$8,0.1*Reference!$C$8)*(1+Reference!$C$11*(IF(MONTH($A1817)=Reference!$C$4,1,0)+IF(MONTH($A1817)=Reference!$C$5,1,0))+(IF(MONTH($A1817)=Reference!$C$6,Reference!$C$13,0))),0)</f>
        <v>359</v>
      </c>
      <c r="C1817" s="11">
        <f ca="1">B1817*Reference!$C$7*(1-IF(MONTH($A1817)=Reference!$C$6,1,0)*Reference!$C$12)</f>
        <v>333870</v>
      </c>
      <c r="D1817" s="10">
        <f ca="1">ROUND(_xlfn.NORM.INV(RAND(),Reference!$D$8,0.1*Reference!$D$8)*(1+Reference!$D$11*(IF(MONTH($A1817)=Reference!$D$4,1,0)+IF(MONTH($A1817)=Reference!$D$5,1,0))+(IF(MONTH($A1817)=Reference!$D$6,Reference!$D$13,0))),0)</f>
        <v>467</v>
      </c>
      <c r="E1817" s="11">
        <f ca="1">D1817*Reference!$D$7*(1-IF(MONTH($A1817)=Reference!$D$6,1,0)*Reference!$D$12)</f>
        <v>350250</v>
      </c>
      <c r="M1817" s="20"/>
      <c r="N1817" s="20"/>
      <c r="O1817" s="19"/>
      <c r="P1817" s="10"/>
      <c r="Q1817" s="10"/>
      <c r="R1817" s="10"/>
      <c r="S1817" s="10"/>
      <c r="T1817" s="10"/>
      <c r="U1817" s="10"/>
      <c r="V1817" s="10"/>
      <c r="W1817" s="10"/>
      <c r="X1817" s="10"/>
      <c r="Y1817" s="10"/>
    </row>
    <row r="1818" spans="1:25" x14ac:dyDescent="0.25">
      <c r="A1818" s="9">
        <v>42356</v>
      </c>
      <c r="B1818" s="10">
        <f ca="1">ROUND(_xlfn.NORM.INV(RAND(),Reference!$C$8,0.1*Reference!$C$8)*(1+Reference!$C$11*(IF(MONTH($A1818)=Reference!$C$4,1,0)+IF(MONTH($A1818)=Reference!$C$5,1,0))+(IF(MONTH($A1818)=Reference!$C$6,Reference!$C$13,0))),0)</f>
        <v>353</v>
      </c>
      <c r="C1818" s="11">
        <f ca="1">B1818*Reference!$C$7*(1-IF(MONTH($A1818)=Reference!$C$6,1,0)*Reference!$C$12)</f>
        <v>328290</v>
      </c>
      <c r="D1818" s="10">
        <f ca="1">ROUND(_xlfn.NORM.INV(RAND(),Reference!$D$8,0.1*Reference!$D$8)*(1+Reference!$D$11*(IF(MONTH($A1818)=Reference!$D$4,1,0)+IF(MONTH($A1818)=Reference!$D$5,1,0))+(IF(MONTH($A1818)=Reference!$D$6,Reference!$D$13,0))),0)</f>
        <v>504</v>
      </c>
      <c r="E1818" s="11">
        <f ca="1">D1818*Reference!$D$7*(1-IF(MONTH($A1818)=Reference!$D$6,1,0)*Reference!$D$12)</f>
        <v>378000</v>
      </c>
      <c r="M1818" s="20"/>
      <c r="N1818" s="20"/>
      <c r="O1818" s="19"/>
      <c r="P1818" s="10"/>
      <c r="Q1818" s="10"/>
      <c r="R1818" s="10"/>
      <c r="S1818" s="10"/>
      <c r="T1818" s="10"/>
      <c r="U1818" s="10"/>
      <c r="V1818" s="10"/>
      <c r="W1818" s="10"/>
      <c r="X1818" s="10"/>
      <c r="Y1818" s="10"/>
    </row>
    <row r="1819" spans="1:25" x14ac:dyDescent="0.25">
      <c r="A1819" s="9">
        <v>42357</v>
      </c>
      <c r="B1819" s="10">
        <f ca="1">ROUND(_xlfn.NORM.INV(RAND(),Reference!$C$8,0.1*Reference!$C$8)*(1+Reference!$C$11*(IF(MONTH($A1819)=Reference!$C$4,1,0)+IF(MONTH($A1819)=Reference!$C$5,1,0))+(IF(MONTH($A1819)=Reference!$C$6,Reference!$C$13,0))),0)</f>
        <v>317</v>
      </c>
      <c r="C1819" s="11">
        <f ca="1">B1819*Reference!$C$7*(1-IF(MONTH($A1819)=Reference!$C$6,1,0)*Reference!$C$12)</f>
        <v>294810</v>
      </c>
      <c r="D1819" s="10">
        <f ca="1">ROUND(_xlfn.NORM.INV(RAND(),Reference!$D$8,0.1*Reference!$D$8)*(1+Reference!$D$11*(IF(MONTH($A1819)=Reference!$D$4,1,0)+IF(MONTH($A1819)=Reference!$D$5,1,0))+(IF(MONTH($A1819)=Reference!$D$6,Reference!$D$13,0))),0)</f>
        <v>436</v>
      </c>
      <c r="E1819" s="11">
        <f ca="1">D1819*Reference!$D$7*(1-IF(MONTH($A1819)=Reference!$D$6,1,0)*Reference!$D$12)</f>
        <v>327000</v>
      </c>
      <c r="M1819" s="20"/>
      <c r="N1819" s="20"/>
      <c r="O1819" s="19"/>
      <c r="P1819" s="10"/>
      <c r="Q1819" s="10"/>
      <c r="R1819" s="10"/>
      <c r="S1819" s="10"/>
      <c r="T1819" s="10"/>
      <c r="U1819" s="10"/>
      <c r="V1819" s="10"/>
      <c r="W1819" s="10"/>
      <c r="X1819" s="10"/>
      <c r="Y1819" s="10"/>
    </row>
    <row r="1820" spans="1:25" x14ac:dyDescent="0.25">
      <c r="A1820" s="9">
        <v>42358</v>
      </c>
      <c r="B1820" s="10">
        <f ca="1">ROUND(_xlfn.NORM.INV(RAND(),Reference!$C$8,0.1*Reference!$C$8)*(1+Reference!$C$11*(IF(MONTH($A1820)=Reference!$C$4,1,0)+IF(MONTH($A1820)=Reference!$C$5,1,0))+(IF(MONTH($A1820)=Reference!$C$6,Reference!$C$13,0))),0)</f>
        <v>372</v>
      </c>
      <c r="C1820" s="11">
        <f ca="1">B1820*Reference!$C$7*(1-IF(MONTH($A1820)=Reference!$C$6,1,0)*Reference!$C$12)</f>
        <v>345960</v>
      </c>
      <c r="D1820" s="10">
        <f ca="1">ROUND(_xlfn.NORM.INV(RAND(),Reference!$D$8,0.1*Reference!$D$8)*(1+Reference!$D$11*(IF(MONTH($A1820)=Reference!$D$4,1,0)+IF(MONTH($A1820)=Reference!$D$5,1,0))+(IF(MONTH($A1820)=Reference!$D$6,Reference!$D$13,0))),0)</f>
        <v>463</v>
      </c>
      <c r="E1820" s="11">
        <f ca="1">D1820*Reference!$D$7*(1-IF(MONTH($A1820)=Reference!$D$6,1,0)*Reference!$D$12)</f>
        <v>347250</v>
      </c>
      <c r="M1820" s="20"/>
      <c r="N1820" s="20"/>
      <c r="O1820" s="19"/>
      <c r="P1820" s="10"/>
      <c r="Q1820" s="10"/>
      <c r="R1820" s="10"/>
      <c r="S1820" s="10"/>
      <c r="T1820" s="10"/>
      <c r="U1820" s="10"/>
      <c r="V1820" s="10"/>
      <c r="W1820" s="10"/>
      <c r="X1820" s="10"/>
      <c r="Y1820" s="10"/>
    </row>
    <row r="1821" spans="1:25" x14ac:dyDescent="0.25">
      <c r="A1821" s="9">
        <v>42359</v>
      </c>
      <c r="B1821" s="10">
        <f ca="1">ROUND(_xlfn.NORM.INV(RAND(),Reference!$C$8,0.1*Reference!$C$8)*(1+Reference!$C$11*(IF(MONTH($A1821)=Reference!$C$4,1,0)+IF(MONTH($A1821)=Reference!$C$5,1,0))+(IF(MONTH($A1821)=Reference!$C$6,Reference!$C$13,0))),0)</f>
        <v>394</v>
      </c>
      <c r="C1821" s="11">
        <f ca="1">B1821*Reference!$C$7*(1-IF(MONTH($A1821)=Reference!$C$6,1,0)*Reference!$C$12)</f>
        <v>366420</v>
      </c>
      <c r="D1821" s="10">
        <f ca="1">ROUND(_xlfn.NORM.INV(RAND(),Reference!$D$8,0.1*Reference!$D$8)*(1+Reference!$D$11*(IF(MONTH($A1821)=Reference!$D$4,1,0)+IF(MONTH($A1821)=Reference!$D$5,1,0))+(IF(MONTH($A1821)=Reference!$D$6,Reference!$D$13,0))),0)</f>
        <v>456</v>
      </c>
      <c r="E1821" s="11">
        <f ca="1">D1821*Reference!$D$7*(1-IF(MONTH($A1821)=Reference!$D$6,1,0)*Reference!$D$12)</f>
        <v>342000</v>
      </c>
      <c r="M1821" s="20"/>
      <c r="N1821" s="20"/>
      <c r="O1821" s="19"/>
      <c r="P1821" s="10"/>
      <c r="Q1821" s="10"/>
      <c r="R1821" s="10"/>
      <c r="S1821" s="10"/>
      <c r="T1821" s="10"/>
      <c r="U1821" s="10"/>
      <c r="V1821" s="10"/>
      <c r="W1821" s="10"/>
      <c r="X1821" s="10"/>
      <c r="Y1821" s="10"/>
    </row>
    <row r="1822" spans="1:25" x14ac:dyDescent="0.25">
      <c r="A1822" s="9">
        <v>42360</v>
      </c>
      <c r="B1822" s="10">
        <f ca="1">ROUND(_xlfn.NORM.INV(RAND(),Reference!$C$8,0.1*Reference!$C$8)*(1+Reference!$C$11*(IF(MONTH($A1822)=Reference!$C$4,1,0)+IF(MONTH($A1822)=Reference!$C$5,1,0))+(IF(MONTH($A1822)=Reference!$C$6,Reference!$C$13,0))),0)</f>
        <v>385</v>
      </c>
      <c r="C1822" s="11">
        <f ca="1">B1822*Reference!$C$7*(1-IF(MONTH($A1822)=Reference!$C$6,1,0)*Reference!$C$12)</f>
        <v>358050</v>
      </c>
      <c r="D1822" s="10">
        <f ca="1">ROUND(_xlfn.NORM.INV(RAND(),Reference!$D$8,0.1*Reference!$D$8)*(1+Reference!$D$11*(IF(MONTH($A1822)=Reference!$D$4,1,0)+IF(MONTH($A1822)=Reference!$D$5,1,0))+(IF(MONTH($A1822)=Reference!$D$6,Reference!$D$13,0))),0)</f>
        <v>465</v>
      </c>
      <c r="E1822" s="11">
        <f ca="1">D1822*Reference!$D$7*(1-IF(MONTH($A1822)=Reference!$D$6,1,0)*Reference!$D$12)</f>
        <v>348750</v>
      </c>
      <c r="M1822" s="20"/>
      <c r="N1822" s="20"/>
      <c r="O1822" s="19"/>
      <c r="P1822" s="10"/>
      <c r="Q1822" s="10"/>
      <c r="R1822" s="10"/>
      <c r="S1822" s="10"/>
      <c r="T1822" s="10"/>
      <c r="U1822" s="10"/>
      <c r="V1822" s="10"/>
      <c r="W1822" s="10"/>
      <c r="X1822" s="10"/>
      <c r="Y1822" s="10"/>
    </row>
    <row r="1823" spans="1:25" x14ac:dyDescent="0.25">
      <c r="A1823" s="9">
        <v>42361</v>
      </c>
      <c r="B1823" s="10">
        <f ca="1">ROUND(_xlfn.NORM.INV(RAND(),Reference!$C$8,0.1*Reference!$C$8)*(1+Reference!$C$11*(IF(MONTH($A1823)=Reference!$C$4,1,0)+IF(MONTH($A1823)=Reference!$C$5,1,0))+(IF(MONTH($A1823)=Reference!$C$6,Reference!$C$13,0))),0)</f>
        <v>419</v>
      </c>
      <c r="C1823" s="11">
        <f ca="1">B1823*Reference!$C$7*(1-IF(MONTH($A1823)=Reference!$C$6,1,0)*Reference!$C$12)</f>
        <v>389670</v>
      </c>
      <c r="D1823" s="10">
        <f ca="1">ROUND(_xlfn.NORM.INV(RAND(),Reference!$D$8,0.1*Reference!$D$8)*(1+Reference!$D$11*(IF(MONTH($A1823)=Reference!$D$4,1,0)+IF(MONTH($A1823)=Reference!$D$5,1,0))+(IF(MONTH($A1823)=Reference!$D$6,Reference!$D$13,0))),0)</f>
        <v>406</v>
      </c>
      <c r="E1823" s="11">
        <f ca="1">D1823*Reference!$D$7*(1-IF(MONTH($A1823)=Reference!$D$6,1,0)*Reference!$D$12)</f>
        <v>304500</v>
      </c>
      <c r="M1823" s="20"/>
      <c r="N1823" s="20"/>
      <c r="O1823" s="19"/>
      <c r="P1823" s="10"/>
      <c r="Q1823" s="10"/>
      <c r="R1823" s="10"/>
      <c r="S1823" s="10"/>
      <c r="T1823" s="10"/>
      <c r="U1823" s="10"/>
      <c r="V1823" s="10"/>
      <c r="W1823" s="10"/>
      <c r="X1823" s="10"/>
      <c r="Y1823" s="10"/>
    </row>
    <row r="1824" spans="1:25" x14ac:dyDescent="0.25">
      <c r="A1824" s="9">
        <v>42362</v>
      </c>
      <c r="B1824" s="10">
        <f ca="1">ROUND(_xlfn.NORM.INV(RAND(),Reference!$C$8,0.1*Reference!$C$8)*(1+Reference!$C$11*(IF(MONTH($A1824)=Reference!$C$4,1,0)+IF(MONTH($A1824)=Reference!$C$5,1,0))+(IF(MONTH($A1824)=Reference!$C$6,Reference!$C$13,0))),0)</f>
        <v>324</v>
      </c>
      <c r="C1824" s="11">
        <f ca="1">B1824*Reference!$C$7*(1-IF(MONTH($A1824)=Reference!$C$6,1,0)*Reference!$C$12)</f>
        <v>301320</v>
      </c>
      <c r="D1824" s="10">
        <f ca="1">ROUND(_xlfn.NORM.INV(RAND(),Reference!$D$8,0.1*Reference!$D$8)*(1+Reference!$D$11*(IF(MONTH($A1824)=Reference!$D$4,1,0)+IF(MONTH($A1824)=Reference!$D$5,1,0))+(IF(MONTH($A1824)=Reference!$D$6,Reference!$D$13,0))),0)</f>
        <v>454</v>
      </c>
      <c r="E1824" s="11">
        <f ca="1">D1824*Reference!$D$7*(1-IF(MONTH($A1824)=Reference!$D$6,1,0)*Reference!$D$12)</f>
        <v>340500</v>
      </c>
      <c r="M1824" s="20"/>
      <c r="N1824" s="20"/>
      <c r="O1824" s="19"/>
      <c r="P1824" s="10"/>
      <c r="Q1824" s="10"/>
      <c r="R1824" s="10"/>
      <c r="S1824" s="10"/>
      <c r="T1824" s="10"/>
      <c r="U1824" s="10"/>
      <c r="V1824" s="10"/>
      <c r="W1824" s="10"/>
      <c r="X1824" s="10"/>
      <c r="Y1824" s="10"/>
    </row>
    <row r="1825" spans="1:25" x14ac:dyDescent="0.25">
      <c r="A1825" s="9">
        <v>42363</v>
      </c>
      <c r="B1825" s="10">
        <f ca="1">ROUND(_xlfn.NORM.INV(RAND(),Reference!$C$8,0.1*Reference!$C$8)*(1+Reference!$C$11*(IF(MONTH($A1825)=Reference!$C$4,1,0)+IF(MONTH($A1825)=Reference!$C$5,1,0))+(IF(MONTH($A1825)=Reference!$C$6,Reference!$C$13,0))),0)</f>
        <v>346</v>
      </c>
      <c r="C1825" s="11">
        <f ca="1">B1825*Reference!$C$7*(1-IF(MONTH($A1825)=Reference!$C$6,1,0)*Reference!$C$12)</f>
        <v>321780</v>
      </c>
      <c r="D1825" s="10">
        <f ca="1">ROUND(_xlfn.NORM.INV(RAND(),Reference!$D$8,0.1*Reference!$D$8)*(1+Reference!$D$11*(IF(MONTH($A1825)=Reference!$D$4,1,0)+IF(MONTH($A1825)=Reference!$D$5,1,0))+(IF(MONTH($A1825)=Reference!$D$6,Reference!$D$13,0))),0)</f>
        <v>395</v>
      </c>
      <c r="E1825" s="11">
        <f ca="1">D1825*Reference!$D$7*(1-IF(MONTH($A1825)=Reference!$D$6,1,0)*Reference!$D$12)</f>
        <v>296250</v>
      </c>
      <c r="M1825" s="20"/>
      <c r="N1825" s="20"/>
      <c r="O1825" s="19"/>
      <c r="P1825" s="10"/>
      <c r="Q1825" s="10"/>
      <c r="R1825" s="10"/>
      <c r="S1825" s="10"/>
      <c r="T1825" s="10"/>
      <c r="U1825" s="10"/>
      <c r="V1825" s="10"/>
      <c r="W1825" s="10"/>
      <c r="X1825" s="10"/>
      <c r="Y1825" s="10"/>
    </row>
    <row r="1826" spans="1:25" x14ac:dyDescent="0.25">
      <c r="A1826" s="9">
        <v>42364</v>
      </c>
      <c r="B1826" s="10">
        <f ca="1">ROUND(_xlfn.NORM.INV(RAND(),Reference!$C$8,0.1*Reference!$C$8)*(1+Reference!$C$11*(IF(MONTH($A1826)=Reference!$C$4,1,0)+IF(MONTH($A1826)=Reference!$C$5,1,0))+(IF(MONTH($A1826)=Reference!$C$6,Reference!$C$13,0))),0)</f>
        <v>397</v>
      </c>
      <c r="C1826" s="11">
        <f ca="1">B1826*Reference!$C$7*(1-IF(MONTH($A1826)=Reference!$C$6,1,0)*Reference!$C$12)</f>
        <v>369210</v>
      </c>
      <c r="D1826" s="10">
        <f ca="1">ROUND(_xlfn.NORM.INV(RAND(),Reference!$D$8,0.1*Reference!$D$8)*(1+Reference!$D$11*(IF(MONTH($A1826)=Reference!$D$4,1,0)+IF(MONTH($A1826)=Reference!$D$5,1,0))+(IF(MONTH($A1826)=Reference!$D$6,Reference!$D$13,0))),0)</f>
        <v>469</v>
      </c>
      <c r="E1826" s="11">
        <f ca="1">D1826*Reference!$D$7*(1-IF(MONTH($A1826)=Reference!$D$6,1,0)*Reference!$D$12)</f>
        <v>351750</v>
      </c>
      <c r="M1826" s="20"/>
      <c r="N1826" s="20"/>
      <c r="O1826" s="19"/>
      <c r="P1826" s="10"/>
      <c r="Q1826" s="10"/>
      <c r="R1826" s="10"/>
      <c r="S1826" s="10"/>
      <c r="T1826" s="10"/>
      <c r="U1826" s="10"/>
      <c r="V1826" s="10"/>
      <c r="W1826" s="10"/>
      <c r="X1826" s="10"/>
      <c r="Y1826" s="10"/>
    </row>
    <row r="1827" spans="1:25" x14ac:dyDescent="0.25">
      <c r="A1827" s="9">
        <v>42365</v>
      </c>
      <c r="B1827" s="10">
        <f ca="1">ROUND(_xlfn.NORM.INV(RAND(),Reference!$C$8,0.1*Reference!$C$8)*(1+Reference!$C$11*(IF(MONTH($A1827)=Reference!$C$4,1,0)+IF(MONTH($A1827)=Reference!$C$5,1,0))+(IF(MONTH($A1827)=Reference!$C$6,Reference!$C$13,0))),0)</f>
        <v>373</v>
      </c>
      <c r="C1827" s="11">
        <f ca="1">B1827*Reference!$C$7*(1-IF(MONTH($A1827)=Reference!$C$6,1,0)*Reference!$C$12)</f>
        <v>346890</v>
      </c>
      <c r="D1827" s="10">
        <f ca="1">ROUND(_xlfn.NORM.INV(RAND(),Reference!$D$8,0.1*Reference!$D$8)*(1+Reference!$D$11*(IF(MONTH($A1827)=Reference!$D$4,1,0)+IF(MONTH($A1827)=Reference!$D$5,1,0))+(IF(MONTH($A1827)=Reference!$D$6,Reference!$D$13,0))),0)</f>
        <v>560</v>
      </c>
      <c r="E1827" s="11">
        <f ca="1">D1827*Reference!$D$7*(1-IF(MONTH($A1827)=Reference!$D$6,1,0)*Reference!$D$12)</f>
        <v>420000</v>
      </c>
      <c r="M1827" s="20"/>
      <c r="N1827" s="20"/>
      <c r="O1827" s="19"/>
      <c r="P1827" s="10"/>
      <c r="Q1827" s="10"/>
      <c r="R1827" s="10"/>
      <c r="S1827" s="10"/>
      <c r="T1827" s="10"/>
      <c r="U1827" s="10"/>
      <c r="V1827" s="10"/>
      <c r="W1827" s="10"/>
      <c r="X1827" s="10"/>
      <c r="Y1827" s="10"/>
    </row>
    <row r="1828" spans="1:25" x14ac:dyDescent="0.25">
      <c r="A1828" s="9">
        <v>42366</v>
      </c>
      <c r="B1828" s="10">
        <f ca="1">ROUND(_xlfn.NORM.INV(RAND(),Reference!$C$8,0.1*Reference!$C$8)*(1+Reference!$C$11*(IF(MONTH($A1828)=Reference!$C$4,1,0)+IF(MONTH($A1828)=Reference!$C$5,1,0))+(IF(MONTH($A1828)=Reference!$C$6,Reference!$C$13,0))),0)</f>
        <v>430</v>
      </c>
      <c r="C1828" s="11">
        <f ca="1">B1828*Reference!$C$7*(1-IF(MONTH($A1828)=Reference!$C$6,1,0)*Reference!$C$12)</f>
        <v>399900</v>
      </c>
      <c r="D1828" s="10">
        <f ca="1">ROUND(_xlfn.NORM.INV(RAND(),Reference!$D$8,0.1*Reference!$D$8)*(1+Reference!$D$11*(IF(MONTH($A1828)=Reference!$D$4,1,0)+IF(MONTH($A1828)=Reference!$D$5,1,0))+(IF(MONTH($A1828)=Reference!$D$6,Reference!$D$13,0))),0)</f>
        <v>431</v>
      </c>
      <c r="E1828" s="11">
        <f ca="1">D1828*Reference!$D$7*(1-IF(MONTH($A1828)=Reference!$D$6,1,0)*Reference!$D$12)</f>
        <v>323250</v>
      </c>
      <c r="M1828" s="20"/>
      <c r="N1828" s="20"/>
      <c r="O1828" s="19"/>
      <c r="P1828" s="10"/>
      <c r="Q1828" s="10"/>
      <c r="R1828" s="10"/>
      <c r="S1828" s="10"/>
      <c r="T1828" s="10"/>
      <c r="U1828" s="10"/>
      <c r="V1828" s="10"/>
      <c r="W1828" s="10"/>
      <c r="X1828" s="10"/>
      <c r="Y1828" s="10"/>
    </row>
    <row r="1829" spans="1:25" x14ac:dyDescent="0.25">
      <c r="A1829" s="9">
        <v>42367</v>
      </c>
      <c r="B1829" s="10">
        <f ca="1">ROUND(_xlfn.NORM.INV(RAND(),Reference!$C$8,0.1*Reference!$C$8)*(1+Reference!$C$11*(IF(MONTH($A1829)=Reference!$C$4,1,0)+IF(MONTH($A1829)=Reference!$C$5,1,0))+(IF(MONTH($A1829)=Reference!$C$6,Reference!$C$13,0))),0)</f>
        <v>319</v>
      </c>
      <c r="C1829" s="11">
        <f ca="1">B1829*Reference!$C$7*(1-IF(MONTH($A1829)=Reference!$C$6,1,0)*Reference!$C$12)</f>
        <v>296670</v>
      </c>
      <c r="D1829" s="10">
        <f ca="1">ROUND(_xlfn.NORM.INV(RAND(),Reference!$D$8,0.1*Reference!$D$8)*(1+Reference!$D$11*(IF(MONTH($A1829)=Reference!$D$4,1,0)+IF(MONTH($A1829)=Reference!$D$5,1,0))+(IF(MONTH($A1829)=Reference!$D$6,Reference!$D$13,0))),0)</f>
        <v>492</v>
      </c>
      <c r="E1829" s="11">
        <f ca="1">D1829*Reference!$D$7*(1-IF(MONTH($A1829)=Reference!$D$6,1,0)*Reference!$D$12)</f>
        <v>369000</v>
      </c>
      <c r="M1829" s="20"/>
      <c r="N1829" s="20"/>
      <c r="O1829" s="19"/>
      <c r="P1829" s="10"/>
      <c r="Q1829" s="10"/>
      <c r="R1829" s="10"/>
      <c r="S1829" s="10"/>
      <c r="T1829" s="10"/>
      <c r="U1829" s="10"/>
      <c r="V1829" s="10"/>
      <c r="W1829" s="10"/>
      <c r="X1829" s="10"/>
      <c r="Y1829" s="10"/>
    </row>
    <row r="1830" spans="1:25" x14ac:dyDescent="0.25">
      <c r="A1830" s="9">
        <v>42368</v>
      </c>
      <c r="B1830" s="10">
        <f ca="1">ROUND(_xlfn.NORM.INV(RAND(),Reference!$C$8,0.1*Reference!$C$8)*(1+Reference!$C$11*(IF(MONTH($A1830)=Reference!$C$4,1,0)+IF(MONTH($A1830)=Reference!$C$5,1,0))+(IF(MONTH($A1830)=Reference!$C$6,Reference!$C$13,0))),0)</f>
        <v>379</v>
      </c>
      <c r="C1830" s="11">
        <f ca="1">B1830*Reference!$C$7*(1-IF(MONTH($A1830)=Reference!$C$6,1,0)*Reference!$C$12)</f>
        <v>352470</v>
      </c>
      <c r="D1830" s="10">
        <f ca="1">ROUND(_xlfn.NORM.INV(RAND(),Reference!$D$8,0.1*Reference!$D$8)*(1+Reference!$D$11*(IF(MONTH($A1830)=Reference!$D$4,1,0)+IF(MONTH($A1830)=Reference!$D$5,1,0))+(IF(MONTH($A1830)=Reference!$D$6,Reference!$D$13,0))),0)</f>
        <v>429</v>
      </c>
      <c r="E1830" s="11">
        <f ca="1">D1830*Reference!$D$7*(1-IF(MONTH($A1830)=Reference!$D$6,1,0)*Reference!$D$12)</f>
        <v>321750</v>
      </c>
      <c r="M1830" s="20"/>
      <c r="N1830" s="20"/>
      <c r="O1830" s="19"/>
      <c r="P1830" s="10"/>
      <c r="Q1830" s="10"/>
      <c r="R1830" s="10"/>
      <c r="S1830" s="10"/>
      <c r="T1830" s="10"/>
      <c r="U1830" s="10"/>
      <c r="V1830" s="10"/>
      <c r="W1830" s="10"/>
      <c r="X1830" s="10"/>
      <c r="Y1830" s="10"/>
    </row>
    <row r="1831" spans="1:25" x14ac:dyDescent="0.25">
      <c r="A1831" s="9">
        <v>42369</v>
      </c>
      <c r="B1831" s="10">
        <f ca="1">ROUND(_xlfn.NORM.INV(RAND(),Reference!$C$8,0.1*Reference!$C$8)*(1+Reference!$C$11*(IF(MONTH($A1831)=Reference!$C$4,1,0)+IF(MONTH($A1831)=Reference!$C$5,1,0))+(IF(MONTH($A1831)=Reference!$C$6,Reference!$C$13,0))),0)</f>
        <v>372</v>
      </c>
      <c r="C1831" s="11">
        <f ca="1">B1831*Reference!$C$7*(1-IF(MONTH($A1831)=Reference!$C$6,1,0)*Reference!$C$12)</f>
        <v>345960</v>
      </c>
      <c r="D1831" s="10">
        <f ca="1">ROUND(_xlfn.NORM.INV(RAND(),Reference!$D$8,0.1*Reference!$D$8)*(1+Reference!$D$11*(IF(MONTH($A1831)=Reference!$D$4,1,0)+IF(MONTH($A1831)=Reference!$D$5,1,0))+(IF(MONTH($A1831)=Reference!$D$6,Reference!$D$13,0))),0)</f>
        <v>494</v>
      </c>
      <c r="E1831" s="11">
        <f ca="1">D1831*Reference!$D$7*(1-IF(MONTH($A1831)=Reference!$D$6,1,0)*Reference!$D$12)</f>
        <v>370500</v>
      </c>
      <c r="M1831" s="20"/>
      <c r="N1831" s="20"/>
      <c r="O1831" s="19"/>
      <c r="P1831" s="10"/>
      <c r="Q1831" s="10"/>
      <c r="R1831" s="10"/>
      <c r="S1831" s="10"/>
      <c r="T1831" s="10"/>
      <c r="U1831" s="10"/>
      <c r="V1831" s="10"/>
      <c r="W1831" s="10"/>
      <c r="X1831" s="10"/>
      <c r="Y1831" s="10"/>
    </row>
    <row r="1832" spans="1:25" x14ac:dyDescent="0.25">
      <c r="A1832" s="9">
        <v>42370</v>
      </c>
      <c r="B1832" s="10">
        <f ca="1">ROUND(_xlfn.NORM.INV(RAND(),Reference!$C$8,0.1*Reference!$C$8)*(1+Reference!$C$11*(IF(MONTH($A1832)=Reference!$C$4,1,0)+IF(MONTH($A1832)=Reference!$C$5,1,0))+(IF(MONTH($A1832)=Reference!$C$6,Reference!$C$13,0))),0)</f>
        <v>361</v>
      </c>
      <c r="C1832" s="11">
        <f ca="1">B1832*Reference!$C$7*(1-IF(MONTH($A1832)=Reference!$C$6,1,0)*Reference!$C$12)</f>
        <v>335730</v>
      </c>
      <c r="D1832" s="10">
        <f ca="1">ROUND(_xlfn.NORM.INV(RAND(),Reference!$D$8,0.1*Reference!$D$8)*(1+Reference!$D$11*(IF(MONTH($A1832)=Reference!$D$4,1,0)+IF(MONTH($A1832)=Reference!$D$5,1,0))+(IF(MONTH($A1832)=Reference!$D$6,Reference!$D$13,0))),0)</f>
        <v>448</v>
      </c>
      <c r="E1832" s="11">
        <f ca="1">D1832*Reference!$D$7*(1-IF(MONTH($A1832)=Reference!$D$6,1,0)*Reference!$D$12)</f>
        <v>336000</v>
      </c>
      <c r="M1832" s="20"/>
      <c r="N1832" s="20"/>
      <c r="O1832" s="19"/>
      <c r="P1832" s="10"/>
      <c r="Q1832" s="10"/>
      <c r="R1832" s="10"/>
      <c r="S1832" s="10"/>
      <c r="T1832" s="10"/>
      <c r="U1832" s="10"/>
      <c r="V1832" s="10"/>
      <c r="W1832" s="10"/>
      <c r="X1832" s="10"/>
      <c r="Y1832" s="10"/>
    </row>
    <row r="1833" spans="1:25" x14ac:dyDescent="0.25">
      <c r="A1833" s="9">
        <v>42371</v>
      </c>
      <c r="B1833" s="10">
        <f ca="1">ROUND(_xlfn.NORM.INV(RAND(),Reference!$C$8,0.1*Reference!$C$8)*(1+Reference!$C$11*(IF(MONTH($A1833)=Reference!$C$4,1,0)+IF(MONTH($A1833)=Reference!$C$5,1,0))+(IF(MONTH($A1833)=Reference!$C$6,Reference!$C$13,0))),0)</f>
        <v>349</v>
      </c>
      <c r="C1833" s="11">
        <f ca="1">B1833*Reference!$C$7*(1-IF(MONTH($A1833)=Reference!$C$6,1,0)*Reference!$C$12)</f>
        <v>324570</v>
      </c>
      <c r="D1833" s="10">
        <f ca="1">ROUND(_xlfn.NORM.INV(RAND(),Reference!$D$8,0.1*Reference!$D$8)*(1+Reference!$D$11*(IF(MONTH($A1833)=Reference!$D$4,1,0)+IF(MONTH($A1833)=Reference!$D$5,1,0))+(IF(MONTH($A1833)=Reference!$D$6,Reference!$D$13,0))),0)</f>
        <v>415</v>
      </c>
      <c r="E1833" s="11">
        <f ca="1">D1833*Reference!$D$7*(1-IF(MONTH($A1833)=Reference!$D$6,1,0)*Reference!$D$12)</f>
        <v>311250</v>
      </c>
      <c r="M1833" s="20"/>
      <c r="N1833" s="20"/>
      <c r="O1833" s="19"/>
      <c r="P1833" s="10"/>
      <c r="Q1833" s="10"/>
      <c r="R1833" s="10"/>
      <c r="S1833" s="10"/>
      <c r="T1833" s="10"/>
      <c r="U1833" s="10"/>
      <c r="V1833" s="10"/>
      <c r="W1833" s="10"/>
      <c r="X1833" s="10"/>
      <c r="Y1833" s="10"/>
    </row>
    <row r="1834" spans="1:25" x14ac:dyDescent="0.25">
      <c r="A1834" s="9">
        <v>42372</v>
      </c>
      <c r="B1834" s="10">
        <f ca="1">ROUND(_xlfn.NORM.INV(RAND(),Reference!$C$8,0.1*Reference!$C$8)*(1+Reference!$C$11*(IF(MONTH($A1834)=Reference!$C$4,1,0)+IF(MONTH($A1834)=Reference!$C$5,1,0))+(IF(MONTH($A1834)=Reference!$C$6,Reference!$C$13,0))),0)</f>
        <v>371</v>
      </c>
      <c r="C1834" s="11">
        <f ca="1">B1834*Reference!$C$7*(1-IF(MONTH($A1834)=Reference!$C$6,1,0)*Reference!$C$12)</f>
        <v>345030</v>
      </c>
      <c r="D1834" s="10">
        <f ca="1">ROUND(_xlfn.NORM.INV(RAND(),Reference!$D$8,0.1*Reference!$D$8)*(1+Reference!$D$11*(IF(MONTH($A1834)=Reference!$D$4,1,0)+IF(MONTH($A1834)=Reference!$D$5,1,0))+(IF(MONTH($A1834)=Reference!$D$6,Reference!$D$13,0))),0)</f>
        <v>450</v>
      </c>
      <c r="E1834" s="11">
        <f ca="1">D1834*Reference!$D$7*(1-IF(MONTH($A1834)=Reference!$D$6,1,0)*Reference!$D$12)</f>
        <v>337500</v>
      </c>
      <c r="M1834" s="20"/>
      <c r="N1834" s="20"/>
      <c r="O1834" s="19"/>
      <c r="P1834" s="10"/>
      <c r="Q1834" s="10"/>
      <c r="R1834" s="10"/>
      <c r="S1834" s="10"/>
      <c r="T1834" s="10"/>
      <c r="U1834" s="10"/>
      <c r="V1834" s="10"/>
      <c r="W1834" s="10"/>
      <c r="X1834" s="10"/>
      <c r="Y1834" s="10"/>
    </row>
    <row r="1835" spans="1:25" x14ac:dyDescent="0.25">
      <c r="A1835" s="9">
        <v>42373</v>
      </c>
      <c r="B1835" s="10">
        <f ca="1">ROUND(_xlfn.NORM.INV(RAND(),Reference!$C$8,0.1*Reference!$C$8)*(1+Reference!$C$11*(IF(MONTH($A1835)=Reference!$C$4,1,0)+IF(MONTH($A1835)=Reference!$C$5,1,0))+(IF(MONTH($A1835)=Reference!$C$6,Reference!$C$13,0))),0)</f>
        <v>399</v>
      </c>
      <c r="C1835" s="11">
        <f ca="1">B1835*Reference!$C$7*(1-IF(MONTH($A1835)=Reference!$C$6,1,0)*Reference!$C$12)</f>
        <v>371070</v>
      </c>
      <c r="D1835" s="10">
        <f ca="1">ROUND(_xlfn.NORM.INV(RAND(),Reference!$D$8,0.1*Reference!$D$8)*(1+Reference!$D$11*(IF(MONTH($A1835)=Reference!$D$4,1,0)+IF(MONTH($A1835)=Reference!$D$5,1,0))+(IF(MONTH($A1835)=Reference!$D$6,Reference!$D$13,0))),0)</f>
        <v>379</v>
      </c>
      <c r="E1835" s="11">
        <f ca="1">D1835*Reference!$D$7*(1-IF(MONTH($A1835)=Reference!$D$6,1,0)*Reference!$D$12)</f>
        <v>284250</v>
      </c>
      <c r="M1835" s="20"/>
      <c r="N1835" s="20"/>
      <c r="O1835" s="19"/>
      <c r="P1835" s="10"/>
      <c r="Q1835" s="10"/>
      <c r="R1835" s="10"/>
      <c r="S1835" s="10"/>
      <c r="T1835" s="10"/>
      <c r="U1835" s="10"/>
      <c r="V1835" s="10"/>
      <c r="W1835" s="10"/>
      <c r="X1835" s="10"/>
      <c r="Y1835" s="10"/>
    </row>
    <row r="1836" spans="1:25" x14ac:dyDescent="0.25">
      <c r="A1836" s="9">
        <v>42374</v>
      </c>
      <c r="B1836" s="10">
        <f ca="1">ROUND(_xlfn.NORM.INV(RAND(),Reference!$C$8,0.1*Reference!$C$8)*(1+Reference!$C$11*(IF(MONTH($A1836)=Reference!$C$4,1,0)+IF(MONTH($A1836)=Reference!$C$5,1,0))+(IF(MONTH($A1836)=Reference!$C$6,Reference!$C$13,0))),0)</f>
        <v>381</v>
      </c>
      <c r="C1836" s="11">
        <f ca="1">B1836*Reference!$C$7*(1-IF(MONTH($A1836)=Reference!$C$6,1,0)*Reference!$C$12)</f>
        <v>354330</v>
      </c>
      <c r="D1836" s="10">
        <f ca="1">ROUND(_xlfn.NORM.INV(RAND(),Reference!$D$8,0.1*Reference!$D$8)*(1+Reference!$D$11*(IF(MONTH($A1836)=Reference!$D$4,1,0)+IF(MONTH($A1836)=Reference!$D$5,1,0))+(IF(MONTH($A1836)=Reference!$D$6,Reference!$D$13,0))),0)</f>
        <v>443</v>
      </c>
      <c r="E1836" s="11">
        <f ca="1">D1836*Reference!$D$7*(1-IF(MONTH($A1836)=Reference!$D$6,1,0)*Reference!$D$12)</f>
        <v>332250</v>
      </c>
      <c r="M1836" s="20"/>
      <c r="N1836" s="20"/>
      <c r="O1836" s="19"/>
      <c r="P1836" s="10"/>
      <c r="Q1836" s="10"/>
      <c r="R1836" s="10"/>
      <c r="S1836" s="10"/>
      <c r="T1836" s="10"/>
      <c r="U1836" s="10"/>
      <c r="V1836" s="10"/>
      <c r="W1836" s="10"/>
      <c r="X1836" s="10"/>
      <c r="Y1836" s="10"/>
    </row>
    <row r="1837" spans="1:25" x14ac:dyDescent="0.25">
      <c r="A1837" s="9">
        <v>42375</v>
      </c>
      <c r="B1837" s="10">
        <f ca="1">ROUND(_xlfn.NORM.INV(RAND(),Reference!$C$8,0.1*Reference!$C$8)*(1+Reference!$C$11*(IF(MONTH($A1837)=Reference!$C$4,1,0)+IF(MONTH($A1837)=Reference!$C$5,1,0))+(IF(MONTH($A1837)=Reference!$C$6,Reference!$C$13,0))),0)</f>
        <v>364</v>
      </c>
      <c r="C1837" s="11">
        <f ca="1">B1837*Reference!$C$7*(1-IF(MONTH($A1837)=Reference!$C$6,1,0)*Reference!$C$12)</f>
        <v>338520</v>
      </c>
      <c r="D1837" s="10">
        <f ca="1">ROUND(_xlfn.NORM.INV(RAND(),Reference!$D$8,0.1*Reference!$D$8)*(1+Reference!$D$11*(IF(MONTH($A1837)=Reference!$D$4,1,0)+IF(MONTH($A1837)=Reference!$D$5,1,0))+(IF(MONTH($A1837)=Reference!$D$6,Reference!$D$13,0))),0)</f>
        <v>409</v>
      </c>
      <c r="E1837" s="11">
        <f ca="1">D1837*Reference!$D$7*(1-IF(MONTH($A1837)=Reference!$D$6,1,0)*Reference!$D$12)</f>
        <v>306750</v>
      </c>
      <c r="M1837" s="20"/>
      <c r="N1837" s="20"/>
      <c r="O1837" s="19"/>
      <c r="P1837" s="10"/>
      <c r="Q1837" s="10"/>
      <c r="R1837" s="10"/>
      <c r="S1837" s="10"/>
      <c r="T1837" s="10"/>
      <c r="U1837" s="10"/>
      <c r="V1837" s="10"/>
      <c r="W1837" s="10"/>
      <c r="X1837" s="10"/>
      <c r="Y1837" s="10"/>
    </row>
    <row r="1838" spans="1:25" x14ac:dyDescent="0.25">
      <c r="A1838" s="9">
        <v>42376</v>
      </c>
      <c r="B1838" s="10">
        <f ca="1">ROUND(_xlfn.NORM.INV(RAND(),Reference!$C$8,0.1*Reference!$C$8)*(1+Reference!$C$11*(IF(MONTH($A1838)=Reference!$C$4,1,0)+IF(MONTH($A1838)=Reference!$C$5,1,0))+(IF(MONTH($A1838)=Reference!$C$6,Reference!$C$13,0))),0)</f>
        <v>347</v>
      </c>
      <c r="C1838" s="11">
        <f ca="1">B1838*Reference!$C$7*(1-IF(MONTH($A1838)=Reference!$C$6,1,0)*Reference!$C$12)</f>
        <v>322710</v>
      </c>
      <c r="D1838" s="10">
        <f ca="1">ROUND(_xlfn.NORM.INV(RAND(),Reference!$D$8,0.1*Reference!$D$8)*(1+Reference!$D$11*(IF(MONTH($A1838)=Reference!$D$4,1,0)+IF(MONTH($A1838)=Reference!$D$5,1,0))+(IF(MONTH($A1838)=Reference!$D$6,Reference!$D$13,0))),0)</f>
        <v>467</v>
      </c>
      <c r="E1838" s="11">
        <f ca="1">D1838*Reference!$D$7*(1-IF(MONTH($A1838)=Reference!$D$6,1,0)*Reference!$D$12)</f>
        <v>350250</v>
      </c>
      <c r="M1838" s="20"/>
      <c r="N1838" s="20"/>
      <c r="O1838" s="19"/>
      <c r="P1838" s="10"/>
      <c r="Q1838" s="10"/>
      <c r="R1838" s="10"/>
      <c r="S1838" s="10"/>
      <c r="T1838" s="10"/>
      <c r="U1838" s="10"/>
      <c r="V1838" s="10"/>
      <c r="W1838" s="10"/>
      <c r="X1838" s="10"/>
      <c r="Y1838" s="10"/>
    </row>
    <row r="1839" spans="1:25" x14ac:dyDescent="0.25">
      <c r="A1839" s="9">
        <v>42377</v>
      </c>
      <c r="B1839" s="10">
        <f ca="1">ROUND(_xlfn.NORM.INV(RAND(),Reference!$C$8,0.1*Reference!$C$8)*(1+Reference!$C$11*(IF(MONTH($A1839)=Reference!$C$4,1,0)+IF(MONTH($A1839)=Reference!$C$5,1,0))+(IF(MONTH($A1839)=Reference!$C$6,Reference!$C$13,0))),0)</f>
        <v>321</v>
      </c>
      <c r="C1839" s="11">
        <f ca="1">B1839*Reference!$C$7*(1-IF(MONTH($A1839)=Reference!$C$6,1,0)*Reference!$C$12)</f>
        <v>298530</v>
      </c>
      <c r="D1839" s="10">
        <f ca="1">ROUND(_xlfn.NORM.INV(RAND(),Reference!$D$8,0.1*Reference!$D$8)*(1+Reference!$D$11*(IF(MONTH($A1839)=Reference!$D$4,1,0)+IF(MONTH($A1839)=Reference!$D$5,1,0))+(IF(MONTH($A1839)=Reference!$D$6,Reference!$D$13,0))),0)</f>
        <v>369</v>
      </c>
      <c r="E1839" s="11">
        <f ca="1">D1839*Reference!$D$7*(1-IF(MONTH($A1839)=Reference!$D$6,1,0)*Reference!$D$12)</f>
        <v>276750</v>
      </c>
      <c r="M1839" s="20"/>
      <c r="N1839" s="20"/>
      <c r="O1839" s="19"/>
      <c r="P1839" s="10"/>
      <c r="Q1839" s="10"/>
      <c r="R1839" s="10"/>
      <c r="S1839" s="10"/>
      <c r="T1839" s="10"/>
      <c r="U1839" s="10"/>
      <c r="V1839" s="10"/>
      <c r="W1839" s="10"/>
      <c r="X1839" s="10"/>
      <c r="Y1839" s="10"/>
    </row>
    <row r="1840" spans="1:25" x14ac:dyDescent="0.25">
      <c r="A1840" s="9">
        <v>42378</v>
      </c>
      <c r="B1840" s="10">
        <f ca="1">ROUND(_xlfn.NORM.INV(RAND(),Reference!$C$8,0.1*Reference!$C$8)*(1+Reference!$C$11*(IF(MONTH($A1840)=Reference!$C$4,1,0)+IF(MONTH($A1840)=Reference!$C$5,1,0))+(IF(MONTH($A1840)=Reference!$C$6,Reference!$C$13,0))),0)</f>
        <v>320</v>
      </c>
      <c r="C1840" s="11">
        <f ca="1">B1840*Reference!$C$7*(1-IF(MONTH($A1840)=Reference!$C$6,1,0)*Reference!$C$12)</f>
        <v>297600</v>
      </c>
      <c r="D1840" s="10">
        <f ca="1">ROUND(_xlfn.NORM.INV(RAND(),Reference!$D$8,0.1*Reference!$D$8)*(1+Reference!$D$11*(IF(MONTH($A1840)=Reference!$D$4,1,0)+IF(MONTH($A1840)=Reference!$D$5,1,0))+(IF(MONTH($A1840)=Reference!$D$6,Reference!$D$13,0))),0)</f>
        <v>488</v>
      </c>
      <c r="E1840" s="11">
        <f ca="1">D1840*Reference!$D$7*(1-IF(MONTH($A1840)=Reference!$D$6,1,0)*Reference!$D$12)</f>
        <v>366000</v>
      </c>
      <c r="M1840" s="20"/>
      <c r="N1840" s="20"/>
      <c r="O1840" s="19"/>
      <c r="P1840" s="10"/>
      <c r="Q1840" s="10"/>
      <c r="R1840" s="10"/>
      <c r="S1840" s="10"/>
      <c r="T1840" s="10"/>
      <c r="U1840" s="10"/>
      <c r="V1840" s="10"/>
      <c r="W1840" s="10"/>
      <c r="X1840" s="10"/>
      <c r="Y1840" s="10"/>
    </row>
    <row r="1841" spans="1:25" x14ac:dyDescent="0.25">
      <c r="A1841" s="9">
        <v>42379</v>
      </c>
      <c r="B1841" s="10">
        <f ca="1">ROUND(_xlfn.NORM.INV(RAND(),Reference!$C$8,0.1*Reference!$C$8)*(1+Reference!$C$11*(IF(MONTH($A1841)=Reference!$C$4,1,0)+IF(MONTH($A1841)=Reference!$C$5,1,0))+(IF(MONTH($A1841)=Reference!$C$6,Reference!$C$13,0))),0)</f>
        <v>381</v>
      </c>
      <c r="C1841" s="11">
        <f ca="1">B1841*Reference!$C$7*(1-IF(MONTH($A1841)=Reference!$C$6,1,0)*Reference!$C$12)</f>
        <v>354330</v>
      </c>
      <c r="D1841" s="10">
        <f ca="1">ROUND(_xlfn.NORM.INV(RAND(),Reference!$D$8,0.1*Reference!$D$8)*(1+Reference!$D$11*(IF(MONTH($A1841)=Reference!$D$4,1,0)+IF(MONTH($A1841)=Reference!$D$5,1,0))+(IF(MONTH($A1841)=Reference!$D$6,Reference!$D$13,0))),0)</f>
        <v>447</v>
      </c>
      <c r="E1841" s="11">
        <f ca="1">D1841*Reference!$D$7*(1-IF(MONTH($A1841)=Reference!$D$6,1,0)*Reference!$D$12)</f>
        <v>335250</v>
      </c>
      <c r="M1841" s="20"/>
      <c r="N1841" s="20"/>
      <c r="O1841" s="19"/>
      <c r="P1841" s="10"/>
      <c r="Q1841" s="10"/>
      <c r="R1841" s="10"/>
      <c r="S1841" s="10"/>
      <c r="T1841" s="10"/>
      <c r="U1841" s="10"/>
      <c r="V1841" s="10"/>
      <c r="W1841" s="10"/>
      <c r="X1841" s="10"/>
      <c r="Y1841" s="10"/>
    </row>
    <row r="1842" spans="1:25" x14ac:dyDescent="0.25">
      <c r="A1842" s="9">
        <v>42380</v>
      </c>
      <c r="B1842" s="10">
        <f ca="1">ROUND(_xlfn.NORM.INV(RAND(),Reference!$C$8,0.1*Reference!$C$8)*(1+Reference!$C$11*(IF(MONTH($A1842)=Reference!$C$4,1,0)+IF(MONTH($A1842)=Reference!$C$5,1,0))+(IF(MONTH($A1842)=Reference!$C$6,Reference!$C$13,0))),0)</f>
        <v>380</v>
      </c>
      <c r="C1842" s="11">
        <f ca="1">B1842*Reference!$C$7*(1-IF(MONTH($A1842)=Reference!$C$6,1,0)*Reference!$C$12)</f>
        <v>353400</v>
      </c>
      <c r="D1842" s="10">
        <f ca="1">ROUND(_xlfn.NORM.INV(RAND(),Reference!$D$8,0.1*Reference!$D$8)*(1+Reference!$D$11*(IF(MONTH($A1842)=Reference!$D$4,1,0)+IF(MONTH($A1842)=Reference!$D$5,1,0))+(IF(MONTH($A1842)=Reference!$D$6,Reference!$D$13,0))),0)</f>
        <v>432</v>
      </c>
      <c r="E1842" s="11">
        <f ca="1">D1842*Reference!$D$7*(1-IF(MONTH($A1842)=Reference!$D$6,1,0)*Reference!$D$12)</f>
        <v>324000</v>
      </c>
      <c r="M1842" s="20"/>
      <c r="N1842" s="20"/>
      <c r="O1842" s="19"/>
      <c r="P1842" s="10"/>
      <c r="Q1842" s="10"/>
      <c r="R1842" s="10"/>
      <c r="S1842" s="10"/>
      <c r="T1842" s="10"/>
      <c r="U1842" s="10"/>
      <c r="V1842" s="10"/>
      <c r="W1842" s="10"/>
      <c r="X1842" s="10"/>
      <c r="Y1842" s="10"/>
    </row>
    <row r="1843" spans="1:25" x14ac:dyDescent="0.25">
      <c r="A1843" s="9">
        <v>42381</v>
      </c>
      <c r="B1843" s="10">
        <f ca="1">ROUND(_xlfn.NORM.INV(RAND(),Reference!$C$8,0.1*Reference!$C$8)*(1+Reference!$C$11*(IF(MONTH($A1843)=Reference!$C$4,1,0)+IF(MONTH($A1843)=Reference!$C$5,1,0))+(IF(MONTH($A1843)=Reference!$C$6,Reference!$C$13,0))),0)</f>
        <v>377</v>
      </c>
      <c r="C1843" s="11">
        <f ca="1">B1843*Reference!$C$7*(1-IF(MONTH($A1843)=Reference!$C$6,1,0)*Reference!$C$12)</f>
        <v>350610</v>
      </c>
      <c r="D1843" s="10">
        <f ca="1">ROUND(_xlfn.NORM.INV(RAND(),Reference!$D$8,0.1*Reference!$D$8)*(1+Reference!$D$11*(IF(MONTH($A1843)=Reference!$D$4,1,0)+IF(MONTH($A1843)=Reference!$D$5,1,0))+(IF(MONTH($A1843)=Reference!$D$6,Reference!$D$13,0))),0)</f>
        <v>516</v>
      </c>
      <c r="E1843" s="11">
        <f ca="1">D1843*Reference!$D$7*(1-IF(MONTH($A1843)=Reference!$D$6,1,0)*Reference!$D$12)</f>
        <v>387000</v>
      </c>
      <c r="M1843" s="20"/>
      <c r="N1843" s="20"/>
      <c r="O1843" s="19"/>
      <c r="P1843" s="10"/>
      <c r="Q1843" s="10"/>
      <c r="R1843" s="10"/>
      <c r="S1843" s="10"/>
      <c r="T1843" s="10"/>
      <c r="U1843" s="10"/>
      <c r="V1843" s="10"/>
      <c r="W1843" s="10"/>
      <c r="X1843" s="10"/>
      <c r="Y1843" s="10"/>
    </row>
    <row r="1844" spans="1:25" x14ac:dyDescent="0.25">
      <c r="A1844" s="9">
        <v>42382</v>
      </c>
      <c r="B1844" s="10">
        <f ca="1">ROUND(_xlfn.NORM.INV(RAND(),Reference!$C$8,0.1*Reference!$C$8)*(1+Reference!$C$11*(IF(MONTH($A1844)=Reference!$C$4,1,0)+IF(MONTH($A1844)=Reference!$C$5,1,0))+(IF(MONTH($A1844)=Reference!$C$6,Reference!$C$13,0))),0)</f>
        <v>349</v>
      </c>
      <c r="C1844" s="11">
        <f ca="1">B1844*Reference!$C$7*(1-IF(MONTH($A1844)=Reference!$C$6,1,0)*Reference!$C$12)</f>
        <v>324570</v>
      </c>
      <c r="D1844" s="10">
        <f ca="1">ROUND(_xlfn.NORM.INV(RAND(),Reference!$D$8,0.1*Reference!$D$8)*(1+Reference!$D$11*(IF(MONTH($A1844)=Reference!$D$4,1,0)+IF(MONTH($A1844)=Reference!$D$5,1,0))+(IF(MONTH($A1844)=Reference!$D$6,Reference!$D$13,0))),0)</f>
        <v>504</v>
      </c>
      <c r="E1844" s="11">
        <f ca="1">D1844*Reference!$D$7*(1-IF(MONTH($A1844)=Reference!$D$6,1,0)*Reference!$D$12)</f>
        <v>378000</v>
      </c>
      <c r="M1844" s="20"/>
      <c r="N1844" s="20"/>
      <c r="O1844" s="19"/>
      <c r="P1844" s="10"/>
      <c r="Q1844" s="10"/>
      <c r="R1844" s="10"/>
      <c r="S1844" s="10"/>
      <c r="T1844" s="10"/>
      <c r="U1844" s="10"/>
      <c r="V1844" s="10"/>
      <c r="W1844" s="10"/>
      <c r="X1844" s="10"/>
      <c r="Y1844" s="10"/>
    </row>
    <row r="1845" spans="1:25" x14ac:dyDescent="0.25">
      <c r="A1845" s="9">
        <v>42383</v>
      </c>
      <c r="B1845" s="10">
        <f ca="1">ROUND(_xlfn.NORM.INV(RAND(),Reference!$C$8,0.1*Reference!$C$8)*(1+Reference!$C$11*(IF(MONTH($A1845)=Reference!$C$4,1,0)+IF(MONTH($A1845)=Reference!$C$5,1,0))+(IF(MONTH($A1845)=Reference!$C$6,Reference!$C$13,0))),0)</f>
        <v>335</v>
      </c>
      <c r="C1845" s="11">
        <f ca="1">B1845*Reference!$C$7*(1-IF(MONTH($A1845)=Reference!$C$6,1,0)*Reference!$C$12)</f>
        <v>311550</v>
      </c>
      <c r="D1845" s="10">
        <f ca="1">ROUND(_xlfn.NORM.INV(RAND(),Reference!$D$8,0.1*Reference!$D$8)*(1+Reference!$D$11*(IF(MONTH($A1845)=Reference!$D$4,1,0)+IF(MONTH($A1845)=Reference!$D$5,1,0))+(IF(MONTH($A1845)=Reference!$D$6,Reference!$D$13,0))),0)</f>
        <v>441</v>
      </c>
      <c r="E1845" s="11">
        <f ca="1">D1845*Reference!$D$7*(1-IF(MONTH($A1845)=Reference!$D$6,1,0)*Reference!$D$12)</f>
        <v>330750</v>
      </c>
      <c r="M1845" s="20"/>
      <c r="N1845" s="20"/>
      <c r="O1845" s="19"/>
      <c r="P1845" s="10"/>
      <c r="Q1845" s="10"/>
      <c r="R1845" s="10"/>
      <c r="S1845" s="10"/>
      <c r="T1845" s="10"/>
      <c r="U1845" s="10"/>
      <c r="V1845" s="10"/>
      <c r="W1845" s="10"/>
      <c r="X1845" s="10"/>
      <c r="Y1845" s="10"/>
    </row>
    <row r="1846" spans="1:25" x14ac:dyDescent="0.25">
      <c r="A1846" s="9">
        <v>42384</v>
      </c>
      <c r="B1846" s="10">
        <f ca="1">ROUND(_xlfn.NORM.INV(RAND(),Reference!$C$8,0.1*Reference!$C$8)*(1+Reference!$C$11*(IF(MONTH($A1846)=Reference!$C$4,1,0)+IF(MONTH($A1846)=Reference!$C$5,1,0))+(IF(MONTH($A1846)=Reference!$C$6,Reference!$C$13,0))),0)</f>
        <v>403</v>
      </c>
      <c r="C1846" s="11">
        <f ca="1">B1846*Reference!$C$7*(1-IF(MONTH($A1846)=Reference!$C$6,1,0)*Reference!$C$12)</f>
        <v>374790</v>
      </c>
      <c r="D1846" s="10">
        <f ca="1">ROUND(_xlfn.NORM.INV(RAND(),Reference!$D$8,0.1*Reference!$D$8)*(1+Reference!$D$11*(IF(MONTH($A1846)=Reference!$D$4,1,0)+IF(MONTH($A1846)=Reference!$D$5,1,0))+(IF(MONTH($A1846)=Reference!$D$6,Reference!$D$13,0))),0)</f>
        <v>463</v>
      </c>
      <c r="E1846" s="11">
        <f ca="1">D1846*Reference!$D$7*(1-IF(MONTH($A1846)=Reference!$D$6,1,0)*Reference!$D$12)</f>
        <v>347250</v>
      </c>
      <c r="M1846" s="20"/>
      <c r="N1846" s="20"/>
      <c r="O1846" s="19"/>
      <c r="P1846" s="10"/>
      <c r="Q1846" s="10"/>
      <c r="R1846" s="10"/>
      <c r="S1846" s="10"/>
      <c r="T1846" s="10"/>
      <c r="U1846" s="10"/>
      <c r="V1846" s="10"/>
      <c r="W1846" s="10"/>
      <c r="X1846" s="10"/>
      <c r="Y1846" s="10"/>
    </row>
    <row r="1847" spans="1:25" x14ac:dyDescent="0.25">
      <c r="A1847" s="9">
        <v>42385</v>
      </c>
      <c r="B1847" s="10">
        <f ca="1">ROUND(_xlfn.NORM.INV(RAND(),Reference!$C$8,0.1*Reference!$C$8)*(1+Reference!$C$11*(IF(MONTH($A1847)=Reference!$C$4,1,0)+IF(MONTH($A1847)=Reference!$C$5,1,0))+(IF(MONTH($A1847)=Reference!$C$6,Reference!$C$13,0))),0)</f>
        <v>356</v>
      </c>
      <c r="C1847" s="11">
        <f ca="1">B1847*Reference!$C$7*(1-IF(MONTH($A1847)=Reference!$C$6,1,0)*Reference!$C$12)</f>
        <v>331080</v>
      </c>
      <c r="D1847" s="10">
        <f ca="1">ROUND(_xlfn.NORM.INV(RAND(),Reference!$D$8,0.1*Reference!$D$8)*(1+Reference!$D$11*(IF(MONTH($A1847)=Reference!$D$4,1,0)+IF(MONTH($A1847)=Reference!$D$5,1,0))+(IF(MONTH($A1847)=Reference!$D$6,Reference!$D$13,0))),0)</f>
        <v>404</v>
      </c>
      <c r="E1847" s="11">
        <f ca="1">D1847*Reference!$D$7*(1-IF(MONTH($A1847)=Reference!$D$6,1,0)*Reference!$D$12)</f>
        <v>303000</v>
      </c>
      <c r="M1847" s="20"/>
      <c r="N1847" s="20"/>
      <c r="O1847" s="19"/>
      <c r="P1847" s="10"/>
      <c r="Q1847" s="10"/>
      <c r="R1847" s="10"/>
      <c r="S1847" s="10"/>
      <c r="T1847" s="10"/>
      <c r="U1847" s="10"/>
      <c r="V1847" s="10"/>
      <c r="W1847" s="10"/>
      <c r="X1847" s="10"/>
      <c r="Y1847" s="10"/>
    </row>
    <row r="1848" spans="1:25" x14ac:dyDescent="0.25">
      <c r="A1848" s="9">
        <v>42386</v>
      </c>
      <c r="B1848" s="10">
        <f ca="1">ROUND(_xlfn.NORM.INV(RAND(),Reference!$C$8,0.1*Reference!$C$8)*(1+Reference!$C$11*(IF(MONTH($A1848)=Reference!$C$4,1,0)+IF(MONTH($A1848)=Reference!$C$5,1,0))+(IF(MONTH($A1848)=Reference!$C$6,Reference!$C$13,0))),0)</f>
        <v>376</v>
      </c>
      <c r="C1848" s="11">
        <f ca="1">B1848*Reference!$C$7*(1-IF(MONTH($A1848)=Reference!$C$6,1,0)*Reference!$C$12)</f>
        <v>349680</v>
      </c>
      <c r="D1848" s="10">
        <f ca="1">ROUND(_xlfn.NORM.INV(RAND(),Reference!$D$8,0.1*Reference!$D$8)*(1+Reference!$D$11*(IF(MONTH($A1848)=Reference!$D$4,1,0)+IF(MONTH($A1848)=Reference!$D$5,1,0))+(IF(MONTH($A1848)=Reference!$D$6,Reference!$D$13,0))),0)</f>
        <v>459</v>
      </c>
      <c r="E1848" s="11">
        <f ca="1">D1848*Reference!$D$7*(1-IF(MONTH($A1848)=Reference!$D$6,1,0)*Reference!$D$12)</f>
        <v>344250</v>
      </c>
      <c r="M1848" s="20"/>
      <c r="N1848" s="20"/>
      <c r="O1848" s="19"/>
      <c r="P1848" s="10"/>
      <c r="Q1848" s="10"/>
      <c r="R1848" s="10"/>
      <c r="S1848" s="10"/>
      <c r="T1848" s="10"/>
      <c r="U1848" s="10"/>
      <c r="V1848" s="10"/>
      <c r="W1848" s="10"/>
      <c r="X1848" s="10"/>
      <c r="Y1848" s="10"/>
    </row>
    <row r="1849" spans="1:25" x14ac:dyDescent="0.25">
      <c r="A1849" s="9">
        <v>42387</v>
      </c>
      <c r="B1849" s="10">
        <f ca="1">ROUND(_xlfn.NORM.INV(RAND(),Reference!$C$8,0.1*Reference!$C$8)*(1+Reference!$C$11*(IF(MONTH($A1849)=Reference!$C$4,1,0)+IF(MONTH($A1849)=Reference!$C$5,1,0))+(IF(MONTH($A1849)=Reference!$C$6,Reference!$C$13,0))),0)</f>
        <v>434</v>
      </c>
      <c r="C1849" s="11">
        <f ca="1">B1849*Reference!$C$7*(1-IF(MONTH($A1849)=Reference!$C$6,1,0)*Reference!$C$12)</f>
        <v>403620</v>
      </c>
      <c r="D1849" s="10">
        <f ca="1">ROUND(_xlfn.NORM.INV(RAND(),Reference!$D$8,0.1*Reference!$D$8)*(1+Reference!$D$11*(IF(MONTH($A1849)=Reference!$D$4,1,0)+IF(MONTH($A1849)=Reference!$D$5,1,0))+(IF(MONTH($A1849)=Reference!$D$6,Reference!$D$13,0))),0)</f>
        <v>511</v>
      </c>
      <c r="E1849" s="11">
        <f ca="1">D1849*Reference!$D$7*(1-IF(MONTH($A1849)=Reference!$D$6,1,0)*Reference!$D$12)</f>
        <v>383250</v>
      </c>
      <c r="M1849" s="20"/>
      <c r="N1849" s="20"/>
      <c r="O1849" s="19"/>
      <c r="P1849" s="10"/>
      <c r="Q1849" s="10"/>
      <c r="R1849" s="10"/>
      <c r="S1849" s="10"/>
      <c r="T1849" s="10"/>
      <c r="U1849" s="10"/>
      <c r="V1849" s="10"/>
      <c r="W1849" s="10"/>
      <c r="X1849" s="10"/>
      <c r="Y1849" s="10"/>
    </row>
    <row r="1850" spans="1:25" x14ac:dyDescent="0.25">
      <c r="A1850" s="9">
        <v>42388</v>
      </c>
      <c r="B1850" s="10">
        <f ca="1">ROUND(_xlfn.NORM.INV(RAND(),Reference!$C$8,0.1*Reference!$C$8)*(1+Reference!$C$11*(IF(MONTH($A1850)=Reference!$C$4,1,0)+IF(MONTH($A1850)=Reference!$C$5,1,0))+(IF(MONTH($A1850)=Reference!$C$6,Reference!$C$13,0))),0)</f>
        <v>331</v>
      </c>
      <c r="C1850" s="11">
        <f ca="1">B1850*Reference!$C$7*(1-IF(MONTH($A1850)=Reference!$C$6,1,0)*Reference!$C$12)</f>
        <v>307830</v>
      </c>
      <c r="D1850" s="10">
        <f ca="1">ROUND(_xlfn.NORM.INV(RAND(),Reference!$D$8,0.1*Reference!$D$8)*(1+Reference!$D$11*(IF(MONTH($A1850)=Reference!$D$4,1,0)+IF(MONTH($A1850)=Reference!$D$5,1,0))+(IF(MONTH($A1850)=Reference!$D$6,Reference!$D$13,0))),0)</f>
        <v>452</v>
      </c>
      <c r="E1850" s="11">
        <f ca="1">D1850*Reference!$D$7*(1-IF(MONTH($A1850)=Reference!$D$6,1,0)*Reference!$D$12)</f>
        <v>339000</v>
      </c>
      <c r="M1850" s="20"/>
      <c r="N1850" s="20"/>
      <c r="O1850" s="19"/>
      <c r="P1850" s="10"/>
      <c r="Q1850" s="10"/>
      <c r="R1850" s="10"/>
      <c r="S1850" s="10"/>
      <c r="T1850" s="10"/>
      <c r="U1850" s="10"/>
      <c r="V1850" s="10"/>
      <c r="W1850" s="10"/>
      <c r="X1850" s="10"/>
      <c r="Y1850" s="10"/>
    </row>
    <row r="1851" spans="1:25" x14ac:dyDescent="0.25">
      <c r="A1851" s="9">
        <v>42389</v>
      </c>
      <c r="B1851" s="10">
        <f ca="1">ROUND(_xlfn.NORM.INV(RAND(),Reference!$C$8,0.1*Reference!$C$8)*(1+Reference!$C$11*(IF(MONTH($A1851)=Reference!$C$4,1,0)+IF(MONTH($A1851)=Reference!$C$5,1,0))+(IF(MONTH($A1851)=Reference!$C$6,Reference!$C$13,0))),0)</f>
        <v>397</v>
      </c>
      <c r="C1851" s="11">
        <f ca="1">B1851*Reference!$C$7*(1-IF(MONTH($A1851)=Reference!$C$6,1,0)*Reference!$C$12)</f>
        <v>369210</v>
      </c>
      <c r="D1851" s="10">
        <f ca="1">ROUND(_xlfn.NORM.INV(RAND(),Reference!$D$8,0.1*Reference!$D$8)*(1+Reference!$D$11*(IF(MONTH($A1851)=Reference!$D$4,1,0)+IF(MONTH($A1851)=Reference!$D$5,1,0))+(IF(MONTH($A1851)=Reference!$D$6,Reference!$D$13,0))),0)</f>
        <v>483</v>
      </c>
      <c r="E1851" s="11">
        <f ca="1">D1851*Reference!$D$7*(1-IF(MONTH($A1851)=Reference!$D$6,1,0)*Reference!$D$12)</f>
        <v>362250</v>
      </c>
      <c r="M1851" s="20"/>
      <c r="N1851" s="20"/>
      <c r="O1851" s="19"/>
      <c r="P1851" s="10"/>
      <c r="Q1851" s="10"/>
      <c r="R1851" s="10"/>
      <c r="S1851" s="10"/>
      <c r="T1851" s="10"/>
      <c r="U1851" s="10"/>
      <c r="V1851" s="10"/>
      <c r="W1851" s="10"/>
      <c r="X1851" s="10"/>
      <c r="Y1851" s="10"/>
    </row>
    <row r="1852" spans="1:25" x14ac:dyDescent="0.25">
      <c r="A1852" s="9">
        <v>42390</v>
      </c>
      <c r="B1852" s="10">
        <f ca="1">ROUND(_xlfn.NORM.INV(RAND(),Reference!$C$8,0.1*Reference!$C$8)*(1+Reference!$C$11*(IF(MONTH($A1852)=Reference!$C$4,1,0)+IF(MONTH($A1852)=Reference!$C$5,1,0))+(IF(MONTH($A1852)=Reference!$C$6,Reference!$C$13,0))),0)</f>
        <v>347</v>
      </c>
      <c r="C1852" s="11">
        <f ca="1">B1852*Reference!$C$7*(1-IF(MONTH($A1852)=Reference!$C$6,1,0)*Reference!$C$12)</f>
        <v>322710</v>
      </c>
      <c r="D1852" s="10">
        <f ca="1">ROUND(_xlfn.NORM.INV(RAND(),Reference!$D$8,0.1*Reference!$D$8)*(1+Reference!$D$11*(IF(MONTH($A1852)=Reference!$D$4,1,0)+IF(MONTH($A1852)=Reference!$D$5,1,0))+(IF(MONTH($A1852)=Reference!$D$6,Reference!$D$13,0))),0)</f>
        <v>462</v>
      </c>
      <c r="E1852" s="11">
        <f ca="1">D1852*Reference!$D$7*(1-IF(MONTH($A1852)=Reference!$D$6,1,0)*Reference!$D$12)</f>
        <v>346500</v>
      </c>
      <c r="M1852" s="20"/>
      <c r="N1852" s="20"/>
      <c r="O1852" s="19"/>
      <c r="P1852" s="10"/>
      <c r="Q1852" s="10"/>
      <c r="R1852" s="10"/>
      <c r="S1852" s="10"/>
      <c r="T1852" s="10"/>
      <c r="U1852" s="10"/>
      <c r="V1852" s="10"/>
      <c r="W1852" s="10"/>
      <c r="X1852" s="10"/>
      <c r="Y1852" s="10"/>
    </row>
    <row r="1853" spans="1:25" x14ac:dyDescent="0.25">
      <c r="A1853" s="9">
        <v>42391</v>
      </c>
      <c r="B1853" s="10">
        <f ca="1">ROUND(_xlfn.NORM.INV(RAND(),Reference!$C$8,0.1*Reference!$C$8)*(1+Reference!$C$11*(IF(MONTH($A1853)=Reference!$C$4,1,0)+IF(MONTH($A1853)=Reference!$C$5,1,0))+(IF(MONTH($A1853)=Reference!$C$6,Reference!$C$13,0))),0)</f>
        <v>353</v>
      </c>
      <c r="C1853" s="11">
        <f ca="1">B1853*Reference!$C$7*(1-IF(MONTH($A1853)=Reference!$C$6,1,0)*Reference!$C$12)</f>
        <v>328290</v>
      </c>
      <c r="D1853" s="10">
        <f ca="1">ROUND(_xlfn.NORM.INV(RAND(),Reference!$D$8,0.1*Reference!$D$8)*(1+Reference!$D$11*(IF(MONTH($A1853)=Reference!$D$4,1,0)+IF(MONTH($A1853)=Reference!$D$5,1,0))+(IF(MONTH($A1853)=Reference!$D$6,Reference!$D$13,0))),0)</f>
        <v>461</v>
      </c>
      <c r="E1853" s="11">
        <f ca="1">D1853*Reference!$D$7*(1-IF(MONTH($A1853)=Reference!$D$6,1,0)*Reference!$D$12)</f>
        <v>345750</v>
      </c>
      <c r="M1853" s="20"/>
      <c r="N1853" s="20"/>
      <c r="O1853" s="19"/>
      <c r="P1853" s="10"/>
      <c r="Q1853" s="10"/>
      <c r="R1853" s="10"/>
      <c r="S1853" s="10"/>
      <c r="T1853" s="10"/>
      <c r="U1853" s="10"/>
      <c r="V1853" s="10"/>
      <c r="W1853" s="10"/>
      <c r="X1853" s="10"/>
      <c r="Y1853" s="10"/>
    </row>
    <row r="1854" spans="1:25" x14ac:dyDescent="0.25">
      <c r="A1854" s="9">
        <v>42392</v>
      </c>
      <c r="B1854" s="10">
        <f ca="1">ROUND(_xlfn.NORM.INV(RAND(),Reference!$C$8,0.1*Reference!$C$8)*(1+Reference!$C$11*(IF(MONTH($A1854)=Reference!$C$4,1,0)+IF(MONTH($A1854)=Reference!$C$5,1,0))+(IF(MONTH($A1854)=Reference!$C$6,Reference!$C$13,0))),0)</f>
        <v>336</v>
      </c>
      <c r="C1854" s="11">
        <f ca="1">B1854*Reference!$C$7*(1-IF(MONTH($A1854)=Reference!$C$6,1,0)*Reference!$C$12)</f>
        <v>312480</v>
      </c>
      <c r="D1854" s="10">
        <f ca="1">ROUND(_xlfn.NORM.INV(RAND(),Reference!$D$8,0.1*Reference!$D$8)*(1+Reference!$D$11*(IF(MONTH($A1854)=Reference!$D$4,1,0)+IF(MONTH($A1854)=Reference!$D$5,1,0))+(IF(MONTH($A1854)=Reference!$D$6,Reference!$D$13,0))),0)</f>
        <v>403</v>
      </c>
      <c r="E1854" s="11">
        <f ca="1">D1854*Reference!$D$7*(1-IF(MONTH($A1854)=Reference!$D$6,1,0)*Reference!$D$12)</f>
        <v>302250</v>
      </c>
      <c r="M1854" s="20"/>
      <c r="N1854" s="20"/>
      <c r="O1854" s="19"/>
      <c r="P1854" s="10"/>
      <c r="Q1854" s="10"/>
      <c r="R1854" s="10"/>
      <c r="S1854" s="10"/>
      <c r="T1854" s="10"/>
      <c r="U1854" s="10"/>
      <c r="V1854" s="10"/>
      <c r="W1854" s="10"/>
      <c r="X1854" s="10"/>
      <c r="Y1854" s="10"/>
    </row>
    <row r="1855" spans="1:25" x14ac:dyDescent="0.25">
      <c r="A1855" s="9">
        <v>42393</v>
      </c>
      <c r="B1855" s="10">
        <f ca="1">ROUND(_xlfn.NORM.INV(RAND(),Reference!$C$8,0.1*Reference!$C$8)*(1+Reference!$C$11*(IF(MONTH($A1855)=Reference!$C$4,1,0)+IF(MONTH($A1855)=Reference!$C$5,1,0))+(IF(MONTH($A1855)=Reference!$C$6,Reference!$C$13,0))),0)</f>
        <v>296</v>
      </c>
      <c r="C1855" s="11">
        <f ca="1">B1855*Reference!$C$7*(1-IF(MONTH($A1855)=Reference!$C$6,1,0)*Reference!$C$12)</f>
        <v>275280</v>
      </c>
      <c r="D1855" s="10">
        <f ca="1">ROUND(_xlfn.NORM.INV(RAND(),Reference!$D$8,0.1*Reference!$D$8)*(1+Reference!$D$11*(IF(MONTH($A1855)=Reference!$D$4,1,0)+IF(MONTH($A1855)=Reference!$D$5,1,0))+(IF(MONTH($A1855)=Reference!$D$6,Reference!$D$13,0))),0)</f>
        <v>496</v>
      </c>
      <c r="E1855" s="11">
        <f ca="1">D1855*Reference!$D$7*(1-IF(MONTH($A1855)=Reference!$D$6,1,0)*Reference!$D$12)</f>
        <v>372000</v>
      </c>
      <c r="M1855" s="20"/>
      <c r="N1855" s="20"/>
      <c r="O1855" s="19"/>
      <c r="P1855" s="10"/>
      <c r="Q1855" s="10"/>
      <c r="R1855" s="10"/>
      <c r="S1855" s="10"/>
      <c r="T1855" s="10"/>
      <c r="U1855" s="10"/>
      <c r="V1855" s="10"/>
      <c r="W1855" s="10"/>
      <c r="X1855" s="10"/>
      <c r="Y1855" s="10"/>
    </row>
    <row r="1856" spans="1:25" x14ac:dyDescent="0.25">
      <c r="A1856" s="9">
        <v>42394</v>
      </c>
      <c r="B1856" s="10">
        <f ca="1">ROUND(_xlfn.NORM.INV(RAND(),Reference!$C$8,0.1*Reference!$C$8)*(1+Reference!$C$11*(IF(MONTH($A1856)=Reference!$C$4,1,0)+IF(MONTH($A1856)=Reference!$C$5,1,0))+(IF(MONTH($A1856)=Reference!$C$6,Reference!$C$13,0))),0)</f>
        <v>373</v>
      </c>
      <c r="C1856" s="11">
        <f ca="1">B1856*Reference!$C$7*(1-IF(MONTH($A1856)=Reference!$C$6,1,0)*Reference!$C$12)</f>
        <v>346890</v>
      </c>
      <c r="D1856" s="10">
        <f ca="1">ROUND(_xlfn.NORM.INV(RAND(),Reference!$D$8,0.1*Reference!$D$8)*(1+Reference!$D$11*(IF(MONTH($A1856)=Reference!$D$4,1,0)+IF(MONTH($A1856)=Reference!$D$5,1,0))+(IF(MONTH($A1856)=Reference!$D$6,Reference!$D$13,0))),0)</f>
        <v>527</v>
      </c>
      <c r="E1856" s="11">
        <f ca="1">D1856*Reference!$D$7*(1-IF(MONTH($A1856)=Reference!$D$6,1,0)*Reference!$D$12)</f>
        <v>395250</v>
      </c>
      <c r="M1856" s="20"/>
      <c r="N1856" s="20"/>
      <c r="O1856" s="19"/>
      <c r="P1856" s="10"/>
      <c r="Q1856" s="10"/>
      <c r="R1856" s="10"/>
      <c r="S1856" s="10"/>
      <c r="T1856" s="10"/>
      <c r="U1856" s="10"/>
      <c r="V1856" s="10"/>
      <c r="W1856" s="10"/>
      <c r="X1856" s="10"/>
      <c r="Y1856" s="10"/>
    </row>
    <row r="1857" spans="1:25" x14ac:dyDescent="0.25">
      <c r="A1857" s="9">
        <v>42395</v>
      </c>
      <c r="B1857" s="10">
        <f ca="1">ROUND(_xlfn.NORM.INV(RAND(),Reference!$C$8,0.1*Reference!$C$8)*(1+Reference!$C$11*(IF(MONTH($A1857)=Reference!$C$4,1,0)+IF(MONTH($A1857)=Reference!$C$5,1,0))+(IF(MONTH($A1857)=Reference!$C$6,Reference!$C$13,0))),0)</f>
        <v>324</v>
      </c>
      <c r="C1857" s="11">
        <f ca="1">B1857*Reference!$C$7*(1-IF(MONTH($A1857)=Reference!$C$6,1,0)*Reference!$C$12)</f>
        <v>301320</v>
      </c>
      <c r="D1857" s="10">
        <f ca="1">ROUND(_xlfn.NORM.INV(RAND(),Reference!$D$8,0.1*Reference!$D$8)*(1+Reference!$D$11*(IF(MONTH($A1857)=Reference!$D$4,1,0)+IF(MONTH($A1857)=Reference!$D$5,1,0))+(IF(MONTH($A1857)=Reference!$D$6,Reference!$D$13,0))),0)</f>
        <v>400</v>
      </c>
      <c r="E1857" s="11">
        <f ca="1">D1857*Reference!$D$7*(1-IF(MONTH($A1857)=Reference!$D$6,1,0)*Reference!$D$12)</f>
        <v>300000</v>
      </c>
      <c r="M1857" s="20"/>
      <c r="N1857" s="20"/>
      <c r="O1857" s="19"/>
      <c r="P1857" s="10"/>
      <c r="Q1857" s="10"/>
      <c r="R1857" s="10"/>
      <c r="S1857" s="10"/>
      <c r="T1857" s="10"/>
      <c r="U1857" s="10"/>
      <c r="V1857" s="10"/>
      <c r="W1857" s="10"/>
      <c r="X1857" s="10"/>
      <c r="Y1857" s="10"/>
    </row>
    <row r="1858" spans="1:25" x14ac:dyDescent="0.25">
      <c r="A1858" s="9">
        <v>42396</v>
      </c>
      <c r="B1858" s="10">
        <f ca="1">ROUND(_xlfn.NORM.INV(RAND(),Reference!$C$8,0.1*Reference!$C$8)*(1+Reference!$C$11*(IF(MONTH($A1858)=Reference!$C$4,1,0)+IF(MONTH($A1858)=Reference!$C$5,1,0))+(IF(MONTH($A1858)=Reference!$C$6,Reference!$C$13,0))),0)</f>
        <v>364</v>
      </c>
      <c r="C1858" s="11">
        <f ca="1">B1858*Reference!$C$7*(1-IF(MONTH($A1858)=Reference!$C$6,1,0)*Reference!$C$12)</f>
        <v>338520</v>
      </c>
      <c r="D1858" s="10">
        <f ca="1">ROUND(_xlfn.NORM.INV(RAND(),Reference!$D$8,0.1*Reference!$D$8)*(1+Reference!$D$11*(IF(MONTH($A1858)=Reference!$D$4,1,0)+IF(MONTH($A1858)=Reference!$D$5,1,0))+(IF(MONTH($A1858)=Reference!$D$6,Reference!$D$13,0))),0)</f>
        <v>468</v>
      </c>
      <c r="E1858" s="11">
        <f ca="1">D1858*Reference!$D$7*(1-IF(MONTH($A1858)=Reference!$D$6,1,0)*Reference!$D$12)</f>
        <v>351000</v>
      </c>
      <c r="M1858" s="20"/>
      <c r="N1858" s="20"/>
      <c r="O1858" s="19"/>
      <c r="P1858" s="10"/>
      <c r="Q1858" s="10"/>
      <c r="R1858" s="10"/>
      <c r="S1858" s="10"/>
      <c r="T1858" s="10"/>
      <c r="U1858" s="10"/>
      <c r="V1858" s="10"/>
      <c r="W1858" s="10"/>
      <c r="X1858" s="10"/>
      <c r="Y1858" s="10"/>
    </row>
    <row r="1859" spans="1:25" x14ac:dyDescent="0.25">
      <c r="A1859" s="9">
        <v>42397</v>
      </c>
      <c r="B1859" s="10">
        <f ca="1">ROUND(_xlfn.NORM.INV(RAND(),Reference!$C$8,0.1*Reference!$C$8)*(1+Reference!$C$11*(IF(MONTH($A1859)=Reference!$C$4,1,0)+IF(MONTH($A1859)=Reference!$C$5,1,0))+(IF(MONTH($A1859)=Reference!$C$6,Reference!$C$13,0))),0)</f>
        <v>316</v>
      </c>
      <c r="C1859" s="11">
        <f ca="1">B1859*Reference!$C$7*(1-IF(MONTH($A1859)=Reference!$C$6,1,0)*Reference!$C$12)</f>
        <v>293880</v>
      </c>
      <c r="D1859" s="10">
        <f ca="1">ROUND(_xlfn.NORM.INV(RAND(),Reference!$D$8,0.1*Reference!$D$8)*(1+Reference!$D$11*(IF(MONTH($A1859)=Reference!$D$4,1,0)+IF(MONTH($A1859)=Reference!$D$5,1,0))+(IF(MONTH($A1859)=Reference!$D$6,Reference!$D$13,0))),0)</f>
        <v>475</v>
      </c>
      <c r="E1859" s="11">
        <f ca="1">D1859*Reference!$D$7*(1-IF(MONTH($A1859)=Reference!$D$6,1,0)*Reference!$D$12)</f>
        <v>356250</v>
      </c>
      <c r="M1859" s="20"/>
      <c r="N1859" s="20"/>
      <c r="O1859" s="19"/>
      <c r="P1859" s="10"/>
      <c r="Q1859" s="10"/>
      <c r="R1859" s="10"/>
      <c r="S1859" s="10"/>
      <c r="T1859" s="10"/>
      <c r="U1859" s="10"/>
      <c r="V1859" s="10"/>
      <c r="W1859" s="10"/>
      <c r="X1859" s="10"/>
      <c r="Y1859" s="10"/>
    </row>
    <row r="1860" spans="1:25" x14ac:dyDescent="0.25">
      <c r="A1860" s="9">
        <v>42398</v>
      </c>
      <c r="B1860" s="10">
        <f ca="1">ROUND(_xlfn.NORM.INV(RAND(),Reference!$C$8,0.1*Reference!$C$8)*(1+Reference!$C$11*(IF(MONTH($A1860)=Reference!$C$4,1,0)+IF(MONTH($A1860)=Reference!$C$5,1,0))+(IF(MONTH($A1860)=Reference!$C$6,Reference!$C$13,0))),0)</f>
        <v>364</v>
      </c>
      <c r="C1860" s="11">
        <f ca="1">B1860*Reference!$C$7*(1-IF(MONTH($A1860)=Reference!$C$6,1,0)*Reference!$C$12)</f>
        <v>338520</v>
      </c>
      <c r="D1860" s="10">
        <f ca="1">ROUND(_xlfn.NORM.INV(RAND(),Reference!$D$8,0.1*Reference!$D$8)*(1+Reference!$D$11*(IF(MONTH($A1860)=Reference!$D$4,1,0)+IF(MONTH($A1860)=Reference!$D$5,1,0))+(IF(MONTH($A1860)=Reference!$D$6,Reference!$D$13,0))),0)</f>
        <v>454</v>
      </c>
      <c r="E1860" s="11">
        <f ca="1">D1860*Reference!$D$7*(1-IF(MONTH($A1860)=Reference!$D$6,1,0)*Reference!$D$12)</f>
        <v>340500</v>
      </c>
      <c r="M1860" s="20"/>
      <c r="N1860" s="20"/>
      <c r="O1860" s="19"/>
      <c r="P1860" s="10"/>
      <c r="Q1860" s="10"/>
      <c r="R1860" s="10"/>
      <c r="S1860" s="10"/>
      <c r="T1860" s="10"/>
      <c r="U1860" s="10"/>
      <c r="V1860" s="10"/>
      <c r="W1860" s="10"/>
      <c r="X1860" s="10"/>
      <c r="Y1860" s="10"/>
    </row>
    <row r="1861" spans="1:25" x14ac:dyDescent="0.25">
      <c r="A1861" s="9">
        <v>42399</v>
      </c>
      <c r="B1861" s="10">
        <f ca="1">ROUND(_xlfn.NORM.INV(RAND(),Reference!$C$8,0.1*Reference!$C$8)*(1+Reference!$C$11*(IF(MONTH($A1861)=Reference!$C$4,1,0)+IF(MONTH($A1861)=Reference!$C$5,1,0))+(IF(MONTH($A1861)=Reference!$C$6,Reference!$C$13,0))),0)</f>
        <v>380</v>
      </c>
      <c r="C1861" s="11">
        <f ca="1">B1861*Reference!$C$7*(1-IF(MONTH($A1861)=Reference!$C$6,1,0)*Reference!$C$12)</f>
        <v>353400</v>
      </c>
      <c r="D1861" s="10">
        <f ca="1">ROUND(_xlfn.NORM.INV(RAND(),Reference!$D$8,0.1*Reference!$D$8)*(1+Reference!$D$11*(IF(MONTH($A1861)=Reference!$D$4,1,0)+IF(MONTH($A1861)=Reference!$D$5,1,0))+(IF(MONTH($A1861)=Reference!$D$6,Reference!$D$13,0))),0)</f>
        <v>404</v>
      </c>
      <c r="E1861" s="11">
        <f ca="1">D1861*Reference!$D$7*(1-IF(MONTH($A1861)=Reference!$D$6,1,0)*Reference!$D$12)</f>
        <v>303000</v>
      </c>
      <c r="M1861" s="20"/>
      <c r="N1861" s="20"/>
      <c r="O1861" s="19"/>
      <c r="P1861" s="10"/>
      <c r="Q1861" s="10"/>
      <c r="R1861" s="10"/>
      <c r="S1861" s="10"/>
      <c r="T1861" s="10"/>
      <c r="U1861" s="10"/>
      <c r="V1861" s="10"/>
      <c r="W1861" s="10"/>
      <c r="X1861" s="10"/>
      <c r="Y1861" s="10"/>
    </row>
    <row r="1862" spans="1:25" x14ac:dyDescent="0.25">
      <c r="A1862" s="9">
        <v>42400</v>
      </c>
      <c r="B1862" s="10">
        <f ca="1">ROUND(_xlfn.NORM.INV(RAND(),Reference!$C$8,0.1*Reference!$C$8)*(1+Reference!$C$11*(IF(MONTH($A1862)=Reference!$C$4,1,0)+IF(MONTH($A1862)=Reference!$C$5,1,0))+(IF(MONTH($A1862)=Reference!$C$6,Reference!$C$13,0))),0)</f>
        <v>339</v>
      </c>
      <c r="C1862" s="11">
        <f ca="1">B1862*Reference!$C$7*(1-IF(MONTH($A1862)=Reference!$C$6,1,0)*Reference!$C$12)</f>
        <v>315270</v>
      </c>
      <c r="D1862" s="10">
        <f ca="1">ROUND(_xlfn.NORM.INV(RAND(),Reference!$D$8,0.1*Reference!$D$8)*(1+Reference!$D$11*(IF(MONTH($A1862)=Reference!$D$4,1,0)+IF(MONTH($A1862)=Reference!$D$5,1,0))+(IF(MONTH($A1862)=Reference!$D$6,Reference!$D$13,0))),0)</f>
        <v>441</v>
      </c>
      <c r="E1862" s="11">
        <f ca="1">D1862*Reference!$D$7*(1-IF(MONTH($A1862)=Reference!$D$6,1,0)*Reference!$D$12)</f>
        <v>330750</v>
      </c>
      <c r="M1862" s="20"/>
      <c r="N1862" s="20"/>
      <c r="O1862" s="19"/>
      <c r="P1862" s="10"/>
      <c r="Q1862" s="10"/>
      <c r="R1862" s="10"/>
      <c r="S1862" s="10"/>
      <c r="T1862" s="10"/>
      <c r="U1862" s="10"/>
      <c r="V1862" s="10"/>
      <c r="W1862" s="10"/>
      <c r="X1862" s="10"/>
      <c r="Y1862" s="10"/>
    </row>
    <row r="1863" spans="1:25" x14ac:dyDescent="0.25">
      <c r="A1863" s="9">
        <v>42401</v>
      </c>
      <c r="B1863" s="10">
        <f ca="1">ROUND(_xlfn.NORM.INV(RAND(),Reference!$C$8,0.1*Reference!$C$8)*(1+Reference!$C$11*(IF(MONTH($A1863)=Reference!$C$4,1,0)+IF(MONTH($A1863)=Reference!$C$5,1,0))+(IF(MONTH($A1863)=Reference!$C$6,Reference!$C$13,0))),0)</f>
        <v>352</v>
      </c>
      <c r="C1863" s="11">
        <f ca="1">B1863*Reference!$C$7*(1-IF(MONTH($A1863)=Reference!$C$6,1,0)*Reference!$C$12)</f>
        <v>327360</v>
      </c>
      <c r="D1863" s="10">
        <f ca="1">ROUND(_xlfn.NORM.INV(RAND(),Reference!$D$8,0.1*Reference!$D$8)*(1+Reference!$D$11*(IF(MONTH($A1863)=Reference!$D$4,1,0)+IF(MONTH($A1863)=Reference!$D$5,1,0))+(IF(MONTH($A1863)=Reference!$D$6,Reference!$D$13,0))),0)</f>
        <v>470</v>
      </c>
      <c r="E1863" s="11">
        <f ca="1">D1863*Reference!$D$7*(1-IF(MONTH($A1863)=Reference!$D$6,1,0)*Reference!$D$12)</f>
        <v>352500</v>
      </c>
      <c r="M1863" s="20"/>
      <c r="N1863" s="20"/>
      <c r="O1863" s="19"/>
      <c r="P1863" s="10"/>
      <c r="Q1863" s="10"/>
      <c r="R1863" s="10"/>
      <c r="S1863" s="10"/>
      <c r="T1863" s="10"/>
      <c r="U1863" s="10"/>
      <c r="V1863" s="10"/>
      <c r="W1863" s="10"/>
      <c r="X1863" s="10"/>
      <c r="Y1863" s="10"/>
    </row>
    <row r="1864" spans="1:25" x14ac:dyDescent="0.25">
      <c r="A1864" s="9">
        <v>42402</v>
      </c>
      <c r="B1864" s="10">
        <f ca="1">ROUND(_xlfn.NORM.INV(RAND(),Reference!$C$8,0.1*Reference!$C$8)*(1+Reference!$C$11*(IF(MONTH($A1864)=Reference!$C$4,1,0)+IF(MONTH($A1864)=Reference!$C$5,1,0))+(IF(MONTH($A1864)=Reference!$C$6,Reference!$C$13,0))),0)</f>
        <v>272</v>
      </c>
      <c r="C1864" s="11">
        <f ca="1">B1864*Reference!$C$7*(1-IF(MONTH($A1864)=Reference!$C$6,1,0)*Reference!$C$12)</f>
        <v>252960</v>
      </c>
      <c r="D1864" s="10">
        <f ca="1">ROUND(_xlfn.NORM.INV(RAND(),Reference!$D$8,0.1*Reference!$D$8)*(1+Reference!$D$11*(IF(MONTH($A1864)=Reference!$D$4,1,0)+IF(MONTH($A1864)=Reference!$D$5,1,0))+(IF(MONTH($A1864)=Reference!$D$6,Reference!$D$13,0))),0)</f>
        <v>429</v>
      </c>
      <c r="E1864" s="11">
        <f ca="1">D1864*Reference!$D$7*(1-IF(MONTH($A1864)=Reference!$D$6,1,0)*Reference!$D$12)</f>
        <v>321750</v>
      </c>
      <c r="M1864" s="20"/>
      <c r="N1864" s="20"/>
      <c r="O1864" s="19"/>
      <c r="P1864" s="10"/>
      <c r="Q1864" s="10"/>
      <c r="R1864" s="10"/>
      <c r="S1864" s="10"/>
      <c r="T1864" s="10"/>
      <c r="U1864" s="10"/>
      <c r="V1864" s="10"/>
      <c r="W1864" s="10"/>
      <c r="X1864" s="10"/>
      <c r="Y1864" s="10"/>
    </row>
    <row r="1865" spans="1:25" x14ac:dyDescent="0.25">
      <c r="A1865" s="9">
        <v>42403</v>
      </c>
      <c r="B1865" s="10">
        <f ca="1">ROUND(_xlfn.NORM.INV(RAND(),Reference!$C$8,0.1*Reference!$C$8)*(1+Reference!$C$11*(IF(MONTH($A1865)=Reference!$C$4,1,0)+IF(MONTH($A1865)=Reference!$C$5,1,0))+(IF(MONTH($A1865)=Reference!$C$6,Reference!$C$13,0))),0)</f>
        <v>364</v>
      </c>
      <c r="C1865" s="11">
        <f ca="1">B1865*Reference!$C$7*(1-IF(MONTH($A1865)=Reference!$C$6,1,0)*Reference!$C$12)</f>
        <v>338520</v>
      </c>
      <c r="D1865" s="10">
        <f ca="1">ROUND(_xlfn.NORM.INV(RAND(),Reference!$D$8,0.1*Reference!$D$8)*(1+Reference!$D$11*(IF(MONTH($A1865)=Reference!$D$4,1,0)+IF(MONTH($A1865)=Reference!$D$5,1,0))+(IF(MONTH($A1865)=Reference!$D$6,Reference!$D$13,0))),0)</f>
        <v>442</v>
      </c>
      <c r="E1865" s="11">
        <f ca="1">D1865*Reference!$D$7*(1-IF(MONTH($A1865)=Reference!$D$6,1,0)*Reference!$D$12)</f>
        <v>331500</v>
      </c>
      <c r="M1865" s="20"/>
      <c r="N1865" s="20"/>
      <c r="O1865" s="19"/>
      <c r="P1865" s="10"/>
      <c r="Q1865" s="10"/>
      <c r="R1865" s="10"/>
      <c r="S1865" s="10"/>
      <c r="T1865" s="10"/>
      <c r="U1865" s="10"/>
      <c r="V1865" s="10"/>
      <c r="W1865" s="10"/>
      <c r="X1865" s="10"/>
      <c r="Y1865" s="10"/>
    </row>
    <row r="1866" spans="1:25" x14ac:dyDescent="0.25">
      <c r="A1866" s="9">
        <v>42404</v>
      </c>
      <c r="B1866" s="10">
        <f ca="1">ROUND(_xlfn.NORM.INV(RAND(),Reference!$C$8,0.1*Reference!$C$8)*(1+Reference!$C$11*(IF(MONTH($A1866)=Reference!$C$4,1,0)+IF(MONTH($A1866)=Reference!$C$5,1,0))+(IF(MONTH($A1866)=Reference!$C$6,Reference!$C$13,0))),0)</f>
        <v>391</v>
      </c>
      <c r="C1866" s="11">
        <f ca="1">B1866*Reference!$C$7*(1-IF(MONTH($A1866)=Reference!$C$6,1,0)*Reference!$C$12)</f>
        <v>363630</v>
      </c>
      <c r="D1866" s="10">
        <f ca="1">ROUND(_xlfn.NORM.INV(RAND(),Reference!$D$8,0.1*Reference!$D$8)*(1+Reference!$D$11*(IF(MONTH($A1866)=Reference!$D$4,1,0)+IF(MONTH($A1866)=Reference!$D$5,1,0))+(IF(MONTH($A1866)=Reference!$D$6,Reference!$D$13,0))),0)</f>
        <v>443</v>
      </c>
      <c r="E1866" s="11">
        <f ca="1">D1866*Reference!$D$7*(1-IF(MONTH($A1866)=Reference!$D$6,1,0)*Reference!$D$12)</f>
        <v>332250</v>
      </c>
      <c r="M1866" s="20"/>
      <c r="N1866" s="20"/>
      <c r="O1866" s="19"/>
      <c r="P1866" s="10"/>
      <c r="Q1866" s="10"/>
      <c r="R1866" s="10"/>
      <c r="S1866" s="10"/>
      <c r="T1866" s="10"/>
      <c r="U1866" s="10"/>
      <c r="V1866" s="10"/>
      <c r="W1866" s="10"/>
      <c r="X1866" s="10"/>
      <c r="Y1866" s="10"/>
    </row>
    <row r="1867" spans="1:25" x14ac:dyDescent="0.25">
      <c r="A1867" s="9">
        <v>42405</v>
      </c>
      <c r="B1867" s="10">
        <f ca="1">ROUND(_xlfn.NORM.INV(RAND(),Reference!$C$8,0.1*Reference!$C$8)*(1+Reference!$C$11*(IF(MONTH($A1867)=Reference!$C$4,1,0)+IF(MONTH($A1867)=Reference!$C$5,1,0))+(IF(MONTH($A1867)=Reference!$C$6,Reference!$C$13,0))),0)</f>
        <v>339</v>
      </c>
      <c r="C1867" s="11">
        <f ca="1">B1867*Reference!$C$7*(1-IF(MONTH($A1867)=Reference!$C$6,1,0)*Reference!$C$12)</f>
        <v>315270</v>
      </c>
      <c r="D1867" s="10">
        <f ca="1">ROUND(_xlfn.NORM.INV(RAND(),Reference!$D$8,0.1*Reference!$D$8)*(1+Reference!$D$11*(IF(MONTH($A1867)=Reference!$D$4,1,0)+IF(MONTH($A1867)=Reference!$D$5,1,0))+(IF(MONTH($A1867)=Reference!$D$6,Reference!$D$13,0))),0)</f>
        <v>447</v>
      </c>
      <c r="E1867" s="11">
        <f ca="1">D1867*Reference!$D$7*(1-IF(MONTH($A1867)=Reference!$D$6,1,0)*Reference!$D$12)</f>
        <v>335250</v>
      </c>
      <c r="M1867" s="20"/>
      <c r="N1867" s="20"/>
      <c r="O1867" s="19"/>
      <c r="P1867" s="10"/>
      <c r="Q1867" s="10"/>
      <c r="R1867" s="10"/>
      <c r="S1867" s="10"/>
      <c r="T1867" s="10"/>
      <c r="U1867" s="10"/>
      <c r="V1867" s="10"/>
      <c r="W1867" s="10"/>
      <c r="X1867" s="10"/>
      <c r="Y1867" s="10"/>
    </row>
    <row r="1868" spans="1:25" x14ac:dyDescent="0.25">
      <c r="A1868" s="9">
        <v>42406</v>
      </c>
      <c r="B1868" s="10">
        <f ca="1">ROUND(_xlfn.NORM.INV(RAND(),Reference!$C$8,0.1*Reference!$C$8)*(1+Reference!$C$11*(IF(MONTH($A1868)=Reference!$C$4,1,0)+IF(MONTH($A1868)=Reference!$C$5,1,0))+(IF(MONTH($A1868)=Reference!$C$6,Reference!$C$13,0))),0)</f>
        <v>356</v>
      </c>
      <c r="C1868" s="11">
        <f ca="1">B1868*Reference!$C$7*(1-IF(MONTH($A1868)=Reference!$C$6,1,0)*Reference!$C$12)</f>
        <v>331080</v>
      </c>
      <c r="D1868" s="10">
        <f ca="1">ROUND(_xlfn.NORM.INV(RAND(),Reference!$D$8,0.1*Reference!$D$8)*(1+Reference!$D$11*(IF(MONTH($A1868)=Reference!$D$4,1,0)+IF(MONTH($A1868)=Reference!$D$5,1,0))+(IF(MONTH($A1868)=Reference!$D$6,Reference!$D$13,0))),0)</f>
        <v>442</v>
      </c>
      <c r="E1868" s="11">
        <f ca="1">D1868*Reference!$D$7*(1-IF(MONTH($A1868)=Reference!$D$6,1,0)*Reference!$D$12)</f>
        <v>331500</v>
      </c>
      <c r="M1868" s="20"/>
      <c r="N1868" s="20"/>
      <c r="O1868" s="19"/>
      <c r="P1868" s="10"/>
      <c r="Q1868" s="10"/>
      <c r="R1868" s="10"/>
      <c r="S1868" s="10"/>
      <c r="T1868" s="10"/>
      <c r="U1868" s="10"/>
      <c r="V1868" s="10"/>
      <c r="W1868" s="10"/>
      <c r="X1868" s="10"/>
      <c r="Y1868" s="10"/>
    </row>
    <row r="1869" spans="1:25" x14ac:dyDescent="0.25">
      <c r="A1869" s="9">
        <v>42407</v>
      </c>
      <c r="B1869" s="10">
        <f ca="1">ROUND(_xlfn.NORM.INV(RAND(),Reference!$C$8,0.1*Reference!$C$8)*(1+Reference!$C$11*(IF(MONTH($A1869)=Reference!$C$4,1,0)+IF(MONTH($A1869)=Reference!$C$5,1,0))+(IF(MONTH($A1869)=Reference!$C$6,Reference!$C$13,0))),0)</f>
        <v>348</v>
      </c>
      <c r="C1869" s="11">
        <f ca="1">B1869*Reference!$C$7*(1-IF(MONTH($A1869)=Reference!$C$6,1,0)*Reference!$C$12)</f>
        <v>323640</v>
      </c>
      <c r="D1869" s="10">
        <f ca="1">ROUND(_xlfn.NORM.INV(RAND(),Reference!$D$8,0.1*Reference!$D$8)*(1+Reference!$D$11*(IF(MONTH($A1869)=Reference!$D$4,1,0)+IF(MONTH($A1869)=Reference!$D$5,1,0))+(IF(MONTH($A1869)=Reference!$D$6,Reference!$D$13,0))),0)</f>
        <v>466</v>
      </c>
      <c r="E1869" s="11">
        <f ca="1">D1869*Reference!$D$7*(1-IF(MONTH($A1869)=Reference!$D$6,1,0)*Reference!$D$12)</f>
        <v>349500</v>
      </c>
      <c r="M1869" s="20"/>
      <c r="N1869" s="20"/>
      <c r="O1869" s="19"/>
      <c r="P1869" s="10"/>
      <c r="Q1869" s="10"/>
      <c r="R1869" s="10"/>
      <c r="S1869" s="10"/>
      <c r="T1869" s="10"/>
      <c r="U1869" s="10"/>
      <c r="V1869" s="10"/>
      <c r="W1869" s="10"/>
      <c r="X1869" s="10"/>
      <c r="Y1869" s="10"/>
    </row>
    <row r="1870" spans="1:25" x14ac:dyDescent="0.25">
      <c r="A1870" s="9">
        <v>42408</v>
      </c>
      <c r="B1870" s="10">
        <f ca="1">ROUND(_xlfn.NORM.INV(RAND(),Reference!$C$8,0.1*Reference!$C$8)*(1+Reference!$C$11*(IF(MONTH($A1870)=Reference!$C$4,1,0)+IF(MONTH($A1870)=Reference!$C$5,1,0))+(IF(MONTH($A1870)=Reference!$C$6,Reference!$C$13,0))),0)</f>
        <v>341</v>
      </c>
      <c r="C1870" s="11">
        <f ca="1">B1870*Reference!$C$7*(1-IF(MONTH($A1870)=Reference!$C$6,1,0)*Reference!$C$12)</f>
        <v>317130</v>
      </c>
      <c r="D1870" s="10">
        <f ca="1">ROUND(_xlfn.NORM.INV(RAND(),Reference!$D$8,0.1*Reference!$D$8)*(1+Reference!$D$11*(IF(MONTH($A1870)=Reference!$D$4,1,0)+IF(MONTH($A1870)=Reference!$D$5,1,0))+(IF(MONTH($A1870)=Reference!$D$6,Reference!$D$13,0))),0)</f>
        <v>425</v>
      </c>
      <c r="E1870" s="11">
        <f ca="1">D1870*Reference!$D$7*(1-IF(MONTH($A1870)=Reference!$D$6,1,0)*Reference!$D$12)</f>
        <v>318750</v>
      </c>
      <c r="M1870" s="20"/>
      <c r="N1870" s="20"/>
      <c r="O1870" s="19"/>
      <c r="P1870" s="10"/>
      <c r="Q1870" s="10"/>
      <c r="R1870" s="10"/>
      <c r="S1870" s="10"/>
      <c r="T1870" s="10"/>
      <c r="U1870" s="10"/>
      <c r="V1870" s="10"/>
      <c r="W1870" s="10"/>
      <c r="X1870" s="10"/>
      <c r="Y1870" s="10"/>
    </row>
    <row r="1871" spans="1:25" x14ac:dyDescent="0.25">
      <c r="A1871" s="9">
        <v>42409</v>
      </c>
      <c r="B1871" s="10">
        <f ca="1">ROUND(_xlfn.NORM.INV(RAND(),Reference!$C$8,0.1*Reference!$C$8)*(1+Reference!$C$11*(IF(MONTH($A1871)=Reference!$C$4,1,0)+IF(MONTH($A1871)=Reference!$C$5,1,0))+(IF(MONTH($A1871)=Reference!$C$6,Reference!$C$13,0))),0)</f>
        <v>363</v>
      </c>
      <c r="C1871" s="11">
        <f ca="1">B1871*Reference!$C$7*(1-IF(MONTH($A1871)=Reference!$C$6,1,0)*Reference!$C$12)</f>
        <v>337590</v>
      </c>
      <c r="D1871" s="10">
        <f ca="1">ROUND(_xlfn.NORM.INV(RAND(),Reference!$D$8,0.1*Reference!$D$8)*(1+Reference!$D$11*(IF(MONTH($A1871)=Reference!$D$4,1,0)+IF(MONTH($A1871)=Reference!$D$5,1,0))+(IF(MONTH($A1871)=Reference!$D$6,Reference!$D$13,0))),0)</f>
        <v>414</v>
      </c>
      <c r="E1871" s="11">
        <f ca="1">D1871*Reference!$D$7*(1-IF(MONTH($A1871)=Reference!$D$6,1,0)*Reference!$D$12)</f>
        <v>310500</v>
      </c>
      <c r="M1871" s="20"/>
      <c r="N1871" s="20"/>
      <c r="O1871" s="19"/>
      <c r="P1871" s="10"/>
      <c r="Q1871" s="10"/>
      <c r="R1871" s="10"/>
      <c r="S1871" s="10"/>
      <c r="T1871" s="10"/>
      <c r="U1871" s="10"/>
      <c r="V1871" s="10"/>
      <c r="W1871" s="10"/>
      <c r="X1871" s="10"/>
      <c r="Y1871" s="10"/>
    </row>
    <row r="1872" spans="1:25" x14ac:dyDescent="0.25">
      <c r="A1872" s="9">
        <v>42410</v>
      </c>
      <c r="B1872" s="10">
        <f ca="1">ROUND(_xlfn.NORM.INV(RAND(),Reference!$C$8,0.1*Reference!$C$8)*(1+Reference!$C$11*(IF(MONTH($A1872)=Reference!$C$4,1,0)+IF(MONTH($A1872)=Reference!$C$5,1,0))+(IF(MONTH($A1872)=Reference!$C$6,Reference!$C$13,0))),0)</f>
        <v>377</v>
      </c>
      <c r="C1872" s="11">
        <f ca="1">B1872*Reference!$C$7*(1-IF(MONTH($A1872)=Reference!$C$6,1,0)*Reference!$C$12)</f>
        <v>350610</v>
      </c>
      <c r="D1872" s="10">
        <f ca="1">ROUND(_xlfn.NORM.INV(RAND(),Reference!$D$8,0.1*Reference!$D$8)*(1+Reference!$D$11*(IF(MONTH($A1872)=Reference!$D$4,1,0)+IF(MONTH($A1872)=Reference!$D$5,1,0))+(IF(MONTH($A1872)=Reference!$D$6,Reference!$D$13,0))),0)</f>
        <v>501</v>
      </c>
      <c r="E1872" s="11">
        <f ca="1">D1872*Reference!$D$7*(1-IF(MONTH($A1872)=Reference!$D$6,1,0)*Reference!$D$12)</f>
        <v>375750</v>
      </c>
      <c r="M1872" s="20"/>
      <c r="N1872" s="20"/>
      <c r="O1872" s="19"/>
      <c r="P1872" s="10"/>
      <c r="Q1872" s="10"/>
      <c r="R1872" s="10"/>
      <c r="S1872" s="10"/>
      <c r="T1872" s="10"/>
      <c r="U1872" s="10"/>
      <c r="V1872" s="10"/>
      <c r="W1872" s="10"/>
      <c r="X1872" s="10"/>
      <c r="Y1872" s="10"/>
    </row>
    <row r="1873" spans="1:25" x14ac:dyDescent="0.25">
      <c r="A1873" s="9">
        <v>42411</v>
      </c>
      <c r="B1873" s="10">
        <f ca="1">ROUND(_xlfn.NORM.INV(RAND(),Reference!$C$8,0.1*Reference!$C$8)*(1+Reference!$C$11*(IF(MONTH($A1873)=Reference!$C$4,1,0)+IF(MONTH($A1873)=Reference!$C$5,1,0))+(IF(MONTH($A1873)=Reference!$C$6,Reference!$C$13,0))),0)</f>
        <v>348</v>
      </c>
      <c r="C1873" s="11">
        <f ca="1">B1873*Reference!$C$7*(1-IF(MONTH($A1873)=Reference!$C$6,1,0)*Reference!$C$12)</f>
        <v>323640</v>
      </c>
      <c r="D1873" s="10">
        <f ca="1">ROUND(_xlfn.NORM.INV(RAND(),Reference!$D$8,0.1*Reference!$D$8)*(1+Reference!$D$11*(IF(MONTH($A1873)=Reference!$D$4,1,0)+IF(MONTH($A1873)=Reference!$D$5,1,0))+(IF(MONTH($A1873)=Reference!$D$6,Reference!$D$13,0))),0)</f>
        <v>420</v>
      </c>
      <c r="E1873" s="11">
        <f ca="1">D1873*Reference!$D$7*(1-IF(MONTH($A1873)=Reference!$D$6,1,0)*Reference!$D$12)</f>
        <v>315000</v>
      </c>
      <c r="M1873" s="20"/>
      <c r="N1873" s="20"/>
      <c r="O1873" s="19"/>
      <c r="P1873" s="10"/>
      <c r="Q1873" s="10"/>
      <c r="R1873" s="10"/>
      <c r="S1873" s="10"/>
      <c r="T1873" s="10"/>
      <c r="U1873" s="10"/>
      <c r="V1873" s="10"/>
      <c r="W1873" s="10"/>
      <c r="X1873" s="10"/>
      <c r="Y1873" s="10"/>
    </row>
    <row r="1874" spans="1:25" x14ac:dyDescent="0.25">
      <c r="A1874" s="9">
        <v>42412</v>
      </c>
      <c r="B1874" s="10">
        <f ca="1">ROUND(_xlfn.NORM.INV(RAND(),Reference!$C$8,0.1*Reference!$C$8)*(1+Reference!$C$11*(IF(MONTH($A1874)=Reference!$C$4,1,0)+IF(MONTH($A1874)=Reference!$C$5,1,0))+(IF(MONTH($A1874)=Reference!$C$6,Reference!$C$13,0))),0)</f>
        <v>369</v>
      </c>
      <c r="C1874" s="11">
        <f ca="1">B1874*Reference!$C$7*(1-IF(MONTH($A1874)=Reference!$C$6,1,0)*Reference!$C$12)</f>
        <v>343170</v>
      </c>
      <c r="D1874" s="10">
        <f ca="1">ROUND(_xlfn.NORM.INV(RAND(),Reference!$D$8,0.1*Reference!$D$8)*(1+Reference!$D$11*(IF(MONTH($A1874)=Reference!$D$4,1,0)+IF(MONTH($A1874)=Reference!$D$5,1,0))+(IF(MONTH($A1874)=Reference!$D$6,Reference!$D$13,0))),0)</f>
        <v>426</v>
      </c>
      <c r="E1874" s="11">
        <f ca="1">D1874*Reference!$D$7*(1-IF(MONTH($A1874)=Reference!$D$6,1,0)*Reference!$D$12)</f>
        <v>319500</v>
      </c>
      <c r="M1874" s="20"/>
      <c r="N1874" s="20"/>
      <c r="O1874" s="19"/>
      <c r="P1874" s="10"/>
      <c r="Q1874" s="10"/>
      <c r="R1874" s="10"/>
      <c r="S1874" s="10"/>
      <c r="T1874" s="10"/>
      <c r="U1874" s="10"/>
      <c r="V1874" s="10"/>
      <c r="W1874" s="10"/>
      <c r="X1874" s="10"/>
      <c r="Y1874" s="10"/>
    </row>
    <row r="1875" spans="1:25" x14ac:dyDescent="0.25">
      <c r="A1875" s="9">
        <v>42413</v>
      </c>
      <c r="B1875" s="10">
        <f ca="1">ROUND(_xlfn.NORM.INV(RAND(),Reference!$C$8,0.1*Reference!$C$8)*(1+Reference!$C$11*(IF(MONTH($A1875)=Reference!$C$4,1,0)+IF(MONTH($A1875)=Reference!$C$5,1,0))+(IF(MONTH($A1875)=Reference!$C$6,Reference!$C$13,0))),0)</f>
        <v>324</v>
      </c>
      <c r="C1875" s="11">
        <f ca="1">B1875*Reference!$C$7*(1-IF(MONTH($A1875)=Reference!$C$6,1,0)*Reference!$C$12)</f>
        <v>301320</v>
      </c>
      <c r="D1875" s="10">
        <f ca="1">ROUND(_xlfn.NORM.INV(RAND(),Reference!$D$8,0.1*Reference!$D$8)*(1+Reference!$D$11*(IF(MONTH($A1875)=Reference!$D$4,1,0)+IF(MONTH($A1875)=Reference!$D$5,1,0))+(IF(MONTH($A1875)=Reference!$D$6,Reference!$D$13,0))),0)</f>
        <v>407</v>
      </c>
      <c r="E1875" s="11">
        <f ca="1">D1875*Reference!$D$7*(1-IF(MONTH($A1875)=Reference!$D$6,1,0)*Reference!$D$12)</f>
        <v>305250</v>
      </c>
      <c r="M1875" s="20"/>
      <c r="N1875" s="20"/>
      <c r="O1875" s="19"/>
      <c r="P1875" s="10"/>
      <c r="Q1875" s="10"/>
      <c r="R1875" s="10"/>
      <c r="S1875" s="10"/>
      <c r="T1875" s="10"/>
      <c r="U1875" s="10"/>
      <c r="V1875" s="10"/>
      <c r="W1875" s="10"/>
      <c r="X1875" s="10"/>
      <c r="Y1875" s="10"/>
    </row>
    <row r="1876" spans="1:25" x14ac:dyDescent="0.25">
      <c r="A1876" s="9">
        <v>42414</v>
      </c>
      <c r="B1876" s="10">
        <f ca="1">ROUND(_xlfn.NORM.INV(RAND(),Reference!$C$8,0.1*Reference!$C$8)*(1+Reference!$C$11*(IF(MONTH($A1876)=Reference!$C$4,1,0)+IF(MONTH($A1876)=Reference!$C$5,1,0))+(IF(MONTH($A1876)=Reference!$C$6,Reference!$C$13,0))),0)</f>
        <v>336</v>
      </c>
      <c r="C1876" s="11">
        <f ca="1">B1876*Reference!$C$7*(1-IF(MONTH($A1876)=Reference!$C$6,1,0)*Reference!$C$12)</f>
        <v>312480</v>
      </c>
      <c r="D1876" s="10">
        <f ca="1">ROUND(_xlfn.NORM.INV(RAND(),Reference!$D$8,0.1*Reference!$D$8)*(1+Reference!$D$11*(IF(MONTH($A1876)=Reference!$D$4,1,0)+IF(MONTH($A1876)=Reference!$D$5,1,0))+(IF(MONTH($A1876)=Reference!$D$6,Reference!$D$13,0))),0)</f>
        <v>406</v>
      </c>
      <c r="E1876" s="11">
        <f ca="1">D1876*Reference!$D$7*(1-IF(MONTH($A1876)=Reference!$D$6,1,0)*Reference!$D$12)</f>
        <v>304500</v>
      </c>
      <c r="M1876" s="20"/>
      <c r="N1876" s="20"/>
      <c r="O1876" s="19"/>
      <c r="P1876" s="10"/>
      <c r="Q1876" s="10"/>
      <c r="R1876" s="10"/>
      <c r="S1876" s="10"/>
      <c r="T1876" s="10"/>
      <c r="U1876" s="10"/>
      <c r="V1876" s="10"/>
      <c r="W1876" s="10"/>
      <c r="X1876" s="10"/>
      <c r="Y1876" s="10"/>
    </row>
    <row r="1877" spans="1:25" x14ac:dyDescent="0.25">
      <c r="A1877" s="9">
        <v>42415</v>
      </c>
      <c r="B1877" s="10">
        <f ca="1">ROUND(_xlfn.NORM.INV(RAND(),Reference!$C$8,0.1*Reference!$C$8)*(1+Reference!$C$11*(IF(MONTH($A1877)=Reference!$C$4,1,0)+IF(MONTH($A1877)=Reference!$C$5,1,0))+(IF(MONTH($A1877)=Reference!$C$6,Reference!$C$13,0))),0)</f>
        <v>399</v>
      </c>
      <c r="C1877" s="11">
        <f ca="1">B1877*Reference!$C$7*(1-IF(MONTH($A1877)=Reference!$C$6,1,0)*Reference!$C$12)</f>
        <v>371070</v>
      </c>
      <c r="D1877" s="10">
        <f ca="1">ROUND(_xlfn.NORM.INV(RAND(),Reference!$D$8,0.1*Reference!$D$8)*(1+Reference!$D$11*(IF(MONTH($A1877)=Reference!$D$4,1,0)+IF(MONTH($A1877)=Reference!$D$5,1,0))+(IF(MONTH($A1877)=Reference!$D$6,Reference!$D$13,0))),0)</f>
        <v>410</v>
      </c>
      <c r="E1877" s="11">
        <f ca="1">D1877*Reference!$D$7*(1-IF(MONTH($A1877)=Reference!$D$6,1,0)*Reference!$D$12)</f>
        <v>307500</v>
      </c>
      <c r="M1877" s="20"/>
      <c r="N1877" s="20"/>
      <c r="O1877" s="19"/>
      <c r="P1877" s="10"/>
      <c r="Q1877" s="10"/>
      <c r="R1877" s="10"/>
      <c r="S1877" s="10"/>
      <c r="T1877" s="10"/>
      <c r="U1877" s="10"/>
      <c r="V1877" s="10"/>
      <c r="W1877" s="10"/>
      <c r="X1877" s="10"/>
      <c r="Y1877" s="10"/>
    </row>
    <row r="1878" spans="1:25" x14ac:dyDescent="0.25">
      <c r="A1878" s="9">
        <v>42416</v>
      </c>
      <c r="B1878" s="10">
        <f ca="1">ROUND(_xlfn.NORM.INV(RAND(),Reference!$C$8,0.1*Reference!$C$8)*(1+Reference!$C$11*(IF(MONTH($A1878)=Reference!$C$4,1,0)+IF(MONTH($A1878)=Reference!$C$5,1,0))+(IF(MONTH($A1878)=Reference!$C$6,Reference!$C$13,0))),0)</f>
        <v>353</v>
      </c>
      <c r="C1878" s="11">
        <f ca="1">B1878*Reference!$C$7*(1-IF(MONTH($A1878)=Reference!$C$6,1,0)*Reference!$C$12)</f>
        <v>328290</v>
      </c>
      <c r="D1878" s="10">
        <f ca="1">ROUND(_xlfn.NORM.INV(RAND(),Reference!$D$8,0.1*Reference!$D$8)*(1+Reference!$D$11*(IF(MONTH($A1878)=Reference!$D$4,1,0)+IF(MONTH($A1878)=Reference!$D$5,1,0))+(IF(MONTH($A1878)=Reference!$D$6,Reference!$D$13,0))),0)</f>
        <v>370</v>
      </c>
      <c r="E1878" s="11">
        <f ca="1">D1878*Reference!$D$7*(1-IF(MONTH($A1878)=Reference!$D$6,1,0)*Reference!$D$12)</f>
        <v>277500</v>
      </c>
      <c r="M1878" s="20"/>
      <c r="N1878" s="20"/>
      <c r="O1878" s="19"/>
      <c r="P1878" s="10"/>
      <c r="Q1878" s="10"/>
      <c r="R1878" s="10"/>
      <c r="S1878" s="10"/>
      <c r="T1878" s="10"/>
      <c r="U1878" s="10"/>
      <c r="V1878" s="10"/>
      <c r="W1878" s="10"/>
      <c r="X1878" s="10"/>
      <c r="Y1878" s="10"/>
    </row>
    <row r="1879" spans="1:25" x14ac:dyDescent="0.25">
      <c r="A1879" s="9">
        <v>42417</v>
      </c>
      <c r="B1879" s="10">
        <f ca="1">ROUND(_xlfn.NORM.INV(RAND(),Reference!$C$8,0.1*Reference!$C$8)*(1+Reference!$C$11*(IF(MONTH($A1879)=Reference!$C$4,1,0)+IF(MONTH($A1879)=Reference!$C$5,1,0))+(IF(MONTH($A1879)=Reference!$C$6,Reference!$C$13,0))),0)</f>
        <v>390</v>
      </c>
      <c r="C1879" s="11">
        <f ca="1">B1879*Reference!$C$7*(1-IF(MONTH($A1879)=Reference!$C$6,1,0)*Reference!$C$12)</f>
        <v>362700</v>
      </c>
      <c r="D1879" s="10">
        <f ca="1">ROUND(_xlfn.NORM.INV(RAND(),Reference!$D$8,0.1*Reference!$D$8)*(1+Reference!$D$11*(IF(MONTH($A1879)=Reference!$D$4,1,0)+IF(MONTH($A1879)=Reference!$D$5,1,0))+(IF(MONTH($A1879)=Reference!$D$6,Reference!$D$13,0))),0)</f>
        <v>412</v>
      </c>
      <c r="E1879" s="11">
        <f ca="1">D1879*Reference!$D$7*(1-IF(MONTH($A1879)=Reference!$D$6,1,0)*Reference!$D$12)</f>
        <v>309000</v>
      </c>
      <c r="M1879" s="20"/>
      <c r="N1879" s="20"/>
      <c r="O1879" s="19"/>
      <c r="P1879" s="10"/>
      <c r="Q1879" s="10"/>
      <c r="R1879" s="10"/>
      <c r="S1879" s="10"/>
      <c r="T1879" s="10"/>
      <c r="U1879" s="10"/>
      <c r="V1879" s="10"/>
      <c r="W1879" s="10"/>
      <c r="X1879" s="10"/>
      <c r="Y1879" s="10"/>
    </row>
    <row r="1880" spans="1:25" x14ac:dyDescent="0.25">
      <c r="A1880" s="9">
        <v>42418</v>
      </c>
      <c r="B1880" s="10">
        <f ca="1">ROUND(_xlfn.NORM.INV(RAND(),Reference!$C$8,0.1*Reference!$C$8)*(1+Reference!$C$11*(IF(MONTH($A1880)=Reference!$C$4,1,0)+IF(MONTH($A1880)=Reference!$C$5,1,0))+(IF(MONTH($A1880)=Reference!$C$6,Reference!$C$13,0))),0)</f>
        <v>356</v>
      </c>
      <c r="C1880" s="11">
        <f ca="1">B1880*Reference!$C$7*(1-IF(MONTH($A1880)=Reference!$C$6,1,0)*Reference!$C$12)</f>
        <v>331080</v>
      </c>
      <c r="D1880" s="10">
        <f ca="1">ROUND(_xlfn.NORM.INV(RAND(),Reference!$D$8,0.1*Reference!$D$8)*(1+Reference!$D$11*(IF(MONTH($A1880)=Reference!$D$4,1,0)+IF(MONTH($A1880)=Reference!$D$5,1,0))+(IF(MONTH($A1880)=Reference!$D$6,Reference!$D$13,0))),0)</f>
        <v>452</v>
      </c>
      <c r="E1880" s="11">
        <f ca="1">D1880*Reference!$D$7*(1-IF(MONTH($A1880)=Reference!$D$6,1,0)*Reference!$D$12)</f>
        <v>339000</v>
      </c>
      <c r="M1880" s="20"/>
      <c r="N1880" s="20"/>
      <c r="O1880" s="19"/>
      <c r="P1880" s="10"/>
      <c r="Q1880" s="10"/>
      <c r="R1880" s="10"/>
      <c r="S1880" s="10"/>
      <c r="T1880" s="10"/>
      <c r="U1880" s="10"/>
      <c r="V1880" s="10"/>
      <c r="W1880" s="10"/>
      <c r="X1880" s="10"/>
      <c r="Y1880" s="10"/>
    </row>
    <row r="1881" spans="1:25" x14ac:dyDescent="0.25">
      <c r="A1881" s="9">
        <v>42419</v>
      </c>
      <c r="B1881" s="10">
        <f ca="1">ROUND(_xlfn.NORM.INV(RAND(),Reference!$C$8,0.1*Reference!$C$8)*(1+Reference!$C$11*(IF(MONTH($A1881)=Reference!$C$4,1,0)+IF(MONTH($A1881)=Reference!$C$5,1,0))+(IF(MONTH($A1881)=Reference!$C$6,Reference!$C$13,0))),0)</f>
        <v>374</v>
      </c>
      <c r="C1881" s="11">
        <f ca="1">B1881*Reference!$C$7*(1-IF(MONTH($A1881)=Reference!$C$6,1,0)*Reference!$C$12)</f>
        <v>347820</v>
      </c>
      <c r="D1881" s="10">
        <f ca="1">ROUND(_xlfn.NORM.INV(RAND(),Reference!$D$8,0.1*Reference!$D$8)*(1+Reference!$D$11*(IF(MONTH($A1881)=Reference!$D$4,1,0)+IF(MONTH($A1881)=Reference!$D$5,1,0))+(IF(MONTH($A1881)=Reference!$D$6,Reference!$D$13,0))),0)</f>
        <v>504</v>
      </c>
      <c r="E1881" s="11">
        <f ca="1">D1881*Reference!$D$7*(1-IF(MONTH($A1881)=Reference!$D$6,1,0)*Reference!$D$12)</f>
        <v>378000</v>
      </c>
      <c r="M1881" s="20"/>
      <c r="N1881" s="20"/>
      <c r="O1881" s="19"/>
      <c r="P1881" s="10"/>
      <c r="Q1881" s="10"/>
      <c r="R1881" s="10"/>
      <c r="S1881" s="10"/>
      <c r="T1881" s="10"/>
      <c r="U1881" s="10"/>
      <c r="V1881" s="10"/>
      <c r="W1881" s="10"/>
      <c r="X1881" s="10"/>
      <c r="Y1881" s="10"/>
    </row>
    <row r="1882" spans="1:25" x14ac:dyDescent="0.25">
      <c r="A1882" s="9">
        <v>42420</v>
      </c>
      <c r="B1882" s="10">
        <f ca="1">ROUND(_xlfn.NORM.INV(RAND(),Reference!$C$8,0.1*Reference!$C$8)*(1+Reference!$C$11*(IF(MONTH($A1882)=Reference!$C$4,1,0)+IF(MONTH($A1882)=Reference!$C$5,1,0))+(IF(MONTH($A1882)=Reference!$C$6,Reference!$C$13,0))),0)</f>
        <v>366</v>
      </c>
      <c r="C1882" s="11">
        <f ca="1">B1882*Reference!$C$7*(1-IF(MONTH($A1882)=Reference!$C$6,1,0)*Reference!$C$12)</f>
        <v>340380</v>
      </c>
      <c r="D1882" s="10">
        <f ca="1">ROUND(_xlfn.NORM.INV(RAND(),Reference!$D$8,0.1*Reference!$D$8)*(1+Reference!$D$11*(IF(MONTH($A1882)=Reference!$D$4,1,0)+IF(MONTH($A1882)=Reference!$D$5,1,0))+(IF(MONTH($A1882)=Reference!$D$6,Reference!$D$13,0))),0)</f>
        <v>465</v>
      </c>
      <c r="E1882" s="11">
        <f ca="1">D1882*Reference!$D$7*(1-IF(MONTH($A1882)=Reference!$D$6,1,0)*Reference!$D$12)</f>
        <v>348750</v>
      </c>
      <c r="M1882" s="20"/>
      <c r="N1882" s="20"/>
      <c r="O1882" s="19"/>
      <c r="P1882" s="10"/>
      <c r="Q1882" s="10"/>
      <c r="R1882" s="10"/>
      <c r="S1882" s="10"/>
      <c r="T1882" s="10"/>
      <c r="U1882" s="10"/>
      <c r="V1882" s="10"/>
      <c r="W1882" s="10"/>
      <c r="X1882" s="10"/>
      <c r="Y1882" s="10"/>
    </row>
    <row r="1883" spans="1:25" x14ac:dyDescent="0.25">
      <c r="A1883" s="9">
        <v>42421</v>
      </c>
      <c r="B1883" s="10">
        <f ca="1">ROUND(_xlfn.NORM.INV(RAND(),Reference!$C$8,0.1*Reference!$C$8)*(1+Reference!$C$11*(IF(MONTH($A1883)=Reference!$C$4,1,0)+IF(MONTH($A1883)=Reference!$C$5,1,0))+(IF(MONTH($A1883)=Reference!$C$6,Reference!$C$13,0))),0)</f>
        <v>349</v>
      </c>
      <c r="C1883" s="11">
        <f ca="1">B1883*Reference!$C$7*(1-IF(MONTH($A1883)=Reference!$C$6,1,0)*Reference!$C$12)</f>
        <v>324570</v>
      </c>
      <c r="D1883" s="10">
        <f ca="1">ROUND(_xlfn.NORM.INV(RAND(),Reference!$D$8,0.1*Reference!$D$8)*(1+Reference!$D$11*(IF(MONTH($A1883)=Reference!$D$4,1,0)+IF(MONTH($A1883)=Reference!$D$5,1,0))+(IF(MONTH($A1883)=Reference!$D$6,Reference!$D$13,0))),0)</f>
        <v>383</v>
      </c>
      <c r="E1883" s="11">
        <f ca="1">D1883*Reference!$D$7*(1-IF(MONTH($A1883)=Reference!$D$6,1,0)*Reference!$D$12)</f>
        <v>287250</v>
      </c>
      <c r="M1883" s="20"/>
      <c r="N1883" s="20"/>
      <c r="O1883" s="19"/>
      <c r="P1883" s="10"/>
      <c r="Q1883" s="10"/>
      <c r="R1883" s="10"/>
      <c r="S1883" s="10"/>
      <c r="T1883" s="10"/>
      <c r="U1883" s="10"/>
      <c r="V1883" s="10"/>
      <c r="W1883" s="10"/>
      <c r="X1883" s="10"/>
      <c r="Y1883" s="10"/>
    </row>
    <row r="1884" spans="1:25" x14ac:dyDescent="0.25">
      <c r="A1884" s="9">
        <v>42422</v>
      </c>
      <c r="B1884" s="10">
        <f ca="1">ROUND(_xlfn.NORM.INV(RAND(),Reference!$C$8,0.1*Reference!$C$8)*(1+Reference!$C$11*(IF(MONTH($A1884)=Reference!$C$4,1,0)+IF(MONTH($A1884)=Reference!$C$5,1,0))+(IF(MONTH($A1884)=Reference!$C$6,Reference!$C$13,0))),0)</f>
        <v>353</v>
      </c>
      <c r="C1884" s="11">
        <f ca="1">B1884*Reference!$C$7*(1-IF(MONTH($A1884)=Reference!$C$6,1,0)*Reference!$C$12)</f>
        <v>328290</v>
      </c>
      <c r="D1884" s="10">
        <f ca="1">ROUND(_xlfn.NORM.INV(RAND(),Reference!$D$8,0.1*Reference!$D$8)*(1+Reference!$D$11*(IF(MONTH($A1884)=Reference!$D$4,1,0)+IF(MONTH($A1884)=Reference!$D$5,1,0))+(IF(MONTH($A1884)=Reference!$D$6,Reference!$D$13,0))),0)</f>
        <v>456</v>
      </c>
      <c r="E1884" s="11">
        <f ca="1">D1884*Reference!$D$7*(1-IF(MONTH($A1884)=Reference!$D$6,1,0)*Reference!$D$12)</f>
        <v>342000</v>
      </c>
      <c r="M1884" s="20"/>
      <c r="N1884" s="20"/>
      <c r="O1884" s="19"/>
      <c r="P1884" s="10"/>
      <c r="Q1884" s="10"/>
      <c r="R1884" s="10"/>
      <c r="S1884" s="10"/>
      <c r="T1884" s="10"/>
      <c r="U1884" s="10"/>
      <c r="V1884" s="10"/>
      <c r="W1884" s="10"/>
      <c r="X1884" s="10"/>
      <c r="Y1884" s="10"/>
    </row>
    <row r="1885" spans="1:25" x14ac:dyDescent="0.25">
      <c r="A1885" s="9">
        <v>42423</v>
      </c>
      <c r="B1885" s="10">
        <f ca="1">ROUND(_xlfn.NORM.INV(RAND(),Reference!$C$8,0.1*Reference!$C$8)*(1+Reference!$C$11*(IF(MONTH($A1885)=Reference!$C$4,1,0)+IF(MONTH($A1885)=Reference!$C$5,1,0))+(IF(MONTH($A1885)=Reference!$C$6,Reference!$C$13,0))),0)</f>
        <v>391</v>
      </c>
      <c r="C1885" s="11">
        <f ca="1">B1885*Reference!$C$7*(1-IF(MONTH($A1885)=Reference!$C$6,1,0)*Reference!$C$12)</f>
        <v>363630</v>
      </c>
      <c r="D1885" s="10">
        <f ca="1">ROUND(_xlfn.NORM.INV(RAND(),Reference!$D$8,0.1*Reference!$D$8)*(1+Reference!$D$11*(IF(MONTH($A1885)=Reference!$D$4,1,0)+IF(MONTH($A1885)=Reference!$D$5,1,0))+(IF(MONTH($A1885)=Reference!$D$6,Reference!$D$13,0))),0)</f>
        <v>504</v>
      </c>
      <c r="E1885" s="11">
        <f ca="1">D1885*Reference!$D$7*(1-IF(MONTH($A1885)=Reference!$D$6,1,0)*Reference!$D$12)</f>
        <v>378000</v>
      </c>
      <c r="M1885" s="20"/>
      <c r="N1885" s="20"/>
      <c r="O1885" s="19"/>
      <c r="P1885" s="10"/>
      <c r="Q1885" s="10"/>
      <c r="R1885" s="10"/>
      <c r="S1885" s="10"/>
      <c r="T1885" s="10"/>
      <c r="U1885" s="10"/>
      <c r="V1885" s="10"/>
      <c r="W1885" s="10"/>
      <c r="X1885" s="10"/>
      <c r="Y1885" s="10"/>
    </row>
    <row r="1886" spans="1:25" x14ac:dyDescent="0.25">
      <c r="A1886" s="9">
        <v>42424</v>
      </c>
      <c r="B1886" s="10">
        <f ca="1">ROUND(_xlfn.NORM.INV(RAND(),Reference!$C$8,0.1*Reference!$C$8)*(1+Reference!$C$11*(IF(MONTH($A1886)=Reference!$C$4,1,0)+IF(MONTH($A1886)=Reference!$C$5,1,0))+(IF(MONTH($A1886)=Reference!$C$6,Reference!$C$13,0))),0)</f>
        <v>356</v>
      </c>
      <c r="C1886" s="11">
        <f ca="1">B1886*Reference!$C$7*(1-IF(MONTH($A1886)=Reference!$C$6,1,0)*Reference!$C$12)</f>
        <v>331080</v>
      </c>
      <c r="D1886" s="10">
        <f ca="1">ROUND(_xlfn.NORM.INV(RAND(),Reference!$D$8,0.1*Reference!$D$8)*(1+Reference!$D$11*(IF(MONTH($A1886)=Reference!$D$4,1,0)+IF(MONTH($A1886)=Reference!$D$5,1,0))+(IF(MONTH($A1886)=Reference!$D$6,Reference!$D$13,0))),0)</f>
        <v>449</v>
      </c>
      <c r="E1886" s="11">
        <f ca="1">D1886*Reference!$D$7*(1-IF(MONTH($A1886)=Reference!$D$6,1,0)*Reference!$D$12)</f>
        <v>336750</v>
      </c>
      <c r="M1886" s="20"/>
      <c r="N1886" s="20"/>
      <c r="O1886" s="19"/>
      <c r="P1886" s="10"/>
      <c r="Q1886" s="10"/>
      <c r="R1886" s="10"/>
      <c r="S1886" s="10"/>
      <c r="T1886" s="10"/>
      <c r="U1886" s="10"/>
      <c r="V1886" s="10"/>
      <c r="W1886" s="10"/>
      <c r="X1886" s="10"/>
      <c r="Y1886" s="10"/>
    </row>
    <row r="1887" spans="1:25" x14ac:dyDescent="0.25">
      <c r="A1887" s="9">
        <v>42425</v>
      </c>
      <c r="B1887" s="10">
        <f ca="1">ROUND(_xlfn.NORM.INV(RAND(),Reference!$C$8,0.1*Reference!$C$8)*(1+Reference!$C$11*(IF(MONTH($A1887)=Reference!$C$4,1,0)+IF(MONTH($A1887)=Reference!$C$5,1,0))+(IF(MONTH($A1887)=Reference!$C$6,Reference!$C$13,0))),0)</f>
        <v>298</v>
      </c>
      <c r="C1887" s="11">
        <f ca="1">B1887*Reference!$C$7*(1-IF(MONTH($A1887)=Reference!$C$6,1,0)*Reference!$C$12)</f>
        <v>277140</v>
      </c>
      <c r="D1887" s="10">
        <f ca="1">ROUND(_xlfn.NORM.INV(RAND(),Reference!$D$8,0.1*Reference!$D$8)*(1+Reference!$D$11*(IF(MONTH($A1887)=Reference!$D$4,1,0)+IF(MONTH($A1887)=Reference!$D$5,1,0))+(IF(MONTH($A1887)=Reference!$D$6,Reference!$D$13,0))),0)</f>
        <v>451</v>
      </c>
      <c r="E1887" s="11">
        <f ca="1">D1887*Reference!$D$7*(1-IF(MONTH($A1887)=Reference!$D$6,1,0)*Reference!$D$12)</f>
        <v>338250</v>
      </c>
      <c r="M1887" s="20"/>
      <c r="N1887" s="20"/>
      <c r="O1887" s="19"/>
      <c r="P1887" s="10"/>
      <c r="Q1887" s="10"/>
      <c r="R1887" s="10"/>
      <c r="S1887" s="10"/>
      <c r="T1887" s="10"/>
      <c r="U1887" s="10"/>
      <c r="V1887" s="10"/>
      <c r="W1887" s="10"/>
      <c r="X1887" s="10"/>
      <c r="Y1887" s="10"/>
    </row>
    <row r="1888" spans="1:25" x14ac:dyDescent="0.25">
      <c r="A1888" s="9">
        <v>42426</v>
      </c>
      <c r="B1888" s="10">
        <f ca="1">ROUND(_xlfn.NORM.INV(RAND(),Reference!$C$8,0.1*Reference!$C$8)*(1+Reference!$C$11*(IF(MONTH($A1888)=Reference!$C$4,1,0)+IF(MONTH($A1888)=Reference!$C$5,1,0))+(IF(MONTH($A1888)=Reference!$C$6,Reference!$C$13,0))),0)</f>
        <v>382</v>
      </c>
      <c r="C1888" s="11">
        <f ca="1">B1888*Reference!$C$7*(1-IF(MONTH($A1888)=Reference!$C$6,1,0)*Reference!$C$12)</f>
        <v>355260</v>
      </c>
      <c r="D1888" s="10">
        <f ca="1">ROUND(_xlfn.NORM.INV(RAND(),Reference!$D$8,0.1*Reference!$D$8)*(1+Reference!$D$11*(IF(MONTH($A1888)=Reference!$D$4,1,0)+IF(MONTH($A1888)=Reference!$D$5,1,0))+(IF(MONTH($A1888)=Reference!$D$6,Reference!$D$13,0))),0)</f>
        <v>487</v>
      </c>
      <c r="E1888" s="11">
        <f ca="1">D1888*Reference!$D$7*(1-IF(MONTH($A1888)=Reference!$D$6,1,0)*Reference!$D$12)</f>
        <v>365250</v>
      </c>
      <c r="M1888" s="20"/>
      <c r="N1888" s="20"/>
      <c r="O1888" s="19"/>
      <c r="P1888" s="10"/>
      <c r="Q1888" s="10"/>
      <c r="R1888" s="10"/>
      <c r="S1888" s="10"/>
      <c r="T1888" s="10"/>
      <c r="U1888" s="10"/>
      <c r="V1888" s="10"/>
      <c r="W1888" s="10"/>
      <c r="X1888" s="10"/>
      <c r="Y1888" s="10"/>
    </row>
    <row r="1889" spans="1:25" x14ac:dyDescent="0.25">
      <c r="A1889" s="9">
        <v>42427</v>
      </c>
      <c r="B1889" s="10">
        <f ca="1">ROUND(_xlfn.NORM.INV(RAND(),Reference!$C$8,0.1*Reference!$C$8)*(1+Reference!$C$11*(IF(MONTH($A1889)=Reference!$C$4,1,0)+IF(MONTH($A1889)=Reference!$C$5,1,0))+(IF(MONTH($A1889)=Reference!$C$6,Reference!$C$13,0))),0)</f>
        <v>411</v>
      </c>
      <c r="C1889" s="11">
        <f ca="1">B1889*Reference!$C$7*(1-IF(MONTH($A1889)=Reference!$C$6,1,0)*Reference!$C$12)</f>
        <v>382230</v>
      </c>
      <c r="D1889" s="10">
        <f ca="1">ROUND(_xlfn.NORM.INV(RAND(),Reference!$D$8,0.1*Reference!$D$8)*(1+Reference!$D$11*(IF(MONTH($A1889)=Reference!$D$4,1,0)+IF(MONTH($A1889)=Reference!$D$5,1,0))+(IF(MONTH($A1889)=Reference!$D$6,Reference!$D$13,0))),0)</f>
        <v>479</v>
      </c>
      <c r="E1889" s="11">
        <f ca="1">D1889*Reference!$D$7*(1-IF(MONTH($A1889)=Reference!$D$6,1,0)*Reference!$D$12)</f>
        <v>359250</v>
      </c>
      <c r="M1889" s="20"/>
      <c r="N1889" s="20"/>
      <c r="O1889" s="19"/>
      <c r="P1889" s="10"/>
      <c r="Q1889" s="10"/>
      <c r="R1889" s="10"/>
      <c r="S1889" s="10"/>
      <c r="T1889" s="10"/>
      <c r="U1889" s="10"/>
      <c r="V1889" s="10"/>
      <c r="W1889" s="10"/>
      <c r="X1889" s="10"/>
      <c r="Y1889" s="10"/>
    </row>
    <row r="1890" spans="1:25" x14ac:dyDescent="0.25">
      <c r="A1890" s="9">
        <v>42428</v>
      </c>
      <c r="B1890" s="10">
        <f ca="1">ROUND(_xlfn.NORM.INV(RAND(),Reference!$C$8,0.1*Reference!$C$8)*(1+Reference!$C$11*(IF(MONTH($A1890)=Reference!$C$4,1,0)+IF(MONTH($A1890)=Reference!$C$5,1,0))+(IF(MONTH($A1890)=Reference!$C$6,Reference!$C$13,0))),0)</f>
        <v>382</v>
      </c>
      <c r="C1890" s="11">
        <f ca="1">B1890*Reference!$C$7*(1-IF(MONTH($A1890)=Reference!$C$6,1,0)*Reference!$C$12)</f>
        <v>355260</v>
      </c>
      <c r="D1890" s="10">
        <f ca="1">ROUND(_xlfn.NORM.INV(RAND(),Reference!$D$8,0.1*Reference!$D$8)*(1+Reference!$D$11*(IF(MONTH($A1890)=Reference!$D$4,1,0)+IF(MONTH($A1890)=Reference!$D$5,1,0))+(IF(MONTH($A1890)=Reference!$D$6,Reference!$D$13,0))),0)</f>
        <v>415</v>
      </c>
      <c r="E1890" s="11">
        <f ca="1">D1890*Reference!$D$7*(1-IF(MONTH($A1890)=Reference!$D$6,1,0)*Reference!$D$12)</f>
        <v>311250</v>
      </c>
      <c r="M1890" s="20"/>
      <c r="N1890" s="20"/>
      <c r="O1890" s="19"/>
      <c r="P1890" s="10"/>
      <c r="Q1890" s="10"/>
      <c r="R1890" s="10"/>
      <c r="S1890" s="10"/>
      <c r="T1890" s="10"/>
      <c r="U1890" s="10"/>
      <c r="V1890" s="10"/>
      <c r="W1890" s="10"/>
      <c r="X1890" s="10"/>
      <c r="Y1890" s="10"/>
    </row>
    <row r="1891" spans="1:25" x14ac:dyDescent="0.25">
      <c r="A1891" s="9">
        <v>42429</v>
      </c>
      <c r="B1891" s="10">
        <f ca="1">ROUND(_xlfn.NORM.INV(RAND(),Reference!$C$8,0.1*Reference!$C$8)*(1+Reference!$C$11*(IF(MONTH($A1891)=Reference!$C$4,1,0)+IF(MONTH($A1891)=Reference!$C$5,1,0))+(IF(MONTH($A1891)=Reference!$C$6,Reference!$C$13,0))),0)</f>
        <v>328</v>
      </c>
      <c r="C1891" s="11">
        <f ca="1">B1891*Reference!$C$7*(1-IF(MONTH($A1891)=Reference!$C$6,1,0)*Reference!$C$12)</f>
        <v>305040</v>
      </c>
      <c r="D1891" s="10">
        <f ca="1">ROUND(_xlfn.NORM.INV(RAND(),Reference!$D$8,0.1*Reference!$D$8)*(1+Reference!$D$11*(IF(MONTH($A1891)=Reference!$D$4,1,0)+IF(MONTH($A1891)=Reference!$D$5,1,0))+(IF(MONTH($A1891)=Reference!$D$6,Reference!$D$13,0))),0)</f>
        <v>372</v>
      </c>
      <c r="E1891" s="11">
        <f ca="1">D1891*Reference!$D$7*(1-IF(MONTH($A1891)=Reference!$D$6,1,0)*Reference!$D$12)</f>
        <v>279000</v>
      </c>
      <c r="M1891" s="20"/>
      <c r="N1891" s="20"/>
      <c r="O1891" s="19"/>
      <c r="P1891" s="10"/>
      <c r="Q1891" s="10"/>
      <c r="R1891" s="10"/>
      <c r="S1891" s="10"/>
      <c r="T1891" s="10"/>
      <c r="U1891" s="10"/>
      <c r="V1891" s="10"/>
      <c r="W1891" s="10"/>
      <c r="X1891" s="10"/>
      <c r="Y1891" s="10"/>
    </row>
    <row r="1892" spans="1:25" x14ac:dyDescent="0.25">
      <c r="A1892" s="9">
        <v>42430</v>
      </c>
      <c r="B1892" s="10">
        <f ca="1">ROUND(_xlfn.NORM.INV(RAND(),Reference!$C$8,0.1*Reference!$C$8)*(1+Reference!$C$11*(IF(MONTH($A1892)=Reference!$C$4,1,0)+IF(MONTH($A1892)=Reference!$C$5,1,0))+(IF(MONTH($A1892)=Reference!$C$6,Reference!$C$13,0))),0)</f>
        <v>330</v>
      </c>
      <c r="C1892" s="11">
        <f ca="1">B1892*Reference!$C$7*(1-IF(MONTH($A1892)=Reference!$C$6,1,0)*Reference!$C$12)</f>
        <v>306900</v>
      </c>
      <c r="D1892" s="10">
        <f ca="1">ROUND(_xlfn.NORM.INV(RAND(),Reference!$D$8,0.1*Reference!$D$8)*(1+Reference!$D$11*(IF(MONTH($A1892)=Reference!$D$4,1,0)+IF(MONTH($A1892)=Reference!$D$5,1,0))+(IF(MONTH($A1892)=Reference!$D$6,Reference!$D$13,0))),0)</f>
        <v>519</v>
      </c>
      <c r="E1892" s="11">
        <f ca="1">D1892*Reference!$D$7*(1-IF(MONTH($A1892)=Reference!$D$6,1,0)*Reference!$D$12)</f>
        <v>389250</v>
      </c>
      <c r="M1892" s="20"/>
      <c r="N1892" s="20"/>
      <c r="O1892" s="19"/>
      <c r="P1892" s="10"/>
      <c r="Q1892" s="10"/>
      <c r="R1892" s="10"/>
      <c r="S1892" s="10"/>
      <c r="T1892" s="10"/>
      <c r="U1892" s="10"/>
      <c r="V1892" s="10"/>
      <c r="W1892" s="10"/>
      <c r="X1892" s="10"/>
      <c r="Y1892" s="10"/>
    </row>
    <row r="1893" spans="1:25" x14ac:dyDescent="0.25">
      <c r="A1893" s="9">
        <v>42431</v>
      </c>
      <c r="B1893" s="10">
        <f ca="1">ROUND(_xlfn.NORM.INV(RAND(),Reference!$C$8,0.1*Reference!$C$8)*(1+Reference!$C$11*(IF(MONTH($A1893)=Reference!$C$4,1,0)+IF(MONTH($A1893)=Reference!$C$5,1,0))+(IF(MONTH($A1893)=Reference!$C$6,Reference!$C$13,0))),0)</f>
        <v>398</v>
      </c>
      <c r="C1893" s="11">
        <f ca="1">B1893*Reference!$C$7*(1-IF(MONTH($A1893)=Reference!$C$6,1,0)*Reference!$C$12)</f>
        <v>370140</v>
      </c>
      <c r="D1893" s="10">
        <f ca="1">ROUND(_xlfn.NORM.INV(RAND(),Reference!$D$8,0.1*Reference!$D$8)*(1+Reference!$D$11*(IF(MONTH($A1893)=Reference!$D$4,1,0)+IF(MONTH($A1893)=Reference!$D$5,1,0))+(IF(MONTH($A1893)=Reference!$D$6,Reference!$D$13,0))),0)</f>
        <v>484</v>
      </c>
      <c r="E1893" s="11">
        <f ca="1">D1893*Reference!$D$7*(1-IF(MONTH($A1893)=Reference!$D$6,1,0)*Reference!$D$12)</f>
        <v>363000</v>
      </c>
      <c r="M1893" s="20"/>
      <c r="N1893" s="20"/>
      <c r="O1893" s="19"/>
      <c r="P1893" s="10"/>
      <c r="Q1893" s="10"/>
      <c r="R1893" s="10"/>
      <c r="S1893" s="10"/>
      <c r="T1893" s="10"/>
      <c r="U1893" s="10"/>
      <c r="V1893" s="10"/>
      <c r="W1893" s="10"/>
      <c r="X1893" s="10"/>
      <c r="Y1893" s="10"/>
    </row>
    <row r="1894" spans="1:25" x14ac:dyDescent="0.25">
      <c r="A1894" s="9">
        <v>42432</v>
      </c>
      <c r="B1894" s="10">
        <f ca="1">ROUND(_xlfn.NORM.INV(RAND(),Reference!$C$8,0.1*Reference!$C$8)*(1+Reference!$C$11*(IF(MONTH($A1894)=Reference!$C$4,1,0)+IF(MONTH($A1894)=Reference!$C$5,1,0))+(IF(MONTH($A1894)=Reference!$C$6,Reference!$C$13,0))),0)</f>
        <v>360</v>
      </c>
      <c r="C1894" s="11">
        <f ca="1">B1894*Reference!$C$7*(1-IF(MONTH($A1894)=Reference!$C$6,1,0)*Reference!$C$12)</f>
        <v>334800</v>
      </c>
      <c r="D1894" s="10">
        <f ca="1">ROUND(_xlfn.NORM.INV(RAND(),Reference!$D$8,0.1*Reference!$D$8)*(1+Reference!$D$11*(IF(MONTH($A1894)=Reference!$D$4,1,0)+IF(MONTH($A1894)=Reference!$D$5,1,0))+(IF(MONTH($A1894)=Reference!$D$6,Reference!$D$13,0))),0)</f>
        <v>372</v>
      </c>
      <c r="E1894" s="11">
        <f ca="1">D1894*Reference!$D$7*(1-IF(MONTH($A1894)=Reference!$D$6,1,0)*Reference!$D$12)</f>
        <v>279000</v>
      </c>
      <c r="M1894" s="20"/>
      <c r="N1894" s="20"/>
      <c r="O1894" s="19"/>
      <c r="P1894" s="10"/>
      <c r="Q1894" s="10"/>
      <c r="R1894" s="10"/>
      <c r="S1894" s="10"/>
      <c r="T1894" s="10"/>
      <c r="U1894" s="10"/>
      <c r="V1894" s="10"/>
      <c r="W1894" s="10"/>
      <c r="X1894" s="10"/>
      <c r="Y1894" s="10"/>
    </row>
    <row r="1895" spans="1:25" x14ac:dyDescent="0.25">
      <c r="A1895" s="9">
        <v>42433</v>
      </c>
      <c r="B1895" s="10">
        <f ca="1">ROUND(_xlfn.NORM.INV(RAND(),Reference!$C$8,0.1*Reference!$C$8)*(1+Reference!$C$11*(IF(MONTH($A1895)=Reference!$C$4,1,0)+IF(MONTH($A1895)=Reference!$C$5,1,0))+(IF(MONTH($A1895)=Reference!$C$6,Reference!$C$13,0))),0)</f>
        <v>396</v>
      </c>
      <c r="C1895" s="11">
        <f ca="1">B1895*Reference!$C$7*(1-IF(MONTH($A1895)=Reference!$C$6,1,0)*Reference!$C$12)</f>
        <v>368280</v>
      </c>
      <c r="D1895" s="10">
        <f ca="1">ROUND(_xlfn.NORM.INV(RAND(),Reference!$D$8,0.1*Reference!$D$8)*(1+Reference!$D$11*(IF(MONTH($A1895)=Reference!$D$4,1,0)+IF(MONTH($A1895)=Reference!$D$5,1,0))+(IF(MONTH($A1895)=Reference!$D$6,Reference!$D$13,0))),0)</f>
        <v>445</v>
      </c>
      <c r="E1895" s="11">
        <f ca="1">D1895*Reference!$D$7*(1-IF(MONTH($A1895)=Reference!$D$6,1,0)*Reference!$D$12)</f>
        <v>333750</v>
      </c>
      <c r="M1895" s="20"/>
      <c r="N1895" s="20"/>
      <c r="O1895" s="19"/>
      <c r="P1895" s="10"/>
      <c r="Q1895" s="10"/>
      <c r="R1895" s="10"/>
      <c r="S1895" s="10"/>
      <c r="T1895" s="10"/>
      <c r="U1895" s="10"/>
      <c r="V1895" s="10"/>
      <c r="W1895" s="10"/>
      <c r="X1895" s="10"/>
      <c r="Y1895" s="10"/>
    </row>
    <row r="1896" spans="1:25" x14ac:dyDescent="0.25">
      <c r="A1896" s="9">
        <v>42434</v>
      </c>
      <c r="B1896" s="10">
        <f ca="1">ROUND(_xlfn.NORM.INV(RAND(),Reference!$C$8,0.1*Reference!$C$8)*(1+Reference!$C$11*(IF(MONTH($A1896)=Reference!$C$4,1,0)+IF(MONTH($A1896)=Reference!$C$5,1,0))+(IF(MONTH($A1896)=Reference!$C$6,Reference!$C$13,0))),0)</f>
        <v>367</v>
      </c>
      <c r="C1896" s="11">
        <f ca="1">B1896*Reference!$C$7*(1-IF(MONTH($A1896)=Reference!$C$6,1,0)*Reference!$C$12)</f>
        <v>341310</v>
      </c>
      <c r="D1896" s="10">
        <f ca="1">ROUND(_xlfn.NORM.INV(RAND(),Reference!$D$8,0.1*Reference!$D$8)*(1+Reference!$D$11*(IF(MONTH($A1896)=Reference!$D$4,1,0)+IF(MONTH($A1896)=Reference!$D$5,1,0))+(IF(MONTH($A1896)=Reference!$D$6,Reference!$D$13,0))),0)</f>
        <v>466</v>
      </c>
      <c r="E1896" s="11">
        <f ca="1">D1896*Reference!$D$7*(1-IF(MONTH($A1896)=Reference!$D$6,1,0)*Reference!$D$12)</f>
        <v>349500</v>
      </c>
      <c r="M1896" s="20"/>
      <c r="N1896" s="20"/>
      <c r="O1896" s="19"/>
      <c r="P1896" s="10"/>
      <c r="Q1896" s="10"/>
      <c r="R1896" s="10"/>
      <c r="S1896" s="10"/>
      <c r="T1896" s="10"/>
      <c r="U1896" s="10"/>
      <c r="V1896" s="10"/>
      <c r="W1896" s="10"/>
      <c r="X1896" s="10"/>
      <c r="Y1896" s="10"/>
    </row>
    <row r="1897" spans="1:25" x14ac:dyDescent="0.25">
      <c r="A1897" s="9">
        <v>42435</v>
      </c>
      <c r="B1897" s="10">
        <f ca="1">ROUND(_xlfn.NORM.INV(RAND(),Reference!$C$8,0.1*Reference!$C$8)*(1+Reference!$C$11*(IF(MONTH($A1897)=Reference!$C$4,1,0)+IF(MONTH($A1897)=Reference!$C$5,1,0))+(IF(MONTH($A1897)=Reference!$C$6,Reference!$C$13,0))),0)</f>
        <v>365</v>
      </c>
      <c r="C1897" s="11">
        <f ca="1">B1897*Reference!$C$7*(1-IF(MONTH($A1897)=Reference!$C$6,1,0)*Reference!$C$12)</f>
        <v>339450</v>
      </c>
      <c r="D1897" s="10">
        <f ca="1">ROUND(_xlfn.NORM.INV(RAND(),Reference!$D$8,0.1*Reference!$D$8)*(1+Reference!$D$11*(IF(MONTH($A1897)=Reference!$D$4,1,0)+IF(MONTH($A1897)=Reference!$D$5,1,0))+(IF(MONTH($A1897)=Reference!$D$6,Reference!$D$13,0))),0)</f>
        <v>391</v>
      </c>
      <c r="E1897" s="11">
        <f ca="1">D1897*Reference!$D$7*(1-IF(MONTH($A1897)=Reference!$D$6,1,0)*Reference!$D$12)</f>
        <v>293250</v>
      </c>
      <c r="M1897" s="20"/>
      <c r="N1897" s="20"/>
      <c r="O1897" s="19"/>
      <c r="P1897" s="10"/>
      <c r="Q1897" s="10"/>
      <c r="R1897" s="10"/>
      <c r="S1897" s="10"/>
      <c r="T1897" s="10"/>
      <c r="U1897" s="10"/>
      <c r="V1897" s="10"/>
      <c r="W1897" s="10"/>
      <c r="X1897" s="10"/>
      <c r="Y1897" s="10"/>
    </row>
    <row r="1898" spans="1:25" x14ac:dyDescent="0.25">
      <c r="A1898" s="9">
        <v>42436</v>
      </c>
      <c r="B1898" s="10">
        <f ca="1">ROUND(_xlfn.NORM.INV(RAND(),Reference!$C$8,0.1*Reference!$C$8)*(1+Reference!$C$11*(IF(MONTH($A1898)=Reference!$C$4,1,0)+IF(MONTH($A1898)=Reference!$C$5,1,0))+(IF(MONTH($A1898)=Reference!$C$6,Reference!$C$13,0))),0)</f>
        <v>356</v>
      </c>
      <c r="C1898" s="11">
        <f ca="1">B1898*Reference!$C$7*(1-IF(MONTH($A1898)=Reference!$C$6,1,0)*Reference!$C$12)</f>
        <v>331080</v>
      </c>
      <c r="D1898" s="10">
        <f ca="1">ROUND(_xlfn.NORM.INV(RAND(),Reference!$D$8,0.1*Reference!$D$8)*(1+Reference!$D$11*(IF(MONTH($A1898)=Reference!$D$4,1,0)+IF(MONTH($A1898)=Reference!$D$5,1,0))+(IF(MONTH($A1898)=Reference!$D$6,Reference!$D$13,0))),0)</f>
        <v>484</v>
      </c>
      <c r="E1898" s="11">
        <f ca="1">D1898*Reference!$D$7*(1-IF(MONTH($A1898)=Reference!$D$6,1,0)*Reference!$D$12)</f>
        <v>363000</v>
      </c>
      <c r="M1898" s="20"/>
      <c r="N1898" s="20"/>
      <c r="O1898" s="19"/>
      <c r="P1898" s="10"/>
      <c r="Q1898" s="10"/>
      <c r="R1898" s="10"/>
      <c r="S1898" s="10"/>
      <c r="T1898" s="10"/>
      <c r="U1898" s="10"/>
      <c r="V1898" s="10"/>
      <c r="W1898" s="10"/>
      <c r="X1898" s="10"/>
      <c r="Y1898" s="10"/>
    </row>
    <row r="1899" spans="1:25" x14ac:dyDescent="0.25">
      <c r="A1899" s="9">
        <v>42437</v>
      </c>
      <c r="B1899" s="10">
        <f ca="1">ROUND(_xlfn.NORM.INV(RAND(),Reference!$C$8,0.1*Reference!$C$8)*(1+Reference!$C$11*(IF(MONTH($A1899)=Reference!$C$4,1,0)+IF(MONTH($A1899)=Reference!$C$5,1,0))+(IF(MONTH($A1899)=Reference!$C$6,Reference!$C$13,0))),0)</f>
        <v>450</v>
      </c>
      <c r="C1899" s="11">
        <f ca="1">B1899*Reference!$C$7*(1-IF(MONTH($A1899)=Reference!$C$6,1,0)*Reference!$C$12)</f>
        <v>418500</v>
      </c>
      <c r="D1899" s="10">
        <f ca="1">ROUND(_xlfn.NORM.INV(RAND(),Reference!$D$8,0.1*Reference!$D$8)*(1+Reference!$D$11*(IF(MONTH($A1899)=Reference!$D$4,1,0)+IF(MONTH($A1899)=Reference!$D$5,1,0))+(IF(MONTH($A1899)=Reference!$D$6,Reference!$D$13,0))),0)</f>
        <v>507</v>
      </c>
      <c r="E1899" s="11">
        <f ca="1">D1899*Reference!$D$7*(1-IF(MONTH($A1899)=Reference!$D$6,1,0)*Reference!$D$12)</f>
        <v>380250</v>
      </c>
      <c r="M1899" s="20"/>
      <c r="N1899" s="20"/>
      <c r="O1899" s="19"/>
      <c r="P1899" s="10"/>
      <c r="Q1899" s="10"/>
      <c r="R1899" s="10"/>
      <c r="S1899" s="10"/>
      <c r="T1899" s="10"/>
      <c r="U1899" s="10"/>
      <c r="V1899" s="10"/>
      <c r="W1899" s="10"/>
      <c r="X1899" s="10"/>
      <c r="Y1899" s="10"/>
    </row>
    <row r="1900" spans="1:25" x14ac:dyDescent="0.25">
      <c r="A1900" s="9">
        <v>42438</v>
      </c>
      <c r="B1900" s="10">
        <f ca="1">ROUND(_xlfn.NORM.INV(RAND(),Reference!$C$8,0.1*Reference!$C$8)*(1+Reference!$C$11*(IF(MONTH($A1900)=Reference!$C$4,1,0)+IF(MONTH($A1900)=Reference!$C$5,1,0))+(IF(MONTH($A1900)=Reference!$C$6,Reference!$C$13,0))),0)</f>
        <v>393</v>
      </c>
      <c r="C1900" s="11">
        <f ca="1">B1900*Reference!$C$7*(1-IF(MONTH($A1900)=Reference!$C$6,1,0)*Reference!$C$12)</f>
        <v>365490</v>
      </c>
      <c r="D1900" s="10">
        <f ca="1">ROUND(_xlfn.NORM.INV(RAND(),Reference!$D$8,0.1*Reference!$D$8)*(1+Reference!$D$11*(IF(MONTH($A1900)=Reference!$D$4,1,0)+IF(MONTH($A1900)=Reference!$D$5,1,0))+(IF(MONTH($A1900)=Reference!$D$6,Reference!$D$13,0))),0)</f>
        <v>440</v>
      </c>
      <c r="E1900" s="11">
        <f ca="1">D1900*Reference!$D$7*(1-IF(MONTH($A1900)=Reference!$D$6,1,0)*Reference!$D$12)</f>
        <v>330000</v>
      </c>
      <c r="M1900" s="20"/>
      <c r="N1900" s="20"/>
      <c r="O1900" s="19"/>
      <c r="P1900" s="10"/>
      <c r="Q1900" s="10"/>
      <c r="R1900" s="10"/>
      <c r="S1900" s="10"/>
      <c r="T1900" s="10"/>
      <c r="U1900" s="10"/>
      <c r="V1900" s="10"/>
      <c r="W1900" s="10"/>
      <c r="X1900" s="10"/>
      <c r="Y1900" s="10"/>
    </row>
    <row r="1901" spans="1:25" x14ac:dyDescent="0.25">
      <c r="A1901" s="9">
        <v>42439</v>
      </c>
      <c r="B1901" s="10">
        <f ca="1">ROUND(_xlfn.NORM.INV(RAND(),Reference!$C$8,0.1*Reference!$C$8)*(1+Reference!$C$11*(IF(MONTH($A1901)=Reference!$C$4,1,0)+IF(MONTH($A1901)=Reference!$C$5,1,0))+(IF(MONTH($A1901)=Reference!$C$6,Reference!$C$13,0))),0)</f>
        <v>353</v>
      </c>
      <c r="C1901" s="11">
        <f ca="1">B1901*Reference!$C$7*(1-IF(MONTH($A1901)=Reference!$C$6,1,0)*Reference!$C$12)</f>
        <v>328290</v>
      </c>
      <c r="D1901" s="10">
        <f ca="1">ROUND(_xlfn.NORM.INV(RAND(),Reference!$D$8,0.1*Reference!$D$8)*(1+Reference!$D$11*(IF(MONTH($A1901)=Reference!$D$4,1,0)+IF(MONTH($A1901)=Reference!$D$5,1,0))+(IF(MONTH($A1901)=Reference!$D$6,Reference!$D$13,0))),0)</f>
        <v>422</v>
      </c>
      <c r="E1901" s="11">
        <f ca="1">D1901*Reference!$D$7*(1-IF(MONTH($A1901)=Reference!$D$6,1,0)*Reference!$D$12)</f>
        <v>316500</v>
      </c>
      <c r="M1901" s="20"/>
      <c r="N1901" s="20"/>
      <c r="O1901" s="19"/>
      <c r="P1901" s="10"/>
      <c r="Q1901" s="10"/>
      <c r="R1901" s="10"/>
      <c r="S1901" s="10"/>
      <c r="T1901" s="10"/>
      <c r="U1901" s="10"/>
      <c r="V1901" s="10"/>
      <c r="W1901" s="10"/>
      <c r="X1901" s="10"/>
      <c r="Y1901" s="10"/>
    </row>
    <row r="1902" spans="1:25" x14ac:dyDescent="0.25">
      <c r="A1902" s="9">
        <v>42440</v>
      </c>
      <c r="B1902" s="10">
        <f ca="1">ROUND(_xlfn.NORM.INV(RAND(),Reference!$C$8,0.1*Reference!$C$8)*(1+Reference!$C$11*(IF(MONTH($A1902)=Reference!$C$4,1,0)+IF(MONTH($A1902)=Reference!$C$5,1,0))+(IF(MONTH($A1902)=Reference!$C$6,Reference!$C$13,0))),0)</f>
        <v>465</v>
      </c>
      <c r="C1902" s="11">
        <f ca="1">B1902*Reference!$C$7*(1-IF(MONTH($A1902)=Reference!$C$6,1,0)*Reference!$C$12)</f>
        <v>432450</v>
      </c>
      <c r="D1902" s="10">
        <f ca="1">ROUND(_xlfn.NORM.INV(RAND(),Reference!$D$8,0.1*Reference!$D$8)*(1+Reference!$D$11*(IF(MONTH($A1902)=Reference!$D$4,1,0)+IF(MONTH($A1902)=Reference!$D$5,1,0))+(IF(MONTH($A1902)=Reference!$D$6,Reference!$D$13,0))),0)</f>
        <v>485</v>
      </c>
      <c r="E1902" s="11">
        <f ca="1">D1902*Reference!$D$7*(1-IF(MONTH($A1902)=Reference!$D$6,1,0)*Reference!$D$12)</f>
        <v>363750</v>
      </c>
      <c r="M1902" s="20"/>
      <c r="N1902" s="20"/>
      <c r="O1902" s="19"/>
      <c r="P1902" s="10"/>
      <c r="Q1902" s="10"/>
      <c r="R1902" s="10"/>
      <c r="S1902" s="10"/>
      <c r="T1902" s="10"/>
      <c r="U1902" s="10"/>
      <c r="V1902" s="10"/>
      <c r="W1902" s="10"/>
      <c r="X1902" s="10"/>
      <c r="Y1902" s="10"/>
    </row>
    <row r="1903" spans="1:25" x14ac:dyDescent="0.25">
      <c r="A1903" s="9">
        <v>42441</v>
      </c>
      <c r="B1903" s="10">
        <f ca="1">ROUND(_xlfn.NORM.INV(RAND(),Reference!$C$8,0.1*Reference!$C$8)*(1+Reference!$C$11*(IF(MONTH($A1903)=Reference!$C$4,1,0)+IF(MONTH($A1903)=Reference!$C$5,1,0))+(IF(MONTH($A1903)=Reference!$C$6,Reference!$C$13,0))),0)</f>
        <v>367</v>
      </c>
      <c r="C1903" s="11">
        <f ca="1">B1903*Reference!$C$7*(1-IF(MONTH($A1903)=Reference!$C$6,1,0)*Reference!$C$12)</f>
        <v>341310</v>
      </c>
      <c r="D1903" s="10">
        <f ca="1">ROUND(_xlfn.NORM.INV(RAND(),Reference!$D$8,0.1*Reference!$D$8)*(1+Reference!$D$11*(IF(MONTH($A1903)=Reference!$D$4,1,0)+IF(MONTH($A1903)=Reference!$D$5,1,0))+(IF(MONTH($A1903)=Reference!$D$6,Reference!$D$13,0))),0)</f>
        <v>492</v>
      </c>
      <c r="E1903" s="11">
        <f ca="1">D1903*Reference!$D$7*(1-IF(MONTH($A1903)=Reference!$D$6,1,0)*Reference!$D$12)</f>
        <v>369000</v>
      </c>
      <c r="M1903" s="20"/>
      <c r="N1903" s="20"/>
      <c r="O1903" s="19"/>
      <c r="P1903" s="10"/>
      <c r="Q1903" s="10"/>
      <c r="R1903" s="10"/>
      <c r="S1903" s="10"/>
      <c r="T1903" s="10"/>
      <c r="U1903" s="10"/>
      <c r="V1903" s="10"/>
      <c r="W1903" s="10"/>
      <c r="X1903" s="10"/>
      <c r="Y1903" s="10"/>
    </row>
    <row r="1904" spans="1:25" x14ac:dyDescent="0.25">
      <c r="A1904" s="9">
        <v>42442</v>
      </c>
      <c r="B1904" s="10">
        <f ca="1">ROUND(_xlfn.NORM.INV(RAND(),Reference!$C$8,0.1*Reference!$C$8)*(1+Reference!$C$11*(IF(MONTH($A1904)=Reference!$C$4,1,0)+IF(MONTH($A1904)=Reference!$C$5,1,0))+(IF(MONTH($A1904)=Reference!$C$6,Reference!$C$13,0))),0)</f>
        <v>388</v>
      </c>
      <c r="C1904" s="11">
        <f ca="1">B1904*Reference!$C$7*(1-IF(MONTH($A1904)=Reference!$C$6,1,0)*Reference!$C$12)</f>
        <v>360840</v>
      </c>
      <c r="D1904" s="10">
        <f ca="1">ROUND(_xlfn.NORM.INV(RAND(),Reference!$D$8,0.1*Reference!$D$8)*(1+Reference!$D$11*(IF(MONTH($A1904)=Reference!$D$4,1,0)+IF(MONTH($A1904)=Reference!$D$5,1,0))+(IF(MONTH($A1904)=Reference!$D$6,Reference!$D$13,0))),0)</f>
        <v>426</v>
      </c>
      <c r="E1904" s="11">
        <f ca="1">D1904*Reference!$D$7*(1-IF(MONTH($A1904)=Reference!$D$6,1,0)*Reference!$D$12)</f>
        <v>319500</v>
      </c>
      <c r="M1904" s="20"/>
      <c r="N1904" s="20"/>
      <c r="O1904" s="19"/>
      <c r="P1904" s="10"/>
      <c r="Q1904" s="10"/>
      <c r="R1904" s="10"/>
      <c r="S1904" s="10"/>
      <c r="T1904" s="10"/>
      <c r="U1904" s="10"/>
      <c r="V1904" s="10"/>
      <c r="W1904" s="10"/>
      <c r="X1904" s="10"/>
      <c r="Y1904" s="10"/>
    </row>
    <row r="1905" spans="1:25" x14ac:dyDescent="0.25">
      <c r="A1905" s="9">
        <v>42443</v>
      </c>
      <c r="B1905" s="10">
        <f ca="1">ROUND(_xlfn.NORM.INV(RAND(),Reference!$C$8,0.1*Reference!$C$8)*(1+Reference!$C$11*(IF(MONTH($A1905)=Reference!$C$4,1,0)+IF(MONTH($A1905)=Reference!$C$5,1,0))+(IF(MONTH($A1905)=Reference!$C$6,Reference!$C$13,0))),0)</f>
        <v>305</v>
      </c>
      <c r="C1905" s="11">
        <f ca="1">B1905*Reference!$C$7*(1-IF(MONTH($A1905)=Reference!$C$6,1,0)*Reference!$C$12)</f>
        <v>283650</v>
      </c>
      <c r="D1905" s="10">
        <f ca="1">ROUND(_xlfn.NORM.INV(RAND(),Reference!$D$8,0.1*Reference!$D$8)*(1+Reference!$D$11*(IF(MONTH($A1905)=Reference!$D$4,1,0)+IF(MONTH($A1905)=Reference!$D$5,1,0))+(IF(MONTH($A1905)=Reference!$D$6,Reference!$D$13,0))),0)</f>
        <v>472</v>
      </c>
      <c r="E1905" s="11">
        <f ca="1">D1905*Reference!$D$7*(1-IF(MONTH($A1905)=Reference!$D$6,1,0)*Reference!$D$12)</f>
        <v>354000</v>
      </c>
      <c r="M1905" s="20"/>
      <c r="N1905" s="20"/>
      <c r="O1905" s="19"/>
      <c r="P1905" s="10"/>
      <c r="Q1905" s="10"/>
      <c r="R1905" s="10"/>
      <c r="S1905" s="10"/>
      <c r="T1905" s="10"/>
      <c r="U1905" s="10"/>
      <c r="V1905" s="10"/>
      <c r="W1905" s="10"/>
      <c r="X1905" s="10"/>
      <c r="Y1905" s="10"/>
    </row>
    <row r="1906" spans="1:25" x14ac:dyDescent="0.25">
      <c r="A1906" s="9">
        <v>42444</v>
      </c>
      <c r="B1906" s="10">
        <f ca="1">ROUND(_xlfn.NORM.INV(RAND(),Reference!$C$8,0.1*Reference!$C$8)*(1+Reference!$C$11*(IF(MONTH($A1906)=Reference!$C$4,1,0)+IF(MONTH($A1906)=Reference!$C$5,1,0))+(IF(MONTH($A1906)=Reference!$C$6,Reference!$C$13,0))),0)</f>
        <v>394</v>
      </c>
      <c r="C1906" s="11">
        <f ca="1">B1906*Reference!$C$7*(1-IF(MONTH($A1906)=Reference!$C$6,1,0)*Reference!$C$12)</f>
        <v>366420</v>
      </c>
      <c r="D1906" s="10">
        <f ca="1">ROUND(_xlfn.NORM.INV(RAND(),Reference!$D$8,0.1*Reference!$D$8)*(1+Reference!$D$11*(IF(MONTH($A1906)=Reference!$D$4,1,0)+IF(MONTH($A1906)=Reference!$D$5,1,0))+(IF(MONTH($A1906)=Reference!$D$6,Reference!$D$13,0))),0)</f>
        <v>416</v>
      </c>
      <c r="E1906" s="11">
        <f ca="1">D1906*Reference!$D$7*(1-IF(MONTH($A1906)=Reference!$D$6,1,0)*Reference!$D$12)</f>
        <v>312000</v>
      </c>
      <c r="M1906" s="20"/>
      <c r="N1906" s="20"/>
      <c r="O1906" s="19"/>
      <c r="P1906" s="10"/>
      <c r="Q1906" s="10"/>
      <c r="R1906" s="10"/>
      <c r="S1906" s="10"/>
      <c r="T1906" s="10"/>
      <c r="U1906" s="10"/>
      <c r="V1906" s="10"/>
      <c r="W1906" s="10"/>
      <c r="X1906" s="10"/>
      <c r="Y1906" s="10"/>
    </row>
    <row r="1907" spans="1:25" x14ac:dyDescent="0.25">
      <c r="A1907" s="9">
        <v>42445</v>
      </c>
      <c r="B1907" s="10">
        <f ca="1">ROUND(_xlfn.NORM.INV(RAND(),Reference!$C$8,0.1*Reference!$C$8)*(1+Reference!$C$11*(IF(MONTH($A1907)=Reference!$C$4,1,0)+IF(MONTH($A1907)=Reference!$C$5,1,0))+(IF(MONTH($A1907)=Reference!$C$6,Reference!$C$13,0))),0)</f>
        <v>365</v>
      </c>
      <c r="C1907" s="11">
        <f ca="1">B1907*Reference!$C$7*(1-IF(MONTH($A1907)=Reference!$C$6,1,0)*Reference!$C$12)</f>
        <v>339450</v>
      </c>
      <c r="D1907" s="10">
        <f ca="1">ROUND(_xlfn.NORM.INV(RAND(),Reference!$D$8,0.1*Reference!$D$8)*(1+Reference!$D$11*(IF(MONTH($A1907)=Reference!$D$4,1,0)+IF(MONTH($A1907)=Reference!$D$5,1,0))+(IF(MONTH($A1907)=Reference!$D$6,Reference!$D$13,0))),0)</f>
        <v>458</v>
      </c>
      <c r="E1907" s="11">
        <f ca="1">D1907*Reference!$D$7*(1-IF(MONTH($A1907)=Reference!$D$6,1,0)*Reference!$D$12)</f>
        <v>343500</v>
      </c>
      <c r="M1907" s="20"/>
      <c r="N1907" s="20"/>
      <c r="O1907" s="19"/>
      <c r="P1907" s="10"/>
      <c r="Q1907" s="10"/>
      <c r="R1907" s="10"/>
      <c r="S1907" s="10"/>
      <c r="T1907" s="10"/>
      <c r="U1907" s="10"/>
      <c r="V1907" s="10"/>
      <c r="W1907" s="10"/>
      <c r="X1907" s="10"/>
      <c r="Y1907" s="10"/>
    </row>
    <row r="1908" spans="1:25" x14ac:dyDescent="0.25">
      <c r="A1908" s="9">
        <v>42446</v>
      </c>
      <c r="B1908" s="10">
        <f ca="1">ROUND(_xlfn.NORM.INV(RAND(),Reference!$C$8,0.1*Reference!$C$8)*(1+Reference!$C$11*(IF(MONTH($A1908)=Reference!$C$4,1,0)+IF(MONTH($A1908)=Reference!$C$5,1,0))+(IF(MONTH($A1908)=Reference!$C$6,Reference!$C$13,0))),0)</f>
        <v>283</v>
      </c>
      <c r="C1908" s="11">
        <f ca="1">B1908*Reference!$C$7*(1-IF(MONTH($A1908)=Reference!$C$6,1,0)*Reference!$C$12)</f>
        <v>263190</v>
      </c>
      <c r="D1908" s="10">
        <f ca="1">ROUND(_xlfn.NORM.INV(RAND(),Reference!$D$8,0.1*Reference!$D$8)*(1+Reference!$D$11*(IF(MONTH($A1908)=Reference!$D$4,1,0)+IF(MONTH($A1908)=Reference!$D$5,1,0))+(IF(MONTH($A1908)=Reference!$D$6,Reference!$D$13,0))),0)</f>
        <v>480</v>
      </c>
      <c r="E1908" s="11">
        <f ca="1">D1908*Reference!$D$7*(1-IF(MONTH($A1908)=Reference!$D$6,1,0)*Reference!$D$12)</f>
        <v>360000</v>
      </c>
      <c r="M1908" s="20"/>
      <c r="N1908" s="20"/>
      <c r="O1908" s="19"/>
      <c r="P1908" s="10"/>
      <c r="Q1908" s="10"/>
      <c r="R1908" s="10"/>
      <c r="S1908" s="10"/>
      <c r="T1908" s="10"/>
      <c r="U1908" s="10"/>
      <c r="V1908" s="10"/>
      <c r="W1908" s="10"/>
      <c r="X1908" s="10"/>
      <c r="Y1908" s="10"/>
    </row>
    <row r="1909" spans="1:25" x14ac:dyDescent="0.25">
      <c r="A1909" s="9">
        <v>42447</v>
      </c>
      <c r="B1909" s="10">
        <f ca="1">ROUND(_xlfn.NORM.INV(RAND(),Reference!$C$8,0.1*Reference!$C$8)*(1+Reference!$C$11*(IF(MONTH($A1909)=Reference!$C$4,1,0)+IF(MONTH($A1909)=Reference!$C$5,1,0))+(IF(MONTH($A1909)=Reference!$C$6,Reference!$C$13,0))),0)</f>
        <v>358</v>
      </c>
      <c r="C1909" s="11">
        <f ca="1">B1909*Reference!$C$7*(1-IF(MONTH($A1909)=Reference!$C$6,1,0)*Reference!$C$12)</f>
        <v>332940</v>
      </c>
      <c r="D1909" s="10">
        <f ca="1">ROUND(_xlfn.NORM.INV(RAND(),Reference!$D$8,0.1*Reference!$D$8)*(1+Reference!$D$11*(IF(MONTH($A1909)=Reference!$D$4,1,0)+IF(MONTH($A1909)=Reference!$D$5,1,0))+(IF(MONTH($A1909)=Reference!$D$6,Reference!$D$13,0))),0)</f>
        <v>491</v>
      </c>
      <c r="E1909" s="11">
        <f ca="1">D1909*Reference!$D$7*(1-IF(MONTH($A1909)=Reference!$D$6,1,0)*Reference!$D$12)</f>
        <v>368250</v>
      </c>
      <c r="M1909" s="20"/>
      <c r="N1909" s="20"/>
      <c r="O1909" s="19"/>
      <c r="P1909" s="10"/>
      <c r="Q1909" s="10"/>
      <c r="R1909" s="10"/>
      <c r="S1909" s="10"/>
      <c r="T1909" s="10"/>
      <c r="U1909" s="10"/>
      <c r="V1909" s="10"/>
      <c r="W1909" s="10"/>
      <c r="X1909" s="10"/>
      <c r="Y1909" s="10"/>
    </row>
    <row r="1910" spans="1:25" x14ac:dyDescent="0.25">
      <c r="A1910" s="9">
        <v>42448</v>
      </c>
      <c r="B1910" s="10">
        <f ca="1">ROUND(_xlfn.NORM.INV(RAND(),Reference!$C$8,0.1*Reference!$C$8)*(1+Reference!$C$11*(IF(MONTH($A1910)=Reference!$C$4,1,0)+IF(MONTH($A1910)=Reference!$C$5,1,0))+(IF(MONTH($A1910)=Reference!$C$6,Reference!$C$13,0))),0)</f>
        <v>343</v>
      </c>
      <c r="C1910" s="11">
        <f ca="1">B1910*Reference!$C$7*(1-IF(MONTH($A1910)=Reference!$C$6,1,0)*Reference!$C$12)</f>
        <v>318990</v>
      </c>
      <c r="D1910" s="10">
        <f ca="1">ROUND(_xlfn.NORM.INV(RAND(),Reference!$D$8,0.1*Reference!$D$8)*(1+Reference!$D$11*(IF(MONTH($A1910)=Reference!$D$4,1,0)+IF(MONTH($A1910)=Reference!$D$5,1,0))+(IF(MONTH($A1910)=Reference!$D$6,Reference!$D$13,0))),0)</f>
        <v>468</v>
      </c>
      <c r="E1910" s="11">
        <f ca="1">D1910*Reference!$D$7*(1-IF(MONTH($A1910)=Reference!$D$6,1,0)*Reference!$D$12)</f>
        <v>351000</v>
      </c>
      <c r="M1910" s="20"/>
      <c r="N1910" s="20"/>
      <c r="O1910" s="19"/>
      <c r="P1910" s="10"/>
      <c r="Q1910" s="10"/>
      <c r="R1910" s="10"/>
      <c r="S1910" s="10"/>
      <c r="T1910" s="10"/>
      <c r="U1910" s="10"/>
      <c r="V1910" s="10"/>
      <c r="W1910" s="10"/>
      <c r="X1910" s="10"/>
      <c r="Y1910" s="10"/>
    </row>
    <row r="1911" spans="1:25" x14ac:dyDescent="0.25">
      <c r="A1911" s="9">
        <v>42449</v>
      </c>
      <c r="B1911" s="10">
        <f ca="1">ROUND(_xlfn.NORM.INV(RAND(),Reference!$C$8,0.1*Reference!$C$8)*(1+Reference!$C$11*(IF(MONTH($A1911)=Reference!$C$4,1,0)+IF(MONTH($A1911)=Reference!$C$5,1,0))+(IF(MONTH($A1911)=Reference!$C$6,Reference!$C$13,0))),0)</f>
        <v>315</v>
      </c>
      <c r="C1911" s="11">
        <f ca="1">B1911*Reference!$C$7*(1-IF(MONTH($A1911)=Reference!$C$6,1,0)*Reference!$C$12)</f>
        <v>292950</v>
      </c>
      <c r="D1911" s="10">
        <f ca="1">ROUND(_xlfn.NORM.INV(RAND(),Reference!$D$8,0.1*Reference!$D$8)*(1+Reference!$D$11*(IF(MONTH($A1911)=Reference!$D$4,1,0)+IF(MONTH($A1911)=Reference!$D$5,1,0))+(IF(MONTH($A1911)=Reference!$D$6,Reference!$D$13,0))),0)</f>
        <v>418</v>
      </c>
      <c r="E1911" s="11">
        <f ca="1">D1911*Reference!$D$7*(1-IF(MONTH($A1911)=Reference!$D$6,1,0)*Reference!$D$12)</f>
        <v>313500</v>
      </c>
      <c r="M1911" s="20"/>
      <c r="N1911" s="20"/>
      <c r="O1911" s="19"/>
      <c r="P1911" s="10"/>
      <c r="Q1911" s="10"/>
      <c r="R1911" s="10"/>
      <c r="S1911" s="10"/>
      <c r="T1911" s="10"/>
      <c r="U1911" s="10"/>
      <c r="V1911" s="10"/>
      <c r="W1911" s="10"/>
      <c r="X1911" s="10"/>
      <c r="Y1911" s="10"/>
    </row>
    <row r="1912" spans="1:25" x14ac:dyDescent="0.25">
      <c r="A1912" s="9">
        <v>42450</v>
      </c>
      <c r="B1912" s="10">
        <f ca="1">ROUND(_xlfn.NORM.INV(RAND(),Reference!$C$8,0.1*Reference!$C$8)*(1+Reference!$C$11*(IF(MONTH($A1912)=Reference!$C$4,1,0)+IF(MONTH($A1912)=Reference!$C$5,1,0))+(IF(MONTH($A1912)=Reference!$C$6,Reference!$C$13,0))),0)</f>
        <v>412</v>
      </c>
      <c r="C1912" s="11">
        <f ca="1">B1912*Reference!$C$7*(1-IF(MONTH($A1912)=Reference!$C$6,1,0)*Reference!$C$12)</f>
        <v>383160</v>
      </c>
      <c r="D1912" s="10">
        <f ca="1">ROUND(_xlfn.NORM.INV(RAND(),Reference!$D$8,0.1*Reference!$D$8)*(1+Reference!$D$11*(IF(MONTH($A1912)=Reference!$D$4,1,0)+IF(MONTH($A1912)=Reference!$D$5,1,0))+(IF(MONTH($A1912)=Reference!$D$6,Reference!$D$13,0))),0)</f>
        <v>526</v>
      </c>
      <c r="E1912" s="11">
        <f ca="1">D1912*Reference!$D$7*(1-IF(MONTH($A1912)=Reference!$D$6,1,0)*Reference!$D$12)</f>
        <v>394500</v>
      </c>
      <c r="M1912" s="20"/>
      <c r="N1912" s="20"/>
      <c r="O1912" s="19"/>
      <c r="P1912" s="10"/>
      <c r="Q1912" s="10"/>
      <c r="R1912" s="10"/>
      <c r="S1912" s="10"/>
      <c r="T1912" s="10"/>
      <c r="U1912" s="10"/>
      <c r="V1912" s="10"/>
      <c r="W1912" s="10"/>
      <c r="X1912" s="10"/>
      <c r="Y1912" s="10"/>
    </row>
    <row r="1913" spans="1:25" x14ac:dyDescent="0.25">
      <c r="A1913" s="9">
        <v>42451</v>
      </c>
      <c r="B1913" s="10">
        <f ca="1">ROUND(_xlfn.NORM.INV(RAND(),Reference!$C$8,0.1*Reference!$C$8)*(1+Reference!$C$11*(IF(MONTH($A1913)=Reference!$C$4,1,0)+IF(MONTH($A1913)=Reference!$C$5,1,0))+(IF(MONTH($A1913)=Reference!$C$6,Reference!$C$13,0))),0)</f>
        <v>360</v>
      </c>
      <c r="C1913" s="11">
        <f ca="1">B1913*Reference!$C$7*(1-IF(MONTH($A1913)=Reference!$C$6,1,0)*Reference!$C$12)</f>
        <v>334800</v>
      </c>
      <c r="D1913" s="10">
        <f ca="1">ROUND(_xlfn.NORM.INV(RAND(),Reference!$D$8,0.1*Reference!$D$8)*(1+Reference!$D$11*(IF(MONTH($A1913)=Reference!$D$4,1,0)+IF(MONTH($A1913)=Reference!$D$5,1,0))+(IF(MONTH($A1913)=Reference!$D$6,Reference!$D$13,0))),0)</f>
        <v>454</v>
      </c>
      <c r="E1913" s="11">
        <f ca="1">D1913*Reference!$D$7*(1-IF(MONTH($A1913)=Reference!$D$6,1,0)*Reference!$D$12)</f>
        <v>340500</v>
      </c>
      <c r="M1913" s="20"/>
      <c r="N1913" s="20"/>
      <c r="O1913" s="19"/>
      <c r="P1913" s="10"/>
      <c r="Q1913" s="10"/>
      <c r="R1913" s="10"/>
      <c r="S1913" s="10"/>
      <c r="T1913" s="10"/>
      <c r="U1913" s="10"/>
      <c r="V1913" s="10"/>
      <c r="W1913" s="10"/>
      <c r="X1913" s="10"/>
      <c r="Y1913" s="10"/>
    </row>
    <row r="1914" spans="1:25" x14ac:dyDescent="0.25">
      <c r="A1914" s="9">
        <v>42452</v>
      </c>
      <c r="B1914" s="10">
        <f ca="1">ROUND(_xlfn.NORM.INV(RAND(),Reference!$C$8,0.1*Reference!$C$8)*(1+Reference!$C$11*(IF(MONTH($A1914)=Reference!$C$4,1,0)+IF(MONTH($A1914)=Reference!$C$5,1,0))+(IF(MONTH($A1914)=Reference!$C$6,Reference!$C$13,0))),0)</f>
        <v>307</v>
      </c>
      <c r="C1914" s="11">
        <f ca="1">B1914*Reference!$C$7*(1-IF(MONTH($A1914)=Reference!$C$6,1,0)*Reference!$C$12)</f>
        <v>285510</v>
      </c>
      <c r="D1914" s="10">
        <f ca="1">ROUND(_xlfn.NORM.INV(RAND(),Reference!$D$8,0.1*Reference!$D$8)*(1+Reference!$D$11*(IF(MONTH($A1914)=Reference!$D$4,1,0)+IF(MONTH($A1914)=Reference!$D$5,1,0))+(IF(MONTH($A1914)=Reference!$D$6,Reference!$D$13,0))),0)</f>
        <v>391</v>
      </c>
      <c r="E1914" s="11">
        <f ca="1">D1914*Reference!$D$7*(1-IF(MONTH($A1914)=Reference!$D$6,1,0)*Reference!$D$12)</f>
        <v>293250</v>
      </c>
      <c r="M1914" s="20"/>
      <c r="N1914" s="20"/>
      <c r="O1914" s="19"/>
      <c r="P1914" s="10"/>
      <c r="Q1914" s="10"/>
      <c r="R1914" s="10"/>
      <c r="S1914" s="10"/>
      <c r="T1914" s="10"/>
      <c r="U1914" s="10"/>
      <c r="V1914" s="10"/>
      <c r="W1914" s="10"/>
      <c r="X1914" s="10"/>
      <c r="Y1914" s="10"/>
    </row>
    <row r="1915" spans="1:25" x14ac:dyDescent="0.25">
      <c r="A1915" s="9">
        <v>42453</v>
      </c>
      <c r="B1915" s="10">
        <f ca="1">ROUND(_xlfn.NORM.INV(RAND(),Reference!$C$8,0.1*Reference!$C$8)*(1+Reference!$C$11*(IF(MONTH($A1915)=Reference!$C$4,1,0)+IF(MONTH($A1915)=Reference!$C$5,1,0))+(IF(MONTH($A1915)=Reference!$C$6,Reference!$C$13,0))),0)</f>
        <v>330</v>
      </c>
      <c r="C1915" s="11">
        <f ca="1">B1915*Reference!$C$7*(1-IF(MONTH($A1915)=Reference!$C$6,1,0)*Reference!$C$12)</f>
        <v>306900</v>
      </c>
      <c r="D1915" s="10">
        <f ca="1">ROUND(_xlfn.NORM.INV(RAND(),Reference!$D$8,0.1*Reference!$D$8)*(1+Reference!$D$11*(IF(MONTH($A1915)=Reference!$D$4,1,0)+IF(MONTH($A1915)=Reference!$D$5,1,0))+(IF(MONTH($A1915)=Reference!$D$6,Reference!$D$13,0))),0)</f>
        <v>483</v>
      </c>
      <c r="E1915" s="11">
        <f ca="1">D1915*Reference!$D$7*(1-IF(MONTH($A1915)=Reference!$D$6,1,0)*Reference!$D$12)</f>
        <v>362250</v>
      </c>
      <c r="M1915" s="20"/>
      <c r="N1915" s="20"/>
      <c r="O1915" s="19"/>
      <c r="P1915" s="10"/>
      <c r="Q1915" s="10"/>
      <c r="R1915" s="10"/>
      <c r="S1915" s="10"/>
      <c r="T1915" s="10"/>
      <c r="U1915" s="10"/>
      <c r="V1915" s="10"/>
      <c r="W1915" s="10"/>
      <c r="X1915" s="10"/>
      <c r="Y1915" s="10"/>
    </row>
    <row r="1916" spans="1:25" x14ac:dyDescent="0.25">
      <c r="A1916" s="9">
        <v>42454</v>
      </c>
      <c r="B1916" s="10">
        <f ca="1">ROUND(_xlfn.NORM.INV(RAND(),Reference!$C$8,0.1*Reference!$C$8)*(1+Reference!$C$11*(IF(MONTH($A1916)=Reference!$C$4,1,0)+IF(MONTH($A1916)=Reference!$C$5,1,0))+(IF(MONTH($A1916)=Reference!$C$6,Reference!$C$13,0))),0)</f>
        <v>333</v>
      </c>
      <c r="C1916" s="11">
        <f ca="1">B1916*Reference!$C$7*(1-IF(MONTH($A1916)=Reference!$C$6,1,0)*Reference!$C$12)</f>
        <v>309690</v>
      </c>
      <c r="D1916" s="10">
        <f ca="1">ROUND(_xlfn.NORM.INV(RAND(),Reference!$D$8,0.1*Reference!$D$8)*(1+Reference!$D$11*(IF(MONTH($A1916)=Reference!$D$4,1,0)+IF(MONTH($A1916)=Reference!$D$5,1,0))+(IF(MONTH($A1916)=Reference!$D$6,Reference!$D$13,0))),0)</f>
        <v>464</v>
      </c>
      <c r="E1916" s="11">
        <f ca="1">D1916*Reference!$D$7*(1-IF(MONTH($A1916)=Reference!$D$6,1,0)*Reference!$D$12)</f>
        <v>348000</v>
      </c>
      <c r="M1916" s="20"/>
      <c r="N1916" s="20"/>
      <c r="O1916" s="19"/>
      <c r="P1916" s="10"/>
      <c r="Q1916" s="10"/>
      <c r="R1916" s="10"/>
      <c r="S1916" s="10"/>
      <c r="T1916" s="10"/>
      <c r="U1916" s="10"/>
      <c r="V1916" s="10"/>
      <c r="W1916" s="10"/>
      <c r="X1916" s="10"/>
      <c r="Y1916" s="10"/>
    </row>
    <row r="1917" spans="1:25" x14ac:dyDescent="0.25">
      <c r="A1917" s="9">
        <v>42455</v>
      </c>
      <c r="B1917" s="10">
        <f ca="1">ROUND(_xlfn.NORM.INV(RAND(),Reference!$C$8,0.1*Reference!$C$8)*(1+Reference!$C$11*(IF(MONTH($A1917)=Reference!$C$4,1,0)+IF(MONTH($A1917)=Reference!$C$5,1,0))+(IF(MONTH($A1917)=Reference!$C$6,Reference!$C$13,0))),0)</f>
        <v>355</v>
      </c>
      <c r="C1917" s="11">
        <f ca="1">B1917*Reference!$C$7*(1-IF(MONTH($A1917)=Reference!$C$6,1,0)*Reference!$C$12)</f>
        <v>330150</v>
      </c>
      <c r="D1917" s="10">
        <f ca="1">ROUND(_xlfn.NORM.INV(RAND(),Reference!$D$8,0.1*Reference!$D$8)*(1+Reference!$D$11*(IF(MONTH($A1917)=Reference!$D$4,1,0)+IF(MONTH($A1917)=Reference!$D$5,1,0))+(IF(MONTH($A1917)=Reference!$D$6,Reference!$D$13,0))),0)</f>
        <v>497</v>
      </c>
      <c r="E1917" s="11">
        <f ca="1">D1917*Reference!$D$7*(1-IF(MONTH($A1917)=Reference!$D$6,1,0)*Reference!$D$12)</f>
        <v>372750</v>
      </c>
      <c r="M1917" s="20"/>
      <c r="N1917" s="20"/>
      <c r="O1917" s="19"/>
      <c r="P1917" s="10"/>
      <c r="Q1917" s="10"/>
      <c r="R1917" s="10"/>
      <c r="S1917" s="10"/>
      <c r="T1917" s="10"/>
      <c r="U1917" s="10"/>
      <c r="V1917" s="10"/>
      <c r="W1917" s="10"/>
      <c r="X1917" s="10"/>
      <c r="Y1917" s="10"/>
    </row>
    <row r="1918" spans="1:25" x14ac:dyDescent="0.25">
      <c r="A1918" s="9">
        <v>42456</v>
      </c>
      <c r="B1918" s="10">
        <f ca="1">ROUND(_xlfn.NORM.INV(RAND(),Reference!$C$8,0.1*Reference!$C$8)*(1+Reference!$C$11*(IF(MONTH($A1918)=Reference!$C$4,1,0)+IF(MONTH($A1918)=Reference!$C$5,1,0))+(IF(MONTH($A1918)=Reference!$C$6,Reference!$C$13,0))),0)</f>
        <v>443</v>
      </c>
      <c r="C1918" s="11">
        <f ca="1">B1918*Reference!$C$7*(1-IF(MONTH($A1918)=Reference!$C$6,1,0)*Reference!$C$12)</f>
        <v>411990</v>
      </c>
      <c r="D1918" s="10">
        <f ca="1">ROUND(_xlfn.NORM.INV(RAND(),Reference!$D$8,0.1*Reference!$D$8)*(1+Reference!$D$11*(IF(MONTH($A1918)=Reference!$D$4,1,0)+IF(MONTH($A1918)=Reference!$D$5,1,0))+(IF(MONTH($A1918)=Reference!$D$6,Reference!$D$13,0))),0)</f>
        <v>469</v>
      </c>
      <c r="E1918" s="11">
        <f ca="1">D1918*Reference!$D$7*(1-IF(MONTH($A1918)=Reference!$D$6,1,0)*Reference!$D$12)</f>
        <v>351750</v>
      </c>
      <c r="M1918" s="20"/>
      <c r="N1918" s="20"/>
      <c r="O1918" s="19"/>
      <c r="P1918" s="10"/>
      <c r="Q1918" s="10"/>
      <c r="R1918" s="10"/>
      <c r="S1918" s="10"/>
      <c r="T1918" s="10"/>
      <c r="U1918" s="10"/>
      <c r="V1918" s="10"/>
      <c r="W1918" s="10"/>
      <c r="X1918" s="10"/>
      <c r="Y1918" s="10"/>
    </row>
    <row r="1919" spans="1:25" x14ac:dyDescent="0.25">
      <c r="A1919" s="9">
        <v>42457</v>
      </c>
      <c r="B1919" s="10">
        <f ca="1">ROUND(_xlfn.NORM.INV(RAND(),Reference!$C$8,0.1*Reference!$C$8)*(1+Reference!$C$11*(IF(MONTH($A1919)=Reference!$C$4,1,0)+IF(MONTH($A1919)=Reference!$C$5,1,0))+(IF(MONTH($A1919)=Reference!$C$6,Reference!$C$13,0))),0)</f>
        <v>353</v>
      </c>
      <c r="C1919" s="11">
        <f ca="1">B1919*Reference!$C$7*(1-IF(MONTH($A1919)=Reference!$C$6,1,0)*Reference!$C$12)</f>
        <v>328290</v>
      </c>
      <c r="D1919" s="10">
        <f ca="1">ROUND(_xlfn.NORM.INV(RAND(),Reference!$D$8,0.1*Reference!$D$8)*(1+Reference!$D$11*(IF(MONTH($A1919)=Reference!$D$4,1,0)+IF(MONTH($A1919)=Reference!$D$5,1,0))+(IF(MONTH($A1919)=Reference!$D$6,Reference!$D$13,0))),0)</f>
        <v>453</v>
      </c>
      <c r="E1919" s="11">
        <f ca="1">D1919*Reference!$D$7*(1-IF(MONTH($A1919)=Reference!$D$6,1,0)*Reference!$D$12)</f>
        <v>339750</v>
      </c>
      <c r="M1919" s="20"/>
      <c r="N1919" s="20"/>
      <c r="O1919" s="19"/>
      <c r="P1919" s="10"/>
      <c r="Q1919" s="10"/>
      <c r="R1919" s="10"/>
      <c r="S1919" s="10"/>
      <c r="T1919" s="10"/>
      <c r="U1919" s="10"/>
      <c r="V1919" s="10"/>
      <c r="W1919" s="10"/>
      <c r="X1919" s="10"/>
      <c r="Y1919" s="10"/>
    </row>
    <row r="1920" spans="1:25" x14ac:dyDescent="0.25">
      <c r="A1920" s="9">
        <v>42458</v>
      </c>
      <c r="B1920" s="10">
        <f ca="1">ROUND(_xlfn.NORM.INV(RAND(),Reference!$C$8,0.1*Reference!$C$8)*(1+Reference!$C$11*(IF(MONTH($A1920)=Reference!$C$4,1,0)+IF(MONTH($A1920)=Reference!$C$5,1,0))+(IF(MONTH($A1920)=Reference!$C$6,Reference!$C$13,0))),0)</f>
        <v>436</v>
      </c>
      <c r="C1920" s="11">
        <f ca="1">B1920*Reference!$C$7*(1-IF(MONTH($A1920)=Reference!$C$6,1,0)*Reference!$C$12)</f>
        <v>405480</v>
      </c>
      <c r="D1920" s="10">
        <f ca="1">ROUND(_xlfn.NORM.INV(RAND(),Reference!$D$8,0.1*Reference!$D$8)*(1+Reference!$D$11*(IF(MONTH($A1920)=Reference!$D$4,1,0)+IF(MONTH($A1920)=Reference!$D$5,1,0))+(IF(MONTH($A1920)=Reference!$D$6,Reference!$D$13,0))),0)</f>
        <v>395</v>
      </c>
      <c r="E1920" s="11">
        <f ca="1">D1920*Reference!$D$7*(1-IF(MONTH($A1920)=Reference!$D$6,1,0)*Reference!$D$12)</f>
        <v>296250</v>
      </c>
      <c r="M1920" s="20"/>
      <c r="N1920" s="20"/>
      <c r="O1920" s="19"/>
      <c r="P1920" s="10"/>
      <c r="Q1920" s="10"/>
      <c r="R1920" s="10"/>
      <c r="S1920" s="10"/>
      <c r="T1920" s="10"/>
      <c r="U1920" s="10"/>
      <c r="V1920" s="10"/>
      <c r="W1920" s="10"/>
      <c r="X1920" s="10"/>
      <c r="Y1920" s="10"/>
    </row>
    <row r="1921" spans="1:25" x14ac:dyDescent="0.25">
      <c r="A1921" s="9">
        <v>42459</v>
      </c>
      <c r="B1921" s="10">
        <f ca="1">ROUND(_xlfn.NORM.INV(RAND(),Reference!$C$8,0.1*Reference!$C$8)*(1+Reference!$C$11*(IF(MONTH($A1921)=Reference!$C$4,1,0)+IF(MONTH($A1921)=Reference!$C$5,1,0))+(IF(MONTH($A1921)=Reference!$C$6,Reference!$C$13,0))),0)</f>
        <v>378</v>
      </c>
      <c r="C1921" s="11">
        <f ca="1">B1921*Reference!$C$7*(1-IF(MONTH($A1921)=Reference!$C$6,1,0)*Reference!$C$12)</f>
        <v>351540</v>
      </c>
      <c r="D1921" s="10">
        <f ca="1">ROUND(_xlfn.NORM.INV(RAND(),Reference!$D$8,0.1*Reference!$D$8)*(1+Reference!$D$11*(IF(MONTH($A1921)=Reference!$D$4,1,0)+IF(MONTH($A1921)=Reference!$D$5,1,0))+(IF(MONTH($A1921)=Reference!$D$6,Reference!$D$13,0))),0)</f>
        <v>432</v>
      </c>
      <c r="E1921" s="11">
        <f ca="1">D1921*Reference!$D$7*(1-IF(MONTH($A1921)=Reference!$D$6,1,0)*Reference!$D$12)</f>
        <v>324000</v>
      </c>
      <c r="M1921" s="20"/>
      <c r="N1921" s="20"/>
      <c r="O1921" s="19"/>
      <c r="P1921" s="10"/>
      <c r="Q1921" s="10"/>
      <c r="R1921" s="10"/>
      <c r="S1921" s="10"/>
      <c r="T1921" s="10"/>
      <c r="U1921" s="10"/>
      <c r="V1921" s="10"/>
      <c r="W1921" s="10"/>
      <c r="X1921" s="10"/>
      <c r="Y1921" s="10"/>
    </row>
    <row r="1922" spans="1:25" x14ac:dyDescent="0.25">
      <c r="A1922" s="9">
        <v>42460</v>
      </c>
      <c r="B1922" s="10">
        <f ca="1">ROUND(_xlfn.NORM.INV(RAND(),Reference!$C$8,0.1*Reference!$C$8)*(1+Reference!$C$11*(IF(MONTH($A1922)=Reference!$C$4,1,0)+IF(MONTH($A1922)=Reference!$C$5,1,0))+(IF(MONTH($A1922)=Reference!$C$6,Reference!$C$13,0))),0)</f>
        <v>357</v>
      </c>
      <c r="C1922" s="11">
        <f ca="1">B1922*Reference!$C$7*(1-IF(MONTH($A1922)=Reference!$C$6,1,0)*Reference!$C$12)</f>
        <v>332010</v>
      </c>
      <c r="D1922" s="10">
        <f ca="1">ROUND(_xlfn.NORM.INV(RAND(),Reference!$D$8,0.1*Reference!$D$8)*(1+Reference!$D$11*(IF(MONTH($A1922)=Reference!$D$4,1,0)+IF(MONTH($A1922)=Reference!$D$5,1,0))+(IF(MONTH($A1922)=Reference!$D$6,Reference!$D$13,0))),0)</f>
        <v>434</v>
      </c>
      <c r="E1922" s="11">
        <f ca="1">D1922*Reference!$D$7*(1-IF(MONTH($A1922)=Reference!$D$6,1,0)*Reference!$D$12)</f>
        <v>325500</v>
      </c>
      <c r="M1922" s="20"/>
      <c r="N1922" s="20"/>
      <c r="O1922" s="19"/>
      <c r="P1922" s="10"/>
      <c r="Q1922" s="10"/>
      <c r="R1922" s="10"/>
      <c r="S1922" s="10"/>
      <c r="T1922" s="10"/>
      <c r="U1922" s="10"/>
      <c r="V1922" s="10"/>
      <c r="W1922" s="10"/>
      <c r="X1922" s="10"/>
      <c r="Y1922" s="10"/>
    </row>
    <row r="1923" spans="1:25" x14ac:dyDescent="0.25">
      <c r="A1923" s="9">
        <v>42461</v>
      </c>
      <c r="B1923" s="10">
        <f ca="1">ROUND(_xlfn.NORM.INV(RAND(),Reference!$C$8,0.1*Reference!$C$8)*(1+Reference!$C$11*(IF(MONTH($A1923)=Reference!$C$4,1,0)+IF(MONTH($A1923)=Reference!$C$5,1,0))+(IF(MONTH($A1923)=Reference!$C$6,Reference!$C$13,0))),0)</f>
        <v>445</v>
      </c>
      <c r="C1923" s="11">
        <f ca="1">B1923*Reference!$C$7*(1-IF(MONTH($A1923)=Reference!$C$6,1,0)*Reference!$C$12)</f>
        <v>413850</v>
      </c>
      <c r="D1923" s="10">
        <f ca="1">ROUND(_xlfn.NORM.INV(RAND(),Reference!$D$8,0.1*Reference!$D$8)*(1+Reference!$D$11*(IF(MONTH($A1923)=Reference!$D$4,1,0)+IF(MONTH($A1923)=Reference!$D$5,1,0))+(IF(MONTH($A1923)=Reference!$D$6,Reference!$D$13,0))),0)</f>
        <v>405</v>
      </c>
      <c r="E1923" s="11">
        <f ca="1">D1923*Reference!$D$7*(1-IF(MONTH($A1923)=Reference!$D$6,1,0)*Reference!$D$12)</f>
        <v>303750</v>
      </c>
      <c r="M1923" s="20"/>
      <c r="N1923" s="20"/>
      <c r="O1923" s="19"/>
      <c r="P1923" s="10"/>
      <c r="Q1923" s="10"/>
      <c r="R1923" s="10"/>
      <c r="S1923" s="10"/>
      <c r="T1923" s="10"/>
      <c r="U1923" s="10"/>
      <c r="V1923" s="10"/>
      <c r="W1923" s="10"/>
      <c r="X1923" s="10"/>
      <c r="Y1923" s="10"/>
    </row>
    <row r="1924" spans="1:25" x14ac:dyDescent="0.25">
      <c r="A1924" s="9">
        <v>42462</v>
      </c>
      <c r="B1924" s="10">
        <f ca="1">ROUND(_xlfn.NORM.INV(RAND(),Reference!$C$8,0.1*Reference!$C$8)*(1+Reference!$C$11*(IF(MONTH($A1924)=Reference!$C$4,1,0)+IF(MONTH($A1924)=Reference!$C$5,1,0))+(IF(MONTH($A1924)=Reference!$C$6,Reference!$C$13,0))),0)</f>
        <v>472</v>
      </c>
      <c r="C1924" s="11">
        <f ca="1">B1924*Reference!$C$7*(1-IF(MONTH($A1924)=Reference!$C$6,1,0)*Reference!$C$12)</f>
        <v>438960</v>
      </c>
      <c r="D1924" s="10">
        <f ca="1">ROUND(_xlfn.NORM.INV(RAND(),Reference!$D$8,0.1*Reference!$D$8)*(1+Reference!$D$11*(IF(MONTH($A1924)=Reference!$D$4,1,0)+IF(MONTH($A1924)=Reference!$D$5,1,0))+(IF(MONTH($A1924)=Reference!$D$6,Reference!$D$13,0))),0)</f>
        <v>515</v>
      </c>
      <c r="E1924" s="11">
        <f ca="1">D1924*Reference!$D$7*(1-IF(MONTH($A1924)=Reference!$D$6,1,0)*Reference!$D$12)</f>
        <v>386250</v>
      </c>
      <c r="M1924" s="20"/>
      <c r="N1924" s="20"/>
      <c r="O1924" s="19"/>
      <c r="P1924" s="10"/>
      <c r="Q1924" s="10"/>
      <c r="R1924" s="10"/>
      <c r="S1924" s="10"/>
      <c r="T1924" s="10"/>
      <c r="U1924" s="10"/>
      <c r="V1924" s="10"/>
      <c r="W1924" s="10"/>
      <c r="X1924" s="10"/>
      <c r="Y1924" s="10"/>
    </row>
    <row r="1925" spans="1:25" x14ac:dyDescent="0.25">
      <c r="A1925" s="9">
        <v>42463</v>
      </c>
      <c r="B1925" s="10">
        <f ca="1">ROUND(_xlfn.NORM.INV(RAND(),Reference!$C$8,0.1*Reference!$C$8)*(1+Reference!$C$11*(IF(MONTH($A1925)=Reference!$C$4,1,0)+IF(MONTH($A1925)=Reference!$C$5,1,0))+(IF(MONTH($A1925)=Reference!$C$6,Reference!$C$13,0))),0)</f>
        <v>583</v>
      </c>
      <c r="C1925" s="11">
        <f ca="1">B1925*Reference!$C$7*(1-IF(MONTH($A1925)=Reference!$C$6,1,0)*Reference!$C$12)</f>
        <v>542190</v>
      </c>
      <c r="D1925" s="10">
        <f ca="1">ROUND(_xlfn.NORM.INV(RAND(),Reference!$D$8,0.1*Reference!$D$8)*(1+Reference!$D$11*(IF(MONTH($A1925)=Reference!$D$4,1,0)+IF(MONTH($A1925)=Reference!$D$5,1,0))+(IF(MONTH($A1925)=Reference!$D$6,Reference!$D$13,0))),0)</f>
        <v>462</v>
      </c>
      <c r="E1925" s="11">
        <f ca="1">D1925*Reference!$D$7*(1-IF(MONTH($A1925)=Reference!$D$6,1,0)*Reference!$D$12)</f>
        <v>346500</v>
      </c>
      <c r="M1925" s="20"/>
      <c r="N1925" s="20"/>
      <c r="O1925" s="19"/>
      <c r="P1925" s="10"/>
      <c r="Q1925" s="10"/>
      <c r="R1925" s="10"/>
      <c r="S1925" s="10"/>
      <c r="T1925" s="10"/>
      <c r="U1925" s="10"/>
      <c r="V1925" s="10"/>
      <c r="W1925" s="10"/>
      <c r="X1925" s="10"/>
      <c r="Y1925" s="10"/>
    </row>
    <row r="1926" spans="1:25" x14ac:dyDescent="0.25">
      <c r="A1926" s="9">
        <v>42464</v>
      </c>
      <c r="B1926" s="10">
        <f ca="1">ROUND(_xlfn.NORM.INV(RAND(),Reference!$C$8,0.1*Reference!$C$8)*(1+Reference!$C$11*(IF(MONTH($A1926)=Reference!$C$4,1,0)+IF(MONTH($A1926)=Reference!$C$5,1,0))+(IF(MONTH($A1926)=Reference!$C$6,Reference!$C$13,0))),0)</f>
        <v>557</v>
      </c>
      <c r="C1926" s="11">
        <f ca="1">B1926*Reference!$C$7*(1-IF(MONTH($A1926)=Reference!$C$6,1,0)*Reference!$C$12)</f>
        <v>518010</v>
      </c>
      <c r="D1926" s="10">
        <f ca="1">ROUND(_xlfn.NORM.INV(RAND(),Reference!$D$8,0.1*Reference!$D$8)*(1+Reference!$D$11*(IF(MONTH($A1926)=Reference!$D$4,1,0)+IF(MONTH($A1926)=Reference!$D$5,1,0))+(IF(MONTH($A1926)=Reference!$D$6,Reference!$D$13,0))),0)</f>
        <v>486</v>
      </c>
      <c r="E1926" s="11">
        <f ca="1">D1926*Reference!$D$7*(1-IF(MONTH($A1926)=Reference!$D$6,1,0)*Reference!$D$12)</f>
        <v>364500</v>
      </c>
      <c r="M1926" s="20"/>
      <c r="N1926" s="20"/>
      <c r="O1926" s="19"/>
      <c r="P1926" s="10"/>
      <c r="Q1926" s="10"/>
      <c r="R1926" s="10"/>
      <c r="S1926" s="10"/>
      <c r="T1926" s="10"/>
      <c r="U1926" s="10"/>
      <c r="V1926" s="10"/>
      <c r="W1926" s="10"/>
      <c r="X1926" s="10"/>
      <c r="Y1926" s="10"/>
    </row>
    <row r="1927" spans="1:25" x14ac:dyDescent="0.25">
      <c r="A1927" s="9">
        <v>42465</v>
      </c>
      <c r="B1927" s="10">
        <f ca="1">ROUND(_xlfn.NORM.INV(RAND(),Reference!$C$8,0.1*Reference!$C$8)*(1+Reference!$C$11*(IF(MONTH($A1927)=Reference!$C$4,1,0)+IF(MONTH($A1927)=Reference!$C$5,1,0))+(IF(MONTH($A1927)=Reference!$C$6,Reference!$C$13,0))),0)</f>
        <v>544</v>
      </c>
      <c r="C1927" s="11">
        <f ca="1">B1927*Reference!$C$7*(1-IF(MONTH($A1927)=Reference!$C$6,1,0)*Reference!$C$12)</f>
        <v>505920</v>
      </c>
      <c r="D1927" s="10">
        <f ca="1">ROUND(_xlfn.NORM.INV(RAND(),Reference!$D$8,0.1*Reference!$D$8)*(1+Reference!$D$11*(IF(MONTH($A1927)=Reference!$D$4,1,0)+IF(MONTH($A1927)=Reference!$D$5,1,0))+(IF(MONTH($A1927)=Reference!$D$6,Reference!$D$13,0))),0)</f>
        <v>414</v>
      </c>
      <c r="E1927" s="11">
        <f ca="1">D1927*Reference!$D$7*(1-IF(MONTH($A1927)=Reference!$D$6,1,0)*Reference!$D$12)</f>
        <v>310500</v>
      </c>
      <c r="M1927" s="20"/>
      <c r="N1927" s="20"/>
      <c r="O1927" s="19"/>
      <c r="P1927" s="10"/>
      <c r="Q1927" s="10"/>
      <c r="R1927" s="10"/>
      <c r="S1927" s="10"/>
      <c r="T1927" s="10"/>
      <c r="U1927" s="10"/>
      <c r="V1927" s="10"/>
      <c r="W1927" s="10"/>
      <c r="X1927" s="10"/>
      <c r="Y1927" s="10"/>
    </row>
    <row r="1928" spans="1:25" x14ac:dyDescent="0.25">
      <c r="A1928" s="9">
        <v>42466</v>
      </c>
      <c r="B1928" s="10">
        <f ca="1">ROUND(_xlfn.NORM.INV(RAND(),Reference!$C$8,0.1*Reference!$C$8)*(1+Reference!$C$11*(IF(MONTH($A1928)=Reference!$C$4,1,0)+IF(MONTH($A1928)=Reference!$C$5,1,0))+(IF(MONTH($A1928)=Reference!$C$6,Reference!$C$13,0))),0)</f>
        <v>607</v>
      </c>
      <c r="C1928" s="11">
        <f ca="1">B1928*Reference!$C$7*(1-IF(MONTH($A1928)=Reference!$C$6,1,0)*Reference!$C$12)</f>
        <v>564510</v>
      </c>
      <c r="D1928" s="10">
        <f ca="1">ROUND(_xlfn.NORM.INV(RAND(),Reference!$D$8,0.1*Reference!$D$8)*(1+Reference!$D$11*(IF(MONTH($A1928)=Reference!$D$4,1,0)+IF(MONTH($A1928)=Reference!$D$5,1,0))+(IF(MONTH($A1928)=Reference!$D$6,Reference!$D$13,0))),0)</f>
        <v>544</v>
      </c>
      <c r="E1928" s="11">
        <f ca="1">D1928*Reference!$D$7*(1-IF(MONTH($A1928)=Reference!$D$6,1,0)*Reference!$D$12)</f>
        <v>408000</v>
      </c>
      <c r="M1928" s="20"/>
      <c r="N1928" s="20"/>
      <c r="O1928" s="19"/>
      <c r="P1928" s="10"/>
      <c r="Q1928" s="10"/>
      <c r="R1928" s="10"/>
      <c r="S1928" s="10"/>
      <c r="T1928" s="10"/>
      <c r="U1928" s="10"/>
      <c r="V1928" s="10"/>
      <c r="W1928" s="10"/>
      <c r="X1928" s="10"/>
      <c r="Y1928" s="10"/>
    </row>
    <row r="1929" spans="1:25" x14ac:dyDescent="0.25">
      <c r="A1929" s="9">
        <v>42467</v>
      </c>
      <c r="B1929" s="10">
        <f ca="1">ROUND(_xlfn.NORM.INV(RAND(),Reference!$C$8,0.1*Reference!$C$8)*(1+Reference!$C$11*(IF(MONTH($A1929)=Reference!$C$4,1,0)+IF(MONTH($A1929)=Reference!$C$5,1,0))+(IF(MONTH($A1929)=Reference!$C$6,Reference!$C$13,0))),0)</f>
        <v>411</v>
      </c>
      <c r="C1929" s="11">
        <f ca="1">B1929*Reference!$C$7*(1-IF(MONTH($A1929)=Reference!$C$6,1,0)*Reference!$C$12)</f>
        <v>382230</v>
      </c>
      <c r="D1929" s="10">
        <f ca="1">ROUND(_xlfn.NORM.INV(RAND(),Reference!$D$8,0.1*Reference!$D$8)*(1+Reference!$D$11*(IF(MONTH($A1929)=Reference!$D$4,1,0)+IF(MONTH($A1929)=Reference!$D$5,1,0))+(IF(MONTH($A1929)=Reference!$D$6,Reference!$D$13,0))),0)</f>
        <v>421</v>
      </c>
      <c r="E1929" s="11">
        <f ca="1">D1929*Reference!$D$7*(1-IF(MONTH($A1929)=Reference!$D$6,1,0)*Reference!$D$12)</f>
        <v>315750</v>
      </c>
      <c r="M1929" s="20"/>
      <c r="N1929" s="20"/>
      <c r="O1929" s="19"/>
      <c r="P1929" s="10"/>
      <c r="Q1929" s="10"/>
      <c r="R1929" s="10"/>
      <c r="S1929" s="10"/>
      <c r="T1929" s="10"/>
      <c r="U1929" s="10"/>
      <c r="V1929" s="10"/>
      <c r="W1929" s="10"/>
      <c r="X1929" s="10"/>
      <c r="Y1929" s="10"/>
    </row>
    <row r="1930" spans="1:25" x14ac:dyDescent="0.25">
      <c r="A1930" s="9">
        <v>42468</v>
      </c>
      <c r="B1930" s="10">
        <f ca="1">ROUND(_xlfn.NORM.INV(RAND(),Reference!$C$8,0.1*Reference!$C$8)*(1+Reference!$C$11*(IF(MONTH($A1930)=Reference!$C$4,1,0)+IF(MONTH($A1930)=Reference!$C$5,1,0))+(IF(MONTH($A1930)=Reference!$C$6,Reference!$C$13,0))),0)</f>
        <v>540</v>
      </c>
      <c r="C1930" s="11">
        <f ca="1">B1930*Reference!$C$7*(1-IF(MONTH($A1930)=Reference!$C$6,1,0)*Reference!$C$12)</f>
        <v>502200</v>
      </c>
      <c r="D1930" s="10">
        <f ca="1">ROUND(_xlfn.NORM.INV(RAND(),Reference!$D$8,0.1*Reference!$D$8)*(1+Reference!$D$11*(IF(MONTH($A1930)=Reference!$D$4,1,0)+IF(MONTH($A1930)=Reference!$D$5,1,0))+(IF(MONTH($A1930)=Reference!$D$6,Reference!$D$13,0))),0)</f>
        <v>369</v>
      </c>
      <c r="E1930" s="11">
        <f ca="1">D1930*Reference!$D$7*(1-IF(MONTH($A1930)=Reference!$D$6,1,0)*Reference!$D$12)</f>
        <v>276750</v>
      </c>
      <c r="M1930" s="20"/>
      <c r="N1930" s="20"/>
      <c r="O1930" s="19"/>
      <c r="P1930" s="10"/>
      <c r="Q1930" s="10"/>
      <c r="R1930" s="10"/>
      <c r="S1930" s="10"/>
      <c r="T1930" s="10"/>
      <c r="U1930" s="10"/>
      <c r="V1930" s="10"/>
      <c r="W1930" s="10"/>
      <c r="X1930" s="10"/>
      <c r="Y1930" s="10"/>
    </row>
    <row r="1931" spans="1:25" x14ac:dyDescent="0.25">
      <c r="A1931" s="9">
        <v>42469</v>
      </c>
      <c r="B1931" s="10">
        <f ca="1">ROUND(_xlfn.NORM.INV(RAND(),Reference!$C$8,0.1*Reference!$C$8)*(1+Reference!$C$11*(IF(MONTH($A1931)=Reference!$C$4,1,0)+IF(MONTH($A1931)=Reference!$C$5,1,0))+(IF(MONTH($A1931)=Reference!$C$6,Reference!$C$13,0))),0)</f>
        <v>579</v>
      </c>
      <c r="C1931" s="11">
        <f ca="1">B1931*Reference!$C$7*(1-IF(MONTH($A1931)=Reference!$C$6,1,0)*Reference!$C$12)</f>
        <v>538470</v>
      </c>
      <c r="D1931" s="10">
        <f ca="1">ROUND(_xlfn.NORM.INV(RAND(),Reference!$D$8,0.1*Reference!$D$8)*(1+Reference!$D$11*(IF(MONTH($A1931)=Reference!$D$4,1,0)+IF(MONTH($A1931)=Reference!$D$5,1,0))+(IF(MONTH($A1931)=Reference!$D$6,Reference!$D$13,0))),0)</f>
        <v>417</v>
      </c>
      <c r="E1931" s="11">
        <f ca="1">D1931*Reference!$D$7*(1-IF(MONTH($A1931)=Reference!$D$6,1,0)*Reference!$D$12)</f>
        <v>312750</v>
      </c>
      <c r="M1931" s="20"/>
      <c r="N1931" s="20"/>
      <c r="O1931" s="19"/>
      <c r="P1931" s="10"/>
      <c r="Q1931" s="10"/>
      <c r="R1931" s="10"/>
      <c r="S1931" s="10"/>
      <c r="T1931" s="10"/>
      <c r="U1931" s="10"/>
      <c r="V1931" s="10"/>
      <c r="W1931" s="10"/>
      <c r="X1931" s="10"/>
      <c r="Y1931" s="10"/>
    </row>
    <row r="1932" spans="1:25" x14ac:dyDescent="0.25">
      <c r="A1932" s="9">
        <v>42470</v>
      </c>
      <c r="B1932" s="10">
        <f ca="1">ROUND(_xlfn.NORM.INV(RAND(),Reference!$C$8,0.1*Reference!$C$8)*(1+Reference!$C$11*(IF(MONTH($A1932)=Reference!$C$4,1,0)+IF(MONTH($A1932)=Reference!$C$5,1,0))+(IF(MONTH($A1932)=Reference!$C$6,Reference!$C$13,0))),0)</f>
        <v>632</v>
      </c>
      <c r="C1932" s="11">
        <f ca="1">B1932*Reference!$C$7*(1-IF(MONTH($A1932)=Reference!$C$6,1,0)*Reference!$C$12)</f>
        <v>587760</v>
      </c>
      <c r="D1932" s="10">
        <f ca="1">ROUND(_xlfn.NORM.INV(RAND(),Reference!$D$8,0.1*Reference!$D$8)*(1+Reference!$D$11*(IF(MONTH($A1932)=Reference!$D$4,1,0)+IF(MONTH($A1932)=Reference!$D$5,1,0))+(IF(MONTH($A1932)=Reference!$D$6,Reference!$D$13,0))),0)</f>
        <v>438</v>
      </c>
      <c r="E1932" s="11">
        <f ca="1">D1932*Reference!$D$7*(1-IF(MONTH($A1932)=Reference!$D$6,1,0)*Reference!$D$12)</f>
        <v>328500</v>
      </c>
      <c r="M1932" s="20"/>
      <c r="N1932" s="20"/>
      <c r="O1932" s="19"/>
      <c r="P1932" s="10"/>
      <c r="Q1932" s="10"/>
      <c r="R1932" s="10"/>
      <c r="S1932" s="10"/>
      <c r="T1932" s="10"/>
      <c r="U1932" s="10"/>
      <c r="V1932" s="10"/>
      <c r="W1932" s="10"/>
      <c r="X1932" s="10"/>
      <c r="Y1932" s="10"/>
    </row>
    <row r="1933" spans="1:25" x14ac:dyDescent="0.25">
      <c r="A1933" s="9">
        <v>42471</v>
      </c>
      <c r="B1933" s="10">
        <f ca="1">ROUND(_xlfn.NORM.INV(RAND(),Reference!$C$8,0.1*Reference!$C$8)*(1+Reference!$C$11*(IF(MONTH($A1933)=Reference!$C$4,1,0)+IF(MONTH($A1933)=Reference!$C$5,1,0))+(IF(MONTH($A1933)=Reference!$C$6,Reference!$C$13,0))),0)</f>
        <v>566</v>
      </c>
      <c r="C1933" s="11">
        <f ca="1">B1933*Reference!$C$7*(1-IF(MONTH($A1933)=Reference!$C$6,1,0)*Reference!$C$12)</f>
        <v>526380</v>
      </c>
      <c r="D1933" s="10">
        <f ca="1">ROUND(_xlfn.NORM.INV(RAND(),Reference!$D$8,0.1*Reference!$D$8)*(1+Reference!$D$11*(IF(MONTH($A1933)=Reference!$D$4,1,0)+IF(MONTH($A1933)=Reference!$D$5,1,0))+(IF(MONTH($A1933)=Reference!$D$6,Reference!$D$13,0))),0)</f>
        <v>430</v>
      </c>
      <c r="E1933" s="11">
        <f ca="1">D1933*Reference!$D$7*(1-IF(MONTH($A1933)=Reference!$D$6,1,0)*Reference!$D$12)</f>
        <v>322500</v>
      </c>
      <c r="M1933" s="20"/>
      <c r="N1933" s="20"/>
      <c r="O1933" s="19"/>
      <c r="P1933" s="10"/>
      <c r="Q1933" s="10"/>
      <c r="R1933" s="10"/>
      <c r="S1933" s="10"/>
      <c r="T1933" s="10"/>
      <c r="U1933" s="10"/>
      <c r="V1933" s="10"/>
      <c r="W1933" s="10"/>
      <c r="X1933" s="10"/>
      <c r="Y1933" s="10"/>
    </row>
    <row r="1934" spans="1:25" x14ac:dyDescent="0.25">
      <c r="A1934" s="9">
        <v>42472</v>
      </c>
      <c r="B1934" s="10">
        <f ca="1">ROUND(_xlfn.NORM.INV(RAND(),Reference!$C$8,0.1*Reference!$C$8)*(1+Reference!$C$11*(IF(MONTH($A1934)=Reference!$C$4,1,0)+IF(MONTH($A1934)=Reference!$C$5,1,0))+(IF(MONTH($A1934)=Reference!$C$6,Reference!$C$13,0))),0)</f>
        <v>495</v>
      </c>
      <c r="C1934" s="11">
        <f ca="1">B1934*Reference!$C$7*(1-IF(MONTH($A1934)=Reference!$C$6,1,0)*Reference!$C$12)</f>
        <v>460350</v>
      </c>
      <c r="D1934" s="10">
        <f ca="1">ROUND(_xlfn.NORM.INV(RAND(),Reference!$D$8,0.1*Reference!$D$8)*(1+Reference!$D$11*(IF(MONTH($A1934)=Reference!$D$4,1,0)+IF(MONTH($A1934)=Reference!$D$5,1,0))+(IF(MONTH($A1934)=Reference!$D$6,Reference!$D$13,0))),0)</f>
        <v>469</v>
      </c>
      <c r="E1934" s="11">
        <f ca="1">D1934*Reference!$D$7*(1-IF(MONTH($A1934)=Reference!$D$6,1,0)*Reference!$D$12)</f>
        <v>351750</v>
      </c>
      <c r="M1934" s="20"/>
      <c r="N1934" s="20"/>
      <c r="O1934" s="19"/>
      <c r="P1934" s="10"/>
      <c r="Q1934" s="10"/>
      <c r="R1934" s="10"/>
      <c r="S1934" s="10"/>
      <c r="T1934" s="10"/>
      <c r="U1934" s="10"/>
      <c r="V1934" s="10"/>
      <c r="W1934" s="10"/>
      <c r="X1934" s="10"/>
      <c r="Y1934" s="10"/>
    </row>
    <row r="1935" spans="1:25" x14ac:dyDescent="0.25">
      <c r="A1935" s="9">
        <v>42473</v>
      </c>
      <c r="B1935" s="10">
        <f ca="1">ROUND(_xlfn.NORM.INV(RAND(),Reference!$C$8,0.1*Reference!$C$8)*(1+Reference!$C$11*(IF(MONTH($A1935)=Reference!$C$4,1,0)+IF(MONTH($A1935)=Reference!$C$5,1,0))+(IF(MONTH($A1935)=Reference!$C$6,Reference!$C$13,0))),0)</f>
        <v>551</v>
      </c>
      <c r="C1935" s="11">
        <f ca="1">B1935*Reference!$C$7*(1-IF(MONTH($A1935)=Reference!$C$6,1,0)*Reference!$C$12)</f>
        <v>512430</v>
      </c>
      <c r="D1935" s="10">
        <f ca="1">ROUND(_xlfn.NORM.INV(RAND(),Reference!$D$8,0.1*Reference!$D$8)*(1+Reference!$D$11*(IF(MONTH($A1935)=Reference!$D$4,1,0)+IF(MONTH($A1935)=Reference!$D$5,1,0))+(IF(MONTH($A1935)=Reference!$D$6,Reference!$D$13,0))),0)</f>
        <v>403</v>
      </c>
      <c r="E1935" s="11">
        <f ca="1">D1935*Reference!$D$7*(1-IF(MONTH($A1935)=Reference!$D$6,1,0)*Reference!$D$12)</f>
        <v>302250</v>
      </c>
      <c r="M1935" s="20"/>
      <c r="N1935" s="20"/>
      <c r="O1935" s="19"/>
      <c r="P1935" s="10"/>
      <c r="Q1935" s="10"/>
      <c r="R1935" s="10"/>
      <c r="S1935" s="10"/>
      <c r="T1935" s="10"/>
      <c r="U1935" s="10"/>
      <c r="V1935" s="10"/>
      <c r="W1935" s="10"/>
      <c r="X1935" s="10"/>
      <c r="Y1935" s="10"/>
    </row>
    <row r="1936" spans="1:25" x14ac:dyDescent="0.25">
      <c r="A1936" s="9">
        <v>42474</v>
      </c>
      <c r="B1936" s="10">
        <f ca="1">ROUND(_xlfn.NORM.INV(RAND(),Reference!$C$8,0.1*Reference!$C$8)*(1+Reference!$C$11*(IF(MONTH($A1936)=Reference!$C$4,1,0)+IF(MONTH($A1936)=Reference!$C$5,1,0))+(IF(MONTH($A1936)=Reference!$C$6,Reference!$C$13,0))),0)</f>
        <v>554</v>
      </c>
      <c r="C1936" s="11">
        <f ca="1">B1936*Reference!$C$7*(1-IF(MONTH($A1936)=Reference!$C$6,1,0)*Reference!$C$12)</f>
        <v>515220</v>
      </c>
      <c r="D1936" s="10">
        <f ca="1">ROUND(_xlfn.NORM.INV(RAND(),Reference!$D$8,0.1*Reference!$D$8)*(1+Reference!$D$11*(IF(MONTH($A1936)=Reference!$D$4,1,0)+IF(MONTH($A1936)=Reference!$D$5,1,0))+(IF(MONTH($A1936)=Reference!$D$6,Reference!$D$13,0))),0)</f>
        <v>460</v>
      </c>
      <c r="E1936" s="11">
        <f ca="1">D1936*Reference!$D$7*(1-IF(MONTH($A1936)=Reference!$D$6,1,0)*Reference!$D$12)</f>
        <v>345000</v>
      </c>
      <c r="M1936" s="20"/>
      <c r="N1936" s="20"/>
      <c r="O1936" s="19"/>
      <c r="P1936" s="10"/>
      <c r="Q1936" s="10"/>
      <c r="R1936" s="10"/>
      <c r="S1936" s="10"/>
      <c r="T1936" s="10"/>
      <c r="U1936" s="10"/>
      <c r="V1936" s="10"/>
      <c r="W1936" s="10"/>
      <c r="X1936" s="10"/>
      <c r="Y1936" s="10"/>
    </row>
    <row r="1937" spans="1:25" x14ac:dyDescent="0.25">
      <c r="A1937" s="9">
        <v>42475</v>
      </c>
      <c r="B1937" s="10">
        <f ca="1">ROUND(_xlfn.NORM.INV(RAND(),Reference!$C$8,0.1*Reference!$C$8)*(1+Reference!$C$11*(IF(MONTH($A1937)=Reference!$C$4,1,0)+IF(MONTH($A1937)=Reference!$C$5,1,0))+(IF(MONTH($A1937)=Reference!$C$6,Reference!$C$13,0))),0)</f>
        <v>491</v>
      </c>
      <c r="C1937" s="11">
        <f ca="1">B1937*Reference!$C$7*(1-IF(MONTH($A1937)=Reference!$C$6,1,0)*Reference!$C$12)</f>
        <v>456630</v>
      </c>
      <c r="D1937" s="10">
        <f ca="1">ROUND(_xlfn.NORM.INV(RAND(),Reference!$D$8,0.1*Reference!$D$8)*(1+Reference!$D$11*(IF(MONTH($A1937)=Reference!$D$4,1,0)+IF(MONTH($A1937)=Reference!$D$5,1,0))+(IF(MONTH($A1937)=Reference!$D$6,Reference!$D$13,0))),0)</f>
        <v>491</v>
      </c>
      <c r="E1937" s="11">
        <f ca="1">D1937*Reference!$D$7*(1-IF(MONTH($A1937)=Reference!$D$6,1,0)*Reference!$D$12)</f>
        <v>368250</v>
      </c>
      <c r="M1937" s="20"/>
      <c r="N1937" s="20"/>
      <c r="O1937" s="19"/>
      <c r="P1937" s="10"/>
      <c r="Q1937" s="10"/>
      <c r="R1937" s="10"/>
      <c r="S1937" s="10"/>
      <c r="T1937" s="10"/>
      <c r="U1937" s="10"/>
      <c r="V1937" s="10"/>
      <c r="W1937" s="10"/>
      <c r="X1937" s="10"/>
      <c r="Y1937" s="10"/>
    </row>
    <row r="1938" spans="1:25" x14ac:dyDescent="0.25">
      <c r="A1938" s="9">
        <v>42476</v>
      </c>
      <c r="B1938" s="10">
        <f ca="1">ROUND(_xlfn.NORM.INV(RAND(),Reference!$C$8,0.1*Reference!$C$8)*(1+Reference!$C$11*(IF(MONTH($A1938)=Reference!$C$4,1,0)+IF(MONTH($A1938)=Reference!$C$5,1,0))+(IF(MONTH($A1938)=Reference!$C$6,Reference!$C$13,0))),0)</f>
        <v>466</v>
      </c>
      <c r="C1938" s="11">
        <f ca="1">B1938*Reference!$C$7*(1-IF(MONTH($A1938)=Reference!$C$6,1,0)*Reference!$C$12)</f>
        <v>433380</v>
      </c>
      <c r="D1938" s="10">
        <f ca="1">ROUND(_xlfn.NORM.INV(RAND(),Reference!$D$8,0.1*Reference!$D$8)*(1+Reference!$D$11*(IF(MONTH($A1938)=Reference!$D$4,1,0)+IF(MONTH($A1938)=Reference!$D$5,1,0))+(IF(MONTH($A1938)=Reference!$D$6,Reference!$D$13,0))),0)</f>
        <v>439</v>
      </c>
      <c r="E1938" s="11">
        <f ca="1">D1938*Reference!$D$7*(1-IF(MONTH($A1938)=Reference!$D$6,1,0)*Reference!$D$12)</f>
        <v>329250</v>
      </c>
      <c r="M1938" s="20"/>
      <c r="N1938" s="20"/>
      <c r="O1938" s="19"/>
      <c r="P1938" s="10"/>
      <c r="Q1938" s="10"/>
      <c r="R1938" s="10"/>
      <c r="S1938" s="10"/>
      <c r="T1938" s="10"/>
      <c r="U1938" s="10"/>
      <c r="V1938" s="10"/>
      <c r="W1938" s="10"/>
      <c r="X1938" s="10"/>
      <c r="Y1938" s="10"/>
    </row>
    <row r="1939" spans="1:25" x14ac:dyDescent="0.25">
      <c r="A1939" s="9">
        <v>42477</v>
      </c>
      <c r="B1939" s="10">
        <f ca="1">ROUND(_xlfn.NORM.INV(RAND(),Reference!$C$8,0.1*Reference!$C$8)*(1+Reference!$C$11*(IF(MONTH($A1939)=Reference!$C$4,1,0)+IF(MONTH($A1939)=Reference!$C$5,1,0))+(IF(MONTH($A1939)=Reference!$C$6,Reference!$C$13,0))),0)</f>
        <v>491</v>
      </c>
      <c r="C1939" s="11">
        <f ca="1">B1939*Reference!$C$7*(1-IF(MONTH($A1939)=Reference!$C$6,1,0)*Reference!$C$12)</f>
        <v>456630</v>
      </c>
      <c r="D1939" s="10">
        <f ca="1">ROUND(_xlfn.NORM.INV(RAND(),Reference!$D$8,0.1*Reference!$D$8)*(1+Reference!$D$11*(IF(MONTH($A1939)=Reference!$D$4,1,0)+IF(MONTH($A1939)=Reference!$D$5,1,0))+(IF(MONTH($A1939)=Reference!$D$6,Reference!$D$13,0))),0)</f>
        <v>411</v>
      </c>
      <c r="E1939" s="11">
        <f ca="1">D1939*Reference!$D$7*(1-IF(MONTH($A1939)=Reference!$D$6,1,0)*Reference!$D$12)</f>
        <v>308250</v>
      </c>
      <c r="M1939" s="20"/>
      <c r="N1939" s="20"/>
      <c r="O1939" s="19"/>
      <c r="P1939" s="10"/>
      <c r="Q1939" s="10"/>
      <c r="R1939" s="10"/>
      <c r="S1939" s="10"/>
      <c r="T1939" s="10"/>
      <c r="U1939" s="10"/>
      <c r="V1939" s="10"/>
      <c r="W1939" s="10"/>
      <c r="X1939" s="10"/>
      <c r="Y1939" s="10"/>
    </row>
    <row r="1940" spans="1:25" x14ac:dyDescent="0.25">
      <c r="A1940" s="9">
        <v>42478</v>
      </c>
      <c r="B1940" s="10">
        <f ca="1">ROUND(_xlfn.NORM.INV(RAND(),Reference!$C$8,0.1*Reference!$C$8)*(1+Reference!$C$11*(IF(MONTH($A1940)=Reference!$C$4,1,0)+IF(MONTH($A1940)=Reference!$C$5,1,0))+(IF(MONTH($A1940)=Reference!$C$6,Reference!$C$13,0))),0)</f>
        <v>612</v>
      </c>
      <c r="C1940" s="11">
        <f ca="1">B1940*Reference!$C$7*(1-IF(MONTH($A1940)=Reference!$C$6,1,0)*Reference!$C$12)</f>
        <v>569160</v>
      </c>
      <c r="D1940" s="10">
        <f ca="1">ROUND(_xlfn.NORM.INV(RAND(),Reference!$D$8,0.1*Reference!$D$8)*(1+Reference!$D$11*(IF(MONTH($A1940)=Reference!$D$4,1,0)+IF(MONTH($A1940)=Reference!$D$5,1,0))+(IF(MONTH($A1940)=Reference!$D$6,Reference!$D$13,0))),0)</f>
        <v>466</v>
      </c>
      <c r="E1940" s="11">
        <f ca="1">D1940*Reference!$D$7*(1-IF(MONTH($A1940)=Reference!$D$6,1,0)*Reference!$D$12)</f>
        <v>349500</v>
      </c>
      <c r="M1940" s="20"/>
      <c r="N1940" s="20"/>
      <c r="O1940" s="19"/>
      <c r="P1940" s="10"/>
      <c r="Q1940" s="10"/>
      <c r="R1940" s="10"/>
      <c r="S1940" s="10"/>
      <c r="T1940" s="10"/>
      <c r="U1940" s="10"/>
      <c r="V1940" s="10"/>
      <c r="W1940" s="10"/>
      <c r="X1940" s="10"/>
      <c r="Y1940" s="10"/>
    </row>
    <row r="1941" spans="1:25" x14ac:dyDescent="0.25">
      <c r="A1941" s="9">
        <v>42479</v>
      </c>
      <c r="B1941" s="10">
        <f ca="1">ROUND(_xlfn.NORM.INV(RAND(),Reference!$C$8,0.1*Reference!$C$8)*(1+Reference!$C$11*(IF(MONTH($A1941)=Reference!$C$4,1,0)+IF(MONTH($A1941)=Reference!$C$5,1,0))+(IF(MONTH($A1941)=Reference!$C$6,Reference!$C$13,0))),0)</f>
        <v>514</v>
      </c>
      <c r="C1941" s="11">
        <f ca="1">B1941*Reference!$C$7*(1-IF(MONTH($A1941)=Reference!$C$6,1,0)*Reference!$C$12)</f>
        <v>478020</v>
      </c>
      <c r="D1941" s="10">
        <f ca="1">ROUND(_xlfn.NORM.INV(RAND(),Reference!$D$8,0.1*Reference!$D$8)*(1+Reference!$D$11*(IF(MONTH($A1941)=Reference!$D$4,1,0)+IF(MONTH($A1941)=Reference!$D$5,1,0))+(IF(MONTH($A1941)=Reference!$D$6,Reference!$D$13,0))),0)</f>
        <v>418</v>
      </c>
      <c r="E1941" s="11">
        <f ca="1">D1941*Reference!$D$7*(1-IF(MONTH($A1941)=Reference!$D$6,1,0)*Reference!$D$12)</f>
        <v>313500</v>
      </c>
      <c r="M1941" s="20"/>
      <c r="N1941" s="20"/>
      <c r="O1941" s="19"/>
      <c r="P1941" s="10"/>
      <c r="Q1941" s="10"/>
      <c r="R1941" s="10"/>
      <c r="S1941" s="10"/>
      <c r="T1941" s="10"/>
      <c r="U1941" s="10"/>
      <c r="V1941" s="10"/>
      <c r="W1941" s="10"/>
      <c r="X1941" s="10"/>
      <c r="Y1941" s="10"/>
    </row>
    <row r="1942" spans="1:25" x14ac:dyDescent="0.25">
      <c r="A1942" s="9">
        <v>42480</v>
      </c>
      <c r="B1942" s="10">
        <f ca="1">ROUND(_xlfn.NORM.INV(RAND(),Reference!$C$8,0.1*Reference!$C$8)*(1+Reference!$C$11*(IF(MONTH($A1942)=Reference!$C$4,1,0)+IF(MONTH($A1942)=Reference!$C$5,1,0))+(IF(MONTH($A1942)=Reference!$C$6,Reference!$C$13,0))),0)</f>
        <v>530</v>
      </c>
      <c r="C1942" s="11">
        <f ca="1">B1942*Reference!$C$7*(1-IF(MONTH($A1942)=Reference!$C$6,1,0)*Reference!$C$12)</f>
        <v>492900</v>
      </c>
      <c r="D1942" s="10">
        <f ca="1">ROUND(_xlfn.NORM.INV(RAND(),Reference!$D$8,0.1*Reference!$D$8)*(1+Reference!$D$11*(IF(MONTH($A1942)=Reference!$D$4,1,0)+IF(MONTH($A1942)=Reference!$D$5,1,0))+(IF(MONTH($A1942)=Reference!$D$6,Reference!$D$13,0))),0)</f>
        <v>488</v>
      </c>
      <c r="E1942" s="11">
        <f ca="1">D1942*Reference!$D$7*(1-IF(MONTH($A1942)=Reference!$D$6,1,0)*Reference!$D$12)</f>
        <v>366000</v>
      </c>
      <c r="M1942" s="20"/>
      <c r="N1942" s="20"/>
      <c r="O1942" s="19"/>
      <c r="P1942" s="10"/>
      <c r="Q1942" s="10"/>
      <c r="R1942" s="10"/>
      <c r="S1942" s="10"/>
      <c r="T1942" s="10"/>
      <c r="U1942" s="10"/>
      <c r="V1942" s="10"/>
      <c r="W1942" s="10"/>
      <c r="X1942" s="10"/>
      <c r="Y1942" s="10"/>
    </row>
    <row r="1943" spans="1:25" x14ac:dyDescent="0.25">
      <c r="A1943" s="9">
        <v>42481</v>
      </c>
      <c r="B1943" s="10">
        <f ca="1">ROUND(_xlfn.NORM.INV(RAND(),Reference!$C$8,0.1*Reference!$C$8)*(1+Reference!$C$11*(IF(MONTH($A1943)=Reference!$C$4,1,0)+IF(MONTH($A1943)=Reference!$C$5,1,0))+(IF(MONTH($A1943)=Reference!$C$6,Reference!$C$13,0))),0)</f>
        <v>616</v>
      </c>
      <c r="C1943" s="11">
        <f ca="1">B1943*Reference!$C$7*(1-IF(MONTH($A1943)=Reference!$C$6,1,0)*Reference!$C$12)</f>
        <v>572880</v>
      </c>
      <c r="D1943" s="10">
        <f ca="1">ROUND(_xlfn.NORM.INV(RAND(),Reference!$D$8,0.1*Reference!$D$8)*(1+Reference!$D$11*(IF(MONTH($A1943)=Reference!$D$4,1,0)+IF(MONTH($A1943)=Reference!$D$5,1,0))+(IF(MONTH($A1943)=Reference!$D$6,Reference!$D$13,0))),0)</f>
        <v>479</v>
      </c>
      <c r="E1943" s="11">
        <f ca="1">D1943*Reference!$D$7*(1-IF(MONTH($A1943)=Reference!$D$6,1,0)*Reference!$D$12)</f>
        <v>359250</v>
      </c>
      <c r="M1943" s="20"/>
      <c r="N1943" s="20"/>
      <c r="O1943" s="19"/>
      <c r="P1943" s="10"/>
      <c r="Q1943" s="10"/>
      <c r="R1943" s="10"/>
      <c r="S1943" s="10"/>
      <c r="T1943" s="10"/>
      <c r="U1943" s="10"/>
      <c r="V1943" s="10"/>
      <c r="W1943" s="10"/>
      <c r="X1943" s="10"/>
      <c r="Y1943" s="10"/>
    </row>
    <row r="1944" spans="1:25" x14ac:dyDescent="0.25">
      <c r="A1944" s="9">
        <v>42482</v>
      </c>
      <c r="B1944" s="10">
        <f ca="1">ROUND(_xlfn.NORM.INV(RAND(),Reference!$C$8,0.1*Reference!$C$8)*(1+Reference!$C$11*(IF(MONTH($A1944)=Reference!$C$4,1,0)+IF(MONTH($A1944)=Reference!$C$5,1,0))+(IF(MONTH($A1944)=Reference!$C$6,Reference!$C$13,0))),0)</f>
        <v>482</v>
      </c>
      <c r="C1944" s="11">
        <f ca="1">B1944*Reference!$C$7*(1-IF(MONTH($A1944)=Reference!$C$6,1,0)*Reference!$C$12)</f>
        <v>448260</v>
      </c>
      <c r="D1944" s="10">
        <f ca="1">ROUND(_xlfn.NORM.INV(RAND(),Reference!$D$8,0.1*Reference!$D$8)*(1+Reference!$D$11*(IF(MONTH($A1944)=Reference!$D$4,1,0)+IF(MONTH($A1944)=Reference!$D$5,1,0))+(IF(MONTH($A1944)=Reference!$D$6,Reference!$D$13,0))),0)</f>
        <v>483</v>
      </c>
      <c r="E1944" s="11">
        <f ca="1">D1944*Reference!$D$7*(1-IF(MONTH($A1944)=Reference!$D$6,1,0)*Reference!$D$12)</f>
        <v>362250</v>
      </c>
      <c r="M1944" s="20"/>
      <c r="N1944" s="20"/>
      <c r="O1944" s="19"/>
      <c r="P1944" s="10"/>
      <c r="Q1944" s="10"/>
      <c r="R1944" s="10"/>
      <c r="S1944" s="10"/>
      <c r="T1944" s="10"/>
      <c r="U1944" s="10"/>
      <c r="V1944" s="10"/>
      <c r="W1944" s="10"/>
      <c r="X1944" s="10"/>
      <c r="Y1944" s="10"/>
    </row>
    <row r="1945" spans="1:25" x14ac:dyDescent="0.25">
      <c r="A1945" s="9">
        <v>42483</v>
      </c>
      <c r="B1945" s="10">
        <f ca="1">ROUND(_xlfn.NORM.INV(RAND(),Reference!$C$8,0.1*Reference!$C$8)*(1+Reference!$C$11*(IF(MONTH($A1945)=Reference!$C$4,1,0)+IF(MONTH($A1945)=Reference!$C$5,1,0))+(IF(MONTH($A1945)=Reference!$C$6,Reference!$C$13,0))),0)</f>
        <v>571</v>
      </c>
      <c r="C1945" s="11">
        <f ca="1">B1945*Reference!$C$7*(1-IF(MONTH($A1945)=Reference!$C$6,1,0)*Reference!$C$12)</f>
        <v>531030</v>
      </c>
      <c r="D1945" s="10">
        <f ca="1">ROUND(_xlfn.NORM.INV(RAND(),Reference!$D$8,0.1*Reference!$D$8)*(1+Reference!$D$11*(IF(MONTH($A1945)=Reference!$D$4,1,0)+IF(MONTH($A1945)=Reference!$D$5,1,0))+(IF(MONTH($A1945)=Reference!$D$6,Reference!$D$13,0))),0)</f>
        <v>434</v>
      </c>
      <c r="E1945" s="11">
        <f ca="1">D1945*Reference!$D$7*(1-IF(MONTH($A1945)=Reference!$D$6,1,0)*Reference!$D$12)</f>
        <v>325500</v>
      </c>
      <c r="M1945" s="20"/>
      <c r="N1945" s="20"/>
      <c r="O1945" s="19"/>
      <c r="P1945" s="10"/>
      <c r="Q1945" s="10"/>
      <c r="R1945" s="10"/>
      <c r="S1945" s="10"/>
      <c r="T1945" s="10"/>
      <c r="U1945" s="10"/>
      <c r="V1945" s="10"/>
      <c r="W1945" s="10"/>
      <c r="X1945" s="10"/>
      <c r="Y1945" s="10"/>
    </row>
    <row r="1946" spans="1:25" x14ac:dyDescent="0.25">
      <c r="A1946" s="9">
        <v>42484</v>
      </c>
      <c r="B1946" s="10">
        <f ca="1">ROUND(_xlfn.NORM.INV(RAND(),Reference!$C$8,0.1*Reference!$C$8)*(1+Reference!$C$11*(IF(MONTH($A1946)=Reference!$C$4,1,0)+IF(MONTH($A1946)=Reference!$C$5,1,0))+(IF(MONTH($A1946)=Reference!$C$6,Reference!$C$13,0))),0)</f>
        <v>588</v>
      </c>
      <c r="C1946" s="11">
        <f ca="1">B1946*Reference!$C$7*(1-IF(MONTH($A1946)=Reference!$C$6,1,0)*Reference!$C$12)</f>
        <v>546840</v>
      </c>
      <c r="D1946" s="10">
        <f ca="1">ROUND(_xlfn.NORM.INV(RAND(),Reference!$D$8,0.1*Reference!$D$8)*(1+Reference!$D$11*(IF(MONTH($A1946)=Reference!$D$4,1,0)+IF(MONTH($A1946)=Reference!$D$5,1,0))+(IF(MONTH($A1946)=Reference!$D$6,Reference!$D$13,0))),0)</f>
        <v>458</v>
      </c>
      <c r="E1946" s="11">
        <f ca="1">D1946*Reference!$D$7*(1-IF(MONTH($A1946)=Reference!$D$6,1,0)*Reference!$D$12)</f>
        <v>343500</v>
      </c>
      <c r="M1946" s="20"/>
      <c r="N1946" s="20"/>
      <c r="O1946" s="19"/>
      <c r="P1946" s="10"/>
      <c r="Q1946" s="10"/>
      <c r="R1946" s="10"/>
      <c r="S1946" s="10"/>
      <c r="T1946" s="10"/>
      <c r="U1946" s="10"/>
      <c r="V1946" s="10"/>
      <c r="W1946" s="10"/>
      <c r="X1946" s="10"/>
      <c r="Y1946" s="10"/>
    </row>
    <row r="1947" spans="1:25" x14ac:dyDescent="0.25">
      <c r="A1947" s="9">
        <v>42485</v>
      </c>
      <c r="B1947" s="10">
        <f ca="1">ROUND(_xlfn.NORM.INV(RAND(),Reference!$C$8,0.1*Reference!$C$8)*(1+Reference!$C$11*(IF(MONTH($A1947)=Reference!$C$4,1,0)+IF(MONTH($A1947)=Reference!$C$5,1,0))+(IF(MONTH($A1947)=Reference!$C$6,Reference!$C$13,0))),0)</f>
        <v>520</v>
      </c>
      <c r="C1947" s="11">
        <f ca="1">B1947*Reference!$C$7*(1-IF(MONTH($A1947)=Reference!$C$6,1,0)*Reference!$C$12)</f>
        <v>483600</v>
      </c>
      <c r="D1947" s="10">
        <f ca="1">ROUND(_xlfn.NORM.INV(RAND(),Reference!$D$8,0.1*Reference!$D$8)*(1+Reference!$D$11*(IF(MONTH($A1947)=Reference!$D$4,1,0)+IF(MONTH($A1947)=Reference!$D$5,1,0))+(IF(MONTH($A1947)=Reference!$D$6,Reference!$D$13,0))),0)</f>
        <v>480</v>
      </c>
      <c r="E1947" s="11">
        <f ca="1">D1947*Reference!$D$7*(1-IF(MONTH($A1947)=Reference!$D$6,1,0)*Reference!$D$12)</f>
        <v>360000</v>
      </c>
      <c r="M1947" s="20"/>
      <c r="N1947" s="20"/>
      <c r="O1947" s="19"/>
      <c r="P1947" s="10"/>
      <c r="Q1947" s="10"/>
      <c r="R1947" s="10"/>
      <c r="S1947" s="10"/>
      <c r="T1947" s="10"/>
      <c r="U1947" s="10"/>
      <c r="V1947" s="10"/>
      <c r="W1947" s="10"/>
      <c r="X1947" s="10"/>
      <c r="Y1947" s="10"/>
    </row>
    <row r="1948" spans="1:25" x14ac:dyDescent="0.25">
      <c r="A1948" s="9">
        <v>42486</v>
      </c>
      <c r="B1948" s="10">
        <f ca="1">ROUND(_xlfn.NORM.INV(RAND(),Reference!$C$8,0.1*Reference!$C$8)*(1+Reference!$C$11*(IF(MONTH($A1948)=Reference!$C$4,1,0)+IF(MONTH($A1948)=Reference!$C$5,1,0))+(IF(MONTH($A1948)=Reference!$C$6,Reference!$C$13,0))),0)</f>
        <v>559</v>
      </c>
      <c r="C1948" s="11">
        <f ca="1">B1948*Reference!$C$7*(1-IF(MONTH($A1948)=Reference!$C$6,1,0)*Reference!$C$12)</f>
        <v>519870</v>
      </c>
      <c r="D1948" s="10">
        <f ca="1">ROUND(_xlfn.NORM.INV(RAND(),Reference!$D$8,0.1*Reference!$D$8)*(1+Reference!$D$11*(IF(MONTH($A1948)=Reference!$D$4,1,0)+IF(MONTH($A1948)=Reference!$D$5,1,0))+(IF(MONTH($A1948)=Reference!$D$6,Reference!$D$13,0))),0)</f>
        <v>491</v>
      </c>
      <c r="E1948" s="11">
        <f ca="1">D1948*Reference!$D$7*(1-IF(MONTH($A1948)=Reference!$D$6,1,0)*Reference!$D$12)</f>
        <v>368250</v>
      </c>
      <c r="M1948" s="20"/>
      <c r="N1948" s="20"/>
      <c r="O1948" s="19"/>
      <c r="P1948" s="10"/>
      <c r="Q1948" s="10"/>
      <c r="R1948" s="10"/>
      <c r="S1948" s="10"/>
      <c r="T1948" s="10"/>
      <c r="U1948" s="10"/>
      <c r="V1948" s="10"/>
      <c r="W1948" s="10"/>
      <c r="X1948" s="10"/>
      <c r="Y1948" s="10"/>
    </row>
    <row r="1949" spans="1:25" x14ac:dyDescent="0.25">
      <c r="A1949" s="9">
        <v>42487</v>
      </c>
      <c r="B1949" s="10">
        <f ca="1">ROUND(_xlfn.NORM.INV(RAND(),Reference!$C$8,0.1*Reference!$C$8)*(1+Reference!$C$11*(IF(MONTH($A1949)=Reference!$C$4,1,0)+IF(MONTH($A1949)=Reference!$C$5,1,0))+(IF(MONTH($A1949)=Reference!$C$6,Reference!$C$13,0))),0)</f>
        <v>566</v>
      </c>
      <c r="C1949" s="11">
        <f ca="1">B1949*Reference!$C$7*(1-IF(MONTH($A1949)=Reference!$C$6,1,0)*Reference!$C$12)</f>
        <v>526380</v>
      </c>
      <c r="D1949" s="10">
        <f ca="1">ROUND(_xlfn.NORM.INV(RAND(),Reference!$D$8,0.1*Reference!$D$8)*(1+Reference!$D$11*(IF(MONTH($A1949)=Reference!$D$4,1,0)+IF(MONTH($A1949)=Reference!$D$5,1,0))+(IF(MONTH($A1949)=Reference!$D$6,Reference!$D$13,0))),0)</f>
        <v>517</v>
      </c>
      <c r="E1949" s="11">
        <f ca="1">D1949*Reference!$D$7*(1-IF(MONTH($A1949)=Reference!$D$6,1,0)*Reference!$D$12)</f>
        <v>387750</v>
      </c>
      <c r="M1949" s="20"/>
      <c r="N1949" s="20"/>
      <c r="O1949" s="19"/>
      <c r="P1949" s="10"/>
      <c r="Q1949" s="10"/>
      <c r="R1949" s="10"/>
      <c r="S1949" s="10"/>
      <c r="T1949" s="10"/>
      <c r="U1949" s="10"/>
      <c r="V1949" s="10"/>
      <c r="W1949" s="10"/>
      <c r="X1949" s="10"/>
      <c r="Y1949" s="10"/>
    </row>
    <row r="1950" spans="1:25" x14ac:dyDescent="0.25">
      <c r="A1950" s="9">
        <v>42488</v>
      </c>
      <c r="B1950" s="10">
        <f ca="1">ROUND(_xlfn.NORM.INV(RAND(),Reference!$C$8,0.1*Reference!$C$8)*(1+Reference!$C$11*(IF(MONTH($A1950)=Reference!$C$4,1,0)+IF(MONTH($A1950)=Reference!$C$5,1,0))+(IF(MONTH($A1950)=Reference!$C$6,Reference!$C$13,0))),0)</f>
        <v>605</v>
      </c>
      <c r="C1950" s="11">
        <f ca="1">B1950*Reference!$C$7*(1-IF(MONTH($A1950)=Reference!$C$6,1,0)*Reference!$C$12)</f>
        <v>562650</v>
      </c>
      <c r="D1950" s="10">
        <f ca="1">ROUND(_xlfn.NORM.INV(RAND(),Reference!$D$8,0.1*Reference!$D$8)*(1+Reference!$D$11*(IF(MONTH($A1950)=Reference!$D$4,1,0)+IF(MONTH($A1950)=Reference!$D$5,1,0))+(IF(MONTH($A1950)=Reference!$D$6,Reference!$D$13,0))),0)</f>
        <v>414</v>
      </c>
      <c r="E1950" s="11">
        <f ca="1">D1950*Reference!$D$7*(1-IF(MONTH($A1950)=Reference!$D$6,1,0)*Reference!$D$12)</f>
        <v>310500</v>
      </c>
      <c r="M1950" s="20"/>
      <c r="N1950" s="20"/>
      <c r="O1950" s="19"/>
      <c r="P1950" s="10"/>
      <c r="Q1950" s="10"/>
      <c r="R1950" s="10"/>
      <c r="S1950" s="10"/>
      <c r="T1950" s="10"/>
      <c r="U1950" s="10"/>
      <c r="V1950" s="10"/>
      <c r="W1950" s="10"/>
      <c r="X1950" s="10"/>
      <c r="Y1950" s="10"/>
    </row>
    <row r="1951" spans="1:25" x14ac:dyDescent="0.25">
      <c r="A1951" s="9">
        <v>42489</v>
      </c>
      <c r="B1951" s="10">
        <f ca="1">ROUND(_xlfn.NORM.INV(RAND(),Reference!$C$8,0.1*Reference!$C$8)*(1+Reference!$C$11*(IF(MONTH($A1951)=Reference!$C$4,1,0)+IF(MONTH($A1951)=Reference!$C$5,1,0))+(IF(MONTH($A1951)=Reference!$C$6,Reference!$C$13,0))),0)</f>
        <v>551</v>
      </c>
      <c r="C1951" s="11">
        <f ca="1">B1951*Reference!$C$7*(1-IF(MONTH($A1951)=Reference!$C$6,1,0)*Reference!$C$12)</f>
        <v>512430</v>
      </c>
      <c r="D1951" s="10">
        <f ca="1">ROUND(_xlfn.NORM.INV(RAND(),Reference!$D$8,0.1*Reference!$D$8)*(1+Reference!$D$11*(IF(MONTH($A1951)=Reference!$D$4,1,0)+IF(MONTH($A1951)=Reference!$D$5,1,0))+(IF(MONTH($A1951)=Reference!$D$6,Reference!$D$13,0))),0)</f>
        <v>444</v>
      </c>
      <c r="E1951" s="11">
        <f ca="1">D1951*Reference!$D$7*(1-IF(MONTH($A1951)=Reference!$D$6,1,0)*Reference!$D$12)</f>
        <v>333000</v>
      </c>
      <c r="M1951" s="20"/>
      <c r="N1951" s="20"/>
      <c r="O1951" s="19"/>
      <c r="P1951" s="10"/>
      <c r="Q1951" s="10"/>
      <c r="R1951" s="10"/>
      <c r="S1951" s="10"/>
      <c r="T1951" s="10"/>
      <c r="U1951" s="10"/>
      <c r="V1951" s="10"/>
      <c r="W1951" s="10"/>
      <c r="X1951" s="10"/>
      <c r="Y1951" s="10"/>
    </row>
    <row r="1952" spans="1:25" x14ac:dyDescent="0.25">
      <c r="A1952" s="9">
        <v>42490</v>
      </c>
      <c r="B1952" s="10">
        <f ca="1">ROUND(_xlfn.NORM.INV(RAND(),Reference!$C$8,0.1*Reference!$C$8)*(1+Reference!$C$11*(IF(MONTH($A1952)=Reference!$C$4,1,0)+IF(MONTH($A1952)=Reference!$C$5,1,0))+(IF(MONTH($A1952)=Reference!$C$6,Reference!$C$13,0))),0)</f>
        <v>478</v>
      </c>
      <c r="C1952" s="11">
        <f ca="1">B1952*Reference!$C$7*(1-IF(MONTH($A1952)=Reference!$C$6,1,0)*Reference!$C$12)</f>
        <v>444540</v>
      </c>
      <c r="D1952" s="10">
        <f ca="1">ROUND(_xlfn.NORM.INV(RAND(),Reference!$D$8,0.1*Reference!$D$8)*(1+Reference!$D$11*(IF(MONTH($A1952)=Reference!$D$4,1,0)+IF(MONTH($A1952)=Reference!$D$5,1,0))+(IF(MONTH($A1952)=Reference!$D$6,Reference!$D$13,0))),0)</f>
        <v>366</v>
      </c>
      <c r="E1952" s="11">
        <f ca="1">D1952*Reference!$D$7*(1-IF(MONTH($A1952)=Reference!$D$6,1,0)*Reference!$D$12)</f>
        <v>274500</v>
      </c>
      <c r="M1952" s="20"/>
      <c r="N1952" s="20"/>
      <c r="O1952" s="19"/>
      <c r="P1952" s="10"/>
      <c r="Q1952" s="10"/>
      <c r="R1952" s="10"/>
      <c r="S1952" s="10"/>
      <c r="T1952" s="10"/>
      <c r="U1952" s="10"/>
      <c r="V1952" s="10"/>
      <c r="W1952" s="10"/>
      <c r="X1952" s="10"/>
      <c r="Y1952" s="10"/>
    </row>
    <row r="1953" spans="1:25" x14ac:dyDescent="0.25">
      <c r="A1953" s="9">
        <v>42491</v>
      </c>
      <c r="B1953" s="10">
        <f ca="1">ROUND(_xlfn.NORM.INV(RAND(),Reference!$C$8,0.1*Reference!$C$8)*(1+Reference!$C$11*(IF(MONTH($A1953)=Reference!$C$4,1,0)+IF(MONTH($A1953)=Reference!$C$5,1,0))+(IF(MONTH($A1953)=Reference!$C$6,Reference!$C$13,0))),0)</f>
        <v>537</v>
      </c>
      <c r="C1953" s="11">
        <f ca="1">B1953*Reference!$C$7*(1-IF(MONTH($A1953)=Reference!$C$6,1,0)*Reference!$C$12)</f>
        <v>499410</v>
      </c>
      <c r="D1953" s="10">
        <f ca="1">ROUND(_xlfn.NORM.INV(RAND(),Reference!$D$8,0.1*Reference!$D$8)*(1+Reference!$D$11*(IF(MONTH($A1953)=Reference!$D$4,1,0)+IF(MONTH($A1953)=Reference!$D$5,1,0))+(IF(MONTH($A1953)=Reference!$D$6,Reference!$D$13,0))),0)</f>
        <v>466</v>
      </c>
      <c r="E1953" s="11">
        <f ca="1">D1953*Reference!$D$7*(1-IF(MONTH($A1953)=Reference!$D$6,1,0)*Reference!$D$12)</f>
        <v>349500</v>
      </c>
      <c r="M1953" s="20"/>
      <c r="N1953" s="20"/>
      <c r="O1953" s="19"/>
      <c r="P1953" s="10"/>
      <c r="Q1953" s="10"/>
      <c r="R1953" s="10"/>
      <c r="S1953" s="10"/>
      <c r="T1953" s="10"/>
      <c r="U1953" s="10"/>
      <c r="V1953" s="10"/>
      <c r="W1953" s="10"/>
      <c r="X1953" s="10"/>
      <c r="Y1953" s="10"/>
    </row>
    <row r="1954" spans="1:25" x14ac:dyDescent="0.25">
      <c r="A1954" s="9">
        <v>42492</v>
      </c>
      <c r="B1954" s="10">
        <f ca="1">ROUND(_xlfn.NORM.INV(RAND(),Reference!$C$8,0.1*Reference!$C$8)*(1+Reference!$C$11*(IF(MONTH($A1954)=Reference!$C$4,1,0)+IF(MONTH($A1954)=Reference!$C$5,1,0))+(IF(MONTH($A1954)=Reference!$C$6,Reference!$C$13,0))),0)</f>
        <v>535</v>
      </c>
      <c r="C1954" s="11">
        <f ca="1">B1954*Reference!$C$7*(1-IF(MONTH($A1954)=Reference!$C$6,1,0)*Reference!$C$12)</f>
        <v>497550</v>
      </c>
      <c r="D1954" s="10">
        <f ca="1">ROUND(_xlfn.NORM.INV(RAND(),Reference!$D$8,0.1*Reference!$D$8)*(1+Reference!$D$11*(IF(MONTH($A1954)=Reference!$D$4,1,0)+IF(MONTH($A1954)=Reference!$D$5,1,0))+(IF(MONTH($A1954)=Reference!$D$6,Reference!$D$13,0))),0)</f>
        <v>424</v>
      </c>
      <c r="E1954" s="11">
        <f ca="1">D1954*Reference!$D$7*(1-IF(MONTH($A1954)=Reference!$D$6,1,0)*Reference!$D$12)</f>
        <v>318000</v>
      </c>
      <c r="M1954" s="20"/>
      <c r="N1954" s="20"/>
      <c r="O1954" s="19"/>
      <c r="P1954" s="10"/>
      <c r="Q1954" s="10"/>
      <c r="R1954" s="10"/>
      <c r="S1954" s="10"/>
      <c r="T1954" s="10"/>
      <c r="U1954" s="10"/>
      <c r="V1954" s="10"/>
      <c r="W1954" s="10"/>
      <c r="X1954" s="10"/>
      <c r="Y1954" s="10"/>
    </row>
    <row r="1955" spans="1:25" x14ac:dyDescent="0.25">
      <c r="A1955" s="9">
        <v>42493</v>
      </c>
      <c r="B1955" s="10">
        <f ca="1">ROUND(_xlfn.NORM.INV(RAND(),Reference!$C$8,0.1*Reference!$C$8)*(1+Reference!$C$11*(IF(MONTH($A1955)=Reference!$C$4,1,0)+IF(MONTH($A1955)=Reference!$C$5,1,0))+(IF(MONTH($A1955)=Reference!$C$6,Reference!$C$13,0))),0)</f>
        <v>534</v>
      </c>
      <c r="C1955" s="11">
        <f ca="1">B1955*Reference!$C$7*(1-IF(MONTH($A1955)=Reference!$C$6,1,0)*Reference!$C$12)</f>
        <v>496620</v>
      </c>
      <c r="D1955" s="10">
        <f ca="1">ROUND(_xlfn.NORM.INV(RAND(),Reference!$D$8,0.1*Reference!$D$8)*(1+Reference!$D$11*(IF(MONTH($A1955)=Reference!$D$4,1,0)+IF(MONTH($A1955)=Reference!$D$5,1,0))+(IF(MONTH($A1955)=Reference!$D$6,Reference!$D$13,0))),0)</f>
        <v>377</v>
      </c>
      <c r="E1955" s="11">
        <f ca="1">D1955*Reference!$D$7*(1-IF(MONTH($A1955)=Reference!$D$6,1,0)*Reference!$D$12)</f>
        <v>282750</v>
      </c>
      <c r="M1955" s="20"/>
      <c r="N1955" s="20"/>
      <c r="O1955" s="19"/>
      <c r="P1955" s="10"/>
      <c r="Q1955" s="10"/>
      <c r="R1955" s="10"/>
      <c r="S1955" s="10"/>
      <c r="T1955" s="10"/>
      <c r="U1955" s="10"/>
      <c r="V1955" s="10"/>
      <c r="W1955" s="10"/>
      <c r="X1955" s="10"/>
      <c r="Y1955" s="10"/>
    </row>
    <row r="1956" spans="1:25" x14ac:dyDescent="0.25">
      <c r="A1956" s="9">
        <v>42494</v>
      </c>
      <c r="B1956" s="10">
        <f ca="1">ROUND(_xlfn.NORM.INV(RAND(),Reference!$C$8,0.1*Reference!$C$8)*(1+Reference!$C$11*(IF(MONTH($A1956)=Reference!$C$4,1,0)+IF(MONTH($A1956)=Reference!$C$5,1,0))+(IF(MONTH($A1956)=Reference!$C$6,Reference!$C$13,0))),0)</f>
        <v>530</v>
      </c>
      <c r="C1956" s="11">
        <f ca="1">B1956*Reference!$C$7*(1-IF(MONTH($A1956)=Reference!$C$6,1,0)*Reference!$C$12)</f>
        <v>492900</v>
      </c>
      <c r="D1956" s="10">
        <f ca="1">ROUND(_xlfn.NORM.INV(RAND(),Reference!$D$8,0.1*Reference!$D$8)*(1+Reference!$D$11*(IF(MONTH($A1956)=Reference!$D$4,1,0)+IF(MONTH($A1956)=Reference!$D$5,1,0))+(IF(MONTH($A1956)=Reference!$D$6,Reference!$D$13,0))),0)</f>
        <v>432</v>
      </c>
      <c r="E1956" s="11">
        <f ca="1">D1956*Reference!$D$7*(1-IF(MONTH($A1956)=Reference!$D$6,1,0)*Reference!$D$12)</f>
        <v>324000</v>
      </c>
      <c r="M1956" s="20"/>
      <c r="N1956" s="20"/>
      <c r="O1956" s="19"/>
      <c r="P1956" s="10"/>
      <c r="Q1956" s="10"/>
      <c r="R1956" s="10"/>
      <c r="S1956" s="10"/>
      <c r="T1956" s="10"/>
      <c r="U1956" s="10"/>
      <c r="V1956" s="10"/>
      <c r="W1956" s="10"/>
      <c r="X1956" s="10"/>
      <c r="Y1956" s="10"/>
    </row>
    <row r="1957" spans="1:25" x14ac:dyDescent="0.25">
      <c r="A1957" s="9">
        <v>42495</v>
      </c>
      <c r="B1957" s="10">
        <f ca="1">ROUND(_xlfn.NORM.INV(RAND(),Reference!$C$8,0.1*Reference!$C$8)*(1+Reference!$C$11*(IF(MONTH($A1957)=Reference!$C$4,1,0)+IF(MONTH($A1957)=Reference!$C$5,1,0))+(IF(MONTH($A1957)=Reference!$C$6,Reference!$C$13,0))),0)</f>
        <v>583</v>
      </c>
      <c r="C1957" s="11">
        <f ca="1">B1957*Reference!$C$7*(1-IF(MONTH($A1957)=Reference!$C$6,1,0)*Reference!$C$12)</f>
        <v>542190</v>
      </c>
      <c r="D1957" s="10">
        <f ca="1">ROUND(_xlfn.NORM.INV(RAND(),Reference!$D$8,0.1*Reference!$D$8)*(1+Reference!$D$11*(IF(MONTH($A1957)=Reference!$D$4,1,0)+IF(MONTH($A1957)=Reference!$D$5,1,0))+(IF(MONTH($A1957)=Reference!$D$6,Reference!$D$13,0))),0)</f>
        <v>505</v>
      </c>
      <c r="E1957" s="11">
        <f ca="1">D1957*Reference!$D$7*(1-IF(MONTH($A1957)=Reference!$D$6,1,0)*Reference!$D$12)</f>
        <v>378750</v>
      </c>
      <c r="M1957" s="20"/>
      <c r="N1957" s="20"/>
      <c r="O1957" s="19"/>
      <c r="P1957" s="10"/>
      <c r="Q1957" s="10"/>
      <c r="R1957" s="10"/>
      <c r="S1957" s="10"/>
      <c r="T1957" s="10"/>
      <c r="U1957" s="10"/>
      <c r="V1957" s="10"/>
      <c r="W1957" s="10"/>
      <c r="X1957" s="10"/>
      <c r="Y1957" s="10"/>
    </row>
    <row r="1958" spans="1:25" x14ac:dyDescent="0.25">
      <c r="A1958" s="9">
        <v>42496</v>
      </c>
      <c r="B1958" s="10">
        <f ca="1">ROUND(_xlfn.NORM.INV(RAND(),Reference!$C$8,0.1*Reference!$C$8)*(1+Reference!$C$11*(IF(MONTH($A1958)=Reference!$C$4,1,0)+IF(MONTH($A1958)=Reference!$C$5,1,0))+(IF(MONTH($A1958)=Reference!$C$6,Reference!$C$13,0))),0)</f>
        <v>630</v>
      </c>
      <c r="C1958" s="11">
        <f ca="1">B1958*Reference!$C$7*(1-IF(MONTH($A1958)=Reference!$C$6,1,0)*Reference!$C$12)</f>
        <v>585900</v>
      </c>
      <c r="D1958" s="10">
        <f ca="1">ROUND(_xlfn.NORM.INV(RAND(),Reference!$D$8,0.1*Reference!$D$8)*(1+Reference!$D$11*(IF(MONTH($A1958)=Reference!$D$4,1,0)+IF(MONTH($A1958)=Reference!$D$5,1,0))+(IF(MONTH($A1958)=Reference!$D$6,Reference!$D$13,0))),0)</f>
        <v>445</v>
      </c>
      <c r="E1958" s="11">
        <f ca="1">D1958*Reference!$D$7*(1-IF(MONTH($A1958)=Reference!$D$6,1,0)*Reference!$D$12)</f>
        <v>333750</v>
      </c>
      <c r="M1958" s="20"/>
      <c r="N1958" s="20"/>
      <c r="O1958" s="19"/>
      <c r="P1958" s="10"/>
      <c r="Q1958" s="10"/>
      <c r="R1958" s="10"/>
      <c r="S1958" s="10"/>
      <c r="T1958" s="10"/>
      <c r="U1958" s="10"/>
      <c r="V1958" s="10"/>
      <c r="W1958" s="10"/>
      <c r="X1958" s="10"/>
      <c r="Y1958" s="10"/>
    </row>
    <row r="1959" spans="1:25" x14ac:dyDescent="0.25">
      <c r="A1959" s="9">
        <v>42497</v>
      </c>
      <c r="B1959" s="10">
        <f ca="1">ROUND(_xlfn.NORM.INV(RAND(),Reference!$C$8,0.1*Reference!$C$8)*(1+Reference!$C$11*(IF(MONTH($A1959)=Reference!$C$4,1,0)+IF(MONTH($A1959)=Reference!$C$5,1,0))+(IF(MONTH($A1959)=Reference!$C$6,Reference!$C$13,0))),0)</f>
        <v>589</v>
      </c>
      <c r="C1959" s="11">
        <f ca="1">B1959*Reference!$C$7*(1-IF(MONTH($A1959)=Reference!$C$6,1,0)*Reference!$C$12)</f>
        <v>547770</v>
      </c>
      <c r="D1959" s="10">
        <f ca="1">ROUND(_xlfn.NORM.INV(RAND(),Reference!$D$8,0.1*Reference!$D$8)*(1+Reference!$D$11*(IF(MONTH($A1959)=Reference!$D$4,1,0)+IF(MONTH($A1959)=Reference!$D$5,1,0))+(IF(MONTH($A1959)=Reference!$D$6,Reference!$D$13,0))),0)</f>
        <v>505</v>
      </c>
      <c r="E1959" s="11">
        <f ca="1">D1959*Reference!$D$7*(1-IF(MONTH($A1959)=Reference!$D$6,1,0)*Reference!$D$12)</f>
        <v>378750</v>
      </c>
      <c r="M1959" s="20"/>
      <c r="N1959" s="20"/>
      <c r="O1959" s="19"/>
      <c r="P1959" s="10"/>
      <c r="Q1959" s="10"/>
      <c r="R1959" s="10"/>
      <c r="S1959" s="10"/>
      <c r="T1959" s="10"/>
      <c r="U1959" s="10"/>
      <c r="V1959" s="10"/>
      <c r="W1959" s="10"/>
      <c r="X1959" s="10"/>
      <c r="Y1959" s="10"/>
    </row>
    <row r="1960" spans="1:25" x14ac:dyDescent="0.25">
      <c r="A1960" s="9">
        <v>42498</v>
      </c>
      <c r="B1960" s="10">
        <f ca="1">ROUND(_xlfn.NORM.INV(RAND(),Reference!$C$8,0.1*Reference!$C$8)*(1+Reference!$C$11*(IF(MONTH($A1960)=Reference!$C$4,1,0)+IF(MONTH($A1960)=Reference!$C$5,1,0))+(IF(MONTH($A1960)=Reference!$C$6,Reference!$C$13,0))),0)</f>
        <v>538</v>
      </c>
      <c r="C1960" s="11">
        <f ca="1">B1960*Reference!$C$7*(1-IF(MONTH($A1960)=Reference!$C$6,1,0)*Reference!$C$12)</f>
        <v>500340</v>
      </c>
      <c r="D1960" s="10">
        <f ca="1">ROUND(_xlfn.NORM.INV(RAND(),Reference!$D$8,0.1*Reference!$D$8)*(1+Reference!$D$11*(IF(MONTH($A1960)=Reference!$D$4,1,0)+IF(MONTH($A1960)=Reference!$D$5,1,0))+(IF(MONTH($A1960)=Reference!$D$6,Reference!$D$13,0))),0)</f>
        <v>414</v>
      </c>
      <c r="E1960" s="11">
        <f ca="1">D1960*Reference!$D$7*(1-IF(MONTH($A1960)=Reference!$D$6,1,0)*Reference!$D$12)</f>
        <v>310500</v>
      </c>
      <c r="M1960" s="20"/>
      <c r="N1960" s="20"/>
      <c r="O1960" s="19"/>
      <c r="P1960" s="10"/>
      <c r="Q1960" s="10"/>
      <c r="R1960" s="10"/>
      <c r="S1960" s="10"/>
      <c r="T1960" s="10"/>
      <c r="U1960" s="10"/>
      <c r="V1960" s="10"/>
      <c r="W1960" s="10"/>
      <c r="X1960" s="10"/>
      <c r="Y1960" s="10"/>
    </row>
    <row r="1961" spans="1:25" x14ac:dyDescent="0.25">
      <c r="A1961" s="9">
        <v>42499</v>
      </c>
      <c r="B1961" s="10">
        <f ca="1">ROUND(_xlfn.NORM.INV(RAND(),Reference!$C$8,0.1*Reference!$C$8)*(1+Reference!$C$11*(IF(MONTH($A1961)=Reference!$C$4,1,0)+IF(MONTH($A1961)=Reference!$C$5,1,0))+(IF(MONTH($A1961)=Reference!$C$6,Reference!$C$13,0))),0)</f>
        <v>514</v>
      </c>
      <c r="C1961" s="11">
        <f ca="1">B1961*Reference!$C$7*(1-IF(MONTH($A1961)=Reference!$C$6,1,0)*Reference!$C$12)</f>
        <v>478020</v>
      </c>
      <c r="D1961" s="10">
        <f ca="1">ROUND(_xlfn.NORM.INV(RAND(),Reference!$D$8,0.1*Reference!$D$8)*(1+Reference!$D$11*(IF(MONTH($A1961)=Reference!$D$4,1,0)+IF(MONTH($A1961)=Reference!$D$5,1,0))+(IF(MONTH($A1961)=Reference!$D$6,Reference!$D$13,0))),0)</f>
        <v>421</v>
      </c>
      <c r="E1961" s="11">
        <f ca="1">D1961*Reference!$D$7*(1-IF(MONTH($A1961)=Reference!$D$6,1,0)*Reference!$D$12)</f>
        <v>315750</v>
      </c>
      <c r="M1961" s="20"/>
      <c r="N1961" s="20"/>
      <c r="O1961" s="19"/>
      <c r="P1961" s="10"/>
      <c r="Q1961" s="10"/>
      <c r="R1961" s="10"/>
      <c r="S1961" s="10"/>
      <c r="T1961" s="10"/>
      <c r="U1961" s="10"/>
      <c r="V1961" s="10"/>
      <c r="W1961" s="10"/>
      <c r="X1961" s="10"/>
      <c r="Y1961" s="10"/>
    </row>
    <row r="1962" spans="1:25" x14ac:dyDescent="0.25">
      <c r="A1962" s="9">
        <v>42500</v>
      </c>
      <c r="B1962" s="10">
        <f ca="1">ROUND(_xlfn.NORM.INV(RAND(),Reference!$C$8,0.1*Reference!$C$8)*(1+Reference!$C$11*(IF(MONTH($A1962)=Reference!$C$4,1,0)+IF(MONTH($A1962)=Reference!$C$5,1,0))+(IF(MONTH($A1962)=Reference!$C$6,Reference!$C$13,0))),0)</f>
        <v>617</v>
      </c>
      <c r="C1962" s="11">
        <f ca="1">B1962*Reference!$C$7*(1-IF(MONTH($A1962)=Reference!$C$6,1,0)*Reference!$C$12)</f>
        <v>573810</v>
      </c>
      <c r="D1962" s="10">
        <f ca="1">ROUND(_xlfn.NORM.INV(RAND(),Reference!$D$8,0.1*Reference!$D$8)*(1+Reference!$D$11*(IF(MONTH($A1962)=Reference!$D$4,1,0)+IF(MONTH($A1962)=Reference!$D$5,1,0))+(IF(MONTH($A1962)=Reference!$D$6,Reference!$D$13,0))),0)</f>
        <v>440</v>
      </c>
      <c r="E1962" s="11">
        <f ca="1">D1962*Reference!$D$7*(1-IF(MONTH($A1962)=Reference!$D$6,1,0)*Reference!$D$12)</f>
        <v>330000</v>
      </c>
      <c r="M1962" s="20"/>
      <c r="N1962" s="20"/>
      <c r="O1962" s="19"/>
      <c r="P1962" s="10"/>
      <c r="Q1962" s="10"/>
      <c r="R1962" s="10"/>
      <c r="S1962" s="10"/>
      <c r="T1962" s="10"/>
      <c r="U1962" s="10"/>
      <c r="V1962" s="10"/>
      <c r="W1962" s="10"/>
      <c r="X1962" s="10"/>
      <c r="Y1962" s="10"/>
    </row>
    <row r="1963" spans="1:25" x14ac:dyDescent="0.25">
      <c r="A1963" s="9">
        <v>42501</v>
      </c>
      <c r="B1963" s="10">
        <f ca="1">ROUND(_xlfn.NORM.INV(RAND(),Reference!$C$8,0.1*Reference!$C$8)*(1+Reference!$C$11*(IF(MONTH($A1963)=Reference!$C$4,1,0)+IF(MONTH($A1963)=Reference!$C$5,1,0))+(IF(MONTH($A1963)=Reference!$C$6,Reference!$C$13,0))),0)</f>
        <v>549</v>
      </c>
      <c r="C1963" s="11">
        <f ca="1">B1963*Reference!$C$7*(1-IF(MONTH($A1963)=Reference!$C$6,1,0)*Reference!$C$12)</f>
        <v>510570</v>
      </c>
      <c r="D1963" s="10">
        <f ca="1">ROUND(_xlfn.NORM.INV(RAND(),Reference!$D$8,0.1*Reference!$D$8)*(1+Reference!$D$11*(IF(MONTH($A1963)=Reference!$D$4,1,0)+IF(MONTH($A1963)=Reference!$D$5,1,0))+(IF(MONTH($A1963)=Reference!$D$6,Reference!$D$13,0))),0)</f>
        <v>470</v>
      </c>
      <c r="E1963" s="11">
        <f ca="1">D1963*Reference!$D$7*(1-IF(MONTH($A1963)=Reference!$D$6,1,0)*Reference!$D$12)</f>
        <v>352500</v>
      </c>
      <c r="M1963" s="20"/>
      <c r="N1963" s="20"/>
      <c r="O1963" s="19"/>
      <c r="P1963" s="10"/>
      <c r="Q1963" s="10"/>
      <c r="R1963" s="10"/>
      <c r="S1963" s="10"/>
      <c r="T1963" s="10"/>
      <c r="U1963" s="10"/>
      <c r="V1963" s="10"/>
      <c r="W1963" s="10"/>
      <c r="X1963" s="10"/>
      <c r="Y1963" s="10"/>
    </row>
    <row r="1964" spans="1:25" x14ac:dyDescent="0.25">
      <c r="A1964" s="9">
        <v>42502</v>
      </c>
      <c r="B1964" s="10">
        <f ca="1">ROUND(_xlfn.NORM.INV(RAND(),Reference!$C$8,0.1*Reference!$C$8)*(1+Reference!$C$11*(IF(MONTH($A1964)=Reference!$C$4,1,0)+IF(MONTH($A1964)=Reference!$C$5,1,0))+(IF(MONTH($A1964)=Reference!$C$6,Reference!$C$13,0))),0)</f>
        <v>522</v>
      </c>
      <c r="C1964" s="11">
        <f ca="1">B1964*Reference!$C$7*(1-IF(MONTH($A1964)=Reference!$C$6,1,0)*Reference!$C$12)</f>
        <v>485460</v>
      </c>
      <c r="D1964" s="10">
        <f ca="1">ROUND(_xlfn.NORM.INV(RAND(),Reference!$D$8,0.1*Reference!$D$8)*(1+Reference!$D$11*(IF(MONTH($A1964)=Reference!$D$4,1,0)+IF(MONTH($A1964)=Reference!$D$5,1,0))+(IF(MONTH($A1964)=Reference!$D$6,Reference!$D$13,0))),0)</f>
        <v>401</v>
      </c>
      <c r="E1964" s="11">
        <f ca="1">D1964*Reference!$D$7*(1-IF(MONTH($A1964)=Reference!$D$6,1,0)*Reference!$D$12)</f>
        <v>300750</v>
      </c>
      <c r="M1964" s="20"/>
      <c r="N1964" s="20"/>
      <c r="O1964" s="19"/>
      <c r="P1964" s="10"/>
      <c r="Q1964" s="10"/>
      <c r="R1964" s="10"/>
      <c r="S1964" s="10"/>
      <c r="T1964" s="10"/>
      <c r="U1964" s="10"/>
      <c r="V1964" s="10"/>
      <c r="W1964" s="10"/>
      <c r="X1964" s="10"/>
      <c r="Y1964" s="10"/>
    </row>
    <row r="1965" spans="1:25" x14ac:dyDescent="0.25">
      <c r="A1965" s="9">
        <v>42503</v>
      </c>
      <c r="B1965" s="10">
        <f ca="1">ROUND(_xlfn.NORM.INV(RAND(),Reference!$C$8,0.1*Reference!$C$8)*(1+Reference!$C$11*(IF(MONTH($A1965)=Reference!$C$4,1,0)+IF(MONTH($A1965)=Reference!$C$5,1,0))+(IF(MONTH($A1965)=Reference!$C$6,Reference!$C$13,0))),0)</f>
        <v>549</v>
      </c>
      <c r="C1965" s="11">
        <f ca="1">B1965*Reference!$C$7*(1-IF(MONTH($A1965)=Reference!$C$6,1,0)*Reference!$C$12)</f>
        <v>510570</v>
      </c>
      <c r="D1965" s="10">
        <f ca="1">ROUND(_xlfn.NORM.INV(RAND(),Reference!$D$8,0.1*Reference!$D$8)*(1+Reference!$D$11*(IF(MONTH($A1965)=Reference!$D$4,1,0)+IF(MONTH($A1965)=Reference!$D$5,1,0))+(IF(MONTH($A1965)=Reference!$D$6,Reference!$D$13,0))),0)</f>
        <v>429</v>
      </c>
      <c r="E1965" s="11">
        <f ca="1">D1965*Reference!$D$7*(1-IF(MONTH($A1965)=Reference!$D$6,1,0)*Reference!$D$12)</f>
        <v>321750</v>
      </c>
      <c r="M1965" s="20"/>
      <c r="N1965" s="20"/>
      <c r="O1965" s="19"/>
      <c r="P1965" s="10"/>
      <c r="Q1965" s="10"/>
      <c r="R1965" s="10"/>
      <c r="S1965" s="10"/>
      <c r="T1965" s="10"/>
      <c r="U1965" s="10"/>
      <c r="V1965" s="10"/>
      <c r="W1965" s="10"/>
      <c r="X1965" s="10"/>
      <c r="Y1965" s="10"/>
    </row>
    <row r="1966" spans="1:25" x14ac:dyDescent="0.25">
      <c r="A1966" s="9">
        <v>42504</v>
      </c>
      <c r="B1966" s="10">
        <f ca="1">ROUND(_xlfn.NORM.INV(RAND(),Reference!$C$8,0.1*Reference!$C$8)*(1+Reference!$C$11*(IF(MONTH($A1966)=Reference!$C$4,1,0)+IF(MONTH($A1966)=Reference!$C$5,1,0))+(IF(MONTH($A1966)=Reference!$C$6,Reference!$C$13,0))),0)</f>
        <v>470</v>
      </c>
      <c r="C1966" s="11">
        <f ca="1">B1966*Reference!$C$7*(1-IF(MONTH($A1966)=Reference!$C$6,1,0)*Reference!$C$12)</f>
        <v>437100</v>
      </c>
      <c r="D1966" s="10">
        <f ca="1">ROUND(_xlfn.NORM.INV(RAND(),Reference!$D$8,0.1*Reference!$D$8)*(1+Reference!$D$11*(IF(MONTH($A1966)=Reference!$D$4,1,0)+IF(MONTH($A1966)=Reference!$D$5,1,0))+(IF(MONTH($A1966)=Reference!$D$6,Reference!$D$13,0))),0)</f>
        <v>480</v>
      </c>
      <c r="E1966" s="11">
        <f ca="1">D1966*Reference!$D$7*(1-IF(MONTH($A1966)=Reference!$D$6,1,0)*Reference!$D$12)</f>
        <v>360000</v>
      </c>
      <c r="M1966" s="20"/>
      <c r="N1966" s="20"/>
      <c r="O1966" s="19"/>
      <c r="P1966" s="10"/>
      <c r="Q1966" s="10"/>
      <c r="R1966" s="10"/>
      <c r="S1966" s="10"/>
      <c r="T1966" s="10"/>
      <c r="U1966" s="10"/>
      <c r="V1966" s="10"/>
      <c r="W1966" s="10"/>
      <c r="X1966" s="10"/>
      <c r="Y1966" s="10"/>
    </row>
    <row r="1967" spans="1:25" x14ac:dyDescent="0.25">
      <c r="A1967" s="9">
        <v>42505</v>
      </c>
      <c r="B1967" s="10">
        <f ca="1">ROUND(_xlfn.NORM.INV(RAND(),Reference!$C$8,0.1*Reference!$C$8)*(1+Reference!$C$11*(IF(MONTH($A1967)=Reference!$C$4,1,0)+IF(MONTH($A1967)=Reference!$C$5,1,0))+(IF(MONTH($A1967)=Reference!$C$6,Reference!$C$13,0))),0)</f>
        <v>596</v>
      </c>
      <c r="C1967" s="11">
        <f ca="1">B1967*Reference!$C$7*(1-IF(MONTH($A1967)=Reference!$C$6,1,0)*Reference!$C$12)</f>
        <v>554280</v>
      </c>
      <c r="D1967" s="10">
        <f ca="1">ROUND(_xlfn.NORM.INV(RAND(),Reference!$D$8,0.1*Reference!$D$8)*(1+Reference!$D$11*(IF(MONTH($A1967)=Reference!$D$4,1,0)+IF(MONTH($A1967)=Reference!$D$5,1,0))+(IF(MONTH($A1967)=Reference!$D$6,Reference!$D$13,0))),0)</f>
        <v>449</v>
      </c>
      <c r="E1967" s="11">
        <f ca="1">D1967*Reference!$D$7*(1-IF(MONTH($A1967)=Reference!$D$6,1,0)*Reference!$D$12)</f>
        <v>336750</v>
      </c>
      <c r="M1967" s="20"/>
      <c r="N1967" s="20"/>
      <c r="O1967" s="19"/>
      <c r="P1967" s="10"/>
      <c r="Q1967" s="10"/>
      <c r="R1967" s="10"/>
      <c r="S1967" s="10"/>
      <c r="T1967" s="10"/>
      <c r="U1967" s="10"/>
      <c r="V1967" s="10"/>
      <c r="W1967" s="10"/>
      <c r="X1967" s="10"/>
      <c r="Y1967" s="10"/>
    </row>
    <row r="1968" spans="1:25" x14ac:dyDescent="0.25">
      <c r="A1968" s="9">
        <v>42506</v>
      </c>
      <c r="B1968" s="10">
        <f ca="1">ROUND(_xlfn.NORM.INV(RAND(),Reference!$C$8,0.1*Reference!$C$8)*(1+Reference!$C$11*(IF(MONTH($A1968)=Reference!$C$4,1,0)+IF(MONTH($A1968)=Reference!$C$5,1,0))+(IF(MONTH($A1968)=Reference!$C$6,Reference!$C$13,0))),0)</f>
        <v>529</v>
      </c>
      <c r="C1968" s="11">
        <f ca="1">B1968*Reference!$C$7*(1-IF(MONTH($A1968)=Reference!$C$6,1,0)*Reference!$C$12)</f>
        <v>491970</v>
      </c>
      <c r="D1968" s="10">
        <f ca="1">ROUND(_xlfn.NORM.INV(RAND(),Reference!$D$8,0.1*Reference!$D$8)*(1+Reference!$D$11*(IF(MONTH($A1968)=Reference!$D$4,1,0)+IF(MONTH($A1968)=Reference!$D$5,1,0))+(IF(MONTH($A1968)=Reference!$D$6,Reference!$D$13,0))),0)</f>
        <v>415</v>
      </c>
      <c r="E1968" s="11">
        <f ca="1">D1968*Reference!$D$7*(1-IF(MONTH($A1968)=Reference!$D$6,1,0)*Reference!$D$12)</f>
        <v>311250</v>
      </c>
      <c r="M1968" s="20"/>
      <c r="N1968" s="20"/>
      <c r="O1968" s="19"/>
      <c r="P1968" s="10"/>
      <c r="Q1968" s="10"/>
      <c r="R1968" s="10"/>
      <c r="S1968" s="10"/>
      <c r="T1968" s="10"/>
      <c r="U1968" s="10"/>
      <c r="V1968" s="10"/>
      <c r="W1968" s="10"/>
      <c r="X1968" s="10"/>
      <c r="Y1968" s="10"/>
    </row>
    <row r="1969" spans="1:25" x14ac:dyDescent="0.25">
      <c r="A1969" s="9">
        <v>42507</v>
      </c>
      <c r="B1969" s="10">
        <f ca="1">ROUND(_xlfn.NORM.INV(RAND(),Reference!$C$8,0.1*Reference!$C$8)*(1+Reference!$C$11*(IF(MONTH($A1969)=Reference!$C$4,1,0)+IF(MONTH($A1969)=Reference!$C$5,1,0))+(IF(MONTH($A1969)=Reference!$C$6,Reference!$C$13,0))),0)</f>
        <v>545</v>
      </c>
      <c r="C1969" s="11">
        <f ca="1">B1969*Reference!$C$7*(1-IF(MONTH($A1969)=Reference!$C$6,1,0)*Reference!$C$12)</f>
        <v>506850</v>
      </c>
      <c r="D1969" s="10">
        <f ca="1">ROUND(_xlfn.NORM.INV(RAND(),Reference!$D$8,0.1*Reference!$D$8)*(1+Reference!$D$11*(IF(MONTH($A1969)=Reference!$D$4,1,0)+IF(MONTH($A1969)=Reference!$D$5,1,0))+(IF(MONTH($A1969)=Reference!$D$6,Reference!$D$13,0))),0)</f>
        <v>446</v>
      </c>
      <c r="E1969" s="11">
        <f ca="1">D1969*Reference!$D$7*(1-IF(MONTH($A1969)=Reference!$D$6,1,0)*Reference!$D$12)</f>
        <v>334500</v>
      </c>
      <c r="M1969" s="20"/>
      <c r="N1969" s="20"/>
      <c r="O1969" s="19"/>
      <c r="P1969" s="10"/>
      <c r="Q1969" s="10"/>
      <c r="R1969" s="10"/>
      <c r="S1969" s="10"/>
      <c r="T1969" s="10"/>
      <c r="U1969" s="10"/>
      <c r="V1969" s="10"/>
      <c r="W1969" s="10"/>
      <c r="X1969" s="10"/>
      <c r="Y1969" s="10"/>
    </row>
    <row r="1970" spans="1:25" x14ac:dyDescent="0.25">
      <c r="A1970" s="9">
        <v>42508</v>
      </c>
      <c r="B1970" s="10">
        <f ca="1">ROUND(_xlfn.NORM.INV(RAND(),Reference!$C$8,0.1*Reference!$C$8)*(1+Reference!$C$11*(IF(MONTH($A1970)=Reference!$C$4,1,0)+IF(MONTH($A1970)=Reference!$C$5,1,0))+(IF(MONTH($A1970)=Reference!$C$6,Reference!$C$13,0))),0)</f>
        <v>547</v>
      </c>
      <c r="C1970" s="11">
        <f ca="1">B1970*Reference!$C$7*(1-IF(MONTH($A1970)=Reference!$C$6,1,0)*Reference!$C$12)</f>
        <v>508710</v>
      </c>
      <c r="D1970" s="10">
        <f ca="1">ROUND(_xlfn.NORM.INV(RAND(),Reference!$D$8,0.1*Reference!$D$8)*(1+Reference!$D$11*(IF(MONTH($A1970)=Reference!$D$4,1,0)+IF(MONTH($A1970)=Reference!$D$5,1,0))+(IF(MONTH($A1970)=Reference!$D$6,Reference!$D$13,0))),0)</f>
        <v>452</v>
      </c>
      <c r="E1970" s="11">
        <f ca="1">D1970*Reference!$D$7*(1-IF(MONTH($A1970)=Reference!$D$6,1,0)*Reference!$D$12)</f>
        <v>339000</v>
      </c>
      <c r="M1970" s="20"/>
      <c r="N1970" s="20"/>
      <c r="O1970" s="19"/>
      <c r="P1970" s="10"/>
      <c r="Q1970" s="10"/>
      <c r="R1970" s="10"/>
      <c r="S1970" s="10"/>
      <c r="T1970" s="10"/>
      <c r="U1970" s="10"/>
      <c r="V1970" s="10"/>
      <c r="W1970" s="10"/>
      <c r="X1970" s="10"/>
      <c r="Y1970" s="10"/>
    </row>
    <row r="1971" spans="1:25" x14ac:dyDescent="0.25">
      <c r="A1971" s="9">
        <v>42509</v>
      </c>
      <c r="B1971" s="10">
        <f ca="1">ROUND(_xlfn.NORM.INV(RAND(),Reference!$C$8,0.1*Reference!$C$8)*(1+Reference!$C$11*(IF(MONTH($A1971)=Reference!$C$4,1,0)+IF(MONTH($A1971)=Reference!$C$5,1,0))+(IF(MONTH($A1971)=Reference!$C$6,Reference!$C$13,0))),0)</f>
        <v>507</v>
      </c>
      <c r="C1971" s="11">
        <f ca="1">B1971*Reference!$C$7*(1-IF(MONTH($A1971)=Reference!$C$6,1,0)*Reference!$C$12)</f>
        <v>471510</v>
      </c>
      <c r="D1971" s="10">
        <f ca="1">ROUND(_xlfn.NORM.INV(RAND(),Reference!$D$8,0.1*Reference!$D$8)*(1+Reference!$D$11*(IF(MONTH($A1971)=Reference!$D$4,1,0)+IF(MONTH($A1971)=Reference!$D$5,1,0))+(IF(MONTH($A1971)=Reference!$D$6,Reference!$D$13,0))),0)</f>
        <v>460</v>
      </c>
      <c r="E1971" s="11">
        <f ca="1">D1971*Reference!$D$7*(1-IF(MONTH($A1971)=Reference!$D$6,1,0)*Reference!$D$12)</f>
        <v>345000</v>
      </c>
      <c r="M1971" s="20"/>
      <c r="N1971" s="20"/>
      <c r="O1971" s="19"/>
      <c r="P1971" s="10"/>
      <c r="Q1971" s="10"/>
      <c r="R1971" s="10"/>
      <c r="S1971" s="10"/>
      <c r="T1971" s="10"/>
      <c r="U1971" s="10"/>
      <c r="V1971" s="10"/>
      <c r="W1971" s="10"/>
      <c r="X1971" s="10"/>
      <c r="Y1971" s="10"/>
    </row>
    <row r="1972" spans="1:25" x14ac:dyDescent="0.25">
      <c r="A1972" s="9">
        <v>42510</v>
      </c>
      <c r="B1972" s="10">
        <f ca="1">ROUND(_xlfn.NORM.INV(RAND(),Reference!$C$8,0.1*Reference!$C$8)*(1+Reference!$C$11*(IF(MONTH($A1972)=Reference!$C$4,1,0)+IF(MONTH($A1972)=Reference!$C$5,1,0))+(IF(MONTH($A1972)=Reference!$C$6,Reference!$C$13,0))),0)</f>
        <v>514</v>
      </c>
      <c r="C1972" s="11">
        <f ca="1">B1972*Reference!$C$7*(1-IF(MONTH($A1972)=Reference!$C$6,1,0)*Reference!$C$12)</f>
        <v>478020</v>
      </c>
      <c r="D1972" s="10">
        <f ca="1">ROUND(_xlfn.NORM.INV(RAND(),Reference!$D$8,0.1*Reference!$D$8)*(1+Reference!$D$11*(IF(MONTH($A1972)=Reference!$D$4,1,0)+IF(MONTH($A1972)=Reference!$D$5,1,0))+(IF(MONTH($A1972)=Reference!$D$6,Reference!$D$13,0))),0)</f>
        <v>532</v>
      </c>
      <c r="E1972" s="11">
        <f ca="1">D1972*Reference!$D$7*(1-IF(MONTH($A1972)=Reference!$D$6,1,0)*Reference!$D$12)</f>
        <v>399000</v>
      </c>
      <c r="M1972" s="20"/>
      <c r="N1972" s="20"/>
      <c r="O1972" s="19"/>
      <c r="P1972" s="10"/>
      <c r="Q1972" s="10"/>
      <c r="R1972" s="10"/>
      <c r="S1972" s="10"/>
      <c r="T1972" s="10"/>
      <c r="U1972" s="10"/>
      <c r="V1972" s="10"/>
      <c r="W1972" s="10"/>
      <c r="X1972" s="10"/>
      <c r="Y1972" s="10"/>
    </row>
    <row r="1973" spans="1:25" x14ac:dyDescent="0.25">
      <c r="A1973" s="9">
        <v>42511</v>
      </c>
      <c r="B1973" s="10">
        <f ca="1">ROUND(_xlfn.NORM.INV(RAND(),Reference!$C$8,0.1*Reference!$C$8)*(1+Reference!$C$11*(IF(MONTH($A1973)=Reference!$C$4,1,0)+IF(MONTH($A1973)=Reference!$C$5,1,0))+(IF(MONTH($A1973)=Reference!$C$6,Reference!$C$13,0))),0)</f>
        <v>503</v>
      </c>
      <c r="C1973" s="11">
        <f ca="1">B1973*Reference!$C$7*(1-IF(MONTH($A1973)=Reference!$C$6,1,0)*Reference!$C$12)</f>
        <v>467790</v>
      </c>
      <c r="D1973" s="10">
        <f ca="1">ROUND(_xlfn.NORM.INV(RAND(),Reference!$D$8,0.1*Reference!$D$8)*(1+Reference!$D$11*(IF(MONTH($A1973)=Reference!$D$4,1,0)+IF(MONTH($A1973)=Reference!$D$5,1,0))+(IF(MONTH($A1973)=Reference!$D$6,Reference!$D$13,0))),0)</f>
        <v>402</v>
      </c>
      <c r="E1973" s="11">
        <f ca="1">D1973*Reference!$D$7*(1-IF(MONTH($A1973)=Reference!$D$6,1,0)*Reference!$D$12)</f>
        <v>301500</v>
      </c>
      <c r="M1973" s="20"/>
      <c r="N1973" s="20"/>
      <c r="O1973" s="19"/>
      <c r="P1973" s="10"/>
      <c r="Q1973" s="10"/>
      <c r="R1973" s="10"/>
      <c r="S1973" s="10"/>
      <c r="T1973" s="10"/>
      <c r="U1973" s="10"/>
      <c r="V1973" s="10"/>
      <c r="W1973" s="10"/>
      <c r="X1973" s="10"/>
      <c r="Y1973" s="10"/>
    </row>
    <row r="1974" spans="1:25" x14ac:dyDescent="0.25">
      <c r="A1974" s="9">
        <v>42512</v>
      </c>
      <c r="B1974" s="10">
        <f ca="1">ROUND(_xlfn.NORM.INV(RAND(),Reference!$C$8,0.1*Reference!$C$8)*(1+Reference!$C$11*(IF(MONTH($A1974)=Reference!$C$4,1,0)+IF(MONTH($A1974)=Reference!$C$5,1,0))+(IF(MONTH($A1974)=Reference!$C$6,Reference!$C$13,0))),0)</f>
        <v>592</v>
      </c>
      <c r="C1974" s="11">
        <f ca="1">B1974*Reference!$C$7*(1-IF(MONTH($A1974)=Reference!$C$6,1,0)*Reference!$C$12)</f>
        <v>550560</v>
      </c>
      <c r="D1974" s="10">
        <f ca="1">ROUND(_xlfn.NORM.INV(RAND(),Reference!$D$8,0.1*Reference!$D$8)*(1+Reference!$D$11*(IF(MONTH($A1974)=Reference!$D$4,1,0)+IF(MONTH($A1974)=Reference!$D$5,1,0))+(IF(MONTH($A1974)=Reference!$D$6,Reference!$D$13,0))),0)</f>
        <v>432</v>
      </c>
      <c r="E1974" s="11">
        <f ca="1">D1974*Reference!$D$7*(1-IF(MONTH($A1974)=Reference!$D$6,1,0)*Reference!$D$12)</f>
        <v>324000</v>
      </c>
      <c r="M1974" s="20"/>
      <c r="N1974" s="20"/>
      <c r="O1974" s="19"/>
      <c r="P1974" s="10"/>
      <c r="Q1974" s="10"/>
      <c r="R1974" s="10"/>
      <c r="S1974" s="10"/>
      <c r="T1974" s="10"/>
      <c r="U1974" s="10"/>
      <c r="V1974" s="10"/>
      <c r="W1974" s="10"/>
      <c r="X1974" s="10"/>
      <c r="Y1974" s="10"/>
    </row>
    <row r="1975" spans="1:25" x14ac:dyDescent="0.25">
      <c r="A1975" s="9">
        <v>42513</v>
      </c>
      <c r="B1975" s="10">
        <f ca="1">ROUND(_xlfn.NORM.INV(RAND(),Reference!$C$8,0.1*Reference!$C$8)*(1+Reference!$C$11*(IF(MONTH($A1975)=Reference!$C$4,1,0)+IF(MONTH($A1975)=Reference!$C$5,1,0))+(IF(MONTH($A1975)=Reference!$C$6,Reference!$C$13,0))),0)</f>
        <v>514</v>
      </c>
      <c r="C1975" s="11">
        <f ca="1">B1975*Reference!$C$7*(1-IF(MONTH($A1975)=Reference!$C$6,1,0)*Reference!$C$12)</f>
        <v>478020</v>
      </c>
      <c r="D1975" s="10">
        <f ca="1">ROUND(_xlfn.NORM.INV(RAND(),Reference!$D$8,0.1*Reference!$D$8)*(1+Reference!$D$11*(IF(MONTH($A1975)=Reference!$D$4,1,0)+IF(MONTH($A1975)=Reference!$D$5,1,0))+(IF(MONTH($A1975)=Reference!$D$6,Reference!$D$13,0))),0)</f>
        <v>509</v>
      </c>
      <c r="E1975" s="11">
        <f ca="1">D1975*Reference!$D$7*(1-IF(MONTH($A1975)=Reference!$D$6,1,0)*Reference!$D$12)</f>
        <v>381750</v>
      </c>
      <c r="M1975" s="20"/>
      <c r="N1975" s="20"/>
      <c r="O1975" s="19"/>
      <c r="P1975" s="10"/>
      <c r="Q1975" s="10"/>
      <c r="R1975" s="10"/>
      <c r="S1975" s="10"/>
      <c r="T1975" s="10"/>
      <c r="U1975" s="10"/>
      <c r="V1975" s="10"/>
      <c r="W1975" s="10"/>
      <c r="X1975" s="10"/>
      <c r="Y1975" s="10"/>
    </row>
    <row r="1976" spans="1:25" x14ac:dyDescent="0.25">
      <c r="A1976" s="9">
        <v>42514</v>
      </c>
      <c r="B1976" s="10">
        <f ca="1">ROUND(_xlfn.NORM.INV(RAND(),Reference!$C$8,0.1*Reference!$C$8)*(1+Reference!$C$11*(IF(MONTH($A1976)=Reference!$C$4,1,0)+IF(MONTH($A1976)=Reference!$C$5,1,0))+(IF(MONTH($A1976)=Reference!$C$6,Reference!$C$13,0))),0)</f>
        <v>630</v>
      </c>
      <c r="C1976" s="11">
        <f ca="1">B1976*Reference!$C$7*(1-IF(MONTH($A1976)=Reference!$C$6,1,0)*Reference!$C$12)</f>
        <v>585900</v>
      </c>
      <c r="D1976" s="10">
        <f ca="1">ROUND(_xlfn.NORM.INV(RAND(),Reference!$D$8,0.1*Reference!$D$8)*(1+Reference!$D$11*(IF(MONTH($A1976)=Reference!$D$4,1,0)+IF(MONTH($A1976)=Reference!$D$5,1,0))+(IF(MONTH($A1976)=Reference!$D$6,Reference!$D$13,0))),0)</f>
        <v>492</v>
      </c>
      <c r="E1976" s="11">
        <f ca="1">D1976*Reference!$D$7*(1-IF(MONTH($A1976)=Reference!$D$6,1,0)*Reference!$D$12)</f>
        <v>369000</v>
      </c>
      <c r="M1976" s="20"/>
      <c r="N1976" s="20"/>
      <c r="O1976" s="19"/>
      <c r="P1976" s="10"/>
      <c r="Q1976" s="10"/>
      <c r="R1976" s="10"/>
      <c r="S1976" s="10"/>
      <c r="T1976" s="10"/>
      <c r="U1976" s="10"/>
      <c r="V1976" s="10"/>
      <c r="W1976" s="10"/>
      <c r="X1976" s="10"/>
      <c r="Y1976" s="10"/>
    </row>
    <row r="1977" spans="1:25" x14ac:dyDescent="0.25">
      <c r="A1977" s="9">
        <v>42515</v>
      </c>
      <c r="B1977" s="10">
        <f ca="1">ROUND(_xlfn.NORM.INV(RAND(),Reference!$C$8,0.1*Reference!$C$8)*(1+Reference!$C$11*(IF(MONTH($A1977)=Reference!$C$4,1,0)+IF(MONTH($A1977)=Reference!$C$5,1,0))+(IF(MONTH($A1977)=Reference!$C$6,Reference!$C$13,0))),0)</f>
        <v>467</v>
      </c>
      <c r="C1977" s="11">
        <f ca="1">B1977*Reference!$C$7*(1-IF(MONTH($A1977)=Reference!$C$6,1,0)*Reference!$C$12)</f>
        <v>434310</v>
      </c>
      <c r="D1977" s="10">
        <f ca="1">ROUND(_xlfn.NORM.INV(RAND(),Reference!$D$8,0.1*Reference!$D$8)*(1+Reference!$D$11*(IF(MONTH($A1977)=Reference!$D$4,1,0)+IF(MONTH($A1977)=Reference!$D$5,1,0))+(IF(MONTH($A1977)=Reference!$D$6,Reference!$D$13,0))),0)</f>
        <v>391</v>
      </c>
      <c r="E1977" s="11">
        <f ca="1">D1977*Reference!$D$7*(1-IF(MONTH($A1977)=Reference!$D$6,1,0)*Reference!$D$12)</f>
        <v>293250</v>
      </c>
      <c r="M1977" s="20"/>
      <c r="N1977" s="20"/>
      <c r="O1977" s="19"/>
      <c r="P1977" s="10"/>
      <c r="Q1977" s="10"/>
      <c r="R1977" s="10"/>
      <c r="S1977" s="10"/>
      <c r="T1977" s="10"/>
      <c r="U1977" s="10"/>
      <c r="V1977" s="10"/>
      <c r="W1977" s="10"/>
      <c r="X1977" s="10"/>
      <c r="Y1977" s="10"/>
    </row>
    <row r="1978" spans="1:25" x14ac:dyDescent="0.25">
      <c r="A1978" s="9">
        <v>42516</v>
      </c>
      <c r="B1978" s="10">
        <f ca="1">ROUND(_xlfn.NORM.INV(RAND(),Reference!$C$8,0.1*Reference!$C$8)*(1+Reference!$C$11*(IF(MONTH($A1978)=Reference!$C$4,1,0)+IF(MONTH($A1978)=Reference!$C$5,1,0))+(IF(MONTH($A1978)=Reference!$C$6,Reference!$C$13,0))),0)</f>
        <v>569</v>
      </c>
      <c r="C1978" s="11">
        <f ca="1">B1978*Reference!$C$7*(1-IF(MONTH($A1978)=Reference!$C$6,1,0)*Reference!$C$12)</f>
        <v>529170</v>
      </c>
      <c r="D1978" s="10">
        <f ca="1">ROUND(_xlfn.NORM.INV(RAND(),Reference!$D$8,0.1*Reference!$D$8)*(1+Reference!$D$11*(IF(MONTH($A1978)=Reference!$D$4,1,0)+IF(MONTH($A1978)=Reference!$D$5,1,0))+(IF(MONTH($A1978)=Reference!$D$6,Reference!$D$13,0))),0)</f>
        <v>465</v>
      </c>
      <c r="E1978" s="11">
        <f ca="1">D1978*Reference!$D$7*(1-IF(MONTH($A1978)=Reference!$D$6,1,0)*Reference!$D$12)</f>
        <v>348750</v>
      </c>
      <c r="M1978" s="20"/>
      <c r="N1978" s="20"/>
      <c r="O1978" s="19"/>
      <c r="P1978" s="10"/>
      <c r="Q1978" s="10"/>
      <c r="R1978" s="10"/>
      <c r="S1978" s="10"/>
      <c r="T1978" s="10"/>
      <c r="U1978" s="10"/>
      <c r="V1978" s="10"/>
      <c r="W1978" s="10"/>
      <c r="X1978" s="10"/>
      <c r="Y1978" s="10"/>
    </row>
    <row r="1979" spans="1:25" x14ac:dyDescent="0.25">
      <c r="A1979" s="9">
        <v>42517</v>
      </c>
      <c r="B1979" s="10">
        <f ca="1">ROUND(_xlfn.NORM.INV(RAND(),Reference!$C$8,0.1*Reference!$C$8)*(1+Reference!$C$11*(IF(MONTH($A1979)=Reference!$C$4,1,0)+IF(MONTH($A1979)=Reference!$C$5,1,0))+(IF(MONTH($A1979)=Reference!$C$6,Reference!$C$13,0))),0)</f>
        <v>595</v>
      </c>
      <c r="C1979" s="11">
        <f ca="1">B1979*Reference!$C$7*(1-IF(MONTH($A1979)=Reference!$C$6,1,0)*Reference!$C$12)</f>
        <v>553350</v>
      </c>
      <c r="D1979" s="10">
        <f ca="1">ROUND(_xlfn.NORM.INV(RAND(),Reference!$D$8,0.1*Reference!$D$8)*(1+Reference!$D$11*(IF(MONTH($A1979)=Reference!$D$4,1,0)+IF(MONTH($A1979)=Reference!$D$5,1,0))+(IF(MONTH($A1979)=Reference!$D$6,Reference!$D$13,0))),0)</f>
        <v>529</v>
      </c>
      <c r="E1979" s="11">
        <f ca="1">D1979*Reference!$D$7*(1-IF(MONTH($A1979)=Reference!$D$6,1,0)*Reference!$D$12)</f>
        <v>396750</v>
      </c>
      <c r="M1979" s="20"/>
      <c r="N1979" s="20"/>
      <c r="O1979" s="19"/>
      <c r="P1979" s="10"/>
      <c r="Q1979" s="10"/>
      <c r="R1979" s="10"/>
      <c r="S1979" s="10"/>
      <c r="T1979" s="10"/>
      <c r="U1979" s="10"/>
      <c r="V1979" s="10"/>
      <c r="W1979" s="10"/>
      <c r="X1979" s="10"/>
      <c r="Y1979" s="10"/>
    </row>
    <row r="1980" spans="1:25" x14ac:dyDescent="0.25">
      <c r="A1980" s="9">
        <v>42518</v>
      </c>
      <c r="B1980" s="10">
        <f ca="1">ROUND(_xlfn.NORM.INV(RAND(),Reference!$C$8,0.1*Reference!$C$8)*(1+Reference!$C$11*(IF(MONTH($A1980)=Reference!$C$4,1,0)+IF(MONTH($A1980)=Reference!$C$5,1,0))+(IF(MONTH($A1980)=Reference!$C$6,Reference!$C$13,0))),0)</f>
        <v>517</v>
      </c>
      <c r="C1980" s="11">
        <f ca="1">B1980*Reference!$C$7*(1-IF(MONTH($A1980)=Reference!$C$6,1,0)*Reference!$C$12)</f>
        <v>480810</v>
      </c>
      <c r="D1980" s="10">
        <f ca="1">ROUND(_xlfn.NORM.INV(RAND(),Reference!$D$8,0.1*Reference!$D$8)*(1+Reference!$D$11*(IF(MONTH($A1980)=Reference!$D$4,1,0)+IF(MONTH($A1980)=Reference!$D$5,1,0))+(IF(MONTH($A1980)=Reference!$D$6,Reference!$D$13,0))),0)</f>
        <v>429</v>
      </c>
      <c r="E1980" s="11">
        <f ca="1">D1980*Reference!$D$7*(1-IF(MONTH($A1980)=Reference!$D$6,1,0)*Reference!$D$12)</f>
        <v>321750</v>
      </c>
      <c r="M1980" s="20"/>
      <c r="N1980" s="20"/>
      <c r="O1980" s="19"/>
      <c r="P1980" s="10"/>
      <c r="Q1980" s="10"/>
      <c r="R1980" s="10"/>
      <c r="S1980" s="10"/>
      <c r="T1980" s="10"/>
      <c r="U1980" s="10"/>
      <c r="V1980" s="10"/>
      <c r="W1980" s="10"/>
      <c r="X1980" s="10"/>
      <c r="Y1980" s="10"/>
    </row>
    <row r="1981" spans="1:25" x14ac:dyDescent="0.25">
      <c r="A1981" s="9">
        <v>42519</v>
      </c>
      <c r="B1981" s="10">
        <f ca="1">ROUND(_xlfn.NORM.INV(RAND(),Reference!$C$8,0.1*Reference!$C$8)*(1+Reference!$C$11*(IF(MONTH($A1981)=Reference!$C$4,1,0)+IF(MONTH($A1981)=Reference!$C$5,1,0))+(IF(MONTH($A1981)=Reference!$C$6,Reference!$C$13,0))),0)</f>
        <v>511</v>
      </c>
      <c r="C1981" s="11">
        <f ca="1">B1981*Reference!$C$7*(1-IF(MONTH($A1981)=Reference!$C$6,1,0)*Reference!$C$12)</f>
        <v>475230</v>
      </c>
      <c r="D1981" s="10">
        <f ca="1">ROUND(_xlfn.NORM.INV(RAND(),Reference!$D$8,0.1*Reference!$D$8)*(1+Reference!$D$11*(IF(MONTH($A1981)=Reference!$D$4,1,0)+IF(MONTH($A1981)=Reference!$D$5,1,0))+(IF(MONTH($A1981)=Reference!$D$6,Reference!$D$13,0))),0)</f>
        <v>475</v>
      </c>
      <c r="E1981" s="11">
        <f ca="1">D1981*Reference!$D$7*(1-IF(MONTH($A1981)=Reference!$D$6,1,0)*Reference!$D$12)</f>
        <v>356250</v>
      </c>
      <c r="M1981" s="20"/>
      <c r="N1981" s="20"/>
      <c r="O1981" s="19"/>
      <c r="P1981" s="10"/>
      <c r="Q1981" s="10"/>
      <c r="R1981" s="10"/>
      <c r="S1981" s="10"/>
      <c r="T1981" s="10"/>
      <c r="U1981" s="10"/>
      <c r="V1981" s="10"/>
      <c r="W1981" s="10"/>
      <c r="X1981" s="10"/>
      <c r="Y1981" s="10"/>
    </row>
    <row r="1982" spans="1:25" x14ac:dyDescent="0.25">
      <c r="A1982" s="9">
        <v>42520</v>
      </c>
      <c r="B1982" s="10">
        <f ca="1">ROUND(_xlfn.NORM.INV(RAND(),Reference!$C$8,0.1*Reference!$C$8)*(1+Reference!$C$11*(IF(MONTH($A1982)=Reference!$C$4,1,0)+IF(MONTH($A1982)=Reference!$C$5,1,0))+(IF(MONTH($A1982)=Reference!$C$6,Reference!$C$13,0))),0)</f>
        <v>496</v>
      </c>
      <c r="C1982" s="11">
        <f ca="1">B1982*Reference!$C$7*(1-IF(MONTH($A1982)=Reference!$C$6,1,0)*Reference!$C$12)</f>
        <v>461280</v>
      </c>
      <c r="D1982" s="10">
        <f ca="1">ROUND(_xlfn.NORM.INV(RAND(),Reference!$D$8,0.1*Reference!$D$8)*(1+Reference!$D$11*(IF(MONTH($A1982)=Reference!$D$4,1,0)+IF(MONTH($A1982)=Reference!$D$5,1,0))+(IF(MONTH($A1982)=Reference!$D$6,Reference!$D$13,0))),0)</f>
        <v>421</v>
      </c>
      <c r="E1982" s="11">
        <f ca="1">D1982*Reference!$D$7*(1-IF(MONTH($A1982)=Reference!$D$6,1,0)*Reference!$D$12)</f>
        <v>315750</v>
      </c>
      <c r="M1982" s="20"/>
      <c r="N1982" s="20"/>
      <c r="O1982" s="19"/>
      <c r="P1982" s="10"/>
      <c r="Q1982" s="10"/>
      <c r="R1982" s="10"/>
      <c r="S1982" s="10"/>
      <c r="T1982" s="10"/>
      <c r="U1982" s="10"/>
      <c r="V1982" s="10"/>
      <c r="W1982" s="10"/>
      <c r="X1982" s="10"/>
      <c r="Y1982" s="10"/>
    </row>
    <row r="1983" spans="1:25" x14ac:dyDescent="0.25">
      <c r="A1983" s="9">
        <v>42521</v>
      </c>
      <c r="B1983" s="10">
        <f ca="1">ROUND(_xlfn.NORM.INV(RAND(),Reference!$C$8,0.1*Reference!$C$8)*(1+Reference!$C$11*(IF(MONTH($A1983)=Reference!$C$4,1,0)+IF(MONTH($A1983)=Reference!$C$5,1,0))+(IF(MONTH($A1983)=Reference!$C$6,Reference!$C$13,0))),0)</f>
        <v>566</v>
      </c>
      <c r="C1983" s="11">
        <f ca="1">B1983*Reference!$C$7*(1-IF(MONTH($A1983)=Reference!$C$6,1,0)*Reference!$C$12)</f>
        <v>526380</v>
      </c>
      <c r="D1983" s="10">
        <f ca="1">ROUND(_xlfn.NORM.INV(RAND(),Reference!$D$8,0.1*Reference!$D$8)*(1+Reference!$D$11*(IF(MONTH($A1983)=Reference!$D$4,1,0)+IF(MONTH($A1983)=Reference!$D$5,1,0))+(IF(MONTH($A1983)=Reference!$D$6,Reference!$D$13,0))),0)</f>
        <v>405</v>
      </c>
      <c r="E1983" s="11">
        <f ca="1">D1983*Reference!$D$7*(1-IF(MONTH($A1983)=Reference!$D$6,1,0)*Reference!$D$12)</f>
        <v>303750</v>
      </c>
      <c r="M1983" s="20"/>
      <c r="N1983" s="20"/>
      <c r="O1983" s="19"/>
      <c r="P1983" s="10"/>
      <c r="Q1983" s="10"/>
      <c r="R1983" s="10"/>
      <c r="S1983" s="10"/>
      <c r="T1983" s="10"/>
      <c r="U1983" s="10"/>
      <c r="V1983" s="10"/>
      <c r="W1983" s="10"/>
      <c r="X1983" s="10"/>
      <c r="Y1983" s="10"/>
    </row>
    <row r="1984" spans="1:25" x14ac:dyDescent="0.25">
      <c r="A1984" s="9">
        <v>42522</v>
      </c>
      <c r="B1984" s="10">
        <f ca="1">ROUND(_xlfn.NORM.INV(RAND(),Reference!$C$8,0.1*Reference!$C$8)*(1+Reference!$C$11*(IF(MONTH($A1984)=Reference!$C$4,1,0)+IF(MONTH($A1984)=Reference!$C$5,1,0))+(IF(MONTH($A1984)=Reference!$C$6,Reference!$C$13,0))),0)</f>
        <v>373</v>
      </c>
      <c r="C1984" s="11">
        <f ca="1">B1984*Reference!$C$7*(1-IF(MONTH($A1984)=Reference!$C$6,1,0)*Reference!$C$12)</f>
        <v>138756</v>
      </c>
      <c r="D1984" s="10">
        <f ca="1">ROUND(_xlfn.NORM.INV(RAND(),Reference!$D$8,0.1*Reference!$D$8)*(1+Reference!$D$11*(IF(MONTH($A1984)=Reference!$D$4,1,0)+IF(MONTH($A1984)=Reference!$D$5,1,0))+(IF(MONTH($A1984)=Reference!$D$6,Reference!$D$13,0))),0)</f>
        <v>362</v>
      </c>
      <c r="E1984" s="11">
        <f ca="1">D1984*Reference!$D$7*(1-IF(MONTH($A1984)=Reference!$D$6,1,0)*Reference!$D$12)</f>
        <v>271500</v>
      </c>
      <c r="M1984" s="20"/>
      <c r="N1984" s="20"/>
      <c r="O1984" s="19"/>
      <c r="P1984" s="10"/>
      <c r="Q1984" s="10"/>
      <c r="R1984" s="10"/>
      <c r="S1984" s="10"/>
      <c r="T1984" s="10"/>
      <c r="U1984" s="10"/>
      <c r="V1984" s="10"/>
      <c r="W1984" s="10"/>
      <c r="X1984" s="10"/>
      <c r="Y1984" s="10"/>
    </row>
    <row r="1985" spans="1:25" x14ac:dyDescent="0.25">
      <c r="A1985" s="9">
        <v>42523</v>
      </c>
      <c r="B1985" s="10">
        <f ca="1">ROUND(_xlfn.NORM.INV(RAND(),Reference!$C$8,0.1*Reference!$C$8)*(1+Reference!$C$11*(IF(MONTH($A1985)=Reference!$C$4,1,0)+IF(MONTH($A1985)=Reference!$C$5,1,0))+(IF(MONTH($A1985)=Reference!$C$6,Reference!$C$13,0))),0)</f>
        <v>436</v>
      </c>
      <c r="C1985" s="11">
        <f ca="1">B1985*Reference!$C$7*(1-IF(MONTH($A1985)=Reference!$C$6,1,0)*Reference!$C$12)</f>
        <v>162192</v>
      </c>
      <c r="D1985" s="10">
        <f ca="1">ROUND(_xlfn.NORM.INV(RAND(),Reference!$D$8,0.1*Reference!$D$8)*(1+Reference!$D$11*(IF(MONTH($A1985)=Reference!$D$4,1,0)+IF(MONTH($A1985)=Reference!$D$5,1,0))+(IF(MONTH($A1985)=Reference!$D$6,Reference!$D$13,0))),0)</f>
        <v>344</v>
      </c>
      <c r="E1985" s="11">
        <f ca="1">D1985*Reference!$D$7*(1-IF(MONTH($A1985)=Reference!$D$6,1,0)*Reference!$D$12)</f>
        <v>258000</v>
      </c>
      <c r="M1985" s="20"/>
      <c r="N1985" s="20"/>
      <c r="O1985" s="19"/>
      <c r="P1985" s="10"/>
      <c r="Q1985" s="10"/>
      <c r="R1985" s="10"/>
      <c r="S1985" s="10"/>
      <c r="T1985" s="10"/>
      <c r="U1985" s="10"/>
      <c r="V1985" s="10"/>
      <c r="W1985" s="10"/>
      <c r="X1985" s="10"/>
      <c r="Y1985" s="10"/>
    </row>
    <row r="1986" spans="1:25" x14ac:dyDescent="0.25">
      <c r="A1986" s="9">
        <v>42524</v>
      </c>
      <c r="B1986" s="10">
        <f ca="1">ROUND(_xlfn.NORM.INV(RAND(),Reference!$C$8,0.1*Reference!$C$8)*(1+Reference!$C$11*(IF(MONTH($A1986)=Reference!$C$4,1,0)+IF(MONTH($A1986)=Reference!$C$5,1,0))+(IF(MONTH($A1986)=Reference!$C$6,Reference!$C$13,0))),0)</f>
        <v>407</v>
      </c>
      <c r="C1986" s="11">
        <f ca="1">B1986*Reference!$C$7*(1-IF(MONTH($A1986)=Reference!$C$6,1,0)*Reference!$C$12)</f>
        <v>151404</v>
      </c>
      <c r="D1986" s="10">
        <f ca="1">ROUND(_xlfn.NORM.INV(RAND(),Reference!$D$8,0.1*Reference!$D$8)*(1+Reference!$D$11*(IF(MONTH($A1986)=Reference!$D$4,1,0)+IF(MONTH($A1986)=Reference!$D$5,1,0))+(IF(MONTH($A1986)=Reference!$D$6,Reference!$D$13,0))),0)</f>
        <v>493</v>
      </c>
      <c r="E1986" s="11">
        <f ca="1">D1986*Reference!$D$7*(1-IF(MONTH($A1986)=Reference!$D$6,1,0)*Reference!$D$12)</f>
        <v>369750</v>
      </c>
      <c r="M1986" s="20"/>
      <c r="N1986" s="20"/>
      <c r="O1986" s="19"/>
      <c r="P1986" s="10"/>
      <c r="Q1986" s="10"/>
      <c r="R1986" s="10"/>
      <c r="S1986" s="10"/>
      <c r="T1986" s="10"/>
      <c r="U1986" s="10"/>
      <c r="V1986" s="10"/>
      <c r="W1986" s="10"/>
      <c r="X1986" s="10"/>
      <c r="Y1986" s="10"/>
    </row>
    <row r="1987" spans="1:25" x14ac:dyDescent="0.25">
      <c r="A1987" s="9">
        <v>42525</v>
      </c>
      <c r="B1987" s="10">
        <f ca="1">ROUND(_xlfn.NORM.INV(RAND(),Reference!$C$8,0.1*Reference!$C$8)*(1+Reference!$C$11*(IF(MONTH($A1987)=Reference!$C$4,1,0)+IF(MONTH($A1987)=Reference!$C$5,1,0))+(IF(MONTH($A1987)=Reference!$C$6,Reference!$C$13,0))),0)</f>
        <v>413</v>
      </c>
      <c r="C1987" s="11">
        <f ca="1">B1987*Reference!$C$7*(1-IF(MONTH($A1987)=Reference!$C$6,1,0)*Reference!$C$12)</f>
        <v>153636</v>
      </c>
      <c r="D1987" s="10">
        <f ca="1">ROUND(_xlfn.NORM.INV(RAND(),Reference!$D$8,0.1*Reference!$D$8)*(1+Reference!$D$11*(IF(MONTH($A1987)=Reference!$D$4,1,0)+IF(MONTH($A1987)=Reference!$D$5,1,0))+(IF(MONTH($A1987)=Reference!$D$6,Reference!$D$13,0))),0)</f>
        <v>454</v>
      </c>
      <c r="E1987" s="11">
        <f ca="1">D1987*Reference!$D$7*(1-IF(MONTH($A1987)=Reference!$D$6,1,0)*Reference!$D$12)</f>
        <v>340500</v>
      </c>
      <c r="M1987" s="20"/>
      <c r="N1987" s="20"/>
      <c r="O1987" s="19"/>
      <c r="P1987" s="10"/>
      <c r="Q1987" s="10"/>
      <c r="R1987" s="10"/>
      <c r="S1987" s="10"/>
      <c r="T1987" s="10"/>
      <c r="U1987" s="10"/>
      <c r="V1987" s="10"/>
      <c r="W1987" s="10"/>
      <c r="X1987" s="10"/>
      <c r="Y1987" s="10"/>
    </row>
    <row r="1988" spans="1:25" x14ac:dyDescent="0.25">
      <c r="A1988" s="9">
        <v>42526</v>
      </c>
      <c r="B1988" s="10">
        <f ca="1">ROUND(_xlfn.NORM.INV(RAND(),Reference!$C$8,0.1*Reference!$C$8)*(1+Reference!$C$11*(IF(MONTH($A1988)=Reference!$C$4,1,0)+IF(MONTH($A1988)=Reference!$C$5,1,0))+(IF(MONTH($A1988)=Reference!$C$6,Reference!$C$13,0))),0)</f>
        <v>437</v>
      </c>
      <c r="C1988" s="11">
        <f ca="1">B1988*Reference!$C$7*(1-IF(MONTH($A1988)=Reference!$C$6,1,0)*Reference!$C$12)</f>
        <v>162564</v>
      </c>
      <c r="D1988" s="10">
        <f ca="1">ROUND(_xlfn.NORM.INV(RAND(),Reference!$D$8,0.1*Reference!$D$8)*(1+Reference!$D$11*(IF(MONTH($A1988)=Reference!$D$4,1,0)+IF(MONTH($A1988)=Reference!$D$5,1,0))+(IF(MONTH($A1988)=Reference!$D$6,Reference!$D$13,0))),0)</f>
        <v>490</v>
      </c>
      <c r="E1988" s="11">
        <f ca="1">D1988*Reference!$D$7*(1-IF(MONTH($A1988)=Reference!$D$6,1,0)*Reference!$D$12)</f>
        <v>367500</v>
      </c>
      <c r="M1988" s="20"/>
      <c r="N1988" s="20"/>
      <c r="O1988" s="19"/>
      <c r="P1988" s="10"/>
      <c r="Q1988" s="10"/>
      <c r="R1988" s="10"/>
      <c r="S1988" s="10"/>
      <c r="T1988" s="10"/>
      <c r="U1988" s="10"/>
      <c r="V1988" s="10"/>
      <c r="W1988" s="10"/>
      <c r="X1988" s="10"/>
      <c r="Y1988" s="10"/>
    </row>
    <row r="1989" spans="1:25" x14ac:dyDescent="0.25">
      <c r="A1989" s="9">
        <v>42527</v>
      </c>
      <c r="B1989" s="10">
        <f ca="1">ROUND(_xlfn.NORM.INV(RAND(),Reference!$C$8,0.1*Reference!$C$8)*(1+Reference!$C$11*(IF(MONTH($A1989)=Reference!$C$4,1,0)+IF(MONTH($A1989)=Reference!$C$5,1,0))+(IF(MONTH($A1989)=Reference!$C$6,Reference!$C$13,0))),0)</f>
        <v>462</v>
      </c>
      <c r="C1989" s="11">
        <f ca="1">B1989*Reference!$C$7*(1-IF(MONTH($A1989)=Reference!$C$6,1,0)*Reference!$C$12)</f>
        <v>171864</v>
      </c>
      <c r="D1989" s="10">
        <f ca="1">ROUND(_xlfn.NORM.INV(RAND(),Reference!$D$8,0.1*Reference!$D$8)*(1+Reference!$D$11*(IF(MONTH($A1989)=Reference!$D$4,1,0)+IF(MONTH($A1989)=Reference!$D$5,1,0))+(IF(MONTH($A1989)=Reference!$D$6,Reference!$D$13,0))),0)</f>
        <v>393</v>
      </c>
      <c r="E1989" s="11">
        <f ca="1">D1989*Reference!$D$7*(1-IF(MONTH($A1989)=Reference!$D$6,1,0)*Reference!$D$12)</f>
        <v>294750</v>
      </c>
      <c r="M1989" s="20"/>
      <c r="N1989" s="20"/>
      <c r="O1989" s="19"/>
      <c r="P1989" s="10"/>
      <c r="Q1989" s="10"/>
      <c r="R1989" s="10"/>
      <c r="S1989" s="10"/>
      <c r="T1989" s="10"/>
      <c r="U1989" s="10"/>
      <c r="V1989" s="10"/>
      <c r="W1989" s="10"/>
      <c r="X1989" s="10"/>
      <c r="Y1989" s="10"/>
    </row>
    <row r="1990" spans="1:25" x14ac:dyDescent="0.25">
      <c r="A1990" s="9">
        <v>42528</v>
      </c>
      <c r="B1990" s="10">
        <f ca="1">ROUND(_xlfn.NORM.INV(RAND(),Reference!$C$8,0.1*Reference!$C$8)*(1+Reference!$C$11*(IF(MONTH($A1990)=Reference!$C$4,1,0)+IF(MONTH($A1990)=Reference!$C$5,1,0))+(IF(MONTH($A1990)=Reference!$C$6,Reference!$C$13,0))),0)</f>
        <v>458</v>
      </c>
      <c r="C1990" s="11">
        <f ca="1">B1990*Reference!$C$7*(1-IF(MONTH($A1990)=Reference!$C$6,1,0)*Reference!$C$12)</f>
        <v>170376</v>
      </c>
      <c r="D1990" s="10">
        <f ca="1">ROUND(_xlfn.NORM.INV(RAND(),Reference!$D$8,0.1*Reference!$D$8)*(1+Reference!$D$11*(IF(MONTH($A1990)=Reference!$D$4,1,0)+IF(MONTH($A1990)=Reference!$D$5,1,0))+(IF(MONTH($A1990)=Reference!$D$6,Reference!$D$13,0))),0)</f>
        <v>501</v>
      </c>
      <c r="E1990" s="11">
        <f ca="1">D1990*Reference!$D$7*(1-IF(MONTH($A1990)=Reference!$D$6,1,0)*Reference!$D$12)</f>
        <v>375750</v>
      </c>
      <c r="M1990" s="20"/>
      <c r="N1990" s="20"/>
      <c r="O1990" s="19"/>
      <c r="P1990" s="10"/>
      <c r="Q1990" s="10"/>
      <c r="R1990" s="10"/>
      <c r="S1990" s="10"/>
      <c r="T1990" s="10"/>
      <c r="U1990" s="10"/>
      <c r="V1990" s="10"/>
      <c r="W1990" s="10"/>
      <c r="X1990" s="10"/>
      <c r="Y1990" s="10"/>
    </row>
    <row r="1991" spans="1:25" x14ac:dyDescent="0.25">
      <c r="A1991" s="9">
        <v>42529</v>
      </c>
      <c r="B1991" s="10">
        <f ca="1">ROUND(_xlfn.NORM.INV(RAND(),Reference!$C$8,0.1*Reference!$C$8)*(1+Reference!$C$11*(IF(MONTH($A1991)=Reference!$C$4,1,0)+IF(MONTH($A1991)=Reference!$C$5,1,0))+(IF(MONTH($A1991)=Reference!$C$6,Reference!$C$13,0))),0)</f>
        <v>440</v>
      </c>
      <c r="C1991" s="11">
        <f ca="1">B1991*Reference!$C$7*(1-IF(MONTH($A1991)=Reference!$C$6,1,0)*Reference!$C$12)</f>
        <v>163680</v>
      </c>
      <c r="D1991" s="10">
        <f ca="1">ROUND(_xlfn.NORM.INV(RAND(),Reference!$D$8,0.1*Reference!$D$8)*(1+Reference!$D$11*(IF(MONTH($A1991)=Reference!$D$4,1,0)+IF(MONTH($A1991)=Reference!$D$5,1,0))+(IF(MONTH($A1991)=Reference!$D$6,Reference!$D$13,0))),0)</f>
        <v>404</v>
      </c>
      <c r="E1991" s="11">
        <f ca="1">D1991*Reference!$D$7*(1-IF(MONTH($A1991)=Reference!$D$6,1,0)*Reference!$D$12)</f>
        <v>303000</v>
      </c>
      <c r="M1991" s="20"/>
      <c r="N1991" s="20"/>
      <c r="O1991" s="19"/>
      <c r="P1991" s="10"/>
      <c r="Q1991" s="10"/>
      <c r="R1991" s="10"/>
      <c r="S1991" s="10"/>
      <c r="T1991" s="10"/>
      <c r="U1991" s="10"/>
      <c r="V1991" s="10"/>
      <c r="W1991" s="10"/>
      <c r="X1991" s="10"/>
      <c r="Y1991" s="10"/>
    </row>
    <row r="1992" spans="1:25" x14ac:dyDescent="0.25">
      <c r="A1992" s="9">
        <v>42530</v>
      </c>
      <c r="B1992" s="10">
        <f ca="1">ROUND(_xlfn.NORM.INV(RAND(),Reference!$C$8,0.1*Reference!$C$8)*(1+Reference!$C$11*(IF(MONTH($A1992)=Reference!$C$4,1,0)+IF(MONTH($A1992)=Reference!$C$5,1,0))+(IF(MONTH($A1992)=Reference!$C$6,Reference!$C$13,0))),0)</f>
        <v>435</v>
      </c>
      <c r="C1992" s="11">
        <f ca="1">B1992*Reference!$C$7*(1-IF(MONTH($A1992)=Reference!$C$6,1,0)*Reference!$C$12)</f>
        <v>161820</v>
      </c>
      <c r="D1992" s="10">
        <f ca="1">ROUND(_xlfn.NORM.INV(RAND(),Reference!$D$8,0.1*Reference!$D$8)*(1+Reference!$D$11*(IF(MONTH($A1992)=Reference!$D$4,1,0)+IF(MONTH($A1992)=Reference!$D$5,1,0))+(IF(MONTH($A1992)=Reference!$D$6,Reference!$D$13,0))),0)</f>
        <v>464</v>
      </c>
      <c r="E1992" s="11">
        <f ca="1">D1992*Reference!$D$7*(1-IF(MONTH($A1992)=Reference!$D$6,1,0)*Reference!$D$12)</f>
        <v>348000</v>
      </c>
      <c r="M1992" s="20"/>
      <c r="N1992" s="20"/>
      <c r="O1992" s="19"/>
      <c r="P1992" s="10"/>
      <c r="Q1992" s="10"/>
      <c r="R1992" s="10"/>
      <c r="S1992" s="10"/>
      <c r="T1992" s="10"/>
      <c r="U1992" s="10"/>
      <c r="V1992" s="10"/>
      <c r="W1992" s="10"/>
      <c r="X1992" s="10"/>
      <c r="Y1992" s="10"/>
    </row>
    <row r="1993" spans="1:25" x14ac:dyDescent="0.25">
      <c r="A1993" s="9">
        <v>42531</v>
      </c>
      <c r="B1993" s="10">
        <f ca="1">ROUND(_xlfn.NORM.INV(RAND(),Reference!$C$8,0.1*Reference!$C$8)*(1+Reference!$C$11*(IF(MONTH($A1993)=Reference!$C$4,1,0)+IF(MONTH($A1993)=Reference!$C$5,1,0))+(IF(MONTH($A1993)=Reference!$C$6,Reference!$C$13,0))),0)</f>
        <v>494</v>
      </c>
      <c r="C1993" s="11">
        <f ca="1">B1993*Reference!$C$7*(1-IF(MONTH($A1993)=Reference!$C$6,1,0)*Reference!$C$12)</f>
        <v>183768</v>
      </c>
      <c r="D1993" s="10">
        <f ca="1">ROUND(_xlfn.NORM.INV(RAND(),Reference!$D$8,0.1*Reference!$D$8)*(1+Reference!$D$11*(IF(MONTH($A1993)=Reference!$D$4,1,0)+IF(MONTH($A1993)=Reference!$D$5,1,0))+(IF(MONTH($A1993)=Reference!$D$6,Reference!$D$13,0))),0)</f>
        <v>475</v>
      </c>
      <c r="E1993" s="11">
        <f ca="1">D1993*Reference!$D$7*(1-IF(MONTH($A1993)=Reference!$D$6,1,0)*Reference!$D$12)</f>
        <v>356250</v>
      </c>
      <c r="M1993" s="20"/>
      <c r="N1993" s="20"/>
      <c r="O1993" s="19"/>
      <c r="P1993" s="10"/>
      <c r="Q1993" s="10"/>
      <c r="R1993" s="10"/>
      <c r="S1993" s="10"/>
      <c r="T1993" s="10"/>
      <c r="U1993" s="10"/>
      <c r="V1993" s="10"/>
      <c r="W1993" s="10"/>
      <c r="X1993" s="10"/>
      <c r="Y1993" s="10"/>
    </row>
    <row r="1994" spans="1:25" x14ac:dyDescent="0.25">
      <c r="A1994" s="9">
        <v>42532</v>
      </c>
      <c r="B1994" s="10">
        <f ca="1">ROUND(_xlfn.NORM.INV(RAND(),Reference!$C$8,0.1*Reference!$C$8)*(1+Reference!$C$11*(IF(MONTH($A1994)=Reference!$C$4,1,0)+IF(MONTH($A1994)=Reference!$C$5,1,0))+(IF(MONTH($A1994)=Reference!$C$6,Reference!$C$13,0))),0)</f>
        <v>438</v>
      </c>
      <c r="C1994" s="11">
        <f ca="1">B1994*Reference!$C$7*(1-IF(MONTH($A1994)=Reference!$C$6,1,0)*Reference!$C$12)</f>
        <v>162936</v>
      </c>
      <c r="D1994" s="10">
        <f ca="1">ROUND(_xlfn.NORM.INV(RAND(),Reference!$D$8,0.1*Reference!$D$8)*(1+Reference!$D$11*(IF(MONTH($A1994)=Reference!$D$4,1,0)+IF(MONTH($A1994)=Reference!$D$5,1,0))+(IF(MONTH($A1994)=Reference!$D$6,Reference!$D$13,0))),0)</f>
        <v>496</v>
      </c>
      <c r="E1994" s="11">
        <f ca="1">D1994*Reference!$D$7*(1-IF(MONTH($A1994)=Reference!$D$6,1,0)*Reference!$D$12)</f>
        <v>372000</v>
      </c>
      <c r="M1994" s="20"/>
      <c r="N1994" s="20"/>
      <c r="O1994" s="19"/>
      <c r="P1994" s="10"/>
      <c r="Q1994" s="10"/>
      <c r="R1994" s="10"/>
      <c r="S1994" s="10"/>
      <c r="T1994" s="10"/>
      <c r="U1994" s="10"/>
      <c r="V1994" s="10"/>
      <c r="W1994" s="10"/>
      <c r="X1994" s="10"/>
      <c r="Y1994" s="10"/>
    </row>
    <row r="1995" spans="1:25" x14ac:dyDescent="0.25">
      <c r="A1995" s="9">
        <v>42533</v>
      </c>
      <c r="B1995" s="10">
        <f ca="1">ROUND(_xlfn.NORM.INV(RAND(),Reference!$C$8,0.1*Reference!$C$8)*(1+Reference!$C$11*(IF(MONTH($A1995)=Reference!$C$4,1,0)+IF(MONTH($A1995)=Reference!$C$5,1,0))+(IF(MONTH($A1995)=Reference!$C$6,Reference!$C$13,0))),0)</f>
        <v>453</v>
      </c>
      <c r="C1995" s="11">
        <f ca="1">B1995*Reference!$C$7*(1-IF(MONTH($A1995)=Reference!$C$6,1,0)*Reference!$C$12)</f>
        <v>168516</v>
      </c>
      <c r="D1995" s="10">
        <f ca="1">ROUND(_xlfn.NORM.INV(RAND(),Reference!$D$8,0.1*Reference!$D$8)*(1+Reference!$D$11*(IF(MONTH($A1995)=Reference!$D$4,1,0)+IF(MONTH($A1995)=Reference!$D$5,1,0))+(IF(MONTH($A1995)=Reference!$D$6,Reference!$D$13,0))),0)</f>
        <v>444</v>
      </c>
      <c r="E1995" s="11">
        <f ca="1">D1995*Reference!$D$7*(1-IF(MONTH($A1995)=Reference!$D$6,1,0)*Reference!$D$12)</f>
        <v>333000</v>
      </c>
      <c r="M1995" s="20"/>
      <c r="N1995" s="20"/>
      <c r="O1995" s="19"/>
      <c r="P1995" s="10"/>
      <c r="Q1995" s="10"/>
      <c r="R1995" s="10"/>
      <c r="S1995" s="10"/>
      <c r="T1995" s="10"/>
      <c r="U1995" s="10"/>
      <c r="V1995" s="10"/>
      <c r="W1995" s="10"/>
      <c r="X1995" s="10"/>
      <c r="Y1995" s="10"/>
    </row>
    <row r="1996" spans="1:25" x14ac:dyDescent="0.25">
      <c r="A1996" s="9">
        <v>42534</v>
      </c>
      <c r="B1996" s="10">
        <f ca="1">ROUND(_xlfn.NORM.INV(RAND(),Reference!$C$8,0.1*Reference!$C$8)*(1+Reference!$C$11*(IF(MONTH($A1996)=Reference!$C$4,1,0)+IF(MONTH($A1996)=Reference!$C$5,1,0))+(IF(MONTH($A1996)=Reference!$C$6,Reference!$C$13,0))),0)</f>
        <v>392</v>
      </c>
      <c r="C1996" s="11">
        <f ca="1">B1996*Reference!$C$7*(1-IF(MONTH($A1996)=Reference!$C$6,1,0)*Reference!$C$12)</f>
        <v>145824</v>
      </c>
      <c r="D1996" s="10">
        <f ca="1">ROUND(_xlfn.NORM.INV(RAND(),Reference!$D$8,0.1*Reference!$D$8)*(1+Reference!$D$11*(IF(MONTH($A1996)=Reference!$D$4,1,0)+IF(MONTH($A1996)=Reference!$D$5,1,0))+(IF(MONTH($A1996)=Reference!$D$6,Reference!$D$13,0))),0)</f>
        <v>431</v>
      </c>
      <c r="E1996" s="11">
        <f ca="1">D1996*Reference!$D$7*(1-IF(MONTH($A1996)=Reference!$D$6,1,0)*Reference!$D$12)</f>
        <v>323250</v>
      </c>
      <c r="M1996" s="20"/>
      <c r="N1996" s="20"/>
      <c r="O1996" s="19"/>
      <c r="P1996" s="10"/>
      <c r="Q1996" s="10"/>
      <c r="R1996" s="10"/>
      <c r="S1996" s="10"/>
      <c r="T1996" s="10"/>
      <c r="U1996" s="10"/>
      <c r="V1996" s="10"/>
      <c r="W1996" s="10"/>
      <c r="X1996" s="10"/>
      <c r="Y1996" s="10"/>
    </row>
    <row r="1997" spans="1:25" x14ac:dyDescent="0.25">
      <c r="A1997" s="9">
        <v>42535</v>
      </c>
      <c r="B1997" s="10">
        <f ca="1">ROUND(_xlfn.NORM.INV(RAND(),Reference!$C$8,0.1*Reference!$C$8)*(1+Reference!$C$11*(IF(MONTH($A1997)=Reference!$C$4,1,0)+IF(MONTH($A1997)=Reference!$C$5,1,0))+(IF(MONTH($A1997)=Reference!$C$6,Reference!$C$13,0))),0)</f>
        <v>404</v>
      </c>
      <c r="C1997" s="11">
        <f ca="1">B1997*Reference!$C$7*(1-IF(MONTH($A1997)=Reference!$C$6,1,0)*Reference!$C$12)</f>
        <v>150288</v>
      </c>
      <c r="D1997" s="10">
        <f ca="1">ROUND(_xlfn.NORM.INV(RAND(),Reference!$D$8,0.1*Reference!$D$8)*(1+Reference!$D$11*(IF(MONTH($A1997)=Reference!$D$4,1,0)+IF(MONTH($A1997)=Reference!$D$5,1,0))+(IF(MONTH($A1997)=Reference!$D$6,Reference!$D$13,0))),0)</f>
        <v>492</v>
      </c>
      <c r="E1997" s="11">
        <f ca="1">D1997*Reference!$D$7*(1-IF(MONTH($A1997)=Reference!$D$6,1,0)*Reference!$D$12)</f>
        <v>369000</v>
      </c>
      <c r="M1997" s="20"/>
      <c r="N1997" s="20"/>
      <c r="O1997" s="19"/>
      <c r="P1997" s="10"/>
      <c r="Q1997" s="10"/>
      <c r="R1997" s="10"/>
      <c r="S1997" s="10"/>
      <c r="T1997" s="10"/>
      <c r="U1997" s="10"/>
      <c r="V1997" s="10"/>
      <c r="W1997" s="10"/>
      <c r="X1997" s="10"/>
      <c r="Y1997" s="10"/>
    </row>
    <row r="1998" spans="1:25" x14ac:dyDescent="0.25">
      <c r="A1998" s="9">
        <v>42536</v>
      </c>
      <c r="B1998" s="10">
        <f ca="1">ROUND(_xlfn.NORM.INV(RAND(),Reference!$C$8,0.1*Reference!$C$8)*(1+Reference!$C$11*(IF(MONTH($A1998)=Reference!$C$4,1,0)+IF(MONTH($A1998)=Reference!$C$5,1,0))+(IF(MONTH($A1998)=Reference!$C$6,Reference!$C$13,0))),0)</f>
        <v>384</v>
      </c>
      <c r="C1998" s="11">
        <f ca="1">B1998*Reference!$C$7*(1-IF(MONTH($A1998)=Reference!$C$6,1,0)*Reference!$C$12)</f>
        <v>142848</v>
      </c>
      <c r="D1998" s="10">
        <f ca="1">ROUND(_xlfn.NORM.INV(RAND(),Reference!$D$8,0.1*Reference!$D$8)*(1+Reference!$D$11*(IF(MONTH($A1998)=Reference!$D$4,1,0)+IF(MONTH($A1998)=Reference!$D$5,1,0))+(IF(MONTH($A1998)=Reference!$D$6,Reference!$D$13,0))),0)</f>
        <v>409</v>
      </c>
      <c r="E1998" s="11">
        <f ca="1">D1998*Reference!$D$7*(1-IF(MONTH($A1998)=Reference!$D$6,1,0)*Reference!$D$12)</f>
        <v>306750</v>
      </c>
      <c r="M1998" s="20"/>
      <c r="N1998" s="20"/>
      <c r="O1998" s="19"/>
      <c r="P1998" s="10"/>
      <c r="Q1998" s="10"/>
      <c r="R1998" s="10"/>
      <c r="S1998" s="10"/>
      <c r="T1998" s="10"/>
      <c r="U1998" s="10"/>
      <c r="V1998" s="10"/>
      <c r="W1998" s="10"/>
      <c r="X1998" s="10"/>
      <c r="Y1998" s="10"/>
    </row>
    <row r="1999" spans="1:25" x14ac:dyDescent="0.25">
      <c r="A1999" s="9">
        <v>42537</v>
      </c>
      <c r="B1999" s="10">
        <f ca="1">ROUND(_xlfn.NORM.INV(RAND(),Reference!$C$8,0.1*Reference!$C$8)*(1+Reference!$C$11*(IF(MONTH($A1999)=Reference!$C$4,1,0)+IF(MONTH($A1999)=Reference!$C$5,1,0))+(IF(MONTH($A1999)=Reference!$C$6,Reference!$C$13,0))),0)</f>
        <v>490</v>
      </c>
      <c r="C1999" s="11">
        <f ca="1">B1999*Reference!$C$7*(1-IF(MONTH($A1999)=Reference!$C$6,1,0)*Reference!$C$12)</f>
        <v>182280</v>
      </c>
      <c r="D1999" s="10">
        <f ca="1">ROUND(_xlfn.NORM.INV(RAND(),Reference!$D$8,0.1*Reference!$D$8)*(1+Reference!$D$11*(IF(MONTH($A1999)=Reference!$D$4,1,0)+IF(MONTH($A1999)=Reference!$D$5,1,0))+(IF(MONTH($A1999)=Reference!$D$6,Reference!$D$13,0))),0)</f>
        <v>478</v>
      </c>
      <c r="E1999" s="11">
        <f ca="1">D1999*Reference!$D$7*(1-IF(MONTH($A1999)=Reference!$D$6,1,0)*Reference!$D$12)</f>
        <v>358500</v>
      </c>
      <c r="M1999" s="20"/>
      <c r="N1999" s="20"/>
      <c r="O1999" s="19"/>
      <c r="P1999" s="10"/>
      <c r="Q1999" s="10"/>
      <c r="R1999" s="10"/>
      <c r="S1999" s="10"/>
      <c r="T1999" s="10"/>
      <c r="U1999" s="10"/>
      <c r="V1999" s="10"/>
      <c r="W1999" s="10"/>
      <c r="X1999" s="10"/>
      <c r="Y1999" s="10"/>
    </row>
    <row r="2000" spans="1:25" x14ac:dyDescent="0.25">
      <c r="A2000" s="9">
        <v>42538</v>
      </c>
      <c r="B2000" s="10">
        <f ca="1">ROUND(_xlfn.NORM.INV(RAND(),Reference!$C$8,0.1*Reference!$C$8)*(1+Reference!$C$11*(IF(MONTH($A2000)=Reference!$C$4,1,0)+IF(MONTH($A2000)=Reference!$C$5,1,0))+(IF(MONTH($A2000)=Reference!$C$6,Reference!$C$13,0))),0)</f>
        <v>420</v>
      </c>
      <c r="C2000" s="11">
        <f ca="1">B2000*Reference!$C$7*(1-IF(MONTH($A2000)=Reference!$C$6,1,0)*Reference!$C$12)</f>
        <v>156240</v>
      </c>
      <c r="D2000" s="10">
        <f ca="1">ROUND(_xlfn.NORM.INV(RAND(),Reference!$D$8,0.1*Reference!$D$8)*(1+Reference!$D$11*(IF(MONTH($A2000)=Reference!$D$4,1,0)+IF(MONTH($A2000)=Reference!$D$5,1,0))+(IF(MONTH($A2000)=Reference!$D$6,Reference!$D$13,0))),0)</f>
        <v>429</v>
      </c>
      <c r="E2000" s="11">
        <f ca="1">D2000*Reference!$D$7*(1-IF(MONTH($A2000)=Reference!$D$6,1,0)*Reference!$D$12)</f>
        <v>321750</v>
      </c>
      <c r="M2000" s="20"/>
      <c r="N2000" s="20"/>
      <c r="O2000" s="19"/>
      <c r="P2000" s="10"/>
      <c r="Q2000" s="10"/>
      <c r="R2000" s="10"/>
      <c r="S2000" s="10"/>
      <c r="T2000" s="10"/>
      <c r="U2000" s="10"/>
      <c r="V2000" s="10"/>
      <c r="W2000" s="10"/>
      <c r="X2000" s="10"/>
      <c r="Y2000" s="10"/>
    </row>
    <row r="2001" spans="1:25" x14ac:dyDescent="0.25">
      <c r="A2001" s="9">
        <v>42539</v>
      </c>
      <c r="B2001" s="10">
        <f ca="1">ROUND(_xlfn.NORM.INV(RAND(),Reference!$C$8,0.1*Reference!$C$8)*(1+Reference!$C$11*(IF(MONTH($A2001)=Reference!$C$4,1,0)+IF(MONTH($A2001)=Reference!$C$5,1,0))+(IF(MONTH($A2001)=Reference!$C$6,Reference!$C$13,0))),0)</f>
        <v>357</v>
      </c>
      <c r="C2001" s="11">
        <f ca="1">B2001*Reference!$C$7*(1-IF(MONTH($A2001)=Reference!$C$6,1,0)*Reference!$C$12)</f>
        <v>132804</v>
      </c>
      <c r="D2001" s="10">
        <f ca="1">ROUND(_xlfn.NORM.INV(RAND(),Reference!$D$8,0.1*Reference!$D$8)*(1+Reference!$D$11*(IF(MONTH($A2001)=Reference!$D$4,1,0)+IF(MONTH($A2001)=Reference!$D$5,1,0))+(IF(MONTH($A2001)=Reference!$D$6,Reference!$D$13,0))),0)</f>
        <v>385</v>
      </c>
      <c r="E2001" s="11">
        <f ca="1">D2001*Reference!$D$7*(1-IF(MONTH($A2001)=Reference!$D$6,1,0)*Reference!$D$12)</f>
        <v>288750</v>
      </c>
      <c r="M2001" s="20"/>
      <c r="N2001" s="20"/>
      <c r="O2001" s="19"/>
      <c r="P2001" s="10"/>
      <c r="Q2001" s="10"/>
      <c r="R2001" s="10"/>
      <c r="S2001" s="10"/>
      <c r="T2001" s="10"/>
      <c r="U2001" s="10"/>
      <c r="V2001" s="10"/>
      <c r="W2001" s="10"/>
      <c r="X2001" s="10"/>
      <c r="Y2001" s="10"/>
    </row>
    <row r="2002" spans="1:25" x14ac:dyDescent="0.25">
      <c r="A2002" s="9">
        <v>42540</v>
      </c>
      <c r="B2002" s="10">
        <f ca="1">ROUND(_xlfn.NORM.INV(RAND(),Reference!$C$8,0.1*Reference!$C$8)*(1+Reference!$C$11*(IF(MONTH($A2002)=Reference!$C$4,1,0)+IF(MONTH($A2002)=Reference!$C$5,1,0))+(IF(MONTH($A2002)=Reference!$C$6,Reference!$C$13,0))),0)</f>
        <v>533</v>
      </c>
      <c r="C2002" s="11">
        <f ca="1">B2002*Reference!$C$7*(1-IF(MONTH($A2002)=Reference!$C$6,1,0)*Reference!$C$12)</f>
        <v>198276</v>
      </c>
      <c r="D2002" s="10">
        <f ca="1">ROUND(_xlfn.NORM.INV(RAND(),Reference!$D$8,0.1*Reference!$D$8)*(1+Reference!$D$11*(IF(MONTH($A2002)=Reference!$D$4,1,0)+IF(MONTH($A2002)=Reference!$D$5,1,0))+(IF(MONTH($A2002)=Reference!$D$6,Reference!$D$13,0))),0)</f>
        <v>425</v>
      </c>
      <c r="E2002" s="11">
        <f ca="1">D2002*Reference!$D$7*(1-IF(MONTH($A2002)=Reference!$D$6,1,0)*Reference!$D$12)</f>
        <v>318750</v>
      </c>
      <c r="M2002" s="20"/>
      <c r="N2002" s="20"/>
      <c r="O2002" s="19"/>
      <c r="P2002" s="10"/>
      <c r="Q2002" s="10"/>
      <c r="R2002" s="10"/>
      <c r="S2002" s="10"/>
      <c r="T2002" s="10"/>
      <c r="U2002" s="10"/>
      <c r="V2002" s="10"/>
      <c r="W2002" s="10"/>
      <c r="X2002" s="10"/>
      <c r="Y2002" s="10"/>
    </row>
    <row r="2003" spans="1:25" x14ac:dyDescent="0.25">
      <c r="A2003" s="9">
        <v>42541</v>
      </c>
      <c r="B2003" s="10">
        <f ca="1">ROUND(_xlfn.NORM.INV(RAND(),Reference!$C$8,0.1*Reference!$C$8)*(1+Reference!$C$11*(IF(MONTH($A2003)=Reference!$C$4,1,0)+IF(MONTH($A2003)=Reference!$C$5,1,0))+(IF(MONTH($A2003)=Reference!$C$6,Reference!$C$13,0))),0)</f>
        <v>470</v>
      </c>
      <c r="C2003" s="11">
        <f ca="1">B2003*Reference!$C$7*(1-IF(MONTH($A2003)=Reference!$C$6,1,0)*Reference!$C$12)</f>
        <v>174840</v>
      </c>
      <c r="D2003" s="10">
        <f ca="1">ROUND(_xlfn.NORM.INV(RAND(),Reference!$D$8,0.1*Reference!$D$8)*(1+Reference!$D$11*(IF(MONTH($A2003)=Reference!$D$4,1,0)+IF(MONTH($A2003)=Reference!$D$5,1,0))+(IF(MONTH($A2003)=Reference!$D$6,Reference!$D$13,0))),0)</f>
        <v>482</v>
      </c>
      <c r="E2003" s="11">
        <f ca="1">D2003*Reference!$D$7*(1-IF(MONTH($A2003)=Reference!$D$6,1,0)*Reference!$D$12)</f>
        <v>361500</v>
      </c>
      <c r="M2003" s="20"/>
      <c r="N2003" s="20"/>
      <c r="O2003" s="19"/>
      <c r="P2003" s="10"/>
      <c r="Q2003" s="10"/>
      <c r="R2003" s="10"/>
      <c r="S2003" s="10"/>
      <c r="T2003" s="10"/>
      <c r="U2003" s="10"/>
      <c r="V2003" s="10"/>
      <c r="W2003" s="10"/>
      <c r="X2003" s="10"/>
      <c r="Y2003" s="10"/>
    </row>
    <row r="2004" spans="1:25" x14ac:dyDescent="0.25">
      <c r="A2004" s="9">
        <v>42542</v>
      </c>
      <c r="B2004" s="10">
        <f ca="1">ROUND(_xlfn.NORM.INV(RAND(),Reference!$C$8,0.1*Reference!$C$8)*(1+Reference!$C$11*(IF(MONTH($A2004)=Reference!$C$4,1,0)+IF(MONTH($A2004)=Reference!$C$5,1,0))+(IF(MONTH($A2004)=Reference!$C$6,Reference!$C$13,0))),0)</f>
        <v>450</v>
      </c>
      <c r="C2004" s="11">
        <f ca="1">B2004*Reference!$C$7*(1-IF(MONTH($A2004)=Reference!$C$6,1,0)*Reference!$C$12)</f>
        <v>167400</v>
      </c>
      <c r="D2004" s="10">
        <f ca="1">ROUND(_xlfn.NORM.INV(RAND(),Reference!$D$8,0.1*Reference!$D$8)*(1+Reference!$D$11*(IF(MONTH($A2004)=Reference!$D$4,1,0)+IF(MONTH($A2004)=Reference!$D$5,1,0))+(IF(MONTH($A2004)=Reference!$D$6,Reference!$D$13,0))),0)</f>
        <v>428</v>
      </c>
      <c r="E2004" s="11">
        <f ca="1">D2004*Reference!$D$7*(1-IF(MONTH($A2004)=Reference!$D$6,1,0)*Reference!$D$12)</f>
        <v>321000</v>
      </c>
      <c r="M2004" s="20"/>
      <c r="N2004" s="20"/>
      <c r="O2004" s="19"/>
      <c r="P2004" s="10"/>
      <c r="Q2004" s="10"/>
      <c r="R2004" s="10"/>
      <c r="S2004" s="10"/>
      <c r="T2004" s="10"/>
      <c r="U2004" s="10"/>
      <c r="V2004" s="10"/>
      <c r="W2004" s="10"/>
      <c r="X2004" s="10"/>
      <c r="Y2004" s="10"/>
    </row>
    <row r="2005" spans="1:25" x14ac:dyDescent="0.25">
      <c r="A2005" s="9">
        <v>42543</v>
      </c>
      <c r="B2005" s="10">
        <f ca="1">ROUND(_xlfn.NORM.INV(RAND(),Reference!$C$8,0.1*Reference!$C$8)*(1+Reference!$C$11*(IF(MONTH($A2005)=Reference!$C$4,1,0)+IF(MONTH($A2005)=Reference!$C$5,1,0))+(IF(MONTH($A2005)=Reference!$C$6,Reference!$C$13,0))),0)</f>
        <v>469</v>
      </c>
      <c r="C2005" s="11">
        <f ca="1">B2005*Reference!$C$7*(1-IF(MONTH($A2005)=Reference!$C$6,1,0)*Reference!$C$12)</f>
        <v>174468</v>
      </c>
      <c r="D2005" s="10">
        <f ca="1">ROUND(_xlfn.NORM.INV(RAND(),Reference!$D$8,0.1*Reference!$D$8)*(1+Reference!$D$11*(IF(MONTH($A2005)=Reference!$D$4,1,0)+IF(MONTH($A2005)=Reference!$D$5,1,0))+(IF(MONTH($A2005)=Reference!$D$6,Reference!$D$13,0))),0)</f>
        <v>470</v>
      </c>
      <c r="E2005" s="11">
        <f ca="1">D2005*Reference!$D$7*(1-IF(MONTH($A2005)=Reference!$D$6,1,0)*Reference!$D$12)</f>
        <v>352500</v>
      </c>
      <c r="M2005" s="20"/>
      <c r="N2005" s="20"/>
      <c r="O2005" s="19"/>
      <c r="P2005" s="10"/>
      <c r="Q2005" s="10"/>
      <c r="R2005" s="10"/>
      <c r="S2005" s="10"/>
      <c r="T2005" s="10"/>
      <c r="U2005" s="10"/>
      <c r="V2005" s="10"/>
      <c r="W2005" s="10"/>
      <c r="X2005" s="10"/>
      <c r="Y2005" s="10"/>
    </row>
    <row r="2006" spans="1:25" x14ac:dyDescent="0.25">
      <c r="A2006" s="9">
        <v>42544</v>
      </c>
      <c r="B2006" s="10">
        <f ca="1">ROUND(_xlfn.NORM.INV(RAND(),Reference!$C$8,0.1*Reference!$C$8)*(1+Reference!$C$11*(IF(MONTH($A2006)=Reference!$C$4,1,0)+IF(MONTH($A2006)=Reference!$C$5,1,0))+(IF(MONTH($A2006)=Reference!$C$6,Reference!$C$13,0))),0)</f>
        <v>448</v>
      </c>
      <c r="C2006" s="11">
        <f ca="1">B2006*Reference!$C$7*(1-IF(MONTH($A2006)=Reference!$C$6,1,0)*Reference!$C$12)</f>
        <v>166656</v>
      </c>
      <c r="D2006" s="10">
        <f ca="1">ROUND(_xlfn.NORM.INV(RAND(),Reference!$D$8,0.1*Reference!$D$8)*(1+Reference!$D$11*(IF(MONTH($A2006)=Reference!$D$4,1,0)+IF(MONTH($A2006)=Reference!$D$5,1,0))+(IF(MONTH($A2006)=Reference!$D$6,Reference!$D$13,0))),0)</f>
        <v>414</v>
      </c>
      <c r="E2006" s="11">
        <f ca="1">D2006*Reference!$D$7*(1-IF(MONTH($A2006)=Reference!$D$6,1,0)*Reference!$D$12)</f>
        <v>310500</v>
      </c>
      <c r="M2006" s="20"/>
      <c r="N2006" s="20"/>
      <c r="O2006" s="19"/>
      <c r="P2006" s="10"/>
      <c r="Q2006" s="10"/>
      <c r="R2006" s="10"/>
      <c r="S2006" s="10"/>
      <c r="T2006" s="10"/>
      <c r="U2006" s="10"/>
      <c r="V2006" s="10"/>
      <c r="W2006" s="10"/>
      <c r="X2006" s="10"/>
      <c r="Y2006" s="10"/>
    </row>
    <row r="2007" spans="1:25" x14ac:dyDescent="0.25">
      <c r="A2007" s="9">
        <v>42545</v>
      </c>
      <c r="B2007" s="10">
        <f ca="1">ROUND(_xlfn.NORM.INV(RAND(),Reference!$C$8,0.1*Reference!$C$8)*(1+Reference!$C$11*(IF(MONTH($A2007)=Reference!$C$4,1,0)+IF(MONTH($A2007)=Reference!$C$5,1,0))+(IF(MONTH($A2007)=Reference!$C$6,Reference!$C$13,0))),0)</f>
        <v>455</v>
      </c>
      <c r="C2007" s="11">
        <f ca="1">B2007*Reference!$C$7*(1-IF(MONTH($A2007)=Reference!$C$6,1,0)*Reference!$C$12)</f>
        <v>169260</v>
      </c>
      <c r="D2007" s="10">
        <f ca="1">ROUND(_xlfn.NORM.INV(RAND(),Reference!$D$8,0.1*Reference!$D$8)*(1+Reference!$D$11*(IF(MONTH($A2007)=Reference!$D$4,1,0)+IF(MONTH($A2007)=Reference!$D$5,1,0))+(IF(MONTH($A2007)=Reference!$D$6,Reference!$D$13,0))),0)</f>
        <v>481</v>
      </c>
      <c r="E2007" s="11">
        <f ca="1">D2007*Reference!$D$7*(1-IF(MONTH($A2007)=Reference!$D$6,1,0)*Reference!$D$12)</f>
        <v>360750</v>
      </c>
      <c r="M2007" s="20"/>
      <c r="N2007" s="20"/>
      <c r="O2007" s="19"/>
      <c r="P2007" s="10"/>
      <c r="Q2007" s="10"/>
      <c r="R2007" s="10"/>
      <c r="S2007" s="10"/>
      <c r="T2007" s="10"/>
      <c r="U2007" s="10"/>
      <c r="V2007" s="10"/>
      <c r="W2007" s="10"/>
      <c r="X2007" s="10"/>
      <c r="Y2007" s="10"/>
    </row>
    <row r="2008" spans="1:25" x14ac:dyDescent="0.25">
      <c r="A2008" s="9">
        <v>42546</v>
      </c>
      <c r="B2008" s="10">
        <f ca="1">ROUND(_xlfn.NORM.INV(RAND(),Reference!$C$8,0.1*Reference!$C$8)*(1+Reference!$C$11*(IF(MONTH($A2008)=Reference!$C$4,1,0)+IF(MONTH($A2008)=Reference!$C$5,1,0))+(IF(MONTH($A2008)=Reference!$C$6,Reference!$C$13,0))),0)</f>
        <v>417</v>
      </c>
      <c r="C2008" s="11">
        <f ca="1">B2008*Reference!$C$7*(1-IF(MONTH($A2008)=Reference!$C$6,1,0)*Reference!$C$12)</f>
        <v>155124</v>
      </c>
      <c r="D2008" s="10">
        <f ca="1">ROUND(_xlfn.NORM.INV(RAND(),Reference!$D$8,0.1*Reference!$D$8)*(1+Reference!$D$11*(IF(MONTH($A2008)=Reference!$D$4,1,0)+IF(MONTH($A2008)=Reference!$D$5,1,0))+(IF(MONTH($A2008)=Reference!$D$6,Reference!$D$13,0))),0)</f>
        <v>409</v>
      </c>
      <c r="E2008" s="11">
        <f ca="1">D2008*Reference!$D$7*(1-IF(MONTH($A2008)=Reference!$D$6,1,0)*Reference!$D$12)</f>
        <v>306750</v>
      </c>
      <c r="M2008" s="20"/>
      <c r="N2008" s="20"/>
      <c r="O2008" s="19"/>
      <c r="P2008" s="10"/>
      <c r="Q2008" s="10"/>
      <c r="R2008" s="10"/>
      <c r="S2008" s="10"/>
      <c r="T2008" s="10"/>
      <c r="U2008" s="10"/>
      <c r="V2008" s="10"/>
      <c r="W2008" s="10"/>
      <c r="X2008" s="10"/>
      <c r="Y2008" s="10"/>
    </row>
    <row r="2009" spans="1:25" x14ac:dyDescent="0.25">
      <c r="A2009" s="9">
        <v>42547</v>
      </c>
      <c r="B2009" s="10">
        <f ca="1">ROUND(_xlfn.NORM.INV(RAND(),Reference!$C$8,0.1*Reference!$C$8)*(1+Reference!$C$11*(IF(MONTH($A2009)=Reference!$C$4,1,0)+IF(MONTH($A2009)=Reference!$C$5,1,0))+(IF(MONTH($A2009)=Reference!$C$6,Reference!$C$13,0))),0)</f>
        <v>447</v>
      </c>
      <c r="C2009" s="11">
        <f ca="1">B2009*Reference!$C$7*(1-IF(MONTH($A2009)=Reference!$C$6,1,0)*Reference!$C$12)</f>
        <v>166284</v>
      </c>
      <c r="D2009" s="10">
        <f ca="1">ROUND(_xlfn.NORM.INV(RAND(),Reference!$D$8,0.1*Reference!$D$8)*(1+Reference!$D$11*(IF(MONTH($A2009)=Reference!$D$4,1,0)+IF(MONTH($A2009)=Reference!$D$5,1,0))+(IF(MONTH($A2009)=Reference!$D$6,Reference!$D$13,0))),0)</f>
        <v>394</v>
      </c>
      <c r="E2009" s="11">
        <f ca="1">D2009*Reference!$D$7*(1-IF(MONTH($A2009)=Reference!$D$6,1,0)*Reference!$D$12)</f>
        <v>295500</v>
      </c>
      <c r="M2009" s="20"/>
      <c r="N2009" s="20"/>
      <c r="O2009" s="19"/>
      <c r="P2009" s="10"/>
      <c r="Q2009" s="10"/>
      <c r="R2009" s="10"/>
      <c r="S2009" s="10"/>
      <c r="T2009" s="10"/>
      <c r="U2009" s="10"/>
      <c r="V2009" s="10"/>
      <c r="W2009" s="10"/>
      <c r="X2009" s="10"/>
      <c r="Y2009" s="10"/>
    </row>
    <row r="2010" spans="1:25" x14ac:dyDescent="0.25">
      <c r="A2010" s="9">
        <v>42548</v>
      </c>
      <c r="B2010" s="10">
        <f ca="1">ROUND(_xlfn.NORM.INV(RAND(),Reference!$C$8,0.1*Reference!$C$8)*(1+Reference!$C$11*(IF(MONTH($A2010)=Reference!$C$4,1,0)+IF(MONTH($A2010)=Reference!$C$5,1,0))+(IF(MONTH($A2010)=Reference!$C$6,Reference!$C$13,0))),0)</f>
        <v>431</v>
      </c>
      <c r="C2010" s="11">
        <f ca="1">B2010*Reference!$C$7*(1-IF(MONTH($A2010)=Reference!$C$6,1,0)*Reference!$C$12)</f>
        <v>160332</v>
      </c>
      <c r="D2010" s="10">
        <f ca="1">ROUND(_xlfn.NORM.INV(RAND(),Reference!$D$8,0.1*Reference!$D$8)*(1+Reference!$D$11*(IF(MONTH($A2010)=Reference!$D$4,1,0)+IF(MONTH($A2010)=Reference!$D$5,1,0))+(IF(MONTH($A2010)=Reference!$D$6,Reference!$D$13,0))),0)</f>
        <v>434</v>
      </c>
      <c r="E2010" s="11">
        <f ca="1">D2010*Reference!$D$7*(1-IF(MONTH($A2010)=Reference!$D$6,1,0)*Reference!$D$12)</f>
        <v>325500</v>
      </c>
      <c r="M2010" s="20"/>
      <c r="N2010" s="20"/>
      <c r="O2010" s="19"/>
      <c r="P2010" s="10"/>
      <c r="Q2010" s="10"/>
      <c r="R2010" s="10"/>
      <c r="S2010" s="10"/>
      <c r="T2010" s="10"/>
      <c r="U2010" s="10"/>
      <c r="V2010" s="10"/>
      <c r="W2010" s="10"/>
      <c r="X2010" s="10"/>
      <c r="Y2010" s="10"/>
    </row>
    <row r="2011" spans="1:25" x14ac:dyDescent="0.25">
      <c r="A2011" s="9">
        <v>42549</v>
      </c>
      <c r="B2011" s="10">
        <f ca="1">ROUND(_xlfn.NORM.INV(RAND(),Reference!$C$8,0.1*Reference!$C$8)*(1+Reference!$C$11*(IF(MONTH($A2011)=Reference!$C$4,1,0)+IF(MONTH($A2011)=Reference!$C$5,1,0))+(IF(MONTH($A2011)=Reference!$C$6,Reference!$C$13,0))),0)</f>
        <v>394</v>
      </c>
      <c r="C2011" s="11">
        <f ca="1">B2011*Reference!$C$7*(1-IF(MONTH($A2011)=Reference!$C$6,1,0)*Reference!$C$12)</f>
        <v>146568</v>
      </c>
      <c r="D2011" s="10">
        <f ca="1">ROUND(_xlfn.NORM.INV(RAND(),Reference!$D$8,0.1*Reference!$D$8)*(1+Reference!$D$11*(IF(MONTH($A2011)=Reference!$D$4,1,0)+IF(MONTH($A2011)=Reference!$D$5,1,0))+(IF(MONTH($A2011)=Reference!$D$6,Reference!$D$13,0))),0)</f>
        <v>464</v>
      </c>
      <c r="E2011" s="11">
        <f ca="1">D2011*Reference!$D$7*(1-IF(MONTH($A2011)=Reference!$D$6,1,0)*Reference!$D$12)</f>
        <v>348000</v>
      </c>
      <c r="M2011" s="20"/>
      <c r="N2011" s="20"/>
      <c r="O2011" s="19"/>
      <c r="P2011" s="10"/>
      <c r="Q2011" s="10"/>
      <c r="R2011" s="10"/>
      <c r="S2011" s="10"/>
      <c r="T2011" s="10"/>
      <c r="U2011" s="10"/>
      <c r="V2011" s="10"/>
      <c r="W2011" s="10"/>
      <c r="X2011" s="10"/>
      <c r="Y2011" s="10"/>
    </row>
    <row r="2012" spans="1:25" x14ac:dyDescent="0.25">
      <c r="A2012" s="9">
        <v>42550</v>
      </c>
      <c r="B2012" s="10">
        <f ca="1">ROUND(_xlfn.NORM.INV(RAND(),Reference!$C$8,0.1*Reference!$C$8)*(1+Reference!$C$11*(IF(MONTH($A2012)=Reference!$C$4,1,0)+IF(MONTH($A2012)=Reference!$C$5,1,0))+(IF(MONTH($A2012)=Reference!$C$6,Reference!$C$13,0))),0)</f>
        <v>402</v>
      </c>
      <c r="C2012" s="11">
        <f ca="1">B2012*Reference!$C$7*(1-IF(MONTH($A2012)=Reference!$C$6,1,0)*Reference!$C$12)</f>
        <v>149544</v>
      </c>
      <c r="D2012" s="10">
        <f ca="1">ROUND(_xlfn.NORM.INV(RAND(),Reference!$D$8,0.1*Reference!$D$8)*(1+Reference!$D$11*(IF(MONTH($A2012)=Reference!$D$4,1,0)+IF(MONTH($A2012)=Reference!$D$5,1,0))+(IF(MONTH($A2012)=Reference!$D$6,Reference!$D$13,0))),0)</f>
        <v>454</v>
      </c>
      <c r="E2012" s="11">
        <f ca="1">D2012*Reference!$D$7*(1-IF(MONTH($A2012)=Reference!$D$6,1,0)*Reference!$D$12)</f>
        <v>340500</v>
      </c>
      <c r="M2012" s="20"/>
      <c r="N2012" s="20"/>
      <c r="O2012" s="19"/>
      <c r="P2012" s="10"/>
      <c r="Q2012" s="10"/>
      <c r="R2012" s="10"/>
      <c r="S2012" s="10"/>
      <c r="T2012" s="10"/>
      <c r="U2012" s="10"/>
      <c r="V2012" s="10"/>
      <c r="W2012" s="10"/>
      <c r="X2012" s="10"/>
      <c r="Y2012" s="10"/>
    </row>
    <row r="2013" spans="1:25" x14ac:dyDescent="0.25">
      <c r="A2013" s="9">
        <v>42551</v>
      </c>
      <c r="B2013" s="10">
        <f ca="1">ROUND(_xlfn.NORM.INV(RAND(),Reference!$C$8,0.1*Reference!$C$8)*(1+Reference!$C$11*(IF(MONTH($A2013)=Reference!$C$4,1,0)+IF(MONTH($A2013)=Reference!$C$5,1,0))+(IF(MONTH($A2013)=Reference!$C$6,Reference!$C$13,0))),0)</f>
        <v>384</v>
      </c>
      <c r="C2013" s="11">
        <f ca="1">B2013*Reference!$C$7*(1-IF(MONTH($A2013)=Reference!$C$6,1,0)*Reference!$C$12)</f>
        <v>142848</v>
      </c>
      <c r="D2013" s="10">
        <f ca="1">ROUND(_xlfn.NORM.INV(RAND(),Reference!$D$8,0.1*Reference!$D$8)*(1+Reference!$D$11*(IF(MONTH($A2013)=Reference!$D$4,1,0)+IF(MONTH($A2013)=Reference!$D$5,1,0))+(IF(MONTH($A2013)=Reference!$D$6,Reference!$D$13,0))),0)</f>
        <v>456</v>
      </c>
      <c r="E2013" s="11">
        <f ca="1">D2013*Reference!$D$7*(1-IF(MONTH($A2013)=Reference!$D$6,1,0)*Reference!$D$12)</f>
        <v>342000</v>
      </c>
      <c r="M2013" s="20"/>
      <c r="N2013" s="20"/>
      <c r="O2013" s="19"/>
      <c r="P2013" s="10"/>
      <c r="Q2013" s="10"/>
      <c r="R2013" s="10"/>
      <c r="S2013" s="10"/>
      <c r="T2013" s="10"/>
      <c r="U2013" s="10"/>
      <c r="V2013" s="10"/>
      <c r="W2013" s="10"/>
      <c r="X2013" s="10"/>
      <c r="Y2013" s="10"/>
    </row>
    <row r="2014" spans="1:25" x14ac:dyDescent="0.25">
      <c r="A2014" s="9">
        <v>42552</v>
      </c>
      <c r="B2014" s="10">
        <f ca="1">ROUND(_xlfn.NORM.INV(RAND(),Reference!$C$8,0.1*Reference!$C$8)*(1+Reference!$C$11*(IF(MONTH($A2014)=Reference!$C$4,1,0)+IF(MONTH($A2014)=Reference!$C$5,1,0))+(IF(MONTH($A2014)=Reference!$C$6,Reference!$C$13,0))),0)</f>
        <v>323</v>
      </c>
      <c r="C2014" s="11">
        <f ca="1">B2014*Reference!$C$7*(1-IF(MONTH($A2014)=Reference!$C$6,1,0)*Reference!$C$12)</f>
        <v>300390</v>
      </c>
      <c r="D2014" s="10">
        <f ca="1">ROUND(_xlfn.NORM.INV(RAND(),Reference!$D$8,0.1*Reference!$D$8)*(1+Reference!$D$11*(IF(MONTH($A2014)=Reference!$D$4,1,0)+IF(MONTH($A2014)=Reference!$D$5,1,0))+(IF(MONTH($A2014)=Reference!$D$6,Reference!$D$13,0))),0)</f>
        <v>474</v>
      </c>
      <c r="E2014" s="11">
        <f ca="1">D2014*Reference!$D$7*(1-IF(MONTH($A2014)=Reference!$D$6,1,0)*Reference!$D$12)</f>
        <v>355500</v>
      </c>
      <c r="M2014" s="20"/>
      <c r="N2014" s="20"/>
      <c r="O2014" s="19"/>
      <c r="P2014" s="10"/>
      <c r="Q2014" s="10"/>
      <c r="R2014" s="10"/>
      <c r="S2014" s="10"/>
      <c r="T2014" s="10"/>
      <c r="U2014" s="10"/>
      <c r="V2014" s="10"/>
      <c r="W2014" s="10"/>
      <c r="X2014" s="10"/>
      <c r="Y2014" s="10"/>
    </row>
    <row r="2015" spans="1:25" x14ac:dyDescent="0.25">
      <c r="A2015" s="9">
        <v>42553</v>
      </c>
      <c r="B2015" s="10">
        <f ca="1">ROUND(_xlfn.NORM.INV(RAND(),Reference!$C$8,0.1*Reference!$C$8)*(1+Reference!$C$11*(IF(MONTH($A2015)=Reference!$C$4,1,0)+IF(MONTH($A2015)=Reference!$C$5,1,0))+(IF(MONTH($A2015)=Reference!$C$6,Reference!$C$13,0))),0)</f>
        <v>402</v>
      </c>
      <c r="C2015" s="11">
        <f ca="1">B2015*Reference!$C$7*(1-IF(MONTH($A2015)=Reference!$C$6,1,0)*Reference!$C$12)</f>
        <v>373860</v>
      </c>
      <c r="D2015" s="10">
        <f ca="1">ROUND(_xlfn.NORM.INV(RAND(),Reference!$D$8,0.1*Reference!$D$8)*(1+Reference!$D$11*(IF(MONTH($A2015)=Reference!$D$4,1,0)+IF(MONTH($A2015)=Reference!$D$5,1,0))+(IF(MONTH($A2015)=Reference!$D$6,Reference!$D$13,0))),0)</f>
        <v>516</v>
      </c>
      <c r="E2015" s="11">
        <f ca="1">D2015*Reference!$D$7*(1-IF(MONTH($A2015)=Reference!$D$6,1,0)*Reference!$D$12)</f>
        <v>387000</v>
      </c>
      <c r="M2015" s="20"/>
      <c r="N2015" s="20"/>
      <c r="O2015" s="19"/>
      <c r="P2015" s="10"/>
      <c r="Q2015" s="10"/>
      <c r="R2015" s="10"/>
      <c r="S2015" s="10"/>
      <c r="T2015" s="10"/>
      <c r="U2015" s="10"/>
      <c r="V2015" s="10"/>
      <c r="W2015" s="10"/>
      <c r="X2015" s="10"/>
      <c r="Y2015" s="10"/>
    </row>
    <row r="2016" spans="1:25" x14ac:dyDescent="0.25">
      <c r="A2016" s="9">
        <v>42554</v>
      </c>
      <c r="B2016" s="10">
        <f ca="1">ROUND(_xlfn.NORM.INV(RAND(),Reference!$C$8,0.1*Reference!$C$8)*(1+Reference!$C$11*(IF(MONTH($A2016)=Reference!$C$4,1,0)+IF(MONTH($A2016)=Reference!$C$5,1,0))+(IF(MONTH($A2016)=Reference!$C$6,Reference!$C$13,0))),0)</f>
        <v>401</v>
      </c>
      <c r="C2016" s="11">
        <f ca="1">B2016*Reference!$C$7*(1-IF(MONTH($A2016)=Reference!$C$6,1,0)*Reference!$C$12)</f>
        <v>372930</v>
      </c>
      <c r="D2016" s="10">
        <f ca="1">ROUND(_xlfn.NORM.INV(RAND(),Reference!$D$8,0.1*Reference!$D$8)*(1+Reference!$D$11*(IF(MONTH($A2016)=Reference!$D$4,1,0)+IF(MONTH($A2016)=Reference!$D$5,1,0))+(IF(MONTH($A2016)=Reference!$D$6,Reference!$D$13,0))),0)</f>
        <v>453</v>
      </c>
      <c r="E2016" s="11">
        <f ca="1">D2016*Reference!$D$7*(1-IF(MONTH($A2016)=Reference!$D$6,1,0)*Reference!$D$12)</f>
        <v>339750</v>
      </c>
      <c r="M2016" s="20"/>
      <c r="N2016" s="20"/>
      <c r="O2016" s="19"/>
      <c r="P2016" s="10"/>
      <c r="Q2016" s="10"/>
      <c r="R2016" s="10"/>
      <c r="S2016" s="10"/>
      <c r="T2016" s="10"/>
      <c r="U2016" s="10"/>
      <c r="V2016" s="10"/>
      <c r="W2016" s="10"/>
      <c r="X2016" s="10"/>
      <c r="Y2016" s="10"/>
    </row>
    <row r="2017" spans="1:25" x14ac:dyDescent="0.25">
      <c r="A2017" s="9">
        <v>42555</v>
      </c>
      <c r="B2017" s="10">
        <f ca="1">ROUND(_xlfn.NORM.INV(RAND(),Reference!$C$8,0.1*Reference!$C$8)*(1+Reference!$C$11*(IF(MONTH($A2017)=Reference!$C$4,1,0)+IF(MONTH($A2017)=Reference!$C$5,1,0))+(IF(MONTH($A2017)=Reference!$C$6,Reference!$C$13,0))),0)</f>
        <v>356</v>
      </c>
      <c r="C2017" s="11">
        <f ca="1">B2017*Reference!$C$7*(1-IF(MONTH($A2017)=Reference!$C$6,1,0)*Reference!$C$12)</f>
        <v>331080</v>
      </c>
      <c r="D2017" s="10">
        <f ca="1">ROUND(_xlfn.NORM.INV(RAND(),Reference!$D$8,0.1*Reference!$D$8)*(1+Reference!$D$11*(IF(MONTH($A2017)=Reference!$D$4,1,0)+IF(MONTH($A2017)=Reference!$D$5,1,0))+(IF(MONTH($A2017)=Reference!$D$6,Reference!$D$13,0))),0)</f>
        <v>468</v>
      </c>
      <c r="E2017" s="11">
        <f ca="1">D2017*Reference!$D$7*(1-IF(MONTH($A2017)=Reference!$D$6,1,0)*Reference!$D$12)</f>
        <v>351000</v>
      </c>
      <c r="M2017" s="20"/>
      <c r="N2017" s="20"/>
      <c r="O2017" s="19"/>
      <c r="P2017" s="10"/>
      <c r="Q2017" s="10"/>
      <c r="R2017" s="10"/>
      <c r="S2017" s="10"/>
      <c r="T2017" s="10"/>
      <c r="U2017" s="10"/>
      <c r="V2017" s="10"/>
      <c r="W2017" s="10"/>
      <c r="X2017" s="10"/>
      <c r="Y2017" s="10"/>
    </row>
    <row r="2018" spans="1:25" x14ac:dyDescent="0.25">
      <c r="A2018" s="9">
        <v>42556</v>
      </c>
      <c r="B2018" s="10">
        <f ca="1">ROUND(_xlfn.NORM.INV(RAND(),Reference!$C$8,0.1*Reference!$C$8)*(1+Reference!$C$11*(IF(MONTH($A2018)=Reference!$C$4,1,0)+IF(MONTH($A2018)=Reference!$C$5,1,0))+(IF(MONTH($A2018)=Reference!$C$6,Reference!$C$13,0))),0)</f>
        <v>395</v>
      </c>
      <c r="C2018" s="11">
        <f ca="1">B2018*Reference!$C$7*(1-IF(MONTH($A2018)=Reference!$C$6,1,0)*Reference!$C$12)</f>
        <v>367350</v>
      </c>
      <c r="D2018" s="10">
        <f ca="1">ROUND(_xlfn.NORM.INV(RAND(),Reference!$D$8,0.1*Reference!$D$8)*(1+Reference!$D$11*(IF(MONTH($A2018)=Reference!$D$4,1,0)+IF(MONTH($A2018)=Reference!$D$5,1,0))+(IF(MONTH($A2018)=Reference!$D$6,Reference!$D$13,0))),0)</f>
        <v>491</v>
      </c>
      <c r="E2018" s="11">
        <f ca="1">D2018*Reference!$D$7*(1-IF(MONTH($A2018)=Reference!$D$6,1,0)*Reference!$D$12)</f>
        <v>368250</v>
      </c>
      <c r="M2018" s="20"/>
      <c r="N2018" s="20"/>
      <c r="O2018" s="19"/>
      <c r="P2018" s="10"/>
      <c r="Q2018" s="10"/>
      <c r="R2018" s="10"/>
      <c r="S2018" s="10"/>
      <c r="T2018" s="10"/>
      <c r="U2018" s="10"/>
      <c r="V2018" s="10"/>
      <c r="W2018" s="10"/>
      <c r="X2018" s="10"/>
      <c r="Y2018" s="10"/>
    </row>
    <row r="2019" spans="1:25" x14ac:dyDescent="0.25">
      <c r="A2019" s="9">
        <v>42557</v>
      </c>
      <c r="B2019" s="10">
        <f ca="1">ROUND(_xlfn.NORM.INV(RAND(),Reference!$C$8,0.1*Reference!$C$8)*(1+Reference!$C$11*(IF(MONTH($A2019)=Reference!$C$4,1,0)+IF(MONTH($A2019)=Reference!$C$5,1,0))+(IF(MONTH($A2019)=Reference!$C$6,Reference!$C$13,0))),0)</f>
        <v>423</v>
      </c>
      <c r="C2019" s="11">
        <f ca="1">B2019*Reference!$C$7*(1-IF(MONTH($A2019)=Reference!$C$6,1,0)*Reference!$C$12)</f>
        <v>393390</v>
      </c>
      <c r="D2019" s="10">
        <f ca="1">ROUND(_xlfn.NORM.INV(RAND(),Reference!$D$8,0.1*Reference!$D$8)*(1+Reference!$D$11*(IF(MONTH($A2019)=Reference!$D$4,1,0)+IF(MONTH($A2019)=Reference!$D$5,1,0))+(IF(MONTH($A2019)=Reference!$D$6,Reference!$D$13,0))),0)</f>
        <v>528</v>
      </c>
      <c r="E2019" s="11">
        <f ca="1">D2019*Reference!$D$7*(1-IF(MONTH($A2019)=Reference!$D$6,1,0)*Reference!$D$12)</f>
        <v>396000</v>
      </c>
      <c r="M2019" s="20"/>
      <c r="N2019" s="20"/>
      <c r="O2019" s="19"/>
      <c r="P2019" s="10"/>
      <c r="Q2019" s="10"/>
      <c r="R2019" s="10"/>
      <c r="S2019" s="10"/>
      <c r="T2019" s="10"/>
      <c r="U2019" s="10"/>
      <c r="V2019" s="10"/>
      <c r="W2019" s="10"/>
      <c r="X2019" s="10"/>
      <c r="Y2019" s="10"/>
    </row>
    <row r="2020" spans="1:25" x14ac:dyDescent="0.25">
      <c r="A2020" s="9">
        <v>42558</v>
      </c>
      <c r="B2020" s="10">
        <f ca="1">ROUND(_xlfn.NORM.INV(RAND(),Reference!$C$8,0.1*Reference!$C$8)*(1+Reference!$C$11*(IF(MONTH($A2020)=Reference!$C$4,1,0)+IF(MONTH($A2020)=Reference!$C$5,1,0))+(IF(MONTH($A2020)=Reference!$C$6,Reference!$C$13,0))),0)</f>
        <v>352</v>
      </c>
      <c r="C2020" s="11">
        <f ca="1">B2020*Reference!$C$7*(1-IF(MONTH($A2020)=Reference!$C$6,1,0)*Reference!$C$12)</f>
        <v>327360</v>
      </c>
      <c r="D2020" s="10">
        <f ca="1">ROUND(_xlfn.NORM.INV(RAND(),Reference!$D$8,0.1*Reference!$D$8)*(1+Reference!$D$11*(IF(MONTH($A2020)=Reference!$D$4,1,0)+IF(MONTH($A2020)=Reference!$D$5,1,0))+(IF(MONTH($A2020)=Reference!$D$6,Reference!$D$13,0))),0)</f>
        <v>532</v>
      </c>
      <c r="E2020" s="11">
        <f ca="1">D2020*Reference!$D$7*(1-IF(MONTH($A2020)=Reference!$D$6,1,0)*Reference!$D$12)</f>
        <v>399000</v>
      </c>
      <c r="M2020" s="20"/>
      <c r="N2020" s="20"/>
      <c r="O2020" s="19"/>
      <c r="P2020" s="10"/>
      <c r="Q2020" s="10"/>
      <c r="R2020" s="10"/>
      <c r="S2020" s="10"/>
      <c r="T2020" s="10"/>
      <c r="U2020" s="10"/>
      <c r="V2020" s="10"/>
      <c r="W2020" s="10"/>
      <c r="X2020" s="10"/>
      <c r="Y2020" s="10"/>
    </row>
    <row r="2021" spans="1:25" x14ac:dyDescent="0.25">
      <c r="A2021" s="9">
        <v>42559</v>
      </c>
      <c r="B2021" s="10">
        <f ca="1">ROUND(_xlfn.NORM.INV(RAND(),Reference!$C$8,0.1*Reference!$C$8)*(1+Reference!$C$11*(IF(MONTH($A2021)=Reference!$C$4,1,0)+IF(MONTH($A2021)=Reference!$C$5,1,0))+(IF(MONTH($A2021)=Reference!$C$6,Reference!$C$13,0))),0)</f>
        <v>371</v>
      </c>
      <c r="C2021" s="11">
        <f ca="1">B2021*Reference!$C$7*(1-IF(MONTH($A2021)=Reference!$C$6,1,0)*Reference!$C$12)</f>
        <v>345030</v>
      </c>
      <c r="D2021" s="10">
        <f ca="1">ROUND(_xlfn.NORM.INV(RAND(),Reference!$D$8,0.1*Reference!$D$8)*(1+Reference!$D$11*(IF(MONTH($A2021)=Reference!$D$4,1,0)+IF(MONTH($A2021)=Reference!$D$5,1,0))+(IF(MONTH($A2021)=Reference!$D$6,Reference!$D$13,0))),0)</f>
        <v>554</v>
      </c>
      <c r="E2021" s="11">
        <f ca="1">D2021*Reference!$D$7*(1-IF(MONTH($A2021)=Reference!$D$6,1,0)*Reference!$D$12)</f>
        <v>415500</v>
      </c>
      <c r="M2021" s="20"/>
      <c r="N2021" s="20"/>
      <c r="O2021" s="19"/>
      <c r="P2021" s="10"/>
      <c r="Q2021" s="10"/>
      <c r="R2021" s="10"/>
      <c r="S2021" s="10"/>
      <c r="T2021" s="10"/>
      <c r="U2021" s="10"/>
      <c r="V2021" s="10"/>
      <c r="W2021" s="10"/>
      <c r="X2021" s="10"/>
      <c r="Y2021" s="10"/>
    </row>
    <row r="2022" spans="1:25" x14ac:dyDescent="0.25">
      <c r="A2022" s="9">
        <v>42560</v>
      </c>
      <c r="B2022" s="10">
        <f ca="1">ROUND(_xlfn.NORM.INV(RAND(),Reference!$C$8,0.1*Reference!$C$8)*(1+Reference!$C$11*(IF(MONTH($A2022)=Reference!$C$4,1,0)+IF(MONTH($A2022)=Reference!$C$5,1,0))+(IF(MONTH($A2022)=Reference!$C$6,Reference!$C$13,0))),0)</f>
        <v>345</v>
      </c>
      <c r="C2022" s="11">
        <f ca="1">B2022*Reference!$C$7*(1-IF(MONTH($A2022)=Reference!$C$6,1,0)*Reference!$C$12)</f>
        <v>320850</v>
      </c>
      <c r="D2022" s="10">
        <f ca="1">ROUND(_xlfn.NORM.INV(RAND(),Reference!$D$8,0.1*Reference!$D$8)*(1+Reference!$D$11*(IF(MONTH($A2022)=Reference!$D$4,1,0)+IF(MONTH($A2022)=Reference!$D$5,1,0))+(IF(MONTH($A2022)=Reference!$D$6,Reference!$D$13,0))),0)</f>
        <v>460</v>
      </c>
      <c r="E2022" s="11">
        <f ca="1">D2022*Reference!$D$7*(1-IF(MONTH($A2022)=Reference!$D$6,1,0)*Reference!$D$12)</f>
        <v>345000</v>
      </c>
      <c r="M2022" s="20"/>
      <c r="N2022" s="20"/>
      <c r="O2022" s="19"/>
      <c r="P2022" s="10"/>
      <c r="Q2022" s="10"/>
      <c r="R2022" s="10"/>
      <c r="S2022" s="10"/>
      <c r="T2022" s="10"/>
      <c r="U2022" s="10"/>
      <c r="V2022" s="10"/>
      <c r="W2022" s="10"/>
      <c r="X2022" s="10"/>
      <c r="Y2022" s="10"/>
    </row>
    <row r="2023" spans="1:25" x14ac:dyDescent="0.25">
      <c r="A2023" s="9">
        <v>42561</v>
      </c>
      <c r="B2023" s="10">
        <f ca="1">ROUND(_xlfn.NORM.INV(RAND(),Reference!$C$8,0.1*Reference!$C$8)*(1+Reference!$C$11*(IF(MONTH($A2023)=Reference!$C$4,1,0)+IF(MONTH($A2023)=Reference!$C$5,1,0))+(IF(MONTH($A2023)=Reference!$C$6,Reference!$C$13,0))),0)</f>
        <v>334</v>
      </c>
      <c r="C2023" s="11">
        <f ca="1">B2023*Reference!$C$7*(1-IF(MONTH($A2023)=Reference!$C$6,1,0)*Reference!$C$12)</f>
        <v>310620</v>
      </c>
      <c r="D2023" s="10">
        <f ca="1">ROUND(_xlfn.NORM.INV(RAND(),Reference!$D$8,0.1*Reference!$D$8)*(1+Reference!$D$11*(IF(MONTH($A2023)=Reference!$D$4,1,0)+IF(MONTH($A2023)=Reference!$D$5,1,0))+(IF(MONTH($A2023)=Reference!$D$6,Reference!$D$13,0))),0)</f>
        <v>414</v>
      </c>
      <c r="E2023" s="11">
        <f ca="1">D2023*Reference!$D$7*(1-IF(MONTH($A2023)=Reference!$D$6,1,0)*Reference!$D$12)</f>
        <v>310500</v>
      </c>
      <c r="M2023" s="20"/>
      <c r="N2023" s="20"/>
      <c r="O2023" s="19"/>
      <c r="P2023" s="10"/>
      <c r="Q2023" s="10"/>
      <c r="R2023" s="10"/>
      <c r="S2023" s="10"/>
      <c r="T2023" s="10"/>
      <c r="U2023" s="10"/>
      <c r="V2023" s="10"/>
      <c r="W2023" s="10"/>
      <c r="X2023" s="10"/>
      <c r="Y2023" s="10"/>
    </row>
    <row r="2024" spans="1:25" x14ac:dyDescent="0.25">
      <c r="A2024" s="9">
        <v>42562</v>
      </c>
      <c r="B2024" s="10">
        <f ca="1">ROUND(_xlfn.NORM.INV(RAND(),Reference!$C$8,0.1*Reference!$C$8)*(1+Reference!$C$11*(IF(MONTH($A2024)=Reference!$C$4,1,0)+IF(MONTH($A2024)=Reference!$C$5,1,0))+(IF(MONTH($A2024)=Reference!$C$6,Reference!$C$13,0))),0)</f>
        <v>353</v>
      </c>
      <c r="C2024" s="11">
        <f ca="1">B2024*Reference!$C$7*(1-IF(MONTH($A2024)=Reference!$C$6,1,0)*Reference!$C$12)</f>
        <v>328290</v>
      </c>
      <c r="D2024" s="10">
        <f ca="1">ROUND(_xlfn.NORM.INV(RAND(),Reference!$D$8,0.1*Reference!$D$8)*(1+Reference!$D$11*(IF(MONTH($A2024)=Reference!$D$4,1,0)+IF(MONTH($A2024)=Reference!$D$5,1,0))+(IF(MONTH($A2024)=Reference!$D$6,Reference!$D$13,0))),0)</f>
        <v>567</v>
      </c>
      <c r="E2024" s="11">
        <f ca="1">D2024*Reference!$D$7*(1-IF(MONTH($A2024)=Reference!$D$6,1,0)*Reference!$D$12)</f>
        <v>425250</v>
      </c>
      <c r="M2024" s="20"/>
      <c r="N2024" s="20"/>
      <c r="O2024" s="19"/>
      <c r="P2024" s="10"/>
      <c r="Q2024" s="10"/>
      <c r="R2024" s="10"/>
      <c r="S2024" s="10"/>
      <c r="T2024" s="10"/>
      <c r="U2024" s="10"/>
      <c r="V2024" s="10"/>
      <c r="W2024" s="10"/>
      <c r="X2024" s="10"/>
      <c r="Y2024" s="10"/>
    </row>
    <row r="2025" spans="1:25" x14ac:dyDescent="0.25">
      <c r="A2025" s="9">
        <v>42563</v>
      </c>
      <c r="B2025" s="10">
        <f ca="1">ROUND(_xlfn.NORM.INV(RAND(),Reference!$C$8,0.1*Reference!$C$8)*(1+Reference!$C$11*(IF(MONTH($A2025)=Reference!$C$4,1,0)+IF(MONTH($A2025)=Reference!$C$5,1,0))+(IF(MONTH($A2025)=Reference!$C$6,Reference!$C$13,0))),0)</f>
        <v>385</v>
      </c>
      <c r="C2025" s="11">
        <f ca="1">B2025*Reference!$C$7*(1-IF(MONTH($A2025)=Reference!$C$6,1,0)*Reference!$C$12)</f>
        <v>358050</v>
      </c>
      <c r="D2025" s="10">
        <f ca="1">ROUND(_xlfn.NORM.INV(RAND(),Reference!$D$8,0.1*Reference!$D$8)*(1+Reference!$D$11*(IF(MONTH($A2025)=Reference!$D$4,1,0)+IF(MONTH($A2025)=Reference!$D$5,1,0))+(IF(MONTH($A2025)=Reference!$D$6,Reference!$D$13,0))),0)</f>
        <v>509</v>
      </c>
      <c r="E2025" s="11">
        <f ca="1">D2025*Reference!$D$7*(1-IF(MONTH($A2025)=Reference!$D$6,1,0)*Reference!$D$12)</f>
        <v>381750</v>
      </c>
      <c r="M2025" s="20"/>
      <c r="N2025" s="20"/>
      <c r="O2025" s="19"/>
      <c r="P2025" s="10"/>
      <c r="Q2025" s="10"/>
      <c r="R2025" s="10"/>
      <c r="S2025" s="10"/>
      <c r="T2025" s="10"/>
      <c r="U2025" s="10"/>
      <c r="V2025" s="10"/>
      <c r="W2025" s="10"/>
      <c r="X2025" s="10"/>
      <c r="Y2025" s="10"/>
    </row>
    <row r="2026" spans="1:25" x14ac:dyDescent="0.25">
      <c r="A2026" s="9">
        <v>42564</v>
      </c>
      <c r="B2026" s="10">
        <f ca="1">ROUND(_xlfn.NORM.INV(RAND(),Reference!$C$8,0.1*Reference!$C$8)*(1+Reference!$C$11*(IF(MONTH($A2026)=Reference!$C$4,1,0)+IF(MONTH($A2026)=Reference!$C$5,1,0))+(IF(MONTH($A2026)=Reference!$C$6,Reference!$C$13,0))),0)</f>
        <v>319</v>
      </c>
      <c r="C2026" s="11">
        <f ca="1">B2026*Reference!$C$7*(1-IF(MONTH($A2026)=Reference!$C$6,1,0)*Reference!$C$12)</f>
        <v>296670</v>
      </c>
      <c r="D2026" s="10">
        <f ca="1">ROUND(_xlfn.NORM.INV(RAND(),Reference!$D$8,0.1*Reference!$D$8)*(1+Reference!$D$11*(IF(MONTH($A2026)=Reference!$D$4,1,0)+IF(MONTH($A2026)=Reference!$D$5,1,0))+(IF(MONTH($A2026)=Reference!$D$6,Reference!$D$13,0))),0)</f>
        <v>567</v>
      </c>
      <c r="E2026" s="11">
        <f ca="1">D2026*Reference!$D$7*(1-IF(MONTH($A2026)=Reference!$D$6,1,0)*Reference!$D$12)</f>
        <v>425250</v>
      </c>
      <c r="M2026" s="20"/>
      <c r="N2026" s="20"/>
      <c r="O2026" s="19"/>
      <c r="P2026" s="10"/>
      <c r="Q2026" s="10"/>
      <c r="R2026" s="10"/>
      <c r="S2026" s="10"/>
      <c r="T2026" s="10"/>
      <c r="U2026" s="10"/>
      <c r="V2026" s="10"/>
      <c r="W2026" s="10"/>
      <c r="X2026" s="10"/>
      <c r="Y2026" s="10"/>
    </row>
    <row r="2027" spans="1:25" x14ac:dyDescent="0.25">
      <c r="A2027" s="9">
        <v>42565</v>
      </c>
      <c r="B2027" s="10">
        <f ca="1">ROUND(_xlfn.NORM.INV(RAND(),Reference!$C$8,0.1*Reference!$C$8)*(1+Reference!$C$11*(IF(MONTH($A2027)=Reference!$C$4,1,0)+IF(MONTH($A2027)=Reference!$C$5,1,0))+(IF(MONTH($A2027)=Reference!$C$6,Reference!$C$13,0))),0)</f>
        <v>312</v>
      </c>
      <c r="C2027" s="11">
        <f ca="1">B2027*Reference!$C$7*(1-IF(MONTH($A2027)=Reference!$C$6,1,0)*Reference!$C$12)</f>
        <v>290160</v>
      </c>
      <c r="D2027" s="10">
        <f ca="1">ROUND(_xlfn.NORM.INV(RAND(),Reference!$D$8,0.1*Reference!$D$8)*(1+Reference!$D$11*(IF(MONTH($A2027)=Reference!$D$4,1,0)+IF(MONTH($A2027)=Reference!$D$5,1,0))+(IF(MONTH($A2027)=Reference!$D$6,Reference!$D$13,0))),0)</f>
        <v>479</v>
      </c>
      <c r="E2027" s="11">
        <f ca="1">D2027*Reference!$D$7*(1-IF(MONTH($A2027)=Reference!$D$6,1,0)*Reference!$D$12)</f>
        <v>359250</v>
      </c>
      <c r="M2027" s="20"/>
      <c r="N2027" s="20"/>
      <c r="O2027" s="19"/>
      <c r="P2027" s="10"/>
      <c r="Q2027" s="10"/>
      <c r="R2027" s="10"/>
      <c r="S2027" s="10"/>
      <c r="T2027" s="10"/>
      <c r="U2027" s="10"/>
      <c r="V2027" s="10"/>
      <c r="W2027" s="10"/>
      <c r="X2027" s="10"/>
      <c r="Y2027" s="10"/>
    </row>
    <row r="2028" spans="1:25" x14ac:dyDescent="0.25">
      <c r="A2028" s="9">
        <v>42566</v>
      </c>
      <c r="B2028" s="10">
        <f ca="1">ROUND(_xlfn.NORM.INV(RAND(),Reference!$C$8,0.1*Reference!$C$8)*(1+Reference!$C$11*(IF(MONTH($A2028)=Reference!$C$4,1,0)+IF(MONTH($A2028)=Reference!$C$5,1,0))+(IF(MONTH($A2028)=Reference!$C$6,Reference!$C$13,0))),0)</f>
        <v>314</v>
      </c>
      <c r="C2028" s="11">
        <f ca="1">B2028*Reference!$C$7*(1-IF(MONTH($A2028)=Reference!$C$6,1,0)*Reference!$C$12)</f>
        <v>292020</v>
      </c>
      <c r="D2028" s="10">
        <f ca="1">ROUND(_xlfn.NORM.INV(RAND(),Reference!$D$8,0.1*Reference!$D$8)*(1+Reference!$D$11*(IF(MONTH($A2028)=Reference!$D$4,1,0)+IF(MONTH($A2028)=Reference!$D$5,1,0))+(IF(MONTH($A2028)=Reference!$D$6,Reference!$D$13,0))),0)</f>
        <v>539</v>
      </c>
      <c r="E2028" s="11">
        <f ca="1">D2028*Reference!$D$7*(1-IF(MONTH($A2028)=Reference!$D$6,1,0)*Reference!$D$12)</f>
        <v>404250</v>
      </c>
      <c r="M2028" s="20"/>
      <c r="N2028" s="20"/>
      <c r="O2028" s="19"/>
      <c r="P2028" s="10"/>
      <c r="Q2028" s="10"/>
      <c r="R2028" s="10"/>
      <c r="S2028" s="10"/>
      <c r="T2028" s="10"/>
      <c r="U2028" s="10"/>
      <c r="V2028" s="10"/>
      <c r="W2028" s="10"/>
      <c r="X2028" s="10"/>
      <c r="Y2028" s="10"/>
    </row>
    <row r="2029" spans="1:25" x14ac:dyDescent="0.25">
      <c r="A2029" s="9">
        <v>42567</v>
      </c>
      <c r="B2029" s="10">
        <f ca="1">ROUND(_xlfn.NORM.INV(RAND(),Reference!$C$8,0.1*Reference!$C$8)*(1+Reference!$C$11*(IF(MONTH($A2029)=Reference!$C$4,1,0)+IF(MONTH($A2029)=Reference!$C$5,1,0))+(IF(MONTH($A2029)=Reference!$C$6,Reference!$C$13,0))),0)</f>
        <v>350</v>
      </c>
      <c r="C2029" s="11">
        <f ca="1">B2029*Reference!$C$7*(1-IF(MONTH($A2029)=Reference!$C$6,1,0)*Reference!$C$12)</f>
        <v>325500</v>
      </c>
      <c r="D2029" s="10">
        <f ca="1">ROUND(_xlfn.NORM.INV(RAND(),Reference!$D$8,0.1*Reference!$D$8)*(1+Reference!$D$11*(IF(MONTH($A2029)=Reference!$D$4,1,0)+IF(MONTH($A2029)=Reference!$D$5,1,0))+(IF(MONTH($A2029)=Reference!$D$6,Reference!$D$13,0))),0)</f>
        <v>505</v>
      </c>
      <c r="E2029" s="11">
        <f ca="1">D2029*Reference!$D$7*(1-IF(MONTH($A2029)=Reference!$D$6,1,0)*Reference!$D$12)</f>
        <v>378750</v>
      </c>
      <c r="M2029" s="20"/>
      <c r="N2029" s="20"/>
      <c r="O2029" s="19"/>
      <c r="P2029" s="10"/>
      <c r="Q2029" s="10"/>
      <c r="R2029" s="10"/>
      <c r="S2029" s="10"/>
      <c r="T2029" s="10"/>
      <c r="U2029" s="10"/>
      <c r="V2029" s="10"/>
      <c r="W2029" s="10"/>
      <c r="X2029" s="10"/>
      <c r="Y2029" s="10"/>
    </row>
    <row r="2030" spans="1:25" x14ac:dyDescent="0.25">
      <c r="A2030" s="9">
        <v>42568</v>
      </c>
      <c r="B2030" s="10">
        <f ca="1">ROUND(_xlfn.NORM.INV(RAND(),Reference!$C$8,0.1*Reference!$C$8)*(1+Reference!$C$11*(IF(MONTH($A2030)=Reference!$C$4,1,0)+IF(MONTH($A2030)=Reference!$C$5,1,0))+(IF(MONTH($A2030)=Reference!$C$6,Reference!$C$13,0))),0)</f>
        <v>404</v>
      </c>
      <c r="C2030" s="11">
        <f ca="1">B2030*Reference!$C$7*(1-IF(MONTH($A2030)=Reference!$C$6,1,0)*Reference!$C$12)</f>
        <v>375720</v>
      </c>
      <c r="D2030" s="10">
        <f ca="1">ROUND(_xlfn.NORM.INV(RAND(),Reference!$D$8,0.1*Reference!$D$8)*(1+Reference!$D$11*(IF(MONTH($A2030)=Reference!$D$4,1,0)+IF(MONTH($A2030)=Reference!$D$5,1,0))+(IF(MONTH($A2030)=Reference!$D$6,Reference!$D$13,0))),0)</f>
        <v>558</v>
      </c>
      <c r="E2030" s="11">
        <f ca="1">D2030*Reference!$D$7*(1-IF(MONTH($A2030)=Reference!$D$6,1,0)*Reference!$D$12)</f>
        <v>418500</v>
      </c>
      <c r="M2030" s="20"/>
      <c r="N2030" s="20"/>
      <c r="O2030" s="19"/>
      <c r="P2030" s="10"/>
      <c r="Q2030" s="10"/>
      <c r="R2030" s="10"/>
      <c r="S2030" s="10"/>
      <c r="T2030" s="10"/>
      <c r="U2030" s="10"/>
      <c r="V2030" s="10"/>
      <c r="W2030" s="10"/>
      <c r="X2030" s="10"/>
      <c r="Y2030" s="10"/>
    </row>
    <row r="2031" spans="1:25" x14ac:dyDescent="0.25">
      <c r="A2031" s="9">
        <v>42569</v>
      </c>
      <c r="B2031" s="10">
        <f ca="1">ROUND(_xlfn.NORM.INV(RAND(),Reference!$C$8,0.1*Reference!$C$8)*(1+Reference!$C$11*(IF(MONTH($A2031)=Reference!$C$4,1,0)+IF(MONTH($A2031)=Reference!$C$5,1,0))+(IF(MONTH($A2031)=Reference!$C$6,Reference!$C$13,0))),0)</f>
        <v>431</v>
      </c>
      <c r="C2031" s="11">
        <f ca="1">B2031*Reference!$C$7*(1-IF(MONTH($A2031)=Reference!$C$6,1,0)*Reference!$C$12)</f>
        <v>400830</v>
      </c>
      <c r="D2031" s="10">
        <f ca="1">ROUND(_xlfn.NORM.INV(RAND(),Reference!$D$8,0.1*Reference!$D$8)*(1+Reference!$D$11*(IF(MONTH($A2031)=Reference!$D$4,1,0)+IF(MONTH($A2031)=Reference!$D$5,1,0))+(IF(MONTH($A2031)=Reference!$D$6,Reference!$D$13,0))),0)</f>
        <v>485</v>
      </c>
      <c r="E2031" s="11">
        <f ca="1">D2031*Reference!$D$7*(1-IF(MONTH($A2031)=Reference!$D$6,1,0)*Reference!$D$12)</f>
        <v>363750</v>
      </c>
      <c r="M2031" s="20"/>
      <c r="N2031" s="20"/>
      <c r="O2031" s="19"/>
      <c r="P2031" s="10"/>
      <c r="Q2031" s="10"/>
      <c r="R2031" s="10"/>
      <c r="S2031" s="10"/>
      <c r="T2031" s="10"/>
      <c r="U2031" s="10"/>
      <c r="V2031" s="10"/>
      <c r="W2031" s="10"/>
      <c r="X2031" s="10"/>
      <c r="Y2031" s="10"/>
    </row>
    <row r="2032" spans="1:25" x14ac:dyDescent="0.25">
      <c r="A2032" s="9">
        <v>42570</v>
      </c>
      <c r="B2032" s="10">
        <f ca="1">ROUND(_xlfn.NORM.INV(RAND(),Reference!$C$8,0.1*Reference!$C$8)*(1+Reference!$C$11*(IF(MONTH($A2032)=Reference!$C$4,1,0)+IF(MONTH($A2032)=Reference!$C$5,1,0))+(IF(MONTH($A2032)=Reference!$C$6,Reference!$C$13,0))),0)</f>
        <v>341</v>
      </c>
      <c r="C2032" s="11">
        <f ca="1">B2032*Reference!$C$7*(1-IF(MONTH($A2032)=Reference!$C$6,1,0)*Reference!$C$12)</f>
        <v>317130</v>
      </c>
      <c r="D2032" s="10">
        <f ca="1">ROUND(_xlfn.NORM.INV(RAND(),Reference!$D$8,0.1*Reference!$D$8)*(1+Reference!$D$11*(IF(MONTH($A2032)=Reference!$D$4,1,0)+IF(MONTH($A2032)=Reference!$D$5,1,0))+(IF(MONTH($A2032)=Reference!$D$6,Reference!$D$13,0))),0)</f>
        <v>520</v>
      </c>
      <c r="E2032" s="11">
        <f ca="1">D2032*Reference!$D$7*(1-IF(MONTH($A2032)=Reference!$D$6,1,0)*Reference!$D$12)</f>
        <v>390000</v>
      </c>
      <c r="M2032" s="20"/>
      <c r="N2032" s="20"/>
      <c r="O2032" s="19"/>
      <c r="P2032" s="10"/>
      <c r="Q2032" s="10"/>
      <c r="R2032" s="10"/>
      <c r="S2032" s="10"/>
      <c r="T2032" s="10"/>
      <c r="U2032" s="10"/>
      <c r="V2032" s="10"/>
      <c r="W2032" s="10"/>
      <c r="X2032" s="10"/>
      <c r="Y2032" s="10"/>
    </row>
    <row r="2033" spans="1:25" x14ac:dyDescent="0.25">
      <c r="A2033" s="9">
        <v>42571</v>
      </c>
      <c r="B2033" s="10">
        <f ca="1">ROUND(_xlfn.NORM.INV(RAND(),Reference!$C$8,0.1*Reference!$C$8)*(1+Reference!$C$11*(IF(MONTH($A2033)=Reference!$C$4,1,0)+IF(MONTH($A2033)=Reference!$C$5,1,0))+(IF(MONTH($A2033)=Reference!$C$6,Reference!$C$13,0))),0)</f>
        <v>297</v>
      </c>
      <c r="C2033" s="11">
        <f ca="1">B2033*Reference!$C$7*(1-IF(MONTH($A2033)=Reference!$C$6,1,0)*Reference!$C$12)</f>
        <v>276210</v>
      </c>
      <c r="D2033" s="10">
        <f ca="1">ROUND(_xlfn.NORM.INV(RAND(),Reference!$D$8,0.1*Reference!$D$8)*(1+Reference!$D$11*(IF(MONTH($A2033)=Reference!$D$4,1,0)+IF(MONTH($A2033)=Reference!$D$5,1,0))+(IF(MONTH($A2033)=Reference!$D$6,Reference!$D$13,0))),0)</f>
        <v>473</v>
      </c>
      <c r="E2033" s="11">
        <f ca="1">D2033*Reference!$D$7*(1-IF(MONTH($A2033)=Reference!$D$6,1,0)*Reference!$D$12)</f>
        <v>354750</v>
      </c>
      <c r="M2033" s="20"/>
      <c r="N2033" s="20"/>
      <c r="O2033" s="19"/>
      <c r="P2033" s="10"/>
      <c r="Q2033" s="10"/>
      <c r="R2033" s="10"/>
      <c r="S2033" s="10"/>
      <c r="T2033" s="10"/>
      <c r="U2033" s="10"/>
      <c r="V2033" s="10"/>
      <c r="W2033" s="10"/>
      <c r="X2033" s="10"/>
      <c r="Y2033" s="10"/>
    </row>
    <row r="2034" spans="1:25" x14ac:dyDescent="0.25">
      <c r="A2034" s="9">
        <v>42572</v>
      </c>
      <c r="B2034" s="10">
        <f ca="1">ROUND(_xlfn.NORM.INV(RAND(),Reference!$C$8,0.1*Reference!$C$8)*(1+Reference!$C$11*(IF(MONTH($A2034)=Reference!$C$4,1,0)+IF(MONTH($A2034)=Reference!$C$5,1,0))+(IF(MONTH($A2034)=Reference!$C$6,Reference!$C$13,0))),0)</f>
        <v>389</v>
      </c>
      <c r="C2034" s="11">
        <f ca="1">B2034*Reference!$C$7*(1-IF(MONTH($A2034)=Reference!$C$6,1,0)*Reference!$C$12)</f>
        <v>361770</v>
      </c>
      <c r="D2034" s="10">
        <f ca="1">ROUND(_xlfn.NORM.INV(RAND(),Reference!$D$8,0.1*Reference!$D$8)*(1+Reference!$D$11*(IF(MONTH($A2034)=Reference!$D$4,1,0)+IF(MONTH($A2034)=Reference!$D$5,1,0))+(IF(MONTH($A2034)=Reference!$D$6,Reference!$D$13,0))),0)</f>
        <v>448</v>
      </c>
      <c r="E2034" s="11">
        <f ca="1">D2034*Reference!$D$7*(1-IF(MONTH($A2034)=Reference!$D$6,1,0)*Reference!$D$12)</f>
        <v>336000</v>
      </c>
      <c r="M2034" s="20"/>
      <c r="N2034" s="20"/>
      <c r="O2034" s="19"/>
      <c r="P2034" s="10"/>
      <c r="Q2034" s="10"/>
      <c r="R2034" s="10"/>
      <c r="S2034" s="10"/>
      <c r="T2034" s="10"/>
      <c r="U2034" s="10"/>
      <c r="V2034" s="10"/>
      <c r="W2034" s="10"/>
      <c r="X2034" s="10"/>
      <c r="Y2034" s="10"/>
    </row>
    <row r="2035" spans="1:25" x14ac:dyDescent="0.25">
      <c r="A2035" s="9">
        <v>42573</v>
      </c>
      <c r="B2035" s="10">
        <f ca="1">ROUND(_xlfn.NORM.INV(RAND(),Reference!$C$8,0.1*Reference!$C$8)*(1+Reference!$C$11*(IF(MONTH($A2035)=Reference!$C$4,1,0)+IF(MONTH($A2035)=Reference!$C$5,1,0))+(IF(MONTH($A2035)=Reference!$C$6,Reference!$C$13,0))),0)</f>
        <v>293</v>
      </c>
      <c r="C2035" s="11">
        <f ca="1">B2035*Reference!$C$7*(1-IF(MONTH($A2035)=Reference!$C$6,1,0)*Reference!$C$12)</f>
        <v>272490</v>
      </c>
      <c r="D2035" s="10">
        <f ca="1">ROUND(_xlfn.NORM.INV(RAND(),Reference!$D$8,0.1*Reference!$D$8)*(1+Reference!$D$11*(IF(MONTH($A2035)=Reference!$D$4,1,0)+IF(MONTH($A2035)=Reference!$D$5,1,0))+(IF(MONTH($A2035)=Reference!$D$6,Reference!$D$13,0))),0)</f>
        <v>562</v>
      </c>
      <c r="E2035" s="11">
        <f ca="1">D2035*Reference!$D$7*(1-IF(MONTH($A2035)=Reference!$D$6,1,0)*Reference!$D$12)</f>
        <v>421500</v>
      </c>
      <c r="M2035" s="20"/>
      <c r="N2035" s="20"/>
      <c r="O2035" s="19"/>
      <c r="P2035" s="10"/>
      <c r="Q2035" s="10"/>
      <c r="R2035" s="10"/>
      <c r="S2035" s="10"/>
      <c r="T2035" s="10"/>
      <c r="U2035" s="10"/>
      <c r="V2035" s="10"/>
      <c r="W2035" s="10"/>
      <c r="X2035" s="10"/>
      <c r="Y2035" s="10"/>
    </row>
    <row r="2036" spans="1:25" x14ac:dyDescent="0.25">
      <c r="A2036" s="9">
        <v>42574</v>
      </c>
      <c r="B2036" s="10">
        <f ca="1">ROUND(_xlfn.NORM.INV(RAND(),Reference!$C$8,0.1*Reference!$C$8)*(1+Reference!$C$11*(IF(MONTH($A2036)=Reference!$C$4,1,0)+IF(MONTH($A2036)=Reference!$C$5,1,0))+(IF(MONTH($A2036)=Reference!$C$6,Reference!$C$13,0))),0)</f>
        <v>352</v>
      </c>
      <c r="C2036" s="11">
        <f ca="1">B2036*Reference!$C$7*(1-IF(MONTH($A2036)=Reference!$C$6,1,0)*Reference!$C$12)</f>
        <v>327360</v>
      </c>
      <c r="D2036" s="10">
        <f ca="1">ROUND(_xlfn.NORM.INV(RAND(),Reference!$D$8,0.1*Reference!$D$8)*(1+Reference!$D$11*(IF(MONTH($A2036)=Reference!$D$4,1,0)+IF(MONTH($A2036)=Reference!$D$5,1,0))+(IF(MONTH($A2036)=Reference!$D$6,Reference!$D$13,0))),0)</f>
        <v>507</v>
      </c>
      <c r="E2036" s="11">
        <f ca="1">D2036*Reference!$D$7*(1-IF(MONTH($A2036)=Reference!$D$6,1,0)*Reference!$D$12)</f>
        <v>380250</v>
      </c>
      <c r="M2036" s="20"/>
      <c r="N2036" s="20"/>
      <c r="O2036" s="19"/>
      <c r="P2036" s="10"/>
      <c r="Q2036" s="10"/>
      <c r="R2036" s="10"/>
      <c r="S2036" s="10"/>
      <c r="T2036" s="10"/>
      <c r="U2036" s="10"/>
      <c r="V2036" s="10"/>
      <c r="W2036" s="10"/>
      <c r="X2036" s="10"/>
      <c r="Y2036" s="10"/>
    </row>
    <row r="2037" spans="1:25" x14ac:dyDescent="0.25">
      <c r="A2037" s="9">
        <v>42575</v>
      </c>
      <c r="B2037" s="10">
        <f ca="1">ROUND(_xlfn.NORM.INV(RAND(),Reference!$C$8,0.1*Reference!$C$8)*(1+Reference!$C$11*(IF(MONTH($A2037)=Reference!$C$4,1,0)+IF(MONTH($A2037)=Reference!$C$5,1,0))+(IF(MONTH($A2037)=Reference!$C$6,Reference!$C$13,0))),0)</f>
        <v>331</v>
      </c>
      <c r="C2037" s="11">
        <f ca="1">B2037*Reference!$C$7*(1-IF(MONTH($A2037)=Reference!$C$6,1,0)*Reference!$C$12)</f>
        <v>307830</v>
      </c>
      <c r="D2037" s="10">
        <f ca="1">ROUND(_xlfn.NORM.INV(RAND(),Reference!$D$8,0.1*Reference!$D$8)*(1+Reference!$D$11*(IF(MONTH($A2037)=Reference!$D$4,1,0)+IF(MONTH($A2037)=Reference!$D$5,1,0))+(IF(MONTH($A2037)=Reference!$D$6,Reference!$D$13,0))),0)</f>
        <v>602</v>
      </c>
      <c r="E2037" s="11">
        <f ca="1">D2037*Reference!$D$7*(1-IF(MONTH($A2037)=Reference!$D$6,1,0)*Reference!$D$12)</f>
        <v>451500</v>
      </c>
      <c r="M2037" s="20"/>
      <c r="N2037" s="20"/>
      <c r="O2037" s="19"/>
      <c r="P2037" s="10"/>
      <c r="Q2037" s="10"/>
      <c r="R2037" s="10"/>
      <c r="S2037" s="10"/>
      <c r="T2037" s="10"/>
      <c r="U2037" s="10"/>
      <c r="V2037" s="10"/>
      <c r="W2037" s="10"/>
      <c r="X2037" s="10"/>
      <c r="Y2037" s="10"/>
    </row>
    <row r="2038" spans="1:25" x14ac:dyDescent="0.25">
      <c r="A2038" s="9">
        <v>42576</v>
      </c>
      <c r="B2038" s="10">
        <f ca="1">ROUND(_xlfn.NORM.INV(RAND(),Reference!$C$8,0.1*Reference!$C$8)*(1+Reference!$C$11*(IF(MONTH($A2038)=Reference!$C$4,1,0)+IF(MONTH($A2038)=Reference!$C$5,1,0))+(IF(MONTH($A2038)=Reference!$C$6,Reference!$C$13,0))),0)</f>
        <v>364</v>
      </c>
      <c r="C2038" s="11">
        <f ca="1">B2038*Reference!$C$7*(1-IF(MONTH($A2038)=Reference!$C$6,1,0)*Reference!$C$12)</f>
        <v>338520</v>
      </c>
      <c r="D2038" s="10">
        <f ca="1">ROUND(_xlfn.NORM.INV(RAND(),Reference!$D$8,0.1*Reference!$D$8)*(1+Reference!$D$11*(IF(MONTH($A2038)=Reference!$D$4,1,0)+IF(MONTH($A2038)=Reference!$D$5,1,0))+(IF(MONTH($A2038)=Reference!$D$6,Reference!$D$13,0))),0)</f>
        <v>472</v>
      </c>
      <c r="E2038" s="11">
        <f ca="1">D2038*Reference!$D$7*(1-IF(MONTH($A2038)=Reference!$D$6,1,0)*Reference!$D$12)</f>
        <v>354000</v>
      </c>
      <c r="M2038" s="20"/>
      <c r="N2038" s="20"/>
      <c r="O2038" s="19"/>
      <c r="P2038" s="10"/>
      <c r="Q2038" s="10"/>
      <c r="R2038" s="10"/>
      <c r="S2038" s="10"/>
      <c r="T2038" s="10"/>
      <c r="U2038" s="10"/>
      <c r="V2038" s="10"/>
      <c r="W2038" s="10"/>
      <c r="X2038" s="10"/>
      <c r="Y2038" s="10"/>
    </row>
    <row r="2039" spans="1:25" x14ac:dyDescent="0.25">
      <c r="A2039" s="9">
        <v>42577</v>
      </c>
      <c r="B2039" s="10">
        <f ca="1">ROUND(_xlfn.NORM.INV(RAND(),Reference!$C$8,0.1*Reference!$C$8)*(1+Reference!$C$11*(IF(MONTH($A2039)=Reference!$C$4,1,0)+IF(MONTH($A2039)=Reference!$C$5,1,0))+(IF(MONTH($A2039)=Reference!$C$6,Reference!$C$13,0))),0)</f>
        <v>327</v>
      </c>
      <c r="C2039" s="11">
        <f ca="1">B2039*Reference!$C$7*(1-IF(MONTH($A2039)=Reference!$C$6,1,0)*Reference!$C$12)</f>
        <v>304110</v>
      </c>
      <c r="D2039" s="10">
        <f ca="1">ROUND(_xlfn.NORM.INV(RAND(),Reference!$D$8,0.1*Reference!$D$8)*(1+Reference!$D$11*(IF(MONTH($A2039)=Reference!$D$4,1,0)+IF(MONTH($A2039)=Reference!$D$5,1,0))+(IF(MONTH($A2039)=Reference!$D$6,Reference!$D$13,0))),0)</f>
        <v>480</v>
      </c>
      <c r="E2039" s="11">
        <f ca="1">D2039*Reference!$D$7*(1-IF(MONTH($A2039)=Reference!$D$6,1,0)*Reference!$D$12)</f>
        <v>360000</v>
      </c>
      <c r="M2039" s="20"/>
      <c r="N2039" s="20"/>
      <c r="O2039" s="19"/>
      <c r="P2039" s="10"/>
      <c r="Q2039" s="10"/>
      <c r="R2039" s="10"/>
      <c r="S2039" s="10"/>
      <c r="T2039" s="10"/>
      <c r="U2039" s="10"/>
      <c r="V2039" s="10"/>
      <c r="W2039" s="10"/>
      <c r="X2039" s="10"/>
      <c r="Y2039" s="10"/>
    </row>
    <row r="2040" spans="1:25" x14ac:dyDescent="0.25">
      <c r="A2040" s="9">
        <v>42578</v>
      </c>
      <c r="B2040" s="10">
        <f ca="1">ROUND(_xlfn.NORM.INV(RAND(),Reference!$C$8,0.1*Reference!$C$8)*(1+Reference!$C$11*(IF(MONTH($A2040)=Reference!$C$4,1,0)+IF(MONTH($A2040)=Reference!$C$5,1,0))+(IF(MONTH($A2040)=Reference!$C$6,Reference!$C$13,0))),0)</f>
        <v>371</v>
      </c>
      <c r="C2040" s="11">
        <f ca="1">B2040*Reference!$C$7*(1-IF(MONTH($A2040)=Reference!$C$6,1,0)*Reference!$C$12)</f>
        <v>345030</v>
      </c>
      <c r="D2040" s="10">
        <f ca="1">ROUND(_xlfn.NORM.INV(RAND(),Reference!$D$8,0.1*Reference!$D$8)*(1+Reference!$D$11*(IF(MONTH($A2040)=Reference!$D$4,1,0)+IF(MONTH($A2040)=Reference!$D$5,1,0))+(IF(MONTH($A2040)=Reference!$D$6,Reference!$D$13,0))),0)</f>
        <v>426</v>
      </c>
      <c r="E2040" s="11">
        <f ca="1">D2040*Reference!$D$7*(1-IF(MONTH($A2040)=Reference!$D$6,1,0)*Reference!$D$12)</f>
        <v>319500</v>
      </c>
      <c r="M2040" s="20"/>
      <c r="N2040" s="20"/>
      <c r="O2040" s="19"/>
      <c r="P2040" s="10"/>
      <c r="Q2040" s="10"/>
      <c r="R2040" s="10"/>
      <c r="S2040" s="10"/>
      <c r="T2040" s="10"/>
      <c r="U2040" s="10"/>
      <c r="V2040" s="10"/>
      <c r="W2040" s="10"/>
      <c r="X2040" s="10"/>
      <c r="Y2040" s="10"/>
    </row>
    <row r="2041" spans="1:25" x14ac:dyDescent="0.25">
      <c r="A2041" s="9">
        <v>42579</v>
      </c>
      <c r="B2041" s="10">
        <f ca="1">ROUND(_xlfn.NORM.INV(RAND(),Reference!$C$8,0.1*Reference!$C$8)*(1+Reference!$C$11*(IF(MONTH($A2041)=Reference!$C$4,1,0)+IF(MONTH($A2041)=Reference!$C$5,1,0))+(IF(MONTH($A2041)=Reference!$C$6,Reference!$C$13,0))),0)</f>
        <v>331</v>
      </c>
      <c r="C2041" s="11">
        <f ca="1">B2041*Reference!$C$7*(1-IF(MONTH($A2041)=Reference!$C$6,1,0)*Reference!$C$12)</f>
        <v>307830</v>
      </c>
      <c r="D2041" s="10">
        <f ca="1">ROUND(_xlfn.NORM.INV(RAND(),Reference!$D$8,0.1*Reference!$D$8)*(1+Reference!$D$11*(IF(MONTH($A2041)=Reference!$D$4,1,0)+IF(MONTH($A2041)=Reference!$D$5,1,0))+(IF(MONTH($A2041)=Reference!$D$6,Reference!$D$13,0))),0)</f>
        <v>494</v>
      </c>
      <c r="E2041" s="11">
        <f ca="1">D2041*Reference!$D$7*(1-IF(MONTH($A2041)=Reference!$D$6,1,0)*Reference!$D$12)</f>
        <v>370500</v>
      </c>
      <c r="M2041" s="20"/>
      <c r="N2041" s="20"/>
      <c r="O2041" s="19"/>
      <c r="P2041" s="10"/>
      <c r="Q2041" s="10"/>
      <c r="R2041" s="10"/>
      <c r="S2041" s="10"/>
      <c r="T2041" s="10"/>
      <c r="U2041" s="10"/>
      <c r="V2041" s="10"/>
      <c r="W2041" s="10"/>
      <c r="X2041" s="10"/>
      <c r="Y2041" s="10"/>
    </row>
    <row r="2042" spans="1:25" x14ac:dyDescent="0.25">
      <c r="A2042" s="9">
        <v>42580</v>
      </c>
      <c r="B2042" s="10">
        <f ca="1">ROUND(_xlfn.NORM.INV(RAND(),Reference!$C$8,0.1*Reference!$C$8)*(1+Reference!$C$11*(IF(MONTH($A2042)=Reference!$C$4,1,0)+IF(MONTH($A2042)=Reference!$C$5,1,0))+(IF(MONTH($A2042)=Reference!$C$6,Reference!$C$13,0))),0)</f>
        <v>422</v>
      </c>
      <c r="C2042" s="11">
        <f ca="1">B2042*Reference!$C$7*(1-IF(MONTH($A2042)=Reference!$C$6,1,0)*Reference!$C$12)</f>
        <v>392460</v>
      </c>
      <c r="D2042" s="10">
        <f ca="1">ROUND(_xlfn.NORM.INV(RAND(),Reference!$D$8,0.1*Reference!$D$8)*(1+Reference!$D$11*(IF(MONTH($A2042)=Reference!$D$4,1,0)+IF(MONTH($A2042)=Reference!$D$5,1,0))+(IF(MONTH($A2042)=Reference!$D$6,Reference!$D$13,0))),0)</f>
        <v>455</v>
      </c>
      <c r="E2042" s="11">
        <f ca="1">D2042*Reference!$D$7*(1-IF(MONTH($A2042)=Reference!$D$6,1,0)*Reference!$D$12)</f>
        <v>341250</v>
      </c>
      <c r="M2042" s="20"/>
      <c r="N2042" s="20"/>
      <c r="O2042" s="19"/>
      <c r="P2042" s="10"/>
      <c r="Q2042" s="10"/>
      <c r="R2042" s="10"/>
      <c r="S2042" s="10"/>
      <c r="T2042" s="10"/>
      <c r="U2042" s="10"/>
      <c r="V2042" s="10"/>
      <c r="W2042" s="10"/>
      <c r="X2042" s="10"/>
      <c r="Y2042" s="10"/>
    </row>
    <row r="2043" spans="1:25" x14ac:dyDescent="0.25">
      <c r="A2043" s="9">
        <v>42581</v>
      </c>
      <c r="B2043" s="10">
        <f ca="1">ROUND(_xlfn.NORM.INV(RAND(),Reference!$C$8,0.1*Reference!$C$8)*(1+Reference!$C$11*(IF(MONTH($A2043)=Reference!$C$4,1,0)+IF(MONTH($A2043)=Reference!$C$5,1,0))+(IF(MONTH($A2043)=Reference!$C$6,Reference!$C$13,0))),0)</f>
        <v>370</v>
      </c>
      <c r="C2043" s="11">
        <f ca="1">B2043*Reference!$C$7*(1-IF(MONTH($A2043)=Reference!$C$6,1,0)*Reference!$C$12)</f>
        <v>344100</v>
      </c>
      <c r="D2043" s="10">
        <f ca="1">ROUND(_xlfn.NORM.INV(RAND(),Reference!$D$8,0.1*Reference!$D$8)*(1+Reference!$D$11*(IF(MONTH($A2043)=Reference!$D$4,1,0)+IF(MONTH($A2043)=Reference!$D$5,1,0))+(IF(MONTH($A2043)=Reference!$D$6,Reference!$D$13,0))),0)</f>
        <v>499</v>
      </c>
      <c r="E2043" s="11">
        <f ca="1">D2043*Reference!$D$7*(1-IF(MONTH($A2043)=Reference!$D$6,1,0)*Reference!$D$12)</f>
        <v>374250</v>
      </c>
      <c r="M2043" s="20"/>
      <c r="N2043" s="20"/>
      <c r="O2043" s="19"/>
      <c r="P2043" s="10"/>
      <c r="Q2043" s="10"/>
      <c r="R2043" s="10"/>
      <c r="S2043" s="10"/>
      <c r="T2043" s="10"/>
      <c r="U2043" s="10"/>
      <c r="V2043" s="10"/>
      <c r="W2043" s="10"/>
      <c r="X2043" s="10"/>
      <c r="Y2043" s="10"/>
    </row>
    <row r="2044" spans="1:25" x14ac:dyDescent="0.25">
      <c r="A2044" s="9">
        <v>42582</v>
      </c>
      <c r="B2044" s="10">
        <f ca="1">ROUND(_xlfn.NORM.INV(RAND(),Reference!$C$8,0.1*Reference!$C$8)*(1+Reference!$C$11*(IF(MONTH($A2044)=Reference!$C$4,1,0)+IF(MONTH($A2044)=Reference!$C$5,1,0))+(IF(MONTH($A2044)=Reference!$C$6,Reference!$C$13,0))),0)</f>
        <v>460</v>
      </c>
      <c r="C2044" s="11">
        <f ca="1">B2044*Reference!$C$7*(1-IF(MONTH($A2044)=Reference!$C$6,1,0)*Reference!$C$12)</f>
        <v>427800</v>
      </c>
      <c r="D2044" s="10">
        <f ca="1">ROUND(_xlfn.NORM.INV(RAND(),Reference!$D$8,0.1*Reference!$D$8)*(1+Reference!$D$11*(IF(MONTH($A2044)=Reference!$D$4,1,0)+IF(MONTH($A2044)=Reference!$D$5,1,0))+(IF(MONTH($A2044)=Reference!$D$6,Reference!$D$13,0))),0)</f>
        <v>460</v>
      </c>
      <c r="E2044" s="11">
        <f ca="1">D2044*Reference!$D$7*(1-IF(MONTH($A2044)=Reference!$D$6,1,0)*Reference!$D$12)</f>
        <v>345000</v>
      </c>
      <c r="M2044" s="20"/>
      <c r="N2044" s="20"/>
      <c r="O2044" s="19"/>
      <c r="P2044" s="10"/>
      <c r="Q2044" s="10"/>
      <c r="R2044" s="10"/>
      <c r="S2044" s="10"/>
      <c r="T2044" s="10"/>
      <c r="U2044" s="10"/>
      <c r="V2044" s="10"/>
      <c r="W2044" s="10"/>
      <c r="X2044" s="10"/>
      <c r="Y2044" s="10"/>
    </row>
    <row r="2045" spans="1:25" x14ac:dyDescent="0.25">
      <c r="A2045" s="9">
        <v>42583</v>
      </c>
      <c r="B2045" s="10">
        <f ca="1">ROUND(_xlfn.NORM.INV(RAND(),Reference!$C$8,0.1*Reference!$C$8)*(1+Reference!$C$11*(IF(MONTH($A2045)=Reference!$C$4,1,0)+IF(MONTH($A2045)=Reference!$C$5,1,0))+(IF(MONTH($A2045)=Reference!$C$6,Reference!$C$13,0))),0)</f>
        <v>349</v>
      </c>
      <c r="C2045" s="11">
        <f ca="1">B2045*Reference!$C$7*(1-IF(MONTH($A2045)=Reference!$C$6,1,0)*Reference!$C$12)</f>
        <v>324570</v>
      </c>
      <c r="D2045" s="10">
        <f ca="1">ROUND(_xlfn.NORM.INV(RAND(),Reference!$D$8,0.1*Reference!$D$8)*(1+Reference!$D$11*(IF(MONTH($A2045)=Reference!$D$4,1,0)+IF(MONTH($A2045)=Reference!$D$5,1,0))+(IF(MONTH($A2045)=Reference!$D$6,Reference!$D$13,0))),0)</f>
        <v>536</v>
      </c>
      <c r="E2045" s="11">
        <f ca="1">D2045*Reference!$D$7*(1-IF(MONTH($A2045)=Reference!$D$6,1,0)*Reference!$D$12)</f>
        <v>402000</v>
      </c>
      <c r="M2045" s="20"/>
      <c r="N2045" s="20"/>
      <c r="O2045" s="19"/>
      <c r="P2045" s="10"/>
      <c r="Q2045" s="10"/>
      <c r="R2045" s="10"/>
      <c r="S2045" s="10"/>
      <c r="T2045" s="10"/>
      <c r="U2045" s="10"/>
      <c r="V2045" s="10"/>
      <c r="W2045" s="10"/>
      <c r="X2045" s="10"/>
      <c r="Y2045" s="10"/>
    </row>
    <row r="2046" spans="1:25" x14ac:dyDescent="0.25">
      <c r="A2046" s="9">
        <v>42584</v>
      </c>
      <c r="B2046" s="10">
        <f ca="1">ROUND(_xlfn.NORM.INV(RAND(),Reference!$C$8,0.1*Reference!$C$8)*(1+Reference!$C$11*(IF(MONTH($A2046)=Reference!$C$4,1,0)+IF(MONTH($A2046)=Reference!$C$5,1,0))+(IF(MONTH($A2046)=Reference!$C$6,Reference!$C$13,0))),0)</f>
        <v>327</v>
      </c>
      <c r="C2046" s="11">
        <f ca="1">B2046*Reference!$C$7*(1-IF(MONTH($A2046)=Reference!$C$6,1,0)*Reference!$C$12)</f>
        <v>304110</v>
      </c>
      <c r="D2046" s="10">
        <f ca="1">ROUND(_xlfn.NORM.INV(RAND(),Reference!$D$8,0.1*Reference!$D$8)*(1+Reference!$D$11*(IF(MONTH($A2046)=Reference!$D$4,1,0)+IF(MONTH($A2046)=Reference!$D$5,1,0))+(IF(MONTH($A2046)=Reference!$D$6,Reference!$D$13,0))),0)</f>
        <v>359</v>
      </c>
      <c r="E2046" s="11">
        <f ca="1">D2046*Reference!$D$7*(1-IF(MONTH($A2046)=Reference!$D$6,1,0)*Reference!$D$12)</f>
        <v>269250</v>
      </c>
      <c r="M2046" s="20"/>
      <c r="N2046" s="20"/>
      <c r="O2046" s="19"/>
      <c r="P2046" s="10"/>
      <c r="Q2046" s="10"/>
      <c r="R2046" s="10"/>
      <c r="S2046" s="10"/>
      <c r="T2046" s="10"/>
      <c r="U2046" s="10"/>
      <c r="V2046" s="10"/>
      <c r="W2046" s="10"/>
      <c r="X2046" s="10"/>
      <c r="Y2046" s="10"/>
    </row>
    <row r="2047" spans="1:25" x14ac:dyDescent="0.25">
      <c r="A2047" s="9">
        <v>42585</v>
      </c>
      <c r="B2047" s="10">
        <f ca="1">ROUND(_xlfn.NORM.INV(RAND(),Reference!$C$8,0.1*Reference!$C$8)*(1+Reference!$C$11*(IF(MONTH($A2047)=Reference!$C$4,1,0)+IF(MONTH($A2047)=Reference!$C$5,1,0))+(IF(MONTH($A2047)=Reference!$C$6,Reference!$C$13,0))),0)</f>
        <v>389</v>
      </c>
      <c r="C2047" s="11">
        <f ca="1">B2047*Reference!$C$7*(1-IF(MONTH($A2047)=Reference!$C$6,1,0)*Reference!$C$12)</f>
        <v>361770</v>
      </c>
      <c r="D2047" s="10">
        <f ca="1">ROUND(_xlfn.NORM.INV(RAND(),Reference!$D$8,0.1*Reference!$D$8)*(1+Reference!$D$11*(IF(MONTH($A2047)=Reference!$D$4,1,0)+IF(MONTH($A2047)=Reference!$D$5,1,0))+(IF(MONTH($A2047)=Reference!$D$6,Reference!$D$13,0))),0)</f>
        <v>425</v>
      </c>
      <c r="E2047" s="11">
        <f ca="1">D2047*Reference!$D$7*(1-IF(MONTH($A2047)=Reference!$D$6,1,0)*Reference!$D$12)</f>
        <v>318750</v>
      </c>
      <c r="M2047" s="20"/>
      <c r="N2047" s="20"/>
      <c r="O2047" s="19"/>
      <c r="P2047" s="10"/>
      <c r="Q2047" s="10"/>
      <c r="R2047" s="10"/>
      <c r="S2047" s="10"/>
      <c r="T2047" s="10"/>
      <c r="U2047" s="10"/>
      <c r="V2047" s="10"/>
      <c r="W2047" s="10"/>
      <c r="X2047" s="10"/>
      <c r="Y2047" s="10"/>
    </row>
    <row r="2048" spans="1:25" x14ac:dyDescent="0.25">
      <c r="A2048" s="9">
        <v>42586</v>
      </c>
      <c r="B2048" s="10">
        <f ca="1">ROUND(_xlfn.NORM.INV(RAND(),Reference!$C$8,0.1*Reference!$C$8)*(1+Reference!$C$11*(IF(MONTH($A2048)=Reference!$C$4,1,0)+IF(MONTH($A2048)=Reference!$C$5,1,0))+(IF(MONTH($A2048)=Reference!$C$6,Reference!$C$13,0))),0)</f>
        <v>326</v>
      </c>
      <c r="C2048" s="11">
        <f ca="1">B2048*Reference!$C$7*(1-IF(MONTH($A2048)=Reference!$C$6,1,0)*Reference!$C$12)</f>
        <v>303180</v>
      </c>
      <c r="D2048" s="10">
        <f ca="1">ROUND(_xlfn.NORM.INV(RAND(),Reference!$D$8,0.1*Reference!$D$8)*(1+Reference!$D$11*(IF(MONTH($A2048)=Reference!$D$4,1,0)+IF(MONTH($A2048)=Reference!$D$5,1,0))+(IF(MONTH($A2048)=Reference!$D$6,Reference!$D$13,0))),0)</f>
        <v>488</v>
      </c>
      <c r="E2048" s="11">
        <f ca="1">D2048*Reference!$D$7*(1-IF(MONTH($A2048)=Reference!$D$6,1,0)*Reference!$D$12)</f>
        <v>366000</v>
      </c>
      <c r="M2048" s="20"/>
      <c r="N2048" s="20"/>
      <c r="O2048" s="19"/>
      <c r="P2048" s="10"/>
      <c r="Q2048" s="10"/>
      <c r="R2048" s="10"/>
      <c r="S2048" s="10"/>
      <c r="T2048" s="10"/>
      <c r="U2048" s="10"/>
      <c r="V2048" s="10"/>
      <c r="W2048" s="10"/>
      <c r="X2048" s="10"/>
      <c r="Y2048" s="10"/>
    </row>
    <row r="2049" spans="1:25" x14ac:dyDescent="0.25">
      <c r="A2049" s="9">
        <v>42587</v>
      </c>
      <c r="B2049" s="10">
        <f ca="1">ROUND(_xlfn.NORM.INV(RAND(),Reference!$C$8,0.1*Reference!$C$8)*(1+Reference!$C$11*(IF(MONTH($A2049)=Reference!$C$4,1,0)+IF(MONTH($A2049)=Reference!$C$5,1,0))+(IF(MONTH($A2049)=Reference!$C$6,Reference!$C$13,0))),0)</f>
        <v>383</v>
      </c>
      <c r="C2049" s="11">
        <f ca="1">B2049*Reference!$C$7*(1-IF(MONTH($A2049)=Reference!$C$6,1,0)*Reference!$C$12)</f>
        <v>356190</v>
      </c>
      <c r="D2049" s="10">
        <f ca="1">ROUND(_xlfn.NORM.INV(RAND(),Reference!$D$8,0.1*Reference!$D$8)*(1+Reference!$D$11*(IF(MONTH($A2049)=Reference!$D$4,1,0)+IF(MONTH($A2049)=Reference!$D$5,1,0))+(IF(MONTH($A2049)=Reference!$D$6,Reference!$D$13,0))),0)</f>
        <v>442</v>
      </c>
      <c r="E2049" s="11">
        <f ca="1">D2049*Reference!$D$7*(1-IF(MONTH($A2049)=Reference!$D$6,1,0)*Reference!$D$12)</f>
        <v>331500</v>
      </c>
      <c r="M2049" s="20"/>
      <c r="N2049" s="20"/>
      <c r="O2049" s="19"/>
      <c r="P2049" s="10"/>
      <c r="Q2049" s="10"/>
      <c r="R2049" s="10"/>
      <c r="S2049" s="10"/>
      <c r="T2049" s="10"/>
      <c r="U2049" s="10"/>
      <c r="V2049" s="10"/>
      <c r="W2049" s="10"/>
      <c r="X2049" s="10"/>
      <c r="Y2049" s="10"/>
    </row>
    <row r="2050" spans="1:25" x14ac:dyDescent="0.25">
      <c r="A2050" s="9">
        <v>42588</v>
      </c>
      <c r="B2050" s="10">
        <f ca="1">ROUND(_xlfn.NORM.INV(RAND(),Reference!$C$8,0.1*Reference!$C$8)*(1+Reference!$C$11*(IF(MONTH($A2050)=Reference!$C$4,1,0)+IF(MONTH($A2050)=Reference!$C$5,1,0))+(IF(MONTH($A2050)=Reference!$C$6,Reference!$C$13,0))),0)</f>
        <v>354</v>
      </c>
      <c r="C2050" s="11">
        <f ca="1">B2050*Reference!$C$7*(1-IF(MONTH($A2050)=Reference!$C$6,1,0)*Reference!$C$12)</f>
        <v>329220</v>
      </c>
      <c r="D2050" s="10">
        <f ca="1">ROUND(_xlfn.NORM.INV(RAND(),Reference!$D$8,0.1*Reference!$D$8)*(1+Reference!$D$11*(IF(MONTH($A2050)=Reference!$D$4,1,0)+IF(MONTH($A2050)=Reference!$D$5,1,0))+(IF(MONTH($A2050)=Reference!$D$6,Reference!$D$13,0))),0)</f>
        <v>522</v>
      </c>
      <c r="E2050" s="11">
        <f ca="1">D2050*Reference!$D$7*(1-IF(MONTH($A2050)=Reference!$D$6,1,0)*Reference!$D$12)</f>
        <v>391500</v>
      </c>
      <c r="M2050" s="20"/>
      <c r="N2050" s="20"/>
      <c r="O2050" s="19"/>
      <c r="P2050" s="10"/>
      <c r="Q2050" s="10"/>
      <c r="R2050" s="10"/>
      <c r="S2050" s="10"/>
      <c r="T2050" s="10"/>
      <c r="U2050" s="10"/>
      <c r="V2050" s="10"/>
      <c r="W2050" s="10"/>
      <c r="X2050" s="10"/>
      <c r="Y2050" s="10"/>
    </row>
    <row r="2051" spans="1:25" x14ac:dyDescent="0.25">
      <c r="A2051" s="9">
        <v>42589</v>
      </c>
      <c r="B2051" s="10">
        <f ca="1">ROUND(_xlfn.NORM.INV(RAND(),Reference!$C$8,0.1*Reference!$C$8)*(1+Reference!$C$11*(IF(MONTH($A2051)=Reference!$C$4,1,0)+IF(MONTH($A2051)=Reference!$C$5,1,0))+(IF(MONTH($A2051)=Reference!$C$6,Reference!$C$13,0))),0)</f>
        <v>365</v>
      </c>
      <c r="C2051" s="11">
        <f ca="1">B2051*Reference!$C$7*(1-IF(MONTH($A2051)=Reference!$C$6,1,0)*Reference!$C$12)</f>
        <v>339450</v>
      </c>
      <c r="D2051" s="10">
        <f ca="1">ROUND(_xlfn.NORM.INV(RAND(),Reference!$D$8,0.1*Reference!$D$8)*(1+Reference!$D$11*(IF(MONTH($A2051)=Reference!$D$4,1,0)+IF(MONTH($A2051)=Reference!$D$5,1,0))+(IF(MONTH($A2051)=Reference!$D$6,Reference!$D$13,0))),0)</f>
        <v>401</v>
      </c>
      <c r="E2051" s="11">
        <f ca="1">D2051*Reference!$D$7*(1-IF(MONTH($A2051)=Reference!$D$6,1,0)*Reference!$D$12)</f>
        <v>300750</v>
      </c>
      <c r="M2051" s="20"/>
      <c r="N2051" s="20"/>
      <c r="O2051" s="19"/>
      <c r="P2051" s="10"/>
      <c r="Q2051" s="10"/>
      <c r="R2051" s="10"/>
      <c r="S2051" s="10"/>
      <c r="T2051" s="10"/>
      <c r="U2051" s="10"/>
      <c r="V2051" s="10"/>
      <c r="W2051" s="10"/>
      <c r="X2051" s="10"/>
      <c r="Y2051" s="10"/>
    </row>
    <row r="2052" spans="1:25" x14ac:dyDescent="0.25">
      <c r="A2052" s="9">
        <v>42590</v>
      </c>
      <c r="B2052" s="10">
        <f ca="1">ROUND(_xlfn.NORM.INV(RAND(),Reference!$C$8,0.1*Reference!$C$8)*(1+Reference!$C$11*(IF(MONTH($A2052)=Reference!$C$4,1,0)+IF(MONTH($A2052)=Reference!$C$5,1,0))+(IF(MONTH($A2052)=Reference!$C$6,Reference!$C$13,0))),0)</f>
        <v>372</v>
      </c>
      <c r="C2052" s="11">
        <f ca="1">B2052*Reference!$C$7*(1-IF(MONTH($A2052)=Reference!$C$6,1,0)*Reference!$C$12)</f>
        <v>345960</v>
      </c>
      <c r="D2052" s="10">
        <f ca="1">ROUND(_xlfn.NORM.INV(RAND(),Reference!$D$8,0.1*Reference!$D$8)*(1+Reference!$D$11*(IF(MONTH($A2052)=Reference!$D$4,1,0)+IF(MONTH($A2052)=Reference!$D$5,1,0))+(IF(MONTH($A2052)=Reference!$D$6,Reference!$D$13,0))),0)</f>
        <v>466</v>
      </c>
      <c r="E2052" s="11">
        <f ca="1">D2052*Reference!$D$7*(1-IF(MONTH($A2052)=Reference!$D$6,1,0)*Reference!$D$12)</f>
        <v>349500</v>
      </c>
      <c r="M2052" s="20"/>
      <c r="N2052" s="20"/>
      <c r="O2052" s="19"/>
      <c r="P2052" s="10"/>
      <c r="Q2052" s="10"/>
      <c r="R2052" s="10"/>
      <c r="S2052" s="10"/>
      <c r="T2052" s="10"/>
      <c r="U2052" s="10"/>
      <c r="V2052" s="10"/>
      <c r="W2052" s="10"/>
      <c r="X2052" s="10"/>
      <c r="Y2052" s="10"/>
    </row>
    <row r="2053" spans="1:25" x14ac:dyDescent="0.25">
      <c r="A2053" s="9">
        <v>42591</v>
      </c>
      <c r="B2053" s="10">
        <f ca="1">ROUND(_xlfn.NORM.INV(RAND(),Reference!$C$8,0.1*Reference!$C$8)*(1+Reference!$C$11*(IF(MONTH($A2053)=Reference!$C$4,1,0)+IF(MONTH($A2053)=Reference!$C$5,1,0))+(IF(MONTH($A2053)=Reference!$C$6,Reference!$C$13,0))),0)</f>
        <v>365</v>
      </c>
      <c r="C2053" s="11">
        <f ca="1">B2053*Reference!$C$7*(1-IF(MONTH($A2053)=Reference!$C$6,1,0)*Reference!$C$12)</f>
        <v>339450</v>
      </c>
      <c r="D2053" s="10">
        <f ca="1">ROUND(_xlfn.NORM.INV(RAND(),Reference!$D$8,0.1*Reference!$D$8)*(1+Reference!$D$11*(IF(MONTH($A2053)=Reference!$D$4,1,0)+IF(MONTH($A2053)=Reference!$D$5,1,0))+(IF(MONTH($A2053)=Reference!$D$6,Reference!$D$13,0))),0)</f>
        <v>444</v>
      </c>
      <c r="E2053" s="11">
        <f ca="1">D2053*Reference!$D$7*(1-IF(MONTH($A2053)=Reference!$D$6,1,0)*Reference!$D$12)</f>
        <v>333000</v>
      </c>
      <c r="M2053" s="20"/>
      <c r="N2053" s="20"/>
      <c r="O2053" s="19"/>
      <c r="P2053" s="10"/>
      <c r="Q2053" s="10"/>
      <c r="R2053" s="10"/>
      <c r="S2053" s="10"/>
      <c r="T2053" s="10"/>
      <c r="U2053" s="10"/>
      <c r="V2053" s="10"/>
      <c r="W2053" s="10"/>
      <c r="X2053" s="10"/>
      <c r="Y2053" s="10"/>
    </row>
    <row r="2054" spans="1:25" x14ac:dyDescent="0.25">
      <c r="A2054" s="9">
        <v>42592</v>
      </c>
      <c r="B2054" s="10">
        <f ca="1">ROUND(_xlfn.NORM.INV(RAND(),Reference!$C$8,0.1*Reference!$C$8)*(1+Reference!$C$11*(IF(MONTH($A2054)=Reference!$C$4,1,0)+IF(MONTH($A2054)=Reference!$C$5,1,0))+(IF(MONTH($A2054)=Reference!$C$6,Reference!$C$13,0))),0)</f>
        <v>409</v>
      </c>
      <c r="C2054" s="11">
        <f ca="1">B2054*Reference!$C$7*(1-IF(MONTH($A2054)=Reference!$C$6,1,0)*Reference!$C$12)</f>
        <v>380370</v>
      </c>
      <c r="D2054" s="10">
        <f ca="1">ROUND(_xlfn.NORM.INV(RAND(),Reference!$D$8,0.1*Reference!$D$8)*(1+Reference!$D$11*(IF(MONTH($A2054)=Reference!$D$4,1,0)+IF(MONTH($A2054)=Reference!$D$5,1,0))+(IF(MONTH($A2054)=Reference!$D$6,Reference!$D$13,0))),0)</f>
        <v>417</v>
      </c>
      <c r="E2054" s="11">
        <f ca="1">D2054*Reference!$D$7*(1-IF(MONTH($A2054)=Reference!$D$6,1,0)*Reference!$D$12)</f>
        <v>312750</v>
      </c>
      <c r="M2054" s="20"/>
      <c r="N2054" s="20"/>
      <c r="O2054" s="19"/>
      <c r="P2054" s="10"/>
      <c r="Q2054" s="10"/>
      <c r="R2054" s="10"/>
      <c r="S2054" s="10"/>
      <c r="T2054" s="10"/>
      <c r="U2054" s="10"/>
      <c r="V2054" s="10"/>
      <c r="W2054" s="10"/>
      <c r="X2054" s="10"/>
      <c r="Y2054" s="10"/>
    </row>
    <row r="2055" spans="1:25" x14ac:dyDescent="0.25">
      <c r="A2055" s="9">
        <v>42593</v>
      </c>
      <c r="B2055" s="10">
        <f ca="1">ROUND(_xlfn.NORM.INV(RAND(),Reference!$C$8,0.1*Reference!$C$8)*(1+Reference!$C$11*(IF(MONTH($A2055)=Reference!$C$4,1,0)+IF(MONTH($A2055)=Reference!$C$5,1,0))+(IF(MONTH($A2055)=Reference!$C$6,Reference!$C$13,0))),0)</f>
        <v>343</v>
      </c>
      <c r="C2055" s="11">
        <f ca="1">B2055*Reference!$C$7*(1-IF(MONTH($A2055)=Reference!$C$6,1,0)*Reference!$C$12)</f>
        <v>318990</v>
      </c>
      <c r="D2055" s="10">
        <f ca="1">ROUND(_xlfn.NORM.INV(RAND(),Reference!$D$8,0.1*Reference!$D$8)*(1+Reference!$D$11*(IF(MONTH($A2055)=Reference!$D$4,1,0)+IF(MONTH($A2055)=Reference!$D$5,1,0))+(IF(MONTH($A2055)=Reference!$D$6,Reference!$D$13,0))),0)</f>
        <v>468</v>
      </c>
      <c r="E2055" s="11">
        <f ca="1">D2055*Reference!$D$7*(1-IF(MONTH($A2055)=Reference!$D$6,1,0)*Reference!$D$12)</f>
        <v>351000</v>
      </c>
      <c r="M2055" s="20"/>
      <c r="N2055" s="20"/>
      <c r="O2055" s="19"/>
      <c r="P2055" s="10"/>
      <c r="Q2055" s="10"/>
      <c r="R2055" s="10"/>
      <c r="S2055" s="10"/>
      <c r="T2055" s="10"/>
      <c r="U2055" s="10"/>
      <c r="V2055" s="10"/>
      <c r="W2055" s="10"/>
      <c r="X2055" s="10"/>
      <c r="Y2055" s="10"/>
    </row>
    <row r="2056" spans="1:25" x14ac:dyDescent="0.25">
      <c r="A2056" s="9">
        <v>42594</v>
      </c>
      <c r="B2056" s="10">
        <f ca="1">ROUND(_xlfn.NORM.INV(RAND(),Reference!$C$8,0.1*Reference!$C$8)*(1+Reference!$C$11*(IF(MONTH($A2056)=Reference!$C$4,1,0)+IF(MONTH($A2056)=Reference!$C$5,1,0))+(IF(MONTH($A2056)=Reference!$C$6,Reference!$C$13,0))),0)</f>
        <v>304</v>
      </c>
      <c r="C2056" s="11">
        <f ca="1">B2056*Reference!$C$7*(1-IF(MONTH($A2056)=Reference!$C$6,1,0)*Reference!$C$12)</f>
        <v>282720</v>
      </c>
      <c r="D2056" s="10">
        <f ca="1">ROUND(_xlfn.NORM.INV(RAND(),Reference!$D$8,0.1*Reference!$D$8)*(1+Reference!$D$11*(IF(MONTH($A2056)=Reference!$D$4,1,0)+IF(MONTH($A2056)=Reference!$D$5,1,0))+(IF(MONTH($A2056)=Reference!$D$6,Reference!$D$13,0))),0)</f>
        <v>530</v>
      </c>
      <c r="E2056" s="11">
        <f ca="1">D2056*Reference!$D$7*(1-IF(MONTH($A2056)=Reference!$D$6,1,0)*Reference!$D$12)</f>
        <v>397500</v>
      </c>
      <c r="M2056" s="20"/>
      <c r="N2056" s="20"/>
      <c r="O2056" s="19"/>
      <c r="P2056" s="10"/>
      <c r="Q2056" s="10"/>
      <c r="R2056" s="10"/>
      <c r="S2056" s="10"/>
      <c r="T2056" s="10"/>
      <c r="U2056" s="10"/>
      <c r="V2056" s="10"/>
      <c r="W2056" s="10"/>
      <c r="X2056" s="10"/>
      <c r="Y2056" s="10"/>
    </row>
    <row r="2057" spans="1:25" x14ac:dyDescent="0.25">
      <c r="A2057" s="9">
        <v>42595</v>
      </c>
      <c r="B2057" s="10">
        <f ca="1">ROUND(_xlfn.NORM.INV(RAND(),Reference!$C$8,0.1*Reference!$C$8)*(1+Reference!$C$11*(IF(MONTH($A2057)=Reference!$C$4,1,0)+IF(MONTH($A2057)=Reference!$C$5,1,0))+(IF(MONTH($A2057)=Reference!$C$6,Reference!$C$13,0))),0)</f>
        <v>378</v>
      </c>
      <c r="C2057" s="11">
        <f ca="1">B2057*Reference!$C$7*(1-IF(MONTH($A2057)=Reference!$C$6,1,0)*Reference!$C$12)</f>
        <v>351540</v>
      </c>
      <c r="D2057" s="10">
        <f ca="1">ROUND(_xlfn.NORM.INV(RAND(),Reference!$D$8,0.1*Reference!$D$8)*(1+Reference!$D$11*(IF(MONTH($A2057)=Reference!$D$4,1,0)+IF(MONTH($A2057)=Reference!$D$5,1,0))+(IF(MONTH($A2057)=Reference!$D$6,Reference!$D$13,0))),0)</f>
        <v>504</v>
      </c>
      <c r="E2057" s="11">
        <f ca="1">D2057*Reference!$D$7*(1-IF(MONTH($A2057)=Reference!$D$6,1,0)*Reference!$D$12)</f>
        <v>378000</v>
      </c>
      <c r="M2057" s="20"/>
      <c r="N2057" s="20"/>
      <c r="O2057" s="19"/>
      <c r="P2057" s="10"/>
      <c r="Q2057" s="10"/>
      <c r="R2057" s="10"/>
      <c r="S2057" s="10"/>
      <c r="T2057" s="10"/>
      <c r="U2057" s="10"/>
      <c r="V2057" s="10"/>
      <c r="W2057" s="10"/>
      <c r="X2057" s="10"/>
      <c r="Y2057" s="10"/>
    </row>
    <row r="2058" spans="1:25" x14ac:dyDescent="0.25">
      <c r="A2058" s="9">
        <v>42596</v>
      </c>
      <c r="B2058" s="10">
        <f ca="1">ROUND(_xlfn.NORM.INV(RAND(),Reference!$C$8,0.1*Reference!$C$8)*(1+Reference!$C$11*(IF(MONTH($A2058)=Reference!$C$4,1,0)+IF(MONTH($A2058)=Reference!$C$5,1,0))+(IF(MONTH($A2058)=Reference!$C$6,Reference!$C$13,0))),0)</f>
        <v>321</v>
      </c>
      <c r="C2058" s="11">
        <f ca="1">B2058*Reference!$C$7*(1-IF(MONTH($A2058)=Reference!$C$6,1,0)*Reference!$C$12)</f>
        <v>298530</v>
      </c>
      <c r="D2058" s="10">
        <f ca="1">ROUND(_xlfn.NORM.INV(RAND(),Reference!$D$8,0.1*Reference!$D$8)*(1+Reference!$D$11*(IF(MONTH($A2058)=Reference!$D$4,1,0)+IF(MONTH($A2058)=Reference!$D$5,1,0))+(IF(MONTH($A2058)=Reference!$D$6,Reference!$D$13,0))),0)</f>
        <v>596</v>
      </c>
      <c r="E2058" s="11">
        <f ca="1">D2058*Reference!$D$7*(1-IF(MONTH($A2058)=Reference!$D$6,1,0)*Reference!$D$12)</f>
        <v>447000</v>
      </c>
      <c r="M2058" s="20"/>
      <c r="N2058" s="20"/>
      <c r="O2058" s="19"/>
      <c r="P2058" s="10"/>
      <c r="Q2058" s="10"/>
      <c r="R2058" s="10"/>
      <c r="S2058" s="10"/>
      <c r="T2058" s="10"/>
      <c r="U2058" s="10"/>
      <c r="V2058" s="10"/>
      <c r="W2058" s="10"/>
      <c r="X2058" s="10"/>
      <c r="Y2058" s="10"/>
    </row>
    <row r="2059" spans="1:25" x14ac:dyDescent="0.25">
      <c r="A2059" s="9">
        <v>42597</v>
      </c>
      <c r="B2059" s="10">
        <f ca="1">ROUND(_xlfn.NORM.INV(RAND(),Reference!$C$8,0.1*Reference!$C$8)*(1+Reference!$C$11*(IF(MONTH($A2059)=Reference!$C$4,1,0)+IF(MONTH($A2059)=Reference!$C$5,1,0))+(IF(MONTH($A2059)=Reference!$C$6,Reference!$C$13,0))),0)</f>
        <v>377</v>
      </c>
      <c r="C2059" s="11">
        <f ca="1">B2059*Reference!$C$7*(1-IF(MONTH($A2059)=Reference!$C$6,1,0)*Reference!$C$12)</f>
        <v>350610</v>
      </c>
      <c r="D2059" s="10">
        <f ca="1">ROUND(_xlfn.NORM.INV(RAND(),Reference!$D$8,0.1*Reference!$D$8)*(1+Reference!$D$11*(IF(MONTH($A2059)=Reference!$D$4,1,0)+IF(MONTH($A2059)=Reference!$D$5,1,0))+(IF(MONTH($A2059)=Reference!$D$6,Reference!$D$13,0))),0)</f>
        <v>550</v>
      </c>
      <c r="E2059" s="11">
        <f ca="1">D2059*Reference!$D$7*(1-IF(MONTH($A2059)=Reference!$D$6,1,0)*Reference!$D$12)</f>
        <v>412500</v>
      </c>
      <c r="M2059" s="20"/>
      <c r="N2059" s="20"/>
      <c r="O2059" s="19"/>
      <c r="P2059" s="10"/>
      <c r="Q2059" s="10"/>
      <c r="R2059" s="10"/>
      <c r="S2059" s="10"/>
      <c r="T2059" s="10"/>
      <c r="U2059" s="10"/>
      <c r="V2059" s="10"/>
      <c r="W2059" s="10"/>
      <c r="X2059" s="10"/>
      <c r="Y2059" s="10"/>
    </row>
    <row r="2060" spans="1:25" x14ac:dyDescent="0.25">
      <c r="A2060" s="9">
        <v>42598</v>
      </c>
      <c r="B2060" s="10">
        <f ca="1">ROUND(_xlfn.NORM.INV(RAND(),Reference!$C$8,0.1*Reference!$C$8)*(1+Reference!$C$11*(IF(MONTH($A2060)=Reference!$C$4,1,0)+IF(MONTH($A2060)=Reference!$C$5,1,0))+(IF(MONTH($A2060)=Reference!$C$6,Reference!$C$13,0))),0)</f>
        <v>416</v>
      </c>
      <c r="C2060" s="11">
        <f ca="1">B2060*Reference!$C$7*(1-IF(MONTH($A2060)=Reference!$C$6,1,0)*Reference!$C$12)</f>
        <v>386880</v>
      </c>
      <c r="D2060" s="10">
        <f ca="1">ROUND(_xlfn.NORM.INV(RAND(),Reference!$D$8,0.1*Reference!$D$8)*(1+Reference!$D$11*(IF(MONTH($A2060)=Reference!$D$4,1,0)+IF(MONTH($A2060)=Reference!$D$5,1,0))+(IF(MONTH($A2060)=Reference!$D$6,Reference!$D$13,0))),0)</f>
        <v>445</v>
      </c>
      <c r="E2060" s="11">
        <f ca="1">D2060*Reference!$D$7*(1-IF(MONTH($A2060)=Reference!$D$6,1,0)*Reference!$D$12)</f>
        <v>333750</v>
      </c>
      <c r="M2060" s="20"/>
      <c r="N2060" s="20"/>
      <c r="O2060" s="19"/>
      <c r="P2060" s="10"/>
      <c r="Q2060" s="10"/>
      <c r="R2060" s="10"/>
      <c r="S2060" s="10"/>
      <c r="T2060" s="10"/>
      <c r="U2060" s="10"/>
      <c r="V2060" s="10"/>
      <c r="W2060" s="10"/>
      <c r="X2060" s="10"/>
      <c r="Y2060" s="10"/>
    </row>
    <row r="2061" spans="1:25" x14ac:dyDescent="0.25">
      <c r="A2061" s="9">
        <v>42599</v>
      </c>
      <c r="B2061" s="10">
        <f ca="1">ROUND(_xlfn.NORM.INV(RAND(),Reference!$C$8,0.1*Reference!$C$8)*(1+Reference!$C$11*(IF(MONTH($A2061)=Reference!$C$4,1,0)+IF(MONTH($A2061)=Reference!$C$5,1,0))+(IF(MONTH($A2061)=Reference!$C$6,Reference!$C$13,0))),0)</f>
        <v>420</v>
      </c>
      <c r="C2061" s="11">
        <f ca="1">B2061*Reference!$C$7*(1-IF(MONTH($A2061)=Reference!$C$6,1,0)*Reference!$C$12)</f>
        <v>390600</v>
      </c>
      <c r="D2061" s="10">
        <f ca="1">ROUND(_xlfn.NORM.INV(RAND(),Reference!$D$8,0.1*Reference!$D$8)*(1+Reference!$D$11*(IF(MONTH($A2061)=Reference!$D$4,1,0)+IF(MONTH($A2061)=Reference!$D$5,1,0))+(IF(MONTH($A2061)=Reference!$D$6,Reference!$D$13,0))),0)</f>
        <v>485</v>
      </c>
      <c r="E2061" s="11">
        <f ca="1">D2061*Reference!$D$7*(1-IF(MONTH($A2061)=Reference!$D$6,1,0)*Reference!$D$12)</f>
        <v>363750</v>
      </c>
      <c r="M2061" s="20"/>
      <c r="N2061" s="20"/>
      <c r="O2061" s="19"/>
      <c r="P2061" s="10"/>
      <c r="Q2061" s="10"/>
      <c r="R2061" s="10"/>
      <c r="S2061" s="10"/>
      <c r="T2061" s="10"/>
      <c r="U2061" s="10"/>
      <c r="V2061" s="10"/>
      <c r="W2061" s="10"/>
      <c r="X2061" s="10"/>
      <c r="Y2061" s="10"/>
    </row>
    <row r="2062" spans="1:25" x14ac:dyDescent="0.25">
      <c r="A2062" s="9">
        <v>42600</v>
      </c>
      <c r="B2062" s="10">
        <f ca="1">ROUND(_xlfn.NORM.INV(RAND(),Reference!$C$8,0.1*Reference!$C$8)*(1+Reference!$C$11*(IF(MONTH($A2062)=Reference!$C$4,1,0)+IF(MONTH($A2062)=Reference!$C$5,1,0))+(IF(MONTH($A2062)=Reference!$C$6,Reference!$C$13,0))),0)</f>
        <v>332</v>
      </c>
      <c r="C2062" s="11">
        <f ca="1">B2062*Reference!$C$7*(1-IF(MONTH($A2062)=Reference!$C$6,1,0)*Reference!$C$12)</f>
        <v>308760</v>
      </c>
      <c r="D2062" s="10">
        <f ca="1">ROUND(_xlfn.NORM.INV(RAND(),Reference!$D$8,0.1*Reference!$D$8)*(1+Reference!$D$11*(IF(MONTH($A2062)=Reference!$D$4,1,0)+IF(MONTH($A2062)=Reference!$D$5,1,0))+(IF(MONTH($A2062)=Reference!$D$6,Reference!$D$13,0))),0)</f>
        <v>458</v>
      </c>
      <c r="E2062" s="11">
        <f ca="1">D2062*Reference!$D$7*(1-IF(MONTH($A2062)=Reference!$D$6,1,0)*Reference!$D$12)</f>
        <v>343500</v>
      </c>
      <c r="M2062" s="20"/>
      <c r="N2062" s="20"/>
      <c r="O2062" s="19"/>
      <c r="P2062" s="10"/>
      <c r="Q2062" s="10"/>
      <c r="R2062" s="10"/>
      <c r="S2062" s="10"/>
      <c r="T2062" s="10"/>
      <c r="U2062" s="10"/>
      <c r="V2062" s="10"/>
      <c r="W2062" s="10"/>
      <c r="X2062" s="10"/>
      <c r="Y2062" s="10"/>
    </row>
    <row r="2063" spans="1:25" x14ac:dyDescent="0.25">
      <c r="A2063" s="9">
        <v>42601</v>
      </c>
      <c r="B2063" s="10">
        <f ca="1">ROUND(_xlfn.NORM.INV(RAND(),Reference!$C$8,0.1*Reference!$C$8)*(1+Reference!$C$11*(IF(MONTH($A2063)=Reference!$C$4,1,0)+IF(MONTH($A2063)=Reference!$C$5,1,0))+(IF(MONTH($A2063)=Reference!$C$6,Reference!$C$13,0))),0)</f>
        <v>365</v>
      </c>
      <c r="C2063" s="11">
        <f ca="1">B2063*Reference!$C$7*(1-IF(MONTH($A2063)=Reference!$C$6,1,0)*Reference!$C$12)</f>
        <v>339450</v>
      </c>
      <c r="D2063" s="10">
        <f ca="1">ROUND(_xlfn.NORM.INV(RAND(),Reference!$D$8,0.1*Reference!$D$8)*(1+Reference!$D$11*(IF(MONTH($A2063)=Reference!$D$4,1,0)+IF(MONTH($A2063)=Reference!$D$5,1,0))+(IF(MONTH($A2063)=Reference!$D$6,Reference!$D$13,0))),0)</f>
        <v>503</v>
      </c>
      <c r="E2063" s="11">
        <f ca="1">D2063*Reference!$D$7*(1-IF(MONTH($A2063)=Reference!$D$6,1,0)*Reference!$D$12)</f>
        <v>377250</v>
      </c>
      <c r="M2063" s="20"/>
      <c r="N2063" s="20"/>
      <c r="O2063" s="19"/>
      <c r="P2063" s="10"/>
      <c r="Q2063" s="10"/>
      <c r="R2063" s="10"/>
      <c r="S2063" s="10"/>
      <c r="T2063" s="10"/>
      <c r="U2063" s="10"/>
      <c r="V2063" s="10"/>
      <c r="W2063" s="10"/>
      <c r="X2063" s="10"/>
      <c r="Y2063" s="10"/>
    </row>
    <row r="2064" spans="1:25" x14ac:dyDescent="0.25">
      <c r="A2064" s="9">
        <v>42602</v>
      </c>
      <c r="B2064" s="10">
        <f ca="1">ROUND(_xlfn.NORM.INV(RAND(),Reference!$C$8,0.1*Reference!$C$8)*(1+Reference!$C$11*(IF(MONTH($A2064)=Reference!$C$4,1,0)+IF(MONTH($A2064)=Reference!$C$5,1,0))+(IF(MONTH($A2064)=Reference!$C$6,Reference!$C$13,0))),0)</f>
        <v>348</v>
      </c>
      <c r="C2064" s="11">
        <f ca="1">B2064*Reference!$C$7*(1-IF(MONTH($A2064)=Reference!$C$6,1,0)*Reference!$C$12)</f>
        <v>323640</v>
      </c>
      <c r="D2064" s="10">
        <f ca="1">ROUND(_xlfn.NORM.INV(RAND(),Reference!$D$8,0.1*Reference!$D$8)*(1+Reference!$D$11*(IF(MONTH($A2064)=Reference!$D$4,1,0)+IF(MONTH($A2064)=Reference!$D$5,1,0))+(IF(MONTH($A2064)=Reference!$D$6,Reference!$D$13,0))),0)</f>
        <v>504</v>
      </c>
      <c r="E2064" s="11">
        <f ca="1">D2064*Reference!$D$7*(1-IF(MONTH($A2064)=Reference!$D$6,1,0)*Reference!$D$12)</f>
        <v>378000</v>
      </c>
      <c r="M2064" s="20"/>
      <c r="N2064" s="20"/>
      <c r="O2064" s="19"/>
      <c r="P2064" s="10"/>
      <c r="Q2064" s="10"/>
      <c r="R2064" s="10"/>
      <c r="S2064" s="10"/>
      <c r="T2064" s="10"/>
      <c r="U2064" s="10"/>
      <c r="V2064" s="10"/>
      <c r="W2064" s="10"/>
      <c r="X2064" s="10"/>
      <c r="Y2064" s="10"/>
    </row>
    <row r="2065" spans="1:25" x14ac:dyDescent="0.25">
      <c r="A2065" s="9">
        <v>42603</v>
      </c>
      <c r="B2065" s="10">
        <f ca="1">ROUND(_xlfn.NORM.INV(RAND(),Reference!$C$8,0.1*Reference!$C$8)*(1+Reference!$C$11*(IF(MONTH($A2065)=Reference!$C$4,1,0)+IF(MONTH($A2065)=Reference!$C$5,1,0))+(IF(MONTH($A2065)=Reference!$C$6,Reference!$C$13,0))),0)</f>
        <v>309</v>
      </c>
      <c r="C2065" s="11">
        <f ca="1">B2065*Reference!$C$7*(1-IF(MONTH($A2065)=Reference!$C$6,1,0)*Reference!$C$12)</f>
        <v>287370</v>
      </c>
      <c r="D2065" s="10">
        <f ca="1">ROUND(_xlfn.NORM.INV(RAND(),Reference!$D$8,0.1*Reference!$D$8)*(1+Reference!$D$11*(IF(MONTH($A2065)=Reference!$D$4,1,0)+IF(MONTH($A2065)=Reference!$D$5,1,0))+(IF(MONTH($A2065)=Reference!$D$6,Reference!$D$13,0))),0)</f>
        <v>506</v>
      </c>
      <c r="E2065" s="11">
        <f ca="1">D2065*Reference!$D$7*(1-IF(MONTH($A2065)=Reference!$D$6,1,0)*Reference!$D$12)</f>
        <v>379500</v>
      </c>
      <c r="M2065" s="20"/>
      <c r="N2065" s="20"/>
      <c r="O2065" s="19"/>
      <c r="P2065" s="10"/>
      <c r="Q2065" s="10"/>
      <c r="R2065" s="10"/>
      <c r="S2065" s="10"/>
      <c r="T2065" s="10"/>
      <c r="U2065" s="10"/>
      <c r="V2065" s="10"/>
      <c r="W2065" s="10"/>
      <c r="X2065" s="10"/>
      <c r="Y2065" s="10"/>
    </row>
    <row r="2066" spans="1:25" x14ac:dyDescent="0.25">
      <c r="A2066" s="9">
        <v>42604</v>
      </c>
      <c r="B2066" s="10">
        <f ca="1">ROUND(_xlfn.NORM.INV(RAND(),Reference!$C$8,0.1*Reference!$C$8)*(1+Reference!$C$11*(IF(MONTH($A2066)=Reference!$C$4,1,0)+IF(MONTH($A2066)=Reference!$C$5,1,0))+(IF(MONTH($A2066)=Reference!$C$6,Reference!$C$13,0))),0)</f>
        <v>354</v>
      </c>
      <c r="C2066" s="11">
        <f ca="1">B2066*Reference!$C$7*(1-IF(MONTH($A2066)=Reference!$C$6,1,0)*Reference!$C$12)</f>
        <v>329220</v>
      </c>
      <c r="D2066" s="10">
        <f ca="1">ROUND(_xlfn.NORM.INV(RAND(),Reference!$D$8,0.1*Reference!$D$8)*(1+Reference!$D$11*(IF(MONTH($A2066)=Reference!$D$4,1,0)+IF(MONTH($A2066)=Reference!$D$5,1,0))+(IF(MONTH($A2066)=Reference!$D$6,Reference!$D$13,0))),0)</f>
        <v>533</v>
      </c>
      <c r="E2066" s="11">
        <f ca="1">D2066*Reference!$D$7*(1-IF(MONTH($A2066)=Reference!$D$6,1,0)*Reference!$D$12)</f>
        <v>399750</v>
      </c>
      <c r="M2066" s="20"/>
      <c r="N2066" s="20"/>
      <c r="O2066" s="19"/>
      <c r="P2066" s="10"/>
      <c r="Q2066" s="10"/>
      <c r="R2066" s="10"/>
      <c r="S2066" s="10"/>
      <c r="T2066" s="10"/>
      <c r="U2066" s="10"/>
      <c r="V2066" s="10"/>
      <c r="W2066" s="10"/>
      <c r="X2066" s="10"/>
      <c r="Y2066" s="10"/>
    </row>
    <row r="2067" spans="1:25" x14ac:dyDescent="0.25">
      <c r="A2067" s="9">
        <v>42605</v>
      </c>
      <c r="B2067" s="10">
        <f ca="1">ROUND(_xlfn.NORM.INV(RAND(),Reference!$C$8,0.1*Reference!$C$8)*(1+Reference!$C$11*(IF(MONTH($A2067)=Reference!$C$4,1,0)+IF(MONTH($A2067)=Reference!$C$5,1,0))+(IF(MONTH($A2067)=Reference!$C$6,Reference!$C$13,0))),0)</f>
        <v>387</v>
      </c>
      <c r="C2067" s="11">
        <f ca="1">B2067*Reference!$C$7*(1-IF(MONTH($A2067)=Reference!$C$6,1,0)*Reference!$C$12)</f>
        <v>359910</v>
      </c>
      <c r="D2067" s="10">
        <f ca="1">ROUND(_xlfn.NORM.INV(RAND(),Reference!$D$8,0.1*Reference!$D$8)*(1+Reference!$D$11*(IF(MONTH($A2067)=Reference!$D$4,1,0)+IF(MONTH($A2067)=Reference!$D$5,1,0))+(IF(MONTH($A2067)=Reference!$D$6,Reference!$D$13,0))),0)</f>
        <v>460</v>
      </c>
      <c r="E2067" s="11">
        <f ca="1">D2067*Reference!$D$7*(1-IF(MONTH($A2067)=Reference!$D$6,1,0)*Reference!$D$12)</f>
        <v>345000</v>
      </c>
      <c r="M2067" s="20"/>
      <c r="N2067" s="20"/>
      <c r="O2067" s="19"/>
      <c r="P2067" s="10"/>
      <c r="Q2067" s="10"/>
      <c r="R2067" s="10"/>
      <c r="S2067" s="10"/>
      <c r="T2067" s="10"/>
      <c r="U2067" s="10"/>
      <c r="V2067" s="10"/>
      <c r="W2067" s="10"/>
      <c r="X2067" s="10"/>
      <c r="Y2067" s="10"/>
    </row>
    <row r="2068" spans="1:25" x14ac:dyDescent="0.25">
      <c r="A2068" s="9">
        <v>42606</v>
      </c>
      <c r="B2068" s="10">
        <f ca="1">ROUND(_xlfn.NORM.INV(RAND(),Reference!$C$8,0.1*Reference!$C$8)*(1+Reference!$C$11*(IF(MONTH($A2068)=Reference!$C$4,1,0)+IF(MONTH($A2068)=Reference!$C$5,1,0))+(IF(MONTH($A2068)=Reference!$C$6,Reference!$C$13,0))),0)</f>
        <v>368</v>
      </c>
      <c r="C2068" s="11">
        <f ca="1">B2068*Reference!$C$7*(1-IF(MONTH($A2068)=Reference!$C$6,1,0)*Reference!$C$12)</f>
        <v>342240</v>
      </c>
      <c r="D2068" s="10">
        <f ca="1">ROUND(_xlfn.NORM.INV(RAND(),Reference!$D$8,0.1*Reference!$D$8)*(1+Reference!$D$11*(IF(MONTH($A2068)=Reference!$D$4,1,0)+IF(MONTH($A2068)=Reference!$D$5,1,0))+(IF(MONTH($A2068)=Reference!$D$6,Reference!$D$13,0))),0)</f>
        <v>555</v>
      </c>
      <c r="E2068" s="11">
        <f ca="1">D2068*Reference!$D$7*(1-IF(MONTH($A2068)=Reference!$D$6,1,0)*Reference!$D$12)</f>
        <v>416250</v>
      </c>
      <c r="M2068" s="20"/>
      <c r="N2068" s="20"/>
      <c r="O2068" s="19"/>
      <c r="P2068" s="10"/>
      <c r="Q2068" s="10"/>
      <c r="R2068" s="10"/>
      <c r="S2068" s="10"/>
      <c r="T2068" s="10"/>
      <c r="U2068" s="10"/>
      <c r="V2068" s="10"/>
      <c r="W2068" s="10"/>
      <c r="X2068" s="10"/>
      <c r="Y2068" s="10"/>
    </row>
    <row r="2069" spans="1:25" x14ac:dyDescent="0.25">
      <c r="A2069" s="9">
        <v>42607</v>
      </c>
      <c r="B2069" s="10">
        <f ca="1">ROUND(_xlfn.NORM.INV(RAND(),Reference!$C$8,0.1*Reference!$C$8)*(1+Reference!$C$11*(IF(MONTH($A2069)=Reference!$C$4,1,0)+IF(MONTH($A2069)=Reference!$C$5,1,0))+(IF(MONTH($A2069)=Reference!$C$6,Reference!$C$13,0))),0)</f>
        <v>371</v>
      </c>
      <c r="C2069" s="11">
        <f ca="1">B2069*Reference!$C$7*(1-IF(MONTH($A2069)=Reference!$C$6,1,0)*Reference!$C$12)</f>
        <v>345030</v>
      </c>
      <c r="D2069" s="10">
        <f ca="1">ROUND(_xlfn.NORM.INV(RAND(),Reference!$D$8,0.1*Reference!$D$8)*(1+Reference!$D$11*(IF(MONTH($A2069)=Reference!$D$4,1,0)+IF(MONTH($A2069)=Reference!$D$5,1,0))+(IF(MONTH($A2069)=Reference!$D$6,Reference!$D$13,0))),0)</f>
        <v>465</v>
      </c>
      <c r="E2069" s="11">
        <f ca="1">D2069*Reference!$D$7*(1-IF(MONTH($A2069)=Reference!$D$6,1,0)*Reference!$D$12)</f>
        <v>348750</v>
      </c>
      <c r="M2069" s="20"/>
      <c r="N2069" s="20"/>
      <c r="O2069" s="19"/>
      <c r="P2069" s="10"/>
      <c r="Q2069" s="10"/>
      <c r="R2069" s="10"/>
      <c r="S2069" s="10"/>
      <c r="T2069" s="10"/>
      <c r="U2069" s="10"/>
      <c r="V2069" s="10"/>
      <c r="W2069" s="10"/>
      <c r="X2069" s="10"/>
      <c r="Y2069" s="10"/>
    </row>
    <row r="2070" spans="1:25" x14ac:dyDescent="0.25">
      <c r="A2070" s="9">
        <v>42608</v>
      </c>
      <c r="B2070" s="10">
        <f ca="1">ROUND(_xlfn.NORM.INV(RAND(),Reference!$C$8,0.1*Reference!$C$8)*(1+Reference!$C$11*(IF(MONTH($A2070)=Reference!$C$4,1,0)+IF(MONTH($A2070)=Reference!$C$5,1,0))+(IF(MONTH($A2070)=Reference!$C$6,Reference!$C$13,0))),0)</f>
        <v>301</v>
      </c>
      <c r="C2070" s="11">
        <f ca="1">B2070*Reference!$C$7*(1-IF(MONTH($A2070)=Reference!$C$6,1,0)*Reference!$C$12)</f>
        <v>279930</v>
      </c>
      <c r="D2070" s="10">
        <f ca="1">ROUND(_xlfn.NORM.INV(RAND(),Reference!$D$8,0.1*Reference!$D$8)*(1+Reference!$D$11*(IF(MONTH($A2070)=Reference!$D$4,1,0)+IF(MONTH($A2070)=Reference!$D$5,1,0))+(IF(MONTH($A2070)=Reference!$D$6,Reference!$D$13,0))),0)</f>
        <v>478</v>
      </c>
      <c r="E2070" s="11">
        <f ca="1">D2070*Reference!$D$7*(1-IF(MONTH($A2070)=Reference!$D$6,1,0)*Reference!$D$12)</f>
        <v>358500</v>
      </c>
      <c r="M2070" s="20"/>
      <c r="N2070" s="20"/>
      <c r="O2070" s="19"/>
      <c r="P2070" s="10"/>
      <c r="Q2070" s="10"/>
      <c r="R2070" s="10"/>
      <c r="S2070" s="10"/>
      <c r="T2070" s="10"/>
      <c r="U2070" s="10"/>
      <c r="V2070" s="10"/>
      <c r="W2070" s="10"/>
      <c r="X2070" s="10"/>
      <c r="Y2070" s="10"/>
    </row>
    <row r="2071" spans="1:25" x14ac:dyDescent="0.25">
      <c r="A2071" s="9">
        <v>42609</v>
      </c>
      <c r="B2071" s="10">
        <f ca="1">ROUND(_xlfn.NORM.INV(RAND(),Reference!$C$8,0.1*Reference!$C$8)*(1+Reference!$C$11*(IF(MONTH($A2071)=Reference!$C$4,1,0)+IF(MONTH($A2071)=Reference!$C$5,1,0))+(IF(MONTH($A2071)=Reference!$C$6,Reference!$C$13,0))),0)</f>
        <v>344</v>
      </c>
      <c r="C2071" s="11">
        <f ca="1">B2071*Reference!$C$7*(1-IF(MONTH($A2071)=Reference!$C$6,1,0)*Reference!$C$12)</f>
        <v>319920</v>
      </c>
      <c r="D2071" s="10">
        <f ca="1">ROUND(_xlfn.NORM.INV(RAND(),Reference!$D$8,0.1*Reference!$D$8)*(1+Reference!$D$11*(IF(MONTH($A2071)=Reference!$D$4,1,0)+IF(MONTH($A2071)=Reference!$D$5,1,0))+(IF(MONTH($A2071)=Reference!$D$6,Reference!$D$13,0))),0)</f>
        <v>552</v>
      </c>
      <c r="E2071" s="11">
        <f ca="1">D2071*Reference!$D$7*(1-IF(MONTH($A2071)=Reference!$D$6,1,0)*Reference!$D$12)</f>
        <v>414000</v>
      </c>
      <c r="M2071" s="20"/>
      <c r="N2071" s="20"/>
      <c r="O2071" s="19"/>
      <c r="P2071" s="10"/>
      <c r="Q2071" s="10"/>
      <c r="R2071" s="10"/>
      <c r="S2071" s="10"/>
      <c r="T2071" s="10"/>
      <c r="U2071" s="10"/>
      <c r="V2071" s="10"/>
      <c r="W2071" s="10"/>
      <c r="X2071" s="10"/>
      <c r="Y2071" s="10"/>
    </row>
    <row r="2072" spans="1:25" x14ac:dyDescent="0.25">
      <c r="A2072" s="9">
        <v>42610</v>
      </c>
      <c r="B2072" s="10">
        <f ca="1">ROUND(_xlfn.NORM.INV(RAND(),Reference!$C$8,0.1*Reference!$C$8)*(1+Reference!$C$11*(IF(MONTH($A2072)=Reference!$C$4,1,0)+IF(MONTH($A2072)=Reference!$C$5,1,0))+(IF(MONTH($A2072)=Reference!$C$6,Reference!$C$13,0))),0)</f>
        <v>425</v>
      </c>
      <c r="C2072" s="11">
        <f ca="1">B2072*Reference!$C$7*(1-IF(MONTH($A2072)=Reference!$C$6,1,0)*Reference!$C$12)</f>
        <v>395250</v>
      </c>
      <c r="D2072" s="10">
        <f ca="1">ROUND(_xlfn.NORM.INV(RAND(),Reference!$D$8,0.1*Reference!$D$8)*(1+Reference!$D$11*(IF(MONTH($A2072)=Reference!$D$4,1,0)+IF(MONTH($A2072)=Reference!$D$5,1,0))+(IF(MONTH($A2072)=Reference!$D$6,Reference!$D$13,0))),0)</f>
        <v>561</v>
      </c>
      <c r="E2072" s="11">
        <f ca="1">D2072*Reference!$D$7*(1-IF(MONTH($A2072)=Reference!$D$6,1,0)*Reference!$D$12)</f>
        <v>420750</v>
      </c>
      <c r="M2072" s="20"/>
      <c r="N2072" s="20"/>
      <c r="O2072" s="19"/>
      <c r="P2072" s="10"/>
      <c r="Q2072" s="10"/>
      <c r="R2072" s="10"/>
      <c r="S2072" s="10"/>
      <c r="T2072" s="10"/>
      <c r="U2072" s="10"/>
      <c r="V2072" s="10"/>
      <c r="W2072" s="10"/>
      <c r="X2072" s="10"/>
      <c r="Y2072" s="10"/>
    </row>
    <row r="2073" spans="1:25" x14ac:dyDescent="0.25">
      <c r="A2073" s="9">
        <v>42611</v>
      </c>
      <c r="B2073" s="10">
        <f ca="1">ROUND(_xlfn.NORM.INV(RAND(),Reference!$C$8,0.1*Reference!$C$8)*(1+Reference!$C$11*(IF(MONTH($A2073)=Reference!$C$4,1,0)+IF(MONTH($A2073)=Reference!$C$5,1,0))+(IF(MONTH($A2073)=Reference!$C$6,Reference!$C$13,0))),0)</f>
        <v>339</v>
      </c>
      <c r="C2073" s="11">
        <f ca="1">B2073*Reference!$C$7*(1-IF(MONTH($A2073)=Reference!$C$6,1,0)*Reference!$C$12)</f>
        <v>315270</v>
      </c>
      <c r="D2073" s="10">
        <f ca="1">ROUND(_xlfn.NORM.INV(RAND(),Reference!$D$8,0.1*Reference!$D$8)*(1+Reference!$D$11*(IF(MONTH($A2073)=Reference!$D$4,1,0)+IF(MONTH($A2073)=Reference!$D$5,1,0))+(IF(MONTH($A2073)=Reference!$D$6,Reference!$D$13,0))),0)</f>
        <v>520</v>
      </c>
      <c r="E2073" s="11">
        <f ca="1">D2073*Reference!$D$7*(1-IF(MONTH($A2073)=Reference!$D$6,1,0)*Reference!$D$12)</f>
        <v>390000</v>
      </c>
      <c r="M2073" s="20"/>
      <c r="N2073" s="20"/>
      <c r="O2073" s="19"/>
      <c r="P2073" s="10"/>
      <c r="Q2073" s="10"/>
      <c r="R2073" s="10"/>
      <c r="S2073" s="10"/>
      <c r="T2073" s="10"/>
      <c r="U2073" s="10"/>
      <c r="V2073" s="10"/>
      <c r="W2073" s="10"/>
      <c r="X2073" s="10"/>
      <c r="Y2073" s="10"/>
    </row>
    <row r="2074" spans="1:25" x14ac:dyDescent="0.25">
      <c r="A2074" s="9">
        <v>42612</v>
      </c>
      <c r="B2074" s="10">
        <f ca="1">ROUND(_xlfn.NORM.INV(RAND(),Reference!$C$8,0.1*Reference!$C$8)*(1+Reference!$C$11*(IF(MONTH($A2074)=Reference!$C$4,1,0)+IF(MONTH($A2074)=Reference!$C$5,1,0))+(IF(MONTH($A2074)=Reference!$C$6,Reference!$C$13,0))),0)</f>
        <v>374</v>
      </c>
      <c r="C2074" s="11">
        <f ca="1">B2074*Reference!$C$7*(1-IF(MONTH($A2074)=Reference!$C$6,1,0)*Reference!$C$12)</f>
        <v>347820</v>
      </c>
      <c r="D2074" s="10">
        <f ca="1">ROUND(_xlfn.NORM.INV(RAND(),Reference!$D$8,0.1*Reference!$D$8)*(1+Reference!$D$11*(IF(MONTH($A2074)=Reference!$D$4,1,0)+IF(MONTH($A2074)=Reference!$D$5,1,0))+(IF(MONTH($A2074)=Reference!$D$6,Reference!$D$13,0))),0)</f>
        <v>433</v>
      </c>
      <c r="E2074" s="11">
        <f ca="1">D2074*Reference!$D$7*(1-IF(MONTH($A2074)=Reference!$D$6,1,0)*Reference!$D$12)</f>
        <v>324750</v>
      </c>
      <c r="M2074" s="20"/>
      <c r="N2074" s="20"/>
      <c r="O2074" s="19"/>
      <c r="P2074" s="10"/>
      <c r="Q2074" s="10"/>
      <c r="R2074" s="10"/>
      <c r="S2074" s="10"/>
      <c r="T2074" s="10"/>
      <c r="U2074" s="10"/>
      <c r="V2074" s="10"/>
      <c r="W2074" s="10"/>
      <c r="X2074" s="10"/>
      <c r="Y2074" s="10"/>
    </row>
    <row r="2075" spans="1:25" x14ac:dyDescent="0.25">
      <c r="A2075" s="9">
        <v>42613</v>
      </c>
      <c r="B2075" s="10">
        <f ca="1">ROUND(_xlfn.NORM.INV(RAND(),Reference!$C$8,0.1*Reference!$C$8)*(1+Reference!$C$11*(IF(MONTH($A2075)=Reference!$C$4,1,0)+IF(MONTH($A2075)=Reference!$C$5,1,0))+(IF(MONTH($A2075)=Reference!$C$6,Reference!$C$13,0))),0)</f>
        <v>330</v>
      </c>
      <c r="C2075" s="11">
        <f ca="1">B2075*Reference!$C$7*(1-IF(MONTH($A2075)=Reference!$C$6,1,0)*Reference!$C$12)</f>
        <v>306900</v>
      </c>
      <c r="D2075" s="10">
        <f ca="1">ROUND(_xlfn.NORM.INV(RAND(),Reference!$D$8,0.1*Reference!$D$8)*(1+Reference!$D$11*(IF(MONTH($A2075)=Reference!$D$4,1,0)+IF(MONTH($A2075)=Reference!$D$5,1,0))+(IF(MONTH($A2075)=Reference!$D$6,Reference!$D$13,0))),0)</f>
        <v>456</v>
      </c>
      <c r="E2075" s="11">
        <f ca="1">D2075*Reference!$D$7*(1-IF(MONTH($A2075)=Reference!$D$6,1,0)*Reference!$D$12)</f>
        <v>342000</v>
      </c>
      <c r="M2075" s="20"/>
      <c r="N2075" s="20"/>
      <c r="O2075" s="19"/>
      <c r="P2075" s="10"/>
      <c r="Q2075" s="10"/>
      <c r="R2075" s="10"/>
      <c r="S2075" s="10"/>
      <c r="T2075" s="10"/>
      <c r="U2075" s="10"/>
      <c r="V2075" s="10"/>
      <c r="W2075" s="10"/>
      <c r="X2075" s="10"/>
      <c r="Y2075" s="10"/>
    </row>
    <row r="2076" spans="1:25" x14ac:dyDescent="0.25">
      <c r="A2076" s="9">
        <v>42614</v>
      </c>
      <c r="B2076" s="10">
        <f ca="1">ROUND(_xlfn.NORM.INV(RAND(),Reference!$C$8,0.1*Reference!$C$8)*(1+Reference!$C$11*(IF(MONTH($A2076)=Reference!$C$4,1,0)+IF(MONTH($A2076)=Reference!$C$5,1,0))+(IF(MONTH($A2076)=Reference!$C$6,Reference!$C$13,0))),0)</f>
        <v>352</v>
      </c>
      <c r="C2076" s="11">
        <f ca="1">B2076*Reference!$C$7*(1-IF(MONTH($A2076)=Reference!$C$6,1,0)*Reference!$C$12)</f>
        <v>327360</v>
      </c>
      <c r="D2076" s="10">
        <f ca="1">ROUND(_xlfn.NORM.INV(RAND(),Reference!$D$8,0.1*Reference!$D$8)*(1+Reference!$D$11*(IF(MONTH($A2076)=Reference!$D$4,1,0)+IF(MONTH($A2076)=Reference!$D$5,1,0))+(IF(MONTH($A2076)=Reference!$D$6,Reference!$D$13,0))),0)</f>
        <v>520</v>
      </c>
      <c r="E2076" s="11">
        <f ca="1">D2076*Reference!$D$7*(1-IF(MONTH($A2076)=Reference!$D$6,1,0)*Reference!$D$12)</f>
        <v>370500</v>
      </c>
      <c r="M2076" s="20"/>
      <c r="N2076" s="20"/>
      <c r="O2076" s="19"/>
      <c r="P2076" s="10"/>
      <c r="Q2076" s="10"/>
      <c r="R2076" s="10"/>
      <c r="S2076" s="10"/>
      <c r="T2076" s="10"/>
      <c r="U2076" s="10"/>
      <c r="V2076" s="10"/>
      <c r="W2076" s="10"/>
      <c r="X2076" s="10"/>
      <c r="Y2076" s="10"/>
    </row>
    <row r="2077" spans="1:25" x14ac:dyDescent="0.25">
      <c r="A2077" s="9">
        <v>42615</v>
      </c>
      <c r="B2077" s="10">
        <f ca="1">ROUND(_xlfn.NORM.INV(RAND(),Reference!$C$8,0.1*Reference!$C$8)*(1+Reference!$C$11*(IF(MONTH($A2077)=Reference!$C$4,1,0)+IF(MONTH($A2077)=Reference!$C$5,1,0))+(IF(MONTH($A2077)=Reference!$C$6,Reference!$C$13,0))),0)</f>
        <v>354</v>
      </c>
      <c r="C2077" s="11">
        <f ca="1">B2077*Reference!$C$7*(1-IF(MONTH($A2077)=Reference!$C$6,1,0)*Reference!$C$12)</f>
        <v>329220</v>
      </c>
      <c r="D2077" s="10">
        <f ca="1">ROUND(_xlfn.NORM.INV(RAND(),Reference!$D$8,0.1*Reference!$D$8)*(1+Reference!$D$11*(IF(MONTH($A2077)=Reference!$D$4,1,0)+IF(MONTH($A2077)=Reference!$D$5,1,0))+(IF(MONTH($A2077)=Reference!$D$6,Reference!$D$13,0))),0)</f>
        <v>453</v>
      </c>
      <c r="E2077" s="11">
        <f ca="1">D2077*Reference!$D$7*(1-IF(MONTH($A2077)=Reference!$D$6,1,0)*Reference!$D$12)</f>
        <v>322762.5</v>
      </c>
      <c r="M2077" s="20"/>
      <c r="N2077" s="20"/>
      <c r="O2077" s="19"/>
      <c r="P2077" s="10"/>
      <c r="Q2077" s="10"/>
      <c r="R2077" s="10"/>
      <c r="S2077" s="10"/>
      <c r="T2077" s="10"/>
      <c r="U2077" s="10"/>
      <c r="V2077" s="10"/>
      <c r="W2077" s="10"/>
      <c r="X2077" s="10"/>
      <c r="Y2077" s="10"/>
    </row>
    <row r="2078" spans="1:25" x14ac:dyDescent="0.25">
      <c r="A2078" s="9">
        <v>42616</v>
      </c>
      <c r="B2078" s="10">
        <f ca="1">ROUND(_xlfn.NORM.INV(RAND(),Reference!$C$8,0.1*Reference!$C$8)*(1+Reference!$C$11*(IF(MONTH($A2078)=Reference!$C$4,1,0)+IF(MONTH($A2078)=Reference!$C$5,1,0))+(IF(MONTH($A2078)=Reference!$C$6,Reference!$C$13,0))),0)</f>
        <v>338</v>
      </c>
      <c r="C2078" s="11">
        <f ca="1">B2078*Reference!$C$7*(1-IF(MONTH($A2078)=Reference!$C$6,1,0)*Reference!$C$12)</f>
        <v>314340</v>
      </c>
      <c r="D2078" s="10">
        <f ca="1">ROUND(_xlfn.NORM.INV(RAND(),Reference!$D$8,0.1*Reference!$D$8)*(1+Reference!$D$11*(IF(MONTH($A2078)=Reference!$D$4,1,0)+IF(MONTH($A2078)=Reference!$D$5,1,0))+(IF(MONTH($A2078)=Reference!$D$6,Reference!$D$13,0))),0)</f>
        <v>521</v>
      </c>
      <c r="E2078" s="11">
        <f ca="1">D2078*Reference!$D$7*(1-IF(MONTH($A2078)=Reference!$D$6,1,0)*Reference!$D$12)</f>
        <v>371212.5</v>
      </c>
      <c r="M2078" s="20"/>
      <c r="N2078" s="20"/>
      <c r="O2078" s="19"/>
      <c r="P2078" s="10"/>
      <c r="Q2078" s="10"/>
      <c r="R2078" s="10"/>
      <c r="S2078" s="10"/>
      <c r="T2078" s="10"/>
      <c r="U2078" s="10"/>
      <c r="V2078" s="10"/>
      <c r="W2078" s="10"/>
      <c r="X2078" s="10"/>
      <c r="Y2078" s="10"/>
    </row>
    <row r="2079" spans="1:25" x14ac:dyDescent="0.25">
      <c r="A2079" s="9">
        <v>42617</v>
      </c>
      <c r="B2079" s="10">
        <f ca="1">ROUND(_xlfn.NORM.INV(RAND(),Reference!$C$8,0.1*Reference!$C$8)*(1+Reference!$C$11*(IF(MONTH($A2079)=Reference!$C$4,1,0)+IF(MONTH($A2079)=Reference!$C$5,1,0))+(IF(MONTH($A2079)=Reference!$C$6,Reference!$C$13,0))),0)</f>
        <v>441</v>
      </c>
      <c r="C2079" s="11">
        <f ca="1">B2079*Reference!$C$7*(1-IF(MONTH($A2079)=Reference!$C$6,1,0)*Reference!$C$12)</f>
        <v>410130</v>
      </c>
      <c r="D2079" s="10">
        <f ca="1">ROUND(_xlfn.NORM.INV(RAND(),Reference!$D$8,0.1*Reference!$D$8)*(1+Reference!$D$11*(IF(MONTH($A2079)=Reference!$D$4,1,0)+IF(MONTH($A2079)=Reference!$D$5,1,0))+(IF(MONTH($A2079)=Reference!$D$6,Reference!$D$13,0))),0)</f>
        <v>590</v>
      </c>
      <c r="E2079" s="11">
        <f ca="1">D2079*Reference!$D$7*(1-IF(MONTH($A2079)=Reference!$D$6,1,0)*Reference!$D$12)</f>
        <v>420375</v>
      </c>
      <c r="M2079" s="20"/>
      <c r="N2079" s="20"/>
      <c r="O2079" s="19"/>
      <c r="P2079" s="10"/>
      <c r="Q2079" s="10"/>
      <c r="R2079" s="10"/>
      <c r="S2079" s="10"/>
      <c r="T2079" s="10"/>
      <c r="U2079" s="10"/>
      <c r="V2079" s="10"/>
      <c r="W2079" s="10"/>
      <c r="X2079" s="10"/>
      <c r="Y2079" s="10"/>
    </row>
    <row r="2080" spans="1:25" x14ac:dyDescent="0.25">
      <c r="A2080" s="9">
        <v>42618</v>
      </c>
      <c r="B2080" s="10">
        <f ca="1">ROUND(_xlfn.NORM.INV(RAND(),Reference!$C$8,0.1*Reference!$C$8)*(1+Reference!$C$11*(IF(MONTH($A2080)=Reference!$C$4,1,0)+IF(MONTH($A2080)=Reference!$C$5,1,0))+(IF(MONTH($A2080)=Reference!$C$6,Reference!$C$13,0))),0)</f>
        <v>431</v>
      </c>
      <c r="C2080" s="11">
        <f ca="1">B2080*Reference!$C$7*(1-IF(MONTH($A2080)=Reference!$C$6,1,0)*Reference!$C$12)</f>
        <v>400830</v>
      </c>
      <c r="D2080" s="10">
        <f ca="1">ROUND(_xlfn.NORM.INV(RAND(),Reference!$D$8,0.1*Reference!$D$8)*(1+Reference!$D$11*(IF(MONTH($A2080)=Reference!$D$4,1,0)+IF(MONTH($A2080)=Reference!$D$5,1,0))+(IF(MONTH($A2080)=Reference!$D$6,Reference!$D$13,0))),0)</f>
        <v>533</v>
      </c>
      <c r="E2080" s="11">
        <f ca="1">D2080*Reference!$D$7*(1-IF(MONTH($A2080)=Reference!$D$6,1,0)*Reference!$D$12)</f>
        <v>379762.5</v>
      </c>
      <c r="M2080" s="20"/>
      <c r="N2080" s="20"/>
      <c r="O2080" s="19"/>
      <c r="P2080" s="10"/>
      <c r="Q2080" s="10"/>
      <c r="R2080" s="10"/>
      <c r="S2080" s="10"/>
      <c r="T2080" s="10"/>
      <c r="U2080" s="10"/>
      <c r="V2080" s="10"/>
      <c r="W2080" s="10"/>
      <c r="X2080" s="10"/>
      <c r="Y2080" s="10"/>
    </row>
    <row r="2081" spans="1:25" x14ac:dyDescent="0.25">
      <c r="A2081" s="9">
        <v>42619</v>
      </c>
      <c r="B2081" s="10">
        <f ca="1">ROUND(_xlfn.NORM.INV(RAND(),Reference!$C$8,0.1*Reference!$C$8)*(1+Reference!$C$11*(IF(MONTH($A2081)=Reference!$C$4,1,0)+IF(MONTH($A2081)=Reference!$C$5,1,0))+(IF(MONTH($A2081)=Reference!$C$6,Reference!$C$13,0))),0)</f>
        <v>436</v>
      </c>
      <c r="C2081" s="11">
        <f ca="1">B2081*Reference!$C$7*(1-IF(MONTH($A2081)=Reference!$C$6,1,0)*Reference!$C$12)</f>
        <v>405480</v>
      </c>
      <c r="D2081" s="10">
        <f ca="1">ROUND(_xlfn.NORM.INV(RAND(),Reference!$D$8,0.1*Reference!$D$8)*(1+Reference!$D$11*(IF(MONTH($A2081)=Reference!$D$4,1,0)+IF(MONTH($A2081)=Reference!$D$5,1,0))+(IF(MONTH($A2081)=Reference!$D$6,Reference!$D$13,0))),0)</f>
        <v>537</v>
      </c>
      <c r="E2081" s="11">
        <f ca="1">D2081*Reference!$D$7*(1-IF(MONTH($A2081)=Reference!$D$6,1,0)*Reference!$D$12)</f>
        <v>382612.5</v>
      </c>
      <c r="M2081" s="20"/>
      <c r="N2081" s="20"/>
      <c r="O2081" s="19"/>
      <c r="P2081" s="10"/>
      <c r="Q2081" s="10"/>
      <c r="R2081" s="10"/>
      <c r="S2081" s="10"/>
      <c r="T2081" s="10"/>
      <c r="U2081" s="10"/>
      <c r="V2081" s="10"/>
      <c r="W2081" s="10"/>
      <c r="X2081" s="10"/>
      <c r="Y2081" s="10"/>
    </row>
    <row r="2082" spans="1:25" x14ac:dyDescent="0.25">
      <c r="A2082" s="9">
        <v>42620</v>
      </c>
      <c r="B2082" s="10">
        <f ca="1">ROUND(_xlfn.NORM.INV(RAND(),Reference!$C$8,0.1*Reference!$C$8)*(1+Reference!$C$11*(IF(MONTH($A2082)=Reference!$C$4,1,0)+IF(MONTH($A2082)=Reference!$C$5,1,0))+(IF(MONTH($A2082)=Reference!$C$6,Reference!$C$13,0))),0)</f>
        <v>331</v>
      </c>
      <c r="C2082" s="11">
        <f ca="1">B2082*Reference!$C$7*(1-IF(MONTH($A2082)=Reference!$C$6,1,0)*Reference!$C$12)</f>
        <v>307830</v>
      </c>
      <c r="D2082" s="10">
        <f ca="1">ROUND(_xlfn.NORM.INV(RAND(),Reference!$D$8,0.1*Reference!$D$8)*(1+Reference!$D$11*(IF(MONTH($A2082)=Reference!$D$4,1,0)+IF(MONTH($A2082)=Reference!$D$5,1,0))+(IF(MONTH($A2082)=Reference!$D$6,Reference!$D$13,0))),0)</f>
        <v>484</v>
      </c>
      <c r="E2082" s="11">
        <f ca="1">D2082*Reference!$D$7*(1-IF(MONTH($A2082)=Reference!$D$6,1,0)*Reference!$D$12)</f>
        <v>344850</v>
      </c>
      <c r="M2082" s="20"/>
      <c r="N2082" s="20"/>
      <c r="O2082" s="19"/>
      <c r="P2082" s="10"/>
      <c r="Q2082" s="10"/>
      <c r="R2082" s="10"/>
      <c r="S2082" s="10"/>
      <c r="T2082" s="10"/>
      <c r="U2082" s="10"/>
      <c r="V2082" s="10"/>
      <c r="W2082" s="10"/>
      <c r="X2082" s="10"/>
      <c r="Y2082" s="10"/>
    </row>
    <row r="2083" spans="1:25" x14ac:dyDescent="0.25">
      <c r="A2083" s="9">
        <v>42621</v>
      </c>
      <c r="B2083" s="10">
        <f ca="1">ROUND(_xlfn.NORM.INV(RAND(),Reference!$C$8,0.1*Reference!$C$8)*(1+Reference!$C$11*(IF(MONTH($A2083)=Reference!$C$4,1,0)+IF(MONTH($A2083)=Reference!$C$5,1,0))+(IF(MONTH($A2083)=Reference!$C$6,Reference!$C$13,0))),0)</f>
        <v>340</v>
      </c>
      <c r="C2083" s="11">
        <f ca="1">B2083*Reference!$C$7*(1-IF(MONTH($A2083)=Reference!$C$6,1,0)*Reference!$C$12)</f>
        <v>316200</v>
      </c>
      <c r="D2083" s="10">
        <f ca="1">ROUND(_xlfn.NORM.INV(RAND(),Reference!$D$8,0.1*Reference!$D$8)*(1+Reference!$D$11*(IF(MONTH($A2083)=Reference!$D$4,1,0)+IF(MONTH($A2083)=Reference!$D$5,1,0))+(IF(MONTH($A2083)=Reference!$D$6,Reference!$D$13,0))),0)</f>
        <v>601</v>
      </c>
      <c r="E2083" s="11">
        <f ca="1">D2083*Reference!$D$7*(1-IF(MONTH($A2083)=Reference!$D$6,1,0)*Reference!$D$12)</f>
        <v>428212.5</v>
      </c>
      <c r="M2083" s="20"/>
      <c r="N2083" s="20"/>
      <c r="O2083" s="19"/>
      <c r="P2083" s="10"/>
      <c r="Q2083" s="10"/>
      <c r="R2083" s="10"/>
      <c r="S2083" s="10"/>
      <c r="T2083" s="10"/>
      <c r="U2083" s="10"/>
      <c r="V2083" s="10"/>
      <c r="W2083" s="10"/>
      <c r="X2083" s="10"/>
      <c r="Y2083" s="10"/>
    </row>
    <row r="2084" spans="1:25" x14ac:dyDescent="0.25">
      <c r="A2084" s="9">
        <v>42622</v>
      </c>
      <c r="B2084" s="10">
        <f ca="1">ROUND(_xlfn.NORM.INV(RAND(),Reference!$C$8,0.1*Reference!$C$8)*(1+Reference!$C$11*(IF(MONTH($A2084)=Reference!$C$4,1,0)+IF(MONTH($A2084)=Reference!$C$5,1,0))+(IF(MONTH($A2084)=Reference!$C$6,Reference!$C$13,0))),0)</f>
        <v>362</v>
      </c>
      <c r="C2084" s="11">
        <f ca="1">B2084*Reference!$C$7*(1-IF(MONTH($A2084)=Reference!$C$6,1,0)*Reference!$C$12)</f>
        <v>336660</v>
      </c>
      <c r="D2084" s="10">
        <f ca="1">ROUND(_xlfn.NORM.INV(RAND(),Reference!$D$8,0.1*Reference!$D$8)*(1+Reference!$D$11*(IF(MONTH($A2084)=Reference!$D$4,1,0)+IF(MONTH($A2084)=Reference!$D$5,1,0))+(IF(MONTH($A2084)=Reference!$D$6,Reference!$D$13,0))),0)</f>
        <v>527</v>
      </c>
      <c r="E2084" s="11">
        <f ca="1">D2084*Reference!$D$7*(1-IF(MONTH($A2084)=Reference!$D$6,1,0)*Reference!$D$12)</f>
        <v>375487.5</v>
      </c>
      <c r="M2084" s="20"/>
      <c r="N2084" s="20"/>
      <c r="O2084" s="19"/>
      <c r="P2084" s="10"/>
      <c r="Q2084" s="10"/>
      <c r="R2084" s="10"/>
      <c r="S2084" s="10"/>
      <c r="T2084" s="10"/>
      <c r="U2084" s="10"/>
      <c r="V2084" s="10"/>
      <c r="W2084" s="10"/>
      <c r="X2084" s="10"/>
      <c r="Y2084" s="10"/>
    </row>
    <row r="2085" spans="1:25" x14ac:dyDescent="0.25">
      <c r="A2085" s="9">
        <v>42623</v>
      </c>
      <c r="B2085" s="10">
        <f ca="1">ROUND(_xlfn.NORM.INV(RAND(),Reference!$C$8,0.1*Reference!$C$8)*(1+Reference!$C$11*(IF(MONTH($A2085)=Reference!$C$4,1,0)+IF(MONTH($A2085)=Reference!$C$5,1,0))+(IF(MONTH($A2085)=Reference!$C$6,Reference!$C$13,0))),0)</f>
        <v>439</v>
      </c>
      <c r="C2085" s="11">
        <f ca="1">B2085*Reference!$C$7*(1-IF(MONTH($A2085)=Reference!$C$6,1,0)*Reference!$C$12)</f>
        <v>408270</v>
      </c>
      <c r="D2085" s="10">
        <f ca="1">ROUND(_xlfn.NORM.INV(RAND(),Reference!$D$8,0.1*Reference!$D$8)*(1+Reference!$D$11*(IF(MONTH($A2085)=Reference!$D$4,1,0)+IF(MONTH($A2085)=Reference!$D$5,1,0))+(IF(MONTH($A2085)=Reference!$D$6,Reference!$D$13,0))),0)</f>
        <v>498</v>
      </c>
      <c r="E2085" s="11">
        <f ca="1">D2085*Reference!$D$7*(1-IF(MONTH($A2085)=Reference!$D$6,1,0)*Reference!$D$12)</f>
        <v>354825</v>
      </c>
      <c r="M2085" s="20"/>
      <c r="N2085" s="20"/>
      <c r="O2085" s="19"/>
      <c r="P2085" s="10"/>
      <c r="Q2085" s="10"/>
      <c r="R2085" s="10"/>
      <c r="S2085" s="10"/>
      <c r="T2085" s="10"/>
      <c r="U2085" s="10"/>
      <c r="V2085" s="10"/>
      <c r="W2085" s="10"/>
      <c r="X2085" s="10"/>
      <c r="Y2085" s="10"/>
    </row>
    <row r="2086" spans="1:25" x14ac:dyDescent="0.25">
      <c r="A2086" s="9">
        <v>42624</v>
      </c>
      <c r="B2086" s="10">
        <f ca="1">ROUND(_xlfn.NORM.INV(RAND(),Reference!$C$8,0.1*Reference!$C$8)*(1+Reference!$C$11*(IF(MONTH($A2086)=Reference!$C$4,1,0)+IF(MONTH($A2086)=Reference!$C$5,1,0))+(IF(MONTH($A2086)=Reference!$C$6,Reference!$C$13,0))),0)</f>
        <v>335</v>
      </c>
      <c r="C2086" s="11">
        <f ca="1">B2086*Reference!$C$7*(1-IF(MONTH($A2086)=Reference!$C$6,1,0)*Reference!$C$12)</f>
        <v>311550</v>
      </c>
      <c r="D2086" s="10">
        <f ca="1">ROUND(_xlfn.NORM.INV(RAND(),Reference!$D$8,0.1*Reference!$D$8)*(1+Reference!$D$11*(IF(MONTH($A2086)=Reference!$D$4,1,0)+IF(MONTH($A2086)=Reference!$D$5,1,0))+(IF(MONTH($A2086)=Reference!$D$6,Reference!$D$13,0))),0)</f>
        <v>488</v>
      </c>
      <c r="E2086" s="11">
        <f ca="1">D2086*Reference!$D$7*(1-IF(MONTH($A2086)=Reference!$D$6,1,0)*Reference!$D$12)</f>
        <v>347700</v>
      </c>
      <c r="M2086" s="20"/>
      <c r="N2086" s="20"/>
      <c r="O2086" s="19"/>
      <c r="P2086" s="10"/>
      <c r="Q2086" s="10"/>
      <c r="R2086" s="10"/>
      <c r="S2086" s="10"/>
      <c r="T2086" s="10"/>
      <c r="U2086" s="10"/>
      <c r="V2086" s="10"/>
      <c r="W2086" s="10"/>
      <c r="X2086" s="10"/>
      <c r="Y2086" s="10"/>
    </row>
    <row r="2087" spans="1:25" x14ac:dyDescent="0.25">
      <c r="A2087" s="9">
        <v>42625</v>
      </c>
      <c r="B2087" s="10">
        <f ca="1">ROUND(_xlfn.NORM.INV(RAND(),Reference!$C$8,0.1*Reference!$C$8)*(1+Reference!$C$11*(IF(MONTH($A2087)=Reference!$C$4,1,0)+IF(MONTH($A2087)=Reference!$C$5,1,0))+(IF(MONTH($A2087)=Reference!$C$6,Reference!$C$13,0))),0)</f>
        <v>325</v>
      </c>
      <c r="C2087" s="11">
        <f ca="1">B2087*Reference!$C$7*(1-IF(MONTH($A2087)=Reference!$C$6,1,0)*Reference!$C$12)</f>
        <v>302250</v>
      </c>
      <c r="D2087" s="10">
        <f ca="1">ROUND(_xlfn.NORM.INV(RAND(),Reference!$D$8,0.1*Reference!$D$8)*(1+Reference!$D$11*(IF(MONTH($A2087)=Reference!$D$4,1,0)+IF(MONTH($A2087)=Reference!$D$5,1,0))+(IF(MONTH($A2087)=Reference!$D$6,Reference!$D$13,0))),0)</f>
        <v>564</v>
      </c>
      <c r="E2087" s="11">
        <f ca="1">D2087*Reference!$D$7*(1-IF(MONTH($A2087)=Reference!$D$6,1,0)*Reference!$D$12)</f>
        <v>401850</v>
      </c>
      <c r="M2087" s="20"/>
      <c r="N2087" s="20"/>
      <c r="O2087" s="19"/>
      <c r="P2087" s="10"/>
      <c r="Q2087" s="10"/>
      <c r="R2087" s="10"/>
      <c r="S2087" s="10"/>
      <c r="T2087" s="10"/>
      <c r="U2087" s="10"/>
      <c r="V2087" s="10"/>
      <c r="W2087" s="10"/>
      <c r="X2087" s="10"/>
      <c r="Y2087" s="10"/>
    </row>
    <row r="2088" spans="1:25" x14ac:dyDescent="0.25">
      <c r="A2088" s="9">
        <v>42626</v>
      </c>
      <c r="B2088" s="10">
        <f ca="1">ROUND(_xlfn.NORM.INV(RAND(),Reference!$C$8,0.1*Reference!$C$8)*(1+Reference!$C$11*(IF(MONTH($A2088)=Reference!$C$4,1,0)+IF(MONTH($A2088)=Reference!$C$5,1,0))+(IF(MONTH($A2088)=Reference!$C$6,Reference!$C$13,0))),0)</f>
        <v>355</v>
      </c>
      <c r="C2088" s="11">
        <f ca="1">B2088*Reference!$C$7*(1-IF(MONTH($A2088)=Reference!$C$6,1,0)*Reference!$C$12)</f>
        <v>330150</v>
      </c>
      <c r="D2088" s="10">
        <f ca="1">ROUND(_xlfn.NORM.INV(RAND(),Reference!$D$8,0.1*Reference!$D$8)*(1+Reference!$D$11*(IF(MONTH($A2088)=Reference!$D$4,1,0)+IF(MONTH($A2088)=Reference!$D$5,1,0))+(IF(MONTH($A2088)=Reference!$D$6,Reference!$D$13,0))),0)</f>
        <v>508</v>
      </c>
      <c r="E2088" s="11">
        <f ca="1">D2088*Reference!$D$7*(1-IF(MONTH($A2088)=Reference!$D$6,1,0)*Reference!$D$12)</f>
        <v>361950</v>
      </c>
      <c r="M2088" s="20"/>
      <c r="N2088" s="20"/>
      <c r="O2088" s="19"/>
      <c r="P2088" s="10"/>
      <c r="Q2088" s="10"/>
      <c r="R2088" s="10"/>
      <c r="S2088" s="10"/>
      <c r="T2088" s="10"/>
      <c r="U2088" s="10"/>
      <c r="V2088" s="10"/>
      <c r="W2088" s="10"/>
      <c r="X2088" s="10"/>
      <c r="Y2088" s="10"/>
    </row>
    <row r="2089" spans="1:25" x14ac:dyDescent="0.25">
      <c r="A2089" s="9">
        <v>42627</v>
      </c>
      <c r="B2089" s="10">
        <f ca="1">ROUND(_xlfn.NORM.INV(RAND(),Reference!$C$8,0.1*Reference!$C$8)*(1+Reference!$C$11*(IF(MONTH($A2089)=Reference!$C$4,1,0)+IF(MONTH($A2089)=Reference!$C$5,1,0))+(IF(MONTH($A2089)=Reference!$C$6,Reference!$C$13,0))),0)</f>
        <v>322</v>
      </c>
      <c r="C2089" s="11">
        <f ca="1">B2089*Reference!$C$7*(1-IF(MONTH($A2089)=Reference!$C$6,1,0)*Reference!$C$12)</f>
        <v>299460</v>
      </c>
      <c r="D2089" s="10">
        <f ca="1">ROUND(_xlfn.NORM.INV(RAND(),Reference!$D$8,0.1*Reference!$D$8)*(1+Reference!$D$11*(IF(MONTH($A2089)=Reference!$D$4,1,0)+IF(MONTH($A2089)=Reference!$D$5,1,0))+(IF(MONTH($A2089)=Reference!$D$6,Reference!$D$13,0))),0)</f>
        <v>444</v>
      </c>
      <c r="E2089" s="11">
        <f ca="1">D2089*Reference!$D$7*(1-IF(MONTH($A2089)=Reference!$D$6,1,0)*Reference!$D$12)</f>
        <v>316350</v>
      </c>
      <c r="M2089" s="20"/>
      <c r="N2089" s="20"/>
      <c r="O2089" s="19"/>
      <c r="P2089" s="10"/>
      <c r="Q2089" s="10"/>
      <c r="R2089" s="10"/>
      <c r="S2089" s="10"/>
      <c r="T2089" s="10"/>
      <c r="U2089" s="10"/>
      <c r="V2089" s="10"/>
      <c r="W2089" s="10"/>
      <c r="X2089" s="10"/>
      <c r="Y2089" s="10"/>
    </row>
    <row r="2090" spans="1:25" x14ac:dyDescent="0.25">
      <c r="A2090" s="9">
        <v>42628</v>
      </c>
      <c r="B2090" s="10">
        <f ca="1">ROUND(_xlfn.NORM.INV(RAND(),Reference!$C$8,0.1*Reference!$C$8)*(1+Reference!$C$11*(IF(MONTH($A2090)=Reference!$C$4,1,0)+IF(MONTH($A2090)=Reference!$C$5,1,0))+(IF(MONTH($A2090)=Reference!$C$6,Reference!$C$13,0))),0)</f>
        <v>344</v>
      </c>
      <c r="C2090" s="11">
        <f ca="1">B2090*Reference!$C$7*(1-IF(MONTH($A2090)=Reference!$C$6,1,0)*Reference!$C$12)</f>
        <v>319920</v>
      </c>
      <c r="D2090" s="10">
        <f ca="1">ROUND(_xlfn.NORM.INV(RAND(),Reference!$D$8,0.1*Reference!$D$8)*(1+Reference!$D$11*(IF(MONTH($A2090)=Reference!$D$4,1,0)+IF(MONTH($A2090)=Reference!$D$5,1,0))+(IF(MONTH($A2090)=Reference!$D$6,Reference!$D$13,0))),0)</f>
        <v>539</v>
      </c>
      <c r="E2090" s="11">
        <f ca="1">D2090*Reference!$D$7*(1-IF(MONTH($A2090)=Reference!$D$6,1,0)*Reference!$D$12)</f>
        <v>384037.5</v>
      </c>
      <c r="M2090" s="20"/>
      <c r="N2090" s="20"/>
      <c r="O2090" s="19"/>
      <c r="P2090" s="10"/>
      <c r="Q2090" s="10"/>
      <c r="R2090" s="10"/>
      <c r="S2090" s="10"/>
      <c r="T2090" s="10"/>
      <c r="U2090" s="10"/>
      <c r="V2090" s="10"/>
      <c r="W2090" s="10"/>
      <c r="X2090" s="10"/>
      <c r="Y2090" s="10"/>
    </row>
    <row r="2091" spans="1:25" x14ac:dyDescent="0.25">
      <c r="A2091" s="9">
        <v>42629</v>
      </c>
      <c r="B2091" s="10">
        <f ca="1">ROUND(_xlfn.NORM.INV(RAND(),Reference!$C$8,0.1*Reference!$C$8)*(1+Reference!$C$11*(IF(MONTH($A2091)=Reference!$C$4,1,0)+IF(MONTH($A2091)=Reference!$C$5,1,0))+(IF(MONTH($A2091)=Reference!$C$6,Reference!$C$13,0))),0)</f>
        <v>417</v>
      </c>
      <c r="C2091" s="11">
        <f ca="1">B2091*Reference!$C$7*(1-IF(MONTH($A2091)=Reference!$C$6,1,0)*Reference!$C$12)</f>
        <v>387810</v>
      </c>
      <c r="D2091" s="10">
        <f ca="1">ROUND(_xlfn.NORM.INV(RAND(),Reference!$D$8,0.1*Reference!$D$8)*(1+Reference!$D$11*(IF(MONTH($A2091)=Reference!$D$4,1,0)+IF(MONTH($A2091)=Reference!$D$5,1,0))+(IF(MONTH($A2091)=Reference!$D$6,Reference!$D$13,0))),0)</f>
        <v>538</v>
      </c>
      <c r="E2091" s="11">
        <f ca="1">D2091*Reference!$D$7*(1-IF(MONTH($A2091)=Reference!$D$6,1,0)*Reference!$D$12)</f>
        <v>383325</v>
      </c>
      <c r="M2091" s="20"/>
      <c r="N2091" s="20"/>
      <c r="O2091" s="19"/>
      <c r="P2091" s="10"/>
      <c r="Q2091" s="10"/>
      <c r="R2091" s="10"/>
      <c r="S2091" s="10"/>
      <c r="T2091" s="10"/>
      <c r="U2091" s="10"/>
      <c r="V2091" s="10"/>
      <c r="W2091" s="10"/>
      <c r="X2091" s="10"/>
      <c r="Y2091" s="10"/>
    </row>
    <row r="2092" spans="1:25" x14ac:dyDescent="0.25">
      <c r="A2092" s="9">
        <v>42630</v>
      </c>
      <c r="B2092" s="10">
        <f ca="1">ROUND(_xlfn.NORM.INV(RAND(),Reference!$C$8,0.1*Reference!$C$8)*(1+Reference!$C$11*(IF(MONTH($A2092)=Reference!$C$4,1,0)+IF(MONTH($A2092)=Reference!$C$5,1,0))+(IF(MONTH($A2092)=Reference!$C$6,Reference!$C$13,0))),0)</f>
        <v>380</v>
      </c>
      <c r="C2092" s="11">
        <f ca="1">B2092*Reference!$C$7*(1-IF(MONTH($A2092)=Reference!$C$6,1,0)*Reference!$C$12)</f>
        <v>353400</v>
      </c>
      <c r="D2092" s="10">
        <f ca="1">ROUND(_xlfn.NORM.INV(RAND(),Reference!$D$8,0.1*Reference!$D$8)*(1+Reference!$D$11*(IF(MONTH($A2092)=Reference!$D$4,1,0)+IF(MONTH($A2092)=Reference!$D$5,1,0))+(IF(MONTH($A2092)=Reference!$D$6,Reference!$D$13,0))),0)</f>
        <v>645</v>
      </c>
      <c r="E2092" s="11">
        <f ca="1">D2092*Reference!$D$7*(1-IF(MONTH($A2092)=Reference!$D$6,1,0)*Reference!$D$12)</f>
        <v>459562.5</v>
      </c>
      <c r="M2092" s="20"/>
      <c r="N2092" s="20"/>
      <c r="O2092" s="19"/>
      <c r="P2092" s="10"/>
      <c r="Q2092" s="10"/>
      <c r="R2092" s="10"/>
      <c r="S2092" s="10"/>
      <c r="T2092" s="10"/>
      <c r="U2092" s="10"/>
      <c r="V2092" s="10"/>
      <c r="W2092" s="10"/>
      <c r="X2092" s="10"/>
      <c r="Y2092" s="10"/>
    </row>
    <row r="2093" spans="1:25" x14ac:dyDescent="0.25">
      <c r="A2093" s="9">
        <v>42631</v>
      </c>
      <c r="B2093" s="10">
        <f ca="1">ROUND(_xlfn.NORM.INV(RAND(),Reference!$C$8,0.1*Reference!$C$8)*(1+Reference!$C$11*(IF(MONTH($A2093)=Reference!$C$4,1,0)+IF(MONTH($A2093)=Reference!$C$5,1,0))+(IF(MONTH($A2093)=Reference!$C$6,Reference!$C$13,0))),0)</f>
        <v>342</v>
      </c>
      <c r="C2093" s="11">
        <f ca="1">B2093*Reference!$C$7*(1-IF(MONTH($A2093)=Reference!$C$6,1,0)*Reference!$C$12)</f>
        <v>318060</v>
      </c>
      <c r="D2093" s="10">
        <f ca="1">ROUND(_xlfn.NORM.INV(RAND(),Reference!$D$8,0.1*Reference!$D$8)*(1+Reference!$D$11*(IF(MONTH($A2093)=Reference!$D$4,1,0)+IF(MONTH($A2093)=Reference!$D$5,1,0))+(IF(MONTH($A2093)=Reference!$D$6,Reference!$D$13,0))),0)</f>
        <v>455</v>
      </c>
      <c r="E2093" s="11">
        <f ca="1">D2093*Reference!$D$7*(1-IF(MONTH($A2093)=Reference!$D$6,1,0)*Reference!$D$12)</f>
        <v>324187.5</v>
      </c>
      <c r="M2093" s="20"/>
      <c r="N2093" s="20"/>
      <c r="O2093" s="19"/>
      <c r="P2093" s="10"/>
      <c r="Q2093" s="10"/>
      <c r="R2093" s="10"/>
      <c r="S2093" s="10"/>
      <c r="T2093" s="10"/>
      <c r="U2093" s="10"/>
      <c r="V2093" s="10"/>
      <c r="W2093" s="10"/>
      <c r="X2093" s="10"/>
      <c r="Y2093" s="10"/>
    </row>
    <row r="2094" spans="1:25" x14ac:dyDescent="0.25">
      <c r="A2094" s="9">
        <v>42632</v>
      </c>
      <c r="B2094" s="10">
        <f ca="1">ROUND(_xlfn.NORM.INV(RAND(),Reference!$C$8,0.1*Reference!$C$8)*(1+Reference!$C$11*(IF(MONTH($A2094)=Reference!$C$4,1,0)+IF(MONTH($A2094)=Reference!$C$5,1,0))+(IF(MONTH($A2094)=Reference!$C$6,Reference!$C$13,0))),0)</f>
        <v>349</v>
      </c>
      <c r="C2094" s="11">
        <f ca="1">B2094*Reference!$C$7*(1-IF(MONTH($A2094)=Reference!$C$6,1,0)*Reference!$C$12)</f>
        <v>324570</v>
      </c>
      <c r="D2094" s="10">
        <f ca="1">ROUND(_xlfn.NORM.INV(RAND(),Reference!$D$8,0.1*Reference!$D$8)*(1+Reference!$D$11*(IF(MONTH($A2094)=Reference!$D$4,1,0)+IF(MONTH($A2094)=Reference!$D$5,1,0))+(IF(MONTH($A2094)=Reference!$D$6,Reference!$D$13,0))),0)</f>
        <v>518</v>
      </c>
      <c r="E2094" s="11">
        <f ca="1">D2094*Reference!$D$7*(1-IF(MONTH($A2094)=Reference!$D$6,1,0)*Reference!$D$12)</f>
        <v>369075</v>
      </c>
      <c r="M2094" s="20"/>
      <c r="N2094" s="20"/>
      <c r="O2094" s="19"/>
      <c r="P2094" s="10"/>
      <c r="Q2094" s="10"/>
      <c r="R2094" s="10"/>
      <c r="S2094" s="10"/>
      <c r="T2094" s="10"/>
      <c r="U2094" s="10"/>
      <c r="V2094" s="10"/>
      <c r="W2094" s="10"/>
      <c r="X2094" s="10"/>
      <c r="Y2094" s="10"/>
    </row>
    <row r="2095" spans="1:25" x14ac:dyDescent="0.25">
      <c r="A2095" s="9">
        <v>42633</v>
      </c>
      <c r="B2095" s="10">
        <f ca="1">ROUND(_xlfn.NORM.INV(RAND(),Reference!$C$8,0.1*Reference!$C$8)*(1+Reference!$C$11*(IF(MONTH($A2095)=Reference!$C$4,1,0)+IF(MONTH($A2095)=Reference!$C$5,1,0))+(IF(MONTH($A2095)=Reference!$C$6,Reference!$C$13,0))),0)</f>
        <v>331</v>
      </c>
      <c r="C2095" s="11">
        <f ca="1">B2095*Reference!$C$7*(1-IF(MONTH($A2095)=Reference!$C$6,1,0)*Reference!$C$12)</f>
        <v>307830</v>
      </c>
      <c r="D2095" s="10">
        <f ca="1">ROUND(_xlfn.NORM.INV(RAND(),Reference!$D$8,0.1*Reference!$D$8)*(1+Reference!$D$11*(IF(MONTH($A2095)=Reference!$D$4,1,0)+IF(MONTH($A2095)=Reference!$D$5,1,0))+(IF(MONTH($A2095)=Reference!$D$6,Reference!$D$13,0))),0)</f>
        <v>513</v>
      </c>
      <c r="E2095" s="11">
        <f ca="1">D2095*Reference!$D$7*(1-IF(MONTH($A2095)=Reference!$D$6,1,0)*Reference!$D$12)</f>
        <v>365512.5</v>
      </c>
      <c r="M2095" s="20"/>
      <c r="N2095" s="20"/>
      <c r="O2095" s="19"/>
      <c r="P2095" s="10"/>
      <c r="Q2095" s="10"/>
      <c r="R2095" s="10"/>
      <c r="S2095" s="10"/>
      <c r="T2095" s="10"/>
      <c r="U2095" s="10"/>
      <c r="V2095" s="10"/>
      <c r="W2095" s="10"/>
      <c r="X2095" s="10"/>
      <c r="Y2095" s="10"/>
    </row>
    <row r="2096" spans="1:25" x14ac:dyDescent="0.25">
      <c r="A2096" s="9">
        <v>42634</v>
      </c>
      <c r="B2096" s="10">
        <f ca="1">ROUND(_xlfn.NORM.INV(RAND(),Reference!$C$8,0.1*Reference!$C$8)*(1+Reference!$C$11*(IF(MONTH($A2096)=Reference!$C$4,1,0)+IF(MONTH($A2096)=Reference!$C$5,1,0))+(IF(MONTH($A2096)=Reference!$C$6,Reference!$C$13,0))),0)</f>
        <v>283</v>
      </c>
      <c r="C2096" s="11">
        <f ca="1">B2096*Reference!$C$7*(1-IF(MONTH($A2096)=Reference!$C$6,1,0)*Reference!$C$12)</f>
        <v>263190</v>
      </c>
      <c r="D2096" s="10">
        <f ca="1">ROUND(_xlfn.NORM.INV(RAND(),Reference!$D$8,0.1*Reference!$D$8)*(1+Reference!$D$11*(IF(MONTH($A2096)=Reference!$D$4,1,0)+IF(MONTH($A2096)=Reference!$D$5,1,0))+(IF(MONTH($A2096)=Reference!$D$6,Reference!$D$13,0))),0)</f>
        <v>490</v>
      </c>
      <c r="E2096" s="11">
        <f ca="1">D2096*Reference!$D$7*(1-IF(MONTH($A2096)=Reference!$D$6,1,0)*Reference!$D$12)</f>
        <v>349125</v>
      </c>
      <c r="M2096" s="20"/>
      <c r="N2096" s="20"/>
      <c r="O2096" s="19"/>
      <c r="P2096" s="10"/>
      <c r="Q2096" s="10"/>
      <c r="R2096" s="10"/>
      <c r="S2096" s="10"/>
      <c r="T2096" s="10"/>
      <c r="U2096" s="10"/>
      <c r="V2096" s="10"/>
      <c r="W2096" s="10"/>
      <c r="X2096" s="10"/>
      <c r="Y2096" s="10"/>
    </row>
    <row r="2097" spans="1:25" x14ac:dyDescent="0.25">
      <c r="A2097" s="9">
        <v>42635</v>
      </c>
      <c r="B2097" s="10">
        <f ca="1">ROUND(_xlfn.NORM.INV(RAND(),Reference!$C$8,0.1*Reference!$C$8)*(1+Reference!$C$11*(IF(MONTH($A2097)=Reference!$C$4,1,0)+IF(MONTH($A2097)=Reference!$C$5,1,0))+(IF(MONTH($A2097)=Reference!$C$6,Reference!$C$13,0))),0)</f>
        <v>289</v>
      </c>
      <c r="C2097" s="11">
        <f ca="1">B2097*Reference!$C$7*(1-IF(MONTH($A2097)=Reference!$C$6,1,0)*Reference!$C$12)</f>
        <v>268770</v>
      </c>
      <c r="D2097" s="10">
        <f ca="1">ROUND(_xlfn.NORM.INV(RAND(),Reference!$D$8,0.1*Reference!$D$8)*(1+Reference!$D$11*(IF(MONTH($A2097)=Reference!$D$4,1,0)+IF(MONTH($A2097)=Reference!$D$5,1,0))+(IF(MONTH($A2097)=Reference!$D$6,Reference!$D$13,0))),0)</f>
        <v>472</v>
      </c>
      <c r="E2097" s="11">
        <f ca="1">D2097*Reference!$D$7*(1-IF(MONTH($A2097)=Reference!$D$6,1,0)*Reference!$D$12)</f>
        <v>336300</v>
      </c>
      <c r="M2097" s="20"/>
      <c r="N2097" s="20"/>
      <c r="O2097" s="19"/>
      <c r="P2097" s="10"/>
      <c r="Q2097" s="10"/>
      <c r="R2097" s="10"/>
      <c r="S2097" s="10"/>
      <c r="T2097" s="10"/>
      <c r="U2097" s="10"/>
      <c r="V2097" s="10"/>
      <c r="W2097" s="10"/>
      <c r="X2097" s="10"/>
      <c r="Y2097" s="10"/>
    </row>
    <row r="2098" spans="1:25" x14ac:dyDescent="0.25">
      <c r="A2098" s="9">
        <v>42636</v>
      </c>
      <c r="B2098" s="10">
        <f ca="1">ROUND(_xlfn.NORM.INV(RAND(),Reference!$C$8,0.1*Reference!$C$8)*(1+Reference!$C$11*(IF(MONTH($A2098)=Reference!$C$4,1,0)+IF(MONTH($A2098)=Reference!$C$5,1,0))+(IF(MONTH($A2098)=Reference!$C$6,Reference!$C$13,0))),0)</f>
        <v>395</v>
      </c>
      <c r="C2098" s="11">
        <f ca="1">B2098*Reference!$C$7*(1-IF(MONTH($A2098)=Reference!$C$6,1,0)*Reference!$C$12)</f>
        <v>367350</v>
      </c>
      <c r="D2098" s="10">
        <f ca="1">ROUND(_xlfn.NORM.INV(RAND(),Reference!$D$8,0.1*Reference!$D$8)*(1+Reference!$D$11*(IF(MONTH($A2098)=Reference!$D$4,1,0)+IF(MONTH($A2098)=Reference!$D$5,1,0))+(IF(MONTH($A2098)=Reference!$D$6,Reference!$D$13,0))),0)</f>
        <v>515</v>
      </c>
      <c r="E2098" s="11">
        <f ca="1">D2098*Reference!$D$7*(1-IF(MONTH($A2098)=Reference!$D$6,1,0)*Reference!$D$12)</f>
        <v>366937.5</v>
      </c>
      <c r="M2098" s="20"/>
      <c r="N2098" s="20"/>
      <c r="O2098" s="19"/>
      <c r="P2098" s="10"/>
      <c r="Q2098" s="10"/>
      <c r="R2098" s="10"/>
      <c r="S2098" s="10"/>
      <c r="T2098" s="10"/>
      <c r="U2098" s="10"/>
      <c r="V2098" s="10"/>
      <c r="W2098" s="10"/>
      <c r="X2098" s="10"/>
      <c r="Y2098" s="10"/>
    </row>
    <row r="2099" spans="1:25" x14ac:dyDescent="0.25">
      <c r="A2099" s="9">
        <v>42637</v>
      </c>
      <c r="B2099" s="10">
        <f ca="1">ROUND(_xlfn.NORM.INV(RAND(),Reference!$C$8,0.1*Reference!$C$8)*(1+Reference!$C$11*(IF(MONTH($A2099)=Reference!$C$4,1,0)+IF(MONTH($A2099)=Reference!$C$5,1,0))+(IF(MONTH($A2099)=Reference!$C$6,Reference!$C$13,0))),0)</f>
        <v>392</v>
      </c>
      <c r="C2099" s="11">
        <f ca="1">B2099*Reference!$C$7*(1-IF(MONTH($A2099)=Reference!$C$6,1,0)*Reference!$C$12)</f>
        <v>364560</v>
      </c>
      <c r="D2099" s="10">
        <f ca="1">ROUND(_xlfn.NORM.INV(RAND(),Reference!$D$8,0.1*Reference!$D$8)*(1+Reference!$D$11*(IF(MONTH($A2099)=Reference!$D$4,1,0)+IF(MONTH($A2099)=Reference!$D$5,1,0))+(IF(MONTH($A2099)=Reference!$D$6,Reference!$D$13,0))),0)</f>
        <v>547</v>
      </c>
      <c r="E2099" s="11">
        <f ca="1">D2099*Reference!$D$7*(1-IF(MONTH($A2099)=Reference!$D$6,1,0)*Reference!$D$12)</f>
        <v>389737.5</v>
      </c>
      <c r="M2099" s="20"/>
      <c r="N2099" s="20"/>
      <c r="O2099" s="19"/>
      <c r="P2099" s="10"/>
      <c r="Q2099" s="10"/>
      <c r="R2099" s="10"/>
      <c r="S2099" s="10"/>
      <c r="T2099" s="10"/>
      <c r="U2099" s="10"/>
      <c r="V2099" s="10"/>
      <c r="W2099" s="10"/>
      <c r="X2099" s="10"/>
      <c r="Y2099" s="10"/>
    </row>
    <row r="2100" spans="1:25" x14ac:dyDescent="0.25">
      <c r="A2100" s="9">
        <v>42638</v>
      </c>
      <c r="B2100" s="10">
        <f ca="1">ROUND(_xlfn.NORM.INV(RAND(),Reference!$C$8,0.1*Reference!$C$8)*(1+Reference!$C$11*(IF(MONTH($A2100)=Reference!$C$4,1,0)+IF(MONTH($A2100)=Reference!$C$5,1,0))+(IF(MONTH($A2100)=Reference!$C$6,Reference!$C$13,0))),0)</f>
        <v>408</v>
      </c>
      <c r="C2100" s="11">
        <f ca="1">B2100*Reference!$C$7*(1-IF(MONTH($A2100)=Reference!$C$6,1,0)*Reference!$C$12)</f>
        <v>379440</v>
      </c>
      <c r="D2100" s="10">
        <f ca="1">ROUND(_xlfn.NORM.INV(RAND(),Reference!$D$8,0.1*Reference!$D$8)*(1+Reference!$D$11*(IF(MONTH($A2100)=Reference!$D$4,1,0)+IF(MONTH($A2100)=Reference!$D$5,1,0))+(IF(MONTH($A2100)=Reference!$D$6,Reference!$D$13,0))),0)</f>
        <v>369</v>
      </c>
      <c r="E2100" s="11">
        <f ca="1">D2100*Reference!$D$7*(1-IF(MONTH($A2100)=Reference!$D$6,1,0)*Reference!$D$12)</f>
        <v>262912.5</v>
      </c>
      <c r="M2100" s="20"/>
      <c r="N2100" s="20"/>
      <c r="O2100" s="19"/>
      <c r="P2100" s="10"/>
      <c r="Q2100" s="10"/>
      <c r="R2100" s="10"/>
      <c r="S2100" s="10"/>
      <c r="T2100" s="10"/>
      <c r="U2100" s="10"/>
      <c r="V2100" s="10"/>
      <c r="W2100" s="10"/>
      <c r="X2100" s="10"/>
      <c r="Y2100" s="10"/>
    </row>
    <row r="2101" spans="1:25" x14ac:dyDescent="0.25">
      <c r="A2101" s="9">
        <v>42639</v>
      </c>
      <c r="B2101" s="10">
        <f ca="1">ROUND(_xlfn.NORM.INV(RAND(),Reference!$C$8,0.1*Reference!$C$8)*(1+Reference!$C$11*(IF(MONTH($A2101)=Reference!$C$4,1,0)+IF(MONTH($A2101)=Reference!$C$5,1,0))+(IF(MONTH($A2101)=Reference!$C$6,Reference!$C$13,0))),0)</f>
        <v>400</v>
      </c>
      <c r="C2101" s="11">
        <f ca="1">B2101*Reference!$C$7*(1-IF(MONTH($A2101)=Reference!$C$6,1,0)*Reference!$C$12)</f>
        <v>372000</v>
      </c>
      <c r="D2101" s="10">
        <f ca="1">ROUND(_xlfn.NORM.INV(RAND(),Reference!$D$8,0.1*Reference!$D$8)*(1+Reference!$D$11*(IF(MONTH($A2101)=Reference!$D$4,1,0)+IF(MONTH($A2101)=Reference!$D$5,1,0))+(IF(MONTH($A2101)=Reference!$D$6,Reference!$D$13,0))),0)</f>
        <v>561</v>
      </c>
      <c r="E2101" s="11">
        <f ca="1">D2101*Reference!$D$7*(1-IF(MONTH($A2101)=Reference!$D$6,1,0)*Reference!$D$12)</f>
        <v>399712.5</v>
      </c>
      <c r="M2101" s="20"/>
      <c r="N2101" s="20"/>
      <c r="O2101" s="19"/>
      <c r="P2101" s="10"/>
      <c r="Q2101" s="10"/>
      <c r="R2101" s="10"/>
      <c r="S2101" s="10"/>
      <c r="T2101" s="10"/>
      <c r="U2101" s="10"/>
      <c r="V2101" s="10"/>
      <c r="W2101" s="10"/>
      <c r="X2101" s="10"/>
      <c r="Y2101" s="10"/>
    </row>
    <row r="2102" spans="1:25" x14ac:dyDescent="0.25">
      <c r="A2102" s="9">
        <v>42640</v>
      </c>
      <c r="B2102" s="10">
        <f ca="1">ROUND(_xlfn.NORM.INV(RAND(),Reference!$C$8,0.1*Reference!$C$8)*(1+Reference!$C$11*(IF(MONTH($A2102)=Reference!$C$4,1,0)+IF(MONTH($A2102)=Reference!$C$5,1,0))+(IF(MONTH($A2102)=Reference!$C$6,Reference!$C$13,0))),0)</f>
        <v>373</v>
      </c>
      <c r="C2102" s="11">
        <f ca="1">B2102*Reference!$C$7*(1-IF(MONTH($A2102)=Reference!$C$6,1,0)*Reference!$C$12)</f>
        <v>346890</v>
      </c>
      <c r="D2102" s="10">
        <f ca="1">ROUND(_xlfn.NORM.INV(RAND(),Reference!$D$8,0.1*Reference!$D$8)*(1+Reference!$D$11*(IF(MONTH($A2102)=Reference!$D$4,1,0)+IF(MONTH($A2102)=Reference!$D$5,1,0))+(IF(MONTH($A2102)=Reference!$D$6,Reference!$D$13,0))),0)</f>
        <v>490</v>
      </c>
      <c r="E2102" s="11">
        <f ca="1">D2102*Reference!$D$7*(1-IF(MONTH($A2102)=Reference!$D$6,1,0)*Reference!$D$12)</f>
        <v>349125</v>
      </c>
      <c r="M2102" s="20"/>
      <c r="N2102" s="20"/>
      <c r="O2102" s="19"/>
      <c r="P2102" s="10"/>
      <c r="Q2102" s="10"/>
      <c r="R2102" s="10"/>
      <c r="S2102" s="10"/>
      <c r="T2102" s="10"/>
      <c r="U2102" s="10"/>
      <c r="V2102" s="10"/>
      <c r="W2102" s="10"/>
      <c r="X2102" s="10"/>
      <c r="Y2102" s="10"/>
    </row>
    <row r="2103" spans="1:25" x14ac:dyDescent="0.25">
      <c r="A2103" s="9">
        <v>42641</v>
      </c>
      <c r="B2103" s="10">
        <f ca="1">ROUND(_xlfn.NORM.INV(RAND(),Reference!$C$8,0.1*Reference!$C$8)*(1+Reference!$C$11*(IF(MONTH($A2103)=Reference!$C$4,1,0)+IF(MONTH($A2103)=Reference!$C$5,1,0))+(IF(MONTH($A2103)=Reference!$C$6,Reference!$C$13,0))),0)</f>
        <v>395</v>
      </c>
      <c r="C2103" s="11">
        <f ca="1">B2103*Reference!$C$7*(1-IF(MONTH($A2103)=Reference!$C$6,1,0)*Reference!$C$12)</f>
        <v>367350</v>
      </c>
      <c r="D2103" s="10">
        <f ca="1">ROUND(_xlfn.NORM.INV(RAND(),Reference!$D$8,0.1*Reference!$D$8)*(1+Reference!$D$11*(IF(MONTH($A2103)=Reference!$D$4,1,0)+IF(MONTH($A2103)=Reference!$D$5,1,0))+(IF(MONTH($A2103)=Reference!$D$6,Reference!$D$13,0))),0)</f>
        <v>556</v>
      </c>
      <c r="E2103" s="11">
        <f ca="1">D2103*Reference!$D$7*(1-IF(MONTH($A2103)=Reference!$D$6,1,0)*Reference!$D$12)</f>
        <v>396150</v>
      </c>
      <c r="M2103" s="20"/>
      <c r="N2103" s="20"/>
      <c r="O2103" s="19"/>
      <c r="P2103" s="10"/>
      <c r="Q2103" s="10"/>
      <c r="R2103" s="10"/>
      <c r="S2103" s="10"/>
      <c r="T2103" s="10"/>
      <c r="U2103" s="10"/>
      <c r="V2103" s="10"/>
      <c r="W2103" s="10"/>
      <c r="X2103" s="10"/>
      <c r="Y2103" s="10"/>
    </row>
    <row r="2104" spans="1:25" x14ac:dyDescent="0.25">
      <c r="A2104" s="9">
        <v>42642</v>
      </c>
      <c r="B2104" s="10">
        <f ca="1">ROUND(_xlfn.NORM.INV(RAND(),Reference!$C$8,0.1*Reference!$C$8)*(1+Reference!$C$11*(IF(MONTH($A2104)=Reference!$C$4,1,0)+IF(MONTH($A2104)=Reference!$C$5,1,0))+(IF(MONTH($A2104)=Reference!$C$6,Reference!$C$13,0))),0)</f>
        <v>328</v>
      </c>
      <c r="C2104" s="11">
        <f ca="1">B2104*Reference!$C$7*(1-IF(MONTH($A2104)=Reference!$C$6,1,0)*Reference!$C$12)</f>
        <v>305040</v>
      </c>
      <c r="D2104" s="10">
        <f ca="1">ROUND(_xlfn.NORM.INV(RAND(),Reference!$D$8,0.1*Reference!$D$8)*(1+Reference!$D$11*(IF(MONTH($A2104)=Reference!$D$4,1,0)+IF(MONTH($A2104)=Reference!$D$5,1,0))+(IF(MONTH($A2104)=Reference!$D$6,Reference!$D$13,0))),0)</f>
        <v>454</v>
      </c>
      <c r="E2104" s="11">
        <f ca="1">D2104*Reference!$D$7*(1-IF(MONTH($A2104)=Reference!$D$6,1,0)*Reference!$D$12)</f>
        <v>323475</v>
      </c>
      <c r="M2104" s="20"/>
      <c r="N2104" s="20"/>
      <c r="O2104" s="19"/>
      <c r="P2104" s="10"/>
      <c r="Q2104" s="10"/>
      <c r="R2104" s="10"/>
      <c r="S2104" s="10"/>
      <c r="T2104" s="10"/>
      <c r="U2104" s="10"/>
      <c r="V2104" s="10"/>
      <c r="W2104" s="10"/>
      <c r="X2104" s="10"/>
      <c r="Y2104" s="10"/>
    </row>
    <row r="2105" spans="1:25" x14ac:dyDescent="0.25">
      <c r="A2105" s="9">
        <v>42643</v>
      </c>
      <c r="B2105" s="10">
        <f ca="1">ROUND(_xlfn.NORM.INV(RAND(),Reference!$C$8,0.1*Reference!$C$8)*(1+Reference!$C$11*(IF(MONTH($A2105)=Reference!$C$4,1,0)+IF(MONTH($A2105)=Reference!$C$5,1,0))+(IF(MONTH($A2105)=Reference!$C$6,Reference!$C$13,0))),0)</f>
        <v>379</v>
      </c>
      <c r="C2105" s="11">
        <f ca="1">B2105*Reference!$C$7*(1-IF(MONTH($A2105)=Reference!$C$6,1,0)*Reference!$C$12)</f>
        <v>352470</v>
      </c>
      <c r="D2105" s="10">
        <f ca="1">ROUND(_xlfn.NORM.INV(RAND(),Reference!$D$8,0.1*Reference!$D$8)*(1+Reference!$D$11*(IF(MONTH($A2105)=Reference!$D$4,1,0)+IF(MONTH($A2105)=Reference!$D$5,1,0))+(IF(MONTH($A2105)=Reference!$D$6,Reference!$D$13,0))),0)</f>
        <v>517</v>
      </c>
      <c r="E2105" s="11">
        <f ca="1">D2105*Reference!$D$7*(1-IF(MONTH($A2105)=Reference!$D$6,1,0)*Reference!$D$12)</f>
        <v>368362.5</v>
      </c>
      <c r="M2105" s="20"/>
      <c r="N2105" s="20"/>
      <c r="O2105" s="19"/>
      <c r="P2105" s="10"/>
      <c r="Q2105" s="10"/>
      <c r="R2105" s="10"/>
      <c r="S2105" s="10"/>
      <c r="T2105" s="10"/>
      <c r="U2105" s="10"/>
      <c r="V2105" s="10"/>
      <c r="W2105" s="10"/>
      <c r="X2105" s="10"/>
      <c r="Y2105" s="10"/>
    </row>
    <row r="2106" spans="1:25" x14ac:dyDescent="0.25">
      <c r="A2106" s="9">
        <v>42644</v>
      </c>
      <c r="B2106" s="10">
        <f ca="1">ROUND(_xlfn.NORM.INV(RAND(),Reference!$C$8,0.1*Reference!$C$8)*(1+Reference!$C$11*(IF(MONTH($A2106)=Reference!$C$4,1,0)+IF(MONTH($A2106)=Reference!$C$5,1,0))+(IF(MONTH($A2106)=Reference!$C$6,Reference!$C$13,0))),0)</f>
        <v>419</v>
      </c>
      <c r="C2106" s="11">
        <f ca="1">B2106*Reference!$C$7*(1-IF(MONTH($A2106)=Reference!$C$6,1,0)*Reference!$C$12)</f>
        <v>389670</v>
      </c>
      <c r="D2106" s="10">
        <f ca="1">ROUND(_xlfn.NORM.INV(RAND(),Reference!$D$8,0.1*Reference!$D$8)*(1+Reference!$D$11*(IF(MONTH($A2106)=Reference!$D$4,1,0)+IF(MONTH($A2106)=Reference!$D$5,1,0))+(IF(MONTH($A2106)=Reference!$D$6,Reference!$D$13,0))),0)</f>
        <v>341</v>
      </c>
      <c r="E2106" s="11">
        <f ca="1">D2106*Reference!$D$7*(1-IF(MONTH($A2106)=Reference!$D$6,1,0)*Reference!$D$12)</f>
        <v>255750</v>
      </c>
      <c r="M2106" s="20"/>
      <c r="N2106" s="20"/>
      <c r="O2106" s="19"/>
      <c r="P2106" s="10"/>
      <c r="Q2106" s="10"/>
      <c r="R2106" s="10"/>
      <c r="S2106" s="10"/>
      <c r="T2106" s="10"/>
      <c r="U2106" s="10"/>
      <c r="V2106" s="10"/>
      <c r="W2106" s="10"/>
      <c r="X2106" s="10"/>
      <c r="Y2106" s="10"/>
    </row>
    <row r="2107" spans="1:25" x14ac:dyDescent="0.25">
      <c r="A2107" s="9">
        <v>42645</v>
      </c>
      <c r="B2107" s="10">
        <f ca="1">ROUND(_xlfn.NORM.INV(RAND(),Reference!$C$8,0.1*Reference!$C$8)*(1+Reference!$C$11*(IF(MONTH($A2107)=Reference!$C$4,1,0)+IF(MONTH($A2107)=Reference!$C$5,1,0))+(IF(MONTH($A2107)=Reference!$C$6,Reference!$C$13,0))),0)</f>
        <v>380</v>
      </c>
      <c r="C2107" s="11">
        <f ca="1">B2107*Reference!$C$7*(1-IF(MONTH($A2107)=Reference!$C$6,1,0)*Reference!$C$12)</f>
        <v>353400</v>
      </c>
      <c r="D2107" s="10">
        <f ca="1">ROUND(_xlfn.NORM.INV(RAND(),Reference!$D$8,0.1*Reference!$D$8)*(1+Reference!$D$11*(IF(MONTH($A2107)=Reference!$D$4,1,0)+IF(MONTH($A2107)=Reference!$D$5,1,0))+(IF(MONTH($A2107)=Reference!$D$6,Reference!$D$13,0))),0)</f>
        <v>442</v>
      </c>
      <c r="E2107" s="11">
        <f ca="1">D2107*Reference!$D$7*(1-IF(MONTH($A2107)=Reference!$D$6,1,0)*Reference!$D$12)</f>
        <v>331500</v>
      </c>
      <c r="M2107" s="20"/>
      <c r="N2107" s="20"/>
      <c r="O2107" s="19"/>
      <c r="P2107" s="10"/>
      <c r="Q2107" s="10"/>
      <c r="R2107" s="10"/>
      <c r="S2107" s="10"/>
      <c r="T2107" s="10"/>
      <c r="U2107" s="10"/>
      <c r="V2107" s="10"/>
      <c r="W2107" s="10"/>
      <c r="X2107" s="10"/>
      <c r="Y2107" s="10"/>
    </row>
    <row r="2108" spans="1:25" x14ac:dyDescent="0.25">
      <c r="A2108" s="9">
        <v>42646</v>
      </c>
      <c r="B2108" s="10">
        <f ca="1">ROUND(_xlfn.NORM.INV(RAND(),Reference!$C$8,0.1*Reference!$C$8)*(1+Reference!$C$11*(IF(MONTH($A2108)=Reference!$C$4,1,0)+IF(MONTH($A2108)=Reference!$C$5,1,0))+(IF(MONTH($A2108)=Reference!$C$6,Reference!$C$13,0))),0)</f>
        <v>363</v>
      </c>
      <c r="C2108" s="11">
        <f ca="1">B2108*Reference!$C$7*(1-IF(MONTH($A2108)=Reference!$C$6,1,0)*Reference!$C$12)</f>
        <v>337590</v>
      </c>
      <c r="D2108" s="10">
        <f ca="1">ROUND(_xlfn.NORM.INV(RAND(),Reference!$D$8,0.1*Reference!$D$8)*(1+Reference!$D$11*(IF(MONTH($A2108)=Reference!$D$4,1,0)+IF(MONTH($A2108)=Reference!$D$5,1,0))+(IF(MONTH($A2108)=Reference!$D$6,Reference!$D$13,0))),0)</f>
        <v>496</v>
      </c>
      <c r="E2108" s="11">
        <f ca="1">D2108*Reference!$D$7*(1-IF(MONTH($A2108)=Reference!$D$6,1,0)*Reference!$D$12)</f>
        <v>372000</v>
      </c>
      <c r="M2108" s="20"/>
      <c r="N2108" s="20"/>
      <c r="O2108" s="19"/>
      <c r="P2108" s="10"/>
      <c r="Q2108" s="10"/>
      <c r="R2108" s="10"/>
      <c r="S2108" s="10"/>
      <c r="T2108" s="10"/>
      <c r="U2108" s="10"/>
      <c r="V2108" s="10"/>
      <c r="W2108" s="10"/>
      <c r="X2108" s="10"/>
      <c r="Y2108" s="10"/>
    </row>
    <row r="2109" spans="1:25" x14ac:dyDescent="0.25">
      <c r="A2109" s="9">
        <v>42647</v>
      </c>
      <c r="B2109" s="10">
        <f ca="1">ROUND(_xlfn.NORM.INV(RAND(),Reference!$C$8,0.1*Reference!$C$8)*(1+Reference!$C$11*(IF(MONTH($A2109)=Reference!$C$4,1,0)+IF(MONTH($A2109)=Reference!$C$5,1,0))+(IF(MONTH($A2109)=Reference!$C$6,Reference!$C$13,0))),0)</f>
        <v>396</v>
      </c>
      <c r="C2109" s="11">
        <f ca="1">B2109*Reference!$C$7*(1-IF(MONTH($A2109)=Reference!$C$6,1,0)*Reference!$C$12)</f>
        <v>368280</v>
      </c>
      <c r="D2109" s="10">
        <f ca="1">ROUND(_xlfn.NORM.INV(RAND(),Reference!$D$8,0.1*Reference!$D$8)*(1+Reference!$D$11*(IF(MONTH($A2109)=Reference!$D$4,1,0)+IF(MONTH($A2109)=Reference!$D$5,1,0))+(IF(MONTH($A2109)=Reference!$D$6,Reference!$D$13,0))),0)</f>
        <v>540</v>
      </c>
      <c r="E2109" s="11">
        <f ca="1">D2109*Reference!$D$7*(1-IF(MONTH($A2109)=Reference!$D$6,1,0)*Reference!$D$12)</f>
        <v>405000</v>
      </c>
      <c r="M2109" s="20"/>
      <c r="N2109" s="20"/>
      <c r="O2109" s="19"/>
      <c r="P2109" s="10"/>
      <c r="Q2109" s="10"/>
      <c r="R2109" s="10"/>
      <c r="S2109" s="10"/>
      <c r="T2109" s="10"/>
      <c r="U2109" s="10"/>
      <c r="V2109" s="10"/>
      <c r="W2109" s="10"/>
      <c r="X2109" s="10"/>
      <c r="Y2109" s="10"/>
    </row>
    <row r="2110" spans="1:25" x14ac:dyDescent="0.25">
      <c r="A2110" s="9">
        <v>42648</v>
      </c>
      <c r="B2110" s="10">
        <f ca="1">ROUND(_xlfn.NORM.INV(RAND(),Reference!$C$8,0.1*Reference!$C$8)*(1+Reference!$C$11*(IF(MONTH($A2110)=Reference!$C$4,1,0)+IF(MONTH($A2110)=Reference!$C$5,1,0))+(IF(MONTH($A2110)=Reference!$C$6,Reference!$C$13,0))),0)</f>
        <v>322</v>
      </c>
      <c r="C2110" s="11">
        <f ca="1">B2110*Reference!$C$7*(1-IF(MONTH($A2110)=Reference!$C$6,1,0)*Reference!$C$12)</f>
        <v>299460</v>
      </c>
      <c r="D2110" s="10">
        <f ca="1">ROUND(_xlfn.NORM.INV(RAND(),Reference!$D$8,0.1*Reference!$D$8)*(1+Reference!$D$11*(IF(MONTH($A2110)=Reference!$D$4,1,0)+IF(MONTH($A2110)=Reference!$D$5,1,0))+(IF(MONTH($A2110)=Reference!$D$6,Reference!$D$13,0))),0)</f>
        <v>464</v>
      </c>
      <c r="E2110" s="11">
        <f ca="1">D2110*Reference!$D$7*(1-IF(MONTH($A2110)=Reference!$D$6,1,0)*Reference!$D$12)</f>
        <v>348000</v>
      </c>
      <c r="M2110" s="20"/>
      <c r="N2110" s="20"/>
      <c r="O2110" s="19"/>
      <c r="P2110" s="10"/>
      <c r="Q2110" s="10"/>
      <c r="R2110" s="10"/>
      <c r="S2110" s="10"/>
      <c r="T2110" s="10"/>
      <c r="U2110" s="10"/>
      <c r="V2110" s="10"/>
      <c r="W2110" s="10"/>
      <c r="X2110" s="10"/>
      <c r="Y2110" s="10"/>
    </row>
    <row r="2111" spans="1:25" x14ac:dyDescent="0.25">
      <c r="A2111" s="9">
        <v>42649</v>
      </c>
      <c r="B2111" s="10">
        <f ca="1">ROUND(_xlfn.NORM.INV(RAND(),Reference!$C$8,0.1*Reference!$C$8)*(1+Reference!$C$11*(IF(MONTH($A2111)=Reference!$C$4,1,0)+IF(MONTH($A2111)=Reference!$C$5,1,0))+(IF(MONTH($A2111)=Reference!$C$6,Reference!$C$13,0))),0)</f>
        <v>332</v>
      </c>
      <c r="C2111" s="11">
        <f ca="1">B2111*Reference!$C$7*(1-IF(MONTH($A2111)=Reference!$C$6,1,0)*Reference!$C$12)</f>
        <v>308760</v>
      </c>
      <c r="D2111" s="10">
        <f ca="1">ROUND(_xlfn.NORM.INV(RAND(),Reference!$D$8,0.1*Reference!$D$8)*(1+Reference!$D$11*(IF(MONTH($A2111)=Reference!$D$4,1,0)+IF(MONTH($A2111)=Reference!$D$5,1,0))+(IF(MONTH($A2111)=Reference!$D$6,Reference!$D$13,0))),0)</f>
        <v>459</v>
      </c>
      <c r="E2111" s="11">
        <f ca="1">D2111*Reference!$D$7*(1-IF(MONTH($A2111)=Reference!$D$6,1,0)*Reference!$D$12)</f>
        <v>344250</v>
      </c>
      <c r="M2111" s="20"/>
      <c r="N2111" s="20"/>
      <c r="O2111" s="19"/>
      <c r="P2111" s="10"/>
      <c r="Q2111" s="10"/>
      <c r="R2111" s="10"/>
      <c r="S2111" s="10"/>
      <c r="T2111" s="10"/>
      <c r="U2111" s="10"/>
      <c r="V2111" s="10"/>
      <c r="W2111" s="10"/>
      <c r="X2111" s="10"/>
      <c r="Y2111" s="10"/>
    </row>
    <row r="2112" spans="1:25" x14ac:dyDescent="0.25">
      <c r="A2112" s="9">
        <v>42650</v>
      </c>
      <c r="B2112" s="10">
        <f ca="1">ROUND(_xlfn.NORM.INV(RAND(),Reference!$C$8,0.1*Reference!$C$8)*(1+Reference!$C$11*(IF(MONTH($A2112)=Reference!$C$4,1,0)+IF(MONTH($A2112)=Reference!$C$5,1,0))+(IF(MONTH($A2112)=Reference!$C$6,Reference!$C$13,0))),0)</f>
        <v>363</v>
      </c>
      <c r="C2112" s="11">
        <f ca="1">B2112*Reference!$C$7*(1-IF(MONTH($A2112)=Reference!$C$6,1,0)*Reference!$C$12)</f>
        <v>337590</v>
      </c>
      <c r="D2112" s="10">
        <f ca="1">ROUND(_xlfn.NORM.INV(RAND(),Reference!$D$8,0.1*Reference!$D$8)*(1+Reference!$D$11*(IF(MONTH($A2112)=Reference!$D$4,1,0)+IF(MONTH($A2112)=Reference!$D$5,1,0))+(IF(MONTH($A2112)=Reference!$D$6,Reference!$D$13,0))),0)</f>
        <v>470</v>
      </c>
      <c r="E2112" s="11">
        <f ca="1">D2112*Reference!$D$7*(1-IF(MONTH($A2112)=Reference!$D$6,1,0)*Reference!$D$12)</f>
        <v>352500</v>
      </c>
      <c r="M2112" s="20"/>
      <c r="N2112" s="20"/>
      <c r="O2112" s="19"/>
      <c r="P2112" s="10"/>
      <c r="Q2112" s="10"/>
      <c r="R2112" s="10"/>
      <c r="S2112" s="10"/>
      <c r="T2112" s="10"/>
      <c r="U2112" s="10"/>
      <c r="V2112" s="10"/>
      <c r="W2112" s="10"/>
      <c r="X2112" s="10"/>
      <c r="Y2112" s="10"/>
    </row>
    <row r="2113" spans="1:25" x14ac:dyDescent="0.25">
      <c r="A2113" s="9">
        <v>42651</v>
      </c>
      <c r="B2113" s="10">
        <f ca="1">ROUND(_xlfn.NORM.INV(RAND(),Reference!$C$8,0.1*Reference!$C$8)*(1+Reference!$C$11*(IF(MONTH($A2113)=Reference!$C$4,1,0)+IF(MONTH($A2113)=Reference!$C$5,1,0))+(IF(MONTH($A2113)=Reference!$C$6,Reference!$C$13,0))),0)</f>
        <v>405</v>
      </c>
      <c r="C2113" s="11">
        <f ca="1">B2113*Reference!$C$7*(1-IF(MONTH($A2113)=Reference!$C$6,1,0)*Reference!$C$12)</f>
        <v>376650</v>
      </c>
      <c r="D2113" s="10">
        <f ca="1">ROUND(_xlfn.NORM.INV(RAND(),Reference!$D$8,0.1*Reference!$D$8)*(1+Reference!$D$11*(IF(MONTH($A2113)=Reference!$D$4,1,0)+IF(MONTH($A2113)=Reference!$D$5,1,0))+(IF(MONTH($A2113)=Reference!$D$6,Reference!$D$13,0))),0)</f>
        <v>409</v>
      </c>
      <c r="E2113" s="11">
        <f ca="1">D2113*Reference!$D$7*(1-IF(MONTH($A2113)=Reference!$D$6,1,0)*Reference!$D$12)</f>
        <v>306750</v>
      </c>
      <c r="M2113" s="20"/>
      <c r="N2113" s="20"/>
      <c r="O2113" s="19"/>
      <c r="P2113" s="10"/>
      <c r="Q2113" s="10"/>
      <c r="R2113" s="10"/>
      <c r="S2113" s="10"/>
      <c r="T2113" s="10"/>
      <c r="U2113" s="10"/>
      <c r="V2113" s="10"/>
      <c r="W2113" s="10"/>
      <c r="X2113" s="10"/>
      <c r="Y2113" s="10"/>
    </row>
    <row r="2114" spans="1:25" x14ac:dyDescent="0.25">
      <c r="A2114" s="9">
        <v>42652</v>
      </c>
      <c r="B2114" s="10">
        <f ca="1">ROUND(_xlfn.NORM.INV(RAND(),Reference!$C$8,0.1*Reference!$C$8)*(1+Reference!$C$11*(IF(MONTH($A2114)=Reference!$C$4,1,0)+IF(MONTH($A2114)=Reference!$C$5,1,0))+(IF(MONTH($A2114)=Reference!$C$6,Reference!$C$13,0))),0)</f>
        <v>341</v>
      </c>
      <c r="C2114" s="11">
        <f ca="1">B2114*Reference!$C$7*(1-IF(MONTH($A2114)=Reference!$C$6,1,0)*Reference!$C$12)</f>
        <v>317130</v>
      </c>
      <c r="D2114" s="10">
        <f ca="1">ROUND(_xlfn.NORM.INV(RAND(),Reference!$D$8,0.1*Reference!$D$8)*(1+Reference!$D$11*(IF(MONTH($A2114)=Reference!$D$4,1,0)+IF(MONTH($A2114)=Reference!$D$5,1,0))+(IF(MONTH($A2114)=Reference!$D$6,Reference!$D$13,0))),0)</f>
        <v>417</v>
      </c>
      <c r="E2114" s="11">
        <f ca="1">D2114*Reference!$D$7*(1-IF(MONTH($A2114)=Reference!$D$6,1,0)*Reference!$D$12)</f>
        <v>312750</v>
      </c>
      <c r="M2114" s="20"/>
      <c r="N2114" s="20"/>
      <c r="O2114" s="19"/>
      <c r="P2114" s="10"/>
      <c r="Q2114" s="10"/>
      <c r="R2114" s="10"/>
      <c r="S2114" s="10"/>
      <c r="T2114" s="10"/>
      <c r="U2114" s="10"/>
      <c r="V2114" s="10"/>
      <c r="W2114" s="10"/>
      <c r="X2114" s="10"/>
      <c r="Y2114" s="10"/>
    </row>
    <row r="2115" spans="1:25" x14ac:dyDescent="0.25">
      <c r="A2115" s="9">
        <v>42653</v>
      </c>
      <c r="B2115" s="10">
        <f ca="1">ROUND(_xlfn.NORM.INV(RAND(),Reference!$C$8,0.1*Reference!$C$8)*(1+Reference!$C$11*(IF(MONTH($A2115)=Reference!$C$4,1,0)+IF(MONTH($A2115)=Reference!$C$5,1,0))+(IF(MONTH($A2115)=Reference!$C$6,Reference!$C$13,0))),0)</f>
        <v>363</v>
      </c>
      <c r="C2115" s="11">
        <f ca="1">B2115*Reference!$C$7*(1-IF(MONTH($A2115)=Reference!$C$6,1,0)*Reference!$C$12)</f>
        <v>337590</v>
      </c>
      <c r="D2115" s="10">
        <f ca="1">ROUND(_xlfn.NORM.INV(RAND(),Reference!$D$8,0.1*Reference!$D$8)*(1+Reference!$D$11*(IF(MONTH($A2115)=Reference!$D$4,1,0)+IF(MONTH($A2115)=Reference!$D$5,1,0))+(IF(MONTH($A2115)=Reference!$D$6,Reference!$D$13,0))),0)</f>
        <v>463</v>
      </c>
      <c r="E2115" s="11">
        <f ca="1">D2115*Reference!$D$7*(1-IF(MONTH($A2115)=Reference!$D$6,1,0)*Reference!$D$12)</f>
        <v>347250</v>
      </c>
      <c r="M2115" s="20"/>
      <c r="N2115" s="20"/>
      <c r="O2115" s="19"/>
      <c r="P2115" s="10"/>
      <c r="Q2115" s="10"/>
      <c r="R2115" s="10"/>
      <c r="S2115" s="10"/>
      <c r="T2115" s="10"/>
      <c r="U2115" s="10"/>
      <c r="V2115" s="10"/>
      <c r="W2115" s="10"/>
      <c r="X2115" s="10"/>
      <c r="Y2115" s="10"/>
    </row>
    <row r="2116" spans="1:25" x14ac:dyDescent="0.25">
      <c r="A2116" s="9">
        <v>42654</v>
      </c>
      <c r="B2116" s="10">
        <f ca="1">ROUND(_xlfn.NORM.INV(RAND(),Reference!$C$8,0.1*Reference!$C$8)*(1+Reference!$C$11*(IF(MONTH($A2116)=Reference!$C$4,1,0)+IF(MONTH($A2116)=Reference!$C$5,1,0))+(IF(MONTH($A2116)=Reference!$C$6,Reference!$C$13,0))),0)</f>
        <v>334</v>
      </c>
      <c r="C2116" s="11">
        <f ca="1">B2116*Reference!$C$7*(1-IF(MONTH($A2116)=Reference!$C$6,1,0)*Reference!$C$12)</f>
        <v>310620</v>
      </c>
      <c r="D2116" s="10">
        <f ca="1">ROUND(_xlfn.NORM.INV(RAND(),Reference!$D$8,0.1*Reference!$D$8)*(1+Reference!$D$11*(IF(MONTH($A2116)=Reference!$D$4,1,0)+IF(MONTH($A2116)=Reference!$D$5,1,0))+(IF(MONTH($A2116)=Reference!$D$6,Reference!$D$13,0))),0)</f>
        <v>486</v>
      </c>
      <c r="E2116" s="11">
        <f ca="1">D2116*Reference!$D$7*(1-IF(MONTH($A2116)=Reference!$D$6,1,0)*Reference!$D$12)</f>
        <v>364500</v>
      </c>
      <c r="M2116" s="20"/>
      <c r="N2116" s="20"/>
      <c r="O2116" s="19"/>
      <c r="P2116" s="10"/>
      <c r="Q2116" s="10"/>
      <c r="R2116" s="10"/>
      <c r="S2116" s="10"/>
      <c r="T2116" s="10"/>
      <c r="U2116" s="10"/>
      <c r="V2116" s="10"/>
      <c r="W2116" s="10"/>
      <c r="X2116" s="10"/>
      <c r="Y2116" s="10"/>
    </row>
    <row r="2117" spans="1:25" x14ac:dyDescent="0.25">
      <c r="A2117" s="9">
        <v>42655</v>
      </c>
      <c r="B2117" s="10">
        <f ca="1">ROUND(_xlfn.NORM.INV(RAND(),Reference!$C$8,0.1*Reference!$C$8)*(1+Reference!$C$11*(IF(MONTH($A2117)=Reference!$C$4,1,0)+IF(MONTH($A2117)=Reference!$C$5,1,0))+(IF(MONTH($A2117)=Reference!$C$6,Reference!$C$13,0))),0)</f>
        <v>389</v>
      </c>
      <c r="C2117" s="11">
        <f ca="1">B2117*Reference!$C$7*(1-IF(MONTH($A2117)=Reference!$C$6,1,0)*Reference!$C$12)</f>
        <v>361770</v>
      </c>
      <c r="D2117" s="10">
        <f ca="1">ROUND(_xlfn.NORM.INV(RAND(),Reference!$D$8,0.1*Reference!$D$8)*(1+Reference!$D$11*(IF(MONTH($A2117)=Reference!$D$4,1,0)+IF(MONTH($A2117)=Reference!$D$5,1,0))+(IF(MONTH($A2117)=Reference!$D$6,Reference!$D$13,0))),0)</f>
        <v>468</v>
      </c>
      <c r="E2117" s="11">
        <f ca="1">D2117*Reference!$D$7*(1-IF(MONTH($A2117)=Reference!$D$6,1,0)*Reference!$D$12)</f>
        <v>351000</v>
      </c>
      <c r="M2117" s="20"/>
      <c r="N2117" s="20"/>
      <c r="O2117" s="19"/>
      <c r="P2117" s="10"/>
      <c r="Q2117" s="10"/>
      <c r="R2117" s="10"/>
      <c r="S2117" s="10"/>
      <c r="T2117" s="10"/>
      <c r="U2117" s="10"/>
      <c r="V2117" s="10"/>
      <c r="W2117" s="10"/>
      <c r="X2117" s="10"/>
      <c r="Y2117" s="10"/>
    </row>
    <row r="2118" spans="1:25" x14ac:dyDescent="0.25">
      <c r="A2118" s="9">
        <v>42656</v>
      </c>
      <c r="B2118" s="10">
        <f ca="1">ROUND(_xlfn.NORM.INV(RAND(),Reference!$C$8,0.1*Reference!$C$8)*(1+Reference!$C$11*(IF(MONTH($A2118)=Reference!$C$4,1,0)+IF(MONTH($A2118)=Reference!$C$5,1,0))+(IF(MONTH($A2118)=Reference!$C$6,Reference!$C$13,0))),0)</f>
        <v>342</v>
      </c>
      <c r="C2118" s="11">
        <f ca="1">B2118*Reference!$C$7*(1-IF(MONTH($A2118)=Reference!$C$6,1,0)*Reference!$C$12)</f>
        <v>318060</v>
      </c>
      <c r="D2118" s="10">
        <f ca="1">ROUND(_xlfn.NORM.INV(RAND(),Reference!$D$8,0.1*Reference!$D$8)*(1+Reference!$D$11*(IF(MONTH($A2118)=Reference!$D$4,1,0)+IF(MONTH($A2118)=Reference!$D$5,1,0))+(IF(MONTH($A2118)=Reference!$D$6,Reference!$D$13,0))),0)</f>
        <v>479</v>
      </c>
      <c r="E2118" s="11">
        <f ca="1">D2118*Reference!$D$7*(1-IF(MONTH($A2118)=Reference!$D$6,1,0)*Reference!$D$12)</f>
        <v>359250</v>
      </c>
      <c r="M2118" s="20"/>
      <c r="N2118" s="20"/>
      <c r="O2118" s="19"/>
      <c r="P2118" s="10"/>
      <c r="Q2118" s="10"/>
      <c r="R2118" s="10"/>
      <c r="S2118" s="10"/>
      <c r="T2118" s="10"/>
      <c r="U2118" s="10"/>
      <c r="V2118" s="10"/>
      <c r="W2118" s="10"/>
      <c r="X2118" s="10"/>
      <c r="Y2118" s="10"/>
    </row>
    <row r="2119" spans="1:25" x14ac:dyDescent="0.25">
      <c r="A2119" s="9">
        <v>42657</v>
      </c>
      <c r="B2119" s="10">
        <f ca="1">ROUND(_xlfn.NORM.INV(RAND(),Reference!$C$8,0.1*Reference!$C$8)*(1+Reference!$C$11*(IF(MONTH($A2119)=Reference!$C$4,1,0)+IF(MONTH($A2119)=Reference!$C$5,1,0))+(IF(MONTH($A2119)=Reference!$C$6,Reference!$C$13,0))),0)</f>
        <v>399</v>
      </c>
      <c r="C2119" s="11">
        <f ca="1">B2119*Reference!$C$7*(1-IF(MONTH($A2119)=Reference!$C$6,1,0)*Reference!$C$12)</f>
        <v>371070</v>
      </c>
      <c r="D2119" s="10">
        <f ca="1">ROUND(_xlfn.NORM.INV(RAND(),Reference!$D$8,0.1*Reference!$D$8)*(1+Reference!$D$11*(IF(MONTH($A2119)=Reference!$D$4,1,0)+IF(MONTH($A2119)=Reference!$D$5,1,0))+(IF(MONTH($A2119)=Reference!$D$6,Reference!$D$13,0))),0)</f>
        <v>555</v>
      </c>
      <c r="E2119" s="11">
        <f ca="1">D2119*Reference!$D$7*(1-IF(MONTH($A2119)=Reference!$D$6,1,0)*Reference!$D$12)</f>
        <v>416250</v>
      </c>
      <c r="M2119" s="20"/>
      <c r="N2119" s="20"/>
      <c r="O2119" s="19"/>
      <c r="P2119" s="10"/>
      <c r="Q2119" s="10"/>
      <c r="R2119" s="10"/>
      <c r="S2119" s="10"/>
      <c r="T2119" s="10"/>
      <c r="U2119" s="10"/>
      <c r="V2119" s="10"/>
      <c r="W2119" s="10"/>
      <c r="X2119" s="10"/>
      <c r="Y2119" s="10"/>
    </row>
    <row r="2120" spans="1:25" x14ac:dyDescent="0.25">
      <c r="A2120" s="9">
        <v>42658</v>
      </c>
      <c r="B2120" s="10">
        <f ca="1">ROUND(_xlfn.NORM.INV(RAND(),Reference!$C$8,0.1*Reference!$C$8)*(1+Reference!$C$11*(IF(MONTH($A2120)=Reference!$C$4,1,0)+IF(MONTH($A2120)=Reference!$C$5,1,0))+(IF(MONTH($A2120)=Reference!$C$6,Reference!$C$13,0))),0)</f>
        <v>350</v>
      </c>
      <c r="C2120" s="11">
        <f ca="1">B2120*Reference!$C$7*(1-IF(MONTH($A2120)=Reference!$C$6,1,0)*Reference!$C$12)</f>
        <v>325500</v>
      </c>
      <c r="D2120" s="10">
        <f ca="1">ROUND(_xlfn.NORM.INV(RAND(),Reference!$D$8,0.1*Reference!$D$8)*(1+Reference!$D$11*(IF(MONTH($A2120)=Reference!$D$4,1,0)+IF(MONTH($A2120)=Reference!$D$5,1,0))+(IF(MONTH($A2120)=Reference!$D$6,Reference!$D$13,0))),0)</f>
        <v>381</v>
      </c>
      <c r="E2120" s="11">
        <f ca="1">D2120*Reference!$D$7*(1-IF(MONTH($A2120)=Reference!$D$6,1,0)*Reference!$D$12)</f>
        <v>285750</v>
      </c>
      <c r="M2120" s="20"/>
      <c r="N2120" s="20"/>
      <c r="O2120" s="19"/>
      <c r="P2120" s="10"/>
      <c r="Q2120" s="10"/>
      <c r="R2120" s="10"/>
      <c r="S2120" s="10"/>
      <c r="T2120" s="10"/>
      <c r="U2120" s="10"/>
      <c r="V2120" s="10"/>
      <c r="W2120" s="10"/>
      <c r="X2120" s="10"/>
      <c r="Y2120" s="10"/>
    </row>
    <row r="2121" spans="1:25" x14ac:dyDescent="0.25">
      <c r="A2121" s="9">
        <v>42659</v>
      </c>
      <c r="B2121" s="10">
        <f ca="1">ROUND(_xlfn.NORM.INV(RAND(),Reference!$C$8,0.1*Reference!$C$8)*(1+Reference!$C$11*(IF(MONTH($A2121)=Reference!$C$4,1,0)+IF(MONTH($A2121)=Reference!$C$5,1,0))+(IF(MONTH($A2121)=Reference!$C$6,Reference!$C$13,0))),0)</f>
        <v>427</v>
      </c>
      <c r="C2121" s="11">
        <f ca="1">B2121*Reference!$C$7*(1-IF(MONTH($A2121)=Reference!$C$6,1,0)*Reference!$C$12)</f>
        <v>397110</v>
      </c>
      <c r="D2121" s="10">
        <f ca="1">ROUND(_xlfn.NORM.INV(RAND(),Reference!$D$8,0.1*Reference!$D$8)*(1+Reference!$D$11*(IF(MONTH($A2121)=Reference!$D$4,1,0)+IF(MONTH($A2121)=Reference!$D$5,1,0))+(IF(MONTH($A2121)=Reference!$D$6,Reference!$D$13,0))),0)</f>
        <v>392</v>
      </c>
      <c r="E2121" s="11">
        <f ca="1">D2121*Reference!$D$7*(1-IF(MONTH($A2121)=Reference!$D$6,1,0)*Reference!$D$12)</f>
        <v>294000</v>
      </c>
      <c r="M2121" s="20"/>
      <c r="N2121" s="20"/>
      <c r="O2121" s="19"/>
      <c r="P2121" s="10"/>
      <c r="Q2121" s="10"/>
      <c r="R2121" s="10"/>
      <c r="S2121" s="10"/>
      <c r="T2121" s="10"/>
      <c r="U2121" s="10"/>
      <c r="V2121" s="10"/>
      <c r="W2121" s="10"/>
      <c r="X2121" s="10"/>
      <c r="Y2121" s="10"/>
    </row>
    <row r="2122" spans="1:25" x14ac:dyDescent="0.25">
      <c r="A2122" s="9">
        <v>42660</v>
      </c>
      <c r="B2122" s="10">
        <f ca="1">ROUND(_xlfn.NORM.INV(RAND(),Reference!$C$8,0.1*Reference!$C$8)*(1+Reference!$C$11*(IF(MONTH($A2122)=Reference!$C$4,1,0)+IF(MONTH($A2122)=Reference!$C$5,1,0))+(IF(MONTH($A2122)=Reference!$C$6,Reference!$C$13,0))),0)</f>
        <v>365</v>
      </c>
      <c r="C2122" s="11">
        <f ca="1">B2122*Reference!$C$7*(1-IF(MONTH($A2122)=Reference!$C$6,1,0)*Reference!$C$12)</f>
        <v>339450</v>
      </c>
      <c r="D2122" s="10">
        <f ca="1">ROUND(_xlfn.NORM.INV(RAND(),Reference!$D$8,0.1*Reference!$D$8)*(1+Reference!$D$11*(IF(MONTH($A2122)=Reference!$D$4,1,0)+IF(MONTH($A2122)=Reference!$D$5,1,0))+(IF(MONTH($A2122)=Reference!$D$6,Reference!$D$13,0))),0)</f>
        <v>383</v>
      </c>
      <c r="E2122" s="11">
        <f ca="1">D2122*Reference!$D$7*(1-IF(MONTH($A2122)=Reference!$D$6,1,0)*Reference!$D$12)</f>
        <v>287250</v>
      </c>
      <c r="M2122" s="20"/>
      <c r="N2122" s="20"/>
      <c r="O2122" s="19"/>
      <c r="P2122" s="10"/>
      <c r="Q2122" s="10"/>
      <c r="R2122" s="10"/>
      <c r="S2122" s="10"/>
      <c r="T2122" s="10"/>
      <c r="U2122" s="10"/>
      <c r="V2122" s="10"/>
      <c r="W2122" s="10"/>
      <c r="X2122" s="10"/>
      <c r="Y2122" s="10"/>
    </row>
    <row r="2123" spans="1:25" x14ac:dyDescent="0.25">
      <c r="A2123" s="9">
        <v>42661</v>
      </c>
      <c r="B2123" s="10">
        <f ca="1">ROUND(_xlfn.NORM.INV(RAND(),Reference!$C$8,0.1*Reference!$C$8)*(1+Reference!$C$11*(IF(MONTH($A2123)=Reference!$C$4,1,0)+IF(MONTH($A2123)=Reference!$C$5,1,0))+(IF(MONTH($A2123)=Reference!$C$6,Reference!$C$13,0))),0)</f>
        <v>368</v>
      </c>
      <c r="C2123" s="11">
        <f ca="1">B2123*Reference!$C$7*(1-IF(MONTH($A2123)=Reference!$C$6,1,0)*Reference!$C$12)</f>
        <v>342240</v>
      </c>
      <c r="D2123" s="10">
        <f ca="1">ROUND(_xlfn.NORM.INV(RAND(),Reference!$D$8,0.1*Reference!$D$8)*(1+Reference!$D$11*(IF(MONTH($A2123)=Reference!$D$4,1,0)+IF(MONTH($A2123)=Reference!$D$5,1,0))+(IF(MONTH($A2123)=Reference!$D$6,Reference!$D$13,0))),0)</f>
        <v>469</v>
      </c>
      <c r="E2123" s="11">
        <f ca="1">D2123*Reference!$D$7*(1-IF(MONTH($A2123)=Reference!$D$6,1,0)*Reference!$D$12)</f>
        <v>351750</v>
      </c>
      <c r="M2123" s="20"/>
      <c r="N2123" s="20"/>
      <c r="O2123" s="19"/>
      <c r="P2123" s="10"/>
      <c r="Q2123" s="10"/>
      <c r="R2123" s="10"/>
      <c r="S2123" s="10"/>
      <c r="T2123" s="10"/>
      <c r="U2123" s="10"/>
      <c r="V2123" s="10"/>
      <c r="W2123" s="10"/>
      <c r="X2123" s="10"/>
      <c r="Y2123" s="10"/>
    </row>
    <row r="2124" spans="1:25" x14ac:dyDescent="0.25">
      <c r="A2124" s="9">
        <v>42662</v>
      </c>
      <c r="B2124" s="10">
        <f ca="1">ROUND(_xlfn.NORM.INV(RAND(),Reference!$C$8,0.1*Reference!$C$8)*(1+Reference!$C$11*(IF(MONTH($A2124)=Reference!$C$4,1,0)+IF(MONTH($A2124)=Reference!$C$5,1,0))+(IF(MONTH($A2124)=Reference!$C$6,Reference!$C$13,0))),0)</f>
        <v>276</v>
      </c>
      <c r="C2124" s="11">
        <f ca="1">B2124*Reference!$C$7*(1-IF(MONTH($A2124)=Reference!$C$6,1,0)*Reference!$C$12)</f>
        <v>256680</v>
      </c>
      <c r="D2124" s="10">
        <f ca="1">ROUND(_xlfn.NORM.INV(RAND(),Reference!$D$8,0.1*Reference!$D$8)*(1+Reference!$D$11*(IF(MONTH($A2124)=Reference!$D$4,1,0)+IF(MONTH($A2124)=Reference!$D$5,1,0))+(IF(MONTH($A2124)=Reference!$D$6,Reference!$D$13,0))),0)</f>
        <v>499</v>
      </c>
      <c r="E2124" s="11">
        <f ca="1">D2124*Reference!$D$7*(1-IF(MONTH($A2124)=Reference!$D$6,1,0)*Reference!$D$12)</f>
        <v>374250</v>
      </c>
      <c r="M2124" s="20"/>
      <c r="N2124" s="20"/>
      <c r="O2124" s="19"/>
      <c r="P2124" s="10"/>
      <c r="Q2124" s="10"/>
      <c r="R2124" s="10"/>
      <c r="S2124" s="10"/>
      <c r="T2124" s="10"/>
      <c r="U2124" s="10"/>
      <c r="V2124" s="10"/>
      <c r="W2124" s="10"/>
      <c r="X2124" s="10"/>
      <c r="Y2124" s="10"/>
    </row>
    <row r="2125" spans="1:25" x14ac:dyDescent="0.25">
      <c r="A2125" s="9">
        <v>42663</v>
      </c>
      <c r="B2125" s="10">
        <f ca="1">ROUND(_xlfn.NORM.INV(RAND(),Reference!$C$8,0.1*Reference!$C$8)*(1+Reference!$C$11*(IF(MONTH($A2125)=Reference!$C$4,1,0)+IF(MONTH($A2125)=Reference!$C$5,1,0))+(IF(MONTH($A2125)=Reference!$C$6,Reference!$C$13,0))),0)</f>
        <v>411</v>
      </c>
      <c r="C2125" s="11">
        <f ca="1">B2125*Reference!$C$7*(1-IF(MONTH($A2125)=Reference!$C$6,1,0)*Reference!$C$12)</f>
        <v>382230</v>
      </c>
      <c r="D2125" s="10">
        <f ca="1">ROUND(_xlfn.NORM.INV(RAND(),Reference!$D$8,0.1*Reference!$D$8)*(1+Reference!$D$11*(IF(MONTH($A2125)=Reference!$D$4,1,0)+IF(MONTH($A2125)=Reference!$D$5,1,0))+(IF(MONTH($A2125)=Reference!$D$6,Reference!$D$13,0))),0)</f>
        <v>450</v>
      </c>
      <c r="E2125" s="11">
        <f ca="1">D2125*Reference!$D$7*(1-IF(MONTH($A2125)=Reference!$D$6,1,0)*Reference!$D$12)</f>
        <v>337500</v>
      </c>
      <c r="M2125" s="20"/>
      <c r="N2125" s="20"/>
      <c r="O2125" s="19"/>
      <c r="P2125" s="10"/>
      <c r="Q2125" s="10"/>
      <c r="R2125" s="10"/>
      <c r="S2125" s="10"/>
      <c r="T2125" s="10"/>
      <c r="U2125" s="10"/>
      <c r="V2125" s="10"/>
      <c r="W2125" s="10"/>
      <c r="X2125" s="10"/>
      <c r="Y2125" s="10"/>
    </row>
    <row r="2126" spans="1:25" x14ac:dyDescent="0.25">
      <c r="A2126" s="9">
        <v>42664</v>
      </c>
      <c r="B2126" s="10">
        <f ca="1">ROUND(_xlfn.NORM.INV(RAND(),Reference!$C$8,0.1*Reference!$C$8)*(1+Reference!$C$11*(IF(MONTH($A2126)=Reference!$C$4,1,0)+IF(MONTH($A2126)=Reference!$C$5,1,0))+(IF(MONTH($A2126)=Reference!$C$6,Reference!$C$13,0))),0)</f>
        <v>401</v>
      </c>
      <c r="C2126" s="11">
        <f ca="1">B2126*Reference!$C$7*(1-IF(MONTH($A2126)=Reference!$C$6,1,0)*Reference!$C$12)</f>
        <v>372930</v>
      </c>
      <c r="D2126" s="10">
        <f ca="1">ROUND(_xlfn.NORM.INV(RAND(),Reference!$D$8,0.1*Reference!$D$8)*(1+Reference!$D$11*(IF(MONTH($A2126)=Reference!$D$4,1,0)+IF(MONTH($A2126)=Reference!$D$5,1,0))+(IF(MONTH($A2126)=Reference!$D$6,Reference!$D$13,0))),0)</f>
        <v>461</v>
      </c>
      <c r="E2126" s="11">
        <f ca="1">D2126*Reference!$D$7*(1-IF(MONTH($A2126)=Reference!$D$6,1,0)*Reference!$D$12)</f>
        <v>345750</v>
      </c>
      <c r="M2126" s="20"/>
      <c r="N2126" s="20"/>
      <c r="O2126" s="19"/>
      <c r="P2126" s="10"/>
      <c r="Q2126" s="10"/>
      <c r="R2126" s="10"/>
      <c r="S2126" s="10"/>
      <c r="T2126" s="10"/>
      <c r="U2126" s="10"/>
      <c r="V2126" s="10"/>
      <c r="W2126" s="10"/>
      <c r="X2126" s="10"/>
      <c r="Y2126" s="10"/>
    </row>
    <row r="2127" spans="1:25" x14ac:dyDescent="0.25">
      <c r="A2127" s="9">
        <v>42665</v>
      </c>
      <c r="B2127" s="10">
        <f ca="1">ROUND(_xlfn.NORM.INV(RAND(),Reference!$C$8,0.1*Reference!$C$8)*(1+Reference!$C$11*(IF(MONTH($A2127)=Reference!$C$4,1,0)+IF(MONTH($A2127)=Reference!$C$5,1,0))+(IF(MONTH($A2127)=Reference!$C$6,Reference!$C$13,0))),0)</f>
        <v>375</v>
      </c>
      <c r="C2127" s="11">
        <f ca="1">B2127*Reference!$C$7*(1-IF(MONTH($A2127)=Reference!$C$6,1,0)*Reference!$C$12)</f>
        <v>348750</v>
      </c>
      <c r="D2127" s="10">
        <f ca="1">ROUND(_xlfn.NORM.INV(RAND(),Reference!$D$8,0.1*Reference!$D$8)*(1+Reference!$D$11*(IF(MONTH($A2127)=Reference!$D$4,1,0)+IF(MONTH($A2127)=Reference!$D$5,1,0))+(IF(MONTH($A2127)=Reference!$D$6,Reference!$D$13,0))),0)</f>
        <v>380</v>
      </c>
      <c r="E2127" s="11">
        <f ca="1">D2127*Reference!$D$7*(1-IF(MONTH($A2127)=Reference!$D$6,1,0)*Reference!$D$12)</f>
        <v>285000</v>
      </c>
      <c r="M2127" s="20"/>
      <c r="N2127" s="20"/>
      <c r="O2127" s="19"/>
      <c r="P2127" s="10"/>
      <c r="Q2127" s="10"/>
      <c r="R2127" s="10"/>
      <c r="S2127" s="10"/>
      <c r="T2127" s="10"/>
      <c r="U2127" s="10"/>
      <c r="V2127" s="10"/>
      <c r="W2127" s="10"/>
      <c r="X2127" s="10"/>
      <c r="Y2127" s="10"/>
    </row>
    <row r="2128" spans="1:25" x14ac:dyDescent="0.25">
      <c r="A2128" s="9">
        <v>42666</v>
      </c>
      <c r="B2128" s="10">
        <f ca="1">ROUND(_xlfn.NORM.INV(RAND(),Reference!$C$8,0.1*Reference!$C$8)*(1+Reference!$C$11*(IF(MONTH($A2128)=Reference!$C$4,1,0)+IF(MONTH($A2128)=Reference!$C$5,1,0))+(IF(MONTH($A2128)=Reference!$C$6,Reference!$C$13,0))),0)</f>
        <v>281</v>
      </c>
      <c r="C2128" s="11">
        <f ca="1">B2128*Reference!$C$7*(1-IF(MONTH($A2128)=Reference!$C$6,1,0)*Reference!$C$12)</f>
        <v>261330</v>
      </c>
      <c r="D2128" s="10">
        <f ca="1">ROUND(_xlfn.NORM.INV(RAND(),Reference!$D$8,0.1*Reference!$D$8)*(1+Reference!$D$11*(IF(MONTH($A2128)=Reference!$D$4,1,0)+IF(MONTH($A2128)=Reference!$D$5,1,0))+(IF(MONTH($A2128)=Reference!$D$6,Reference!$D$13,0))),0)</f>
        <v>550</v>
      </c>
      <c r="E2128" s="11">
        <f ca="1">D2128*Reference!$D$7*(1-IF(MONTH($A2128)=Reference!$D$6,1,0)*Reference!$D$12)</f>
        <v>412500</v>
      </c>
      <c r="M2128" s="20"/>
      <c r="N2128" s="20"/>
      <c r="O2128" s="19"/>
      <c r="P2128" s="10"/>
      <c r="Q2128" s="10"/>
      <c r="R2128" s="10"/>
      <c r="S2128" s="10"/>
      <c r="T2128" s="10"/>
      <c r="U2128" s="10"/>
      <c r="V2128" s="10"/>
      <c r="W2128" s="10"/>
      <c r="X2128" s="10"/>
      <c r="Y2128" s="10"/>
    </row>
    <row r="2129" spans="1:25" x14ac:dyDescent="0.25">
      <c r="A2129" s="9">
        <v>42667</v>
      </c>
      <c r="B2129" s="10">
        <f ca="1">ROUND(_xlfn.NORM.INV(RAND(),Reference!$C$8,0.1*Reference!$C$8)*(1+Reference!$C$11*(IF(MONTH($A2129)=Reference!$C$4,1,0)+IF(MONTH($A2129)=Reference!$C$5,1,0))+(IF(MONTH($A2129)=Reference!$C$6,Reference!$C$13,0))),0)</f>
        <v>369</v>
      </c>
      <c r="C2129" s="11">
        <f ca="1">B2129*Reference!$C$7*(1-IF(MONTH($A2129)=Reference!$C$6,1,0)*Reference!$C$12)</f>
        <v>343170</v>
      </c>
      <c r="D2129" s="10">
        <f ca="1">ROUND(_xlfn.NORM.INV(RAND(),Reference!$D$8,0.1*Reference!$D$8)*(1+Reference!$D$11*(IF(MONTH($A2129)=Reference!$D$4,1,0)+IF(MONTH($A2129)=Reference!$D$5,1,0))+(IF(MONTH($A2129)=Reference!$D$6,Reference!$D$13,0))),0)</f>
        <v>474</v>
      </c>
      <c r="E2129" s="11">
        <f ca="1">D2129*Reference!$D$7*(1-IF(MONTH($A2129)=Reference!$D$6,1,0)*Reference!$D$12)</f>
        <v>355500</v>
      </c>
      <c r="M2129" s="20"/>
      <c r="N2129" s="20"/>
      <c r="O2129" s="19"/>
      <c r="P2129" s="10"/>
      <c r="Q2129" s="10"/>
      <c r="R2129" s="10"/>
      <c r="S2129" s="10"/>
      <c r="T2129" s="10"/>
      <c r="U2129" s="10"/>
      <c r="V2129" s="10"/>
      <c r="W2129" s="10"/>
      <c r="X2129" s="10"/>
      <c r="Y2129" s="10"/>
    </row>
    <row r="2130" spans="1:25" x14ac:dyDescent="0.25">
      <c r="A2130" s="9">
        <v>42668</v>
      </c>
      <c r="B2130" s="10">
        <f ca="1">ROUND(_xlfn.NORM.INV(RAND(),Reference!$C$8,0.1*Reference!$C$8)*(1+Reference!$C$11*(IF(MONTH($A2130)=Reference!$C$4,1,0)+IF(MONTH($A2130)=Reference!$C$5,1,0))+(IF(MONTH($A2130)=Reference!$C$6,Reference!$C$13,0))),0)</f>
        <v>355</v>
      </c>
      <c r="C2130" s="11">
        <f ca="1">B2130*Reference!$C$7*(1-IF(MONTH($A2130)=Reference!$C$6,1,0)*Reference!$C$12)</f>
        <v>330150</v>
      </c>
      <c r="D2130" s="10">
        <f ca="1">ROUND(_xlfn.NORM.INV(RAND(),Reference!$D$8,0.1*Reference!$D$8)*(1+Reference!$D$11*(IF(MONTH($A2130)=Reference!$D$4,1,0)+IF(MONTH($A2130)=Reference!$D$5,1,0))+(IF(MONTH($A2130)=Reference!$D$6,Reference!$D$13,0))),0)</f>
        <v>418</v>
      </c>
      <c r="E2130" s="11">
        <f ca="1">D2130*Reference!$D$7*(1-IF(MONTH($A2130)=Reference!$D$6,1,0)*Reference!$D$12)</f>
        <v>313500</v>
      </c>
      <c r="M2130" s="20"/>
      <c r="N2130" s="20"/>
      <c r="O2130" s="19"/>
      <c r="P2130" s="10"/>
      <c r="Q2130" s="10"/>
      <c r="R2130" s="10"/>
      <c r="S2130" s="10"/>
      <c r="T2130" s="10"/>
      <c r="U2130" s="10"/>
      <c r="V2130" s="10"/>
      <c r="W2130" s="10"/>
      <c r="X2130" s="10"/>
      <c r="Y2130" s="10"/>
    </row>
    <row r="2131" spans="1:25" x14ac:dyDescent="0.25">
      <c r="A2131" s="9">
        <v>42669</v>
      </c>
      <c r="B2131" s="10">
        <f ca="1">ROUND(_xlfn.NORM.INV(RAND(),Reference!$C$8,0.1*Reference!$C$8)*(1+Reference!$C$11*(IF(MONTH($A2131)=Reference!$C$4,1,0)+IF(MONTH($A2131)=Reference!$C$5,1,0))+(IF(MONTH($A2131)=Reference!$C$6,Reference!$C$13,0))),0)</f>
        <v>273</v>
      </c>
      <c r="C2131" s="11">
        <f ca="1">B2131*Reference!$C$7*(1-IF(MONTH($A2131)=Reference!$C$6,1,0)*Reference!$C$12)</f>
        <v>253890</v>
      </c>
      <c r="D2131" s="10">
        <f ca="1">ROUND(_xlfn.NORM.INV(RAND(),Reference!$D$8,0.1*Reference!$D$8)*(1+Reference!$D$11*(IF(MONTH($A2131)=Reference!$D$4,1,0)+IF(MONTH($A2131)=Reference!$D$5,1,0))+(IF(MONTH($A2131)=Reference!$D$6,Reference!$D$13,0))),0)</f>
        <v>437</v>
      </c>
      <c r="E2131" s="11">
        <f ca="1">D2131*Reference!$D$7*(1-IF(MONTH($A2131)=Reference!$D$6,1,0)*Reference!$D$12)</f>
        <v>327750</v>
      </c>
      <c r="M2131" s="20"/>
      <c r="N2131" s="20"/>
      <c r="O2131" s="19"/>
      <c r="P2131" s="10"/>
      <c r="Q2131" s="10"/>
      <c r="R2131" s="10"/>
      <c r="S2131" s="10"/>
      <c r="T2131" s="10"/>
      <c r="U2131" s="10"/>
      <c r="V2131" s="10"/>
      <c r="W2131" s="10"/>
      <c r="X2131" s="10"/>
      <c r="Y2131" s="10"/>
    </row>
    <row r="2132" spans="1:25" x14ac:dyDescent="0.25">
      <c r="A2132" s="9">
        <v>42670</v>
      </c>
      <c r="B2132" s="10">
        <f ca="1">ROUND(_xlfn.NORM.INV(RAND(),Reference!$C$8,0.1*Reference!$C$8)*(1+Reference!$C$11*(IF(MONTH($A2132)=Reference!$C$4,1,0)+IF(MONTH($A2132)=Reference!$C$5,1,0))+(IF(MONTH($A2132)=Reference!$C$6,Reference!$C$13,0))),0)</f>
        <v>377</v>
      </c>
      <c r="C2132" s="11">
        <f ca="1">B2132*Reference!$C$7*(1-IF(MONTH($A2132)=Reference!$C$6,1,0)*Reference!$C$12)</f>
        <v>350610</v>
      </c>
      <c r="D2132" s="10">
        <f ca="1">ROUND(_xlfn.NORM.INV(RAND(),Reference!$D$8,0.1*Reference!$D$8)*(1+Reference!$D$11*(IF(MONTH($A2132)=Reference!$D$4,1,0)+IF(MONTH($A2132)=Reference!$D$5,1,0))+(IF(MONTH($A2132)=Reference!$D$6,Reference!$D$13,0))),0)</f>
        <v>393</v>
      </c>
      <c r="E2132" s="11">
        <f ca="1">D2132*Reference!$D$7*(1-IF(MONTH($A2132)=Reference!$D$6,1,0)*Reference!$D$12)</f>
        <v>294750</v>
      </c>
      <c r="M2132" s="20"/>
      <c r="N2132" s="20"/>
      <c r="O2132" s="19"/>
      <c r="P2132" s="10"/>
      <c r="Q2132" s="10"/>
      <c r="R2132" s="10"/>
      <c r="S2132" s="10"/>
      <c r="T2132" s="10"/>
      <c r="U2132" s="10"/>
      <c r="V2132" s="10"/>
      <c r="W2132" s="10"/>
      <c r="X2132" s="10"/>
      <c r="Y2132" s="10"/>
    </row>
    <row r="2133" spans="1:25" x14ac:dyDescent="0.25">
      <c r="A2133" s="9">
        <v>42671</v>
      </c>
      <c r="B2133" s="10">
        <f ca="1">ROUND(_xlfn.NORM.INV(RAND(),Reference!$C$8,0.1*Reference!$C$8)*(1+Reference!$C$11*(IF(MONTH($A2133)=Reference!$C$4,1,0)+IF(MONTH($A2133)=Reference!$C$5,1,0))+(IF(MONTH($A2133)=Reference!$C$6,Reference!$C$13,0))),0)</f>
        <v>326</v>
      </c>
      <c r="C2133" s="11">
        <f ca="1">B2133*Reference!$C$7*(1-IF(MONTH($A2133)=Reference!$C$6,1,0)*Reference!$C$12)</f>
        <v>303180</v>
      </c>
      <c r="D2133" s="10">
        <f ca="1">ROUND(_xlfn.NORM.INV(RAND(),Reference!$D$8,0.1*Reference!$D$8)*(1+Reference!$D$11*(IF(MONTH($A2133)=Reference!$D$4,1,0)+IF(MONTH($A2133)=Reference!$D$5,1,0))+(IF(MONTH($A2133)=Reference!$D$6,Reference!$D$13,0))),0)</f>
        <v>399</v>
      </c>
      <c r="E2133" s="11">
        <f ca="1">D2133*Reference!$D$7*(1-IF(MONTH($A2133)=Reference!$D$6,1,0)*Reference!$D$12)</f>
        <v>299250</v>
      </c>
      <c r="M2133" s="20"/>
      <c r="N2133" s="20"/>
      <c r="O2133" s="19"/>
      <c r="P2133" s="10"/>
      <c r="Q2133" s="10"/>
      <c r="R2133" s="10"/>
      <c r="S2133" s="10"/>
      <c r="T2133" s="10"/>
      <c r="U2133" s="10"/>
      <c r="V2133" s="10"/>
      <c r="W2133" s="10"/>
      <c r="X2133" s="10"/>
      <c r="Y2133" s="10"/>
    </row>
    <row r="2134" spans="1:25" x14ac:dyDescent="0.25">
      <c r="A2134" s="9">
        <v>42672</v>
      </c>
      <c r="B2134" s="10">
        <f ca="1">ROUND(_xlfn.NORM.INV(RAND(),Reference!$C$8,0.1*Reference!$C$8)*(1+Reference!$C$11*(IF(MONTH($A2134)=Reference!$C$4,1,0)+IF(MONTH($A2134)=Reference!$C$5,1,0))+(IF(MONTH($A2134)=Reference!$C$6,Reference!$C$13,0))),0)</f>
        <v>369</v>
      </c>
      <c r="C2134" s="11">
        <f ca="1">B2134*Reference!$C$7*(1-IF(MONTH($A2134)=Reference!$C$6,1,0)*Reference!$C$12)</f>
        <v>343170</v>
      </c>
      <c r="D2134" s="10">
        <f ca="1">ROUND(_xlfn.NORM.INV(RAND(),Reference!$D$8,0.1*Reference!$D$8)*(1+Reference!$D$11*(IF(MONTH($A2134)=Reference!$D$4,1,0)+IF(MONTH($A2134)=Reference!$D$5,1,0))+(IF(MONTH($A2134)=Reference!$D$6,Reference!$D$13,0))),0)</f>
        <v>428</v>
      </c>
      <c r="E2134" s="11">
        <f ca="1">D2134*Reference!$D$7*(1-IF(MONTH($A2134)=Reference!$D$6,1,0)*Reference!$D$12)</f>
        <v>321000</v>
      </c>
      <c r="M2134" s="20"/>
      <c r="N2134" s="20"/>
      <c r="O2134" s="19"/>
      <c r="P2134" s="10"/>
      <c r="Q2134" s="10"/>
      <c r="R2134" s="10"/>
      <c r="S2134" s="10"/>
      <c r="T2134" s="10"/>
      <c r="U2134" s="10"/>
      <c r="V2134" s="10"/>
      <c r="W2134" s="10"/>
      <c r="X2134" s="10"/>
      <c r="Y2134" s="10"/>
    </row>
    <row r="2135" spans="1:25" x14ac:dyDescent="0.25">
      <c r="A2135" s="9">
        <v>42673</v>
      </c>
      <c r="B2135" s="10">
        <f ca="1">ROUND(_xlfn.NORM.INV(RAND(),Reference!$C$8,0.1*Reference!$C$8)*(1+Reference!$C$11*(IF(MONTH($A2135)=Reference!$C$4,1,0)+IF(MONTH($A2135)=Reference!$C$5,1,0))+(IF(MONTH($A2135)=Reference!$C$6,Reference!$C$13,0))),0)</f>
        <v>341</v>
      </c>
      <c r="C2135" s="11">
        <f ca="1">B2135*Reference!$C$7*(1-IF(MONTH($A2135)=Reference!$C$6,1,0)*Reference!$C$12)</f>
        <v>317130</v>
      </c>
      <c r="D2135" s="10">
        <f ca="1">ROUND(_xlfn.NORM.INV(RAND(),Reference!$D$8,0.1*Reference!$D$8)*(1+Reference!$D$11*(IF(MONTH($A2135)=Reference!$D$4,1,0)+IF(MONTH($A2135)=Reference!$D$5,1,0))+(IF(MONTH($A2135)=Reference!$D$6,Reference!$D$13,0))),0)</f>
        <v>479</v>
      </c>
      <c r="E2135" s="11">
        <f ca="1">D2135*Reference!$D$7*(1-IF(MONTH($A2135)=Reference!$D$6,1,0)*Reference!$D$12)</f>
        <v>359250</v>
      </c>
      <c r="M2135" s="20"/>
      <c r="N2135" s="20"/>
      <c r="O2135" s="19"/>
      <c r="P2135" s="10"/>
      <c r="Q2135" s="10"/>
      <c r="R2135" s="10"/>
      <c r="S2135" s="10"/>
      <c r="T2135" s="10"/>
      <c r="U2135" s="10"/>
      <c r="V2135" s="10"/>
      <c r="W2135" s="10"/>
      <c r="X2135" s="10"/>
      <c r="Y2135" s="10"/>
    </row>
    <row r="2136" spans="1:25" x14ac:dyDescent="0.25">
      <c r="A2136" s="9">
        <v>42674</v>
      </c>
      <c r="B2136" s="10">
        <f ca="1">ROUND(_xlfn.NORM.INV(RAND(),Reference!$C$8,0.1*Reference!$C$8)*(1+Reference!$C$11*(IF(MONTH($A2136)=Reference!$C$4,1,0)+IF(MONTH($A2136)=Reference!$C$5,1,0))+(IF(MONTH($A2136)=Reference!$C$6,Reference!$C$13,0))),0)</f>
        <v>361</v>
      </c>
      <c r="C2136" s="11">
        <f ca="1">B2136*Reference!$C$7*(1-IF(MONTH($A2136)=Reference!$C$6,1,0)*Reference!$C$12)</f>
        <v>335730</v>
      </c>
      <c r="D2136" s="10">
        <f ca="1">ROUND(_xlfn.NORM.INV(RAND(),Reference!$D$8,0.1*Reference!$D$8)*(1+Reference!$D$11*(IF(MONTH($A2136)=Reference!$D$4,1,0)+IF(MONTH($A2136)=Reference!$D$5,1,0))+(IF(MONTH($A2136)=Reference!$D$6,Reference!$D$13,0))),0)</f>
        <v>462</v>
      </c>
      <c r="E2136" s="11">
        <f ca="1">D2136*Reference!$D$7*(1-IF(MONTH($A2136)=Reference!$D$6,1,0)*Reference!$D$12)</f>
        <v>346500</v>
      </c>
      <c r="M2136" s="20"/>
      <c r="N2136" s="20"/>
      <c r="O2136" s="19"/>
      <c r="P2136" s="10"/>
      <c r="Q2136" s="10"/>
      <c r="R2136" s="10"/>
      <c r="S2136" s="10"/>
      <c r="T2136" s="10"/>
      <c r="U2136" s="10"/>
      <c r="V2136" s="10"/>
      <c r="W2136" s="10"/>
      <c r="X2136" s="10"/>
      <c r="Y2136" s="10"/>
    </row>
    <row r="2137" spans="1:25" x14ac:dyDescent="0.25">
      <c r="A2137" s="9">
        <v>42675</v>
      </c>
      <c r="B2137" s="10">
        <f ca="1">ROUND(_xlfn.NORM.INV(RAND(),Reference!$C$8,0.1*Reference!$C$8)*(1+Reference!$C$11*(IF(MONTH($A2137)=Reference!$C$4,1,0)+IF(MONTH($A2137)=Reference!$C$5,1,0))+(IF(MONTH($A2137)=Reference!$C$6,Reference!$C$13,0))),0)</f>
        <v>306</v>
      </c>
      <c r="C2137" s="11">
        <f ca="1">B2137*Reference!$C$7*(1-IF(MONTH($A2137)=Reference!$C$6,1,0)*Reference!$C$12)</f>
        <v>284580</v>
      </c>
      <c r="D2137" s="10">
        <f ca="1">ROUND(_xlfn.NORM.INV(RAND(),Reference!$D$8,0.1*Reference!$D$8)*(1+Reference!$D$11*(IF(MONTH($A2137)=Reference!$D$4,1,0)+IF(MONTH($A2137)=Reference!$D$5,1,0))+(IF(MONTH($A2137)=Reference!$D$6,Reference!$D$13,0))),0)</f>
        <v>462</v>
      </c>
      <c r="E2137" s="11">
        <f ca="1">D2137*Reference!$D$7*(1-IF(MONTH($A2137)=Reference!$D$6,1,0)*Reference!$D$12)</f>
        <v>346500</v>
      </c>
      <c r="M2137" s="20"/>
      <c r="N2137" s="20"/>
      <c r="O2137" s="19"/>
      <c r="P2137" s="10"/>
      <c r="Q2137" s="10"/>
      <c r="R2137" s="10"/>
      <c r="S2137" s="10"/>
      <c r="T2137" s="10"/>
      <c r="U2137" s="10"/>
      <c r="V2137" s="10"/>
      <c r="W2137" s="10"/>
      <c r="X2137" s="10"/>
      <c r="Y2137" s="10"/>
    </row>
    <row r="2138" spans="1:25" x14ac:dyDescent="0.25">
      <c r="A2138" s="9">
        <v>42676</v>
      </c>
      <c r="B2138" s="10">
        <f ca="1">ROUND(_xlfn.NORM.INV(RAND(),Reference!$C$8,0.1*Reference!$C$8)*(1+Reference!$C$11*(IF(MONTH($A2138)=Reference!$C$4,1,0)+IF(MONTH($A2138)=Reference!$C$5,1,0))+(IF(MONTH($A2138)=Reference!$C$6,Reference!$C$13,0))),0)</f>
        <v>399</v>
      </c>
      <c r="C2138" s="11">
        <f ca="1">B2138*Reference!$C$7*(1-IF(MONTH($A2138)=Reference!$C$6,1,0)*Reference!$C$12)</f>
        <v>371070</v>
      </c>
      <c r="D2138" s="10">
        <f ca="1">ROUND(_xlfn.NORM.INV(RAND(),Reference!$D$8,0.1*Reference!$D$8)*(1+Reference!$D$11*(IF(MONTH($A2138)=Reference!$D$4,1,0)+IF(MONTH($A2138)=Reference!$D$5,1,0))+(IF(MONTH($A2138)=Reference!$D$6,Reference!$D$13,0))),0)</f>
        <v>419</v>
      </c>
      <c r="E2138" s="11">
        <f ca="1">D2138*Reference!$D$7*(1-IF(MONTH($A2138)=Reference!$D$6,1,0)*Reference!$D$12)</f>
        <v>314250</v>
      </c>
      <c r="M2138" s="20"/>
      <c r="N2138" s="20"/>
      <c r="O2138" s="19"/>
      <c r="P2138" s="10"/>
      <c r="Q2138" s="10"/>
      <c r="R2138" s="10"/>
      <c r="S2138" s="10"/>
      <c r="T2138" s="10"/>
      <c r="U2138" s="10"/>
      <c r="V2138" s="10"/>
      <c r="W2138" s="10"/>
      <c r="X2138" s="10"/>
      <c r="Y2138" s="10"/>
    </row>
    <row r="2139" spans="1:25" x14ac:dyDescent="0.25">
      <c r="A2139" s="9">
        <v>42677</v>
      </c>
      <c r="B2139" s="10">
        <f ca="1">ROUND(_xlfn.NORM.INV(RAND(),Reference!$C$8,0.1*Reference!$C$8)*(1+Reference!$C$11*(IF(MONTH($A2139)=Reference!$C$4,1,0)+IF(MONTH($A2139)=Reference!$C$5,1,0))+(IF(MONTH($A2139)=Reference!$C$6,Reference!$C$13,0))),0)</f>
        <v>402</v>
      </c>
      <c r="C2139" s="11">
        <f ca="1">B2139*Reference!$C$7*(1-IF(MONTH($A2139)=Reference!$C$6,1,0)*Reference!$C$12)</f>
        <v>373860</v>
      </c>
      <c r="D2139" s="10">
        <f ca="1">ROUND(_xlfn.NORM.INV(RAND(),Reference!$D$8,0.1*Reference!$D$8)*(1+Reference!$D$11*(IF(MONTH($A2139)=Reference!$D$4,1,0)+IF(MONTH($A2139)=Reference!$D$5,1,0))+(IF(MONTH($A2139)=Reference!$D$6,Reference!$D$13,0))),0)</f>
        <v>425</v>
      </c>
      <c r="E2139" s="11">
        <f ca="1">D2139*Reference!$D$7*(1-IF(MONTH($A2139)=Reference!$D$6,1,0)*Reference!$D$12)</f>
        <v>318750</v>
      </c>
      <c r="M2139" s="20"/>
      <c r="N2139" s="20"/>
      <c r="O2139" s="19"/>
      <c r="P2139" s="10"/>
      <c r="Q2139" s="10"/>
      <c r="R2139" s="10"/>
      <c r="S2139" s="10"/>
      <c r="T2139" s="10"/>
      <c r="U2139" s="10"/>
      <c r="V2139" s="10"/>
      <c r="W2139" s="10"/>
      <c r="X2139" s="10"/>
      <c r="Y2139" s="10"/>
    </row>
    <row r="2140" spans="1:25" x14ac:dyDescent="0.25">
      <c r="A2140" s="9">
        <v>42678</v>
      </c>
      <c r="B2140" s="10">
        <f ca="1">ROUND(_xlfn.NORM.INV(RAND(),Reference!$C$8,0.1*Reference!$C$8)*(1+Reference!$C$11*(IF(MONTH($A2140)=Reference!$C$4,1,0)+IF(MONTH($A2140)=Reference!$C$5,1,0))+(IF(MONTH($A2140)=Reference!$C$6,Reference!$C$13,0))),0)</f>
        <v>337</v>
      </c>
      <c r="C2140" s="11">
        <f ca="1">B2140*Reference!$C$7*(1-IF(MONTH($A2140)=Reference!$C$6,1,0)*Reference!$C$12)</f>
        <v>313410</v>
      </c>
      <c r="D2140" s="10">
        <f ca="1">ROUND(_xlfn.NORM.INV(RAND(),Reference!$D$8,0.1*Reference!$D$8)*(1+Reference!$D$11*(IF(MONTH($A2140)=Reference!$D$4,1,0)+IF(MONTH($A2140)=Reference!$D$5,1,0))+(IF(MONTH($A2140)=Reference!$D$6,Reference!$D$13,0))),0)</f>
        <v>411</v>
      </c>
      <c r="E2140" s="11">
        <f ca="1">D2140*Reference!$D$7*(1-IF(MONTH($A2140)=Reference!$D$6,1,0)*Reference!$D$12)</f>
        <v>308250</v>
      </c>
      <c r="M2140" s="20"/>
      <c r="N2140" s="20"/>
      <c r="O2140" s="19"/>
      <c r="P2140" s="10"/>
      <c r="Q2140" s="10"/>
      <c r="R2140" s="10"/>
      <c r="S2140" s="10"/>
      <c r="T2140" s="10"/>
      <c r="U2140" s="10"/>
      <c r="V2140" s="10"/>
      <c r="W2140" s="10"/>
      <c r="X2140" s="10"/>
      <c r="Y2140" s="10"/>
    </row>
    <row r="2141" spans="1:25" x14ac:dyDescent="0.25">
      <c r="A2141" s="9">
        <v>42679</v>
      </c>
      <c r="B2141" s="10">
        <f ca="1">ROUND(_xlfn.NORM.INV(RAND(),Reference!$C$8,0.1*Reference!$C$8)*(1+Reference!$C$11*(IF(MONTH($A2141)=Reference!$C$4,1,0)+IF(MONTH($A2141)=Reference!$C$5,1,0))+(IF(MONTH($A2141)=Reference!$C$6,Reference!$C$13,0))),0)</f>
        <v>362</v>
      </c>
      <c r="C2141" s="11">
        <f ca="1">B2141*Reference!$C$7*(1-IF(MONTH($A2141)=Reference!$C$6,1,0)*Reference!$C$12)</f>
        <v>336660</v>
      </c>
      <c r="D2141" s="10">
        <f ca="1">ROUND(_xlfn.NORM.INV(RAND(),Reference!$D$8,0.1*Reference!$D$8)*(1+Reference!$D$11*(IF(MONTH($A2141)=Reference!$D$4,1,0)+IF(MONTH($A2141)=Reference!$D$5,1,0))+(IF(MONTH($A2141)=Reference!$D$6,Reference!$D$13,0))),0)</f>
        <v>453</v>
      </c>
      <c r="E2141" s="11">
        <f ca="1">D2141*Reference!$D$7*(1-IF(MONTH($A2141)=Reference!$D$6,1,0)*Reference!$D$12)</f>
        <v>339750</v>
      </c>
      <c r="M2141" s="20"/>
      <c r="N2141" s="20"/>
      <c r="O2141" s="19"/>
      <c r="P2141" s="10"/>
      <c r="Q2141" s="10"/>
      <c r="R2141" s="10"/>
      <c r="S2141" s="10"/>
      <c r="T2141" s="10"/>
      <c r="U2141" s="10"/>
      <c r="V2141" s="10"/>
      <c r="W2141" s="10"/>
      <c r="X2141" s="10"/>
      <c r="Y2141" s="10"/>
    </row>
    <row r="2142" spans="1:25" x14ac:dyDescent="0.25">
      <c r="A2142" s="9">
        <v>42680</v>
      </c>
      <c r="B2142" s="10">
        <f ca="1">ROUND(_xlfn.NORM.INV(RAND(),Reference!$C$8,0.1*Reference!$C$8)*(1+Reference!$C$11*(IF(MONTH($A2142)=Reference!$C$4,1,0)+IF(MONTH($A2142)=Reference!$C$5,1,0))+(IF(MONTH($A2142)=Reference!$C$6,Reference!$C$13,0))),0)</f>
        <v>283</v>
      </c>
      <c r="C2142" s="11">
        <f ca="1">B2142*Reference!$C$7*(1-IF(MONTH($A2142)=Reference!$C$6,1,0)*Reference!$C$12)</f>
        <v>263190</v>
      </c>
      <c r="D2142" s="10">
        <f ca="1">ROUND(_xlfn.NORM.INV(RAND(),Reference!$D$8,0.1*Reference!$D$8)*(1+Reference!$D$11*(IF(MONTH($A2142)=Reference!$D$4,1,0)+IF(MONTH($A2142)=Reference!$D$5,1,0))+(IF(MONTH($A2142)=Reference!$D$6,Reference!$D$13,0))),0)</f>
        <v>344</v>
      </c>
      <c r="E2142" s="11">
        <f ca="1">D2142*Reference!$D$7*(1-IF(MONTH($A2142)=Reference!$D$6,1,0)*Reference!$D$12)</f>
        <v>258000</v>
      </c>
      <c r="M2142" s="20"/>
      <c r="N2142" s="20"/>
      <c r="O2142" s="19"/>
      <c r="P2142" s="10"/>
      <c r="Q2142" s="10"/>
      <c r="R2142" s="10"/>
      <c r="S2142" s="10"/>
      <c r="T2142" s="10"/>
      <c r="U2142" s="10"/>
      <c r="V2142" s="10"/>
      <c r="W2142" s="10"/>
      <c r="X2142" s="10"/>
      <c r="Y2142" s="10"/>
    </row>
    <row r="2143" spans="1:25" x14ac:dyDescent="0.25">
      <c r="A2143" s="9">
        <v>42681</v>
      </c>
      <c r="B2143" s="10">
        <f ca="1">ROUND(_xlfn.NORM.INV(RAND(),Reference!$C$8,0.1*Reference!$C$8)*(1+Reference!$C$11*(IF(MONTH($A2143)=Reference!$C$4,1,0)+IF(MONTH($A2143)=Reference!$C$5,1,0))+(IF(MONTH($A2143)=Reference!$C$6,Reference!$C$13,0))),0)</f>
        <v>423</v>
      </c>
      <c r="C2143" s="11">
        <f ca="1">B2143*Reference!$C$7*(1-IF(MONTH($A2143)=Reference!$C$6,1,0)*Reference!$C$12)</f>
        <v>393390</v>
      </c>
      <c r="D2143" s="10">
        <f ca="1">ROUND(_xlfn.NORM.INV(RAND(),Reference!$D$8,0.1*Reference!$D$8)*(1+Reference!$D$11*(IF(MONTH($A2143)=Reference!$D$4,1,0)+IF(MONTH($A2143)=Reference!$D$5,1,0))+(IF(MONTH($A2143)=Reference!$D$6,Reference!$D$13,0))),0)</f>
        <v>497</v>
      </c>
      <c r="E2143" s="11">
        <f ca="1">D2143*Reference!$D$7*(1-IF(MONTH($A2143)=Reference!$D$6,1,0)*Reference!$D$12)</f>
        <v>372750</v>
      </c>
      <c r="M2143" s="20"/>
      <c r="N2143" s="20"/>
      <c r="O2143" s="19"/>
      <c r="P2143" s="10"/>
      <c r="Q2143" s="10"/>
      <c r="R2143" s="10"/>
      <c r="S2143" s="10"/>
      <c r="T2143" s="10"/>
      <c r="U2143" s="10"/>
      <c r="V2143" s="10"/>
      <c r="W2143" s="10"/>
      <c r="X2143" s="10"/>
      <c r="Y2143" s="10"/>
    </row>
    <row r="2144" spans="1:25" x14ac:dyDescent="0.25">
      <c r="A2144" s="9">
        <v>42682</v>
      </c>
      <c r="B2144" s="10">
        <f ca="1">ROUND(_xlfn.NORM.INV(RAND(),Reference!$C$8,0.1*Reference!$C$8)*(1+Reference!$C$11*(IF(MONTH($A2144)=Reference!$C$4,1,0)+IF(MONTH($A2144)=Reference!$C$5,1,0))+(IF(MONTH($A2144)=Reference!$C$6,Reference!$C$13,0))),0)</f>
        <v>412</v>
      </c>
      <c r="C2144" s="11">
        <f ca="1">B2144*Reference!$C$7*(1-IF(MONTH($A2144)=Reference!$C$6,1,0)*Reference!$C$12)</f>
        <v>383160</v>
      </c>
      <c r="D2144" s="10">
        <f ca="1">ROUND(_xlfn.NORM.INV(RAND(),Reference!$D$8,0.1*Reference!$D$8)*(1+Reference!$D$11*(IF(MONTH($A2144)=Reference!$D$4,1,0)+IF(MONTH($A2144)=Reference!$D$5,1,0))+(IF(MONTH($A2144)=Reference!$D$6,Reference!$D$13,0))),0)</f>
        <v>496</v>
      </c>
      <c r="E2144" s="11">
        <f ca="1">D2144*Reference!$D$7*(1-IF(MONTH($A2144)=Reference!$D$6,1,0)*Reference!$D$12)</f>
        <v>372000</v>
      </c>
      <c r="M2144" s="20"/>
      <c r="N2144" s="20"/>
      <c r="O2144" s="19"/>
      <c r="P2144" s="10"/>
      <c r="Q2144" s="10"/>
      <c r="R2144" s="10"/>
      <c r="S2144" s="10"/>
      <c r="T2144" s="10"/>
      <c r="U2144" s="10"/>
      <c r="V2144" s="10"/>
      <c r="W2144" s="10"/>
      <c r="X2144" s="10"/>
      <c r="Y2144" s="10"/>
    </row>
    <row r="2145" spans="1:25" x14ac:dyDescent="0.25">
      <c r="A2145" s="9">
        <v>42683</v>
      </c>
      <c r="B2145" s="10">
        <f ca="1">ROUND(_xlfn.NORM.INV(RAND(),Reference!$C$8,0.1*Reference!$C$8)*(1+Reference!$C$11*(IF(MONTH($A2145)=Reference!$C$4,1,0)+IF(MONTH($A2145)=Reference!$C$5,1,0))+(IF(MONTH($A2145)=Reference!$C$6,Reference!$C$13,0))),0)</f>
        <v>373</v>
      </c>
      <c r="C2145" s="11">
        <f ca="1">B2145*Reference!$C$7*(1-IF(MONTH($A2145)=Reference!$C$6,1,0)*Reference!$C$12)</f>
        <v>346890</v>
      </c>
      <c r="D2145" s="10">
        <f ca="1">ROUND(_xlfn.NORM.INV(RAND(),Reference!$D$8,0.1*Reference!$D$8)*(1+Reference!$D$11*(IF(MONTH($A2145)=Reference!$D$4,1,0)+IF(MONTH($A2145)=Reference!$D$5,1,0))+(IF(MONTH($A2145)=Reference!$D$6,Reference!$D$13,0))),0)</f>
        <v>382</v>
      </c>
      <c r="E2145" s="11">
        <f ca="1">D2145*Reference!$D$7*(1-IF(MONTH($A2145)=Reference!$D$6,1,0)*Reference!$D$12)</f>
        <v>286500</v>
      </c>
      <c r="M2145" s="20"/>
      <c r="N2145" s="20"/>
      <c r="O2145" s="19"/>
      <c r="P2145" s="10"/>
      <c r="Q2145" s="10"/>
      <c r="R2145" s="10"/>
      <c r="S2145" s="10"/>
      <c r="T2145" s="10"/>
      <c r="U2145" s="10"/>
      <c r="V2145" s="10"/>
      <c r="W2145" s="10"/>
      <c r="X2145" s="10"/>
      <c r="Y2145" s="10"/>
    </row>
    <row r="2146" spans="1:25" x14ac:dyDescent="0.25">
      <c r="A2146" s="9">
        <v>42684</v>
      </c>
      <c r="B2146" s="10">
        <f ca="1">ROUND(_xlfn.NORM.INV(RAND(),Reference!$C$8,0.1*Reference!$C$8)*(1+Reference!$C$11*(IF(MONTH($A2146)=Reference!$C$4,1,0)+IF(MONTH($A2146)=Reference!$C$5,1,0))+(IF(MONTH($A2146)=Reference!$C$6,Reference!$C$13,0))),0)</f>
        <v>311</v>
      </c>
      <c r="C2146" s="11">
        <f ca="1">B2146*Reference!$C$7*(1-IF(MONTH($A2146)=Reference!$C$6,1,0)*Reference!$C$12)</f>
        <v>289230</v>
      </c>
      <c r="D2146" s="10">
        <f ca="1">ROUND(_xlfn.NORM.INV(RAND(),Reference!$D$8,0.1*Reference!$D$8)*(1+Reference!$D$11*(IF(MONTH($A2146)=Reference!$D$4,1,0)+IF(MONTH($A2146)=Reference!$D$5,1,0))+(IF(MONTH($A2146)=Reference!$D$6,Reference!$D$13,0))),0)</f>
        <v>510</v>
      </c>
      <c r="E2146" s="11">
        <f ca="1">D2146*Reference!$D$7*(1-IF(MONTH($A2146)=Reference!$D$6,1,0)*Reference!$D$12)</f>
        <v>382500</v>
      </c>
      <c r="M2146" s="20"/>
      <c r="N2146" s="20"/>
      <c r="O2146" s="19"/>
      <c r="P2146" s="10"/>
      <c r="Q2146" s="10"/>
      <c r="R2146" s="10"/>
      <c r="S2146" s="10"/>
      <c r="T2146" s="10"/>
      <c r="U2146" s="10"/>
      <c r="V2146" s="10"/>
      <c r="W2146" s="10"/>
      <c r="X2146" s="10"/>
      <c r="Y2146" s="10"/>
    </row>
    <row r="2147" spans="1:25" x14ac:dyDescent="0.25">
      <c r="A2147" s="9">
        <v>42685</v>
      </c>
      <c r="B2147" s="10">
        <f ca="1">ROUND(_xlfn.NORM.INV(RAND(),Reference!$C$8,0.1*Reference!$C$8)*(1+Reference!$C$11*(IF(MONTH($A2147)=Reference!$C$4,1,0)+IF(MONTH($A2147)=Reference!$C$5,1,0))+(IF(MONTH($A2147)=Reference!$C$6,Reference!$C$13,0))),0)</f>
        <v>340</v>
      </c>
      <c r="C2147" s="11">
        <f ca="1">B2147*Reference!$C$7*(1-IF(MONTH($A2147)=Reference!$C$6,1,0)*Reference!$C$12)</f>
        <v>316200</v>
      </c>
      <c r="D2147" s="10">
        <f ca="1">ROUND(_xlfn.NORM.INV(RAND(),Reference!$D$8,0.1*Reference!$D$8)*(1+Reference!$D$11*(IF(MONTH($A2147)=Reference!$D$4,1,0)+IF(MONTH($A2147)=Reference!$D$5,1,0))+(IF(MONTH($A2147)=Reference!$D$6,Reference!$D$13,0))),0)</f>
        <v>439</v>
      </c>
      <c r="E2147" s="11">
        <f ca="1">D2147*Reference!$D$7*(1-IF(MONTH($A2147)=Reference!$D$6,1,0)*Reference!$D$12)</f>
        <v>329250</v>
      </c>
      <c r="M2147" s="20"/>
      <c r="N2147" s="20"/>
      <c r="O2147" s="19"/>
      <c r="P2147" s="10"/>
      <c r="Q2147" s="10"/>
      <c r="R2147" s="10"/>
      <c r="S2147" s="10"/>
      <c r="T2147" s="10"/>
      <c r="U2147" s="10"/>
      <c r="V2147" s="10"/>
      <c r="W2147" s="10"/>
      <c r="X2147" s="10"/>
      <c r="Y2147" s="10"/>
    </row>
    <row r="2148" spans="1:25" x14ac:dyDescent="0.25">
      <c r="A2148" s="9">
        <v>42686</v>
      </c>
      <c r="B2148" s="10">
        <f ca="1">ROUND(_xlfn.NORM.INV(RAND(),Reference!$C$8,0.1*Reference!$C$8)*(1+Reference!$C$11*(IF(MONTH($A2148)=Reference!$C$4,1,0)+IF(MONTH($A2148)=Reference!$C$5,1,0))+(IF(MONTH($A2148)=Reference!$C$6,Reference!$C$13,0))),0)</f>
        <v>392</v>
      </c>
      <c r="C2148" s="11">
        <f ca="1">B2148*Reference!$C$7*(1-IF(MONTH($A2148)=Reference!$C$6,1,0)*Reference!$C$12)</f>
        <v>364560</v>
      </c>
      <c r="D2148" s="10">
        <f ca="1">ROUND(_xlfn.NORM.INV(RAND(),Reference!$D$8,0.1*Reference!$D$8)*(1+Reference!$D$11*(IF(MONTH($A2148)=Reference!$D$4,1,0)+IF(MONTH($A2148)=Reference!$D$5,1,0))+(IF(MONTH($A2148)=Reference!$D$6,Reference!$D$13,0))),0)</f>
        <v>394</v>
      </c>
      <c r="E2148" s="11">
        <f ca="1">D2148*Reference!$D$7*(1-IF(MONTH($A2148)=Reference!$D$6,1,0)*Reference!$D$12)</f>
        <v>295500</v>
      </c>
      <c r="M2148" s="20"/>
      <c r="N2148" s="20"/>
      <c r="O2148" s="19"/>
      <c r="P2148" s="10"/>
      <c r="Q2148" s="10"/>
      <c r="R2148" s="10"/>
      <c r="S2148" s="10"/>
      <c r="T2148" s="10"/>
      <c r="U2148" s="10"/>
      <c r="V2148" s="10"/>
      <c r="W2148" s="10"/>
      <c r="X2148" s="10"/>
      <c r="Y2148" s="10"/>
    </row>
    <row r="2149" spans="1:25" x14ac:dyDescent="0.25">
      <c r="A2149" s="9">
        <v>42687</v>
      </c>
      <c r="B2149" s="10">
        <f ca="1">ROUND(_xlfn.NORM.INV(RAND(),Reference!$C$8,0.1*Reference!$C$8)*(1+Reference!$C$11*(IF(MONTH($A2149)=Reference!$C$4,1,0)+IF(MONTH($A2149)=Reference!$C$5,1,0))+(IF(MONTH($A2149)=Reference!$C$6,Reference!$C$13,0))),0)</f>
        <v>323</v>
      </c>
      <c r="C2149" s="11">
        <f ca="1">B2149*Reference!$C$7*(1-IF(MONTH($A2149)=Reference!$C$6,1,0)*Reference!$C$12)</f>
        <v>300390</v>
      </c>
      <c r="D2149" s="10">
        <f ca="1">ROUND(_xlfn.NORM.INV(RAND(),Reference!$D$8,0.1*Reference!$D$8)*(1+Reference!$D$11*(IF(MONTH($A2149)=Reference!$D$4,1,0)+IF(MONTH($A2149)=Reference!$D$5,1,0))+(IF(MONTH($A2149)=Reference!$D$6,Reference!$D$13,0))),0)</f>
        <v>495</v>
      </c>
      <c r="E2149" s="11">
        <f ca="1">D2149*Reference!$D$7*(1-IF(MONTH($A2149)=Reference!$D$6,1,0)*Reference!$D$12)</f>
        <v>371250</v>
      </c>
      <c r="M2149" s="20"/>
      <c r="N2149" s="20"/>
      <c r="O2149" s="19"/>
      <c r="P2149" s="10"/>
      <c r="Q2149" s="10"/>
      <c r="R2149" s="10"/>
      <c r="S2149" s="10"/>
      <c r="T2149" s="10"/>
      <c r="U2149" s="10"/>
      <c r="V2149" s="10"/>
      <c r="W2149" s="10"/>
      <c r="X2149" s="10"/>
      <c r="Y2149" s="10"/>
    </row>
    <row r="2150" spans="1:25" x14ac:dyDescent="0.25">
      <c r="A2150" s="9">
        <v>42688</v>
      </c>
      <c r="B2150" s="10">
        <f ca="1">ROUND(_xlfn.NORM.INV(RAND(),Reference!$C$8,0.1*Reference!$C$8)*(1+Reference!$C$11*(IF(MONTH($A2150)=Reference!$C$4,1,0)+IF(MONTH($A2150)=Reference!$C$5,1,0))+(IF(MONTH($A2150)=Reference!$C$6,Reference!$C$13,0))),0)</f>
        <v>327</v>
      </c>
      <c r="C2150" s="11">
        <f ca="1">B2150*Reference!$C$7*(1-IF(MONTH($A2150)=Reference!$C$6,1,0)*Reference!$C$12)</f>
        <v>304110</v>
      </c>
      <c r="D2150" s="10">
        <f ca="1">ROUND(_xlfn.NORM.INV(RAND(),Reference!$D$8,0.1*Reference!$D$8)*(1+Reference!$D$11*(IF(MONTH($A2150)=Reference!$D$4,1,0)+IF(MONTH($A2150)=Reference!$D$5,1,0))+(IF(MONTH($A2150)=Reference!$D$6,Reference!$D$13,0))),0)</f>
        <v>482</v>
      </c>
      <c r="E2150" s="11">
        <f ca="1">D2150*Reference!$D$7*(1-IF(MONTH($A2150)=Reference!$D$6,1,0)*Reference!$D$12)</f>
        <v>361500</v>
      </c>
      <c r="M2150" s="20"/>
      <c r="N2150" s="20"/>
      <c r="O2150" s="19"/>
      <c r="P2150" s="10"/>
      <c r="Q2150" s="10"/>
      <c r="R2150" s="10"/>
      <c r="S2150" s="10"/>
      <c r="T2150" s="10"/>
      <c r="U2150" s="10"/>
      <c r="V2150" s="10"/>
      <c r="W2150" s="10"/>
      <c r="X2150" s="10"/>
      <c r="Y2150" s="10"/>
    </row>
    <row r="2151" spans="1:25" x14ac:dyDescent="0.25">
      <c r="A2151" s="9">
        <v>42689</v>
      </c>
      <c r="B2151" s="10">
        <f ca="1">ROUND(_xlfn.NORM.INV(RAND(),Reference!$C$8,0.1*Reference!$C$8)*(1+Reference!$C$11*(IF(MONTH($A2151)=Reference!$C$4,1,0)+IF(MONTH($A2151)=Reference!$C$5,1,0))+(IF(MONTH($A2151)=Reference!$C$6,Reference!$C$13,0))),0)</f>
        <v>310</v>
      </c>
      <c r="C2151" s="11">
        <f ca="1">B2151*Reference!$C$7*(1-IF(MONTH($A2151)=Reference!$C$6,1,0)*Reference!$C$12)</f>
        <v>288300</v>
      </c>
      <c r="D2151" s="10">
        <f ca="1">ROUND(_xlfn.NORM.INV(RAND(),Reference!$D$8,0.1*Reference!$D$8)*(1+Reference!$D$11*(IF(MONTH($A2151)=Reference!$D$4,1,0)+IF(MONTH($A2151)=Reference!$D$5,1,0))+(IF(MONTH($A2151)=Reference!$D$6,Reference!$D$13,0))),0)</f>
        <v>423</v>
      </c>
      <c r="E2151" s="11">
        <f ca="1">D2151*Reference!$D$7*(1-IF(MONTH($A2151)=Reference!$D$6,1,0)*Reference!$D$12)</f>
        <v>317250</v>
      </c>
      <c r="M2151" s="20"/>
      <c r="N2151" s="20"/>
      <c r="O2151" s="19"/>
      <c r="P2151" s="10"/>
      <c r="Q2151" s="10"/>
      <c r="R2151" s="10"/>
      <c r="S2151" s="10"/>
      <c r="T2151" s="10"/>
      <c r="U2151" s="10"/>
      <c r="V2151" s="10"/>
      <c r="W2151" s="10"/>
      <c r="X2151" s="10"/>
      <c r="Y2151" s="10"/>
    </row>
    <row r="2152" spans="1:25" x14ac:dyDescent="0.25">
      <c r="A2152" s="9">
        <v>42690</v>
      </c>
      <c r="B2152" s="10">
        <f ca="1">ROUND(_xlfn.NORM.INV(RAND(),Reference!$C$8,0.1*Reference!$C$8)*(1+Reference!$C$11*(IF(MONTH($A2152)=Reference!$C$4,1,0)+IF(MONTH($A2152)=Reference!$C$5,1,0))+(IF(MONTH($A2152)=Reference!$C$6,Reference!$C$13,0))),0)</f>
        <v>398</v>
      </c>
      <c r="C2152" s="11">
        <f ca="1">B2152*Reference!$C$7*(1-IF(MONTH($A2152)=Reference!$C$6,1,0)*Reference!$C$12)</f>
        <v>370140</v>
      </c>
      <c r="D2152" s="10">
        <f ca="1">ROUND(_xlfn.NORM.INV(RAND(),Reference!$D$8,0.1*Reference!$D$8)*(1+Reference!$D$11*(IF(MONTH($A2152)=Reference!$D$4,1,0)+IF(MONTH($A2152)=Reference!$D$5,1,0))+(IF(MONTH($A2152)=Reference!$D$6,Reference!$D$13,0))),0)</f>
        <v>466</v>
      </c>
      <c r="E2152" s="11">
        <f ca="1">D2152*Reference!$D$7*(1-IF(MONTH($A2152)=Reference!$D$6,1,0)*Reference!$D$12)</f>
        <v>349500</v>
      </c>
      <c r="M2152" s="20"/>
      <c r="N2152" s="20"/>
      <c r="O2152" s="19"/>
      <c r="P2152" s="10"/>
      <c r="Q2152" s="10"/>
      <c r="R2152" s="10"/>
      <c r="S2152" s="10"/>
      <c r="T2152" s="10"/>
      <c r="U2152" s="10"/>
      <c r="V2152" s="10"/>
      <c r="W2152" s="10"/>
      <c r="X2152" s="10"/>
      <c r="Y2152" s="10"/>
    </row>
    <row r="2153" spans="1:25" x14ac:dyDescent="0.25">
      <c r="A2153" s="9">
        <v>42691</v>
      </c>
      <c r="B2153" s="10">
        <f ca="1">ROUND(_xlfn.NORM.INV(RAND(),Reference!$C$8,0.1*Reference!$C$8)*(1+Reference!$C$11*(IF(MONTH($A2153)=Reference!$C$4,1,0)+IF(MONTH($A2153)=Reference!$C$5,1,0))+(IF(MONTH($A2153)=Reference!$C$6,Reference!$C$13,0))),0)</f>
        <v>324</v>
      </c>
      <c r="C2153" s="11">
        <f ca="1">B2153*Reference!$C$7*(1-IF(MONTH($A2153)=Reference!$C$6,1,0)*Reference!$C$12)</f>
        <v>301320</v>
      </c>
      <c r="D2153" s="10">
        <f ca="1">ROUND(_xlfn.NORM.INV(RAND(),Reference!$D$8,0.1*Reference!$D$8)*(1+Reference!$D$11*(IF(MONTH($A2153)=Reference!$D$4,1,0)+IF(MONTH($A2153)=Reference!$D$5,1,0))+(IF(MONTH($A2153)=Reference!$D$6,Reference!$D$13,0))),0)</f>
        <v>441</v>
      </c>
      <c r="E2153" s="11">
        <f ca="1">D2153*Reference!$D$7*(1-IF(MONTH($A2153)=Reference!$D$6,1,0)*Reference!$D$12)</f>
        <v>330750</v>
      </c>
      <c r="M2153" s="20"/>
      <c r="N2153" s="20"/>
      <c r="O2153" s="19"/>
      <c r="P2153" s="10"/>
      <c r="Q2153" s="10"/>
      <c r="R2153" s="10"/>
      <c r="S2153" s="10"/>
      <c r="T2153" s="10"/>
      <c r="U2153" s="10"/>
      <c r="V2153" s="10"/>
      <c r="W2153" s="10"/>
      <c r="X2153" s="10"/>
      <c r="Y2153" s="10"/>
    </row>
    <row r="2154" spans="1:25" x14ac:dyDescent="0.25">
      <c r="A2154" s="9">
        <v>42692</v>
      </c>
      <c r="B2154" s="10">
        <f ca="1">ROUND(_xlfn.NORM.INV(RAND(),Reference!$C$8,0.1*Reference!$C$8)*(1+Reference!$C$11*(IF(MONTH($A2154)=Reference!$C$4,1,0)+IF(MONTH($A2154)=Reference!$C$5,1,0))+(IF(MONTH($A2154)=Reference!$C$6,Reference!$C$13,0))),0)</f>
        <v>371</v>
      </c>
      <c r="C2154" s="11">
        <f ca="1">B2154*Reference!$C$7*(1-IF(MONTH($A2154)=Reference!$C$6,1,0)*Reference!$C$12)</f>
        <v>345030</v>
      </c>
      <c r="D2154" s="10">
        <f ca="1">ROUND(_xlfn.NORM.INV(RAND(),Reference!$D$8,0.1*Reference!$D$8)*(1+Reference!$D$11*(IF(MONTH($A2154)=Reference!$D$4,1,0)+IF(MONTH($A2154)=Reference!$D$5,1,0))+(IF(MONTH($A2154)=Reference!$D$6,Reference!$D$13,0))),0)</f>
        <v>442</v>
      </c>
      <c r="E2154" s="11">
        <f ca="1">D2154*Reference!$D$7*(1-IF(MONTH($A2154)=Reference!$D$6,1,0)*Reference!$D$12)</f>
        <v>331500</v>
      </c>
      <c r="M2154" s="20"/>
      <c r="N2154" s="20"/>
      <c r="O2154" s="19"/>
      <c r="P2154" s="10"/>
      <c r="Q2154" s="10"/>
      <c r="R2154" s="10"/>
      <c r="S2154" s="10"/>
      <c r="T2154" s="10"/>
      <c r="U2154" s="10"/>
      <c r="V2154" s="10"/>
      <c r="W2154" s="10"/>
      <c r="X2154" s="10"/>
      <c r="Y2154" s="10"/>
    </row>
    <row r="2155" spans="1:25" x14ac:dyDescent="0.25">
      <c r="A2155" s="9">
        <v>42693</v>
      </c>
      <c r="B2155" s="10">
        <f ca="1">ROUND(_xlfn.NORM.INV(RAND(),Reference!$C$8,0.1*Reference!$C$8)*(1+Reference!$C$11*(IF(MONTH($A2155)=Reference!$C$4,1,0)+IF(MONTH($A2155)=Reference!$C$5,1,0))+(IF(MONTH($A2155)=Reference!$C$6,Reference!$C$13,0))),0)</f>
        <v>354</v>
      </c>
      <c r="C2155" s="11">
        <f ca="1">B2155*Reference!$C$7*(1-IF(MONTH($A2155)=Reference!$C$6,1,0)*Reference!$C$12)</f>
        <v>329220</v>
      </c>
      <c r="D2155" s="10">
        <f ca="1">ROUND(_xlfn.NORM.INV(RAND(),Reference!$D$8,0.1*Reference!$D$8)*(1+Reference!$D$11*(IF(MONTH($A2155)=Reference!$D$4,1,0)+IF(MONTH($A2155)=Reference!$D$5,1,0))+(IF(MONTH($A2155)=Reference!$D$6,Reference!$D$13,0))),0)</f>
        <v>448</v>
      </c>
      <c r="E2155" s="11">
        <f ca="1">D2155*Reference!$D$7*(1-IF(MONTH($A2155)=Reference!$D$6,1,0)*Reference!$D$12)</f>
        <v>336000</v>
      </c>
      <c r="M2155" s="20"/>
      <c r="N2155" s="20"/>
      <c r="O2155" s="19"/>
      <c r="P2155" s="10"/>
      <c r="Q2155" s="10"/>
      <c r="R2155" s="10"/>
      <c r="S2155" s="10"/>
      <c r="T2155" s="10"/>
      <c r="U2155" s="10"/>
      <c r="V2155" s="10"/>
      <c r="W2155" s="10"/>
      <c r="X2155" s="10"/>
      <c r="Y2155" s="10"/>
    </row>
    <row r="2156" spans="1:25" x14ac:dyDescent="0.25">
      <c r="A2156" s="9">
        <v>42694</v>
      </c>
      <c r="B2156" s="10">
        <f ca="1">ROUND(_xlfn.NORM.INV(RAND(),Reference!$C$8,0.1*Reference!$C$8)*(1+Reference!$C$11*(IF(MONTH($A2156)=Reference!$C$4,1,0)+IF(MONTH($A2156)=Reference!$C$5,1,0))+(IF(MONTH($A2156)=Reference!$C$6,Reference!$C$13,0))),0)</f>
        <v>378</v>
      </c>
      <c r="C2156" s="11">
        <f ca="1">B2156*Reference!$C$7*(1-IF(MONTH($A2156)=Reference!$C$6,1,0)*Reference!$C$12)</f>
        <v>351540</v>
      </c>
      <c r="D2156" s="10">
        <f ca="1">ROUND(_xlfn.NORM.INV(RAND(),Reference!$D$8,0.1*Reference!$D$8)*(1+Reference!$D$11*(IF(MONTH($A2156)=Reference!$D$4,1,0)+IF(MONTH($A2156)=Reference!$D$5,1,0))+(IF(MONTH($A2156)=Reference!$D$6,Reference!$D$13,0))),0)</f>
        <v>520</v>
      </c>
      <c r="E2156" s="11">
        <f ca="1">D2156*Reference!$D$7*(1-IF(MONTH($A2156)=Reference!$D$6,1,0)*Reference!$D$12)</f>
        <v>390000</v>
      </c>
      <c r="M2156" s="20"/>
      <c r="N2156" s="20"/>
      <c r="O2156" s="19"/>
      <c r="P2156" s="10"/>
      <c r="Q2156" s="10"/>
      <c r="R2156" s="10"/>
      <c r="S2156" s="10"/>
      <c r="T2156" s="10"/>
      <c r="U2156" s="10"/>
      <c r="V2156" s="10"/>
      <c r="W2156" s="10"/>
      <c r="X2156" s="10"/>
      <c r="Y2156" s="10"/>
    </row>
    <row r="2157" spans="1:25" x14ac:dyDescent="0.25">
      <c r="A2157" s="9">
        <v>42695</v>
      </c>
      <c r="B2157" s="10">
        <f ca="1">ROUND(_xlfn.NORM.INV(RAND(),Reference!$C$8,0.1*Reference!$C$8)*(1+Reference!$C$11*(IF(MONTH($A2157)=Reference!$C$4,1,0)+IF(MONTH($A2157)=Reference!$C$5,1,0))+(IF(MONTH($A2157)=Reference!$C$6,Reference!$C$13,0))),0)</f>
        <v>373</v>
      </c>
      <c r="C2157" s="11">
        <f ca="1">B2157*Reference!$C$7*(1-IF(MONTH($A2157)=Reference!$C$6,1,0)*Reference!$C$12)</f>
        <v>346890</v>
      </c>
      <c r="D2157" s="10">
        <f ca="1">ROUND(_xlfn.NORM.INV(RAND(),Reference!$D$8,0.1*Reference!$D$8)*(1+Reference!$D$11*(IF(MONTH($A2157)=Reference!$D$4,1,0)+IF(MONTH($A2157)=Reference!$D$5,1,0))+(IF(MONTH($A2157)=Reference!$D$6,Reference!$D$13,0))),0)</f>
        <v>448</v>
      </c>
      <c r="E2157" s="11">
        <f ca="1">D2157*Reference!$D$7*(1-IF(MONTH($A2157)=Reference!$D$6,1,0)*Reference!$D$12)</f>
        <v>336000</v>
      </c>
      <c r="M2157" s="20"/>
      <c r="N2157" s="20"/>
      <c r="O2157" s="19"/>
      <c r="P2157" s="10"/>
      <c r="Q2157" s="10"/>
      <c r="R2157" s="10"/>
      <c r="S2157" s="10"/>
      <c r="T2157" s="10"/>
      <c r="U2157" s="10"/>
      <c r="V2157" s="10"/>
      <c r="W2157" s="10"/>
      <c r="X2157" s="10"/>
      <c r="Y2157" s="10"/>
    </row>
    <row r="2158" spans="1:25" x14ac:dyDescent="0.25">
      <c r="A2158" s="9">
        <v>42696</v>
      </c>
      <c r="B2158" s="10">
        <f ca="1">ROUND(_xlfn.NORM.INV(RAND(),Reference!$C$8,0.1*Reference!$C$8)*(1+Reference!$C$11*(IF(MONTH($A2158)=Reference!$C$4,1,0)+IF(MONTH($A2158)=Reference!$C$5,1,0))+(IF(MONTH($A2158)=Reference!$C$6,Reference!$C$13,0))),0)</f>
        <v>358</v>
      </c>
      <c r="C2158" s="11">
        <f ca="1">B2158*Reference!$C$7*(1-IF(MONTH($A2158)=Reference!$C$6,1,0)*Reference!$C$12)</f>
        <v>332940</v>
      </c>
      <c r="D2158" s="10">
        <f ca="1">ROUND(_xlfn.NORM.INV(RAND(),Reference!$D$8,0.1*Reference!$D$8)*(1+Reference!$D$11*(IF(MONTH($A2158)=Reference!$D$4,1,0)+IF(MONTH($A2158)=Reference!$D$5,1,0))+(IF(MONTH($A2158)=Reference!$D$6,Reference!$D$13,0))),0)</f>
        <v>406</v>
      </c>
      <c r="E2158" s="11">
        <f ca="1">D2158*Reference!$D$7*(1-IF(MONTH($A2158)=Reference!$D$6,1,0)*Reference!$D$12)</f>
        <v>304500</v>
      </c>
      <c r="M2158" s="20"/>
      <c r="N2158" s="20"/>
      <c r="O2158" s="19"/>
      <c r="P2158" s="10"/>
      <c r="Q2158" s="10"/>
      <c r="R2158" s="10"/>
      <c r="S2158" s="10"/>
      <c r="T2158" s="10"/>
      <c r="U2158" s="10"/>
      <c r="V2158" s="10"/>
      <c r="W2158" s="10"/>
      <c r="X2158" s="10"/>
      <c r="Y2158" s="10"/>
    </row>
    <row r="2159" spans="1:25" x14ac:dyDescent="0.25">
      <c r="A2159" s="9">
        <v>42697</v>
      </c>
      <c r="B2159" s="10">
        <f ca="1">ROUND(_xlfn.NORM.INV(RAND(),Reference!$C$8,0.1*Reference!$C$8)*(1+Reference!$C$11*(IF(MONTH($A2159)=Reference!$C$4,1,0)+IF(MONTH($A2159)=Reference!$C$5,1,0))+(IF(MONTH($A2159)=Reference!$C$6,Reference!$C$13,0))),0)</f>
        <v>291</v>
      </c>
      <c r="C2159" s="11">
        <f ca="1">B2159*Reference!$C$7*(1-IF(MONTH($A2159)=Reference!$C$6,1,0)*Reference!$C$12)</f>
        <v>270630</v>
      </c>
      <c r="D2159" s="10">
        <f ca="1">ROUND(_xlfn.NORM.INV(RAND(),Reference!$D$8,0.1*Reference!$D$8)*(1+Reference!$D$11*(IF(MONTH($A2159)=Reference!$D$4,1,0)+IF(MONTH($A2159)=Reference!$D$5,1,0))+(IF(MONTH($A2159)=Reference!$D$6,Reference!$D$13,0))),0)</f>
        <v>426</v>
      </c>
      <c r="E2159" s="11">
        <f ca="1">D2159*Reference!$D$7*(1-IF(MONTH($A2159)=Reference!$D$6,1,0)*Reference!$D$12)</f>
        <v>319500</v>
      </c>
      <c r="M2159" s="20"/>
      <c r="N2159" s="20"/>
      <c r="O2159" s="19"/>
      <c r="P2159" s="10"/>
      <c r="Q2159" s="10"/>
      <c r="R2159" s="10"/>
      <c r="S2159" s="10"/>
      <c r="T2159" s="10"/>
      <c r="U2159" s="10"/>
      <c r="V2159" s="10"/>
      <c r="W2159" s="10"/>
      <c r="X2159" s="10"/>
      <c r="Y2159" s="10"/>
    </row>
    <row r="2160" spans="1:25" x14ac:dyDescent="0.25">
      <c r="A2160" s="9">
        <v>42698</v>
      </c>
      <c r="B2160" s="10">
        <f ca="1">ROUND(_xlfn.NORM.INV(RAND(),Reference!$C$8,0.1*Reference!$C$8)*(1+Reference!$C$11*(IF(MONTH($A2160)=Reference!$C$4,1,0)+IF(MONTH($A2160)=Reference!$C$5,1,0))+(IF(MONTH($A2160)=Reference!$C$6,Reference!$C$13,0))),0)</f>
        <v>364</v>
      </c>
      <c r="C2160" s="11">
        <f ca="1">B2160*Reference!$C$7*(1-IF(MONTH($A2160)=Reference!$C$6,1,0)*Reference!$C$12)</f>
        <v>338520</v>
      </c>
      <c r="D2160" s="10">
        <f ca="1">ROUND(_xlfn.NORM.INV(RAND(),Reference!$D$8,0.1*Reference!$D$8)*(1+Reference!$D$11*(IF(MONTH($A2160)=Reference!$D$4,1,0)+IF(MONTH($A2160)=Reference!$D$5,1,0))+(IF(MONTH($A2160)=Reference!$D$6,Reference!$D$13,0))),0)</f>
        <v>508</v>
      </c>
      <c r="E2160" s="11">
        <f ca="1">D2160*Reference!$D$7*(1-IF(MONTH($A2160)=Reference!$D$6,1,0)*Reference!$D$12)</f>
        <v>381000</v>
      </c>
      <c r="M2160" s="20"/>
      <c r="N2160" s="20"/>
      <c r="O2160" s="19"/>
      <c r="P2160" s="10"/>
      <c r="Q2160" s="10"/>
      <c r="R2160" s="10"/>
      <c r="S2160" s="10"/>
      <c r="T2160" s="10"/>
      <c r="U2160" s="10"/>
      <c r="V2160" s="10"/>
      <c r="W2160" s="10"/>
      <c r="X2160" s="10"/>
      <c r="Y2160" s="10"/>
    </row>
    <row r="2161" spans="1:25" x14ac:dyDescent="0.25">
      <c r="A2161" s="9">
        <v>42699</v>
      </c>
      <c r="B2161" s="10">
        <f ca="1">ROUND(_xlfn.NORM.INV(RAND(),Reference!$C$8,0.1*Reference!$C$8)*(1+Reference!$C$11*(IF(MONTH($A2161)=Reference!$C$4,1,0)+IF(MONTH($A2161)=Reference!$C$5,1,0))+(IF(MONTH($A2161)=Reference!$C$6,Reference!$C$13,0))),0)</f>
        <v>398</v>
      </c>
      <c r="C2161" s="11">
        <f ca="1">B2161*Reference!$C$7*(1-IF(MONTH($A2161)=Reference!$C$6,1,0)*Reference!$C$12)</f>
        <v>370140</v>
      </c>
      <c r="D2161" s="10">
        <f ca="1">ROUND(_xlfn.NORM.INV(RAND(),Reference!$D$8,0.1*Reference!$D$8)*(1+Reference!$D$11*(IF(MONTH($A2161)=Reference!$D$4,1,0)+IF(MONTH($A2161)=Reference!$D$5,1,0))+(IF(MONTH($A2161)=Reference!$D$6,Reference!$D$13,0))),0)</f>
        <v>524</v>
      </c>
      <c r="E2161" s="11">
        <f ca="1">D2161*Reference!$D$7*(1-IF(MONTH($A2161)=Reference!$D$6,1,0)*Reference!$D$12)</f>
        <v>393000</v>
      </c>
      <c r="M2161" s="20"/>
      <c r="N2161" s="20"/>
      <c r="O2161" s="19"/>
      <c r="P2161" s="10"/>
      <c r="Q2161" s="10"/>
      <c r="R2161" s="10"/>
      <c r="S2161" s="10"/>
      <c r="T2161" s="10"/>
      <c r="U2161" s="10"/>
      <c r="V2161" s="10"/>
      <c r="W2161" s="10"/>
      <c r="X2161" s="10"/>
      <c r="Y2161" s="10"/>
    </row>
    <row r="2162" spans="1:25" x14ac:dyDescent="0.25">
      <c r="A2162" s="9">
        <v>42700</v>
      </c>
      <c r="B2162" s="10">
        <f ca="1">ROUND(_xlfn.NORM.INV(RAND(),Reference!$C$8,0.1*Reference!$C$8)*(1+Reference!$C$11*(IF(MONTH($A2162)=Reference!$C$4,1,0)+IF(MONTH($A2162)=Reference!$C$5,1,0))+(IF(MONTH($A2162)=Reference!$C$6,Reference!$C$13,0))),0)</f>
        <v>342</v>
      </c>
      <c r="C2162" s="11">
        <f ca="1">B2162*Reference!$C$7*(1-IF(MONTH($A2162)=Reference!$C$6,1,0)*Reference!$C$12)</f>
        <v>318060</v>
      </c>
      <c r="D2162" s="10">
        <f ca="1">ROUND(_xlfn.NORM.INV(RAND(),Reference!$D$8,0.1*Reference!$D$8)*(1+Reference!$D$11*(IF(MONTH($A2162)=Reference!$D$4,1,0)+IF(MONTH($A2162)=Reference!$D$5,1,0))+(IF(MONTH($A2162)=Reference!$D$6,Reference!$D$13,0))),0)</f>
        <v>436</v>
      </c>
      <c r="E2162" s="11">
        <f ca="1">D2162*Reference!$D$7*(1-IF(MONTH($A2162)=Reference!$D$6,1,0)*Reference!$D$12)</f>
        <v>327000</v>
      </c>
      <c r="M2162" s="20"/>
      <c r="N2162" s="20"/>
      <c r="O2162" s="19"/>
      <c r="P2162" s="10"/>
      <c r="Q2162" s="10"/>
      <c r="R2162" s="10"/>
      <c r="S2162" s="10"/>
      <c r="T2162" s="10"/>
      <c r="U2162" s="10"/>
      <c r="V2162" s="10"/>
      <c r="W2162" s="10"/>
      <c r="X2162" s="10"/>
      <c r="Y2162" s="10"/>
    </row>
    <row r="2163" spans="1:25" x14ac:dyDescent="0.25">
      <c r="A2163" s="9">
        <v>42701</v>
      </c>
      <c r="B2163" s="10">
        <f ca="1">ROUND(_xlfn.NORM.INV(RAND(),Reference!$C$8,0.1*Reference!$C$8)*(1+Reference!$C$11*(IF(MONTH($A2163)=Reference!$C$4,1,0)+IF(MONTH($A2163)=Reference!$C$5,1,0))+(IF(MONTH($A2163)=Reference!$C$6,Reference!$C$13,0))),0)</f>
        <v>388</v>
      </c>
      <c r="C2163" s="11">
        <f ca="1">B2163*Reference!$C$7*(1-IF(MONTH($A2163)=Reference!$C$6,1,0)*Reference!$C$12)</f>
        <v>360840</v>
      </c>
      <c r="D2163" s="10">
        <f ca="1">ROUND(_xlfn.NORM.INV(RAND(),Reference!$D$8,0.1*Reference!$D$8)*(1+Reference!$D$11*(IF(MONTH($A2163)=Reference!$D$4,1,0)+IF(MONTH($A2163)=Reference!$D$5,1,0))+(IF(MONTH($A2163)=Reference!$D$6,Reference!$D$13,0))),0)</f>
        <v>464</v>
      </c>
      <c r="E2163" s="11">
        <f ca="1">D2163*Reference!$D$7*(1-IF(MONTH($A2163)=Reference!$D$6,1,0)*Reference!$D$12)</f>
        <v>348000</v>
      </c>
      <c r="M2163" s="20"/>
      <c r="N2163" s="20"/>
      <c r="O2163" s="19"/>
      <c r="P2163" s="10"/>
      <c r="Q2163" s="10"/>
      <c r="R2163" s="10"/>
      <c r="S2163" s="10"/>
      <c r="T2163" s="10"/>
      <c r="U2163" s="10"/>
      <c r="V2163" s="10"/>
      <c r="W2163" s="10"/>
      <c r="X2163" s="10"/>
      <c r="Y2163" s="10"/>
    </row>
    <row r="2164" spans="1:25" x14ac:dyDescent="0.25">
      <c r="A2164" s="9">
        <v>42702</v>
      </c>
      <c r="B2164" s="10">
        <f ca="1">ROUND(_xlfn.NORM.INV(RAND(),Reference!$C$8,0.1*Reference!$C$8)*(1+Reference!$C$11*(IF(MONTH($A2164)=Reference!$C$4,1,0)+IF(MONTH($A2164)=Reference!$C$5,1,0))+(IF(MONTH($A2164)=Reference!$C$6,Reference!$C$13,0))),0)</f>
        <v>326</v>
      </c>
      <c r="C2164" s="11">
        <f ca="1">B2164*Reference!$C$7*(1-IF(MONTH($A2164)=Reference!$C$6,1,0)*Reference!$C$12)</f>
        <v>303180</v>
      </c>
      <c r="D2164" s="10">
        <f ca="1">ROUND(_xlfn.NORM.INV(RAND(),Reference!$D$8,0.1*Reference!$D$8)*(1+Reference!$D$11*(IF(MONTH($A2164)=Reference!$D$4,1,0)+IF(MONTH($A2164)=Reference!$D$5,1,0))+(IF(MONTH($A2164)=Reference!$D$6,Reference!$D$13,0))),0)</f>
        <v>466</v>
      </c>
      <c r="E2164" s="11">
        <f ca="1">D2164*Reference!$D$7*(1-IF(MONTH($A2164)=Reference!$D$6,1,0)*Reference!$D$12)</f>
        <v>349500</v>
      </c>
      <c r="M2164" s="20"/>
      <c r="N2164" s="20"/>
      <c r="O2164" s="19"/>
      <c r="P2164" s="10"/>
      <c r="Q2164" s="10"/>
      <c r="R2164" s="10"/>
      <c r="S2164" s="10"/>
      <c r="T2164" s="10"/>
      <c r="U2164" s="10"/>
      <c r="V2164" s="10"/>
      <c r="W2164" s="10"/>
      <c r="X2164" s="10"/>
      <c r="Y2164" s="10"/>
    </row>
    <row r="2165" spans="1:25" x14ac:dyDescent="0.25">
      <c r="A2165" s="9">
        <v>42703</v>
      </c>
      <c r="B2165" s="10">
        <f ca="1">ROUND(_xlfn.NORM.INV(RAND(),Reference!$C$8,0.1*Reference!$C$8)*(1+Reference!$C$11*(IF(MONTH($A2165)=Reference!$C$4,1,0)+IF(MONTH($A2165)=Reference!$C$5,1,0))+(IF(MONTH($A2165)=Reference!$C$6,Reference!$C$13,0))),0)</f>
        <v>404</v>
      </c>
      <c r="C2165" s="11">
        <f ca="1">B2165*Reference!$C$7*(1-IF(MONTH($A2165)=Reference!$C$6,1,0)*Reference!$C$12)</f>
        <v>375720</v>
      </c>
      <c r="D2165" s="10">
        <f ca="1">ROUND(_xlfn.NORM.INV(RAND(),Reference!$D$8,0.1*Reference!$D$8)*(1+Reference!$D$11*(IF(MONTH($A2165)=Reference!$D$4,1,0)+IF(MONTH($A2165)=Reference!$D$5,1,0))+(IF(MONTH($A2165)=Reference!$D$6,Reference!$D$13,0))),0)</f>
        <v>497</v>
      </c>
      <c r="E2165" s="11">
        <f ca="1">D2165*Reference!$D$7*(1-IF(MONTH($A2165)=Reference!$D$6,1,0)*Reference!$D$12)</f>
        <v>372750</v>
      </c>
      <c r="M2165" s="20"/>
      <c r="N2165" s="20"/>
      <c r="O2165" s="19"/>
      <c r="P2165" s="10"/>
      <c r="Q2165" s="10"/>
      <c r="R2165" s="10"/>
      <c r="S2165" s="10"/>
      <c r="T2165" s="10"/>
      <c r="U2165" s="10"/>
      <c r="V2165" s="10"/>
      <c r="W2165" s="10"/>
      <c r="X2165" s="10"/>
      <c r="Y2165" s="10"/>
    </row>
    <row r="2166" spans="1:25" x14ac:dyDescent="0.25">
      <c r="A2166" s="9">
        <v>42704</v>
      </c>
      <c r="B2166" s="10">
        <f ca="1">ROUND(_xlfn.NORM.INV(RAND(),Reference!$C$8,0.1*Reference!$C$8)*(1+Reference!$C$11*(IF(MONTH($A2166)=Reference!$C$4,1,0)+IF(MONTH($A2166)=Reference!$C$5,1,0))+(IF(MONTH($A2166)=Reference!$C$6,Reference!$C$13,0))),0)</f>
        <v>343</v>
      </c>
      <c r="C2166" s="11">
        <f ca="1">B2166*Reference!$C$7*(1-IF(MONTH($A2166)=Reference!$C$6,1,0)*Reference!$C$12)</f>
        <v>318990</v>
      </c>
      <c r="D2166" s="10">
        <f ca="1">ROUND(_xlfn.NORM.INV(RAND(),Reference!$D$8,0.1*Reference!$D$8)*(1+Reference!$D$11*(IF(MONTH($A2166)=Reference!$D$4,1,0)+IF(MONTH($A2166)=Reference!$D$5,1,0))+(IF(MONTH($A2166)=Reference!$D$6,Reference!$D$13,0))),0)</f>
        <v>407</v>
      </c>
      <c r="E2166" s="11">
        <f ca="1">D2166*Reference!$D$7*(1-IF(MONTH($A2166)=Reference!$D$6,1,0)*Reference!$D$12)</f>
        <v>305250</v>
      </c>
      <c r="M2166" s="20"/>
      <c r="N2166" s="20"/>
      <c r="O2166" s="19"/>
      <c r="P2166" s="10"/>
      <c r="Q2166" s="10"/>
      <c r="R2166" s="10"/>
      <c r="S2166" s="10"/>
      <c r="T2166" s="10"/>
      <c r="U2166" s="10"/>
      <c r="V2166" s="10"/>
      <c r="W2166" s="10"/>
      <c r="X2166" s="10"/>
      <c r="Y2166" s="10"/>
    </row>
    <row r="2167" spans="1:25" x14ac:dyDescent="0.25">
      <c r="A2167" s="9">
        <v>42705</v>
      </c>
      <c r="B2167" s="10">
        <f ca="1">ROUND(_xlfn.NORM.INV(RAND(),Reference!$C$8,0.1*Reference!$C$8)*(1+Reference!$C$11*(IF(MONTH($A2167)=Reference!$C$4,1,0)+IF(MONTH($A2167)=Reference!$C$5,1,0))+(IF(MONTH($A2167)=Reference!$C$6,Reference!$C$13,0))),0)</f>
        <v>330</v>
      </c>
      <c r="C2167" s="11">
        <f ca="1">B2167*Reference!$C$7*(1-IF(MONTH($A2167)=Reference!$C$6,1,0)*Reference!$C$12)</f>
        <v>306900</v>
      </c>
      <c r="D2167" s="10">
        <f ca="1">ROUND(_xlfn.NORM.INV(RAND(),Reference!$D$8,0.1*Reference!$D$8)*(1+Reference!$D$11*(IF(MONTH($A2167)=Reference!$D$4,1,0)+IF(MONTH($A2167)=Reference!$D$5,1,0))+(IF(MONTH($A2167)=Reference!$D$6,Reference!$D$13,0))),0)</f>
        <v>451</v>
      </c>
      <c r="E2167" s="11">
        <f ca="1">D2167*Reference!$D$7*(1-IF(MONTH($A2167)=Reference!$D$6,1,0)*Reference!$D$12)</f>
        <v>338250</v>
      </c>
      <c r="M2167" s="20"/>
      <c r="N2167" s="20"/>
      <c r="O2167" s="19"/>
      <c r="P2167" s="10"/>
      <c r="Q2167" s="10"/>
      <c r="R2167" s="10"/>
      <c r="S2167" s="10"/>
      <c r="T2167" s="10"/>
      <c r="U2167" s="10"/>
      <c r="V2167" s="10"/>
      <c r="W2167" s="10"/>
      <c r="X2167" s="10"/>
      <c r="Y2167" s="10"/>
    </row>
    <row r="2168" spans="1:25" x14ac:dyDescent="0.25">
      <c r="A2168" s="9">
        <v>42706</v>
      </c>
      <c r="B2168" s="10">
        <f ca="1">ROUND(_xlfn.NORM.INV(RAND(),Reference!$C$8,0.1*Reference!$C$8)*(1+Reference!$C$11*(IF(MONTH($A2168)=Reference!$C$4,1,0)+IF(MONTH($A2168)=Reference!$C$5,1,0))+(IF(MONTH($A2168)=Reference!$C$6,Reference!$C$13,0))),0)</f>
        <v>397</v>
      </c>
      <c r="C2168" s="11">
        <f ca="1">B2168*Reference!$C$7*(1-IF(MONTH($A2168)=Reference!$C$6,1,0)*Reference!$C$12)</f>
        <v>369210</v>
      </c>
      <c r="D2168" s="10">
        <f ca="1">ROUND(_xlfn.NORM.INV(RAND(),Reference!$D$8,0.1*Reference!$D$8)*(1+Reference!$D$11*(IF(MONTH($A2168)=Reference!$D$4,1,0)+IF(MONTH($A2168)=Reference!$D$5,1,0))+(IF(MONTH($A2168)=Reference!$D$6,Reference!$D$13,0))),0)</f>
        <v>381</v>
      </c>
      <c r="E2168" s="11">
        <f ca="1">D2168*Reference!$D$7*(1-IF(MONTH($A2168)=Reference!$D$6,1,0)*Reference!$D$12)</f>
        <v>285750</v>
      </c>
      <c r="M2168" s="20"/>
      <c r="N2168" s="20"/>
      <c r="O2168" s="19"/>
      <c r="P2168" s="10"/>
      <c r="Q2168" s="10"/>
      <c r="R2168" s="10"/>
      <c r="S2168" s="10"/>
      <c r="T2168" s="10"/>
      <c r="U2168" s="10"/>
      <c r="V2168" s="10"/>
      <c r="W2168" s="10"/>
      <c r="X2168" s="10"/>
      <c r="Y2168" s="10"/>
    </row>
    <row r="2169" spans="1:25" x14ac:dyDescent="0.25">
      <c r="A2169" s="9">
        <v>42707</v>
      </c>
      <c r="B2169" s="10">
        <f ca="1">ROUND(_xlfn.NORM.INV(RAND(),Reference!$C$8,0.1*Reference!$C$8)*(1+Reference!$C$11*(IF(MONTH($A2169)=Reference!$C$4,1,0)+IF(MONTH($A2169)=Reference!$C$5,1,0))+(IF(MONTH($A2169)=Reference!$C$6,Reference!$C$13,0))),0)</f>
        <v>358</v>
      </c>
      <c r="C2169" s="11">
        <f ca="1">B2169*Reference!$C$7*(1-IF(MONTH($A2169)=Reference!$C$6,1,0)*Reference!$C$12)</f>
        <v>332940</v>
      </c>
      <c r="D2169" s="10">
        <f ca="1">ROUND(_xlfn.NORM.INV(RAND(),Reference!$D$8,0.1*Reference!$D$8)*(1+Reference!$D$11*(IF(MONTH($A2169)=Reference!$D$4,1,0)+IF(MONTH($A2169)=Reference!$D$5,1,0))+(IF(MONTH($A2169)=Reference!$D$6,Reference!$D$13,0))),0)</f>
        <v>368</v>
      </c>
      <c r="E2169" s="11">
        <f ca="1">D2169*Reference!$D$7*(1-IF(MONTH($A2169)=Reference!$D$6,1,0)*Reference!$D$12)</f>
        <v>276000</v>
      </c>
      <c r="M2169" s="20"/>
      <c r="N2169" s="20"/>
      <c r="O2169" s="19"/>
      <c r="P2169" s="10"/>
      <c r="Q2169" s="10"/>
      <c r="R2169" s="10"/>
      <c r="S2169" s="10"/>
      <c r="T2169" s="10"/>
      <c r="U2169" s="10"/>
      <c r="V2169" s="10"/>
      <c r="W2169" s="10"/>
      <c r="X2169" s="10"/>
      <c r="Y2169" s="10"/>
    </row>
    <row r="2170" spans="1:25" x14ac:dyDescent="0.25">
      <c r="A2170" s="9">
        <v>42708</v>
      </c>
      <c r="B2170" s="10">
        <f ca="1">ROUND(_xlfn.NORM.INV(RAND(),Reference!$C$8,0.1*Reference!$C$8)*(1+Reference!$C$11*(IF(MONTH($A2170)=Reference!$C$4,1,0)+IF(MONTH($A2170)=Reference!$C$5,1,0))+(IF(MONTH($A2170)=Reference!$C$6,Reference!$C$13,0))),0)</f>
        <v>354</v>
      </c>
      <c r="C2170" s="11">
        <f ca="1">B2170*Reference!$C$7*(1-IF(MONTH($A2170)=Reference!$C$6,1,0)*Reference!$C$12)</f>
        <v>329220</v>
      </c>
      <c r="D2170" s="10">
        <f ca="1">ROUND(_xlfn.NORM.INV(RAND(),Reference!$D$8,0.1*Reference!$D$8)*(1+Reference!$D$11*(IF(MONTH($A2170)=Reference!$D$4,1,0)+IF(MONTH($A2170)=Reference!$D$5,1,0))+(IF(MONTH($A2170)=Reference!$D$6,Reference!$D$13,0))),0)</f>
        <v>421</v>
      </c>
      <c r="E2170" s="11">
        <f ca="1">D2170*Reference!$D$7*(1-IF(MONTH($A2170)=Reference!$D$6,1,0)*Reference!$D$12)</f>
        <v>315750</v>
      </c>
      <c r="M2170" s="20"/>
      <c r="N2170" s="20"/>
      <c r="O2170" s="19"/>
      <c r="P2170" s="10"/>
      <c r="Q2170" s="10"/>
      <c r="R2170" s="10"/>
      <c r="S2170" s="10"/>
      <c r="T2170" s="10"/>
      <c r="U2170" s="10"/>
      <c r="V2170" s="10"/>
      <c r="W2170" s="10"/>
      <c r="X2170" s="10"/>
      <c r="Y2170" s="10"/>
    </row>
    <row r="2171" spans="1:25" x14ac:dyDescent="0.25">
      <c r="A2171" s="9">
        <v>42709</v>
      </c>
      <c r="B2171" s="10">
        <f ca="1">ROUND(_xlfn.NORM.INV(RAND(),Reference!$C$8,0.1*Reference!$C$8)*(1+Reference!$C$11*(IF(MONTH($A2171)=Reference!$C$4,1,0)+IF(MONTH($A2171)=Reference!$C$5,1,0))+(IF(MONTH($A2171)=Reference!$C$6,Reference!$C$13,0))),0)</f>
        <v>317</v>
      </c>
      <c r="C2171" s="11">
        <f ca="1">B2171*Reference!$C$7*(1-IF(MONTH($A2171)=Reference!$C$6,1,0)*Reference!$C$12)</f>
        <v>294810</v>
      </c>
      <c r="D2171" s="10">
        <f ca="1">ROUND(_xlfn.NORM.INV(RAND(),Reference!$D$8,0.1*Reference!$D$8)*(1+Reference!$D$11*(IF(MONTH($A2171)=Reference!$D$4,1,0)+IF(MONTH($A2171)=Reference!$D$5,1,0))+(IF(MONTH($A2171)=Reference!$D$6,Reference!$D$13,0))),0)</f>
        <v>461</v>
      </c>
      <c r="E2171" s="11">
        <f ca="1">D2171*Reference!$D$7*(1-IF(MONTH($A2171)=Reference!$D$6,1,0)*Reference!$D$12)</f>
        <v>345750</v>
      </c>
      <c r="M2171" s="20"/>
      <c r="N2171" s="20"/>
      <c r="O2171" s="19"/>
      <c r="P2171" s="10"/>
      <c r="Q2171" s="10"/>
      <c r="R2171" s="10"/>
      <c r="S2171" s="10"/>
      <c r="T2171" s="10"/>
      <c r="U2171" s="10"/>
      <c r="V2171" s="10"/>
      <c r="W2171" s="10"/>
      <c r="X2171" s="10"/>
      <c r="Y2171" s="10"/>
    </row>
    <row r="2172" spans="1:25" x14ac:dyDescent="0.25">
      <c r="A2172" s="9">
        <v>42710</v>
      </c>
      <c r="B2172" s="10">
        <f ca="1">ROUND(_xlfn.NORM.INV(RAND(),Reference!$C$8,0.1*Reference!$C$8)*(1+Reference!$C$11*(IF(MONTH($A2172)=Reference!$C$4,1,0)+IF(MONTH($A2172)=Reference!$C$5,1,0))+(IF(MONTH($A2172)=Reference!$C$6,Reference!$C$13,0))),0)</f>
        <v>395</v>
      </c>
      <c r="C2172" s="11">
        <f ca="1">B2172*Reference!$C$7*(1-IF(MONTH($A2172)=Reference!$C$6,1,0)*Reference!$C$12)</f>
        <v>367350</v>
      </c>
      <c r="D2172" s="10">
        <f ca="1">ROUND(_xlfn.NORM.INV(RAND(),Reference!$D$8,0.1*Reference!$D$8)*(1+Reference!$D$11*(IF(MONTH($A2172)=Reference!$D$4,1,0)+IF(MONTH($A2172)=Reference!$D$5,1,0))+(IF(MONTH($A2172)=Reference!$D$6,Reference!$D$13,0))),0)</f>
        <v>457</v>
      </c>
      <c r="E2172" s="11">
        <f ca="1">D2172*Reference!$D$7*(1-IF(MONTH($A2172)=Reference!$D$6,1,0)*Reference!$D$12)</f>
        <v>342750</v>
      </c>
      <c r="M2172" s="20"/>
      <c r="N2172" s="20"/>
      <c r="O2172" s="19"/>
      <c r="P2172" s="10"/>
      <c r="Q2172" s="10"/>
      <c r="R2172" s="10"/>
      <c r="S2172" s="10"/>
      <c r="T2172" s="10"/>
      <c r="U2172" s="10"/>
      <c r="V2172" s="10"/>
      <c r="W2172" s="10"/>
      <c r="X2172" s="10"/>
      <c r="Y2172" s="10"/>
    </row>
    <row r="2173" spans="1:25" x14ac:dyDescent="0.25">
      <c r="A2173" s="9">
        <v>42711</v>
      </c>
      <c r="B2173" s="10">
        <f ca="1">ROUND(_xlfn.NORM.INV(RAND(),Reference!$C$8,0.1*Reference!$C$8)*(1+Reference!$C$11*(IF(MONTH($A2173)=Reference!$C$4,1,0)+IF(MONTH($A2173)=Reference!$C$5,1,0))+(IF(MONTH($A2173)=Reference!$C$6,Reference!$C$13,0))),0)</f>
        <v>321</v>
      </c>
      <c r="C2173" s="11">
        <f ca="1">B2173*Reference!$C$7*(1-IF(MONTH($A2173)=Reference!$C$6,1,0)*Reference!$C$12)</f>
        <v>298530</v>
      </c>
      <c r="D2173" s="10">
        <f ca="1">ROUND(_xlfn.NORM.INV(RAND(),Reference!$D$8,0.1*Reference!$D$8)*(1+Reference!$D$11*(IF(MONTH($A2173)=Reference!$D$4,1,0)+IF(MONTH($A2173)=Reference!$D$5,1,0))+(IF(MONTH($A2173)=Reference!$D$6,Reference!$D$13,0))),0)</f>
        <v>460</v>
      </c>
      <c r="E2173" s="11">
        <f ca="1">D2173*Reference!$D$7*(1-IF(MONTH($A2173)=Reference!$D$6,1,0)*Reference!$D$12)</f>
        <v>345000</v>
      </c>
      <c r="M2173" s="20"/>
      <c r="N2173" s="20"/>
      <c r="O2173" s="19"/>
      <c r="P2173" s="10"/>
      <c r="Q2173" s="10"/>
      <c r="R2173" s="10"/>
      <c r="S2173" s="10"/>
      <c r="T2173" s="10"/>
      <c r="U2173" s="10"/>
      <c r="V2173" s="10"/>
      <c r="W2173" s="10"/>
      <c r="X2173" s="10"/>
      <c r="Y2173" s="10"/>
    </row>
    <row r="2174" spans="1:25" x14ac:dyDescent="0.25">
      <c r="A2174" s="9">
        <v>42712</v>
      </c>
      <c r="B2174" s="10">
        <f ca="1">ROUND(_xlfn.NORM.INV(RAND(),Reference!$C$8,0.1*Reference!$C$8)*(1+Reference!$C$11*(IF(MONTH($A2174)=Reference!$C$4,1,0)+IF(MONTH($A2174)=Reference!$C$5,1,0))+(IF(MONTH($A2174)=Reference!$C$6,Reference!$C$13,0))),0)</f>
        <v>354</v>
      </c>
      <c r="C2174" s="11">
        <f ca="1">B2174*Reference!$C$7*(1-IF(MONTH($A2174)=Reference!$C$6,1,0)*Reference!$C$12)</f>
        <v>329220</v>
      </c>
      <c r="D2174" s="10">
        <f ca="1">ROUND(_xlfn.NORM.INV(RAND(),Reference!$D$8,0.1*Reference!$D$8)*(1+Reference!$D$11*(IF(MONTH($A2174)=Reference!$D$4,1,0)+IF(MONTH($A2174)=Reference!$D$5,1,0))+(IF(MONTH($A2174)=Reference!$D$6,Reference!$D$13,0))),0)</f>
        <v>491</v>
      </c>
      <c r="E2174" s="11">
        <f ca="1">D2174*Reference!$D$7*(1-IF(MONTH($A2174)=Reference!$D$6,1,0)*Reference!$D$12)</f>
        <v>368250</v>
      </c>
      <c r="M2174" s="20"/>
      <c r="N2174" s="20"/>
      <c r="O2174" s="19"/>
      <c r="P2174" s="10"/>
      <c r="Q2174" s="10"/>
      <c r="R2174" s="10"/>
      <c r="S2174" s="10"/>
      <c r="T2174" s="10"/>
      <c r="U2174" s="10"/>
      <c r="V2174" s="10"/>
      <c r="W2174" s="10"/>
      <c r="X2174" s="10"/>
      <c r="Y2174" s="10"/>
    </row>
    <row r="2175" spans="1:25" x14ac:dyDescent="0.25">
      <c r="A2175" s="9">
        <v>42713</v>
      </c>
      <c r="B2175" s="10">
        <f ca="1">ROUND(_xlfn.NORM.INV(RAND(),Reference!$C$8,0.1*Reference!$C$8)*(1+Reference!$C$11*(IF(MONTH($A2175)=Reference!$C$4,1,0)+IF(MONTH($A2175)=Reference!$C$5,1,0))+(IF(MONTH($A2175)=Reference!$C$6,Reference!$C$13,0))),0)</f>
        <v>381</v>
      </c>
      <c r="C2175" s="11">
        <f ca="1">B2175*Reference!$C$7*(1-IF(MONTH($A2175)=Reference!$C$6,1,0)*Reference!$C$12)</f>
        <v>354330</v>
      </c>
      <c r="D2175" s="10">
        <f ca="1">ROUND(_xlfn.NORM.INV(RAND(),Reference!$D$8,0.1*Reference!$D$8)*(1+Reference!$D$11*(IF(MONTH($A2175)=Reference!$D$4,1,0)+IF(MONTH($A2175)=Reference!$D$5,1,0))+(IF(MONTH($A2175)=Reference!$D$6,Reference!$D$13,0))),0)</f>
        <v>423</v>
      </c>
      <c r="E2175" s="11">
        <f ca="1">D2175*Reference!$D$7*(1-IF(MONTH($A2175)=Reference!$D$6,1,0)*Reference!$D$12)</f>
        <v>317250</v>
      </c>
      <c r="M2175" s="20"/>
      <c r="N2175" s="20"/>
      <c r="O2175" s="19"/>
      <c r="P2175" s="10"/>
      <c r="Q2175" s="10"/>
      <c r="R2175" s="10"/>
      <c r="S2175" s="10"/>
      <c r="T2175" s="10"/>
      <c r="U2175" s="10"/>
      <c r="V2175" s="10"/>
      <c r="W2175" s="10"/>
      <c r="X2175" s="10"/>
      <c r="Y2175" s="10"/>
    </row>
    <row r="2176" spans="1:25" x14ac:dyDescent="0.25">
      <c r="A2176" s="9">
        <v>42714</v>
      </c>
      <c r="B2176" s="10">
        <f ca="1">ROUND(_xlfn.NORM.INV(RAND(),Reference!$C$8,0.1*Reference!$C$8)*(1+Reference!$C$11*(IF(MONTH($A2176)=Reference!$C$4,1,0)+IF(MONTH($A2176)=Reference!$C$5,1,0))+(IF(MONTH($A2176)=Reference!$C$6,Reference!$C$13,0))),0)</f>
        <v>387</v>
      </c>
      <c r="C2176" s="11">
        <f ca="1">B2176*Reference!$C$7*(1-IF(MONTH($A2176)=Reference!$C$6,1,0)*Reference!$C$12)</f>
        <v>359910</v>
      </c>
      <c r="D2176" s="10">
        <f ca="1">ROUND(_xlfn.NORM.INV(RAND(),Reference!$D$8,0.1*Reference!$D$8)*(1+Reference!$D$11*(IF(MONTH($A2176)=Reference!$D$4,1,0)+IF(MONTH($A2176)=Reference!$D$5,1,0))+(IF(MONTH($A2176)=Reference!$D$6,Reference!$D$13,0))),0)</f>
        <v>391</v>
      </c>
      <c r="E2176" s="11">
        <f ca="1">D2176*Reference!$D$7*(1-IF(MONTH($A2176)=Reference!$D$6,1,0)*Reference!$D$12)</f>
        <v>293250</v>
      </c>
      <c r="M2176" s="20"/>
      <c r="N2176" s="20"/>
      <c r="O2176" s="19"/>
      <c r="P2176" s="10"/>
      <c r="Q2176" s="10"/>
      <c r="R2176" s="10"/>
      <c r="S2176" s="10"/>
      <c r="T2176" s="10"/>
      <c r="U2176" s="10"/>
      <c r="V2176" s="10"/>
      <c r="W2176" s="10"/>
      <c r="X2176" s="10"/>
      <c r="Y2176" s="10"/>
    </row>
    <row r="2177" spans="1:25" x14ac:dyDescent="0.25">
      <c r="A2177" s="9">
        <v>42715</v>
      </c>
      <c r="B2177" s="10">
        <f ca="1">ROUND(_xlfn.NORM.INV(RAND(),Reference!$C$8,0.1*Reference!$C$8)*(1+Reference!$C$11*(IF(MONTH($A2177)=Reference!$C$4,1,0)+IF(MONTH($A2177)=Reference!$C$5,1,0))+(IF(MONTH($A2177)=Reference!$C$6,Reference!$C$13,0))),0)</f>
        <v>359</v>
      </c>
      <c r="C2177" s="11">
        <f ca="1">B2177*Reference!$C$7*(1-IF(MONTH($A2177)=Reference!$C$6,1,0)*Reference!$C$12)</f>
        <v>333870</v>
      </c>
      <c r="D2177" s="10">
        <f ca="1">ROUND(_xlfn.NORM.INV(RAND(),Reference!$D$8,0.1*Reference!$D$8)*(1+Reference!$D$11*(IF(MONTH($A2177)=Reference!$D$4,1,0)+IF(MONTH($A2177)=Reference!$D$5,1,0))+(IF(MONTH($A2177)=Reference!$D$6,Reference!$D$13,0))),0)</f>
        <v>472</v>
      </c>
      <c r="E2177" s="11">
        <f ca="1">D2177*Reference!$D$7*(1-IF(MONTH($A2177)=Reference!$D$6,1,0)*Reference!$D$12)</f>
        <v>354000</v>
      </c>
      <c r="M2177" s="20"/>
      <c r="N2177" s="20"/>
      <c r="O2177" s="19"/>
      <c r="P2177" s="10"/>
      <c r="Q2177" s="10"/>
      <c r="R2177" s="10"/>
      <c r="S2177" s="10"/>
      <c r="T2177" s="10"/>
      <c r="U2177" s="10"/>
      <c r="V2177" s="10"/>
      <c r="W2177" s="10"/>
      <c r="X2177" s="10"/>
      <c r="Y2177" s="10"/>
    </row>
    <row r="2178" spans="1:25" x14ac:dyDescent="0.25">
      <c r="A2178" s="9">
        <v>42716</v>
      </c>
      <c r="B2178" s="10">
        <f ca="1">ROUND(_xlfn.NORM.INV(RAND(),Reference!$C$8,0.1*Reference!$C$8)*(1+Reference!$C$11*(IF(MONTH($A2178)=Reference!$C$4,1,0)+IF(MONTH($A2178)=Reference!$C$5,1,0))+(IF(MONTH($A2178)=Reference!$C$6,Reference!$C$13,0))),0)</f>
        <v>342</v>
      </c>
      <c r="C2178" s="11">
        <f ca="1">B2178*Reference!$C$7*(1-IF(MONTH($A2178)=Reference!$C$6,1,0)*Reference!$C$12)</f>
        <v>318060</v>
      </c>
      <c r="D2178" s="10">
        <f ca="1">ROUND(_xlfn.NORM.INV(RAND(),Reference!$D$8,0.1*Reference!$D$8)*(1+Reference!$D$11*(IF(MONTH($A2178)=Reference!$D$4,1,0)+IF(MONTH($A2178)=Reference!$D$5,1,0))+(IF(MONTH($A2178)=Reference!$D$6,Reference!$D$13,0))),0)</f>
        <v>427</v>
      </c>
      <c r="E2178" s="11">
        <f ca="1">D2178*Reference!$D$7*(1-IF(MONTH($A2178)=Reference!$D$6,1,0)*Reference!$D$12)</f>
        <v>320250</v>
      </c>
      <c r="M2178" s="20"/>
      <c r="N2178" s="20"/>
      <c r="O2178" s="19"/>
      <c r="P2178" s="10"/>
      <c r="Q2178" s="10"/>
      <c r="R2178" s="10"/>
      <c r="S2178" s="10"/>
      <c r="T2178" s="10"/>
      <c r="U2178" s="10"/>
      <c r="V2178" s="10"/>
      <c r="W2178" s="10"/>
      <c r="X2178" s="10"/>
      <c r="Y2178" s="10"/>
    </row>
    <row r="2179" spans="1:25" x14ac:dyDescent="0.25">
      <c r="A2179" s="9">
        <v>42717</v>
      </c>
      <c r="B2179" s="10">
        <f ca="1">ROUND(_xlfn.NORM.INV(RAND(),Reference!$C$8,0.1*Reference!$C$8)*(1+Reference!$C$11*(IF(MONTH($A2179)=Reference!$C$4,1,0)+IF(MONTH($A2179)=Reference!$C$5,1,0))+(IF(MONTH($A2179)=Reference!$C$6,Reference!$C$13,0))),0)</f>
        <v>373</v>
      </c>
      <c r="C2179" s="11">
        <f ca="1">B2179*Reference!$C$7*(1-IF(MONTH($A2179)=Reference!$C$6,1,0)*Reference!$C$12)</f>
        <v>346890</v>
      </c>
      <c r="D2179" s="10">
        <f ca="1">ROUND(_xlfn.NORM.INV(RAND(),Reference!$D$8,0.1*Reference!$D$8)*(1+Reference!$D$11*(IF(MONTH($A2179)=Reference!$D$4,1,0)+IF(MONTH($A2179)=Reference!$D$5,1,0))+(IF(MONTH($A2179)=Reference!$D$6,Reference!$D$13,0))),0)</f>
        <v>390</v>
      </c>
      <c r="E2179" s="11">
        <f ca="1">D2179*Reference!$D$7*(1-IF(MONTH($A2179)=Reference!$D$6,1,0)*Reference!$D$12)</f>
        <v>292500</v>
      </c>
      <c r="M2179" s="20"/>
      <c r="N2179" s="20"/>
      <c r="O2179" s="19"/>
      <c r="P2179" s="10"/>
      <c r="Q2179" s="10"/>
      <c r="R2179" s="10"/>
      <c r="S2179" s="10"/>
      <c r="T2179" s="10"/>
      <c r="U2179" s="10"/>
      <c r="V2179" s="10"/>
      <c r="W2179" s="10"/>
      <c r="X2179" s="10"/>
      <c r="Y2179" s="10"/>
    </row>
    <row r="2180" spans="1:25" x14ac:dyDescent="0.25">
      <c r="A2180" s="9">
        <v>42718</v>
      </c>
      <c r="B2180" s="10">
        <f ca="1">ROUND(_xlfn.NORM.INV(RAND(),Reference!$C$8,0.1*Reference!$C$8)*(1+Reference!$C$11*(IF(MONTH($A2180)=Reference!$C$4,1,0)+IF(MONTH($A2180)=Reference!$C$5,1,0))+(IF(MONTH($A2180)=Reference!$C$6,Reference!$C$13,0))),0)</f>
        <v>345</v>
      </c>
      <c r="C2180" s="11">
        <f ca="1">B2180*Reference!$C$7*(1-IF(MONTH($A2180)=Reference!$C$6,1,0)*Reference!$C$12)</f>
        <v>320850</v>
      </c>
      <c r="D2180" s="10">
        <f ca="1">ROUND(_xlfn.NORM.INV(RAND(),Reference!$D$8,0.1*Reference!$D$8)*(1+Reference!$D$11*(IF(MONTH($A2180)=Reference!$D$4,1,0)+IF(MONTH($A2180)=Reference!$D$5,1,0))+(IF(MONTH($A2180)=Reference!$D$6,Reference!$D$13,0))),0)</f>
        <v>417</v>
      </c>
      <c r="E2180" s="11">
        <f ca="1">D2180*Reference!$D$7*(1-IF(MONTH($A2180)=Reference!$D$6,1,0)*Reference!$D$12)</f>
        <v>312750</v>
      </c>
      <c r="M2180" s="20"/>
      <c r="N2180" s="20"/>
      <c r="O2180" s="19"/>
      <c r="P2180" s="10"/>
      <c r="Q2180" s="10"/>
      <c r="R2180" s="10"/>
      <c r="S2180" s="10"/>
      <c r="T2180" s="10"/>
      <c r="U2180" s="10"/>
      <c r="V2180" s="10"/>
      <c r="W2180" s="10"/>
      <c r="X2180" s="10"/>
      <c r="Y2180" s="10"/>
    </row>
    <row r="2181" spans="1:25" x14ac:dyDescent="0.25">
      <c r="A2181" s="9">
        <v>42719</v>
      </c>
      <c r="B2181" s="10">
        <f ca="1">ROUND(_xlfn.NORM.INV(RAND(),Reference!$C$8,0.1*Reference!$C$8)*(1+Reference!$C$11*(IF(MONTH($A2181)=Reference!$C$4,1,0)+IF(MONTH($A2181)=Reference!$C$5,1,0))+(IF(MONTH($A2181)=Reference!$C$6,Reference!$C$13,0))),0)</f>
        <v>405</v>
      </c>
      <c r="C2181" s="11">
        <f ca="1">B2181*Reference!$C$7*(1-IF(MONTH($A2181)=Reference!$C$6,1,0)*Reference!$C$12)</f>
        <v>376650</v>
      </c>
      <c r="D2181" s="10">
        <f ca="1">ROUND(_xlfn.NORM.INV(RAND(),Reference!$D$8,0.1*Reference!$D$8)*(1+Reference!$D$11*(IF(MONTH($A2181)=Reference!$D$4,1,0)+IF(MONTH($A2181)=Reference!$D$5,1,0))+(IF(MONTH($A2181)=Reference!$D$6,Reference!$D$13,0))),0)</f>
        <v>448</v>
      </c>
      <c r="E2181" s="11">
        <f ca="1">D2181*Reference!$D$7*(1-IF(MONTH($A2181)=Reference!$D$6,1,0)*Reference!$D$12)</f>
        <v>336000</v>
      </c>
      <c r="M2181" s="20"/>
      <c r="N2181" s="20"/>
      <c r="O2181" s="19"/>
      <c r="P2181" s="10"/>
      <c r="Q2181" s="10"/>
      <c r="R2181" s="10"/>
      <c r="S2181" s="10"/>
      <c r="T2181" s="10"/>
      <c r="U2181" s="10"/>
      <c r="V2181" s="10"/>
      <c r="W2181" s="10"/>
      <c r="X2181" s="10"/>
      <c r="Y2181" s="10"/>
    </row>
    <row r="2182" spans="1:25" x14ac:dyDescent="0.25">
      <c r="A2182" s="9">
        <v>42720</v>
      </c>
      <c r="B2182" s="10">
        <f ca="1">ROUND(_xlfn.NORM.INV(RAND(),Reference!$C$8,0.1*Reference!$C$8)*(1+Reference!$C$11*(IF(MONTH($A2182)=Reference!$C$4,1,0)+IF(MONTH($A2182)=Reference!$C$5,1,0))+(IF(MONTH($A2182)=Reference!$C$6,Reference!$C$13,0))),0)</f>
        <v>320</v>
      </c>
      <c r="C2182" s="11">
        <f ca="1">B2182*Reference!$C$7*(1-IF(MONTH($A2182)=Reference!$C$6,1,0)*Reference!$C$12)</f>
        <v>297600</v>
      </c>
      <c r="D2182" s="10">
        <f ca="1">ROUND(_xlfn.NORM.INV(RAND(),Reference!$D$8,0.1*Reference!$D$8)*(1+Reference!$D$11*(IF(MONTH($A2182)=Reference!$D$4,1,0)+IF(MONTH($A2182)=Reference!$D$5,1,0))+(IF(MONTH($A2182)=Reference!$D$6,Reference!$D$13,0))),0)</f>
        <v>450</v>
      </c>
      <c r="E2182" s="11">
        <f ca="1">D2182*Reference!$D$7*(1-IF(MONTH($A2182)=Reference!$D$6,1,0)*Reference!$D$12)</f>
        <v>337500</v>
      </c>
      <c r="M2182" s="20"/>
      <c r="N2182" s="20"/>
      <c r="O2182" s="19"/>
      <c r="P2182" s="10"/>
      <c r="Q2182" s="10"/>
      <c r="R2182" s="10"/>
      <c r="S2182" s="10"/>
      <c r="T2182" s="10"/>
      <c r="U2182" s="10"/>
      <c r="V2182" s="10"/>
      <c r="W2182" s="10"/>
      <c r="X2182" s="10"/>
      <c r="Y2182" s="10"/>
    </row>
    <row r="2183" spans="1:25" x14ac:dyDescent="0.25">
      <c r="A2183" s="9">
        <v>42721</v>
      </c>
      <c r="B2183" s="10">
        <f ca="1">ROUND(_xlfn.NORM.INV(RAND(),Reference!$C$8,0.1*Reference!$C$8)*(1+Reference!$C$11*(IF(MONTH($A2183)=Reference!$C$4,1,0)+IF(MONTH($A2183)=Reference!$C$5,1,0))+(IF(MONTH($A2183)=Reference!$C$6,Reference!$C$13,0))),0)</f>
        <v>391</v>
      </c>
      <c r="C2183" s="11">
        <f ca="1">B2183*Reference!$C$7*(1-IF(MONTH($A2183)=Reference!$C$6,1,0)*Reference!$C$12)</f>
        <v>363630</v>
      </c>
      <c r="D2183" s="10">
        <f ca="1">ROUND(_xlfn.NORM.INV(RAND(),Reference!$D$8,0.1*Reference!$D$8)*(1+Reference!$D$11*(IF(MONTH($A2183)=Reference!$D$4,1,0)+IF(MONTH($A2183)=Reference!$D$5,1,0))+(IF(MONTH($A2183)=Reference!$D$6,Reference!$D$13,0))),0)</f>
        <v>491</v>
      </c>
      <c r="E2183" s="11">
        <f ca="1">D2183*Reference!$D$7*(1-IF(MONTH($A2183)=Reference!$D$6,1,0)*Reference!$D$12)</f>
        <v>368250</v>
      </c>
      <c r="M2183" s="20"/>
      <c r="N2183" s="20"/>
      <c r="O2183" s="19"/>
      <c r="P2183" s="10"/>
      <c r="Q2183" s="10"/>
      <c r="R2183" s="10"/>
      <c r="S2183" s="10"/>
      <c r="T2183" s="10"/>
      <c r="U2183" s="10"/>
      <c r="V2183" s="10"/>
      <c r="W2183" s="10"/>
      <c r="X2183" s="10"/>
      <c r="Y2183" s="10"/>
    </row>
    <row r="2184" spans="1:25" x14ac:dyDescent="0.25">
      <c r="A2184" s="9">
        <v>42722</v>
      </c>
      <c r="B2184" s="10">
        <f ca="1">ROUND(_xlfn.NORM.INV(RAND(),Reference!$C$8,0.1*Reference!$C$8)*(1+Reference!$C$11*(IF(MONTH($A2184)=Reference!$C$4,1,0)+IF(MONTH($A2184)=Reference!$C$5,1,0))+(IF(MONTH($A2184)=Reference!$C$6,Reference!$C$13,0))),0)</f>
        <v>304</v>
      </c>
      <c r="C2184" s="11">
        <f ca="1">B2184*Reference!$C$7*(1-IF(MONTH($A2184)=Reference!$C$6,1,0)*Reference!$C$12)</f>
        <v>282720</v>
      </c>
      <c r="D2184" s="10">
        <f ca="1">ROUND(_xlfn.NORM.INV(RAND(),Reference!$D$8,0.1*Reference!$D$8)*(1+Reference!$D$11*(IF(MONTH($A2184)=Reference!$D$4,1,0)+IF(MONTH($A2184)=Reference!$D$5,1,0))+(IF(MONTH($A2184)=Reference!$D$6,Reference!$D$13,0))),0)</f>
        <v>470</v>
      </c>
      <c r="E2184" s="11">
        <f ca="1">D2184*Reference!$D$7*(1-IF(MONTH($A2184)=Reference!$D$6,1,0)*Reference!$D$12)</f>
        <v>352500</v>
      </c>
      <c r="M2184" s="20"/>
      <c r="N2184" s="20"/>
      <c r="O2184" s="19"/>
      <c r="P2184" s="10"/>
      <c r="Q2184" s="10"/>
      <c r="R2184" s="10"/>
      <c r="S2184" s="10"/>
      <c r="T2184" s="10"/>
      <c r="U2184" s="10"/>
      <c r="V2184" s="10"/>
      <c r="W2184" s="10"/>
      <c r="X2184" s="10"/>
      <c r="Y2184" s="10"/>
    </row>
    <row r="2185" spans="1:25" x14ac:dyDescent="0.25">
      <c r="A2185" s="9">
        <v>42723</v>
      </c>
      <c r="B2185" s="10">
        <f ca="1">ROUND(_xlfn.NORM.INV(RAND(),Reference!$C$8,0.1*Reference!$C$8)*(1+Reference!$C$11*(IF(MONTH($A2185)=Reference!$C$4,1,0)+IF(MONTH($A2185)=Reference!$C$5,1,0))+(IF(MONTH($A2185)=Reference!$C$6,Reference!$C$13,0))),0)</f>
        <v>286</v>
      </c>
      <c r="C2185" s="11">
        <f ca="1">B2185*Reference!$C$7*(1-IF(MONTH($A2185)=Reference!$C$6,1,0)*Reference!$C$12)</f>
        <v>265980</v>
      </c>
      <c r="D2185" s="10">
        <f ca="1">ROUND(_xlfn.NORM.INV(RAND(),Reference!$D$8,0.1*Reference!$D$8)*(1+Reference!$D$11*(IF(MONTH($A2185)=Reference!$D$4,1,0)+IF(MONTH($A2185)=Reference!$D$5,1,0))+(IF(MONTH($A2185)=Reference!$D$6,Reference!$D$13,0))),0)</f>
        <v>367</v>
      </c>
      <c r="E2185" s="11">
        <f ca="1">D2185*Reference!$D$7*(1-IF(MONTH($A2185)=Reference!$D$6,1,0)*Reference!$D$12)</f>
        <v>275250</v>
      </c>
      <c r="M2185" s="20"/>
      <c r="N2185" s="20"/>
      <c r="O2185" s="19"/>
      <c r="P2185" s="10"/>
      <c r="Q2185" s="10"/>
      <c r="R2185" s="10"/>
      <c r="S2185" s="10"/>
      <c r="T2185" s="10"/>
      <c r="U2185" s="10"/>
      <c r="V2185" s="10"/>
      <c r="W2185" s="10"/>
      <c r="X2185" s="10"/>
      <c r="Y2185" s="10"/>
    </row>
    <row r="2186" spans="1:25" x14ac:dyDescent="0.25">
      <c r="A2186" s="9">
        <v>42724</v>
      </c>
      <c r="B2186" s="10">
        <f ca="1">ROUND(_xlfn.NORM.INV(RAND(),Reference!$C$8,0.1*Reference!$C$8)*(1+Reference!$C$11*(IF(MONTH($A2186)=Reference!$C$4,1,0)+IF(MONTH($A2186)=Reference!$C$5,1,0))+(IF(MONTH($A2186)=Reference!$C$6,Reference!$C$13,0))),0)</f>
        <v>351</v>
      </c>
      <c r="C2186" s="11">
        <f ca="1">B2186*Reference!$C$7*(1-IF(MONTH($A2186)=Reference!$C$6,1,0)*Reference!$C$12)</f>
        <v>326430</v>
      </c>
      <c r="D2186" s="10">
        <f ca="1">ROUND(_xlfn.NORM.INV(RAND(),Reference!$D$8,0.1*Reference!$D$8)*(1+Reference!$D$11*(IF(MONTH($A2186)=Reference!$D$4,1,0)+IF(MONTH($A2186)=Reference!$D$5,1,0))+(IF(MONTH($A2186)=Reference!$D$6,Reference!$D$13,0))),0)</f>
        <v>426</v>
      </c>
      <c r="E2186" s="11">
        <f ca="1">D2186*Reference!$D$7*(1-IF(MONTH($A2186)=Reference!$D$6,1,0)*Reference!$D$12)</f>
        <v>319500</v>
      </c>
      <c r="M2186" s="20"/>
      <c r="N2186" s="20"/>
      <c r="O2186" s="19"/>
      <c r="P2186" s="10"/>
      <c r="Q2186" s="10"/>
      <c r="R2186" s="10"/>
      <c r="S2186" s="10"/>
      <c r="T2186" s="10"/>
      <c r="U2186" s="10"/>
      <c r="V2186" s="10"/>
      <c r="W2186" s="10"/>
      <c r="X2186" s="10"/>
      <c r="Y2186" s="10"/>
    </row>
    <row r="2187" spans="1:25" x14ac:dyDescent="0.25">
      <c r="A2187" s="9">
        <v>42725</v>
      </c>
      <c r="B2187" s="10">
        <f ca="1">ROUND(_xlfn.NORM.INV(RAND(),Reference!$C$8,0.1*Reference!$C$8)*(1+Reference!$C$11*(IF(MONTH($A2187)=Reference!$C$4,1,0)+IF(MONTH($A2187)=Reference!$C$5,1,0))+(IF(MONTH($A2187)=Reference!$C$6,Reference!$C$13,0))),0)</f>
        <v>378</v>
      </c>
      <c r="C2187" s="11">
        <f ca="1">B2187*Reference!$C$7*(1-IF(MONTH($A2187)=Reference!$C$6,1,0)*Reference!$C$12)</f>
        <v>351540</v>
      </c>
      <c r="D2187" s="10">
        <f ca="1">ROUND(_xlfn.NORM.INV(RAND(),Reference!$D$8,0.1*Reference!$D$8)*(1+Reference!$D$11*(IF(MONTH($A2187)=Reference!$D$4,1,0)+IF(MONTH($A2187)=Reference!$D$5,1,0))+(IF(MONTH($A2187)=Reference!$D$6,Reference!$D$13,0))),0)</f>
        <v>452</v>
      </c>
      <c r="E2187" s="11">
        <f ca="1">D2187*Reference!$D$7*(1-IF(MONTH($A2187)=Reference!$D$6,1,0)*Reference!$D$12)</f>
        <v>339000</v>
      </c>
      <c r="M2187" s="20"/>
      <c r="N2187" s="20"/>
      <c r="O2187" s="19"/>
      <c r="P2187" s="10"/>
      <c r="Q2187" s="10"/>
      <c r="R2187" s="10"/>
      <c r="S2187" s="10"/>
      <c r="T2187" s="10"/>
      <c r="U2187" s="10"/>
      <c r="V2187" s="10"/>
      <c r="W2187" s="10"/>
      <c r="X2187" s="10"/>
      <c r="Y2187" s="10"/>
    </row>
    <row r="2188" spans="1:25" x14ac:dyDescent="0.25">
      <c r="A2188" s="9">
        <v>42726</v>
      </c>
      <c r="B2188" s="10">
        <f ca="1">ROUND(_xlfn.NORM.INV(RAND(),Reference!$C$8,0.1*Reference!$C$8)*(1+Reference!$C$11*(IF(MONTH($A2188)=Reference!$C$4,1,0)+IF(MONTH($A2188)=Reference!$C$5,1,0))+(IF(MONTH($A2188)=Reference!$C$6,Reference!$C$13,0))),0)</f>
        <v>328</v>
      </c>
      <c r="C2188" s="11">
        <f ca="1">B2188*Reference!$C$7*(1-IF(MONTH($A2188)=Reference!$C$6,1,0)*Reference!$C$12)</f>
        <v>305040</v>
      </c>
      <c r="D2188" s="10">
        <f ca="1">ROUND(_xlfn.NORM.INV(RAND(),Reference!$D$8,0.1*Reference!$D$8)*(1+Reference!$D$11*(IF(MONTH($A2188)=Reference!$D$4,1,0)+IF(MONTH($A2188)=Reference!$D$5,1,0))+(IF(MONTH($A2188)=Reference!$D$6,Reference!$D$13,0))),0)</f>
        <v>477</v>
      </c>
      <c r="E2188" s="11">
        <f ca="1">D2188*Reference!$D$7*(1-IF(MONTH($A2188)=Reference!$D$6,1,0)*Reference!$D$12)</f>
        <v>357750</v>
      </c>
      <c r="M2188" s="20"/>
      <c r="N2188" s="20"/>
      <c r="O2188" s="19"/>
      <c r="P2188" s="10"/>
      <c r="Q2188" s="10"/>
      <c r="R2188" s="10"/>
      <c r="S2188" s="10"/>
      <c r="T2188" s="10"/>
      <c r="U2188" s="10"/>
      <c r="V2188" s="10"/>
      <c r="W2188" s="10"/>
      <c r="X2188" s="10"/>
      <c r="Y2188" s="10"/>
    </row>
    <row r="2189" spans="1:25" x14ac:dyDescent="0.25">
      <c r="A2189" s="9">
        <v>42727</v>
      </c>
      <c r="B2189" s="10">
        <f ca="1">ROUND(_xlfn.NORM.INV(RAND(),Reference!$C$8,0.1*Reference!$C$8)*(1+Reference!$C$11*(IF(MONTH($A2189)=Reference!$C$4,1,0)+IF(MONTH($A2189)=Reference!$C$5,1,0))+(IF(MONTH($A2189)=Reference!$C$6,Reference!$C$13,0))),0)</f>
        <v>330</v>
      </c>
      <c r="C2189" s="11">
        <f ca="1">B2189*Reference!$C$7*(1-IF(MONTH($A2189)=Reference!$C$6,1,0)*Reference!$C$12)</f>
        <v>306900</v>
      </c>
      <c r="D2189" s="10">
        <f ca="1">ROUND(_xlfn.NORM.INV(RAND(),Reference!$D$8,0.1*Reference!$D$8)*(1+Reference!$D$11*(IF(MONTH($A2189)=Reference!$D$4,1,0)+IF(MONTH($A2189)=Reference!$D$5,1,0))+(IF(MONTH($A2189)=Reference!$D$6,Reference!$D$13,0))),0)</f>
        <v>397</v>
      </c>
      <c r="E2189" s="11">
        <f ca="1">D2189*Reference!$D$7*(1-IF(MONTH($A2189)=Reference!$D$6,1,0)*Reference!$D$12)</f>
        <v>297750</v>
      </c>
      <c r="M2189" s="20"/>
      <c r="N2189" s="20"/>
      <c r="O2189" s="19"/>
      <c r="P2189" s="10"/>
      <c r="Q2189" s="10"/>
      <c r="R2189" s="10"/>
      <c r="S2189" s="10"/>
      <c r="T2189" s="10"/>
      <c r="U2189" s="10"/>
      <c r="V2189" s="10"/>
      <c r="W2189" s="10"/>
      <c r="X2189" s="10"/>
      <c r="Y2189" s="10"/>
    </row>
    <row r="2190" spans="1:25" x14ac:dyDescent="0.25">
      <c r="A2190" s="9">
        <v>42728</v>
      </c>
      <c r="B2190" s="10">
        <f ca="1">ROUND(_xlfn.NORM.INV(RAND(),Reference!$C$8,0.1*Reference!$C$8)*(1+Reference!$C$11*(IF(MONTH($A2190)=Reference!$C$4,1,0)+IF(MONTH($A2190)=Reference!$C$5,1,0))+(IF(MONTH($A2190)=Reference!$C$6,Reference!$C$13,0))),0)</f>
        <v>377</v>
      </c>
      <c r="C2190" s="11">
        <f ca="1">B2190*Reference!$C$7*(1-IF(MONTH($A2190)=Reference!$C$6,1,0)*Reference!$C$12)</f>
        <v>350610</v>
      </c>
      <c r="D2190" s="10">
        <f ca="1">ROUND(_xlfn.NORM.INV(RAND(),Reference!$D$8,0.1*Reference!$D$8)*(1+Reference!$D$11*(IF(MONTH($A2190)=Reference!$D$4,1,0)+IF(MONTH($A2190)=Reference!$D$5,1,0))+(IF(MONTH($A2190)=Reference!$D$6,Reference!$D$13,0))),0)</f>
        <v>469</v>
      </c>
      <c r="E2190" s="11">
        <f ca="1">D2190*Reference!$D$7*(1-IF(MONTH($A2190)=Reference!$D$6,1,0)*Reference!$D$12)</f>
        <v>351750</v>
      </c>
      <c r="M2190" s="20"/>
      <c r="N2190" s="20"/>
      <c r="O2190" s="19"/>
      <c r="P2190" s="10"/>
      <c r="Q2190" s="10"/>
      <c r="R2190" s="10"/>
      <c r="S2190" s="10"/>
      <c r="T2190" s="10"/>
      <c r="U2190" s="10"/>
      <c r="V2190" s="10"/>
      <c r="W2190" s="10"/>
      <c r="X2190" s="10"/>
      <c r="Y2190" s="10"/>
    </row>
    <row r="2191" spans="1:25" x14ac:dyDescent="0.25">
      <c r="A2191" s="9">
        <v>42729</v>
      </c>
      <c r="B2191" s="10">
        <f ca="1">ROUND(_xlfn.NORM.INV(RAND(),Reference!$C$8,0.1*Reference!$C$8)*(1+Reference!$C$11*(IF(MONTH($A2191)=Reference!$C$4,1,0)+IF(MONTH($A2191)=Reference!$C$5,1,0))+(IF(MONTH($A2191)=Reference!$C$6,Reference!$C$13,0))),0)</f>
        <v>402</v>
      </c>
      <c r="C2191" s="11">
        <f ca="1">B2191*Reference!$C$7*(1-IF(MONTH($A2191)=Reference!$C$6,1,0)*Reference!$C$12)</f>
        <v>373860</v>
      </c>
      <c r="D2191" s="10">
        <f ca="1">ROUND(_xlfn.NORM.INV(RAND(),Reference!$D$8,0.1*Reference!$D$8)*(1+Reference!$D$11*(IF(MONTH($A2191)=Reference!$D$4,1,0)+IF(MONTH($A2191)=Reference!$D$5,1,0))+(IF(MONTH($A2191)=Reference!$D$6,Reference!$D$13,0))),0)</f>
        <v>430</v>
      </c>
      <c r="E2191" s="11">
        <f ca="1">D2191*Reference!$D$7*(1-IF(MONTH($A2191)=Reference!$D$6,1,0)*Reference!$D$12)</f>
        <v>322500</v>
      </c>
      <c r="M2191" s="20"/>
      <c r="N2191" s="20"/>
      <c r="O2191" s="19"/>
      <c r="P2191" s="10"/>
      <c r="Q2191" s="10"/>
      <c r="R2191" s="10"/>
      <c r="S2191" s="10"/>
      <c r="T2191" s="10"/>
      <c r="U2191" s="10"/>
      <c r="V2191" s="10"/>
      <c r="W2191" s="10"/>
      <c r="X2191" s="10"/>
      <c r="Y2191" s="10"/>
    </row>
    <row r="2192" spans="1:25" x14ac:dyDescent="0.25">
      <c r="A2192" s="9">
        <v>42730</v>
      </c>
      <c r="B2192" s="10">
        <f ca="1">ROUND(_xlfn.NORM.INV(RAND(),Reference!$C$8,0.1*Reference!$C$8)*(1+Reference!$C$11*(IF(MONTH($A2192)=Reference!$C$4,1,0)+IF(MONTH($A2192)=Reference!$C$5,1,0))+(IF(MONTH($A2192)=Reference!$C$6,Reference!$C$13,0))),0)</f>
        <v>336</v>
      </c>
      <c r="C2192" s="11">
        <f ca="1">B2192*Reference!$C$7*(1-IF(MONTH($A2192)=Reference!$C$6,1,0)*Reference!$C$12)</f>
        <v>312480</v>
      </c>
      <c r="D2192" s="10">
        <f ca="1">ROUND(_xlfn.NORM.INV(RAND(),Reference!$D$8,0.1*Reference!$D$8)*(1+Reference!$D$11*(IF(MONTH($A2192)=Reference!$D$4,1,0)+IF(MONTH($A2192)=Reference!$D$5,1,0))+(IF(MONTH($A2192)=Reference!$D$6,Reference!$D$13,0))),0)</f>
        <v>496</v>
      </c>
      <c r="E2192" s="11">
        <f ca="1">D2192*Reference!$D$7*(1-IF(MONTH($A2192)=Reference!$D$6,1,0)*Reference!$D$12)</f>
        <v>372000</v>
      </c>
      <c r="M2192" s="20"/>
      <c r="N2192" s="20"/>
      <c r="O2192" s="19"/>
      <c r="P2192" s="10"/>
      <c r="Q2192" s="10"/>
      <c r="R2192" s="10"/>
      <c r="S2192" s="10"/>
      <c r="T2192" s="10"/>
      <c r="U2192" s="10"/>
      <c r="V2192" s="10"/>
      <c r="W2192" s="10"/>
      <c r="X2192" s="10"/>
      <c r="Y2192" s="10"/>
    </row>
    <row r="2193" spans="1:25" x14ac:dyDescent="0.25">
      <c r="A2193" s="9">
        <v>42731</v>
      </c>
      <c r="B2193" s="10">
        <f ca="1">ROUND(_xlfn.NORM.INV(RAND(),Reference!$C$8,0.1*Reference!$C$8)*(1+Reference!$C$11*(IF(MONTH($A2193)=Reference!$C$4,1,0)+IF(MONTH($A2193)=Reference!$C$5,1,0))+(IF(MONTH($A2193)=Reference!$C$6,Reference!$C$13,0))),0)</f>
        <v>341</v>
      </c>
      <c r="C2193" s="11">
        <f ca="1">B2193*Reference!$C$7*(1-IF(MONTH($A2193)=Reference!$C$6,1,0)*Reference!$C$12)</f>
        <v>317130</v>
      </c>
      <c r="D2193" s="10">
        <f ca="1">ROUND(_xlfn.NORM.INV(RAND(),Reference!$D$8,0.1*Reference!$D$8)*(1+Reference!$D$11*(IF(MONTH($A2193)=Reference!$D$4,1,0)+IF(MONTH($A2193)=Reference!$D$5,1,0))+(IF(MONTH($A2193)=Reference!$D$6,Reference!$D$13,0))),0)</f>
        <v>416</v>
      </c>
      <c r="E2193" s="11">
        <f ca="1">D2193*Reference!$D$7*(1-IF(MONTH($A2193)=Reference!$D$6,1,0)*Reference!$D$12)</f>
        <v>312000</v>
      </c>
      <c r="M2193" s="20"/>
      <c r="N2193" s="20"/>
      <c r="O2193" s="19"/>
      <c r="P2193" s="10"/>
      <c r="Q2193" s="10"/>
      <c r="R2193" s="10"/>
      <c r="S2193" s="10"/>
      <c r="T2193" s="10"/>
      <c r="U2193" s="10"/>
      <c r="V2193" s="10"/>
      <c r="W2193" s="10"/>
      <c r="X2193" s="10"/>
      <c r="Y2193" s="10"/>
    </row>
    <row r="2194" spans="1:25" x14ac:dyDescent="0.25">
      <c r="A2194" s="9">
        <v>42732</v>
      </c>
      <c r="B2194" s="10">
        <f ca="1">ROUND(_xlfn.NORM.INV(RAND(),Reference!$C$8,0.1*Reference!$C$8)*(1+Reference!$C$11*(IF(MONTH($A2194)=Reference!$C$4,1,0)+IF(MONTH($A2194)=Reference!$C$5,1,0))+(IF(MONTH($A2194)=Reference!$C$6,Reference!$C$13,0))),0)</f>
        <v>348</v>
      </c>
      <c r="C2194" s="11">
        <f ca="1">B2194*Reference!$C$7*(1-IF(MONTH($A2194)=Reference!$C$6,1,0)*Reference!$C$12)</f>
        <v>323640</v>
      </c>
      <c r="D2194" s="10">
        <f ca="1">ROUND(_xlfn.NORM.INV(RAND(),Reference!$D$8,0.1*Reference!$D$8)*(1+Reference!$D$11*(IF(MONTH($A2194)=Reference!$D$4,1,0)+IF(MONTH($A2194)=Reference!$D$5,1,0))+(IF(MONTH($A2194)=Reference!$D$6,Reference!$D$13,0))),0)</f>
        <v>507</v>
      </c>
      <c r="E2194" s="11">
        <f ca="1">D2194*Reference!$D$7*(1-IF(MONTH($A2194)=Reference!$D$6,1,0)*Reference!$D$12)</f>
        <v>380250</v>
      </c>
      <c r="M2194" s="20"/>
      <c r="N2194" s="20"/>
      <c r="O2194" s="19"/>
      <c r="P2194" s="10"/>
      <c r="Q2194" s="10"/>
      <c r="R2194" s="10"/>
      <c r="S2194" s="10"/>
      <c r="T2194" s="10"/>
      <c r="U2194" s="10"/>
      <c r="V2194" s="10"/>
      <c r="W2194" s="10"/>
      <c r="X2194" s="10"/>
      <c r="Y2194" s="10"/>
    </row>
    <row r="2195" spans="1:25" x14ac:dyDescent="0.25">
      <c r="A2195" s="9">
        <v>42733</v>
      </c>
      <c r="B2195" s="10">
        <f ca="1">ROUND(_xlfn.NORM.INV(RAND(),Reference!$C$8,0.1*Reference!$C$8)*(1+Reference!$C$11*(IF(MONTH($A2195)=Reference!$C$4,1,0)+IF(MONTH($A2195)=Reference!$C$5,1,0))+(IF(MONTH($A2195)=Reference!$C$6,Reference!$C$13,0))),0)</f>
        <v>321</v>
      </c>
      <c r="C2195" s="11">
        <f ca="1">B2195*Reference!$C$7*(1-IF(MONTH($A2195)=Reference!$C$6,1,0)*Reference!$C$12)</f>
        <v>298530</v>
      </c>
      <c r="D2195" s="10">
        <f ca="1">ROUND(_xlfn.NORM.INV(RAND(),Reference!$D$8,0.1*Reference!$D$8)*(1+Reference!$D$11*(IF(MONTH($A2195)=Reference!$D$4,1,0)+IF(MONTH($A2195)=Reference!$D$5,1,0))+(IF(MONTH($A2195)=Reference!$D$6,Reference!$D$13,0))),0)</f>
        <v>479</v>
      </c>
      <c r="E2195" s="11">
        <f ca="1">D2195*Reference!$D$7*(1-IF(MONTH($A2195)=Reference!$D$6,1,0)*Reference!$D$12)</f>
        <v>359250</v>
      </c>
      <c r="M2195" s="20"/>
      <c r="N2195" s="20"/>
      <c r="O2195" s="19"/>
      <c r="P2195" s="10"/>
      <c r="Q2195" s="10"/>
      <c r="R2195" s="10"/>
      <c r="S2195" s="10"/>
      <c r="T2195" s="10"/>
      <c r="U2195" s="10"/>
      <c r="V2195" s="10"/>
      <c r="W2195" s="10"/>
      <c r="X2195" s="10"/>
      <c r="Y2195" s="10"/>
    </row>
    <row r="2196" spans="1:25" x14ac:dyDescent="0.25">
      <c r="A2196" s="9">
        <v>42734</v>
      </c>
      <c r="B2196" s="10">
        <f ca="1">ROUND(_xlfn.NORM.INV(RAND(),Reference!$C$8,0.1*Reference!$C$8)*(1+Reference!$C$11*(IF(MONTH($A2196)=Reference!$C$4,1,0)+IF(MONTH($A2196)=Reference!$C$5,1,0))+(IF(MONTH($A2196)=Reference!$C$6,Reference!$C$13,0))),0)</f>
        <v>369</v>
      </c>
      <c r="C2196" s="11">
        <f ca="1">B2196*Reference!$C$7*(1-IF(MONTH($A2196)=Reference!$C$6,1,0)*Reference!$C$12)</f>
        <v>343170</v>
      </c>
      <c r="D2196" s="10">
        <f ca="1">ROUND(_xlfn.NORM.INV(RAND(),Reference!$D$8,0.1*Reference!$D$8)*(1+Reference!$D$11*(IF(MONTH($A2196)=Reference!$D$4,1,0)+IF(MONTH($A2196)=Reference!$D$5,1,0))+(IF(MONTH($A2196)=Reference!$D$6,Reference!$D$13,0))),0)</f>
        <v>381</v>
      </c>
      <c r="E2196" s="11">
        <f ca="1">D2196*Reference!$D$7*(1-IF(MONTH($A2196)=Reference!$D$6,1,0)*Reference!$D$12)</f>
        <v>285750</v>
      </c>
      <c r="M2196" s="20"/>
      <c r="N2196" s="20"/>
      <c r="O2196" s="19"/>
      <c r="P2196" s="10"/>
      <c r="Q2196" s="10"/>
      <c r="R2196" s="10"/>
      <c r="S2196" s="10"/>
      <c r="T2196" s="10"/>
      <c r="U2196" s="10"/>
      <c r="V2196" s="10"/>
      <c r="W2196" s="10"/>
      <c r="X2196" s="10"/>
      <c r="Y2196" s="10"/>
    </row>
    <row r="2197" spans="1:25" x14ac:dyDescent="0.25">
      <c r="A2197" s="9">
        <v>42735</v>
      </c>
      <c r="B2197" s="10">
        <f ca="1">ROUND(_xlfn.NORM.INV(RAND(),Reference!$C$8,0.1*Reference!$C$8)*(1+Reference!$C$11*(IF(MONTH($A2197)=Reference!$C$4,1,0)+IF(MONTH($A2197)=Reference!$C$5,1,0))+(IF(MONTH($A2197)=Reference!$C$6,Reference!$C$13,0))),0)</f>
        <v>373</v>
      </c>
      <c r="C2197" s="11">
        <f ca="1">B2197*Reference!$C$7*(1-IF(MONTH($A2197)=Reference!$C$6,1,0)*Reference!$C$12)</f>
        <v>346890</v>
      </c>
      <c r="D2197" s="10">
        <f ca="1">ROUND(_xlfn.NORM.INV(RAND(),Reference!$D$8,0.1*Reference!$D$8)*(1+Reference!$D$11*(IF(MONTH($A2197)=Reference!$D$4,1,0)+IF(MONTH($A2197)=Reference!$D$5,1,0))+(IF(MONTH($A2197)=Reference!$D$6,Reference!$D$13,0))),0)</f>
        <v>408</v>
      </c>
      <c r="E2197" s="11">
        <f ca="1">D2197*Reference!$D$7*(1-IF(MONTH($A2197)=Reference!$D$6,1,0)*Reference!$D$12)</f>
        <v>306000</v>
      </c>
      <c r="M2197" s="20"/>
      <c r="N2197" s="20"/>
      <c r="O2197" s="19"/>
      <c r="P2197" s="10"/>
      <c r="Q2197" s="10"/>
      <c r="R2197" s="10"/>
      <c r="S2197" s="10"/>
      <c r="T2197" s="10"/>
      <c r="U2197" s="10"/>
      <c r="V2197" s="10"/>
      <c r="W2197" s="10"/>
      <c r="X2197" s="10"/>
      <c r="Y2197" s="10"/>
    </row>
    <row r="2198" spans="1:25" x14ac:dyDescent="0.25">
      <c r="A2198" s="9">
        <v>42736</v>
      </c>
      <c r="B2198" s="10">
        <f ca="1">ROUND(_xlfn.NORM.INV(RAND(),Reference!$C$8,0.1*Reference!$C$8)*(1+Reference!$C$11*(IF(MONTH($A2198)=Reference!$C$4,1,0)+IF(MONTH($A2198)=Reference!$C$5,1,0))+(IF(MONTH($A2198)=Reference!$C$6,Reference!$C$13,0))),0)</f>
        <v>290</v>
      </c>
      <c r="C2198" s="11">
        <f ca="1">B2198*Reference!$C$7*(1-IF(MONTH($A2198)=Reference!$C$6,1,0)*Reference!$C$12)</f>
        <v>269700</v>
      </c>
      <c r="D2198" s="10">
        <f ca="1">ROUND(_xlfn.NORM.INV(RAND(),Reference!$D$8,0.1*Reference!$D$8)*(1+Reference!$D$11*(IF(MONTH($A2198)=Reference!$D$4,1,0)+IF(MONTH($A2198)=Reference!$D$5,1,0))+(IF(MONTH($A2198)=Reference!$D$6,Reference!$D$13,0))),0)</f>
        <v>397</v>
      </c>
      <c r="E2198" s="11">
        <f ca="1">D2198*Reference!$D$7*(1-IF(MONTH($A2198)=Reference!$D$6,1,0)*Reference!$D$12)</f>
        <v>297750</v>
      </c>
      <c r="M2198" s="20"/>
      <c r="N2198" s="20"/>
      <c r="O2198" s="19"/>
      <c r="P2198" s="10"/>
      <c r="Q2198" s="10"/>
      <c r="R2198" s="10"/>
      <c r="S2198" s="10"/>
      <c r="T2198" s="10"/>
      <c r="U2198" s="10"/>
      <c r="V2198" s="10"/>
      <c r="W2198" s="10"/>
      <c r="X2198" s="10"/>
      <c r="Y2198" s="10"/>
    </row>
    <row r="2199" spans="1:25" x14ac:dyDescent="0.25">
      <c r="A2199" s="9">
        <v>42737</v>
      </c>
      <c r="B2199" s="10">
        <f ca="1">ROUND(_xlfn.NORM.INV(RAND(),Reference!$C$8,0.1*Reference!$C$8)*(1+Reference!$C$11*(IF(MONTH($A2199)=Reference!$C$4,1,0)+IF(MONTH($A2199)=Reference!$C$5,1,0))+(IF(MONTH($A2199)=Reference!$C$6,Reference!$C$13,0))),0)</f>
        <v>375</v>
      </c>
      <c r="C2199" s="11">
        <f ca="1">B2199*Reference!$C$7*(1-IF(MONTH($A2199)=Reference!$C$6,1,0)*Reference!$C$12)</f>
        <v>348750</v>
      </c>
      <c r="D2199" s="10">
        <f ca="1">ROUND(_xlfn.NORM.INV(RAND(),Reference!$D$8,0.1*Reference!$D$8)*(1+Reference!$D$11*(IF(MONTH($A2199)=Reference!$D$4,1,0)+IF(MONTH($A2199)=Reference!$D$5,1,0))+(IF(MONTH($A2199)=Reference!$D$6,Reference!$D$13,0))),0)</f>
        <v>368</v>
      </c>
      <c r="E2199" s="11">
        <f ca="1">D2199*Reference!$D$7*(1-IF(MONTH($A2199)=Reference!$D$6,1,0)*Reference!$D$12)</f>
        <v>276000</v>
      </c>
      <c r="M2199" s="20"/>
      <c r="N2199" s="20"/>
      <c r="O2199" s="19"/>
      <c r="P2199" s="10"/>
      <c r="Q2199" s="10"/>
      <c r="R2199" s="10"/>
      <c r="S2199" s="10"/>
      <c r="T2199" s="10"/>
      <c r="U2199" s="10"/>
      <c r="V2199" s="10"/>
      <c r="W2199" s="10"/>
      <c r="X2199" s="10"/>
      <c r="Y2199" s="10"/>
    </row>
    <row r="2200" spans="1:25" x14ac:dyDescent="0.25">
      <c r="A2200" s="9">
        <v>42738</v>
      </c>
      <c r="B2200" s="10">
        <f ca="1">ROUND(_xlfn.NORM.INV(RAND(),Reference!$C$8,0.1*Reference!$C$8)*(1+Reference!$C$11*(IF(MONTH($A2200)=Reference!$C$4,1,0)+IF(MONTH($A2200)=Reference!$C$5,1,0))+(IF(MONTH($A2200)=Reference!$C$6,Reference!$C$13,0))),0)</f>
        <v>438</v>
      </c>
      <c r="C2200" s="11">
        <f ca="1">B2200*Reference!$C$7*(1-IF(MONTH($A2200)=Reference!$C$6,1,0)*Reference!$C$12)</f>
        <v>407340</v>
      </c>
      <c r="D2200" s="10">
        <f ca="1">ROUND(_xlfn.NORM.INV(RAND(),Reference!$D$8,0.1*Reference!$D$8)*(1+Reference!$D$11*(IF(MONTH($A2200)=Reference!$D$4,1,0)+IF(MONTH($A2200)=Reference!$D$5,1,0))+(IF(MONTH($A2200)=Reference!$D$6,Reference!$D$13,0))),0)</f>
        <v>442</v>
      </c>
      <c r="E2200" s="11">
        <f ca="1">D2200*Reference!$D$7*(1-IF(MONTH($A2200)=Reference!$D$6,1,0)*Reference!$D$12)</f>
        <v>331500</v>
      </c>
      <c r="M2200" s="20"/>
      <c r="N2200" s="20"/>
      <c r="O2200" s="19"/>
      <c r="P2200" s="10"/>
      <c r="Q2200" s="10"/>
      <c r="R2200" s="10"/>
      <c r="S2200" s="10"/>
      <c r="T2200" s="10"/>
      <c r="U2200" s="10"/>
      <c r="V2200" s="10"/>
      <c r="W2200" s="10"/>
      <c r="X2200" s="10"/>
      <c r="Y2200" s="10"/>
    </row>
    <row r="2201" spans="1:25" x14ac:dyDescent="0.25">
      <c r="A2201" s="9">
        <v>42739</v>
      </c>
      <c r="B2201" s="10">
        <f ca="1">ROUND(_xlfn.NORM.INV(RAND(),Reference!$C$8,0.1*Reference!$C$8)*(1+Reference!$C$11*(IF(MONTH($A2201)=Reference!$C$4,1,0)+IF(MONTH($A2201)=Reference!$C$5,1,0))+(IF(MONTH($A2201)=Reference!$C$6,Reference!$C$13,0))),0)</f>
        <v>339</v>
      </c>
      <c r="C2201" s="11">
        <f ca="1">B2201*Reference!$C$7*(1-IF(MONTH($A2201)=Reference!$C$6,1,0)*Reference!$C$12)</f>
        <v>315270</v>
      </c>
      <c r="D2201" s="10">
        <f ca="1">ROUND(_xlfn.NORM.INV(RAND(),Reference!$D$8,0.1*Reference!$D$8)*(1+Reference!$D$11*(IF(MONTH($A2201)=Reference!$D$4,1,0)+IF(MONTH($A2201)=Reference!$D$5,1,0))+(IF(MONTH($A2201)=Reference!$D$6,Reference!$D$13,0))),0)</f>
        <v>464</v>
      </c>
      <c r="E2201" s="11">
        <f ca="1">D2201*Reference!$D$7*(1-IF(MONTH($A2201)=Reference!$D$6,1,0)*Reference!$D$12)</f>
        <v>348000</v>
      </c>
      <c r="M2201" s="20"/>
      <c r="N2201" s="20"/>
      <c r="O2201" s="19"/>
      <c r="P2201" s="10"/>
      <c r="Q2201" s="10"/>
      <c r="R2201" s="10"/>
      <c r="S2201" s="10"/>
      <c r="T2201" s="10"/>
      <c r="U2201" s="10"/>
      <c r="V2201" s="10"/>
      <c r="W2201" s="10"/>
      <c r="X2201" s="10"/>
      <c r="Y2201" s="10"/>
    </row>
    <row r="2202" spans="1:25" x14ac:dyDescent="0.25">
      <c r="A2202" s="9">
        <v>42740</v>
      </c>
      <c r="B2202" s="10">
        <f ca="1">ROUND(_xlfn.NORM.INV(RAND(),Reference!$C$8,0.1*Reference!$C$8)*(1+Reference!$C$11*(IF(MONTH($A2202)=Reference!$C$4,1,0)+IF(MONTH($A2202)=Reference!$C$5,1,0))+(IF(MONTH($A2202)=Reference!$C$6,Reference!$C$13,0))),0)</f>
        <v>384</v>
      </c>
      <c r="C2202" s="11">
        <f ca="1">B2202*Reference!$C$7*(1-IF(MONTH($A2202)=Reference!$C$6,1,0)*Reference!$C$12)</f>
        <v>357120</v>
      </c>
      <c r="D2202" s="10">
        <f ca="1">ROUND(_xlfn.NORM.INV(RAND(),Reference!$D$8,0.1*Reference!$D$8)*(1+Reference!$D$11*(IF(MONTH($A2202)=Reference!$D$4,1,0)+IF(MONTH($A2202)=Reference!$D$5,1,0))+(IF(MONTH($A2202)=Reference!$D$6,Reference!$D$13,0))),0)</f>
        <v>483</v>
      </c>
      <c r="E2202" s="11">
        <f ca="1">D2202*Reference!$D$7*(1-IF(MONTH($A2202)=Reference!$D$6,1,0)*Reference!$D$12)</f>
        <v>362250</v>
      </c>
      <c r="M2202" s="20"/>
      <c r="N2202" s="20"/>
      <c r="O2202" s="19"/>
      <c r="P2202" s="10"/>
      <c r="Q2202" s="10"/>
      <c r="R2202" s="10"/>
      <c r="S2202" s="10"/>
      <c r="T2202" s="10"/>
      <c r="U2202" s="10"/>
      <c r="V2202" s="10"/>
      <c r="W2202" s="10"/>
      <c r="X2202" s="10"/>
      <c r="Y2202" s="10"/>
    </row>
    <row r="2203" spans="1:25" x14ac:dyDescent="0.25">
      <c r="A2203" s="9">
        <v>42741</v>
      </c>
      <c r="B2203" s="10">
        <f ca="1">ROUND(_xlfn.NORM.INV(RAND(),Reference!$C$8,0.1*Reference!$C$8)*(1+Reference!$C$11*(IF(MONTH($A2203)=Reference!$C$4,1,0)+IF(MONTH($A2203)=Reference!$C$5,1,0))+(IF(MONTH($A2203)=Reference!$C$6,Reference!$C$13,0))),0)</f>
        <v>356</v>
      </c>
      <c r="C2203" s="11">
        <f ca="1">B2203*Reference!$C$7*(1-IF(MONTH($A2203)=Reference!$C$6,1,0)*Reference!$C$12)</f>
        <v>331080</v>
      </c>
      <c r="D2203" s="10">
        <f ca="1">ROUND(_xlfn.NORM.INV(RAND(),Reference!$D$8,0.1*Reference!$D$8)*(1+Reference!$D$11*(IF(MONTH($A2203)=Reference!$D$4,1,0)+IF(MONTH($A2203)=Reference!$D$5,1,0))+(IF(MONTH($A2203)=Reference!$D$6,Reference!$D$13,0))),0)</f>
        <v>476</v>
      </c>
      <c r="E2203" s="11">
        <f ca="1">D2203*Reference!$D$7*(1-IF(MONTH($A2203)=Reference!$D$6,1,0)*Reference!$D$12)</f>
        <v>357000</v>
      </c>
      <c r="M2203" s="20"/>
      <c r="N2203" s="20"/>
      <c r="O2203" s="19"/>
      <c r="P2203" s="10"/>
      <c r="Q2203" s="10"/>
      <c r="R2203" s="10"/>
      <c r="S2203" s="10"/>
      <c r="T2203" s="10"/>
      <c r="U2203" s="10"/>
      <c r="V2203" s="10"/>
      <c r="W2203" s="10"/>
      <c r="X2203" s="10"/>
      <c r="Y2203" s="10"/>
    </row>
    <row r="2204" spans="1:25" x14ac:dyDescent="0.25">
      <c r="A2204" s="9">
        <v>42742</v>
      </c>
      <c r="B2204" s="10">
        <f ca="1">ROUND(_xlfn.NORM.INV(RAND(),Reference!$C$8,0.1*Reference!$C$8)*(1+Reference!$C$11*(IF(MONTH($A2204)=Reference!$C$4,1,0)+IF(MONTH($A2204)=Reference!$C$5,1,0))+(IF(MONTH($A2204)=Reference!$C$6,Reference!$C$13,0))),0)</f>
        <v>364</v>
      </c>
      <c r="C2204" s="11">
        <f ca="1">B2204*Reference!$C$7*(1-IF(MONTH($A2204)=Reference!$C$6,1,0)*Reference!$C$12)</f>
        <v>338520</v>
      </c>
      <c r="D2204" s="10">
        <f ca="1">ROUND(_xlfn.NORM.INV(RAND(),Reference!$D$8,0.1*Reference!$D$8)*(1+Reference!$D$11*(IF(MONTH($A2204)=Reference!$D$4,1,0)+IF(MONTH($A2204)=Reference!$D$5,1,0))+(IF(MONTH($A2204)=Reference!$D$6,Reference!$D$13,0))),0)</f>
        <v>472</v>
      </c>
      <c r="E2204" s="11">
        <f ca="1">D2204*Reference!$D$7*(1-IF(MONTH($A2204)=Reference!$D$6,1,0)*Reference!$D$12)</f>
        <v>354000</v>
      </c>
      <c r="M2204" s="20"/>
      <c r="N2204" s="20"/>
      <c r="O2204" s="19"/>
      <c r="P2204" s="10"/>
      <c r="Q2204" s="10"/>
      <c r="R2204" s="10"/>
      <c r="S2204" s="10"/>
      <c r="T2204" s="10"/>
      <c r="U2204" s="10"/>
      <c r="V2204" s="10"/>
      <c r="W2204" s="10"/>
      <c r="X2204" s="10"/>
      <c r="Y2204" s="10"/>
    </row>
    <row r="2205" spans="1:25" x14ac:dyDescent="0.25">
      <c r="A2205" s="9">
        <v>42743</v>
      </c>
      <c r="B2205" s="10">
        <f ca="1">ROUND(_xlfn.NORM.INV(RAND(),Reference!$C$8,0.1*Reference!$C$8)*(1+Reference!$C$11*(IF(MONTH($A2205)=Reference!$C$4,1,0)+IF(MONTH($A2205)=Reference!$C$5,1,0))+(IF(MONTH($A2205)=Reference!$C$6,Reference!$C$13,0))),0)</f>
        <v>368</v>
      </c>
      <c r="C2205" s="11">
        <f ca="1">B2205*Reference!$C$7*(1-IF(MONTH($A2205)=Reference!$C$6,1,0)*Reference!$C$12)</f>
        <v>342240</v>
      </c>
      <c r="D2205" s="10">
        <f ca="1">ROUND(_xlfn.NORM.INV(RAND(),Reference!$D$8,0.1*Reference!$D$8)*(1+Reference!$D$11*(IF(MONTH($A2205)=Reference!$D$4,1,0)+IF(MONTH($A2205)=Reference!$D$5,1,0))+(IF(MONTH($A2205)=Reference!$D$6,Reference!$D$13,0))),0)</f>
        <v>411</v>
      </c>
      <c r="E2205" s="11">
        <f ca="1">D2205*Reference!$D$7*(1-IF(MONTH($A2205)=Reference!$D$6,1,0)*Reference!$D$12)</f>
        <v>308250</v>
      </c>
      <c r="M2205" s="20"/>
      <c r="N2205" s="20"/>
      <c r="O2205" s="19"/>
      <c r="P2205" s="10"/>
      <c r="Q2205" s="10"/>
      <c r="R2205" s="10"/>
      <c r="S2205" s="10"/>
      <c r="T2205" s="10"/>
      <c r="U2205" s="10"/>
      <c r="V2205" s="10"/>
      <c r="W2205" s="10"/>
      <c r="X2205" s="10"/>
      <c r="Y2205" s="10"/>
    </row>
    <row r="2206" spans="1:25" x14ac:dyDescent="0.25">
      <c r="A2206" s="9">
        <v>42744</v>
      </c>
      <c r="B2206" s="10">
        <f ca="1">ROUND(_xlfn.NORM.INV(RAND(),Reference!$C$8,0.1*Reference!$C$8)*(1+Reference!$C$11*(IF(MONTH($A2206)=Reference!$C$4,1,0)+IF(MONTH($A2206)=Reference!$C$5,1,0))+(IF(MONTH($A2206)=Reference!$C$6,Reference!$C$13,0))),0)</f>
        <v>393</v>
      </c>
      <c r="C2206" s="11">
        <f ca="1">B2206*Reference!$C$7*(1-IF(MONTH($A2206)=Reference!$C$6,1,0)*Reference!$C$12)</f>
        <v>365490</v>
      </c>
      <c r="D2206" s="10">
        <f ca="1">ROUND(_xlfn.NORM.INV(RAND(),Reference!$D$8,0.1*Reference!$D$8)*(1+Reference!$D$11*(IF(MONTH($A2206)=Reference!$D$4,1,0)+IF(MONTH($A2206)=Reference!$D$5,1,0))+(IF(MONTH($A2206)=Reference!$D$6,Reference!$D$13,0))),0)</f>
        <v>440</v>
      </c>
      <c r="E2206" s="11">
        <f ca="1">D2206*Reference!$D$7*(1-IF(MONTH($A2206)=Reference!$D$6,1,0)*Reference!$D$12)</f>
        <v>330000</v>
      </c>
      <c r="M2206" s="20"/>
      <c r="N2206" s="20"/>
      <c r="O2206" s="19"/>
      <c r="P2206" s="10"/>
      <c r="Q2206" s="10"/>
      <c r="R2206" s="10"/>
      <c r="S2206" s="10"/>
      <c r="T2206" s="10"/>
      <c r="U2206" s="10"/>
      <c r="V2206" s="10"/>
      <c r="W2206" s="10"/>
      <c r="X2206" s="10"/>
      <c r="Y2206" s="10"/>
    </row>
    <row r="2207" spans="1:25" x14ac:dyDescent="0.25">
      <c r="A2207" s="9">
        <v>42745</v>
      </c>
      <c r="B2207" s="10">
        <f ca="1">ROUND(_xlfn.NORM.INV(RAND(),Reference!$C$8,0.1*Reference!$C$8)*(1+Reference!$C$11*(IF(MONTH($A2207)=Reference!$C$4,1,0)+IF(MONTH($A2207)=Reference!$C$5,1,0))+(IF(MONTH($A2207)=Reference!$C$6,Reference!$C$13,0))),0)</f>
        <v>344</v>
      </c>
      <c r="C2207" s="11">
        <f ca="1">B2207*Reference!$C$7*(1-IF(MONTH($A2207)=Reference!$C$6,1,0)*Reference!$C$12)</f>
        <v>319920</v>
      </c>
      <c r="D2207" s="10">
        <f ca="1">ROUND(_xlfn.NORM.INV(RAND(),Reference!$D$8,0.1*Reference!$D$8)*(1+Reference!$D$11*(IF(MONTH($A2207)=Reference!$D$4,1,0)+IF(MONTH($A2207)=Reference!$D$5,1,0))+(IF(MONTH($A2207)=Reference!$D$6,Reference!$D$13,0))),0)</f>
        <v>416</v>
      </c>
      <c r="E2207" s="11">
        <f ca="1">D2207*Reference!$D$7*(1-IF(MONTH($A2207)=Reference!$D$6,1,0)*Reference!$D$12)</f>
        <v>312000</v>
      </c>
      <c r="M2207" s="20"/>
      <c r="N2207" s="20"/>
      <c r="O2207" s="19"/>
      <c r="P2207" s="10"/>
      <c r="Q2207" s="10"/>
      <c r="R2207" s="10"/>
      <c r="S2207" s="10"/>
      <c r="T2207" s="10"/>
      <c r="U2207" s="10"/>
      <c r="V2207" s="10"/>
      <c r="W2207" s="10"/>
      <c r="X2207" s="10"/>
      <c r="Y2207" s="10"/>
    </row>
    <row r="2208" spans="1:25" x14ac:dyDescent="0.25">
      <c r="A2208" s="9">
        <v>42746</v>
      </c>
      <c r="B2208" s="10">
        <f ca="1">ROUND(_xlfn.NORM.INV(RAND(),Reference!$C$8,0.1*Reference!$C$8)*(1+Reference!$C$11*(IF(MONTH($A2208)=Reference!$C$4,1,0)+IF(MONTH($A2208)=Reference!$C$5,1,0))+(IF(MONTH($A2208)=Reference!$C$6,Reference!$C$13,0))),0)</f>
        <v>387</v>
      </c>
      <c r="C2208" s="11">
        <f ca="1">B2208*Reference!$C$7*(1-IF(MONTH($A2208)=Reference!$C$6,1,0)*Reference!$C$12)</f>
        <v>359910</v>
      </c>
      <c r="D2208" s="10">
        <f ca="1">ROUND(_xlfn.NORM.INV(RAND(),Reference!$D$8,0.1*Reference!$D$8)*(1+Reference!$D$11*(IF(MONTH($A2208)=Reference!$D$4,1,0)+IF(MONTH($A2208)=Reference!$D$5,1,0))+(IF(MONTH($A2208)=Reference!$D$6,Reference!$D$13,0))),0)</f>
        <v>485</v>
      </c>
      <c r="E2208" s="11">
        <f ca="1">D2208*Reference!$D$7*(1-IF(MONTH($A2208)=Reference!$D$6,1,0)*Reference!$D$12)</f>
        <v>363750</v>
      </c>
      <c r="M2208" s="20"/>
      <c r="N2208" s="20"/>
      <c r="O2208" s="19"/>
      <c r="P2208" s="10"/>
      <c r="Q2208" s="10"/>
      <c r="R2208" s="10"/>
      <c r="S2208" s="10"/>
      <c r="T2208" s="10"/>
      <c r="U2208" s="10"/>
      <c r="V2208" s="10"/>
      <c r="W2208" s="10"/>
      <c r="X2208" s="10"/>
      <c r="Y2208" s="10"/>
    </row>
    <row r="2209" spans="1:25" x14ac:dyDescent="0.25">
      <c r="A2209" s="9">
        <v>42747</v>
      </c>
      <c r="B2209" s="10">
        <f ca="1">ROUND(_xlfn.NORM.INV(RAND(),Reference!$C$8,0.1*Reference!$C$8)*(1+Reference!$C$11*(IF(MONTH($A2209)=Reference!$C$4,1,0)+IF(MONTH($A2209)=Reference!$C$5,1,0))+(IF(MONTH($A2209)=Reference!$C$6,Reference!$C$13,0))),0)</f>
        <v>431</v>
      </c>
      <c r="C2209" s="11">
        <f ca="1">B2209*Reference!$C$7*(1-IF(MONTH($A2209)=Reference!$C$6,1,0)*Reference!$C$12)</f>
        <v>400830</v>
      </c>
      <c r="D2209" s="10">
        <f ca="1">ROUND(_xlfn.NORM.INV(RAND(),Reference!$D$8,0.1*Reference!$D$8)*(1+Reference!$D$11*(IF(MONTH($A2209)=Reference!$D$4,1,0)+IF(MONTH($A2209)=Reference!$D$5,1,0))+(IF(MONTH($A2209)=Reference!$D$6,Reference!$D$13,0))),0)</f>
        <v>480</v>
      </c>
      <c r="E2209" s="11">
        <f ca="1">D2209*Reference!$D$7*(1-IF(MONTH($A2209)=Reference!$D$6,1,0)*Reference!$D$12)</f>
        <v>360000</v>
      </c>
      <c r="M2209" s="20"/>
      <c r="N2209" s="20"/>
      <c r="O2209" s="19"/>
      <c r="P2209" s="10"/>
      <c r="Q2209" s="10"/>
      <c r="R2209" s="10"/>
      <c r="S2209" s="10"/>
      <c r="T2209" s="10"/>
      <c r="U2209" s="10"/>
      <c r="V2209" s="10"/>
      <c r="W2209" s="10"/>
      <c r="X2209" s="10"/>
      <c r="Y2209" s="10"/>
    </row>
    <row r="2210" spans="1:25" x14ac:dyDescent="0.25">
      <c r="A2210" s="9">
        <v>42748</v>
      </c>
      <c r="B2210" s="10">
        <f ca="1">ROUND(_xlfn.NORM.INV(RAND(),Reference!$C$8,0.1*Reference!$C$8)*(1+Reference!$C$11*(IF(MONTH($A2210)=Reference!$C$4,1,0)+IF(MONTH($A2210)=Reference!$C$5,1,0))+(IF(MONTH($A2210)=Reference!$C$6,Reference!$C$13,0))),0)</f>
        <v>336</v>
      </c>
      <c r="C2210" s="11">
        <f ca="1">B2210*Reference!$C$7*(1-IF(MONTH($A2210)=Reference!$C$6,1,0)*Reference!$C$12)</f>
        <v>312480</v>
      </c>
      <c r="D2210" s="10">
        <f ca="1">ROUND(_xlfn.NORM.INV(RAND(),Reference!$D$8,0.1*Reference!$D$8)*(1+Reference!$D$11*(IF(MONTH($A2210)=Reference!$D$4,1,0)+IF(MONTH($A2210)=Reference!$D$5,1,0))+(IF(MONTH($A2210)=Reference!$D$6,Reference!$D$13,0))),0)</f>
        <v>385</v>
      </c>
      <c r="E2210" s="11">
        <f ca="1">D2210*Reference!$D$7*(1-IF(MONTH($A2210)=Reference!$D$6,1,0)*Reference!$D$12)</f>
        <v>288750</v>
      </c>
      <c r="M2210" s="20"/>
      <c r="N2210" s="20"/>
      <c r="O2210" s="19"/>
      <c r="P2210" s="10"/>
      <c r="Q2210" s="10"/>
      <c r="R2210" s="10"/>
      <c r="S2210" s="10"/>
      <c r="T2210" s="10"/>
      <c r="U2210" s="10"/>
      <c r="V2210" s="10"/>
      <c r="W2210" s="10"/>
      <c r="X2210" s="10"/>
      <c r="Y2210" s="10"/>
    </row>
    <row r="2211" spans="1:25" x14ac:dyDescent="0.25">
      <c r="A2211" s="9">
        <v>42749</v>
      </c>
      <c r="B2211" s="10">
        <f ca="1">ROUND(_xlfn.NORM.INV(RAND(),Reference!$C$8,0.1*Reference!$C$8)*(1+Reference!$C$11*(IF(MONTH($A2211)=Reference!$C$4,1,0)+IF(MONTH($A2211)=Reference!$C$5,1,0))+(IF(MONTH($A2211)=Reference!$C$6,Reference!$C$13,0))),0)</f>
        <v>332</v>
      </c>
      <c r="C2211" s="11">
        <f ca="1">B2211*Reference!$C$7*(1-IF(MONTH($A2211)=Reference!$C$6,1,0)*Reference!$C$12)</f>
        <v>308760</v>
      </c>
      <c r="D2211" s="10">
        <f ca="1">ROUND(_xlfn.NORM.INV(RAND(),Reference!$D$8,0.1*Reference!$D$8)*(1+Reference!$D$11*(IF(MONTH($A2211)=Reference!$D$4,1,0)+IF(MONTH($A2211)=Reference!$D$5,1,0))+(IF(MONTH($A2211)=Reference!$D$6,Reference!$D$13,0))),0)</f>
        <v>516</v>
      </c>
      <c r="E2211" s="11">
        <f ca="1">D2211*Reference!$D$7*(1-IF(MONTH($A2211)=Reference!$D$6,1,0)*Reference!$D$12)</f>
        <v>387000</v>
      </c>
      <c r="M2211" s="20"/>
      <c r="N2211" s="20"/>
      <c r="O2211" s="19"/>
      <c r="P2211" s="10"/>
      <c r="Q2211" s="10"/>
      <c r="R2211" s="10"/>
      <c r="S2211" s="10"/>
      <c r="T2211" s="10"/>
      <c r="U2211" s="10"/>
      <c r="V2211" s="10"/>
      <c r="W2211" s="10"/>
      <c r="X2211" s="10"/>
      <c r="Y2211" s="10"/>
    </row>
    <row r="2212" spans="1:25" x14ac:dyDescent="0.25">
      <c r="A2212" s="9">
        <v>42750</v>
      </c>
      <c r="B2212" s="10">
        <f ca="1">ROUND(_xlfn.NORM.INV(RAND(),Reference!$C$8,0.1*Reference!$C$8)*(1+Reference!$C$11*(IF(MONTH($A2212)=Reference!$C$4,1,0)+IF(MONTH($A2212)=Reference!$C$5,1,0))+(IF(MONTH($A2212)=Reference!$C$6,Reference!$C$13,0))),0)</f>
        <v>308</v>
      </c>
      <c r="C2212" s="11">
        <f ca="1">B2212*Reference!$C$7*(1-IF(MONTH($A2212)=Reference!$C$6,1,0)*Reference!$C$12)</f>
        <v>286440</v>
      </c>
      <c r="D2212" s="10">
        <f ca="1">ROUND(_xlfn.NORM.INV(RAND(),Reference!$D$8,0.1*Reference!$D$8)*(1+Reference!$D$11*(IF(MONTH($A2212)=Reference!$D$4,1,0)+IF(MONTH($A2212)=Reference!$D$5,1,0))+(IF(MONTH($A2212)=Reference!$D$6,Reference!$D$13,0))),0)</f>
        <v>478</v>
      </c>
      <c r="E2212" s="11">
        <f ca="1">D2212*Reference!$D$7*(1-IF(MONTH($A2212)=Reference!$D$6,1,0)*Reference!$D$12)</f>
        <v>358500</v>
      </c>
      <c r="M2212" s="20"/>
      <c r="N2212" s="20"/>
      <c r="O2212" s="19"/>
      <c r="P2212" s="10"/>
      <c r="Q2212" s="10"/>
      <c r="R2212" s="10"/>
      <c r="S2212" s="10"/>
      <c r="T2212" s="10"/>
      <c r="U2212" s="10"/>
      <c r="V2212" s="10"/>
      <c r="W2212" s="10"/>
      <c r="X2212" s="10"/>
      <c r="Y2212" s="10"/>
    </row>
    <row r="2213" spans="1:25" x14ac:dyDescent="0.25">
      <c r="A2213" s="9">
        <v>42751</v>
      </c>
      <c r="B2213" s="10">
        <f ca="1">ROUND(_xlfn.NORM.INV(RAND(),Reference!$C$8,0.1*Reference!$C$8)*(1+Reference!$C$11*(IF(MONTH($A2213)=Reference!$C$4,1,0)+IF(MONTH($A2213)=Reference!$C$5,1,0))+(IF(MONTH($A2213)=Reference!$C$6,Reference!$C$13,0))),0)</f>
        <v>406</v>
      </c>
      <c r="C2213" s="11">
        <f ca="1">B2213*Reference!$C$7*(1-IF(MONTH($A2213)=Reference!$C$6,1,0)*Reference!$C$12)</f>
        <v>377580</v>
      </c>
      <c r="D2213" s="10">
        <f ca="1">ROUND(_xlfn.NORM.INV(RAND(),Reference!$D$8,0.1*Reference!$D$8)*(1+Reference!$D$11*(IF(MONTH($A2213)=Reference!$D$4,1,0)+IF(MONTH($A2213)=Reference!$D$5,1,0))+(IF(MONTH($A2213)=Reference!$D$6,Reference!$D$13,0))),0)</f>
        <v>464</v>
      </c>
      <c r="E2213" s="11">
        <f ca="1">D2213*Reference!$D$7*(1-IF(MONTH($A2213)=Reference!$D$6,1,0)*Reference!$D$12)</f>
        <v>348000</v>
      </c>
      <c r="M2213" s="20"/>
      <c r="N2213" s="20"/>
      <c r="O2213" s="19"/>
      <c r="P2213" s="10"/>
      <c r="Q2213" s="10"/>
      <c r="R2213" s="10"/>
      <c r="S2213" s="10"/>
      <c r="T2213" s="10"/>
      <c r="U2213" s="10"/>
      <c r="V2213" s="10"/>
      <c r="W2213" s="10"/>
      <c r="X2213" s="10"/>
      <c r="Y2213" s="10"/>
    </row>
    <row r="2214" spans="1:25" x14ac:dyDescent="0.25">
      <c r="A2214" s="9">
        <v>42752</v>
      </c>
      <c r="B2214" s="10">
        <f ca="1">ROUND(_xlfn.NORM.INV(RAND(),Reference!$C$8,0.1*Reference!$C$8)*(1+Reference!$C$11*(IF(MONTH($A2214)=Reference!$C$4,1,0)+IF(MONTH($A2214)=Reference!$C$5,1,0))+(IF(MONTH($A2214)=Reference!$C$6,Reference!$C$13,0))),0)</f>
        <v>402</v>
      </c>
      <c r="C2214" s="11">
        <f ca="1">B2214*Reference!$C$7*(1-IF(MONTH($A2214)=Reference!$C$6,1,0)*Reference!$C$12)</f>
        <v>373860</v>
      </c>
      <c r="D2214" s="10">
        <f ca="1">ROUND(_xlfn.NORM.INV(RAND(),Reference!$D$8,0.1*Reference!$D$8)*(1+Reference!$D$11*(IF(MONTH($A2214)=Reference!$D$4,1,0)+IF(MONTH($A2214)=Reference!$D$5,1,0))+(IF(MONTH($A2214)=Reference!$D$6,Reference!$D$13,0))),0)</f>
        <v>455</v>
      </c>
      <c r="E2214" s="11">
        <f ca="1">D2214*Reference!$D$7*(1-IF(MONTH($A2214)=Reference!$D$6,1,0)*Reference!$D$12)</f>
        <v>341250</v>
      </c>
      <c r="M2214" s="20"/>
      <c r="N2214" s="20"/>
      <c r="O2214" s="19"/>
      <c r="P2214" s="10"/>
      <c r="Q2214" s="10"/>
      <c r="R2214" s="10"/>
      <c r="S2214" s="10"/>
      <c r="T2214" s="10"/>
      <c r="U2214" s="10"/>
      <c r="V2214" s="10"/>
      <c r="W2214" s="10"/>
      <c r="X2214" s="10"/>
      <c r="Y2214" s="10"/>
    </row>
    <row r="2215" spans="1:25" x14ac:dyDescent="0.25">
      <c r="A2215" s="9">
        <v>42753</v>
      </c>
      <c r="B2215" s="10">
        <f ca="1">ROUND(_xlfn.NORM.INV(RAND(),Reference!$C$8,0.1*Reference!$C$8)*(1+Reference!$C$11*(IF(MONTH($A2215)=Reference!$C$4,1,0)+IF(MONTH($A2215)=Reference!$C$5,1,0))+(IF(MONTH($A2215)=Reference!$C$6,Reference!$C$13,0))),0)</f>
        <v>375</v>
      </c>
      <c r="C2215" s="11">
        <f ca="1">B2215*Reference!$C$7*(1-IF(MONTH($A2215)=Reference!$C$6,1,0)*Reference!$C$12)</f>
        <v>348750</v>
      </c>
      <c r="D2215" s="10">
        <f ca="1">ROUND(_xlfn.NORM.INV(RAND(),Reference!$D$8,0.1*Reference!$D$8)*(1+Reference!$D$11*(IF(MONTH($A2215)=Reference!$D$4,1,0)+IF(MONTH($A2215)=Reference!$D$5,1,0))+(IF(MONTH($A2215)=Reference!$D$6,Reference!$D$13,0))),0)</f>
        <v>375</v>
      </c>
      <c r="E2215" s="11">
        <f ca="1">D2215*Reference!$D$7*(1-IF(MONTH($A2215)=Reference!$D$6,1,0)*Reference!$D$12)</f>
        <v>281250</v>
      </c>
      <c r="M2215" s="20"/>
      <c r="N2215" s="20"/>
      <c r="O2215" s="19"/>
      <c r="P2215" s="10"/>
      <c r="Q2215" s="10"/>
      <c r="R2215" s="10"/>
      <c r="S2215" s="10"/>
      <c r="T2215" s="10"/>
      <c r="U2215" s="10"/>
      <c r="V2215" s="10"/>
      <c r="W2215" s="10"/>
      <c r="X2215" s="10"/>
      <c r="Y2215" s="10"/>
    </row>
    <row r="2216" spans="1:25" x14ac:dyDescent="0.25">
      <c r="A2216" s="9">
        <v>42754</v>
      </c>
      <c r="B2216" s="10">
        <f ca="1">ROUND(_xlfn.NORM.INV(RAND(),Reference!$C$8,0.1*Reference!$C$8)*(1+Reference!$C$11*(IF(MONTH($A2216)=Reference!$C$4,1,0)+IF(MONTH($A2216)=Reference!$C$5,1,0))+(IF(MONTH($A2216)=Reference!$C$6,Reference!$C$13,0))),0)</f>
        <v>344</v>
      </c>
      <c r="C2216" s="11">
        <f ca="1">B2216*Reference!$C$7*(1-IF(MONTH($A2216)=Reference!$C$6,1,0)*Reference!$C$12)</f>
        <v>319920</v>
      </c>
      <c r="D2216" s="10">
        <f ca="1">ROUND(_xlfn.NORM.INV(RAND(),Reference!$D$8,0.1*Reference!$D$8)*(1+Reference!$D$11*(IF(MONTH($A2216)=Reference!$D$4,1,0)+IF(MONTH($A2216)=Reference!$D$5,1,0))+(IF(MONTH($A2216)=Reference!$D$6,Reference!$D$13,0))),0)</f>
        <v>525</v>
      </c>
      <c r="E2216" s="11">
        <f ca="1">D2216*Reference!$D$7*(1-IF(MONTH($A2216)=Reference!$D$6,1,0)*Reference!$D$12)</f>
        <v>393750</v>
      </c>
      <c r="M2216" s="20"/>
      <c r="N2216" s="20"/>
      <c r="O2216" s="19"/>
      <c r="P2216" s="10"/>
      <c r="Q2216" s="10"/>
      <c r="R2216" s="10"/>
      <c r="S2216" s="10"/>
      <c r="T2216" s="10"/>
      <c r="U2216" s="10"/>
      <c r="V2216" s="10"/>
      <c r="W2216" s="10"/>
      <c r="X2216" s="10"/>
      <c r="Y2216" s="10"/>
    </row>
    <row r="2217" spans="1:25" x14ac:dyDescent="0.25">
      <c r="A2217" s="9">
        <v>42755</v>
      </c>
      <c r="B2217" s="10">
        <f ca="1">ROUND(_xlfn.NORM.INV(RAND(),Reference!$C$8,0.1*Reference!$C$8)*(1+Reference!$C$11*(IF(MONTH($A2217)=Reference!$C$4,1,0)+IF(MONTH($A2217)=Reference!$C$5,1,0))+(IF(MONTH($A2217)=Reference!$C$6,Reference!$C$13,0))),0)</f>
        <v>362</v>
      </c>
      <c r="C2217" s="11">
        <f ca="1">B2217*Reference!$C$7*(1-IF(MONTH($A2217)=Reference!$C$6,1,0)*Reference!$C$12)</f>
        <v>336660</v>
      </c>
      <c r="D2217" s="10">
        <f ca="1">ROUND(_xlfn.NORM.INV(RAND(),Reference!$D$8,0.1*Reference!$D$8)*(1+Reference!$D$11*(IF(MONTH($A2217)=Reference!$D$4,1,0)+IF(MONTH($A2217)=Reference!$D$5,1,0))+(IF(MONTH($A2217)=Reference!$D$6,Reference!$D$13,0))),0)</f>
        <v>459</v>
      </c>
      <c r="E2217" s="11">
        <f ca="1">D2217*Reference!$D$7*(1-IF(MONTH($A2217)=Reference!$D$6,1,0)*Reference!$D$12)</f>
        <v>344250</v>
      </c>
      <c r="M2217" s="20"/>
      <c r="N2217" s="20"/>
      <c r="O2217" s="19"/>
      <c r="P2217" s="10"/>
      <c r="Q2217" s="10"/>
      <c r="R2217" s="10"/>
      <c r="S2217" s="10"/>
      <c r="T2217" s="10"/>
      <c r="U2217" s="10"/>
      <c r="V2217" s="10"/>
      <c r="W2217" s="10"/>
      <c r="X2217" s="10"/>
      <c r="Y2217" s="10"/>
    </row>
    <row r="2218" spans="1:25" x14ac:dyDescent="0.25">
      <c r="A2218" s="9">
        <v>42756</v>
      </c>
      <c r="B2218" s="10">
        <f ca="1">ROUND(_xlfn.NORM.INV(RAND(),Reference!$C$8,0.1*Reference!$C$8)*(1+Reference!$C$11*(IF(MONTH($A2218)=Reference!$C$4,1,0)+IF(MONTH($A2218)=Reference!$C$5,1,0))+(IF(MONTH($A2218)=Reference!$C$6,Reference!$C$13,0))),0)</f>
        <v>333</v>
      </c>
      <c r="C2218" s="11">
        <f ca="1">B2218*Reference!$C$7*(1-IF(MONTH($A2218)=Reference!$C$6,1,0)*Reference!$C$12)</f>
        <v>309690</v>
      </c>
      <c r="D2218" s="10">
        <f ca="1">ROUND(_xlfn.NORM.INV(RAND(),Reference!$D$8,0.1*Reference!$D$8)*(1+Reference!$D$11*(IF(MONTH($A2218)=Reference!$D$4,1,0)+IF(MONTH($A2218)=Reference!$D$5,1,0))+(IF(MONTH($A2218)=Reference!$D$6,Reference!$D$13,0))),0)</f>
        <v>490</v>
      </c>
      <c r="E2218" s="11">
        <f ca="1">D2218*Reference!$D$7*(1-IF(MONTH($A2218)=Reference!$D$6,1,0)*Reference!$D$12)</f>
        <v>367500</v>
      </c>
      <c r="M2218" s="20"/>
      <c r="N2218" s="20"/>
      <c r="O2218" s="19"/>
      <c r="P2218" s="10"/>
      <c r="Q2218" s="10"/>
      <c r="R2218" s="10"/>
      <c r="S2218" s="10"/>
      <c r="T2218" s="10"/>
      <c r="U2218" s="10"/>
      <c r="V2218" s="10"/>
      <c r="W2218" s="10"/>
      <c r="X2218" s="10"/>
      <c r="Y2218" s="10"/>
    </row>
    <row r="2219" spans="1:25" x14ac:dyDescent="0.25">
      <c r="A2219" s="9">
        <v>42757</v>
      </c>
      <c r="B2219" s="10">
        <f ca="1">ROUND(_xlfn.NORM.INV(RAND(),Reference!$C$8,0.1*Reference!$C$8)*(1+Reference!$C$11*(IF(MONTH($A2219)=Reference!$C$4,1,0)+IF(MONTH($A2219)=Reference!$C$5,1,0))+(IF(MONTH($A2219)=Reference!$C$6,Reference!$C$13,0))),0)</f>
        <v>362</v>
      </c>
      <c r="C2219" s="11">
        <f ca="1">B2219*Reference!$C$7*(1-IF(MONTH($A2219)=Reference!$C$6,1,0)*Reference!$C$12)</f>
        <v>336660</v>
      </c>
      <c r="D2219" s="10">
        <f ca="1">ROUND(_xlfn.NORM.INV(RAND(),Reference!$D$8,0.1*Reference!$D$8)*(1+Reference!$D$11*(IF(MONTH($A2219)=Reference!$D$4,1,0)+IF(MONTH($A2219)=Reference!$D$5,1,0))+(IF(MONTH($A2219)=Reference!$D$6,Reference!$D$13,0))),0)</f>
        <v>439</v>
      </c>
      <c r="E2219" s="11">
        <f ca="1">D2219*Reference!$D$7*(1-IF(MONTH($A2219)=Reference!$D$6,1,0)*Reference!$D$12)</f>
        <v>329250</v>
      </c>
      <c r="M2219" s="20"/>
      <c r="N2219" s="20"/>
      <c r="O2219" s="19"/>
      <c r="P2219" s="10"/>
      <c r="Q2219" s="10"/>
      <c r="R2219" s="10"/>
      <c r="S2219" s="10"/>
      <c r="T2219" s="10"/>
      <c r="U2219" s="10"/>
      <c r="V2219" s="10"/>
      <c r="W2219" s="10"/>
      <c r="X2219" s="10"/>
      <c r="Y2219" s="10"/>
    </row>
    <row r="2220" spans="1:25" x14ac:dyDescent="0.25">
      <c r="A2220" s="9">
        <v>42758</v>
      </c>
      <c r="B2220" s="10">
        <f ca="1">ROUND(_xlfn.NORM.INV(RAND(),Reference!$C$8,0.1*Reference!$C$8)*(1+Reference!$C$11*(IF(MONTH($A2220)=Reference!$C$4,1,0)+IF(MONTH($A2220)=Reference!$C$5,1,0))+(IF(MONTH($A2220)=Reference!$C$6,Reference!$C$13,0))),0)</f>
        <v>336</v>
      </c>
      <c r="C2220" s="11">
        <f ca="1">B2220*Reference!$C$7*(1-IF(MONTH($A2220)=Reference!$C$6,1,0)*Reference!$C$12)</f>
        <v>312480</v>
      </c>
      <c r="D2220" s="10">
        <f ca="1">ROUND(_xlfn.NORM.INV(RAND(),Reference!$D$8,0.1*Reference!$D$8)*(1+Reference!$D$11*(IF(MONTH($A2220)=Reference!$D$4,1,0)+IF(MONTH($A2220)=Reference!$D$5,1,0))+(IF(MONTH($A2220)=Reference!$D$6,Reference!$D$13,0))),0)</f>
        <v>463</v>
      </c>
      <c r="E2220" s="11">
        <f ca="1">D2220*Reference!$D$7*(1-IF(MONTH($A2220)=Reference!$D$6,1,0)*Reference!$D$12)</f>
        <v>347250</v>
      </c>
      <c r="M2220" s="20"/>
      <c r="N2220" s="20"/>
      <c r="O2220" s="19"/>
      <c r="P2220" s="10"/>
      <c r="Q2220" s="10"/>
      <c r="R2220" s="10"/>
      <c r="S2220" s="10"/>
      <c r="T2220" s="10"/>
      <c r="U2220" s="10"/>
      <c r="V2220" s="10"/>
      <c r="W2220" s="10"/>
      <c r="X2220" s="10"/>
      <c r="Y2220" s="10"/>
    </row>
    <row r="2221" spans="1:25" x14ac:dyDescent="0.25">
      <c r="A2221" s="9">
        <v>42759</v>
      </c>
      <c r="B2221" s="10">
        <f ca="1">ROUND(_xlfn.NORM.INV(RAND(),Reference!$C$8,0.1*Reference!$C$8)*(1+Reference!$C$11*(IF(MONTH($A2221)=Reference!$C$4,1,0)+IF(MONTH($A2221)=Reference!$C$5,1,0))+(IF(MONTH($A2221)=Reference!$C$6,Reference!$C$13,0))),0)</f>
        <v>401</v>
      </c>
      <c r="C2221" s="11">
        <f ca="1">B2221*Reference!$C$7*(1-IF(MONTH($A2221)=Reference!$C$6,1,0)*Reference!$C$12)</f>
        <v>372930</v>
      </c>
      <c r="D2221" s="10">
        <f ca="1">ROUND(_xlfn.NORM.INV(RAND(),Reference!$D$8,0.1*Reference!$D$8)*(1+Reference!$D$11*(IF(MONTH($A2221)=Reference!$D$4,1,0)+IF(MONTH($A2221)=Reference!$D$5,1,0))+(IF(MONTH($A2221)=Reference!$D$6,Reference!$D$13,0))),0)</f>
        <v>512</v>
      </c>
      <c r="E2221" s="11">
        <f ca="1">D2221*Reference!$D$7*(1-IF(MONTH($A2221)=Reference!$D$6,1,0)*Reference!$D$12)</f>
        <v>384000</v>
      </c>
      <c r="M2221" s="20"/>
      <c r="N2221" s="20"/>
      <c r="O2221" s="19"/>
      <c r="P2221" s="10"/>
      <c r="Q2221" s="10"/>
      <c r="R2221" s="10"/>
      <c r="S2221" s="10"/>
      <c r="T2221" s="10"/>
      <c r="U2221" s="10"/>
      <c r="V2221" s="10"/>
      <c r="W2221" s="10"/>
      <c r="X2221" s="10"/>
      <c r="Y2221" s="10"/>
    </row>
    <row r="2222" spans="1:25" x14ac:dyDescent="0.25">
      <c r="A2222" s="9">
        <v>42760</v>
      </c>
      <c r="B2222" s="10">
        <f ca="1">ROUND(_xlfn.NORM.INV(RAND(),Reference!$C$8,0.1*Reference!$C$8)*(1+Reference!$C$11*(IF(MONTH($A2222)=Reference!$C$4,1,0)+IF(MONTH($A2222)=Reference!$C$5,1,0))+(IF(MONTH($A2222)=Reference!$C$6,Reference!$C$13,0))),0)</f>
        <v>420</v>
      </c>
      <c r="C2222" s="11">
        <f ca="1">B2222*Reference!$C$7*(1-IF(MONTH($A2222)=Reference!$C$6,1,0)*Reference!$C$12)</f>
        <v>390600</v>
      </c>
      <c r="D2222" s="10">
        <f ca="1">ROUND(_xlfn.NORM.INV(RAND(),Reference!$D$8,0.1*Reference!$D$8)*(1+Reference!$D$11*(IF(MONTH($A2222)=Reference!$D$4,1,0)+IF(MONTH($A2222)=Reference!$D$5,1,0))+(IF(MONTH($A2222)=Reference!$D$6,Reference!$D$13,0))),0)</f>
        <v>388</v>
      </c>
      <c r="E2222" s="11">
        <f ca="1">D2222*Reference!$D$7*(1-IF(MONTH($A2222)=Reference!$D$6,1,0)*Reference!$D$12)</f>
        <v>291000</v>
      </c>
      <c r="M2222" s="20"/>
      <c r="N2222" s="20"/>
      <c r="O2222" s="19"/>
      <c r="P2222" s="10"/>
      <c r="Q2222" s="10"/>
      <c r="R2222" s="10"/>
      <c r="S2222" s="10"/>
      <c r="T2222" s="10"/>
      <c r="U2222" s="10"/>
      <c r="V2222" s="10"/>
      <c r="W2222" s="10"/>
      <c r="X2222" s="10"/>
      <c r="Y2222" s="10"/>
    </row>
    <row r="2223" spans="1:25" x14ac:dyDescent="0.25">
      <c r="A2223" s="9">
        <v>42761</v>
      </c>
      <c r="B2223" s="10">
        <f ca="1">ROUND(_xlfn.NORM.INV(RAND(),Reference!$C$8,0.1*Reference!$C$8)*(1+Reference!$C$11*(IF(MONTH($A2223)=Reference!$C$4,1,0)+IF(MONTH($A2223)=Reference!$C$5,1,0))+(IF(MONTH($A2223)=Reference!$C$6,Reference!$C$13,0))),0)</f>
        <v>365</v>
      </c>
      <c r="C2223" s="11">
        <f ca="1">B2223*Reference!$C$7*(1-IF(MONTH($A2223)=Reference!$C$6,1,0)*Reference!$C$12)</f>
        <v>339450</v>
      </c>
      <c r="D2223" s="10">
        <f ca="1">ROUND(_xlfn.NORM.INV(RAND(),Reference!$D$8,0.1*Reference!$D$8)*(1+Reference!$D$11*(IF(MONTH($A2223)=Reference!$D$4,1,0)+IF(MONTH($A2223)=Reference!$D$5,1,0))+(IF(MONTH($A2223)=Reference!$D$6,Reference!$D$13,0))),0)</f>
        <v>498</v>
      </c>
      <c r="E2223" s="11">
        <f ca="1">D2223*Reference!$D$7*(1-IF(MONTH($A2223)=Reference!$D$6,1,0)*Reference!$D$12)</f>
        <v>373500</v>
      </c>
      <c r="M2223" s="20"/>
      <c r="N2223" s="20"/>
      <c r="O2223" s="19"/>
      <c r="P2223" s="10"/>
      <c r="Q2223" s="10"/>
      <c r="R2223" s="10"/>
      <c r="S2223" s="10"/>
      <c r="T2223" s="10"/>
      <c r="U2223" s="10"/>
      <c r="V2223" s="10"/>
      <c r="W2223" s="10"/>
      <c r="X2223" s="10"/>
      <c r="Y2223" s="10"/>
    </row>
    <row r="2224" spans="1:25" x14ac:dyDescent="0.25">
      <c r="A2224" s="9">
        <v>42762</v>
      </c>
      <c r="B2224" s="10">
        <f ca="1">ROUND(_xlfn.NORM.INV(RAND(),Reference!$C$8,0.1*Reference!$C$8)*(1+Reference!$C$11*(IF(MONTH($A2224)=Reference!$C$4,1,0)+IF(MONTH($A2224)=Reference!$C$5,1,0))+(IF(MONTH($A2224)=Reference!$C$6,Reference!$C$13,0))),0)</f>
        <v>465</v>
      </c>
      <c r="C2224" s="11">
        <f ca="1">B2224*Reference!$C$7*(1-IF(MONTH($A2224)=Reference!$C$6,1,0)*Reference!$C$12)</f>
        <v>432450</v>
      </c>
      <c r="D2224" s="10">
        <f ca="1">ROUND(_xlfn.NORM.INV(RAND(),Reference!$D$8,0.1*Reference!$D$8)*(1+Reference!$D$11*(IF(MONTH($A2224)=Reference!$D$4,1,0)+IF(MONTH($A2224)=Reference!$D$5,1,0))+(IF(MONTH($A2224)=Reference!$D$6,Reference!$D$13,0))),0)</f>
        <v>491</v>
      </c>
      <c r="E2224" s="11">
        <f ca="1">D2224*Reference!$D$7*(1-IF(MONTH($A2224)=Reference!$D$6,1,0)*Reference!$D$12)</f>
        <v>368250</v>
      </c>
      <c r="M2224" s="20"/>
      <c r="N2224" s="20"/>
      <c r="O2224" s="19"/>
      <c r="P2224" s="10"/>
      <c r="Q2224" s="10"/>
      <c r="R2224" s="10"/>
      <c r="S2224" s="10"/>
      <c r="T2224" s="10"/>
      <c r="U2224" s="10"/>
      <c r="V2224" s="10"/>
      <c r="W2224" s="10"/>
      <c r="X2224" s="10"/>
      <c r="Y2224" s="10"/>
    </row>
    <row r="2225" spans="1:25" x14ac:dyDescent="0.25">
      <c r="A2225" s="9">
        <v>42763</v>
      </c>
      <c r="B2225" s="10">
        <f ca="1">ROUND(_xlfn.NORM.INV(RAND(),Reference!$C$8,0.1*Reference!$C$8)*(1+Reference!$C$11*(IF(MONTH($A2225)=Reference!$C$4,1,0)+IF(MONTH($A2225)=Reference!$C$5,1,0))+(IF(MONTH($A2225)=Reference!$C$6,Reference!$C$13,0))),0)</f>
        <v>346</v>
      </c>
      <c r="C2225" s="11">
        <f ca="1">B2225*Reference!$C$7*(1-IF(MONTH($A2225)=Reference!$C$6,1,0)*Reference!$C$12)</f>
        <v>321780</v>
      </c>
      <c r="D2225" s="10">
        <f ca="1">ROUND(_xlfn.NORM.INV(RAND(),Reference!$D$8,0.1*Reference!$D$8)*(1+Reference!$D$11*(IF(MONTH($A2225)=Reference!$D$4,1,0)+IF(MONTH($A2225)=Reference!$D$5,1,0))+(IF(MONTH($A2225)=Reference!$D$6,Reference!$D$13,0))),0)</f>
        <v>492</v>
      </c>
      <c r="E2225" s="11">
        <f ca="1">D2225*Reference!$D$7*(1-IF(MONTH($A2225)=Reference!$D$6,1,0)*Reference!$D$12)</f>
        <v>369000</v>
      </c>
      <c r="M2225" s="20"/>
      <c r="N2225" s="20"/>
      <c r="O2225" s="19"/>
      <c r="P2225" s="10"/>
      <c r="Q2225" s="10"/>
      <c r="R2225" s="10"/>
      <c r="S2225" s="10"/>
      <c r="T2225" s="10"/>
      <c r="U2225" s="10"/>
      <c r="V2225" s="10"/>
      <c r="W2225" s="10"/>
      <c r="X2225" s="10"/>
      <c r="Y2225" s="10"/>
    </row>
    <row r="2226" spans="1:25" x14ac:dyDescent="0.25">
      <c r="A2226" s="9">
        <v>42764</v>
      </c>
      <c r="B2226" s="10">
        <f ca="1">ROUND(_xlfn.NORM.INV(RAND(),Reference!$C$8,0.1*Reference!$C$8)*(1+Reference!$C$11*(IF(MONTH($A2226)=Reference!$C$4,1,0)+IF(MONTH($A2226)=Reference!$C$5,1,0))+(IF(MONTH($A2226)=Reference!$C$6,Reference!$C$13,0))),0)</f>
        <v>362</v>
      </c>
      <c r="C2226" s="11">
        <f ca="1">B2226*Reference!$C$7*(1-IF(MONTH($A2226)=Reference!$C$6,1,0)*Reference!$C$12)</f>
        <v>336660</v>
      </c>
      <c r="D2226" s="10">
        <f ca="1">ROUND(_xlfn.NORM.INV(RAND(),Reference!$D$8,0.1*Reference!$D$8)*(1+Reference!$D$11*(IF(MONTH($A2226)=Reference!$D$4,1,0)+IF(MONTH($A2226)=Reference!$D$5,1,0))+(IF(MONTH($A2226)=Reference!$D$6,Reference!$D$13,0))),0)</f>
        <v>494</v>
      </c>
      <c r="E2226" s="11">
        <f ca="1">D2226*Reference!$D$7*(1-IF(MONTH($A2226)=Reference!$D$6,1,0)*Reference!$D$12)</f>
        <v>370500</v>
      </c>
      <c r="M2226" s="20"/>
      <c r="N2226" s="20"/>
      <c r="O2226" s="19"/>
      <c r="P2226" s="10"/>
      <c r="Q2226" s="10"/>
      <c r="R2226" s="10"/>
      <c r="S2226" s="10"/>
      <c r="T2226" s="10"/>
      <c r="U2226" s="10"/>
      <c r="V2226" s="10"/>
      <c r="W2226" s="10"/>
      <c r="X2226" s="10"/>
      <c r="Y2226" s="10"/>
    </row>
    <row r="2227" spans="1:25" x14ac:dyDescent="0.25">
      <c r="A2227" s="9">
        <v>42765</v>
      </c>
      <c r="B2227" s="10">
        <f ca="1">ROUND(_xlfn.NORM.INV(RAND(),Reference!$C$8,0.1*Reference!$C$8)*(1+Reference!$C$11*(IF(MONTH($A2227)=Reference!$C$4,1,0)+IF(MONTH($A2227)=Reference!$C$5,1,0))+(IF(MONTH($A2227)=Reference!$C$6,Reference!$C$13,0))),0)</f>
        <v>388</v>
      </c>
      <c r="C2227" s="11">
        <f ca="1">B2227*Reference!$C$7*(1-IF(MONTH($A2227)=Reference!$C$6,1,0)*Reference!$C$12)</f>
        <v>360840</v>
      </c>
      <c r="D2227" s="10">
        <f ca="1">ROUND(_xlfn.NORM.INV(RAND(),Reference!$D$8,0.1*Reference!$D$8)*(1+Reference!$D$11*(IF(MONTH($A2227)=Reference!$D$4,1,0)+IF(MONTH($A2227)=Reference!$D$5,1,0))+(IF(MONTH($A2227)=Reference!$D$6,Reference!$D$13,0))),0)</f>
        <v>372</v>
      </c>
      <c r="E2227" s="11">
        <f ca="1">D2227*Reference!$D$7*(1-IF(MONTH($A2227)=Reference!$D$6,1,0)*Reference!$D$12)</f>
        <v>279000</v>
      </c>
      <c r="M2227" s="20"/>
      <c r="N2227" s="20"/>
      <c r="O2227" s="19"/>
      <c r="P2227" s="10"/>
      <c r="Q2227" s="10"/>
      <c r="R2227" s="10"/>
      <c r="S2227" s="10"/>
      <c r="T2227" s="10"/>
      <c r="U2227" s="10"/>
      <c r="V2227" s="10"/>
      <c r="W2227" s="10"/>
      <c r="X2227" s="10"/>
      <c r="Y2227" s="10"/>
    </row>
    <row r="2228" spans="1:25" x14ac:dyDescent="0.25">
      <c r="A2228" s="9">
        <v>42766</v>
      </c>
      <c r="B2228" s="10">
        <f ca="1">ROUND(_xlfn.NORM.INV(RAND(),Reference!$C$8,0.1*Reference!$C$8)*(1+Reference!$C$11*(IF(MONTH($A2228)=Reference!$C$4,1,0)+IF(MONTH($A2228)=Reference!$C$5,1,0))+(IF(MONTH($A2228)=Reference!$C$6,Reference!$C$13,0))),0)</f>
        <v>362</v>
      </c>
      <c r="C2228" s="11">
        <f ca="1">B2228*Reference!$C$7*(1-IF(MONTH($A2228)=Reference!$C$6,1,0)*Reference!$C$12)</f>
        <v>336660</v>
      </c>
      <c r="D2228" s="10">
        <f ca="1">ROUND(_xlfn.NORM.INV(RAND(),Reference!$D$8,0.1*Reference!$D$8)*(1+Reference!$D$11*(IF(MONTH($A2228)=Reference!$D$4,1,0)+IF(MONTH($A2228)=Reference!$D$5,1,0))+(IF(MONTH($A2228)=Reference!$D$6,Reference!$D$13,0))),0)</f>
        <v>402</v>
      </c>
      <c r="E2228" s="11">
        <f ca="1">D2228*Reference!$D$7*(1-IF(MONTH($A2228)=Reference!$D$6,1,0)*Reference!$D$12)</f>
        <v>301500</v>
      </c>
      <c r="M2228" s="20"/>
      <c r="N2228" s="20"/>
      <c r="O2228" s="19"/>
      <c r="P2228" s="10"/>
      <c r="Q2228" s="10"/>
      <c r="R2228" s="10"/>
      <c r="S2228" s="10"/>
      <c r="T2228" s="10"/>
      <c r="U2228" s="10"/>
      <c r="V2228" s="10"/>
      <c r="W2228" s="10"/>
      <c r="X2228" s="10"/>
      <c r="Y2228" s="10"/>
    </row>
    <row r="2229" spans="1:25" x14ac:dyDescent="0.25">
      <c r="A2229" s="9">
        <v>42767</v>
      </c>
      <c r="B2229" s="10">
        <f ca="1">ROUND(_xlfn.NORM.INV(RAND(),Reference!$C$8,0.1*Reference!$C$8)*(1+Reference!$C$11*(IF(MONTH($A2229)=Reference!$C$4,1,0)+IF(MONTH($A2229)=Reference!$C$5,1,0))+(IF(MONTH($A2229)=Reference!$C$6,Reference!$C$13,0))),0)</f>
        <v>405</v>
      </c>
      <c r="C2229" s="11">
        <f ca="1">B2229*Reference!$C$7*(1-IF(MONTH($A2229)=Reference!$C$6,1,0)*Reference!$C$12)</f>
        <v>376650</v>
      </c>
      <c r="D2229" s="10">
        <f ca="1">ROUND(_xlfn.NORM.INV(RAND(),Reference!$D$8,0.1*Reference!$D$8)*(1+Reference!$D$11*(IF(MONTH($A2229)=Reference!$D$4,1,0)+IF(MONTH($A2229)=Reference!$D$5,1,0))+(IF(MONTH($A2229)=Reference!$D$6,Reference!$D$13,0))),0)</f>
        <v>431</v>
      </c>
      <c r="E2229" s="11">
        <f ca="1">D2229*Reference!$D$7*(1-IF(MONTH($A2229)=Reference!$D$6,1,0)*Reference!$D$12)</f>
        <v>323250</v>
      </c>
      <c r="M2229" s="20"/>
      <c r="N2229" s="20"/>
      <c r="O2229" s="19"/>
      <c r="P2229" s="10"/>
      <c r="Q2229" s="10"/>
      <c r="R2229" s="10"/>
      <c r="S2229" s="10"/>
      <c r="T2229" s="10"/>
      <c r="U2229" s="10"/>
      <c r="V2229" s="10"/>
      <c r="W2229" s="10"/>
      <c r="X2229" s="10"/>
      <c r="Y2229" s="10"/>
    </row>
    <row r="2230" spans="1:25" x14ac:dyDescent="0.25">
      <c r="A2230" s="9">
        <v>42768</v>
      </c>
      <c r="B2230" s="10">
        <f ca="1">ROUND(_xlfn.NORM.INV(RAND(),Reference!$C$8,0.1*Reference!$C$8)*(1+Reference!$C$11*(IF(MONTH($A2230)=Reference!$C$4,1,0)+IF(MONTH($A2230)=Reference!$C$5,1,0))+(IF(MONTH($A2230)=Reference!$C$6,Reference!$C$13,0))),0)</f>
        <v>394</v>
      </c>
      <c r="C2230" s="11">
        <f ca="1">B2230*Reference!$C$7*(1-IF(MONTH($A2230)=Reference!$C$6,1,0)*Reference!$C$12)</f>
        <v>366420</v>
      </c>
      <c r="D2230" s="10">
        <f ca="1">ROUND(_xlfn.NORM.INV(RAND(),Reference!$D$8,0.1*Reference!$D$8)*(1+Reference!$D$11*(IF(MONTH($A2230)=Reference!$D$4,1,0)+IF(MONTH($A2230)=Reference!$D$5,1,0))+(IF(MONTH($A2230)=Reference!$D$6,Reference!$D$13,0))),0)</f>
        <v>498</v>
      </c>
      <c r="E2230" s="11">
        <f ca="1">D2230*Reference!$D$7*(1-IF(MONTH($A2230)=Reference!$D$6,1,0)*Reference!$D$12)</f>
        <v>373500</v>
      </c>
      <c r="M2230" s="20"/>
      <c r="N2230" s="20"/>
      <c r="O2230" s="19"/>
      <c r="P2230" s="10"/>
      <c r="Q2230" s="10"/>
      <c r="R2230" s="10"/>
      <c r="S2230" s="10"/>
      <c r="T2230" s="10"/>
      <c r="U2230" s="10"/>
      <c r="V2230" s="10"/>
      <c r="W2230" s="10"/>
      <c r="X2230" s="10"/>
      <c r="Y2230" s="10"/>
    </row>
    <row r="2231" spans="1:25" x14ac:dyDescent="0.25">
      <c r="A2231" s="9">
        <v>42769</v>
      </c>
      <c r="B2231" s="10">
        <f ca="1">ROUND(_xlfn.NORM.INV(RAND(),Reference!$C$8,0.1*Reference!$C$8)*(1+Reference!$C$11*(IF(MONTH($A2231)=Reference!$C$4,1,0)+IF(MONTH($A2231)=Reference!$C$5,1,0))+(IF(MONTH($A2231)=Reference!$C$6,Reference!$C$13,0))),0)</f>
        <v>416</v>
      </c>
      <c r="C2231" s="11">
        <f ca="1">B2231*Reference!$C$7*(1-IF(MONTH($A2231)=Reference!$C$6,1,0)*Reference!$C$12)</f>
        <v>386880</v>
      </c>
      <c r="D2231" s="10">
        <f ca="1">ROUND(_xlfn.NORM.INV(RAND(),Reference!$D$8,0.1*Reference!$D$8)*(1+Reference!$D$11*(IF(MONTH($A2231)=Reference!$D$4,1,0)+IF(MONTH($A2231)=Reference!$D$5,1,0))+(IF(MONTH($A2231)=Reference!$D$6,Reference!$D$13,0))),0)</f>
        <v>459</v>
      </c>
      <c r="E2231" s="11">
        <f ca="1">D2231*Reference!$D$7*(1-IF(MONTH($A2231)=Reference!$D$6,1,0)*Reference!$D$12)</f>
        <v>344250</v>
      </c>
      <c r="M2231" s="20"/>
      <c r="N2231" s="20"/>
      <c r="O2231" s="19"/>
      <c r="P2231" s="10"/>
      <c r="Q2231" s="10"/>
      <c r="R2231" s="10"/>
      <c r="S2231" s="10"/>
      <c r="T2231" s="10"/>
      <c r="U2231" s="10"/>
      <c r="V2231" s="10"/>
      <c r="W2231" s="10"/>
      <c r="X2231" s="10"/>
      <c r="Y2231" s="10"/>
    </row>
    <row r="2232" spans="1:25" x14ac:dyDescent="0.25">
      <c r="A2232" s="9">
        <v>42770</v>
      </c>
      <c r="B2232" s="10">
        <f ca="1">ROUND(_xlfn.NORM.INV(RAND(),Reference!$C$8,0.1*Reference!$C$8)*(1+Reference!$C$11*(IF(MONTH($A2232)=Reference!$C$4,1,0)+IF(MONTH($A2232)=Reference!$C$5,1,0))+(IF(MONTH($A2232)=Reference!$C$6,Reference!$C$13,0))),0)</f>
        <v>330</v>
      </c>
      <c r="C2232" s="11">
        <f ca="1">B2232*Reference!$C$7*(1-IF(MONTH($A2232)=Reference!$C$6,1,0)*Reference!$C$12)</f>
        <v>306900</v>
      </c>
      <c r="D2232" s="10">
        <f ca="1">ROUND(_xlfn.NORM.INV(RAND(),Reference!$D$8,0.1*Reference!$D$8)*(1+Reference!$D$11*(IF(MONTH($A2232)=Reference!$D$4,1,0)+IF(MONTH($A2232)=Reference!$D$5,1,0))+(IF(MONTH($A2232)=Reference!$D$6,Reference!$D$13,0))),0)</f>
        <v>382</v>
      </c>
      <c r="E2232" s="11">
        <f ca="1">D2232*Reference!$D$7*(1-IF(MONTH($A2232)=Reference!$D$6,1,0)*Reference!$D$12)</f>
        <v>286500</v>
      </c>
      <c r="M2232" s="20"/>
      <c r="N2232" s="20"/>
      <c r="O2232" s="19"/>
      <c r="P2232" s="10"/>
      <c r="Q2232" s="10"/>
      <c r="R2232" s="10"/>
      <c r="S2232" s="10"/>
      <c r="T2232" s="10"/>
      <c r="U2232" s="10"/>
      <c r="V2232" s="10"/>
      <c r="W2232" s="10"/>
      <c r="X2232" s="10"/>
      <c r="Y2232" s="10"/>
    </row>
    <row r="2233" spans="1:25" x14ac:dyDescent="0.25">
      <c r="A2233" s="9">
        <v>42771</v>
      </c>
      <c r="B2233" s="10">
        <f ca="1">ROUND(_xlfn.NORM.INV(RAND(),Reference!$C$8,0.1*Reference!$C$8)*(1+Reference!$C$11*(IF(MONTH($A2233)=Reference!$C$4,1,0)+IF(MONTH($A2233)=Reference!$C$5,1,0))+(IF(MONTH($A2233)=Reference!$C$6,Reference!$C$13,0))),0)</f>
        <v>338</v>
      </c>
      <c r="C2233" s="11">
        <f ca="1">B2233*Reference!$C$7*(1-IF(MONTH($A2233)=Reference!$C$6,1,0)*Reference!$C$12)</f>
        <v>314340</v>
      </c>
      <c r="D2233" s="10">
        <f ca="1">ROUND(_xlfn.NORM.INV(RAND(),Reference!$D$8,0.1*Reference!$D$8)*(1+Reference!$D$11*(IF(MONTH($A2233)=Reference!$D$4,1,0)+IF(MONTH($A2233)=Reference!$D$5,1,0))+(IF(MONTH($A2233)=Reference!$D$6,Reference!$D$13,0))),0)</f>
        <v>419</v>
      </c>
      <c r="E2233" s="11">
        <f ca="1">D2233*Reference!$D$7*(1-IF(MONTH($A2233)=Reference!$D$6,1,0)*Reference!$D$12)</f>
        <v>314250</v>
      </c>
      <c r="M2233" s="20"/>
      <c r="N2233" s="20"/>
      <c r="O2233" s="19"/>
      <c r="P2233" s="10"/>
      <c r="Q2233" s="10"/>
      <c r="R2233" s="10"/>
      <c r="S2233" s="10"/>
      <c r="T2233" s="10"/>
      <c r="U2233" s="10"/>
      <c r="V2233" s="10"/>
      <c r="W2233" s="10"/>
      <c r="X2233" s="10"/>
      <c r="Y2233" s="10"/>
    </row>
    <row r="2234" spans="1:25" x14ac:dyDescent="0.25">
      <c r="A2234" s="9">
        <v>42772</v>
      </c>
      <c r="B2234" s="10">
        <f ca="1">ROUND(_xlfn.NORM.INV(RAND(),Reference!$C$8,0.1*Reference!$C$8)*(1+Reference!$C$11*(IF(MONTH($A2234)=Reference!$C$4,1,0)+IF(MONTH($A2234)=Reference!$C$5,1,0))+(IF(MONTH($A2234)=Reference!$C$6,Reference!$C$13,0))),0)</f>
        <v>364</v>
      </c>
      <c r="C2234" s="11">
        <f ca="1">B2234*Reference!$C$7*(1-IF(MONTH($A2234)=Reference!$C$6,1,0)*Reference!$C$12)</f>
        <v>338520</v>
      </c>
      <c r="D2234" s="10">
        <f ca="1">ROUND(_xlfn.NORM.INV(RAND(),Reference!$D$8,0.1*Reference!$D$8)*(1+Reference!$D$11*(IF(MONTH($A2234)=Reference!$D$4,1,0)+IF(MONTH($A2234)=Reference!$D$5,1,0))+(IF(MONTH($A2234)=Reference!$D$6,Reference!$D$13,0))),0)</f>
        <v>475</v>
      </c>
      <c r="E2234" s="11">
        <f ca="1">D2234*Reference!$D$7*(1-IF(MONTH($A2234)=Reference!$D$6,1,0)*Reference!$D$12)</f>
        <v>356250</v>
      </c>
      <c r="M2234" s="20"/>
      <c r="N2234" s="20"/>
      <c r="O2234" s="19"/>
      <c r="P2234" s="10"/>
      <c r="Q2234" s="10"/>
      <c r="R2234" s="10"/>
      <c r="S2234" s="10"/>
      <c r="T2234" s="10"/>
      <c r="U2234" s="10"/>
      <c r="V2234" s="10"/>
      <c r="W2234" s="10"/>
      <c r="X2234" s="10"/>
      <c r="Y2234" s="10"/>
    </row>
    <row r="2235" spans="1:25" x14ac:dyDescent="0.25">
      <c r="A2235" s="9">
        <v>42773</v>
      </c>
      <c r="B2235" s="10">
        <f ca="1">ROUND(_xlfn.NORM.INV(RAND(),Reference!$C$8,0.1*Reference!$C$8)*(1+Reference!$C$11*(IF(MONTH($A2235)=Reference!$C$4,1,0)+IF(MONTH($A2235)=Reference!$C$5,1,0))+(IF(MONTH($A2235)=Reference!$C$6,Reference!$C$13,0))),0)</f>
        <v>386</v>
      </c>
      <c r="C2235" s="11">
        <f ca="1">B2235*Reference!$C$7*(1-IF(MONTH($A2235)=Reference!$C$6,1,0)*Reference!$C$12)</f>
        <v>358980</v>
      </c>
      <c r="D2235" s="10">
        <f ca="1">ROUND(_xlfn.NORM.INV(RAND(),Reference!$D$8,0.1*Reference!$D$8)*(1+Reference!$D$11*(IF(MONTH($A2235)=Reference!$D$4,1,0)+IF(MONTH($A2235)=Reference!$D$5,1,0))+(IF(MONTH($A2235)=Reference!$D$6,Reference!$D$13,0))),0)</f>
        <v>478</v>
      </c>
      <c r="E2235" s="11">
        <f ca="1">D2235*Reference!$D$7*(1-IF(MONTH($A2235)=Reference!$D$6,1,0)*Reference!$D$12)</f>
        <v>358500</v>
      </c>
      <c r="M2235" s="20"/>
      <c r="N2235" s="20"/>
      <c r="O2235" s="19"/>
      <c r="P2235" s="10"/>
      <c r="Q2235" s="10"/>
      <c r="R2235" s="10"/>
      <c r="S2235" s="10"/>
      <c r="T2235" s="10"/>
      <c r="U2235" s="10"/>
      <c r="V2235" s="10"/>
      <c r="W2235" s="10"/>
      <c r="X2235" s="10"/>
      <c r="Y2235" s="10"/>
    </row>
    <row r="2236" spans="1:25" x14ac:dyDescent="0.25">
      <c r="A2236" s="9">
        <v>42774</v>
      </c>
      <c r="B2236" s="10">
        <f ca="1">ROUND(_xlfn.NORM.INV(RAND(),Reference!$C$8,0.1*Reference!$C$8)*(1+Reference!$C$11*(IF(MONTH($A2236)=Reference!$C$4,1,0)+IF(MONTH($A2236)=Reference!$C$5,1,0))+(IF(MONTH($A2236)=Reference!$C$6,Reference!$C$13,0))),0)</f>
        <v>356</v>
      </c>
      <c r="C2236" s="11">
        <f ca="1">B2236*Reference!$C$7*(1-IF(MONTH($A2236)=Reference!$C$6,1,0)*Reference!$C$12)</f>
        <v>331080</v>
      </c>
      <c r="D2236" s="10">
        <f ca="1">ROUND(_xlfn.NORM.INV(RAND(),Reference!$D$8,0.1*Reference!$D$8)*(1+Reference!$D$11*(IF(MONTH($A2236)=Reference!$D$4,1,0)+IF(MONTH($A2236)=Reference!$D$5,1,0))+(IF(MONTH($A2236)=Reference!$D$6,Reference!$D$13,0))),0)</f>
        <v>443</v>
      </c>
      <c r="E2236" s="11">
        <f ca="1">D2236*Reference!$D$7*(1-IF(MONTH($A2236)=Reference!$D$6,1,0)*Reference!$D$12)</f>
        <v>332250</v>
      </c>
      <c r="M2236" s="20"/>
      <c r="N2236" s="20"/>
      <c r="O2236" s="19"/>
      <c r="P2236" s="10"/>
      <c r="Q2236" s="10"/>
      <c r="R2236" s="10"/>
      <c r="S2236" s="10"/>
      <c r="T2236" s="10"/>
      <c r="U2236" s="10"/>
      <c r="V2236" s="10"/>
      <c r="W2236" s="10"/>
      <c r="X2236" s="10"/>
      <c r="Y2236" s="10"/>
    </row>
    <row r="2237" spans="1:25" x14ac:dyDescent="0.25">
      <c r="A2237" s="9">
        <v>42775</v>
      </c>
      <c r="B2237" s="10">
        <f ca="1">ROUND(_xlfn.NORM.INV(RAND(),Reference!$C$8,0.1*Reference!$C$8)*(1+Reference!$C$11*(IF(MONTH($A2237)=Reference!$C$4,1,0)+IF(MONTH($A2237)=Reference!$C$5,1,0))+(IF(MONTH($A2237)=Reference!$C$6,Reference!$C$13,0))),0)</f>
        <v>389</v>
      </c>
      <c r="C2237" s="11">
        <f ca="1">B2237*Reference!$C$7*(1-IF(MONTH($A2237)=Reference!$C$6,1,0)*Reference!$C$12)</f>
        <v>361770</v>
      </c>
      <c r="D2237" s="10">
        <f ca="1">ROUND(_xlfn.NORM.INV(RAND(),Reference!$D$8,0.1*Reference!$D$8)*(1+Reference!$D$11*(IF(MONTH($A2237)=Reference!$D$4,1,0)+IF(MONTH($A2237)=Reference!$D$5,1,0))+(IF(MONTH($A2237)=Reference!$D$6,Reference!$D$13,0))),0)</f>
        <v>525</v>
      </c>
      <c r="E2237" s="11">
        <f ca="1">D2237*Reference!$D$7*(1-IF(MONTH($A2237)=Reference!$D$6,1,0)*Reference!$D$12)</f>
        <v>393750</v>
      </c>
      <c r="M2237" s="20"/>
      <c r="N2237" s="20"/>
      <c r="O2237" s="19"/>
      <c r="P2237" s="10"/>
      <c r="Q2237" s="10"/>
      <c r="R2237" s="10"/>
      <c r="S2237" s="10"/>
      <c r="T2237" s="10"/>
      <c r="U2237" s="10"/>
      <c r="V2237" s="10"/>
      <c r="W2237" s="10"/>
      <c r="X2237" s="10"/>
      <c r="Y2237" s="10"/>
    </row>
    <row r="2238" spans="1:25" x14ac:dyDescent="0.25">
      <c r="A2238" s="9">
        <v>42776</v>
      </c>
      <c r="B2238" s="10">
        <f ca="1">ROUND(_xlfn.NORM.INV(RAND(),Reference!$C$8,0.1*Reference!$C$8)*(1+Reference!$C$11*(IF(MONTH($A2238)=Reference!$C$4,1,0)+IF(MONTH($A2238)=Reference!$C$5,1,0))+(IF(MONTH($A2238)=Reference!$C$6,Reference!$C$13,0))),0)</f>
        <v>384</v>
      </c>
      <c r="C2238" s="11">
        <f ca="1">B2238*Reference!$C$7*(1-IF(MONTH($A2238)=Reference!$C$6,1,0)*Reference!$C$12)</f>
        <v>357120</v>
      </c>
      <c r="D2238" s="10">
        <f ca="1">ROUND(_xlfn.NORM.INV(RAND(),Reference!$D$8,0.1*Reference!$D$8)*(1+Reference!$D$11*(IF(MONTH($A2238)=Reference!$D$4,1,0)+IF(MONTH($A2238)=Reference!$D$5,1,0))+(IF(MONTH($A2238)=Reference!$D$6,Reference!$D$13,0))),0)</f>
        <v>462</v>
      </c>
      <c r="E2238" s="11">
        <f ca="1">D2238*Reference!$D$7*(1-IF(MONTH($A2238)=Reference!$D$6,1,0)*Reference!$D$12)</f>
        <v>346500</v>
      </c>
      <c r="M2238" s="20"/>
      <c r="N2238" s="20"/>
      <c r="O2238" s="19"/>
      <c r="P2238" s="10"/>
      <c r="Q2238" s="10"/>
      <c r="R2238" s="10"/>
      <c r="S2238" s="10"/>
      <c r="T2238" s="10"/>
      <c r="U2238" s="10"/>
      <c r="V2238" s="10"/>
      <c r="W2238" s="10"/>
      <c r="X2238" s="10"/>
      <c r="Y2238" s="10"/>
    </row>
    <row r="2239" spans="1:25" x14ac:dyDescent="0.25">
      <c r="A2239" s="9">
        <v>42777</v>
      </c>
      <c r="B2239" s="10">
        <f ca="1">ROUND(_xlfn.NORM.INV(RAND(),Reference!$C$8,0.1*Reference!$C$8)*(1+Reference!$C$11*(IF(MONTH($A2239)=Reference!$C$4,1,0)+IF(MONTH($A2239)=Reference!$C$5,1,0))+(IF(MONTH($A2239)=Reference!$C$6,Reference!$C$13,0))),0)</f>
        <v>354</v>
      </c>
      <c r="C2239" s="11">
        <f ca="1">B2239*Reference!$C$7*(1-IF(MONTH($A2239)=Reference!$C$6,1,0)*Reference!$C$12)</f>
        <v>329220</v>
      </c>
      <c r="D2239" s="10">
        <f ca="1">ROUND(_xlfn.NORM.INV(RAND(),Reference!$D$8,0.1*Reference!$D$8)*(1+Reference!$D$11*(IF(MONTH($A2239)=Reference!$D$4,1,0)+IF(MONTH($A2239)=Reference!$D$5,1,0))+(IF(MONTH($A2239)=Reference!$D$6,Reference!$D$13,0))),0)</f>
        <v>459</v>
      </c>
      <c r="E2239" s="11">
        <f ca="1">D2239*Reference!$D$7*(1-IF(MONTH($A2239)=Reference!$D$6,1,0)*Reference!$D$12)</f>
        <v>344250</v>
      </c>
      <c r="M2239" s="20"/>
      <c r="N2239" s="20"/>
      <c r="O2239" s="19"/>
      <c r="P2239" s="10"/>
      <c r="Q2239" s="10"/>
      <c r="R2239" s="10"/>
      <c r="S2239" s="10"/>
      <c r="T2239" s="10"/>
      <c r="U2239" s="10"/>
      <c r="V2239" s="10"/>
      <c r="W2239" s="10"/>
      <c r="X2239" s="10"/>
      <c r="Y2239" s="10"/>
    </row>
    <row r="2240" spans="1:25" x14ac:dyDescent="0.25">
      <c r="A2240" s="9">
        <v>42778</v>
      </c>
      <c r="B2240" s="10">
        <f ca="1">ROUND(_xlfn.NORM.INV(RAND(),Reference!$C$8,0.1*Reference!$C$8)*(1+Reference!$C$11*(IF(MONTH($A2240)=Reference!$C$4,1,0)+IF(MONTH($A2240)=Reference!$C$5,1,0))+(IF(MONTH($A2240)=Reference!$C$6,Reference!$C$13,0))),0)</f>
        <v>318</v>
      </c>
      <c r="C2240" s="11">
        <f ca="1">B2240*Reference!$C$7*(1-IF(MONTH($A2240)=Reference!$C$6,1,0)*Reference!$C$12)</f>
        <v>295740</v>
      </c>
      <c r="D2240" s="10">
        <f ca="1">ROUND(_xlfn.NORM.INV(RAND(),Reference!$D$8,0.1*Reference!$D$8)*(1+Reference!$D$11*(IF(MONTH($A2240)=Reference!$D$4,1,0)+IF(MONTH($A2240)=Reference!$D$5,1,0))+(IF(MONTH($A2240)=Reference!$D$6,Reference!$D$13,0))),0)</f>
        <v>477</v>
      </c>
      <c r="E2240" s="11">
        <f ca="1">D2240*Reference!$D$7*(1-IF(MONTH($A2240)=Reference!$D$6,1,0)*Reference!$D$12)</f>
        <v>357750</v>
      </c>
      <c r="M2240" s="20"/>
      <c r="N2240" s="20"/>
      <c r="O2240" s="19"/>
      <c r="P2240" s="10"/>
      <c r="Q2240" s="10"/>
      <c r="R2240" s="10"/>
      <c r="S2240" s="10"/>
      <c r="T2240" s="10"/>
      <c r="U2240" s="10"/>
      <c r="V2240" s="10"/>
      <c r="W2240" s="10"/>
      <c r="X2240" s="10"/>
      <c r="Y2240" s="10"/>
    </row>
    <row r="2241" spans="1:25" x14ac:dyDescent="0.25">
      <c r="A2241" s="9">
        <v>42779</v>
      </c>
      <c r="B2241" s="10">
        <f ca="1">ROUND(_xlfn.NORM.INV(RAND(),Reference!$C$8,0.1*Reference!$C$8)*(1+Reference!$C$11*(IF(MONTH($A2241)=Reference!$C$4,1,0)+IF(MONTH($A2241)=Reference!$C$5,1,0))+(IF(MONTH($A2241)=Reference!$C$6,Reference!$C$13,0))),0)</f>
        <v>317</v>
      </c>
      <c r="C2241" s="11">
        <f ca="1">B2241*Reference!$C$7*(1-IF(MONTH($A2241)=Reference!$C$6,1,0)*Reference!$C$12)</f>
        <v>294810</v>
      </c>
      <c r="D2241" s="10">
        <f ca="1">ROUND(_xlfn.NORM.INV(RAND(),Reference!$D$8,0.1*Reference!$D$8)*(1+Reference!$D$11*(IF(MONTH($A2241)=Reference!$D$4,1,0)+IF(MONTH($A2241)=Reference!$D$5,1,0))+(IF(MONTH($A2241)=Reference!$D$6,Reference!$D$13,0))),0)</f>
        <v>424</v>
      </c>
      <c r="E2241" s="11">
        <f ca="1">D2241*Reference!$D$7*(1-IF(MONTH($A2241)=Reference!$D$6,1,0)*Reference!$D$12)</f>
        <v>318000</v>
      </c>
      <c r="M2241" s="20"/>
      <c r="N2241" s="20"/>
      <c r="O2241" s="19"/>
      <c r="P2241" s="10"/>
      <c r="Q2241" s="10"/>
      <c r="R2241" s="10"/>
      <c r="S2241" s="10"/>
      <c r="T2241" s="10"/>
      <c r="U2241" s="10"/>
      <c r="V2241" s="10"/>
      <c r="W2241" s="10"/>
      <c r="X2241" s="10"/>
      <c r="Y2241" s="10"/>
    </row>
    <row r="2242" spans="1:25" x14ac:dyDescent="0.25">
      <c r="A2242" s="9">
        <v>42780</v>
      </c>
      <c r="B2242" s="10">
        <f ca="1">ROUND(_xlfn.NORM.INV(RAND(),Reference!$C$8,0.1*Reference!$C$8)*(1+Reference!$C$11*(IF(MONTH($A2242)=Reference!$C$4,1,0)+IF(MONTH($A2242)=Reference!$C$5,1,0))+(IF(MONTH($A2242)=Reference!$C$6,Reference!$C$13,0))),0)</f>
        <v>350</v>
      </c>
      <c r="C2242" s="11">
        <f ca="1">B2242*Reference!$C$7*(1-IF(MONTH($A2242)=Reference!$C$6,1,0)*Reference!$C$12)</f>
        <v>325500</v>
      </c>
      <c r="D2242" s="10">
        <f ca="1">ROUND(_xlfn.NORM.INV(RAND(),Reference!$D$8,0.1*Reference!$D$8)*(1+Reference!$D$11*(IF(MONTH($A2242)=Reference!$D$4,1,0)+IF(MONTH($A2242)=Reference!$D$5,1,0))+(IF(MONTH($A2242)=Reference!$D$6,Reference!$D$13,0))),0)</f>
        <v>432</v>
      </c>
      <c r="E2242" s="11">
        <f ca="1">D2242*Reference!$D$7*(1-IF(MONTH($A2242)=Reference!$D$6,1,0)*Reference!$D$12)</f>
        <v>324000</v>
      </c>
      <c r="M2242" s="20"/>
      <c r="N2242" s="20"/>
      <c r="O2242" s="19"/>
      <c r="P2242" s="10"/>
      <c r="Q2242" s="10"/>
      <c r="R2242" s="10"/>
      <c r="S2242" s="10"/>
      <c r="T2242" s="10"/>
      <c r="U2242" s="10"/>
      <c r="V2242" s="10"/>
      <c r="W2242" s="10"/>
      <c r="X2242" s="10"/>
      <c r="Y2242" s="10"/>
    </row>
    <row r="2243" spans="1:25" x14ac:dyDescent="0.25">
      <c r="A2243" s="9">
        <v>42781</v>
      </c>
      <c r="B2243" s="10">
        <f ca="1">ROUND(_xlfn.NORM.INV(RAND(),Reference!$C$8,0.1*Reference!$C$8)*(1+Reference!$C$11*(IF(MONTH($A2243)=Reference!$C$4,1,0)+IF(MONTH($A2243)=Reference!$C$5,1,0))+(IF(MONTH($A2243)=Reference!$C$6,Reference!$C$13,0))),0)</f>
        <v>399</v>
      </c>
      <c r="C2243" s="11">
        <f ca="1">B2243*Reference!$C$7*(1-IF(MONTH($A2243)=Reference!$C$6,1,0)*Reference!$C$12)</f>
        <v>371070</v>
      </c>
      <c r="D2243" s="10">
        <f ca="1">ROUND(_xlfn.NORM.INV(RAND(),Reference!$D$8,0.1*Reference!$D$8)*(1+Reference!$D$11*(IF(MONTH($A2243)=Reference!$D$4,1,0)+IF(MONTH($A2243)=Reference!$D$5,1,0))+(IF(MONTH($A2243)=Reference!$D$6,Reference!$D$13,0))),0)</f>
        <v>509</v>
      </c>
      <c r="E2243" s="11">
        <f ca="1">D2243*Reference!$D$7*(1-IF(MONTH($A2243)=Reference!$D$6,1,0)*Reference!$D$12)</f>
        <v>381750</v>
      </c>
      <c r="M2243" s="20"/>
      <c r="N2243" s="20"/>
      <c r="O2243" s="19"/>
      <c r="P2243" s="10"/>
      <c r="Q2243" s="10"/>
      <c r="R2243" s="10"/>
      <c r="S2243" s="10"/>
      <c r="T2243" s="10"/>
      <c r="U2243" s="10"/>
      <c r="V2243" s="10"/>
      <c r="W2243" s="10"/>
      <c r="X2243" s="10"/>
      <c r="Y2243" s="10"/>
    </row>
    <row r="2244" spans="1:25" x14ac:dyDescent="0.25">
      <c r="A2244" s="9">
        <v>42782</v>
      </c>
      <c r="B2244" s="10">
        <f ca="1">ROUND(_xlfn.NORM.INV(RAND(),Reference!$C$8,0.1*Reference!$C$8)*(1+Reference!$C$11*(IF(MONTH($A2244)=Reference!$C$4,1,0)+IF(MONTH($A2244)=Reference!$C$5,1,0))+(IF(MONTH($A2244)=Reference!$C$6,Reference!$C$13,0))),0)</f>
        <v>312</v>
      </c>
      <c r="C2244" s="11">
        <f ca="1">B2244*Reference!$C$7*(1-IF(MONTH($A2244)=Reference!$C$6,1,0)*Reference!$C$12)</f>
        <v>290160</v>
      </c>
      <c r="D2244" s="10">
        <f ca="1">ROUND(_xlfn.NORM.INV(RAND(),Reference!$D$8,0.1*Reference!$D$8)*(1+Reference!$D$11*(IF(MONTH($A2244)=Reference!$D$4,1,0)+IF(MONTH($A2244)=Reference!$D$5,1,0))+(IF(MONTH($A2244)=Reference!$D$6,Reference!$D$13,0))),0)</f>
        <v>436</v>
      </c>
      <c r="E2244" s="11">
        <f ca="1">D2244*Reference!$D$7*(1-IF(MONTH($A2244)=Reference!$D$6,1,0)*Reference!$D$12)</f>
        <v>327000</v>
      </c>
      <c r="M2244" s="20"/>
      <c r="N2244" s="20"/>
      <c r="O2244" s="19"/>
      <c r="P2244" s="10"/>
      <c r="Q2244" s="10"/>
      <c r="R2244" s="10"/>
      <c r="S2244" s="10"/>
      <c r="T2244" s="10"/>
      <c r="U2244" s="10"/>
      <c r="V2244" s="10"/>
      <c r="W2244" s="10"/>
      <c r="X2244" s="10"/>
      <c r="Y2244" s="10"/>
    </row>
    <row r="2245" spans="1:25" x14ac:dyDescent="0.25">
      <c r="A2245" s="9">
        <v>42783</v>
      </c>
      <c r="B2245" s="10">
        <f ca="1">ROUND(_xlfn.NORM.INV(RAND(),Reference!$C$8,0.1*Reference!$C$8)*(1+Reference!$C$11*(IF(MONTH($A2245)=Reference!$C$4,1,0)+IF(MONTH($A2245)=Reference!$C$5,1,0))+(IF(MONTH($A2245)=Reference!$C$6,Reference!$C$13,0))),0)</f>
        <v>393</v>
      </c>
      <c r="C2245" s="11">
        <f ca="1">B2245*Reference!$C$7*(1-IF(MONTH($A2245)=Reference!$C$6,1,0)*Reference!$C$12)</f>
        <v>365490</v>
      </c>
      <c r="D2245" s="10">
        <f ca="1">ROUND(_xlfn.NORM.INV(RAND(),Reference!$D$8,0.1*Reference!$D$8)*(1+Reference!$D$11*(IF(MONTH($A2245)=Reference!$D$4,1,0)+IF(MONTH($A2245)=Reference!$D$5,1,0))+(IF(MONTH($A2245)=Reference!$D$6,Reference!$D$13,0))),0)</f>
        <v>368</v>
      </c>
      <c r="E2245" s="11">
        <f ca="1">D2245*Reference!$D$7*(1-IF(MONTH($A2245)=Reference!$D$6,1,0)*Reference!$D$12)</f>
        <v>276000</v>
      </c>
      <c r="M2245" s="20"/>
      <c r="N2245" s="20"/>
      <c r="O2245" s="19"/>
      <c r="P2245" s="10"/>
      <c r="Q2245" s="10"/>
      <c r="R2245" s="10"/>
      <c r="S2245" s="10"/>
      <c r="T2245" s="10"/>
      <c r="U2245" s="10"/>
      <c r="V2245" s="10"/>
      <c r="W2245" s="10"/>
      <c r="X2245" s="10"/>
      <c r="Y2245" s="10"/>
    </row>
    <row r="2246" spans="1:25" x14ac:dyDescent="0.25">
      <c r="A2246" s="9">
        <v>42784</v>
      </c>
      <c r="B2246" s="10">
        <f ca="1">ROUND(_xlfn.NORM.INV(RAND(),Reference!$C$8,0.1*Reference!$C$8)*(1+Reference!$C$11*(IF(MONTH($A2246)=Reference!$C$4,1,0)+IF(MONTH($A2246)=Reference!$C$5,1,0))+(IF(MONTH($A2246)=Reference!$C$6,Reference!$C$13,0))),0)</f>
        <v>350</v>
      </c>
      <c r="C2246" s="11">
        <f ca="1">B2246*Reference!$C$7*(1-IF(MONTH($A2246)=Reference!$C$6,1,0)*Reference!$C$12)</f>
        <v>325500</v>
      </c>
      <c r="D2246" s="10">
        <f ca="1">ROUND(_xlfn.NORM.INV(RAND(),Reference!$D$8,0.1*Reference!$D$8)*(1+Reference!$D$11*(IF(MONTH($A2246)=Reference!$D$4,1,0)+IF(MONTH($A2246)=Reference!$D$5,1,0))+(IF(MONTH($A2246)=Reference!$D$6,Reference!$D$13,0))),0)</f>
        <v>554</v>
      </c>
      <c r="E2246" s="11">
        <f ca="1">D2246*Reference!$D$7*(1-IF(MONTH($A2246)=Reference!$D$6,1,0)*Reference!$D$12)</f>
        <v>415500</v>
      </c>
      <c r="M2246" s="20"/>
      <c r="N2246" s="20"/>
      <c r="O2246" s="19"/>
      <c r="P2246" s="10"/>
      <c r="Q2246" s="10"/>
      <c r="R2246" s="10"/>
      <c r="S2246" s="10"/>
      <c r="T2246" s="10"/>
      <c r="U2246" s="10"/>
      <c r="V2246" s="10"/>
      <c r="W2246" s="10"/>
      <c r="X2246" s="10"/>
      <c r="Y2246" s="10"/>
    </row>
    <row r="2247" spans="1:25" x14ac:dyDescent="0.25">
      <c r="A2247" s="9">
        <v>42785</v>
      </c>
      <c r="B2247" s="10">
        <f ca="1">ROUND(_xlfn.NORM.INV(RAND(),Reference!$C$8,0.1*Reference!$C$8)*(1+Reference!$C$11*(IF(MONTH($A2247)=Reference!$C$4,1,0)+IF(MONTH($A2247)=Reference!$C$5,1,0))+(IF(MONTH($A2247)=Reference!$C$6,Reference!$C$13,0))),0)</f>
        <v>412</v>
      </c>
      <c r="C2247" s="11">
        <f ca="1">B2247*Reference!$C$7*(1-IF(MONTH($A2247)=Reference!$C$6,1,0)*Reference!$C$12)</f>
        <v>383160</v>
      </c>
      <c r="D2247" s="10">
        <f ca="1">ROUND(_xlfn.NORM.INV(RAND(),Reference!$D$8,0.1*Reference!$D$8)*(1+Reference!$D$11*(IF(MONTH($A2247)=Reference!$D$4,1,0)+IF(MONTH($A2247)=Reference!$D$5,1,0))+(IF(MONTH($A2247)=Reference!$D$6,Reference!$D$13,0))),0)</f>
        <v>476</v>
      </c>
      <c r="E2247" s="11">
        <f ca="1">D2247*Reference!$D$7*(1-IF(MONTH($A2247)=Reference!$D$6,1,0)*Reference!$D$12)</f>
        <v>357000</v>
      </c>
      <c r="M2247" s="20"/>
      <c r="N2247" s="20"/>
      <c r="O2247" s="19"/>
      <c r="P2247" s="10"/>
      <c r="Q2247" s="10"/>
      <c r="R2247" s="10"/>
      <c r="S2247" s="10"/>
      <c r="T2247" s="10"/>
      <c r="U2247" s="10"/>
      <c r="V2247" s="10"/>
      <c r="W2247" s="10"/>
      <c r="X2247" s="10"/>
      <c r="Y2247" s="10"/>
    </row>
    <row r="2248" spans="1:25" x14ac:dyDescent="0.25">
      <c r="A2248" s="9">
        <v>42786</v>
      </c>
      <c r="B2248" s="10">
        <f ca="1">ROUND(_xlfn.NORM.INV(RAND(),Reference!$C$8,0.1*Reference!$C$8)*(1+Reference!$C$11*(IF(MONTH($A2248)=Reference!$C$4,1,0)+IF(MONTH($A2248)=Reference!$C$5,1,0))+(IF(MONTH($A2248)=Reference!$C$6,Reference!$C$13,0))),0)</f>
        <v>364</v>
      </c>
      <c r="C2248" s="11">
        <f ca="1">B2248*Reference!$C$7*(1-IF(MONTH($A2248)=Reference!$C$6,1,0)*Reference!$C$12)</f>
        <v>338520</v>
      </c>
      <c r="D2248" s="10">
        <f ca="1">ROUND(_xlfn.NORM.INV(RAND(),Reference!$D$8,0.1*Reference!$D$8)*(1+Reference!$D$11*(IF(MONTH($A2248)=Reference!$D$4,1,0)+IF(MONTH($A2248)=Reference!$D$5,1,0))+(IF(MONTH($A2248)=Reference!$D$6,Reference!$D$13,0))),0)</f>
        <v>455</v>
      </c>
      <c r="E2248" s="11">
        <f ca="1">D2248*Reference!$D$7*(1-IF(MONTH($A2248)=Reference!$D$6,1,0)*Reference!$D$12)</f>
        <v>341250</v>
      </c>
      <c r="M2248" s="20"/>
      <c r="N2248" s="20"/>
      <c r="O2248" s="19"/>
      <c r="P2248" s="10"/>
      <c r="Q2248" s="10"/>
      <c r="R2248" s="10"/>
      <c r="S2248" s="10"/>
      <c r="T2248" s="10"/>
      <c r="U2248" s="10"/>
      <c r="V2248" s="10"/>
      <c r="W2248" s="10"/>
      <c r="X2248" s="10"/>
      <c r="Y2248" s="10"/>
    </row>
    <row r="2249" spans="1:25" x14ac:dyDescent="0.25">
      <c r="A2249" s="9">
        <v>42787</v>
      </c>
      <c r="B2249" s="10">
        <f ca="1">ROUND(_xlfn.NORM.INV(RAND(),Reference!$C$8,0.1*Reference!$C$8)*(1+Reference!$C$11*(IF(MONTH($A2249)=Reference!$C$4,1,0)+IF(MONTH($A2249)=Reference!$C$5,1,0))+(IF(MONTH($A2249)=Reference!$C$6,Reference!$C$13,0))),0)</f>
        <v>368</v>
      </c>
      <c r="C2249" s="11">
        <f ca="1">B2249*Reference!$C$7*(1-IF(MONTH($A2249)=Reference!$C$6,1,0)*Reference!$C$12)</f>
        <v>342240</v>
      </c>
      <c r="D2249" s="10">
        <f ca="1">ROUND(_xlfn.NORM.INV(RAND(),Reference!$D$8,0.1*Reference!$D$8)*(1+Reference!$D$11*(IF(MONTH($A2249)=Reference!$D$4,1,0)+IF(MONTH($A2249)=Reference!$D$5,1,0))+(IF(MONTH($A2249)=Reference!$D$6,Reference!$D$13,0))),0)</f>
        <v>510</v>
      </c>
      <c r="E2249" s="11">
        <f ca="1">D2249*Reference!$D$7*(1-IF(MONTH($A2249)=Reference!$D$6,1,0)*Reference!$D$12)</f>
        <v>382500</v>
      </c>
      <c r="M2249" s="20"/>
      <c r="N2249" s="20"/>
      <c r="O2249" s="19"/>
      <c r="P2249" s="10"/>
      <c r="Q2249" s="10"/>
      <c r="R2249" s="10"/>
      <c r="S2249" s="10"/>
      <c r="T2249" s="10"/>
      <c r="U2249" s="10"/>
      <c r="V2249" s="10"/>
      <c r="W2249" s="10"/>
      <c r="X2249" s="10"/>
      <c r="Y2249" s="10"/>
    </row>
    <row r="2250" spans="1:25" x14ac:dyDescent="0.25">
      <c r="A2250" s="9">
        <v>42788</v>
      </c>
      <c r="B2250" s="10">
        <f ca="1">ROUND(_xlfn.NORM.INV(RAND(),Reference!$C$8,0.1*Reference!$C$8)*(1+Reference!$C$11*(IF(MONTH($A2250)=Reference!$C$4,1,0)+IF(MONTH($A2250)=Reference!$C$5,1,0))+(IF(MONTH($A2250)=Reference!$C$6,Reference!$C$13,0))),0)</f>
        <v>373</v>
      </c>
      <c r="C2250" s="11">
        <f ca="1">B2250*Reference!$C$7*(1-IF(MONTH($A2250)=Reference!$C$6,1,0)*Reference!$C$12)</f>
        <v>346890</v>
      </c>
      <c r="D2250" s="10">
        <f ca="1">ROUND(_xlfn.NORM.INV(RAND(),Reference!$D$8,0.1*Reference!$D$8)*(1+Reference!$D$11*(IF(MONTH($A2250)=Reference!$D$4,1,0)+IF(MONTH($A2250)=Reference!$D$5,1,0))+(IF(MONTH($A2250)=Reference!$D$6,Reference!$D$13,0))),0)</f>
        <v>456</v>
      </c>
      <c r="E2250" s="11">
        <f ca="1">D2250*Reference!$D$7*(1-IF(MONTH($A2250)=Reference!$D$6,1,0)*Reference!$D$12)</f>
        <v>342000</v>
      </c>
      <c r="M2250" s="20"/>
      <c r="N2250" s="20"/>
      <c r="O2250" s="19"/>
      <c r="P2250" s="10"/>
      <c r="Q2250" s="10"/>
      <c r="R2250" s="10"/>
      <c r="S2250" s="10"/>
      <c r="T2250" s="10"/>
      <c r="U2250" s="10"/>
      <c r="V2250" s="10"/>
      <c r="W2250" s="10"/>
      <c r="X2250" s="10"/>
      <c r="Y2250" s="10"/>
    </row>
    <row r="2251" spans="1:25" x14ac:dyDescent="0.25">
      <c r="A2251" s="9">
        <v>42789</v>
      </c>
      <c r="B2251" s="10">
        <f ca="1">ROUND(_xlfn.NORM.INV(RAND(),Reference!$C$8,0.1*Reference!$C$8)*(1+Reference!$C$11*(IF(MONTH($A2251)=Reference!$C$4,1,0)+IF(MONTH($A2251)=Reference!$C$5,1,0))+(IF(MONTH($A2251)=Reference!$C$6,Reference!$C$13,0))),0)</f>
        <v>317</v>
      </c>
      <c r="C2251" s="11">
        <f ca="1">B2251*Reference!$C$7*(1-IF(MONTH($A2251)=Reference!$C$6,1,0)*Reference!$C$12)</f>
        <v>294810</v>
      </c>
      <c r="D2251" s="10">
        <f ca="1">ROUND(_xlfn.NORM.INV(RAND(),Reference!$D$8,0.1*Reference!$D$8)*(1+Reference!$D$11*(IF(MONTH($A2251)=Reference!$D$4,1,0)+IF(MONTH($A2251)=Reference!$D$5,1,0))+(IF(MONTH($A2251)=Reference!$D$6,Reference!$D$13,0))),0)</f>
        <v>413</v>
      </c>
      <c r="E2251" s="11">
        <f ca="1">D2251*Reference!$D$7*(1-IF(MONTH($A2251)=Reference!$D$6,1,0)*Reference!$D$12)</f>
        <v>309750</v>
      </c>
      <c r="M2251" s="20"/>
      <c r="N2251" s="20"/>
      <c r="O2251" s="19"/>
      <c r="P2251" s="10"/>
      <c r="Q2251" s="10"/>
      <c r="R2251" s="10"/>
      <c r="S2251" s="10"/>
      <c r="T2251" s="10"/>
      <c r="U2251" s="10"/>
      <c r="V2251" s="10"/>
      <c r="W2251" s="10"/>
      <c r="X2251" s="10"/>
      <c r="Y2251" s="10"/>
    </row>
    <row r="2252" spans="1:25" x14ac:dyDescent="0.25">
      <c r="A2252" s="9">
        <v>42790</v>
      </c>
      <c r="B2252" s="10">
        <f ca="1">ROUND(_xlfn.NORM.INV(RAND(),Reference!$C$8,0.1*Reference!$C$8)*(1+Reference!$C$11*(IF(MONTH($A2252)=Reference!$C$4,1,0)+IF(MONTH($A2252)=Reference!$C$5,1,0))+(IF(MONTH($A2252)=Reference!$C$6,Reference!$C$13,0))),0)</f>
        <v>318</v>
      </c>
      <c r="C2252" s="11">
        <f ca="1">B2252*Reference!$C$7*(1-IF(MONTH($A2252)=Reference!$C$6,1,0)*Reference!$C$12)</f>
        <v>295740</v>
      </c>
      <c r="D2252" s="10">
        <f ca="1">ROUND(_xlfn.NORM.INV(RAND(),Reference!$D$8,0.1*Reference!$D$8)*(1+Reference!$D$11*(IF(MONTH($A2252)=Reference!$D$4,1,0)+IF(MONTH($A2252)=Reference!$D$5,1,0))+(IF(MONTH($A2252)=Reference!$D$6,Reference!$D$13,0))),0)</f>
        <v>393</v>
      </c>
      <c r="E2252" s="11">
        <f ca="1">D2252*Reference!$D$7*(1-IF(MONTH($A2252)=Reference!$D$6,1,0)*Reference!$D$12)</f>
        <v>294750</v>
      </c>
      <c r="M2252" s="20"/>
      <c r="N2252" s="20"/>
      <c r="O2252" s="19"/>
      <c r="P2252" s="10"/>
      <c r="Q2252" s="10"/>
      <c r="R2252" s="10"/>
      <c r="S2252" s="10"/>
      <c r="T2252" s="10"/>
      <c r="U2252" s="10"/>
      <c r="V2252" s="10"/>
      <c r="W2252" s="10"/>
      <c r="X2252" s="10"/>
      <c r="Y2252" s="10"/>
    </row>
    <row r="2253" spans="1:25" x14ac:dyDescent="0.25">
      <c r="A2253" s="9">
        <v>42791</v>
      </c>
      <c r="B2253" s="10">
        <f ca="1">ROUND(_xlfn.NORM.INV(RAND(),Reference!$C$8,0.1*Reference!$C$8)*(1+Reference!$C$11*(IF(MONTH($A2253)=Reference!$C$4,1,0)+IF(MONTH($A2253)=Reference!$C$5,1,0))+(IF(MONTH($A2253)=Reference!$C$6,Reference!$C$13,0))),0)</f>
        <v>426</v>
      </c>
      <c r="C2253" s="11">
        <f ca="1">B2253*Reference!$C$7*(1-IF(MONTH($A2253)=Reference!$C$6,1,0)*Reference!$C$12)</f>
        <v>396180</v>
      </c>
      <c r="D2253" s="10">
        <f ca="1">ROUND(_xlfn.NORM.INV(RAND(),Reference!$D$8,0.1*Reference!$D$8)*(1+Reference!$D$11*(IF(MONTH($A2253)=Reference!$D$4,1,0)+IF(MONTH($A2253)=Reference!$D$5,1,0))+(IF(MONTH($A2253)=Reference!$D$6,Reference!$D$13,0))),0)</f>
        <v>462</v>
      </c>
      <c r="E2253" s="11">
        <f ca="1">D2253*Reference!$D$7*(1-IF(MONTH($A2253)=Reference!$D$6,1,0)*Reference!$D$12)</f>
        <v>346500</v>
      </c>
      <c r="M2253" s="20"/>
      <c r="N2253" s="20"/>
      <c r="O2253" s="19"/>
      <c r="P2253" s="10"/>
      <c r="Q2253" s="10"/>
      <c r="R2253" s="10"/>
      <c r="S2253" s="10"/>
      <c r="T2253" s="10"/>
      <c r="U2253" s="10"/>
      <c r="V2253" s="10"/>
      <c r="W2253" s="10"/>
      <c r="X2253" s="10"/>
      <c r="Y2253" s="10"/>
    </row>
    <row r="2254" spans="1:25" x14ac:dyDescent="0.25">
      <c r="A2254" s="9">
        <v>42792</v>
      </c>
      <c r="B2254" s="10">
        <f ca="1">ROUND(_xlfn.NORM.INV(RAND(),Reference!$C$8,0.1*Reference!$C$8)*(1+Reference!$C$11*(IF(MONTH($A2254)=Reference!$C$4,1,0)+IF(MONTH($A2254)=Reference!$C$5,1,0))+(IF(MONTH($A2254)=Reference!$C$6,Reference!$C$13,0))),0)</f>
        <v>348</v>
      </c>
      <c r="C2254" s="11">
        <f ca="1">B2254*Reference!$C$7*(1-IF(MONTH($A2254)=Reference!$C$6,1,0)*Reference!$C$12)</f>
        <v>323640</v>
      </c>
      <c r="D2254" s="10">
        <f ca="1">ROUND(_xlfn.NORM.INV(RAND(),Reference!$D$8,0.1*Reference!$D$8)*(1+Reference!$D$11*(IF(MONTH($A2254)=Reference!$D$4,1,0)+IF(MONTH($A2254)=Reference!$D$5,1,0))+(IF(MONTH($A2254)=Reference!$D$6,Reference!$D$13,0))),0)</f>
        <v>388</v>
      </c>
      <c r="E2254" s="11">
        <f ca="1">D2254*Reference!$D$7*(1-IF(MONTH($A2254)=Reference!$D$6,1,0)*Reference!$D$12)</f>
        <v>291000</v>
      </c>
      <c r="M2254" s="20"/>
      <c r="N2254" s="20"/>
      <c r="O2254" s="19"/>
      <c r="P2254" s="10"/>
      <c r="Q2254" s="10"/>
      <c r="R2254" s="10"/>
      <c r="S2254" s="10"/>
      <c r="T2254" s="10"/>
      <c r="U2254" s="10"/>
      <c r="V2254" s="10"/>
      <c r="W2254" s="10"/>
      <c r="X2254" s="10"/>
      <c r="Y2254" s="10"/>
    </row>
    <row r="2255" spans="1:25" x14ac:dyDescent="0.25">
      <c r="A2255" s="9">
        <v>42793</v>
      </c>
      <c r="B2255" s="10">
        <f ca="1">ROUND(_xlfn.NORM.INV(RAND(),Reference!$C$8,0.1*Reference!$C$8)*(1+Reference!$C$11*(IF(MONTH($A2255)=Reference!$C$4,1,0)+IF(MONTH($A2255)=Reference!$C$5,1,0))+(IF(MONTH($A2255)=Reference!$C$6,Reference!$C$13,0))),0)</f>
        <v>369</v>
      </c>
      <c r="C2255" s="11">
        <f ca="1">B2255*Reference!$C$7*(1-IF(MONTH($A2255)=Reference!$C$6,1,0)*Reference!$C$12)</f>
        <v>343170</v>
      </c>
      <c r="D2255" s="10">
        <f ca="1">ROUND(_xlfn.NORM.INV(RAND(),Reference!$D$8,0.1*Reference!$D$8)*(1+Reference!$D$11*(IF(MONTH($A2255)=Reference!$D$4,1,0)+IF(MONTH($A2255)=Reference!$D$5,1,0))+(IF(MONTH($A2255)=Reference!$D$6,Reference!$D$13,0))),0)</f>
        <v>397</v>
      </c>
      <c r="E2255" s="11">
        <f ca="1">D2255*Reference!$D$7*(1-IF(MONTH($A2255)=Reference!$D$6,1,0)*Reference!$D$12)</f>
        <v>297750</v>
      </c>
      <c r="M2255" s="20"/>
      <c r="N2255" s="20"/>
      <c r="O2255" s="19"/>
      <c r="P2255" s="10"/>
      <c r="Q2255" s="10"/>
      <c r="R2255" s="10"/>
      <c r="S2255" s="10"/>
      <c r="T2255" s="10"/>
      <c r="U2255" s="10"/>
      <c r="V2255" s="10"/>
      <c r="W2255" s="10"/>
      <c r="X2255" s="10"/>
      <c r="Y2255" s="10"/>
    </row>
    <row r="2256" spans="1:25" x14ac:dyDescent="0.25">
      <c r="A2256" s="9">
        <v>42794</v>
      </c>
      <c r="B2256" s="10">
        <f ca="1">ROUND(_xlfn.NORM.INV(RAND(),Reference!$C$8,0.1*Reference!$C$8)*(1+Reference!$C$11*(IF(MONTH($A2256)=Reference!$C$4,1,0)+IF(MONTH($A2256)=Reference!$C$5,1,0))+(IF(MONTH($A2256)=Reference!$C$6,Reference!$C$13,0))),0)</f>
        <v>415</v>
      </c>
      <c r="C2256" s="11">
        <f ca="1">B2256*Reference!$C$7*(1-IF(MONTH($A2256)=Reference!$C$6,1,0)*Reference!$C$12)</f>
        <v>385950</v>
      </c>
      <c r="D2256" s="10">
        <f ca="1">ROUND(_xlfn.NORM.INV(RAND(),Reference!$D$8,0.1*Reference!$D$8)*(1+Reference!$D$11*(IF(MONTH($A2256)=Reference!$D$4,1,0)+IF(MONTH($A2256)=Reference!$D$5,1,0))+(IF(MONTH($A2256)=Reference!$D$6,Reference!$D$13,0))),0)</f>
        <v>399</v>
      </c>
      <c r="E2256" s="11">
        <f ca="1">D2256*Reference!$D$7*(1-IF(MONTH($A2256)=Reference!$D$6,1,0)*Reference!$D$12)</f>
        <v>299250</v>
      </c>
      <c r="M2256" s="20"/>
      <c r="N2256" s="20"/>
      <c r="O2256" s="19"/>
      <c r="P2256" s="10"/>
      <c r="Q2256" s="10"/>
      <c r="R2256" s="10"/>
      <c r="S2256" s="10"/>
      <c r="T2256" s="10"/>
      <c r="U2256" s="10"/>
      <c r="V2256" s="10"/>
      <c r="W2256" s="10"/>
      <c r="X2256" s="10"/>
      <c r="Y2256" s="10"/>
    </row>
    <row r="2257" spans="1:25" x14ac:dyDescent="0.25">
      <c r="A2257" s="9">
        <v>42795</v>
      </c>
      <c r="B2257" s="10">
        <f ca="1">ROUND(_xlfn.NORM.INV(RAND(),Reference!$C$8,0.1*Reference!$C$8)*(1+Reference!$C$11*(IF(MONTH($A2257)=Reference!$C$4,1,0)+IF(MONTH($A2257)=Reference!$C$5,1,0))+(IF(MONTH($A2257)=Reference!$C$6,Reference!$C$13,0))),0)</f>
        <v>400</v>
      </c>
      <c r="C2257" s="11">
        <f ca="1">B2257*Reference!$C$7*(1-IF(MONTH($A2257)=Reference!$C$6,1,0)*Reference!$C$12)</f>
        <v>372000</v>
      </c>
      <c r="D2257" s="10">
        <f ca="1">ROUND(_xlfn.NORM.INV(RAND(),Reference!$D$8,0.1*Reference!$D$8)*(1+Reference!$D$11*(IF(MONTH($A2257)=Reference!$D$4,1,0)+IF(MONTH($A2257)=Reference!$D$5,1,0))+(IF(MONTH($A2257)=Reference!$D$6,Reference!$D$13,0))),0)</f>
        <v>452</v>
      </c>
      <c r="E2257" s="11">
        <f ca="1">D2257*Reference!$D$7*(1-IF(MONTH($A2257)=Reference!$D$6,1,0)*Reference!$D$12)</f>
        <v>339000</v>
      </c>
      <c r="M2257" s="20"/>
      <c r="N2257" s="20"/>
      <c r="O2257" s="19"/>
      <c r="P2257" s="10"/>
      <c r="Q2257" s="10"/>
      <c r="R2257" s="10"/>
      <c r="S2257" s="10"/>
      <c r="T2257" s="10"/>
      <c r="U2257" s="10"/>
      <c r="V2257" s="10"/>
      <c r="W2257" s="10"/>
      <c r="X2257" s="10"/>
      <c r="Y2257" s="10"/>
    </row>
    <row r="2258" spans="1:25" x14ac:dyDescent="0.25">
      <c r="A2258" s="9">
        <v>42796</v>
      </c>
      <c r="B2258" s="10">
        <f ca="1">ROUND(_xlfn.NORM.INV(RAND(),Reference!$C$8,0.1*Reference!$C$8)*(1+Reference!$C$11*(IF(MONTH($A2258)=Reference!$C$4,1,0)+IF(MONTH($A2258)=Reference!$C$5,1,0))+(IF(MONTH($A2258)=Reference!$C$6,Reference!$C$13,0))),0)</f>
        <v>407</v>
      </c>
      <c r="C2258" s="11">
        <f ca="1">B2258*Reference!$C$7*(1-IF(MONTH($A2258)=Reference!$C$6,1,0)*Reference!$C$12)</f>
        <v>378510</v>
      </c>
      <c r="D2258" s="10">
        <f ca="1">ROUND(_xlfn.NORM.INV(RAND(),Reference!$D$8,0.1*Reference!$D$8)*(1+Reference!$D$11*(IF(MONTH($A2258)=Reference!$D$4,1,0)+IF(MONTH($A2258)=Reference!$D$5,1,0))+(IF(MONTH($A2258)=Reference!$D$6,Reference!$D$13,0))),0)</f>
        <v>467</v>
      </c>
      <c r="E2258" s="11">
        <f ca="1">D2258*Reference!$D$7*(1-IF(MONTH($A2258)=Reference!$D$6,1,0)*Reference!$D$12)</f>
        <v>350250</v>
      </c>
      <c r="M2258" s="20"/>
      <c r="N2258" s="20"/>
      <c r="O2258" s="19"/>
      <c r="P2258" s="10"/>
      <c r="Q2258" s="10"/>
      <c r="R2258" s="10"/>
      <c r="S2258" s="10"/>
      <c r="T2258" s="10"/>
      <c r="U2258" s="10"/>
      <c r="V2258" s="10"/>
      <c r="W2258" s="10"/>
      <c r="X2258" s="10"/>
      <c r="Y2258" s="10"/>
    </row>
    <row r="2259" spans="1:25" x14ac:dyDescent="0.25">
      <c r="A2259" s="9">
        <v>42797</v>
      </c>
      <c r="B2259" s="10">
        <f ca="1">ROUND(_xlfn.NORM.INV(RAND(),Reference!$C$8,0.1*Reference!$C$8)*(1+Reference!$C$11*(IF(MONTH($A2259)=Reference!$C$4,1,0)+IF(MONTH($A2259)=Reference!$C$5,1,0))+(IF(MONTH($A2259)=Reference!$C$6,Reference!$C$13,0))),0)</f>
        <v>316</v>
      </c>
      <c r="C2259" s="11">
        <f ca="1">B2259*Reference!$C$7*(1-IF(MONTH($A2259)=Reference!$C$6,1,0)*Reference!$C$12)</f>
        <v>293880</v>
      </c>
      <c r="D2259" s="10">
        <f ca="1">ROUND(_xlfn.NORM.INV(RAND(),Reference!$D$8,0.1*Reference!$D$8)*(1+Reference!$D$11*(IF(MONTH($A2259)=Reference!$D$4,1,0)+IF(MONTH($A2259)=Reference!$D$5,1,0))+(IF(MONTH($A2259)=Reference!$D$6,Reference!$D$13,0))),0)</f>
        <v>472</v>
      </c>
      <c r="E2259" s="11">
        <f ca="1">D2259*Reference!$D$7*(1-IF(MONTH($A2259)=Reference!$D$6,1,0)*Reference!$D$12)</f>
        <v>354000</v>
      </c>
      <c r="M2259" s="20"/>
      <c r="N2259" s="20"/>
      <c r="O2259" s="19"/>
      <c r="P2259" s="10"/>
      <c r="Q2259" s="10"/>
      <c r="R2259" s="10"/>
      <c r="S2259" s="10"/>
      <c r="T2259" s="10"/>
      <c r="U2259" s="10"/>
      <c r="V2259" s="10"/>
      <c r="W2259" s="10"/>
      <c r="X2259" s="10"/>
      <c r="Y2259" s="10"/>
    </row>
    <row r="2260" spans="1:25" x14ac:dyDescent="0.25">
      <c r="A2260" s="9">
        <v>42798</v>
      </c>
      <c r="B2260" s="10">
        <f ca="1">ROUND(_xlfn.NORM.INV(RAND(),Reference!$C$8,0.1*Reference!$C$8)*(1+Reference!$C$11*(IF(MONTH($A2260)=Reference!$C$4,1,0)+IF(MONTH($A2260)=Reference!$C$5,1,0))+(IF(MONTH($A2260)=Reference!$C$6,Reference!$C$13,0))),0)</f>
        <v>371</v>
      </c>
      <c r="C2260" s="11">
        <f ca="1">B2260*Reference!$C$7*(1-IF(MONTH($A2260)=Reference!$C$6,1,0)*Reference!$C$12)</f>
        <v>345030</v>
      </c>
      <c r="D2260" s="10">
        <f ca="1">ROUND(_xlfn.NORM.INV(RAND(),Reference!$D$8,0.1*Reference!$D$8)*(1+Reference!$D$11*(IF(MONTH($A2260)=Reference!$D$4,1,0)+IF(MONTH($A2260)=Reference!$D$5,1,0))+(IF(MONTH($A2260)=Reference!$D$6,Reference!$D$13,0))),0)</f>
        <v>557</v>
      </c>
      <c r="E2260" s="11">
        <f ca="1">D2260*Reference!$D$7*(1-IF(MONTH($A2260)=Reference!$D$6,1,0)*Reference!$D$12)</f>
        <v>417750</v>
      </c>
      <c r="M2260" s="20"/>
      <c r="N2260" s="20"/>
      <c r="O2260" s="19"/>
      <c r="P2260" s="10"/>
      <c r="Q2260" s="10"/>
      <c r="R2260" s="10"/>
      <c r="S2260" s="10"/>
      <c r="T2260" s="10"/>
      <c r="U2260" s="10"/>
      <c r="V2260" s="10"/>
      <c r="W2260" s="10"/>
      <c r="X2260" s="10"/>
      <c r="Y2260" s="10"/>
    </row>
    <row r="2261" spans="1:25" x14ac:dyDescent="0.25">
      <c r="A2261" s="9">
        <v>42799</v>
      </c>
      <c r="B2261" s="10">
        <f ca="1">ROUND(_xlfn.NORM.INV(RAND(),Reference!$C$8,0.1*Reference!$C$8)*(1+Reference!$C$11*(IF(MONTH($A2261)=Reference!$C$4,1,0)+IF(MONTH($A2261)=Reference!$C$5,1,0))+(IF(MONTH($A2261)=Reference!$C$6,Reference!$C$13,0))),0)</f>
        <v>398</v>
      </c>
      <c r="C2261" s="11">
        <f ca="1">B2261*Reference!$C$7*(1-IF(MONTH($A2261)=Reference!$C$6,1,0)*Reference!$C$12)</f>
        <v>370140</v>
      </c>
      <c r="D2261" s="10">
        <f ca="1">ROUND(_xlfn.NORM.INV(RAND(),Reference!$D$8,0.1*Reference!$D$8)*(1+Reference!$D$11*(IF(MONTH($A2261)=Reference!$D$4,1,0)+IF(MONTH($A2261)=Reference!$D$5,1,0))+(IF(MONTH($A2261)=Reference!$D$6,Reference!$D$13,0))),0)</f>
        <v>479</v>
      </c>
      <c r="E2261" s="11">
        <f ca="1">D2261*Reference!$D$7*(1-IF(MONTH($A2261)=Reference!$D$6,1,0)*Reference!$D$12)</f>
        <v>359250</v>
      </c>
      <c r="M2261" s="20"/>
      <c r="N2261" s="20"/>
      <c r="O2261" s="19"/>
      <c r="P2261" s="10"/>
      <c r="Q2261" s="10"/>
      <c r="R2261" s="10"/>
      <c r="S2261" s="10"/>
      <c r="T2261" s="10"/>
      <c r="U2261" s="10"/>
      <c r="V2261" s="10"/>
      <c r="W2261" s="10"/>
      <c r="X2261" s="10"/>
      <c r="Y2261" s="10"/>
    </row>
    <row r="2262" spans="1:25" x14ac:dyDescent="0.25">
      <c r="A2262" s="9">
        <v>42800</v>
      </c>
      <c r="B2262" s="10">
        <f ca="1">ROUND(_xlfn.NORM.INV(RAND(),Reference!$C$8,0.1*Reference!$C$8)*(1+Reference!$C$11*(IF(MONTH($A2262)=Reference!$C$4,1,0)+IF(MONTH($A2262)=Reference!$C$5,1,0))+(IF(MONTH($A2262)=Reference!$C$6,Reference!$C$13,0))),0)</f>
        <v>349</v>
      </c>
      <c r="C2262" s="11">
        <f ca="1">B2262*Reference!$C$7*(1-IF(MONTH($A2262)=Reference!$C$6,1,0)*Reference!$C$12)</f>
        <v>324570</v>
      </c>
      <c r="D2262" s="10">
        <f ca="1">ROUND(_xlfn.NORM.INV(RAND(),Reference!$D$8,0.1*Reference!$D$8)*(1+Reference!$D$11*(IF(MONTH($A2262)=Reference!$D$4,1,0)+IF(MONTH($A2262)=Reference!$D$5,1,0))+(IF(MONTH($A2262)=Reference!$D$6,Reference!$D$13,0))),0)</f>
        <v>464</v>
      </c>
      <c r="E2262" s="11">
        <f ca="1">D2262*Reference!$D$7*(1-IF(MONTH($A2262)=Reference!$D$6,1,0)*Reference!$D$12)</f>
        <v>348000</v>
      </c>
      <c r="M2262" s="20"/>
      <c r="N2262" s="20"/>
      <c r="O2262" s="19"/>
      <c r="P2262" s="10"/>
      <c r="Q2262" s="10"/>
      <c r="R2262" s="10"/>
      <c r="S2262" s="10"/>
      <c r="T2262" s="10"/>
      <c r="U2262" s="10"/>
      <c r="V2262" s="10"/>
      <c r="W2262" s="10"/>
      <c r="X2262" s="10"/>
      <c r="Y2262" s="10"/>
    </row>
    <row r="2263" spans="1:25" x14ac:dyDescent="0.25">
      <c r="A2263" s="9">
        <v>42801</v>
      </c>
      <c r="B2263" s="10">
        <f ca="1">ROUND(_xlfn.NORM.INV(RAND(),Reference!$C$8,0.1*Reference!$C$8)*(1+Reference!$C$11*(IF(MONTH($A2263)=Reference!$C$4,1,0)+IF(MONTH($A2263)=Reference!$C$5,1,0))+(IF(MONTH($A2263)=Reference!$C$6,Reference!$C$13,0))),0)</f>
        <v>386</v>
      </c>
      <c r="C2263" s="11">
        <f ca="1">B2263*Reference!$C$7*(1-IF(MONTH($A2263)=Reference!$C$6,1,0)*Reference!$C$12)</f>
        <v>358980</v>
      </c>
      <c r="D2263" s="10">
        <f ca="1">ROUND(_xlfn.NORM.INV(RAND(),Reference!$D$8,0.1*Reference!$D$8)*(1+Reference!$D$11*(IF(MONTH($A2263)=Reference!$D$4,1,0)+IF(MONTH($A2263)=Reference!$D$5,1,0))+(IF(MONTH($A2263)=Reference!$D$6,Reference!$D$13,0))),0)</f>
        <v>396</v>
      </c>
      <c r="E2263" s="11">
        <f ca="1">D2263*Reference!$D$7*(1-IF(MONTH($A2263)=Reference!$D$6,1,0)*Reference!$D$12)</f>
        <v>297000</v>
      </c>
      <c r="M2263" s="20"/>
      <c r="N2263" s="20"/>
      <c r="O2263" s="19"/>
      <c r="P2263" s="10"/>
      <c r="Q2263" s="10"/>
      <c r="R2263" s="10"/>
      <c r="S2263" s="10"/>
      <c r="T2263" s="10"/>
      <c r="U2263" s="10"/>
      <c r="V2263" s="10"/>
      <c r="W2263" s="10"/>
      <c r="X2263" s="10"/>
      <c r="Y2263" s="10"/>
    </row>
    <row r="2264" spans="1:25" x14ac:dyDescent="0.25">
      <c r="A2264" s="9">
        <v>42802</v>
      </c>
      <c r="B2264" s="10">
        <f ca="1">ROUND(_xlfn.NORM.INV(RAND(),Reference!$C$8,0.1*Reference!$C$8)*(1+Reference!$C$11*(IF(MONTH($A2264)=Reference!$C$4,1,0)+IF(MONTH($A2264)=Reference!$C$5,1,0))+(IF(MONTH($A2264)=Reference!$C$6,Reference!$C$13,0))),0)</f>
        <v>371</v>
      </c>
      <c r="C2264" s="11">
        <f ca="1">B2264*Reference!$C$7*(1-IF(MONTH($A2264)=Reference!$C$6,1,0)*Reference!$C$12)</f>
        <v>345030</v>
      </c>
      <c r="D2264" s="10">
        <f ca="1">ROUND(_xlfn.NORM.INV(RAND(),Reference!$D$8,0.1*Reference!$D$8)*(1+Reference!$D$11*(IF(MONTH($A2264)=Reference!$D$4,1,0)+IF(MONTH($A2264)=Reference!$D$5,1,0))+(IF(MONTH($A2264)=Reference!$D$6,Reference!$D$13,0))),0)</f>
        <v>482</v>
      </c>
      <c r="E2264" s="11">
        <f ca="1">D2264*Reference!$D$7*(1-IF(MONTH($A2264)=Reference!$D$6,1,0)*Reference!$D$12)</f>
        <v>361500</v>
      </c>
      <c r="M2264" s="20"/>
      <c r="N2264" s="20"/>
      <c r="O2264" s="19"/>
      <c r="P2264" s="10"/>
      <c r="Q2264" s="10"/>
      <c r="R2264" s="10"/>
      <c r="S2264" s="10"/>
      <c r="T2264" s="10"/>
      <c r="U2264" s="10"/>
      <c r="V2264" s="10"/>
      <c r="W2264" s="10"/>
      <c r="X2264" s="10"/>
      <c r="Y2264" s="10"/>
    </row>
    <row r="2265" spans="1:25" x14ac:dyDescent="0.25">
      <c r="A2265" s="9">
        <v>42803</v>
      </c>
      <c r="B2265" s="10">
        <f ca="1">ROUND(_xlfn.NORM.INV(RAND(),Reference!$C$8,0.1*Reference!$C$8)*(1+Reference!$C$11*(IF(MONTH($A2265)=Reference!$C$4,1,0)+IF(MONTH($A2265)=Reference!$C$5,1,0))+(IF(MONTH($A2265)=Reference!$C$6,Reference!$C$13,0))),0)</f>
        <v>405</v>
      </c>
      <c r="C2265" s="11">
        <f ca="1">B2265*Reference!$C$7*(1-IF(MONTH($A2265)=Reference!$C$6,1,0)*Reference!$C$12)</f>
        <v>376650</v>
      </c>
      <c r="D2265" s="10">
        <f ca="1">ROUND(_xlfn.NORM.INV(RAND(),Reference!$D$8,0.1*Reference!$D$8)*(1+Reference!$D$11*(IF(MONTH($A2265)=Reference!$D$4,1,0)+IF(MONTH($A2265)=Reference!$D$5,1,0))+(IF(MONTH($A2265)=Reference!$D$6,Reference!$D$13,0))),0)</f>
        <v>474</v>
      </c>
      <c r="E2265" s="11">
        <f ca="1">D2265*Reference!$D$7*(1-IF(MONTH($A2265)=Reference!$D$6,1,0)*Reference!$D$12)</f>
        <v>355500</v>
      </c>
      <c r="M2265" s="20"/>
      <c r="N2265" s="20"/>
      <c r="O2265" s="19"/>
      <c r="P2265" s="10"/>
      <c r="Q2265" s="10"/>
      <c r="R2265" s="10"/>
      <c r="S2265" s="10"/>
      <c r="T2265" s="10"/>
      <c r="U2265" s="10"/>
      <c r="V2265" s="10"/>
      <c r="W2265" s="10"/>
      <c r="X2265" s="10"/>
      <c r="Y2265" s="10"/>
    </row>
    <row r="2266" spans="1:25" x14ac:dyDescent="0.25">
      <c r="A2266" s="9">
        <v>42804</v>
      </c>
      <c r="B2266" s="10">
        <f ca="1">ROUND(_xlfn.NORM.INV(RAND(),Reference!$C$8,0.1*Reference!$C$8)*(1+Reference!$C$11*(IF(MONTH($A2266)=Reference!$C$4,1,0)+IF(MONTH($A2266)=Reference!$C$5,1,0))+(IF(MONTH($A2266)=Reference!$C$6,Reference!$C$13,0))),0)</f>
        <v>411</v>
      </c>
      <c r="C2266" s="11">
        <f ca="1">B2266*Reference!$C$7*(1-IF(MONTH($A2266)=Reference!$C$6,1,0)*Reference!$C$12)</f>
        <v>382230</v>
      </c>
      <c r="D2266" s="10">
        <f ca="1">ROUND(_xlfn.NORM.INV(RAND(),Reference!$D$8,0.1*Reference!$D$8)*(1+Reference!$D$11*(IF(MONTH($A2266)=Reference!$D$4,1,0)+IF(MONTH($A2266)=Reference!$D$5,1,0))+(IF(MONTH($A2266)=Reference!$D$6,Reference!$D$13,0))),0)</f>
        <v>433</v>
      </c>
      <c r="E2266" s="11">
        <f ca="1">D2266*Reference!$D$7*(1-IF(MONTH($A2266)=Reference!$D$6,1,0)*Reference!$D$12)</f>
        <v>324750</v>
      </c>
      <c r="M2266" s="20"/>
      <c r="N2266" s="20"/>
      <c r="O2266" s="19"/>
      <c r="P2266" s="10"/>
      <c r="Q2266" s="10"/>
      <c r="R2266" s="10"/>
      <c r="S2266" s="10"/>
      <c r="T2266" s="10"/>
      <c r="U2266" s="10"/>
      <c r="V2266" s="10"/>
      <c r="W2266" s="10"/>
      <c r="X2266" s="10"/>
      <c r="Y2266" s="10"/>
    </row>
    <row r="2267" spans="1:25" x14ac:dyDescent="0.25">
      <c r="A2267" s="9">
        <v>42805</v>
      </c>
      <c r="B2267" s="10">
        <f ca="1">ROUND(_xlfn.NORM.INV(RAND(),Reference!$C$8,0.1*Reference!$C$8)*(1+Reference!$C$11*(IF(MONTH($A2267)=Reference!$C$4,1,0)+IF(MONTH($A2267)=Reference!$C$5,1,0))+(IF(MONTH($A2267)=Reference!$C$6,Reference!$C$13,0))),0)</f>
        <v>336</v>
      </c>
      <c r="C2267" s="11">
        <f ca="1">B2267*Reference!$C$7*(1-IF(MONTH($A2267)=Reference!$C$6,1,0)*Reference!$C$12)</f>
        <v>312480</v>
      </c>
      <c r="D2267" s="10">
        <f ca="1">ROUND(_xlfn.NORM.INV(RAND(),Reference!$D$8,0.1*Reference!$D$8)*(1+Reference!$D$11*(IF(MONTH($A2267)=Reference!$D$4,1,0)+IF(MONTH($A2267)=Reference!$D$5,1,0))+(IF(MONTH($A2267)=Reference!$D$6,Reference!$D$13,0))),0)</f>
        <v>464</v>
      </c>
      <c r="E2267" s="11">
        <f ca="1">D2267*Reference!$D$7*(1-IF(MONTH($A2267)=Reference!$D$6,1,0)*Reference!$D$12)</f>
        <v>348000</v>
      </c>
      <c r="M2267" s="20"/>
      <c r="N2267" s="20"/>
      <c r="O2267" s="19"/>
      <c r="P2267" s="10"/>
      <c r="Q2267" s="10"/>
      <c r="R2267" s="10"/>
      <c r="S2267" s="10"/>
      <c r="T2267" s="10"/>
      <c r="U2267" s="10"/>
      <c r="V2267" s="10"/>
      <c r="W2267" s="10"/>
      <c r="X2267" s="10"/>
      <c r="Y2267" s="10"/>
    </row>
    <row r="2268" spans="1:25" x14ac:dyDescent="0.25">
      <c r="A2268" s="9">
        <v>42806</v>
      </c>
      <c r="B2268" s="10">
        <f ca="1">ROUND(_xlfn.NORM.INV(RAND(),Reference!$C$8,0.1*Reference!$C$8)*(1+Reference!$C$11*(IF(MONTH($A2268)=Reference!$C$4,1,0)+IF(MONTH($A2268)=Reference!$C$5,1,0))+(IF(MONTH($A2268)=Reference!$C$6,Reference!$C$13,0))),0)</f>
        <v>350</v>
      </c>
      <c r="C2268" s="11">
        <f ca="1">B2268*Reference!$C$7*(1-IF(MONTH($A2268)=Reference!$C$6,1,0)*Reference!$C$12)</f>
        <v>325500</v>
      </c>
      <c r="D2268" s="10">
        <f ca="1">ROUND(_xlfn.NORM.INV(RAND(),Reference!$D$8,0.1*Reference!$D$8)*(1+Reference!$D$11*(IF(MONTH($A2268)=Reference!$D$4,1,0)+IF(MONTH($A2268)=Reference!$D$5,1,0))+(IF(MONTH($A2268)=Reference!$D$6,Reference!$D$13,0))),0)</f>
        <v>415</v>
      </c>
      <c r="E2268" s="11">
        <f ca="1">D2268*Reference!$D$7*(1-IF(MONTH($A2268)=Reference!$D$6,1,0)*Reference!$D$12)</f>
        <v>311250</v>
      </c>
      <c r="M2268" s="20"/>
      <c r="N2268" s="20"/>
      <c r="O2268" s="19"/>
      <c r="P2268" s="10"/>
      <c r="Q2268" s="10"/>
      <c r="R2268" s="10"/>
      <c r="S2268" s="10"/>
      <c r="T2268" s="10"/>
      <c r="U2268" s="10"/>
      <c r="V2268" s="10"/>
      <c r="W2268" s="10"/>
      <c r="X2268" s="10"/>
      <c r="Y2268" s="10"/>
    </row>
    <row r="2269" spans="1:25" x14ac:dyDescent="0.25">
      <c r="A2269" s="9">
        <v>42807</v>
      </c>
      <c r="B2269" s="10">
        <f ca="1">ROUND(_xlfn.NORM.INV(RAND(),Reference!$C$8,0.1*Reference!$C$8)*(1+Reference!$C$11*(IF(MONTH($A2269)=Reference!$C$4,1,0)+IF(MONTH($A2269)=Reference!$C$5,1,0))+(IF(MONTH($A2269)=Reference!$C$6,Reference!$C$13,0))),0)</f>
        <v>368</v>
      </c>
      <c r="C2269" s="11">
        <f ca="1">B2269*Reference!$C$7*(1-IF(MONTH($A2269)=Reference!$C$6,1,0)*Reference!$C$12)</f>
        <v>342240</v>
      </c>
      <c r="D2269" s="10">
        <f ca="1">ROUND(_xlfn.NORM.INV(RAND(),Reference!$D$8,0.1*Reference!$D$8)*(1+Reference!$D$11*(IF(MONTH($A2269)=Reference!$D$4,1,0)+IF(MONTH($A2269)=Reference!$D$5,1,0))+(IF(MONTH($A2269)=Reference!$D$6,Reference!$D$13,0))),0)</f>
        <v>506</v>
      </c>
      <c r="E2269" s="11">
        <f ca="1">D2269*Reference!$D$7*(1-IF(MONTH($A2269)=Reference!$D$6,1,0)*Reference!$D$12)</f>
        <v>379500</v>
      </c>
      <c r="M2269" s="20"/>
      <c r="N2269" s="20"/>
      <c r="O2269" s="19"/>
      <c r="P2269" s="10"/>
      <c r="Q2269" s="10"/>
      <c r="R2269" s="10"/>
      <c r="S2269" s="10"/>
      <c r="T2269" s="10"/>
      <c r="U2269" s="10"/>
      <c r="V2269" s="10"/>
      <c r="W2269" s="10"/>
      <c r="X2269" s="10"/>
      <c r="Y2269" s="10"/>
    </row>
    <row r="2270" spans="1:25" x14ac:dyDescent="0.25">
      <c r="A2270" s="9">
        <v>42808</v>
      </c>
      <c r="B2270" s="10">
        <f ca="1">ROUND(_xlfn.NORM.INV(RAND(),Reference!$C$8,0.1*Reference!$C$8)*(1+Reference!$C$11*(IF(MONTH($A2270)=Reference!$C$4,1,0)+IF(MONTH($A2270)=Reference!$C$5,1,0))+(IF(MONTH($A2270)=Reference!$C$6,Reference!$C$13,0))),0)</f>
        <v>348</v>
      </c>
      <c r="C2270" s="11">
        <f ca="1">B2270*Reference!$C$7*(1-IF(MONTH($A2270)=Reference!$C$6,1,0)*Reference!$C$12)</f>
        <v>323640</v>
      </c>
      <c r="D2270" s="10">
        <f ca="1">ROUND(_xlfn.NORM.INV(RAND(),Reference!$D$8,0.1*Reference!$D$8)*(1+Reference!$D$11*(IF(MONTH($A2270)=Reference!$D$4,1,0)+IF(MONTH($A2270)=Reference!$D$5,1,0))+(IF(MONTH($A2270)=Reference!$D$6,Reference!$D$13,0))),0)</f>
        <v>422</v>
      </c>
      <c r="E2270" s="11">
        <f ca="1">D2270*Reference!$D$7*(1-IF(MONTH($A2270)=Reference!$D$6,1,0)*Reference!$D$12)</f>
        <v>316500</v>
      </c>
      <c r="M2270" s="20"/>
      <c r="N2270" s="20"/>
      <c r="O2270" s="19"/>
      <c r="P2270" s="10"/>
      <c r="Q2270" s="10"/>
      <c r="R2270" s="10"/>
      <c r="S2270" s="10"/>
      <c r="T2270" s="10"/>
      <c r="U2270" s="10"/>
      <c r="V2270" s="10"/>
      <c r="W2270" s="10"/>
      <c r="X2270" s="10"/>
      <c r="Y2270" s="10"/>
    </row>
    <row r="2271" spans="1:25" x14ac:dyDescent="0.25">
      <c r="A2271" s="9">
        <v>42809</v>
      </c>
      <c r="B2271" s="10">
        <f ca="1">ROUND(_xlfn.NORM.INV(RAND(),Reference!$C$8,0.1*Reference!$C$8)*(1+Reference!$C$11*(IF(MONTH($A2271)=Reference!$C$4,1,0)+IF(MONTH($A2271)=Reference!$C$5,1,0))+(IF(MONTH($A2271)=Reference!$C$6,Reference!$C$13,0))),0)</f>
        <v>285</v>
      </c>
      <c r="C2271" s="11">
        <f ca="1">B2271*Reference!$C$7*(1-IF(MONTH($A2271)=Reference!$C$6,1,0)*Reference!$C$12)</f>
        <v>265050</v>
      </c>
      <c r="D2271" s="10">
        <f ca="1">ROUND(_xlfn.NORM.INV(RAND(),Reference!$D$8,0.1*Reference!$D$8)*(1+Reference!$D$11*(IF(MONTH($A2271)=Reference!$D$4,1,0)+IF(MONTH($A2271)=Reference!$D$5,1,0))+(IF(MONTH($A2271)=Reference!$D$6,Reference!$D$13,0))),0)</f>
        <v>466</v>
      </c>
      <c r="E2271" s="11">
        <f ca="1">D2271*Reference!$D$7*(1-IF(MONTH($A2271)=Reference!$D$6,1,0)*Reference!$D$12)</f>
        <v>349500</v>
      </c>
      <c r="M2271" s="20"/>
      <c r="N2271" s="20"/>
      <c r="O2271" s="19"/>
      <c r="P2271" s="10"/>
      <c r="Q2271" s="10"/>
      <c r="R2271" s="10"/>
      <c r="S2271" s="10"/>
      <c r="T2271" s="10"/>
      <c r="U2271" s="10"/>
      <c r="V2271" s="10"/>
      <c r="W2271" s="10"/>
      <c r="X2271" s="10"/>
      <c r="Y2271" s="10"/>
    </row>
    <row r="2272" spans="1:25" x14ac:dyDescent="0.25">
      <c r="A2272" s="9">
        <v>42810</v>
      </c>
      <c r="B2272" s="10">
        <f ca="1">ROUND(_xlfn.NORM.INV(RAND(),Reference!$C$8,0.1*Reference!$C$8)*(1+Reference!$C$11*(IF(MONTH($A2272)=Reference!$C$4,1,0)+IF(MONTH($A2272)=Reference!$C$5,1,0))+(IF(MONTH($A2272)=Reference!$C$6,Reference!$C$13,0))),0)</f>
        <v>365</v>
      </c>
      <c r="C2272" s="11">
        <f ca="1">B2272*Reference!$C$7*(1-IF(MONTH($A2272)=Reference!$C$6,1,0)*Reference!$C$12)</f>
        <v>339450</v>
      </c>
      <c r="D2272" s="10">
        <f ca="1">ROUND(_xlfn.NORM.INV(RAND(),Reference!$D$8,0.1*Reference!$D$8)*(1+Reference!$D$11*(IF(MONTH($A2272)=Reference!$D$4,1,0)+IF(MONTH($A2272)=Reference!$D$5,1,0))+(IF(MONTH($A2272)=Reference!$D$6,Reference!$D$13,0))),0)</f>
        <v>455</v>
      </c>
      <c r="E2272" s="11">
        <f ca="1">D2272*Reference!$D$7*(1-IF(MONTH($A2272)=Reference!$D$6,1,0)*Reference!$D$12)</f>
        <v>341250</v>
      </c>
      <c r="M2272" s="20"/>
      <c r="N2272" s="20"/>
      <c r="O2272" s="19"/>
      <c r="P2272" s="10"/>
      <c r="Q2272" s="10"/>
      <c r="R2272" s="10"/>
      <c r="S2272" s="10"/>
      <c r="T2272" s="10"/>
      <c r="U2272" s="10"/>
      <c r="V2272" s="10"/>
      <c r="W2272" s="10"/>
      <c r="X2272" s="10"/>
      <c r="Y2272" s="10"/>
    </row>
    <row r="2273" spans="1:25" x14ac:dyDescent="0.25">
      <c r="A2273" s="9">
        <v>42811</v>
      </c>
      <c r="B2273" s="10">
        <f ca="1">ROUND(_xlfn.NORM.INV(RAND(),Reference!$C$8,0.1*Reference!$C$8)*(1+Reference!$C$11*(IF(MONTH($A2273)=Reference!$C$4,1,0)+IF(MONTH($A2273)=Reference!$C$5,1,0))+(IF(MONTH($A2273)=Reference!$C$6,Reference!$C$13,0))),0)</f>
        <v>361</v>
      </c>
      <c r="C2273" s="11">
        <f ca="1">B2273*Reference!$C$7*(1-IF(MONTH($A2273)=Reference!$C$6,1,0)*Reference!$C$12)</f>
        <v>335730</v>
      </c>
      <c r="D2273" s="10">
        <f ca="1">ROUND(_xlfn.NORM.INV(RAND(),Reference!$D$8,0.1*Reference!$D$8)*(1+Reference!$D$11*(IF(MONTH($A2273)=Reference!$D$4,1,0)+IF(MONTH($A2273)=Reference!$D$5,1,0))+(IF(MONTH($A2273)=Reference!$D$6,Reference!$D$13,0))),0)</f>
        <v>440</v>
      </c>
      <c r="E2273" s="11">
        <f ca="1">D2273*Reference!$D$7*(1-IF(MONTH($A2273)=Reference!$D$6,1,0)*Reference!$D$12)</f>
        <v>330000</v>
      </c>
      <c r="M2273" s="20"/>
      <c r="N2273" s="20"/>
      <c r="O2273" s="19"/>
      <c r="P2273" s="10"/>
      <c r="Q2273" s="10"/>
      <c r="R2273" s="10"/>
      <c r="S2273" s="10"/>
      <c r="T2273" s="10"/>
      <c r="U2273" s="10"/>
      <c r="V2273" s="10"/>
      <c r="W2273" s="10"/>
      <c r="X2273" s="10"/>
      <c r="Y2273" s="10"/>
    </row>
    <row r="2274" spans="1:25" x14ac:dyDescent="0.25">
      <c r="A2274" s="9">
        <v>42812</v>
      </c>
      <c r="B2274" s="10">
        <f ca="1">ROUND(_xlfn.NORM.INV(RAND(),Reference!$C$8,0.1*Reference!$C$8)*(1+Reference!$C$11*(IF(MONTH($A2274)=Reference!$C$4,1,0)+IF(MONTH($A2274)=Reference!$C$5,1,0))+(IF(MONTH($A2274)=Reference!$C$6,Reference!$C$13,0))),0)</f>
        <v>382</v>
      </c>
      <c r="C2274" s="11">
        <f ca="1">B2274*Reference!$C$7*(1-IF(MONTH($A2274)=Reference!$C$6,1,0)*Reference!$C$12)</f>
        <v>355260</v>
      </c>
      <c r="D2274" s="10">
        <f ca="1">ROUND(_xlfn.NORM.INV(RAND(),Reference!$D$8,0.1*Reference!$D$8)*(1+Reference!$D$11*(IF(MONTH($A2274)=Reference!$D$4,1,0)+IF(MONTH($A2274)=Reference!$D$5,1,0))+(IF(MONTH($A2274)=Reference!$D$6,Reference!$D$13,0))),0)</f>
        <v>414</v>
      </c>
      <c r="E2274" s="11">
        <f ca="1">D2274*Reference!$D$7*(1-IF(MONTH($A2274)=Reference!$D$6,1,0)*Reference!$D$12)</f>
        <v>310500</v>
      </c>
      <c r="M2274" s="20"/>
      <c r="N2274" s="20"/>
      <c r="O2274" s="19"/>
      <c r="P2274" s="10"/>
      <c r="Q2274" s="10"/>
      <c r="R2274" s="10"/>
      <c r="S2274" s="10"/>
      <c r="T2274" s="10"/>
      <c r="U2274" s="10"/>
      <c r="V2274" s="10"/>
      <c r="W2274" s="10"/>
      <c r="X2274" s="10"/>
      <c r="Y2274" s="10"/>
    </row>
    <row r="2275" spans="1:25" x14ac:dyDescent="0.25">
      <c r="A2275" s="9">
        <v>42813</v>
      </c>
      <c r="B2275" s="10">
        <f ca="1">ROUND(_xlfn.NORM.INV(RAND(),Reference!$C$8,0.1*Reference!$C$8)*(1+Reference!$C$11*(IF(MONTH($A2275)=Reference!$C$4,1,0)+IF(MONTH($A2275)=Reference!$C$5,1,0))+(IF(MONTH($A2275)=Reference!$C$6,Reference!$C$13,0))),0)</f>
        <v>412</v>
      </c>
      <c r="C2275" s="11">
        <f ca="1">B2275*Reference!$C$7*(1-IF(MONTH($A2275)=Reference!$C$6,1,0)*Reference!$C$12)</f>
        <v>383160</v>
      </c>
      <c r="D2275" s="10">
        <f ca="1">ROUND(_xlfn.NORM.INV(RAND(),Reference!$D$8,0.1*Reference!$D$8)*(1+Reference!$D$11*(IF(MONTH($A2275)=Reference!$D$4,1,0)+IF(MONTH($A2275)=Reference!$D$5,1,0))+(IF(MONTH($A2275)=Reference!$D$6,Reference!$D$13,0))),0)</f>
        <v>423</v>
      </c>
      <c r="E2275" s="11">
        <f ca="1">D2275*Reference!$D$7*(1-IF(MONTH($A2275)=Reference!$D$6,1,0)*Reference!$D$12)</f>
        <v>317250</v>
      </c>
      <c r="M2275" s="20"/>
      <c r="N2275" s="20"/>
      <c r="O2275" s="19"/>
      <c r="P2275" s="10"/>
      <c r="Q2275" s="10"/>
      <c r="R2275" s="10"/>
      <c r="S2275" s="10"/>
      <c r="T2275" s="10"/>
      <c r="U2275" s="10"/>
      <c r="V2275" s="10"/>
      <c r="W2275" s="10"/>
      <c r="X2275" s="10"/>
      <c r="Y2275" s="10"/>
    </row>
    <row r="2276" spans="1:25" x14ac:dyDescent="0.25">
      <c r="A2276" s="9">
        <v>42814</v>
      </c>
      <c r="B2276" s="10">
        <f ca="1">ROUND(_xlfn.NORM.INV(RAND(),Reference!$C$8,0.1*Reference!$C$8)*(1+Reference!$C$11*(IF(MONTH($A2276)=Reference!$C$4,1,0)+IF(MONTH($A2276)=Reference!$C$5,1,0))+(IF(MONTH($A2276)=Reference!$C$6,Reference!$C$13,0))),0)</f>
        <v>389</v>
      </c>
      <c r="C2276" s="11">
        <f ca="1">B2276*Reference!$C$7*(1-IF(MONTH($A2276)=Reference!$C$6,1,0)*Reference!$C$12)</f>
        <v>361770</v>
      </c>
      <c r="D2276" s="10">
        <f ca="1">ROUND(_xlfn.NORM.INV(RAND(),Reference!$D$8,0.1*Reference!$D$8)*(1+Reference!$D$11*(IF(MONTH($A2276)=Reference!$D$4,1,0)+IF(MONTH($A2276)=Reference!$D$5,1,0))+(IF(MONTH($A2276)=Reference!$D$6,Reference!$D$13,0))),0)</f>
        <v>483</v>
      </c>
      <c r="E2276" s="11">
        <f ca="1">D2276*Reference!$D$7*(1-IF(MONTH($A2276)=Reference!$D$6,1,0)*Reference!$D$12)</f>
        <v>362250</v>
      </c>
      <c r="M2276" s="20"/>
      <c r="N2276" s="20"/>
      <c r="O2276" s="19"/>
      <c r="P2276" s="10"/>
      <c r="Q2276" s="10"/>
      <c r="R2276" s="10"/>
      <c r="S2276" s="10"/>
      <c r="T2276" s="10"/>
      <c r="U2276" s="10"/>
      <c r="V2276" s="10"/>
      <c r="W2276" s="10"/>
      <c r="X2276" s="10"/>
      <c r="Y2276" s="10"/>
    </row>
    <row r="2277" spans="1:25" x14ac:dyDescent="0.25">
      <c r="A2277" s="9">
        <v>42815</v>
      </c>
      <c r="B2277" s="10">
        <f ca="1">ROUND(_xlfn.NORM.INV(RAND(),Reference!$C$8,0.1*Reference!$C$8)*(1+Reference!$C$11*(IF(MONTH($A2277)=Reference!$C$4,1,0)+IF(MONTH($A2277)=Reference!$C$5,1,0))+(IF(MONTH($A2277)=Reference!$C$6,Reference!$C$13,0))),0)</f>
        <v>306</v>
      </c>
      <c r="C2277" s="11">
        <f ca="1">B2277*Reference!$C$7*(1-IF(MONTH($A2277)=Reference!$C$6,1,0)*Reference!$C$12)</f>
        <v>284580</v>
      </c>
      <c r="D2277" s="10">
        <f ca="1">ROUND(_xlfn.NORM.INV(RAND(),Reference!$D$8,0.1*Reference!$D$8)*(1+Reference!$D$11*(IF(MONTH($A2277)=Reference!$D$4,1,0)+IF(MONTH($A2277)=Reference!$D$5,1,0))+(IF(MONTH($A2277)=Reference!$D$6,Reference!$D$13,0))),0)</f>
        <v>424</v>
      </c>
      <c r="E2277" s="11">
        <f ca="1">D2277*Reference!$D$7*(1-IF(MONTH($A2277)=Reference!$D$6,1,0)*Reference!$D$12)</f>
        <v>318000</v>
      </c>
      <c r="M2277" s="20"/>
      <c r="N2277" s="20"/>
      <c r="O2277" s="19"/>
      <c r="P2277" s="10"/>
      <c r="Q2277" s="10"/>
      <c r="R2277" s="10"/>
      <c r="S2277" s="10"/>
      <c r="T2277" s="10"/>
      <c r="U2277" s="10"/>
      <c r="V2277" s="10"/>
      <c r="W2277" s="10"/>
      <c r="X2277" s="10"/>
      <c r="Y2277" s="10"/>
    </row>
    <row r="2278" spans="1:25" x14ac:dyDescent="0.25">
      <c r="A2278" s="9">
        <v>42816</v>
      </c>
      <c r="B2278" s="10">
        <f ca="1">ROUND(_xlfn.NORM.INV(RAND(),Reference!$C$8,0.1*Reference!$C$8)*(1+Reference!$C$11*(IF(MONTH($A2278)=Reference!$C$4,1,0)+IF(MONTH($A2278)=Reference!$C$5,1,0))+(IF(MONTH($A2278)=Reference!$C$6,Reference!$C$13,0))),0)</f>
        <v>366</v>
      </c>
      <c r="C2278" s="11">
        <f ca="1">B2278*Reference!$C$7*(1-IF(MONTH($A2278)=Reference!$C$6,1,0)*Reference!$C$12)</f>
        <v>340380</v>
      </c>
      <c r="D2278" s="10">
        <f ca="1">ROUND(_xlfn.NORM.INV(RAND(),Reference!$D$8,0.1*Reference!$D$8)*(1+Reference!$D$11*(IF(MONTH($A2278)=Reference!$D$4,1,0)+IF(MONTH($A2278)=Reference!$D$5,1,0))+(IF(MONTH($A2278)=Reference!$D$6,Reference!$D$13,0))),0)</f>
        <v>399</v>
      </c>
      <c r="E2278" s="11">
        <f ca="1">D2278*Reference!$D$7*(1-IF(MONTH($A2278)=Reference!$D$6,1,0)*Reference!$D$12)</f>
        <v>299250</v>
      </c>
      <c r="M2278" s="20"/>
      <c r="N2278" s="20"/>
      <c r="O2278" s="19"/>
      <c r="P2278" s="10"/>
      <c r="Q2278" s="10"/>
      <c r="R2278" s="10"/>
      <c r="S2278" s="10"/>
      <c r="T2278" s="10"/>
      <c r="U2278" s="10"/>
      <c r="V2278" s="10"/>
      <c r="W2278" s="10"/>
      <c r="X2278" s="10"/>
      <c r="Y2278" s="10"/>
    </row>
    <row r="2279" spans="1:25" x14ac:dyDescent="0.25">
      <c r="A2279" s="9">
        <v>42817</v>
      </c>
      <c r="B2279" s="10">
        <f ca="1">ROUND(_xlfn.NORM.INV(RAND(),Reference!$C$8,0.1*Reference!$C$8)*(1+Reference!$C$11*(IF(MONTH($A2279)=Reference!$C$4,1,0)+IF(MONTH($A2279)=Reference!$C$5,1,0))+(IF(MONTH($A2279)=Reference!$C$6,Reference!$C$13,0))),0)</f>
        <v>351</v>
      </c>
      <c r="C2279" s="11">
        <f ca="1">B2279*Reference!$C$7*(1-IF(MONTH($A2279)=Reference!$C$6,1,0)*Reference!$C$12)</f>
        <v>326430</v>
      </c>
      <c r="D2279" s="10">
        <f ca="1">ROUND(_xlfn.NORM.INV(RAND(),Reference!$D$8,0.1*Reference!$D$8)*(1+Reference!$D$11*(IF(MONTH($A2279)=Reference!$D$4,1,0)+IF(MONTH($A2279)=Reference!$D$5,1,0))+(IF(MONTH($A2279)=Reference!$D$6,Reference!$D$13,0))),0)</f>
        <v>456</v>
      </c>
      <c r="E2279" s="11">
        <f ca="1">D2279*Reference!$D$7*(1-IF(MONTH($A2279)=Reference!$D$6,1,0)*Reference!$D$12)</f>
        <v>342000</v>
      </c>
      <c r="M2279" s="20"/>
      <c r="N2279" s="20"/>
      <c r="O2279" s="19"/>
      <c r="P2279" s="10"/>
      <c r="Q2279" s="10"/>
      <c r="R2279" s="10"/>
      <c r="S2279" s="10"/>
      <c r="T2279" s="10"/>
      <c r="U2279" s="10"/>
      <c r="V2279" s="10"/>
      <c r="W2279" s="10"/>
      <c r="X2279" s="10"/>
      <c r="Y2279" s="10"/>
    </row>
    <row r="2280" spans="1:25" x14ac:dyDescent="0.25">
      <c r="A2280" s="9">
        <v>42818</v>
      </c>
      <c r="B2280" s="10">
        <f ca="1">ROUND(_xlfn.NORM.INV(RAND(),Reference!$C$8,0.1*Reference!$C$8)*(1+Reference!$C$11*(IF(MONTH($A2280)=Reference!$C$4,1,0)+IF(MONTH($A2280)=Reference!$C$5,1,0))+(IF(MONTH($A2280)=Reference!$C$6,Reference!$C$13,0))),0)</f>
        <v>388</v>
      </c>
      <c r="C2280" s="11">
        <f ca="1">B2280*Reference!$C$7*(1-IF(MONTH($A2280)=Reference!$C$6,1,0)*Reference!$C$12)</f>
        <v>360840</v>
      </c>
      <c r="D2280" s="10">
        <f ca="1">ROUND(_xlfn.NORM.INV(RAND(),Reference!$D$8,0.1*Reference!$D$8)*(1+Reference!$D$11*(IF(MONTH($A2280)=Reference!$D$4,1,0)+IF(MONTH($A2280)=Reference!$D$5,1,0))+(IF(MONTH($A2280)=Reference!$D$6,Reference!$D$13,0))),0)</f>
        <v>512</v>
      </c>
      <c r="E2280" s="11">
        <f ca="1">D2280*Reference!$D$7*(1-IF(MONTH($A2280)=Reference!$D$6,1,0)*Reference!$D$12)</f>
        <v>384000</v>
      </c>
      <c r="M2280" s="20"/>
      <c r="N2280" s="20"/>
      <c r="O2280" s="19"/>
      <c r="P2280" s="10"/>
      <c r="Q2280" s="10"/>
      <c r="R2280" s="10"/>
      <c r="S2280" s="10"/>
      <c r="T2280" s="10"/>
      <c r="U2280" s="10"/>
      <c r="V2280" s="10"/>
      <c r="W2280" s="10"/>
      <c r="X2280" s="10"/>
      <c r="Y2280" s="10"/>
    </row>
    <row r="2281" spans="1:25" x14ac:dyDescent="0.25">
      <c r="A2281" s="9">
        <v>42819</v>
      </c>
      <c r="B2281" s="10">
        <f ca="1">ROUND(_xlfn.NORM.INV(RAND(),Reference!$C$8,0.1*Reference!$C$8)*(1+Reference!$C$11*(IF(MONTH($A2281)=Reference!$C$4,1,0)+IF(MONTH($A2281)=Reference!$C$5,1,0))+(IF(MONTH($A2281)=Reference!$C$6,Reference!$C$13,0))),0)</f>
        <v>415</v>
      </c>
      <c r="C2281" s="11">
        <f ca="1">B2281*Reference!$C$7*(1-IF(MONTH($A2281)=Reference!$C$6,1,0)*Reference!$C$12)</f>
        <v>385950</v>
      </c>
      <c r="D2281" s="10">
        <f ca="1">ROUND(_xlfn.NORM.INV(RAND(),Reference!$D$8,0.1*Reference!$D$8)*(1+Reference!$D$11*(IF(MONTH($A2281)=Reference!$D$4,1,0)+IF(MONTH($A2281)=Reference!$D$5,1,0))+(IF(MONTH($A2281)=Reference!$D$6,Reference!$D$13,0))),0)</f>
        <v>501</v>
      </c>
      <c r="E2281" s="11">
        <f ca="1">D2281*Reference!$D$7*(1-IF(MONTH($A2281)=Reference!$D$6,1,0)*Reference!$D$12)</f>
        <v>375750</v>
      </c>
      <c r="M2281" s="20"/>
      <c r="N2281" s="20"/>
      <c r="O2281" s="19"/>
      <c r="P2281" s="10"/>
      <c r="Q2281" s="10"/>
      <c r="R2281" s="10"/>
      <c r="S2281" s="10"/>
      <c r="T2281" s="10"/>
      <c r="U2281" s="10"/>
      <c r="V2281" s="10"/>
      <c r="W2281" s="10"/>
      <c r="X2281" s="10"/>
      <c r="Y2281" s="10"/>
    </row>
    <row r="2282" spans="1:25" x14ac:dyDescent="0.25">
      <c r="A2282" s="9">
        <v>42820</v>
      </c>
      <c r="B2282" s="10">
        <f ca="1">ROUND(_xlfn.NORM.INV(RAND(),Reference!$C$8,0.1*Reference!$C$8)*(1+Reference!$C$11*(IF(MONTH($A2282)=Reference!$C$4,1,0)+IF(MONTH($A2282)=Reference!$C$5,1,0))+(IF(MONTH($A2282)=Reference!$C$6,Reference!$C$13,0))),0)</f>
        <v>401</v>
      </c>
      <c r="C2282" s="11">
        <f ca="1">B2282*Reference!$C$7*(1-IF(MONTH($A2282)=Reference!$C$6,1,0)*Reference!$C$12)</f>
        <v>372930</v>
      </c>
      <c r="D2282" s="10">
        <f ca="1">ROUND(_xlfn.NORM.INV(RAND(),Reference!$D$8,0.1*Reference!$D$8)*(1+Reference!$D$11*(IF(MONTH($A2282)=Reference!$D$4,1,0)+IF(MONTH($A2282)=Reference!$D$5,1,0))+(IF(MONTH($A2282)=Reference!$D$6,Reference!$D$13,0))),0)</f>
        <v>489</v>
      </c>
      <c r="E2282" s="11">
        <f ca="1">D2282*Reference!$D$7*(1-IF(MONTH($A2282)=Reference!$D$6,1,0)*Reference!$D$12)</f>
        <v>366750</v>
      </c>
      <c r="M2282" s="20"/>
      <c r="N2282" s="20"/>
      <c r="O2282" s="19"/>
      <c r="P2282" s="10"/>
      <c r="Q2282" s="10"/>
      <c r="R2282" s="10"/>
      <c r="S2282" s="10"/>
      <c r="T2282" s="10"/>
      <c r="U2282" s="10"/>
      <c r="V2282" s="10"/>
      <c r="W2282" s="10"/>
      <c r="X2282" s="10"/>
      <c r="Y2282" s="10"/>
    </row>
    <row r="2283" spans="1:25" x14ac:dyDescent="0.25">
      <c r="A2283" s="9">
        <v>42821</v>
      </c>
      <c r="B2283" s="10">
        <f ca="1">ROUND(_xlfn.NORM.INV(RAND(),Reference!$C$8,0.1*Reference!$C$8)*(1+Reference!$C$11*(IF(MONTH($A2283)=Reference!$C$4,1,0)+IF(MONTH($A2283)=Reference!$C$5,1,0))+(IF(MONTH($A2283)=Reference!$C$6,Reference!$C$13,0))),0)</f>
        <v>410</v>
      </c>
      <c r="C2283" s="11">
        <f ca="1">B2283*Reference!$C$7*(1-IF(MONTH($A2283)=Reference!$C$6,1,0)*Reference!$C$12)</f>
        <v>381300</v>
      </c>
      <c r="D2283" s="10">
        <f ca="1">ROUND(_xlfn.NORM.INV(RAND(),Reference!$D$8,0.1*Reference!$D$8)*(1+Reference!$D$11*(IF(MONTH($A2283)=Reference!$D$4,1,0)+IF(MONTH($A2283)=Reference!$D$5,1,0))+(IF(MONTH($A2283)=Reference!$D$6,Reference!$D$13,0))),0)</f>
        <v>493</v>
      </c>
      <c r="E2283" s="11">
        <f ca="1">D2283*Reference!$D$7*(1-IF(MONTH($A2283)=Reference!$D$6,1,0)*Reference!$D$12)</f>
        <v>369750</v>
      </c>
      <c r="M2283" s="20"/>
      <c r="N2283" s="20"/>
      <c r="O2283" s="19"/>
      <c r="P2283" s="10"/>
      <c r="Q2283" s="10"/>
      <c r="R2283" s="10"/>
      <c r="S2283" s="10"/>
      <c r="T2283" s="10"/>
      <c r="U2283" s="10"/>
      <c r="V2283" s="10"/>
      <c r="W2283" s="10"/>
      <c r="X2283" s="10"/>
      <c r="Y2283" s="10"/>
    </row>
    <row r="2284" spans="1:25" x14ac:dyDescent="0.25">
      <c r="A2284" s="9">
        <v>42822</v>
      </c>
      <c r="B2284" s="10">
        <f ca="1">ROUND(_xlfn.NORM.INV(RAND(),Reference!$C$8,0.1*Reference!$C$8)*(1+Reference!$C$11*(IF(MONTH($A2284)=Reference!$C$4,1,0)+IF(MONTH($A2284)=Reference!$C$5,1,0))+(IF(MONTH($A2284)=Reference!$C$6,Reference!$C$13,0))),0)</f>
        <v>326</v>
      </c>
      <c r="C2284" s="11">
        <f ca="1">B2284*Reference!$C$7*(1-IF(MONTH($A2284)=Reference!$C$6,1,0)*Reference!$C$12)</f>
        <v>303180</v>
      </c>
      <c r="D2284" s="10">
        <f ca="1">ROUND(_xlfn.NORM.INV(RAND(),Reference!$D$8,0.1*Reference!$D$8)*(1+Reference!$D$11*(IF(MONTH($A2284)=Reference!$D$4,1,0)+IF(MONTH($A2284)=Reference!$D$5,1,0))+(IF(MONTH($A2284)=Reference!$D$6,Reference!$D$13,0))),0)</f>
        <v>488</v>
      </c>
      <c r="E2284" s="11">
        <f ca="1">D2284*Reference!$D$7*(1-IF(MONTH($A2284)=Reference!$D$6,1,0)*Reference!$D$12)</f>
        <v>366000</v>
      </c>
      <c r="M2284" s="20"/>
      <c r="N2284" s="20"/>
      <c r="O2284" s="19"/>
      <c r="P2284" s="10"/>
      <c r="Q2284" s="10"/>
      <c r="R2284" s="10"/>
      <c r="S2284" s="10"/>
      <c r="T2284" s="10"/>
      <c r="U2284" s="10"/>
      <c r="V2284" s="10"/>
      <c r="W2284" s="10"/>
      <c r="X2284" s="10"/>
      <c r="Y2284" s="10"/>
    </row>
    <row r="2285" spans="1:25" x14ac:dyDescent="0.25">
      <c r="A2285" s="9">
        <v>42823</v>
      </c>
      <c r="B2285" s="10">
        <f ca="1">ROUND(_xlfn.NORM.INV(RAND(),Reference!$C$8,0.1*Reference!$C$8)*(1+Reference!$C$11*(IF(MONTH($A2285)=Reference!$C$4,1,0)+IF(MONTH($A2285)=Reference!$C$5,1,0))+(IF(MONTH($A2285)=Reference!$C$6,Reference!$C$13,0))),0)</f>
        <v>387</v>
      </c>
      <c r="C2285" s="11">
        <f ca="1">B2285*Reference!$C$7*(1-IF(MONTH($A2285)=Reference!$C$6,1,0)*Reference!$C$12)</f>
        <v>359910</v>
      </c>
      <c r="D2285" s="10">
        <f ca="1">ROUND(_xlfn.NORM.INV(RAND(),Reference!$D$8,0.1*Reference!$D$8)*(1+Reference!$D$11*(IF(MONTH($A2285)=Reference!$D$4,1,0)+IF(MONTH($A2285)=Reference!$D$5,1,0))+(IF(MONTH($A2285)=Reference!$D$6,Reference!$D$13,0))),0)</f>
        <v>372</v>
      </c>
      <c r="E2285" s="11">
        <f ca="1">D2285*Reference!$D$7*(1-IF(MONTH($A2285)=Reference!$D$6,1,0)*Reference!$D$12)</f>
        <v>279000</v>
      </c>
      <c r="M2285" s="20"/>
      <c r="N2285" s="20"/>
      <c r="O2285" s="19"/>
      <c r="P2285" s="10"/>
      <c r="Q2285" s="10"/>
      <c r="R2285" s="10"/>
      <c r="S2285" s="10"/>
      <c r="T2285" s="10"/>
      <c r="U2285" s="10"/>
      <c r="V2285" s="10"/>
      <c r="W2285" s="10"/>
      <c r="X2285" s="10"/>
      <c r="Y2285" s="10"/>
    </row>
    <row r="2286" spans="1:25" x14ac:dyDescent="0.25">
      <c r="A2286" s="9">
        <v>42824</v>
      </c>
      <c r="B2286" s="10">
        <f ca="1">ROUND(_xlfn.NORM.INV(RAND(),Reference!$C$8,0.1*Reference!$C$8)*(1+Reference!$C$11*(IF(MONTH($A2286)=Reference!$C$4,1,0)+IF(MONTH($A2286)=Reference!$C$5,1,0))+(IF(MONTH($A2286)=Reference!$C$6,Reference!$C$13,0))),0)</f>
        <v>392</v>
      </c>
      <c r="C2286" s="11">
        <f ca="1">B2286*Reference!$C$7*(1-IF(MONTH($A2286)=Reference!$C$6,1,0)*Reference!$C$12)</f>
        <v>364560</v>
      </c>
      <c r="D2286" s="10">
        <f ca="1">ROUND(_xlfn.NORM.INV(RAND(),Reference!$D$8,0.1*Reference!$D$8)*(1+Reference!$D$11*(IF(MONTH($A2286)=Reference!$D$4,1,0)+IF(MONTH($A2286)=Reference!$D$5,1,0))+(IF(MONTH($A2286)=Reference!$D$6,Reference!$D$13,0))),0)</f>
        <v>447</v>
      </c>
      <c r="E2286" s="11">
        <f ca="1">D2286*Reference!$D$7*(1-IF(MONTH($A2286)=Reference!$D$6,1,0)*Reference!$D$12)</f>
        <v>335250</v>
      </c>
      <c r="M2286" s="20"/>
      <c r="N2286" s="20"/>
      <c r="O2286" s="19"/>
      <c r="P2286" s="10"/>
      <c r="Q2286" s="10"/>
      <c r="R2286" s="10"/>
      <c r="S2286" s="10"/>
      <c r="T2286" s="10"/>
      <c r="U2286" s="10"/>
      <c r="V2286" s="10"/>
      <c r="W2286" s="10"/>
      <c r="X2286" s="10"/>
      <c r="Y2286" s="10"/>
    </row>
    <row r="2287" spans="1:25" x14ac:dyDescent="0.25">
      <c r="A2287" s="9">
        <v>42825</v>
      </c>
      <c r="B2287" s="10">
        <f ca="1">ROUND(_xlfn.NORM.INV(RAND(),Reference!$C$8,0.1*Reference!$C$8)*(1+Reference!$C$11*(IF(MONTH($A2287)=Reference!$C$4,1,0)+IF(MONTH($A2287)=Reference!$C$5,1,0))+(IF(MONTH($A2287)=Reference!$C$6,Reference!$C$13,0))),0)</f>
        <v>407</v>
      </c>
      <c r="C2287" s="11">
        <f ca="1">B2287*Reference!$C$7*(1-IF(MONTH($A2287)=Reference!$C$6,1,0)*Reference!$C$12)</f>
        <v>378510</v>
      </c>
      <c r="D2287" s="10">
        <f ca="1">ROUND(_xlfn.NORM.INV(RAND(),Reference!$D$8,0.1*Reference!$D$8)*(1+Reference!$D$11*(IF(MONTH($A2287)=Reference!$D$4,1,0)+IF(MONTH($A2287)=Reference!$D$5,1,0))+(IF(MONTH($A2287)=Reference!$D$6,Reference!$D$13,0))),0)</f>
        <v>437</v>
      </c>
      <c r="E2287" s="11">
        <f ca="1">D2287*Reference!$D$7*(1-IF(MONTH($A2287)=Reference!$D$6,1,0)*Reference!$D$12)</f>
        <v>327750</v>
      </c>
      <c r="M2287" s="20"/>
      <c r="N2287" s="20"/>
      <c r="O2287" s="19"/>
      <c r="P2287" s="10"/>
      <c r="Q2287" s="10"/>
      <c r="R2287" s="10"/>
      <c r="S2287" s="10"/>
      <c r="T2287" s="10"/>
      <c r="U2287" s="10"/>
      <c r="V2287" s="10"/>
      <c r="W2287" s="10"/>
      <c r="X2287" s="10"/>
      <c r="Y2287" s="10"/>
    </row>
    <row r="2288" spans="1:25" x14ac:dyDescent="0.25">
      <c r="A2288" s="9">
        <v>42826</v>
      </c>
      <c r="B2288" s="10">
        <f ca="1">ROUND(_xlfn.NORM.INV(RAND(),Reference!$C$8,0.1*Reference!$C$8)*(1+Reference!$C$11*(IF(MONTH($A2288)=Reference!$C$4,1,0)+IF(MONTH($A2288)=Reference!$C$5,1,0))+(IF(MONTH($A2288)=Reference!$C$6,Reference!$C$13,0))),0)</f>
        <v>603</v>
      </c>
      <c r="C2288" s="11">
        <f ca="1">B2288*Reference!$C$7*(1-IF(MONTH($A2288)=Reference!$C$6,1,0)*Reference!$C$12)</f>
        <v>560790</v>
      </c>
      <c r="D2288" s="10">
        <f ca="1">ROUND(_xlfn.NORM.INV(RAND(),Reference!$D$8,0.1*Reference!$D$8)*(1+Reference!$D$11*(IF(MONTH($A2288)=Reference!$D$4,1,0)+IF(MONTH($A2288)=Reference!$D$5,1,0))+(IF(MONTH($A2288)=Reference!$D$6,Reference!$D$13,0))),0)</f>
        <v>458</v>
      </c>
      <c r="E2288" s="11">
        <f ca="1">D2288*Reference!$D$7*(1-IF(MONTH($A2288)=Reference!$D$6,1,0)*Reference!$D$12)</f>
        <v>343500</v>
      </c>
      <c r="M2288" s="20"/>
      <c r="N2288" s="20"/>
      <c r="O2288" s="19"/>
      <c r="P2288" s="10"/>
      <c r="Q2288" s="10"/>
      <c r="R2288" s="10"/>
      <c r="S2288" s="10"/>
      <c r="T2288" s="10"/>
      <c r="U2288" s="10"/>
      <c r="V2288" s="10"/>
      <c r="W2288" s="10"/>
      <c r="X2288" s="10"/>
      <c r="Y2288" s="10"/>
    </row>
    <row r="2289" spans="1:25" x14ac:dyDescent="0.25">
      <c r="A2289" s="9">
        <v>42827</v>
      </c>
      <c r="B2289" s="10">
        <f ca="1">ROUND(_xlfn.NORM.INV(RAND(),Reference!$C$8,0.1*Reference!$C$8)*(1+Reference!$C$11*(IF(MONTH($A2289)=Reference!$C$4,1,0)+IF(MONTH($A2289)=Reference!$C$5,1,0))+(IF(MONTH($A2289)=Reference!$C$6,Reference!$C$13,0))),0)</f>
        <v>539</v>
      </c>
      <c r="C2289" s="11">
        <f ca="1">B2289*Reference!$C$7*(1-IF(MONTH($A2289)=Reference!$C$6,1,0)*Reference!$C$12)</f>
        <v>501270</v>
      </c>
      <c r="D2289" s="10">
        <f ca="1">ROUND(_xlfn.NORM.INV(RAND(),Reference!$D$8,0.1*Reference!$D$8)*(1+Reference!$D$11*(IF(MONTH($A2289)=Reference!$D$4,1,0)+IF(MONTH($A2289)=Reference!$D$5,1,0))+(IF(MONTH($A2289)=Reference!$D$6,Reference!$D$13,0))),0)</f>
        <v>524</v>
      </c>
      <c r="E2289" s="11">
        <f ca="1">D2289*Reference!$D$7*(1-IF(MONTH($A2289)=Reference!$D$6,1,0)*Reference!$D$12)</f>
        <v>393000</v>
      </c>
      <c r="M2289" s="20"/>
      <c r="N2289" s="20"/>
      <c r="O2289" s="19"/>
      <c r="P2289" s="10"/>
      <c r="Q2289" s="10"/>
      <c r="R2289" s="10"/>
      <c r="S2289" s="10"/>
      <c r="T2289" s="10"/>
      <c r="U2289" s="10"/>
      <c r="V2289" s="10"/>
      <c r="W2289" s="10"/>
      <c r="X2289" s="10"/>
      <c r="Y2289" s="10"/>
    </row>
    <row r="2290" spans="1:25" x14ac:dyDescent="0.25">
      <c r="A2290" s="9">
        <v>42828</v>
      </c>
      <c r="B2290" s="10">
        <f ca="1">ROUND(_xlfn.NORM.INV(RAND(),Reference!$C$8,0.1*Reference!$C$8)*(1+Reference!$C$11*(IF(MONTH($A2290)=Reference!$C$4,1,0)+IF(MONTH($A2290)=Reference!$C$5,1,0))+(IF(MONTH($A2290)=Reference!$C$6,Reference!$C$13,0))),0)</f>
        <v>440</v>
      </c>
      <c r="C2290" s="11">
        <f ca="1">B2290*Reference!$C$7*(1-IF(MONTH($A2290)=Reference!$C$6,1,0)*Reference!$C$12)</f>
        <v>409200</v>
      </c>
      <c r="D2290" s="10">
        <f ca="1">ROUND(_xlfn.NORM.INV(RAND(),Reference!$D$8,0.1*Reference!$D$8)*(1+Reference!$D$11*(IF(MONTH($A2290)=Reference!$D$4,1,0)+IF(MONTH($A2290)=Reference!$D$5,1,0))+(IF(MONTH($A2290)=Reference!$D$6,Reference!$D$13,0))),0)</f>
        <v>464</v>
      </c>
      <c r="E2290" s="11">
        <f ca="1">D2290*Reference!$D$7*(1-IF(MONTH($A2290)=Reference!$D$6,1,0)*Reference!$D$12)</f>
        <v>348000</v>
      </c>
      <c r="M2290" s="20"/>
      <c r="N2290" s="20"/>
      <c r="O2290" s="19"/>
      <c r="P2290" s="10"/>
      <c r="Q2290" s="10"/>
      <c r="R2290" s="10"/>
      <c r="S2290" s="10"/>
      <c r="T2290" s="10"/>
      <c r="U2290" s="10"/>
      <c r="V2290" s="10"/>
      <c r="W2290" s="10"/>
      <c r="X2290" s="10"/>
      <c r="Y2290" s="10"/>
    </row>
    <row r="2291" spans="1:25" x14ac:dyDescent="0.25">
      <c r="A2291" s="9">
        <v>42829</v>
      </c>
      <c r="B2291" s="10">
        <f ca="1">ROUND(_xlfn.NORM.INV(RAND(),Reference!$C$8,0.1*Reference!$C$8)*(1+Reference!$C$11*(IF(MONTH($A2291)=Reference!$C$4,1,0)+IF(MONTH($A2291)=Reference!$C$5,1,0))+(IF(MONTH($A2291)=Reference!$C$6,Reference!$C$13,0))),0)</f>
        <v>531</v>
      </c>
      <c r="C2291" s="11">
        <f ca="1">B2291*Reference!$C$7*(1-IF(MONTH($A2291)=Reference!$C$6,1,0)*Reference!$C$12)</f>
        <v>493830</v>
      </c>
      <c r="D2291" s="10">
        <f ca="1">ROUND(_xlfn.NORM.INV(RAND(),Reference!$D$8,0.1*Reference!$D$8)*(1+Reference!$D$11*(IF(MONTH($A2291)=Reference!$D$4,1,0)+IF(MONTH($A2291)=Reference!$D$5,1,0))+(IF(MONTH($A2291)=Reference!$D$6,Reference!$D$13,0))),0)</f>
        <v>402</v>
      </c>
      <c r="E2291" s="11">
        <f ca="1">D2291*Reference!$D$7*(1-IF(MONTH($A2291)=Reference!$D$6,1,0)*Reference!$D$12)</f>
        <v>301500</v>
      </c>
      <c r="M2291" s="20"/>
      <c r="N2291" s="20"/>
      <c r="O2291" s="19"/>
      <c r="P2291" s="10"/>
      <c r="Q2291" s="10"/>
      <c r="R2291" s="10"/>
      <c r="S2291" s="10"/>
      <c r="T2291" s="10"/>
      <c r="U2291" s="10"/>
      <c r="V2291" s="10"/>
      <c r="W2291" s="10"/>
      <c r="X2291" s="10"/>
      <c r="Y2291" s="10"/>
    </row>
    <row r="2292" spans="1:25" x14ac:dyDescent="0.25">
      <c r="A2292" s="9">
        <v>42830</v>
      </c>
      <c r="B2292" s="10">
        <f ca="1">ROUND(_xlfn.NORM.INV(RAND(),Reference!$C$8,0.1*Reference!$C$8)*(1+Reference!$C$11*(IF(MONTH($A2292)=Reference!$C$4,1,0)+IF(MONTH($A2292)=Reference!$C$5,1,0))+(IF(MONTH($A2292)=Reference!$C$6,Reference!$C$13,0))),0)</f>
        <v>551</v>
      </c>
      <c r="C2292" s="11">
        <f ca="1">B2292*Reference!$C$7*(1-IF(MONTH($A2292)=Reference!$C$6,1,0)*Reference!$C$12)</f>
        <v>512430</v>
      </c>
      <c r="D2292" s="10">
        <f ca="1">ROUND(_xlfn.NORM.INV(RAND(),Reference!$D$8,0.1*Reference!$D$8)*(1+Reference!$D$11*(IF(MONTH($A2292)=Reference!$D$4,1,0)+IF(MONTH($A2292)=Reference!$D$5,1,0))+(IF(MONTH($A2292)=Reference!$D$6,Reference!$D$13,0))),0)</f>
        <v>444</v>
      </c>
      <c r="E2292" s="11">
        <f ca="1">D2292*Reference!$D$7*(1-IF(MONTH($A2292)=Reference!$D$6,1,0)*Reference!$D$12)</f>
        <v>333000</v>
      </c>
      <c r="M2292" s="20"/>
      <c r="N2292" s="20"/>
      <c r="O2292" s="19"/>
      <c r="P2292" s="10"/>
      <c r="Q2292" s="10"/>
      <c r="R2292" s="10"/>
      <c r="S2292" s="10"/>
      <c r="T2292" s="10"/>
      <c r="U2292" s="10"/>
      <c r="V2292" s="10"/>
      <c r="W2292" s="10"/>
      <c r="X2292" s="10"/>
      <c r="Y2292" s="10"/>
    </row>
    <row r="2293" spans="1:25" x14ac:dyDescent="0.25">
      <c r="A2293" s="9">
        <v>42831</v>
      </c>
      <c r="B2293" s="10">
        <f ca="1">ROUND(_xlfn.NORM.INV(RAND(),Reference!$C$8,0.1*Reference!$C$8)*(1+Reference!$C$11*(IF(MONTH($A2293)=Reference!$C$4,1,0)+IF(MONTH($A2293)=Reference!$C$5,1,0))+(IF(MONTH($A2293)=Reference!$C$6,Reference!$C$13,0))),0)</f>
        <v>526</v>
      </c>
      <c r="C2293" s="11">
        <f ca="1">B2293*Reference!$C$7*(1-IF(MONTH($A2293)=Reference!$C$6,1,0)*Reference!$C$12)</f>
        <v>489180</v>
      </c>
      <c r="D2293" s="10">
        <f ca="1">ROUND(_xlfn.NORM.INV(RAND(),Reference!$D$8,0.1*Reference!$D$8)*(1+Reference!$D$11*(IF(MONTH($A2293)=Reference!$D$4,1,0)+IF(MONTH($A2293)=Reference!$D$5,1,0))+(IF(MONTH($A2293)=Reference!$D$6,Reference!$D$13,0))),0)</f>
        <v>493</v>
      </c>
      <c r="E2293" s="11">
        <f ca="1">D2293*Reference!$D$7*(1-IF(MONTH($A2293)=Reference!$D$6,1,0)*Reference!$D$12)</f>
        <v>369750</v>
      </c>
      <c r="M2293" s="20"/>
      <c r="N2293" s="20"/>
      <c r="O2293" s="19"/>
      <c r="P2293" s="10"/>
      <c r="Q2293" s="10"/>
      <c r="R2293" s="10"/>
      <c r="S2293" s="10"/>
      <c r="T2293" s="10"/>
      <c r="U2293" s="10"/>
      <c r="V2293" s="10"/>
      <c r="W2293" s="10"/>
      <c r="X2293" s="10"/>
      <c r="Y2293" s="10"/>
    </row>
    <row r="2294" spans="1:25" x14ac:dyDescent="0.25">
      <c r="A2294" s="9">
        <v>42832</v>
      </c>
      <c r="B2294" s="10">
        <f ca="1">ROUND(_xlfn.NORM.INV(RAND(),Reference!$C$8,0.1*Reference!$C$8)*(1+Reference!$C$11*(IF(MONTH($A2294)=Reference!$C$4,1,0)+IF(MONTH($A2294)=Reference!$C$5,1,0))+(IF(MONTH($A2294)=Reference!$C$6,Reference!$C$13,0))),0)</f>
        <v>531</v>
      </c>
      <c r="C2294" s="11">
        <f ca="1">B2294*Reference!$C$7*(1-IF(MONTH($A2294)=Reference!$C$6,1,0)*Reference!$C$12)</f>
        <v>493830</v>
      </c>
      <c r="D2294" s="10">
        <f ca="1">ROUND(_xlfn.NORM.INV(RAND(),Reference!$D$8,0.1*Reference!$D$8)*(1+Reference!$D$11*(IF(MONTH($A2294)=Reference!$D$4,1,0)+IF(MONTH($A2294)=Reference!$D$5,1,0))+(IF(MONTH($A2294)=Reference!$D$6,Reference!$D$13,0))),0)</f>
        <v>475</v>
      </c>
      <c r="E2294" s="11">
        <f ca="1">D2294*Reference!$D$7*(1-IF(MONTH($A2294)=Reference!$D$6,1,0)*Reference!$D$12)</f>
        <v>356250</v>
      </c>
      <c r="M2294" s="20"/>
      <c r="N2294" s="20"/>
      <c r="O2294" s="19"/>
      <c r="P2294" s="10"/>
      <c r="Q2294" s="10"/>
      <c r="R2294" s="10"/>
      <c r="S2294" s="10"/>
      <c r="T2294" s="10"/>
      <c r="U2294" s="10"/>
      <c r="V2294" s="10"/>
      <c r="W2294" s="10"/>
      <c r="X2294" s="10"/>
      <c r="Y2294" s="10"/>
    </row>
    <row r="2295" spans="1:25" x14ac:dyDescent="0.25">
      <c r="A2295" s="9">
        <v>42833</v>
      </c>
      <c r="B2295" s="10">
        <f ca="1">ROUND(_xlfn.NORM.INV(RAND(),Reference!$C$8,0.1*Reference!$C$8)*(1+Reference!$C$11*(IF(MONTH($A2295)=Reference!$C$4,1,0)+IF(MONTH($A2295)=Reference!$C$5,1,0))+(IF(MONTH($A2295)=Reference!$C$6,Reference!$C$13,0))),0)</f>
        <v>447</v>
      </c>
      <c r="C2295" s="11">
        <f ca="1">B2295*Reference!$C$7*(1-IF(MONTH($A2295)=Reference!$C$6,1,0)*Reference!$C$12)</f>
        <v>415710</v>
      </c>
      <c r="D2295" s="10">
        <f ca="1">ROUND(_xlfn.NORM.INV(RAND(),Reference!$D$8,0.1*Reference!$D$8)*(1+Reference!$D$11*(IF(MONTH($A2295)=Reference!$D$4,1,0)+IF(MONTH($A2295)=Reference!$D$5,1,0))+(IF(MONTH($A2295)=Reference!$D$6,Reference!$D$13,0))),0)</f>
        <v>468</v>
      </c>
      <c r="E2295" s="11">
        <f ca="1">D2295*Reference!$D$7*(1-IF(MONTH($A2295)=Reference!$D$6,1,0)*Reference!$D$12)</f>
        <v>351000</v>
      </c>
      <c r="M2295" s="20"/>
      <c r="N2295" s="20"/>
      <c r="O2295" s="19"/>
      <c r="P2295" s="10"/>
      <c r="Q2295" s="10"/>
      <c r="R2295" s="10"/>
      <c r="S2295" s="10"/>
      <c r="T2295" s="10"/>
      <c r="U2295" s="10"/>
      <c r="V2295" s="10"/>
      <c r="W2295" s="10"/>
      <c r="X2295" s="10"/>
      <c r="Y2295" s="10"/>
    </row>
    <row r="2296" spans="1:25" x14ac:dyDescent="0.25">
      <c r="A2296" s="9">
        <v>42834</v>
      </c>
      <c r="B2296" s="10">
        <f ca="1">ROUND(_xlfn.NORM.INV(RAND(),Reference!$C$8,0.1*Reference!$C$8)*(1+Reference!$C$11*(IF(MONTH($A2296)=Reference!$C$4,1,0)+IF(MONTH($A2296)=Reference!$C$5,1,0))+(IF(MONTH($A2296)=Reference!$C$6,Reference!$C$13,0))),0)</f>
        <v>527</v>
      </c>
      <c r="C2296" s="11">
        <f ca="1">B2296*Reference!$C$7*(1-IF(MONTH($A2296)=Reference!$C$6,1,0)*Reference!$C$12)</f>
        <v>490110</v>
      </c>
      <c r="D2296" s="10">
        <f ca="1">ROUND(_xlfn.NORM.INV(RAND(),Reference!$D$8,0.1*Reference!$D$8)*(1+Reference!$D$11*(IF(MONTH($A2296)=Reference!$D$4,1,0)+IF(MONTH($A2296)=Reference!$D$5,1,0))+(IF(MONTH($A2296)=Reference!$D$6,Reference!$D$13,0))),0)</f>
        <v>463</v>
      </c>
      <c r="E2296" s="11">
        <f ca="1">D2296*Reference!$D$7*(1-IF(MONTH($A2296)=Reference!$D$6,1,0)*Reference!$D$12)</f>
        <v>347250</v>
      </c>
      <c r="M2296" s="20"/>
      <c r="N2296" s="20"/>
      <c r="O2296" s="19"/>
      <c r="P2296" s="10"/>
      <c r="Q2296" s="10"/>
      <c r="R2296" s="10"/>
      <c r="S2296" s="10"/>
      <c r="T2296" s="10"/>
      <c r="U2296" s="10"/>
      <c r="V2296" s="10"/>
      <c r="W2296" s="10"/>
      <c r="X2296" s="10"/>
      <c r="Y2296" s="10"/>
    </row>
    <row r="2297" spans="1:25" x14ac:dyDescent="0.25">
      <c r="A2297" s="9">
        <v>42835</v>
      </c>
      <c r="B2297" s="10">
        <f ca="1">ROUND(_xlfn.NORM.INV(RAND(),Reference!$C$8,0.1*Reference!$C$8)*(1+Reference!$C$11*(IF(MONTH($A2297)=Reference!$C$4,1,0)+IF(MONTH($A2297)=Reference!$C$5,1,0))+(IF(MONTH($A2297)=Reference!$C$6,Reference!$C$13,0))),0)</f>
        <v>503</v>
      </c>
      <c r="C2297" s="11">
        <f ca="1">B2297*Reference!$C$7*(1-IF(MONTH($A2297)=Reference!$C$6,1,0)*Reference!$C$12)</f>
        <v>467790</v>
      </c>
      <c r="D2297" s="10">
        <f ca="1">ROUND(_xlfn.NORM.INV(RAND(),Reference!$D$8,0.1*Reference!$D$8)*(1+Reference!$D$11*(IF(MONTH($A2297)=Reference!$D$4,1,0)+IF(MONTH($A2297)=Reference!$D$5,1,0))+(IF(MONTH($A2297)=Reference!$D$6,Reference!$D$13,0))),0)</f>
        <v>412</v>
      </c>
      <c r="E2297" s="11">
        <f ca="1">D2297*Reference!$D$7*(1-IF(MONTH($A2297)=Reference!$D$6,1,0)*Reference!$D$12)</f>
        <v>309000</v>
      </c>
      <c r="M2297" s="20"/>
      <c r="N2297" s="20"/>
      <c r="O2297" s="19"/>
      <c r="P2297" s="10"/>
      <c r="Q2297" s="10"/>
      <c r="R2297" s="10"/>
      <c r="S2297" s="10"/>
      <c r="T2297" s="10"/>
      <c r="U2297" s="10"/>
      <c r="V2297" s="10"/>
      <c r="W2297" s="10"/>
      <c r="X2297" s="10"/>
      <c r="Y2297" s="10"/>
    </row>
    <row r="2298" spans="1:25" x14ac:dyDescent="0.25">
      <c r="A2298" s="9">
        <v>42836</v>
      </c>
      <c r="B2298" s="10">
        <f ca="1">ROUND(_xlfn.NORM.INV(RAND(),Reference!$C$8,0.1*Reference!$C$8)*(1+Reference!$C$11*(IF(MONTH($A2298)=Reference!$C$4,1,0)+IF(MONTH($A2298)=Reference!$C$5,1,0))+(IF(MONTH($A2298)=Reference!$C$6,Reference!$C$13,0))),0)</f>
        <v>521</v>
      </c>
      <c r="C2298" s="11">
        <f ca="1">B2298*Reference!$C$7*(1-IF(MONTH($A2298)=Reference!$C$6,1,0)*Reference!$C$12)</f>
        <v>484530</v>
      </c>
      <c r="D2298" s="10">
        <f ca="1">ROUND(_xlfn.NORM.INV(RAND(),Reference!$D$8,0.1*Reference!$D$8)*(1+Reference!$D$11*(IF(MONTH($A2298)=Reference!$D$4,1,0)+IF(MONTH($A2298)=Reference!$D$5,1,0))+(IF(MONTH($A2298)=Reference!$D$6,Reference!$D$13,0))),0)</f>
        <v>431</v>
      </c>
      <c r="E2298" s="11">
        <f ca="1">D2298*Reference!$D$7*(1-IF(MONTH($A2298)=Reference!$D$6,1,0)*Reference!$D$12)</f>
        <v>323250</v>
      </c>
      <c r="M2298" s="20"/>
      <c r="N2298" s="20"/>
      <c r="O2298" s="19"/>
      <c r="P2298" s="10"/>
      <c r="Q2298" s="10"/>
      <c r="R2298" s="10"/>
      <c r="S2298" s="10"/>
      <c r="T2298" s="10"/>
      <c r="U2298" s="10"/>
      <c r="V2298" s="10"/>
      <c r="W2298" s="10"/>
      <c r="X2298" s="10"/>
      <c r="Y2298" s="10"/>
    </row>
    <row r="2299" spans="1:25" x14ac:dyDescent="0.25">
      <c r="A2299" s="9">
        <v>42837</v>
      </c>
      <c r="B2299" s="10">
        <f ca="1">ROUND(_xlfn.NORM.INV(RAND(),Reference!$C$8,0.1*Reference!$C$8)*(1+Reference!$C$11*(IF(MONTH($A2299)=Reference!$C$4,1,0)+IF(MONTH($A2299)=Reference!$C$5,1,0))+(IF(MONTH($A2299)=Reference!$C$6,Reference!$C$13,0))),0)</f>
        <v>526</v>
      </c>
      <c r="C2299" s="11">
        <f ca="1">B2299*Reference!$C$7*(1-IF(MONTH($A2299)=Reference!$C$6,1,0)*Reference!$C$12)</f>
        <v>489180</v>
      </c>
      <c r="D2299" s="10">
        <f ca="1">ROUND(_xlfn.NORM.INV(RAND(),Reference!$D$8,0.1*Reference!$D$8)*(1+Reference!$D$11*(IF(MONTH($A2299)=Reference!$D$4,1,0)+IF(MONTH($A2299)=Reference!$D$5,1,0))+(IF(MONTH($A2299)=Reference!$D$6,Reference!$D$13,0))),0)</f>
        <v>458</v>
      </c>
      <c r="E2299" s="11">
        <f ca="1">D2299*Reference!$D$7*(1-IF(MONTH($A2299)=Reference!$D$6,1,0)*Reference!$D$12)</f>
        <v>343500</v>
      </c>
      <c r="M2299" s="20"/>
      <c r="N2299" s="20"/>
      <c r="O2299" s="19"/>
      <c r="P2299" s="10"/>
      <c r="Q2299" s="10"/>
      <c r="R2299" s="10"/>
      <c r="S2299" s="10"/>
      <c r="T2299" s="10"/>
      <c r="U2299" s="10"/>
      <c r="V2299" s="10"/>
      <c r="W2299" s="10"/>
      <c r="X2299" s="10"/>
      <c r="Y2299" s="10"/>
    </row>
    <row r="2300" spans="1:25" x14ac:dyDescent="0.25">
      <c r="A2300" s="9">
        <v>42838</v>
      </c>
      <c r="B2300" s="10">
        <f ca="1">ROUND(_xlfn.NORM.INV(RAND(),Reference!$C$8,0.1*Reference!$C$8)*(1+Reference!$C$11*(IF(MONTH($A2300)=Reference!$C$4,1,0)+IF(MONTH($A2300)=Reference!$C$5,1,0))+(IF(MONTH($A2300)=Reference!$C$6,Reference!$C$13,0))),0)</f>
        <v>467</v>
      </c>
      <c r="C2300" s="11">
        <f ca="1">B2300*Reference!$C$7*(1-IF(MONTH($A2300)=Reference!$C$6,1,0)*Reference!$C$12)</f>
        <v>434310</v>
      </c>
      <c r="D2300" s="10">
        <f ca="1">ROUND(_xlfn.NORM.INV(RAND(),Reference!$D$8,0.1*Reference!$D$8)*(1+Reference!$D$11*(IF(MONTH($A2300)=Reference!$D$4,1,0)+IF(MONTH($A2300)=Reference!$D$5,1,0))+(IF(MONTH($A2300)=Reference!$D$6,Reference!$D$13,0))),0)</f>
        <v>415</v>
      </c>
      <c r="E2300" s="11">
        <f ca="1">D2300*Reference!$D$7*(1-IF(MONTH($A2300)=Reference!$D$6,1,0)*Reference!$D$12)</f>
        <v>311250</v>
      </c>
      <c r="M2300" s="20"/>
      <c r="N2300" s="20"/>
      <c r="O2300" s="19"/>
      <c r="P2300" s="10"/>
      <c r="Q2300" s="10"/>
      <c r="R2300" s="10"/>
      <c r="S2300" s="10"/>
      <c r="T2300" s="10"/>
      <c r="U2300" s="10"/>
      <c r="V2300" s="10"/>
      <c r="W2300" s="10"/>
      <c r="X2300" s="10"/>
      <c r="Y2300" s="10"/>
    </row>
    <row r="2301" spans="1:25" x14ac:dyDescent="0.25">
      <c r="A2301" s="9">
        <v>42839</v>
      </c>
      <c r="B2301" s="10">
        <f ca="1">ROUND(_xlfn.NORM.INV(RAND(),Reference!$C$8,0.1*Reference!$C$8)*(1+Reference!$C$11*(IF(MONTH($A2301)=Reference!$C$4,1,0)+IF(MONTH($A2301)=Reference!$C$5,1,0))+(IF(MONTH($A2301)=Reference!$C$6,Reference!$C$13,0))),0)</f>
        <v>508</v>
      </c>
      <c r="C2301" s="11">
        <f ca="1">B2301*Reference!$C$7*(1-IF(MONTH($A2301)=Reference!$C$6,1,0)*Reference!$C$12)</f>
        <v>472440</v>
      </c>
      <c r="D2301" s="10">
        <f ca="1">ROUND(_xlfn.NORM.INV(RAND(),Reference!$D$8,0.1*Reference!$D$8)*(1+Reference!$D$11*(IF(MONTH($A2301)=Reference!$D$4,1,0)+IF(MONTH($A2301)=Reference!$D$5,1,0))+(IF(MONTH($A2301)=Reference!$D$6,Reference!$D$13,0))),0)</f>
        <v>452</v>
      </c>
      <c r="E2301" s="11">
        <f ca="1">D2301*Reference!$D$7*(1-IF(MONTH($A2301)=Reference!$D$6,1,0)*Reference!$D$12)</f>
        <v>339000</v>
      </c>
      <c r="M2301" s="20"/>
      <c r="N2301" s="20"/>
      <c r="O2301" s="19"/>
      <c r="P2301" s="10"/>
      <c r="Q2301" s="10"/>
      <c r="R2301" s="10"/>
      <c r="S2301" s="10"/>
      <c r="T2301" s="10"/>
      <c r="U2301" s="10"/>
      <c r="V2301" s="10"/>
      <c r="W2301" s="10"/>
      <c r="X2301" s="10"/>
      <c r="Y2301" s="10"/>
    </row>
    <row r="2302" spans="1:25" x14ac:dyDescent="0.25">
      <c r="A2302" s="9">
        <v>42840</v>
      </c>
      <c r="B2302" s="10">
        <f ca="1">ROUND(_xlfn.NORM.INV(RAND(),Reference!$C$8,0.1*Reference!$C$8)*(1+Reference!$C$11*(IF(MONTH($A2302)=Reference!$C$4,1,0)+IF(MONTH($A2302)=Reference!$C$5,1,0))+(IF(MONTH($A2302)=Reference!$C$6,Reference!$C$13,0))),0)</f>
        <v>523</v>
      </c>
      <c r="C2302" s="11">
        <f ca="1">B2302*Reference!$C$7*(1-IF(MONTH($A2302)=Reference!$C$6,1,0)*Reference!$C$12)</f>
        <v>486390</v>
      </c>
      <c r="D2302" s="10">
        <f ca="1">ROUND(_xlfn.NORM.INV(RAND(),Reference!$D$8,0.1*Reference!$D$8)*(1+Reference!$D$11*(IF(MONTH($A2302)=Reference!$D$4,1,0)+IF(MONTH($A2302)=Reference!$D$5,1,0))+(IF(MONTH($A2302)=Reference!$D$6,Reference!$D$13,0))),0)</f>
        <v>491</v>
      </c>
      <c r="E2302" s="11">
        <f ca="1">D2302*Reference!$D$7*(1-IF(MONTH($A2302)=Reference!$D$6,1,0)*Reference!$D$12)</f>
        <v>368250</v>
      </c>
      <c r="M2302" s="20"/>
      <c r="N2302" s="20"/>
      <c r="O2302" s="19"/>
      <c r="P2302" s="10"/>
      <c r="Q2302" s="10"/>
      <c r="R2302" s="10"/>
      <c r="S2302" s="10"/>
      <c r="T2302" s="10"/>
      <c r="U2302" s="10"/>
      <c r="V2302" s="10"/>
      <c r="W2302" s="10"/>
      <c r="X2302" s="10"/>
      <c r="Y2302" s="10"/>
    </row>
    <row r="2303" spans="1:25" x14ac:dyDescent="0.25">
      <c r="A2303" s="9">
        <v>42841</v>
      </c>
      <c r="B2303" s="10">
        <f ca="1">ROUND(_xlfn.NORM.INV(RAND(),Reference!$C$8,0.1*Reference!$C$8)*(1+Reference!$C$11*(IF(MONTH($A2303)=Reference!$C$4,1,0)+IF(MONTH($A2303)=Reference!$C$5,1,0))+(IF(MONTH($A2303)=Reference!$C$6,Reference!$C$13,0))),0)</f>
        <v>571</v>
      </c>
      <c r="C2303" s="11">
        <f ca="1">B2303*Reference!$C$7*(1-IF(MONTH($A2303)=Reference!$C$6,1,0)*Reference!$C$12)</f>
        <v>531030</v>
      </c>
      <c r="D2303" s="10">
        <f ca="1">ROUND(_xlfn.NORM.INV(RAND(),Reference!$D$8,0.1*Reference!$D$8)*(1+Reference!$D$11*(IF(MONTH($A2303)=Reference!$D$4,1,0)+IF(MONTH($A2303)=Reference!$D$5,1,0))+(IF(MONTH($A2303)=Reference!$D$6,Reference!$D$13,0))),0)</f>
        <v>467</v>
      </c>
      <c r="E2303" s="11">
        <f ca="1">D2303*Reference!$D$7*(1-IF(MONTH($A2303)=Reference!$D$6,1,0)*Reference!$D$12)</f>
        <v>350250</v>
      </c>
      <c r="M2303" s="20"/>
      <c r="N2303" s="20"/>
      <c r="O2303" s="19"/>
      <c r="P2303" s="10"/>
      <c r="Q2303" s="10"/>
      <c r="R2303" s="10"/>
      <c r="S2303" s="10"/>
      <c r="T2303" s="10"/>
      <c r="U2303" s="10"/>
      <c r="V2303" s="10"/>
      <c r="W2303" s="10"/>
      <c r="X2303" s="10"/>
      <c r="Y2303" s="10"/>
    </row>
    <row r="2304" spans="1:25" x14ac:dyDescent="0.25">
      <c r="A2304" s="9">
        <v>42842</v>
      </c>
      <c r="B2304" s="10">
        <f ca="1">ROUND(_xlfn.NORM.INV(RAND(),Reference!$C$8,0.1*Reference!$C$8)*(1+Reference!$C$11*(IF(MONTH($A2304)=Reference!$C$4,1,0)+IF(MONTH($A2304)=Reference!$C$5,1,0))+(IF(MONTH($A2304)=Reference!$C$6,Reference!$C$13,0))),0)</f>
        <v>548</v>
      </c>
      <c r="C2304" s="11">
        <f ca="1">B2304*Reference!$C$7*(1-IF(MONTH($A2304)=Reference!$C$6,1,0)*Reference!$C$12)</f>
        <v>509640</v>
      </c>
      <c r="D2304" s="10">
        <f ca="1">ROUND(_xlfn.NORM.INV(RAND(),Reference!$D$8,0.1*Reference!$D$8)*(1+Reference!$D$11*(IF(MONTH($A2304)=Reference!$D$4,1,0)+IF(MONTH($A2304)=Reference!$D$5,1,0))+(IF(MONTH($A2304)=Reference!$D$6,Reference!$D$13,0))),0)</f>
        <v>472</v>
      </c>
      <c r="E2304" s="11">
        <f ca="1">D2304*Reference!$D$7*(1-IF(MONTH($A2304)=Reference!$D$6,1,0)*Reference!$D$12)</f>
        <v>354000</v>
      </c>
      <c r="M2304" s="20"/>
      <c r="N2304" s="20"/>
      <c r="O2304" s="19"/>
      <c r="P2304" s="10"/>
      <c r="Q2304" s="10"/>
      <c r="R2304" s="10"/>
      <c r="S2304" s="10"/>
      <c r="T2304" s="10"/>
      <c r="U2304" s="10"/>
      <c r="V2304" s="10"/>
      <c r="W2304" s="10"/>
      <c r="X2304" s="10"/>
      <c r="Y2304" s="10"/>
    </row>
    <row r="2305" spans="1:25" x14ac:dyDescent="0.25">
      <c r="A2305" s="9">
        <v>42843</v>
      </c>
      <c r="B2305" s="10">
        <f ca="1">ROUND(_xlfn.NORM.INV(RAND(),Reference!$C$8,0.1*Reference!$C$8)*(1+Reference!$C$11*(IF(MONTH($A2305)=Reference!$C$4,1,0)+IF(MONTH($A2305)=Reference!$C$5,1,0))+(IF(MONTH($A2305)=Reference!$C$6,Reference!$C$13,0))),0)</f>
        <v>573</v>
      </c>
      <c r="C2305" s="11">
        <f ca="1">B2305*Reference!$C$7*(1-IF(MONTH($A2305)=Reference!$C$6,1,0)*Reference!$C$12)</f>
        <v>532890</v>
      </c>
      <c r="D2305" s="10">
        <f ca="1">ROUND(_xlfn.NORM.INV(RAND(),Reference!$D$8,0.1*Reference!$D$8)*(1+Reference!$D$11*(IF(MONTH($A2305)=Reference!$D$4,1,0)+IF(MONTH($A2305)=Reference!$D$5,1,0))+(IF(MONTH($A2305)=Reference!$D$6,Reference!$D$13,0))),0)</f>
        <v>409</v>
      </c>
      <c r="E2305" s="11">
        <f ca="1">D2305*Reference!$D$7*(1-IF(MONTH($A2305)=Reference!$D$6,1,0)*Reference!$D$12)</f>
        <v>306750</v>
      </c>
      <c r="M2305" s="20"/>
      <c r="N2305" s="20"/>
      <c r="O2305" s="19"/>
      <c r="P2305" s="10"/>
      <c r="Q2305" s="10"/>
      <c r="R2305" s="10"/>
      <c r="S2305" s="10"/>
      <c r="T2305" s="10"/>
      <c r="U2305" s="10"/>
      <c r="V2305" s="10"/>
      <c r="W2305" s="10"/>
      <c r="X2305" s="10"/>
      <c r="Y2305" s="10"/>
    </row>
    <row r="2306" spans="1:25" x14ac:dyDescent="0.25">
      <c r="A2306" s="9">
        <v>42844</v>
      </c>
      <c r="B2306" s="10">
        <f ca="1">ROUND(_xlfn.NORM.INV(RAND(),Reference!$C$8,0.1*Reference!$C$8)*(1+Reference!$C$11*(IF(MONTH($A2306)=Reference!$C$4,1,0)+IF(MONTH($A2306)=Reference!$C$5,1,0))+(IF(MONTH($A2306)=Reference!$C$6,Reference!$C$13,0))),0)</f>
        <v>630</v>
      </c>
      <c r="C2306" s="11">
        <f ca="1">B2306*Reference!$C$7*(1-IF(MONTH($A2306)=Reference!$C$6,1,0)*Reference!$C$12)</f>
        <v>585900</v>
      </c>
      <c r="D2306" s="10">
        <f ca="1">ROUND(_xlfn.NORM.INV(RAND(),Reference!$D$8,0.1*Reference!$D$8)*(1+Reference!$D$11*(IF(MONTH($A2306)=Reference!$D$4,1,0)+IF(MONTH($A2306)=Reference!$D$5,1,0))+(IF(MONTH($A2306)=Reference!$D$6,Reference!$D$13,0))),0)</f>
        <v>484</v>
      </c>
      <c r="E2306" s="11">
        <f ca="1">D2306*Reference!$D$7*(1-IF(MONTH($A2306)=Reference!$D$6,1,0)*Reference!$D$12)</f>
        <v>363000</v>
      </c>
      <c r="M2306" s="20"/>
      <c r="N2306" s="20"/>
      <c r="O2306" s="19"/>
      <c r="P2306" s="10"/>
      <c r="Q2306" s="10"/>
      <c r="R2306" s="10"/>
      <c r="S2306" s="10"/>
      <c r="T2306" s="10"/>
      <c r="U2306" s="10"/>
      <c r="V2306" s="10"/>
      <c r="W2306" s="10"/>
      <c r="X2306" s="10"/>
      <c r="Y2306" s="10"/>
    </row>
    <row r="2307" spans="1:25" x14ac:dyDescent="0.25">
      <c r="A2307" s="9">
        <v>42845</v>
      </c>
      <c r="B2307" s="10">
        <f ca="1">ROUND(_xlfn.NORM.INV(RAND(),Reference!$C$8,0.1*Reference!$C$8)*(1+Reference!$C$11*(IF(MONTH($A2307)=Reference!$C$4,1,0)+IF(MONTH($A2307)=Reference!$C$5,1,0))+(IF(MONTH($A2307)=Reference!$C$6,Reference!$C$13,0))),0)</f>
        <v>445</v>
      </c>
      <c r="C2307" s="11">
        <f ca="1">B2307*Reference!$C$7*(1-IF(MONTH($A2307)=Reference!$C$6,1,0)*Reference!$C$12)</f>
        <v>413850</v>
      </c>
      <c r="D2307" s="10">
        <f ca="1">ROUND(_xlfn.NORM.INV(RAND(),Reference!$D$8,0.1*Reference!$D$8)*(1+Reference!$D$11*(IF(MONTH($A2307)=Reference!$D$4,1,0)+IF(MONTH($A2307)=Reference!$D$5,1,0))+(IF(MONTH($A2307)=Reference!$D$6,Reference!$D$13,0))),0)</f>
        <v>409</v>
      </c>
      <c r="E2307" s="11">
        <f ca="1">D2307*Reference!$D$7*(1-IF(MONTH($A2307)=Reference!$D$6,1,0)*Reference!$D$12)</f>
        <v>306750</v>
      </c>
      <c r="M2307" s="20"/>
      <c r="N2307" s="20"/>
      <c r="O2307" s="19"/>
      <c r="P2307" s="10"/>
      <c r="Q2307" s="10"/>
      <c r="R2307" s="10"/>
      <c r="S2307" s="10"/>
      <c r="T2307" s="10"/>
      <c r="U2307" s="10"/>
      <c r="V2307" s="10"/>
      <c r="W2307" s="10"/>
      <c r="X2307" s="10"/>
      <c r="Y2307" s="10"/>
    </row>
    <row r="2308" spans="1:25" x14ac:dyDescent="0.25">
      <c r="A2308" s="9">
        <v>42846</v>
      </c>
      <c r="B2308" s="10">
        <f ca="1">ROUND(_xlfn.NORM.INV(RAND(),Reference!$C$8,0.1*Reference!$C$8)*(1+Reference!$C$11*(IF(MONTH($A2308)=Reference!$C$4,1,0)+IF(MONTH($A2308)=Reference!$C$5,1,0))+(IF(MONTH($A2308)=Reference!$C$6,Reference!$C$13,0))),0)</f>
        <v>452</v>
      </c>
      <c r="C2308" s="11">
        <f ca="1">B2308*Reference!$C$7*(1-IF(MONTH($A2308)=Reference!$C$6,1,0)*Reference!$C$12)</f>
        <v>420360</v>
      </c>
      <c r="D2308" s="10">
        <f ca="1">ROUND(_xlfn.NORM.INV(RAND(),Reference!$D$8,0.1*Reference!$D$8)*(1+Reference!$D$11*(IF(MONTH($A2308)=Reference!$D$4,1,0)+IF(MONTH($A2308)=Reference!$D$5,1,0))+(IF(MONTH($A2308)=Reference!$D$6,Reference!$D$13,0))),0)</f>
        <v>513</v>
      </c>
      <c r="E2308" s="11">
        <f ca="1">D2308*Reference!$D$7*(1-IF(MONTH($A2308)=Reference!$D$6,1,0)*Reference!$D$12)</f>
        <v>384750</v>
      </c>
      <c r="M2308" s="20"/>
      <c r="N2308" s="20"/>
      <c r="O2308" s="19"/>
      <c r="P2308" s="10"/>
      <c r="Q2308" s="10"/>
      <c r="R2308" s="10"/>
      <c r="S2308" s="10"/>
      <c r="T2308" s="10"/>
      <c r="U2308" s="10"/>
      <c r="V2308" s="10"/>
      <c r="W2308" s="10"/>
      <c r="X2308" s="10"/>
      <c r="Y2308" s="10"/>
    </row>
    <row r="2309" spans="1:25" x14ac:dyDescent="0.25">
      <c r="A2309" s="9">
        <v>42847</v>
      </c>
      <c r="B2309" s="10">
        <f ca="1">ROUND(_xlfn.NORM.INV(RAND(),Reference!$C$8,0.1*Reference!$C$8)*(1+Reference!$C$11*(IF(MONTH($A2309)=Reference!$C$4,1,0)+IF(MONTH($A2309)=Reference!$C$5,1,0))+(IF(MONTH($A2309)=Reference!$C$6,Reference!$C$13,0))),0)</f>
        <v>575</v>
      </c>
      <c r="C2309" s="11">
        <f ca="1">B2309*Reference!$C$7*(1-IF(MONTH($A2309)=Reference!$C$6,1,0)*Reference!$C$12)</f>
        <v>534750</v>
      </c>
      <c r="D2309" s="10">
        <f ca="1">ROUND(_xlfn.NORM.INV(RAND(),Reference!$D$8,0.1*Reference!$D$8)*(1+Reference!$D$11*(IF(MONTH($A2309)=Reference!$D$4,1,0)+IF(MONTH($A2309)=Reference!$D$5,1,0))+(IF(MONTH($A2309)=Reference!$D$6,Reference!$D$13,0))),0)</f>
        <v>413</v>
      </c>
      <c r="E2309" s="11">
        <f ca="1">D2309*Reference!$D$7*(1-IF(MONTH($A2309)=Reference!$D$6,1,0)*Reference!$D$12)</f>
        <v>309750</v>
      </c>
      <c r="M2309" s="20"/>
      <c r="N2309" s="20"/>
      <c r="O2309" s="19"/>
      <c r="P2309" s="10"/>
      <c r="Q2309" s="10"/>
      <c r="R2309" s="10"/>
      <c r="S2309" s="10"/>
      <c r="T2309" s="10"/>
      <c r="U2309" s="10"/>
      <c r="V2309" s="10"/>
      <c r="W2309" s="10"/>
      <c r="X2309" s="10"/>
      <c r="Y2309" s="10"/>
    </row>
    <row r="2310" spans="1:25" x14ac:dyDescent="0.25">
      <c r="A2310" s="9">
        <v>42848</v>
      </c>
      <c r="B2310" s="10">
        <f ca="1">ROUND(_xlfn.NORM.INV(RAND(),Reference!$C$8,0.1*Reference!$C$8)*(1+Reference!$C$11*(IF(MONTH($A2310)=Reference!$C$4,1,0)+IF(MONTH($A2310)=Reference!$C$5,1,0))+(IF(MONTH($A2310)=Reference!$C$6,Reference!$C$13,0))),0)</f>
        <v>514</v>
      </c>
      <c r="C2310" s="11">
        <f ca="1">B2310*Reference!$C$7*(1-IF(MONTH($A2310)=Reference!$C$6,1,0)*Reference!$C$12)</f>
        <v>478020</v>
      </c>
      <c r="D2310" s="10">
        <f ca="1">ROUND(_xlfn.NORM.INV(RAND(),Reference!$D$8,0.1*Reference!$D$8)*(1+Reference!$D$11*(IF(MONTH($A2310)=Reference!$D$4,1,0)+IF(MONTH($A2310)=Reference!$D$5,1,0))+(IF(MONTH($A2310)=Reference!$D$6,Reference!$D$13,0))),0)</f>
        <v>436</v>
      </c>
      <c r="E2310" s="11">
        <f ca="1">D2310*Reference!$D$7*(1-IF(MONTH($A2310)=Reference!$D$6,1,0)*Reference!$D$12)</f>
        <v>327000</v>
      </c>
      <c r="M2310" s="20"/>
      <c r="N2310" s="20"/>
      <c r="O2310" s="19"/>
      <c r="P2310" s="10"/>
      <c r="Q2310" s="10"/>
      <c r="R2310" s="10"/>
      <c r="S2310" s="10"/>
      <c r="T2310" s="10"/>
      <c r="U2310" s="10"/>
      <c r="V2310" s="10"/>
      <c r="W2310" s="10"/>
      <c r="X2310" s="10"/>
      <c r="Y2310" s="10"/>
    </row>
    <row r="2311" spans="1:25" x14ac:dyDescent="0.25">
      <c r="A2311" s="9">
        <v>42849</v>
      </c>
      <c r="B2311" s="10">
        <f ca="1">ROUND(_xlfn.NORM.INV(RAND(),Reference!$C$8,0.1*Reference!$C$8)*(1+Reference!$C$11*(IF(MONTH($A2311)=Reference!$C$4,1,0)+IF(MONTH($A2311)=Reference!$C$5,1,0))+(IF(MONTH($A2311)=Reference!$C$6,Reference!$C$13,0))),0)</f>
        <v>637</v>
      </c>
      <c r="C2311" s="11">
        <f ca="1">B2311*Reference!$C$7*(1-IF(MONTH($A2311)=Reference!$C$6,1,0)*Reference!$C$12)</f>
        <v>592410</v>
      </c>
      <c r="D2311" s="10">
        <f ca="1">ROUND(_xlfn.NORM.INV(RAND(),Reference!$D$8,0.1*Reference!$D$8)*(1+Reference!$D$11*(IF(MONTH($A2311)=Reference!$D$4,1,0)+IF(MONTH($A2311)=Reference!$D$5,1,0))+(IF(MONTH($A2311)=Reference!$D$6,Reference!$D$13,0))),0)</f>
        <v>490</v>
      </c>
      <c r="E2311" s="11">
        <f ca="1">D2311*Reference!$D$7*(1-IF(MONTH($A2311)=Reference!$D$6,1,0)*Reference!$D$12)</f>
        <v>367500</v>
      </c>
      <c r="M2311" s="20"/>
      <c r="N2311" s="20"/>
      <c r="O2311" s="19"/>
      <c r="P2311" s="10"/>
      <c r="Q2311" s="10"/>
      <c r="R2311" s="10"/>
      <c r="S2311" s="10"/>
      <c r="T2311" s="10"/>
      <c r="U2311" s="10"/>
      <c r="V2311" s="10"/>
      <c r="W2311" s="10"/>
      <c r="X2311" s="10"/>
      <c r="Y2311" s="10"/>
    </row>
    <row r="2312" spans="1:25" x14ac:dyDescent="0.25">
      <c r="A2312" s="9">
        <v>42850</v>
      </c>
      <c r="B2312" s="10">
        <f ca="1">ROUND(_xlfn.NORM.INV(RAND(),Reference!$C$8,0.1*Reference!$C$8)*(1+Reference!$C$11*(IF(MONTH($A2312)=Reference!$C$4,1,0)+IF(MONTH($A2312)=Reference!$C$5,1,0))+(IF(MONTH($A2312)=Reference!$C$6,Reference!$C$13,0))),0)</f>
        <v>616</v>
      </c>
      <c r="C2312" s="11">
        <f ca="1">B2312*Reference!$C$7*(1-IF(MONTH($A2312)=Reference!$C$6,1,0)*Reference!$C$12)</f>
        <v>572880</v>
      </c>
      <c r="D2312" s="10">
        <f ca="1">ROUND(_xlfn.NORM.INV(RAND(),Reference!$D$8,0.1*Reference!$D$8)*(1+Reference!$D$11*(IF(MONTH($A2312)=Reference!$D$4,1,0)+IF(MONTH($A2312)=Reference!$D$5,1,0))+(IF(MONTH($A2312)=Reference!$D$6,Reference!$D$13,0))),0)</f>
        <v>430</v>
      </c>
      <c r="E2312" s="11">
        <f ca="1">D2312*Reference!$D$7*(1-IF(MONTH($A2312)=Reference!$D$6,1,0)*Reference!$D$12)</f>
        <v>322500</v>
      </c>
      <c r="M2312" s="20"/>
      <c r="N2312" s="20"/>
      <c r="O2312" s="19"/>
      <c r="P2312" s="10"/>
      <c r="Q2312" s="10"/>
      <c r="R2312" s="10"/>
      <c r="S2312" s="10"/>
      <c r="T2312" s="10"/>
      <c r="U2312" s="10"/>
      <c r="V2312" s="10"/>
      <c r="W2312" s="10"/>
      <c r="X2312" s="10"/>
      <c r="Y2312" s="10"/>
    </row>
    <row r="2313" spans="1:25" x14ac:dyDescent="0.25">
      <c r="A2313" s="9">
        <v>42851</v>
      </c>
      <c r="B2313" s="10">
        <f ca="1">ROUND(_xlfn.NORM.INV(RAND(),Reference!$C$8,0.1*Reference!$C$8)*(1+Reference!$C$11*(IF(MONTH($A2313)=Reference!$C$4,1,0)+IF(MONTH($A2313)=Reference!$C$5,1,0))+(IF(MONTH($A2313)=Reference!$C$6,Reference!$C$13,0))),0)</f>
        <v>633</v>
      </c>
      <c r="C2313" s="11">
        <f ca="1">B2313*Reference!$C$7*(1-IF(MONTH($A2313)=Reference!$C$6,1,0)*Reference!$C$12)</f>
        <v>588690</v>
      </c>
      <c r="D2313" s="10">
        <f ca="1">ROUND(_xlfn.NORM.INV(RAND(),Reference!$D$8,0.1*Reference!$D$8)*(1+Reference!$D$11*(IF(MONTH($A2313)=Reference!$D$4,1,0)+IF(MONTH($A2313)=Reference!$D$5,1,0))+(IF(MONTH($A2313)=Reference!$D$6,Reference!$D$13,0))),0)</f>
        <v>468</v>
      </c>
      <c r="E2313" s="11">
        <f ca="1">D2313*Reference!$D$7*(1-IF(MONTH($A2313)=Reference!$D$6,1,0)*Reference!$D$12)</f>
        <v>351000</v>
      </c>
      <c r="M2313" s="20"/>
      <c r="N2313" s="20"/>
      <c r="O2313" s="19"/>
      <c r="P2313" s="10"/>
      <c r="Q2313" s="10"/>
      <c r="R2313" s="10"/>
      <c r="S2313" s="10"/>
      <c r="T2313" s="10"/>
      <c r="U2313" s="10"/>
      <c r="V2313" s="10"/>
      <c r="W2313" s="10"/>
      <c r="X2313" s="10"/>
      <c r="Y2313" s="10"/>
    </row>
    <row r="2314" spans="1:25" x14ac:dyDescent="0.25">
      <c r="A2314" s="9">
        <v>42852</v>
      </c>
      <c r="B2314" s="10">
        <f ca="1">ROUND(_xlfn.NORM.INV(RAND(),Reference!$C$8,0.1*Reference!$C$8)*(1+Reference!$C$11*(IF(MONTH($A2314)=Reference!$C$4,1,0)+IF(MONTH($A2314)=Reference!$C$5,1,0))+(IF(MONTH($A2314)=Reference!$C$6,Reference!$C$13,0))),0)</f>
        <v>524</v>
      </c>
      <c r="C2314" s="11">
        <f ca="1">B2314*Reference!$C$7*(1-IF(MONTH($A2314)=Reference!$C$6,1,0)*Reference!$C$12)</f>
        <v>487320</v>
      </c>
      <c r="D2314" s="10">
        <f ca="1">ROUND(_xlfn.NORM.INV(RAND(),Reference!$D$8,0.1*Reference!$D$8)*(1+Reference!$D$11*(IF(MONTH($A2314)=Reference!$D$4,1,0)+IF(MONTH($A2314)=Reference!$D$5,1,0))+(IF(MONTH($A2314)=Reference!$D$6,Reference!$D$13,0))),0)</f>
        <v>398</v>
      </c>
      <c r="E2314" s="11">
        <f ca="1">D2314*Reference!$D$7*(1-IF(MONTH($A2314)=Reference!$D$6,1,0)*Reference!$D$12)</f>
        <v>298500</v>
      </c>
      <c r="M2314" s="20"/>
      <c r="N2314" s="20"/>
      <c r="O2314" s="19"/>
      <c r="P2314" s="10"/>
      <c r="Q2314" s="10"/>
      <c r="R2314" s="10"/>
      <c r="S2314" s="10"/>
      <c r="T2314" s="10"/>
      <c r="U2314" s="10"/>
      <c r="V2314" s="10"/>
      <c r="W2314" s="10"/>
      <c r="X2314" s="10"/>
      <c r="Y2314" s="10"/>
    </row>
    <row r="2315" spans="1:25" x14ac:dyDescent="0.25">
      <c r="A2315" s="9">
        <v>42853</v>
      </c>
      <c r="B2315" s="10">
        <f ca="1">ROUND(_xlfn.NORM.INV(RAND(),Reference!$C$8,0.1*Reference!$C$8)*(1+Reference!$C$11*(IF(MONTH($A2315)=Reference!$C$4,1,0)+IF(MONTH($A2315)=Reference!$C$5,1,0))+(IF(MONTH($A2315)=Reference!$C$6,Reference!$C$13,0))),0)</f>
        <v>507</v>
      </c>
      <c r="C2315" s="11">
        <f ca="1">B2315*Reference!$C$7*(1-IF(MONTH($A2315)=Reference!$C$6,1,0)*Reference!$C$12)</f>
        <v>471510</v>
      </c>
      <c r="D2315" s="10">
        <f ca="1">ROUND(_xlfn.NORM.INV(RAND(),Reference!$D$8,0.1*Reference!$D$8)*(1+Reference!$D$11*(IF(MONTH($A2315)=Reference!$D$4,1,0)+IF(MONTH($A2315)=Reference!$D$5,1,0))+(IF(MONTH($A2315)=Reference!$D$6,Reference!$D$13,0))),0)</f>
        <v>443</v>
      </c>
      <c r="E2315" s="11">
        <f ca="1">D2315*Reference!$D$7*(1-IF(MONTH($A2315)=Reference!$D$6,1,0)*Reference!$D$12)</f>
        <v>332250</v>
      </c>
      <c r="M2315" s="20"/>
      <c r="N2315" s="20"/>
      <c r="O2315" s="19"/>
      <c r="P2315" s="10"/>
      <c r="Q2315" s="10"/>
      <c r="R2315" s="10"/>
      <c r="S2315" s="10"/>
      <c r="T2315" s="10"/>
      <c r="U2315" s="10"/>
      <c r="V2315" s="10"/>
      <c r="W2315" s="10"/>
      <c r="X2315" s="10"/>
      <c r="Y2315" s="10"/>
    </row>
    <row r="2316" spans="1:25" x14ac:dyDescent="0.25">
      <c r="A2316" s="9">
        <v>42854</v>
      </c>
      <c r="B2316" s="10">
        <f ca="1">ROUND(_xlfn.NORM.INV(RAND(),Reference!$C$8,0.1*Reference!$C$8)*(1+Reference!$C$11*(IF(MONTH($A2316)=Reference!$C$4,1,0)+IF(MONTH($A2316)=Reference!$C$5,1,0))+(IF(MONTH($A2316)=Reference!$C$6,Reference!$C$13,0))),0)</f>
        <v>515</v>
      </c>
      <c r="C2316" s="11">
        <f ca="1">B2316*Reference!$C$7*(1-IF(MONTH($A2316)=Reference!$C$6,1,0)*Reference!$C$12)</f>
        <v>478950</v>
      </c>
      <c r="D2316" s="10">
        <f ca="1">ROUND(_xlfn.NORM.INV(RAND(),Reference!$D$8,0.1*Reference!$D$8)*(1+Reference!$D$11*(IF(MONTH($A2316)=Reference!$D$4,1,0)+IF(MONTH($A2316)=Reference!$D$5,1,0))+(IF(MONTH($A2316)=Reference!$D$6,Reference!$D$13,0))),0)</f>
        <v>400</v>
      </c>
      <c r="E2316" s="11">
        <f ca="1">D2316*Reference!$D$7*(1-IF(MONTH($A2316)=Reference!$D$6,1,0)*Reference!$D$12)</f>
        <v>300000</v>
      </c>
      <c r="M2316" s="20"/>
      <c r="N2316" s="20"/>
      <c r="O2316" s="19"/>
      <c r="P2316" s="10"/>
      <c r="Q2316" s="10"/>
      <c r="R2316" s="10"/>
      <c r="S2316" s="10"/>
      <c r="T2316" s="10"/>
      <c r="U2316" s="10"/>
      <c r="V2316" s="10"/>
      <c r="W2316" s="10"/>
      <c r="X2316" s="10"/>
      <c r="Y2316" s="10"/>
    </row>
    <row r="2317" spans="1:25" x14ac:dyDescent="0.25">
      <c r="A2317" s="9">
        <v>42855</v>
      </c>
      <c r="B2317" s="10">
        <f ca="1">ROUND(_xlfn.NORM.INV(RAND(),Reference!$C$8,0.1*Reference!$C$8)*(1+Reference!$C$11*(IF(MONTH($A2317)=Reference!$C$4,1,0)+IF(MONTH($A2317)=Reference!$C$5,1,0))+(IF(MONTH($A2317)=Reference!$C$6,Reference!$C$13,0))),0)</f>
        <v>501</v>
      </c>
      <c r="C2317" s="11">
        <f ca="1">B2317*Reference!$C$7*(1-IF(MONTH($A2317)=Reference!$C$6,1,0)*Reference!$C$12)</f>
        <v>465930</v>
      </c>
      <c r="D2317" s="10">
        <f ca="1">ROUND(_xlfn.NORM.INV(RAND(),Reference!$D$8,0.1*Reference!$D$8)*(1+Reference!$D$11*(IF(MONTH($A2317)=Reference!$D$4,1,0)+IF(MONTH($A2317)=Reference!$D$5,1,0))+(IF(MONTH($A2317)=Reference!$D$6,Reference!$D$13,0))),0)</f>
        <v>443</v>
      </c>
      <c r="E2317" s="11">
        <f ca="1">D2317*Reference!$D$7*(1-IF(MONTH($A2317)=Reference!$D$6,1,0)*Reference!$D$12)</f>
        <v>332250</v>
      </c>
      <c r="M2317" s="20"/>
      <c r="N2317" s="20"/>
      <c r="O2317" s="19"/>
      <c r="P2317" s="10"/>
      <c r="Q2317" s="10"/>
      <c r="R2317" s="10"/>
      <c r="S2317" s="10"/>
      <c r="T2317" s="10"/>
      <c r="U2317" s="10"/>
      <c r="V2317" s="10"/>
      <c r="W2317" s="10"/>
      <c r="X2317" s="10"/>
      <c r="Y2317" s="10"/>
    </row>
    <row r="2318" spans="1:25" x14ac:dyDescent="0.25">
      <c r="A2318" s="9">
        <v>42856</v>
      </c>
      <c r="B2318" s="10">
        <f ca="1">ROUND(_xlfn.NORM.INV(RAND(),Reference!$C$8,0.1*Reference!$C$8)*(1+Reference!$C$11*(IF(MONTH($A2318)=Reference!$C$4,1,0)+IF(MONTH($A2318)=Reference!$C$5,1,0))+(IF(MONTH($A2318)=Reference!$C$6,Reference!$C$13,0))),0)</f>
        <v>583</v>
      </c>
      <c r="C2318" s="11">
        <f ca="1">B2318*Reference!$C$7*(1-IF(MONTH($A2318)=Reference!$C$6,1,0)*Reference!$C$12)</f>
        <v>542190</v>
      </c>
      <c r="D2318" s="10">
        <f ca="1">ROUND(_xlfn.NORM.INV(RAND(),Reference!$D$8,0.1*Reference!$D$8)*(1+Reference!$D$11*(IF(MONTH($A2318)=Reference!$D$4,1,0)+IF(MONTH($A2318)=Reference!$D$5,1,0))+(IF(MONTH($A2318)=Reference!$D$6,Reference!$D$13,0))),0)</f>
        <v>532</v>
      </c>
      <c r="E2318" s="11">
        <f ca="1">D2318*Reference!$D$7*(1-IF(MONTH($A2318)=Reference!$D$6,1,0)*Reference!$D$12)</f>
        <v>399000</v>
      </c>
      <c r="M2318" s="20"/>
      <c r="N2318" s="20"/>
      <c r="O2318" s="19"/>
      <c r="P2318" s="10"/>
      <c r="Q2318" s="10"/>
      <c r="R2318" s="10"/>
      <c r="S2318" s="10"/>
      <c r="T2318" s="10"/>
      <c r="U2318" s="10"/>
      <c r="V2318" s="10"/>
      <c r="W2318" s="10"/>
      <c r="X2318" s="10"/>
      <c r="Y2318" s="10"/>
    </row>
    <row r="2319" spans="1:25" x14ac:dyDescent="0.25">
      <c r="A2319" s="9">
        <v>42857</v>
      </c>
      <c r="B2319" s="10">
        <f ca="1">ROUND(_xlfn.NORM.INV(RAND(),Reference!$C$8,0.1*Reference!$C$8)*(1+Reference!$C$11*(IF(MONTH($A2319)=Reference!$C$4,1,0)+IF(MONTH($A2319)=Reference!$C$5,1,0))+(IF(MONTH($A2319)=Reference!$C$6,Reference!$C$13,0))),0)</f>
        <v>584</v>
      </c>
      <c r="C2319" s="11">
        <f ca="1">B2319*Reference!$C$7*(1-IF(MONTH($A2319)=Reference!$C$6,1,0)*Reference!$C$12)</f>
        <v>543120</v>
      </c>
      <c r="D2319" s="10">
        <f ca="1">ROUND(_xlfn.NORM.INV(RAND(),Reference!$D$8,0.1*Reference!$D$8)*(1+Reference!$D$11*(IF(MONTH($A2319)=Reference!$D$4,1,0)+IF(MONTH($A2319)=Reference!$D$5,1,0))+(IF(MONTH($A2319)=Reference!$D$6,Reference!$D$13,0))),0)</f>
        <v>440</v>
      </c>
      <c r="E2319" s="11">
        <f ca="1">D2319*Reference!$D$7*(1-IF(MONTH($A2319)=Reference!$D$6,1,0)*Reference!$D$12)</f>
        <v>330000</v>
      </c>
      <c r="M2319" s="20"/>
      <c r="N2319" s="20"/>
      <c r="O2319" s="19"/>
      <c r="P2319" s="10"/>
      <c r="Q2319" s="10"/>
      <c r="R2319" s="10"/>
      <c r="S2319" s="10"/>
      <c r="T2319" s="10"/>
      <c r="U2319" s="10"/>
      <c r="V2319" s="10"/>
      <c r="W2319" s="10"/>
      <c r="X2319" s="10"/>
      <c r="Y2319" s="10"/>
    </row>
    <row r="2320" spans="1:25" x14ac:dyDescent="0.25">
      <c r="A2320" s="9">
        <v>42858</v>
      </c>
      <c r="B2320" s="10">
        <f ca="1">ROUND(_xlfn.NORM.INV(RAND(),Reference!$C$8,0.1*Reference!$C$8)*(1+Reference!$C$11*(IF(MONTH($A2320)=Reference!$C$4,1,0)+IF(MONTH($A2320)=Reference!$C$5,1,0))+(IF(MONTH($A2320)=Reference!$C$6,Reference!$C$13,0))),0)</f>
        <v>519</v>
      </c>
      <c r="C2320" s="11">
        <f ca="1">B2320*Reference!$C$7*(1-IF(MONTH($A2320)=Reference!$C$6,1,0)*Reference!$C$12)</f>
        <v>482670</v>
      </c>
      <c r="D2320" s="10">
        <f ca="1">ROUND(_xlfn.NORM.INV(RAND(),Reference!$D$8,0.1*Reference!$D$8)*(1+Reference!$D$11*(IF(MONTH($A2320)=Reference!$D$4,1,0)+IF(MONTH($A2320)=Reference!$D$5,1,0))+(IF(MONTH($A2320)=Reference!$D$6,Reference!$D$13,0))),0)</f>
        <v>443</v>
      </c>
      <c r="E2320" s="11">
        <f ca="1">D2320*Reference!$D$7*(1-IF(MONTH($A2320)=Reference!$D$6,1,0)*Reference!$D$12)</f>
        <v>332250</v>
      </c>
      <c r="M2320" s="20"/>
      <c r="N2320" s="20"/>
      <c r="O2320" s="19"/>
      <c r="P2320" s="10"/>
      <c r="Q2320" s="10"/>
      <c r="R2320" s="10"/>
      <c r="S2320" s="10"/>
      <c r="T2320" s="10"/>
      <c r="U2320" s="10"/>
      <c r="V2320" s="10"/>
      <c r="W2320" s="10"/>
      <c r="X2320" s="10"/>
      <c r="Y2320" s="10"/>
    </row>
    <row r="2321" spans="1:25" x14ac:dyDescent="0.25">
      <c r="A2321" s="9">
        <v>42859</v>
      </c>
      <c r="B2321" s="10">
        <f ca="1">ROUND(_xlfn.NORM.INV(RAND(),Reference!$C$8,0.1*Reference!$C$8)*(1+Reference!$C$11*(IF(MONTH($A2321)=Reference!$C$4,1,0)+IF(MONTH($A2321)=Reference!$C$5,1,0))+(IF(MONTH($A2321)=Reference!$C$6,Reference!$C$13,0))),0)</f>
        <v>598</v>
      </c>
      <c r="C2321" s="11">
        <f ca="1">B2321*Reference!$C$7*(1-IF(MONTH($A2321)=Reference!$C$6,1,0)*Reference!$C$12)</f>
        <v>556140</v>
      </c>
      <c r="D2321" s="10">
        <f ca="1">ROUND(_xlfn.NORM.INV(RAND(),Reference!$D$8,0.1*Reference!$D$8)*(1+Reference!$D$11*(IF(MONTH($A2321)=Reference!$D$4,1,0)+IF(MONTH($A2321)=Reference!$D$5,1,0))+(IF(MONTH($A2321)=Reference!$D$6,Reference!$D$13,0))),0)</f>
        <v>446</v>
      </c>
      <c r="E2321" s="11">
        <f ca="1">D2321*Reference!$D$7*(1-IF(MONTH($A2321)=Reference!$D$6,1,0)*Reference!$D$12)</f>
        <v>334500</v>
      </c>
      <c r="M2321" s="20"/>
      <c r="N2321" s="20"/>
      <c r="O2321" s="19"/>
      <c r="P2321" s="10"/>
      <c r="Q2321" s="10"/>
      <c r="R2321" s="10"/>
      <c r="S2321" s="10"/>
      <c r="T2321" s="10"/>
      <c r="U2321" s="10"/>
      <c r="V2321" s="10"/>
      <c r="W2321" s="10"/>
      <c r="X2321" s="10"/>
      <c r="Y2321" s="10"/>
    </row>
    <row r="2322" spans="1:25" x14ac:dyDescent="0.25">
      <c r="A2322" s="9">
        <v>42860</v>
      </c>
      <c r="B2322" s="10">
        <f ca="1">ROUND(_xlfn.NORM.INV(RAND(),Reference!$C$8,0.1*Reference!$C$8)*(1+Reference!$C$11*(IF(MONTH($A2322)=Reference!$C$4,1,0)+IF(MONTH($A2322)=Reference!$C$5,1,0))+(IF(MONTH($A2322)=Reference!$C$6,Reference!$C$13,0))),0)</f>
        <v>553</v>
      </c>
      <c r="C2322" s="11">
        <f ca="1">B2322*Reference!$C$7*(1-IF(MONTH($A2322)=Reference!$C$6,1,0)*Reference!$C$12)</f>
        <v>514290</v>
      </c>
      <c r="D2322" s="10">
        <f ca="1">ROUND(_xlfn.NORM.INV(RAND(),Reference!$D$8,0.1*Reference!$D$8)*(1+Reference!$D$11*(IF(MONTH($A2322)=Reference!$D$4,1,0)+IF(MONTH($A2322)=Reference!$D$5,1,0))+(IF(MONTH($A2322)=Reference!$D$6,Reference!$D$13,0))),0)</f>
        <v>468</v>
      </c>
      <c r="E2322" s="11">
        <f ca="1">D2322*Reference!$D$7*(1-IF(MONTH($A2322)=Reference!$D$6,1,0)*Reference!$D$12)</f>
        <v>351000</v>
      </c>
      <c r="M2322" s="20"/>
      <c r="N2322" s="20"/>
      <c r="O2322" s="19"/>
      <c r="P2322" s="10"/>
      <c r="Q2322" s="10"/>
      <c r="R2322" s="10"/>
      <c r="S2322" s="10"/>
      <c r="T2322" s="10"/>
      <c r="U2322" s="10"/>
      <c r="V2322" s="10"/>
      <c r="W2322" s="10"/>
      <c r="X2322" s="10"/>
      <c r="Y2322" s="10"/>
    </row>
    <row r="2323" spans="1:25" x14ac:dyDescent="0.25">
      <c r="A2323" s="9">
        <v>42861</v>
      </c>
      <c r="B2323" s="10">
        <f ca="1">ROUND(_xlfn.NORM.INV(RAND(),Reference!$C$8,0.1*Reference!$C$8)*(1+Reference!$C$11*(IF(MONTH($A2323)=Reference!$C$4,1,0)+IF(MONTH($A2323)=Reference!$C$5,1,0))+(IF(MONTH($A2323)=Reference!$C$6,Reference!$C$13,0))),0)</f>
        <v>524</v>
      </c>
      <c r="C2323" s="11">
        <f ca="1">B2323*Reference!$C$7*(1-IF(MONTH($A2323)=Reference!$C$6,1,0)*Reference!$C$12)</f>
        <v>487320</v>
      </c>
      <c r="D2323" s="10">
        <f ca="1">ROUND(_xlfn.NORM.INV(RAND(),Reference!$D$8,0.1*Reference!$D$8)*(1+Reference!$D$11*(IF(MONTH($A2323)=Reference!$D$4,1,0)+IF(MONTH($A2323)=Reference!$D$5,1,0))+(IF(MONTH($A2323)=Reference!$D$6,Reference!$D$13,0))),0)</f>
        <v>434</v>
      </c>
      <c r="E2323" s="11">
        <f ca="1">D2323*Reference!$D$7*(1-IF(MONTH($A2323)=Reference!$D$6,1,0)*Reference!$D$12)</f>
        <v>325500</v>
      </c>
      <c r="M2323" s="20"/>
      <c r="N2323" s="20"/>
      <c r="O2323" s="19"/>
      <c r="P2323" s="10"/>
      <c r="Q2323" s="10"/>
      <c r="R2323" s="10"/>
      <c r="S2323" s="10"/>
      <c r="T2323" s="10"/>
      <c r="U2323" s="10"/>
      <c r="V2323" s="10"/>
      <c r="W2323" s="10"/>
      <c r="X2323" s="10"/>
      <c r="Y2323" s="10"/>
    </row>
    <row r="2324" spans="1:25" x14ac:dyDescent="0.25">
      <c r="A2324" s="9">
        <v>42862</v>
      </c>
      <c r="B2324" s="10">
        <f ca="1">ROUND(_xlfn.NORM.INV(RAND(),Reference!$C$8,0.1*Reference!$C$8)*(1+Reference!$C$11*(IF(MONTH($A2324)=Reference!$C$4,1,0)+IF(MONTH($A2324)=Reference!$C$5,1,0))+(IF(MONTH($A2324)=Reference!$C$6,Reference!$C$13,0))),0)</f>
        <v>540</v>
      </c>
      <c r="C2324" s="11">
        <f ca="1">B2324*Reference!$C$7*(1-IF(MONTH($A2324)=Reference!$C$6,1,0)*Reference!$C$12)</f>
        <v>502200</v>
      </c>
      <c r="D2324" s="10">
        <f ca="1">ROUND(_xlfn.NORM.INV(RAND(),Reference!$D$8,0.1*Reference!$D$8)*(1+Reference!$D$11*(IF(MONTH($A2324)=Reference!$D$4,1,0)+IF(MONTH($A2324)=Reference!$D$5,1,0))+(IF(MONTH($A2324)=Reference!$D$6,Reference!$D$13,0))),0)</f>
        <v>452</v>
      </c>
      <c r="E2324" s="11">
        <f ca="1">D2324*Reference!$D$7*(1-IF(MONTH($A2324)=Reference!$D$6,1,0)*Reference!$D$12)</f>
        <v>339000</v>
      </c>
      <c r="M2324" s="20"/>
      <c r="N2324" s="20"/>
      <c r="O2324" s="19"/>
      <c r="P2324" s="10"/>
      <c r="Q2324" s="10"/>
      <c r="R2324" s="10"/>
      <c r="S2324" s="10"/>
      <c r="T2324" s="10"/>
      <c r="U2324" s="10"/>
      <c r="V2324" s="10"/>
      <c r="W2324" s="10"/>
      <c r="X2324" s="10"/>
      <c r="Y2324" s="10"/>
    </row>
    <row r="2325" spans="1:25" x14ac:dyDescent="0.25">
      <c r="A2325" s="9">
        <v>42863</v>
      </c>
      <c r="B2325" s="10">
        <f ca="1">ROUND(_xlfn.NORM.INV(RAND(),Reference!$C$8,0.1*Reference!$C$8)*(1+Reference!$C$11*(IF(MONTH($A2325)=Reference!$C$4,1,0)+IF(MONTH($A2325)=Reference!$C$5,1,0))+(IF(MONTH($A2325)=Reference!$C$6,Reference!$C$13,0))),0)</f>
        <v>653</v>
      </c>
      <c r="C2325" s="11">
        <f ca="1">B2325*Reference!$C$7*(1-IF(MONTH($A2325)=Reference!$C$6,1,0)*Reference!$C$12)</f>
        <v>607290</v>
      </c>
      <c r="D2325" s="10">
        <f ca="1">ROUND(_xlfn.NORM.INV(RAND(),Reference!$D$8,0.1*Reference!$D$8)*(1+Reference!$D$11*(IF(MONTH($A2325)=Reference!$D$4,1,0)+IF(MONTH($A2325)=Reference!$D$5,1,0))+(IF(MONTH($A2325)=Reference!$D$6,Reference!$D$13,0))),0)</f>
        <v>435</v>
      </c>
      <c r="E2325" s="11">
        <f ca="1">D2325*Reference!$D$7*(1-IF(MONTH($A2325)=Reference!$D$6,1,0)*Reference!$D$12)</f>
        <v>326250</v>
      </c>
      <c r="M2325" s="20"/>
      <c r="N2325" s="20"/>
      <c r="O2325" s="19"/>
      <c r="P2325" s="10"/>
      <c r="Q2325" s="10"/>
      <c r="R2325" s="10"/>
      <c r="S2325" s="10"/>
      <c r="T2325" s="10"/>
      <c r="U2325" s="10"/>
      <c r="V2325" s="10"/>
      <c r="W2325" s="10"/>
      <c r="X2325" s="10"/>
      <c r="Y2325" s="10"/>
    </row>
    <row r="2326" spans="1:25" x14ac:dyDescent="0.25">
      <c r="A2326" s="9">
        <v>42864</v>
      </c>
      <c r="B2326" s="10">
        <f ca="1">ROUND(_xlfn.NORM.INV(RAND(),Reference!$C$8,0.1*Reference!$C$8)*(1+Reference!$C$11*(IF(MONTH($A2326)=Reference!$C$4,1,0)+IF(MONTH($A2326)=Reference!$C$5,1,0))+(IF(MONTH($A2326)=Reference!$C$6,Reference!$C$13,0))),0)</f>
        <v>581</v>
      </c>
      <c r="C2326" s="11">
        <f ca="1">B2326*Reference!$C$7*(1-IF(MONTH($A2326)=Reference!$C$6,1,0)*Reference!$C$12)</f>
        <v>540330</v>
      </c>
      <c r="D2326" s="10">
        <f ca="1">ROUND(_xlfn.NORM.INV(RAND(),Reference!$D$8,0.1*Reference!$D$8)*(1+Reference!$D$11*(IF(MONTH($A2326)=Reference!$D$4,1,0)+IF(MONTH($A2326)=Reference!$D$5,1,0))+(IF(MONTH($A2326)=Reference!$D$6,Reference!$D$13,0))),0)</f>
        <v>455</v>
      </c>
      <c r="E2326" s="11">
        <f ca="1">D2326*Reference!$D$7*(1-IF(MONTH($A2326)=Reference!$D$6,1,0)*Reference!$D$12)</f>
        <v>341250</v>
      </c>
      <c r="M2326" s="20"/>
      <c r="N2326" s="20"/>
      <c r="O2326" s="19"/>
      <c r="P2326" s="10"/>
      <c r="Q2326" s="10"/>
      <c r="R2326" s="10"/>
      <c r="S2326" s="10"/>
      <c r="T2326" s="10"/>
      <c r="U2326" s="10"/>
      <c r="V2326" s="10"/>
      <c r="W2326" s="10"/>
      <c r="X2326" s="10"/>
      <c r="Y2326" s="10"/>
    </row>
    <row r="2327" spans="1:25" x14ac:dyDescent="0.25">
      <c r="A2327" s="9">
        <v>42865</v>
      </c>
      <c r="B2327" s="10">
        <f ca="1">ROUND(_xlfn.NORM.INV(RAND(),Reference!$C$8,0.1*Reference!$C$8)*(1+Reference!$C$11*(IF(MONTH($A2327)=Reference!$C$4,1,0)+IF(MONTH($A2327)=Reference!$C$5,1,0))+(IF(MONTH($A2327)=Reference!$C$6,Reference!$C$13,0))),0)</f>
        <v>596</v>
      </c>
      <c r="C2327" s="11">
        <f ca="1">B2327*Reference!$C$7*(1-IF(MONTH($A2327)=Reference!$C$6,1,0)*Reference!$C$12)</f>
        <v>554280</v>
      </c>
      <c r="D2327" s="10">
        <f ca="1">ROUND(_xlfn.NORM.INV(RAND(),Reference!$D$8,0.1*Reference!$D$8)*(1+Reference!$D$11*(IF(MONTH($A2327)=Reference!$D$4,1,0)+IF(MONTH($A2327)=Reference!$D$5,1,0))+(IF(MONTH($A2327)=Reference!$D$6,Reference!$D$13,0))),0)</f>
        <v>418</v>
      </c>
      <c r="E2327" s="11">
        <f ca="1">D2327*Reference!$D$7*(1-IF(MONTH($A2327)=Reference!$D$6,1,0)*Reference!$D$12)</f>
        <v>313500</v>
      </c>
      <c r="M2327" s="20"/>
      <c r="N2327" s="20"/>
      <c r="O2327" s="19"/>
      <c r="P2327" s="10"/>
      <c r="Q2327" s="10"/>
      <c r="R2327" s="10"/>
      <c r="S2327" s="10"/>
      <c r="T2327" s="10"/>
      <c r="U2327" s="10"/>
      <c r="V2327" s="10"/>
      <c r="W2327" s="10"/>
      <c r="X2327" s="10"/>
      <c r="Y2327" s="10"/>
    </row>
    <row r="2328" spans="1:25" x14ac:dyDescent="0.25">
      <c r="A2328" s="9">
        <v>42866</v>
      </c>
      <c r="B2328" s="10">
        <f ca="1">ROUND(_xlfn.NORM.INV(RAND(),Reference!$C$8,0.1*Reference!$C$8)*(1+Reference!$C$11*(IF(MONTH($A2328)=Reference!$C$4,1,0)+IF(MONTH($A2328)=Reference!$C$5,1,0))+(IF(MONTH($A2328)=Reference!$C$6,Reference!$C$13,0))),0)</f>
        <v>425</v>
      </c>
      <c r="C2328" s="11">
        <f ca="1">B2328*Reference!$C$7*(1-IF(MONTH($A2328)=Reference!$C$6,1,0)*Reference!$C$12)</f>
        <v>395250</v>
      </c>
      <c r="D2328" s="10">
        <f ca="1">ROUND(_xlfn.NORM.INV(RAND(),Reference!$D$8,0.1*Reference!$D$8)*(1+Reference!$D$11*(IF(MONTH($A2328)=Reference!$D$4,1,0)+IF(MONTH($A2328)=Reference!$D$5,1,0))+(IF(MONTH($A2328)=Reference!$D$6,Reference!$D$13,0))),0)</f>
        <v>471</v>
      </c>
      <c r="E2328" s="11">
        <f ca="1">D2328*Reference!$D$7*(1-IF(MONTH($A2328)=Reference!$D$6,1,0)*Reference!$D$12)</f>
        <v>353250</v>
      </c>
      <c r="M2328" s="20"/>
      <c r="N2328" s="20"/>
      <c r="O2328" s="19"/>
      <c r="P2328" s="10"/>
      <c r="Q2328" s="10"/>
      <c r="R2328" s="10"/>
      <c r="S2328" s="10"/>
      <c r="T2328" s="10"/>
      <c r="U2328" s="10"/>
      <c r="V2328" s="10"/>
      <c r="W2328" s="10"/>
      <c r="X2328" s="10"/>
      <c r="Y2328" s="10"/>
    </row>
    <row r="2329" spans="1:25" x14ac:dyDescent="0.25">
      <c r="A2329" s="9">
        <v>42867</v>
      </c>
      <c r="B2329" s="10">
        <f ca="1">ROUND(_xlfn.NORM.INV(RAND(),Reference!$C$8,0.1*Reference!$C$8)*(1+Reference!$C$11*(IF(MONTH($A2329)=Reference!$C$4,1,0)+IF(MONTH($A2329)=Reference!$C$5,1,0))+(IF(MONTH($A2329)=Reference!$C$6,Reference!$C$13,0))),0)</f>
        <v>517</v>
      </c>
      <c r="C2329" s="11">
        <f ca="1">B2329*Reference!$C$7*(1-IF(MONTH($A2329)=Reference!$C$6,1,0)*Reference!$C$12)</f>
        <v>480810</v>
      </c>
      <c r="D2329" s="10">
        <f ca="1">ROUND(_xlfn.NORM.INV(RAND(),Reference!$D$8,0.1*Reference!$D$8)*(1+Reference!$D$11*(IF(MONTH($A2329)=Reference!$D$4,1,0)+IF(MONTH($A2329)=Reference!$D$5,1,0))+(IF(MONTH($A2329)=Reference!$D$6,Reference!$D$13,0))),0)</f>
        <v>523</v>
      </c>
      <c r="E2329" s="11">
        <f ca="1">D2329*Reference!$D$7*(1-IF(MONTH($A2329)=Reference!$D$6,1,0)*Reference!$D$12)</f>
        <v>392250</v>
      </c>
      <c r="M2329" s="20"/>
      <c r="N2329" s="20"/>
      <c r="O2329" s="19"/>
      <c r="P2329" s="10"/>
      <c r="Q2329" s="10"/>
      <c r="R2329" s="10"/>
      <c r="S2329" s="10"/>
      <c r="T2329" s="10"/>
      <c r="U2329" s="10"/>
      <c r="V2329" s="10"/>
      <c r="W2329" s="10"/>
      <c r="X2329" s="10"/>
      <c r="Y2329" s="10"/>
    </row>
    <row r="2330" spans="1:25" x14ac:dyDescent="0.25">
      <c r="A2330" s="9">
        <v>42868</v>
      </c>
      <c r="B2330" s="10">
        <f ca="1">ROUND(_xlfn.NORM.INV(RAND(),Reference!$C$8,0.1*Reference!$C$8)*(1+Reference!$C$11*(IF(MONTH($A2330)=Reference!$C$4,1,0)+IF(MONTH($A2330)=Reference!$C$5,1,0))+(IF(MONTH($A2330)=Reference!$C$6,Reference!$C$13,0))),0)</f>
        <v>526</v>
      </c>
      <c r="C2330" s="11">
        <f ca="1">B2330*Reference!$C$7*(1-IF(MONTH($A2330)=Reference!$C$6,1,0)*Reference!$C$12)</f>
        <v>489180</v>
      </c>
      <c r="D2330" s="10">
        <f ca="1">ROUND(_xlfn.NORM.INV(RAND(),Reference!$D$8,0.1*Reference!$D$8)*(1+Reference!$D$11*(IF(MONTH($A2330)=Reference!$D$4,1,0)+IF(MONTH($A2330)=Reference!$D$5,1,0))+(IF(MONTH($A2330)=Reference!$D$6,Reference!$D$13,0))),0)</f>
        <v>380</v>
      </c>
      <c r="E2330" s="11">
        <f ca="1">D2330*Reference!$D$7*(1-IF(MONTH($A2330)=Reference!$D$6,1,0)*Reference!$D$12)</f>
        <v>285000</v>
      </c>
      <c r="M2330" s="20"/>
      <c r="N2330" s="20"/>
      <c r="O2330" s="19"/>
      <c r="P2330" s="10"/>
      <c r="Q2330" s="10"/>
      <c r="R2330" s="10"/>
      <c r="S2330" s="10"/>
      <c r="T2330" s="10"/>
      <c r="U2330" s="10"/>
      <c r="V2330" s="10"/>
      <c r="W2330" s="10"/>
      <c r="X2330" s="10"/>
      <c r="Y2330" s="10"/>
    </row>
    <row r="2331" spans="1:25" x14ac:dyDescent="0.25">
      <c r="A2331" s="9">
        <v>42869</v>
      </c>
      <c r="B2331" s="10">
        <f ca="1">ROUND(_xlfn.NORM.INV(RAND(),Reference!$C$8,0.1*Reference!$C$8)*(1+Reference!$C$11*(IF(MONTH($A2331)=Reference!$C$4,1,0)+IF(MONTH($A2331)=Reference!$C$5,1,0))+(IF(MONTH($A2331)=Reference!$C$6,Reference!$C$13,0))),0)</f>
        <v>583</v>
      </c>
      <c r="C2331" s="11">
        <f ca="1">B2331*Reference!$C$7*(1-IF(MONTH($A2331)=Reference!$C$6,1,0)*Reference!$C$12)</f>
        <v>542190</v>
      </c>
      <c r="D2331" s="10">
        <f ca="1">ROUND(_xlfn.NORM.INV(RAND(),Reference!$D$8,0.1*Reference!$D$8)*(1+Reference!$D$11*(IF(MONTH($A2331)=Reference!$D$4,1,0)+IF(MONTH($A2331)=Reference!$D$5,1,0))+(IF(MONTH($A2331)=Reference!$D$6,Reference!$D$13,0))),0)</f>
        <v>473</v>
      </c>
      <c r="E2331" s="11">
        <f ca="1">D2331*Reference!$D$7*(1-IF(MONTH($A2331)=Reference!$D$6,1,0)*Reference!$D$12)</f>
        <v>354750</v>
      </c>
      <c r="M2331" s="20"/>
      <c r="N2331" s="20"/>
      <c r="O2331" s="19"/>
      <c r="P2331" s="10"/>
      <c r="Q2331" s="10"/>
      <c r="R2331" s="10"/>
      <c r="S2331" s="10"/>
      <c r="T2331" s="10"/>
      <c r="U2331" s="10"/>
      <c r="V2331" s="10"/>
      <c r="W2331" s="10"/>
      <c r="X2331" s="10"/>
      <c r="Y2331" s="10"/>
    </row>
    <row r="2332" spans="1:25" x14ac:dyDescent="0.25">
      <c r="A2332" s="9">
        <v>42870</v>
      </c>
      <c r="B2332" s="10">
        <f ca="1">ROUND(_xlfn.NORM.INV(RAND(),Reference!$C$8,0.1*Reference!$C$8)*(1+Reference!$C$11*(IF(MONTH($A2332)=Reference!$C$4,1,0)+IF(MONTH($A2332)=Reference!$C$5,1,0))+(IF(MONTH($A2332)=Reference!$C$6,Reference!$C$13,0))),0)</f>
        <v>567</v>
      </c>
      <c r="C2332" s="11">
        <f ca="1">B2332*Reference!$C$7*(1-IF(MONTH($A2332)=Reference!$C$6,1,0)*Reference!$C$12)</f>
        <v>527310</v>
      </c>
      <c r="D2332" s="10">
        <f ca="1">ROUND(_xlfn.NORM.INV(RAND(),Reference!$D$8,0.1*Reference!$D$8)*(1+Reference!$D$11*(IF(MONTH($A2332)=Reference!$D$4,1,0)+IF(MONTH($A2332)=Reference!$D$5,1,0))+(IF(MONTH($A2332)=Reference!$D$6,Reference!$D$13,0))),0)</f>
        <v>457</v>
      </c>
      <c r="E2332" s="11">
        <f ca="1">D2332*Reference!$D$7*(1-IF(MONTH($A2332)=Reference!$D$6,1,0)*Reference!$D$12)</f>
        <v>342750</v>
      </c>
      <c r="M2332" s="20"/>
      <c r="N2332" s="20"/>
      <c r="O2332" s="19"/>
      <c r="P2332" s="10"/>
      <c r="Q2332" s="10"/>
      <c r="R2332" s="10"/>
      <c r="S2332" s="10"/>
      <c r="T2332" s="10"/>
      <c r="U2332" s="10"/>
      <c r="V2332" s="10"/>
      <c r="W2332" s="10"/>
      <c r="X2332" s="10"/>
      <c r="Y2332" s="10"/>
    </row>
    <row r="2333" spans="1:25" x14ac:dyDescent="0.25">
      <c r="A2333" s="9">
        <v>42871</v>
      </c>
      <c r="B2333" s="10">
        <f ca="1">ROUND(_xlfn.NORM.INV(RAND(),Reference!$C$8,0.1*Reference!$C$8)*(1+Reference!$C$11*(IF(MONTH($A2333)=Reference!$C$4,1,0)+IF(MONTH($A2333)=Reference!$C$5,1,0))+(IF(MONTH($A2333)=Reference!$C$6,Reference!$C$13,0))),0)</f>
        <v>458</v>
      </c>
      <c r="C2333" s="11">
        <f ca="1">B2333*Reference!$C$7*(1-IF(MONTH($A2333)=Reference!$C$6,1,0)*Reference!$C$12)</f>
        <v>425940</v>
      </c>
      <c r="D2333" s="10">
        <f ca="1">ROUND(_xlfn.NORM.INV(RAND(),Reference!$D$8,0.1*Reference!$D$8)*(1+Reference!$D$11*(IF(MONTH($A2333)=Reference!$D$4,1,0)+IF(MONTH($A2333)=Reference!$D$5,1,0))+(IF(MONTH($A2333)=Reference!$D$6,Reference!$D$13,0))),0)</f>
        <v>430</v>
      </c>
      <c r="E2333" s="11">
        <f ca="1">D2333*Reference!$D$7*(1-IF(MONTH($A2333)=Reference!$D$6,1,0)*Reference!$D$12)</f>
        <v>322500</v>
      </c>
      <c r="M2333" s="20"/>
      <c r="N2333" s="20"/>
      <c r="O2333" s="19"/>
      <c r="P2333" s="10"/>
      <c r="Q2333" s="10"/>
      <c r="R2333" s="10"/>
      <c r="S2333" s="10"/>
      <c r="T2333" s="10"/>
      <c r="U2333" s="10"/>
      <c r="V2333" s="10"/>
      <c r="W2333" s="10"/>
      <c r="X2333" s="10"/>
      <c r="Y2333" s="10"/>
    </row>
    <row r="2334" spans="1:25" x14ac:dyDescent="0.25">
      <c r="A2334" s="9">
        <v>42872</v>
      </c>
      <c r="B2334" s="10">
        <f ca="1">ROUND(_xlfn.NORM.INV(RAND(),Reference!$C$8,0.1*Reference!$C$8)*(1+Reference!$C$11*(IF(MONTH($A2334)=Reference!$C$4,1,0)+IF(MONTH($A2334)=Reference!$C$5,1,0))+(IF(MONTH($A2334)=Reference!$C$6,Reference!$C$13,0))),0)</f>
        <v>468</v>
      </c>
      <c r="C2334" s="11">
        <f ca="1">B2334*Reference!$C$7*(1-IF(MONTH($A2334)=Reference!$C$6,1,0)*Reference!$C$12)</f>
        <v>435240</v>
      </c>
      <c r="D2334" s="10">
        <f ca="1">ROUND(_xlfn.NORM.INV(RAND(),Reference!$D$8,0.1*Reference!$D$8)*(1+Reference!$D$11*(IF(MONTH($A2334)=Reference!$D$4,1,0)+IF(MONTH($A2334)=Reference!$D$5,1,0))+(IF(MONTH($A2334)=Reference!$D$6,Reference!$D$13,0))),0)</f>
        <v>415</v>
      </c>
      <c r="E2334" s="11">
        <f ca="1">D2334*Reference!$D$7*(1-IF(MONTH($A2334)=Reference!$D$6,1,0)*Reference!$D$12)</f>
        <v>311250</v>
      </c>
      <c r="M2334" s="20"/>
      <c r="N2334" s="20"/>
      <c r="O2334" s="19"/>
      <c r="P2334" s="10"/>
      <c r="Q2334" s="10"/>
      <c r="R2334" s="10"/>
      <c r="S2334" s="10"/>
      <c r="T2334" s="10"/>
      <c r="U2334" s="10"/>
      <c r="V2334" s="10"/>
      <c r="W2334" s="10"/>
      <c r="X2334" s="10"/>
      <c r="Y2334" s="10"/>
    </row>
    <row r="2335" spans="1:25" x14ac:dyDescent="0.25">
      <c r="A2335" s="9">
        <v>42873</v>
      </c>
      <c r="B2335" s="10">
        <f ca="1">ROUND(_xlfn.NORM.INV(RAND(),Reference!$C$8,0.1*Reference!$C$8)*(1+Reference!$C$11*(IF(MONTH($A2335)=Reference!$C$4,1,0)+IF(MONTH($A2335)=Reference!$C$5,1,0))+(IF(MONTH($A2335)=Reference!$C$6,Reference!$C$13,0))),0)</f>
        <v>521</v>
      </c>
      <c r="C2335" s="11">
        <f ca="1">B2335*Reference!$C$7*(1-IF(MONTH($A2335)=Reference!$C$6,1,0)*Reference!$C$12)</f>
        <v>484530</v>
      </c>
      <c r="D2335" s="10">
        <f ca="1">ROUND(_xlfn.NORM.INV(RAND(),Reference!$D$8,0.1*Reference!$D$8)*(1+Reference!$D$11*(IF(MONTH($A2335)=Reference!$D$4,1,0)+IF(MONTH($A2335)=Reference!$D$5,1,0))+(IF(MONTH($A2335)=Reference!$D$6,Reference!$D$13,0))),0)</f>
        <v>496</v>
      </c>
      <c r="E2335" s="11">
        <f ca="1">D2335*Reference!$D$7*(1-IF(MONTH($A2335)=Reference!$D$6,1,0)*Reference!$D$12)</f>
        <v>372000</v>
      </c>
      <c r="M2335" s="20"/>
      <c r="N2335" s="20"/>
      <c r="O2335" s="19"/>
      <c r="P2335" s="10"/>
      <c r="Q2335" s="10"/>
      <c r="R2335" s="10"/>
      <c r="S2335" s="10"/>
      <c r="T2335" s="10"/>
      <c r="U2335" s="10"/>
      <c r="V2335" s="10"/>
      <c r="W2335" s="10"/>
      <c r="X2335" s="10"/>
      <c r="Y2335" s="10"/>
    </row>
    <row r="2336" spans="1:25" x14ac:dyDescent="0.25">
      <c r="A2336" s="9">
        <v>42874</v>
      </c>
      <c r="B2336" s="10">
        <f ca="1">ROUND(_xlfn.NORM.INV(RAND(),Reference!$C$8,0.1*Reference!$C$8)*(1+Reference!$C$11*(IF(MONTH($A2336)=Reference!$C$4,1,0)+IF(MONTH($A2336)=Reference!$C$5,1,0))+(IF(MONTH($A2336)=Reference!$C$6,Reference!$C$13,0))),0)</f>
        <v>463</v>
      </c>
      <c r="C2336" s="11">
        <f ca="1">B2336*Reference!$C$7*(1-IF(MONTH($A2336)=Reference!$C$6,1,0)*Reference!$C$12)</f>
        <v>430590</v>
      </c>
      <c r="D2336" s="10">
        <f ca="1">ROUND(_xlfn.NORM.INV(RAND(),Reference!$D$8,0.1*Reference!$D$8)*(1+Reference!$D$11*(IF(MONTH($A2336)=Reference!$D$4,1,0)+IF(MONTH($A2336)=Reference!$D$5,1,0))+(IF(MONTH($A2336)=Reference!$D$6,Reference!$D$13,0))),0)</f>
        <v>439</v>
      </c>
      <c r="E2336" s="11">
        <f ca="1">D2336*Reference!$D$7*(1-IF(MONTH($A2336)=Reference!$D$6,1,0)*Reference!$D$12)</f>
        <v>329250</v>
      </c>
      <c r="M2336" s="20"/>
      <c r="N2336" s="20"/>
      <c r="O2336" s="19"/>
      <c r="P2336" s="10"/>
      <c r="Q2336" s="10"/>
      <c r="R2336" s="10"/>
      <c r="S2336" s="10"/>
      <c r="T2336" s="10"/>
      <c r="U2336" s="10"/>
      <c r="V2336" s="10"/>
      <c r="W2336" s="10"/>
      <c r="X2336" s="10"/>
      <c r="Y2336" s="10"/>
    </row>
    <row r="2337" spans="1:25" x14ac:dyDescent="0.25">
      <c r="A2337" s="9">
        <v>42875</v>
      </c>
      <c r="B2337" s="10">
        <f ca="1">ROUND(_xlfn.NORM.INV(RAND(),Reference!$C$8,0.1*Reference!$C$8)*(1+Reference!$C$11*(IF(MONTH($A2337)=Reference!$C$4,1,0)+IF(MONTH($A2337)=Reference!$C$5,1,0))+(IF(MONTH($A2337)=Reference!$C$6,Reference!$C$13,0))),0)</f>
        <v>576</v>
      </c>
      <c r="C2337" s="11">
        <f ca="1">B2337*Reference!$C$7*(1-IF(MONTH($A2337)=Reference!$C$6,1,0)*Reference!$C$12)</f>
        <v>535680</v>
      </c>
      <c r="D2337" s="10">
        <f ca="1">ROUND(_xlfn.NORM.INV(RAND(),Reference!$D$8,0.1*Reference!$D$8)*(1+Reference!$D$11*(IF(MONTH($A2337)=Reference!$D$4,1,0)+IF(MONTH($A2337)=Reference!$D$5,1,0))+(IF(MONTH($A2337)=Reference!$D$6,Reference!$D$13,0))),0)</f>
        <v>483</v>
      </c>
      <c r="E2337" s="11">
        <f ca="1">D2337*Reference!$D$7*(1-IF(MONTH($A2337)=Reference!$D$6,1,0)*Reference!$D$12)</f>
        <v>362250</v>
      </c>
      <c r="M2337" s="20"/>
      <c r="N2337" s="20"/>
      <c r="O2337" s="19"/>
      <c r="P2337" s="10"/>
      <c r="Q2337" s="10"/>
      <c r="R2337" s="10"/>
      <c r="S2337" s="10"/>
      <c r="T2337" s="10"/>
      <c r="U2337" s="10"/>
      <c r="V2337" s="10"/>
      <c r="W2337" s="10"/>
      <c r="X2337" s="10"/>
      <c r="Y2337" s="10"/>
    </row>
    <row r="2338" spans="1:25" x14ac:dyDescent="0.25">
      <c r="A2338" s="9">
        <v>42876</v>
      </c>
      <c r="B2338" s="10">
        <f ca="1">ROUND(_xlfn.NORM.INV(RAND(),Reference!$C$8,0.1*Reference!$C$8)*(1+Reference!$C$11*(IF(MONTH($A2338)=Reference!$C$4,1,0)+IF(MONTH($A2338)=Reference!$C$5,1,0))+(IF(MONTH($A2338)=Reference!$C$6,Reference!$C$13,0))),0)</f>
        <v>460</v>
      </c>
      <c r="C2338" s="11">
        <f ca="1">B2338*Reference!$C$7*(1-IF(MONTH($A2338)=Reference!$C$6,1,0)*Reference!$C$12)</f>
        <v>427800</v>
      </c>
      <c r="D2338" s="10">
        <f ca="1">ROUND(_xlfn.NORM.INV(RAND(),Reference!$D$8,0.1*Reference!$D$8)*(1+Reference!$D$11*(IF(MONTH($A2338)=Reference!$D$4,1,0)+IF(MONTH($A2338)=Reference!$D$5,1,0))+(IF(MONTH($A2338)=Reference!$D$6,Reference!$D$13,0))),0)</f>
        <v>447</v>
      </c>
      <c r="E2338" s="11">
        <f ca="1">D2338*Reference!$D$7*(1-IF(MONTH($A2338)=Reference!$D$6,1,0)*Reference!$D$12)</f>
        <v>335250</v>
      </c>
      <c r="M2338" s="20"/>
      <c r="N2338" s="20"/>
      <c r="O2338" s="19"/>
      <c r="P2338" s="10"/>
      <c r="Q2338" s="10"/>
      <c r="R2338" s="10"/>
      <c r="S2338" s="10"/>
      <c r="T2338" s="10"/>
      <c r="U2338" s="10"/>
      <c r="V2338" s="10"/>
      <c r="W2338" s="10"/>
      <c r="X2338" s="10"/>
      <c r="Y2338" s="10"/>
    </row>
    <row r="2339" spans="1:25" x14ac:dyDescent="0.25">
      <c r="A2339" s="9">
        <v>42877</v>
      </c>
      <c r="B2339" s="10">
        <f ca="1">ROUND(_xlfn.NORM.INV(RAND(),Reference!$C$8,0.1*Reference!$C$8)*(1+Reference!$C$11*(IF(MONTH($A2339)=Reference!$C$4,1,0)+IF(MONTH($A2339)=Reference!$C$5,1,0))+(IF(MONTH($A2339)=Reference!$C$6,Reference!$C$13,0))),0)</f>
        <v>462</v>
      </c>
      <c r="C2339" s="11">
        <f ca="1">B2339*Reference!$C$7*(1-IF(MONTH($A2339)=Reference!$C$6,1,0)*Reference!$C$12)</f>
        <v>429660</v>
      </c>
      <c r="D2339" s="10">
        <f ca="1">ROUND(_xlfn.NORM.INV(RAND(),Reference!$D$8,0.1*Reference!$D$8)*(1+Reference!$D$11*(IF(MONTH($A2339)=Reference!$D$4,1,0)+IF(MONTH($A2339)=Reference!$D$5,1,0))+(IF(MONTH($A2339)=Reference!$D$6,Reference!$D$13,0))),0)</f>
        <v>460</v>
      </c>
      <c r="E2339" s="11">
        <f ca="1">D2339*Reference!$D$7*(1-IF(MONTH($A2339)=Reference!$D$6,1,0)*Reference!$D$12)</f>
        <v>345000</v>
      </c>
      <c r="M2339" s="20"/>
      <c r="N2339" s="20"/>
      <c r="O2339" s="19"/>
      <c r="P2339" s="10"/>
      <c r="Q2339" s="10"/>
      <c r="R2339" s="10"/>
      <c r="S2339" s="10"/>
      <c r="T2339" s="10"/>
      <c r="U2339" s="10"/>
      <c r="V2339" s="10"/>
      <c r="W2339" s="10"/>
      <c r="X2339" s="10"/>
      <c r="Y2339" s="10"/>
    </row>
    <row r="2340" spans="1:25" x14ac:dyDescent="0.25">
      <c r="A2340" s="9">
        <v>42878</v>
      </c>
      <c r="B2340" s="10">
        <f ca="1">ROUND(_xlfn.NORM.INV(RAND(),Reference!$C$8,0.1*Reference!$C$8)*(1+Reference!$C$11*(IF(MONTH($A2340)=Reference!$C$4,1,0)+IF(MONTH($A2340)=Reference!$C$5,1,0))+(IF(MONTH($A2340)=Reference!$C$6,Reference!$C$13,0))),0)</f>
        <v>545</v>
      </c>
      <c r="C2340" s="11">
        <f ca="1">B2340*Reference!$C$7*(1-IF(MONTH($A2340)=Reference!$C$6,1,0)*Reference!$C$12)</f>
        <v>506850</v>
      </c>
      <c r="D2340" s="10">
        <f ca="1">ROUND(_xlfn.NORM.INV(RAND(),Reference!$D$8,0.1*Reference!$D$8)*(1+Reference!$D$11*(IF(MONTH($A2340)=Reference!$D$4,1,0)+IF(MONTH($A2340)=Reference!$D$5,1,0))+(IF(MONTH($A2340)=Reference!$D$6,Reference!$D$13,0))),0)</f>
        <v>475</v>
      </c>
      <c r="E2340" s="11">
        <f ca="1">D2340*Reference!$D$7*(1-IF(MONTH($A2340)=Reference!$D$6,1,0)*Reference!$D$12)</f>
        <v>356250</v>
      </c>
      <c r="M2340" s="20"/>
      <c r="N2340" s="20"/>
      <c r="O2340" s="19"/>
      <c r="P2340" s="10"/>
      <c r="Q2340" s="10"/>
      <c r="R2340" s="10"/>
      <c r="S2340" s="10"/>
      <c r="T2340" s="10"/>
      <c r="U2340" s="10"/>
      <c r="V2340" s="10"/>
      <c r="W2340" s="10"/>
      <c r="X2340" s="10"/>
      <c r="Y2340" s="10"/>
    </row>
    <row r="2341" spans="1:25" x14ac:dyDescent="0.25">
      <c r="A2341" s="9">
        <v>42879</v>
      </c>
      <c r="B2341" s="10">
        <f ca="1">ROUND(_xlfn.NORM.INV(RAND(),Reference!$C$8,0.1*Reference!$C$8)*(1+Reference!$C$11*(IF(MONTH($A2341)=Reference!$C$4,1,0)+IF(MONTH($A2341)=Reference!$C$5,1,0))+(IF(MONTH($A2341)=Reference!$C$6,Reference!$C$13,0))),0)</f>
        <v>581</v>
      </c>
      <c r="C2341" s="11">
        <f ca="1">B2341*Reference!$C$7*(1-IF(MONTH($A2341)=Reference!$C$6,1,0)*Reference!$C$12)</f>
        <v>540330</v>
      </c>
      <c r="D2341" s="10">
        <f ca="1">ROUND(_xlfn.NORM.INV(RAND(),Reference!$D$8,0.1*Reference!$D$8)*(1+Reference!$D$11*(IF(MONTH($A2341)=Reference!$D$4,1,0)+IF(MONTH($A2341)=Reference!$D$5,1,0))+(IF(MONTH($A2341)=Reference!$D$6,Reference!$D$13,0))),0)</f>
        <v>457</v>
      </c>
      <c r="E2341" s="11">
        <f ca="1">D2341*Reference!$D$7*(1-IF(MONTH($A2341)=Reference!$D$6,1,0)*Reference!$D$12)</f>
        <v>342750</v>
      </c>
      <c r="M2341" s="20"/>
      <c r="N2341" s="20"/>
      <c r="O2341" s="19"/>
      <c r="P2341" s="10"/>
      <c r="Q2341" s="10"/>
      <c r="R2341" s="10"/>
      <c r="S2341" s="10"/>
      <c r="T2341" s="10"/>
      <c r="U2341" s="10"/>
      <c r="V2341" s="10"/>
      <c r="W2341" s="10"/>
      <c r="X2341" s="10"/>
      <c r="Y2341" s="10"/>
    </row>
    <row r="2342" spans="1:25" x14ac:dyDescent="0.25">
      <c r="A2342" s="9">
        <v>42880</v>
      </c>
      <c r="B2342" s="10">
        <f ca="1">ROUND(_xlfn.NORM.INV(RAND(),Reference!$C$8,0.1*Reference!$C$8)*(1+Reference!$C$11*(IF(MONTH($A2342)=Reference!$C$4,1,0)+IF(MONTH($A2342)=Reference!$C$5,1,0))+(IF(MONTH($A2342)=Reference!$C$6,Reference!$C$13,0))),0)</f>
        <v>463</v>
      </c>
      <c r="C2342" s="11">
        <f ca="1">B2342*Reference!$C$7*(1-IF(MONTH($A2342)=Reference!$C$6,1,0)*Reference!$C$12)</f>
        <v>430590</v>
      </c>
      <c r="D2342" s="10">
        <f ca="1">ROUND(_xlfn.NORM.INV(RAND(),Reference!$D$8,0.1*Reference!$D$8)*(1+Reference!$D$11*(IF(MONTH($A2342)=Reference!$D$4,1,0)+IF(MONTH($A2342)=Reference!$D$5,1,0))+(IF(MONTH($A2342)=Reference!$D$6,Reference!$D$13,0))),0)</f>
        <v>517</v>
      </c>
      <c r="E2342" s="11">
        <f ca="1">D2342*Reference!$D$7*(1-IF(MONTH($A2342)=Reference!$D$6,1,0)*Reference!$D$12)</f>
        <v>387750</v>
      </c>
      <c r="M2342" s="20"/>
      <c r="N2342" s="20"/>
      <c r="O2342" s="19"/>
      <c r="P2342" s="10"/>
      <c r="Q2342" s="10"/>
      <c r="R2342" s="10"/>
      <c r="S2342" s="10"/>
      <c r="T2342" s="10"/>
      <c r="U2342" s="10"/>
      <c r="V2342" s="10"/>
      <c r="W2342" s="10"/>
      <c r="X2342" s="10"/>
      <c r="Y2342" s="10"/>
    </row>
    <row r="2343" spans="1:25" x14ac:dyDescent="0.25">
      <c r="A2343" s="9">
        <v>42881</v>
      </c>
      <c r="B2343" s="10">
        <f ca="1">ROUND(_xlfn.NORM.INV(RAND(),Reference!$C$8,0.1*Reference!$C$8)*(1+Reference!$C$11*(IF(MONTH($A2343)=Reference!$C$4,1,0)+IF(MONTH($A2343)=Reference!$C$5,1,0))+(IF(MONTH($A2343)=Reference!$C$6,Reference!$C$13,0))),0)</f>
        <v>502</v>
      </c>
      <c r="C2343" s="11">
        <f ca="1">B2343*Reference!$C$7*(1-IF(MONTH($A2343)=Reference!$C$6,1,0)*Reference!$C$12)</f>
        <v>466860</v>
      </c>
      <c r="D2343" s="10">
        <f ca="1">ROUND(_xlfn.NORM.INV(RAND(),Reference!$D$8,0.1*Reference!$D$8)*(1+Reference!$D$11*(IF(MONTH($A2343)=Reference!$D$4,1,0)+IF(MONTH($A2343)=Reference!$D$5,1,0))+(IF(MONTH($A2343)=Reference!$D$6,Reference!$D$13,0))),0)</f>
        <v>430</v>
      </c>
      <c r="E2343" s="11">
        <f ca="1">D2343*Reference!$D$7*(1-IF(MONTH($A2343)=Reference!$D$6,1,0)*Reference!$D$12)</f>
        <v>322500</v>
      </c>
      <c r="M2343" s="20"/>
      <c r="N2343" s="20"/>
      <c r="O2343" s="19"/>
      <c r="P2343" s="10"/>
      <c r="Q2343" s="10"/>
      <c r="R2343" s="10"/>
      <c r="S2343" s="10"/>
      <c r="T2343" s="10"/>
      <c r="U2343" s="10"/>
      <c r="V2343" s="10"/>
      <c r="W2343" s="10"/>
      <c r="X2343" s="10"/>
      <c r="Y2343" s="10"/>
    </row>
    <row r="2344" spans="1:25" x14ac:dyDescent="0.25">
      <c r="A2344" s="9">
        <v>42882</v>
      </c>
      <c r="B2344" s="10">
        <f ca="1">ROUND(_xlfn.NORM.INV(RAND(),Reference!$C$8,0.1*Reference!$C$8)*(1+Reference!$C$11*(IF(MONTH($A2344)=Reference!$C$4,1,0)+IF(MONTH($A2344)=Reference!$C$5,1,0))+(IF(MONTH($A2344)=Reference!$C$6,Reference!$C$13,0))),0)</f>
        <v>542</v>
      </c>
      <c r="C2344" s="11">
        <f ca="1">B2344*Reference!$C$7*(1-IF(MONTH($A2344)=Reference!$C$6,1,0)*Reference!$C$12)</f>
        <v>504060</v>
      </c>
      <c r="D2344" s="10">
        <f ca="1">ROUND(_xlfn.NORM.INV(RAND(),Reference!$D$8,0.1*Reference!$D$8)*(1+Reference!$D$11*(IF(MONTH($A2344)=Reference!$D$4,1,0)+IF(MONTH($A2344)=Reference!$D$5,1,0))+(IF(MONTH($A2344)=Reference!$D$6,Reference!$D$13,0))),0)</f>
        <v>442</v>
      </c>
      <c r="E2344" s="11">
        <f ca="1">D2344*Reference!$D$7*(1-IF(MONTH($A2344)=Reference!$D$6,1,0)*Reference!$D$12)</f>
        <v>331500</v>
      </c>
      <c r="M2344" s="20"/>
      <c r="N2344" s="20"/>
      <c r="O2344" s="19"/>
      <c r="P2344" s="10"/>
      <c r="Q2344" s="10"/>
      <c r="R2344" s="10"/>
      <c r="S2344" s="10"/>
      <c r="T2344" s="10"/>
      <c r="U2344" s="10"/>
      <c r="V2344" s="10"/>
      <c r="W2344" s="10"/>
      <c r="X2344" s="10"/>
      <c r="Y2344" s="10"/>
    </row>
    <row r="2345" spans="1:25" x14ac:dyDescent="0.25">
      <c r="A2345" s="9">
        <v>42883</v>
      </c>
      <c r="B2345" s="10">
        <f ca="1">ROUND(_xlfn.NORM.INV(RAND(),Reference!$C$8,0.1*Reference!$C$8)*(1+Reference!$C$11*(IF(MONTH($A2345)=Reference!$C$4,1,0)+IF(MONTH($A2345)=Reference!$C$5,1,0))+(IF(MONTH($A2345)=Reference!$C$6,Reference!$C$13,0))),0)</f>
        <v>443</v>
      </c>
      <c r="C2345" s="11">
        <f ca="1">B2345*Reference!$C$7*(1-IF(MONTH($A2345)=Reference!$C$6,1,0)*Reference!$C$12)</f>
        <v>411990</v>
      </c>
      <c r="D2345" s="10">
        <f ca="1">ROUND(_xlfn.NORM.INV(RAND(),Reference!$D$8,0.1*Reference!$D$8)*(1+Reference!$D$11*(IF(MONTH($A2345)=Reference!$D$4,1,0)+IF(MONTH($A2345)=Reference!$D$5,1,0))+(IF(MONTH($A2345)=Reference!$D$6,Reference!$D$13,0))),0)</f>
        <v>440</v>
      </c>
      <c r="E2345" s="11">
        <f ca="1">D2345*Reference!$D$7*(1-IF(MONTH($A2345)=Reference!$D$6,1,0)*Reference!$D$12)</f>
        <v>330000</v>
      </c>
      <c r="M2345" s="20"/>
      <c r="N2345" s="20"/>
      <c r="O2345" s="19"/>
      <c r="P2345" s="10"/>
      <c r="Q2345" s="10"/>
      <c r="R2345" s="10"/>
      <c r="S2345" s="10"/>
      <c r="T2345" s="10"/>
      <c r="U2345" s="10"/>
      <c r="V2345" s="10"/>
      <c r="W2345" s="10"/>
      <c r="X2345" s="10"/>
      <c r="Y2345" s="10"/>
    </row>
    <row r="2346" spans="1:25" x14ac:dyDescent="0.25">
      <c r="A2346" s="9">
        <v>42884</v>
      </c>
      <c r="B2346" s="10">
        <f ca="1">ROUND(_xlfn.NORM.INV(RAND(),Reference!$C$8,0.1*Reference!$C$8)*(1+Reference!$C$11*(IF(MONTH($A2346)=Reference!$C$4,1,0)+IF(MONTH($A2346)=Reference!$C$5,1,0))+(IF(MONTH($A2346)=Reference!$C$6,Reference!$C$13,0))),0)</f>
        <v>564</v>
      </c>
      <c r="C2346" s="11">
        <f ca="1">B2346*Reference!$C$7*(1-IF(MONTH($A2346)=Reference!$C$6,1,0)*Reference!$C$12)</f>
        <v>524520</v>
      </c>
      <c r="D2346" s="10">
        <f ca="1">ROUND(_xlfn.NORM.INV(RAND(),Reference!$D$8,0.1*Reference!$D$8)*(1+Reference!$D$11*(IF(MONTH($A2346)=Reference!$D$4,1,0)+IF(MONTH($A2346)=Reference!$D$5,1,0))+(IF(MONTH($A2346)=Reference!$D$6,Reference!$D$13,0))),0)</f>
        <v>484</v>
      </c>
      <c r="E2346" s="11">
        <f ca="1">D2346*Reference!$D$7*(1-IF(MONTH($A2346)=Reference!$D$6,1,0)*Reference!$D$12)</f>
        <v>363000</v>
      </c>
      <c r="M2346" s="20"/>
      <c r="N2346" s="20"/>
      <c r="O2346" s="19"/>
      <c r="P2346" s="10"/>
      <c r="Q2346" s="10"/>
      <c r="R2346" s="10"/>
      <c r="S2346" s="10"/>
      <c r="T2346" s="10"/>
      <c r="U2346" s="10"/>
      <c r="V2346" s="10"/>
      <c r="W2346" s="10"/>
      <c r="X2346" s="10"/>
      <c r="Y2346" s="10"/>
    </row>
    <row r="2347" spans="1:25" x14ac:dyDescent="0.25">
      <c r="A2347" s="9">
        <v>42885</v>
      </c>
      <c r="B2347" s="10">
        <f ca="1">ROUND(_xlfn.NORM.INV(RAND(),Reference!$C$8,0.1*Reference!$C$8)*(1+Reference!$C$11*(IF(MONTH($A2347)=Reference!$C$4,1,0)+IF(MONTH($A2347)=Reference!$C$5,1,0))+(IF(MONTH($A2347)=Reference!$C$6,Reference!$C$13,0))),0)</f>
        <v>557</v>
      </c>
      <c r="C2347" s="11">
        <f ca="1">B2347*Reference!$C$7*(1-IF(MONTH($A2347)=Reference!$C$6,1,0)*Reference!$C$12)</f>
        <v>518010</v>
      </c>
      <c r="D2347" s="10">
        <f ca="1">ROUND(_xlfn.NORM.INV(RAND(),Reference!$D$8,0.1*Reference!$D$8)*(1+Reference!$D$11*(IF(MONTH($A2347)=Reference!$D$4,1,0)+IF(MONTH($A2347)=Reference!$D$5,1,0))+(IF(MONTH($A2347)=Reference!$D$6,Reference!$D$13,0))),0)</f>
        <v>535</v>
      </c>
      <c r="E2347" s="11">
        <f ca="1">D2347*Reference!$D$7*(1-IF(MONTH($A2347)=Reference!$D$6,1,0)*Reference!$D$12)</f>
        <v>401250</v>
      </c>
      <c r="M2347" s="20"/>
      <c r="N2347" s="20"/>
      <c r="O2347" s="19"/>
      <c r="P2347" s="10"/>
      <c r="Q2347" s="10"/>
      <c r="R2347" s="10"/>
      <c r="S2347" s="10"/>
      <c r="T2347" s="10"/>
      <c r="U2347" s="10"/>
      <c r="V2347" s="10"/>
      <c r="W2347" s="10"/>
      <c r="X2347" s="10"/>
      <c r="Y2347" s="10"/>
    </row>
    <row r="2348" spans="1:25" x14ac:dyDescent="0.25">
      <c r="A2348" s="9">
        <v>42886</v>
      </c>
      <c r="B2348" s="10">
        <f ca="1">ROUND(_xlfn.NORM.INV(RAND(),Reference!$C$8,0.1*Reference!$C$8)*(1+Reference!$C$11*(IF(MONTH($A2348)=Reference!$C$4,1,0)+IF(MONTH($A2348)=Reference!$C$5,1,0))+(IF(MONTH($A2348)=Reference!$C$6,Reference!$C$13,0))),0)</f>
        <v>528</v>
      </c>
      <c r="C2348" s="11">
        <f ca="1">B2348*Reference!$C$7*(1-IF(MONTH($A2348)=Reference!$C$6,1,0)*Reference!$C$12)</f>
        <v>491040</v>
      </c>
      <c r="D2348" s="10">
        <f ca="1">ROUND(_xlfn.NORM.INV(RAND(),Reference!$D$8,0.1*Reference!$D$8)*(1+Reference!$D$11*(IF(MONTH($A2348)=Reference!$D$4,1,0)+IF(MONTH($A2348)=Reference!$D$5,1,0))+(IF(MONTH($A2348)=Reference!$D$6,Reference!$D$13,0))),0)</f>
        <v>522</v>
      </c>
      <c r="E2348" s="11">
        <f ca="1">D2348*Reference!$D$7*(1-IF(MONTH($A2348)=Reference!$D$6,1,0)*Reference!$D$12)</f>
        <v>391500</v>
      </c>
      <c r="M2348" s="20"/>
      <c r="N2348" s="20"/>
      <c r="O2348" s="19"/>
      <c r="P2348" s="10"/>
      <c r="Q2348" s="10"/>
      <c r="R2348" s="10"/>
      <c r="S2348" s="10"/>
      <c r="T2348" s="10"/>
      <c r="U2348" s="10"/>
      <c r="V2348" s="10"/>
      <c r="W2348" s="10"/>
      <c r="X2348" s="10"/>
      <c r="Y2348" s="10"/>
    </row>
    <row r="2349" spans="1:25" x14ac:dyDescent="0.25">
      <c r="A2349" s="9">
        <v>42887</v>
      </c>
      <c r="B2349" s="10">
        <f ca="1">ROUND(_xlfn.NORM.INV(RAND(),Reference!$C$8,0.1*Reference!$C$8)*(1+Reference!$C$11*(IF(MONTH($A2349)=Reference!$C$4,1,0)+IF(MONTH($A2349)=Reference!$C$5,1,0))+(IF(MONTH($A2349)=Reference!$C$6,Reference!$C$13,0))),0)</f>
        <v>468</v>
      </c>
      <c r="C2349" s="11">
        <f ca="1">B2349*Reference!$C$7*(1-IF(MONTH($A2349)=Reference!$C$6,1,0)*Reference!$C$12)</f>
        <v>174096</v>
      </c>
      <c r="D2349" s="10">
        <f ca="1">ROUND(_xlfn.NORM.INV(RAND(),Reference!$D$8,0.1*Reference!$D$8)*(1+Reference!$D$11*(IF(MONTH($A2349)=Reference!$D$4,1,0)+IF(MONTH($A2349)=Reference!$D$5,1,0))+(IF(MONTH($A2349)=Reference!$D$6,Reference!$D$13,0))),0)</f>
        <v>388</v>
      </c>
      <c r="E2349" s="11">
        <f ca="1">D2349*Reference!$D$7*(1-IF(MONTH($A2349)=Reference!$D$6,1,0)*Reference!$D$12)</f>
        <v>291000</v>
      </c>
      <c r="M2349" s="20"/>
      <c r="N2349" s="20"/>
      <c r="O2349" s="19"/>
      <c r="P2349" s="10"/>
      <c r="Q2349" s="10"/>
      <c r="R2349" s="10"/>
      <c r="S2349" s="10"/>
      <c r="T2349" s="10"/>
      <c r="U2349" s="10"/>
      <c r="V2349" s="10"/>
      <c r="W2349" s="10"/>
      <c r="X2349" s="10"/>
      <c r="Y2349" s="10"/>
    </row>
    <row r="2350" spans="1:25" x14ac:dyDescent="0.25">
      <c r="A2350" s="9">
        <v>42888</v>
      </c>
      <c r="B2350" s="10">
        <f ca="1">ROUND(_xlfn.NORM.INV(RAND(),Reference!$C$8,0.1*Reference!$C$8)*(1+Reference!$C$11*(IF(MONTH($A2350)=Reference!$C$4,1,0)+IF(MONTH($A2350)=Reference!$C$5,1,0))+(IF(MONTH($A2350)=Reference!$C$6,Reference!$C$13,0))),0)</f>
        <v>389</v>
      </c>
      <c r="C2350" s="11">
        <f ca="1">B2350*Reference!$C$7*(1-IF(MONTH($A2350)=Reference!$C$6,1,0)*Reference!$C$12)</f>
        <v>144708</v>
      </c>
      <c r="D2350" s="10">
        <f ca="1">ROUND(_xlfn.NORM.INV(RAND(),Reference!$D$8,0.1*Reference!$D$8)*(1+Reference!$D$11*(IF(MONTH($A2350)=Reference!$D$4,1,0)+IF(MONTH($A2350)=Reference!$D$5,1,0))+(IF(MONTH($A2350)=Reference!$D$6,Reference!$D$13,0))),0)</f>
        <v>469</v>
      </c>
      <c r="E2350" s="11">
        <f ca="1">D2350*Reference!$D$7*(1-IF(MONTH($A2350)=Reference!$D$6,1,0)*Reference!$D$12)</f>
        <v>351750</v>
      </c>
      <c r="M2350" s="20"/>
      <c r="N2350" s="20"/>
      <c r="O2350" s="19"/>
      <c r="P2350" s="10"/>
      <c r="Q2350" s="10"/>
      <c r="R2350" s="10"/>
      <c r="S2350" s="10"/>
      <c r="T2350" s="10"/>
      <c r="U2350" s="10"/>
      <c r="V2350" s="10"/>
      <c r="W2350" s="10"/>
      <c r="X2350" s="10"/>
      <c r="Y2350" s="10"/>
    </row>
    <row r="2351" spans="1:25" x14ac:dyDescent="0.25">
      <c r="A2351" s="9">
        <v>42889</v>
      </c>
      <c r="B2351" s="10">
        <f ca="1">ROUND(_xlfn.NORM.INV(RAND(),Reference!$C$8,0.1*Reference!$C$8)*(1+Reference!$C$11*(IF(MONTH($A2351)=Reference!$C$4,1,0)+IF(MONTH($A2351)=Reference!$C$5,1,0))+(IF(MONTH($A2351)=Reference!$C$6,Reference!$C$13,0))),0)</f>
        <v>423</v>
      </c>
      <c r="C2351" s="11">
        <f ca="1">B2351*Reference!$C$7*(1-IF(MONTH($A2351)=Reference!$C$6,1,0)*Reference!$C$12)</f>
        <v>157356</v>
      </c>
      <c r="D2351" s="10">
        <f ca="1">ROUND(_xlfn.NORM.INV(RAND(),Reference!$D$8,0.1*Reference!$D$8)*(1+Reference!$D$11*(IF(MONTH($A2351)=Reference!$D$4,1,0)+IF(MONTH($A2351)=Reference!$D$5,1,0))+(IF(MONTH($A2351)=Reference!$D$6,Reference!$D$13,0))),0)</f>
        <v>456</v>
      </c>
      <c r="E2351" s="11">
        <f ca="1">D2351*Reference!$D$7*(1-IF(MONTH($A2351)=Reference!$D$6,1,0)*Reference!$D$12)</f>
        <v>342000</v>
      </c>
      <c r="M2351" s="20"/>
      <c r="N2351" s="20"/>
      <c r="O2351" s="19"/>
      <c r="P2351" s="10"/>
      <c r="Q2351" s="10"/>
      <c r="R2351" s="10"/>
      <c r="S2351" s="10"/>
      <c r="T2351" s="10"/>
      <c r="U2351" s="10"/>
      <c r="V2351" s="10"/>
      <c r="W2351" s="10"/>
      <c r="X2351" s="10"/>
      <c r="Y2351" s="10"/>
    </row>
    <row r="2352" spans="1:25" x14ac:dyDescent="0.25">
      <c r="A2352" s="9">
        <v>42890</v>
      </c>
      <c r="B2352" s="10">
        <f ca="1">ROUND(_xlfn.NORM.INV(RAND(),Reference!$C$8,0.1*Reference!$C$8)*(1+Reference!$C$11*(IF(MONTH($A2352)=Reference!$C$4,1,0)+IF(MONTH($A2352)=Reference!$C$5,1,0))+(IF(MONTH($A2352)=Reference!$C$6,Reference!$C$13,0))),0)</f>
        <v>466</v>
      </c>
      <c r="C2352" s="11">
        <f ca="1">B2352*Reference!$C$7*(1-IF(MONTH($A2352)=Reference!$C$6,1,0)*Reference!$C$12)</f>
        <v>173352</v>
      </c>
      <c r="D2352" s="10">
        <f ca="1">ROUND(_xlfn.NORM.INV(RAND(),Reference!$D$8,0.1*Reference!$D$8)*(1+Reference!$D$11*(IF(MONTH($A2352)=Reference!$D$4,1,0)+IF(MONTH($A2352)=Reference!$D$5,1,0))+(IF(MONTH($A2352)=Reference!$D$6,Reference!$D$13,0))),0)</f>
        <v>439</v>
      </c>
      <c r="E2352" s="11">
        <f ca="1">D2352*Reference!$D$7*(1-IF(MONTH($A2352)=Reference!$D$6,1,0)*Reference!$D$12)</f>
        <v>329250</v>
      </c>
      <c r="M2352" s="20"/>
      <c r="N2352" s="20"/>
      <c r="O2352" s="19"/>
      <c r="P2352" s="10"/>
      <c r="Q2352" s="10"/>
      <c r="R2352" s="10"/>
      <c r="S2352" s="10"/>
      <c r="T2352" s="10"/>
      <c r="U2352" s="10"/>
      <c r="V2352" s="10"/>
      <c r="W2352" s="10"/>
      <c r="X2352" s="10"/>
      <c r="Y2352" s="10"/>
    </row>
    <row r="2353" spans="1:25" x14ac:dyDescent="0.25">
      <c r="A2353" s="9">
        <v>42891</v>
      </c>
      <c r="B2353" s="10">
        <f ca="1">ROUND(_xlfn.NORM.INV(RAND(),Reference!$C$8,0.1*Reference!$C$8)*(1+Reference!$C$11*(IF(MONTH($A2353)=Reference!$C$4,1,0)+IF(MONTH($A2353)=Reference!$C$5,1,0))+(IF(MONTH($A2353)=Reference!$C$6,Reference!$C$13,0))),0)</f>
        <v>425</v>
      </c>
      <c r="C2353" s="11">
        <f ca="1">B2353*Reference!$C$7*(1-IF(MONTH($A2353)=Reference!$C$6,1,0)*Reference!$C$12)</f>
        <v>158100</v>
      </c>
      <c r="D2353" s="10">
        <f ca="1">ROUND(_xlfn.NORM.INV(RAND(),Reference!$D$8,0.1*Reference!$D$8)*(1+Reference!$D$11*(IF(MONTH($A2353)=Reference!$D$4,1,0)+IF(MONTH($A2353)=Reference!$D$5,1,0))+(IF(MONTH($A2353)=Reference!$D$6,Reference!$D$13,0))),0)</f>
        <v>435</v>
      </c>
      <c r="E2353" s="11">
        <f ca="1">D2353*Reference!$D$7*(1-IF(MONTH($A2353)=Reference!$D$6,1,0)*Reference!$D$12)</f>
        <v>326250</v>
      </c>
      <c r="M2353" s="20"/>
      <c r="N2353" s="20"/>
      <c r="O2353" s="19"/>
      <c r="P2353" s="10"/>
      <c r="Q2353" s="10"/>
      <c r="R2353" s="10"/>
      <c r="S2353" s="10"/>
      <c r="T2353" s="10"/>
      <c r="U2353" s="10"/>
      <c r="V2353" s="10"/>
      <c r="W2353" s="10"/>
      <c r="X2353" s="10"/>
      <c r="Y2353" s="10"/>
    </row>
    <row r="2354" spans="1:25" x14ac:dyDescent="0.25">
      <c r="A2354" s="9">
        <v>42892</v>
      </c>
      <c r="B2354" s="10">
        <f ca="1">ROUND(_xlfn.NORM.INV(RAND(),Reference!$C$8,0.1*Reference!$C$8)*(1+Reference!$C$11*(IF(MONTH($A2354)=Reference!$C$4,1,0)+IF(MONTH($A2354)=Reference!$C$5,1,0))+(IF(MONTH($A2354)=Reference!$C$6,Reference!$C$13,0))),0)</f>
        <v>482</v>
      </c>
      <c r="C2354" s="11">
        <f ca="1">B2354*Reference!$C$7*(1-IF(MONTH($A2354)=Reference!$C$6,1,0)*Reference!$C$12)</f>
        <v>179304</v>
      </c>
      <c r="D2354" s="10">
        <f ca="1">ROUND(_xlfn.NORM.INV(RAND(),Reference!$D$8,0.1*Reference!$D$8)*(1+Reference!$D$11*(IF(MONTH($A2354)=Reference!$D$4,1,0)+IF(MONTH($A2354)=Reference!$D$5,1,0))+(IF(MONTH($A2354)=Reference!$D$6,Reference!$D$13,0))),0)</f>
        <v>497</v>
      </c>
      <c r="E2354" s="11">
        <f ca="1">D2354*Reference!$D$7*(1-IF(MONTH($A2354)=Reference!$D$6,1,0)*Reference!$D$12)</f>
        <v>372750</v>
      </c>
      <c r="M2354" s="20"/>
      <c r="N2354" s="20"/>
      <c r="O2354" s="19"/>
      <c r="P2354" s="10"/>
      <c r="Q2354" s="10"/>
      <c r="R2354" s="10"/>
      <c r="S2354" s="10"/>
      <c r="T2354" s="10"/>
      <c r="U2354" s="10"/>
      <c r="V2354" s="10"/>
      <c r="W2354" s="10"/>
      <c r="X2354" s="10"/>
      <c r="Y2354" s="10"/>
    </row>
    <row r="2355" spans="1:25" x14ac:dyDescent="0.25">
      <c r="A2355" s="9">
        <v>42893</v>
      </c>
      <c r="B2355" s="10">
        <f ca="1">ROUND(_xlfn.NORM.INV(RAND(),Reference!$C$8,0.1*Reference!$C$8)*(1+Reference!$C$11*(IF(MONTH($A2355)=Reference!$C$4,1,0)+IF(MONTH($A2355)=Reference!$C$5,1,0))+(IF(MONTH($A2355)=Reference!$C$6,Reference!$C$13,0))),0)</f>
        <v>540</v>
      </c>
      <c r="C2355" s="11">
        <f ca="1">B2355*Reference!$C$7*(1-IF(MONTH($A2355)=Reference!$C$6,1,0)*Reference!$C$12)</f>
        <v>200880</v>
      </c>
      <c r="D2355" s="10">
        <f ca="1">ROUND(_xlfn.NORM.INV(RAND(),Reference!$D$8,0.1*Reference!$D$8)*(1+Reference!$D$11*(IF(MONTH($A2355)=Reference!$D$4,1,0)+IF(MONTH($A2355)=Reference!$D$5,1,0))+(IF(MONTH($A2355)=Reference!$D$6,Reference!$D$13,0))),0)</f>
        <v>441</v>
      </c>
      <c r="E2355" s="11">
        <f ca="1">D2355*Reference!$D$7*(1-IF(MONTH($A2355)=Reference!$D$6,1,0)*Reference!$D$12)</f>
        <v>330750</v>
      </c>
      <c r="M2355" s="20"/>
      <c r="N2355" s="20"/>
      <c r="O2355" s="19"/>
      <c r="P2355" s="10"/>
      <c r="Q2355" s="10"/>
      <c r="R2355" s="10"/>
      <c r="S2355" s="10"/>
      <c r="T2355" s="10"/>
      <c r="U2355" s="10"/>
      <c r="V2355" s="10"/>
      <c r="W2355" s="10"/>
      <c r="X2355" s="10"/>
      <c r="Y2355" s="10"/>
    </row>
    <row r="2356" spans="1:25" x14ac:dyDescent="0.25">
      <c r="A2356" s="9">
        <v>42894</v>
      </c>
      <c r="B2356" s="10">
        <f ca="1">ROUND(_xlfn.NORM.INV(RAND(),Reference!$C$8,0.1*Reference!$C$8)*(1+Reference!$C$11*(IF(MONTH($A2356)=Reference!$C$4,1,0)+IF(MONTH($A2356)=Reference!$C$5,1,0))+(IF(MONTH($A2356)=Reference!$C$6,Reference!$C$13,0))),0)</f>
        <v>410</v>
      </c>
      <c r="C2356" s="11">
        <f ca="1">B2356*Reference!$C$7*(1-IF(MONTH($A2356)=Reference!$C$6,1,0)*Reference!$C$12)</f>
        <v>152520</v>
      </c>
      <c r="D2356" s="10">
        <f ca="1">ROUND(_xlfn.NORM.INV(RAND(),Reference!$D$8,0.1*Reference!$D$8)*(1+Reference!$D$11*(IF(MONTH($A2356)=Reference!$D$4,1,0)+IF(MONTH($A2356)=Reference!$D$5,1,0))+(IF(MONTH($A2356)=Reference!$D$6,Reference!$D$13,0))),0)</f>
        <v>400</v>
      </c>
      <c r="E2356" s="11">
        <f ca="1">D2356*Reference!$D$7*(1-IF(MONTH($A2356)=Reference!$D$6,1,0)*Reference!$D$12)</f>
        <v>300000</v>
      </c>
      <c r="M2356" s="20"/>
      <c r="N2356" s="20"/>
      <c r="O2356" s="19"/>
      <c r="P2356" s="10"/>
      <c r="Q2356" s="10"/>
      <c r="R2356" s="10"/>
      <c r="S2356" s="10"/>
      <c r="T2356" s="10"/>
      <c r="U2356" s="10"/>
      <c r="V2356" s="10"/>
      <c r="W2356" s="10"/>
      <c r="X2356" s="10"/>
      <c r="Y2356" s="10"/>
    </row>
    <row r="2357" spans="1:25" x14ac:dyDescent="0.25">
      <c r="A2357" s="9">
        <v>42895</v>
      </c>
      <c r="B2357" s="10">
        <f ca="1">ROUND(_xlfn.NORM.INV(RAND(),Reference!$C$8,0.1*Reference!$C$8)*(1+Reference!$C$11*(IF(MONTH($A2357)=Reference!$C$4,1,0)+IF(MONTH($A2357)=Reference!$C$5,1,0))+(IF(MONTH($A2357)=Reference!$C$6,Reference!$C$13,0))),0)</f>
        <v>442</v>
      </c>
      <c r="C2357" s="11">
        <f ca="1">B2357*Reference!$C$7*(1-IF(MONTH($A2357)=Reference!$C$6,1,0)*Reference!$C$12)</f>
        <v>164424</v>
      </c>
      <c r="D2357" s="10">
        <f ca="1">ROUND(_xlfn.NORM.INV(RAND(),Reference!$D$8,0.1*Reference!$D$8)*(1+Reference!$D$11*(IF(MONTH($A2357)=Reference!$D$4,1,0)+IF(MONTH($A2357)=Reference!$D$5,1,0))+(IF(MONTH($A2357)=Reference!$D$6,Reference!$D$13,0))),0)</f>
        <v>472</v>
      </c>
      <c r="E2357" s="11">
        <f ca="1">D2357*Reference!$D$7*(1-IF(MONTH($A2357)=Reference!$D$6,1,0)*Reference!$D$12)</f>
        <v>354000</v>
      </c>
      <c r="M2357" s="20"/>
      <c r="N2357" s="20"/>
      <c r="O2357" s="19"/>
      <c r="P2357" s="10"/>
      <c r="Q2357" s="10"/>
      <c r="R2357" s="10"/>
      <c r="S2357" s="10"/>
      <c r="T2357" s="10"/>
      <c r="U2357" s="10"/>
      <c r="V2357" s="10"/>
      <c r="W2357" s="10"/>
      <c r="X2357" s="10"/>
      <c r="Y2357" s="10"/>
    </row>
    <row r="2358" spans="1:25" x14ac:dyDescent="0.25">
      <c r="A2358" s="9">
        <v>42896</v>
      </c>
      <c r="B2358" s="10">
        <f ca="1">ROUND(_xlfn.NORM.INV(RAND(),Reference!$C$8,0.1*Reference!$C$8)*(1+Reference!$C$11*(IF(MONTH($A2358)=Reference!$C$4,1,0)+IF(MONTH($A2358)=Reference!$C$5,1,0))+(IF(MONTH($A2358)=Reference!$C$6,Reference!$C$13,0))),0)</f>
        <v>436</v>
      </c>
      <c r="C2358" s="11">
        <f ca="1">B2358*Reference!$C$7*(1-IF(MONTH($A2358)=Reference!$C$6,1,0)*Reference!$C$12)</f>
        <v>162192</v>
      </c>
      <c r="D2358" s="10">
        <f ca="1">ROUND(_xlfn.NORM.INV(RAND(),Reference!$D$8,0.1*Reference!$D$8)*(1+Reference!$D$11*(IF(MONTH($A2358)=Reference!$D$4,1,0)+IF(MONTH($A2358)=Reference!$D$5,1,0))+(IF(MONTH($A2358)=Reference!$D$6,Reference!$D$13,0))),0)</f>
        <v>433</v>
      </c>
      <c r="E2358" s="11">
        <f ca="1">D2358*Reference!$D$7*(1-IF(MONTH($A2358)=Reference!$D$6,1,0)*Reference!$D$12)</f>
        <v>324750</v>
      </c>
      <c r="M2358" s="20"/>
      <c r="N2358" s="20"/>
      <c r="O2358" s="19"/>
      <c r="P2358" s="10"/>
      <c r="Q2358" s="10"/>
      <c r="R2358" s="10"/>
      <c r="S2358" s="10"/>
      <c r="T2358" s="10"/>
      <c r="U2358" s="10"/>
      <c r="V2358" s="10"/>
      <c r="W2358" s="10"/>
      <c r="X2358" s="10"/>
      <c r="Y2358" s="10"/>
    </row>
    <row r="2359" spans="1:25" x14ac:dyDescent="0.25">
      <c r="A2359" s="9">
        <v>42897</v>
      </c>
      <c r="B2359" s="10">
        <f ca="1">ROUND(_xlfn.NORM.INV(RAND(),Reference!$C$8,0.1*Reference!$C$8)*(1+Reference!$C$11*(IF(MONTH($A2359)=Reference!$C$4,1,0)+IF(MONTH($A2359)=Reference!$C$5,1,0))+(IF(MONTH($A2359)=Reference!$C$6,Reference!$C$13,0))),0)</f>
        <v>445</v>
      </c>
      <c r="C2359" s="11">
        <f ca="1">B2359*Reference!$C$7*(1-IF(MONTH($A2359)=Reference!$C$6,1,0)*Reference!$C$12)</f>
        <v>165540</v>
      </c>
      <c r="D2359" s="10">
        <f ca="1">ROUND(_xlfn.NORM.INV(RAND(),Reference!$D$8,0.1*Reference!$D$8)*(1+Reference!$D$11*(IF(MONTH($A2359)=Reference!$D$4,1,0)+IF(MONTH($A2359)=Reference!$D$5,1,0))+(IF(MONTH($A2359)=Reference!$D$6,Reference!$D$13,0))),0)</f>
        <v>508</v>
      </c>
      <c r="E2359" s="11">
        <f ca="1">D2359*Reference!$D$7*(1-IF(MONTH($A2359)=Reference!$D$6,1,0)*Reference!$D$12)</f>
        <v>381000</v>
      </c>
      <c r="M2359" s="20"/>
      <c r="N2359" s="20"/>
      <c r="O2359" s="19"/>
      <c r="P2359" s="10"/>
      <c r="Q2359" s="10"/>
      <c r="R2359" s="10"/>
      <c r="S2359" s="10"/>
      <c r="T2359" s="10"/>
      <c r="U2359" s="10"/>
      <c r="V2359" s="10"/>
      <c r="W2359" s="10"/>
      <c r="X2359" s="10"/>
      <c r="Y2359" s="10"/>
    </row>
    <row r="2360" spans="1:25" x14ac:dyDescent="0.25">
      <c r="A2360" s="9">
        <v>42898</v>
      </c>
      <c r="B2360" s="10">
        <f ca="1">ROUND(_xlfn.NORM.INV(RAND(),Reference!$C$8,0.1*Reference!$C$8)*(1+Reference!$C$11*(IF(MONTH($A2360)=Reference!$C$4,1,0)+IF(MONTH($A2360)=Reference!$C$5,1,0))+(IF(MONTH($A2360)=Reference!$C$6,Reference!$C$13,0))),0)</f>
        <v>526</v>
      </c>
      <c r="C2360" s="11">
        <f ca="1">B2360*Reference!$C$7*(1-IF(MONTH($A2360)=Reference!$C$6,1,0)*Reference!$C$12)</f>
        <v>195672</v>
      </c>
      <c r="D2360" s="10">
        <f ca="1">ROUND(_xlfn.NORM.INV(RAND(),Reference!$D$8,0.1*Reference!$D$8)*(1+Reference!$D$11*(IF(MONTH($A2360)=Reference!$D$4,1,0)+IF(MONTH($A2360)=Reference!$D$5,1,0))+(IF(MONTH($A2360)=Reference!$D$6,Reference!$D$13,0))),0)</f>
        <v>385</v>
      </c>
      <c r="E2360" s="11">
        <f ca="1">D2360*Reference!$D$7*(1-IF(MONTH($A2360)=Reference!$D$6,1,0)*Reference!$D$12)</f>
        <v>288750</v>
      </c>
      <c r="M2360" s="20"/>
      <c r="N2360" s="20"/>
      <c r="O2360" s="19"/>
      <c r="P2360" s="10"/>
      <c r="Q2360" s="10"/>
      <c r="R2360" s="10"/>
      <c r="S2360" s="10"/>
      <c r="T2360" s="10"/>
      <c r="U2360" s="10"/>
      <c r="V2360" s="10"/>
      <c r="W2360" s="10"/>
      <c r="X2360" s="10"/>
      <c r="Y2360" s="10"/>
    </row>
    <row r="2361" spans="1:25" x14ac:dyDescent="0.25">
      <c r="A2361" s="9">
        <v>42899</v>
      </c>
      <c r="B2361" s="10">
        <f ca="1">ROUND(_xlfn.NORM.INV(RAND(),Reference!$C$8,0.1*Reference!$C$8)*(1+Reference!$C$11*(IF(MONTH($A2361)=Reference!$C$4,1,0)+IF(MONTH($A2361)=Reference!$C$5,1,0))+(IF(MONTH($A2361)=Reference!$C$6,Reference!$C$13,0))),0)</f>
        <v>391</v>
      </c>
      <c r="C2361" s="11">
        <f ca="1">B2361*Reference!$C$7*(1-IF(MONTH($A2361)=Reference!$C$6,1,0)*Reference!$C$12)</f>
        <v>145452</v>
      </c>
      <c r="D2361" s="10">
        <f ca="1">ROUND(_xlfn.NORM.INV(RAND(),Reference!$D$8,0.1*Reference!$D$8)*(1+Reference!$D$11*(IF(MONTH($A2361)=Reference!$D$4,1,0)+IF(MONTH($A2361)=Reference!$D$5,1,0))+(IF(MONTH($A2361)=Reference!$D$6,Reference!$D$13,0))),0)</f>
        <v>451</v>
      </c>
      <c r="E2361" s="11">
        <f ca="1">D2361*Reference!$D$7*(1-IF(MONTH($A2361)=Reference!$D$6,1,0)*Reference!$D$12)</f>
        <v>338250</v>
      </c>
      <c r="M2361" s="20"/>
      <c r="N2361" s="20"/>
      <c r="O2361" s="19"/>
      <c r="P2361" s="10"/>
      <c r="Q2361" s="10"/>
      <c r="R2361" s="10"/>
      <c r="S2361" s="10"/>
      <c r="T2361" s="10"/>
      <c r="U2361" s="10"/>
      <c r="V2361" s="10"/>
      <c r="W2361" s="10"/>
      <c r="X2361" s="10"/>
      <c r="Y2361" s="10"/>
    </row>
    <row r="2362" spans="1:25" x14ac:dyDescent="0.25">
      <c r="A2362" s="9">
        <v>42900</v>
      </c>
      <c r="B2362" s="10">
        <f ca="1">ROUND(_xlfn.NORM.INV(RAND(),Reference!$C$8,0.1*Reference!$C$8)*(1+Reference!$C$11*(IF(MONTH($A2362)=Reference!$C$4,1,0)+IF(MONTH($A2362)=Reference!$C$5,1,0))+(IF(MONTH($A2362)=Reference!$C$6,Reference!$C$13,0))),0)</f>
        <v>448</v>
      </c>
      <c r="C2362" s="11">
        <f ca="1">B2362*Reference!$C$7*(1-IF(MONTH($A2362)=Reference!$C$6,1,0)*Reference!$C$12)</f>
        <v>166656</v>
      </c>
      <c r="D2362" s="10">
        <f ca="1">ROUND(_xlfn.NORM.INV(RAND(),Reference!$D$8,0.1*Reference!$D$8)*(1+Reference!$D$11*(IF(MONTH($A2362)=Reference!$D$4,1,0)+IF(MONTH($A2362)=Reference!$D$5,1,0))+(IF(MONTH($A2362)=Reference!$D$6,Reference!$D$13,0))),0)</f>
        <v>327</v>
      </c>
      <c r="E2362" s="11">
        <f ca="1">D2362*Reference!$D$7*(1-IF(MONTH($A2362)=Reference!$D$6,1,0)*Reference!$D$12)</f>
        <v>245250</v>
      </c>
      <c r="M2362" s="20"/>
      <c r="N2362" s="20"/>
      <c r="O2362" s="19"/>
      <c r="P2362" s="10"/>
      <c r="Q2362" s="10"/>
      <c r="R2362" s="10"/>
      <c r="S2362" s="10"/>
      <c r="T2362" s="10"/>
      <c r="U2362" s="10"/>
      <c r="V2362" s="10"/>
      <c r="W2362" s="10"/>
      <c r="X2362" s="10"/>
      <c r="Y2362" s="10"/>
    </row>
    <row r="2363" spans="1:25" x14ac:dyDescent="0.25">
      <c r="A2363" s="9">
        <v>42901</v>
      </c>
      <c r="B2363" s="10">
        <f ca="1">ROUND(_xlfn.NORM.INV(RAND(),Reference!$C$8,0.1*Reference!$C$8)*(1+Reference!$C$11*(IF(MONTH($A2363)=Reference!$C$4,1,0)+IF(MONTH($A2363)=Reference!$C$5,1,0))+(IF(MONTH($A2363)=Reference!$C$6,Reference!$C$13,0))),0)</f>
        <v>399</v>
      </c>
      <c r="C2363" s="11">
        <f ca="1">B2363*Reference!$C$7*(1-IF(MONTH($A2363)=Reference!$C$6,1,0)*Reference!$C$12)</f>
        <v>148428</v>
      </c>
      <c r="D2363" s="10">
        <f ca="1">ROUND(_xlfn.NORM.INV(RAND(),Reference!$D$8,0.1*Reference!$D$8)*(1+Reference!$D$11*(IF(MONTH($A2363)=Reference!$D$4,1,0)+IF(MONTH($A2363)=Reference!$D$5,1,0))+(IF(MONTH($A2363)=Reference!$D$6,Reference!$D$13,0))),0)</f>
        <v>406</v>
      </c>
      <c r="E2363" s="11">
        <f ca="1">D2363*Reference!$D$7*(1-IF(MONTH($A2363)=Reference!$D$6,1,0)*Reference!$D$12)</f>
        <v>304500</v>
      </c>
      <c r="M2363" s="20"/>
      <c r="N2363" s="20"/>
      <c r="O2363" s="19"/>
      <c r="P2363" s="10"/>
      <c r="Q2363" s="10"/>
      <c r="R2363" s="10"/>
      <c r="S2363" s="10"/>
      <c r="T2363" s="10"/>
      <c r="U2363" s="10"/>
      <c r="V2363" s="10"/>
      <c r="W2363" s="10"/>
      <c r="X2363" s="10"/>
      <c r="Y2363" s="10"/>
    </row>
    <row r="2364" spans="1:25" x14ac:dyDescent="0.25">
      <c r="A2364" s="9">
        <v>42902</v>
      </c>
      <c r="B2364" s="10">
        <f ca="1">ROUND(_xlfn.NORM.INV(RAND(),Reference!$C$8,0.1*Reference!$C$8)*(1+Reference!$C$11*(IF(MONTH($A2364)=Reference!$C$4,1,0)+IF(MONTH($A2364)=Reference!$C$5,1,0))+(IF(MONTH($A2364)=Reference!$C$6,Reference!$C$13,0))),0)</f>
        <v>430</v>
      </c>
      <c r="C2364" s="11">
        <f ca="1">B2364*Reference!$C$7*(1-IF(MONTH($A2364)=Reference!$C$6,1,0)*Reference!$C$12)</f>
        <v>159960</v>
      </c>
      <c r="D2364" s="10">
        <f ca="1">ROUND(_xlfn.NORM.INV(RAND(),Reference!$D$8,0.1*Reference!$D$8)*(1+Reference!$D$11*(IF(MONTH($A2364)=Reference!$D$4,1,0)+IF(MONTH($A2364)=Reference!$D$5,1,0))+(IF(MONTH($A2364)=Reference!$D$6,Reference!$D$13,0))),0)</f>
        <v>543</v>
      </c>
      <c r="E2364" s="11">
        <f ca="1">D2364*Reference!$D$7*(1-IF(MONTH($A2364)=Reference!$D$6,1,0)*Reference!$D$12)</f>
        <v>407250</v>
      </c>
      <c r="M2364" s="20"/>
      <c r="N2364" s="20"/>
      <c r="O2364" s="19"/>
      <c r="P2364" s="10"/>
      <c r="Q2364" s="10"/>
      <c r="R2364" s="10"/>
      <c r="S2364" s="10"/>
      <c r="T2364" s="10"/>
      <c r="U2364" s="10"/>
      <c r="V2364" s="10"/>
      <c r="W2364" s="10"/>
      <c r="X2364" s="10"/>
      <c r="Y2364" s="10"/>
    </row>
    <row r="2365" spans="1:25" x14ac:dyDescent="0.25">
      <c r="A2365" s="9">
        <v>42903</v>
      </c>
      <c r="B2365" s="10">
        <f ca="1">ROUND(_xlfn.NORM.INV(RAND(),Reference!$C$8,0.1*Reference!$C$8)*(1+Reference!$C$11*(IF(MONTH($A2365)=Reference!$C$4,1,0)+IF(MONTH($A2365)=Reference!$C$5,1,0))+(IF(MONTH($A2365)=Reference!$C$6,Reference!$C$13,0))),0)</f>
        <v>488</v>
      </c>
      <c r="C2365" s="11">
        <f ca="1">B2365*Reference!$C$7*(1-IF(MONTH($A2365)=Reference!$C$6,1,0)*Reference!$C$12)</f>
        <v>181536</v>
      </c>
      <c r="D2365" s="10">
        <f ca="1">ROUND(_xlfn.NORM.INV(RAND(),Reference!$D$8,0.1*Reference!$D$8)*(1+Reference!$D$11*(IF(MONTH($A2365)=Reference!$D$4,1,0)+IF(MONTH($A2365)=Reference!$D$5,1,0))+(IF(MONTH($A2365)=Reference!$D$6,Reference!$D$13,0))),0)</f>
        <v>411</v>
      </c>
      <c r="E2365" s="11">
        <f ca="1">D2365*Reference!$D$7*(1-IF(MONTH($A2365)=Reference!$D$6,1,0)*Reference!$D$12)</f>
        <v>308250</v>
      </c>
      <c r="M2365" s="20"/>
      <c r="N2365" s="20"/>
      <c r="O2365" s="19"/>
      <c r="P2365" s="10"/>
      <c r="Q2365" s="10"/>
      <c r="R2365" s="10"/>
      <c r="S2365" s="10"/>
      <c r="T2365" s="10"/>
      <c r="U2365" s="10"/>
      <c r="V2365" s="10"/>
      <c r="W2365" s="10"/>
      <c r="X2365" s="10"/>
      <c r="Y2365" s="10"/>
    </row>
    <row r="2366" spans="1:25" x14ac:dyDescent="0.25">
      <c r="A2366" s="9">
        <v>42904</v>
      </c>
      <c r="B2366" s="10">
        <f ca="1">ROUND(_xlfn.NORM.INV(RAND(),Reference!$C$8,0.1*Reference!$C$8)*(1+Reference!$C$11*(IF(MONTH($A2366)=Reference!$C$4,1,0)+IF(MONTH($A2366)=Reference!$C$5,1,0))+(IF(MONTH($A2366)=Reference!$C$6,Reference!$C$13,0))),0)</f>
        <v>488</v>
      </c>
      <c r="C2366" s="11">
        <f ca="1">B2366*Reference!$C$7*(1-IF(MONTH($A2366)=Reference!$C$6,1,0)*Reference!$C$12)</f>
        <v>181536</v>
      </c>
      <c r="D2366" s="10">
        <f ca="1">ROUND(_xlfn.NORM.INV(RAND(),Reference!$D$8,0.1*Reference!$D$8)*(1+Reference!$D$11*(IF(MONTH($A2366)=Reference!$D$4,1,0)+IF(MONTH($A2366)=Reference!$D$5,1,0))+(IF(MONTH($A2366)=Reference!$D$6,Reference!$D$13,0))),0)</f>
        <v>439</v>
      </c>
      <c r="E2366" s="11">
        <f ca="1">D2366*Reference!$D$7*(1-IF(MONTH($A2366)=Reference!$D$6,1,0)*Reference!$D$12)</f>
        <v>329250</v>
      </c>
      <c r="M2366" s="20"/>
      <c r="N2366" s="20"/>
      <c r="O2366" s="19"/>
      <c r="P2366" s="10"/>
      <c r="Q2366" s="10"/>
      <c r="R2366" s="10"/>
      <c r="S2366" s="10"/>
      <c r="T2366" s="10"/>
      <c r="U2366" s="10"/>
      <c r="V2366" s="10"/>
      <c r="W2366" s="10"/>
      <c r="X2366" s="10"/>
      <c r="Y2366" s="10"/>
    </row>
    <row r="2367" spans="1:25" x14ac:dyDescent="0.25">
      <c r="A2367" s="9">
        <v>42905</v>
      </c>
      <c r="B2367" s="10">
        <f ca="1">ROUND(_xlfn.NORM.INV(RAND(),Reference!$C$8,0.1*Reference!$C$8)*(1+Reference!$C$11*(IF(MONTH($A2367)=Reference!$C$4,1,0)+IF(MONTH($A2367)=Reference!$C$5,1,0))+(IF(MONTH($A2367)=Reference!$C$6,Reference!$C$13,0))),0)</f>
        <v>476</v>
      </c>
      <c r="C2367" s="11">
        <f ca="1">B2367*Reference!$C$7*(1-IF(MONTH($A2367)=Reference!$C$6,1,0)*Reference!$C$12)</f>
        <v>177072</v>
      </c>
      <c r="D2367" s="10">
        <f ca="1">ROUND(_xlfn.NORM.INV(RAND(),Reference!$D$8,0.1*Reference!$D$8)*(1+Reference!$D$11*(IF(MONTH($A2367)=Reference!$D$4,1,0)+IF(MONTH($A2367)=Reference!$D$5,1,0))+(IF(MONTH($A2367)=Reference!$D$6,Reference!$D$13,0))),0)</f>
        <v>478</v>
      </c>
      <c r="E2367" s="11">
        <f ca="1">D2367*Reference!$D$7*(1-IF(MONTH($A2367)=Reference!$D$6,1,0)*Reference!$D$12)</f>
        <v>358500</v>
      </c>
      <c r="M2367" s="20"/>
      <c r="N2367" s="20"/>
      <c r="O2367" s="19"/>
      <c r="P2367" s="10"/>
      <c r="Q2367" s="10"/>
      <c r="R2367" s="10"/>
      <c r="S2367" s="10"/>
      <c r="T2367" s="10"/>
      <c r="U2367" s="10"/>
      <c r="V2367" s="10"/>
      <c r="W2367" s="10"/>
      <c r="X2367" s="10"/>
      <c r="Y2367" s="10"/>
    </row>
    <row r="2368" spans="1:25" x14ac:dyDescent="0.25">
      <c r="A2368" s="9">
        <v>42906</v>
      </c>
      <c r="B2368" s="10">
        <f ca="1">ROUND(_xlfn.NORM.INV(RAND(),Reference!$C$8,0.1*Reference!$C$8)*(1+Reference!$C$11*(IF(MONTH($A2368)=Reference!$C$4,1,0)+IF(MONTH($A2368)=Reference!$C$5,1,0))+(IF(MONTH($A2368)=Reference!$C$6,Reference!$C$13,0))),0)</f>
        <v>382</v>
      </c>
      <c r="C2368" s="11">
        <f ca="1">B2368*Reference!$C$7*(1-IF(MONTH($A2368)=Reference!$C$6,1,0)*Reference!$C$12)</f>
        <v>142104</v>
      </c>
      <c r="D2368" s="10">
        <f ca="1">ROUND(_xlfn.NORM.INV(RAND(),Reference!$D$8,0.1*Reference!$D$8)*(1+Reference!$D$11*(IF(MONTH($A2368)=Reference!$D$4,1,0)+IF(MONTH($A2368)=Reference!$D$5,1,0))+(IF(MONTH($A2368)=Reference!$D$6,Reference!$D$13,0))),0)</f>
        <v>497</v>
      </c>
      <c r="E2368" s="11">
        <f ca="1">D2368*Reference!$D$7*(1-IF(MONTH($A2368)=Reference!$D$6,1,0)*Reference!$D$12)</f>
        <v>372750</v>
      </c>
      <c r="M2368" s="20"/>
      <c r="N2368" s="20"/>
      <c r="O2368" s="19"/>
      <c r="P2368" s="10"/>
      <c r="Q2368" s="10"/>
      <c r="R2368" s="10"/>
      <c r="S2368" s="10"/>
      <c r="T2368" s="10"/>
      <c r="U2368" s="10"/>
      <c r="V2368" s="10"/>
      <c r="W2368" s="10"/>
      <c r="X2368" s="10"/>
      <c r="Y2368" s="10"/>
    </row>
    <row r="2369" spans="1:25" x14ac:dyDescent="0.25">
      <c r="A2369" s="9">
        <v>42907</v>
      </c>
      <c r="B2369" s="10">
        <f ca="1">ROUND(_xlfn.NORM.INV(RAND(),Reference!$C$8,0.1*Reference!$C$8)*(1+Reference!$C$11*(IF(MONTH($A2369)=Reference!$C$4,1,0)+IF(MONTH($A2369)=Reference!$C$5,1,0))+(IF(MONTH($A2369)=Reference!$C$6,Reference!$C$13,0))),0)</f>
        <v>369</v>
      </c>
      <c r="C2369" s="11">
        <f ca="1">B2369*Reference!$C$7*(1-IF(MONTH($A2369)=Reference!$C$6,1,0)*Reference!$C$12)</f>
        <v>137268</v>
      </c>
      <c r="D2369" s="10">
        <f ca="1">ROUND(_xlfn.NORM.INV(RAND(),Reference!$D$8,0.1*Reference!$D$8)*(1+Reference!$D$11*(IF(MONTH($A2369)=Reference!$D$4,1,0)+IF(MONTH($A2369)=Reference!$D$5,1,0))+(IF(MONTH($A2369)=Reference!$D$6,Reference!$D$13,0))),0)</f>
        <v>346</v>
      </c>
      <c r="E2369" s="11">
        <f ca="1">D2369*Reference!$D$7*(1-IF(MONTH($A2369)=Reference!$D$6,1,0)*Reference!$D$12)</f>
        <v>259500</v>
      </c>
      <c r="M2369" s="20"/>
      <c r="N2369" s="20"/>
      <c r="O2369" s="19"/>
      <c r="P2369" s="10"/>
      <c r="Q2369" s="10"/>
      <c r="R2369" s="10"/>
      <c r="S2369" s="10"/>
      <c r="T2369" s="10"/>
      <c r="U2369" s="10"/>
      <c r="V2369" s="10"/>
      <c r="W2369" s="10"/>
      <c r="X2369" s="10"/>
      <c r="Y2369" s="10"/>
    </row>
    <row r="2370" spans="1:25" x14ac:dyDescent="0.25">
      <c r="A2370" s="9">
        <v>42908</v>
      </c>
      <c r="B2370" s="10">
        <f ca="1">ROUND(_xlfn.NORM.INV(RAND(),Reference!$C$8,0.1*Reference!$C$8)*(1+Reference!$C$11*(IF(MONTH($A2370)=Reference!$C$4,1,0)+IF(MONTH($A2370)=Reference!$C$5,1,0))+(IF(MONTH($A2370)=Reference!$C$6,Reference!$C$13,0))),0)</f>
        <v>485</v>
      </c>
      <c r="C2370" s="11">
        <f ca="1">B2370*Reference!$C$7*(1-IF(MONTH($A2370)=Reference!$C$6,1,0)*Reference!$C$12)</f>
        <v>180420</v>
      </c>
      <c r="D2370" s="10">
        <f ca="1">ROUND(_xlfn.NORM.INV(RAND(),Reference!$D$8,0.1*Reference!$D$8)*(1+Reference!$D$11*(IF(MONTH($A2370)=Reference!$D$4,1,0)+IF(MONTH($A2370)=Reference!$D$5,1,0))+(IF(MONTH($A2370)=Reference!$D$6,Reference!$D$13,0))),0)</f>
        <v>499</v>
      </c>
      <c r="E2370" s="11">
        <f ca="1">D2370*Reference!$D$7*(1-IF(MONTH($A2370)=Reference!$D$6,1,0)*Reference!$D$12)</f>
        <v>374250</v>
      </c>
      <c r="M2370" s="20"/>
      <c r="N2370" s="20"/>
      <c r="O2370" s="19"/>
      <c r="P2370" s="10"/>
      <c r="Q2370" s="10"/>
      <c r="R2370" s="10"/>
      <c r="S2370" s="10"/>
      <c r="T2370" s="10"/>
      <c r="U2370" s="10"/>
      <c r="V2370" s="10"/>
      <c r="W2370" s="10"/>
      <c r="X2370" s="10"/>
      <c r="Y2370" s="10"/>
    </row>
    <row r="2371" spans="1:25" x14ac:dyDescent="0.25">
      <c r="A2371" s="9">
        <v>42909</v>
      </c>
      <c r="B2371" s="10">
        <f ca="1">ROUND(_xlfn.NORM.INV(RAND(),Reference!$C$8,0.1*Reference!$C$8)*(1+Reference!$C$11*(IF(MONTH($A2371)=Reference!$C$4,1,0)+IF(MONTH($A2371)=Reference!$C$5,1,0))+(IF(MONTH($A2371)=Reference!$C$6,Reference!$C$13,0))),0)</f>
        <v>396</v>
      </c>
      <c r="C2371" s="11">
        <f ca="1">B2371*Reference!$C$7*(1-IF(MONTH($A2371)=Reference!$C$6,1,0)*Reference!$C$12)</f>
        <v>147312</v>
      </c>
      <c r="D2371" s="10">
        <f ca="1">ROUND(_xlfn.NORM.INV(RAND(),Reference!$D$8,0.1*Reference!$D$8)*(1+Reference!$D$11*(IF(MONTH($A2371)=Reference!$D$4,1,0)+IF(MONTH($A2371)=Reference!$D$5,1,0))+(IF(MONTH($A2371)=Reference!$D$6,Reference!$D$13,0))),0)</f>
        <v>385</v>
      </c>
      <c r="E2371" s="11">
        <f ca="1">D2371*Reference!$D$7*(1-IF(MONTH($A2371)=Reference!$D$6,1,0)*Reference!$D$12)</f>
        <v>288750</v>
      </c>
      <c r="M2371" s="20"/>
      <c r="N2371" s="20"/>
      <c r="O2371" s="19"/>
      <c r="P2371" s="10"/>
      <c r="Q2371" s="10"/>
      <c r="R2371" s="10"/>
      <c r="S2371" s="10"/>
      <c r="T2371" s="10"/>
      <c r="U2371" s="10"/>
      <c r="V2371" s="10"/>
      <c r="W2371" s="10"/>
      <c r="X2371" s="10"/>
      <c r="Y2371" s="10"/>
    </row>
    <row r="2372" spans="1:25" x14ac:dyDescent="0.25">
      <c r="A2372" s="9">
        <v>42910</v>
      </c>
      <c r="B2372" s="10">
        <f ca="1">ROUND(_xlfn.NORM.INV(RAND(),Reference!$C$8,0.1*Reference!$C$8)*(1+Reference!$C$11*(IF(MONTH($A2372)=Reference!$C$4,1,0)+IF(MONTH($A2372)=Reference!$C$5,1,0))+(IF(MONTH($A2372)=Reference!$C$6,Reference!$C$13,0))),0)</f>
        <v>495</v>
      </c>
      <c r="C2372" s="11">
        <f ca="1">B2372*Reference!$C$7*(1-IF(MONTH($A2372)=Reference!$C$6,1,0)*Reference!$C$12)</f>
        <v>184140</v>
      </c>
      <c r="D2372" s="10">
        <f ca="1">ROUND(_xlfn.NORM.INV(RAND(),Reference!$D$8,0.1*Reference!$D$8)*(1+Reference!$D$11*(IF(MONTH($A2372)=Reference!$D$4,1,0)+IF(MONTH($A2372)=Reference!$D$5,1,0))+(IF(MONTH($A2372)=Reference!$D$6,Reference!$D$13,0))),0)</f>
        <v>417</v>
      </c>
      <c r="E2372" s="11">
        <f ca="1">D2372*Reference!$D$7*(1-IF(MONTH($A2372)=Reference!$D$6,1,0)*Reference!$D$12)</f>
        <v>312750</v>
      </c>
      <c r="M2372" s="20"/>
      <c r="N2372" s="20"/>
      <c r="O2372" s="19"/>
      <c r="P2372" s="10"/>
      <c r="Q2372" s="10"/>
      <c r="R2372" s="10"/>
      <c r="S2372" s="10"/>
      <c r="T2372" s="10"/>
      <c r="U2372" s="10"/>
      <c r="V2372" s="10"/>
      <c r="W2372" s="10"/>
      <c r="X2372" s="10"/>
      <c r="Y2372" s="10"/>
    </row>
    <row r="2373" spans="1:25" x14ac:dyDescent="0.25">
      <c r="A2373" s="9">
        <v>42911</v>
      </c>
      <c r="B2373" s="10">
        <f ca="1">ROUND(_xlfn.NORM.INV(RAND(),Reference!$C$8,0.1*Reference!$C$8)*(1+Reference!$C$11*(IF(MONTH($A2373)=Reference!$C$4,1,0)+IF(MONTH($A2373)=Reference!$C$5,1,0))+(IF(MONTH($A2373)=Reference!$C$6,Reference!$C$13,0))),0)</f>
        <v>376</v>
      </c>
      <c r="C2373" s="11">
        <f ca="1">B2373*Reference!$C$7*(1-IF(MONTH($A2373)=Reference!$C$6,1,0)*Reference!$C$12)</f>
        <v>139872</v>
      </c>
      <c r="D2373" s="10">
        <f ca="1">ROUND(_xlfn.NORM.INV(RAND(),Reference!$D$8,0.1*Reference!$D$8)*(1+Reference!$D$11*(IF(MONTH($A2373)=Reference!$D$4,1,0)+IF(MONTH($A2373)=Reference!$D$5,1,0))+(IF(MONTH($A2373)=Reference!$D$6,Reference!$D$13,0))),0)</f>
        <v>471</v>
      </c>
      <c r="E2373" s="11">
        <f ca="1">D2373*Reference!$D$7*(1-IF(MONTH($A2373)=Reference!$D$6,1,0)*Reference!$D$12)</f>
        <v>353250</v>
      </c>
      <c r="M2373" s="20"/>
      <c r="N2373" s="20"/>
      <c r="O2373" s="19"/>
      <c r="P2373" s="10"/>
      <c r="Q2373" s="10"/>
      <c r="R2373" s="10"/>
      <c r="S2373" s="10"/>
      <c r="T2373" s="10"/>
      <c r="U2373" s="10"/>
      <c r="V2373" s="10"/>
      <c r="W2373" s="10"/>
      <c r="X2373" s="10"/>
      <c r="Y2373" s="10"/>
    </row>
    <row r="2374" spans="1:25" x14ac:dyDescent="0.25">
      <c r="A2374" s="9">
        <v>42912</v>
      </c>
      <c r="B2374" s="10">
        <f ca="1">ROUND(_xlfn.NORM.INV(RAND(),Reference!$C$8,0.1*Reference!$C$8)*(1+Reference!$C$11*(IF(MONTH($A2374)=Reference!$C$4,1,0)+IF(MONTH($A2374)=Reference!$C$5,1,0))+(IF(MONTH($A2374)=Reference!$C$6,Reference!$C$13,0))),0)</f>
        <v>400</v>
      </c>
      <c r="C2374" s="11">
        <f ca="1">B2374*Reference!$C$7*(1-IF(MONTH($A2374)=Reference!$C$6,1,0)*Reference!$C$12)</f>
        <v>148800</v>
      </c>
      <c r="D2374" s="10">
        <f ca="1">ROUND(_xlfn.NORM.INV(RAND(),Reference!$D$8,0.1*Reference!$D$8)*(1+Reference!$D$11*(IF(MONTH($A2374)=Reference!$D$4,1,0)+IF(MONTH($A2374)=Reference!$D$5,1,0))+(IF(MONTH($A2374)=Reference!$D$6,Reference!$D$13,0))),0)</f>
        <v>441</v>
      </c>
      <c r="E2374" s="11">
        <f ca="1">D2374*Reference!$D$7*(1-IF(MONTH($A2374)=Reference!$D$6,1,0)*Reference!$D$12)</f>
        <v>330750</v>
      </c>
      <c r="M2374" s="20"/>
      <c r="N2374" s="20"/>
      <c r="O2374" s="19"/>
      <c r="P2374" s="10"/>
      <c r="Q2374" s="10"/>
      <c r="R2374" s="10"/>
      <c r="S2374" s="10"/>
      <c r="T2374" s="10"/>
      <c r="U2374" s="10"/>
      <c r="V2374" s="10"/>
      <c r="W2374" s="10"/>
      <c r="X2374" s="10"/>
      <c r="Y2374" s="10"/>
    </row>
    <row r="2375" spans="1:25" x14ac:dyDescent="0.25">
      <c r="A2375" s="9">
        <v>42913</v>
      </c>
      <c r="B2375" s="10">
        <f ca="1">ROUND(_xlfn.NORM.INV(RAND(),Reference!$C$8,0.1*Reference!$C$8)*(1+Reference!$C$11*(IF(MONTH($A2375)=Reference!$C$4,1,0)+IF(MONTH($A2375)=Reference!$C$5,1,0))+(IF(MONTH($A2375)=Reference!$C$6,Reference!$C$13,0))),0)</f>
        <v>384</v>
      </c>
      <c r="C2375" s="11">
        <f ca="1">B2375*Reference!$C$7*(1-IF(MONTH($A2375)=Reference!$C$6,1,0)*Reference!$C$12)</f>
        <v>142848</v>
      </c>
      <c r="D2375" s="10">
        <f ca="1">ROUND(_xlfn.NORM.INV(RAND(),Reference!$D$8,0.1*Reference!$D$8)*(1+Reference!$D$11*(IF(MONTH($A2375)=Reference!$D$4,1,0)+IF(MONTH($A2375)=Reference!$D$5,1,0))+(IF(MONTH($A2375)=Reference!$D$6,Reference!$D$13,0))),0)</f>
        <v>401</v>
      </c>
      <c r="E2375" s="11">
        <f ca="1">D2375*Reference!$D$7*(1-IF(MONTH($A2375)=Reference!$D$6,1,0)*Reference!$D$12)</f>
        <v>300750</v>
      </c>
      <c r="M2375" s="20"/>
      <c r="N2375" s="20"/>
      <c r="O2375" s="19"/>
      <c r="P2375" s="10"/>
      <c r="Q2375" s="10"/>
      <c r="R2375" s="10"/>
      <c r="S2375" s="10"/>
      <c r="T2375" s="10"/>
      <c r="U2375" s="10"/>
      <c r="V2375" s="10"/>
      <c r="W2375" s="10"/>
      <c r="X2375" s="10"/>
      <c r="Y2375" s="10"/>
    </row>
    <row r="2376" spans="1:25" x14ac:dyDescent="0.25">
      <c r="A2376" s="9">
        <v>42914</v>
      </c>
      <c r="B2376" s="10">
        <f ca="1">ROUND(_xlfn.NORM.INV(RAND(),Reference!$C$8,0.1*Reference!$C$8)*(1+Reference!$C$11*(IF(MONTH($A2376)=Reference!$C$4,1,0)+IF(MONTH($A2376)=Reference!$C$5,1,0))+(IF(MONTH($A2376)=Reference!$C$6,Reference!$C$13,0))),0)</f>
        <v>483</v>
      </c>
      <c r="C2376" s="11">
        <f ca="1">B2376*Reference!$C$7*(1-IF(MONTH($A2376)=Reference!$C$6,1,0)*Reference!$C$12)</f>
        <v>179676</v>
      </c>
      <c r="D2376" s="10">
        <f ca="1">ROUND(_xlfn.NORM.INV(RAND(),Reference!$D$8,0.1*Reference!$D$8)*(1+Reference!$D$11*(IF(MONTH($A2376)=Reference!$D$4,1,0)+IF(MONTH($A2376)=Reference!$D$5,1,0))+(IF(MONTH($A2376)=Reference!$D$6,Reference!$D$13,0))),0)</f>
        <v>454</v>
      </c>
      <c r="E2376" s="11">
        <f ca="1">D2376*Reference!$D$7*(1-IF(MONTH($A2376)=Reference!$D$6,1,0)*Reference!$D$12)</f>
        <v>340500</v>
      </c>
      <c r="M2376" s="20"/>
      <c r="N2376" s="20"/>
      <c r="O2376" s="19"/>
      <c r="P2376" s="10"/>
      <c r="Q2376" s="10"/>
      <c r="R2376" s="10"/>
      <c r="S2376" s="10"/>
      <c r="T2376" s="10"/>
      <c r="U2376" s="10"/>
      <c r="V2376" s="10"/>
      <c r="W2376" s="10"/>
      <c r="X2376" s="10"/>
      <c r="Y2376" s="10"/>
    </row>
    <row r="2377" spans="1:25" x14ac:dyDescent="0.25">
      <c r="A2377" s="9">
        <v>42915</v>
      </c>
      <c r="B2377" s="10">
        <f ca="1">ROUND(_xlfn.NORM.INV(RAND(),Reference!$C$8,0.1*Reference!$C$8)*(1+Reference!$C$11*(IF(MONTH($A2377)=Reference!$C$4,1,0)+IF(MONTH($A2377)=Reference!$C$5,1,0))+(IF(MONTH($A2377)=Reference!$C$6,Reference!$C$13,0))),0)</f>
        <v>473</v>
      </c>
      <c r="C2377" s="11">
        <f ca="1">B2377*Reference!$C$7*(1-IF(MONTH($A2377)=Reference!$C$6,1,0)*Reference!$C$12)</f>
        <v>175956</v>
      </c>
      <c r="D2377" s="10">
        <f ca="1">ROUND(_xlfn.NORM.INV(RAND(),Reference!$D$8,0.1*Reference!$D$8)*(1+Reference!$D$11*(IF(MONTH($A2377)=Reference!$D$4,1,0)+IF(MONTH($A2377)=Reference!$D$5,1,0))+(IF(MONTH($A2377)=Reference!$D$6,Reference!$D$13,0))),0)</f>
        <v>495</v>
      </c>
      <c r="E2377" s="11">
        <f ca="1">D2377*Reference!$D$7*(1-IF(MONTH($A2377)=Reference!$D$6,1,0)*Reference!$D$12)</f>
        <v>371250</v>
      </c>
      <c r="M2377" s="20"/>
      <c r="N2377" s="20"/>
      <c r="O2377" s="19"/>
      <c r="P2377" s="10"/>
      <c r="Q2377" s="10"/>
      <c r="R2377" s="10"/>
      <c r="S2377" s="10"/>
      <c r="T2377" s="10"/>
      <c r="U2377" s="10"/>
      <c r="V2377" s="10"/>
      <c r="W2377" s="10"/>
      <c r="X2377" s="10"/>
      <c r="Y2377" s="10"/>
    </row>
    <row r="2378" spans="1:25" x14ac:dyDescent="0.25">
      <c r="A2378" s="9">
        <v>42916</v>
      </c>
      <c r="B2378" s="10">
        <f ca="1">ROUND(_xlfn.NORM.INV(RAND(),Reference!$C$8,0.1*Reference!$C$8)*(1+Reference!$C$11*(IF(MONTH($A2378)=Reference!$C$4,1,0)+IF(MONTH($A2378)=Reference!$C$5,1,0))+(IF(MONTH($A2378)=Reference!$C$6,Reference!$C$13,0))),0)</f>
        <v>480</v>
      </c>
      <c r="C2378" s="11">
        <f ca="1">B2378*Reference!$C$7*(1-IF(MONTH($A2378)=Reference!$C$6,1,0)*Reference!$C$12)</f>
        <v>178560</v>
      </c>
      <c r="D2378" s="10">
        <f ca="1">ROUND(_xlfn.NORM.INV(RAND(),Reference!$D$8,0.1*Reference!$D$8)*(1+Reference!$D$11*(IF(MONTH($A2378)=Reference!$D$4,1,0)+IF(MONTH($A2378)=Reference!$D$5,1,0))+(IF(MONTH($A2378)=Reference!$D$6,Reference!$D$13,0))),0)</f>
        <v>425</v>
      </c>
      <c r="E2378" s="11">
        <f ca="1">D2378*Reference!$D$7*(1-IF(MONTH($A2378)=Reference!$D$6,1,0)*Reference!$D$12)</f>
        <v>318750</v>
      </c>
      <c r="M2378" s="20"/>
      <c r="N2378" s="20"/>
      <c r="O2378" s="19"/>
      <c r="P2378" s="10"/>
      <c r="Q2378" s="10"/>
      <c r="R2378" s="10"/>
      <c r="S2378" s="10"/>
      <c r="T2378" s="10"/>
      <c r="U2378" s="10"/>
      <c r="V2378" s="10"/>
      <c r="W2378" s="10"/>
      <c r="X2378" s="10"/>
      <c r="Y2378" s="10"/>
    </row>
    <row r="2379" spans="1:25" x14ac:dyDescent="0.25">
      <c r="A2379" s="9">
        <v>42917</v>
      </c>
      <c r="B2379" s="10">
        <f ca="1">ROUND(_xlfn.NORM.INV(RAND(),Reference!$C$8,0.1*Reference!$C$8)*(1+Reference!$C$11*(IF(MONTH($A2379)=Reference!$C$4,1,0)+IF(MONTH($A2379)=Reference!$C$5,1,0))+(IF(MONTH($A2379)=Reference!$C$6,Reference!$C$13,0))),0)</f>
        <v>417</v>
      </c>
      <c r="C2379" s="11">
        <f ca="1">B2379*Reference!$C$7*(1-IF(MONTH($A2379)=Reference!$C$6,1,0)*Reference!$C$12)</f>
        <v>387810</v>
      </c>
      <c r="D2379" s="10">
        <f ca="1">ROUND(_xlfn.NORM.INV(RAND(),Reference!$D$8,0.1*Reference!$D$8)*(1+Reference!$D$11*(IF(MONTH($A2379)=Reference!$D$4,1,0)+IF(MONTH($A2379)=Reference!$D$5,1,0))+(IF(MONTH($A2379)=Reference!$D$6,Reference!$D$13,0))),0)</f>
        <v>586</v>
      </c>
      <c r="E2379" s="11">
        <f ca="1">D2379*Reference!$D$7*(1-IF(MONTH($A2379)=Reference!$D$6,1,0)*Reference!$D$12)</f>
        <v>439500</v>
      </c>
      <c r="M2379" s="20"/>
      <c r="N2379" s="20"/>
      <c r="O2379" s="19"/>
      <c r="P2379" s="10"/>
      <c r="Q2379" s="10"/>
      <c r="R2379" s="10"/>
      <c r="S2379" s="10"/>
      <c r="T2379" s="10"/>
      <c r="U2379" s="10"/>
      <c r="V2379" s="10"/>
      <c r="W2379" s="10"/>
      <c r="X2379" s="10"/>
      <c r="Y2379" s="10"/>
    </row>
    <row r="2380" spans="1:25" x14ac:dyDescent="0.25">
      <c r="A2380" s="9">
        <v>42918</v>
      </c>
      <c r="B2380" s="10">
        <f ca="1">ROUND(_xlfn.NORM.INV(RAND(),Reference!$C$8,0.1*Reference!$C$8)*(1+Reference!$C$11*(IF(MONTH($A2380)=Reference!$C$4,1,0)+IF(MONTH($A2380)=Reference!$C$5,1,0))+(IF(MONTH($A2380)=Reference!$C$6,Reference!$C$13,0))),0)</f>
        <v>323</v>
      </c>
      <c r="C2380" s="11">
        <f ca="1">B2380*Reference!$C$7*(1-IF(MONTH($A2380)=Reference!$C$6,1,0)*Reference!$C$12)</f>
        <v>300390</v>
      </c>
      <c r="D2380" s="10">
        <f ca="1">ROUND(_xlfn.NORM.INV(RAND(),Reference!$D$8,0.1*Reference!$D$8)*(1+Reference!$D$11*(IF(MONTH($A2380)=Reference!$D$4,1,0)+IF(MONTH($A2380)=Reference!$D$5,1,0))+(IF(MONTH($A2380)=Reference!$D$6,Reference!$D$13,0))),0)</f>
        <v>506</v>
      </c>
      <c r="E2380" s="11">
        <f ca="1">D2380*Reference!$D$7*(1-IF(MONTH($A2380)=Reference!$D$6,1,0)*Reference!$D$12)</f>
        <v>379500</v>
      </c>
      <c r="M2380" s="20"/>
      <c r="N2380" s="20"/>
      <c r="O2380" s="19"/>
      <c r="P2380" s="10"/>
      <c r="Q2380" s="10"/>
      <c r="R2380" s="10"/>
      <c r="S2380" s="10"/>
      <c r="T2380" s="10"/>
      <c r="U2380" s="10"/>
      <c r="V2380" s="10"/>
      <c r="W2380" s="10"/>
      <c r="X2380" s="10"/>
      <c r="Y2380" s="10"/>
    </row>
    <row r="2381" spans="1:25" x14ac:dyDescent="0.25">
      <c r="A2381" s="9">
        <v>42919</v>
      </c>
      <c r="B2381" s="10">
        <f ca="1">ROUND(_xlfn.NORM.INV(RAND(),Reference!$C$8,0.1*Reference!$C$8)*(1+Reference!$C$11*(IF(MONTH($A2381)=Reference!$C$4,1,0)+IF(MONTH($A2381)=Reference!$C$5,1,0))+(IF(MONTH($A2381)=Reference!$C$6,Reference!$C$13,0))),0)</f>
        <v>360</v>
      </c>
      <c r="C2381" s="11">
        <f ca="1">B2381*Reference!$C$7*(1-IF(MONTH($A2381)=Reference!$C$6,1,0)*Reference!$C$12)</f>
        <v>334800</v>
      </c>
      <c r="D2381" s="10">
        <f ca="1">ROUND(_xlfn.NORM.INV(RAND(),Reference!$D$8,0.1*Reference!$D$8)*(1+Reference!$D$11*(IF(MONTH($A2381)=Reference!$D$4,1,0)+IF(MONTH($A2381)=Reference!$D$5,1,0))+(IF(MONTH($A2381)=Reference!$D$6,Reference!$D$13,0))),0)</f>
        <v>496</v>
      </c>
      <c r="E2381" s="11">
        <f ca="1">D2381*Reference!$D$7*(1-IF(MONTH($A2381)=Reference!$D$6,1,0)*Reference!$D$12)</f>
        <v>372000</v>
      </c>
      <c r="M2381" s="20"/>
      <c r="N2381" s="20"/>
      <c r="O2381" s="19"/>
      <c r="P2381" s="10"/>
      <c r="Q2381" s="10"/>
      <c r="R2381" s="10"/>
      <c r="S2381" s="10"/>
      <c r="T2381" s="10"/>
      <c r="U2381" s="10"/>
      <c r="V2381" s="10"/>
      <c r="W2381" s="10"/>
      <c r="X2381" s="10"/>
      <c r="Y2381" s="10"/>
    </row>
    <row r="2382" spans="1:25" x14ac:dyDescent="0.25">
      <c r="A2382" s="9">
        <v>42920</v>
      </c>
      <c r="B2382" s="10">
        <f ca="1">ROUND(_xlfn.NORM.INV(RAND(),Reference!$C$8,0.1*Reference!$C$8)*(1+Reference!$C$11*(IF(MONTH($A2382)=Reference!$C$4,1,0)+IF(MONTH($A2382)=Reference!$C$5,1,0))+(IF(MONTH($A2382)=Reference!$C$6,Reference!$C$13,0))),0)</f>
        <v>301</v>
      </c>
      <c r="C2382" s="11">
        <f ca="1">B2382*Reference!$C$7*(1-IF(MONTH($A2382)=Reference!$C$6,1,0)*Reference!$C$12)</f>
        <v>279930</v>
      </c>
      <c r="D2382" s="10">
        <f ca="1">ROUND(_xlfn.NORM.INV(RAND(),Reference!$D$8,0.1*Reference!$D$8)*(1+Reference!$D$11*(IF(MONTH($A2382)=Reference!$D$4,1,0)+IF(MONTH($A2382)=Reference!$D$5,1,0))+(IF(MONTH($A2382)=Reference!$D$6,Reference!$D$13,0))),0)</f>
        <v>526</v>
      </c>
      <c r="E2382" s="11">
        <f ca="1">D2382*Reference!$D$7*(1-IF(MONTH($A2382)=Reference!$D$6,1,0)*Reference!$D$12)</f>
        <v>394500</v>
      </c>
      <c r="M2382" s="20"/>
      <c r="N2382" s="20"/>
      <c r="O2382" s="19"/>
      <c r="P2382" s="10"/>
      <c r="Q2382" s="10"/>
      <c r="R2382" s="10"/>
      <c r="S2382" s="10"/>
      <c r="T2382" s="10"/>
      <c r="U2382" s="10"/>
      <c r="V2382" s="10"/>
      <c r="W2382" s="10"/>
      <c r="X2382" s="10"/>
      <c r="Y2382" s="10"/>
    </row>
    <row r="2383" spans="1:25" x14ac:dyDescent="0.25">
      <c r="A2383" s="9">
        <v>42921</v>
      </c>
      <c r="B2383" s="10">
        <f ca="1">ROUND(_xlfn.NORM.INV(RAND(),Reference!$C$8,0.1*Reference!$C$8)*(1+Reference!$C$11*(IF(MONTH($A2383)=Reference!$C$4,1,0)+IF(MONTH($A2383)=Reference!$C$5,1,0))+(IF(MONTH($A2383)=Reference!$C$6,Reference!$C$13,0))),0)</f>
        <v>343</v>
      </c>
      <c r="C2383" s="11">
        <f ca="1">B2383*Reference!$C$7*(1-IF(MONTH($A2383)=Reference!$C$6,1,0)*Reference!$C$12)</f>
        <v>318990</v>
      </c>
      <c r="D2383" s="10">
        <f ca="1">ROUND(_xlfn.NORM.INV(RAND(),Reference!$D$8,0.1*Reference!$D$8)*(1+Reference!$D$11*(IF(MONTH($A2383)=Reference!$D$4,1,0)+IF(MONTH($A2383)=Reference!$D$5,1,0))+(IF(MONTH($A2383)=Reference!$D$6,Reference!$D$13,0))),0)</f>
        <v>561</v>
      </c>
      <c r="E2383" s="11">
        <f ca="1">D2383*Reference!$D$7*(1-IF(MONTH($A2383)=Reference!$D$6,1,0)*Reference!$D$12)</f>
        <v>420750</v>
      </c>
      <c r="M2383" s="20"/>
      <c r="N2383" s="20"/>
      <c r="O2383" s="19"/>
      <c r="P2383" s="10"/>
      <c r="Q2383" s="10"/>
      <c r="R2383" s="10"/>
      <c r="S2383" s="10"/>
      <c r="T2383" s="10"/>
      <c r="U2383" s="10"/>
      <c r="V2383" s="10"/>
      <c r="W2383" s="10"/>
      <c r="X2383" s="10"/>
      <c r="Y2383" s="10"/>
    </row>
    <row r="2384" spans="1:25" x14ac:dyDescent="0.25">
      <c r="A2384" s="9">
        <v>42922</v>
      </c>
      <c r="B2384" s="10">
        <f ca="1">ROUND(_xlfn.NORM.INV(RAND(),Reference!$C$8,0.1*Reference!$C$8)*(1+Reference!$C$11*(IF(MONTH($A2384)=Reference!$C$4,1,0)+IF(MONTH($A2384)=Reference!$C$5,1,0))+(IF(MONTH($A2384)=Reference!$C$6,Reference!$C$13,0))),0)</f>
        <v>369</v>
      </c>
      <c r="C2384" s="11">
        <f ca="1">B2384*Reference!$C$7*(1-IF(MONTH($A2384)=Reference!$C$6,1,0)*Reference!$C$12)</f>
        <v>343170</v>
      </c>
      <c r="D2384" s="10">
        <f ca="1">ROUND(_xlfn.NORM.INV(RAND(),Reference!$D$8,0.1*Reference!$D$8)*(1+Reference!$D$11*(IF(MONTH($A2384)=Reference!$D$4,1,0)+IF(MONTH($A2384)=Reference!$D$5,1,0))+(IF(MONTH($A2384)=Reference!$D$6,Reference!$D$13,0))),0)</f>
        <v>445</v>
      </c>
      <c r="E2384" s="11">
        <f ca="1">D2384*Reference!$D$7*(1-IF(MONTH($A2384)=Reference!$D$6,1,0)*Reference!$D$12)</f>
        <v>333750</v>
      </c>
      <c r="M2384" s="20"/>
      <c r="N2384" s="20"/>
      <c r="O2384" s="19"/>
      <c r="P2384" s="10"/>
      <c r="Q2384" s="10"/>
      <c r="R2384" s="10"/>
      <c r="S2384" s="10"/>
      <c r="T2384" s="10"/>
      <c r="U2384" s="10"/>
      <c r="V2384" s="10"/>
      <c r="W2384" s="10"/>
      <c r="X2384" s="10"/>
      <c r="Y2384" s="10"/>
    </row>
    <row r="2385" spans="1:25" x14ac:dyDescent="0.25">
      <c r="A2385" s="9">
        <v>42923</v>
      </c>
      <c r="B2385" s="10">
        <f ca="1">ROUND(_xlfn.NORM.INV(RAND(),Reference!$C$8,0.1*Reference!$C$8)*(1+Reference!$C$11*(IF(MONTH($A2385)=Reference!$C$4,1,0)+IF(MONTH($A2385)=Reference!$C$5,1,0))+(IF(MONTH($A2385)=Reference!$C$6,Reference!$C$13,0))),0)</f>
        <v>362</v>
      </c>
      <c r="C2385" s="11">
        <f ca="1">B2385*Reference!$C$7*(1-IF(MONTH($A2385)=Reference!$C$6,1,0)*Reference!$C$12)</f>
        <v>336660</v>
      </c>
      <c r="D2385" s="10">
        <f ca="1">ROUND(_xlfn.NORM.INV(RAND(),Reference!$D$8,0.1*Reference!$D$8)*(1+Reference!$D$11*(IF(MONTH($A2385)=Reference!$D$4,1,0)+IF(MONTH($A2385)=Reference!$D$5,1,0))+(IF(MONTH($A2385)=Reference!$D$6,Reference!$D$13,0))),0)</f>
        <v>503</v>
      </c>
      <c r="E2385" s="11">
        <f ca="1">D2385*Reference!$D$7*(1-IF(MONTH($A2385)=Reference!$D$6,1,0)*Reference!$D$12)</f>
        <v>377250</v>
      </c>
      <c r="M2385" s="20"/>
      <c r="N2385" s="20"/>
      <c r="O2385" s="19"/>
      <c r="P2385" s="10"/>
      <c r="Q2385" s="10"/>
      <c r="R2385" s="10"/>
      <c r="S2385" s="10"/>
      <c r="T2385" s="10"/>
      <c r="U2385" s="10"/>
      <c r="V2385" s="10"/>
      <c r="W2385" s="10"/>
      <c r="X2385" s="10"/>
      <c r="Y2385" s="10"/>
    </row>
    <row r="2386" spans="1:25" x14ac:dyDescent="0.25">
      <c r="A2386" s="9">
        <v>42924</v>
      </c>
      <c r="B2386" s="10">
        <f ca="1">ROUND(_xlfn.NORM.INV(RAND(),Reference!$C$8,0.1*Reference!$C$8)*(1+Reference!$C$11*(IF(MONTH($A2386)=Reference!$C$4,1,0)+IF(MONTH($A2386)=Reference!$C$5,1,0))+(IF(MONTH($A2386)=Reference!$C$6,Reference!$C$13,0))),0)</f>
        <v>373</v>
      </c>
      <c r="C2386" s="11">
        <f ca="1">B2386*Reference!$C$7*(1-IF(MONTH($A2386)=Reference!$C$6,1,0)*Reference!$C$12)</f>
        <v>346890</v>
      </c>
      <c r="D2386" s="10">
        <f ca="1">ROUND(_xlfn.NORM.INV(RAND(),Reference!$D$8,0.1*Reference!$D$8)*(1+Reference!$D$11*(IF(MONTH($A2386)=Reference!$D$4,1,0)+IF(MONTH($A2386)=Reference!$D$5,1,0))+(IF(MONTH($A2386)=Reference!$D$6,Reference!$D$13,0))),0)</f>
        <v>466</v>
      </c>
      <c r="E2386" s="11">
        <f ca="1">D2386*Reference!$D$7*(1-IF(MONTH($A2386)=Reference!$D$6,1,0)*Reference!$D$12)</f>
        <v>349500</v>
      </c>
      <c r="M2386" s="20"/>
      <c r="N2386" s="20"/>
      <c r="O2386" s="19"/>
      <c r="P2386" s="10"/>
      <c r="Q2386" s="10"/>
      <c r="R2386" s="10"/>
      <c r="S2386" s="10"/>
      <c r="T2386" s="10"/>
      <c r="U2386" s="10"/>
      <c r="V2386" s="10"/>
      <c r="W2386" s="10"/>
      <c r="X2386" s="10"/>
      <c r="Y2386" s="10"/>
    </row>
    <row r="2387" spans="1:25" x14ac:dyDescent="0.25">
      <c r="A2387" s="9">
        <v>42925</v>
      </c>
      <c r="B2387" s="10">
        <f ca="1">ROUND(_xlfn.NORM.INV(RAND(),Reference!$C$8,0.1*Reference!$C$8)*(1+Reference!$C$11*(IF(MONTH($A2387)=Reference!$C$4,1,0)+IF(MONTH($A2387)=Reference!$C$5,1,0))+(IF(MONTH($A2387)=Reference!$C$6,Reference!$C$13,0))),0)</f>
        <v>395</v>
      </c>
      <c r="C2387" s="11">
        <f ca="1">B2387*Reference!$C$7*(1-IF(MONTH($A2387)=Reference!$C$6,1,0)*Reference!$C$12)</f>
        <v>367350</v>
      </c>
      <c r="D2387" s="10">
        <f ca="1">ROUND(_xlfn.NORM.INV(RAND(),Reference!$D$8,0.1*Reference!$D$8)*(1+Reference!$D$11*(IF(MONTH($A2387)=Reference!$D$4,1,0)+IF(MONTH($A2387)=Reference!$D$5,1,0))+(IF(MONTH($A2387)=Reference!$D$6,Reference!$D$13,0))),0)</f>
        <v>407</v>
      </c>
      <c r="E2387" s="11">
        <f ca="1">D2387*Reference!$D$7*(1-IF(MONTH($A2387)=Reference!$D$6,1,0)*Reference!$D$12)</f>
        <v>305250</v>
      </c>
      <c r="M2387" s="20"/>
      <c r="N2387" s="20"/>
      <c r="O2387" s="19"/>
      <c r="P2387" s="10"/>
      <c r="Q2387" s="10"/>
      <c r="R2387" s="10"/>
      <c r="S2387" s="10"/>
      <c r="T2387" s="10"/>
      <c r="U2387" s="10"/>
      <c r="V2387" s="10"/>
      <c r="W2387" s="10"/>
      <c r="X2387" s="10"/>
      <c r="Y2387" s="10"/>
    </row>
    <row r="2388" spans="1:25" x14ac:dyDescent="0.25">
      <c r="A2388" s="9">
        <v>42926</v>
      </c>
      <c r="B2388" s="10">
        <f ca="1">ROUND(_xlfn.NORM.INV(RAND(),Reference!$C$8,0.1*Reference!$C$8)*(1+Reference!$C$11*(IF(MONTH($A2388)=Reference!$C$4,1,0)+IF(MONTH($A2388)=Reference!$C$5,1,0))+(IF(MONTH($A2388)=Reference!$C$6,Reference!$C$13,0))),0)</f>
        <v>382</v>
      </c>
      <c r="C2388" s="11">
        <f ca="1">B2388*Reference!$C$7*(1-IF(MONTH($A2388)=Reference!$C$6,1,0)*Reference!$C$12)</f>
        <v>355260</v>
      </c>
      <c r="D2388" s="10">
        <f ca="1">ROUND(_xlfn.NORM.INV(RAND(),Reference!$D$8,0.1*Reference!$D$8)*(1+Reference!$D$11*(IF(MONTH($A2388)=Reference!$D$4,1,0)+IF(MONTH($A2388)=Reference!$D$5,1,0))+(IF(MONTH($A2388)=Reference!$D$6,Reference!$D$13,0))),0)</f>
        <v>458</v>
      </c>
      <c r="E2388" s="11">
        <f ca="1">D2388*Reference!$D$7*(1-IF(MONTH($A2388)=Reference!$D$6,1,0)*Reference!$D$12)</f>
        <v>343500</v>
      </c>
      <c r="M2388" s="20"/>
      <c r="N2388" s="20"/>
      <c r="O2388" s="19"/>
      <c r="P2388" s="10"/>
      <c r="Q2388" s="10"/>
      <c r="R2388" s="10"/>
      <c r="S2388" s="10"/>
      <c r="T2388" s="10"/>
      <c r="U2388" s="10"/>
      <c r="V2388" s="10"/>
      <c r="W2388" s="10"/>
      <c r="X2388" s="10"/>
      <c r="Y2388" s="10"/>
    </row>
    <row r="2389" spans="1:25" x14ac:dyDescent="0.25">
      <c r="A2389" s="9">
        <v>42927</v>
      </c>
      <c r="B2389" s="10">
        <f ca="1">ROUND(_xlfn.NORM.INV(RAND(),Reference!$C$8,0.1*Reference!$C$8)*(1+Reference!$C$11*(IF(MONTH($A2389)=Reference!$C$4,1,0)+IF(MONTH($A2389)=Reference!$C$5,1,0))+(IF(MONTH($A2389)=Reference!$C$6,Reference!$C$13,0))),0)</f>
        <v>368</v>
      </c>
      <c r="C2389" s="11">
        <f ca="1">B2389*Reference!$C$7*(1-IF(MONTH($A2389)=Reference!$C$6,1,0)*Reference!$C$12)</f>
        <v>342240</v>
      </c>
      <c r="D2389" s="10">
        <f ca="1">ROUND(_xlfn.NORM.INV(RAND(),Reference!$D$8,0.1*Reference!$D$8)*(1+Reference!$D$11*(IF(MONTH($A2389)=Reference!$D$4,1,0)+IF(MONTH($A2389)=Reference!$D$5,1,0))+(IF(MONTH($A2389)=Reference!$D$6,Reference!$D$13,0))),0)</f>
        <v>484</v>
      </c>
      <c r="E2389" s="11">
        <f ca="1">D2389*Reference!$D$7*(1-IF(MONTH($A2389)=Reference!$D$6,1,0)*Reference!$D$12)</f>
        <v>363000</v>
      </c>
      <c r="M2389" s="20"/>
      <c r="N2389" s="20"/>
      <c r="O2389" s="19"/>
      <c r="P2389" s="10"/>
      <c r="Q2389" s="10"/>
      <c r="R2389" s="10"/>
      <c r="S2389" s="10"/>
      <c r="T2389" s="10"/>
      <c r="U2389" s="10"/>
      <c r="V2389" s="10"/>
      <c r="W2389" s="10"/>
      <c r="X2389" s="10"/>
      <c r="Y2389" s="10"/>
    </row>
    <row r="2390" spans="1:25" x14ac:dyDescent="0.25">
      <c r="A2390" s="9">
        <v>42928</v>
      </c>
      <c r="B2390" s="10">
        <f ca="1">ROUND(_xlfn.NORM.INV(RAND(),Reference!$C$8,0.1*Reference!$C$8)*(1+Reference!$C$11*(IF(MONTH($A2390)=Reference!$C$4,1,0)+IF(MONTH($A2390)=Reference!$C$5,1,0))+(IF(MONTH($A2390)=Reference!$C$6,Reference!$C$13,0))),0)</f>
        <v>345</v>
      </c>
      <c r="C2390" s="11">
        <f ca="1">B2390*Reference!$C$7*(1-IF(MONTH($A2390)=Reference!$C$6,1,0)*Reference!$C$12)</f>
        <v>320850</v>
      </c>
      <c r="D2390" s="10">
        <f ca="1">ROUND(_xlfn.NORM.INV(RAND(),Reference!$D$8,0.1*Reference!$D$8)*(1+Reference!$D$11*(IF(MONTH($A2390)=Reference!$D$4,1,0)+IF(MONTH($A2390)=Reference!$D$5,1,0))+(IF(MONTH($A2390)=Reference!$D$6,Reference!$D$13,0))),0)</f>
        <v>448</v>
      </c>
      <c r="E2390" s="11">
        <f ca="1">D2390*Reference!$D$7*(1-IF(MONTH($A2390)=Reference!$D$6,1,0)*Reference!$D$12)</f>
        <v>336000</v>
      </c>
      <c r="M2390" s="20"/>
      <c r="N2390" s="20"/>
      <c r="O2390" s="19"/>
      <c r="P2390" s="10"/>
      <c r="Q2390" s="10"/>
      <c r="R2390" s="10"/>
      <c r="S2390" s="10"/>
      <c r="T2390" s="10"/>
      <c r="U2390" s="10"/>
      <c r="V2390" s="10"/>
      <c r="W2390" s="10"/>
      <c r="X2390" s="10"/>
      <c r="Y2390" s="10"/>
    </row>
    <row r="2391" spans="1:25" x14ac:dyDescent="0.25">
      <c r="A2391" s="9">
        <v>42929</v>
      </c>
      <c r="B2391" s="10">
        <f ca="1">ROUND(_xlfn.NORM.INV(RAND(),Reference!$C$8,0.1*Reference!$C$8)*(1+Reference!$C$11*(IF(MONTH($A2391)=Reference!$C$4,1,0)+IF(MONTH($A2391)=Reference!$C$5,1,0))+(IF(MONTH($A2391)=Reference!$C$6,Reference!$C$13,0))),0)</f>
        <v>333</v>
      </c>
      <c r="C2391" s="11">
        <f ca="1">B2391*Reference!$C$7*(1-IF(MONTH($A2391)=Reference!$C$6,1,0)*Reference!$C$12)</f>
        <v>309690</v>
      </c>
      <c r="D2391" s="10">
        <f ca="1">ROUND(_xlfn.NORM.INV(RAND(),Reference!$D$8,0.1*Reference!$D$8)*(1+Reference!$D$11*(IF(MONTH($A2391)=Reference!$D$4,1,0)+IF(MONTH($A2391)=Reference!$D$5,1,0))+(IF(MONTH($A2391)=Reference!$D$6,Reference!$D$13,0))),0)</f>
        <v>555</v>
      </c>
      <c r="E2391" s="11">
        <f ca="1">D2391*Reference!$D$7*(1-IF(MONTH($A2391)=Reference!$D$6,1,0)*Reference!$D$12)</f>
        <v>416250</v>
      </c>
      <c r="M2391" s="20"/>
      <c r="N2391" s="20"/>
      <c r="O2391" s="19"/>
      <c r="P2391" s="10"/>
      <c r="Q2391" s="10"/>
      <c r="R2391" s="10"/>
      <c r="S2391" s="10"/>
      <c r="T2391" s="10"/>
      <c r="U2391" s="10"/>
      <c r="V2391" s="10"/>
      <c r="W2391" s="10"/>
      <c r="X2391" s="10"/>
      <c r="Y2391" s="10"/>
    </row>
    <row r="2392" spans="1:25" x14ac:dyDescent="0.25">
      <c r="A2392" s="9">
        <v>42930</v>
      </c>
      <c r="B2392" s="10">
        <f ca="1">ROUND(_xlfn.NORM.INV(RAND(),Reference!$C$8,0.1*Reference!$C$8)*(1+Reference!$C$11*(IF(MONTH($A2392)=Reference!$C$4,1,0)+IF(MONTH($A2392)=Reference!$C$5,1,0))+(IF(MONTH($A2392)=Reference!$C$6,Reference!$C$13,0))),0)</f>
        <v>344</v>
      </c>
      <c r="C2392" s="11">
        <f ca="1">B2392*Reference!$C$7*(1-IF(MONTH($A2392)=Reference!$C$6,1,0)*Reference!$C$12)</f>
        <v>319920</v>
      </c>
      <c r="D2392" s="10">
        <f ca="1">ROUND(_xlfn.NORM.INV(RAND(),Reference!$D$8,0.1*Reference!$D$8)*(1+Reference!$D$11*(IF(MONTH($A2392)=Reference!$D$4,1,0)+IF(MONTH($A2392)=Reference!$D$5,1,0))+(IF(MONTH($A2392)=Reference!$D$6,Reference!$D$13,0))),0)</f>
        <v>540</v>
      </c>
      <c r="E2392" s="11">
        <f ca="1">D2392*Reference!$D$7*(1-IF(MONTH($A2392)=Reference!$D$6,1,0)*Reference!$D$12)</f>
        <v>405000</v>
      </c>
      <c r="M2392" s="20"/>
      <c r="N2392" s="20"/>
      <c r="O2392" s="19"/>
      <c r="P2392" s="10"/>
      <c r="Q2392" s="10"/>
      <c r="R2392" s="10"/>
      <c r="S2392" s="10"/>
      <c r="T2392" s="10"/>
      <c r="U2392" s="10"/>
      <c r="V2392" s="10"/>
      <c r="W2392" s="10"/>
      <c r="X2392" s="10"/>
      <c r="Y2392" s="10"/>
    </row>
    <row r="2393" spans="1:25" x14ac:dyDescent="0.25">
      <c r="A2393" s="9">
        <v>42931</v>
      </c>
      <c r="B2393" s="10">
        <f ca="1">ROUND(_xlfn.NORM.INV(RAND(),Reference!$C$8,0.1*Reference!$C$8)*(1+Reference!$C$11*(IF(MONTH($A2393)=Reference!$C$4,1,0)+IF(MONTH($A2393)=Reference!$C$5,1,0))+(IF(MONTH($A2393)=Reference!$C$6,Reference!$C$13,0))),0)</f>
        <v>340</v>
      </c>
      <c r="C2393" s="11">
        <f ca="1">B2393*Reference!$C$7*(1-IF(MONTH($A2393)=Reference!$C$6,1,0)*Reference!$C$12)</f>
        <v>316200</v>
      </c>
      <c r="D2393" s="10">
        <f ca="1">ROUND(_xlfn.NORM.INV(RAND(),Reference!$D$8,0.1*Reference!$D$8)*(1+Reference!$D$11*(IF(MONTH($A2393)=Reference!$D$4,1,0)+IF(MONTH($A2393)=Reference!$D$5,1,0))+(IF(MONTH($A2393)=Reference!$D$6,Reference!$D$13,0))),0)</f>
        <v>477</v>
      </c>
      <c r="E2393" s="11">
        <f ca="1">D2393*Reference!$D$7*(1-IF(MONTH($A2393)=Reference!$D$6,1,0)*Reference!$D$12)</f>
        <v>357750</v>
      </c>
      <c r="M2393" s="20"/>
      <c r="N2393" s="20"/>
      <c r="O2393" s="19"/>
      <c r="P2393" s="10"/>
      <c r="Q2393" s="10"/>
      <c r="R2393" s="10"/>
      <c r="S2393" s="10"/>
      <c r="T2393" s="10"/>
      <c r="U2393" s="10"/>
      <c r="V2393" s="10"/>
      <c r="W2393" s="10"/>
      <c r="X2393" s="10"/>
      <c r="Y2393" s="10"/>
    </row>
    <row r="2394" spans="1:25" x14ac:dyDescent="0.25">
      <c r="A2394" s="9">
        <v>42932</v>
      </c>
      <c r="B2394" s="10">
        <f ca="1">ROUND(_xlfn.NORM.INV(RAND(),Reference!$C$8,0.1*Reference!$C$8)*(1+Reference!$C$11*(IF(MONTH($A2394)=Reference!$C$4,1,0)+IF(MONTH($A2394)=Reference!$C$5,1,0))+(IF(MONTH($A2394)=Reference!$C$6,Reference!$C$13,0))),0)</f>
        <v>328</v>
      </c>
      <c r="C2394" s="11">
        <f ca="1">B2394*Reference!$C$7*(1-IF(MONTH($A2394)=Reference!$C$6,1,0)*Reference!$C$12)</f>
        <v>305040</v>
      </c>
      <c r="D2394" s="10">
        <f ca="1">ROUND(_xlfn.NORM.INV(RAND(),Reference!$D$8,0.1*Reference!$D$8)*(1+Reference!$D$11*(IF(MONTH($A2394)=Reference!$D$4,1,0)+IF(MONTH($A2394)=Reference!$D$5,1,0))+(IF(MONTH($A2394)=Reference!$D$6,Reference!$D$13,0))),0)</f>
        <v>573</v>
      </c>
      <c r="E2394" s="11">
        <f ca="1">D2394*Reference!$D$7*(1-IF(MONTH($A2394)=Reference!$D$6,1,0)*Reference!$D$12)</f>
        <v>429750</v>
      </c>
      <c r="M2394" s="20"/>
      <c r="N2394" s="20"/>
      <c r="O2394" s="19"/>
      <c r="P2394" s="10"/>
      <c r="Q2394" s="10"/>
      <c r="R2394" s="10"/>
      <c r="S2394" s="10"/>
      <c r="T2394" s="10"/>
      <c r="U2394" s="10"/>
      <c r="V2394" s="10"/>
      <c r="W2394" s="10"/>
      <c r="X2394" s="10"/>
      <c r="Y2394" s="10"/>
    </row>
    <row r="2395" spans="1:25" x14ac:dyDescent="0.25">
      <c r="A2395" s="9">
        <v>42933</v>
      </c>
      <c r="B2395" s="10">
        <f ca="1">ROUND(_xlfn.NORM.INV(RAND(),Reference!$C$8,0.1*Reference!$C$8)*(1+Reference!$C$11*(IF(MONTH($A2395)=Reference!$C$4,1,0)+IF(MONTH($A2395)=Reference!$C$5,1,0))+(IF(MONTH($A2395)=Reference!$C$6,Reference!$C$13,0))),0)</f>
        <v>377</v>
      </c>
      <c r="C2395" s="11">
        <f ca="1">B2395*Reference!$C$7*(1-IF(MONTH($A2395)=Reference!$C$6,1,0)*Reference!$C$12)</f>
        <v>350610</v>
      </c>
      <c r="D2395" s="10">
        <f ca="1">ROUND(_xlfn.NORM.INV(RAND(),Reference!$D$8,0.1*Reference!$D$8)*(1+Reference!$D$11*(IF(MONTH($A2395)=Reference!$D$4,1,0)+IF(MONTH($A2395)=Reference!$D$5,1,0))+(IF(MONTH($A2395)=Reference!$D$6,Reference!$D$13,0))),0)</f>
        <v>502</v>
      </c>
      <c r="E2395" s="11">
        <f ca="1">D2395*Reference!$D$7*(1-IF(MONTH($A2395)=Reference!$D$6,1,0)*Reference!$D$12)</f>
        <v>376500</v>
      </c>
      <c r="M2395" s="20"/>
      <c r="N2395" s="20"/>
      <c r="O2395" s="19"/>
      <c r="P2395" s="10"/>
      <c r="Q2395" s="10"/>
      <c r="R2395" s="10"/>
      <c r="S2395" s="10"/>
      <c r="T2395" s="10"/>
      <c r="U2395" s="10"/>
      <c r="V2395" s="10"/>
      <c r="W2395" s="10"/>
      <c r="X2395" s="10"/>
      <c r="Y2395" s="10"/>
    </row>
    <row r="2396" spans="1:25" x14ac:dyDescent="0.25">
      <c r="A2396" s="9">
        <v>42934</v>
      </c>
      <c r="B2396" s="10">
        <f ca="1">ROUND(_xlfn.NORM.INV(RAND(),Reference!$C$8,0.1*Reference!$C$8)*(1+Reference!$C$11*(IF(MONTH($A2396)=Reference!$C$4,1,0)+IF(MONTH($A2396)=Reference!$C$5,1,0))+(IF(MONTH($A2396)=Reference!$C$6,Reference!$C$13,0))),0)</f>
        <v>359</v>
      </c>
      <c r="C2396" s="11">
        <f ca="1">B2396*Reference!$C$7*(1-IF(MONTH($A2396)=Reference!$C$6,1,0)*Reference!$C$12)</f>
        <v>333870</v>
      </c>
      <c r="D2396" s="10">
        <f ca="1">ROUND(_xlfn.NORM.INV(RAND(),Reference!$D$8,0.1*Reference!$D$8)*(1+Reference!$D$11*(IF(MONTH($A2396)=Reference!$D$4,1,0)+IF(MONTH($A2396)=Reference!$D$5,1,0))+(IF(MONTH($A2396)=Reference!$D$6,Reference!$D$13,0))),0)</f>
        <v>385</v>
      </c>
      <c r="E2396" s="11">
        <f ca="1">D2396*Reference!$D$7*(1-IF(MONTH($A2396)=Reference!$D$6,1,0)*Reference!$D$12)</f>
        <v>288750</v>
      </c>
      <c r="M2396" s="20"/>
      <c r="N2396" s="20"/>
      <c r="O2396" s="19"/>
      <c r="P2396" s="10"/>
      <c r="Q2396" s="10"/>
      <c r="R2396" s="10"/>
      <c r="S2396" s="10"/>
      <c r="T2396" s="10"/>
      <c r="U2396" s="10"/>
      <c r="V2396" s="10"/>
      <c r="W2396" s="10"/>
      <c r="X2396" s="10"/>
      <c r="Y2396" s="10"/>
    </row>
    <row r="2397" spans="1:25" x14ac:dyDescent="0.25">
      <c r="A2397" s="9">
        <v>42935</v>
      </c>
      <c r="B2397" s="10">
        <f ca="1">ROUND(_xlfn.NORM.INV(RAND(),Reference!$C$8,0.1*Reference!$C$8)*(1+Reference!$C$11*(IF(MONTH($A2397)=Reference!$C$4,1,0)+IF(MONTH($A2397)=Reference!$C$5,1,0))+(IF(MONTH($A2397)=Reference!$C$6,Reference!$C$13,0))),0)</f>
        <v>391</v>
      </c>
      <c r="C2397" s="11">
        <f ca="1">B2397*Reference!$C$7*(1-IF(MONTH($A2397)=Reference!$C$6,1,0)*Reference!$C$12)</f>
        <v>363630</v>
      </c>
      <c r="D2397" s="10">
        <f ca="1">ROUND(_xlfn.NORM.INV(RAND(),Reference!$D$8,0.1*Reference!$D$8)*(1+Reference!$D$11*(IF(MONTH($A2397)=Reference!$D$4,1,0)+IF(MONTH($A2397)=Reference!$D$5,1,0))+(IF(MONTH($A2397)=Reference!$D$6,Reference!$D$13,0))),0)</f>
        <v>513</v>
      </c>
      <c r="E2397" s="11">
        <f ca="1">D2397*Reference!$D$7*(1-IF(MONTH($A2397)=Reference!$D$6,1,0)*Reference!$D$12)</f>
        <v>384750</v>
      </c>
      <c r="M2397" s="20"/>
      <c r="N2397" s="20"/>
      <c r="O2397" s="19"/>
      <c r="P2397" s="10"/>
      <c r="Q2397" s="10"/>
      <c r="R2397" s="10"/>
      <c r="S2397" s="10"/>
      <c r="T2397" s="10"/>
      <c r="U2397" s="10"/>
      <c r="V2397" s="10"/>
      <c r="W2397" s="10"/>
      <c r="X2397" s="10"/>
      <c r="Y2397" s="10"/>
    </row>
    <row r="2398" spans="1:25" x14ac:dyDescent="0.25">
      <c r="A2398" s="9">
        <v>42936</v>
      </c>
      <c r="B2398" s="10">
        <f ca="1">ROUND(_xlfn.NORM.INV(RAND(),Reference!$C$8,0.1*Reference!$C$8)*(1+Reference!$C$11*(IF(MONTH($A2398)=Reference!$C$4,1,0)+IF(MONTH($A2398)=Reference!$C$5,1,0))+(IF(MONTH($A2398)=Reference!$C$6,Reference!$C$13,0))),0)</f>
        <v>347</v>
      </c>
      <c r="C2398" s="11">
        <f ca="1">B2398*Reference!$C$7*(1-IF(MONTH($A2398)=Reference!$C$6,1,0)*Reference!$C$12)</f>
        <v>322710</v>
      </c>
      <c r="D2398" s="10">
        <f ca="1">ROUND(_xlfn.NORM.INV(RAND(),Reference!$D$8,0.1*Reference!$D$8)*(1+Reference!$D$11*(IF(MONTH($A2398)=Reference!$D$4,1,0)+IF(MONTH($A2398)=Reference!$D$5,1,0))+(IF(MONTH($A2398)=Reference!$D$6,Reference!$D$13,0))),0)</f>
        <v>524</v>
      </c>
      <c r="E2398" s="11">
        <f ca="1">D2398*Reference!$D$7*(1-IF(MONTH($A2398)=Reference!$D$6,1,0)*Reference!$D$12)</f>
        <v>393000</v>
      </c>
      <c r="M2398" s="20"/>
      <c r="N2398" s="20"/>
      <c r="O2398" s="19"/>
      <c r="P2398" s="10"/>
      <c r="Q2398" s="10"/>
      <c r="R2398" s="10"/>
      <c r="S2398" s="10"/>
      <c r="T2398" s="10"/>
      <c r="U2398" s="10"/>
      <c r="V2398" s="10"/>
      <c r="W2398" s="10"/>
      <c r="X2398" s="10"/>
      <c r="Y2398" s="10"/>
    </row>
    <row r="2399" spans="1:25" x14ac:dyDescent="0.25">
      <c r="A2399" s="9">
        <v>42937</v>
      </c>
      <c r="B2399" s="10">
        <f ca="1">ROUND(_xlfn.NORM.INV(RAND(),Reference!$C$8,0.1*Reference!$C$8)*(1+Reference!$C$11*(IF(MONTH($A2399)=Reference!$C$4,1,0)+IF(MONTH($A2399)=Reference!$C$5,1,0))+(IF(MONTH($A2399)=Reference!$C$6,Reference!$C$13,0))),0)</f>
        <v>314</v>
      </c>
      <c r="C2399" s="11">
        <f ca="1">B2399*Reference!$C$7*(1-IF(MONTH($A2399)=Reference!$C$6,1,0)*Reference!$C$12)</f>
        <v>292020</v>
      </c>
      <c r="D2399" s="10">
        <f ca="1">ROUND(_xlfn.NORM.INV(RAND(),Reference!$D$8,0.1*Reference!$D$8)*(1+Reference!$D$11*(IF(MONTH($A2399)=Reference!$D$4,1,0)+IF(MONTH($A2399)=Reference!$D$5,1,0))+(IF(MONTH($A2399)=Reference!$D$6,Reference!$D$13,0))),0)</f>
        <v>503</v>
      </c>
      <c r="E2399" s="11">
        <f ca="1">D2399*Reference!$D$7*(1-IF(MONTH($A2399)=Reference!$D$6,1,0)*Reference!$D$12)</f>
        <v>377250</v>
      </c>
      <c r="M2399" s="20"/>
      <c r="N2399" s="20"/>
      <c r="O2399" s="19"/>
      <c r="P2399" s="10"/>
      <c r="Q2399" s="10"/>
      <c r="R2399" s="10"/>
      <c r="S2399" s="10"/>
      <c r="T2399" s="10"/>
      <c r="U2399" s="10"/>
      <c r="V2399" s="10"/>
      <c r="W2399" s="10"/>
      <c r="X2399" s="10"/>
      <c r="Y2399" s="10"/>
    </row>
    <row r="2400" spans="1:25" x14ac:dyDescent="0.25">
      <c r="A2400" s="9">
        <v>42938</v>
      </c>
      <c r="B2400" s="10">
        <f ca="1">ROUND(_xlfn.NORM.INV(RAND(),Reference!$C$8,0.1*Reference!$C$8)*(1+Reference!$C$11*(IF(MONTH($A2400)=Reference!$C$4,1,0)+IF(MONTH($A2400)=Reference!$C$5,1,0))+(IF(MONTH($A2400)=Reference!$C$6,Reference!$C$13,0))),0)</f>
        <v>311</v>
      </c>
      <c r="C2400" s="11">
        <f ca="1">B2400*Reference!$C$7*(1-IF(MONTH($A2400)=Reference!$C$6,1,0)*Reference!$C$12)</f>
        <v>289230</v>
      </c>
      <c r="D2400" s="10">
        <f ca="1">ROUND(_xlfn.NORM.INV(RAND(),Reference!$D$8,0.1*Reference!$D$8)*(1+Reference!$D$11*(IF(MONTH($A2400)=Reference!$D$4,1,0)+IF(MONTH($A2400)=Reference!$D$5,1,0))+(IF(MONTH($A2400)=Reference!$D$6,Reference!$D$13,0))),0)</f>
        <v>476</v>
      </c>
      <c r="E2400" s="11">
        <f ca="1">D2400*Reference!$D$7*(1-IF(MONTH($A2400)=Reference!$D$6,1,0)*Reference!$D$12)</f>
        <v>357000</v>
      </c>
      <c r="M2400" s="20"/>
      <c r="N2400" s="20"/>
      <c r="O2400" s="19"/>
      <c r="P2400" s="10"/>
      <c r="Q2400" s="10"/>
      <c r="R2400" s="10"/>
      <c r="S2400" s="10"/>
      <c r="T2400" s="10"/>
      <c r="U2400" s="10"/>
      <c r="V2400" s="10"/>
      <c r="W2400" s="10"/>
      <c r="X2400" s="10"/>
      <c r="Y2400" s="10"/>
    </row>
    <row r="2401" spans="1:25" x14ac:dyDescent="0.25">
      <c r="A2401" s="9">
        <v>42939</v>
      </c>
      <c r="B2401" s="10">
        <f ca="1">ROUND(_xlfn.NORM.INV(RAND(),Reference!$C$8,0.1*Reference!$C$8)*(1+Reference!$C$11*(IF(MONTH($A2401)=Reference!$C$4,1,0)+IF(MONTH($A2401)=Reference!$C$5,1,0))+(IF(MONTH($A2401)=Reference!$C$6,Reference!$C$13,0))),0)</f>
        <v>356</v>
      </c>
      <c r="C2401" s="11">
        <f ca="1">B2401*Reference!$C$7*(1-IF(MONTH($A2401)=Reference!$C$6,1,0)*Reference!$C$12)</f>
        <v>331080</v>
      </c>
      <c r="D2401" s="10">
        <f ca="1">ROUND(_xlfn.NORM.INV(RAND(),Reference!$D$8,0.1*Reference!$D$8)*(1+Reference!$D$11*(IF(MONTH($A2401)=Reference!$D$4,1,0)+IF(MONTH($A2401)=Reference!$D$5,1,0))+(IF(MONTH($A2401)=Reference!$D$6,Reference!$D$13,0))),0)</f>
        <v>518</v>
      </c>
      <c r="E2401" s="11">
        <f ca="1">D2401*Reference!$D$7*(1-IF(MONTH($A2401)=Reference!$D$6,1,0)*Reference!$D$12)</f>
        <v>388500</v>
      </c>
      <c r="M2401" s="20"/>
      <c r="N2401" s="20"/>
      <c r="O2401" s="19"/>
      <c r="P2401" s="10"/>
      <c r="Q2401" s="10"/>
      <c r="R2401" s="10"/>
      <c r="S2401" s="10"/>
      <c r="T2401" s="10"/>
      <c r="U2401" s="10"/>
      <c r="V2401" s="10"/>
      <c r="W2401" s="10"/>
      <c r="X2401" s="10"/>
      <c r="Y2401" s="10"/>
    </row>
    <row r="2402" spans="1:25" x14ac:dyDescent="0.25">
      <c r="A2402" s="9">
        <v>42940</v>
      </c>
      <c r="B2402" s="10">
        <f ca="1">ROUND(_xlfn.NORM.INV(RAND(),Reference!$C$8,0.1*Reference!$C$8)*(1+Reference!$C$11*(IF(MONTH($A2402)=Reference!$C$4,1,0)+IF(MONTH($A2402)=Reference!$C$5,1,0))+(IF(MONTH($A2402)=Reference!$C$6,Reference!$C$13,0))),0)</f>
        <v>298</v>
      </c>
      <c r="C2402" s="11">
        <f ca="1">B2402*Reference!$C$7*(1-IF(MONTH($A2402)=Reference!$C$6,1,0)*Reference!$C$12)</f>
        <v>277140</v>
      </c>
      <c r="D2402" s="10">
        <f ca="1">ROUND(_xlfn.NORM.INV(RAND(),Reference!$D$8,0.1*Reference!$D$8)*(1+Reference!$D$11*(IF(MONTH($A2402)=Reference!$D$4,1,0)+IF(MONTH($A2402)=Reference!$D$5,1,0))+(IF(MONTH($A2402)=Reference!$D$6,Reference!$D$13,0))),0)</f>
        <v>501</v>
      </c>
      <c r="E2402" s="11">
        <f ca="1">D2402*Reference!$D$7*(1-IF(MONTH($A2402)=Reference!$D$6,1,0)*Reference!$D$12)</f>
        <v>375750</v>
      </c>
      <c r="M2402" s="20"/>
      <c r="N2402" s="20"/>
      <c r="O2402" s="19"/>
      <c r="P2402" s="10"/>
      <c r="Q2402" s="10"/>
      <c r="R2402" s="10"/>
      <c r="S2402" s="10"/>
      <c r="T2402" s="10"/>
      <c r="U2402" s="10"/>
      <c r="V2402" s="10"/>
      <c r="W2402" s="10"/>
      <c r="X2402" s="10"/>
      <c r="Y2402" s="10"/>
    </row>
    <row r="2403" spans="1:25" x14ac:dyDescent="0.25">
      <c r="A2403" s="9">
        <v>42941</v>
      </c>
      <c r="B2403" s="10">
        <f ca="1">ROUND(_xlfn.NORM.INV(RAND(),Reference!$C$8,0.1*Reference!$C$8)*(1+Reference!$C$11*(IF(MONTH($A2403)=Reference!$C$4,1,0)+IF(MONTH($A2403)=Reference!$C$5,1,0))+(IF(MONTH($A2403)=Reference!$C$6,Reference!$C$13,0))),0)</f>
        <v>382</v>
      </c>
      <c r="C2403" s="11">
        <f ca="1">B2403*Reference!$C$7*(1-IF(MONTH($A2403)=Reference!$C$6,1,0)*Reference!$C$12)</f>
        <v>355260</v>
      </c>
      <c r="D2403" s="10">
        <f ca="1">ROUND(_xlfn.NORM.INV(RAND(),Reference!$D$8,0.1*Reference!$D$8)*(1+Reference!$D$11*(IF(MONTH($A2403)=Reference!$D$4,1,0)+IF(MONTH($A2403)=Reference!$D$5,1,0))+(IF(MONTH($A2403)=Reference!$D$6,Reference!$D$13,0))),0)</f>
        <v>434</v>
      </c>
      <c r="E2403" s="11">
        <f ca="1">D2403*Reference!$D$7*(1-IF(MONTH($A2403)=Reference!$D$6,1,0)*Reference!$D$12)</f>
        <v>325500</v>
      </c>
      <c r="M2403" s="20"/>
      <c r="N2403" s="20"/>
      <c r="O2403" s="19"/>
      <c r="P2403" s="10"/>
      <c r="Q2403" s="10"/>
      <c r="R2403" s="10"/>
      <c r="S2403" s="10"/>
      <c r="T2403" s="10"/>
      <c r="U2403" s="10"/>
      <c r="V2403" s="10"/>
      <c r="W2403" s="10"/>
      <c r="X2403" s="10"/>
      <c r="Y2403" s="10"/>
    </row>
    <row r="2404" spans="1:25" x14ac:dyDescent="0.25">
      <c r="A2404" s="9">
        <v>42942</v>
      </c>
      <c r="B2404" s="10">
        <f ca="1">ROUND(_xlfn.NORM.INV(RAND(),Reference!$C$8,0.1*Reference!$C$8)*(1+Reference!$C$11*(IF(MONTH($A2404)=Reference!$C$4,1,0)+IF(MONTH($A2404)=Reference!$C$5,1,0))+(IF(MONTH($A2404)=Reference!$C$6,Reference!$C$13,0))),0)</f>
        <v>369</v>
      </c>
      <c r="C2404" s="11">
        <f ca="1">B2404*Reference!$C$7*(1-IF(MONTH($A2404)=Reference!$C$6,1,0)*Reference!$C$12)</f>
        <v>343170</v>
      </c>
      <c r="D2404" s="10">
        <f ca="1">ROUND(_xlfn.NORM.INV(RAND(),Reference!$D$8,0.1*Reference!$D$8)*(1+Reference!$D$11*(IF(MONTH($A2404)=Reference!$D$4,1,0)+IF(MONTH($A2404)=Reference!$D$5,1,0))+(IF(MONTH($A2404)=Reference!$D$6,Reference!$D$13,0))),0)</f>
        <v>499</v>
      </c>
      <c r="E2404" s="11">
        <f ca="1">D2404*Reference!$D$7*(1-IF(MONTH($A2404)=Reference!$D$6,1,0)*Reference!$D$12)</f>
        <v>374250</v>
      </c>
      <c r="M2404" s="20"/>
      <c r="N2404" s="20"/>
      <c r="O2404" s="19"/>
      <c r="P2404" s="10"/>
      <c r="Q2404" s="10"/>
      <c r="R2404" s="10"/>
      <c r="S2404" s="10"/>
      <c r="T2404" s="10"/>
      <c r="U2404" s="10"/>
      <c r="V2404" s="10"/>
      <c r="W2404" s="10"/>
      <c r="X2404" s="10"/>
      <c r="Y2404" s="10"/>
    </row>
    <row r="2405" spans="1:25" x14ac:dyDescent="0.25">
      <c r="A2405" s="9">
        <v>42943</v>
      </c>
      <c r="B2405" s="10">
        <f ca="1">ROUND(_xlfn.NORM.INV(RAND(),Reference!$C$8,0.1*Reference!$C$8)*(1+Reference!$C$11*(IF(MONTH($A2405)=Reference!$C$4,1,0)+IF(MONTH($A2405)=Reference!$C$5,1,0))+(IF(MONTH($A2405)=Reference!$C$6,Reference!$C$13,0))),0)</f>
        <v>447</v>
      </c>
      <c r="C2405" s="11">
        <f ca="1">B2405*Reference!$C$7*(1-IF(MONTH($A2405)=Reference!$C$6,1,0)*Reference!$C$12)</f>
        <v>415710</v>
      </c>
      <c r="D2405" s="10">
        <f ca="1">ROUND(_xlfn.NORM.INV(RAND(),Reference!$D$8,0.1*Reference!$D$8)*(1+Reference!$D$11*(IF(MONTH($A2405)=Reference!$D$4,1,0)+IF(MONTH($A2405)=Reference!$D$5,1,0))+(IF(MONTH($A2405)=Reference!$D$6,Reference!$D$13,0))),0)</f>
        <v>470</v>
      </c>
      <c r="E2405" s="11">
        <f ca="1">D2405*Reference!$D$7*(1-IF(MONTH($A2405)=Reference!$D$6,1,0)*Reference!$D$12)</f>
        <v>352500</v>
      </c>
      <c r="M2405" s="20"/>
      <c r="N2405" s="20"/>
      <c r="O2405" s="19"/>
      <c r="P2405" s="10"/>
      <c r="Q2405" s="10"/>
      <c r="R2405" s="10"/>
      <c r="S2405" s="10"/>
      <c r="T2405" s="10"/>
      <c r="U2405" s="10"/>
      <c r="V2405" s="10"/>
      <c r="W2405" s="10"/>
      <c r="X2405" s="10"/>
      <c r="Y2405" s="10"/>
    </row>
    <row r="2406" spans="1:25" x14ac:dyDescent="0.25">
      <c r="A2406" s="9">
        <v>42944</v>
      </c>
      <c r="B2406" s="10">
        <f ca="1">ROUND(_xlfn.NORM.INV(RAND(),Reference!$C$8,0.1*Reference!$C$8)*(1+Reference!$C$11*(IF(MONTH($A2406)=Reference!$C$4,1,0)+IF(MONTH($A2406)=Reference!$C$5,1,0))+(IF(MONTH($A2406)=Reference!$C$6,Reference!$C$13,0))),0)</f>
        <v>389</v>
      </c>
      <c r="C2406" s="11">
        <f ca="1">B2406*Reference!$C$7*(1-IF(MONTH($A2406)=Reference!$C$6,1,0)*Reference!$C$12)</f>
        <v>361770</v>
      </c>
      <c r="D2406" s="10">
        <f ca="1">ROUND(_xlfn.NORM.INV(RAND(),Reference!$D$8,0.1*Reference!$D$8)*(1+Reference!$D$11*(IF(MONTH($A2406)=Reference!$D$4,1,0)+IF(MONTH($A2406)=Reference!$D$5,1,0))+(IF(MONTH($A2406)=Reference!$D$6,Reference!$D$13,0))),0)</f>
        <v>560</v>
      </c>
      <c r="E2406" s="11">
        <f ca="1">D2406*Reference!$D$7*(1-IF(MONTH($A2406)=Reference!$D$6,1,0)*Reference!$D$12)</f>
        <v>420000</v>
      </c>
      <c r="M2406" s="20"/>
      <c r="N2406" s="20"/>
      <c r="O2406" s="19"/>
      <c r="P2406" s="10"/>
      <c r="Q2406" s="10"/>
      <c r="R2406" s="10"/>
      <c r="S2406" s="10"/>
      <c r="T2406" s="10"/>
      <c r="U2406" s="10"/>
      <c r="V2406" s="10"/>
      <c r="W2406" s="10"/>
      <c r="X2406" s="10"/>
      <c r="Y2406" s="10"/>
    </row>
    <row r="2407" spans="1:25" x14ac:dyDescent="0.25">
      <c r="A2407" s="9">
        <v>42945</v>
      </c>
      <c r="B2407" s="10">
        <f ca="1">ROUND(_xlfn.NORM.INV(RAND(),Reference!$C$8,0.1*Reference!$C$8)*(1+Reference!$C$11*(IF(MONTH($A2407)=Reference!$C$4,1,0)+IF(MONTH($A2407)=Reference!$C$5,1,0))+(IF(MONTH($A2407)=Reference!$C$6,Reference!$C$13,0))),0)</f>
        <v>310</v>
      </c>
      <c r="C2407" s="11">
        <f ca="1">B2407*Reference!$C$7*(1-IF(MONTH($A2407)=Reference!$C$6,1,0)*Reference!$C$12)</f>
        <v>288300</v>
      </c>
      <c r="D2407" s="10">
        <f ca="1">ROUND(_xlfn.NORM.INV(RAND(),Reference!$D$8,0.1*Reference!$D$8)*(1+Reference!$D$11*(IF(MONTH($A2407)=Reference!$D$4,1,0)+IF(MONTH($A2407)=Reference!$D$5,1,0))+(IF(MONTH($A2407)=Reference!$D$6,Reference!$D$13,0))),0)</f>
        <v>452</v>
      </c>
      <c r="E2407" s="11">
        <f ca="1">D2407*Reference!$D$7*(1-IF(MONTH($A2407)=Reference!$D$6,1,0)*Reference!$D$12)</f>
        <v>339000</v>
      </c>
      <c r="M2407" s="20"/>
      <c r="N2407" s="20"/>
      <c r="O2407" s="19"/>
      <c r="P2407" s="10"/>
      <c r="Q2407" s="10"/>
      <c r="R2407" s="10"/>
      <c r="S2407" s="10"/>
      <c r="T2407" s="10"/>
      <c r="U2407" s="10"/>
      <c r="V2407" s="10"/>
      <c r="W2407" s="10"/>
      <c r="X2407" s="10"/>
      <c r="Y2407" s="10"/>
    </row>
    <row r="2408" spans="1:25" x14ac:dyDescent="0.25">
      <c r="A2408" s="9">
        <v>42946</v>
      </c>
      <c r="B2408" s="10">
        <f ca="1">ROUND(_xlfn.NORM.INV(RAND(),Reference!$C$8,0.1*Reference!$C$8)*(1+Reference!$C$11*(IF(MONTH($A2408)=Reference!$C$4,1,0)+IF(MONTH($A2408)=Reference!$C$5,1,0))+(IF(MONTH($A2408)=Reference!$C$6,Reference!$C$13,0))),0)</f>
        <v>413</v>
      </c>
      <c r="C2408" s="11">
        <f ca="1">B2408*Reference!$C$7*(1-IF(MONTH($A2408)=Reference!$C$6,1,0)*Reference!$C$12)</f>
        <v>384090</v>
      </c>
      <c r="D2408" s="10">
        <f ca="1">ROUND(_xlfn.NORM.INV(RAND(),Reference!$D$8,0.1*Reference!$D$8)*(1+Reference!$D$11*(IF(MONTH($A2408)=Reference!$D$4,1,0)+IF(MONTH($A2408)=Reference!$D$5,1,0))+(IF(MONTH($A2408)=Reference!$D$6,Reference!$D$13,0))),0)</f>
        <v>483</v>
      </c>
      <c r="E2408" s="11">
        <f ca="1">D2408*Reference!$D$7*(1-IF(MONTH($A2408)=Reference!$D$6,1,0)*Reference!$D$12)</f>
        <v>362250</v>
      </c>
      <c r="M2408" s="20"/>
      <c r="N2408" s="20"/>
      <c r="O2408" s="19"/>
      <c r="P2408" s="10"/>
      <c r="Q2408" s="10"/>
      <c r="R2408" s="10"/>
      <c r="S2408" s="10"/>
      <c r="T2408" s="10"/>
      <c r="U2408" s="10"/>
      <c r="V2408" s="10"/>
      <c r="W2408" s="10"/>
      <c r="X2408" s="10"/>
      <c r="Y2408" s="10"/>
    </row>
    <row r="2409" spans="1:25" x14ac:dyDescent="0.25">
      <c r="A2409" s="9">
        <v>42947</v>
      </c>
      <c r="B2409" s="10">
        <f ca="1">ROUND(_xlfn.NORM.INV(RAND(),Reference!$C$8,0.1*Reference!$C$8)*(1+Reference!$C$11*(IF(MONTH($A2409)=Reference!$C$4,1,0)+IF(MONTH($A2409)=Reference!$C$5,1,0))+(IF(MONTH($A2409)=Reference!$C$6,Reference!$C$13,0))),0)</f>
        <v>309</v>
      </c>
      <c r="C2409" s="11">
        <f ca="1">B2409*Reference!$C$7*(1-IF(MONTH($A2409)=Reference!$C$6,1,0)*Reference!$C$12)</f>
        <v>287370</v>
      </c>
      <c r="D2409" s="10">
        <f ca="1">ROUND(_xlfn.NORM.INV(RAND(),Reference!$D$8,0.1*Reference!$D$8)*(1+Reference!$D$11*(IF(MONTH($A2409)=Reference!$D$4,1,0)+IF(MONTH($A2409)=Reference!$D$5,1,0))+(IF(MONTH($A2409)=Reference!$D$6,Reference!$D$13,0))),0)</f>
        <v>506</v>
      </c>
      <c r="E2409" s="11">
        <f ca="1">D2409*Reference!$D$7*(1-IF(MONTH($A2409)=Reference!$D$6,1,0)*Reference!$D$12)</f>
        <v>379500</v>
      </c>
      <c r="M2409" s="20"/>
      <c r="N2409" s="20"/>
      <c r="O2409" s="19"/>
      <c r="P2409" s="10"/>
      <c r="Q2409" s="10"/>
      <c r="R2409" s="10"/>
      <c r="S2409" s="10"/>
      <c r="T2409" s="10"/>
      <c r="U2409" s="10"/>
      <c r="V2409" s="10"/>
      <c r="W2409" s="10"/>
      <c r="X2409" s="10"/>
      <c r="Y2409" s="10"/>
    </row>
    <row r="2410" spans="1:25" x14ac:dyDescent="0.25">
      <c r="A2410" s="9">
        <v>42948</v>
      </c>
      <c r="B2410" s="10">
        <f ca="1">ROUND(_xlfn.NORM.INV(RAND(),Reference!$C$8,0.1*Reference!$C$8)*(1+Reference!$C$11*(IF(MONTH($A2410)=Reference!$C$4,1,0)+IF(MONTH($A2410)=Reference!$C$5,1,0))+(IF(MONTH($A2410)=Reference!$C$6,Reference!$C$13,0))),0)</f>
        <v>351</v>
      </c>
      <c r="C2410" s="11">
        <f ca="1">B2410*Reference!$C$7*(1-IF(MONTH($A2410)=Reference!$C$6,1,0)*Reference!$C$12)</f>
        <v>326430</v>
      </c>
      <c r="D2410" s="10">
        <f ca="1">ROUND(_xlfn.NORM.INV(RAND(),Reference!$D$8,0.1*Reference!$D$8)*(1+Reference!$D$11*(IF(MONTH($A2410)=Reference!$D$4,1,0)+IF(MONTH($A2410)=Reference!$D$5,1,0))+(IF(MONTH($A2410)=Reference!$D$6,Reference!$D$13,0))),0)</f>
        <v>571</v>
      </c>
      <c r="E2410" s="11">
        <f ca="1">D2410*Reference!$D$7*(1-IF(MONTH($A2410)=Reference!$D$6,1,0)*Reference!$D$12)</f>
        <v>428250</v>
      </c>
      <c r="M2410" s="20"/>
      <c r="N2410" s="20"/>
      <c r="O2410" s="19"/>
      <c r="P2410" s="10"/>
      <c r="Q2410" s="10"/>
      <c r="R2410" s="10"/>
      <c r="S2410" s="10"/>
      <c r="T2410" s="10"/>
      <c r="U2410" s="10"/>
      <c r="V2410" s="10"/>
      <c r="W2410" s="10"/>
      <c r="X2410" s="10"/>
      <c r="Y2410" s="10"/>
    </row>
    <row r="2411" spans="1:25" x14ac:dyDescent="0.25">
      <c r="A2411" s="9">
        <v>42949</v>
      </c>
      <c r="B2411" s="10">
        <f ca="1">ROUND(_xlfn.NORM.INV(RAND(),Reference!$C$8,0.1*Reference!$C$8)*(1+Reference!$C$11*(IF(MONTH($A2411)=Reference!$C$4,1,0)+IF(MONTH($A2411)=Reference!$C$5,1,0))+(IF(MONTH($A2411)=Reference!$C$6,Reference!$C$13,0))),0)</f>
        <v>354</v>
      </c>
      <c r="C2411" s="11">
        <f ca="1">B2411*Reference!$C$7*(1-IF(MONTH($A2411)=Reference!$C$6,1,0)*Reference!$C$12)</f>
        <v>329220</v>
      </c>
      <c r="D2411" s="10">
        <f ca="1">ROUND(_xlfn.NORM.INV(RAND(),Reference!$D$8,0.1*Reference!$D$8)*(1+Reference!$D$11*(IF(MONTH($A2411)=Reference!$D$4,1,0)+IF(MONTH($A2411)=Reference!$D$5,1,0))+(IF(MONTH($A2411)=Reference!$D$6,Reference!$D$13,0))),0)</f>
        <v>447</v>
      </c>
      <c r="E2411" s="11">
        <f ca="1">D2411*Reference!$D$7*(1-IF(MONTH($A2411)=Reference!$D$6,1,0)*Reference!$D$12)</f>
        <v>335250</v>
      </c>
      <c r="M2411" s="20"/>
      <c r="N2411" s="20"/>
      <c r="O2411" s="19"/>
      <c r="P2411" s="10"/>
      <c r="Q2411" s="10"/>
      <c r="R2411" s="10"/>
      <c r="S2411" s="10"/>
      <c r="T2411" s="10"/>
      <c r="U2411" s="10"/>
      <c r="V2411" s="10"/>
      <c r="W2411" s="10"/>
      <c r="X2411" s="10"/>
      <c r="Y2411" s="10"/>
    </row>
    <row r="2412" spans="1:25" x14ac:dyDescent="0.25">
      <c r="A2412" s="9">
        <v>42950</v>
      </c>
      <c r="B2412" s="10">
        <f ca="1">ROUND(_xlfn.NORM.INV(RAND(),Reference!$C$8,0.1*Reference!$C$8)*(1+Reference!$C$11*(IF(MONTH($A2412)=Reference!$C$4,1,0)+IF(MONTH($A2412)=Reference!$C$5,1,0))+(IF(MONTH($A2412)=Reference!$C$6,Reference!$C$13,0))),0)</f>
        <v>367</v>
      </c>
      <c r="C2412" s="11">
        <f ca="1">B2412*Reference!$C$7*(1-IF(MONTH($A2412)=Reference!$C$6,1,0)*Reference!$C$12)</f>
        <v>341310</v>
      </c>
      <c r="D2412" s="10">
        <f ca="1">ROUND(_xlfn.NORM.INV(RAND(),Reference!$D$8,0.1*Reference!$D$8)*(1+Reference!$D$11*(IF(MONTH($A2412)=Reference!$D$4,1,0)+IF(MONTH($A2412)=Reference!$D$5,1,0))+(IF(MONTH($A2412)=Reference!$D$6,Reference!$D$13,0))),0)</f>
        <v>470</v>
      </c>
      <c r="E2412" s="11">
        <f ca="1">D2412*Reference!$D$7*(1-IF(MONTH($A2412)=Reference!$D$6,1,0)*Reference!$D$12)</f>
        <v>352500</v>
      </c>
      <c r="M2412" s="20"/>
      <c r="N2412" s="20"/>
      <c r="O2412" s="19"/>
      <c r="P2412" s="10"/>
      <c r="Q2412" s="10"/>
      <c r="R2412" s="10"/>
      <c r="S2412" s="10"/>
      <c r="T2412" s="10"/>
      <c r="U2412" s="10"/>
      <c r="V2412" s="10"/>
      <c r="W2412" s="10"/>
      <c r="X2412" s="10"/>
      <c r="Y2412" s="10"/>
    </row>
    <row r="2413" spans="1:25" x14ac:dyDescent="0.25">
      <c r="A2413" s="9">
        <v>42951</v>
      </c>
      <c r="B2413" s="10">
        <f ca="1">ROUND(_xlfn.NORM.INV(RAND(),Reference!$C$8,0.1*Reference!$C$8)*(1+Reference!$C$11*(IF(MONTH($A2413)=Reference!$C$4,1,0)+IF(MONTH($A2413)=Reference!$C$5,1,0))+(IF(MONTH($A2413)=Reference!$C$6,Reference!$C$13,0))),0)</f>
        <v>438</v>
      </c>
      <c r="C2413" s="11">
        <f ca="1">B2413*Reference!$C$7*(1-IF(MONTH($A2413)=Reference!$C$6,1,0)*Reference!$C$12)</f>
        <v>407340</v>
      </c>
      <c r="D2413" s="10">
        <f ca="1">ROUND(_xlfn.NORM.INV(RAND(),Reference!$D$8,0.1*Reference!$D$8)*(1+Reference!$D$11*(IF(MONTH($A2413)=Reference!$D$4,1,0)+IF(MONTH($A2413)=Reference!$D$5,1,0))+(IF(MONTH($A2413)=Reference!$D$6,Reference!$D$13,0))),0)</f>
        <v>528</v>
      </c>
      <c r="E2413" s="11">
        <f ca="1">D2413*Reference!$D$7*(1-IF(MONTH($A2413)=Reference!$D$6,1,0)*Reference!$D$12)</f>
        <v>396000</v>
      </c>
      <c r="M2413" s="20"/>
      <c r="N2413" s="20"/>
      <c r="O2413" s="19"/>
      <c r="P2413" s="10"/>
      <c r="Q2413" s="10"/>
      <c r="R2413" s="10"/>
      <c r="S2413" s="10"/>
      <c r="T2413" s="10"/>
      <c r="U2413" s="10"/>
      <c r="V2413" s="10"/>
      <c r="W2413" s="10"/>
      <c r="X2413" s="10"/>
      <c r="Y2413" s="10"/>
    </row>
    <row r="2414" spans="1:25" x14ac:dyDescent="0.25">
      <c r="A2414" s="9">
        <v>42952</v>
      </c>
      <c r="B2414" s="10">
        <f ca="1">ROUND(_xlfn.NORM.INV(RAND(),Reference!$C$8,0.1*Reference!$C$8)*(1+Reference!$C$11*(IF(MONTH($A2414)=Reference!$C$4,1,0)+IF(MONTH($A2414)=Reference!$C$5,1,0))+(IF(MONTH($A2414)=Reference!$C$6,Reference!$C$13,0))),0)</f>
        <v>334</v>
      </c>
      <c r="C2414" s="11">
        <f ca="1">B2414*Reference!$C$7*(1-IF(MONTH($A2414)=Reference!$C$6,1,0)*Reference!$C$12)</f>
        <v>310620</v>
      </c>
      <c r="D2414" s="10">
        <f ca="1">ROUND(_xlfn.NORM.INV(RAND(),Reference!$D$8,0.1*Reference!$D$8)*(1+Reference!$D$11*(IF(MONTH($A2414)=Reference!$D$4,1,0)+IF(MONTH($A2414)=Reference!$D$5,1,0))+(IF(MONTH($A2414)=Reference!$D$6,Reference!$D$13,0))),0)</f>
        <v>531</v>
      </c>
      <c r="E2414" s="11">
        <f ca="1">D2414*Reference!$D$7*(1-IF(MONTH($A2414)=Reference!$D$6,1,0)*Reference!$D$12)</f>
        <v>398250</v>
      </c>
      <c r="M2414" s="20"/>
      <c r="N2414" s="20"/>
      <c r="O2414" s="19"/>
      <c r="P2414" s="10"/>
      <c r="Q2414" s="10"/>
      <c r="R2414" s="10"/>
      <c r="S2414" s="10"/>
      <c r="T2414" s="10"/>
      <c r="U2414" s="10"/>
      <c r="V2414" s="10"/>
      <c r="W2414" s="10"/>
      <c r="X2414" s="10"/>
      <c r="Y2414" s="10"/>
    </row>
    <row r="2415" spans="1:25" x14ac:dyDescent="0.25">
      <c r="A2415" s="9">
        <v>42953</v>
      </c>
      <c r="B2415" s="10">
        <f ca="1">ROUND(_xlfn.NORM.INV(RAND(),Reference!$C$8,0.1*Reference!$C$8)*(1+Reference!$C$11*(IF(MONTH($A2415)=Reference!$C$4,1,0)+IF(MONTH($A2415)=Reference!$C$5,1,0))+(IF(MONTH($A2415)=Reference!$C$6,Reference!$C$13,0))),0)</f>
        <v>374</v>
      </c>
      <c r="C2415" s="11">
        <f ca="1">B2415*Reference!$C$7*(1-IF(MONTH($A2415)=Reference!$C$6,1,0)*Reference!$C$12)</f>
        <v>347820</v>
      </c>
      <c r="D2415" s="10">
        <f ca="1">ROUND(_xlfn.NORM.INV(RAND(),Reference!$D$8,0.1*Reference!$D$8)*(1+Reference!$D$11*(IF(MONTH($A2415)=Reference!$D$4,1,0)+IF(MONTH($A2415)=Reference!$D$5,1,0))+(IF(MONTH($A2415)=Reference!$D$6,Reference!$D$13,0))),0)</f>
        <v>453</v>
      </c>
      <c r="E2415" s="11">
        <f ca="1">D2415*Reference!$D$7*(1-IF(MONTH($A2415)=Reference!$D$6,1,0)*Reference!$D$12)</f>
        <v>339750</v>
      </c>
      <c r="M2415" s="20"/>
      <c r="N2415" s="20"/>
      <c r="O2415" s="19"/>
      <c r="P2415" s="10"/>
      <c r="Q2415" s="10"/>
      <c r="R2415" s="10"/>
      <c r="S2415" s="10"/>
      <c r="T2415" s="10"/>
      <c r="U2415" s="10"/>
      <c r="V2415" s="10"/>
      <c r="W2415" s="10"/>
      <c r="X2415" s="10"/>
      <c r="Y2415" s="10"/>
    </row>
    <row r="2416" spans="1:25" x14ac:dyDescent="0.25">
      <c r="A2416" s="9">
        <v>42954</v>
      </c>
      <c r="B2416" s="10">
        <f ca="1">ROUND(_xlfn.NORM.INV(RAND(),Reference!$C$8,0.1*Reference!$C$8)*(1+Reference!$C$11*(IF(MONTH($A2416)=Reference!$C$4,1,0)+IF(MONTH($A2416)=Reference!$C$5,1,0))+(IF(MONTH($A2416)=Reference!$C$6,Reference!$C$13,0))),0)</f>
        <v>404</v>
      </c>
      <c r="C2416" s="11">
        <f ca="1">B2416*Reference!$C$7*(1-IF(MONTH($A2416)=Reference!$C$6,1,0)*Reference!$C$12)</f>
        <v>375720</v>
      </c>
      <c r="D2416" s="10">
        <f ca="1">ROUND(_xlfn.NORM.INV(RAND(),Reference!$D$8,0.1*Reference!$D$8)*(1+Reference!$D$11*(IF(MONTH($A2416)=Reference!$D$4,1,0)+IF(MONTH($A2416)=Reference!$D$5,1,0))+(IF(MONTH($A2416)=Reference!$D$6,Reference!$D$13,0))),0)</f>
        <v>483</v>
      </c>
      <c r="E2416" s="11">
        <f ca="1">D2416*Reference!$D$7*(1-IF(MONTH($A2416)=Reference!$D$6,1,0)*Reference!$D$12)</f>
        <v>362250</v>
      </c>
      <c r="M2416" s="20"/>
      <c r="N2416" s="20"/>
      <c r="O2416" s="19"/>
      <c r="P2416" s="10"/>
      <c r="Q2416" s="10"/>
      <c r="R2416" s="10"/>
      <c r="S2416" s="10"/>
      <c r="T2416" s="10"/>
      <c r="U2416" s="10"/>
      <c r="V2416" s="10"/>
      <c r="W2416" s="10"/>
      <c r="X2416" s="10"/>
      <c r="Y2416" s="10"/>
    </row>
    <row r="2417" spans="1:25" x14ac:dyDescent="0.25">
      <c r="A2417" s="9">
        <v>42955</v>
      </c>
      <c r="B2417" s="10">
        <f ca="1">ROUND(_xlfn.NORM.INV(RAND(),Reference!$C$8,0.1*Reference!$C$8)*(1+Reference!$C$11*(IF(MONTH($A2417)=Reference!$C$4,1,0)+IF(MONTH($A2417)=Reference!$C$5,1,0))+(IF(MONTH($A2417)=Reference!$C$6,Reference!$C$13,0))),0)</f>
        <v>320</v>
      </c>
      <c r="C2417" s="11">
        <f ca="1">B2417*Reference!$C$7*(1-IF(MONTH($A2417)=Reference!$C$6,1,0)*Reference!$C$12)</f>
        <v>297600</v>
      </c>
      <c r="D2417" s="10">
        <f ca="1">ROUND(_xlfn.NORM.INV(RAND(),Reference!$D$8,0.1*Reference!$D$8)*(1+Reference!$D$11*(IF(MONTH($A2417)=Reference!$D$4,1,0)+IF(MONTH($A2417)=Reference!$D$5,1,0))+(IF(MONTH($A2417)=Reference!$D$6,Reference!$D$13,0))),0)</f>
        <v>519</v>
      </c>
      <c r="E2417" s="11">
        <f ca="1">D2417*Reference!$D$7*(1-IF(MONTH($A2417)=Reference!$D$6,1,0)*Reference!$D$12)</f>
        <v>389250</v>
      </c>
      <c r="M2417" s="20"/>
      <c r="N2417" s="20"/>
      <c r="O2417" s="19"/>
      <c r="P2417" s="10"/>
      <c r="Q2417" s="10"/>
      <c r="R2417" s="10"/>
      <c r="S2417" s="10"/>
      <c r="T2417" s="10"/>
      <c r="U2417" s="10"/>
      <c r="V2417" s="10"/>
      <c r="W2417" s="10"/>
      <c r="X2417" s="10"/>
      <c r="Y2417" s="10"/>
    </row>
    <row r="2418" spans="1:25" x14ac:dyDescent="0.25">
      <c r="A2418" s="9">
        <v>42956</v>
      </c>
      <c r="B2418" s="10">
        <f ca="1">ROUND(_xlfn.NORM.INV(RAND(),Reference!$C$8,0.1*Reference!$C$8)*(1+Reference!$C$11*(IF(MONTH($A2418)=Reference!$C$4,1,0)+IF(MONTH($A2418)=Reference!$C$5,1,0))+(IF(MONTH($A2418)=Reference!$C$6,Reference!$C$13,0))),0)</f>
        <v>326</v>
      </c>
      <c r="C2418" s="11">
        <f ca="1">B2418*Reference!$C$7*(1-IF(MONTH($A2418)=Reference!$C$6,1,0)*Reference!$C$12)</f>
        <v>303180</v>
      </c>
      <c r="D2418" s="10">
        <f ca="1">ROUND(_xlfn.NORM.INV(RAND(),Reference!$D$8,0.1*Reference!$D$8)*(1+Reference!$D$11*(IF(MONTH($A2418)=Reference!$D$4,1,0)+IF(MONTH($A2418)=Reference!$D$5,1,0))+(IF(MONTH($A2418)=Reference!$D$6,Reference!$D$13,0))),0)</f>
        <v>600</v>
      </c>
      <c r="E2418" s="11">
        <f ca="1">D2418*Reference!$D$7*(1-IF(MONTH($A2418)=Reference!$D$6,1,0)*Reference!$D$12)</f>
        <v>450000</v>
      </c>
      <c r="M2418" s="20"/>
      <c r="N2418" s="20"/>
      <c r="O2418" s="19"/>
      <c r="P2418" s="10"/>
      <c r="Q2418" s="10"/>
      <c r="R2418" s="10"/>
      <c r="S2418" s="10"/>
      <c r="T2418" s="10"/>
      <c r="U2418" s="10"/>
      <c r="V2418" s="10"/>
      <c r="W2418" s="10"/>
      <c r="X2418" s="10"/>
      <c r="Y2418" s="10"/>
    </row>
    <row r="2419" spans="1:25" x14ac:dyDescent="0.25">
      <c r="A2419" s="9">
        <v>42957</v>
      </c>
      <c r="B2419" s="10">
        <f ca="1">ROUND(_xlfn.NORM.INV(RAND(),Reference!$C$8,0.1*Reference!$C$8)*(1+Reference!$C$11*(IF(MONTH($A2419)=Reference!$C$4,1,0)+IF(MONTH($A2419)=Reference!$C$5,1,0))+(IF(MONTH($A2419)=Reference!$C$6,Reference!$C$13,0))),0)</f>
        <v>401</v>
      </c>
      <c r="C2419" s="11">
        <f ca="1">B2419*Reference!$C$7*(1-IF(MONTH($A2419)=Reference!$C$6,1,0)*Reference!$C$12)</f>
        <v>372930</v>
      </c>
      <c r="D2419" s="10">
        <f ca="1">ROUND(_xlfn.NORM.INV(RAND(),Reference!$D$8,0.1*Reference!$D$8)*(1+Reference!$D$11*(IF(MONTH($A2419)=Reference!$D$4,1,0)+IF(MONTH($A2419)=Reference!$D$5,1,0))+(IF(MONTH($A2419)=Reference!$D$6,Reference!$D$13,0))),0)</f>
        <v>407</v>
      </c>
      <c r="E2419" s="11">
        <f ca="1">D2419*Reference!$D$7*(1-IF(MONTH($A2419)=Reference!$D$6,1,0)*Reference!$D$12)</f>
        <v>305250</v>
      </c>
      <c r="M2419" s="20"/>
      <c r="N2419" s="20"/>
      <c r="O2419" s="19"/>
      <c r="P2419" s="10"/>
      <c r="Q2419" s="10"/>
      <c r="R2419" s="10"/>
      <c r="S2419" s="10"/>
      <c r="T2419" s="10"/>
      <c r="U2419" s="10"/>
      <c r="V2419" s="10"/>
      <c r="W2419" s="10"/>
      <c r="X2419" s="10"/>
      <c r="Y2419" s="10"/>
    </row>
    <row r="2420" spans="1:25" x14ac:dyDescent="0.25">
      <c r="A2420" s="9">
        <v>42958</v>
      </c>
      <c r="B2420" s="10">
        <f ca="1">ROUND(_xlfn.NORM.INV(RAND(),Reference!$C$8,0.1*Reference!$C$8)*(1+Reference!$C$11*(IF(MONTH($A2420)=Reference!$C$4,1,0)+IF(MONTH($A2420)=Reference!$C$5,1,0))+(IF(MONTH($A2420)=Reference!$C$6,Reference!$C$13,0))),0)</f>
        <v>372</v>
      </c>
      <c r="C2420" s="11">
        <f ca="1">B2420*Reference!$C$7*(1-IF(MONTH($A2420)=Reference!$C$6,1,0)*Reference!$C$12)</f>
        <v>345960</v>
      </c>
      <c r="D2420" s="10">
        <f ca="1">ROUND(_xlfn.NORM.INV(RAND(),Reference!$D$8,0.1*Reference!$D$8)*(1+Reference!$D$11*(IF(MONTH($A2420)=Reference!$D$4,1,0)+IF(MONTH($A2420)=Reference!$D$5,1,0))+(IF(MONTH($A2420)=Reference!$D$6,Reference!$D$13,0))),0)</f>
        <v>575</v>
      </c>
      <c r="E2420" s="11">
        <f ca="1">D2420*Reference!$D$7*(1-IF(MONTH($A2420)=Reference!$D$6,1,0)*Reference!$D$12)</f>
        <v>431250</v>
      </c>
      <c r="M2420" s="20"/>
      <c r="N2420" s="20"/>
      <c r="O2420" s="19"/>
      <c r="P2420" s="10"/>
      <c r="Q2420" s="10"/>
      <c r="R2420" s="10"/>
      <c r="S2420" s="10"/>
      <c r="T2420" s="10"/>
      <c r="U2420" s="10"/>
      <c r="V2420" s="10"/>
      <c r="W2420" s="10"/>
      <c r="X2420" s="10"/>
      <c r="Y2420" s="10"/>
    </row>
    <row r="2421" spans="1:25" x14ac:dyDescent="0.25">
      <c r="A2421" s="9">
        <v>42959</v>
      </c>
      <c r="B2421" s="10">
        <f ca="1">ROUND(_xlfn.NORM.INV(RAND(),Reference!$C$8,0.1*Reference!$C$8)*(1+Reference!$C$11*(IF(MONTH($A2421)=Reference!$C$4,1,0)+IF(MONTH($A2421)=Reference!$C$5,1,0))+(IF(MONTH($A2421)=Reference!$C$6,Reference!$C$13,0))),0)</f>
        <v>329</v>
      </c>
      <c r="C2421" s="11">
        <f ca="1">B2421*Reference!$C$7*(1-IF(MONTH($A2421)=Reference!$C$6,1,0)*Reference!$C$12)</f>
        <v>305970</v>
      </c>
      <c r="D2421" s="10">
        <f ca="1">ROUND(_xlfn.NORM.INV(RAND(),Reference!$D$8,0.1*Reference!$D$8)*(1+Reference!$D$11*(IF(MONTH($A2421)=Reference!$D$4,1,0)+IF(MONTH($A2421)=Reference!$D$5,1,0))+(IF(MONTH($A2421)=Reference!$D$6,Reference!$D$13,0))),0)</f>
        <v>511</v>
      </c>
      <c r="E2421" s="11">
        <f ca="1">D2421*Reference!$D$7*(1-IF(MONTH($A2421)=Reference!$D$6,1,0)*Reference!$D$12)</f>
        <v>383250</v>
      </c>
      <c r="M2421" s="20"/>
      <c r="N2421" s="20"/>
      <c r="O2421" s="19"/>
      <c r="P2421" s="10"/>
      <c r="Q2421" s="10"/>
      <c r="R2421" s="10"/>
      <c r="S2421" s="10"/>
      <c r="T2421" s="10"/>
      <c r="U2421" s="10"/>
      <c r="V2421" s="10"/>
      <c r="W2421" s="10"/>
      <c r="X2421" s="10"/>
      <c r="Y2421" s="10"/>
    </row>
    <row r="2422" spans="1:25" x14ac:dyDescent="0.25">
      <c r="A2422" s="9">
        <v>42960</v>
      </c>
      <c r="B2422" s="10">
        <f ca="1">ROUND(_xlfn.NORM.INV(RAND(),Reference!$C$8,0.1*Reference!$C$8)*(1+Reference!$C$11*(IF(MONTH($A2422)=Reference!$C$4,1,0)+IF(MONTH($A2422)=Reference!$C$5,1,0))+(IF(MONTH($A2422)=Reference!$C$6,Reference!$C$13,0))),0)</f>
        <v>355</v>
      </c>
      <c r="C2422" s="11">
        <f ca="1">B2422*Reference!$C$7*(1-IF(MONTH($A2422)=Reference!$C$6,1,0)*Reference!$C$12)</f>
        <v>330150</v>
      </c>
      <c r="D2422" s="10">
        <f ca="1">ROUND(_xlfn.NORM.INV(RAND(),Reference!$D$8,0.1*Reference!$D$8)*(1+Reference!$D$11*(IF(MONTH($A2422)=Reference!$D$4,1,0)+IF(MONTH($A2422)=Reference!$D$5,1,0))+(IF(MONTH($A2422)=Reference!$D$6,Reference!$D$13,0))),0)</f>
        <v>446</v>
      </c>
      <c r="E2422" s="11">
        <f ca="1">D2422*Reference!$D$7*(1-IF(MONTH($A2422)=Reference!$D$6,1,0)*Reference!$D$12)</f>
        <v>334500</v>
      </c>
      <c r="M2422" s="20"/>
      <c r="N2422" s="20"/>
      <c r="O2422" s="19"/>
      <c r="P2422" s="10"/>
      <c r="Q2422" s="10"/>
      <c r="R2422" s="10"/>
      <c r="S2422" s="10"/>
      <c r="T2422" s="10"/>
      <c r="U2422" s="10"/>
      <c r="V2422" s="10"/>
      <c r="W2422" s="10"/>
      <c r="X2422" s="10"/>
      <c r="Y2422" s="10"/>
    </row>
    <row r="2423" spans="1:25" x14ac:dyDescent="0.25">
      <c r="A2423" s="9">
        <v>42961</v>
      </c>
      <c r="B2423" s="10">
        <f ca="1">ROUND(_xlfn.NORM.INV(RAND(),Reference!$C$8,0.1*Reference!$C$8)*(1+Reference!$C$11*(IF(MONTH($A2423)=Reference!$C$4,1,0)+IF(MONTH($A2423)=Reference!$C$5,1,0))+(IF(MONTH($A2423)=Reference!$C$6,Reference!$C$13,0))),0)</f>
        <v>364</v>
      </c>
      <c r="C2423" s="11">
        <f ca="1">B2423*Reference!$C$7*(1-IF(MONTH($A2423)=Reference!$C$6,1,0)*Reference!$C$12)</f>
        <v>338520</v>
      </c>
      <c r="D2423" s="10">
        <f ca="1">ROUND(_xlfn.NORM.INV(RAND(),Reference!$D$8,0.1*Reference!$D$8)*(1+Reference!$D$11*(IF(MONTH($A2423)=Reference!$D$4,1,0)+IF(MONTH($A2423)=Reference!$D$5,1,0))+(IF(MONTH($A2423)=Reference!$D$6,Reference!$D$13,0))),0)</f>
        <v>539</v>
      </c>
      <c r="E2423" s="11">
        <f ca="1">D2423*Reference!$D$7*(1-IF(MONTH($A2423)=Reference!$D$6,1,0)*Reference!$D$12)</f>
        <v>404250</v>
      </c>
      <c r="M2423" s="20"/>
      <c r="N2423" s="20"/>
      <c r="O2423" s="19"/>
      <c r="P2423" s="10"/>
      <c r="Q2423" s="10"/>
      <c r="R2423" s="10"/>
      <c r="S2423" s="10"/>
      <c r="T2423" s="10"/>
      <c r="U2423" s="10"/>
      <c r="V2423" s="10"/>
      <c r="W2423" s="10"/>
      <c r="X2423" s="10"/>
      <c r="Y2423" s="10"/>
    </row>
    <row r="2424" spans="1:25" x14ac:dyDescent="0.25">
      <c r="A2424" s="9">
        <v>42962</v>
      </c>
      <c r="B2424" s="10">
        <f ca="1">ROUND(_xlfn.NORM.INV(RAND(),Reference!$C$8,0.1*Reference!$C$8)*(1+Reference!$C$11*(IF(MONTH($A2424)=Reference!$C$4,1,0)+IF(MONTH($A2424)=Reference!$C$5,1,0))+(IF(MONTH($A2424)=Reference!$C$6,Reference!$C$13,0))),0)</f>
        <v>373</v>
      </c>
      <c r="C2424" s="11">
        <f ca="1">B2424*Reference!$C$7*(1-IF(MONTH($A2424)=Reference!$C$6,1,0)*Reference!$C$12)</f>
        <v>346890</v>
      </c>
      <c r="D2424" s="10">
        <f ca="1">ROUND(_xlfn.NORM.INV(RAND(),Reference!$D$8,0.1*Reference!$D$8)*(1+Reference!$D$11*(IF(MONTH($A2424)=Reference!$D$4,1,0)+IF(MONTH($A2424)=Reference!$D$5,1,0))+(IF(MONTH($A2424)=Reference!$D$6,Reference!$D$13,0))),0)</f>
        <v>542</v>
      </c>
      <c r="E2424" s="11">
        <f ca="1">D2424*Reference!$D$7*(1-IF(MONTH($A2424)=Reference!$D$6,1,0)*Reference!$D$12)</f>
        <v>406500</v>
      </c>
      <c r="M2424" s="20"/>
      <c r="N2424" s="20"/>
      <c r="O2424" s="19"/>
      <c r="P2424" s="10"/>
      <c r="Q2424" s="10"/>
      <c r="R2424" s="10"/>
      <c r="S2424" s="10"/>
      <c r="T2424" s="10"/>
      <c r="U2424" s="10"/>
      <c r="V2424" s="10"/>
      <c r="W2424" s="10"/>
      <c r="X2424" s="10"/>
      <c r="Y2424" s="10"/>
    </row>
    <row r="2425" spans="1:25" x14ac:dyDescent="0.25">
      <c r="A2425" s="9">
        <v>42963</v>
      </c>
      <c r="B2425" s="10">
        <f ca="1">ROUND(_xlfn.NORM.INV(RAND(),Reference!$C$8,0.1*Reference!$C$8)*(1+Reference!$C$11*(IF(MONTH($A2425)=Reference!$C$4,1,0)+IF(MONTH($A2425)=Reference!$C$5,1,0))+(IF(MONTH($A2425)=Reference!$C$6,Reference!$C$13,0))),0)</f>
        <v>404</v>
      </c>
      <c r="C2425" s="11">
        <f ca="1">B2425*Reference!$C$7*(1-IF(MONTH($A2425)=Reference!$C$6,1,0)*Reference!$C$12)</f>
        <v>375720</v>
      </c>
      <c r="D2425" s="10">
        <f ca="1">ROUND(_xlfn.NORM.INV(RAND(),Reference!$D$8,0.1*Reference!$D$8)*(1+Reference!$D$11*(IF(MONTH($A2425)=Reference!$D$4,1,0)+IF(MONTH($A2425)=Reference!$D$5,1,0))+(IF(MONTH($A2425)=Reference!$D$6,Reference!$D$13,0))),0)</f>
        <v>416</v>
      </c>
      <c r="E2425" s="11">
        <f ca="1">D2425*Reference!$D$7*(1-IF(MONTH($A2425)=Reference!$D$6,1,0)*Reference!$D$12)</f>
        <v>312000</v>
      </c>
      <c r="M2425" s="20"/>
      <c r="N2425" s="20"/>
      <c r="O2425" s="19"/>
      <c r="P2425" s="10"/>
      <c r="Q2425" s="10"/>
      <c r="R2425" s="10"/>
      <c r="S2425" s="10"/>
      <c r="T2425" s="10"/>
      <c r="U2425" s="10"/>
      <c r="V2425" s="10"/>
      <c r="W2425" s="10"/>
      <c r="X2425" s="10"/>
      <c r="Y2425" s="10"/>
    </row>
    <row r="2426" spans="1:25" x14ac:dyDescent="0.25">
      <c r="A2426" s="9">
        <v>42964</v>
      </c>
      <c r="B2426" s="10">
        <f ca="1">ROUND(_xlfn.NORM.INV(RAND(),Reference!$C$8,0.1*Reference!$C$8)*(1+Reference!$C$11*(IF(MONTH($A2426)=Reference!$C$4,1,0)+IF(MONTH($A2426)=Reference!$C$5,1,0))+(IF(MONTH($A2426)=Reference!$C$6,Reference!$C$13,0))),0)</f>
        <v>388</v>
      </c>
      <c r="C2426" s="11">
        <f ca="1">B2426*Reference!$C$7*(1-IF(MONTH($A2426)=Reference!$C$6,1,0)*Reference!$C$12)</f>
        <v>360840</v>
      </c>
      <c r="D2426" s="10">
        <f ca="1">ROUND(_xlfn.NORM.INV(RAND(),Reference!$D$8,0.1*Reference!$D$8)*(1+Reference!$D$11*(IF(MONTH($A2426)=Reference!$D$4,1,0)+IF(MONTH($A2426)=Reference!$D$5,1,0))+(IF(MONTH($A2426)=Reference!$D$6,Reference!$D$13,0))),0)</f>
        <v>477</v>
      </c>
      <c r="E2426" s="11">
        <f ca="1">D2426*Reference!$D$7*(1-IF(MONTH($A2426)=Reference!$D$6,1,0)*Reference!$D$12)</f>
        <v>357750</v>
      </c>
      <c r="M2426" s="20"/>
      <c r="N2426" s="20"/>
      <c r="O2426" s="19"/>
      <c r="P2426" s="10"/>
      <c r="Q2426" s="10"/>
      <c r="R2426" s="10"/>
      <c r="S2426" s="10"/>
      <c r="T2426" s="10"/>
      <c r="U2426" s="10"/>
      <c r="V2426" s="10"/>
      <c r="W2426" s="10"/>
      <c r="X2426" s="10"/>
      <c r="Y2426" s="10"/>
    </row>
    <row r="2427" spans="1:25" x14ac:dyDescent="0.25">
      <c r="A2427" s="9">
        <v>42965</v>
      </c>
      <c r="B2427" s="10">
        <f ca="1">ROUND(_xlfn.NORM.INV(RAND(),Reference!$C$8,0.1*Reference!$C$8)*(1+Reference!$C$11*(IF(MONTH($A2427)=Reference!$C$4,1,0)+IF(MONTH($A2427)=Reference!$C$5,1,0))+(IF(MONTH($A2427)=Reference!$C$6,Reference!$C$13,0))),0)</f>
        <v>362</v>
      </c>
      <c r="C2427" s="11">
        <f ca="1">B2427*Reference!$C$7*(1-IF(MONTH($A2427)=Reference!$C$6,1,0)*Reference!$C$12)</f>
        <v>336660</v>
      </c>
      <c r="D2427" s="10">
        <f ca="1">ROUND(_xlfn.NORM.INV(RAND(),Reference!$D$8,0.1*Reference!$D$8)*(1+Reference!$D$11*(IF(MONTH($A2427)=Reference!$D$4,1,0)+IF(MONTH($A2427)=Reference!$D$5,1,0))+(IF(MONTH($A2427)=Reference!$D$6,Reference!$D$13,0))),0)</f>
        <v>398</v>
      </c>
      <c r="E2427" s="11">
        <f ca="1">D2427*Reference!$D$7*(1-IF(MONTH($A2427)=Reference!$D$6,1,0)*Reference!$D$12)</f>
        <v>298500</v>
      </c>
      <c r="M2427" s="20"/>
      <c r="N2427" s="20"/>
      <c r="O2427" s="19"/>
      <c r="P2427" s="10"/>
      <c r="Q2427" s="10"/>
      <c r="R2427" s="10"/>
      <c r="S2427" s="10"/>
      <c r="T2427" s="10"/>
      <c r="U2427" s="10"/>
      <c r="V2427" s="10"/>
      <c r="W2427" s="10"/>
      <c r="X2427" s="10"/>
      <c r="Y2427" s="10"/>
    </row>
    <row r="2428" spans="1:25" x14ac:dyDescent="0.25">
      <c r="A2428" s="9">
        <v>42966</v>
      </c>
      <c r="B2428" s="10">
        <f ca="1">ROUND(_xlfn.NORM.INV(RAND(),Reference!$C$8,0.1*Reference!$C$8)*(1+Reference!$C$11*(IF(MONTH($A2428)=Reference!$C$4,1,0)+IF(MONTH($A2428)=Reference!$C$5,1,0))+(IF(MONTH($A2428)=Reference!$C$6,Reference!$C$13,0))),0)</f>
        <v>392</v>
      </c>
      <c r="C2428" s="11">
        <f ca="1">B2428*Reference!$C$7*(1-IF(MONTH($A2428)=Reference!$C$6,1,0)*Reference!$C$12)</f>
        <v>364560</v>
      </c>
      <c r="D2428" s="10">
        <f ca="1">ROUND(_xlfn.NORM.INV(RAND(),Reference!$D$8,0.1*Reference!$D$8)*(1+Reference!$D$11*(IF(MONTH($A2428)=Reference!$D$4,1,0)+IF(MONTH($A2428)=Reference!$D$5,1,0))+(IF(MONTH($A2428)=Reference!$D$6,Reference!$D$13,0))),0)</f>
        <v>463</v>
      </c>
      <c r="E2428" s="11">
        <f ca="1">D2428*Reference!$D$7*(1-IF(MONTH($A2428)=Reference!$D$6,1,0)*Reference!$D$12)</f>
        <v>347250</v>
      </c>
      <c r="M2428" s="20"/>
      <c r="N2428" s="20"/>
      <c r="O2428" s="19"/>
      <c r="P2428" s="10"/>
      <c r="Q2428" s="10"/>
      <c r="R2428" s="10"/>
      <c r="S2428" s="10"/>
      <c r="T2428" s="10"/>
      <c r="U2428" s="10"/>
      <c r="V2428" s="10"/>
      <c r="W2428" s="10"/>
      <c r="X2428" s="10"/>
      <c r="Y2428" s="10"/>
    </row>
    <row r="2429" spans="1:25" x14ac:dyDescent="0.25">
      <c r="A2429" s="9">
        <v>42967</v>
      </c>
      <c r="B2429" s="10">
        <f ca="1">ROUND(_xlfn.NORM.INV(RAND(),Reference!$C$8,0.1*Reference!$C$8)*(1+Reference!$C$11*(IF(MONTH($A2429)=Reference!$C$4,1,0)+IF(MONTH($A2429)=Reference!$C$5,1,0))+(IF(MONTH($A2429)=Reference!$C$6,Reference!$C$13,0))),0)</f>
        <v>427</v>
      </c>
      <c r="C2429" s="11">
        <f ca="1">B2429*Reference!$C$7*(1-IF(MONTH($A2429)=Reference!$C$6,1,0)*Reference!$C$12)</f>
        <v>397110</v>
      </c>
      <c r="D2429" s="10">
        <f ca="1">ROUND(_xlfn.NORM.INV(RAND(),Reference!$D$8,0.1*Reference!$D$8)*(1+Reference!$D$11*(IF(MONTH($A2429)=Reference!$D$4,1,0)+IF(MONTH($A2429)=Reference!$D$5,1,0))+(IF(MONTH($A2429)=Reference!$D$6,Reference!$D$13,0))),0)</f>
        <v>491</v>
      </c>
      <c r="E2429" s="11">
        <f ca="1">D2429*Reference!$D$7*(1-IF(MONTH($A2429)=Reference!$D$6,1,0)*Reference!$D$12)</f>
        <v>368250</v>
      </c>
      <c r="M2429" s="20"/>
      <c r="N2429" s="20"/>
      <c r="O2429" s="19"/>
      <c r="P2429" s="10"/>
      <c r="Q2429" s="10"/>
      <c r="R2429" s="10"/>
      <c r="S2429" s="10"/>
      <c r="T2429" s="10"/>
      <c r="U2429" s="10"/>
      <c r="V2429" s="10"/>
      <c r="W2429" s="10"/>
      <c r="X2429" s="10"/>
      <c r="Y2429" s="10"/>
    </row>
    <row r="2430" spans="1:25" x14ac:dyDescent="0.25">
      <c r="A2430" s="9">
        <v>42968</v>
      </c>
      <c r="B2430" s="10">
        <f ca="1">ROUND(_xlfn.NORM.INV(RAND(),Reference!$C$8,0.1*Reference!$C$8)*(1+Reference!$C$11*(IF(MONTH($A2430)=Reference!$C$4,1,0)+IF(MONTH($A2430)=Reference!$C$5,1,0))+(IF(MONTH($A2430)=Reference!$C$6,Reference!$C$13,0))),0)</f>
        <v>369</v>
      </c>
      <c r="C2430" s="11">
        <f ca="1">B2430*Reference!$C$7*(1-IF(MONTH($A2430)=Reference!$C$6,1,0)*Reference!$C$12)</f>
        <v>343170</v>
      </c>
      <c r="D2430" s="10">
        <f ca="1">ROUND(_xlfn.NORM.INV(RAND(),Reference!$D$8,0.1*Reference!$D$8)*(1+Reference!$D$11*(IF(MONTH($A2430)=Reference!$D$4,1,0)+IF(MONTH($A2430)=Reference!$D$5,1,0))+(IF(MONTH($A2430)=Reference!$D$6,Reference!$D$13,0))),0)</f>
        <v>569</v>
      </c>
      <c r="E2430" s="11">
        <f ca="1">D2430*Reference!$D$7*(1-IF(MONTH($A2430)=Reference!$D$6,1,0)*Reference!$D$12)</f>
        <v>426750</v>
      </c>
      <c r="M2430" s="20"/>
      <c r="N2430" s="20"/>
      <c r="O2430" s="19"/>
      <c r="P2430" s="10"/>
      <c r="Q2430" s="10"/>
      <c r="R2430" s="10"/>
      <c r="S2430" s="10"/>
      <c r="T2430" s="10"/>
      <c r="U2430" s="10"/>
      <c r="V2430" s="10"/>
      <c r="W2430" s="10"/>
      <c r="X2430" s="10"/>
      <c r="Y2430" s="10"/>
    </row>
    <row r="2431" spans="1:25" x14ac:dyDescent="0.25">
      <c r="A2431" s="9">
        <v>42969</v>
      </c>
      <c r="B2431" s="10">
        <f ca="1">ROUND(_xlfn.NORM.INV(RAND(),Reference!$C$8,0.1*Reference!$C$8)*(1+Reference!$C$11*(IF(MONTH($A2431)=Reference!$C$4,1,0)+IF(MONTH($A2431)=Reference!$C$5,1,0))+(IF(MONTH($A2431)=Reference!$C$6,Reference!$C$13,0))),0)</f>
        <v>346</v>
      </c>
      <c r="C2431" s="11">
        <f ca="1">B2431*Reference!$C$7*(1-IF(MONTH($A2431)=Reference!$C$6,1,0)*Reference!$C$12)</f>
        <v>321780</v>
      </c>
      <c r="D2431" s="10">
        <f ca="1">ROUND(_xlfn.NORM.INV(RAND(),Reference!$D$8,0.1*Reference!$D$8)*(1+Reference!$D$11*(IF(MONTH($A2431)=Reference!$D$4,1,0)+IF(MONTH($A2431)=Reference!$D$5,1,0))+(IF(MONTH($A2431)=Reference!$D$6,Reference!$D$13,0))),0)</f>
        <v>450</v>
      </c>
      <c r="E2431" s="11">
        <f ca="1">D2431*Reference!$D$7*(1-IF(MONTH($A2431)=Reference!$D$6,1,0)*Reference!$D$12)</f>
        <v>337500</v>
      </c>
      <c r="M2431" s="20"/>
      <c r="N2431" s="20"/>
      <c r="O2431" s="19"/>
      <c r="P2431" s="10"/>
      <c r="Q2431" s="10"/>
      <c r="R2431" s="10"/>
      <c r="S2431" s="10"/>
      <c r="T2431" s="10"/>
      <c r="U2431" s="10"/>
      <c r="V2431" s="10"/>
      <c r="W2431" s="10"/>
      <c r="X2431" s="10"/>
      <c r="Y2431" s="10"/>
    </row>
    <row r="2432" spans="1:25" x14ac:dyDescent="0.25">
      <c r="A2432" s="9">
        <v>42970</v>
      </c>
      <c r="B2432" s="10">
        <f ca="1">ROUND(_xlfn.NORM.INV(RAND(),Reference!$C$8,0.1*Reference!$C$8)*(1+Reference!$C$11*(IF(MONTH($A2432)=Reference!$C$4,1,0)+IF(MONTH($A2432)=Reference!$C$5,1,0))+(IF(MONTH($A2432)=Reference!$C$6,Reference!$C$13,0))),0)</f>
        <v>418</v>
      </c>
      <c r="C2432" s="11">
        <f ca="1">B2432*Reference!$C$7*(1-IF(MONTH($A2432)=Reference!$C$6,1,0)*Reference!$C$12)</f>
        <v>388740</v>
      </c>
      <c r="D2432" s="10">
        <f ca="1">ROUND(_xlfn.NORM.INV(RAND(),Reference!$D$8,0.1*Reference!$D$8)*(1+Reference!$D$11*(IF(MONTH($A2432)=Reference!$D$4,1,0)+IF(MONTH($A2432)=Reference!$D$5,1,0))+(IF(MONTH($A2432)=Reference!$D$6,Reference!$D$13,0))),0)</f>
        <v>420</v>
      </c>
      <c r="E2432" s="11">
        <f ca="1">D2432*Reference!$D$7*(1-IF(MONTH($A2432)=Reference!$D$6,1,0)*Reference!$D$12)</f>
        <v>315000</v>
      </c>
      <c r="M2432" s="20"/>
      <c r="N2432" s="20"/>
      <c r="O2432" s="19"/>
      <c r="P2432" s="10"/>
      <c r="Q2432" s="10"/>
      <c r="R2432" s="10"/>
      <c r="S2432" s="10"/>
      <c r="T2432" s="10"/>
      <c r="U2432" s="10"/>
      <c r="V2432" s="10"/>
      <c r="W2432" s="10"/>
      <c r="X2432" s="10"/>
      <c r="Y2432" s="10"/>
    </row>
    <row r="2433" spans="1:25" x14ac:dyDescent="0.25">
      <c r="A2433" s="9">
        <v>42971</v>
      </c>
      <c r="B2433" s="10">
        <f ca="1">ROUND(_xlfn.NORM.INV(RAND(),Reference!$C$8,0.1*Reference!$C$8)*(1+Reference!$C$11*(IF(MONTH($A2433)=Reference!$C$4,1,0)+IF(MONTH($A2433)=Reference!$C$5,1,0))+(IF(MONTH($A2433)=Reference!$C$6,Reference!$C$13,0))),0)</f>
        <v>356</v>
      </c>
      <c r="C2433" s="11">
        <f ca="1">B2433*Reference!$C$7*(1-IF(MONTH($A2433)=Reference!$C$6,1,0)*Reference!$C$12)</f>
        <v>331080</v>
      </c>
      <c r="D2433" s="10">
        <f ca="1">ROUND(_xlfn.NORM.INV(RAND(),Reference!$D$8,0.1*Reference!$D$8)*(1+Reference!$D$11*(IF(MONTH($A2433)=Reference!$D$4,1,0)+IF(MONTH($A2433)=Reference!$D$5,1,0))+(IF(MONTH($A2433)=Reference!$D$6,Reference!$D$13,0))),0)</f>
        <v>521</v>
      </c>
      <c r="E2433" s="11">
        <f ca="1">D2433*Reference!$D$7*(1-IF(MONTH($A2433)=Reference!$D$6,1,0)*Reference!$D$12)</f>
        <v>390750</v>
      </c>
      <c r="M2433" s="20"/>
      <c r="N2433" s="20"/>
      <c r="O2433" s="19"/>
      <c r="P2433" s="10"/>
      <c r="Q2433" s="10"/>
      <c r="R2433" s="10"/>
      <c r="S2433" s="10"/>
      <c r="T2433" s="10"/>
      <c r="U2433" s="10"/>
      <c r="V2433" s="10"/>
      <c r="W2433" s="10"/>
      <c r="X2433" s="10"/>
      <c r="Y2433" s="10"/>
    </row>
    <row r="2434" spans="1:25" x14ac:dyDescent="0.25">
      <c r="A2434" s="9">
        <v>42972</v>
      </c>
      <c r="B2434" s="10">
        <f ca="1">ROUND(_xlfn.NORM.INV(RAND(),Reference!$C$8,0.1*Reference!$C$8)*(1+Reference!$C$11*(IF(MONTH($A2434)=Reference!$C$4,1,0)+IF(MONTH($A2434)=Reference!$C$5,1,0))+(IF(MONTH($A2434)=Reference!$C$6,Reference!$C$13,0))),0)</f>
        <v>319</v>
      </c>
      <c r="C2434" s="11">
        <f ca="1">B2434*Reference!$C$7*(1-IF(MONTH($A2434)=Reference!$C$6,1,0)*Reference!$C$12)</f>
        <v>296670</v>
      </c>
      <c r="D2434" s="10">
        <f ca="1">ROUND(_xlfn.NORM.INV(RAND(),Reference!$D$8,0.1*Reference!$D$8)*(1+Reference!$D$11*(IF(MONTH($A2434)=Reference!$D$4,1,0)+IF(MONTH($A2434)=Reference!$D$5,1,0))+(IF(MONTH($A2434)=Reference!$D$6,Reference!$D$13,0))),0)</f>
        <v>412</v>
      </c>
      <c r="E2434" s="11">
        <f ca="1">D2434*Reference!$D$7*(1-IF(MONTH($A2434)=Reference!$D$6,1,0)*Reference!$D$12)</f>
        <v>309000</v>
      </c>
      <c r="M2434" s="20"/>
      <c r="N2434" s="20"/>
      <c r="O2434" s="19"/>
      <c r="P2434" s="10"/>
      <c r="Q2434" s="10"/>
      <c r="R2434" s="10"/>
      <c r="S2434" s="10"/>
      <c r="T2434" s="10"/>
      <c r="U2434" s="10"/>
      <c r="V2434" s="10"/>
      <c r="W2434" s="10"/>
      <c r="X2434" s="10"/>
      <c r="Y2434" s="10"/>
    </row>
    <row r="2435" spans="1:25" x14ac:dyDescent="0.25">
      <c r="A2435" s="9">
        <v>42973</v>
      </c>
      <c r="B2435" s="10">
        <f ca="1">ROUND(_xlfn.NORM.INV(RAND(),Reference!$C$8,0.1*Reference!$C$8)*(1+Reference!$C$11*(IF(MONTH($A2435)=Reference!$C$4,1,0)+IF(MONTH($A2435)=Reference!$C$5,1,0))+(IF(MONTH($A2435)=Reference!$C$6,Reference!$C$13,0))),0)</f>
        <v>332</v>
      </c>
      <c r="C2435" s="11">
        <f ca="1">B2435*Reference!$C$7*(1-IF(MONTH($A2435)=Reference!$C$6,1,0)*Reference!$C$12)</f>
        <v>308760</v>
      </c>
      <c r="D2435" s="10">
        <f ca="1">ROUND(_xlfn.NORM.INV(RAND(),Reference!$D$8,0.1*Reference!$D$8)*(1+Reference!$D$11*(IF(MONTH($A2435)=Reference!$D$4,1,0)+IF(MONTH($A2435)=Reference!$D$5,1,0))+(IF(MONTH($A2435)=Reference!$D$6,Reference!$D$13,0))),0)</f>
        <v>450</v>
      </c>
      <c r="E2435" s="11">
        <f ca="1">D2435*Reference!$D$7*(1-IF(MONTH($A2435)=Reference!$D$6,1,0)*Reference!$D$12)</f>
        <v>337500</v>
      </c>
      <c r="M2435" s="20"/>
      <c r="N2435" s="20"/>
      <c r="O2435" s="19"/>
      <c r="P2435" s="10"/>
      <c r="Q2435" s="10"/>
      <c r="R2435" s="10"/>
      <c r="S2435" s="10"/>
      <c r="T2435" s="10"/>
      <c r="U2435" s="10"/>
      <c r="V2435" s="10"/>
      <c r="W2435" s="10"/>
      <c r="X2435" s="10"/>
      <c r="Y2435" s="10"/>
    </row>
    <row r="2436" spans="1:25" x14ac:dyDescent="0.25">
      <c r="A2436" s="9">
        <v>42974</v>
      </c>
      <c r="B2436" s="10">
        <f ca="1">ROUND(_xlfn.NORM.INV(RAND(),Reference!$C$8,0.1*Reference!$C$8)*(1+Reference!$C$11*(IF(MONTH($A2436)=Reference!$C$4,1,0)+IF(MONTH($A2436)=Reference!$C$5,1,0))+(IF(MONTH($A2436)=Reference!$C$6,Reference!$C$13,0))),0)</f>
        <v>361</v>
      </c>
      <c r="C2436" s="11">
        <f ca="1">B2436*Reference!$C$7*(1-IF(MONTH($A2436)=Reference!$C$6,1,0)*Reference!$C$12)</f>
        <v>335730</v>
      </c>
      <c r="D2436" s="10">
        <f ca="1">ROUND(_xlfn.NORM.INV(RAND(),Reference!$D$8,0.1*Reference!$D$8)*(1+Reference!$D$11*(IF(MONTH($A2436)=Reference!$D$4,1,0)+IF(MONTH($A2436)=Reference!$D$5,1,0))+(IF(MONTH($A2436)=Reference!$D$6,Reference!$D$13,0))),0)</f>
        <v>551</v>
      </c>
      <c r="E2436" s="11">
        <f ca="1">D2436*Reference!$D$7*(1-IF(MONTH($A2436)=Reference!$D$6,1,0)*Reference!$D$12)</f>
        <v>413250</v>
      </c>
      <c r="M2436" s="20"/>
      <c r="N2436" s="20"/>
      <c r="O2436" s="19"/>
      <c r="P2436" s="10"/>
      <c r="Q2436" s="10"/>
      <c r="R2436" s="10"/>
      <c r="S2436" s="10"/>
      <c r="T2436" s="10"/>
      <c r="U2436" s="10"/>
      <c r="V2436" s="10"/>
      <c r="W2436" s="10"/>
      <c r="X2436" s="10"/>
      <c r="Y2436" s="10"/>
    </row>
    <row r="2437" spans="1:25" x14ac:dyDescent="0.25">
      <c r="A2437" s="9">
        <v>42975</v>
      </c>
      <c r="B2437" s="10">
        <f ca="1">ROUND(_xlfn.NORM.INV(RAND(),Reference!$C$8,0.1*Reference!$C$8)*(1+Reference!$C$11*(IF(MONTH($A2437)=Reference!$C$4,1,0)+IF(MONTH($A2437)=Reference!$C$5,1,0))+(IF(MONTH($A2437)=Reference!$C$6,Reference!$C$13,0))),0)</f>
        <v>343</v>
      </c>
      <c r="C2437" s="11">
        <f ca="1">B2437*Reference!$C$7*(1-IF(MONTH($A2437)=Reference!$C$6,1,0)*Reference!$C$12)</f>
        <v>318990</v>
      </c>
      <c r="D2437" s="10">
        <f ca="1">ROUND(_xlfn.NORM.INV(RAND(),Reference!$D$8,0.1*Reference!$D$8)*(1+Reference!$D$11*(IF(MONTH($A2437)=Reference!$D$4,1,0)+IF(MONTH($A2437)=Reference!$D$5,1,0))+(IF(MONTH($A2437)=Reference!$D$6,Reference!$D$13,0))),0)</f>
        <v>446</v>
      </c>
      <c r="E2437" s="11">
        <f ca="1">D2437*Reference!$D$7*(1-IF(MONTH($A2437)=Reference!$D$6,1,0)*Reference!$D$12)</f>
        <v>334500</v>
      </c>
      <c r="M2437" s="20"/>
      <c r="N2437" s="20"/>
      <c r="O2437" s="19"/>
      <c r="P2437" s="10"/>
      <c r="Q2437" s="10"/>
      <c r="R2437" s="10"/>
      <c r="S2437" s="10"/>
      <c r="T2437" s="10"/>
      <c r="U2437" s="10"/>
      <c r="V2437" s="10"/>
      <c r="W2437" s="10"/>
      <c r="X2437" s="10"/>
      <c r="Y2437" s="10"/>
    </row>
    <row r="2438" spans="1:25" x14ac:dyDescent="0.25">
      <c r="A2438" s="9">
        <v>42976</v>
      </c>
      <c r="B2438" s="10">
        <f ca="1">ROUND(_xlfn.NORM.INV(RAND(),Reference!$C$8,0.1*Reference!$C$8)*(1+Reference!$C$11*(IF(MONTH($A2438)=Reference!$C$4,1,0)+IF(MONTH($A2438)=Reference!$C$5,1,0))+(IF(MONTH($A2438)=Reference!$C$6,Reference!$C$13,0))),0)</f>
        <v>392</v>
      </c>
      <c r="C2438" s="11">
        <f ca="1">B2438*Reference!$C$7*(1-IF(MONTH($A2438)=Reference!$C$6,1,0)*Reference!$C$12)</f>
        <v>364560</v>
      </c>
      <c r="D2438" s="10">
        <f ca="1">ROUND(_xlfn.NORM.INV(RAND(),Reference!$D$8,0.1*Reference!$D$8)*(1+Reference!$D$11*(IF(MONTH($A2438)=Reference!$D$4,1,0)+IF(MONTH($A2438)=Reference!$D$5,1,0))+(IF(MONTH($A2438)=Reference!$D$6,Reference!$D$13,0))),0)</f>
        <v>388</v>
      </c>
      <c r="E2438" s="11">
        <f ca="1">D2438*Reference!$D$7*(1-IF(MONTH($A2438)=Reference!$D$6,1,0)*Reference!$D$12)</f>
        <v>291000</v>
      </c>
      <c r="M2438" s="20"/>
      <c r="N2438" s="20"/>
      <c r="O2438" s="19"/>
      <c r="P2438" s="10"/>
      <c r="Q2438" s="10"/>
      <c r="R2438" s="10"/>
      <c r="S2438" s="10"/>
      <c r="T2438" s="10"/>
      <c r="U2438" s="10"/>
      <c r="V2438" s="10"/>
      <c r="W2438" s="10"/>
      <c r="X2438" s="10"/>
      <c r="Y2438" s="10"/>
    </row>
    <row r="2439" spans="1:25" x14ac:dyDescent="0.25">
      <c r="A2439" s="9">
        <v>42977</v>
      </c>
      <c r="B2439" s="10">
        <f ca="1">ROUND(_xlfn.NORM.INV(RAND(),Reference!$C$8,0.1*Reference!$C$8)*(1+Reference!$C$11*(IF(MONTH($A2439)=Reference!$C$4,1,0)+IF(MONTH($A2439)=Reference!$C$5,1,0))+(IF(MONTH($A2439)=Reference!$C$6,Reference!$C$13,0))),0)</f>
        <v>361</v>
      </c>
      <c r="C2439" s="11">
        <f ca="1">B2439*Reference!$C$7*(1-IF(MONTH($A2439)=Reference!$C$6,1,0)*Reference!$C$12)</f>
        <v>335730</v>
      </c>
      <c r="D2439" s="10">
        <f ca="1">ROUND(_xlfn.NORM.INV(RAND(),Reference!$D$8,0.1*Reference!$D$8)*(1+Reference!$D$11*(IF(MONTH($A2439)=Reference!$D$4,1,0)+IF(MONTH($A2439)=Reference!$D$5,1,0))+(IF(MONTH($A2439)=Reference!$D$6,Reference!$D$13,0))),0)</f>
        <v>450</v>
      </c>
      <c r="E2439" s="11">
        <f ca="1">D2439*Reference!$D$7*(1-IF(MONTH($A2439)=Reference!$D$6,1,0)*Reference!$D$12)</f>
        <v>337500</v>
      </c>
      <c r="M2439" s="20"/>
      <c r="N2439" s="20"/>
      <c r="O2439" s="19"/>
      <c r="P2439" s="10"/>
      <c r="Q2439" s="10"/>
      <c r="R2439" s="10"/>
      <c r="S2439" s="10"/>
      <c r="T2439" s="10"/>
      <c r="U2439" s="10"/>
      <c r="V2439" s="10"/>
      <c r="W2439" s="10"/>
      <c r="X2439" s="10"/>
      <c r="Y2439" s="10"/>
    </row>
    <row r="2440" spans="1:25" x14ac:dyDescent="0.25">
      <c r="A2440" s="9">
        <v>42978</v>
      </c>
      <c r="B2440" s="10">
        <f ca="1">ROUND(_xlfn.NORM.INV(RAND(),Reference!$C$8,0.1*Reference!$C$8)*(1+Reference!$C$11*(IF(MONTH($A2440)=Reference!$C$4,1,0)+IF(MONTH($A2440)=Reference!$C$5,1,0))+(IF(MONTH($A2440)=Reference!$C$6,Reference!$C$13,0))),0)</f>
        <v>398</v>
      </c>
      <c r="C2440" s="11">
        <f ca="1">B2440*Reference!$C$7*(1-IF(MONTH($A2440)=Reference!$C$6,1,0)*Reference!$C$12)</f>
        <v>370140</v>
      </c>
      <c r="D2440" s="10">
        <f ca="1">ROUND(_xlfn.NORM.INV(RAND(),Reference!$D$8,0.1*Reference!$D$8)*(1+Reference!$D$11*(IF(MONTH($A2440)=Reference!$D$4,1,0)+IF(MONTH($A2440)=Reference!$D$5,1,0))+(IF(MONTH($A2440)=Reference!$D$6,Reference!$D$13,0))),0)</f>
        <v>470</v>
      </c>
      <c r="E2440" s="11">
        <f ca="1">D2440*Reference!$D$7*(1-IF(MONTH($A2440)=Reference!$D$6,1,0)*Reference!$D$12)</f>
        <v>352500</v>
      </c>
      <c r="M2440" s="20"/>
      <c r="N2440" s="20"/>
      <c r="O2440" s="19"/>
      <c r="P2440" s="10"/>
      <c r="Q2440" s="10"/>
      <c r="R2440" s="10"/>
      <c r="S2440" s="10"/>
      <c r="T2440" s="10"/>
      <c r="U2440" s="10"/>
      <c r="V2440" s="10"/>
      <c r="W2440" s="10"/>
      <c r="X2440" s="10"/>
      <c r="Y2440" s="10"/>
    </row>
    <row r="2441" spans="1:25" x14ac:dyDescent="0.25">
      <c r="A2441" s="9">
        <v>42979</v>
      </c>
      <c r="B2441" s="10">
        <f ca="1">ROUND(_xlfn.NORM.INV(RAND(),Reference!$C$8,0.1*Reference!$C$8)*(1+Reference!$C$11*(IF(MONTH($A2441)=Reference!$C$4,1,0)+IF(MONTH($A2441)=Reference!$C$5,1,0))+(IF(MONTH($A2441)=Reference!$C$6,Reference!$C$13,0))),0)</f>
        <v>295</v>
      </c>
      <c r="C2441" s="11">
        <f ca="1">B2441*Reference!$C$7*(1-IF(MONTH($A2441)=Reference!$C$6,1,0)*Reference!$C$12)</f>
        <v>274350</v>
      </c>
      <c r="D2441" s="10">
        <f ca="1">ROUND(_xlfn.NORM.INV(RAND(),Reference!$D$8,0.1*Reference!$D$8)*(1+Reference!$D$11*(IF(MONTH($A2441)=Reference!$D$4,1,0)+IF(MONTH($A2441)=Reference!$D$5,1,0))+(IF(MONTH($A2441)=Reference!$D$6,Reference!$D$13,0))),0)</f>
        <v>528</v>
      </c>
      <c r="E2441" s="11">
        <f ca="1">D2441*Reference!$D$7*(1-IF(MONTH($A2441)=Reference!$D$6,1,0)*Reference!$D$12)</f>
        <v>376200</v>
      </c>
      <c r="M2441" s="20"/>
      <c r="N2441" s="20"/>
      <c r="O2441" s="19"/>
      <c r="P2441" s="10"/>
      <c r="Q2441" s="10"/>
      <c r="R2441" s="10"/>
      <c r="S2441" s="10"/>
      <c r="T2441" s="10"/>
      <c r="U2441" s="10"/>
      <c r="V2441" s="10"/>
      <c r="W2441" s="10"/>
      <c r="X2441" s="10"/>
      <c r="Y2441" s="10"/>
    </row>
    <row r="2442" spans="1:25" x14ac:dyDescent="0.25">
      <c r="A2442" s="9">
        <v>42980</v>
      </c>
      <c r="B2442" s="10">
        <f ca="1">ROUND(_xlfn.NORM.INV(RAND(),Reference!$C$8,0.1*Reference!$C$8)*(1+Reference!$C$11*(IF(MONTH($A2442)=Reference!$C$4,1,0)+IF(MONTH($A2442)=Reference!$C$5,1,0))+(IF(MONTH($A2442)=Reference!$C$6,Reference!$C$13,0))),0)</f>
        <v>367</v>
      </c>
      <c r="C2442" s="11">
        <f ca="1">B2442*Reference!$C$7*(1-IF(MONTH($A2442)=Reference!$C$6,1,0)*Reference!$C$12)</f>
        <v>341310</v>
      </c>
      <c r="D2442" s="10">
        <f ca="1">ROUND(_xlfn.NORM.INV(RAND(),Reference!$D$8,0.1*Reference!$D$8)*(1+Reference!$D$11*(IF(MONTH($A2442)=Reference!$D$4,1,0)+IF(MONTH($A2442)=Reference!$D$5,1,0))+(IF(MONTH($A2442)=Reference!$D$6,Reference!$D$13,0))),0)</f>
        <v>479</v>
      </c>
      <c r="E2442" s="11">
        <f ca="1">D2442*Reference!$D$7*(1-IF(MONTH($A2442)=Reference!$D$6,1,0)*Reference!$D$12)</f>
        <v>341287.5</v>
      </c>
      <c r="M2442" s="20"/>
      <c r="N2442" s="20"/>
      <c r="O2442" s="19"/>
      <c r="P2442" s="10"/>
      <c r="Q2442" s="10"/>
      <c r="R2442" s="10"/>
      <c r="S2442" s="10"/>
      <c r="T2442" s="10"/>
      <c r="U2442" s="10"/>
      <c r="V2442" s="10"/>
      <c r="W2442" s="10"/>
      <c r="X2442" s="10"/>
      <c r="Y2442" s="10"/>
    </row>
    <row r="2443" spans="1:25" x14ac:dyDescent="0.25">
      <c r="A2443" s="9">
        <v>42981</v>
      </c>
      <c r="B2443" s="10">
        <f ca="1">ROUND(_xlfn.NORM.INV(RAND(),Reference!$C$8,0.1*Reference!$C$8)*(1+Reference!$C$11*(IF(MONTH($A2443)=Reference!$C$4,1,0)+IF(MONTH($A2443)=Reference!$C$5,1,0))+(IF(MONTH($A2443)=Reference!$C$6,Reference!$C$13,0))),0)</f>
        <v>327</v>
      </c>
      <c r="C2443" s="11">
        <f ca="1">B2443*Reference!$C$7*(1-IF(MONTH($A2443)=Reference!$C$6,1,0)*Reference!$C$12)</f>
        <v>304110</v>
      </c>
      <c r="D2443" s="10">
        <f ca="1">ROUND(_xlfn.NORM.INV(RAND(),Reference!$D$8,0.1*Reference!$D$8)*(1+Reference!$D$11*(IF(MONTH($A2443)=Reference!$D$4,1,0)+IF(MONTH($A2443)=Reference!$D$5,1,0))+(IF(MONTH($A2443)=Reference!$D$6,Reference!$D$13,0))),0)</f>
        <v>399</v>
      </c>
      <c r="E2443" s="11">
        <f ca="1">D2443*Reference!$D$7*(1-IF(MONTH($A2443)=Reference!$D$6,1,0)*Reference!$D$12)</f>
        <v>284287.5</v>
      </c>
      <c r="M2443" s="20"/>
      <c r="N2443" s="20"/>
      <c r="O2443" s="19"/>
      <c r="P2443" s="10"/>
      <c r="Q2443" s="10"/>
      <c r="R2443" s="10"/>
      <c r="S2443" s="10"/>
      <c r="T2443" s="10"/>
      <c r="U2443" s="10"/>
      <c r="V2443" s="10"/>
      <c r="W2443" s="10"/>
      <c r="X2443" s="10"/>
      <c r="Y2443" s="10"/>
    </row>
    <row r="2444" spans="1:25" x14ac:dyDescent="0.25">
      <c r="A2444" s="9">
        <v>42982</v>
      </c>
      <c r="B2444" s="10">
        <f ca="1">ROUND(_xlfn.NORM.INV(RAND(),Reference!$C$8,0.1*Reference!$C$8)*(1+Reference!$C$11*(IF(MONTH($A2444)=Reference!$C$4,1,0)+IF(MONTH($A2444)=Reference!$C$5,1,0))+(IF(MONTH($A2444)=Reference!$C$6,Reference!$C$13,0))),0)</f>
        <v>393</v>
      </c>
      <c r="C2444" s="11">
        <f ca="1">B2444*Reference!$C$7*(1-IF(MONTH($A2444)=Reference!$C$6,1,0)*Reference!$C$12)</f>
        <v>365490</v>
      </c>
      <c r="D2444" s="10">
        <f ca="1">ROUND(_xlfn.NORM.INV(RAND(),Reference!$D$8,0.1*Reference!$D$8)*(1+Reference!$D$11*(IF(MONTH($A2444)=Reference!$D$4,1,0)+IF(MONTH($A2444)=Reference!$D$5,1,0))+(IF(MONTH($A2444)=Reference!$D$6,Reference!$D$13,0))),0)</f>
        <v>501</v>
      </c>
      <c r="E2444" s="11">
        <f ca="1">D2444*Reference!$D$7*(1-IF(MONTH($A2444)=Reference!$D$6,1,0)*Reference!$D$12)</f>
        <v>356962.5</v>
      </c>
      <c r="M2444" s="20"/>
      <c r="N2444" s="20"/>
      <c r="O2444" s="19"/>
      <c r="P2444" s="10"/>
      <c r="Q2444" s="10"/>
      <c r="R2444" s="10"/>
      <c r="S2444" s="10"/>
      <c r="T2444" s="10"/>
      <c r="U2444" s="10"/>
      <c r="V2444" s="10"/>
      <c r="W2444" s="10"/>
      <c r="X2444" s="10"/>
      <c r="Y2444" s="10"/>
    </row>
    <row r="2445" spans="1:25" x14ac:dyDescent="0.25">
      <c r="A2445" s="9">
        <v>42983</v>
      </c>
      <c r="B2445" s="10">
        <f ca="1">ROUND(_xlfn.NORM.INV(RAND(),Reference!$C$8,0.1*Reference!$C$8)*(1+Reference!$C$11*(IF(MONTH($A2445)=Reference!$C$4,1,0)+IF(MONTH($A2445)=Reference!$C$5,1,0))+(IF(MONTH($A2445)=Reference!$C$6,Reference!$C$13,0))),0)</f>
        <v>343</v>
      </c>
      <c r="C2445" s="11">
        <f ca="1">B2445*Reference!$C$7*(1-IF(MONTH($A2445)=Reference!$C$6,1,0)*Reference!$C$12)</f>
        <v>318990</v>
      </c>
      <c r="D2445" s="10">
        <f ca="1">ROUND(_xlfn.NORM.INV(RAND(),Reference!$D$8,0.1*Reference!$D$8)*(1+Reference!$D$11*(IF(MONTH($A2445)=Reference!$D$4,1,0)+IF(MONTH($A2445)=Reference!$D$5,1,0))+(IF(MONTH($A2445)=Reference!$D$6,Reference!$D$13,0))),0)</f>
        <v>486</v>
      </c>
      <c r="E2445" s="11">
        <f ca="1">D2445*Reference!$D$7*(1-IF(MONTH($A2445)=Reference!$D$6,1,0)*Reference!$D$12)</f>
        <v>346275</v>
      </c>
      <c r="M2445" s="20"/>
      <c r="N2445" s="20"/>
      <c r="O2445" s="19"/>
      <c r="P2445" s="10"/>
      <c r="Q2445" s="10"/>
      <c r="R2445" s="10"/>
      <c r="S2445" s="10"/>
      <c r="T2445" s="10"/>
      <c r="U2445" s="10"/>
      <c r="V2445" s="10"/>
      <c r="W2445" s="10"/>
      <c r="X2445" s="10"/>
      <c r="Y2445" s="10"/>
    </row>
    <row r="2446" spans="1:25" x14ac:dyDescent="0.25">
      <c r="A2446" s="9">
        <v>42984</v>
      </c>
      <c r="B2446" s="10">
        <f ca="1">ROUND(_xlfn.NORM.INV(RAND(),Reference!$C$8,0.1*Reference!$C$8)*(1+Reference!$C$11*(IF(MONTH($A2446)=Reference!$C$4,1,0)+IF(MONTH($A2446)=Reference!$C$5,1,0))+(IF(MONTH($A2446)=Reference!$C$6,Reference!$C$13,0))),0)</f>
        <v>326</v>
      </c>
      <c r="C2446" s="11">
        <f ca="1">B2446*Reference!$C$7*(1-IF(MONTH($A2446)=Reference!$C$6,1,0)*Reference!$C$12)</f>
        <v>303180</v>
      </c>
      <c r="D2446" s="10">
        <f ca="1">ROUND(_xlfn.NORM.INV(RAND(),Reference!$D$8,0.1*Reference!$D$8)*(1+Reference!$D$11*(IF(MONTH($A2446)=Reference!$D$4,1,0)+IF(MONTH($A2446)=Reference!$D$5,1,0))+(IF(MONTH($A2446)=Reference!$D$6,Reference!$D$13,0))),0)</f>
        <v>489</v>
      </c>
      <c r="E2446" s="11">
        <f ca="1">D2446*Reference!$D$7*(1-IF(MONTH($A2446)=Reference!$D$6,1,0)*Reference!$D$12)</f>
        <v>348412.5</v>
      </c>
      <c r="M2446" s="20"/>
      <c r="N2446" s="20"/>
      <c r="O2446" s="19"/>
      <c r="P2446" s="10"/>
      <c r="Q2446" s="10"/>
      <c r="R2446" s="10"/>
      <c r="S2446" s="10"/>
      <c r="T2446" s="10"/>
      <c r="U2446" s="10"/>
      <c r="V2446" s="10"/>
      <c r="W2446" s="10"/>
      <c r="X2446" s="10"/>
      <c r="Y2446" s="10"/>
    </row>
    <row r="2447" spans="1:25" x14ac:dyDescent="0.25">
      <c r="A2447" s="9">
        <v>42985</v>
      </c>
      <c r="B2447" s="10">
        <f ca="1">ROUND(_xlfn.NORM.INV(RAND(),Reference!$C$8,0.1*Reference!$C$8)*(1+Reference!$C$11*(IF(MONTH($A2447)=Reference!$C$4,1,0)+IF(MONTH($A2447)=Reference!$C$5,1,0))+(IF(MONTH($A2447)=Reference!$C$6,Reference!$C$13,0))),0)</f>
        <v>299</v>
      </c>
      <c r="C2447" s="11">
        <f ca="1">B2447*Reference!$C$7*(1-IF(MONTH($A2447)=Reference!$C$6,1,0)*Reference!$C$12)</f>
        <v>278070</v>
      </c>
      <c r="D2447" s="10">
        <f ca="1">ROUND(_xlfn.NORM.INV(RAND(),Reference!$D$8,0.1*Reference!$D$8)*(1+Reference!$D$11*(IF(MONTH($A2447)=Reference!$D$4,1,0)+IF(MONTH($A2447)=Reference!$D$5,1,0))+(IF(MONTH($A2447)=Reference!$D$6,Reference!$D$13,0))),0)</f>
        <v>530</v>
      </c>
      <c r="E2447" s="11">
        <f ca="1">D2447*Reference!$D$7*(1-IF(MONTH($A2447)=Reference!$D$6,1,0)*Reference!$D$12)</f>
        <v>377625</v>
      </c>
      <c r="M2447" s="20"/>
      <c r="N2447" s="20"/>
      <c r="O2447" s="19"/>
      <c r="P2447" s="10"/>
      <c r="Q2447" s="10"/>
      <c r="R2447" s="10"/>
      <c r="S2447" s="10"/>
      <c r="T2447" s="10"/>
      <c r="U2447" s="10"/>
      <c r="V2447" s="10"/>
      <c r="W2447" s="10"/>
      <c r="X2447" s="10"/>
      <c r="Y2447" s="10"/>
    </row>
    <row r="2448" spans="1:25" x14ac:dyDescent="0.25">
      <c r="A2448" s="9">
        <v>42986</v>
      </c>
      <c r="B2448" s="10">
        <f ca="1">ROUND(_xlfn.NORM.INV(RAND(),Reference!$C$8,0.1*Reference!$C$8)*(1+Reference!$C$11*(IF(MONTH($A2448)=Reference!$C$4,1,0)+IF(MONTH($A2448)=Reference!$C$5,1,0))+(IF(MONTH($A2448)=Reference!$C$6,Reference!$C$13,0))),0)</f>
        <v>343</v>
      </c>
      <c r="C2448" s="11">
        <f ca="1">B2448*Reference!$C$7*(1-IF(MONTH($A2448)=Reference!$C$6,1,0)*Reference!$C$12)</f>
        <v>318990</v>
      </c>
      <c r="D2448" s="10">
        <f ca="1">ROUND(_xlfn.NORM.INV(RAND(),Reference!$D$8,0.1*Reference!$D$8)*(1+Reference!$D$11*(IF(MONTH($A2448)=Reference!$D$4,1,0)+IF(MONTH($A2448)=Reference!$D$5,1,0))+(IF(MONTH($A2448)=Reference!$D$6,Reference!$D$13,0))),0)</f>
        <v>573</v>
      </c>
      <c r="E2448" s="11">
        <f ca="1">D2448*Reference!$D$7*(1-IF(MONTH($A2448)=Reference!$D$6,1,0)*Reference!$D$12)</f>
        <v>408262.5</v>
      </c>
      <c r="M2448" s="20"/>
      <c r="N2448" s="20"/>
      <c r="O2448" s="19"/>
      <c r="P2448" s="10"/>
      <c r="Q2448" s="10"/>
      <c r="R2448" s="10"/>
      <c r="S2448" s="10"/>
      <c r="T2448" s="10"/>
      <c r="U2448" s="10"/>
      <c r="V2448" s="10"/>
      <c r="W2448" s="10"/>
      <c r="X2448" s="10"/>
      <c r="Y2448" s="10"/>
    </row>
    <row r="2449" spans="1:25" x14ac:dyDescent="0.25">
      <c r="A2449" s="9">
        <v>42987</v>
      </c>
      <c r="B2449" s="10">
        <f ca="1">ROUND(_xlfn.NORM.INV(RAND(),Reference!$C$8,0.1*Reference!$C$8)*(1+Reference!$C$11*(IF(MONTH($A2449)=Reference!$C$4,1,0)+IF(MONTH($A2449)=Reference!$C$5,1,0))+(IF(MONTH($A2449)=Reference!$C$6,Reference!$C$13,0))),0)</f>
        <v>373</v>
      </c>
      <c r="C2449" s="11">
        <f ca="1">B2449*Reference!$C$7*(1-IF(MONTH($A2449)=Reference!$C$6,1,0)*Reference!$C$12)</f>
        <v>346890</v>
      </c>
      <c r="D2449" s="10">
        <f ca="1">ROUND(_xlfn.NORM.INV(RAND(),Reference!$D$8,0.1*Reference!$D$8)*(1+Reference!$D$11*(IF(MONTH($A2449)=Reference!$D$4,1,0)+IF(MONTH($A2449)=Reference!$D$5,1,0))+(IF(MONTH($A2449)=Reference!$D$6,Reference!$D$13,0))),0)</f>
        <v>589</v>
      </c>
      <c r="E2449" s="11">
        <f ca="1">D2449*Reference!$D$7*(1-IF(MONTH($A2449)=Reference!$D$6,1,0)*Reference!$D$12)</f>
        <v>419662.5</v>
      </c>
      <c r="M2449" s="20"/>
      <c r="N2449" s="20"/>
      <c r="O2449" s="19"/>
      <c r="P2449" s="10"/>
      <c r="Q2449" s="10"/>
      <c r="R2449" s="10"/>
      <c r="S2449" s="10"/>
      <c r="T2449" s="10"/>
      <c r="U2449" s="10"/>
      <c r="V2449" s="10"/>
      <c r="W2449" s="10"/>
      <c r="X2449" s="10"/>
      <c r="Y2449" s="10"/>
    </row>
    <row r="2450" spans="1:25" x14ac:dyDescent="0.25">
      <c r="A2450" s="9">
        <v>42988</v>
      </c>
      <c r="B2450" s="10">
        <f ca="1">ROUND(_xlfn.NORM.INV(RAND(),Reference!$C$8,0.1*Reference!$C$8)*(1+Reference!$C$11*(IF(MONTH($A2450)=Reference!$C$4,1,0)+IF(MONTH($A2450)=Reference!$C$5,1,0))+(IF(MONTH($A2450)=Reference!$C$6,Reference!$C$13,0))),0)</f>
        <v>404</v>
      </c>
      <c r="C2450" s="11">
        <f ca="1">B2450*Reference!$C$7*(1-IF(MONTH($A2450)=Reference!$C$6,1,0)*Reference!$C$12)</f>
        <v>375720</v>
      </c>
      <c r="D2450" s="10">
        <f ca="1">ROUND(_xlfn.NORM.INV(RAND(),Reference!$D$8,0.1*Reference!$D$8)*(1+Reference!$D$11*(IF(MONTH($A2450)=Reference!$D$4,1,0)+IF(MONTH($A2450)=Reference!$D$5,1,0))+(IF(MONTH($A2450)=Reference!$D$6,Reference!$D$13,0))),0)</f>
        <v>558</v>
      </c>
      <c r="E2450" s="11">
        <f ca="1">D2450*Reference!$D$7*(1-IF(MONTH($A2450)=Reference!$D$6,1,0)*Reference!$D$12)</f>
        <v>397575</v>
      </c>
      <c r="M2450" s="20"/>
      <c r="N2450" s="20"/>
      <c r="O2450" s="19"/>
      <c r="P2450" s="10"/>
      <c r="Q2450" s="10"/>
      <c r="R2450" s="10"/>
      <c r="S2450" s="10"/>
      <c r="T2450" s="10"/>
      <c r="U2450" s="10"/>
      <c r="V2450" s="10"/>
      <c r="W2450" s="10"/>
      <c r="X2450" s="10"/>
      <c r="Y2450" s="10"/>
    </row>
    <row r="2451" spans="1:25" x14ac:dyDescent="0.25">
      <c r="A2451" s="9">
        <v>42989</v>
      </c>
      <c r="B2451" s="10">
        <f ca="1">ROUND(_xlfn.NORM.INV(RAND(),Reference!$C$8,0.1*Reference!$C$8)*(1+Reference!$C$11*(IF(MONTH($A2451)=Reference!$C$4,1,0)+IF(MONTH($A2451)=Reference!$C$5,1,0))+(IF(MONTH($A2451)=Reference!$C$6,Reference!$C$13,0))),0)</f>
        <v>309</v>
      </c>
      <c r="C2451" s="11">
        <f ca="1">B2451*Reference!$C$7*(1-IF(MONTH($A2451)=Reference!$C$6,1,0)*Reference!$C$12)</f>
        <v>287370</v>
      </c>
      <c r="D2451" s="10">
        <f ca="1">ROUND(_xlfn.NORM.INV(RAND(),Reference!$D$8,0.1*Reference!$D$8)*(1+Reference!$D$11*(IF(MONTH($A2451)=Reference!$D$4,1,0)+IF(MONTH($A2451)=Reference!$D$5,1,0))+(IF(MONTH($A2451)=Reference!$D$6,Reference!$D$13,0))),0)</f>
        <v>471</v>
      </c>
      <c r="E2451" s="11">
        <f ca="1">D2451*Reference!$D$7*(1-IF(MONTH($A2451)=Reference!$D$6,1,0)*Reference!$D$12)</f>
        <v>335587.5</v>
      </c>
      <c r="M2451" s="20"/>
      <c r="N2451" s="20"/>
      <c r="O2451" s="19"/>
      <c r="P2451" s="10"/>
      <c r="Q2451" s="10"/>
      <c r="R2451" s="10"/>
      <c r="S2451" s="10"/>
      <c r="T2451" s="10"/>
      <c r="U2451" s="10"/>
      <c r="V2451" s="10"/>
      <c r="W2451" s="10"/>
      <c r="X2451" s="10"/>
      <c r="Y2451" s="10"/>
    </row>
    <row r="2452" spans="1:25" x14ac:dyDescent="0.25">
      <c r="A2452" s="9">
        <v>42990</v>
      </c>
      <c r="B2452" s="10">
        <f ca="1">ROUND(_xlfn.NORM.INV(RAND(),Reference!$C$8,0.1*Reference!$C$8)*(1+Reference!$C$11*(IF(MONTH($A2452)=Reference!$C$4,1,0)+IF(MONTH($A2452)=Reference!$C$5,1,0))+(IF(MONTH($A2452)=Reference!$C$6,Reference!$C$13,0))),0)</f>
        <v>311</v>
      </c>
      <c r="C2452" s="11">
        <f ca="1">B2452*Reference!$C$7*(1-IF(MONTH($A2452)=Reference!$C$6,1,0)*Reference!$C$12)</f>
        <v>289230</v>
      </c>
      <c r="D2452" s="10">
        <f ca="1">ROUND(_xlfn.NORM.INV(RAND(),Reference!$D$8,0.1*Reference!$D$8)*(1+Reference!$D$11*(IF(MONTH($A2452)=Reference!$D$4,1,0)+IF(MONTH($A2452)=Reference!$D$5,1,0))+(IF(MONTH($A2452)=Reference!$D$6,Reference!$D$13,0))),0)</f>
        <v>476</v>
      </c>
      <c r="E2452" s="11">
        <f ca="1">D2452*Reference!$D$7*(1-IF(MONTH($A2452)=Reference!$D$6,1,0)*Reference!$D$12)</f>
        <v>339150</v>
      </c>
      <c r="M2452" s="20"/>
      <c r="N2452" s="20"/>
      <c r="O2452" s="19"/>
      <c r="P2452" s="10"/>
      <c r="Q2452" s="10"/>
      <c r="R2452" s="10"/>
      <c r="S2452" s="10"/>
      <c r="T2452" s="10"/>
      <c r="U2452" s="10"/>
      <c r="V2452" s="10"/>
      <c r="W2452" s="10"/>
      <c r="X2452" s="10"/>
      <c r="Y2452" s="10"/>
    </row>
    <row r="2453" spans="1:25" x14ac:dyDescent="0.25">
      <c r="A2453" s="9">
        <v>42991</v>
      </c>
      <c r="B2453" s="10">
        <f ca="1">ROUND(_xlfn.NORM.INV(RAND(),Reference!$C$8,0.1*Reference!$C$8)*(1+Reference!$C$11*(IF(MONTH($A2453)=Reference!$C$4,1,0)+IF(MONTH($A2453)=Reference!$C$5,1,0))+(IF(MONTH($A2453)=Reference!$C$6,Reference!$C$13,0))),0)</f>
        <v>305</v>
      </c>
      <c r="C2453" s="11">
        <f ca="1">B2453*Reference!$C$7*(1-IF(MONTH($A2453)=Reference!$C$6,1,0)*Reference!$C$12)</f>
        <v>283650</v>
      </c>
      <c r="D2453" s="10">
        <f ca="1">ROUND(_xlfn.NORM.INV(RAND(),Reference!$D$8,0.1*Reference!$D$8)*(1+Reference!$D$11*(IF(MONTH($A2453)=Reference!$D$4,1,0)+IF(MONTH($A2453)=Reference!$D$5,1,0))+(IF(MONTH($A2453)=Reference!$D$6,Reference!$D$13,0))),0)</f>
        <v>513</v>
      </c>
      <c r="E2453" s="11">
        <f ca="1">D2453*Reference!$D$7*(1-IF(MONTH($A2453)=Reference!$D$6,1,0)*Reference!$D$12)</f>
        <v>365512.5</v>
      </c>
      <c r="M2453" s="20"/>
      <c r="N2453" s="20"/>
      <c r="O2453" s="19"/>
      <c r="P2453" s="10"/>
      <c r="Q2453" s="10"/>
      <c r="R2453" s="10"/>
      <c r="S2453" s="10"/>
      <c r="T2453" s="10"/>
      <c r="U2453" s="10"/>
      <c r="V2453" s="10"/>
      <c r="W2453" s="10"/>
      <c r="X2453" s="10"/>
      <c r="Y2453" s="10"/>
    </row>
    <row r="2454" spans="1:25" x14ac:dyDescent="0.25">
      <c r="A2454" s="9">
        <v>42992</v>
      </c>
      <c r="B2454" s="10">
        <f ca="1">ROUND(_xlfn.NORM.INV(RAND(),Reference!$C$8,0.1*Reference!$C$8)*(1+Reference!$C$11*(IF(MONTH($A2454)=Reference!$C$4,1,0)+IF(MONTH($A2454)=Reference!$C$5,1,0))+(IF(MONTH($A2454)=Reference!$C$6,Reference!$C$13,0))),0)</f>
        <v>343</v>
      </c>
      <c r="C2454" s="11">
        <f ca="1">B2454*Reference!$C$7*(1-IF(MONTH($A2454)=Reference!$C$6,1,0)*Reference!$C$12)</f>
        <v>318990</v>
      </c>
      <c r="D2454" s="10">
        <f ca="1">ROUND(_xlfn.NORM.INV(RAND(),Reference!$D$8,0.1*Reference!$D$8)*(1+Reference!$D$11*(IF(MONTH($A2454)=Reference!$D$4,1,0)+IF(MONTH($A2454)=Reference!$D$5,1,0))+(IF(MONTH($A2454)=Reference!$D$6,Reference!$D$13,0))),0)</f>
        <v>538</v>
      </c>
      <c r="E2454" s="11">
        <f ca="1">D2454*Reference!$D$7*(1-IF(MONTH($A2454)=Reference!$D$6,1,0)*Reference!$D$12)</f>
        <v>383325</v>
      </c>
      <c r="M2454" s="20"/>
      <c r="N2454" s="20"/>
      <c r="O2454" s="19"/>
      <c r="P2454" s="10"/>
      <c r="Q2454" s="10"/>
      <c r="R2454" s="10"/>
      <c r="S2454" s="10"/>
      <c r="T2454" s="10"/>
      <c r="U2454" s="10"/>
      <c r="V2454" s="10"/>
      <c r="W2454" s="10"/>
      <c r="X2454" s="10"/>
      <c r="Y2454" s="10"/>
    </row>
    <row r="2455" spans="1:25" x14ac:dyDescent="0.25">
      <c r="A2455" s="9">
        <v>42993</v>
      </c>
      <c r="B2455" s="10">
        <f ca="1">ROUND(_xlfn.NORM.INV(RAND(),Reference!$C$8,0.1*Reference!$C$8)*(1+Reference!$C$11*(IF(MONTH($A2455)=Reference!$C$4,1,0)+IF(MONTH($A2455)=Reference!$C$5,1,0))+(IF(MONTH($A2455)=Reference!$C$6,Reference!$C$13,0))),0)</f>
        <v>364</v>
      </c>
      <c r="C2455" s="11">
        <f ca="1">B2455*Reference!$C$7*(1-IF(MONTH($A2455)=Reference!$C$6,1,0)*Reference!$C$12)</f>
        <v>338520</v>
      </c>
      <c r="D2455" s="10">
        <f ca="1">ROUND(_xlfn.NORM.INV(RAND(),Reference!$D$8,0.1*Reference!$D$8)*(1+Reference!$D$11*(IF(MONTH($A2455)=Reference!$D$4,1,0)+IF(MONTH($A2455)=Reference!$D$5,1,0))+(IF(MONTH($A2455)=Reference!$D$6,Reference!$D$13,0))),0)</f>
        <v>494</v>
      </c>
      <c r="E2455" s="11">
        <f ca="1">D2455*Reference!$D$7*(1-IF(MONTH($A2455)=Reference!$D$6,1,0)*Reference!$D$12)</f>
        <v>351975</v>
      </c>
      <c r="M2455" s="20"/>
      <c r="N2455" s="20"/>
      <c r="O2455" s="19"/>
      <c r="P2455" s="10"/>
      <c r="Q2455" s="10"/>
      <c r="R2455" s="10"/>
      <c r="S2455" s="10"/>
      <c r="T2455" s="10"/>
      <c r="U2455" s="10"/>
      <c r="V2455" s="10"/>
      <c r="W2455" s="10"/>
      <c r="X2455" s="10"/>
      <c r="Y2455" s="10"/>
    </row>
    <row r="2456" spans="1:25" x14ac:dyDescent="0.25">
      <c r="A2456" s="9">
        <v>42994</v>
      </c>
      <c r="B2456" s="10">
        <f ca="1">ROUND(_xlfn.NORM.INV(RAND(),Reference!$C$8,0.1*Reference!$C$8)*(1+Reference!$C$11*(IF(MONTH($A2456)=Reference!$C$4,1,0)+IF(MONTH($A2456)=Reference!$C$5,1,0))+(IF(MONTH($A2456)=Reference!$C$6,Reference!$C$13,0))),0)</f>
        <v>351</v>
      </c>
      <c r="C2456" s="11">
        <f ca="1">B2456*Reference!$C$7*(1-IF(MONTH($A2456)=Reference!$C$6,1,0)*Reference!$C$12)</f>
        <v>326430</v>
      </c>
      <c r="D2456" s="10">
        <f ca="1">ROUND(_xlfn.NORM.INV(RAND(),Reference!$D$8,0.1*Reference!$D$8)*(1+Reference!$D$11*(IF(MONTH($A2456)=Reference!$D$4,1,0)+IF(MONTH($A2456)=Reference!$D$5,1,0))+(IF(MONTH($A2456)=Reference!$D$6,Reference!$D$13,0))),0)</f>
        <v>479</v>
      </c>
      <c r="E2456" s="11">
        <f ca="1">D2456*Reference!$D$7*(1-IF(MONTH($A2456)=Reference!$D$6,1,0)*Reference!$D$12)</f>
        <v>341287.5</v>
      </c>
      <c r="M2456" s="20"/>
      <c r="N2456" s="20"/>
      <c r="O2456" s="19"/>
      <c r="P2456" s="10"/>
      <c r="Q2456" s="10"/>
      <c r="R2456" s="10"/>
      <c r="S2456" s="10"/>
      <c r="T2456" s="10"/>
      <c r="U2456" s="10"/>
      <c r="V2456" s="10"/>
      <c r="W2456" s="10"/>
      <c r="X2456" s="10"/>
      <c r="Y2456" s="10"/>
    </row>
    <row r="2457" spans="1:25" x14ac:dyDescent="0.25">
      <c r="A2457" s="9">
        <v>42995</v>
      </c>
      <c r="B2457" s="10">
        <f ca="1">ROUND(_xlfn.NORM.INV(RAND(),Reference!$C$8,0.1*Reference!$C$8)*(1+Reference!$C$11*(IF(MONTH($A2457)=Reference!$C$4,1,0)+IF(MONTH($A2457)=Reference!$C$5,1,0))+(IF(MONTH($A2457)=Reference!$C$6,Reference!$C$13,0))),0)</f>
        <v>306</v>
      </c>
      <c r="C2457" s="11">
        <f ca="1">B2457*Reference!$C$7*(1-IF(MONTH($A2457)=Reference!$C$6,1,0)*Reference!$C$12)</f>
        <v>284580</v>
      </c>
      <c r="D2457" s="10">
        <f ca="1">ROUND(_xlfn.NORM.INV(RAND(),Reference!$D$8,0.1*Reference!$D$8)*(1+Reference!$D$11*(IF(MONTH($A2457)=Reference!$D$4,1,0)+IF(MONTH($A2457)=Reference!$D$5,1,0))+(IF(MONTH($A2457)=Reference!$D$6,Reference!$D$13,0))),0)</f>
        <v>493</v>
      </c>
      <c r="E2457" s="11">
        <f ca="1">D2457*Reference!$D$7*(1-IF(MONTH($A2457)=Reference!$D$6,1,0)*Reference!$D$12)</f>
        <v>351262.5</v>
      </c>
      <c r="M2457" s="20"/>
      <c r="N2457" s="20"/>
      <c r="O2457" s="19"/>
      <c r="P2457" s="10"/>
      <c r="Q2457" s="10"/>
      <c r="R2457" s="10"/>
      <c r="S2457" s="10"/>
      <c r="T2457" s="10"/>
      <c r="U2457" s="10"/>
      <c r="V2457" s="10"/>
      <c r="W2457" s="10"/>
      <c r="X2457" s="10"/>
      <c r="Y2457" s="10"/>
    </row>
    <row r="2458" spans="1:25" x14ac:dyDescent="0.25">
      <c r="A2458" s="9">
        <v>42996</v>
      </c>
      <c r="B2458" s="10">
        <f ca="1">ROUND(_xlfn.NORM.INV(RAND(),Reference!$C$8,0.1*Reference!$C$8)*(1+Reference!$C$11*(IF(MONTH($A2458)=Reference!$C$4,1,0)+IF(MONTH($A2458)=Reference!$C$5,1,0))+(IF(MONTH($A2458)=Reference!$C$6,Reference!$C$13,0))),0)</f>
        <v>391</v>
      </c>
      <c r="C2458" s="11">
        <f ca="1">B2458*Reference!$C$7*(1-IF(MONTH($A2458)=Reference!$C$6,1,0)*Reference!$C$12)</f>
        <v>363630</v>
      </c>
      <c r="D2458" s="10">
        <f ca="1">ROUND(_xlfn.NORM.INV(RAND(),Reference!$D$8,0.1*Reference!$D$8)*(1+Reference!$D$11*(IF(MONTH($A2458)=Reference!$D$4,1,0)+IF(MONTH($A2458)=Reference!$D$5,1,0))+(IF(MONTH($A2458)=Reference!$D$6,Reference!$D$13,0))),0)</f>
        <v>512</v>
      </c>
      <c r="E2458" s="11">
        <f ca="1">D2458*Reference!$D$7*(1-IF(MONTH($A2458)=Reference!$D$6,1,0)*Reference!$D$12)</f>
        <v>364800</v>
      </c>
      <c r="M2458" s="20"/>
      <c r="N2458" s="20"/>
      <c r="O2458" s="19"/>
      <c r="P2458" s="10"/>
      <c r="Q2458" s="10"/>
      <c r="R2458" s="10"/>
      <c r="S2458" s="10"/>
      <c r="T2458" s="10"/>
      <c r="U2458" s="10"/>
      <c r="V2458" s="10"/>
      <c r="W2458" s="10"/>
      <c r="X2458" s="10"/>
      <c r="Y2458" s="10"/>
    </row>
    <row r="2459" spans="1:25" x14ac:dyDescent="0.25">
      <c r="A2459" s="9">
        <v>42997</v>
      </c>
      <c r="B2459" s="10">
        <f ca="1">ROUND(_xlfn.NORM.INV(RAND(),Reference!$C$8,0.1*Reference!$C$8)*(1+Reference!$C$11*(IF(MONTH($A2459)=Reference!$C$4,1,0)+IF(MONTH($A2459)=Reference!$C$5,1,0))+(IF(MONTH($A2459)=Reference!$C$6,Reference!$C$13,0))),0)</f>
        <v>315</v>
      </c>
      <c r="C2459" s="11">
        <f ca="1">B2459*Reference!$C$7*(1-IF(MONTH($A2459)=Reference!$C$6,1,0)*Reference!$C$12)</f>
        <v>292950</v>
      </c>
      <c r="D2459" s="10">
        <f ca="1">ROUND(_xlfn.NORM.INV(RAND(),Reference!$D$8,0.1*Reference!$D$8)*(1+Reference!$D$11*(IF(MONTH($A2459)=Reference!$D$4,1,0)+IF(MONTH($A2459)=Reference!$D$5,1,0))+(IF(MONTH($A2459)=Reference!$D$6,Reference!$D$13,0))),0)</f>
        <v>531</v>
      </c>
      <c r="E2459" s="11">
        <f ca="1">D2459*Reference!$D$7*(1-IF(MONTH($A2459)=Reference!$D$6,1,0)*Reference!$D$12)</f>
        <v>378337.5</v>
      </c>
      <c r="M2459" s="20"/>
      <c r="N2459" s="20"/>
      <c r="O2459" s="19"/>
      <c r="P2459" s="10"/>
      <c r="Q2459" s="10"/>
      <c r="R2459" s="10"/>
      <c r="S2459" s="10"/>
      <c r="T2459" s="10"/>
      <c r="U2459" s="10"/>
      <c r="V2459" s="10"/>
      <c r="W2459" s="10"/>
      <c r="X2459" s="10"/>
      <c r="Y2459" s="10"/>
    </row>
    <row r="2460" spans="1:25" x14ac:dyDescent="0.25">
      <c r="A2460" s="9">
        <v>42998</v>
      </c>
      <c r="B2460" s="10">
        <f ca="1">ROUND(_xlfn.NORM.INV(RAND(),Reference!$C$8,0.1*Reference!$C$8)*(1+Reference!$C$11*(IF(MONTH($A2460)=Reference!$C$4,1,0)+IF(MONTH($A2460)=Reference!$C$5,1,0))+(IF(MONTH($A2460)=Reference!$C$6,Reference!$C$13,0))),0)</f>
        <v>417</v>
      </c>
      <c r="C2460" s="11">
        <f ca="1">B2460*Reference!$C$7*(1-IF(MONTH($A2460)=Reference!$C$6,1,0)*Reference!$C$12)</f>
        <v>387810</v>
      </c>
      <c r="D2460" s="10">
        <f ca="1">ROUND(_xlfn.NORM.INV(RAND(),Reference!$D$8,0.1*Reference!$D$8)*(1+Reference!$D$11*(IF(MONTH($A2460)=Reference!$D$4,1,0)+IF(MONTH($A2460)=Reference!$D$5,1,0))+(IF(MONTH($A2460)=Reference!$D$6,Reference!$D$13,0))),0)</f>
        <v>561</v>
      </c>
      <c r="E2460" s="11">
        <f ca="1">D2460*Reference!$D$7*(1-IF(MONTH($A2460)=Reference!$D$6,1,0)*Reference!$D$12)</f>
        <v>399712.5</v>
      </c>
      <c r="M2460" s="20"/>
      <c r="N2460" s="20"/>
      <c r="O2460" s="19"/>
      <c r="P2460" s="10"/>
      <c r="Q2460" s="10"/>
      <c r="R2460" s="10"/>
      <c r="S2460" s="10"/>
      <c r="T2460" s="10"/>
      <c r="U2460" s="10"/>
      <c r="V2460" s="10"/>
      <c r="W2460" s="10"/>
      <c r="X2460" s="10"/>
      <c r="Y2460" s="10"/>
    </row>
    <row r="2461" spans="1:25" x14ac:dyDescent="0.25">
      <c r="A2461" s="9">
        <v>42999</v>
      </c>
      <c r="B2461" s="10">
        <f ca="1">ROUND(_xlfn.NORM.INV(RAND(),Reference!$C$8,0.1*Reference!$C$8)*(1+Reference!$C$11*(IF(MONTH($A2461)=Reference!$C$4,1,0)+IF(MONTH($A2461)=Reference!$C$5,1,0))+(IF(MONTH($A2461)=Reference!$C$6,Reference!$C$13,0))),0)</f>
        <v>359</v>
      </c>
      <c r="C2461" s="11">
        <f ca="1">B2461*Reference!$C$7*(1-IF(MONTH($A2461)=Reference!$C$6,1,0)*Reference!$C$12)</f>
        <v>333870</v>
      </c>
      <c r="D2461" s="10">
        <f ca="1">ROUND(_xlfn.NORM.INV(RAND(),Reference!$D$8,0.1*Reference!$D$8)*(1+Reference!$D$11*(IF(MONTH($A2461)=Reference!$D$4,1,0)+IF(MONTH($A2461)=Reference!$D$5,1,0))+(IF(MONTH($A2461)=Reference!$D$6,Reference!$D$13,0))),0)</f>
        <v>412</v>
      </c>
      <c r="E2461" s="11">
        <f ca="1">D2461*Reference!$D$7*(1-IF(MONTH($A2461)=Reference!$D$6,1,0)*Reference!$D$12)</f>
        <v>293550</v>
      </c>
      <c r="M2461" s="20"/>
      <c r="N2461" s="20"/>
      <c r="O2461" s="19"/>
      <c r="P2461" s="10"/>
      <c r="Q2461" s="10"/>
      <c r="R2461" s="10"/>
      <c r="S2461" s="10"/>
      <c r="T2461" s="10"/>
      <c r="U2461" s="10"/>
      <c r="V2461" s="10"/>
      <c r="W2461" s="10"/>
      <c r="X2461" s="10"/>
      <c r="Y2461" s="10"/>
    </row>
    <row r="2462" spans="1:25" x14ac:dyDescent="0.25">
      <c r="A2462" s="9">
        <v>43000</v>
      </c>
      <c r="B2462" s="10">
        <f ca="1">ROUND(_xlfn.NORM.INV(RAND(),Reference!$C$8,0.1*Reference!$C$8)*(1+Reference!$C$11*(IF(MONTH($A2462)=Reference!$C$4,1,0)+IF(MONTH($A2462)=Reference!$C$5,1,0))+(IF(MONTH($A2462)=Reference!$C$6,Reference!$C$13,0))),0)</f>
        <v>395</v>
      </c>
      <c r="C2462" s="11">
        <f ca="1">B2462*Reference!$C$7*(1-IF(MONTH($A2462)=Reference!$C$6,1,0)*Reference!$C$12)</f>
        <v>367350</v>
      </c>
      <c r="D2462" s="10">
        <f ca="1">ROUND(_xlfn.NORM.INV(RAND(),Reference!$D$8,0.1*Reference!$D$8)*(1+Reference!$D$11*(IF(MONTH($A2462)=Reference!$D$4,1,0)+IF(MONTH($A2462)=Reference!$D$5,1,0))+(IF(MONTH($A2462)=Reference!$D$6,Reference!$D$13,0))),0)</f>
        <v>599</v>
      </c>
      <c r="E2462" s="11">
        <f ca="1">D2462*Reference!$D$7*(1-IF(MONTH($A2462)=Reference!$D$6,1,0)*Reference!$D$12)</f>
        <v>426787.5</v>
      </c>
      <c r="M2462" s="20"/>
      <c r="N2462" s="20"/>
      <c r="O2462" s="19"/>
      <c r="P2462" s="10"/>
      <c r="Q2462" s="10"/>
      <c r="R2462" s="10"/>
      <c r="S2462" s="10"/>
      <c r="T2462" s="10"/>
      <c r="U2462" s="10"/>
      <c r="V2462" s="10"/>
      <c r="W2462" s="10"/>
      <c r="X2462" s="10"/>
      <c r="Y2462" s="10"/>
    </row>
    <row r="2463" spans="1:25" x14ac:dyDescent="0.25">
      <c r="A2463" s="9">
        <v>43001</v>
      </c>
      <c r="B2463" s="10">
        <f ca="1">ROUND(_xlfn.NORM.INV(RAND(),Reference!$C$8,0.1*Reference!$C$8)*(1+Reference!$C$11*(IF(MONTH($A2463)=Reference!$C$4,1,0)+IF(MONTH($A2463)=Reference!$C$5,1,0))+(IF(MONTH($A2463)=Reference!$C$6,Reference!$C$13,0))),0)</f>
        <v>360</v>
      </c>
      <c r="C2463" s="11">
        <f ca="1">B2463*Reference!$C$7*(1-IF(MONTH($A2463)=Reference!$C$6,1,0)*Reference!$C$12)</f>
        <v>334800</v>
      </c>
      <c r="D2463" s="10">
        <f ca="1">ROUND(_xlfn.NORM.INV(RAND(),Reference!$D$8,0.1*Reference!$D$8)*(1+Reference!$D$11*(IF(MONTH($A2463)=Reference!$D$4,1,0)+IF(MONTH($A2463)=Reference!$D$5,1,0))+(IF(MONTH($A2463)=Reference!$D$6,Reference!$D$13,0))),0)</f>
        <v>446</v>
      </c>
      <c r="E2463" s="11">
        <f ca="1">D2463*Reference!$D$7*(1-IF(MONTH($A2463)=Reference!$D$6,1,0)*Reference!$D$12)</f>
        <v>317775</v>
      </c>
      <c r="M2463" s="20"/>
      <c r="N2463" s="20"/>
      <c r="O2463" s="19"/>
      <c r="P2463" s="10"/>
      <c r="Q2463" s="10"/>
      <c r="R2463" s="10"/>
      <c r="S2463" s="10"/>
      <c r="T2463" s="10"/>
      <c r="U2463" s="10"/>
      <c r="V2463" s="10"/>
      <c r="W2463" s="10"/>
      <c r="X2463" s="10"/>
      <c r="Y2463" s="10"/>
    </row>
    <row r="2464" spans="1:25" x14ac:dyDescent="0.25">
      <c r="A2464" s="9">
        <v>43002</v>
      </c>
      <c r="B2464" s="10">
        <f ca="1">ROUND(_xlfn.NORM.INV(RAND(),Reference!$C$8,0.1*Reference!$C$8)*(1+Reference!$C$11*(IF(MONTH($A2464)=Reference!$C$4,1,0)+IF(MONTH($A2464)=Reference!$C$5,1,0))+(IF(MONTH($A2464)=Reference!$C$6,Reference!$C$13,0))),0)</f>
        <v>388</v>
      </c>
      <c r="C2464" s="11">
        <f ca="1">B2464*Reference!$C$7*(1-IF(MONTH($A2464)=Reference!$C$6,1,0)*Reference!$C$12)</f>
        <v>360840</v>
      </c>
      <c r="D2464" s="10">
        <f ca="1">ROUND(_xlfn.NORM.INV(RAND(),Reference!$D$8,0.1*Reference!$D$8)*(1+Reference!$D$11*(IF(MONTH($A2464)=Reference!$D$4,1,0)+IF(MONTH($A2464)=Reference!$D$5,1,0))+(IF(MONTH($A2464)=Reference!$D$6,Reference!$D$13,0))),0)</f>
        <v>475</v>
      </c>
      <c r="E2464" s="11">
        <f ca="1">D2464*Reference!$D$7*(1-IF(MONTH($A2464)=Reference!$D$6,1,0)*Reference!$D$12)</f>
        <v>338437.5</v>
      </c>
      <c r="M2464" s="20"/>
      <c r="N2464" s="20"/>
      <c r="O2464" s="19"/>
      <c r="P2464" s="10"/>
      <c r="Q2464" s="10"/>
      <c r="R2464" s="10"/>
      <c r="S2464" s="10"/>
      <c r="T2464" s="10"/>
      <c r="U2464" s="10"/>
      <c r="V2464" s="10"/>
      <c r="W2464" s="10"/>
      <c r="X2464" s="10"/>
      <c r="Y2464" s="10"/>
    </row>
    <row r="2465" spans="1:25" x14ac:dyDescent="0.25">
      <c r="A2465" s="9">
        <v>43003</v>
      </c>
      <c r="B2465" s="10">
        <f ca="1">ROUND(_xlfn.NORM.INV(RAND(),Reference!$C$8,0.1*Reference!$C$8)*(1+Reference!$C$11*(IF(MONTH($A2465)=Reference!$C$4,1,0)+IF(MONTH($A2465)=Reference!$C$5,1,0))+(IF(MONTH($A2465)=Reference!$C$6,Reference!$C$13,0))),0)</f>
        <v>376</v>
      </c>
      <c r="C2465" s="11">
        <f ca="1">B2465*Reference!$C$7*(1-IF(MONTH($A2465)=Reference!$C$6,1,0)*Reference!$C$12)</f>
        <v>349680</v>
      </c>
      <c r="D2465" s="10">
        <f ca="1">ROUND(_xlfn.NORM.INV(RAND(),Reference!$D$8,0.1*Reference!$D$8)*(1+Reference!$D$11*(IF(MONTH($A2465)=Reference!$D$4,1,0)+IF(MONTH($A2465)=Reference!$D$5,1,0))+(IF(MONTH($A2465)=Reference!$D$6,Reference!$D$13,0))),0)</f>
        <v>528</v>
      </c>
      <c r="E2465" s="11">
        <f ca="1">D2465*Reference!$D$7*(1-IF(MONTH($A2465)=Reference!$D$6,1,0)*Reference!$D$12)</f>
        <v>376200</v>
      </c>
      <c r="M2465" s="20"/>
      <c r="N2465" s="20"/>
      <c r="O2465" s="19"/>
      <c r="P2465" s="10"/>
      <c r="Q2465" s="10"/>
      <c r="R2465" s="10"/>
      <c r="S2465" s="10"/>
      <c r="T2465" s="10"/>
      <c r="U2465" s="10"/>
      <c r="V2465" s="10"/>
      <c r="W2465" s="10"/>
      <c r="X2465" s="10"/>
      <c r="Y2465" s="10"/>
    </row>
    <row r="2466" spans="1:25" x14ac:dyDescent="0.25">
      <c r="A2466" s="9">
        <v>43004</v>
      </c>
      <c r="B2466" s="10">
        <f ca="1">ROUND(_xlfn.NORM.INV(RAND(),Reference!$C$8,0.1*Reference!$C$8)*(1+Reference!$C$11*(IF(MONTH($A2466)=Reference!$C$4,1,0)+IF(MONTH($A2466)=Reference!$C$5,1,0))+(IF(MONTH($A2466)=Reference!$C$6,Reference!$C$13,0))),0)</f>
        <v>386</v>
      </c>
      <c r="C2466" s="11">
        <f ca="1">B2466*Reference!$C$7*(1-IF(MONTH($A2466)=Reference!$C$6,1,0)*Reference!$C$12)</f>
        <v>358980</v>
      </c>
      <c r="D2466" s="10">
        <f ca="1">ROUND(_xlfn.NORM.INV(RAND(),Reference!$D$8,0.1*Reference!$D$8)*(1+Reference!$D$11*(IF(MONTH($A2466)=Reference!$D$4,1,0)+IF(MONTH($A2466)=Reference!$D$5,1,0))+(IF(MONTH($A2466)=Reference!$D$6,Reference!$D$13,0))),0)</f>
        <v>534</v>
      </c>
      <c r="E2466" s="11">
        <f ca="1">D2466*Reference!$D$7*(1-IF(MONTH($A2466)=Reference!$D$6,1,0)*Reference!$D$12)</f>
        <v>380475</v>
      </c>
      <c r="M2466" s="20"/>
      <c r="N2466" s="20"/>
      <c r="O2466" s="19"/>
      <c r="P2466" s="10"/>
      <c r="Q2466" s="10"/>
      <c r="R2466" s="10"/>
      <c r="S2466" s="10"/>
      <c r="T2466" s="10"/>
      <c r="U2466" s="10"/>
      <c r="V2466" s="10"/>
      <c r="W2466" s="10"/>
      <c r="X2466" s="10"/>
      <c r="Y2466" s="10"/>
    </row>
    <row r="2467" spans="1:25" x14ac:dyDescent="0.25">
      <c r="A2467" s="9">
        <v>43005</v>
      </c>
      <c r="B2467" s="10">
        <f ca="1">ROUND(_xlfn.NORM.INV(RAND(),Reference!$C$8,0.1*Reference!$C$8)*(1+Reference!$C$11*(IF(MONTH($A2467)=Reference!$C$4,1,0)+IF(MONTH($A2467)=Reference!$C$5,1,0))+(IF(MONTH($A2467)=Reference!$C$6,Reference!$C$13,0))),0)</f>
        <v>353</v>
      </c>
      <c r="C2467" s="11">
        <f ca="1">B2467*Reference!$C$7*(1-IF(MONTH($A2467)=Reference!$C$6,1,0)*Reference!$C$12)</f>
        <v>328290</v>
      </c>
      <c r="D2467" s="10">
        <f ca="1">ROUND(_xlfn.NORM.INV(RAND(),Reference!$D$8,0.1*Reference!$D$8)*(1+Reference!$D$11*(IF(MONTH($A2467)=Reference!$D$4,1,0)+IF(MONTH($A2467)=Reference!$D$5,1,0))+(IF(MONTH($A2467)=Reference!$D$6,Reference!$D$13,0))),0)</f>
        <v>432</v>
      </c>
      <c r="E2467" s="11">
        <f ca="1">D2467*Reference!$D$7*(1-IF(MONTH($A2467)=Reference!$D$6,1,0)*Reference!$D$12)</f>
        <v>307800</v>
      </c>
      <c r="M2467" s="20"/>
      <c r="N2467" s="20"/>
      <c r="O2467" s="19"/>
      <c r="P2467" s="10"/>
      <c r="Q2467" s="10"/>
      <c r="R2467" s="10"/>
      <c r="S2467" s="10"/>
      <c r="T2467" s="10"/>
      <c r="U2467" s="10"/>
      <c r="V2467" s="10"/>
      <c r="W2467" s="10"/>
      <c r="X2467" s="10"/>
      <c r="Y2467" s="10"/>
    </row>
    <row r="2468" spans="1:25" x14ac:dyDescent="0.25">
      <c r="A2468" s="9">
        <v>43006</v>
      </c>
      <c r="B2468" s="10">
        <f ca="1">ROUND(_xlfn.NORM.INV(RAND(),Reference!$C$8,0.1*Reference!$C$8)*(1+Reference!$C$11*(IF(MONTH($A2468)=Reference!$C$4,1,0)+IF(MONTH($A2468)=Reference!$C$5,1,0))+(IF(MONTH($A2468)=Reference!$C$6,Reference!$C$13,0))),0)</f>
        <v>403</v>
      </c>
      <c r="C2468" s="11">
        <f ca="1">B2468*Reference!$C$7*(1-IF(MONTH($A2468)=Reference!$C$6,1,0)*Reference!$C$12)</f>
        <v>374790</v>
      </c>
      <c r="D2468" s="10">
        <f ca="1">ROUND(_xlfn.NORM.INV(RAND(),Reference!$D$8,0.1*Reference!$D$8)*(1+Reference!$D$11*(IF(MONTH($A2468)=Reference!$D$4,1,0)+IF(MONTH($A2468)=Reference!$D$5,1,0))+(IF(MONTH($A2468)=Reference!$D$6,Reference!$D$13,0))),0)</f>
        <v>601</v>
      </c>
      <c r="E2468" s="11">
        <f ca="1">D2468*Reference!$D$7*(1-IF(MONTH($A2468)=Reference!$D$6,1,0)*Reference!$D$12)</f>
        <v>428212.5</v>
      </c>
      <c r="M2468" s="20"/>
      <c r="N2468" s="20"/>
      <c r="O2468" s="19"/>
      <c r="P2468" s="10"/>
      <c r="Q2468" s="10"/>
      <c r="R2468" s="10"/>
      <c r="S2468" s="10"/>
      <c r="T2468" s="10"/>
      <c r="U2468" s="10"/>
      <c r="V2468" s="10"/>
      <c r="W2468" s="10"/>
      <c r="X2468" s="10"/>
      <c r="Y2468" s="10"/>
    </row>
    <row r="2469" spans="1:25" x14ac:dyDescent="0.25">
      <c r="A2469" s="9">
        <v>43007</v>
      </c>
      <c r="B2469" s="10">
        <f ca="1">ROUND(_xlfn.NORM.INV(RAND(),Reference!$C$8,0.1*Reference!$C$8)*(1+Reference!$C$11*(IF(MONTH($A2469)=Reference!$C$4,1,0)+IF(MONTH($A2469)=Reference!$C$5,1,0))+(IF(MONTH($A2469)=Reference!$C$6,Reference!$C$13,0))),0)</f>
        <v>351</v>
      </c>
      <c r="C2469" s="11">
        <f ca="1">B2469*Reference!$C$7*(1-IF(MONTH($A2469)=Reference!$C$6,1,0)*Reference!$C$12)</f>
        <v>326430</v>
      </c>
      <c r="D2469" s="10">
        <f ca="1">ROUND(_xlfn.NORM.INV(RAND(),Reference!$D$8,0.1*Reference!$D$8)*(1+Reference!$D$11*(IF(MONTH($A2469)=Reference!$D$4,1,0)+IF(MONTH($A2469)=Reference!$D$5,1,0))+(IF(MONTH($A2469)=Reference!$D$6,Reference!$D$13,0))),0)</f>
        <v>511</v>
      </c>
      <c r="E2469" s="11">
        <f ca="1">D2469*Reference!$D$7*(1-IF(MONTH($A2469)=Reference!$D$6,1,0)*Reference!$D$12)</f>
        <v>364087.5</v>
      </c>
      <c r="M2469" s="20"/>
      <c r="N2469" s="20"/>
      <c r="O2469" s="19"/>
      <c r="P2469" s="10"/>
      <c r="Q2469" s="10"/>
      <c r="R2469" s="10"/>
      <c r="S2469" s="10"/>
      <c r="T2469" s="10"/>
      <c r="U2469" s="10"/>
      <c r="V2469" s="10"/>
      <c r="W2469" s="10"/>
      <c r="X2469" s="10"/>
      <c r="Y2469" s="10"/>
    </row>
    <row r="2470" spans="1:25" x14ac:dyDescent="0.25">
      <c r="A2470" s="9">
        <v>43008</v>
      </c>
      <c r="B2470" s="10">
        <f ca="1">ROUND(_xlfn.NORM.INV(RAND(),Reference!$C$8,0.1*Reference!$C$8)*(1+Reference!$C$11*(IF(MONTH($A2470)=Reference!$C$4,1,0)+IF(MONTH($A2470)=Reference!$C$5,1,0))+(IF(MONTH($A2470)=Reference!$C$6,Reference!$C$13,0))),0)</f>
        <v>338</v>
      </c>
      <c r="C2470" s="11">
        <f ca="1">B2470*Reference!$C$7*(1-IF(MONTH($A2470)=Reference!$C$6,1,0)*Reference!$C$12)</f>
        <v>314340</v>
      </c>
      <c r="D2470" s="10">
        <f ca="1">ROUND(_xlfn.NORM.INV(RAND(),Reference!$D$8,0.1*Reference!$D$8)*(1+Reference!$D$11*(IF(MONTH($A2470)=Reference!$D$4,1,0)+IF(MONTH($A2470)=Reference!$D$5,1,0))+(IF(MONTH($A2470)=Reference!$D$6,Reference!$D$13,0))),0)</f>
        <v>462</v>
      </c>
      <c r="E2470" s="11">
        <f ca="1">D2470*Reference!$D$7*(1-IF(MONTH($A2470)=Reference!$D$6,1,0)*Reference!$D$12)</f>
        <v>329175</v>
      </c>
      <c r="M2470" s="20"/>
      <c r="N2470" s="20"/>
      <c r="O2470" s="19"/>
      <c r="P2470" s="10"/>
      <c r="Q2470" s="10"/>
      <c r="R2470" s="10"/>
      <c r="S2470" s="10"/>
      <c r="T2470" s="10"/>
      <c r="U2470" s="10"/>
      <c r="V2470" s="10"/>
      <c r="W2470" s="10"/>
      <c r="X2470" s="10"/>
      <c r="Y2470" s="10"/>
    </row>
    <row r="2471" spans="1:25" x14ac:dyDescent="0.25">
      <c r="A2471" s="9">
        <v>43009</v>
      </c>
      <c r="B2471" s="10">
        <f ca="1">ROUND(_xlfn.NORM.INV(RAND(),Reference!$C$8,0.1*Reference!$C$8)*(1+Reference!$C$11*(IF(MONTH($A2471)=Reference!$C$4,1,0)+IF(MONTH($A2471)=Reference!$C$5,1,0))+(IF(MONTH($A2471)=Reference!$C$6,Reference!$C$13,0))),0)</f>
        <v>418</v>
      </c>
      <c r="C2471" s="11">
        <f ca="1">B2471*Reference!$C$7*(1-IF(MONTH($A2471)=Reference!$C$6,1,0)*Reference!$C$12)</f>
        <v>388740</v>
      </c>
      <c r="D2471" s="10">
        <f ca="1">ROUND(_xlfn.NORM.INV(RAND(),Reference!$D$8,0.1*Reference!$D$8)*(1+Reference!$D$11*(IF(MONTH($A2471)=Reference!$D$4,1,0)+IF(MONTH($A2471)=Reference!$D$5,1,0))+(IF(MONTH($A2471)=Reference!$D$6,Reference!$D$13,0))),0)</f>
        <v>492</v>
      </c>
      <c r="E2471" s="11">
        <f ca="1">D2471*Reference!$D$7*(1-IF(MONTH($A2471)=Reference!$D$6,1,0)*Reference!$D$12)</f>
        <v>369000</v>
      </c>
      <c r="M2471" s="20"/>
      <c r="N2471" s="20"/>
      <c r="O2471" s="19"/>
      <c r="P2471" s="10"/>
      <c r="Q2471" s="10"/>
      <c r="R2471" s="10"/>
      <c r="S2471" s="10"/>
      <c r="T2471" s="10"/>
      <c r="U2471" s="10"/>
      <c r="V2471" s="10"/>
      <c r="W2471" s="10"/>
      <c r="X2471" s="10"/>
      <c r="Y2471" s="10"/>
    </row>
    <row r="2472" spans="1:25" x14ac:dyDescent="0.25">
      <c r="A2472" s="9">
        <v>43010</v>
      </c>
      <c r="B2472" s="10">
        <f ca="1">ROUND(_xlfn.NORM.INV(RAND(),Reference!$C$8,0.1*Reference!$C$8)*(1+Reference!$C$11*(IF(MONTH($A2472)=Reference!$C$4,1,0)+IF(MONTH($A2472)=Reference!$C$5,1,0))+(IF(MONTH($A2472)=Reference!$C$6,Reference!$C$13,0))),0)</f>
        <v>368</v>
      </c>
      <c r="C2472" s="11">
        <f ca="1">B2472*Reference!$C$7*(1-IF(MONTH($A2472)=Reference!$C$6,1,0)*Reference!$C$12)</f>
        <v>342240</v>
      </c>
      <c r="D2472" s="10">
        <f ca="1">ROUND(_xlfn.NORM.INV(RAND(),Reference!$D$8,0.1*Reference!$D$8)*(1+Reference!$D$11*(IF(MONTH($A2472)=Reference!$D$4,1,0)+IF(MONTH($A2472)=Reference!$D$5,1,0))+(IF(MONTH($A2472)=Reference!$D$6,Reference!$D$13,0))),0)</f>
        <v>454</v>
      </c>
      <c r="E2472" s="11">
        <f ca="1">D2472*Reference!$D$7*(1-IF(MONTH($A2472)=Reference!$D$6,1,0)*Reference!$D$12)</f>
        <v>340500</v>
      </c>
      <c r="M2472" s="20"/>
      <c r="N2472" s="20"/>
      <c r="O2472" s="19"/>
      <c r="P2472" s="10"/>
      <c r="Q2472" s="10"/>
      <c r="R2472" s="10"/>
      <c r="S2472" s="10"/>
      <c r="T2472" s="10"/>
      <c r="U2472" s="10"/>
      <c r="V2472" s="10"/>
      <c r="W2472" s="10"/>
      <c r="X2472" s="10"/>
      <c r="Y2472" s="10"/>
    </row>
    <row r="2473" spans="1:25" x14ac:dyDescent="0.25">
      <c r="A2473" s="9">
        <v>43011</v>
      </c>
      <c r="B2473" s="10">
        <f ca="1">ROUND(_xlfn.NORM.INV(RAND(),Reference!$C$8,0.1*Reference!$C$8)*(1+Reference!$C$11*(IF(MONTH($A2473)=Reference!$C$4,1,0)+IF(MONTH($A2473)=Reference!$C$5,1,0))+(IF(MONTH($A2473)=Reference!$C$6,Reference!$C$13,0))),0)</f>
        <v>324</v>
      </c>
      <c r="C2473" s="11">
        <f ca="1">B2473*Reference!$C$7*(1-IF(MONTH($A2473)=Reference!$C$6,1,0)*Reference!$C$12)</f>
        <v>301320</v>
      </c>
      <c r="D2473" s="10">
        <f ca="1">ROUND(_xlfn.NORM.INV(RAND(),Reference!$D$8,0.1*Reference!$D$8)*(1+Reference!$D$11*(IF(MONTH($A2473)=Reference!$D$4,1,0)+IF(MONTH($A2473)=Reference!$D$5,1,0))+(IF(MONTH($A2473)=Reference!$D$6,Reference!$D$13,0))),0)</f>
        <v>411</v>
      </c>
      <c r="E2473" s="11">
        <f ca="1">D2473*Reference!$D$7*(1-IF(MONTH($A2473)=Reference!$D$6,1,0)*Reference!$D$12)</f>
        <v>308250</v>
      </c>
      <c r="M2473" s="20"/>
      <c r="N2473" s="20"/>
      <c r="O2473" s="19"/>
      <c r="P2473" s="10"/>
      <c r="Q2473" s="10"/>
      <c r="R2473" s="10"/>
      <c r="S2473" s="10"/>
      <c r="T2473" s="10"/>
      <c r="U2473" s="10"/>
      <c r="V2473" s="10"/>
      <c r="W2473" s="10"/>
      <c r="X2473" s="10"/>
      <c r="Y2473" s="10"/>
    </row>
    <row r="2474" spans="1:25" x14ac:dyDescent="0.25">
      <c r="A2474" s="9">
        <v>43012</v>
      </c>
      <c r="B2474" s="10">
        <f ca="1">ROUND(_xlfn.NORM.INV(RAND(),Reference!$C$8,0.1*Reference!$C$8)*(1+Reference!$C$11*(IF(MONTH($A2474)=Reference!$C$4,1,0)+IF(MONTH($A2474)=Reference!$C$5,1,0))+(IF(MONTH($A2474)=Reference!$C$6,Reference!$C$13,0))),0)</f>
        <v>341</v>
      </c>
      <c r="C2474" s="11">
        <f ca="1">B2474*Reference!$C$7*(1-IF(MONTH($A2474)=Reference!$C$6,1,0)*Reference!$C$12)</f>
        <v>317130</v>
      </c>
      <c r="D2474" s="10">
        <f ca="1">ROUND(_xlfn.NORM.INV(RAND(),Reference!$D$8,0.1*Reference!$D$8)*(1+Reference!$D$11*(IF(MONTH($A2474)=Reference!$D$4,1,0)+IF(MONTH($A2474)=Reference!$D$5,1,0))+(IF(MONTH($A2474)=Reference!$D$6,Reference!$D$13,0))),0)</f>
        <v>474</v>
      </c>
      <c r="E2474" s="11">
        <f ca="1">D2474*Reference!$D$7*(1-IF(MONTH($A2474)=Reference!$D$6,1,0)*Reference!$D$12)</f>
        <v>355500</v>
      </c>
      <c r="M2474" s="20"/>
      <c r="N2474" s="20"/>
      <c r="O2474" s="19"/>
      <c r="P2474" s="10"/>
      <c r="Q2474" s="10"/>
      <c r="R2474" s="10"/>
      <c r="S2474" s="10"/>
      <c r="T2474" s="10"/>
      <c r="U2474" s="10"/>
      <c r="V2474" s="10"/>
      <c r="W2474" s="10"/>
      <c r="X2474" s="10"/>
      <c r="Y2474" s="10"/>
    </row>
    <row r="2475" spans="1:25" x14ac:dyDescent="0.25">
      <c r="A2475" s="9">
        <v>43013</v>
      </c>
      <c r="B2475" s="10">
        <f ca="1">ROUND(_xlfn.NORM.INV(RAND(),Reference!$C$8,0.1*Reference!$C$8)*(1+Reference!$C$11*(IF(MONTH($A2475)=Reference!$C$4,1,0)+IF(MONTH($A2475)=Reference!$C$5,1,0))+(IF(MONTH($A2475)=Reference!$C$6,Reference!$C$13,0))),0)</f>
        <v>396</v>
      </c>
      <c r="C2475" s="11">
        <f ca="1">B2475*Reference!$C$7*(1-IF(MONTH($A2475)=Reference!$C$6,1,0)*Reference!$C$12)</f>
        <v>368280</v>
      </c>
      <c r="D2475" s="10">
        <f ca="1">ROUND(_xlfn.NORM.INV(RAND(),Reference!$D$8,0.1*Reference!$D$8)*(1+Reference!$D$11*(IF(MONTH($A2475)=Reference!$D$4,1,0)+IF(MONTH($A2475)=Reference!$D$5,1,0))+(IF(MONTH($A2475)=Reference!$D$6,Reference!$D$13,0))),0)</f>
        <v>436</v>
      </c>
      <c r="E2475" s="11">
        <f ca="1">D2475*Reference!$D$7*(1-IF(MONTH($A2475)=Reference!$D$6,1,0)*Reference!$D$12)</f>
        <v>327000</v>
      </c>
      <c r="M2475" s="20"/>
      <c r="N2475" s="20"/>
      <c r="O2475" s="19"/>
      <c r="P2475" s="10"/>
      <c r="Q2475" s="10"/>
      <c r="R2475" s="10"/>
      <c r="S2475" s="10"/>
      <c r="T2475" s="10"/>
      <c r="U2475" s="10"/>
      <c r="V2475" s="10"/>
      <c r="W2475" s="10"/>
      <c r="X2475" s="10"/>
      <c r="Y2475" s="10"/>
    </row>
    <row r="2476" spans="1:25" x14ac:dyDescent="0.25">
      <c r="A2476" s="9">
        <v>43014</v>
      </c>
      <c r="B2476" s="10">
        <f ca="1">ROUND(_xlfn.NORM.INV(RAND(),Reference!$C$8,0.1*Reference!$C$8)*(1+Reference!$C$11*(IF(MONTH($A2476)=Reference!$C$4,1,0)+IF(MONTH($A2476)=Reference!$C$5,1,0))+(IF(MONTH($A2476)=Reference!$C$6,Reference!$C$13,0))),0)</f>
        <v>384</v>
      </c>
      <c r="C2476" s="11">
        <f ca="1">B2476*Reference!$C$7*(1-IF(MONTH($A2476)=Reference!$C$6,1,0)*Reference!$C$12)</f>
        <v>357120</v>
      </c>
      <c r="D2476" s="10">
        <f ca="1">ROUND(_xlfn.NORM.INV(RAND(),Reference!$D$8,0.1*Reference!$D$8)*(1+Reference!$D$11*(IF(MONTH($A2476)=Reference!$D$4,1,0)+IF(MONTH($A2476)=Reference!$D$5,1,0))+(IF(MONTH($A2476)=Reference!$D$6,Reference!$D$13,0))),0)</f>
        <v>460</v>
      </c>
      <c r="E2476" s="11">
        <f ca="1">D2476*Reference!$D$7*(1-IF(MONTH($A2476)=Reference!$D$6,1,0)*Reference!$D$12)</f>
        <v>345000</v>
      </c>
      <c r="M2476" s="20"/>
      <c r="N2476" s="20"/>
      <c r="O2476" s="19"/>
      <c r="P2476" s="10"/>
      <c r="Q2476" s="10"/>
      <c r="R2476" s="10"/>
      <c r="S2476" s="10"/>
      <c r="T2476" s="10"/>
      <c r="U2476" s="10"/>
      <c r="V2476" s="10"/>
      <c r="W2476" s="10"/>
      <c r="X2476" s="10"/>
      <c r="Y2476" s="10"/>
    </row>
    <row r="2477" spans="1:25" x14ac:dyDescent="0.25">
      <c r="A2477" s="9">
        <v>43015</v>
      </c>
      <c r="B2477" s="10">
        <f ca="1">ROUND(_xlfn.NORM.INV(RAND(),Reference!$C$8,0.1*Reference!$C$8)*(1+Reference!$C$11*(IF(MONTH($A2477)=Reference!$C$4,1,0)+IF(MONTH($A2477)=Reference!$C$5,1,0))+(IF(MONTH($A2477)=Reference!$C$6,Reference!$C$13,0))),0)</f>
        <v>345</v>
      </c>
      <c r="C2477" s="11">
        <f ca="1">B2477*Reference!$C$7*(1-IF(MONTH($A2477)=Reference!$C$6,1,0)*Reference!$C$12)</f>
        <v>320850</v>
      </c>
      <c r="D2477" s="10">
        <f ca="1">ROUND(_xlfn.NORM.INV(RAND(),Reference!$D$8,0.1*Reference!$D$8)*(1+Reference!$D$11*(IF(MONTH($A2477)=Reference!$D$4,1,0)+IF(MONTH($A2477)=Reference!$D$5,1,0))+(IF(MONTH($A2477)=Reference!$D$6,Reference!$D$13,0))),0)</f>
        <v>458</v>
      </c>
      <c r="E2477" s="11">
        <f ca="1">D2477*Reference!$D$7*(1-IF(MONTH($A2477)=Reference!$D$6,1,0)*Reference!$D$12)</f>
        <v>343500</v>
      </c>
      <c r="M2477" s="20"/>
      <c r="N2477" s="20"/>
      <c r="O2477" s="19"/>
      <c r="P2477" s="10"/>
      <c r="Q2477" s="10"/>
      <c r="R2477" s="10"/>
      <c r="S2477" s="10"/>
      <c r="T2477" s="10"/>
      <c r="U2477" s="10"/>
      <c r="V2477" s="10"/>
      <c r="W2477" s="10"/>
      <c r="X2477" s="10"/>
      <c r="Y2477" s="10"/>
    </row>
    <row r="2478" spans="1:25" x14ac:dyDescent="0.25">
      <c r="A2478" s="9">
        <v>43016</v>
      </c>
      <c r="B2478" s="10">
        <f ca="1">ROUND(_xlfn.NORM.INV(RAND(),Reference!$C$8,0.1*Reference!$C$8)*(1+Reference!$C$11*(IF(MONTH($A2478)=Reference!$C$4,1,0)+IF(MONTH($A2478)=Reference!$C$5,1,0))+(IF(MONTH($A2478)=Reference!$C$6,Reference!$C$13,0))),0)</f>
        <v>294</v>
      </c>
      <c r="C2478" s="11">
        <f ca="1">B2478*Reference!$C$7*(1-IF(MONTH($A2478)=Reference!$C$6,1,0)*Reference!$C$12)</f>
        <v>273420</v>
      </c>
      <c r="D2478" s="10">
        <f ca="1">ROUND(_xlfn.NORM.INV(RAND(),Reference!$D$8,0.1*Reference!$D$8)*(1+Reference!$D$11*(IF(MONTH($A2478)=Reference!$D$4,1,0)+IF(MONTH($A2478)=Reference!$D$5,1,0))+(IF(MONTH($A2478)=Reference!$D$6,Reference!$D$13,0))),0)</f>
        <v>469</v>
      </c>
      <c r="E2478" s="11">
        <f ca="1">D2478*Reference!$D$7*(1-IF(MONTH($A2478)=Reference!$D$6,1,0)*Reference!$D$12)</f>
        <v>351750</v>
      </c>
      <c r="M2478" s="20"/>
      <c r="N2478" s="20"/>
      <c r="O2478" s="19"/>
      <c r="P2478" s="10"/>
      <c r="Q2478" s="10"/>
      <c r="R2478" s="10"/>
      <c r="S2478" s="10"/>
      <c r="T2478" s="10"/>
      <c r="U2478" s="10"/>
      <c r="V2478" s="10"/>
      <c r="W2478" s="10"/>
      <c r="X2478" s="10"/>
      <c r="Y2478" s="10"/>
    </row>
    <row r="2479" spans="1:25" x14ac:dyDescent="0.25">
      <c r="A2479" s="9">
        <v>43017</v>
      </c>
      <c r="B2479" s="10">
        <f ca="1">ROUND(_xlfn.NORM.INV(RAND(),Reference!$C$8,0.1*Reference!$C$8)*(1+Reference!$C$11*(IF(MONTH($A2479)=Reference!$C$4,1,0)+IF(MONTH($A2479)=Reference!$C$5,1,0))+(IF(MONTH($A2479)=Reference!$C$6,Reference!$C$13,0))),0)</f>
        <v>344</v>
      </c>
      <c r="C2479" s="11">
        <f ca="1">B2479*Reference!$C$7*(1-IF(MONTH($A2479)=Reference!$C$6,1,0)*Reference!$C$12)</f>
        <v>319920</v>
      </c>
      <c r="D2479" s="10">
        <f ca="1">ROUND(_xlfn.NORM.INV(RAND(),Reference!$D$8,0.1*Reference!$D$8)*(1+Reference!$D$11*(IF(MONTH($A2479)=Reference!$D$4,1,0)+IF(MONTH($A2479)=Reference!$D$5,1,0))+(IF(MONTH($A2479)=Reference!$D$6,Reference!$D$13,0))),0)</f>
        <v>428</v>
      </c>
      <c r="E2479" s="11">
        <f ca="1">D2479*Reference!$D$7*(1-IF(MONTH($A2479)=Reference!$D$6,1,0)*Reference!$D$12)</f>
        <v>321000</v>
      </c>
      <c r="M2479" s="20"/>
      <c r="N2479" s="20"/>
      <c r="O2479" s="19"/>
      <c r="P2479" s="10"/>
      <c r="Q2479" s="10"/>
      <c r="R2479" s="10"/>
      <c r="S2479" s="10"/>
      <c r="T2479" s="10"/>
      <c r="U2479" s="10"/>
      <c r="V2479" s="10"/>
      <c r="W2479" s="10"/>
      <c r="X2479" s="10"/>
      <c r="Y2479" s="10"/>
    </row>
    <row r="2480" spans="1:25" x14ac:dyDescent="0.25">
      <c r="A2480" s="9">
        <v>43018</v>
      </c>
      <c r="B2480" s="10">
        <f ca="1">ROUND(_xlfn.NORM.INV(RAND(),Reference!$C$8,0.1*Reference!$C$8)*(1+Reference!$C$11*(IF(MONTH($A2480)=Reference!$C$4,1,0)+IF(MONTH($A2480)=Reference!$C$5,1,0))+(IF(MONTH($A2480)=Reference!$C$6,Reference!$C$13,0))),0)</f>
        <v>429</v>
      </c>
      <c r="C2480" s="11">
        <f ca="1">B2480*Reference!$C$7*(1-IF(MONTH($A2480)=Reference!$C$6,1,0)*Reference!$C$12)</f>
        <v>398970</v>
      </c>
      <c r="D2480" s="10">
        <f ca="1">ROUND(_xlfn.NORM.INV(RAND(),Reference!$D$8,0.1*Reference!$D$8)*(1+Reference!$D$11*(IF(MONTH($A2480)=Reference!$D$4,1,0)+IF(MONTH($A2480)=Reference!$D$5,1,0))+(IF(MONTH($A2480)=Reference!$D$6,Reference!$D$13,0))),0)</f>
        <v>406</v>
      </c>
      <c r="E2480" s="11">
        <f ca="1">D2480*Reference!$D$7*(1-IF(MONTH($A2480)=Reference!$D$6,1,0)*Reference!$D$12)</f>
        <v>304500</v>
      </c>
      <c r="M2480" s="20"/>
      <c r="N2480" s="20"/>
      <c r="O2480" s="19"/>
      <c r="P2480" s="10"/>
      <c r="Q2480" s="10"/>
      <c r="R2480" s="10"/>
      <c r="S2480" s="10"/>
      <c r="T2480" s="10"/>
      <c r="U2480" s="10"/>
      <c r="V2480" s="10"/>
      <c r="W2480" s="10"/>
      <c r="X2480" s="10"/>
      <c r="Y2480" s="10"/>
    </row>
    <row r="2481" spans="1:25" x14ac:dyDescent="0.25">
      <c r="A2481" s="9">
        <v>43019</v>
      </c>
      <c r="B2481" s="10">
        <f ca="1">ROUND(_xlfn.NORM.INV(RAND(),Reference!$C$8,0.1*Reference!$C$8)*(1+Reference!$C$11*(IF(MONTH($A2481)=Reference!$C$4,1,0)+IF(MONTH($A2481)=Reference!$C$5,1,0))+(IF(MONTH($A2481)=Reference!$C$6,Reference!$C$13,0))),0)</f>
        <v>354</v>
      </c>
      <c r="C2481" s="11">
        <f ca="1">B2481*Reference!$C$7*(1-IF(MONTH($A2481)=Reference!$C$6,1,0)*Reference!$C$12)</f>
        <v>329220</v>
      </c>
      <c r="D2481" s="10">
        <f ca="1">ROUND(_xlfn.NORM.INV(RAND(),Reference!$D$8,0.1*Reference!$D$8)*(1+Reference!$D$11*(IF(MONTH($A2481)=Reference!$D$4,1,0)+IF(MONTH($A2481)=Reference!$D$5,1,0))+(IF(MONTH($A2481)=Reference!$D$6,Reference!$D$13,0))),0)</f>
        <v>507</v>
      </c>
      <c r="E2481" s="11">
        <f ca="1">D2481*Reference!$D$7*(1-IF(MONTH($A2481)=Reference!$D$6,1,0)*Reference!$D$12)</f>
        <v>380250</v>
      </c>
      <c r="M2481" s="20"/>
      <c r="N2481" s="20"/>
      <c r="O2481" s="19"/>
      <c r="P2481" s="10"/>
      <c r="Q2481" s="10"/>
      <c r="R2481" s="10"/>
      <c r="S2481" s="10"/>
      <c r="T2481" s="10"/>
      <c r="U2481" s="10"/>
      <c r="V2481" s="10"/>
      <c r="W2481" s="10"/>
      <c r="X2481" s="10"/>
      <c r="Y2481" s="10"/>
    </row>
    <row r="2482" spans="1:25" x14ac:dyDescent="0.25">
      <c r="A2482" s="9">
        <v>43020</v>
      </c>
      <c r="B2482" s="10">
        <f ca="1">ROUND(_xlfn.NORM.INV(RAND(),Reference!$C$8,0.1*Reference!$C$8)*(1+Reference!$C$11*(IF(MONTH($A2482)=Reference!$C$4,1,0)+IF(MONTH($A2482)=Reference!$C$5,1,0))+(IF(MONTH($A2482)=Reference!$C$6,Reference!$C$13,0))),0)</f>
        <v>366</v>
      </c>
      <c r="C2482" s="11">
        <f ca="1">B2482*Reference!$C$7*(1-IF(MONTH($A2482)=Reference!$C$6,1,0)*Reference!$C$12)</f>
        <v>340380</v>
      </c>
      <c r="D2482" s="10">
        <f ca="1">ROUND(_xlfn.NORM.INV(RAND(),Reference!$D$8,0.1*Reference!$D$8)*(1+Reference!$D$11*(IF(MONTH($A2482)=Reference!$D$4,1,0)+IF(MONTH($A2482)=Reference!$D$5,1,0))+(IF(MONTH($A2482)=Reference!$D$6,Reference!$D$13,0))),0)</f>
        <v>425</v>
      </c>
      <c r="E2482" s="11">
        <f ca="1">D2482*Reference!$D$7*(1-IF(MONTH($A2482)=Reference!$D$6,1,0)*Reference!$D$12)</f>
        <v>318750</v>
      </c>
      <c r="M2482" s="20"/>
      <c r="N2482" s="20"/>
      <c r="O2482" s="19"/>
      <c r="P2482" s="10"/>
      <c r="Q2482" s="10"/>
      <c r="R2482" s="10"/>
      <c r="S2482" s="10"/>
      <c r="T2482" s="10"/>
      <c r="U2482" s="10"/>
      <c r="V2482" s="10"/>
      <c r="W2482" s="10"/>
      <c r="X2482" s="10"/>
      <c r="Y2482" s="10"/>
    </row>
    <row r="2483" spans="1:25" x14ac:dyDescent="0.25">
      <c r="A2483" s="9">
        <v>43021</v>
      </c>
      <c r="B2483" s="10">
        <f ca="1">ROUND(_xlfn.NORM.INV(RAND(),Reference!$C$8,0.1*Reference!$C$8)*(1+Reference!$C$11*(IF(MONTH($A2483)=Reference!$C$4,1,0)+IF(MONTH($A2483)=Reference!$C$5,1,0))+(IF(MONTH($A2483)=Reference!$C$6,Reference!$C$13,0))),0)</f>
        <v>390</v>
      </c>
      <c r="C2483" s="11">
        <f ca="1">B2483*Reference!$C$7*(1-IF(MONTH($A2483)=Reference!$C$6,1,0)*Reference!$C$12)</f>
        <v>362700</v>
      </c>
      <c r="D2483" s="10">
        <f ca="1">ROUND(_xlfn.NORM.INV(RAND(),Reference!$D$8,0.1*Reference!$D$8)*(1+Reference!$D$11*(IF(MONTH($A2483)=Reference!$D$4,1,0)+IF(MONTH($A2483)=Reference!$D$5,1,0))+(IF(MONTH($A2483)=Reference!$D$6,Reference!$D$13,0))),0)</f>
        <v>410</v>
      </c>
      <c r="E2483" s="11">
        <f ca="1">D2483*Reference!$D$7*(1-IF(MONTH($A2483)=Reference!$D$6,1,0)*Reference!$D$12)</f>
        <v>307500</v>
      </c>
      <c r="M2483" s="20"/>
      <c r="N2483" s="20"/>
      <c r="O2483" s="19"/>
      <c r="P2483" s="10"/>
      <c r="Q2483" s="10"/>
      <c r="R2483" s="10"/>
      <c r="S2483" s="10"/>
      <c r="T2483" s="10"/>
      <c r="U2483" s="10"/>
      <c r="V2483" s="10"/>
      <c r="W2483" s="10"/>
      <c r="X2483" s="10"/>
      <c r="Y2483" s="10"/>
    </row>
    <row r="2484" spans="1:25" x14ac:dyDescent="0.25">
      <c r="A2484" s="9">
        <v>43022</v>
      </c>
      <c r="B2484" s="10">
        <f ca="1">ROUND(_xlfn.NORM.INV(RAND(),Reference!$C$8,0.1*Reference!$C$8)*(1+Reference!$C$11*(IF(MONTH($A2484)=Reference!$C$4,1,0)+IF(MONTH($A2484)=Reference!$C$5,1,0))+(IF(MONTH($A2484)=Reference!$C$6,Reference!$C$13,0))),0)</f>
        <v>378</v>
      </c>
      <c r="C2484" s="11">
        <f ca="1">B2484*Reference!$C$7*(1-IF(MONTH($A2484)=Reference!$C$6,1,0)*Reference!$C$12)</f>
        <v>351540</v>
      </c>
      <c r="D2484" s="10">
        <f ca="1">ROUND(_xlfn.NORM.INV(RAND(),Reference!$D$8,0.1*Reference!$D$8)*(1+Reference!$D$11*(IF(MONTH($A2484)=Reference!$D$4,1,0)+IF(MONTH($A2484)=Reference!$D$5,1,0))+(IF(MONTH($A2484)=Reference!$D$6,Reference!$D$13,0))),0)</f>
        <v>465</v>
      </c>
      <c r="E2484" s="11">
        <f ca="1">D2484*Reference!$D$7*(1-IF(MONTH($A2484)=Reference!$D$6,1,0)*Reference!$D$12)</f>
        <v>348750</v>
      </c>
      <c r="M2484" s="20"/>
      <c r="N2484" s="20"/>
      <c r="O2484" s="19"/>
      <c r="P2484" s="10"/>
      <c r="Q2484" s="10"/>
      <c r="R2484" s="10"/>
      <c r="S2484" s="10"/>
      <c r="T2484" s="10"/>
      <c r="U2484" s="10"/>
      <c r="V2484" s="10"/>
      <c r="W2484" s="10"/>
      <c r="X2484" s="10"/>
      <c r="Y2484" s="10"/>
    </row>
    <row r="2485" spans="1:25" x14ac:dyDescent="0.25">
      <c r="A2485" s="9">
        <v>43023</v>
      </c>
      <c r="B2485" s="10">
        <f ca="1">ROUND(_xlfn.NORM.INV(RAND(),Reference!$C$8,0.1*Reference!$C$8)*(1+Reference!$C$11*(IF(MONTH($A2485)=Reference!$C$4,1,0)+IF(MONTH($A2485)=Reference!$C$5,1,0))+(IF(MONTH($A2485)=Reference!$C$6,Reference!$C$13,0))),0)</f>
        <v>315</v>
      </c>
      <c r="C2485" s="11">
        <f ca="1">B2485*Reference!$C$7*(1-IF(MONTH($A2485)=Reference!$C$6,1,0)*Reference!$C$12)</f>
        <v>292950</v>
      </c>
      <c r="D2485" s="10">
        <f ca="1">ROUND(_xlfn.NORM.INV(RAND(),Reference!$D$8,0.1*Reference!$D$8)*(1+Reference!$D$11*(IF(MONTH($A2485)=Reference!$D$4,1,0)+IF(MONTH($A2485)=Reference!$D$5,1,0))+(IF(MONTH($A2485)=Reference!$D$6,Reference!$D$13,0))),0)</f>
        <v>536</v>
      </c>
      <c r="E2485" s="11">
        <f ca="1">D2485*Reference!$D$7*(1-IF(MONTH($A2485)=Reference!$D$6,1,0)*Reference!$D$12)</f>
        <v>402000</v>
      </c>
      <c r="M2485" s="20"/>
      <c r="N2485" s="20"/>
      <c r="O2485" s="19"/>
      <c r="P2485" s="10"/>
      <c r="Q2485" s="10"/>
      <c r="R2485" s="10"/>
      <c r="S2485" s="10"/>
      <c r="T2485" s="10"/>
      <c r="U2485" s="10"/>
      <c r="V2485" s="10"/>
      <c r="W2485" s="10"/>
      <c r="X2485" s="10"/>
      <c r="Y2485" s="10"/>
    </row>
    <row r="2486" spans="1:25" x14ac:dyDescent="0.25">
      <c r="A2486" s="9">
        <v>43024</v>
      </c>
      <c r="B2486" s="10">
        <f ca="1">ROUND(_xlfn.NORM.INV(RAND(),Reference!$C$8,0.1*Reference!$C$8)*(1+Reference!$C$11*(IF(MONTH($A2486)=Reference!$C$4,1,0)+IF(MONTH($A2486)=Reference!$C$5,1,0))+(IF(MONTH($A2486)=Reference!$C$6,Reference!$C$13,0))),0)</f>
        <v>366</v>
      </c>
      <c r="C2486" s="11">
        <f ca="1">B2486*Reference!$C$7*(1-IF(MONTH($A2486)=Reference!$C$6,1,0)*Reference!$C$12)</f>
        <v>340380</v>
      </c>
      <c r="D2486" s="10">
        <f ca="1">ROUND(_xlfn.NORM.INV(RAND(),Reference!$D$8,0.1*Reference!$D$8)*(1+Reference!$D$11*(IF(MONTH($A2486)=Reference!$D$4,1,0)+IF(MONTH($A2486)=Reference!$D$5,1,0))+(IF(MONTH($A2486)=Reference!$D$6,Reference!$D$13,0))),0)</f>
        <v>414</v>
      </c>
      <c r="E2486" s="11">
        <f ca="1">D2486*Reference!$D$7*(1-IF(MONTH($A2486)=Reference!$D$6,1,0)*Reference!$D$12)</f>
        <v>310500</v>
      </c>
      <c r="M2486" s="20"/>
      <c r="N2486" s="20"/>
      <c r="O2486" s="19"/>
      <c r="P2486" s="10"/>
      <c r="Q2486" s="10"/>
      <c r="R2486" s="10"/>
      <c r="S2486" s="10"/>
      <c r="T2486" s="10"/>
      <c r="U2486" s="10"/>
      <c r="V2486" s="10"/>
      <c r="W2486" s="10"/>
      <c r="X2486" s="10"/>
      <c r="Y2486" s="10"/>
    </row>
    <row r="2487" spans="1:25" x14ac:dyDescent="0.25">
      <c r="A2487" s="9">
        <v>43025</v>
      </c>
      <c r="B2487" s="10">
        <f ca="1">ROUND(_xlfn.NORM.INV(RAND(),Reference!$C$8,0.1*Reference!$C$8)*(1+Reference!$C$11*(IF(MONTH($A2487)=Reference!$C$4,1,0)+IF(MONTH($A2487)=Reference!$C$5,1,0))+(IF(MONTH($A2487)=Reference!$C$6,Reference!$C$13,0))),0)</f>
        <v>348</v>
      </c>
      <c r="C2487" s="11">
        <f ca="1">B2487*Reference!$C$7*(1-IF(MONTH($A2487)=Reference!$C$6,1,0)*Reference!$C$12)</f>
        <v>323640</v>
      </c>
      <c r="D2487" s="10">
        <f ca="1">ROUND(_xlfn.NORM.INV(RAND(),Reference!$D$8,0.1*Reference!$D$8)*(1+Reference!$D$11*(IF(MONTH($A2487)=Reference!$D$4,1,0)+IF(MONTH($A2487)=Reference!$D$5,1,0))+(IF(MONTH($A2487)=Reference!$D$6,Reference!$D$13,0))),0)</f>
        <v>418</v>
      </c>
      <c r="E2487" s="11">
        <f ca="1">D2487*Reference!$D$7*(1-IF(MONTH($A2487)=Reference!$D$6,1,0)*Reference!$D$12)</f>
        <v>313500</v>
      </c>
      <c r="M2487" s="20"/>
      <c r="N2487" s="20"/>
      <c r="O2487" s="19"/>
      <c r="P2487" s="10"/>
      <c r="Q2487" s="10"/>
      <c r="R2487" s="10"/>
      <c r="S2487" s="10"/>
      <c r="T2487" s="10"/>
      <c r="U2487" s="10"/>
      <c r="V2487" s="10"/>
      <c r="W2487" s="10"/>
      <c r="X2487" s="10"/>
      <c r="Y2487" s="10"/>
    </row>
    <row r="2488" spans="1:25" x14ac:dyDescent="0.25">
      <c r="A2488" s="9">
        <v>43026</v>
      </c>
      <c r="B2488" s="10">
        <f ca="1">ROUND(_xlfn.NORM.INV(RAND(),Reference!$C$8,0.1*Reference!$C$8)*(1+Reference!$C$11*(IF(MONTH($A2488)=Reference!$C$4,1,0)+IF(MONTH($A2488)=Reference!$C$5,1,0))+(IF(MONTH($A2488)=Reference!$C$6,Reference!$C$13,0))),0)</f>
        <v>360</v>
      </c>
      <c r="C2488" s="11">
        <f ca="1">B2488*Reference!$C$7*(1-IF(MONTH($A2488)=Reference!$C$6,1,0)*Reference!$C$12)</f>
        <v>334800</v>
      </c>
      <c r="D2488" s="10">
        <f ca="1">ROUND(_xlfn.NORM.INV(RAND(),Reference!$D$8,0.1*Reference!$D$8)*(1+Reference!$D$11*(IF(MONTH($A2488)=Reference!$D$4,1,0)+IF(MONTH($A2488)=Reference!$D$5,1,0))+(IF(MONTH($A2488)=Reference!$D$6,Reference!$D$13,0))),0)</f>
        <v>375</v>
      </c>
      <c r="E2488" s="11">
        <f ca="1">D2488*Reference!$D$7*(1-IF(MONTH($A2488)=Reference!$D$6,1,0)*Reference!$D$12)</f>
        <v>281250</v>
      </c>
      <c r="M2488" s="20"/>
      <c r="N2488" s="20"/>
      <c r="O2488" s="19"/>
      <c r="P2488" s="10"/>
      <c r="Q2488" s="10"/>
      <c r="R2488" s="10"/>
      <c r="S2488" s="10"/>
      <c r="T2488" s="10"/>
      <c r="U2488" s="10"/>
      <c r="V2488" s="10"/>
      <c r="W2488" s="10"/>
      <c r="X2488" s="10"/>
      <c r="Y2488" s="10"/>
    </row>
    <row r="2489" spans="1:25" x14ac:dyDescent="0.25">
      <c r="A2489" s="9">
        <v>43027</v>
      </c>
      <c r="B2489" s="10">
        <f ca="1">ROUND(_xlfn.NORM.INV(RAND(),Reference!$C$8,0.1*Reference!$C$8)*(1+Reference!$C$11*(IF(MONTH($A2489)=Reference!$C$4,1,0)+IF(MONTH($A2489)=Reference!$C$5,1,0))+(IF(MONTH($A2489)=Reference!$C$6,Reference!$C$13,0))),0)</f>
        <v>343</v>
      </c>
      <c r="C2489" s="11">
        <f ca="1">B2489*Reference!$C$7*(1-IF(MONTH($A2489)=Reference!$C$6,1,0)*Reference!$C$12)</f>
        <v>318990</v>
      </c>
      <c r="D2489" s="10">
        <f ca="1">ROUND(_xlfn.NORM.INV(RAND(),Reference!$D$8,0.1*Reference!$D$8)*(1+Reference!$D$11*(IF(MONTH($A2489)=Reference!$D$4,1,0)+IF(MONTH($A2489)=Reference!$D$5,1,0))+(IF(MONTH($A2489)=Reference!$D$6,Reference!$D$13,0))),0)</f>
        <v>464</v>
      </c>
      <c r="E2489" s="11">
        <f ca="1">D2489*Reference!$D$7*(1-IF(MONTH($A2489)=Reference!$D$6,1,0)*Reference!$D$12)</f>
        <v>348000</v>
      </c>
      <c r="M2489" s="20"/>
      <c r="N2489" s="20"/>
      <c r="O2489" s="19"/>
      <c r="P2489" s="10"/>
      <c r="Q2489" s="10"/>
      <c r="R2489" s="10"/>
      <c r="S2489" s="10"/>
      <c r="T2489" s="10"/>
      <c r="U2489" s="10"/>
      <c r="V2489" s="10"/>
      <c r="W2489" s="10"/>
      <c r="X2489" s="10"/>
      <c r="Y2489" s="10"/>
    </row>
    <row r="2490" spans="1:25" x14ac:dyDescent="0.25">
      <c r="A2490" s="9">
        <v>43028</v>
      </c>
      <c r="B2490" s="10">
        <f ca="1">ROUND(_xlfn.NORM.INV(RAND(),Reference!$C$8,0.1*Reference!$C$8)*(1+Reference!$C$11*(IF(MONTH($A2490)=Reference!$C$4,1,0)+IF(MONTH($A2490)=Reference!$C$5,1,0))+(IF(MONTH($A2490)=Reference!$C$6,Reference!$C$13,0))),0)</f>
        <v>343</v>
      </c>
      <c r="C2490" s="11">
        <f ca="1">B2490*Reference!$C$7*(1-IF(MONTH($A2490)=Reference!$C$6,1,0)*Reference!$C$12)</f>
        <v>318990</v>
      </c>
      <c r="D2490" s="10">
        <f ca="1">ROUND(_xlfn.NORM.INV(RAND(),Reference!$D$8,0.1*Reference!$D$8)*(1+Reference!$D$11*(IF(MONTH($A2490)=Reference!$D$4,1,0)+IF(MONTH($A2490)=Reference!$D$5,1,0))+(IF(MONTH($A2490)=Reference!$D$6,Reference!$D$13,0))),0)</f>
        <v>414</v>
      </c>
      <c r="E2490" s="11">
        <f ca="1">D2490*Reference!$D$7*(1-IF(MONTH($A2490)=Reference!$D$6,1,0)*Reference!$D$12)</f>
        <v>310500</v>
      </c>
      <c r="M2490" s="20"/>
      <c r="N2490" s="20"/>
      <c r="O2490" s="19"/>
      <c r="P2490" s="10"/>
      <c r="Q2490" s="10"/>
      <c r="R2490" s="10"/>
      <c r="S2490" s="10"/>
      <c r="T2490" s="10"/>
      <c r="U2490" s="10"/>
      <c r="V2490" s="10"/>
      <c r="W2490" s="10"/>
      <c r="X2490" s="10"/>
      <c r="Y2490" s="10"/>
    </row>
    <row r="2491" spans="1:25" x14ac:dyDescent="0.25">
      <c r="A2491" s="9">
        <v>43029</v>
      </c>
      <c r="B2491" s="10">
        <f ca="1">ROUND(_xlfn.NORM.INV(RAND(),Reference!$C$8,0.1*Reference!$C$8)*(1+Reference!$C$11*(IF(MONTH($A2491)=Reference!$C$4,1,0)+IF(MONTH($A2491)=Reference!$C$5,1,0))+(IF(MONTH($A2491)=Reference!$C$6,Reference!$C$13,0))),0)</f>
        <v>353</v>
      </c>
      <c r="C2491" s="11">
        <f ca="1">B2491*Reference!$C$7*(1-IF(MONTH($A2491)=Reference!$C$6,1,0)*Reference!$C$12)</f>
        <v>328290</v>
      </c>
      <c r="D2491" s="10">
        <f ca="1">ROUND(_xlfn.NORM.INV(RAND(),Reference!$D$8,0.1*Reference!$D$8)*(1+Reference!$D$11*(IF(MONTH($A2491)=Reference!$D$4,1,0)+IF(MONTH($A2491)=Reference!$D$5,1,0))+(IF(MONTH($A2491)=Reference!$D$6,Reference!$D$13,0))),0)</f>
        <v>480</v>
      </c>
      <c r="E2491" s="11">
        <f ca="1">D2491*Reference!$D$7*(1-IF(MONTH($A2491)=Reference!$D$6,1,0)*Reference!$D$12)</f>
        <v>360000</v>
      </c>
      <c r="M2491" s="20"/>
      <c r="N2491" s="20"/>
      <c r="O2491" s="19"/>
      <c r="P2491" s="10"/>
      <c r="Q2491" s="10"/>
      <c r="R2491" s="10"/>
      <c r="S2491" s="10"/>
      <c r="T2491" s="10"/>
      <c r="U2491" s="10"/>
      <c r="V2491" s="10"/>
      <c r="W2491" s="10"/>
      <c r="X2491" s="10"/>
      <c r="Y2491" s="10"/>
    </row>
    <row r="2492" spans="1:25" x14ac:dyDescent="0.25">
      <c r="A2492" s="9">
        <v>43030</v>
      </c>
      <c r="B2492" s="10">
        <f ca="1">ROUND(_xlfn.NORM.INV(RAND(),Reference!$C$8,0.1*Reference!$C$8)*(1+Reference!$C$11*(IF(MONTH($A2492)=Reference!$C$4,1,0)+IF(MONTH($A2492)=Reference!$C$5,1,0))+(IF(MONTH($A2492)=Reference!$C$6,Reference!$C$13,0))),0)</f>
        <v>357</v>
      </c>
      <c r="C2492" s="11">
        <f ca="1">B2492*Reference!$C$7*(1-IF(MONTH($A2492)=Reference!$C$6,1,0)*Reference!$C$12)</f>
        <v>332010</v>
      </c>
      <c r="D2492" s="10">
        <f ca="1">ROUND(_xlfn.NORM.INV(RAND(),Reference!$D$8,0.1*Reference!$D$8)*(1+Reference!$D$11*(IF(MONTH($A2492)=Reference!$D$4,1,0)+IF(MONTH($A2492)=Reference!$D$5,1,0))+(IF(MONTH($A2492)=Reference!$D$6,Reference!$D$13,0))),0)</f>
        <v>494</v>
      </c>
      <c r="E2492" s="11">
        <f ca="1">D2492*Reference!$D$7*(1-IF(MONTH($A2492)=Reference!$D$6,1,0)*Reference!$D$12)</f>
        <v>370500</v>
      </c>
      <c r="M2492" s="20"/>
      <c r="N2492" s="20"/>
      <c r="O2492" s="19"/>
      <c r="P2492" s="10"/>
      <c r="Q2492" s="10"/>
      <c r="R2492" s="10"/>
      <c r="S2492" s="10"/>
      <c r="T2492" s="10"/>
      <c r="U2492" s="10"/>
      <c r="V2492" s="10"/>
      <c r="W2492" s="10"/>
      <c r="X2492" s="10"/>
      <c r="Y2492" s="10"/>
    </row>
    <row r="2493" spans="1:25" x14ac:dyDescent="0.25">
      <c r="A2493" s="9">
        <v>43031</v>
      </c>
      <c r="B2493" s="10">
        <f ca="1">ROUND(_xlfn.NORM.INV(RAND(),Reference!$C$8,0.1*Reference!$C$8)*(1+Reference!$C$11*(IF(MONTH($A2493)=Reference!$C$4,1,0)+IF(MONTH($A2493)=Reference!$C$5,1,0))+(IF(MONTH($A2493)=Reference!$C$6,Reference!$C$13,0))),0)</f>
        <v>409</v>
      </c>
      <c r="C2493" s="11">
        <f ca="1">B2493*Reference!$C$7*(1-IF(MONTH($A2493)=Reference!$C$6,1,0)*Reference!$C$12)</f>
        <v>380370</v>
      </c>
      <c r="D2493" s="10">
        <f ca="1">ROUND(_xlfn.NORM.INV(RAND(),Reference!$D$8,0.1*Reference!$D$8)*(1+Reference!$D$11*(IF(MONTH($A2493)=Reference!$D$4,1,0)+IF(MONTH($A2493)=Reference!$D$5,1,0))+(IF(MONTH($A2493)=Reference!$D$6,Reference!$D$13,0))),0)</f>
        <v>481</v>
      </c>
      <c r="E2493" s="11">
        <f ca="1">D2493*Reference!$D$7*(1-IF(MONTH($A2493)=Reference!$D$6,1,0)*Reference!$D$12)</f>
        <v>360750</v>
      </c>
      <c r="M2493" s="20"/>
      <c r="N2493" s="20"/>
      <c r="O2493" s="19"/>
      <c r="P2493" s="10"/>
      <c r="Q2493" s="10"/>
      <c r="R2493" s="10"/>
      <c r="S2493" s="10"/>
      <c r="T2493" s="10"/>
      <c r="U2493" s="10"/>
      <c r="V2493" s="10"/>
      <c r="W2493" s="10"/>
      <c r="X2493" s="10"/>
      <c r="Y2493" s="10"/>
    </row>
    <row r="2494" spans="1:25" x14ac:dyDescent="0.25">
      <c r="A2494" s="9">
        <v>43032</v>
      </c>
      <c r="B2494" s="10">
        <f ca="1">ROUND(_xlfn.NORM.INV(RAND(),Reference!$C$8,0.1*Reference!$C$8)*(1+Reference!$C$11*(IF(MONTH($A2494)=Reference!$C$4,1,0)+IF(MONTH($A2494)=Reference!$C$5,1,0))+(IF(MONTH($A2494)=Reference!$C$6,Reference!$C$13,0))),0)</f>
        <v>418</v>
      </c>
      <c r="C2494" s="11">
        <f ca="1">B2494*Reference!$C$7*(1-IF(MONTH($A2494)=Reference!$C$6,1,0)*Reference!$C$12)</f>
        <v>388740</v>
      </c>
      <c r="D2494" s="10">
        <f ca="1">ROUND(_xlfn.NORM.INV(RAND(),Reference!$D$8,0.1*Reference!$D$8)*(1+Reference!$D$11*(IF(MONTH($A2494)=Reference!$D$4,1,0)+IF(MONTH($A2494)=Reference!$D$5,1,0))+(IF(MONTH($A2494)=Reference!$D$6,Reference!$D$13,0))),0)</f>
        <v>414</v>
      </c>
      <c r="E2494" s="11">
        <f ca="1">D2494*Reference!$D$7*(1-IF(MONTH($A2494)=Reference!$D$6,1,0)*Reference!$D$12)</f>
        <v>310500</v>
      </c>
      <c r="M2494" s="20"/>
      <c r="N2494" s="20"/>
      <c r="O2494" s="19"/>
      <c r="P2494" s="10"/>
      <c r="Q2494" s="10"/>
      <c r="R2494" s="10"/>
      <c r="S2494" s="10"/>
      <c r="T2494" s="10"/>
      <c r="U2494" s="10"/>
      <c r="V2494" s="10"/>
      <c r="W2494" s="10"/>
      <c r="X2494" s="10"/>
      <c r="Y2494" s="10"/>
    </row>
    <row r="2495" spans="1:25" x14ac:dyDescent="0.25">
      <c r="A2495" s="9">
        <v>43033</v>
      </c>
      <c r="B2495" s="10">
        <f ca="1">ROUND(_xlfn.NORM.INV(RAND(),Reference!$C$8,0.1*Reference!$C$8)*(1+Reference!$C$11*(IF(MONTH($A2495)=Reference!$C$4,1,0)+IF(MONTH($A2495)=Reference!$C$5,1,0))+(IF(MONTH($A2495)=Reference!$C$6,Reference!$C$13,0))),0)</f>
        <v>366</v>
      </c>
      <c r="C2495" s="11">
        <f ca="1">B2495*Reference!$C$7*(1-IF(MONTH($A2495)=Reference!$C$6,1,0)*Reference!$C$12)</f>
        <v>340380</v>
      </c>
      <c r="D2495" s="10">
        <f ca="1">ROUND(_xlfn.NORM.INV(RAND(),Reference!$D$8,0.1*Reference!$D$8)*(1+Reference!$D$11*(IF(MONTH($A2495)=Reference!$D$4,1,0)+IF(MONTH($A2495)=Reference!$D$5,1,0))+(IF(MONTH($A2495)=Reference!$D$6,Reference!$D$13,0))),0)</f>
        <v>430</v>
      </c>
      <c r="E2495" s="11">
        <f ca="1">D2495*Reference!$D$7*(1-IF(MONTH($A2495)=Reference!$D$6,1,0)*Reference!$D$12)</f>
        <v>322500</v>
      </c>
      <c r="M2495" s="20"/>
      <c r="N2495" s="20"/>
      <c r="O2495" s="19"/>
      <c r="P2495" s="10"/>
      <c r="Q2495" s="10"/>
      <c r="R2495" s="10"/>
      <c r="S2495" s="10"/>
      <c r="T2495" s="10"/>
      <c r="U2495" s="10"/>
      <c r="V2495" s="10"/>
      <c r="W2495" s="10"/>
      <c r="X2495" s="10"/>
      <c r="Y2495" s="10"/>
    </row>
    <row r="2496" spans="1:25" x14ac:dyDescent="0.25">
      <c r="A2496" s="9">
        <v>43034</v>
      </c>
      <c r="B2496" s="10">
        <f ca="1">ROUND(_xlfn.NORM.INV(RAND(),Reference!$C$8,0.1*Reference!$C$8)*(1+Reference!$C$11*(IF(MONTH($A2496)=Reference!$C$4,1,0)+IF(MONTH($A2496)=Reference!$C$5,1,0))+(IF(MONTH($A2496)=Reference!$C$6,Reference!$C$13,0))),0)</f>
        <v>415</v>
      </c>
      <c r="C2496" s="11">
        <f ca="1">B2496*Reference!$C$7*(1-IF(MONTH($A2496)=Reference!$C$6,1,0)*Reference!$C$12)</f>
        <v>385950</v>
      </c>
      <c r="D2496" s="10">
        <f ca="1">ROUND(_xlfn.NORM.INV(RAND(),Reference!$D$8,0.1*Reference!$D$8)*(1+Reference!$D$11*(IF(MONTH($A2496)=Reference!$D$4,1,0)+IF(MONTH($A2496)=Reference!$D$5,1,0))+(IF(MONTH($A2496)=Reference!$D$6,Reference!$D$13,0))),0)</f>
        <v>370</v>
      </c>
      <c r="E2496" s="11">
        <f ca="1">D2496*Reference!$D$7*(1-IF(MONTH($A2496)=Reference!$D$6,1,0)*Reference!$D$12)</f>
        <v>277500</v>
      </c>
      <c r="M2496" s="20"/>
      <c r="N2496" s="20"/>
      <c r="O2496" s="19"/>
      <c r="P2496" s="10"/>
      <c r="Q2496" s="10"/>
      <c r="R2496" s="10"/>
      <c r="S2496" s="10"/>
      <c r="T2496" s="10"/>
      <c r="U2496" s="10"/>
      <c r="V2496" s="10"/>
      <c r="W2496" s="10"/>
      <c r="X2496" s="10"/>
      <c r="Y2496" s="10"/>
    </row>
    <row r="2497" spans="1:25" x14ac:dyDescent="0.25">
      <c r="A2497" s="9">
        <v>43035</v>
      </c>
      <c r="B2497" s="10">
        <f ca="1">ROUND(_xlfn.NORM.INV(RAND(),Reference!$C$8,0.1*Reference!$C$8)*(1+Reference!$C$11*(IF(MONTH($A2497)=Reference!$C$4,1,0)+IF(MONTH($A2497)=Reference!$C$5,1,0))+(IF(MONTH($A2497)=Reference!$C$6,Reference!$C$13,0))),0)</f>
        <v>380</v>
      </c>
      <c r="C2497" s="11">
        <f ca="1">B2497*Reference!$C$7*(1-IF(MONTH($A2497)=Reference!$C$6,1,0)*Reference!$C$12)</f>
        <v>353400</v>
      </c>
      <c r="D2497" s="10">
        <f ca="1">ROUND(_xlfn.NORM.INV(RAND(),Reference!$D$8,0.1*Reference!$D$8)*(1+Reference!$D$11*(IF(MONTH($A2497)=Reference!$D$4,1,0)+IF(MONTH($A2497)=Reference!$D$5,1,0))+(IF(MONTH($A2497)=Reference!$D$6,Reference!$D$13,0))),0)</f>
        <v>432</v>
      </c>
      <c r="E2497" s="11">
        <f ca="1">D2497*Reference!$D$7*(1-IF(MONTH($A2497)=Reference!$D$6,1,0)*Reference!$D$12)</f>
        <v>324000</v>
      </c>
      <c r="M2497" s="20"/>
      <c r="N2497" s="20"/>
      <c r="O2497" s="19"/>
      <c r="P2497" s="10"/>
      <c r="Q2497" s="10"/>
      <c r="R2497" s="10"/>
      <c r="S2497" s="10"/>
      <c r="T2497" s="10"/>
      <c r="U2497" s="10"/>
      <c r="V2497" s="10"/>
      <c r="W2497" s="10"/>
      <c r="X2497" s="10"/>
      <c r="Y2497" s="10"/>
    </row>
    <row r="2498" spans="1:25" x14ac:dyDescent="0.25">
      <c r="A2498" s="9">
        <v>43036</v>
      </c>
      <c r="B2498" s="10">
        <f ca="1">ROUND(_xlfn.NORM.INV(RAND(),Reference!$C$8,0.1*Reference!$C$8)*(1+Reference!$C$11*(IF(MONTH($A2498)=Reference!$C$4,1,0)+IF(MONTH($A2498)=Reference!$C$5,1,0))+(IF(MONTH($A2498)=Reference!$C$6,Reference!$C$13,0))),0)</f>
        <v>313</v>
      </c>
      <c r="C2498" s="11">
        <f ca="1">B2498*Reference!$C$7*(1-IF(MONTH($A2498)=Reference!$C$6,1,0)*Reference!$C$12)</f>
        <v>291090</v>
      </c>
      <c r="D2498" s="10">
        <f ca="1">ROUND(_xlfn.NORM.INV(RAND(),Reference!$D$8,0.1*Reference!$D$8)*(1+Reference!$D$11*(IF(MONTH($A2498)=Reference!$D$4,1,0)+IF(MONTH($A2498)=Reference!$D$5,1,0))+(IF(MONTH($A2498)=Reference!$D$6,Reference!$D$13,0))),0)</f>
        <v>449</v>
      </c>
      <c r="E2498" s="11">
        <f ca="1">D2498*Reference!$D$7*(1-IF(MONTH($A2498)=Reference!$D$6,1,0)*Reference!$D$12)</f>
        <v>336750</v>
      </c>
      <c r="M2498" s="20"/>
      <c r="N2498" s="20"/>
      <c r="O2498" s="19"/>
      <c r="P2498" s="10"/>
      <c r="Q2498" s="10"/>
      <c r="R2498" s="10"/>
      <c r="S2498" s="10"/>
      <c r="T2498" s="10"/>
      <c r="U2498" s="10"/>
      <c r="V2498" s="10"/>
      <c r="W2498" s="10"/>
      <c r="X2498" s="10"/>
      <c r="Y2498" s="10"/>
    </row>
    <row r="2499" spans="1:25" x14ac:dyDescent="0.25">
      <c r="A2499" s="9">
        <v>43037</v>
      </c>
      <c r="B2499" s="10">
        <f ca="1">ROUND(_xlfn.NORM.INV(RAND(),Reference!$C$8,0.1*Reference!$C$8)*(1+Reference!$C$11*(IF(MONTH($A2499)=Reference!$C$4,1,0)+IF(MONTH($A2499)=Reference!$C$5,1,0))+(IF(MONTH($A2499)=Reference!$C$6,Reference!$C$13,0))),0)</f>
        <v>402</v>
      </c>
      <c r="C2499" s="11">
        <f ca="1">B2499*Reference!$C$7*(1-IF(MONTH($A2499)=Reference!$C$6,1,0)*Reference!$C$12)</f>
        <v>373860</v>
      </c>
      <c r="D2499" s="10">
        <f ca="1">ROUND(_xlfn.NORM.INV(RAND(),Reference!$D$8,0.1*Reference!$D$8)*(1+Reference!$D$11*(IF(MONTH($A2499)=Reference!$D$4,1,0)+IF(MONTH($A2499)=Reference!$D$5,1,0))+(IF(MONTH($A2499)=Reference!$D$6,Reference!$D$13,0))),0)</f>
        <v>335</v>
      </c>
      <c r="E2499" s="11">
        <f ca="1">D2499*Reference!$D$7*(1-IF(MONTH($A2499)=Reference!$D$6,1,0)*Reference!$D$12)</f>
        <v>251250</v>
      </c>
      <c r="M2499" s="20"/>
      <c r="N2499" s="20"/>
      <c r="O2499" s="19"/>
      <c r="P2499" s="10"/>
      <c r="Q2499" s="10"/>
      <c r="R2499" s="10"/>
      <c r="S2499" s="10"/>
      <c r="T2499" s="10"/>
      <c r="U2499" s="10"/>
      <c r="V2499" s="10"/>
      <c r="W2499" s="10"/>
      <c r="X2499" s="10"/>
      <c r="Y2499" s="10"/>
    </row>
    <row r="2500" spans="1:25" x14ac:dyDescent="0.25">
      <c r="A2500" s="9">
        <v>43038</v>
      </c>
      <c r="B2500" s="10">
        <f ca="1">ROUND(_xlfn.NORM.INV(RAND(),Reference!$C$8,0.1*Reference!$C$8)*(1+Reference!$C$11*(IF(MONTH($A2500)=Reference!$C$4,1,0)+IF(MONTH($A2500)=Reference!$C$5,1,0))+(IF(MONTH($A2500)=Reference!$C$6,Reference!$C$13,0))),0)</f>
        <v>329</v>
      </c>
      <c r="C2500" s="11">
        <f ca="1">B2500*Reference!$C$7*(1-IF(MONTH($A2500)=Reference!$C$6,1,0)*Reference!$C$12)</f>
        <v>305970</v>
      </c>
      <c r="D2500" s="10">
        <f ca="1">ROUND(_xlfn.NORM.INV(RAND(),Reference!$D$8,0.1*Reference!$D$8)*(1+Reference!$D$11*(IF(MONTH($A2500)=Reference!$D$4,1,0)+IF(MONTH($A2500)=Reference!$D$5,1,0))+(IF(MONTH($A2500)=Reference!$D$6,Reference!$D$13,0))),0)</f>
        <v>528</v>
      </c>
      <c r="E2500" s="11">
        <f ca="1">D2500*Reference!$D$7*(1-IF(MONTH($A2500)=Reference!$D$6,1,0)*Reference!$D$12)</f>
        <v>396000</v>
      </c>
      <c r="M2500" s="20"/>
      <c r="N2500" s="20"/>
      <c r="O2500" s="19"/>
      <c r="P2500" s="10"/>
      <c r="Q2500" s="10"/>
      <c r="R2500" s="10"/>
      <c r="S2500" s="10"/>
      <c r="T2500" s="10"/>
      <c r="U2500" s="10"/>
      <c r="V2500" s="10"/>
      <c r="W2500" s="10"/>
      <c r="X2500" s="10"/>
      <c r="Y2500" s="10"/>
    </row>
    <row r="2501" spans="1:25" x14ac:dyDescent="0.25">
      <c r="A2501" s="9">
        <v>43039</v>
      </c>
      <c r="B2501" s="10">
        <f ca="1">ROUND(_xlfn.NORM.INV(RAND(),Reference!$C$8,0.1*Reference!$C$8)*(1+Reference!$C$11*(IF(MONTH($A2501)=Reference!$C$4,1,0)+IF(MONTH($A2501)=Reference!$C$5,1,0))+(IF(MONTH($A2501)=Reference!$C$6,Reference!$C$13,0))),0)</f>
        <v>347</v>
      </c>
      <c r="C2501" s="11">
        <f ca="1">B2501*Reference!$C$7*(1-IF(MONTH($A2501)=Reference!$C$6,1,0)*Reference!$C$12)</f>
        <v>322710</v>
      </c>
      <c r="D2501" s="10">
        <f ca="1">ROUND(_xlfn.NORM.INV(RAND(),Reference!$D$8,0.1*Reference!$D$8)*(1+Reference!$D$11*(IF(MONTH($A2501)=Reference!$D$4,1,0)+IF(MONTH($A2501)=Reference!$D$5,1,0))+(IF(MONTH($A2501)=Reference!$D$6,Reference!$D$13,0))),0)</f>
        <v>482</v>
      </c>
      <c r="E2501" s="11">
        <f ca="1">D2501*Reference!$D$7*(1-IF(MONTH($A2501)=Reference!$D$6,1,0)*Reference!$D$12)</f>
        <v>361500</v>
      </c>
      <c r="M2501" s="20"/>
      <c r="N2501" s="20"/>
      <c r="O2501" s="19"/>
      <c r="P2501" s="10"/>
      <c r="Q2501" s="10"/>
      <c r="R2501" s="10"/>
      <c r="S2501" s="10"/>
      <c r="T2501" s="10"/>
      <c r="U2501" s="10"/>
      <c r="V2501" s="10"/>
      <c r="W2501" s="10"/>
      <c r="X2501" s="10"/>
      <c r="Y2501" s="10"/>
    </row>
    <row r="2502" spans="1:25" x14ac:dyDescent="0.25">
      <c r="A2502" s="9">
        <v>43040</v>
      </c>
      <c r="B2502" s="10">
        <f ca="1">ROUND(_xlfn.NORM.INV(RAND(),Reference!$C$8,0.1*Reference!$C$8)*(1+Reference!$C$11*(IF(MONTH($A2502)=Reference!$C$4,1,0)+IF(MONTH($A2502)=Reference!$C$5,1,0))+(IF(MONTH($A2502)=Reference!$C$6,Reference!$C$13,0))),0)</f>
        <v>399</v>
      </c>
      <c r="C2502" s="11">
        <f ca="1">B2502*Reference!$C$7*(1-IF(MONTH($A2502)=Reference!$C$6,1,0)*Reference!$C$12)</f>
        <v>371070</v>
      </c>
      <c r="D2502" s="10">
        <f ca="1">ROUND(_xlfn.NORM.INV(RAND(),Reference!$D$8,0.1*Reference!$D$8)*(1+Reference!$D$11*(IF(MONTH($A2502)=Reference!$D$4,1,0)+IF(MONTH($A2502)=Reference!$D$5,1,0))+(IF(MONTH($A2502)=Reference!$D$6,Reference!$D$13,0))),0)</f>
        <v>408</v>
      </c>
      <c r="E2502" s="11">
        <f ca="1">D2502*Reference!$D$7*(1-IF(MONTH($A2502)=Reference!$D$6,1,0)*Reference!$D$12)</f>
        <v>306000</v>
      </c>
      <c r="M2502" s="20"/>
      <c r="N2502" s="20"/>
      <c r="O2502" s="19"/>
      <c r="P2502" s="10"/>
      <c r="Q2502" s="10"/>
      <c r="R2502" s="10"/>
      <c r="S2502" s="10"/>
      <c r="T2502" s="10"/>
      <c r="U2502" s="10"/>
      <c r="V2502" s="10"/>
      <c r="W2502" s="10"/>
      <c r="X2502" s="10"/>
      <c r="Y2502" s="10"/>
    </row>
    <row r="2503" spans="1:25" x14ac:dyDescent="0.25">
      <c r="A2503" s="9">
        <v>43041</v>
      </c>
      <c r="B2503" s="10">
        <f ca="1">ROUND(_xlfn.NORM.INV(RAND(),Reference!$C$8,0.1*Reference!$C$8)*(1+Reference!$C$11*(IF(MONTH($A2503)=Reference!$C$4,1,0)+IF(MONTH($A2503)=Reference!$C$5,1,0))+(IF(MONTH($A2503)=Reference!$C$6,Reference!$C$13,0))),0)</f>
        <v>368</v>
      </c>
      <c r="C2503" s="11">
        <f ca="1">B2503*Reference!$C$7*(1-IF(MONTH($A2503)=Reference!$C$6,1,0)*Reference!$C$12)</f>
        <v>342240</v>
      </c>
      <c r="D2503" s="10">
        <f ca="1">ROUND(_xlfn.NORM.INV(RAND(),Reference!$D$8,0.1*Reference!$D$8)*(1+Reference!$D$11*(IF(MONTH($A2503)=Reference!$D$4,1,0)+IF(MONTH($A2503)=Reference!$D$5,1,0))+(IF(MONTH($A2503)=Reference!$D$6,Reference!$D$13,0))),0)</f>
        <v>424</v>
      </c>
      <c r="E2503" s="11">
        <f ca="1">D2503*Reference!$D$7*(1-IF(MONTH($A2503)=Reference!$D$6,1,0)*Reference!$D$12)</f>
        <v>318000</v>
      </c>
      <c r="M2503" s="20"/>
      <c r="N2503" s="20"/>
      <c r="O2503" s="19"/>
      <c r="P2503" s="10"/>
      <c r="Q2503" s="10"/>
      <c r="R2503" s="10"/>
      <c r="S2503" s="10"/>
      <c r="T2503" s="10"/>
      <c r="U2503" s="10"/>
      <c r="V2503" s="10"/>
      <c r="W2503" s="10"/>
      <c r="X2503" s="10"/>
      <c r="Y2503" s="10"/>
    </row>
    <row r="2504" spans="1:25" x14ac:dyDescent="0.25">
      <c r="A2504" s="9">
        <v>43042</v>
      </c>
      <c r="B2504" s="10">
        <f ca="1">ROUND(_xlfn.NORM.INV(RAND(),Reference!$C$8,0.1*Reference!$C$8)*(1+Reference!$C$11*(IF(MONTH($A2504)=Reference!$C$4,1,0)+IF(MONTH($A2504)=Reference!$C$5,1,0))+(IF(MONTH($A2504)=Reference!$C$6,Reference!$C$13,0))),0)</f>
        <v>384</v>
      </c>
      <c r="C2504" s="11">
        <f ca="1">B2504*Reference!$C$7*(1-IF(MONTH($A2504)=Reference!$C$6,1,0)*Reference!$C$12)</f>
        <v>357120</v>
      </c>
      <c r="D2504" s="10">
        <f ca="1">ROUND(_xlfn.NORM.INV(RAND(),Reference!$D$8,0.1*Reference!$D$8)*(1+Reference!$D$11*(IF(MONTH($A2504)=Reference!$D$4,1,0)+IF(MONTH($A2504)=Reference!$D$5,1,0))+(IF(MONTH($A2504)=Reference!$D$6,Reference!$D$13,0))),0)</f>
        <v>553</v>
      </c>
      <c r="E2504" s="11">
        <f ca="1">D2504*Reference!$D$7*(1-IF(MONTH($A2504)=Reference!$D$6,1,0)*Reference!$D$12)</f>
        <v>414750</v>
      </c>
      <c r="M2504" s="20"/>
      <c r="N2504" s="20"/>
      <c r="O2504" s="19"/>
      <c r="P2504" s="10"/>
      <c r="Q2504" s="10"/>
      <c r="R2504" s="10"/>
      <c r="S2504" s="10"/>
      <c r="T2504" s="10"/>
      <c r="U2504" s="10"/>
      <c r="V2504" s="10"/>
      <c r="W2504" s="10"/>
      <c r="X2504" s="10"/>
      <c r="Y2504" s="10"/>
    </row>
    <row r="2505" spans="1:25" x14ac:dyDescent="0.25">
      <c r="A2505" s="9">
        <v>43043</v>
      </c>
      <c r="B2505" s="10">
        <f ca="1">ROUND(_xlfn.NORM.INV(RAND(),Reference!$C$8,0.1*Reference!$C$8)*(1+Reference!$C$11*(IF(MONTH($A2505)=Reference!$C$4,1,0)+IF(MONTH($A2505)=Reference!$C$5,1,0))+(IF(MONTH($A2505)=Reference!$C$6,Reference!$C$13,0))),0)</f>
        <v>293</v>
      </c>
      <c r="C2505" s="11">
        <f ca="1">B2505*Reference!$C$7*(1-IF(MONTH($A2505)=Reference!$C$6,1,0)*Reference!$C$12)</f>
        <v>272490</v>
      </c>
      <c r="D2505" s="10">
        <f ca="1">ROUND(_xlfn.NORM.INV(RAND(),Reference!$D$8,0.1*Reference!$D$8)*(1+Reference!$D$11*(IF(MONTH($A2505)=Reference!$D$4,1,0)+IF(MONTH($A2505)=Reference!$D$5,1,0))+(IF(MONTH($A2505)=Reference!$D$6,Reference!$D$13,0))),0)</f>
        <v>496</v>
      </c>
      <c r="E2505" s="11">
        <f ca="1">D2505*Reference!$D$7*(1-IF(MONTH($A2505)=Reference!$D$6,1,0)*Reference!$D$12)</f>
        <v>372000</v>
      </c>
      <c r="M2505" s="20"/>
      <c r="N2505" s="20"/>
      <c r="O2505" s="19"/>
      <c r="P2505" s="10"/>
      <c r="Q2505" s="10"/>
      <c r="R2505" s="10"/>
      <c r="S2505" s="10"/>
      <c r="T2505" s="10"/>
      <c r="U2505" s="10"/>
      <c r="V2505" s="10"/>
      <c r="W2505" s="10"/>
      <c r="X2505" s="10"/>
      <c r="Y2505" s="10"/>
    </row>
    <row r="2506" spans="1:25" x14ac:dyDescent="0.25">
      <c r="A2506" s="9">
        <v>43044</v>
      </c>
      <c r="B2506" s="10">
        <f ca="1">ROUND(_xlfn.NORM.INV(RAND(),Reference!$C$8,0.1*Reference!$C$8)*(1+Reference!$C$11*(IF(MONTH($A2506)=Reference!$C$4,1,0)+IF(MONTH($A2506)=Reference!$C$5,1,0))+(IF(MONTH($A2506)=Reference!$C$6,Reference!$C$13,0))),0)</f>
        <v>339</v>
      </c>
      <c r="C2506" s="11">
        <f ca="1">B2506*Reference!$C$7*(1-IF(MONTH($A2506)=Reference!$C$6,1,0)*Reference!$C$12)</f>
        <v>315270</v>
      </c>
      <c r="D2506" s="10">
        <f ca="1">ROUND(_xlfn.NORM.INV(RAND(),Reference!$D$8,0.1*Reference!$D$8)*(1+Reference!$D$11*(IF(MONTH($A2506)=Reference!$D$4,1,0)+IF(MONTH($A2506)=Reference!$D$5,1,0))+(IF(MONTH($A2506)=Reference!$D$6,Reference!$D$13,0))),0)</f>
        <v>327</v>
      </c>
      <c r="E2506" s="11">
        <f ca="1">D2506*Reference!$D$7*(1-IF(MONTH($A2506)=Reference!$D$6,1,0)*Reference!$D$12)</f>
        <v>245250</v>
      </c>
      <c r="M2506" s="20"/>
      <c r="N2506" s="20"/>
      <c r="O2506" s="19"/>
      <c r="P2506" s="10"/>
      <c r="Q2506" s="10"/>
      <c r="R2506" s="10"/>
      <c r="S2506" s="10"/>
      <c r="T2506" s="10"/>
      <c r="U2506" s="10"/>
      <c r="V2506" s="10"/>
      <c r="W2506" s="10"/>
      <c r="X2506" s="10"/>
      <c r="Y2506" s="10"/>
    </row>
    <row r="2507" spans="1:25" x14ac:dyDescent="0.25">
      <c r="A2507" s="9">
        <v>43045</v>
      </c>
      <c r="B2507" s="10">
        <f ca="1">ROUND(_xlfn.NORM.INV(RAND(),Reference!$C$8,0.1*Reference!$C$8)*(1+Reference!$C$11*(IF(MONTH($A2507)=Reference!$C$4,1,0)+IF(MONTH($A2507)=Reference!$C$5,1,0))+(IF(MONTH($A2507)=Reference!$C$6,Reference!$C$13,0))),0)</f>
        <v>352</v>
      </c>
      <c r="C2507" s="11">
        <f ca="1">B2507*Reference!$C$7*(1-IF(MONTH($A2507)=Reference!$C$6,1,0)*Reference!$C$12)</f>
        <v>327360</v>
      </c>
      <c r="D2507" s="10">
        <f ca="1">ROUND(_xlfn.NORM.INV(RAND(),Reference!$D$8,0.1*Reference!$D$8)*(1+Reference!$D$11*(IF(MONTH($A2507)=Reference!$D$4,1,0)+IF(MONTH($A2507)=Reference!$D$5,1,0))+(IF(MONTH($A2507)=Reference!$D$6,Reference!$D$13,0))),0)</f>
        <v>370</v>
      </c>
      <c r="E2507" s="11">
        <f ca="1">D2507*Reference!$D$7*(1-IF(MONTH($A2507)=Reference!$D$6,1,0)*Reference!$D$12)</f>
        <v>277500</v>
      </c>
      <c r="M2507" s="20"/>
      <c r="N2507" s="20"/>
      <c r="O2507" s="19"/>
      <c r="P2507" s="10"/>
      <c r="Q2507" s="10"/>
      <c r="R2507" s="10"/>
      <c r="S2507" s="10"/>
      <c r="T2507" s="10"/>
      <c r="U2507" s="10"/>
      <c r="V2507" s="10"/>
      <c r="W2507" s="10"/>
      <c r="X2507" s="10"/>
      <c r="Y2507" s="10"/>
    </row>
    <row r="2508" spans="1:25" x14ac:dyDescent="0.25">
      <c r="A2508" s="9">
        <v>43046</v>
      </c>
      <c r="B2508" s="10">
        <f ca="1">ROUND(_xlfn.NORM.INV(RAND(),Reference!$C$8,0.1*Reference!$C$8)*(1+Reference!$C$11*(IF(MONTH($A2508)=Reference!$C$4,1,0)+IF(MONTH($A2508)=Reference!$C$5,1,0))+(IF(MONTH($A2508)=Reference!$C$6,Reference!$C$13,0))),0)</f>
        <v>364</v>
      </c>
      <c r="C2508" s="11">
        <f ca="1">B2508*Reference!$C$7*(1-IF(MONTH($A2508)=Reference!$C$6,1,0)*Reference!$C$12)</f>
        <v>338520</v>
      </c>
      <c r="D2508" s="10">
        <f ca="1">ROUND(_xlfn.NORM.INV(RAND(),Reference!$D$8,0.1*Reference!$D$8)*(1+Reference!$D$11*(IF(MONTH($A2508)=Reference!$D$4,1,0)+IF(MONTH($A2508)=Reference!$D$5,1,0))+(IF(MONTH($A2508)=Reference!$D$6,Reference!$D$13,0))),0)</f>
        <v>420</v>
      </c>
      <c r="E2508" s="11">
        <f ca="1">D2508*Reference!$D$7*(1-IF(MONTH($A2508)=Reference!$D$6,1,0)*Reference!$D$12)</f>
        <v>315000</v>
      </c>
      <c r="M2508" s="20"/>
      <c r="N2508" s="20"/>
      <c r="O2508" s="19"/>
      <c r="P2508" s="10"/>
      <c r="Q2508" s="10"/>
      <c r="R2508" s="10"/>
      <c r="S2508" s="10"/>
      <c r="T2508" s="10"/>
      <c r="U2508" s="10"/>
      <c r="V2508" s="10"/>
      <c r="W2508" s="10"/>
      <c r="X2508" s="10"/>
      <c r="Y2508" s="10"/>
    </row>
    <row r="2509" spans="1:25" x14ac:dyDescent="0.25">
      <c r="A2509" s="9">
        <v>43047</v>
      </c>
      <c r="B2509" s="10">
        <f ca="1">ROUND(_xlfn.NORM.INV(RAND(),Reference!$C$8,0.1*Reference!$C$8)*(1+Reference!$C$11*(IF(MONTH($A2509)=Reference!$C$4,1,0)+IF(MONTH($A2509)=Reference!$C$5,1,0))+(IF(MONTH($A2509)=Reference!$C$6,Reference!$C$13,0))),0)</f>
        <v>413</v>
      </c>
      <c r="C2509" s="11">
        <f ca="1">B2509*Reference!$C$7*(1-IF(MONTH($A2509)=Reference!$C$6,1,0)*Reference!$C$12)</f>
        <v>384090</v>
      </c>
      <c r="D2509" s="10">
        <f ca="1">ROUND(_xlfn.NORM.INV(RAND(),Reference!$D$8,0.1*Reference!$D$8)*(1+Reference!$D$11*(IF(MONTH($A2509)=Reference!$D$4,1,0)+IF(MONTH($A2509)=Reference!$D$5,1,0))+(IF(MONTH($A2509)=Reference!$D$6,Reference!$D$13,0))),0)</f>
        <v>385</v>
      </c>
      <c r="E2509" s="11">
        <f ca="1">D2509*Reference!$D$7*(1-IF(MONTH($A2509)=Reference!$D$6,1,0)*Reference!$D$12)</f>
        <v>288750</v>
      </c>
      <c r="M2509" s="20"/>
      <c r="N2509" s="20"/>
      <c r="O2509" s="19"/>
      <c r="P2509" s="10"/>
      <c r="Q2509" s="10"/>
      <c r="R2509" s="10"/>
      <c r="S2509" s="10"/>
      <c r="T2509" s="10"/>
      <c r="U2509" s="10"/>
      <c r="V2509" s="10"/>
      <c r="W2509" s="10"/>
      <c r="X2509" s="10"/>
      <c r="Y2509" s="10"/>
    </row>
    <row r="2510" spans="1:25" x14ac:dyDescent="0.25">
      <c r="A2510" s="9">
        <v>43048</v>
      </c>
      <c r="B2510" s="10">
        <f ca="1">ROUND(_xlfn.NORM.INV(RAND(),Reference!$C$8,0.1*Reference!$C$8)*(1+Reference!$C$11*(IF(MONTH($A2510)=Reference!$C$4,1,0)+IF(MONTH($A2510)=Reference!$C$5,1,0))+(IF(MONTH($A2510)=Reference!$C$6,Reference!$C$13,0))),0)</f>
        <v>417</v>
      </c>
      <c r="C2510" s="11">
        <f ca="1">B2510*Reference!$C$7*(1-IF(MONTH($A2510)=Reference!$C$6,1,0)*Reference!$C$12)</f>
        <v>387810</v>
      </c>
      <c r="D2510" s="10">
        <f ca="1">ROUND(_xlfn.NORM.INV(RAND(),Reference!$D$8,0.1*Reference!$D$8)*(1+Reference!$D$11*(IF(MONTH($A2510)=Reference!$D$4,1,0)+IF(MONTH($A2510)=Reference!$D$5,1,0))+(IF(MONTH($A2510)=Reference!$D$6,Reference!$D$13,0))),0)</f>
        <v>457</v>
      </c>
      <c r="E2510" s="11">
        <f ca="1">D2510*Reference!$D$7*(1-IF(MONTH($A2510)=Reference!$D$6,1,0)*Reference!$D$12)</f>
        <v>342750</v>
      </c>
      <c r="M2510" s="20"/>
      <c r="N2510" s="20"/>
      <c r="O2510" s="19"/>
      <c r="P2510" s="10"/>
      <c r="Q2510" s="10"/>
      <c r="R2510" s="10"/>
      <c r="S2510" s="10"/>
      <c r="T2510" s="10"/>
      <c r="U2510" s="10"/>
      <c r="V2510" s="10"/>
      <c r="W2510" s="10"/>
      <c r="X2510" s="10"/>
      <c r="Y2510" s="10"/>
    </row>
    <row r="2511" spans="1:25" x14ac:dyDescent="0.25">
      <c r="A2511" s="9">
        <v>43049</v>
      </c>
      <c r="B2511" s="10">
        <f ca="1">ROUND(_xlfn.NORM.INV(RAND(),Reference!$C$8,0.1*Reference!$C$8)*(1+Reference!$C$11*(IF(MONTH($A2511)=Reference!$C$4,1,0)+IF(MONTH($A2511)=Reference!$C$5,1,0))+(IF(MONTH($A2511)=Reference!$C$6,Reference!$C$13,0))),0)</f>
        <v>361</v>
      </c>
      <c r="C2511" s="11">
        <f ca="1">B2511*Reference!$C$7*(1-IF(MONTH($A2511)=Reference!$C$6,1,0)*Reference!$C$12)</f>
        <v>335730</v>
      </c>
      <c r="D2511" s="10">
        <f ca="1">ROUND(_xlfn.NORM.INV(RAND(),Reference!$D$8,0.1*Reference!$D$8)*(1+Reference!$D$11*(IF(MONTH($A2511)=Reference!$D$4,1,0)+IF(MONTH($A2511)=Reference!$D$5,1,0))+(IF(MONTH($A2511)=Reference!$D$6,Reference!$D$13,0))),0)</f>
        <v>415</v>
      </c>
      <c r="E2511" s="11">
        <f ca="1">D2511*Reference!$D$7*(1-IF(MONTH($A2511)=Reference!$D$6,1,0)*Reference!$D$12)</f>
        <v>311250</v>
      </c>
      <c r="M2511" s="20"/>
      <c r="N2511" s="20"/>
      <c r="O2511" s="19"/>
      <c r="P2511" s="10"/>
      <c r="Q2511" s="10"/>
      <c r="R2511" s="10"/>
      <c r="S2511" s="10"/>
      <c r="T2511" s="10"/>
      <c r="U2511" s="10"/>
      <c r="V2511" s="10"/>
      <c r="W2511" s="10"/>
      <c r="X2511" s="10"/>
      <c r="Y2511" s="10"/>
    </row>
    <row r="2512" spans="1:25" x14ac:dyDescent="0.25">
      <c r="A2512" s="9">
        <v>43050</v>
      </c>
      <c r="B2512" s="10">
        <f ca="1">ROUND(_xlfn.NORM.INV(RAND(),Reference!$C$8,0.1*Reference!$C$8)*(1+Reference!$C$11*(IF(MONTH($A2512)=Reference!$C$4,1,0)+IF(MONTH($A2512)=Reference!$C$5,1,0))+(IF(MONTH($A2512)=Reference!$C$6,Reference!$C$13,0))),0)</f>
        <v>281</v>
      </c>
      <c r="C2512" s="11">
        <f ca="1">B2512*Reference!$C$7*(1-IF(MONTH($A2512)=Reference!$C$6,1,0)*Reference!$C$12)</f>
        <v>261330</v>
      </c>
      <c r="D2512" s="10">
        <f ca="1">ROUND(_xlfn.NORM.INV(RAND(),Reference!$D$8,0.1*Reference!$D$8)*(1+Reference!$D$11*(IF(MONTH($A2512)=Reference!$D$4,1,0)+IF(MONTH($A2512)=Reference!$D$5,1,0))+(IF(MONTH($A2512)=Reference!$D$6,Reference!$D$13,0))),0)</f>
        <v>475</v>
      </c>
      <c r="E2512" s="11">
        <f ca="1">D2512*Reference!$D$7*(1-IF(MONTH($A2512)=Reference!$D$6,1,0)*Reference!$D$12)</f>
        <v>356250</v>
      </c>
      <c r="M2512" s="20"/>
      <c r="N2512" s="20"/>
      <c r="O2512" s="19"/>
      <c r="P2512" s="10"/>
      <c r="Q2512" s="10"/>
      <c r="R2512" s="10"/>
      <c r="S2512" s="10"/>
      <c r="T2512" s="10"/>
      <c r="U2512" s="10"/>
      <c r="V2512" s="10"/>
      <c r="W2512" s="10"/>
      <c r="X2512" s="10"/>
      <c r="Y2512" s="10"/>
    </row>
    <row r="2513" spans="1:25" x14ac:dyDescent="0.25">
      <c r="A2513" s="9">
        <v>43051</v>
      </c>
      <c r="B2513" s="10">
        <f ca="1">ROUND(_xlfn.NORM.INV(RAND(),Reference!$C$8,0.1*Reference!$C$8)*(1+Reference!$C$11*(IF(MONTH($A2513)=Reference!$C$4,1,0)+IF(MONTH($A2513)=Reference!$C$5,1,0))+(IF(MONTH($A2513)=Reference!$C$6,Reference!$C$13,0))),0)</f>
        <v>340</v>
      </c>
      <c r="C2513" s="11">
        <f ca="1">B2513*Reference!$C$7*(1-IF(MONTH($A2513)=Reference!$C$6,1,0)*Reference!$C$12)</f>
        <v>316200</v>
      </c>
      <c r="D2513" s="10">
        <f ca="1">ROUND(_xlfn.NORM.INV(RAND(),Reference!$D$8,0.1*Reference!$D$8)*(1+Reference!$D$11*(IF(MONTH($A2513)=Reference!$D$4,1,0)+IF(MONTH($A2513)=Reference!$D$5,1,0))+(IF(MONTH($A2513)=Reference!$D$6,Reference!$D$13,0))),0)</f>
        <v>471</v>
      </c>
      <c r="E2513" s="11">
        <f ca="1">D2513*Reference!$D$7*(1-IF(MONTH($A2513)=Reference!$D$6,1,0)*Reference!$D$12)</f>
        <v>353250</v>
      </c>
      <c r="M2513" s="20"/>
      <c r="N2513" s="20"/>
      <c r="O2513" s="19"/>
      <c r="P2513" s="10"/>
      <c r="Q2513" s="10"/>
      <c r="R2513" s="10"/>
      <c r="S2513" s="10"/>
      <c r="T2513" s="10"/>
      <c r="U2513" s="10"/>
      <c r="V2513" s="10"/>
      <c r="W2513" s="10"/>
      <c r="X2513" s="10"/>
      <c r="Y2513" s="10"/>
    </row>
    <row r="2514" spans="1:25" x14ac:dyDescent="0.25">
      <c r="A2514" s="9">
        <v>43052</v>
      </c>
      <c r="B2514" s="10">
        <f ca="1">ROUND(_xlfn.NORM.INV(RAND(),Reference!$C$8,0.1*Reference!$C$8)*(1+Reference!$C$11*(IF(MONTH($A2514)=Reference!$C$4,1,0)+IF(MONTH($A2514)=Reference!$C$5,1,0))+(IF(MONTH($A2514)=Reference!$C$6,Reference!$C$13,0))),0)</f>
        <v>351</v>
      </c>
      <c r="C2514" s="11">
        <f ca="1">B2514*Reference!$C$7*(1-IF(MONTH($A2514)=Reference!$C$6,1,0)*Reference!$C$12)</f>
        <v>326430</v>
      </c>
      <c r="D2514" s="10">
        <f ca="1">ROUND(_xlfn.NORM.INV(RAND(),Reference!$D$8,0.1*Reference!$D$8)*(1+Reference!$D$11*(IF(MONTH($A2514)=Reference!$D$4,1,0)+IF(MONTH($A2514)=Reference!$D$5,1,0))+(IF(MONTH($A2514)=Reference!$D$6,Reference!$D$13,0))),0)</f>
        <v>392</v>
      </c>
      <c r="E2514" s="11">
        <f ca="1">D2514*Reference!$D$7*(1-IF(MONTH($A2514)=Reference!$D$6,1,0)*Reference!$D$12)</f>
        <v>294000</v>
      </c>
      <c r="M2514" s="20"/>
      <c r="N2514" s="20"/>
      <c r="O2514" s="19"/>
      <c r="P2514" s="10"/>
      <c r="Q2514" s="10"/>
      <c r="R2514" s="10"/>
      <c r="S2514" s="10"/>
      <c r="T2514" s="10"/>
      <c r="U2514" s="10"/>
      <c r="V2514" s="10"/>
      <c r="W2514" s="10"/>
      <c r="X2514" s="10"/>
      <c r="Y2514" s="10"/>
    </row>
    <row r="2515" spans="1:25" x14ac:dyDescent="0.25">
      <c r="A2515" s="9">
        <v>43053</v>
      </c>
      <c r="B2515" s="10">
        <f ca="1">ROUND(_xlfn.NORM.INV(RAND(),Reference!$C$8,0.1*Reference!$C$8)*(1+Reference!$C$11*(IF(MONTH($A2515)=Reference!$C$4,1,0)+IF(MONTH($A2515)=Reference!$C$5,1,0))+(IF(MONTH($A2515)=Reference!$C$6,Reference!$C$13,0))),0)</f>
        <v>323</v>
      </c>
      <c r="C2515" s="11">
        <f ca="1">B2515*Reference!$C$7*(1-IF(MONTH($A2515)=Reference!$C$6,1,0)*Reference!$C$12)</f>
        <v>300390</v>
      </c>
      <c r="D2515" s="10">
        <f ca="1">ROUND(_xlfn.NORM.INV(RAND(),Reference!$D$8,0.1*Reference!$D$8)*(1+Reference!$D$11*(IF(MONTH($A2515)=Reference!$D$4,1,0)+IF(MONTH($A2515)=Reference!$D$5,1,0))+(IF(MONTH($A2515)=Reference!$D$6,Reference!$D$13,0))),0)</f>
        <v>475</v>
      </c>
      <c r="E2515" s="11">
        <f ca="1">D2515*Reference!$D$7*(1-IF(MONTH($A2515)=Reference!$D$6,1,0)*Reference!$D$12)</f>
        <v>356250</v>
      </c>
      <c r="M2515" s="20"/>
      <c r="N2515" s="20"/>
      <c r="O2515" s="19"/>
      <c r="P2515" s="10"/>
      <c r="Q2515" s="10"/>
      <c r="R2515" s="10"/>
      <c r="S2515" s="10"/>
      <c r="T2515" s="10"/>
      <c r="U2515" s="10"/>
      <c r="V2515" s="10"/>
      <c r="W2515" s="10"/>
      <c r="X2515" s="10"/>
      <c r="Y2515" s="10"/>
    </row>
    <row r="2516" spans="1:25" x14ac:dyDescent="0.25">
      <c r="A2516" s="9">
        <v>43054</v>
      </c>
      <c r="B2516" s="10">
        <f ca="1">ROUND(_xlfn.NORM.INV(RAND(),Reference!$C$8,0.1*Reference!$C$8)*(1+Reference!$C$11*(IF(MONTH($A2516)=Reference!$C$4,1,0)+IF(MONTH($A2516)=Reference!$C$5,1,0))+(IF(MONTH($A2516)=Reference!$C$6,Reference!$C$13,0))),0)</f>
        <v>360</v>
      </c>
      <c r="C2516" s="11">
        <f ca="1">B2516*Reference!$C$7*(1-IF(MONTH($A2516)=Reference!$C$6,1,0)*Reference!$C$12)</f>
        <v>334800</v>
      </c>
      <c r="D2516" s="10">
        <f ca="1">ROUND(_xlfn.NORM.INV(RAND(),Reference!$D$8,0.1*Reference!$D$8)*(1+Reference!$D$11*(IF(MONTH($A2516)=Reference!$D$4,1,0)+IF(MONTH($A2516)=Reference!$D$5,1,0))+(IF(MONTH($A2516)=Reference!$D$6,Reference!$D$13,0))),0)</f>
        <v>375</v>
      </c>
      <c r="E2516" s="11">
        <f ca="1">D2516*Reference!$D$7*(1-IF(MONTH($A2516)=Reference!$D$6,1,0)*Reference!$D$12)</f>
        <v>281250</v>
      </c>
      <c r="M2516" s="20"/>
      <c r="N2516" s="20"/>
      <c r="O2516" s="19"/>
      <c r="P2516" s="10"/>
      <c r="Q2516" s="10"/>
      <c r="R2516" s="10"/>
      <c r="S2516" s="10"/>
      <c r="T2516" s="10"/>
      <c r="U2516" s="10"/>
      <c r="V2516" s="10"/>
      <c r="W2516" s="10"/>
      <c r="X2516" s="10"/>
      <c r="Y2516" s="10"/>
    </row>
    <row r="2517" spans="1:25" x14ac:dyDescent="0.25">
      <c r="A2517" s="9">
        <v>43055</v>
      </c>
      <c r="B2517" s="10">
        <f ca="1">ROUND(_xlfn.NORM.INV(RAND(),Reference!$C$8,0.1*Reference!$C$8)*(1+Reference!$C$11*(IF(MONTH($A2517)=Reference!$C$4,1,0)+IF(MONTH($A2517)=Reference!$C$5,1,0))+(IF(MONTH($A2517)=Reference!$C$6,Reference!$C$13,0))),0)</f>
        <v>348</v>
      </c>
      <c r="C2517" s="11">
        <f ca="1">B2517*Reference!$C$7*(1-IF(MONTH($A2517)=Reference!$C$6,1,0)*Reference!$C$12)</f>
        <v>323640</v>
      </c>
      <c r="D2517" s="10">
        <f ca="1">ROUND(_xlfn.NORM.INV(RAND(),Reference!$D$8,0.1*Reference!$D$8)*(1+Reference!$D$11*(IF(MONTH($A2517)=Reference!$D$4,1,0)+IF(MONTH($A2517)=Reference!$D$5,1,0))+(IF(MONTH($A2517)=Reference!$D$6,Reference!$D$13,0))),0)</f>
        <v>480</v>
      </c>
      <c r="E2517" s="11">
        <f ca="1">D2517*Reference!$D$7*(1-IF(MONTH($A2517)=Reference!$D$6,1,0)*Reference!$D$12)</f>
        <v>360000</v>
      </c>
      <c r="M2517" s="20"/>
      <c r="N2517" s="20"/>
      <c r="O2517" s="19"/>
      <c r="P2517" s="10"/>
      <c r="Q2517" s="10"/>
      <c r="R2517" s="10"/>
      <c r="S2517" s="10"/>
      <c r="T2517" s="10"/>
      <c r="U2517" s="10"/>
      <c r="V2517" s="10"/>
      <c r="W2517" s="10"/>
      <c r="X2517" s="10"/>
      <c r="Y2517" s="10"/>
    </row>
    <row r="2518" spans="1:25" x14ac:dyDescent="0.25">
      <c r="A2518" s="9">
        <v>43056</v>
      </c>
      <c r="B2518" s="10">
        <f ca="1">ROUND(_xlfn.NORM.INV(RAND(),Reference!$C$8,0.1*Reference!$C$8)*(1+Reference!$C$11*(IF(MONTH($A2518)=Reference!$C$4,1,0)+IF(MONTH($A2518)=Reference!$C$5,1,0))+(IF(MONTH($A2518)=Reference!$C$6,Reference!$C$13,0))),0)</f>
        <v>371</v>
      </c>
      <c r="C2518" s="11">
        <f ca="1">B2518*Reference!$C$7*(1-IF(MONTH($A2518)=Reference!$C$6,1,0)*Reference!$C$12)</f>
        <v>345030</v>
      </c>
      <c r="D2518" s="10">
        <f ca="1">ROUND(_xlfn.NORM.INV(RAND(),Reference!$D$8,0.1*Reference!$D$8)*(1+Reference!$D$11*(IF(MONTH($A2518)=Reference!$D$4,1,0)+IF(MONTH($A2518)=Reference!$D$5,1,0))+(IF(MONTH($A2518)=Reference!$D$6,Reference!$D$13,0))),0)</f>
        <v>467</v>
      </c>
      <c r="E2518" s="11">
        <f ca="1">D2518*Reference!$D$7*(1-IF(MONTH($A2518)=Reference!$D$6,1,0)*Reference!$D$12)</f>
        <v>350250</v>
      </c>
      <c r="M2518" s="20"/>
      <c r="N2518" s="20"/>
      <c r="O2518" s="19"/>
      <c r="P2518" s="10"/>
      <c r="Q2518" s="10"/>
      <c r="R2518" s="10"/>
      <c r="S2518" s="10"/>
      <c r="T2518" s="10"/>
      <c r="U2518" s="10"/>
      <c r="V2518" s="10"/>
      <c r="W2518" s="10"/>
      <c r="X2518" s="10"/>
      <c r="Y2518" s="10"/>
    </row>
    <row r="2519" spans="1:25" x14ac:dyDescent="0.25">
      <c r="A2519" s="9">
        <v>43057</v>
      </c>
      <c r="B2519" s="10">
        <f ca="1">ROUND(_xlfn.NORM.INV(RAND(),Reference!$C$8,0.1*Reference!$C$8)*(1+Reference!$C$11*(IF(MONTH($A2519)=Reference!$C$4,1,0)+IF(MONTH($A2519)=Reference!$C$5,1,0))+(IF(MONTH($A2519)=Reference!$C$6,Reference!$C$13,0))),0)</f>
        <v>356</v>
      </c>
      <c r="C2519" s="11">
        <f ca="1">B2519*Reference!$C$7*(1-IF(MONTH($A2519)=Reference!$C$6,1,0)*Reference!$C$12)</f>
        <v>331080</v>
      </c>
      <c r="D2519" s="10">
        <f ca="1">ROUND(_xlfn.NORM.INV(RAND(),Reference!$D$8,0.1*Reference!$D$8)*(1+Reference!$D$11*(IF(MONTH($A2519)=Reference!$D$4,1,0)+IF(MONTH($A2519)=Reference!$D$5,1,0))+(IF(MONTH($A2519)=Reference!$D$6,Reference!$D$13,0))),0)</f>
        <v>511</v>
      </c>
      <c r="E2519" s="11">
        <f ca="1">D2519*Reference!$D$7*(1-IF(MONTH($A2519)=Reference!$D$6,1,0)*Reference!$D$12)</f>
        <v>383250</v>
      </c>
      <c r="M2519" s="20"/>
      <c r="N2519" s="20"/>
      <c r="O2519" s="19"/>
      <c r="P2519" s="10"/>
      <c r="Q2519" s="10"/>
      <c r="R2519" s="10"/>
      <c r="S2519" s="10"/>
      <c r="T2519" s="10"/>
      <c r="U2519" s="10"/>
      <c r="V2519" s="10"/>
      <c r="W2519" s="10"/>
      <c r="X2519" s="10"/>
      <c r="Y2519" s="10"/>
    </row>
    <row r="2520" spans="1:25" x14ac:dyDescent="0.25">
      <c r="A2520" s="9">
        <v>43058</v>
      </c>
      <c r="B2520" s="10">
        <f ca="1">ROUND(_xlfn.NORM.INV(RAND(),Reference!$C$8,0.1*Reference!$C$8)*(1+Reference!$C$11*(IF(MONTH($A2520)=Reference!$C$4,1,0)+IF(MONTH($A2520)=Reference!$C$5,1,0))+(IF(MONTH($A2520)=Reference!$C$6,Reference!$C$13,0))),0)</f>
        <v>352</v>
      </c>
      <c r="C2520" s="11">
        <f ca="1">B2520*Reference!$C$7*(1-IF(MONTH($A2520)=Reference!$C$6,1,0)*Reference!$C$12)</f>
        <v>327360</v>
      </c>
      <c r="D2520" s="10">
        <f ca="1">ROUND(_xlfn.NORM.INV(RAND(),Reference!$D$8,0.1*Reference!$D$8)*(1+Reference!$D$11*(IF(MONTH($A2520)=Reference!$D$4,1,0)+IF(MONTH($A2520)=Reference!$D$5,1,0))+(IF(MONTH($A2520)=Reference!$D$6,Reference!$D$13,0))),0)</f>
        <v>391</v>
      </c>
      <c r="E2520" s="11">
        <f ca="1">D2520*Reference!$D$7*(1-IF(MONTH($A2520)=Reference!$D$6,1,0)*Reference!$D$12)</f>
        <v>293250</v>
      </c>
      <c r="M2520" s="20"/>
      <c r="N2520" s="20"/>
      <c r="O2520" s="19"/>
      <c r="P2520" s="10"/>
      <c r="Q2520" s="10"/>
      <c r="R2520" s="10"/>
      <c r="S2520" s="10"/>
      <c r="T2520" s="10"/>
      <c r="U2520" s="10"/>
      <c r="V2520" s="10"/>
      <c r="W2520" s="10"/>
      <c r="X2520" s="10"/>
      <c r="Y2520" s="10"/>
    </row>
    <row r="2521" spans="1:25" x14ac:dyDescent="0.25">
      <c r="A2521" s="9">
        <v>43059</v>
      </c>
      <c r="B2521" s="10">
        <f ca="1">ROUND(_xlfn.NORM.INV(RAND(),Reference!$C$8,0.1*Reference!$C$8)*(1+Reference!$C$11*(IF(MONTH($A2521)=Reference!$C$4,1,0)+IF(MONTH($A2521)=Reference!$C$5,1,0))+(IF(MONTH($A2521)=Reference!$C$6,Reference!$C$13,0))),0)</f>
        <v>323</v>
      </c>
      <c r="C2521" s="11">
        <f ca="1">B2521*Reference!$C$7*(1-IF(MONTH($A2521)=Reference!$C$6,1,0)*Reference!$C$12)</f>
        <v>300390</v>
      </c>
      <c r="D2521" s="10">
        <f ca="1">ROUND(_xlfn.NORM.INV(RAND(),Reference!$D$8,0.1*Reference!$D$8)*(1+Reference!$D$11*(IF(MONTH($A2521)=Reference!$D$4,1,0)+IF(MONTH($A2521)=Reference!$D$5,1,0))+(IF(MONTH($A2521)=Reference!$D$6,Reference!$D$13,0))),0)</f>
        <v>435</v>
      </c>
      <c r="E2521" s="11">
        <f ca="1">D2521*Reference!$D$7*(1-IF(MONTH($A2521)=Reference!$D$6,1,0)*Reference!$D$12)</f>
        <v>326250</v>
      </c>
      <c r="M2521" s="20"/>
      <c r="N2521" s="20"/>
      <c r="O2521" s="19"/>
      <c r="P2521" s="10"/>
      <c r="Q2521" s="10"/>
      <c r="R2521" s="10"/>
      <c r="S2521" s="10"/>
      <c r="T2521" s="10"/>
      <c r="U2521" s="10"/>
      <c r="V2521" s="10"/>
      <c r="W2521" s="10"/>
      <c r="X2521" s="10"/>
      <c r="Y2521" s="10"/>
    </row>
    <row r="2522" spans="1:25" x14ac:dyDescent="0.25">
      <c r="A2522" s="9">
        <v>43060</v>
      </c>
      <c r="B2522" s="10">
        <f ca="1">ROUND(_xlfn.NORM.INV(RAND(),Reference!$C$8,0.1*Reference!$C$8)*(1+Reference!$C$11*(IF(MONTH($A2522)=Reference!$C$4,1,0)+IF(MONTH($A2522)=Reference!$C$5,1,0))+(IF(MONTH($A2522)=Reference!$C$6,Reference!$C$13,0))),0)</f>
        <v>305</v>
      </c>
      <c r="C2522" s="11">
        <f ca="1">B2522*Reference!$C$7*(1-IF(MONTH($A2522)=Reference!$C$6,1,0)*Reference!$C$12)</f>
        <v>283650</v>
      </c>
      <c r="D2522" s="10">
        <f ca="1">ROUND(_xlfn.NORM.INV(RAND(),Reference!$D$8,0.1*Reference!$D$8)*(1+Reference!$D$11*(IF(MONTH($A2522)=Reference!$D$4,1,0)+IF(MONTH($A2522)=Reference!$D$5,1,0))+(IF(MONTH($A2522)=Reference!$D$6,Reference!$D$13,0))),0)</f>
        <v>415</v>
      </c>
      <c r="E2522" s="11">
        <f ca="1">D2522*Reference!$D$7*(1-IF(MONTH($A2522)=Reference!$D$6,1,0)*Reference!$D$12)</f>
        <v>311250</v>
      </c>
      <c r="M2522" s="20"/>
      <c r="N2522" s="20"/>
      <c r="O2522" s="19"/>
      <c r="P2522" s="10"/>
      <c r="Q2522" s="10"/>
      <c r="R2522" s="10"/>
      <c r="S2522" s="10"/>
      <c r="T2522" s="10"/>
      <c r="U2522" s="10"/>
      <c r="V2522" s="10"/>
      <c r="W2522" s="10"/>
      <c r="X2522" s="10"/>
      <c r="Y2522" s="10"/>
    </row>
    <row r="2523" spans="1:25" x14ac:dyDescent="0.25">
      <c r="A2523" s="9">
        <v>43061</v>
      </c>
      <c r="B2523" s="10">
        <f ca="1">ROUND(_xlfn.NORM.INV(RAND(),Reference!$C$8,0.1*Reference!$C$8)*(1+Reference!$C$11*(IF(MONTH($A2523)=Reference!$C$4,1,0)+IF(MONTH($A2523)=Reference!$C$5,1,0))+(IF(MONTH($A2523)=Reference!$C$6,Reference!$C$13,0))),0)</f>
        <v>409</v>
      </c>
      <c r="C2523" s="11">
        <f ca="1">B2523*Reference!$C$7*(1-IF(MONTH($A2523)=Reference!$C$6,1,0)*Reference!$C$12)</f>
        <v>380370</v>
      </c>
      <c r="D2523" s="10">
        <f ca="1">ROUND(_xlfn.NORM.INV(RAND(),Reference!$D$8,0.1*Reference!$D$8)*(1+Reference!$D$11*(IF(MONTH($A2523)=Reference!$D$4,1,0)+IF(MONTH($A2523)=Reference!$D$5,1,0))+(IF(MONTH($A2523)=Reference!$D$6,Reference!$D$13,0))),0)</f>
        <v>466</v>
      </c>
      <c r="E2523" s="11">
        <f ca="1">D2523*Reference!$D$7*(1-IF(MONTH($A2523)=Reference!$D$6,1,0)*Reference!$D$12)</f>
        <v>349500</v>
      </c>
      <c r="M2523" s="20"/>
      <c r="N2523" s="20"/>
      <c r="O2523" s="19"/>
      <c r="P2523" s="10"/>
      <c r="Q2523" s="10"/>
      <c r="R2523" s="10"/>
      <c r="S2523" s="10"/>
      <c r="T2523" s="10"/>
      <c r="U2523" s="10"/>
      <c r="V2523" s="10"/>
      <c r="W2523" s="10"/>
      <c r="X2523" s="10"/>
      <c r="Y2523" s="10"/>
    </row>
    <row r="2524" spans="1:25" x14ac:dyDescent="0.25">
      <c r="A2524" s="9">
        <v>43062</v>
      </c>
      <c r="B2524" s="10">
        <f ca="1">ROUND(_xlfn.NORM.INV(RAND(),Reference!$C$8,0.1*Reference!$C$8)*(1+Reference!$C$11*(IF(MONTH($A2524)=Reference!$C$4,1,0)+IF(MONTH($A2524)=Reference!$C$5,1,0))+(IF(MONTH($A2524)=Reference!$C$6,Reference!$C$13,0))),0)</f>
        <v>355</v>
      </c>
      <c r="C2524" s="11">
        <f ca="1">B2524*Reference!$C$7*(1-IF(MONTH($A2524)=Reference!$C$6,1,0)*Reference!$C$12)</f>
        <v>330150</v>
      </c>
      <c r="D2524" s="10">
        <f ca="1">ROUND(_xlfn.NORM.INV(RAND(),Reference!$D$8,0.1*Reference!$D$8)*(1+Reference!$D$11*(IF(MONTH($A2524)=Reference!$D$4,1,0)+IF(MONTH($A2524)=Reference!$D$5,1,0))+(IF(MONTH($A2524)=Reference!$D$6,Reference!$D$13,0))),0)</f>
        <v>399</v>
      </c>
      <c r="E2524" s="11">
        <f ca="1">D2524*Reference!$D$7*(1-IF(MONTH($A2524)=Reference!$D$6,1,0)*Reference!$D$12)</f>
        <v>299250</v>
      </c>
      <c r="M2524" s="20"/>
      <c r="N2524" s="20"/>
      <c r="O2524" s="19"/>
      <c r="P2524" s="10"/>
      <c r="Q2524" s="10"/>
      <c r="R2524" s="10"/>
      <c r="S2524" s="10"/>
      <c r="T2524" s="10"/>
      <c r="U2524" s="10"/>
      <c r="V2524" s="10"/>
      <c r="W2524" s="10"/>
      <c r="X2524" s="10"/>
      <c r="Y2524" s="10"/>
    </row>
    <row r="2525" spans="1:25" x14ac:dyDescent="0.25">
      <c r="A2525" s="9">
        <v>43063</v>
      </c>
      <c r="B2525" s="10">
        <f ca="1">ROUND(_xlfn.NORM.INV(RAND(),Reference!$C$8,0.1*Reference!$C$8)*(1+Reference!$C$11*(IF(MONTH($A2525)=Reference!$C$4,1,0)+IF(MONTH($A2525)=Reference!$C$5,1,0))+(IF(MONTH($A2525)=Reference!$C$6,Reference!$C$13,0))),0)</f>
        <v>414</v>
      </c>
      <c r="C2525" s="11">
        <f ca="1">B2525*Reference!$C$7*(1-IF(MONTH($A2525)=Reference!$C$6,1,0)*Reference!$C$12)</f>
        <v>385020</v>
      </c>
      <c r="D2525" s="10">
        <f ca="1">ROUND(_xlfn.NORM.INV(RAND(),Reference!$D$8,0.1*Reference!$D$8)*(1+Reference!$D$11*(IF(MONTH($A2525)=Reference!$D$4,1,0)+IF(MONTH($A2525)=Reference!$D$5,1,0))+(IF(MONTH($A2525)=Reference!$D$6,Reference!$D$13,0))),0)</f>
        <v>514</v>
      </c>
      <c r="E2525" s="11">
        <f ca="1">D2525*Reference!$D$7*(1-IF(MONTH($A2525)=Reference!$D$6,1,0)*Reference!$D$12)</f>
        <v>385500</v>
      </c>
      <c r="M2525" s="20"/>
      <c r="N2525" s="20"/>
      <c r="O2525" s="19"/>
      <c r="P2525" s="10"/>
      <c r="Q2525" s="10"/>
      <c r="R2525" s="10"/>
      <c r="S2525" s="10"/>
      <c r="T2525" s="10"/>
      <c r="U2525" s="10"/>
      <c r="V2525" s="10"/>
      <c r="W2525" s="10"/>
      <c r="X2525" s="10"/>
      <c r="Y2525" s="10"/>
    </row>
    <row r="2526" spans="1:25" x14ac:dyDescent="0.25">
      <c r="A2526" s="9">
        <v>43064</v>
      </c>
      <c r="B2526" s="10">
        <f ca="1">ROUND(_xlfn.NORM.INV(RAND(),Reference!$C$8,0.1*Reference!$C$8)*(1+Reference!$C$11*(IF(MONTH($A2526)=Reference!$C$4,1,0)+IF(MONTH($A2526)=Reference!$C$5,1,0))+(IF(MONTH($A2526)=Reference!$C$6,Reference!$C$13,0))),0)</f>
        <v>410</v>
      </c>
      <c r="C2526" s="11">
        <f ca="1">B2526*Reference!$C$7*(1-IF(MONTH($A2526)=Reference!$C$6,1,0)*Reference!$C$12)</f>
        <v>381300</v>
      </c>
      <c r="D2526" s="10">
        <f ca="1">ROUND(_xlfn.NORM.INV(RAND(),Reference!$D$8,0.1*Reference!$D$8)*(1+Reference!$D$11*(IF(MONTH($A2526)=Reference!$D$4,1,0)+IF(MONTH($A2526)=Reference!$D$5,1,0))+(IF(MONTH($A2526)=Reference!$D$6,Reference!$D$13,0))),0)</f>
        <v>406</v>
      </c>
      <c r="E2526" s="11">
        <f ca="1">D2526*Reference!$D$7*(1-IF(MONTH($A2526)=Reference!$D$6,1,0)*Reference!$D$12)</f>
        <v>304500</v>
      </c>
      <c r="M2526" s="20"/>
      <c r="N2526" s="20"/>
      <c r="O2526" s="19"/>
      <c r="P2526" s="10"/>
      <c r="Q2526" s="10"/>
      <c r="R2526" s="10"/>
      <c r="S2526" s="10"/>
      <c r="T2526" s="10"/>
      <c r="U2526" s="10"/>
      <c r="V2526" s="10"/>
      <c r="W2526" s="10"/>
      <c r="X2526" s="10"/>
      <c r="Y2526" s="10"/>
    </row>
    <row r="2527" spans="1:25" x14ac:dyDescent="0.25">
      <c r="A2527" s="9">
        <v>43065</v>
      </c>
      <c r="B2527" s="10">
        <f ca="1">ROUND(_xlfn.NORM.INV(RAND(),Reference!$C$8,0.1*Reference!$C$8)*(1+Reference!$C$11*(IF(MONTH($A2527)=Reference!$C$4,1,0)+IF(MONTH($A2527)=Reference!$C$5,1,0))+(IF(MONTH($A2527)=Reference!$C$6,Reference!$C$13,0))),0)</f>
        <v>358</v>
      </c>
      <c r="C2527" s="11">
        <f ca="1">B2527*Reference!$C$7*(1-IF(MONTH($A2527)=Reference!$C$6,1,0)*Reference!$C$12)</f>
        <v>332940</v>
      </c>
      <c r="D2527" s="10">
        <f ca="1">ROUND(_xlfn.NORM.INV(RAND(),Reference!$D$8,0.1*Reference!$D$8)*(1+Reference!$D$11*(IF(MONTH($A2527)=Reference!$D$4,1,0)+IF(MONTH($A2527)=Reference!$D$5,1,0))+(IF(MONTH($A2527)=Reference!$D$6,Reference!$D$13,0))),0)</f>
        <v>449</v>
      </c>
      <c r="E2527" s="11">
        <f ca="1">D2527*Reference!$D$7*(1-IF(MONTH($A2527)=Reference!$D$6,1,0)*Reference!$D$12)</f>
        <v>336750</v>
      </c>
      <c r="M2527" s="20"/>
      <c r="N2527" s="20"/>
      <c r="O2527" s="19"/>
      <c r="P2527" s="10"/>
      <c r="Q2527" s="10"/>
      <c r="R2527" s="10"/>
      <c r="S2527" s="10"/>
      <c r="T2527" s="10"/>
      <c r="U2527" s="10"/>
      <c r="V2527" s="10"/>
      <c r="W2527" s="10"/>
      <c r="X2527" s="10"/>
      <c r="Y2527" s="10"/>
    </row>
    <row r="2528" spans="1:25" x14ac:dyDescent="0.25">
      <c r="A2528" s="9">
        <v>43066</v>
      </c>
      <c r="B2528" s="10">
        <f ca="1">ROUND(_xlfn.NORM.INV(RAND(),Reference!$C$8,0.1*Reference!$C$8)*(1+Reference!$C$11*(IF(MONTH($A2528)=Reference!$C$4,1,0)+IF(MONTH($A2528)=Reference!$C$5,1,0))+(IF(MONTH($A2528)=Reference!$C$6,Reference!$C$13,0))),0)</f>
        <v>379</v>
      </c>
      <c r="C2528" s="11">
        <f ca="1">B2528*Reference!$C$7*(1-IF(MONTH($A2528)=Reference!$C$6,1,0)*Reference!$C$12)</f>
        <v>352470</v>
      </c>
      <c r="D2528" s="10">
        <f ca="1">ROUND(_xlfn.NORM.INV(RAND(),Reference!$D$8,0.1*Reference!$D$8)*(1+Reference!$D$11*(IF(MONTH($A2528)=Reference!$D$4,1,0)+IF(MONTH($A2528)=Reference!$D$5,1,0))+(IF(MONTH($A2528)=Reference!$D$6,Reference!$D$13,0))),0)</f>
        <v>470</v>
      </c>
      <c r="E2528" s="11">
        <f ca="1">D2528*Reference!$D$7*(1-IF(MONTH($A2528)=Reference!$D$6,1,0)*Reference!$D$12)</f>
        <v>352500</v>
      </c>
      <c r="M2528" s="20"/>
      <c r="N2528" s="20"/>
      <c r="O2528" s="19"/>
      <c r="P2528" s="10"/>
      <c r="Q2528" s="10"/>
      <c r="R2528" s="10"/>
      <c r="S2528" s="10"/>
      <c r="T2528" s="10"/>
      <c r="U2528" s="10"/>
      <c r="V2528" s="10"/>
      <c r="W2528" s="10"/>
      <c r="X2528" s="10"/>
      <c r="Y2528" s="10"/>
    </row>
    <row r="2529" spans="1:25" x14ac:dyDescent="0.25">
      <c r="A2529" s="9">
        <v>43067</v>
      </c>
      <c r="B2529" s="10">
        <f ca="1">ROUND(_xlfn.NORM.INV(RAND(),Reference!$C$8,0.1*Reference!$C$8)*(1+Reference!$C$11*(IF(MONTH($A2529)=Reference!$C$4,1,0)+IF(MONTH($A2529)=Reference!$C$5,1,0))+(IF(MONTH($A2529)=Reference!$C$6,Reference!$C$13,0))),0)</f>
        <v>306</v>
      </c>
      <c r="C2529" s="11">
        <f ca="1">B2529*Reference!$C$7*(1-IF(MONTH($A2529)=Reference!$C$6,1,0)*Reference!$C$12)</f>
        <v>284580</v>
      </c>
      <c r="D2529" s="10">
        <f ca="1">ROUND(_xlfn.NORM.INV(RAND(),Reference!$D$8,0.1*Reference!$D$8)*(1+Reference!$D$11*(IF(MONTH($A2529)=Reference!$D$4,1,0)+IF(MONTH($A2529)=Reference!$D$5,1,0))+(IF(MONTH($A2529)=Reference!$D$6,Reference!$D$13,0))),0)</f>
        <v>500</v>
      </c>
      <c r="E2529" s="11">
        <f ca="1">D2529*Reference!$D$7*(1-IF(MONTH($A2529)=Reference!$D$6,1,0)*Reference!$D$12)</f>
        <v>375000</v>
      </c>
      <c r="M2529" s="20"/>
      <c r="N2529" s="20"/>
      <c r="O2529" s="19"/>
      <c r="P2529" s="10"/>
      <c r="Q2529" s="10"/>
      <c r="R2529" s="10"/>
      <c r="S2529" s="10"/>
      <c r="T2529" s="10"/>
      <c r="U2529" s="10"/>
      <c r="V2529" s="10"/>
      <c r="W2529" s="10"/>
      <c r="X2529" s="10"/>
      <c r="Y2529" s="10"/>
    </row>
    <row r="2530" spans="1:25" x14ac:dyDescent="0.25">
      <c r="A2530" s="9">
        <v>43068</v>
      </c>
      <c r="B2530" s="10">
        <f ca="1">ROUND(_xlfn.NORM.INV(RAND(),Reference!$C$8,0.1*Reference!$C$8)*(1+Reference!$C$11*(IF(MONTH($A2530)=Reference!$C$4,1,0)+IF(MONTH($A2530)=Reference!$C$5,1,0))+(IF(MONTH($A2530)=Reference!$C$6,Reference!$C$13,0))),0)</f>
        <v>339</v>
      </c>
      <c r="C2530" s="11">
        <f ca="1">B2530*Reference!$C$7*(1-IF(MONTH($A2530)=Reference!$C$6,1,0)*Reference!$C$12)</f>
        <v>315270</v>
      </c>
      <c r="D2530" s="10">
        <f ca="1">ROUND(_xlfn.NORM.INV(RAND(),Reference!$D$8,0.1*Reference!$D$8)*(1+Reference!$D$11*(IF(MONTH($A2530)=Reference!$D$4,1,0)+IF(MONTH($A2530)=Reference!$D$5,1,0))+(IF(MONTH($A2530)=Reference!$D$6,Reference!$D$13,0))),0)</f>
        <v>449</v>
      </c>
      <c r="E2530" s="11">
        <f ca="1">D2530*Reference!$D$7*(1-IF(MONTH($A2530)=Reference!$D$6,1,0)*Reference!$D$12)</f>
        <v>336750</v>
      </c>
      <c r="M2530" s="20"/>
      <c r="N2530" s="20"/>
      <c r="O2530" s="19"/>
      <c r="P2530" s="10"/>
      <c r="Q2530" s="10"/>
      <c r="R2530" s="10"/>
      <c r="S2530" s="10"/>
      <c r="T2530" s="10"/>
      <c r="U2530" s="10"/>
      <c r="V2530" s="10"/>
      <c r="W2530" s="10"/>
      <c r="X2530" s="10"/>
      <c r="Y2530" s="10"/>
    </row>
    <row r="2531" spans="1:25" x14ac:dyDescent="0.25">
      <c r="A2531" s="9">
        <v>43069</v>
      </c>
      <c r="B2531" s="10">
        <f ca="1">ROUND(_xlfn.NORM.INV(RAND(),Reference!$C$8,0.1*Reference!$C$8)*(1+Reference!$C$11*(IF(MONTH($A2531)=Reference!$C$4,1,0)+IF(MONTH($A2531)=Reference!$C$5,1,0))+(IF(MONTH($A2531)=Reference!$C$6,Reference!$C$13,0))),0)</f>
        <v>359</v>
      </c>
      <c r="C2531" s="11">
        <f ca="1">B2531*Reference!$C$7*(1-IF(MONTH($A2531)=Reference!$C$6,1,0)*Reference!$C$12)</f>
        <v>333870</v>
      </c>
      <c r="D2531" s="10">
        <f ca="1">ROUND(_xlfn.NORM.INV(RAND(),Reference!$D$8,0.1*Reference!$D$8)*(1+Reference!$D$11*(IF(MONTH($A2531)=Reference!$D$4,1,0)+IF(MONTH($A2531)=Reference!$D$5,1,0))+(IF(MONTH($A2531)=Reference!$D$6,Reference!$D$13,0))),0)</f>
        <v>426</v>
      </c>
      <c r="E2531" s="11">
        <f ca="1">D2531*Reference!$D$7*(1-IF(MONTH($A2531)=Reference!$D$6,1,0)*Reference!$D$12)</f>
        <v>319500</v>
      </c>
      <c r="M2531" s="20"/>
      <c r="N2531" s="20"/>
      <c r="O2531" s="19"/>
      <c r="P2531" s="10"/>
      <c r="Q2531" s="10"/>
      <c r="R2531" s="10"/>
      <c r="S2531" s="10"/>
      <c r="T2531" s="10"/>
      <c r="U2531" s="10"/>
      <c r="V2531" s="10"/>
      <c r="W2531" s="10"/>
      <c r="X2531" s="10"/>
      <c r="Y2531" s="10"/>
    </row>
    <row r="2532" spans="1:25" x14ac:dyDescent="0.25">
      <c r="A2532" s="9">
        <v>43070</v>
      </c>
      <c r="B2532" s="10">
        <f ca="1">ROUND(_xlfn.NORM.INV(RAND(),Reference!$C$8,0.1*Reference!$C$8)*(1+Reference!$C$11*(IF(MONTH($A2532)=Reference!$C$4,1,0)+IF(MONTH($A2532)=Reference!$C$5,1,0))+(IF(MONTH($A2532)=Reference!$C$6,Reference!$C$13,0))),0)</f>
        <v>422</v>
      </c>
      <c r="C2532" s="11">
        <f ca="1">B2532*Reference!$C$7*(1-IF(MONTH($A2532)=Reference!$C$6,1,0)*Reference!$C$12)</f>
        <v>392460</v>
      </c>
      <c r="D2532" s="10">
        <f ca="1">ROUND(_xlfn.NORM.INV(RAND(),Reference!$D$8,0.1*Reference!$D$8)*(1+Reference!$D$11*(IF(MONTH($A2532)=Reference!$D$4,1,0)+IF(MONTH($A2532)=Reference!$D$5,1,0))+(IF(MONTH($A2532)=Reference!$D$6,Reference!$D$13,0))),0)</f>
        <v>435</v>
      </c>
      <c r="E2532" s="11">
        <f ca="1">D2532*Reference!$D$7*(1-IF(MONTH($A2532)=Reference!$D$6,1,0)*Reference!$D$12)</f>
        <v>326250</v>
      </c>
      <c r="M2532" s="20"/>
      <c r="N2532" s="20"/>
      <c r="O2532" s="19"/>
      <c r="P2532" s="10"/>
      <c r="Q2532" s="10"/>
      <c r="R2532" s="10"/>
      <c r="S2532" s="10"/>
      <c r="T2532" s="10"/>
      <c r="U2532" s="10"/>
      <c r="V2532" s="10"/>
      <c r="W2532" s="10"/>
      <c r="X2532" s="10"/>
      <c r="Y2532" s="10"/>
    </row>
    <row r="2533" spans="1:25" x14ac:dyDescent="0.25">
      <c r="A2533" s="9">
        <v>43071</v>
      </c>
      <c r="B2533" s="10">
        <f ca="1">ROUND(_xlfn.NORM.INV(RAND(),Reference!$C$8,0.1*Reference!$C$8)*(1+Reference!$C$11*(IF(MONTH($A2533)=Reference!$C$4,1,0)+IF(MONTH($A2533)=Reference!$C$5,1,0))+(IF(MONTH($A2533)=Reference!$C$6,Reference!$C$13,0))),0)</f>
        <v>384</v>
      </c>
      <c r="C2533" s="11">
        <f ca="1">B2533*Reference!$C$7*(1-IF(MONTH($A2533)=Reference!$C$6,1,0)*Reference!$C$12)</f>
        <v>357120</v>
      </c>
      <c r="D2533" s="10">
        <f ca="1">ROUND(_xlfn.NORM.INV(RAND(),Reference!$D$8,0.1*Reference!$D$8)*(1+Reference!$D$11*(IF(MONTH($A2533)=Reference!$D$4,1,0)+IF(MONTH($A2533)=Reference!$D$5,1,0))+(IF(MONTH($A2533)=Reference!$D$6,Reference!$D$13,0))),0)</f>
        <v>555</v>
      </c>
      <c r="E2533" s="11">
        <f ca="1">D2533*Reference!$D$7*(1-IF(MONTH($A2533)=Reference!$D$6,1,0)*Reference!$D$12)</f>
        <v>416250</v>
      </c>
      <c r="M2533" s="20"/>
      <c r="N2533" s="20"/>
      <c r="O2533" s="19"/>
      <c r="P2533" s="10"/>
      <c r="Q2533" s="10"/>
      <c r="R2533" s="10"/>
      <c r="S2533" s="10"/>
      <c r="T2533" s="10"/>
      <c r="U2533" s="10"/>
      <c r="V2533" s="10"/>
      <c r="W2533" s="10"/>
      <c r="X2533" s="10"/>
      <c r="Y2533" s="10"/>
    </row>
    <row r="2534" spans="1:25" x14ac:dyDescent="0.25">
      <c r="A2534" s="9">
        <v>43072</v>
      </c>
      <c r="B2534" s="10">
        <f ca="1">ROUND(_xlfn.NORM.INV(RAND(),Reference!$C$8,0.1*Reference!$C$8)*(1+Reference!$C$11*(IF(MONTH($A2534)=Reference!$C$4,1,0)+IF(MONTH($A2534)=Reference!$C$5,1,0))+(IF(MONTH($A2534)=Reference!$C$6,Reference!$C$13,0))),0)</f>
        <v>363</v>
      </c>
      <c r="C2534" s="11">
        <f ca="1">B2534*Reference!$C$7*(1-IF(MONTH($A2534)=Reference!$C$6,1,0)*Reference!$C$12)</f>
        <v>337590</v>
      </c>
      <c r="D2534" s="10">
        <f ca="1">ROUND(_xlfn.NORM.INV(RAND(),Reference!$D$8,0.1*Reference!$D$8)*(1+Reference!$D$11*(IF(MONTH($A2534)=Reference!$D$4,1,0)+IF(MONTH($A2534)=Reference!$D$5,1,0))+(IF(MONTH($A2534)=Reference!$D$6,Reference!$D$13,0))),0)</f>
        <v>507</v>
      </c>
      <c r="E2534" s="11">
        <f ca="1">D2534*Reference!$D$7*(1-IF(MONTH($A2534)=Reference!$D$6,1,0)*Reference!$D$12)</f>
        <v>380250</v>
      </c>
      <c r="M2534" s="20"/>
      <c r="N2534" s="20"/>
      <c r="O2534" s="19"/>
      <c r="P2534" s="10"/>
      <c r="Q2534" s="10"/>
      <c r="R2534" s="10"/>
      <c r="S2534" s="10"/>
      <c r="T2534" s="10"/>
      <c r="U2534" s="10"/>
      <c r="V2534" s="10"/>
      <c r="W2534" s="10"/>
      <c r="X2534" s="10"/>
      <c r="Y2534" s="10"/>
    </row>
    <row r="2535" spans="1:25" x14ac:dyDescent="0.25">
      <c r="A2535" s="9">
        <v>43073</v>
      </c>
      <c r="B2535" s="10">
        <f ca="1">ROUND(_xlfn.NORM.INV(RAND(),Reference!$C$8,0.1*Reference!$C$8)*(1+Reference!$C$11*(IF(MONTH($A2535)=Reference!$C$4,1,0)+IF(MONTH($A2535)=Reference!$C$5,1,0))+(IF(MONTH($A2535)=Reference!$C$6,Reference!$C$13,0))),0)</f>
        <v>313</v>
      </c>
      <c r="C2535" s="11">
        <f ca="1">B2535*Reference!$C$7*(1-IF(MONTH($A2535)=Reference!$C$6,1,0)*Reference!$C$12)</f>
        <v>291090</v>
      </c>
      <c r="D2535" s="10">
        <f ca="1">ROUND(_xlfn.NORM.INV(RAND(),Reference!$D$8,0.1*Reference!$D$8)*(1+Reference!$D$11*(IF(MONTH($A2535)=Reference!$D$4,1,0)+IF(MONTH($A2535)=Reference!$D$5,1,0))+(IF(MONTH($A2535)=Reference!$D$6,Reference!$D$13,0))),0)</f>
        <v>428</v>
      </c>
      <c r="E2535" s="11">
        <f ca="1">D2535*Reference!$D$7*(1-IF(MONTH($A2535)=Reference!$D$6,1,0)*Reference!$D$12)</f>
        <v>321000</v>
      </c>
      <c r="M2535" s="20"/>
      <c r="N2535" s="20"/>
      <c r="O2535" s="19"/>
      <c r="P2535" s="10"/>
      <c r="Q2535" s="10"/>
      <c r="R2535" s="10"/>
      <c r="S2535" s="10"/>
      <c r="T2535" s="10"/>
      <c r="U2535" s="10"/>
      <c r="V2535" s="10"/>
      <c r="W2535" s="10"/>
      <c r="X2535" s="10"/>
      <c r="Y2535" s="10"/>
    </row>
    <row r="2536" spans="1:25" x14ac:dyDescent="0.25">
      <c r="A2536" s="9">
        <v>43074</v>
      </c>
      <c r="B2536" s="10">
        <f ca="1">ROUND(_xlfn.NORM.INV(RAND(),Reference!$C$8,0.1*Reference!$C$8)*(1+Reference!$C$11*(IF(MONTH($A2536)=Reference!$C$4,1,0)+IF(MONTH($A2536)=Reference!$C$5,1,0))+(IF(MONTH($A2536)=Reference!$C$6,Reference!$C$13,0))),0)</f>
        <v>371</v>
      </c>
      <c r="C2536" s="11">
        <f ca="1">B2536*Reference!$C$7*(1-IF(MONTH($A2536)=Reference!$C$6,1,0)*Reference!$C$12)</f>
        <v>345030</v>
      </c>
      <c r="D2536" s="10">
        <f ca="1">ROUND(_xlfn.NORM.INV(RAND(),Reference!$D$8,0.1*Reference!$D$8)*(1+Reference!$D$11*(IF(MONTH($A2536)=Reference!$D$4,1,0)+IF(MONTH($A2536)=Reference!$D$5,1,0))+(IF(MONTH($A2536)=Reference!$D$6,Reference!$D$13,0))),0)</f>
        <v>458</v>
      </c>
      <c r="E2536" s="11">
        <f ca="1">D2536*Reference!$D$7*(1-IF(MONTH($A2536)=Reference!$D$6,1,0)*Reference!$D$12)</f>
        <v>343500</v>
      </c>
      <c r="M2536" s="20"/>
      <c r="N2536" s="20"/>
      <c r="O2536" s="19"/>
      <c r="P2536" s="10"/>
      <c r="Q2536" s="10"/>
      <c r="R2536" s="10"/>
      <c r="S2536" s="10"/>
      <c r="T2536" s="10"/>
      <c r="U2536" s="10"/>
      <c r="V2536" s="10"/>
      <c r="W2536" s="10"/>
      <c r="X2536" s="10"/>
      <c r="Y2536" s="10"/>
    </row>
    <row r="2537" spans="1:25" x14ac:dyDescent="0.25">
      <c r="A2537" s="9">
        <v>43075</v>
      </c>
      <c r="B2537" s="10">
        <f ca="1">ROUND(_xlfn.NORM.INV(RAND(),Reference!$C$8,0.1*Reference!$C$8)*(1+Reference!$C$11*(IF(MONTH($A2537)=Reference!$C$4,1,0)+IF(MONTH($A2537)=Reference!$C$5,1,0))+(IF(MONTH($A2537)=Reference!$C$6,Reference!$C$13,0))),0)</f>
        <v>364</v>
      </c>
      <c r="C2537" s="11">
        <f ca="1">B2537*Reference!$C$7*(1-IF(MONTH($A2537)=Reference!$C$6,1,0)*Reference!$C$12)</f>
        <v>338520</v>
      </c>
      <c r="D2537" s="10">
        <f ca="1">ROUND(_xlfn.NORM.INV(RAND(),Reference!$D$8,0.1*Reference!$D$8)*(1+Reference!$D$11*(IF(MONTH($A2537)=Reference!$D$4,1,0)+IF(MONTH($A2537)=Reference!$D$5,1,0))+(IF(MONTH($A2537)=Reference!$D$6,Reference!$D$13,0))),0)</f>
        <v>424</v>
      </c>
      <c r="E2537" s="11">
        <f ca="1">D2537*Reference!$D$7*(1-IF(MONTH($A2537)=Reference!$D$6,1,0)*Reference!$D$12)</f>
        <v>318000</v>
      </c>
      <c r="M2537" s="20"/>
      <c r="N2537" s="20"/>
      <c r="O2537" s="19"/>
      <c r="P2537" s="10"/>
      <c r="Q2537" s="10"/>
      <c r="R2537" s="10"/>
      <c r="S2537" s="10"/>
      <c r="T2537" s="10"/>
      <c r="U2537" s="10"/>
      <c r="V2537" s="10"/>
      <c r="W2537" s="10"/>
      <c r="X2537" s="10"/>
      <c r="Y2537" s="10"/>
    </row>
    <row r="2538" spans="1:25" x14ac:dyDescent="0.25">
      <c r="A2538" s="9">
        <v>43076</v>
      </c>
      <c r="B2538" s="10">
        <f ca="1">ROUND(_xlfn.NORM.INV(RAND(),Reference!$C$8,0.1*Reference!$C$8)*(1+Reference!$C$11*(IF(MONTH($A2538)=Reference!$C$4,1,0)+IF(MONTH($A2538)=Reference!$C$5,1,0))+(IF(MONTH($A2538)=Reference!$C$6,Reference!$C$13,0))),0)</f>
        <v>370</v>
      </c>
      <c r="C2538" s="11">
        <f ca="1">B2538*Reference!$C$7*(1-IF(MONTH($A2538)=Reference!$C$6,1,0)*Reference!$C$12)</f>
        <v>344100</v>
      </c>
      <c r="D2538" s="10">
        <f ca="1">ROUND(_xlfn.NORM.INV(RAND(),Reference!$D$8,0.1*Reference!$D$8)*(1+Reference!$D$11*(IF(MONTH($A2538)=Reference!$D$4,1,0)+IF(MONTH($A2538)=Reference!$D$5,1,0))+(IF(MONTH($A2538)=Reference!$D$6,Reference!$D$13,0))),0)</f>
        <v>477</v>
      </c>
      <c r="E2538" s="11">
        <f ca="1">D2538*Reference!$D$7*(1-IF(MONTH($A2538)=Reference!$D$6,1,0)*Reference!$D$12)</f>
        <v>357750</v>
      </c>
      <c r="M2538" s="20"/>
      <c r="N2538" s="20"/>
      <c r="O2538" s="19"/>
      <c r="P2538" s="10"/>
      <c r="Q2538" s="10"/>
      <c r="R2538" s="10"/>
      <c r="S2538" s="10"/>
      <c r="T2538" s="10"/>
      <c r="U2538" s="10"/>
      <c r="V2538" s="10"/>
      <c r="W2538" s="10"/>
      <c r="X2538" s="10"/>
      <c r="Y2538" s="10"/>
    </row>
    <row r="2539" spans="1:25" x14ac:dyDescent="0.25">
      <c r="A2539" s="9">
        <v>43077</v>
      </c>
      <c r="B2539" s="10">
        <f ca="1">ROUND(_xlfn.NORM.INV(RAND(),Reference!$C$8,0.1*Reference!$C$8)*(1+Reference!$C$11*(IF(MONTH($A2539)=Reference!$C$4,1,0)+IF(MONTH($A2539)=Reference!$C$5,1,0))+(IF(MONTH($A2539)=Reference!$C$6,Reference!$C$13,0))),0)</f>
        <v>359</v>
      </c>
      <c r="C2539" s="11">
        <f ca="1">B2539*Reference!$C$7*(1-IF(MONTH($A2539)=Reference!$C$6,1,0)*Reference!$C$12)</f>
        <v>333870</v>
      </c>
      <c r="D2539" s="10">
        <f ca="1">ROUND(_xlfn.NORM.INV(RAND(),Reference!$D$8,0.1*Reference!$D$8)*(1+Reference!$D$11*(IF(MONTH($A2539)=Reference!$D$4,1,0)+IF(MONTH($A2539)=Reference!$D$5,1,0))+(IF(MONTH($A2539)=Reference!$D$6,Reference!$D$13,0))),0)</f>
        <v>421</v>
      </c>
      <c r="E2539" s="11">
        <f ca="1">D2539*Reference!$D$7*(1-IF(MONTH($A2539)=Reference!$D$6,1,0)*Reference!$D$12)</f>
        <v>315750</v>
      </c>
      <c r="M2539" s="20"/>
      <c r="N2539" s="20"/>
      <c r="O2539" s="19"/>
      <c r="P2539" s="10"/>
      <c r="Q2539" s="10"/>
      <c r="R2539" s="10"/>
      <c r="S2539" s="10"/>
      <c r="T2539" s="10"/>
      <c r="U2539" s="10"/>
      <c r="V2539" s="10"/>
      <c r="W2539" s="10"/>
      <c r="X2539" s="10"/>
      <c r="Y2539" s="10"/>
    </row>
    <row r="2540" spans="1:25" x14ac:dyDescent="0.25">
      <c r="A2540" s="9">
        <v>43078</v>
      </c>
      <c r="B2540" s="10">
        <f ca="1">ROUND(_xlfn.NORM.INV(RAND(),Reference!$C$8,0.1*Reference!$C$8)*(1+Reference!$C$11*(IF(MONTH($A2540)=Reference!$C$4,1,0)+IF(MONTH($A2540)=Reference!$C$5,1,0))+(IF(MONTH($A2540)=Reference!$C$6,Reference!$C$13,0))),0)</f>
        <v>334</v>
      </c>
      <c r="C2540" s="11">
        <f ca="1">B2540*Reference!$C$7*(1-IF(MONTH($A2540)=Reference!$C$6,1,0)*Reference!$C$12)</f>
        <v>310620</v>
      </c>
      <c r="D2540" s="10">
        <f ca="1">ROUND(_xlfn.NORM.INV(RAND(),Reference!$D$8,0.1*Reference!$D$8)*(1+Reference!$D$11*(IF(MONTH($A2540)=Reference!$D$4,1,0)+IF(MONTH($A2540)=Reference!$D$5,1,0))+(IF(MONTH($A2540)=Reference!$D$6,Reference!$D$13,0))),0)</f>
        <v>416</v>
      </c>
      <c r="E2540" s="11">
        <f ca="1">D2540*Reference!$D$7*(1-IF(MONTH($A2540)=Reference!$D$6,1,0)*Reference!$D$12)</f>
        <v>312000</v>
      </c>
      <c r="M2540" s="20"/>
      <c r="N2540" s="20"/>
      <c r="O2540" s="19"/>
      <c r="P2540" s="10"/>
      <c r="Q2540" s="10"/>
      <c r="R2540" s="10"/>
      <c r="S2540" s="10"/>
      <c r="T2540" s="10"/>
      <c r="U2540" s="10"/>
      <c r="V2540" s="10"/>
      <c r="W2540" s="10"/>
      <c r="X2540" s="10"/>
      <c r="Y2540" s="10"/>
    </row>
    <row r="2541" spans="1:25" x14ac:dyDescent="0.25">
      <c r="A2541" s="9">
        <v>43079</v>
      </c>
      <c r="B2541" s="10">
        <f ca="1">ROUND(_xlfn.NORM.INV(RAND(),Reference!$C$8,0.1*Reference!$C$8)*(1+Reference!$C$11*(IF(MONTH($A2541)=Reference!$C$4,1,0)+IF(MONTH($A2541)=Reference!$C$5,1,0))+(IF(MONTH($A2541)=Reference!$C$6,Reference!$C$13,0))),0)</f>
        <v>367</v>
      </c>
      <c r="C2541" s="11">
        <f ca="1">B2541*Reference!$C$7*(1-IF(MONTH($A2541)=Reference!$C$6,1,0)*Reference!$C$12)</f>
        <v>341310</v>
      </c>
      <c r="D2541" s="10">
        <f ca="1">ROUND(_xlfn.NORM.INV(RAND(),Reference!$D$8,0.1*Reference!$D$8)*(1+Reference!$D$11*(IF(MONTH($A2541)=Reference!$D$4,1,0)+IF(MONTH($A2541)=Reference!$D$5,1,0))+(IF(MONTH($A2541)=Reference!$D$6,Reference!$D$13,0))),0)</f>
        <v>425</v>
      </c>
      <c r="E2541" s="11">
        <f ca="1">D2541*Reference!$D$7*(1-IF(MONTH($A2541)=Reference!$D$6,1,0)*Reference!$D$12)</f>
        <v>318750</v>
      </c>
      <c r="M2541" s="20"/>
      <c r="N2541" s="20"/>
      <c r="O2541" s="19"/>
      <c r="P2541" s="10"/>
      <c r="Q2541" s="10"/>
      <c r="R2541" s="10"/>
      <c r="S2541" s="10"/>
      <c r="T2541" s="10"/>
      <c r="U2541" s="10"/>
      <c r="V2541" s="10"/>
      <c r="W2541" s="10"/>
      <c r="X2541" s="10"/>
      <c r="Y2541" s="10"/>
    </row>
    <row r="2542" spans="1:25" x14ac:dyDescent="0.25">
      <c r="A2542" s="9">
        <v>43080</v>
      </c>
      <c r="B2542" s="10">
        <f ca="1">ROUND(_xlfn.NORM.INV(RAND(),Reference!$C$8,0.1*Reference!$C$8)*(1+Reference!$C$11*(IF(MONTH($A2542)=Reference!$C$4,1,0)+IF(MONTH($A2542)=Reference!$C$5,1,0))+(IF(MONTH($A2542)=Reference!$C$6,Reference!$C$13,0))),0)</f>
        <v>340</v>
      </c>
      <c r="C2542" s="11">
        <f ca="1">B2542*Reference!$C$7*(1-IF(MONTH($A2542)=Reference!$C$6,1,0)*Reference!$C$12)</f>
        <v>316200</v>
      </c>
      <c r="D2542" s="10">
        <f ca="1">ROUND(_xlfn.NORM.INV(RAND(),Reference!$D$8,0.1*Reference!$D$8)*(1+Reference!$D$11*(IF(MONTH($A2542)=Reference!$D$4,1,0)+IF(MONTH($A2542)=Reference!$D$5,1,0))+(IF(MONTH($A2542)=Reference!$D$6,Reference!$D$13,0))),0)</f>
        <v>490</v>
      </c>
      <c r="E2542" s="11">
        <f ca="1">D2542*Reference!$D$7*(1-IF(MONTH($A2542)=Reference!$D$6,1,0)*Reference!$D$12)</f>
        <v>367500</v>
      </c>
      <c r="M2542" s="20"/>
      <c r="N2542" s="20"/>
      <c r="O2542" s="19"/>
      <c r="P2542" s="10"/>
      <c r="Q2542" s="10"/>
      <c r="R2542" s="10"/>
      <c r="S2542" s="10"/>
      <c r="T2542" s="10"/>
      <c r="U2542" s="10"/>
      <c r="V2542" s="10"/>
      <c r="W2542" s="10"/>
      <c r="X2542" s="10"/>
      <c r="Y2542" s="10"/>
    </row>
    <row r="2543" spans="1:25" x14ac:dyDescent="0.25">
      <c r="A2543" s="9">
        <v>43081</v>
      </c>
      <c r="B2543" s="10">
        <f ca="1">ROUND(_xlfn.NORM.INV(RAND(),Reference!$C$8,0.1*Reference!$C$8)*(1+Reference!$C$11*(IF(MONTH($A2543)=Reference!$C$4,1,0)+IF(MONTH($A2543)=Reference!$C$5,1,0))+(IF(MONTH($A2543)=Reference!$C$6,Reference!$C$13,0))),0)</f>
        <v>365</v>
      </c>
      <c r="C2543" s="11">
        <f ca="1">B2543*Reference!$C$7*(1-IF(MONTH($A2543)=Reference!$C$6,1,0)*Reference!$C$12)</f>
        <v>339450</v>
      </c>
      <c r="D2543" s="10">
        <f ca="1">ROUND(_xlfn.NORM.INV(RAND(),Reference!$D$8,0.1*Reference!$D$8)*(1+Reference!$D$11*(IF(MONTH($A2543)=Reference!$D$4,1,0)+IF(MONTH($A2543)=Reference!$D$5,1,0))+(IF(MONTH($A2543)=Reference!$D$6,Reference!$D$13,0))),0)</f>
        <v>463</v>
      </c>
      <c r="E2543" s="11">
        <f ca="1">D2543*Reference!$D$7*(1-IF(MONTH($A2543)=Reference!$D$6,1,0)*Reference!$D$12)</f>
        <v>347250</v>
      </c>
      <c r="M2543" s="20"/>
      <c r="N2543" s="20"/>
      <c r="O2543" s="19"/>
      <c r="P2543" s="10"/>
      <c r="Q2543" s="10"/>
      <c r="R2543" s="10"/>
      <c r="S2543" s="10"/>
      <c r="T2543" s="10"/>
      <c r="U2543" s="10"/>
      <c r="V2543" s="10"/>
      <c r="W2543" s="10"/>
      <c r="X2543" s="10"/>
      <c r="Y2543" s="10"/>
    </row>
    <row r="2544" spans="1:25" x14ac:dyDescent="0.25">
      <c r="A2544" s="9">
        <v>43082</v>
      </c>
      <c r="B2544" s="10">
        <f ca="1">ROUND(_xlfn.NORM.INV(RAND(),Reference!$C$8,0.1*Reference!$C$8)*(1+Reference!$C$11*(IF(MONTH($A2544)=Reference!$C$4,1,0)+IF(MONTH($A2544)=Reference!$C$5,1,0))+(IF(MONTH($A2544)=Reference!$C$6,Reference!$C$13,0))),0)</f>
        <v>434</v>
      </c>
      <c r="C2544" s="11">
        <f ca="1">B2544*Reference!$C$7*(1-IF(MONTH($A2544)=Reference!$C$6,1,0)*Reference!$C$12)</f>
        <v>403620</v>
      </c>
      <c r="D2544" s="10">
        <f ca="1">ROUND(_xlfn.NORM.INV(RAND(),Reference!$D$8,0.1*Reference!$D$8)*(1+Reference!$D$11*(IF(MONTH($A2544)=Reference!$D$4,1,0)+IF(MONTH($A2544)=Reference!$D$5,1,0))+(IF(MONTH($A2544)=Reference!$D$6,Reference!$D$13,0))),0)</f>
        <v>429</v>
      </c>
      <c r="E2544" s="11">
        <f ca="1">D2544*Reference!$D$7*(1-IF(MONTH($A2544)=Reference!$D$6,1,0)*Reference!$D$12)</f>
        <v>321750</v>
      </c>
      <c r="M2544" s="20"/>
      <c r="N2544" s="20"/>
      <c r="O2544" s="19"/>
      <c r="P2544" s="10"/>
      <c r="Q2544" s="10"/>
      <c r="R2544" s="10"/>
      <c r="S2544" s="10"/>
      <c r="T2544" s="10"/>
      <c r="U2544" s="10"/>
      <c r="V2544" s="10"/>
      <c r="W2544" s="10"/>
      <c r="X2544" s="10"/>
      <c r="Y2544" s="10"/>
    </row>
    <row r="2545" spans="1:25" x14ac:dyDescent="0.25">
      <c r="A2545" s="9">
        <v>43083</v>
      </c>
      <c r="B2545" s="10">
        <f ca="1">ROUND(_xlfn.NORM.INV(RAND(),Reference!$C$8,0.1*Reference!$C$8)*(1+Reference!$C$11*(IF(MONTH($A2545)=Reference!$C$4,1,0)+IF(MONTH($A2545)=Reference!$C$5,1,0))+(IF(MONTH($A2545)=Reference!$C$6,Reference!$C$13,0))),0)</f>
        <v>406</v>
      </c>
      <c r="C2545" s="11">
        <f ca="1">B2545*Reference!$C$7*(1-IF(MONTH($A2545)=Reference!$C$6,1,0)*Reference!$C$12)</f>
        <v>377580</v>
      </c>
      <c r="D2545" s="10">
        <f ca="1">ROUND(_xlfn.NORM.INV(RAND(),Reference!$D$8,0.1*Reference!$D$8)*(1+Reference!$D$11*(IF(MONTH($A2545)=Reference!$D$4,1,0)+IF(MONTH($A2545)=Reference!$D$5,1,0))+(IF(MONTH($A2545)=Reference!$D$6,Reference!$D$13,0))),0)</f>
        <v>377</v>
      </c>
      <c r="E2545" s="11">
        <f ca="1">D2545*Reference!$D$7*(1-IF(MONTH($A2545)=Reference!$D$6,1,0)*Reference!$D$12)</f>
        <v>282750</v>
      </c>
      <c r="M2545" s="20"/>
      <c r="N2545" s="20"/>
      <c r="O2545" s="19"/>
      <c r="P2545" s="10"/>
      <c r="Q2545" s="10"/>
      <c r="R2545" s="10"/>
      <c r="S2545" s="10"/>
      <c r="T2545" s="10"/>
      <c r="U2545" s="10"/>
      <c r="V2545" s="10"/>
      <c r="W2545" s="10"/>
      <c r="X2545" s="10"/>
      <c r="Y2545" s="10"/>
    </row>
    <row r="2546" spans="1:25" x14ac:dyDescent="0.25">
      <c r="A2546" s="9">
        <v>43084</v>
      </c>
      <c r="B2546" s="10">
        <f ca="1">ROUND(_xlfn.NORM.INV(RAND(),Reference!$C$8,0.1*Reference!$C$8)*(1+Reference!$C$11*(IF(MONTH($A2546)=Reference!$C$4,1,0)+IF(MONTH($A2546)=Reference!$C$5,1,0))+(IF(MONTH($A2546)=Reference!$C$6,Reference!$C$13,0))),0)</f>
        <v>383</v>
      </c>
      <c r="C2546" s="11">
        <f ca="1">B2546*Reference!$C$7*(1-IF(MONTH($A2546)=Reference!$C$6,1,0)*Reference!$C$12)</f>
        <v>356190</v>
      </c>
      <c r="D2546" s="10">
        <f ca="1">ROUND(_xlfn.NORM.INV(RAND(),Reference!$D$8,0.1*Reference!$D$8)*(1+Reference!$D$11*(IF(MONTH($A2546)=Reference!$D$4,1,0)+IF(MONTH($A2546)=Reference!$D$5,1,0))+(IF(MONTH($A2546)=Reference!$D$6,Reference!$D$13,0))),0)</f>
        <v>491</v>
      </c>
      <c r="E2546" s="11">
        <f ca="1">D2546*Reference!$D$7*(1-IF(MONTH($A2546)=Reference!$D$6,1,0)*Reference!$D$12)</f>
        <v>368250</v>
      </c>
      <c r="M2546" s="20"/>
      <c r="N2546" s="20"/>
      <c r="O2546" s="19"/>
      <c r="P2546" s="10"/>
      <c r="Q2546" s="10"/>
      <c r="R2546" s="10"/>
      <c r="S2546" s="10"/>
      <c r="T2546" s="10"/>
      <c r="U2546" s="10"/>
      <c r="V2546" s="10"/>
      <c r="W2546" s="10"/>
      <c r="X2546" s="10"/>
      <c r="Y2546" s="10"/>
    </row>
    <row r="2547" spans="1:25" x14ac:dyDescent="0.25">
      <c r="A2547" s="9">
        <v>43085</v>
      </c>
      <c r="B2547" s="10">
        <f ca="1">ROUND(_xlfn.NORM.INV(RAND(),Reference!$C$8,0.1*Reference!$C$8)*(1+Reference!$C$11*(IF(MONTH($A2547)=Reference!$C$4,1,0)+IF(MONTH($A2547)=Reference!$C$5,1,0))+(IF(MONTH($A2547)=Reference!$C$6,Reference!$C$13,0))),0)</f>
        <v>427</v>
      </c>
      <c r="C2547" s="11">
        <f ca="1">B2547*Reference!$C$7*(1-IF(MONTH($A2547)=Reference!$C$6,1,0)*Reference!$C$12)</f>
        <v>397110</v>
      </c>
      <c r="D2547" s="10">
        <f ca="1">ROUND(_xlfn.NORM.INV(RAND(),Reference!$D$8,0.1*Reference!$D$8)*(1+Reference!$D$11*(IF(MONTH($A2547)=Reference!$D$4,1,0)+IF(MONTH($A2547)=Reference!$D$5,1,0))+(IF(MONTH($A2547)=Reference!$D$6,Reference!$D$13,0))),0)</f>
        <v>380</v>
      </c>
      <c r="E2547" s="11">
        <f ca="1">D2547*Reference!$D$7*(1-IF(MONTH($A2547)=Reference!$D$6,1,0)*Reference!$D$12)</f>
        <v>285000</v>
      </c>
      <c r="M2547" s="20"/>
      <c r="N2547" s="20"/>
      <c r="O2547" s="19"/>
      <c r="P2547" s="10"/>
      <c r="Q2547" s="10"/>
      <c r="R2547" s="10"/>
      <c r="S2547" s="10"/>
      <c r="T2547" s="10"/>
      <c r="U2547" s="10"/>
      <c r="V2547" s="10"/>
      <c r="W2547" s="10"/>
      <c r="X2547" s="10"/>
      <c r="Y2547" s="10"/>
    </row>
    <row r="2548" spans="1:25" x14ac:dyDescent="0.25">
      <c r="A2548" s="9">
        <v>43086</v>
      </c>
      <c r="B2548" s="10">
        <f ca="1">ROUND(_xlfn.NORM.INV(RAND(),Reference!$C$8,0.1*Reference!$C$8)*(1+Reference!$C$11*(IF(MONTH($A2548)=Reference!$C$4,1,0)+IF(MONTH($A2548)=Reference!$C$5,1,0))+(IF(MONTH($A2548)=Reference!$C$6,Reference!$C$13,0))),0)</f>
        <v>327</v>
      </c>
      <c r="C2548" s="11">
        <f ca="1">B2548*Reference!$C$7*(1-IF(MONTH($A2548)=Reference!$C$6,1,0)*Reference!$C$12)</f>
        <v>304110</v>
      </c>
      <c r="D2548" s="10">
        <f ca="1">ROUND(_xlfn.NORM.INV(RAND(),Reference!$D$8,0.1*Reference!$D$8)*(1+Reference!$D$11*(IF(MONTH($A2548)=Reference!$D$4,1,0)+IF(MONTH($A2548)=Reference!$D$5,1,0))+(IF(MONTH($A2548)=Reference!$D$6,Reference!$D$13,0))),0)</f>
        <v>441</v>
      </c>
      <c r="E2548" s="11">
        <f ca="1">D2548*Reference!$D$7*(1-IF(MONTH($A2548)=Reference!$D$6,1,0)*Reference!$D$12)</f>
        <v>330750</v>
      </c>
      <c r="M2548" s="20"/>
      <c r="N2548" s="20"/>
      <c r="O2548" s="19"/>
      <c r="P2548" s="10"/>
      <c r="Q2548" s="10"/>
      <c r="R2548" s="10"/>
      <c r="S2548" s="10"/>
      <c r="T2548" s="10"/>
      <c r="U2548" s="10"/>
      <c r="V2548" s="10"/>
      <c r="W2548" s="10"/>
      <c r="X2548" s="10"/>
      <c r="Y2548" s="10"/>
    </row>
    <row r="2549" spans="1:25" x14ac:dyDescent="0.25">
      <c r="A2549" s="9">
        <v>43087</v>
      </c>
      <c r="B2549" s="10">
        <f ca="1">ROUND(_xlfn.NORM.INV(RAND(),Reference!$C$8,0.1*Reference!$C$8)*(1+Reference!$C$11*(IF(MONTH($A2549)=Reference!$C$4,1,0)+IF(MONTH($A2549)=Reference!$C$5,1,0))+(IF(MONTH($A2549)=Reference!$C$6,Reference!$C$13,0))),0)</f>
        <v>379</v>
      </c>
      <c r="C2549" s="11">
        <f ca="1">B2549*Reference!$C$7*(1-IF(MONTH($A2549)=Reference!$C$6,1,0)*Reference!$C$12)</f>
        <v>352470</v>
      </c>
      <c r="D2549" s="10">
        <f ca="1">ROUND(_xlfn.NORM.INV(RAND(),Reference!$D$8,0.1*Reference!$D$8)*(1+Reference!$D$11*(IF(MONTH($A2549)=Reference!$D$4,1,0)+IF(MONTH($A2549)=Reference!$D$5,1,0))+(IF(MONTH($A2549)=Reference!$D$6,Reference!$D$13,0))),0)</f>
        <v>427</v>
      </c>
      <c r="E2549" s="11">
        <f ca="1">D2549*Reference!$D$7*(1-IF(MONTH($A2549)=Reference!$D$6,1,0)*Reference!$D$12)</f>
        <v>320250</v>
      </c>
      <c r="M2549" s="20"/>
      <c r="N2549" s="20"/>
      <c r="O2549" s="19"/>
      <c r="P2549" s="10"/>
      <c r="Q2549" s="10"/>
      <c r="R2549" s="10"/>
      <c r="S2549" s="10"/>
      <c r="T2549" s="10"/>
      <c r="U2549" s="10"/>
      <c r="V2549" s="10"/>
      <c r="W2549" s="10"/>
      <c r="X2549" s="10"/>
      <c r="Y2549" s="10"/>
    </row>
    <row r="2550" spans="1:25" x14ac:dyDescent="0.25">
      <c r="A2550" s="9">
        <v>43088</v>
      </c>
      <c r="B2550" s="10">
        <f ca="1">ROUND(_xlfn.NORM.INV(RAND(),Reference!$C$8,0.1*Reference!$C$8)*(1+Reference!$C$11*(IF(MONTH($A2550)=Reference!$C$4,1,0)+IF(MONTH($A2550)=Reference!$C$5,1,0))+(IF(MONTH($A2550)=Reference!$C$6,Reference!$C$13,0))),0)</f>
        <v>393</v>
      </c>
      <c r="C2550" s="11">
        <f ca="1">B2550*Reference!$C$7*(1-IF(MONTH($A2550)=Reference!$C$6,1,0)*Reference!$C$12)</f>
        <v>365490</v>
      </c>
      <c r="D2550" s="10">
        <f ca="1">ROUND(_xlfn.NORM.INV(RAND(),Reference!$D$8,0.1*Reference!$D$8)*(1+Reference!$D$11*(IF(MONTH($A2550)=Reference!$D$4,1,0)+IF(MONTH($A2550)=Reference!$D$5,1,0))+(IF(MONTH($A2550)=Reference!$D$6,Reference!$D$13,0))),0)</f>
        <v>423</v>
      </c>
      <c r="E2550" s="11">
        <f ca="1">D2550*Reference!$D$7*(1-IF(MONTH($A2550)=Reference!$D$6,1,0)*Reference!$D$12)</f>
        <v>317250</v>
      </c>
      <c r="M2550" s="20"/>
      <c r="N2550" s="20"/>
      <c r="O2550" s="19"/>
      <c r="P2550" s="10"/>
      <c r="Q2550" s="10"/>
      <c r="R2550" s="10"/>
      <c r="S2550" s="10"/>
      <c r="T2550" s="10"/>
      <c r="U2550" s="10"/>
      <c r="V2550" s="10"/>
      <c r="W2550" s="10"/>
      <c r="X2550" s="10"/>
      <c r="Y2550" s="10"/>
    </row>
    <row r="2551" spans="1:25" x14ac:dyDescent="0.25">
      <c r="A2551" s="9">
        <v>43089</v>
      </c>
      <c r="B2551" s="10">
        <f ca="1">ROUND(_xlfn.NORM.INV(RAND(),Reference!$C$8,0.1*Reference!$C$8)*(1+Reference!$C$11*(IF(MONTH($A2551)=Reference!$C$4,1,0)+IF(MONTH($A2551)=Reference!$C$5,1,0))+(IF(MONTH($A2551)=Reference!$C$6,Reference!$C$13,0))),0)</f>
        <v>312</v>
      </c>
      <c r="C2551" s="11">
        <f ca="1">B2551*Reference!$C$7*(1-IF(MONTH($A2551)=Reference!$C$6,1,0)*Reference!$C$12)</f>
        <v>290160</v>
      </c>
      <c r="D2551" s="10">
        <f ca="1">ROUND(_xlfn.NORM.INV(RAND(),Reference!$D$8,0.1*Reference!$D$8)*(1+Reference!$D$11*(IF(MONTH($A2551)=Reference!$D$4,1,0)+IF(MONTH($A2551)=Reference!$D$5,1,0))+(IF(MONTH($A2551)=Reference!$D$6,Reference!$D$13,0))),0)</f>
        <v>477</v>
      </c>
      <c r="E2551" s="11">
        <f ca="1">D2551*Reference!$D$7*(1-IF(MONTH($A2551)=Reference!$D$6,1,0)*Reference!$D$12)</f>
        <v>357750</v>
      </c>
      <c r="M2551" s="20"/>
      <c r="N2551" s="20"/>
      <c r="O2551" s="19"/>
      <c r="P2551" s="10"/>
      <c r="Q2551" s="10"/>
      <c r="R2551" s="10"/>
      <c r="S2551" s="10"/>
      <c r="T2551" s="10"/>
      <c r="U2551" s="10"/>
      <c r="V2551" s="10"/>
      <c r="W2551" s="10"/>
      <c r="X2551" s="10"/>
      <c r="Y2551" s="10"/>
    </row>
    <row r="2552" spans="1:25" x14ac:dyDescent="0.25">
      <c r="A2552" s="9">
        <v>43090</v>
      </c>
      <c r="B2552" s="10">
        <f ca="1">ROUND(_xlfn.NORM.INV(RAND(),Reference!$C$8,0.1*Reference!$C$8)*(1+Reference!$C$11*(IF(MONTH($A2552)=Reference!$C$4,1,0)+IF(MONTH($A2552)=Reference!$C$5,1,0))+(IF(MONTH($A2552)=Reference!$C$6,Reference!$C$13,0))),0)</f>
        <v>394</v>
      </c>
      <c r="C2552" s="11">
        <f ca="1">B2552*Reference!$C$7*(1-IF(MONTH($A2552)=Reference!$C$6,1,0)*Reference!$C$12)</f>
        <v>366420</v>
      </c>
      <c r="D2552" s="10">
        <f ca="1">ROUND(_xlfn.NORM.INV(RAND(),Reference!$D$8,0.1*Reference!$D$8)*(1+Reference!$D$11*(IF(MONTH($A2552)=Reference!$D$4,1,0)+IF(MONTH($A2552)=Reference!$D$5,1,0))+(IF(MONTH($A2552)=Reference!$D$6,Reference!$D$13,0))),0)</f>
        <v>494</v>
      </c>
      <c r="E2552" s="11">
        <f ca="1">D2552*Reference!$D$7*(1-IF(MONTH($A2552)=Reference!$D$6,1,0)*Reference!$D$12)</f>
        <v>370500</v>
      </c>
      <c r="M2552" s="20"/>
      <c r="N2552" s="20"/>
      <c r="O2552" s="19"/>
      <c r="P2552" s="10"/>
      <c r="Q2552" s="10"/>
      <c r="R2552" s="10"/>
      <c r="S2552" s="10"/>
      <c r="T2552" s="10"/>
      <c r="U2552" s="10"/>
      <c r="V2552" s="10"/>
      <c r="W2552" s="10"/>
      <c r="X2552" s="10"/>
      <c r="Y2552" s="10"/>
    </row>
    <row r="2553" spans="1:25" x14ac:dyDescent="0.25">
      <c r="A2553" s="9">
        <v>43091</v>
      </c>
      <c r="B2553" s="10">
        <f ca="1">ROUND(_xlfn.NORM.INV(RAND(),Reference!$C$8,0.1*Reference!$C$8)*(1+Reference!$C$11*(IF(MONTH($A2553)=Reference!$C$4,1,0)+IF(MONTH($A2553)=Reference!$C$5,1,0))+(IF(MONTH($A2553)=Reference!$C$6,Reference!$C$13,0))),0)</f>
        <v>343</v>
      </c>
      <c r="C2553" s="11">
        <f ca="1">B2553*Reference!$C$7*(1-IF(MONTH($A2553)=Reference!$C$6,1,0)*Reference!$C$12)</f>
        <v>318990</v>
      </c>
      <c r="D2553" s="10">
        <f ca="1">ROUND(_xlfn.NORM.INV(RAND(),Reference!$D$8,0.1*Reference!$D$8)*(1+Reference!$D$11*(IF(MONTH($A2553)=Reference!$D$4,1,0)+IF(MONTH($A2553)=Reference!$D$5,1,0))+(IF(MONTH($A2553)=Reference!$D$6,Reference!$D$13,0))),0)</f>
        <v>429</v>
      </c>
      <c r="E2553" s="11">
        <f ca="1">D2553*Reference!$D$7*(1-IF(MONTH($A2553)=Reference!$D$6,1,0)*Reference!$D$12)</f>
        <v>321750</v>
      </c>
      <c r="M2553" s="20"/>
      <c r="N2553" s="20"/>
      <c r="O2553" s="19"/>
      <c r="P2553" s="10"/>
      <c r="Q2553" s="10"/>
      <c r="R2553" s="10"/>
      <c r="S2553" s="10"/>
      <c r="T2553" s="10"/>
      <c r="U2553" s="10"/>
      <c r="V2553" s="10"/>
      <c r="W2553" s="10"/>
      <c r="X2553" s="10"/>
      <c r="Y2553" s="10"/>
    </row>
    <row r="2554" spans="1:25" x14ac:dyDescent="0.25">
      <c r="A2554" s="9">
        <v>43092</v>
      </c>
      <c r="B2554" s="10">
        <f ca="1">ROUND(_xlfn.NORM.INV(RAND(),Reference!$C$8,0.1*Reference!$C$8)*(1+Reference!$C$11*(IF(MONTH($A2554)=Reference!$C$4,1,0)+IF(MONTH($A2554)=Reference!$C$5,1,0))+(IF(MONTH($A2554)=Reference!$C$6,Reference!$C$13,0))),0)</f>
        <v>389</v>
      </c>
      <c r="C2554" s="11">
        <f ca="1">B2554*Reference!$C$7*(1-IF(MONTH($A2554)=Reference!$C$6,1,0)*Reference!$C$12)</f>
        <v>361770</v>
      </c>
      <c r="D2554" s="10">
        <f ca="1">ROUND(_xlfn.NORM.INV(RAND(),Reference!$D$8,0.1*Reference!$D$8)*(1+Reference!$D$11*(IF(MONTH($A2554)=Reference!$D$4,1,0)+IF(MONTH($A2554)=Reference!$D$5,1,0))+(IF(MONTH($A2554)=Reference!$D$6,Reference!$D$13,0))),0)</f>
        <v>577</v>
      </c>
      <c r="E2554" s="11">
        <f ca="1">D2554*Reference!$D$7*(1-IF(MONTH($A2554)=Reference!$D$6,1,0)*Reference!$D$12)</f>
        <v>432750</v>
      </c>
      <c r="M2554" s="20"/>
      <c r="N2554" s="20"/>
      <c r="O2554" s="19"/>
      <c r="P2554" s="10"/>
      <c r="Q2554" s="10"/>
      <c r="R2554" s="10"/>
      <c r="S2554" s="10"/>
      <c r="T2554" s="10"/>
      <c r="U2554" s="10"/>
      <c r="V2554" s="10"/>
      <c r="W2554" s="10"/>
      <c r="X2554" s="10"/>
      <c r="Y2554" s="10"/>
    </row>
    <row r="2555" spans="1:25" x14ac:dyDescent="0.25">
      <c r="A2555" s="9">
        <v>43093</v>
      </c>
      <c r="B2555" s="10">
        <f ca="1">ROUND(_xlfn.NORM.INV(RAND(),Reference!$C$8,0.1*Reference!$C$8)*(1+Reference!$C$11*(IF(MONTH($A2555)=Reference!$C$4,1,0)+IF(MONTH($A2555)=Reference!$C$5,1,0))+(IF(MONTH($A2555)=Reference!$C$6,Reference!$C$13,0))),0)</f>
        <v>395</v>
      </c>
      <c r="C2555" s="11">
        <f ca="1">B2555*Reference!$C$7*(1-IF(MONTH($A2555)=Reference!$C$6,1,0)*Reference!$C$12)</f>
        <v>367350</v>
      </c>
      <c r="D2555" s="10">
        <f ca="1">ROUND(_xlfn.NORM.INV(RAND(),Reference!$D$8,0.1*Reference!$D$8)*(1+Reference!$D$11*(IF(MONTH($A2555)=Reference!$D$4,1,0)+IF(MONTH($A2555)=Reference!$D$5,1,0))+(IF(MONTH($A2555)=Reference!$D$6,Reference!$D$13,0))),0)</f>
        <v>424</v>
      </c>
      <c r="E2555" s="11">
        <f ca="1">D2555*Reference!$D$7*(1-IF(MONTH($A2555)=Reference!$D$6,1,0)*Reference!$D$12)</f>
        <v>318000</v>
      </c>
      <c r="M2555" s="20"/>
      <c r="N2555" s="20"/>
      <c r="O2555" s="19"/>
      <c r="P2555" s="10"/>
      <c r="Q2555" s="10"/>
      <c r="R2555" s="10"/>
      <c r="S2555" s="10"/>
      <c r="T2555" s="10"/>
      <c r="U2555" s="10"/>
      <c r="V2555" s="10"/>
      <c r="W2555" s="10"/>
      <c r="X2555" s="10"/>
      <c r="Y2555" s="10"/>
    </row>
    <row r="2556" spans="1:25" x14ac:dyDescent="0.25">
      <c r="A2556" s="9">
        <v>43094</v>
      </c>
      <c r="B2556" s="10">
        <f ca="1">ROUND(_xlfn.NORM.INV(RAND(),Reference!$C$8,0.1*Reference!$C$8)*(1+Reference!$C$11*(IF(MONTH($A2556)=Reference!$C$4,1,0)+IF(MONTH($A2556)=Reference!$C$5,1,0))+(IF(MONTH($A2556)=Reference!$C$6,Reference!$C$13,0))),0)</f>
        <v>340</v>
      </c>
      <c r="C2556" s="11">
        <f ca="1">B2556*Reference!$C$7*(1-IF(MONTH($A2556)=Reference!$C$6,1,0)*Reference!$C$12)</f>
        <v>316200</v>
      </c>
      <c r="D2556" s="10">
        <f ca="1">ROUND(_xlfn.NORM.INV(RAND(),Reference!$D$8,0.1*Reference!$D$8)*(1+Reference!$D$11*(IF(MONTH($A2556)=Reference!$D$4,1,0)+IF(MONTH($A2556)=Reference!$D$5,1,0))+(IF(MONTH($A2556)=Reference!$D$6,Reference!$D$13,0))),0)</f>
        <v>466</v>
      </c>
      <c r="E2556" s="11">
        <f ca="1">D2556*Reference!$D$7*(1-IF(MONTH($A2556)=Reference!$D$6,1,0)*Reference!$D$12)</f>
        <v>349500</v>
      </c>
      <c r="M2556" s="20"/>
      <c r="N2556" s="20"/>
      <c r="O2556" s="19"/>
      <c r="P2556" s="10"/>
      <c r="Q2556" s="10"/>
      <c r="R2556" s="10"/>
      <c r="S2556" s="10"/>
      <c r="T2556" s="10"/>
      <c r="U2556" s="10"/>
      <c r="V2556" s="10"/>
      <c r="W2556" s="10"/>
      <c r="X2556" s="10"/>
      <c r="Y2556" s="10"/>
    </row>
    <row r="2557" spans="1:25" x14ac:dyDescent="0.25">
      <c r="A2557" s="9">
        <v>43095</v>
      </c>
      <c r="B2557" s="10">
        <f ca="1">ROUND(_xlfn.NORM.INV(RAND(),Reference!$C$8,0.1*Reference!$C$8)*(1+Reference!$C$11*(IF(MONTH($A2557)=Reference!$C$4,1,0)+IF(MONTH($A2557)=Reference!$C$5,1,0))+(IF(MONTH($A2557)=Reference!$C$6,Reference!$C$13,0))),0)</f>
        <v>393</v>
      </c>
      <c r="C2557" s="11">
        <f ca="1">B2557*Reference!$C$7*(1-IF(MONTH($A2557)=Reference!$C$6,1,0)*Reference!$C$12)</f>
        <v>365490</v>
      </c>
      <c r="D2557" s="10">
        <f ca="1">ROUND(_xlfn.NORM.INV(RAND(),Reference!$D$8,0.1*Reference!$D$8)*(1+Reference!$D$11*(IF(MONTH($A2557)=Reference!$D$4,1,0)+IF(MONTH($A2557)=Reference!$D$5,1,0))+(IF(MONTH($A2557)=Reference!$D$6,Reference!$D$13,0))),0)</f>
        <v>399</v>
      </c>
      <c r="E2557" s="11">
        <f ca="1">D2557*Reference!$D$7*(1-IF(MONTH($A2557)=Reference!$D$6,1,0)*Reference!$D$12)</f>
        <v>299250</v>
      </c>
      <c r="M2557" s="20"/>
      <c r="N2557" s="20"/>
      <c r="O2557" s="19"/>
      <c r="P2557" s="10"/>
      <c r="Q2557" s="10"/>
      <c r="R2557" s="10"/>
      <c r="S2557" s="10"/>
      <c r="T2557" s="10"/>
      <c r="U2557" s="10"/>
      <c r="V2557" s="10"/>
      <c r="W2557" s="10"/>
      <c r="X2557" s="10"/>
      <c r="Y2557" s="10"/>
    </row>
    <row r="2558" spans="1:25" x14ac:dyDescent="0.25">
      <c r="A2558" s="9">
        <v>43096</v>
      </c>
      <c r="B2558" s="10">
        <f ca="1">ROUND(_xlfn.NORM.INV(RAND(),Reference!$C$8,0.1*Reference!$C$8)*(1+Reference!$C$11*(IF(MONTH($A2558)=Reference!$C$4,1,0)+IF(MONTH($A2558)=Reference!$C$5,1,0))+(IF(MONTH($A2558)=Reference!$C$6,Reference!$C$13,0))),0)</f>
        <v>374</v>
      </c>
      <c r="C2558" s="11">
        <f ca="1">B2558*Reference!$C$7*(1-IF(MONTH($A2558)=Reference!$C$6,1,0)*Reference!$C$12)</f>
        <v>347820</v>
      </c>
      <c r="D2558" s="10">
        <f ca="1">ROUND(_xlfn.NORM.INV(RAND(),Reference!$D$8,0.1*Reference!$D$8)*(1+Reference!$D$11*(IF(MONTH($A2558)=Reference!$D$4,1,0)+IF(MONTH($A2558)=Reference!$D$5,1,0))+(IF(MONTH($A2558)=Reference!$D$6,Reference!$D$13,0))),0)</f>
        <v>471</v>
      </c>
      <c r="E2558" s="11">
        <f ca="1">D2558*Reference!$D$7*(1-IF(MONTH($A2558)=Reference!$D$6,1,0)*Reference!$D$12)</f>
        <v>353250</v>
      </c>
      <c r="M2558" s="20"/>
      <c r="N2558" s="20"/>
      <c r="O2558" s="19"/>
      <c r="P2558" s="10"/>
      <c r="Q2558" s="10"/>
      <c r="R2558" s="10"/>
      <c r="S2558" s="10"/>
      <c r="T2558" s="10"/>
      <c r="U2558" s="10"/>
      <c r="V2558" s="10"/>
      <c r="W2558" s="10"/>
      <c r="X2558" s="10"/>
      <c r="Y2558" s="10"/>
    </row>
    <row r="2559" spans="1:25" x14ac:dyDescent="0.25">
      <c r="A2559" s="9">
        <v>43097</v>
      </c>
      <c r="B2559" s="10">
        <f ca="1">ROUND(_xlfn.NORM.INV(RAND(),Reference!$C$8,0.1*Reference!$C$8)*(1+Reference!$C$11*(IF(MONTH($A2559)=Reference!$C$4,1,0)+IF(MONTH($A2559)=Reference!$C$5,1,0))+(IF(MONTH($A2559)=Reference!$C$6,Reference!$C$13,0))),0)</f>
        <v>301</v>
      </c>
      <c r="C2559" s="11">
        <f ca="1">B2559*Reference!$C$7*(1-IF(MONTH($A2559)=Reference!$C$6,1,0)*Reference!$C$12)</f>
        <v>279930</v>
      </c>
      <c r="D2559" s="10">
        <f ca="1">ROUND(_xlfn.NORM.INV(RAND(),Reference!$D$8,0.1*Reference!$D$8)*(1+Reference!$D$11*(IF(MONTH($A2559)=Reference!$D$4,1,0)+IF(MONTH($A2559)=Reference!$D$5,1,0))+(IF(MONTH($A2559)=Reference!$D$6,Reference!$D$13,0))),0)</f>
        <v>432</v>
      </c>
      <c r="E2559" s="11">
        <f ca="1">D2559*Reference!$D$7*(1-IF(MONTH($A2559)=Reference!$D$6,1,0)*Reference!$D$12)</f>
        <v>324000</v>
      </c>
      <c r="M2559" s="20"/>
      <c r="N2559" s="20"/>
      <c r="O2559" s="19"/>
      <c r="P2559" s="10"/>
      <c r="Q2559" s="10"/>
      <c r="R2559" s="10"/>
      <c r="S2559" s="10"/>
      <c r="T2559" s="10"/>
      <c r="U2559" s="10"/>
      <c r="V2559" s="10"/>
      <c r="W2559" s="10"/>
      <c r="X2559" s="10"/>
      <c r="Y2559" s="10"/>
    </row>
    <row r="2560" spans="1:25" x14ac:dyDescent="0.25">
      <c r="A2560" s="9">
        <v>43098</v>
      </c>
      <c r="B2560" s="10">
        <f ca="1">ROUND(_xlfn.NORM.INV(RAND(),Reference!$C$8,0.1*Reference!$C$8)*(1+Reference!$C$11*(IF(MONTH($A2560)=Reference!$C$4,1,0)+IF(MONTH($A2560)=Reference!$C$5,1,0))+(IF(MONTH($A2560)=Reference!$C$6,Reference!$C$13,0))),0)</f>
        <v>406</v>
      </c>
      <c r="C2560" s="11">
        <f ca="1">B2560*Reference!$C$7*(1-IF(MONTH($A2560)=Reference!$C$6,1,0)*Reference!$C$12)</f>
        <v>377580</v>
      </c>
      <c r="D2560" s="10">
        <f ca="1">ROUND(_xlfn.NORM.INV(RAND(),Reference!$D$8,0.1*Reference!$D$8)*(1+Reference!$D$11*(IF(MONTH($A2560)=Reference!$D$4,1,0)+IF(MONTH($A2560)=Reference!$D$5,1,0))+(IF(MONTH($A2560)=Reference!$D$6,Reference!$D$13,0))),0)</f>
        <v>402</v>
      </c>
      <c r="E2560" s="11">
        <f ca="1">D2560*Reference!$D$7*(1-IF(MONTH($A2560)=Reference!$D$6,1,0)*Reference!$D$12)</f>
        <v>301500</v>
      </c>
      <c r="M2560" s="20"/>
      <c r="N2560" s="20"/>
      <c r="O2560" s="19"/>
      <c r="P2560" s="10"/>
      <c r="Q2560" s="10"/>
      <c r="R2560" s="10"/>
      <c r="S2560" s="10"/>
      <c r="T2560" s="10"/>
      <c r="U2560" s="10"/>
      <c r="V2560" s="10"/>
      <c r="W2560" s="10"/>
      <c r="X2560" s="10"/>
      <c r="Y2560" s="10"/>
    </row>
    <row r="2561" spans="1:25" x14ac:dyDescent="0.25">
      <c r="A2561" s="9">
        <v>43099</v>
      </c>
      <c r="B2561" s="10">
        <f ca="1">ROUND(_xlfn.NORM.INV(RAND(),Reference!$C$8,0.1*Reference!$C$8)*(1+Reference!$C$11*(IF(MONTH($A2561)=Reference!$C$4,1,0)+IF(MONTH($A2561)=Reference!$C$5,1,0))+(IF(MONTH($A2561)=Reference!$C$6,Reference!$C$13,0))),0)</f>
        <v>293</v>
      </c>
      <c r="C2561" s="11">
        <f ca="1">B2561*Reference!$C$7*(1-IF(MONTH($A2561)=Reference!$C$6,1,0)*Reference!$C$12)</f>
        <v>272490</v>
      </c>
      <c r="D2561" s="10">
        <f ca="1">ROUND(_xlfn.NORM.INV(RAND(),Reference!$D$8,0.1*Reference!$D$8)*(1+Reference!$D$11*(IF(MONTH($A2561)=Reference!$D$4,1,0)+IF(MONTH($A2561)=Reference!$D$5,1,0))+(IF(MONTH($A2561)=Reference!$D$6,Reference!$D$13,0))),0)</f>
        <v>430</v>
      </c>
      <c r="E2561" s="11">
        <f ca="1">D2561*Reference!$D$7*(1-IF(MONTH($A2561)=Reference!$D$6,1,0)*Reference!$D$12)</f>
        <v>322500</v>
      </c>
      <c r="M2561" s="20"/>
      <c r="N2561" s="20"/>
      <c r="O2561" s="19"/>
      <c r="P2561" s="10"/>
      <c r="Q2561" s="10"/>
      <c r="R2561" s="10"/>
      <c r="S2561" s="10"/>
      <c r="T2561" s="10"/>
      <c r="U2561" s="10"/>
      <c r="V2561" s="10"/>
      <c r="W2561" s="10"/>
      <c r="X2561" s="10"/>
      <c r="Y2561" s="10"/>
    </row>
    <row r="2562" spans="1:25" x14ac:dyDescent="0.25">
      <c r="A2562" s="9">
        <v>43100</v>
      </c>
      <c r="B2562" s="10">
        <f ca="1">ROUND(_xlfn.NORM.INV(RAND(),Reference!$C$8,0.1*Reference!$C$8)*(1+Reference!$C$11*(IF(MONTH($A2562)=Reference!$C$4,1,0)+IF(MONTH($A2562)=Reference!$C$5,1,0))+(IF(MONTH($A2562)=Reference!$C$6,Reference!$C$13,0))),0)</f>
        <v>370</v>
      </c>
      <c r="C2562" s="11">
        <f ca="1">B2562*Reference!$C$7*(1-IF(MONTH($A2562)=Reference!$C$6,1,0)*Reference!$C$12)</f>
        <v>344100</v>
      </c>
      <c r="D2562" s="10">
        <f ca="1">ROUND(_xlfn.NORM.INV(RAND(),Reference!$D$8,0.1*Reference!$D$8)*(1+Reference!$D$11*(IF(MONTH($A2562)=Reference!$D$4,1,0)+IF(MONTH($A2562)=Reference!$D$5,1,0))+(IF(MONTH($A2562)=Reference!$D$6,Reference!$D$13,0))),0)</f>
        <v>497</v>
      </c>
      <c r="E2562" s="11">
        <f ca="1">D2562*Reference!$D$7*(1-IF(MONTH($A2562)=Reference!$D$6,1,0)*Reference!$D$12)</f>
        <v>372750</v>
      </c>
      <c r="M2562" s="20"/>
      <c r="N2562" s="20"/>
      <c r="O2562" s="19"/>
      <c r="P2562" s="10"/>
      <c r="Q2562" s="10"/>
      <c r="R2562" s="10"/>
      <c r="S2562" s="10"/>
      <c r="T2562" s="10"/>
      <c r="U2562" s="10"/>
      <c r="V2562" s="10"/>
      <c r="W2562" s="10"/>
      <c r="X2562" s="10"/>
      <c r="Y2562" s="10"/>
    </row>
    <row r="2563" spans="1:25" x14ac:dyDescent="0.25">
      <c r="A2563" s="9">
        <v>43101</v>
      </c>
      <c r="B2563" s="10">
        <f ca="1">ROUND(_xlfn.NORM.INV(RAND(),Reference!$C$8,0.1*Reference!$C$8)*(1+Reference!$C$11*(IF(MONTH($A2563)=Reference!$C$4,1,0)+IF(MONTH($A2563)=Reference!$C$5,1,0))+(IF(MONTH($A2563)=Reference!$C$6,Reference!$C$13,0))),0)</f>
        <v>369</v>
      </c>
      <c r="C2563" s="11">
        <f ca="1">B2563*Reference!$C$7*(1-IF(MONTH($A2563)=Reference!$C$6,1,0)*Reference!$C$12)</f>
        <v>343170</v>
      </c>
      <c r="D2563" s="10">
        <f ca="1">ROUND(_xlfn.NORM.INV(RAND(),Reference!$D$8,0.1*Reference!$D$8)*(1+Reference!$D$11*(IF(MONTH($A2563)=Reference!$D$4,1,0)+IF(MONTH($A2563)=Reference!$D$5,1,0))+(IF(MONTH($A2563)=Reference!$D$6,Reference!$D$13,0))),0)</f>
        <v>398</v>
      </c>
      <c r="E2563" s="11">
        <f ca="1">D2563*Reference!$D$7*(1-IF(MONTH($A2563)=Reference!$D$6,1,0)*Reference!$D$12)</f>
        <v>298500</v>
      </c>
      <c r="M2563" s="20"/>
      <c r="N2563" s="20"/>
      <c r="O2563" s="19"/>
      <c r="P2563" s="10"/>
      <c r="Q2563" s="10"/>
      <c r="R2563" s="10"/>
      <c r="S2563" s="10"/>
      <c r="T2563" s="10"/>
      <c r="U2563" s="10"/>
      <c r="V2563" s="10"/>
      <c r="W2563" s="10"/>
      <c r="X2563" s="10"/>
      <c r="Y2563" s="10"/>
    </row>
    <row r="2564" spans="1:25" x14ac:dyDescent="0.25">
      <c r="A2564" s="9">
        <v>43102</v>
      </c>
      <c r="B2564" s="10">
        <f ca="1">ROUND(_xlfn.NORM.INV(RAND(),Reference!$C$8,0.1*Reference!$C$8)*(1+Reference!$C$11*(IF(MONTH($A2564)=Reference!$C$4,1,0)+IF(MONTH($A2564)=Reference!$C$5,1,0))+(IF(MONTH($A2564)=Reference!$C$6,Reference!$C$13,0))),0)</f>
        <v>341</v>
      </c>
      <c r="C2564" s="11">
        <f ca="1">B2564*Reference!$C$7*(1-IF(MONTH($A2564)=Reference!$C$6,1,0)*Reference!$C$12)</f>
        <v>317130</v>
      </c>
      <c r="D2564" s="10">
        <f ca="1">ROUND(_xlfn.NORM.INV(RAND(),Reference!$D$8,0.1*Reference!$D$8)*(1+Reference!$D$11*(IF(MONTH($A2564)=Reference!$D$4,1,0)+IF(MONTH($A2564)=Reference!$D$5,1,0))+(IF(MONTH($A2564)=Reference!$D$6,Reference!$D$13,0))),0)</f>
        <v>448</v>
      </c>
      <c r="E2564" s="11">
        <f ca="1">D2564*Reference!$D$7*(1-IF(MONTH($A2564)=Reference!$D$6,1,0)*Reference!$D$12)</f>
        <v>336000</v>
      </c>
      <c r="M2564" s="20"/>
      <c r="N2564" s="20"/>
      <c r="O2564" s="19"/>
      <c r="P2564" s="10"/>
      <c r="Q2564" s="10"/>
      <c r="R2564" s="10"/>
      <c r="S2564" s="10"/>
      <c r="T2564" s="10"/>
      <c r="U2564" s="10"/>
      <c r="V2564" s="10"/>
      <c r="W2564" s="10"/>
      <c r="X2564" s="10"/>
      <c r="Y2564" s="10"/>
    </row>
    <row r="2565" spans="1:25" x14ac:dyDescent="0.25">
      <c r="A2565" s="9">
        <v>43103</v>
      </c>
      <c r="B2565" s="10">
        <f ca="1">ROUND(_xlfn.NORM.INV(RAND(),Reference!$C$8,0.1*Reference!$C$8)*(1+Reference!$C$11*(IF(MONTH($A2565)=Reference!$C$4,1,0)+IF(MONTH($A2565)=Reference!$C$5,1,0))+(IF(MONTH($A2565)=Reference!$C$6,Reference!$C$13,0))),0)</f>
        <v>431</v>
      </c>
      <c r="C2565" s="11">
        <f ca="1">B2565*Reference!$C$7*(1-IF(MONTH($A2565)=Reference!$C$6,1,0)*Reference!$C$12)</f>
        <v>400830</v>
      </c>
      <c r="D2565" s="10">
        <f ca="1">ROUND(_xlfn.NORM.INV(RAND(),Reference!$D$8,0.1*Reference!$D$8)*(1+Reference!$D$11*(IF(MONTH($A2565)=Reference!$D$4,1,0)+IF(MONTH($A2565)=Reference!$D$5,1,0))+(IF(MONTH($A2565)=Reference!$D$6,Reference!$D$13,0))),0)</f>
        <v>358</v>
      </c>
      <c r="E2565" s="11">
        <f ca="1">D2565*Reference!$D$7*(1-IF(MONTH($A2565)=Reference!$D$6,1,0)*Reference!$D$12)</f>
        <v>268500</v>
      </c>
      <c r="M2565" s="20"/>
      <c r="N2565" s="20"/>
      <c r="O2565" s="19"/>
      <c r="P2565" s="10"/>
      <c r="Q2565" s="10"/>
      <c r="R2565" s="10"/>
      <c r="S2565" s="10"/>
      <c r="T2565" s="10"/>
      <c r="U2565" s="10"/>
      <c r="V2565" s="10"/>
      <c r="W2565" s="10"/>
      <c r="X2565" s="10"/>
      <c r="Y2565" s="10"/>
    </row>
    <row r="2566" spans="1:25" x14ac:dyDescent="0.25">
      <c r="A2566" s="9">
        <v>43104</v>
      </c>
      <c r="B2566" s="10">
        <f ca="1">ROUND(_xlfn.NORM.INV(RAND(),Reference!$C$8,0.1*Reference!$C$8)*(1+Reference!$C$11*(IF(MONTH($A2566)=Reference!$C$4,1,0)+IF(MONTH($A2566)=Reference!$C$5,1,0))+(IF(MONTH($A2566)=Reference!$C$6,Reference!$C$13,0))),0)</f>
        <v>302</v>
      </c>
      <c r="C2566" s="11">
        <f ca="1">B2566*Reference!$C$7*(1-IF(MONTH($A2566)=Reference!$C$6,1,0)*Reference!$C$12)</f>
        <v>280860</v>
      </c>
      <c r="D2566" s="10">
        <f ca="1">ROUND(_xlfn.NORM.INV(RAND(),Reference!$D$8,0.1*Reference!$D$8)*(1+Reference!$D$11*(IF(MONTH($A2566)=Reference!$D$4,1,0)+IF(MONTH($A2566)=Reference!$D$5,1,0))+(IF(MONTH($A2566)=Reference!$D$6,Reference!$D$13,0))),0)</f>
        <v>467</v>
      </c>
      <c r="E2566" s="11">
        <f ca="1">D2566*Reference!$D$7*(1-IF(MONTH($A2566)=Reference!$D$6,1,0)*Reference!$D$12)</f>
        <v>350250</v>
      </c>
      <c r="M2566" s="20"/>
      <c r="N2566" s="20"/>
      <c r="O2566" s="19"/>
      <c r="P2566" s="10"/>
      <c r="Q2566" s="10"/>
      <c r="R2566" s="10"/>
      <c r="S2566" s="10"/>
      <c r="T2566" s="10"/>
      <c r="U2566" s="10"/>
      <c r="V2566" s="10"/>
      <c r="W2566" s="10"/>
      <c r="X2566" s="10"/>
      <c r="Y2566" s="10"/>
    </row>
    <row r="2567" spans="1:25" x14ac:dyDescent="0.25">
      <c r="A2567" s="9">
        <v>43105</v>
      </c>
      <c r="B2567" s="10">
        <f ca="1">ROUND(_xlfn.NORM.INV(RAND(),Reference!$C$8,0.1*Reference!$C$8)*(1+Reference!$C$11*(IF(MONTH($A2567)=Reference!$C$4,1,0)+IF(MONTH($A2567)=Reference!$C$5,1,0))+(IF(MONTH($A2567)=Reference!$C$6,Reference!$C$13,0))),0)</f>
        <v>368</v>
      </c>
      <c r="C2567" s="11">
        <f ca="1">B2567*Reference!$C$7*(1-IF(MONTH($A2567)=Reference!$C$6,1,0)*Reference!$C$12)</f>
        <v>342240</v>
      </c>
      <c r="D2567" s="10">
        <f ca="1">ROUND(_xlfn.NORM.INV(RAND(),Reference!$D$8,0.1*Reference!$D$8)*(1+Reference!$D$11*(IF(MONTH($A2567)=Reference!$D$4,1,0)+IF(MONTH($A2567)=Reference!$D$5,1,0))+(IF(MONTH($A2567)=Reference!$D$6,Reference!$D$13,0))),0)</f>
        <v>378</v>
      </c>
      <c r="E2567" s="11">
        <f ca="1">D2567*Reference!$D$7*(1-IF(MONTH($A2567)=Reference!$D$6,1,0)*Reference!$D$12)</f>
        <v>283500</v>
      </c>
      <c r="M2567" s="20"/>
      <c r="N2567" s="20"/>
      <c r="O2567" s="19"/>
      <c r="P2567" s="10"/>
      <c r="Q2567" s="10"/>
      <c r="R2567" s="10"/>
      <c r="S2567" s="10"/>
      <c r="T2567" s="10"/>
      <c r="U2567" s="10"/>
      <c r="V2567" s="10"/>
      <c r="W2567" s="10"/>
      <c r="X2567" s="10"/>
      <c r="Y2567" s="10"/>
    </row>
    <row r="2568" spans="1:25" x14ac:dyDescent="0.25">
      <c r="A2568" s="9">
        <v>43106</v>
      </c>
      <c r="B2568" s="10">
        <f ca="1">ROUND(_xlfn.NORM.INV(RAND(),Reference!$C$8,0.1*Reference!$C$8)*(1+Reference!$C$11*(IF(MONTH($A2568)=Reference!$C$4,1,0)+IF(MONTH($A2568)=Reference!$C$5,1,0))+(IF(MONTH($A2568)=Reference!$C$6,Reference!$C$13,0))),0)</f>
        <v>423</v>
      </c>
      <c r="C2568" s="11">
        <f ca="1">B2568*Reference!$C$7*(1-IF(MONTH($A2568)=Reference!$C$6,1,0)*Reference!$C$12)</f>
        <v>393390</v>
      </c>
      <c r="D2568" s="10">
        <f ca="1">ROUND(_xlfn.NORM.INV(RAND(),Reference!$D$8,0.1*Reference!$D$8)*(1+Reference!$D$11*(IF(MONTH($A2568)=Reference!$D$4,1,0)+IF(MONTH($A2568)=Reference!$D$5,1,0))+(IF(MONTH($A2568)=Reference!$D$6,Reference!$D$13,0))),0)</f>
        <v>529</v>
      </c>
      <c r="E2568" s="11">
        <f ca="1">D2568*Reference!$D$7*(1-IF(MONTH($A2568)=Reference!$D$6,1,0)*Reference!$D$12)</f>
        <v>396750</v>
      </c>
      <c r="M2568" s="20"/>
      <c r="N2568" s="20"/>
      <c r="O2568" s="19"/>
      <c r="P2568" s="10"/>
      <c r="Q2568" s="10"/>
      <c r="R2568" s="10"/>
      <c r="S2568" s="10"/>
      <c r="T2568" s="10"/>
      <c r="U2568" s="10"/>
      <c r="V2568" s="10"/>
      <c r="W2568" s="10"/>
      <c r="X2568" s="10"/>
      <c r="Y2568" s="10"/>
    </row>
    <row r="2569" spans="1:25" x14ac:dyDescent="0.25">
      <c r="A2569" s="9">
        <v>43107</v>
      </c>
      <c r="B2569" s="10">
        <f ca="1">ROUND(_xlfn.NORM.INV(RAND(),Reference!$C$8,0.1*Reference!$C$8)*(1+Reference!$C$11*(IF(MONTH($A2569)=Reference!$C$4,1,0)+IF(MONTH($A2569)=Reference!$C$5,1,0))+(IF(MONTH($A2569)=Reference!$C$6,Reference!$C$13,0))),0)</f>
        <v>399</v>
      </c>
      <c r="C2569" s="11">
        <f ca="1">B2569*Reference!$C$7*(1-IF(MONTH($A2569)=Reference!$C$6,1,0)*Reference!$C$12)</f>
        <v>371070</v>
      </c>
      <c r="D2569" s="10">
        <f ca="1">ROUND(_xlfn.NORM.INV(RAND(),Reference!$D$8,0.1*Reference!$D$8)*(1+Reference!$D$11*(IF(MONTH($A2569)=Reference!$D$4,1,0)+IF(MONTH($A2569)=Reference!$D$5,1,0))+(IF(MONTH($A2569)=Reference!$D$6,Reference!$D$13,0))),0)</f>
        <v>416</v>
      </c>
      <c r="E2569" s="11">
        <f ca="1">D2569*Reference!$D$7*(1-IF(MONTH($A2569)=Reference!$D$6,1,0)*Reference!$D$12)</f>
        <v>312000</v>
      </c>
      <c r="M2569" s="20"/>
      <c r="N2569" s="20"/>
      <c r="O2569" s="19"/>
      <c r="P2569" s="10"/>
      <c r="Q2569" s="10"/>
      <c r="R2569" s="10"/>
      <c r="S2569" s="10"/>
      <c r="T2569" s="10"/>
      <c r="U2569" s="10"/>
      <c r="V2569" s="10"/>
      <c r="W2569" s="10"/>
      <c r="X2569" s="10"/>
      <c r="Y2569" s="10"/>
    </row>
    <row r="2570" spans="1:25" x14ac:dyDescent="0.25">
      <c r="A2570" s="9">
        <v>43108</v>
      </c>
      <c r="B2570" s="10">
        <f ca="1">ROUND(_xlfn.NORM.INV(RAND(),Reference!$C$8,0.1*Reference!$C$8)*(1+Reference!$C$11*(IF(MONTH($A2570)=Reference!$C$4,1,0)+IF(MONTH($A2570)=Reference!$C$5,1,0))+(IF(MONTH($A2570)=Reference!$C$6,Reference!$C$13,0))),0)</f>
        <v>314</v>
      </c>
      <c r="C2570" s="11">
        <f ca="1">B2570*Reference!$C$7*(1-IF(MONTH($A2570)=Reference!$C$6,1,0)*Reference!$C$12)</f>
        <v>292020</v>
      </c>
      <c r="D2570" s="10">
        <f ca="1">ROUND(_xlfn.NORM.INV(RAND(),Reference!$D$8,0.1*Reference!$D$8)*(1+Reference!$D$11*(IF(MONTH($A2570)=Reference!$D$4,1,0)+IF(MONTH($A2570)=Reference!$D$5,1,0))+(IF(MONTH($A2570)=Reference!$D$6,Reference!$D$13,0))),0)</f>
        <v>339</v>
      </c>
      <c r="E2570" s="11">
        <f ca="1">D2570*Reference!$D$7*(1-IF(MONTH($A2570)=Reference!$D$6,1,0)*Reference!$D$12)</f>
        <v>254250</v>
      </c>
      <c r="M2570" s="20"/>
      <c r="N2570" s="20"/>
      <c r="O2570" s="19"/>
      <c r="P2570" s="10"/>
      <c r="Q2570" s="10"/>
      <c r="R2570" s="10"/>
      <c r="S2570" s="10"/>
      <c r="T2570" s="10"/>
      <c r="U2570" s="10"/>
      <c r="V2570" s="10"/>
      <c r="W2570" s="10"/>
      <c r="X2570" s="10"/>
      <c r="Y2570" s="10"/>
    </row>
    <row r="2571" spans="1:25" x14ac:dyDescent="0.25">
      <c r="A2571" s="9">
        <v>43109</v>
      </c>
      <c r="B2571" s="10">
        <f ca="1">ROUND(_xlfn.NORM.INV(RAND(),Reference!$C$8,0.1*Reference!$C$8)*(1+Reference!$C$11*(IF(MONTH($A2571)=Reference!$C$4,1,0)+IF(MONTH($A2571)=Reference!$C$5,1,0))+(IF(MONTH($A2571)=Reference!$C$6,Reference!$C$13,0))),0)</f>
        <v>328</v>
      </c>
      <c r="C2571" s="11">
        <f ca="1">B2571*Reference!$C$7*(1-IF(MONTH($A2571)=Reference!$C$6,1,0)*Reference!$C$12)</f>
        <v>305040</v>
      </c>
      <c r="D2571" s="10">
        <f ca="1">ROUND(_xlfn.NORM.INV(RAND(),Reference!$D$8,0.1*Reference!$D$8)*(1+Reference!$D$11*(IF(MONTH($A2571)=Reference!$D$4,1,0)+IF(MONTH($A2571)=Reference!$D$5,1,0))+(IF(MONTH($A2571)=Reference!$D$6,Reference!$D$13,0))),0)</f>
        <v>474</v>
      </c>
      <c r="E2571" s="11">
        <f ca="1">D2571*Reference!$D$7*(1-IF(MONTH($A2571)=Reference!$D$6,1,0)*Reference!$D$12)</f>
        <v>355500</v>
      </c>
      <c r="M2571" s="20"/>
      <c r="N2571" s="20"/>
      <c r="O2571" s="19"/>
      <c r="P2571" s="10"/>
      <c r="Q2571" s="10"/>
      <c r="R2571" s="10"/>
      <c r="S2571" s="10"/>
      <c r="T2571" s="10"/>
      <c r="U2571" s="10"/>
      <c r="V2571" s="10"/>
      <c r="W2571" s="10"/>
      <c r="X2571" s="10"/>
      <c r="Y2571" s="10"/>
    </row>
    <row r="2572" spans="1:25" x14ac:dyDescent="0.25">
      <c r="A2572" s="9">
        <v>43110</v>
      </c>
      <c r="B2572" s="10">
        <f ca="1">ROUND(_xlfn.NORM.INV(RAND(),Reference!$C$8,0.1*Reference!$C$8)*(1+Reference!$C$11*(IF(MONTH($A2572)=Reference!$C$4,1,0)+IF(MONTH($A2572)=Reference!$C$5,1,0))+(IF(MONTH($A2572)=Reference!$C$6,Reference!$C$13,0))),0)</f>
        <v>361</v>
      </c>
      <c r="C2572" s="11">
        <f ca="1">B2572*Reference!$C$7*(1-IF(MONTH($A2572)=Reference!$C$6,1,0)*Reference!$C$12)</f>
        <v>335730</v>
      </c>
      <c r="D2572" s="10">
        <f ca="1">ROUND(_xlfn.NORM.INV(RAND(),Reference!$D$8,0.1*Reference!$D$8)*(1+Reference!$D$11*(IF(MONTH($A2572)=Reference!$D$4,1,0)+IF(MONTH($A2572)=Reference!$D$5,1,0))+(IF(MONTH($A2572)=Reference!$D$6,Reference!$D$13,0))),0)</f>
        <v>503</v>
      </c>
      <c r="E2572" s="11">
        <f ca="1">D2572*Reference!$D$7*(1-IF(MONTH($A2572)=Reference!$D$6,1,0)*Reference!$D$12)</f>
        <v>377250</v>
      </c>
      <c r="M2572" s="20"/>
      <c r="N2572" s="20"/>
      <c r="O2572" s="19"/>
      <c r="P2572" s="10"/>
      <c r="Q2572" s="10"/>
      <c r="R2572" s="10"/>
      <c r="S2572" s="10"/>
      <c r="T2572" s="10"/>
      <c r="U2572" s="10"/>
      <c r="V2572" s="10"/>
      <c r="W2572" s="10"/>
      <c r="X2572" s="10"/>
      <c r="Y2572" s="10"/>
    </row>
    <row r="2573" spans="1:25" x14ac:dyDescent="0.25">
      <c r="A2573" s="9">
        <v>43111</v>
      </c>
      <c r="B2573" s="10">
        <f ca="1">ROUND(_xlfn.NORM.INV(RAND(),Reference!$C$8,0.1*Reference!$C$8)*(1+Reference!$C$11*(IF(MONTH($A2573)=Reference!$C$4,1,0)+IF(MONTH($A2573)=Reference!$C$5,1,0))+(IF(MONTH($A2573)=Reference!$C$6,Reference!$C$13,0))),0)</f>
        <v>309</v>
      </c>
      <c r="C2573" s="11">
        <f ca="1">B2573*Reference!$C$7*(1-IF(MONTH($A2573)=Reference!$C$6,1,0)*Reference!$C$12)</f>
        <v>287370</v>
      </c>
      <c r="D2573" s="10">
        <f ca="1">ROUND(_xlfn.NORM.INV(RAND(),Reference!$D$8,0.1*Reference!$D$8)*(1+Reference!$D$11*(IF(MONTH($A2573)=Reference!$D$4,1,0)+IF(MONTH($A2573)=Reference!$D$5,1,0))+(IF(MONTH($A2573)=Reference!$D$6,Reference!$D$13,0))),0)</f>
        <v>410</v>
      </c>
      <c r="E2573" s="11">
        <f ca="1">D2573*Reference!$D$7*(1-IF(MONTH($A2573)=Reference!$D$6,1,0)*Reference!$D$12)</f>
        <v>307500</v>
      </c>
      <c r="M2573" s="20"/>
      <c r="N2573" s="20"/>
      <c r="O2573" s="19"/>
      <c r="P2573" s="10"/>
      <c r="Q2573" s="10"/>
      <c r="R2573" s="10"/>
      <c r="S2573" s="10"/>
      <c r="T2573" s="10"/>
      <c r="U2573" s="10"/>
      <c r="V2573" s="10"/>
      <c r="W2573" s="10"/>
      <c r="X2573" s="10"/>
      <c r="Y2573" s="10"/>
    </row>
    <row r="2574" spans="1:25" x14ac:dyDescent="0.25">
      <c r="A2574" s="9">
        <v>43112</v>
      </c>
      <c r="B2574" s="10">
        <f ca="1">ROUND(_xlfn.NORM.INV(RAND(),Reference!$C$8,0.1*Reference!$C$8)*(1+Reference!$C$11*(IF(MONTH($A2574)=Reference!$C$4,1,0)+IF(MONTH($A2574)=Reference!$C$5,1,0))+(IF(MONTH($A2574)=Reference!$C$6,Reference!$C$13,0))),0)</f>
        <v>339</v>
      </c>
      <c r="C2574" s="11">
        <f ca="1">B2574*Reference!$C$7*(1-IF(MONTH($A2574)=Reference!$C$6,1,0)*Reference!$C$12)</f>
        <v>315270</v>
      </c>
      <c r="D2574" s="10">
        <f ca="1">ROUND(_xlfn.NORM.INV(RAND(),Reference!$D$8,0.1*Reference!$D$8)*(1+Reference!$D$11*(IF(MONTH($A2574)=Reference!$D$4,1,0)+IF(MONTH($A2574)=Reference!$D$5,1,0))+(IF(MONTH($A2574)=Reference!$D$6,Reference!$D$13,0))),0)</f>
        <v>444</v>
      </c>
      <c r="E2574" s="11">
        <f ca="1">D2574*Reference!$D$7*(1-IF(MONTH($A2574)=Reference!$D$6,1,0)*Reference!$D$12)</f>
        <v>333000</v>
      </c>
      <c r="M2574" s="20"/>
      <c r="N2574" s="20"/>
      <c r="O2574" s="19"/>
      <c r="P2574" s="10"/>
      <c r="Q2574" s="10"/>
      <c r="R2574" s="10"/>
      <c r="S2574" s="10"/>
      <c r="T2574" s="10"/>
      <c r="U2574" s="10"/>
      <c r="V2574" s="10"/>
      <c r="W2574" s="10"/>
      <c r="X2574" s="10"/>
      <c r="Y2574" s="10"/>
    </row>
    <row r="2575" spans="1:25" x14ac:dyDescent="0.25">
      <c r="A2575" s="9">
        <v>43113</v>
      </c>
      <c r="B2575" s="10">
        <f ca="1">ROUND(_xlfn.NORM.INV(RAND(),Reference!$C$8,0.1*Reference!$C$8)*(1+Reference!$C$11*(IF(MONTH($A2575)=Reference!$C$4,1,0)+IF(MONTH($A2575)=Reference!$C$5,1,0))+(IF(MONTH($A2575)=Reference!$C$6,Reference!$C$13,0))),0)</f>
        <v>315</v>
      </c>
      <c r="C2575" s="11">
        <f ca="1">B2575*Reference!$C$7*(1-IF(MONTH($A2575)=Reference!$C$6,1,0)*Reference!$C$12)</f>
        <v>292950</v>
      </c>
      <c r="D2575" s="10">
        <f ca="1">ROUND(_xlfn.NORM.INV(RAND(),Reference!$D$8,0.1*Reference!$D$8)*(1+Reference!$D$11*(IF(MONTH($A2575)=Reference!$D$4,1,0)+IF(MONTH($A2575)=Reference!$D$5,1,0))+(IF(MONTH($A2575)=Reference!$D$6,Reference!$D$13,0))),0)</f>
        <v>392</v>
      </c>
      <c r="E2575" s="11">
        <f ca="1">D2575*Reference!$D$7*(1-IF(MONTH($A2575)=Reference!$D$6,1,0)*Reference!$D$12)</f>
        <v>294000</v>
      </c>
      <c r="M2575" s="20"/>
      <c r="N2575" s="20"/>
      <c r="O2575" s="19"/>
      <c r="P2575" s="10"/>
      <c r="Q2575" s="10"/>
      <c r="R2575" s="10"/>
      <c r="S2575" s="10"/>
      <c r="T2575" s="10"/>
      <c r="U2575" s="10"/>
      <c r="V2575" s="10"/>
      <c r="W2575" s="10"/>
      <c r="X2575" s="10"/>
      <c r="Y2575" s="10"/>
    </row>
    <row r="2576" spans="1:25" x14ac:dyDescent="0.25">
      <c r="A2576" s="9">
        <v>43114</v>
      </c>
      <c r="B2576" s="10">
        <f ca="1">ROUND(_xlfn.NORM.INV(RAND(),Reference!$C$8,0.1*Reference!$C$8)*(1+Reference!$C$11*(IF(MONTH($A2576)=Reference!$C$4,1,0)+IF(MONTH($A2576)=Reference!$C$5,1,0))+(IF(MONTH($A2576)=Reference!$C$6,Reference!$C$13,0))),0)</f>
        <v>347</v>
      </c>
      <c r="C2576" s="11">
        <f ca="1">B2576*Reference!$C$7*(1-IF(MONTH($A2576)=Reference!$C$6,1,0)*Reference!$C$12)</f>
        <v>322710</v>
      </c>
      <c r="D2576" s="10">
        <f ca="1">ROUND(_xlfn.NORM.INV(RAND(),Reference!$D$8,0.1*Reference!$D$8)*(1+Reference!$D$11*(IF(MONTH($A2576)=Reference!$D$4,1,0)+IF(MONTH($A2576)=Reference!$D$5,1,0))+(IF(MONTH($A2576)=Reference!$D$6,Reference!$D$13,0))),0)</f>
        <v>427</v>
      </c>
      <c r="E2576" s="11">
        <f ca="1">D2576*Reference!$D$7*(1-IF(MONTH($A2576)=Reference!$D$6,1,0)*Reference!$D$12)</f>
        <v>320250</v>
      </c>
      <c r="M2576" s="20"/>
      <c r="N2576" s="20"/>
      <c r="O2576" s="19"/>
      <c r="P2576" s="10"/>
      <c r="Q2576" s="10"/>
      <c r="R2576" s="10"/>
      <c r="S2576" s="10"/>
      <c r="T2576" s="10"/>
      <c r="U2576" s="10"/>
      <c r="V2576" s="10"/>
      <c r="W2576" s="10"/>
      <c r="X2576" s="10"/>
      <c r="Y2576" s="10"/>
    </row>
    <row r="2577" spans="1:25" x14ac:dyDescent="0.25">
      <c r="A2577" s="9">
        <v>43115</v>
      </c>
      <c r="B2577" s="10">
        <f ca="1">ROUND(_xlfn.NORM.INV(RAND(),Reference!$C$8,0.1*Reference!$C$8)*(1+Reference!$C$11*(IF(MONTH($A2577)=Reference!$C$4,1,0)+IF(MONTH($A2577)=Reference!$C$5,1,0))+(IF(MONTH($A2577)=Reference!$C$6,Reference!$C$13,0))),0)</f>
        <v>331</v>
      </c>
      <c r="C2577" s="11">
        <f ca="1">B2577*Reference!$C$7*(1-IF(MONTH($A2577)=Reference!$C$6,1,0)*Reference!$C$12)</f>
        <v>307830</v>
      </c>
      <c r="D2577" s="10">
        <f ca="1">ROUND(_xlfn.NORM.INV(RAND(),Reference!$D$8,0.1*Reference!$D$8)*(1+Reference!$D$11*(IF(MONTH($A2577)=Reference!$D$4,1,0)+IF(MONTH($A2577)=Reference!$D$5,1,0))+(IF(MONTH($A2577)=Reference!$D$6,Reference!$D$13,0))),0)</f>
        <v>416</v>
      </c>
      <c r="E2577" s="11">
        <f ca="1">D2577*Reference!$D$7*(1-IF(MONTH($A2577)=Reference!$D$6,1,0)*Reference!$D$12)</f>
        <v>312000</v>
      </c>
      <c r="M2577" s="20"/>
      <c r="N2577" s="20"/>
      <c r="O2577" s="19"/>
      <c r="P2577" s="10"/>
      <c r="Q2577" s="10"/>
      <c r="R2577" s="10"/>
      <c r="S2577" s="10"/>
      <c r="T2577" s="10"/>
      <c r="U2577" s="10"/>
      <c r="V2577" s="10"/>
      <c r="W2577" s="10"/>
      <c r="X2577" s="10"/>
      <c r="Y2577" s="10"/>
    </row>
    <row r="2578" spans="1:25" x14ac:dyDescent="0.25">
      <c r="A2578" s="9">
        <v>43116</v>
      </c>
      <c r="B2578" s="10">
        <f ca="1">ROUND(_xlfn.NORM.INV(RAND(),Reference!$C$8,0.1*Reference!$C$8)*(1+Reference!$C$11*(IF(MONTH($A2578)=Reference!$C$4,1,0)+IF(MONTH($A2578)=Reference!$C$5,1,0))+(IF(MONTH($A2578)=Reference!$C$6,Reference!$C$13,0))),0)</f>
        <v>395</v>
      </c>
      <c r="C2578" s="11">
        <f ca="1">B2578*Reference!$C$7*(1-IF(MONTH($A2578)=Reference!$C$6,1,0)*Reference!$C$12)</f>
        <v>367350</v>
      </c>
      <c r="D2578" s="10">
        <f ca="1">ROUND(_xlfn.NORM.INV(RAND(),Reference!$D$8,0.1*Reference!$D$8)*(1+Reference!$D$11*(IF(MONTH($A2578)=Reference!$D$4,1,0)+IF(MONTH($A2578)=Reference!$D$5,1,0))+(IF(MONTH($A2578)=Reference!$D$6,Reference!$D$13,0))),0)</f>
        <v>432</v>
      </c>
      <c r="E2578" s="11">
        <f ca="1">D2578*Reference!$D$7*(1-IF(MONTH($A2578)=Reference!$D$6,1,0)*Reference!$D$12)</f>
        <v>324000</v>
      </c>
      <c r="M2578" s="20"/>
      <c r="N2578" s="20"/>
      <c r="O2578" s="19"/>
      <c r="P2578" s="10"/>
      <c r="Q2578" s="10"/>
      <c r="R2578" s="10"/>
      <c r="S2578" s="10"/>
      <c r="T2578" s="10"/>
      <c r="U2578" s="10"/>
      <c r="V2578" s="10"/>
      <c r="W2578" s="10"/>
      <c r="X2578" s="10"/>
      <c r="Y2578" s="10"/>
    </row>
    <row r="2579" spans="1:25" x14ac:dyDescent="0.25">
      <c r="A2579" s="9">
        <v>43117</v>
      </c>
      <c r="B2579" s="10">
        <f ca="1">ROUND(_xlfn.NORM.INV(RAND(),Reference!$C$8,0.1*Reference!$C$8)*(1+Reference!$C$11*(IF(MONTH($A2579)=Reference!$C$4,1,0)+IF(MONTH($A2579)=Reference!$C$5,1,0))+(IF(MONTH($A2579)=Reference!$C$6,Reference!$C$13,0))),0)</f>
        <v>372</v>
      </c>
      <c r="C2579" s="11">
        <f ca="1">B2579*Reference!$C$7*(1-IF(MONTH($A2579)=Reference!$C$6,1,0)*Reference!$C$12)</f>
        <v>345960</v>
      </c>
      <c r="D2579" s="10">
        <f ca="1">ROUND(_xlfn.NORM.INV(RAND(),Reference!$D$8,0.1*Reference!$D$8)*(1+Reference!$D$11*(IF(MONTH($A2579)=Reference!$D$4,1,0)+IF(MONTH($A2579)=Reference!$D$5,1,0))+(IF(MONTH($A2579)=Reference!$D$6,Reference!$D$13,0))),0)</f>
        <v>513</v>
      </c>
      <c r="E2579" s="11">
        <f ca="1">D2579*Reference!$D$7*(1-IF(MONTH($A2579)=Reference!$D$6,1,0)*Reference!$D$12)</f>
        <v>384750</v>
      </c>
      <c r="M2579" s="20"/>
      <c r="N2579" s="20"/>
      <c r="O2579" s="19"/>
      <c r="P2579" s="10"/>
      <c r="Q2579" s="10"/>
      <c r="R2579" s="10"/>
      <c r="S2579" s="10"/>
      <c r="T2579" s="10"/>
      <c r="U2579" s="10"/>
      <c r="V2579" s="10"/>
      <c r="W2579" s="10"/>
      <c r="X2579" s="10"/>
      <c r="Y2579" s="10"/>
    </row>
    <row r="2580" spans="1:25" x14ac:dyDescent="0.25">
      <c r="A2580" s="9">
        <v>43118</v>
      </c>
      <c r="B2580" s="10">
        <f ca="1">ROUND(_xlfn.NORM.INV(RAND(),Reference!$C$8,0.1*Reference!$C$8)*(1+Reference!$C$11*(IF(MONTH($A2580)=Reference!$C$4,1,0)+IF(MONTH($A2580)=Reference!$C$5,1,0))+(IF(MONTH($A2580)=Reference!$C$6,Reference!$C$13,0))),0)</f>
        <v>342</v>
      </c>
      <c r="C2580" s="11">
        <f ca="1">B2580*Reference!$C$7*(1-IF(MONTH($A2580)=Reference!$C$6,1,0)*Reference!$C$12)</f>
        <v>318060</v>
      </c>
      <c r="D2580" s="10">
        <f ca="1">ROUND(_xlfn.NORM.INV(RAND(),Reference!$D$8,0.1*Reference!$D$8)*(1+Reference!$D$11*(IF(MONTH($A2580)=Reference!$D$4,1,0)+IF(MONTH($A2580)=Reference!$D$5,1,0))+(IF(MONTH($A2580)=Reference!$D$6,Reference!$D$13,0))),0)</f>
        <v>449</v>
      </c>
      <c r="E2580" s="11">
        <f ca="1">D2580*Reference!$D$7*(1-IF(MONTH($A2580)=Reference!$D$6,1,0)*Reference!$D$12)</f>
        <v>336750</v>
      </c>
      <c r="M2580" s="20"/>
      <c r="N2580" s="20"/>
      <c r="O2580" s="19"/>
      <c r="P2580" s="10"/>
      <c r="Q2580" s="10"/>
      <c r="R2580" s="10"/>
      <c r="S2580" s="10"/>
      <c r="T2580" s="10"/>
      <c r="U2580" s="10"/>
      <c r="V2580" s="10"/>
      <c r="W2580" s="10"/>
      <c r="X2580" s="10"/>
      <c r="Y2580" s="10"/>
    </row>
    <row r="2581" spans="1:25" x14ac:dyDescent="0.25">
      <c r="A2581" s="9">
        <v>43119</v>
      </c>
      <c r="B2581" s="10">
        <f ca="1">ROUND(_xlfn.NORM.INV(RAND(),Reference!$C$8,0.1*Reference!$C$8)*(1+Reference!$C$11*(IF(MONTH($A2581)=Reference!$C$4,1,0)+IF(MONTH($A2581)=Reference!$C$5,1,0))+(IF(MONTH($A2581)=Reference!$C$6,Reference!$C$13,0))),0)</f>
        <v>382</v>
      </c>
      <c r="C2581" s="11">
        <f ca="1">B2581*Reference!$C$7*(1-IF(MONTH($A2581)=Reference!$C$6,1,0)*Reference!$C$12)</f>
        <v>355260</v>
      </c>
      <c r="D2581" s="10">
        <f ca="1">ROUND(_xlfn.NORM.INV(RAND(),Reference!$D$8,0.1*Reference!$D$8)*(1+Reference!$D$11*(IF(MONTH($A2581)=Reference!$D$4,1,0)+IF(MONTH($A2581)=Reference!$D$5,1,0))+(IF(MONTH($A2581)=Reference!$D$6,Reference!$D$13,0))),0)</f>
        <v>488</v>
      </c>
      <c r="E2581" s="11">
        <f ca="1">D2581*Reference!$D$7*(1-IF(MONTH($A2581)=Reference!$D$6,1,0)*Reference!$D$12)</f>
        <v>366000</v>
      </c>
      <c r="M2581" s="20"/>
      <c r="N2581" s="20"/>
      <c r="O2581" s="19"/>
      <c r="P2581" s="10"/>
      <c r="Q2581" s="10"/>
      <c r="R2581" s="10"/>
      <c r="S2581" s="10"/>
      <c r="T2581" s="10"/>
      <c r="U2581" s="10"/>
      <c r="V2581" s="10"/>
      <c r="W2581" s="10"/>
      <c r="X2581" s="10"/>
      <c r="Y2581" s="10"/>
    </row>
    <row r="2582" spans="1:25" x14ac:dyDescent="0.25">
      <c r="A2582" s="9">
        <v>43120</v>
      </c>
      <c r="B2582" s="10">
        <f ca="1">ROUND(_xlfn.NORM.INV(RAND(),Reference!$C$8,0.1*Reference!$C$8)*(1+Reference!$C$11*(IF(MONTH($A2582)=Reference!$C$4,1,0)+IF(MONTH($A2582)=Reference!$C$5,1,0))+(IF(MONTH($A2582)=Reference!$C$6,Reference!$C$13,0))),0)</f>
        <v>341</v>
      </c>
      <c r="C2582" s="11">
        <f ca="1">B2582*Reference!$C$7*(1-IF(MONTH($A2582)=Reference!$C$6,1,0)*Reference!$C$12)</f>
        <v>317130</v>
      </c>
      <c r="D2582" s="10">
        <f ca="1">ROUND(_xlfn.NORM.INV(RAND(),Reference!$D$8,0.1*Reference!$D$8)*(1+Reference!$D$11*(IF(MONTH($A2582)=Reference!$D$4,1,0)+IF(MONTH($A2582)=Reference!$D$5,1,0))+(IF(MONTH($A2582)=Reference!$D$6,Reference!$D$13,0))),0)</f>
        <v>370</v>
      </c>
      <c r="E2582" s="11">
        <f ca="1">D2582*Reference!$D$7*(1-IF(MONTH($A2582)=Reference!$D$6,1,0)*Reference!$D$12)</f>
        <v>277500</v>
      </c>
      <c r="M2582" s="20"/>
      <c r="N2582" s="20"/>
      <c r="O2582" s="19"/>
      <c r="P2582" s="10"/>
      <c r="Q2582" s="10"/>
      <c r="R2582" s="10"/>
      <c r="S2582" s="10"/>
      <c r="T2582" s="10"/>
      <c r="U2582" s="10"/>
      <c r="V2582" s="10"/>
      <c r="W2582" s="10"/>
      <c r="X2582" s="10"/>
      <c r="Y2582" s="10"/>
    </row>
    <row r="2583" spans="1:25" x14ac:dyDescent="0.25">
      <c r="A2583" s="9">
        <v>43121</v>
      </c>
      <c r="B2583" s="10">
        <f ca="1">ROUND(_xlfn.NORM.INV(RAND(),Reference!$C$8,0.1*Reference!$C$8)*(1+Reference!$C$11*(IF(MONTH($A2583)=Reference!$C$4,1,0)+IF(MONTH($A2583)=Reference!$C$5,1,0))+(IF(MONTH($A2583)=Reference!$C$6,Reference!$C$13,0))),0)</f>
        <v>389</v>
      </c>
      <c r="C2583" s="11">
        <f ca="1">B2583*Reference!$C$7*(1-IF(MONTH($A2583)=Reference!$C$6,1,0)*Reference!$C$12)</f>
        <v>361770</v>
      </c>
      <c r="D2583" s="10">
        <f ca="1">ROUND(_xlfn.NORM.INV(RAND(),Reference!$D$8,0.1*Reference!$D$8)*(1+Reference!$D$11*(IF(MONTH($A2583)=Reference!$D$4,1,0)+IF(MONTH($A2583)=Reference!$D$5,1,0))+(IF(MONTH($A2583)=Reference!$D$6,Reference!$D$13,0))),0)</f>
        <v>479</v>
      </c>
      <c r="E2583" s="11">
        <f ca="1">D2583*Reference!$D$7*(1-IF(MONTH($A2583)=Reference!$D$6,1,0)*Reference!$D$12)</f>
        <v>359250</v>
      </c>
      <c r="M2583" s="20"/>
      <c r="N2583" s="20"/>
      <c r="O2583" s="19"/>
      <c r="P2583" s="10"/>
      <c r="Q2583" s="10"/>
      <c r="R2583" s="10"/>
      <c r="S2583" s="10"/>
      <c r="T2583" s="10"/>
      <c r="U2583" s="10"/>
      <c r="V2583" s="10"/>
      <c r="W2583" s="10"/>
      <c r="X2583" s="10"/>
      <c r="Y2583" s="10"/>
    </row>
    <row r="2584" spans="1:25" x14ac:dyDescent="0.25">
      <c r="A2584" s="9">
        <v>43122</v>
      </c>
      <c r="B2584" s="10">
        <f ca="1">ROUND(_xlfn.NORM.INV(RAND(),Reference!$C$8,0.1*Reference!$C$8)*(1+Reference!$C$11*(IF(MONTH($A2584)=Reference!$C$4,1,0)+IF(MONTH($A2584)=Reference!$C$5,1,0))+(IF(MONTH($A2584)=Reference!$C$6,Reference!$C$13,0))),0)</f>
        <v>361</v>
      </c>
      <c r="C2584" s="11">
        <f ca="1">B2584*Reference!$C$7*(1-IF(MONTH($A2584)=Reference!$C$6,1,0)*Reference!$C$12)</f>
        <v>335730</v>
      </c>
      <c r="D2584" s="10">
        <f ca="1">ROUND(_xlfn.NORM.INV(RAND(),Reference!$D$8,0.1*Reference!$D$8)*(1+Reference!$D$11*(IF(MONTH($A2584)=Reference!$D$4,1,0)+IF(MONTH($A2584)=Reference!$D$5,1,0))+(IF(MONTH($A2584)=Reference!$D$6,Reference!$D$13,0))),0)</f>
        <v>431</v>
      </c>
      <c r="E2584" s="11">
        <f ca="1">D2584*Reference!$D$7*(1-IF(MONTH($A2584)=Reference!$D$6,1,0)*Reference!$D$12)</f>
        <v>323250</v>
      </c>
      <c r="M2584" s="20"/>
      <c r="N2584" s="20"/>
      <c r="O2584" s="19"/>
      <c r="P2584" s="10"/>
      <c r="Q2584" s="10"/>
      <c r="R2584" s="10"/>
      <c r="S2584" s="10"/>
      <c r="T2584" s="10"/>
      <c r="U2584" s="10"/>
      <c r="V2584" s="10"/>
      <c r="W2584" s="10"/>
      <c r="X2584" s="10"/>
      <c r="Y2584" s="10"/>
    </row>
    <row r="2585" spans="1:25" x14ac:dyDescent="0.25">
      <c r="A2585" s="9">
        <v>43123</v>
      </c>
      <c r="B2585" s="10">
        <f ca="1">ROUND(_xlfn.NORM.INV(RAND(),Reference!$C$8,0.1*Reference!$C$8)*(1+Reference!$C$11*(IF(MONTH($A2585)=Reference!$C$4,1,0)+IF(MONTH($A2585)=Reference!$C$5,1,0))+(IF(MONTH($A2585)=Reference!$C$6,Reference!$C$13,0))),0)</f>
        <v>343</v>
      </c>
      <c r="C2585" s="11">
        <f ca="1">B2585*Reference!$C$7*(1-IF(MONTH($A2585)=Reference!$C$6,1,0)*Reference!$C$12)</f>
        <v>318990</v>
      </c>
      <c r="D2585" s="10">
        <f ca="1">ROUND(_xlfn.NORM.INV(RAND(),Reference!$D$8,0.1*Reference!$D$8)*(1+Reference!$D$11*(IF(MONTH($A2585)=Reference!$D$4,1,0)+IF(MONTH($A2585)=Reference!$D$5,1,0))+(IF(MONTH($A2585)=Reference!$D$6,Reference!$D$13,0))),0)</f>
        <v>485</v>
      </c>
      <c r="E2585" s="11">
        <f ca="1">D2585*Reference!$D$7*(1-IF(MONTH($A2585)=Reference!$D$6,1,0)*Reference!$D$12)</f>
        <v>363750</v>
      </c>
      <c r="M2585" s="20"/>
      <c r="N2585" s="20"/>
      <c r="O2585" s="19"/>
      <c r="P2585" s="10"/>
      <c r="Q2585" s="10"/>
      <c r="R2585" s="10"/>
      <c r="S2585" s="10"/>
      <c r="T2585" s="10"/>
      <c r="U2585" s="10"/>
      <c r="V2585" s="10"/>
      <c r="W2585" s="10"/>
      <c r="X2585" s="10"/>
      <c r="Y2585" s="10"/>
    </row>
    <row r="2586" spans="1:25" x14ac:dyDescent="0.25">
      <c r="A2586" s="9">
        <v>43124</v>
      </c>
      <c r="B2586" s="10">
        <f ca="1">ROUND(_xlfn.NORM.INV(RAND(),Reference!$C$8,0.1*Reference!$C$8)*(1+Reference!$C$11*(IF(MONTH($A2586)=Reference!$C$4,1,0)+IF(MONTH($A2586)=Reference!$C$5,1,0))+(IF(MONTH($A2586)=Reference!$C$6,Reference!$C$13,0))),0)</f>
        <v>334</v>
      </c>
      <c r="C2586" s="11">
        <f ca="1">B2586*Reference!$C$7*(1-IF(MONTH($A2586)=Reference!$C$6,1,0)*Reference!$C$12)</f>
        <v>310620</v>
      </c>
      <c r="D2586" s="10">
        <f ca="1">ROUND(_xlfn.NORM.INV(RAND(),Reference!$D$8,0.1*Reference!$D$8)*(1+Reference!$D$11*(IF(MONTH($A2586)=Reference!$D$4,1,0)+IF(MONTH($A2586)=Reference!$D$5,1,0))+(IF(MONTH($A2586)=Reference!$D$6,Reference!$D$13,0))),0)</f>
        <v>408</v>
      </c>
      <c r="E2586" s="11">
        <f ca="1">D2586*Reference!$D$7*(1-IF(MONTH($A2586)=Reference!$D$6,1,0)*Reference!$D$12)</f>
        <v>306000</v>
      </c>
      <c r="M2586" s="20"/>
      <c r="N2586" s="20"/>
      <c r="O2586" s="19"/>
      <c r="P2586" s="10"/>
      <c r="Q2586" s="10"/>
      <c r="R2586" s="10"/>
      <c r="S2586" s="10"/>
      <c r="T2586" s="10"/>
      <c r="U2586" s="10"/>
      <c r="V2586" s="10"/>
      <c r="W2586" s="10"/>
      <c r="X2586" s="10"/>
      <c r="Y2586" s="10"/>
    </row>
    <row r="2587" spans="1:25" x14ac:dyDescent="0.25">
      <c r="A2587" s="9">
        <v>43125</v>
      </c>
      <c r="B2587" s="10">
        <f ca="1">ROUND(_xlfn.NORM.INV(RAND(),Reference!$C$8,0.1*Reference!$C$8)*(1+Reference!$C$11*(IF(MONTH($A2587)=Reference!$C$4,1,0)+IF(MONTH($A2587)=Reference!$C$5,1,0))+(IF(MONTH($A2587)=Reference!$C$6,Reference!$C$13,0))),0)</f>
        <v>364</v>
      </c>
      <c r="C2587" s="11">
        <f ca="1">B2587*Reference!$C$7*(1-IF(MONTH($A2587)=Reference!$C$6,1,0)*Reference!$C$12)</f>
        <v>338520</v>
      </c>
      <c r="D2587" s="10">
        <f ca="1">ROUND(_xlfn.NORM.INV(RAND(),Reference!$D$8,0.1*Reference!$D$8)*(1+Reference!$D$11*(IF(MONTH($A2587)=Reference!$D$4,1,0)+IF(MONTH($A2587)=Reference!$D$5,1,0))+(IF(MONTH($A2587)=Reference!$D$6,Reference!$D$13,0))),0)</f>
        <v>480</v>
      </c>
      <c r="E2587" s="11">
        <f ca="1">D2587*Reference!$D$7*(1-IF(MONTH($A2587)=Reference!$D$6,1,0)*Reference!$D$12)</f>
        <v>360000</v>
      </c>
      <c r="M2587" s="20"/>
      <c r="N2587" s="20"/>
      <c r="O2587" s="19"/>
      <c r="P2587" s="10"/>
      <c r="Q2587" s="10"/>
      <c r="R2587" s="10"/>
      <c r="S2587" s="10"/>
      <c r="T2587" s="10"/>
      <c r="U2587" s="10"/>
      <c r="V2587" s="10"/>
      <c r="W2587" s="10"/>
      <c r="X2587" s="10"/>
      <c r="Y2587" s="10"/>
    </row>
    <row r="2588" spans="1:25" x14ac:dyDescent="0.25">
      <c r="A2588" s="9">
        <v>43126</v>
      </c>
      <c r="B2588" s="10">
        <f ca="1">ROUND(_xlfn.NORM.INV(RAND(),Reference!$C$8,0.1*Reference!$C$8)*(1+Reference!$C$11*(IF(MONTH($A2588)=Reference!$C$4,1,0)+IF(MONTH($A2588)=Reference!$C$5,1,0))+(IF(MONTH($A2588)=Reference!$C$6,Reference!$C$13,0))),0)</f>
        <v>365</v>
      </c>
      <c r="C2588" s="11">
        <f ca="1">B2588*Reference!$C$7*(1-IF(MONTH($A2588)=Reference!$C$6,1,0)*Reference!$C$12)</f>
        <v>339450</v>
      </c>
      <c r="D2588" s="10">
        <f ca="1">ROUND(_xlfn.NORM.INV(RAND(),Reference!$D$8,0.1*Reference!$D$8)*(1+Reference!$D$11*(IF(MONTH($A2588)=Reference!$D$4,1,0)+IF(MONTH($A2588)=Reference!$D$5,1,0))+(IF(MONTH($A2588)=Reference!$D$6,Reference!$D$13,0))),0)</f>
        <v>470</v>
      </c>
      <c r="E2588" s="11">
        <f ca="1">D2588*Reference!$D$7*(1-IF(MONTH($A2588)=Reference!$D$6,1,0)*Reference!$D$12)</f>
        <v>352500</v>
      </c>
      <c r="M2588" s="20"/>
      <c r="N2588" s="20"/>
      <c r="O2588" s="19"/>
      <c r="P2588" s="10"/>
      <c r="Q2588" s="10"/>
      <c r="R2588" s="10"/>
      <c r="S2588" s="10"/>
      <c r="T2588" s="10"/>
      <c r="U2588" s="10"/>
      <c r="V2588" s="10"/>
      <c r="W2588" s="10"/>
      <c r="X2588" s="10"/>
      <c r="Y2588" s="10"/>
    </row>
    <row r="2589" spans="1:25" x14ac:dyDescent="0.25">
      <c r="A2589" s="9">
        <v>43127</v>
      </c>
      <c r="B2589" s="10">
        <f ca="1">ROUND(_xlfn.NORM.INV(RAND(),Reference!$C$8,0.1*Reference!$C$8)*(1+Reference!$C$11*(IF(MONTH($A2589)=Reference!$C$4,1,0)+IF(MONTH($A2589)=Reference!$C$5,1,0))+(IF(MONTH($A2589)=Reference!$C$6,Reference!$C$13,0))),0)</f>
        <v>274</v>
      </c>
      <c r="C2589" s="11">
        <f ca="1">B2589*Reference!$C$7*(1-IF(MONTH($A2589)=Reference!$C$6,1,0)*Reference!$C$12)</f>
        <v>254820</v>
      </c>
      <c r="D2589" s="10">
        <f ca="1">ROUND(_xlfn.NORM.INV(RAND(),Reference!$D$8,0.1*Reference!$D$8)*(1+Reference!$D$11*(IF(MONTH($A2589)=Reference!$D$4,1,0)+IF(MONTH($A2589)=Reference!$D$5,1,0))+(IF(MONTH($A2589)=Reference!$D$6,Reference!$D$13,0))),0)</f>
        <v>440</v>
      </c>
      <c r="E2589" s="11">
        <f ca="1">D2589*Reference!$D$7*(1-IF(MONTH($A2589)=Reference!$D$6,1,0)*Reference!$D$12)</f>
        <v>330000</v>
      </c>
      <c r="M2589" s="20"/>
      <c r="N2589" s="20"/>
      <c r="O2589" s="19"/>
      <c r="P2589" s="10"/>
      <c r="Q2589" s="10"/>
      <c r="R2589" s="10"/>
      <c r="S2589" s="10"/>
      <c r="T2589" s="10"/>
      <c r="U2589" s="10"/>
      <c r="V2589" s="10"/>
      <c r="W2589" s="10"/>
      <c r="X2589" s="10"/>
      <c r="Y2589" s="10"/>
    </row>
    <row r="2590" spans="1:25" x14ac:dyDescent="0.25">
      <c r="A2590" s="9">
        <v>43128</v>
      </c>
      <c r="B2590" s="10">
        <f ca="1">ROUND(_xlfn.NORM.INV(RAND(),Reference!$C$8,0.1*Reference!$C$8)*(1+Reference!$C$11*(IF(MONTH($A2590)=Reference!$C$4,1,0)+IF(MONTH($A2590)=Reference!$C$5,1,0))+(IF(MONTH($A2590)=Reference!$C$6,Reference!$C$13,0))),0)</f>
        <v>404</v>
      </c>
      <c r="C2590" s="11">
        <f ca="1">B2590*Reference!$C$7*(1-IF(MONTH($A2590)=Reference!$C$6,1,0)*Reference!$C$12)</f>
        <v>375720</v>
      </c>
      <c r="D2590" s="10">
        <f ca="1">ROUND(_xlfn.NORM.INV(RAND(),Reference!$D$8,0.1*Reference!$D$8)*(1+Reference!$D$11*(IF(MONTH($A2590)=Reference!$D$4,1,0)+IF(MONTH($A2590)=Reference!$D$5,1,0))+(IF(MONTH($A2590)=Reference!$D$6,Reference!$D$13,0))),0)</f>
        <v>482</v>
      </c>
      <c r="E2590" s="11">
        <f ca="1">D2590*Reference!$D$7*(1-IF(MONTH($A2590)=Reference!$D$6,1,0)*Reference!$D$12)</f>
        <v>361500</v>
      </c>
      <c r="M2590" s="20"/>
      <c r="N2590" s="20"/>
      <c r="O2590" s="19"/>
      <c r="P2590" s="10"/>
      <c r="Q2590" s="10"/>
      <c r="R2590" s="10"/>
      <c r="S2590" s="10"/>
      <c r="T2590" s="10"/>
      <c r="U2590" s="10"/>
      <c r="V2590" s="10"/>
      <c r="W2590" s="10"/>
      <c r="X2590" s="10"/>
      <c r="Y2590" s="10"/>
    </row>
    <row r="2591" spans="1:25" x14ac:dyDescent="0.25">
      <c r="A2591" s="9">
        <v>43129</v>
      </c>
      <c r="B2591" s="10">
        <f ca="1">ROUND(_xlfn.NORM.INV(RAND(),Reference!$C$8,0.1*Reference!$C$8)*(1+Reference!$C$11*(IF(MONTH($A2591)=Reference!$C$4,1,0)+IF(MONTH($A2591)=Reference!$C$5,1,0))+(IF(MONTH($A2591)=Reference!$C$6,Reference!$C$13,0))),0)</f>
        <v>365</v>
      </c>
      <c r="C2591" s="11">
        <f ca="1">B2591*Reference!$C$7*(1-IF(MONTH($A2591)=Reference!$C$6,1,0)*Reference!$C$12)</f>
        <v>339450</v>
      </c>
      <c r="D2591" s="10">
        <f ca="1">ROUND(_xlfn.NORM.INV(RAND(),Reference!$D$8,0.1*Reference!$D$8)*(1+Reference!$D$11*(IF(MONTH($A2591)=Reference!$D$4,1,0)+IF(MONTH($A2591)=Reference!$D$5,1,0))+(IF(MONTH($A2591)=Reference!$D$6,Reference!$D$13,0))),0)</f>
        <v>499</v>
      </c>
      <c r="E2591" s="11">
        <f ca="1">D2591*Reference!$D$7*(1-IF(MONTH($A2591)=Reference!$D$6,1,0)*Reference!$D$12)</f>
        <v>374250</v>
      </c>
      <c r="M2591" s="20"/>
      <c r="N2591" s="20"/>
      <c r="O2591" s="19"/>
      <c r="P2591" s="10"/>
      <c r="Q2591" s="10"/>
      <c r="R2591" s="10"/>
      <c r="S2591" s="10"/>
      <c r="T2591" s="10"/>
      <c r="U2591" s="10"/>
      <c r="V2591" s="10"/>
      <c r="W2591" s="10"/>
      <c r="X2591" s="10"/>
      <c r="Y2591" s="10"/>
    </row>
    <row r="2592" spans="1:25" x14ac:dyDescent="0.25">
      <c r="A2592" s="9">
        <v>43130</v>
      </c>
      <c r="B2592" s="10">
        <f ca="1">ROUND(_xlfn.NORM.INV(RAND(),Reference!$C$8,0.1*Reference!$C$8)*(1+Reference!$C$11*(IF(MONTH($A2592)=Reference!$C$4,1,0)+IF(MONTH($A2592)=Reference!$C$5,1,0))+(IF(MONTH($A2592)=Reference!$C$6,Reference!$C$13,0))),0)</f>
        <v>360</v>
      </c>
      <c r="C2592" s="11">
        <f ca="1">B2592*Reference!$C$7*(1-IF(MONTH($A2592)=Reference!$C$6,1,0)*Reference!$C$12)</f>
        <v>334800</v>
      </c>
      <c r="D2592" s="10">
        <f ca="1">ROUND(_xlfn.NORM.INV(RAND(),Reference!$D$8,0.1*Reference!$D$8)*(1+Reference!$D$11*(IF(MONTH($A2592)=Reference!$D$4,1,0)+IF(MONTH($A2592)=Reference!$D$5,1,0))+(IF(MONTH($A2592)=Reference!$D$6,Reference!$D$13,0))),0)</f>
        <v>444</v>
      </c>
      <c r="E2592" s="11">
        <f ca="1">D2592*Reference!$D$7*(1-IF(MONTH($A2592)=Reference!$D$6,1,0)*Reference!$D$12)</f>
        <v>333000</v>
      </c>
      <c r="M2592" s="20"/>
      <c r="N2592" s="20"/>
      <c r="O2592" s="19"/>
      <c r="P2592" s="10"/>
      <c r="Q2592" s="10"/>
      <c r="R2592" s="10"/>
      <c r="S2592" s="10"/>
      <c r="T2592" s="10"/>
      <c r="U2592" s="10"/>
      <c r="V2592" s="10"/>
      <c r="W2592" s="10"/>
      <c r="X2592" s="10"/>
      <c r="Y2592" s="10"/>
    </row>
    <row r="2593" spans="1:25" x14ac:dyDescent="0.25">
      <c r="A2593" s="9">
        <v>43131</v>
      </c>
      <c r="B2593" s="10">
        <f ca="1">ROUND(_xlfn.NORM.INV(RAND(),Reference!$C$8,0.1*Reference!$C$8)*(1+Reference!$C$11*(IF(MONTH($A2593)=Reference!$C$4,1,0)+IF(MONTH($A2593)=Reference!$C$5,1,0))+(IF(MONTH($A2593)=Reference!$C$6,Reference!$C$13,0))),0)</f>
        <v>375</v>
      </c>
      <c r="C2593" s="11">
        <f ca="1">B2593*Reference!$C$7*(1-IF(MONTH($A2593)=Reference!$C$6,1,0)*Reference!$C$12)</f>
        <v>348750</v>
      </c>
      <c r="D2593" s="10">
        <f ca="1">ROUND(_xlfn.NORM.INV(RAND(),Reference!$D$8,0.1*Reference!$D$8)*(1+Reference!$D$11*(IF(MONTH($A2593)=Reference!$D$4,1,0)+IF(MONTH($A2593)=Reference!$D$5,1,0))+(IF(MONTH($A2593)=Reference!$D$6,Reference!$D$13,0))),0)</f>
        <v>399</v>
      </c>
      <c r="E2593" s="11">
        <f ca="1">D2593*Reference!$D$7*(1-IF(MONTH($A2593)=Reference!$D$6,1,0)*Reference!$D$12)</f>
        <v>299250</v>
      </c>
      <c r="M2593" s="20"/>
      <c r="N2593" s="20"/>
      <c r="O2593" s="19"/>
      <c r="P2593" s="10"/>
      <c r="Q2593" s="10"/>
      <c r="R2593" s="10"/>
      <c r="S2593" s="10"/>
      <c r="T2593" s="10"/>
      <c r="U2593" s="10"/>
      <c r="V2593" s="10"/>
      <c r="W2593" s="10"/>
      <c r="X2593" s="10"/>
      <c r="Y2593" s="10"/>
    </row>
    <row r="2594" spans="1:25" x14ac:dyDescent="0.25">
      <c r="A2594" s="9">
        <v>43132</v>
      </c>
      <c r="B2594" s="10">
        <f ca="1">ROUND(_xlfn.NORM.INV(RAND(),Reference!$C$8,0.1*Reference!$C$8)*(1+Reference!$C$11*(IF(MONTH($A2594)=Reference!$C$4,1,0)+IF(MONTH($A2594)=Reference!$C$5,1,0))+(IF(MONTH($A2594)=Reference!$C$6,Reference!$C$13,0))),0)</f>
        <v>382</v>
      </c>
      <c r="C2594" s="11">
        <f ca="1">B2594*Reference!$C$7*(1-IF(MONTH($A2594)=Reference!$C$6,1,0)*Reference!$C$12)</f>
        <v>355260</v>
      </c>
      <c r="D2594" s="10">
        <f ca="1">ROUND(_xlfn.NORM.INV(RAND(),Reference!$D$8,0.1*Reference!$D$8)*(1+Reference!$D$11*(IF(MONTH($A2594)=Reference!$D$4,1,0)+IF(MONTH($A2594)=Reference!$D$5,1,0))+(IF(MONTH($A2594)=Reference!$D$6,Reference!$D$13,0))),0)</f>
        <v>462</v>
      </c>
      <c r="E2594" s="11">
        <f ca="1">D2594*Reference!$D$7*(1-IF(MONTH($A2594)=Reference!$D$6,1,0)*Reference!$D$12)</f>
        <v>346500</v>
      </c>
      <c r="M2594" s="20"/>
      <c r="N2594" s="20"/>
      <c r="O2594" s="19"/>
      <c r="P2594" s="10"/>
      <c r="Q2594" s="10"/>
      <c r="R2594" s="10"/>
      <c r="S2594" s="10"/>
      <c r="T2594" s="10"/>
      <c r="U2594" s="10"/>
      <c r="V2594" s="10"/>
      <c r="W2594" s="10"/>
      <c r="X2594" s="10"/>
      <c r="Y2594" s="10"/>
    </row>
    <row r="2595" spans="1:25" x14ac:dyDescent="0.25">
      <c r="A2595" s="9">
        <v>43133</v>
      </c>
      <c r="B2595" s="10">
        <f ca="1">ROUND(_xlfn.NORM.INV(RAND(),Reference!$C$8,0.1*Reference!$C$8)*(1+Reference!$C$11*(IF(MONTH($A2595)=Reference!$C$4,1,0)+IF(MONTH($A2595)=Reference!$C$5,1,0))+(IF(MONTH($A2595)=Reference!$C$6,Reference!$C$13,0))),0)</f>
        <v>336</v>
      </c>
      <c r="C2595" s="11">
        <f ca="1">B2595*Reference!$C$7*(1-IF(MONTH($A2595)=Reference!$C$6,1,0)*Reference!$C$12)</f>
        <v>312480</v>
      </c>
      <c r="D2595" s="10">
        <f ca="1">ROUND(_xlfn.NORM.INV(RAND(),Reference!$D$8,0.1*Reference!$D$8)*(1+Reference!$D$11*(IF(MONTH($A2595)=Reference!$D$4,1,0)+IF(MONTH($A2595)=Reference!$D$5,1,0))+(IF(MONTH($A2595)=Reference!$D$6,Reference!$D$13,0))),0)</f>
        <v>429</v>
      </c>
      <c r="E2595" s="11">
        <f ca="1">D2595*Reference!$D$7*(1-IF(MONTH($A2595)=Reference!$D$6,1,0)*Reference!$D$12)</f>
        <v>321750</v>
      </c>
      <c r="M2595" s="20"/>
      <c r="N2595" s="20"/>
      <c r="O2595" s="19"/>
      <c r="P2595" s="10"/>
      <c r="Q2595" s="10"/>
      <c r="R2595" s="10"/>
      <c r="S2595" s="10"/>
      <c r="T2595" s="10"/>
      <c r="U2595" s="10"/>
      <c r="V2595" s="10"/>
      <c r="W2595" s="10"/>
      <c r="X2595" s="10"/>
      <c r="Y2595" s="10"/>
    </row>
    <row r="2596" spans="1:25" x14ac:dyDescent="0.25">
      <c r="A2596" s="9">
        <v>43134</v>
      </c>
      <c r="B2596" s="10">
        <f ca="1">ROUND(_xlfn.NORM.INV(RAND(),Reference!$C$8,0.1*Reference!$C$8)*(1+Reference!$C$11*(IF(MONTH($A2596)=Reference!$C$4,1,0)+IF(MONTH($A2596)=Reference!$C$5,1,0))+(IF(MONTH($A2596)=Reference!$C$6,Reference!$C$13,0))),0)</f>
        <v>314</v>
      </c>
      <c r="C2596" s="11">
        <f ca="1">B2596*Reference!$C$7*(1-IF(MONTH($A2596)=Reference!$C$6,1,0)*Reference!$C$12)</f>
        <v>292020</v>
      </c>
      <c r="D2596" s="10">
        <f ca="1">ROUND(_xlfn.NORM.INV(RAND(),Reference!$D$8,0.1*Reference!$D$8)*(1+Reference!$D$11*(IF(MONTH($A2596)=Reference!$D$4,1,0)+IF(MONTH($A2596)=Reference!$D$5,1,0))+(IF(MONTH($A2596)=Reference!$D$6,Reference!$D$13,0))),0)</f>
        <v>442</v>
      </c>
      <c r="E2596" s="11">
        <f ca="1">D2596*Reference!$D$7*(1-IF(MONTH($A2596)=Reference!$D$6,1,0)*Reference!$D$12)</f>
        <v>331500</v>
      </c>
      <c r="M2596" s="20"/>
      <c r="N2596" s="20"/>
      <c r="O2596" s="19"/>
      <c r="P2596" s="10"/>
      <c r="Q2596" s="10"/>
      <c r="R2596" s="10"/>
      <c r="S2596" s="10"/>
      <c r="T2596" s="10"/>
      <c r="U2596" s="10"/>
      <c r="V2596" s="10"/>
      <c r="W2596" s="10"/>
      <c r="X2596" s="10"/>
      <c r="Y2596" s="10"/>
    </row>
    <row r="2597" spans="1:25" x14ac:dyDescent="0.25">
      <c r="A2597" s="9">
        <v>43135</v>
      </c>
      <c r="B2597" s="10">
        <f ca="1">ROUND(_xlfn.NORM.INV(RAND(),Reference!$C$8,0.1*Reference!$C$8)*(1+Reference!$C$11*(IF(MONTH($A2597)=Reference!$C$4,1,0)+IF(MONTH($A2597)=Reference!$C$5,1,0))+(IF(MONTH($A2597)=Reference!$C$6,Reference!$C$13,0))),0)</f>
        <v>387</v>
      </c>
      <c r="C2597" s="11">
        <f ca="1">B2597*Reference!$C$7*(1-IF(MONTH($A2597)=Reference!$C$6,1,0)*Reference!$C$12)</f>
        <v>359910</v>
      </c>
      <c r="D2597" s="10">
        <f ca="1">ROUND(_xlfn.NORM.INV(RAND(),Reference!$D$8,0.1*Reference!$D$8)*(1+Reference!$D$11*(IF(MONTH($A2597)=Reference!$D$4,1,0)+IF(MONTH($A2597)=Reference!$D$5,1,0))+(IF(MONTH($A2597)=Reference!$D$6,Reference!$D$13,0))),0)</f>
        <v>423</v>
      </c>
      <c r="E2597" s="11">
        <f ca="1">D2597*Reference!$D$7*(1-IF(MONTH($A2597)=Reference!$D$6,1,0)*Reference!$D$12)</f>
        <v>317250</v>
      </c>
      <c r="M2597" s="20"/>
      <c r="N2597" s="20"/>
      <c r="O2597" s="19"/>
      <c r="P2597" s="10"/>
      <c r="Q2597" s="10"/>
      <c r="R2597" s="10"/>
      <c r="S2597" s="10"/>
      <c r="T2597" s="10"/>
      <c r="U2597" s="10"/>
      <c r="V2597" s="10"/>
      <c r="W2597" s="10"/>
      <c r="X2597" s="10"/>
      <c r="Y2597" s="10"/>
    </row>
    <row r="2598" spans="1:25" x14ac:dyDescent="0.25">
      <c r="A2598" s="9">
        <v>43136</v>
      </c>
      <c r="B2598" s="10">
        <f ca="1">ROUND(_xlfn.NORM.INV(RAND(),Reference!$C$8,0.1*Reference!$C$8)*(1+Reference!$C$11*(IF(MONTH($A2598)=Reference!$C$4,1,0)+IF(MONTH($A2598)=Reference!$C$5,1,0))+(IF(MONTH($A2598)=Reference!$C$6,Reference!$C$13,0))),0)</f>
        <v>346</v>
      </c>
      <c r="C2598" s="11">
        <f ca="1">B2598*Reference!$C$7*(1-IF(MONTH($A2598)=Reference!$C$6,1,0)*Reference!$C$12)</f>
        <v>321780</v>
      </c>
      <c r="D2598" s="10">
        <f ca="1">ROUND(_xlfn.NORM.INV(RAND(),Reference!$D$8,0.1*Reference!$D$8)*(1+Reference!$D$11*(IF(MONTH($A2598)=Reference!$D$4,1,0)+IF(MONTH($A2598)=Reference!$D$5,1,0))+(IF(MONTH($A2598)=Reference!$D$6,Reference!$D$13,0))),0)</f>
        <v>451</v>
      </c>
      <c r="E2598" s="11">
        <f ca="1">D2598*Reference!$D$7*(1-IF(MONTH($A2598)=Reference!$D$6,1,0)*Reference!$D$12)</f>
        <v>338250</v>
      </c>
      <c r="M2598" s="20"/>
      <c r="N2598" s="20"/>
      <c r="O2598" s="19"/>
      <c r="P2598" s="10"/>
      <c r="Q2598" s="10"/>
      <c r="R2598" s="10"/>
      <c r="S2598" s="10"/>
      <c r="T2598" s="10"/>
      <c r="U2598" s="10"/>
      <c r="V2598" s="10"/>
      <c r="W2598" s="10"/>
      <c r="X2598" s="10"/>
      <c r="Y2598" s="10"/>
    </row>
    <row r="2599" spans="1:25" x14ac:dyDescent="0.25">
      <c r="A2599" s="9">
        <v>43137</v>
      </c>
      <c r="B2599" s="10">
        <f ca="1">ROUND(_xlfn.NORM.INV(RAND(),Reference!$C$8,0.1*Reference!$C$8)*(1+Reference!$C$11*(IF(MONTH($A2599)=Reference!$C$4,1,0)+IF(MONTH($A2599)=Reference!$C$5,1,0))+(IF(MONTH($A2599)=Reference!$C$6,Reference!$C$13,0))),0)</f>
        <v>370</v>
      </c>
      <c r="C2599" s="11">
        <f ca="1">B2599*Reference!$C$7*(1-IF(MONTH($A2599)=Reference!$C$6,1,0)*Reference!$C$12)</f>
        <v>344100</v>
      </c>
      <c r="D2599" s="10">
        <f ca="1">ROUND(_xlfn.NORM.INV(RAND(),Reference!$D$8,0.1*Reference!$D$8)*(1+Reference!$D$11*(IF(MONTH($A2599)=Reference!$D$4,1,0)+IF(MONTH($A2599)=Reference!$D$5,1,0))+(IF(MONTH($A2599)=Reference!$D$6,Reference!$D$13,0))),0)</f>
        <v>444</v>
      </c>
      <c r="E2599" s="11">
        <f ca="1">D2599*Reference!$D$7*(1-IF(MONTH($A2599)=Reference!$D$6,1,0)*Reference!$D$12)</f>
        <v>333000</v>
      </c>
      <c r="M2599" s="20"/>
      <c r="N2599" s="20"/>
      <c r="O2599" s="19"/>
      <c r="P2599" s="10"/>
      <c r="Q2599" s="10"/>
      <c r="R2599" s="10"/>
      <c r="S2599" s="10"/>
      <c r="T2599" s="10"/>
      <c r="U2599" s="10"/>
      <c r="V2599" s="10"/>
      <c r="W2599" s="10"/>
      <c r="X2599" s="10"/>
      <c r="Y2599" s="10"/>
    </row>
    <row r="2600" spans="1:25" x14ac:dyDescent="0.25">
      <c r="A2600" s="9">
        <v>43138</v>
      </c>
      <c r="B2600" s="10">
        <f ca="1">ROUND(_xlfn.NORM.INV(RAND(),Reference!$C$8,0.1*Reference!$C$8)*(1+Reference!$C$11*(IF(MONTH($A2600)=Reference!$C$4,1,0)+IF(MONTH($A2600)=Reference!$C$5,1,0))+(IF(MONTH($A2600)=Reference!$C$6,Reference!$C$13,0))),0)</f>
        <v>443</v>
      </c>
      <c r="C2600" s="11">
        <f ca="1">B2600*Reference!$C$7*(1-IF(MONTH($A2600)=Reference!$C$6,1,0)*Reference!$C$12)</f>
        <v>411990</v>
      </c>
      <c r="D2600" s="10">
        <f ca="1">ROUND(_xlfn.NORM.INV(RAND(),Reference!$D$8,0.1*Reference!$D$8)*(1+Reference!$D$11*(IF(MONTH($A2600)=Reference!$D$4,1,0)+IF(MONTH($A2600)=Reference!$D$5,1,0))+(IF(MONTH($A2600)=Reference!$D$6,Reference!$D$13,0))),0)</f>
        <v>387</v>
      </c>
      <c r="E2600" s="11">
        <f ca="1">D2600*Reference!$D$7*(1-IF(MONTH($A2600)=Reference!$D$6,1,0)*Reference!$D$12)</f>
        <v>290250</v>
      </c>
      <c r="M2600" s="20"/>
      <c r="N2600" s="20"/>
      <c r="O2600" s="19"/>
      <c r="P2600" s="10"/>
      <c r="Q2600" s="10"/>
      <c r="R2600" s="10"/>
      <c r="S2600" s="10"/>
      <c r="T2600" s="10"/>
      <c r="U2600" s="10"/>
      <c r="V2600" s="10"/>
      <c r="W2600" s="10"/>
      <c r="X2600" s="10"/>
      <c r="Y2600" s="10"/>
    </row>
    <row r="2601" spans="1:25" x14ac:dyDescent="0.25">
      <c r="A2601" s="9">
        <v>43139</v>
      </c>
      <c r="B2601" s="10">
        <f ca="1">ROUND(_xlfn.NORM.INV(RAND(),Reference!$C$8,0.1*Reference!$C$8)*(1+Reference!$C$11*(IF(MONTH($A2601)=Reference!$C$4,1,0)+IF(MONTH($A2601)=Reference!$C$5,1,0))+(IF(MONTH($A2601)=Reference!$C$6,Reference!$C$13,0))),0)</f>
        <v>355</v>
      </c>
      <c r="C2601" s="11">
        <f ca="1">B2601*Reference!$C$7*(1-IF(MONTH($A2601)=Reference!$C$6,1,0)*Reference!$C$12)</f>
        <v>330150</v>
      </c>
      <c r="D2601" s="10">
        <f ca="1">ROUND(_xlfn.NORM.INV(RAND(),Reference!$D$8,0.1*Reference!$D$8)*(1+Reference!$D$11*(IF(MONTH($A2601)=Reference!$D$4,1,0)+IF(MONTH($A2601)=Reference!$D$5,1,0))+(IF(MONTH($A2601)=Reference!$D$6,Reference!$D$13,0))),0)</f>
        <v>473</v>
      </c>
      <c r="E2601" s="11">
        <f ca="1">D2601*Reference!$D$7*(1-IF(MONTH($A2601)=Reference!$D$6,1,0)*Reference!$D$12)</f>
        <v>354750</v>
      </c>
      <c r="M2601" s="20"/>
      <c r="N2601" s="20"/>
      <c r="O2601" s="19"/>
      <c r="P2601" s="10"/>
      <c r="Q2601" s="10"/>
      <c r="R2601" s="10"/>
      <c r="S2601" s="10"/>
      <c r="T2601" s="10"/>
      <c r="U2601" s="10"/>
      <c r="V2601" s="10"/>
      <c r="W2601" s="10"/>
      <c r="X2601" s="10"/>
      <c r="Y2601" s="10"/>
    </row>
    <row r="2602" spans="1:25" x14ac:dyDescent="0.25">
      <c r="A2602" s="9">
        <v>43140</v>
      </c>
      <c r="B2602" s="10">
        <f ca="1">ROUND(_xlfn.NORM.INV(RAND(),Reference!$C$8,0.1*Reference!$C$8)*(1+Reference!$C$11*(IF(MONTH($A2602)=Reference!$C$4,1,0)+IF(MONTH($A2602)=Reference!$C$5,1,0))+(IF(MONTH($A2602)=Reference!$C$6,Reference!$C$13,0))),0)</f>
        <v>381</v>
      </c>
      <c r="C2602" s="11">
        <f ca="1">B2602*Reference!$C$7*(1-IF(MONTH($A2602)=Reference!$C$6,1,0)*Reference!$C$12)</f>
        <v>354330</v>
      </c>
      <c r="D2602" s="10">
        <f ca="1">ROUND(_xlfn.NORM.INV(RAND(),Reference!$D$8,0.1*Reference!$D$8)*(1+Reference!$D$11*(IF(MONTH($A2602)=Reference!$D$4,1,0)+IF(MONTH($A2602)=Reference!$D$5,1,0))+(IF(MONTH($A2602)=Reference!$D$6,Reference!$D$13,0))),0)</f>
        <v>477</v>
      </c>
      <c r="E2602" s="11">
        <f ca="1">D2602*Reference!$D$7*(1-IF(MONTH($A2602)=Reference!$D$6,1,0)*Reference!$D$12)</f>
        <v>357750</v>
      </c>
      <c r="M2602" s="20"/>
      <c r="N2602" s="20"/>
      <c r="O2602" s="19"/>
      <c r="P2602" s="10"/>
      <c r="Q2602" s="10"/>
      <c r="R2602" s="10"/>
      <c r="S2602" s="10"/>
      <c r="T2602" s="10"/>
      <c r="U2602" s="10"/>
      <c r="V2602" s="10"/>
      <c r="W2602" s="10"/>
      <c r="X2602" s="10"/>
      <c r="Y2602" s="10"/>
    </row>
    <row r="2603" spans="1:25" x14ac:dyDescent="0.25">
      <c r="A2603" s="9">
        <v>43141</v>
      </c>
      <c r="B2603" s="10">
        <f ca="1">ROUND(_xlfn.NORM.INV(RAND(),Reference!$C$8,0.1*Reference!$C$8)*(1+Reference!$C$11*(IF(MONTH($A2603)=Reference!$C$4,1,0)+IF(MONTH($A2603)=Reference!$C$5,1,0))+(IF(MONTH($A2603)=Reference!$C$6,Reference!$C$13,0))),0)</f>
        <v>337</v>
      </c>
      <c r="C2603" s="11">
        <f ca="1">B2603*Reference!$C$7*(1-IF(MONTH($A2603)=Reference!$C$6,1,0)*Reference!$C$12)</f>
        <v>313410</v>
      </c>
      <c r="D2603" s="10">
        <f ca="1">ROUND(_xlfn.NORM.INV(RAND(),Reference!$D$8,0.1*Reference!$D$8)*(1+Reference!$D$11*(IF(MONTH($A2603)=Reference!$D$4,1,0)+IF(MONTH($A2603)=Reference!$D$5,1,0))+(IF(MONTH($A2603)=Reference!$D$6,Reference!$D$13,0))),0)</f>
        <v>496</v>
      </c>
      <c r="E2603" s="11">
        <f ca="1">D2603*Reference!$D$7*(1-IF(MONTH($A2603)=Reference!$D$6,1,0)*Reference!$D$12)</f>
        <v>372000</v>
      </c>
      <c r="M2603" s="20"/>
      <c r="N2603" s="20"/>
      <c r="O2603" s="19"/>
      <c r="P2603" s="10"/>
      <c r="Q2603" s="10"/>
      <c r="R2603" s="10"/>
      <c r="S2603" s="10"/>
      <c r="T2603" s="10"/>
      <c r="U2603" s="10"/>
      <c r="V2603" s="10"/>
      <c r="W2603" s="10"/>
      <c r="X2603" s="10"/>
      <c r="Y2603" s="10"/>
    </row>
    <row r="2604" spans="1:25" x14ac:dyDescent="0.25">
      <c r="A2604" s="9">
        <v>43142</v>
      </c>
      <c r="B2604" s="10">
        <f ca="1">ROUND(_xlfn.NORM.INV(RAND(),Reference!$C$8,0.1*Reference!$C$8)*(1+Reference!$C$11*(IF(MONTH($A2604)=Reference!$C$4,1,0)+IF(MONTH($A2604)=Reference!$C$5,1,0))+(IF(MONTH($A2604)=Reference!$C$6,Reference!$C$13,0))),0)</f>
        <v>336</v>
      </c>
      <c r="C2604" s="11">
        <f ca="1">B2604*Reference!$C$7*(1-IF(MONTH($A2604)=Reference!$C$6,1,0)*Reference!$C$12)</f>
        <v>312480</v>
      </c>
      <c r="D2604" s="10">
        <f ca="1">ROUND(_xlfn.NORM.INV(RAND(),Reference!$D$8,0.1*Reference!$D$8)*(1+Reference!$D$11*(IF(MONTH($A2604)=Reference!$D$4,1,0)+IF(MONTH($A2604)=Reference!$D$5,1,0))+(IF(MONTH($A2604)=Reference!$D$6,Reference!$D$13,0))),0)</f>
        <v>452</v>
      </c>
      <c r="E2604" s="11">
        <f ca="1">D2604*Reference!$D$7*(1-IF(MONTH($A2604)=Reference!$D$6,1,0)*Reference!$D$12)</f>
        <v>339000</v>
      </c>
      <c r="M2604" s="20"/>
      <c r="N2604" s="20"/>
      <c r="O2604" s="19"/>
      <c r="P2604" s="10"/>
      <c r="Q2604" s="10"/>
      <c r="R2604" s="10"/>
      <c r="S2604" s="10"/>
      <c r="T2604" s="10"/>
      <c r="U2604" s="10"/>
      <c r="V2604" s="10"/>
      <c r="W2604" s="10"/>
      <c r="X2604" s="10"/>
      <c r="Y2604" s="10"/>
    </row>
    <row r="2605" spans="1:25" x14ac:dyDescent="0.25">
      <c r="A2605" s="9">
        <v>43143</v>
      </c>
      <c r="B2605" s="10">
        <f ca="1">ROUND(_xlfn.NORM.INV(RAND(),Reference!$C$8,0.1*Reference!$C$8)*(1+Reference!$C$11*(IF(MONTH($A2605)=Reference!$C$4,1,0)+IF(MONTH($A2605)=Reference!$C$5,1,0))+(IF(MONTH($A2605)=Reference!$C$6,Reference!$C$13,0))),0)</f>
        <v>380</v>
      </c>
      <c r="C2605" s="11">
        <f ca="1">B2605*Reference!$C$7*(1-IF(MONTH($A2605)=Reference!$C$6,1,0)*Reference!$C$12)</f>
        <v>353400</v>
      </c>
      <c r="D2605" s="10">
        <f ca="1">ROUND(_xlfn.NORM.INV(RAND(),Reference!$D$8,0.1*Reference!$D$8)*(1+Reference!$D$11*(IF(MONTH($A2605)=Reference!$D$4,1,0)+IF(MONTH($A2605)=Reference!$D$5,1,0))+(IF(MONTH($A2605)=Reference!$D$6,Reference!$D$13,0))),0)</f>
        <v>497</v>
      </c>
      <c r="E2605" s="11">
        <f ca="1">D2605*Reference!$D$7*(1-IF(MONTH($A2605)=Reference!$D$6,1,0)*Reference!$D$12)</f>
        <v>372750</v>
      </c>
      <c r="M2605" s="20"/>
      <c r="N2605" s="20"/>
      <c r="O2605" s="19"/>
      <c r="P2605" s="10"/>
      <c r="Q2605" s="10"/>
      <c r="R2605" s="10"/>
      <c r="S2605" s="10"/>
      <c r="T2605" s="10"/>
      <c r="U2605" s="10"/>
      <c r="V2605" s="10"/>
      <c r="W2605" s="10"/>
      <c r="X2605" s="10"/>
      <c r="Y2605" s="10"/>
    </row>
    <row r="2606" spans="1:25" x14ac:dyDescent="0.25">
      <c r="A2606" s="9">
        <v>43144</v>
      </c>
      <c r="B2606" s="10">
        <f ca="1">ROUND(_xlfn.NORM.INV(RAND(),Reference!$C$8,0.1*Reference!$C$8)*(1+Reference!$C$11*(IF(MONTH($A2606)=Reference!$C$4,1,0)+IF(MONTH($A2606)=Reference!$C$5,1,0))+(IF(MONTH($A2606)=Reference!$C$6,Reference!$C$13,0))),0)</f>
        <v>334</v>
      </c>
      <c r="C2606" s="11">
        <f ca="1">B2606*Reference!$C$7*(1-IF(MONTH($A2606)=Reference!$C$6,1,0)*Reference!$C$12)</f>
        <v>310620</v>
      </c>
      <c r="D2606" s="10">
        <f ca="1">ROUND(_xlfn.NORM.INV(RAND(),Reference!$D$8,0.1*Reference!$D$8)*(1+Reference!$D$11*(IF(MONTH($A2606)=Reference!$D$4,1,0)+IF(MONTH($A2606)=Reference!$D$5,1,0))+(IF(MONTH($A2606)=Reference!$D$6,Reference!$D$13,0))),0)</f>
        <v>474</v>
      </c>
      <c r="E2606" s="11">
        <f ca="1">D2606*Reference!$D$7*(1-IF(MONTH($A2606)=Reference!$D$6,1,0)*Reference!$D$12)</f>
        <v>355500</v>
      </c>
      <c r="M2606" s="20"/>
      <c r="N2606" s="20"/>
      <c r="O2606" s="19"/>
      <c r="P2606" s="10"/>
      <c r="Q2606" s="10"/>
      <c r="R2606" s="10"/>
      <c r="S2606" s="10"/>
      <c r="T2606" s="10"/>
      <c r="U2606" s="10"/>
      <c r="V2606" s="10"/>
      <c r="W2606" s="10"/>
      <c r="X2606" s="10"/>
      <c r="Y2606" s="10"/>
    </row>
    <row r="2607" spans="1:25" x14ac:dyDescent="0.25">
      <c r="A2607" s="9">
        <v>43145</v>
      </c>
      <c r="B2607" s="10">
        <f ca="1">ROUND(_xlfn.NORM.INV(RAND(),Reference!$C$8,0.1*Reference!$C$8)*(1+Reference!$C$11*(IF(MONTH($A2607)=Reference!$C$4,1,0)+IF(MONTH($A2607)=Reference!$C$5,1,0))+(IF(MONTH($A2607)=Reference!$C$6,Reference!$C$13,0))),0)</f>
        <v>338</v>
      </c>
      <c r="C2607" s="11">
        <f ca="1">B2607*Reference!$C$7*(1-IF(MONTH($A2607)=Reference!$C$6,1,0)*Reference!$C$12)</f>
        <v>314340</v>
      </c>
      <c r="D2607" s="10">
        <f ca="1">ROUND(_xlfn.NORM.INV(RAND(),Reference!$D$8,0.1*Reference!$D$8)*(1+Reference!$D$11*(IF(MONTH($A2607)=Reference!$D$4,1,0)+IF(MONTH($A2607)=Reference!$D$5,1,0))+(IF(MONTH($A2607)=Reference!$D$6,Reference!$D$13,0))),0)</f>
        <v>403</v>
      </c>
      <c r="E2607" s="11">
        <f ca="1">D2607*Reference!$D$7*(1-IF(MONTH($A2607)=Reference!$D$6,1,0)*Reference!$D$12)</f>
        <v>302250</v>
      </c>
      <c r="M2607" s="20"/>
      <c r="N2607" s="20"/>
      <c r="O2607" s="19"/>
      <c r="P2607" s="10"/>
      <c r="Q2607" s="10"/>
      <c r="R2607" s="10"/>
      <c r="S2607" s="10"/>
      <c r="T2607" s="10"/>
      <c r="U2607" s="10"/>
      <c r="V2607" s="10"/>
      <c r="W2607" s="10"/>
      <c r="X2607" s="10"/>
      <c r="Y2607" s="10"/>
    </row>
    <row r="2608" spans="1:25" x14ac:dyDescent="0.25">
      <c r="A2608" s="9">
        <v>43146</v>
      </c>
      <c r="B2608" s="10">
        <f ca="1">ROUND(_xlfn.NORM.INV(RAND(),Reference!$C$8,0.1*Reference!$C$8)*(1+Reference!$C$11*(IF(MONTH($A2608)=Reference!$C$4,1,0)+IF(MONTH($A2608)=Reference!$C$5,1,0))+(IF(MONTH($A2608)=Reference!$C$6,Reference!$C$13,0))),0)</f>
        <v>394</v>
      </c>
      <c r="C2608" s="11">
        <f ca="1">B2608*Reference!$C$7*(1-IF(MONTH($A2608)=Reference!$C$6,1,0)*Reference!$C$12)</f>
        <v>366420</v>
      </c>
      <c r="D2608" s="10">
        <f ca="1">ROUND(_xlfn.NORM.INV(RAND(),Reference!$D$8,0.1*Reference!$D$8)*(1+Reference!$D$11*(IF(MONTH($A2608)=Reference!$D$4,1,0)+IF(MONTH($A2608)=Reference!$D$5,1,0))+(IF(MONTH($A2608)=Reference!$D$6,Reference!$D$13,0))),0)</f>
        <v>476</v>
      </c>
      <c r="E2608" s="11">
        <f ca="1">D2608*Reference!$D$7*(1-IF(MONTH($A2608)=Reference!$D$6,1,0)*Reference!$D$12)</f>
        <v>357000</v>
      </c>
      <c r="M2608" s="20"/>
      <c r="N2608" s="20"/>
      <c r="O2608" s="19"/>
      <c r="P2608" s="10"/>
      <c r="Q2608" s="10"/>
      <c r="R2608" s="10"/>
      <c r="S2608" s="10"/>
      <c r="T2608" s="10"/>
      <c r="U2608" s="10"/>
      <c r="V2608" s="10"/>
      <c r="W2608" s="10"/>
      <c r="X2608" s="10"/>
      <c r="Y2608" s="10"/>
    </row>
    <row r="2609" spans="1:25" x14ac:dyDescent="0.25">
      <c r="A2609" s="9">
        <v>43147</v>
      </c>
      <c r="B2609" s="10">
        <f ca="1">ROUND(_xlfn.NORM.INV(RAND(),Reference!$C$8,0.1*Reference!$C$8)*(1+Reference!$C$11*(IF(MONTH($A2609)=Reference!$C$4,1,0)+IF(MONTH($A2609)=Reference!$C$5,1,0))+(IF(MONTH($A2609)=Reference!$C$6,Reference!$C$13,0))),0)</f>
        <v>354</v>
      </c>
      <c r="C2609" s="11">
        <f ca="1">B2609*Reference!$C$7*(1-IF(MONTH($A2609)=Reference!$C$6,1,0)*Reference!$C$12)</f>
        <v>329220</v>
      </c>
      <c r="D2609" s="10">
        <f ca="1">ROUND(_xlfn.NORM.INV(RAND(),Reference!$D$8,0.1*Reference!$D$8)*(1+Reference!$D$11*(IF(MONTH($A2609)=Reference!$D$4,1,0)+IF(MONTH($A2609)=Reference!$D$5,1,0))+(IF(MONTH($A2609)=Reference!$D$6,Reference!$D$13,0))),0)</f>
        <v>394</v>
      </c>
      <c r="E2609" s="11">
        <f ca="1">D2609*Reference!$D$7*(1-IF(MONTH($A2609)=Reference!$D$6,1,0)*Reference!$D$12)</f>
        <v>295500</v>
      </c>
      <c r="M2609" s="20"/>
      <c r="N2609" s="20"/>
      <c r="O2609" s="19"/>
      <c r="P2609" s="10"/>
      <c r="Q2609" s="10"/>
      <c r="R2609" s="10"/>
      <c r="S2609" s="10"/>
      <c r="T2609" s="10"/>
      <c r="U2609" s="10"/>
      <c r="V2609" s="10"/>
      <c r="W2609" s="10"/>
      <c r="X2609" s="10"/>
      <c r="Y2609" s="10"/>
    </row>
    <row r="2610" spans="1:25" x14ac:dyDescent="0.25">
      <c r="A2610" s="9">
        <v>43148</v>
      </c>
      <c r="B2610" s="10">
        <f ca="1">ROUND(_xlfn.NORM.INV(RAND(),Reference!$C$8,0.1*Reference!$C$8)*(1+Reference!$C$11*(IF(MONTH($A2610)=Reference!$C$4,1,0)+IF(MONTH($A2610)=Reference!$C$5,1,0))+(IF(MONTH($A2610)=Reference!$C$6,Reference!$C$13,0))),0)</f>
        <v>354</v>
      </c>
      <c r="C2610" s="11">
        <f ca="1">B2610*Reference!$C$7*(1-IF(MONTH($A2610)=Reference!$C$6,1,0)*Reference!$C$12)</f>
        <v>329220</v>
      </c>
      <c r="D2610" s="10">
        <f ca="1">ROUND(_xlfn.NORM.INV(RAND(),Reference!$D$8,0.1*Reference!$D$8)*(1+Reference!$D$11*(IF(MONTH($A2610)=Reference!$D$4,1,0)+IF(MONTH($A2610)=Reference!$D$5,1,0))+(IF(MONTH($A2610)=Reference!$D$6,Reference!$D$13,0))),0)</f>
        <v>356</v>
      </c>
      <c r="E2610" s="11">
        <f ca="1">D2610*Reference!$D$7*(1-IF(MONTH($A2610)=Reference!$D$6,1,0)*Reference!$D$12)</f>
        <v>267000</v>
      </c>
      <c r="M2610" s="20"/>
      <c r="N2610" s="20"/>
      <c r="O2610" s="19"/>
      <c r="P2610" s="10"/>
      <c r="Q2610" s="10"/>
      <c r="R2610" s="10"/>
      <c r="S2610" s="10"/>
      <c r="T2610" s="10"/>
      <c r="U2610" s="10"/>
      <c r="V2610" s="10"/>
      <c r="W2610" s="10"/>
      <c r="X2610" s="10"/>
      <c r="Y2610" s="10"/>
    </row>
    <row r="2611" spans="1:25" x14ac:dyDescent="0.25">
      <c r="A2611" s="9">
        <v>43149</v>
      </c>
      <c r="B2611" s="10">
        <f ca="1">ROUND(_xlfn.NORM.INV(RAND(),Reference!$C$8,0.1*Reference!$C$8)*(1+Reference!$C$11*(IF(MONTH($A2611)=Reference!$C$4,1,0)+IF(MONTH($A2611)=Reference!$C$5,1,0))+(IF(MONTH($A2611)=Reference!$C$6,Reference!$C$13,0))),0)</f>
        <v>410</v>
      </c>
      <c r="C2611" s="11">
        <f ca="1">B2611*Reference!$C$7*(1-IF(MONTH($A2611)=Reference!$C$6,1,0)*Reference!$C$12)</f>
        <v>381300</v>
      </c>
      <c r="D2611" s="10">
        <f ca="1">ROUND(_xlfn.NORM.INV(RAND(),Reference!$D$8,0.1*Reference!$D$8)*(1+Reference!$D$11*(IF(MONTH($A2611)=Reference!$D$4,1,0)+IF(MONTH($A2611)=Reference!$D$5,1,0))+(IF(MONTH($A2611)=Reference!$D$6,Reference!$D$13,0))),0)</f>
        <v>428</v>
      </c>
      <c r="E2611" s="11">
        <f ca="1">D2611*Reference!$D$7*(1-IF(MONTH($A2611)=Reference!$D$6,1,0)*Reference!$D$12)</f>
        <v>321000</v>
      </c>
      <c r="M2611" s="20"/>
      <c r="N2611" s="20"/>
      <c r="O2611" s="19"/>
      <c r="P2611" s="10"/>
      <c r="Q2611" s="10"/>
      <c r="R2611" s="10"/>
      <c r="S2611" s="10"/>
      <c r="T2611" s="10"/>
      <c r="U2611" s="10"/>
      <c r="V2611" s="10"/>
      <c r="W2611" s="10"/>
      <c r="X2611" s="10"/>
      <c r="Y2611" s="10"/>
    </row>
    <row r="2612" spans="1:25" x14ac:dyDescent="0.25">
      <c r="A2612" s="9">
        <v>43150</v>
      </c>
      <c r="B2612" s="10">
        <f ca="1">ROUND(_xlfn.NORM.INV(RAND(),Reference!$C$8,0.1*Reference!$C$8)*(1+Reference!$C$11*(IF(MONTH($A2612)=Reference!$C$4,1,0)+IF(MONTH($A2612)=Reference!$C$5,1,0))+(IF(MONTH($A2612)=Reference!$C$6,Reference!$C$13,0))),0)</f>
        <v>324</v>
      </c>
      <c r="C2612" s="11">
        <f ca="1">B2612*Reference!$C$7*(1-IF(MONTH($A2612)=Reference!$C$6,1,0)*Reference!$C$12)</f>
        <v>301320</v>
      </c>
      <c r="D2612" s="10">
        <f ca="1">ROUND(_xlfn.NORM.INV(RAND(),Reference!$D$8,0.1*Reference!$D$8)*(1+Reference!$D$11*(IF(MONTH($A2612)=Reference!$D$4,1,0)+IF(MONTH($A2612)=Reference!$D$5,1,0))+(IF(MONTH($A2612)=Reference!$D$6,Reference!$D$13,0))),0)</f>
        <v>451</v>
      </c>
      <c r="E2612" s="11">
        <f ca="1">D2612*Reference!$D$7*(1-IF(MONTH($A2612)=Reference!$D$6,1,0)*Reference!$D$12)</f>
        <v>338250</v>
      </c>
      <c r="M2612" s="20"/>
      <c r="N2612" s="20"/>
      <c r="O2612" s="19"/>
      <c r="P2612" s="10"/>
      <c r="Q2612" s="10"/>
      <c r="R2612" s="10"/>
      <c r="S2612" s="10"/>
      <c r="T2612" s="10"/>
      <c r="U2612" s="10"/>
      <c r="V2612" s="10"/>
      <c r="W2612" s="10"/>
      <c r="X2612" s="10"/>
      <c r="Y2612" s="10"/>
    </row>
    <row r="2613" spans="1:25" x14ac:dyDescent="0.25">
      <c r="A2613" s="9">
        <v>43151</v>
      </c>
      <c r="B2613" s="10">
        <f ca="1">ROUND(_xlfn.NORM.INV(RAND(),Reference!$C$8,0.1*Reference!$C$8)*(1+Reference!$C$11*(IF(MONTH($A2613)=Reference!$C$4,1,0)+IF(MONTH($A2613)=Reference!$C$5,1,0))+(IF(MONTH($A2613)=Reference!$C$6,Reference!$C$13,0))),0)</f>
        <v>328</v>
      </c>
      <c r="C2613" s="11">
        <f ca="1">B2613*Reference!$C$7*(1-IF(MONTH($A2613)=Reference!$C$6,1,0)*Reference!$C$12)</f>
        <v>305040</v>
      </c>
      <c r="D2613" s="10">
        <f ca="1">ROUND(_xlfn.NORM.INV(RAND(),Reference!$D$8,0.1*Reference!$D$8)*(1+Reference!$D$11*(IF(MONTH($A2613)=Reference!$D$4,1,0)+IF(MONTH($A2613)=Reference!$D$5,1,0))+(IF(MONTH($A2613)=Reference!$D$6,Reference!$D$13,0))),0)</f>
        <v>396</v>
      </c>
      <c r="E2613" s="11">
        <f ca="1">D2613*Reference!$D$7*(1-IF(MONTH($A2613)=Reference!$D$6,1,0)*Reference!$D$12)</f>
        <v>297000</v>
      </c>
      <c r="M2613" s="20"/>
      <c r="N2613" s="20"/>
      <c r="O2613" s="19"/>
      <c r="P2613" s="10"/>
      <c r="Q2613" s="10"/>
      <c r="R2613" s="10"/>
      <c r="S2613" s="10"/>
      <c r="T2613" s="10"/>
      <c r="U2613" s="10"/>
      <c r="V2613" s="10"/>
      <c r="W2613" s="10"/>
      <c r="X2613" s="10"/>
      <c r="Y2613" s="10"/>
    </row>
    <row r="2614" spans="1:25" x14ac:dyDescent="0.25">
      <c r="A2614" s="9">
        <v>43152</v>
      </c>
      <c r="B2614" s="10">
        <f ca="1">ROUND(_xlfn.NORM.INV(RAND(),Reference!$C$8,0.1*Reference!$C$8)*(1+Reference!$C$11*(IF(MONTH($A2614)=Reference!$C$4,1,0)+IF(MONTH($A2614)=Reference!$C$5,1,0))+(IF(MONTH($A2614)=Reference!$C$6,Reference!$C$13,0))),0)</f>
        <v>434</v>
      </c>
      <c r="C2614" s="11">
        <f ca="1">B2614*Reference!$C$7*(1-IF(MONTH($A2614)=Reference!$C$6,1,0)*Reference!$C$12)</f>
        <v>403620</v>
      </c>
      <c r="D2614" s="10">
        <f ca="1">ROUND(_xlfn.NORM.INV(RAND(),Reference!$D$8,0.1*Reference!$D$8)*(1+Reference!$D$11*(IF(MONTH($A2614)=Reference!$D$4,1,0)+IF(MONTH($A2614)=Reference!$D$5,1,0))+(IF(MONTH($A2614)=Reference!$D$6,Reference!$D$13,0))),0)</f>
        <v>479</v>
      </c>
      <c r="E2614" s="11">
        <f ca="1">D2614*Reference!$D$7*(1-IF(MONTH($A2614)=Reference!$D$6,1,0)*Reference!$D$12)</f>
        <v>359250</v>
      </c>
      <c r="M2614" s="20"/>
      <c r="N2614" s="20"/>
      <c r="O2614" s="19"/>
      <c r="P2614" s="10"/>
      <c r="Q2614" s="10"/>
      <c r="R2614" s="10"/>
      <c r="S2614" s="10"/>
      <c r="T2614" s="10"/>
      <c r="U2614" s="10"/>
      <c r="V2614" s="10"/>
      <c r="W2614" s="10"/>
      <c r="X2614" s="10"/>
      <c r="Y2614" s="10"/>
    </row>
    <row r="2615" spans="1:25" x14ac:dyDescent="0.25">
      <c r="A2615" s="9">
        <v>43153</v>
      </c>
      <c r="B2615" s="10">
        <f ca="1">ROUND(_xlfn.NORM.INV(RAND(),Reference!$C$8,0.1*Reference!$C$8)*(1+Reference!$C$11*(IF(MONTH($A2615)=Reference!$C$4,1,0)+IF(MONTH($A2615)=Reference!$C$5,1,0))+(IF(MONTH($A2615)=Reference!$C$6,Reference!$C$13,0))),0)</f>
        <v>288</v>
      </c>
      <c r="C2615" s="11">
        <f ca="1">B2615*Reference!$C$7*(1-IF(MONTH($A2615)=Reference!$C$6,1,0)*Reference!$C$12)</f>
        <v>267840</v>
      </c>
      <c r="D2615" s="10">
        <f ca="1">ROUND(_xlfn.NORM.INV(RAND(),Reference!$D$8,0.1*Reference!$D$8)*(1+Reference!$D$11*(IF(MONTH($A2615)=Reference!$D$4,1,0)+IF(MONTH($A2615)=Reference!$D$5,1,0))+(IF(MONTH($A2615)=Reference!$D$6,Reference!$D$13,0))),0)</f>
        <v>466</v>
      </c>
      <c r="E2615" s="11">
        <f ca="1">D2615*Reference!$D$7*(1-IF(MONTH($A2615)=Reference!$D$6,1,0)*Reference!$D$12)</f>
        <v>349500</v>
      </c>
      <c r="M2615" s="20"/>
      <c r="N2615" s="20"/>
      <c r="O2615" s="19"/>
      <c r="P2615" s="10"/>
      <c r="Q2615" s="10"/>
      <c r="R2615" s="10"/>
      <c r="S2615" s="10"/>
      <c r="T2615" s="10"/>
      <c r="U2615" s="10"/>
      <c r="V2615" s="10"/>
      <c r="W2615" s="10"/>
      <c r="X2615" s="10"/>
      <c r="Y2615" s="10"/>
    </row>
    <row r="2616" spans="1:25" x14ac:dyDescent="0.25">
      <c r="A2616" s="9">
        <v>43154</v>
      </c>
      <c r="B2616" s="10">
        <f ca="1">ROUND(_xlfn.NORM.INV(RAND(),Reference!$C$8,0.1*Reference!$C$8)*(1+Reference!$C$11*(IF(MONTH($A2616)=Reference!$C$4,1,0)+IF(MONTH($A2616)=Reference!$C$5,1,0))+(IF(MONTH($A2616)=Reference!$C$6,Reference!$C$13,0))),0)</f>
        <v>413</v>
      </c>
      <c r="C2616" s="11">
        <f ca="1">B2616*Reference!$C$7*(1-IF(MONTH($A2616)=Reference!$C$6,1,0)*Reference!$C$12)</f>
        <v>384090</v>
      </c>
      <c r="D2616" s="10">
        <f ca="1">ROUND(_xlfn.NORM.INV(RAND(),Reference!$D$8,0.1*Reference!$D$8)*(1+Reference!$D$11*(IF(MONTH($A2616)=Reference!$D$4,1,0)+IF(MONTH($A2616)=Reference!$D$5,1,0))+(IF(MONTH($A2616)=Reference!$D$6,Reference!$D$13,0))),0)</f>
        <v>474</v>
      </c>
      <c r="E2616" s="11">
        <f ca="1">D2616*Reference!$D$7*(1-IF(MONTH($A2616)=Reference!$D$6,1,0)*Reference!$D$12)</f>
        <v>355500</v>
      </c>
      <c r="M2616" s="20"/>
      <c r="N2616" s="20"/>
      <c r="O2616" s="19"/>
      <c r="P2616" s="10"/>
      <c r="Q2616" s="10"/>
      <c r="R2616" s="10"/>
      <c r="S2616" s="10"/>
      <c r="T2616" s="10"/>
      <c r="U2616" s="10"/>
      <c r="V2616" s="10"/>
      <c r="W2616" s="10"/>
      <c r="X2616" s="10"/>
      <c r="Y2616" s="10"/>
    </row>
    <row r="2617" spans="1:25" x14ac:dyDescent="0.25">
      <c r="A2617" s="9">
        <v>43155</v>
      </c>
      <c r="B2617" s="10">
        <f ca="1">ROUND(_xlfn.NORM.INV(RAND(),Reference!$C$8,0.1*Reference!$C$8)*(1+Reference!$C$11*(IF(MONTH($A2617)=Reference!$C$4,1,0)+IF(MONTH($A2617)=Reference!$C$5,1,0))+(IF(MONTH($A2617)=Reference!$C$6,Reference!$C$13,0))),0)</f>
        <v>378</v>
      </c>
      <c r="C2617" s="11">
        <f ca="1">B2617*Reference!$C$7*(1-IF(MONTH($A2617)=Reference!$C$6,1,0)*Reference!$C$12)</f>
        <v>351540</v>
      </c>
      <c r="D2617" s="10">
        <f ca="1">ROUND(_xlfn.NORM.INV(RAND(),Reference!$D$8,0.1*Reference!$D$8)*(1+Reference!$D$11*(IF(MONTH($A2617)=Reference!$D$4,1,0)+IF(MONTH($A2617)=Reference!$D$5,1,0))+(IF(MONTH($A2617)=Reference!$D$6,Reference!$D$13,0))),0)</f>
        <v>500</v>
      </c>
      <c r="E2617" s="11">
        <f ca="1">D2617*Reference!$D$7*(1-IF(MONTH($A2617)=Reference!$D$6,1,0)*Reference!$D$12)</f>
        <v>375000</v>
      </c>
      <c r="M2617" s="20"/>
      <c r="N2617" s="20"/>
      <c r="O2617" s="19"/>
      <c r="P2617" s="10"/>
      <c r="Q2617" s="10"/>
      <c r="R2617" s="10"/>
      <c r="S2617" s="10"/>
      <c r="T2617" s="10"/>
      <c r="U2617" s="10"/>
      <c r="V2617" s="10"/>
      <c r="W2617" s="10"/>
      <c r="X2617" s="10"/>
      <c r="Y2617" s="10"/>
    </row>
    <row r="2618" spans="1:25" x14ac:dyDescent="0.25">
      <c r="A2618" s="9">
        <v>43156</v>
      </c>
      <c r="B2618" s="10">
        <f ca="1">ROUND(_xlfn.NORM.INV(RAND(),Reference!$C$8,0.1*Reference!$C$8)*(1+Reference!$C$11*(IF(MONTH($A2618)=Reference!$C$4,1,0)+IF(MONTH($A2618)=Reference!$C$5,1,0))+(IF(MONTH($A2618)=Reference!$C$6,Reference!$C$13,0))),0)</f>
        <v>298</v>
      </c>
      <c r="C2618" s="11">
        <f ca="1">B2618*Reference!$C$7*(1-IF(MONTH($A2618)=Reference!$C$6,1,0)*Reference!$C$12)</f>
        <v>277140</v>
      </c>
      <c r="D2618" s="10">
        <f ca="1">ROUND(_xlfn.NORM.INV(RAND(),Reference!$D$8,0.1*Reference!$D$8)*(1+Reference!$D$11*(IF(MONTH($A2618)=Reference!$D$4,1,0)+IF(MONTH($A2618)=Reference!$D$5,1,0))+(IF(MONTH($A2618)=Reference!$D$6,Reference!$D$13,0))),0)</f>
        <v>376</v>
      </c>
      <c r="E2618" s="11">
        <f ca="1">D2618*Reference!$D$7*(1-IF(MONTH($A2618)=Reference!$D$6,1,0)*Reference!$D$12)</f>
        <v>282000</v>
      </c>
      <c r="M2618" s="20"/>
      <c r="N2618" s="20"/>
      <c r="O2618" s="19"/>
      <c r="P2618" s="10"/>
      <c r="Q2618" s="10"/>
      <c r="R2618" s="10"/>
      <c r="S2618" s="10"/>
      <c r="T2618" s="10"/>
      <c r="U2618" s="10"/>
      <c r="V2618" s="10"/>
      <c r="W2618" s="10"/>
      <c r="X2618" s="10"/>
      <c r="Y2618" s="10"/>
    </row>
    <row r="2619" spans="1:25" x14ac:dyDescent="0.25">
      <c r="A2619" s="9">
        <v>43157</v>
      </c>
      <c r="B2619" s="10">
        <f ca="1">ROUND(_xlfn.NORM.INV(RAND(),Reference!$C$8,0.1*Reference!$C$8)*(1+Reference!$C$11*(IF(MONTH($A2619)=Reference!$C$4,1,0)+IF(MONTH($A2619)=Reference!$C$5,1,0))+(IF(MONTH($A2619)=Reference!$C$6,Reference!$C$13,0))),0)</f>
        <v>389</v>
      </c>
      <c r="C2619" s="11">
        <f ca="1">B2619*Reference!$C$7*(1-IF(MONTH($A2619)=Reference!$C$6,1,0)*Reference!$C$12)</f>
        <v>361770</v>
      </c>
      <c r="D2619" s="10">
        <f ca="1">ROUND(_xlfn.NORM.INV(RAND(),Reference!$D$8,0.1*Reference!$D$8)*(1+Reference!$D$11*(IF(MONTH($A2619)=Reference!$D$4,1,0)+IF(MONTH($A2619)=Reference!$D$5,1,0))+(IF(MONTH($A2619)=Reference!$D$6,Reference!$D$13,0))),0)</f>
        <v>497</v>
      </c>
      <c r="E2619" s="11">
        <f ca="1">D2619*Reference!$D$7*(1-IF(MONTH($A2619)=Reference!$D$6,1,0)*Reference!$D$12)</f>
        <v>372750</v>
      </c>
      <c r="M2619" s="20"/>
      <c r="N2619" s="20"/>
      <c r="O2619" s="19"/>
      <c r="P2619" s="10"/>
      <c r="Q2619" s="10"/>
      <c r="R2619" s="10"/>
      <c r="S2619" s="10"/>
      <c r="T2619" s="10"/>
      <c r="U2619" s="10"/>
      <c r="V2619" s="10"/>
      <c r="W2619" s="10"/>
      <c r="X2619" s="10"/>
      <c r="Y2619" s="10"/>
    </row>
    <row r="2620" spans="1:25" x14ac:dyDescent="0.25">
      <c r="A2620" s="9">
        <v>43158</v>
      </c>
      <c r="B2620" s="10">
        <f ca="1">ROUND(_xlfn.NORM.INV(RAND(),Reference!$C$8,0.1*Reference!$C$8)*(1+Reference!$C$11*(IF(MONTH($A2620)=Reference!$C$4,1,0)+IF(MONTH($A2620)=Reference!$C$5,1,0))+(IF(MONTH($A2620)=Reference!$C$6,Reference!$C$13,0))),0)</f>
        <v>387</v>
      </c>
      <c r="C2620" s="11">
        <f ca="1">B2620*Reference!$C$7*(1-IF(MONTH($A2620)=Reference!$C$6,1,0)*Reference!$C$12)</f>
        <v>359910</v>
      </c>
      <c r="D2620" s="10">
        <f ca="1">ROUND(_xlfn.NORM.INV(RAND(),Reference!$D$8,0.1*Reference!$D$8)*(1+Reference!$D$11*(IF(MONTH($A2620)=Reference!$D$4,1,0)+IF(MONTH($A2620)=Reference!$D$5,1,0))+(IF(MONTH($A2620)=Reference!$D$6,Reference!$D$13,0))),0)</f>
        <v>425</v>
      </c>
      <c r="E2620" s="11">
        <f ca="1">D2620*Reference!$D$7*(1-IF(MONTH($A2620)=Reference!$D$6,1,0)*Reference!$D$12)</f>
        <v>318750</v>
      </c>
      <c r="M2620" s="20"/>
      <c r="N2620" s="20"/>
      <c r="O2620" s="19"/>
      <c r="P2620" s="10"/>
      <c r="Q2620" s="10"/>
      <c r="R2620" s="10"/>
      <c r="S2620" s="10"/>
      <c r="T2620" s="10"/>
      <c r="U2620" s="10"/>
      <c r="V2620" s="10"/>
      <c r="W2620" s="10"/>
      <c r="X2620" s="10"/>
      <c r="Y2620" s="10"/>
    </row>
    <row r="2621" spans="1:25" x14ac:dyDescent="0.25">
      <c r="A2621" s="9">
        <v>43159</v>
      </c>
      <c r="B2621" s="10">
        <f ca="1">ROUND(_xlfn.NORM.INV(RAND(),Reference!$C$8,0.1*Reference!$C$8)*(1+Reference!$C$11*(IF(MONTH($A2621)=Reference!$C$4,1,0)+IF(MONTH($A2621)=Reference!$C$5,1,0))+(IF(MONTH($A2621)=Reference!$C$6,Reference!$C$13,0))),0)</f>
        <v>386</v>
      </c>
      <c r="C2621" s="11">
        <f ca="1">B2621*Reference!$C$7*(1-IF(MONTH($A2621)=Reference!$C$6,1,0)*Reference!$C$12)</f>
        <v>358980</v>
      </c>
      <c r="D2621" s="10">
        <f ca="1">ROUND(_xlfn.NORM.INV(RAND(),Reference!$D$8,0.1*Reference!$D$8)*(1+Reference!$D$11*(IF(MONTH($A2621)=Reference!$D$4,1,0)+IF(MONTH($A2621)=Reference!$D$5,1,0))+(IF(MONTH($A2621)=Reference!$D$6,Reference!$D$13,0))),0)</f>
        <v>397</v>
      </c>
      <c r="E2621" s="11">
        <f ca="1">D2621*Reference!$D$7*(1-IF(MONTH($A2621)=Reference!$D$6,1,0)*Reference!$D$12)</f>
        <v>297750</v>
      </c>
      <c r="M2621" s="20"/>
      <c r="N2621" s="20"/>
      <c r="O2621" s="19"/>
      <c r="P2621" s="10"/>
      <c r="Q2621" s="10"/>
      <c r="R2621" s="10"/>
      <c r="S2621" s="10"/>
      <c r="T2621" s="10"/>
      <c r="U2621" s="10"/>
      <c r="V2621" s="10"/>
      <c r="W2621" s="10"/>
      <c r="X2621" s="10"/>
      <c r="Y2621" s="10"/>
    </row>
    <row r="2622" spans="1:25" x14ac:dyDescent="0.25">
      <c r="A2622" s="9">
        <v>43160</v>
      </c>
      <c r="B2622" s="10">
        <f ca="1">ROUND(_xlfn.NORM.INV(RAND(),Reference!$C$8,0.1*Reference!$C$8)*(1+Reference!$C$11*(IF(MONTH($A2622)=Reference!$C$4,1,0)+IF(MONTH($A2622)=Reference!$C$5,1,0))+(IF(MONTH($A2622)=Reference!$C$6,Reference!$C$13,0))),0)</f>
        <v>354</v>
      </c>
      <c r="C2622" s="11">
        <f ca="1">B2622*Reference!$C$7*(1-IF(MONTH($A2622)=Reference!$C$6,1,0)*Reference!$C$12)</f>
        <v>329220</v>
      </c>
      <c r="D2622" s="10">
        <f ca="1">ROUND(_xlfn.NORM.INV(RAND(),Reference!$D$8,0.1*Reference!$D$8)*(1+Reference!$D$11*(IF(MONTH($A2622)=Reference!$D$4,1,0)+IF(MONTH($A2622)=Reference!$D$5,1,0))+(IF(MONTH($A2622)=Reference!$D$6,Reference!$D$13,0))),0)</f>
        <v>490</v>
      </c>
      <c r="E2622" s="11">
        <f ca="1">D2622*Reference!$D$7*(1-IF(MONTH($A2622)=Reference!$D$6,1,0)*Reference!$D$12)</f>
        <v>367500</v>
      </c>
      <c r="M2622" s="20"/>
      <c r="N2622" s="20"/>
      <c r="O2622" s="19"/>
      <c r="P2622" s="10"/>
      <c r="Q2622" s="10"/>
      <c r="R2622" s="10"/>
      <c r="S2622" s="10"/>
      <c r="T2622" s="10"/>
      <c r="U2622" s="10"/>
      <c r="V2622" s="10"/>
      <c r="W2622" s="10"/>
      <c r="X2622" s="10"/>
      <c r="Y2622" s="10"/>
    </row>
    <row r="2623" spans="1:25" x14ac:dyDescent="0.25">
      <c r="A2623" s="9">
        <v>43161</v>
      </c>
      <c r="B2623" s="10">
        <f ca="1">ROUND(_xlfn.NORM.INV(RAND(),Reference!$C$8,0.1*Reference!$C$8)*(1+Reference!$C$11*(IF(MONTH($A2623)=Reference!$C$4,1,0)+IF(MONTH($A2623)=Reference!$C$5,1,0))+(IF(MONTH($A2623)=Reference!$C$6,Reference!$C$13,0))),0)</f>
        <v>335</v>
      </c>
      <c r="C2623" s="11">
        <f ca="1">B2623*Reference!$C$7*(1-IF(MONTH($A2623)=Reference!$C$6,1,0)*Reference!$C$12)</f>
        <v>311550</v>
      </c>
      <c r="D2623" s="10">
        <f ca="1">ROUND(_xlfn.NORM.INV(RAND(),Reference!$D$8,0.1*Reference!$D$8)*(1+Reference!$D$11*(IF(MONTH($A2623)=Reference!$D$4,1,0)+IF(MONTH($A2623)=Reference!$D$5,1,0))+(IF(MONTH($A2623)=Reference!$D$6,Reference!$D$13,0))),0)</f>
        <v>397</v>
      </c>
      <c r="E2623" s="11">
        <f ca="1">D2623*Reference!$D$7*(1-IF(MONTH($A2623)=Reference!$D$6,1,0)*Reference!$D$12)</f>
        <v>297750</v>
      </c>
      <c r="M2623" s="20"/>
      <c r="N2623" s="20"/>
      <c r="O2623" s="19"/>
      <c r="P2623" s="10"/>
      <c r="Q2623" s="10"/>
      <c r="R2623" s="10"/>
      <c r="S2623" s="10"/>
      <c r="T2623" s="10"/>
      <c r="U2623" s="10"/>
      <c r="V2623" s="10"/>
      <c r="W2623" s="10"/>
      <c r="X2623" s="10"/>
      <c r="Y2623" s="10"/>
    </row>
    <row r="2624" spans="1:25" x14ac:dyDescent="0.25">
      <c r="A2624" s="9">
        <v>43162</v>
      </c>
      <c r="B2624" s="10">
        <f ca="1">ROUND(_xlfn.NORM.INV(RAND(),Reference!$C$8,0.1*Reference!$C$8)*(1+Reference!$C$11*(IF(MONTH($A2624)=Reference!$C$4,1,0)+IF(MONTH($A2624)=Reference!$C$5,1,0))+(IF(MONTH($A2624)=Reference!$C$6,Reference!$C$13,0))),0)</f>
        <v>305</v>
      </c>
      <c r="C2624" s="11">
        <f ca="1">B2624*Reference!$C$7*(1-IF(MONTH($A2624)=Reference!$C$6,1,0)*Reference!$C$12)</f>
        <v>283650</v>
      </c>
      <c r="D2624" s="10">
        <f ca="1">ROUND(_xlfn.NORM.INV(RAND(),Reference!$D$8,0.1*Reference!$D$8)*(1+Reference!$D$11*(IF(MONTH($A2624)=Reference!$D$4,1,0)+IF(MONTH($A2624)=Reference!$D$5,1,0))+(IF(MONTH($A2624)=Reference!$D$6,Reference!$D$13,0))),0)</f>
        <v>412</v>
      </c>
      <c r="E2624" s="11">
        <f ca="1">D2624*Reference!$D$7*(1-IF(MONTH($A2624)=Reference!$D$6,1,0)*Reference!$D$12)</f>
        <v>309000</v>
      </c>
      <c r="M2624" s="20"/>
      <c r="N2624" s="20"/>
      <c r="O2624" s="19"/>
      <c r="P2624" s="10"/>
      <c r="Q2624" s="10"/>
      <c r="R2624" s="10"/>
      <c r="S2624" s="10"/>
      <c r="T2624" s="10"/>
      <c r="U2624" s="10"/>
      <c r="V2624" s="10"/>
      <c r="W2624" s="10"/>
      <c r="X2624" s="10"/>
      <c r="Y2624" s="10"/>
    </row>
    <row r="2625" spans="1:25" x14ac:dyDescent="0.25">
      <c r="A2625" s="9">
        <v>43163</v>
      </c>
      <c r="B2625" s="10">
        <f ca="1">ROUND(_xlfn.NORM.INV(RAND(),Reference!$C$8,0.1*Reference!$C$8)*(1+Reference!$C$11*(IF(MONTH($A2625)=Reference!$C$4,1,0)+IF(MONTH($A2625)=Reference!$C$5,1,0))+(IF(MONTH($A2625)=Reference!$C$6,Reference!$C$13,0))),0)</f>
        <v>391</v>
      </c>
      <c r="C2625" s="11">
        <f ca="1">B2625*Reference!$C$7*(1-IF(MONTH($A2625)=Reference!$C$6,1,0)*Reference!$C$12)</f>
        <v>363630</v>
      </c>
      <c r="D2625" s="10">
        <f ca="1">ROUND(_xlfn.NORM.INV(RAND(),Reference!$D$8,0.1*Reference!$D$8)*(1+Reference!$D$11*(IF(MONTH($A2625)=Reference!$D$4,1,0)+IF(MONTH($A2625)=Reference!$D$5,1,0))+(IF(MONTH($A2625)=Reference!$D$6,Reference!$D$13,0))),0)</f>
        <v>446</v>
      </c>
      <c r="E2625" s="11">
        <f ca="1">D2625*Reference!$D$7*(1-IF(MONTH($A2625)=Reference!$D$6,1,0)*Reference!$D$12)</f>
        <v>334500</v>
      </c>
      <c r="M2625" s="20"/>
      <c r="N2625" s="20"/>
      <c r="O2625" s="19"/>
      <c r="P2625" s="10"/>
      <c r="Q2625" s="10"/>
      <c r="R2625" s="10"/>
      <c r="S2625" s="10"/>
      <c r="T2625" s="10"/>
      <c r="U2625" s="10"/>
      <c r="V2625" s="10"/>
      <c r="W2625" s="10"/>
      <c r="X2625" s="10"/>
      <c r="Y2625" s="10"/>
    </row>
    <row r="2626" spans="1:25" x14ac:dyDescent="0.25">
      <c r="A2626" s="9">
        <v>43164</v>
      </c>
      <c r="B2626" s="10">
        <f ca="1">ROUND(_xlfn.NORM.INV(RAND(),Reference!$C$8,0.1*Reference!$C$8)*(1+Reference!$C$11*(IF(MONTH($A2626)=Reference!$C$4,1,0)+IF(MONTH($A2626)=Reference!$C$5,1,0))+(IF(MONTH($A2626)=Reference!$C$6,Reference!$C$13,0))),0)</f>
        <v>372</v>
      </c>
      <c r="C2626" s="11">
        <f ca="1">B2626*Reference!$C$7*(1-IF(MONTH($A2626)=Reference!$C$6,1,0)*Reference!$C$12)</f>
        <v>345960</v>
      </c>
      <c r="D2626" s="10">
        <f ca="1">ROUND(_xlfn.NORM.INV(RAND(),Reference!$D$8,0.1*Reference!$D$8)*(1+Reference!$D$11*(IF(MONTH($A2626)=Reference!$D$4,1,0)+IF(MONTH($A2626)=Reference!$D$5,1,0))+(IF(MONTH($A2626)=Reference!$D$6,Reference!$D$13,0))),0)</f>
        <v>349</v>
      </c>
      <c r="E2626" s="11">
        <f ca="1">D2626*Reference!$D$7*(1-IF(MONTH($A2626)=Reference!$D$6,1,0)*Reference!$D$12)</f>
        <v>261750</v>
      </c>
      <c r="M2626" s="20"/>
      <c r="N2626" s="20"/>
      <c r="O2626" s="19"/>
      <c r="P2626" s="10"/>
      <c r="Q2626" s="10"/>
      <c r="R2626" s="10"/>
      <c r="S2626" s="10"/>
      <c r="T2626" s="10"/>
      <c r="U2626" s="10"/>
      <c r="V2626" s="10"/>
      <c r="W2626" s="10"/>
      <c r="X2626" s="10"/>
      <c r="Y2626" s="10"/>
    </row>
    <row r="2627" spans="1:25" x14ac:dyDescent="0.25">
      <c r="A2627" s="9">
        <v>43165</v>
      </c>
      <c r="B2627" s="10">
        <f ca="1">ROUND(_xlfn.NORM.INV(RAND(),Reference!$C$8,0.1*Reference!$C$8)*(1+Reference!$C$11*(IF(MONTH($A2627)=Reference!$C$4,1,0)+IF(MONTH($A2627)=Reference!$C$5,1,0))+(IF(MONTH($A2627)=Reference!$C$6,Reference!$C$13,0))),0)</f>
        <v>425</v>
      </c>
      <c r="C2627" s="11">
        <f ca="1">B2627*Reference!$C$7*(1-IF(MONTH($A2627)=Reference!$C$6,1,0)*Reference!$C$12)</f>
        <v>395250</v>
      </c>
      <c r="D2627" s="10">
        <f ca="1">ROUND(_xlfn.NORM.INV(RAND(),Reference!$D$8,0.1*Reference!$D$8)*(1+Reference!$D$11*(IF(MONTH($A2627)=Reference!$D$4,1,0)+IF(MONTH($A2627)=Reference!$D$5,1,0))+(IF(MONTH($A2627)=Reference!$D$6,Reference!$D$13,0))),0)</f>
        <v>448</v>
      </c>
      <c r="E2627" s="11">
        <f ca="1">D2627*Reference!$D$7*(1-IF(MONTH($A2627)=Reference!$D$6,1,0)*Reference!$D$12)</f>
        <v>336000</v>
      </c>
      <c r="M2627" s="20"/>
      <c r="N2627" s="20"/>
      <c r="O2627" s="19"/>
      <c r="P2627" s="10"/>
      <c r="Q2627" s="10"/>
      <c r="R2627" s="10"/>
      <c r="S2627" s="10"/>
      <c r="T2627" s="10"/>
      <c r="U2627" s="10"/>
      <c r="V2627" s="10"/>
      <c r="W2627" s="10"/>
      <c r="X2627" s="10"/>
      <c r="Y2627" s="10"/>
    </row>
    <row r="2628" spans="1:25" x14ac:dyDescent="0.25">
      <c r="A2628" s="9">
        <v>43166</v>
      </c>
      <c r="B2628" s="10">
        <f ca="1">ROUND(_xlfn.NORM.INV(RAND(),Reference!$C$8,0.1*Reference!$C$8)*(1+Reference!$C$11*(IF(MONTH($A2628)=Reference!$C$4,1,0)+IF(MONTH($A2628)=Reference!$C$5,1,0))+(IF(MONTH($A2628)=Reference!$C$6,Reference!$C$13,0))),0)</f>
        <v>340</v>
      </c>
      <c r="C2628" s="11">
        <f ca="1">B2628*Reference!$C$7*(1-IF(MONTH($A2628)=Reference!$C$6,1,0)*Reference!$C$12)</f>
        <v>316200</v>
      </c>
      <c r="D2628" s="10">
        <f ca="1">ROUND(_xlfn.NORM.INV(RAND(),Reference!$D$8,0.1*Reference!$D$8)*(1+Reference!$D$11*(IF(MONTH($A2628)=Reference!$D$4,1,0)+IF(MONTH($A2628)=Reference!$D$5,1,0))+(IF(MONTH($A2628)=Reference!$D$6,Reference!$D$13,0))),0)</f>
        <v>407</v>
      </c>
      <c r="E2628" s="11">
        <f ca="1">D2628*Reference!$D$7*(1-IF(MONTH($A2628)=Reference!$D$6,1,0)*Reference!$D$12)</f>
        <v>305250</v>
      </c>
      <c r="M2628" s="20"/>
      <c r="N2628" s="20"/>
      <c r="O2628" s="19"/>
      <c r="P2628" s="10"/>
      <c r="Q2628" s="10"/>
      <c r="R2628" s="10"/>
      <c r="S2628" s="10"/>
      <c r="T2628" s="10"/>
      <c r="U2628" s="10"/>
      <c r="V2628" s="10"/>
      <c r="W2628" s="10"/>
      <c r="X2628" s="10"/>
      <c r="Y2628" s="10"/>
    </row>
    <row r="2629" spans="1:25" x14ac:dyDescent="0.25">
      <c r="A2629" s="9">
        <v>43167</v>
      </c>
      <c r="B2629" s="10">
        <f ca="1">ROUND(_xlfn.NORM.INV(RAND(),Reference!$C$8,0.1*Reference!$C$8)*(1+Reference!$C$11*(IF(MONTH($A2629)=Reference!$C$4,1,0)+IF(MONTH($A2629)=Reference!$C$5,1,0))+(IF(MONTH($A2629)=Reference!$C$6,Reference!$C$13,0))),0)</f>
        <v>371</v>
      </c>
      <c r="C2629" s="11">
        <f ca="1">B2629*Reference!$C$7*(1-IF(MONTH($A2629)=Reference!$C$6,1,0)*Reference!$C$12)</f>
        <v>345030</v>
      </c>
      <c r="D2629" s="10">
        <f ca="1">ROUND(_xlfn.NORM.INV(RAND(),Reference!$D$8,0.1*Reference!$D$8)*(1+Reference!$D$11*(IF(MONTH($A2629)=Reference!$D$4,1,0)+IF(MONTH($A2629)=Reference!$D$5,1,0))+(IF(MONTH($A2629)=Reference!$D$6,Reference!$D$13,0))),0)</f>
        <v>416</v>
      </c>
      <c r="E2629" s="11">
        <f ca="1">D2629*Reference!$D$7*(1-IF(MONTH($A2629)=Reference!$D$6,1,0)*Reference!$D$12)</f>
        <v>312000</v>
      </c>
      <c r="M2629" s="20"/>
      <c r="N2629" s="20"/>
      <c r="O2629" s="19"/>
      <c r="P2629" s="10"/>
      <c r="Q2629" s="10"/>
      <c r="R2629" s="10"/>
      <c r="S2629" s="10"/>
      <c r="T2629" s="10"/>
      <c r="U2629" s="10"/>
      <c r="V2629" s="10"/>
      <c r="W2629" s="10"/>
      <c r="X2629" s="10"/>
      <c r="Y2629" s="10"/>
    </row>
    <row r="2630" spans="1:25" x14ac:dyDescent="0.25">
      <c r="A2630" s="9">
        <v>43168</v>
      </c>
      <c r="B2630" s="10">
        <f ca="1">ROUND(_xlfn.NORM.INV(RAND(),Reference!$C$8,0.1*Reference!$C$8)*(1+Reference!$C$11*(IF(MONTH($A2630)=Reference!$C$4,1,0)+IF(MONTH($A2630)=Reference!$C$5,1,0))+(IF(MONTH($A2630)=Reference!$C$6,Reference!$C$13,0))),0)</f>
        <v>402</v>
      </c>
      <c r="C2630" s="11">
        <f ca="1">B2630*Reference!$C$7*(1-IF(MONTH($A2630)=Reference!$C$6,1,0)*Reference!$C$12)</f>
        <v>373860</v>
      </c>
      <c r="D2630" s="10">
        <f ca="1">ROUND(_xlfn.NORM.INV(RAND(),Reference!$D$8,0.1*Reference!$D$8)*(1+Reference!$D$11*(IF(MONTH($A2630)=Reference!$D$4,1,0)+IF(MONTH($A2630)=Reference!$D$5,1,0))+(IF(MONTH($A2630)=Reference!$D$6,Reference!$D$13,0))),0)</f>
        <v>461</v>
      </c>
      <c r="E2630" s="11">
        <f ca="1">D2630*Reference!$D$7*(1-IF(MONTH($A2630)=Reference!$D$6,1,0)*Reference!$D$12)</f>
        <v>345750</v>
      </c>
      <c r="M2630" s="20"/>
      <c r="N2630" s="20"/>
      <c r="O2630" s="19"/>
      <c r="P2630" s="10"/>
      <c r="Q2630" s="10"/>
      <c r="R2630" s="10"/>
      <c r="S2630" s="10"/>
      <c r="T2630" s="10"/>
      <c r="U2630" s="10"/>
      <c r="V2630" s="10"/>
      <c r="W2630" s="10"/>
      <c r="X2630" s="10"/>
      <c r="Y2630" s="10"/>
    </row>
    <row r="2631" spans="1:25" x14ac:dyDescent="0.25">
      <c r="A2631" s="9">
        <v>43169</v>
      </c>
      <c r="B2631" s="10">
        <f ca="1">ROUND(_xlfn.NORM.INV(RAND(),Reference!$C$8,0.1*Reference!$C$8)*(1+Reference!$C$11*(IF(MONTH($A2631)=Reference!$C$4,1,0)+IF(MONTH($A2631)=Reference!$C$5,1,0))+(IF(MONTH($A2631)=Reference!$C$6,Reference!$C$13,0))),0)</f>
        <v>355</v>
      </c>
      <c r="C2631" s="11">
        <f ca="1">B2631*Reference!$C$7*(1-IF(MONTH($A2631)=Reference!$C$6,1,0)*Reference!$C$12)</f>
        <v>330150</v>
      </c>
      <c r="D2631" s="10">
        <f ca="1">ROUND(_xlfn.NORM.INV(RAND(),Reference!$D$8,0.1*Reference!$D$8)*(1+Reference!$D$11*(IF(MONTH($A2631)=Reference!$D$4,1,0)+IF(MONTH($A2631)=Reference!$D$5,1,0))+(IF(MONTH($A2631)=Reference!$D$6,Reference!$D$13,0))),0)</f>
        <v>404</v>
      </c>
      <c r="E2631" s="11">
        <f ca="1">D2631*Reference!$D$7*(1-IF(MONTH($A2631)=Reference!$D$6,1,0)*Reference!$D$12)</f>
        <v>303000</v>
      </c>
      <c r="M2631" s="20"/>
      <c r="N2631" s="20"/>
      <c r="O2631" s="19"/>
      <c r="P2631" s="10"/>
      <c r="Q2631" s="10"/>
      <c r="R2631" s="10"/>
      <c r="S2631" s="10"/>
      <c r="T2631" s="10"/>
      <c r="U2631" s="10"/>
      <c r="V2631" s="10"/>
      <c r="W2631" s="10"/>
      <c r="X2631" s="10"/>
      <c r="Y2631" s="10"/>
    </row>
    <row r="2632" spans="1:25" x14ac:dyDescent="0.25">
      <c r="A2632" s="9">
        <v>43170</v>
      </c>
      <c r="B2632" s="10">
        <f ca="1">ROUND(_xlfn.NORM.INV(RAND(),Reference!$C$8,0.1*Reference!$C$8)*(1+Reference!$C$11*(IF(MONTH($A2632)=Reference!$C$4,1,0)+IF(MONTH($A2632)=Reference!$C$5,1,0))+(IF(MONTH($A2632)=Reference!$C$6,Reference!$C$13,0))),0)</f>
        <v>357</v>
      </c>
      <c r="C2632" s="11">
        <f ca="1">B2632*Reference!$C$7*(1-IF(MONTH($A2632)=Reference!$C$6,1,0)*Reference!$C$12)</f>
        <v>332010</v>
      </c>
      <c r="D2632" s="10">
        <f ca="1">ROUND(_xlfn.NORM.INV(RAND(),Reference!$D$8,0.1*Reference!$D$8)*(1+Reference!$D$11*(IF(MONTH($A2632)=Reference!$D$4,1,0)+IF(MONTH($A2632)=Reference!$D$5,1,0))+(IF(MONTH($A2632)=Reference!$D$6,Reference!$D$13,0))),0)</f>
        <v>421</v>
      </c>
      <c r="E2632" s="11">
        <f ca="1">D2632*Reference!$D$7*(1-IF(MONTH($A2632)=Reference!$D$6,1,0)*Reference!$D$12)</f>
        <v>315750</v>
      </c>
      <c r="M2632" s="20"/>
      <c r="N2632" s="20"/>
      <c r="O2632" s="19"/>
      <c r="P2632" s="10"/>
      <c r="Q2632" s="10"/>
      <c r="R2632" s="10"/>
      <c r="S2632" s="10"/>
      <c r="T2632" s="10"/>
      <c r="U2632" s="10"/>
      <c r="V2632" s="10"/>
      <c r="W2632" s="10"/>
      <c r="X2632" s="10"/>
      <c r="Y2632" s="10"/>
    </row>
    <row r="2633" spans="1:25" x14ac:dyDescent="0.25">
      <c r="A2633" s="9">
        <v>43171</v>
      </c>
      <c r="B2633" s="10">
        <f ca="1">ROUND(_xlfn.NORM.INV(RAND(),Reference!$C$8,0.1*Reference!$C$8)*(1+Reference!$C$11*(IF(MONTH($A2633)=Reference!$C$4,1,0)+IF(MONTH($A2633)=Reference!$C$5,1,0))+(IF(MONTH($A2633)=Reference!$C$6,Reference!$C$13,0))),0)</f>
        <v>343</v>
      </c>
      <c r="C2633" s="11">
        <f ca="1">B2633*Reference!$C$7*(1-IF(MONTH($A2633)=Reference!$C$6,1,0)*Reference!$C$12)</f>
        <v>318990</v>
      </c>
      <c r="D2633" s="10">
        <f ca="1">ROUND(_xlfn.NORM.INV(RAND(),Reference!$D$8,0.1*Reference!$D$8)*(1+Reference!$D$11*(IF(MONTH($A2633)=Reference!$D$4,1,0)+IF(MONTH($A2633)=Reference!$D$5,1,0))+(IF(MONTH($A2633)=Reference!$D$6,Reference!$D$13,0))),0)</f>
        <v>511</v>
      </c>
      <c r="E2633" s="11">
        <f ca="1">D2633*Reference!$D$7*(1-IF(MONTH($A2633)=Reference!$D$6,1,0)*Reference!$D$12)</f>
        <v>383250</v>
      </c>
      <c r="M2633" s="20"/>
      <c r="N2633" s="20"/>
      <c r="O2633" s="19"/>
      <c r="P2633" s="10"/>
      <c r="Q2633" s="10"/>
      <c r="R2633" s="10"/>
      <c r="S2633" s="10"/>
      <c r="T2633" s="10"/>
      <c r="U2633" s="10"/>
      <c r="V2633" s="10"/>
      <c r="W2633" s="10"/>
      <c r="X2633" s="10"/>
      <c r="Y2633" s="10"/>
    </row>
    <row r="2634" spans="1:25" x14ac:dyDescent="0.25">
      <c r="A2634" s="9">
        <v>43172</v>
      </c>
      <c r="B2634" s="10">
        <f ca="1">ROUND(_xlfn.NORM.INV(RAND(),Reference!$C$8,0.1*Reference!$C$8)*(1+Reference!$C$11*(IF(MONTH($A2634)=Reference!$C$4,1,0)+IF(MONTH($A2634)=Reference!$C$5,1,0))+(IF(MONTH($A2634)=Reference!$C$6,Reference!$C$13,0))),0)</f>
        <v>377</v>
      </c>
      <c r="C2634" s="11">
        <f ca="1">B2634*Reference!$C$7*(1-IF(MONTH($A2634)=Reference!$C$6,1,0)*Reference!$C$12)</f>
        <v>350610</v>
      </c>
      <c r="D2634" s="10">
        <f ca="1">ROUND(_xlfn.NORM.INV(RAND(),Reference!$D$8,0.1*Reference!$D$8)*(1+Reference!$D$11*(IF(MONTH($A2634)=Reference!$D$4,1,0)+IF(MONTH($A2634)=Reference!$D$5,1,0))+(IF(MONTH($A2634)=Reference!$D$6,Reference!$D$13,0))),0)</f>
        <v>435</v>
      </c>
      <c r="E2634" s="11">
        <f ca="1">D2634*Reference!$D$7*(1-IF(MONTH($A2634)=Reference!$D$6,1,0)*Reference!$D$12)</f>
        <v>326250</v>
      </c>
      <c r="M2634" s="20"/>
      <c r="N2634" s="20"/>
      <c r="O2634" s="19"/>
      <c r="P2634" s="10"/>
      <c r="Q2634" s="10"/>
      <c r="R2634" s="10"/>
      <c r="S2634" s="10"/>
      <c r="T2634" s="10"/>
      <c r="U2634" s="10"/>
      <c r="V2634" s="10"/>
      <c r="W2634" s="10"/>
      <c r="X2634" s="10"/>
      <c r="Y2634" s="10"/>
    </row>
    <row r="2635" spans="1:25" x14ac:dyDescent="0.25">
      <c r="A2635" s="9">
        <v>43173</v>
      </c>
      <c r="B2635" s="10">
        <f ca="1">ROUND(_xlfn.NORM.INV(RAND(),Reference!$C$8,0.1*Reference!$C$8)*(1+Reference!$C$11*(IF(MONTH($A2635)=Reference!$C$4,1,0)+IF(MONTH($A2635)=Reference!$C$5,1,0))+(IF(MONTH($A2635)=Reference!$C$6,Reference!$C$13,0))),0)</f>
        <v>405</v>
      </c>
      <c r="C2635" s="11">
        <f ca="1">B2635*Reference!$C$7*(1-IF(MONTH($A2635)=Reference!$C$6,1,0)*Reference!$C$12)</f>
        <v>376650</v>
      </c>
      <c r="D2635" s="10">
        <f ca="1">ROUND(_xlfn.NORM.INV(RAND(),Reference!$D$8,0.1*Reference!$D$8)*(1+Reference!$D$11*(IF(MONTH($A2635)=Reference!$D$4,1,0)+IF(MONTH($A2635)=Reference!$D$5,1,0))+(IF(MONTH($A2635)=Reference!$D$6,Reference!$D$13,0))),0)</f>
        <v>349</v>
      </c>
      <c r="E2635" s="11">
        <f ca="1">D2635*Reference!$D$7*(1-IF(MONTH($A2635)=Reference!$D$6,1,0)*Reference!$D$12)</f>
        <v>261750</v>
      </c>
      <c r="M2635" s="20"/>
      <c r="N2635" s="20"/>
      <c r="O2635" s="19"/>
      <c r="P2635" s="10"/>
      <c r="Q2635" s="10"/>
      <c r="R2635" s="10"/>
      <c r="S2635" s="10"/>
      <c r="T2635" s="10"/>
      <c r="U2635" s="10"/>
      <c r="V2635" s="10"/>
      <c r="W2635" s="10"/>
      <c r="X2635" s="10"/>
      <c r="Y2635" s="10"/>
    </row>
    <row r="2636" spans="1:25" x14ac:dyDescent="0.25">
      <c r="A2636" s="9">
        <v>43174</v>
      </c>
      <c r="B2636" s="10">
        <f ca="1">ROUND(_xlfn.NORM.INV(RAND(),Reference!$C$8,0.1*Reference!$C$8)*(1+Reference!$C$11*(IF(MONTH($A2636)=Reference!$C$4,1,0)+IF(MONTH($A2636)=Reference!$C$5,1,0))+(IF(MONTH($A2636)=Reference!$C$6,Reference!$C$13,0))),0)</f>
        <v>394</v>
      </c>
      <c r="C2636" s="11">
        <f ca="1">B2636*Reference!$C$7*(1-IF(MONTH($A2636)=Reference!$C$6,1,0)*Reference!$C$12)</f>
        <v>366420</v>
      </c>
      <c r="D2636" s="10">
        <f ca="1">ROUND(_xlfn.NORM.INV(RAND(),Reference!$D$8,0.1*Reference!$D$8)*(1+Reference!$D$11*(IF(MONTH($A2636)=Reference!$D$4,1,0)+IF(MONTH($A2636)=Reference!$D$5,1,0))+(IF(MONTH($A2636)=Reference!$D$6,Reference!$D$13,0))),0)</f>
        <v>515</v>
      </c>
      <c r="E2636" s="11">
        <f ca="1">D2636*Reference!$D$7*(1-IF(MONTH($A2636)=Reference!$D$6,1,0)*Reference!$D$12)</f>
        <v>386250</v>
      </c>
      <c r="M2636" s="20"/>
      <c r="N2636" s="20"/>
      <c r="O2636" s="19"/>
      <c r="P2636" s="10"/>
      <c r="Q2636" s="10"/>
      <c r="R2636" s="10"/>
      <c r="S2636" s="10"/>
      <c r="T2636" s="10"/>
      <c r="U2636" s="10"/>
      <c r="V2636" s="10"/>
      <c r="W2636" s="10"/>
      <c r="X2636" s="10"/>
      <c r="Y2636" s="10"/>
    </row>
    <row r="2637" spans="1:25" x14ac:dyDescent="0.25">
      <c r="A2637" s="9">
        <v>43175</v>
      </c>
      <c r="B2637" s="10">
        <f ca="1">ROUND(_xlfn.NORM.INV(RAND(),Reference!$C$8,0.1*Reference!$C$8)*(1+Reference!$C$11*(IF(MONTH($A2637)=Reference!$C$4,1,0)+IF(MONTH($A2637)=Reference!$C$5,1,0))+(IF(MONTH($A2637)=Reference!$C$6,Reference!$C$13,0))),0)</f>
        <v>364</v>
      </c>
      <c r="C2637" s="11">
        <f ca="1">B2637*Reference!$C$7*(1-IF(MONTH($A2637)=Reference!$C$6,1,0)*Reference!$C$12)</f>
        <v>338520</v>
      </c>
      <c r="D2637" s="10">
        <f ca="1">ROUND(_xlfn.NORM.INV(RAND(),Reference!$D$8,0.1*Reference!$D$8)*(1+Reference!$D$11*(IF(MONTH($A2637)=Reference!$D$4,1,0)+IF(MONTH($A2637)=Reference!$D$5,1,0))+(IF(MONTH($A2637)=Reference!$D$6,Reference!$D$13,0))),0)</f>
        <v>528</v>
      </c>
      <c r="E2637" s="11">
        <f ca="1">D2637*Reference!$D$7*(1-IF(MONTH($A2637)=Reference!$D$6,1,0)*Reference!$D$12)</f>
        <v>396000</v>
      </c>
      <c r="M2637" s="20"/>
      <c r="N2637" s="20"/>
      <c r="O2637" s="19"/>
      <c r="P2637" s="10"/>
      <c r="Q2637" s="10"/>
      <c r="R2637" s="10"/>
      <c r="S2637" s="10"/>
      <c r="T2637" s="10"/>
      <c r="U2637" s="10"/>
      <c r="V2637" s="10"/>
      <c r="W2637" s="10"/>
      <c r="X2637" s="10"/>
      <c r="Y2637" s="10"/>
    </row>
    <row r="2638" spans="1:25" x14ac:dyDescent="0.25">
      <c r="A2638" s="9">
        <v>43176</v>
      </c>
      <c r="B2638" s="10">
        <f ca="1">ROUND(_xlfn.NORM.INV(RAND(),Reference!$C$8,0.1*Reference!$C$8)*(1+Reference!$C$11*(IF(MONTH($A2638)=Reference!$C$4,1,0)+IF(MONTH($A2638)=Reference!$C$5,1,0))+(IF(MONTH($A2638)=Reference!$C$6,Reference!$C$13,0))),0)</f>
        <v>380</v>
      </c>
      <c r="C2638" s="11">
        <f ca="1">B2638*Reference!$C$7*(1-IF(MONTH($A2638)=Reference!$C$6,1,0)*Reference!$C$12)</f>
        <v>353400</v>
      </c>
      <c r="D2638" s="10">
        <f ca="1">ROUND(_xlfn.NORM.INV(RAND(),Reference!$D$8,0.1*Reference!$D$8)*(1+Reference!$D$11*(IF(MONTH($A2638)=Reference!$D$4,1,0)+IF(MONTH($A2638)=Reference!$D$5,1,0))+(IF(MONTH($A2638)=Reference!$D$6,Reference!$D$13,0))),0)</f>
        <v>443</v>
      </c>
      <c r="E2638" s="11">
        <f ca="1">D2638*Reference!$D$7*(1-IF(MONTH($A2638)=Reference!$D$6,1,0)*Reference!$D$12)</f>
        <v>332250</v>
      </c>
      <c r="M2638" s="20"/>
      <c r="N2638" s="20"/>
      <c r="O2638" s="19"/>
      <c r="P2638" s="10"/>
      <c r="Q2638" s="10"/>
      <c r="R2638" s="10"/>
      <c r="S2638" s="10"/>
      <c r="T2638" s="10"/>
      <c r="U2638" s="10"/>
      <c r="V2638" s="10"/>
      <c r="W2638" s="10"/>
      <c r="X2638" s="10"/>
      <c r="Y2638" s="10"/>
    </row>
    <row r="2639" spans="1:25" x14ac:dyDescent="0.25">
      <c r="A2639" s="9">
        <v>43177</v>
      </c>
      <c r="B2639" s="10">
        <f ca="1">ROUND(_xlfn.NORM.INV(RAND(),Reference!$C$8,0.1*Reference!$C$8)*(1+Reference!$C$11*(IF(MONTH($A2639)=Reference!$C$4,1,0)+IF(MONTH($A2639)=Reference!$C$5,1,0))+(IF(MONTH($A2639)=Reference!$C$6,Reference!$C$13,0))),0)</f>
        <v>371</v>
      </c>
      <c r="C2639" s="11">
        <f ca="1">B2639*Reference!$C$7*(1-IF(MONTH($A2639)=Reference!$C$6,1,0)*Reference!$C$12)</f>
        <v>345030</v>
      </c>
      <c r="D2639" s="10">
        <f ca="1">ROUND(_xlfn.NORM.INV(RAND(),Reference!$D$8,0.1*Reference!$D$8)*(1+Reference!$D$11*(IF(MONTH($A2639)=Reference!$D$4,1,0)+IF(MONTH($A2639)=Reference!$D$5,1,0))+(IF(MONTH($A2639)=Reference!$D$6,Reference!$D$13,0))),0)</f>
        <v>481</v>
      </c>
      <c r="E2639" s="11">
        <f ca="1">D2639*Reference!$D$7*(1-IF(MONTH($A2639)=Reference!$D$6,1,0)*Reference!$D$12)</f>
        <v>360750</v>
      </c>
      <c r="M2639" s="20"/>
      <c r="N2639" s="20"/>
      <c r="O2639" s="19"/>
      <c r="P2639" s="10"/>
      <c r="Q2639" s="10"/>
      <c r="R2639" s="10"/>
      <c r="S2639" s="10"/>
      <c r="T2639" s="10"/>
      <c r="U2639" s="10"/>
      <c r="V2639" s="10"/>
      <c r="W2639" s="10"/>
      <c r="X2639" s="10"/>
      <c r="Y2639" s="10"/>
    </row>
    <row r="2640" spans="1:25" x14ac:dyDescent="0.25">
      <c r="A2640" s="9">
        <v>43178</v>
      </c>
      <c r="B2640" s="10">
        <f ca="1">ROUND(_xlfn.NORM.INV(RAND(),Reference!$C$8,0.1*Reference!$C$8)*(1+Reference!$C$11*(IF(MONTH($A2640)=Reference!$C$4,1,0)+IF(MONTH($A2640)=Reference!$C$5,1,0))+(IF(MONTH($A2640)=Reference!$C$6,Reference!$C$13,0))),0)</f>
        <v>334</v>
      </c>
      <c r="C2640" s="11">
        <f ca="1">B2640*Reference!$C$7*(1-IF(MONTH($A2640)=Reference!$C$6,1,0)*Reference!$C$12)</f>
        <v>310620</v>
      </c>
      <c r="D2640" s="10">
        <f ca="1">ROUND(_xlfn.NORM.INV(RAND(),Reference!$D$8,0.1*Reference!$D$8)*(1+Reference!$D$11*(IF(MONTH($A2640)=Reference!$D$4,1,0)+IF(MONTH($A2640)=Reference!$D$5,1,0))+(IF(MONTH($A2640)=Reference!$D$6,Reference!$D$13,0))),0)</f>
        <v>474</v>
      </c>
      <c r="E2640" s="11">
        <f ca="1">D2640*Reference!$D$7*(1-IF(MONTH($A2640)=Reference!$D$6,1,0)*Reference!$D$12)</f>
        <v>355500</v>
      </c>
      <c r="M2640" s="20"/>
      <c r="N2640" s="20"/>
      <c r="O2640" s="19"/>
      <c r="P2640" s="10"/>
      <c r="Q2640" s="10"/>
      <c r="R2640" s="10"/>
      <c r="S2640" s="10"/>
      <c r="T2640" s="10"/>
      <c r="U2640" s="10"/>
      <c r="V2640" s="10"/>
      <c r="W2640" s="10"/>
      <c r="X2640" s="10"/>
      <c r="Y2640" s="10"/>
    </row>
    <row r="2641" spans="1:25" x14ac:dyDescent="0.25">
      <c r="A2641" s="9">
        <v>43179</v>
      </c>
      <c r="B2641" s="10">
        <f ca="1">ROUND(_xlfn.NORM.INV(RAND(),Reference!$C$8,0.1*Reference!$C$8)*(1+Reference!$C$11*(IF(MONTH($A2641)=Reference!$C$4,1,0)+IF(MONTH($A2641)=Reference!$C$5,1,0))+(IF(MONTH($A2641)=Reference!$C$6,Reference!$C$13,0))),0)</f>
        <v>394</v>
      </c>
      <c r="C2641" s="11">
        <f ca="1">B2641*Reference!$C$7*(1-IF(MONTH($A2641)=Reference!$C$6,1,0)*Reference!$C$12)</f>
        <v>366420</v>
      </c>
      <c r="D2641" s="10">
        <f ca="1">ROUND(_xlfn.NORM.INV(RAND(),Reference!$D$8,0.1*Reference!$D$8)*(1+Reference!$D$11*(IF(MONTH($A2641)=Reference!$D$4,1,0)+IF(MONTH($A2641)=Reference!$D$5,1,0))+(IF(MONTH($A2641)=Reference!$D$6,Reference!$D$13,0))),0)</f>
        <v>447</v>
      </c>
      <c r="E2641" s="11">
        <f ca="1">D2641*Reference!$D$7*(1-IF(MONTH($A2641)=Reference!$D$6,1,0)*Reference!$D$12)</f>
        <v>335250</v>
      </c>
      <c r="M2641" s="20"/>
      <c r="N2641" s="20"/>
      <c r="O2641" s="19"/>
      <c r="P2641" s="10"/>
      <c r="Q2641" s="10"/>
      <c r="R2641" s="10"/>
      <c r="S2641" s="10"/>
      <c r="T2641" s="10"/>
      <c r="U2641" s="10"/>
      <c r="V2641" s="10"/>
      <c r="W2641" s="10"/>
      <c r="X2641" s="10"/>
      <c r="Y2641" s="10"/>
    </row>
    <row r="2642" spans="1:25" x14ac:dyDescent="0.25">
      <c r="A2642" s="9">
        <v>43180</v>
      </c>
      <c r="B2642" s="10">
        <f ca="1">ROUND(_xlfn.NORM.INV(RAND(),Reference!$C$8,0.1*Reference!$C$8)*(1+Reference!$C$11*(IF(MONTH($A2642)=Reference!$C$4,1,0)+IF(MONTH($A2642)=Reference!$C$5,1,0))+(IF(MONTH($A2642)=Reference!$C$6,Reference!$C$13,0))),0)</f>
        <v>416</v>
      </c>
      <c r="C2642" s="11">
        <f ca="1">B2642*Reference!$C$7*(1-IF(MONTH($A2642)=Reference!$C$6,1,0)*Reference!$C$12)</f>
        <v>386880</v>
      </c>
      <c r="D2642" s="10">
        <f ca="1">ROUND(_xlfn.NORM.INV(RAND(),Reference!$D$8,0.1*Reference!$D$8)*(1+Reference!$D$11*(IF(MONTH($A2642)=Reference!$D$4,1,0)+IF(MONTH($A2642)=Reference!$D$5,1,0))+(IF(MONTH($A2642)=Reference!$D$6,Reference!$D$13,0))),0)</f>
        <v>436</v>
      </c>
      <c r="E2642" s="11">
        <f ca="1">D2642*Reference!$D$7*(1-IF(MONTH($A2642)=Reference!$D$6,1,0)*Reference!$D$12)</f>
        <v>327000</v>
      </c>
      <c r="M2642" s="20"/>
      <c r="N2642" s="20"/>
      <c r="O2642" s="19"/>
      <c r="P2642" s="10"/>
      <c r="Q2642" s="10"/>
      <c r="R2642" s="10"/>
      <c r="S2642" s="10"/>
      <c r="T2642" s="10"/>
      <c r="U2642" s="10"/>
      <c r="V2642" s="10"/>
      <c r="W2642" s="10"/>
      <c r="X2642" s="10"/>
      <c r="Y2642" s="10"/>
    </row>
    <row r="2643" spans="1:25" x14ac:dyDescent="0.25">
      <c r="A2643" s="9">
        <v>43181</v>
      </c>
      <c r="B2643" s="10">
        <f ca="1">ROUND(_xlfn.NORM.INV(RAND(),Reference!$C$8,0.1*Reference!$C$8)*(1+Reference!$C$11*(IF(MONTH($A2643)=Reference!$C$4,1,0)+IF(MONTH($A2643)=Reference!$C$5,1,0))+(IF(MONTH($A2643)=Reference!$C$6,Reference!$C$13,0))),0)</f>
        <v>366</v>
      </c>
      <c r="C2643" s="11">
        <f ca="1">B2643*Reference!$C$7*(1-IF(MONTH($A2643)=Reference!$C$6,1,0)*Reference!$C$12)</f>
        <v>340380</v>
      </c>
      <c r="D2643" s="10">
        <f ca="1">ROUND(_xlfn.NORM.INV(RAND(),Reference!$D$8,0.1*Reference!$D$8)*(1+Reference!$D$11*(IF(MONTH($A2643)=Reference!$D$4,1,0)+IF(MONTH($A2643)=Reference!$D$5,1,0))+(IF(MONTH($A2643)=Reference!$D$6,Reference!$D$13,0))),0)</f>
        <v>434</v>
      </c>
      <c r="E2643" s="11">
        <f ca="1">D2643*Reference!$D$7*(1-IF(MONTH($A2643)=Reference!$D$6,1,0)*Reference!$D$12)</f>
        <v>325500</v>
      </c>
      <c r="M2643" s="20"/>
      <c r="N2643" s="20"/>
      <c r="O2643" s="19"/>
      <c r="P2643" s="10"/>
      <c r="Q2643" s="10"/>
      <c r="R2643" s="10"/>
      <c r="S2643" s="10"/>
      <c r="T2643" s="10"/>
      <c r="U2643" s="10"/>
      <c r="V2643" s="10"/>
      <c r="W2643" s="10"/>
      <c r="X2643" s="10"/>
      <c r="Y2643" s="10"/>
    </row>
    <row r="2644" spans="1:25" x14ac:dyDescent="0.25">
      <c r="A2644" s="9">
        <v>43182</v>
      </c>
      <c r="B2644" s="10">
        <f ca="1">ROUND(_xlfn.NORM.INV(RAND(),Reference!$C$8,0.1*Reference!$C$8)*(1+Reference!$C$11*(IF(MONTH($A2644)=Reference!$C$4,1,0)+IF(MONTH($A2644)=Reference!$C$5,1,0))+(IF(MONTH($A2644)=Reference!$C$6,Reference!$C$13,0))),0)</f>
        <v>375</v>
      </c>
      <c r="C2644" s="11">
        <f ca="1">B2644*Reference!$C$7*(1-IF(MONTH($A2644)=Reference!$C$6,1,0)*Reference!$C$12)</f>
        <v>348750</v>
      </c>
      <c r="D2644" s="10">
        <f ca="1">ROUND(_xlfn.NORM.INV(RAND(),Reference!$D$8,0.1*Reference!$D$8)*(1+Reference!$D$11*(IF(MONTH($A2644)=Reference!$D$4,1,0)+IF(MONTH($A2644)=Reference!$D$5,1,0))+(IF(MONTH($A2644)=Reference!$D$6,Reference!$D$13,0))),0)</f>
        <v>450</v>
      </c>
      <c r="E2644" s="11">
        <f ca="1">D2644*Reference!$D$7*(1-IF(MONTH($A2644)=Reference!$D$6,1,0)*Reference!$D$12)</f>
        <v>337500</v>
      </c>
      <c r="M2644" s="20"/>
      <c r="N2644" s="20"/>
      <c r="O2644" s="19"/>
      <c r="P2644" s="10"/>
      <c r="Q2644" s="10"/>
      <c r="R2644" s="10"/>
      <c r="S2644" s="10"/>
      <c r="T2644" s="10"/>
      <c r="U2644" s="10"/>
      <c r="V2644" s="10"/>
      <c r="W2644" s="10"/>
      <c r="X2644" s="10"/>
      <c r="Y2644" s="10"/>
    </row>
    <row r="2645" spans="1:25" x14ac:dyDescent="0.25">
      <c r="A2645" s="9">
        <v>43183</v>
      </c>
      <c r="B2645" s="10">
        <f ca="1">ROUND(_xlfn.NORM.INV(RAND(),Reference!$C$8,0.1*Reference!$C$8)*(1+Reference!$C$11*(IF(MONTH($A2645)=Reference!$C$4,1,0)+IF(MONTH($A2645)=Reference!$C$5,1,0))+(IF(MONTH($A2645)=Reference!$C$6,Reference!$C$13,0))),0)</f>
        <v>420</v>
      </c>
      <c r="C2645" s="11">
        <f ca="1">B2645*Reference!$C$7*(1-IF(MONTH($A2645)=Reference!$C$6,1,0)*Reference!$C$12)</f>
        <v>390600</v>
      </c>
      <c r="D2645" s="10">
        <f ca="1">ROUND(_xlfn.NORM.INV(RAND(),Reference!$D$8,0.1*Reference!$D$8)*(1+Reference!$D$11*(IF(MONTH($A2645)=Reference!$D$4,1,0)+IF(MONTH($A2645)=Reference!$D$5,1,0))+(IF(MONTH($A2645)=Reference!$D$6,Reference!$D$13,0))),0)</f>
        <v>484</v>
      </c>
      <c r="E2645" s="11">
        <f ca="1">D2645*Reference!$D$7*(1-IF(MONTH($A2645)=Reference!$D$6,1,0)*Reference!$D$12)</f>
        <v>363000</v>
      </c>
      <c r="M2645" s="20"/>
      <c r="N2645" s="20"/>
      <c r="O2645" s="19"/>
      <c r="P2645" s="10"/>
      <c r="Q2645" s="10"/>
      <c r="R2645" s="10"/>
      <c r="S2645" s="10"/>
      <c r="T2645" s="10"/>
      <c r="U2645" s="10"/>
      <c r="V2645" s="10"/>
      <c r="W2645" s="10"/>
      <c r="X2645" s="10"/>
      <c r="Y2645" s="10"/>
    </row>
    <row r="2646" spans="1:25" x14ac:dyDescent="0.25">
      <c r="A2646" s="9">
        <v>43184</v>
      </c>
      <c r="B2646" s="10">
        <f ca="1">ROUND(_xlfn.NORM.INV(RAND(),Reference!$C$8,0.1*Reference!$C$8)*(1+Reference!$C$11*(IF(MONTH($A2646)=Reference!$C$4,1,0)+IF(MONTH($A2646)=Reference!$C$5,1,0))+(IF(MONTH($A2646)=Reference!$C$6,Reference!$C$13,0))),0)</f>
        <v>400</v>
      </c>
      <c r="C2646" s="11">
        <f ca="1">B2646*Reference!$C$7*(1-IF(MONTH($A2646)=Reference!$C$6,1,0)*Reference!$C$12)</f>
        <v>372000</v>
      </c>
      <c r="D2646" s="10">
        <f ca="1">ROUND(_xlfn.NORM.INV(RAND(),Reference!$D$8,0.1*Reference!$D$8)*(1+Reference!$D$11*(IF(MONTH($A2646)=Reference!$D$4,1,0)+IF(MONTH($A2646)=Reference!$D$5,1,0))+(IF(MONTH($A2646)=Reference!$D$6,Reference!$D$13,0))),0)</f>
        <v>483</v>
      </c>
      <c r="E2646" s="11">
        <f ca="1">D2646*Reference!$D$7*(1-IF(MONTH($A2646)=Reference!$D$6,1,0)*Reference!$D$12)</f>
        <v>362250</v>
      </c>
      <c r="M2646" s="20"/>
      <c r="N2646" s="20"/>
      <c r="O2646" s="19"/>
      <c r="P2646" s="10"/>
      <c r="Q2646" s="10"/>
      <c r="R2646" s="10"/>
      <c r="S2646" s="10"/>
      <c r="T2646" s="10"/>
      <c r="U2646" s="10"/>
      <c r="V2646" s="10"/>
      <c r="W2646" s="10"/>
      <c r="X2646" s="10"/>
      <c r="Y2646" s="10"/>
    </row>
    <row r="2647" spans="1:25" x14ac:dyDescent="0.25">
      <c r="A2647" s="9">
        <v>43185</v>
      </c>
      <c r="B2647" s="10">
        <f ca="1">ROUND(_xlfn.NORM.INV(RAND(),Reference!$C$8,0.1*Reference!$C$8)*(1+Reference!$C$11*(IF(MONTH($A2647)=Reference!$C$4,1,0)+IF(MONTH($A2647)=Reference!$C$5,1,0))+(IF(MONTH($A2647)=Reference!$C$6,Reference!$C$13,0))),0)</f>
        <v>392</v>
      </c>
      <c r="C2647" s="11">
        <f ca="1">B2647*Reference!$C$7*(1-IF(MONTH($A2647)=Reference!$C$6,1,0)*Reference!$C$12)</f>
        <v>364560</v>
      </c>
      <c r="D2647" s="10">
        <f ca="1">ROUND(_xlfn.NORM.INV(RAND(),Reference!$D$8,0.1*Reference!$D$8)*(1+Reference!$D$11*(IF(MONTH($A2647)=Reference!$D$4,1,0)+IF(MONTH($A2647)=Reference!$D$5,1,0))+(IF(MONTH($A2647)=Reference!$D$6,Reference!$D$13,0))),0)</f>
        <v>473</v>
      </c>
      <c r="E2647" s="11">
        <f ca="1">D2647*Reference!$D$7*(1-IF(MONTH($A2647)=Reference!$D$6,1,0)*Reference!$D$12)</f>
        <v>354750</v>
      </c>
      <c r="M2647" s="20"/>
      <c r="N2647" s="20"/>
      <c r="O2647" s="19"/>
      <c r="P2647" s="10"/>
      <c r="Q2647" s="10"/>
      <c r="R2647" s="10"/>
      <c r="S2647" s="10"/>
      <c r="T2647" s="10"/>
      <c r="U2647" s="10"/>
      <c r="V2647" s="10"/>
      <c r="W2647" s="10"/>
      <c r="X2647" s="10"/>
      <c r="Y2647" s="10"/>
    </row>
    <row r="2648" spans="1:25" x14ac:dyDescent="0.25">
      <c r="A2648" s="9">
        <v>43186</v>
      </c>
      <c r="B2648" s="10">
        <f ca="1">ROUND(_xlfn.NORM.INV(RAND(),Reference!$C$8,0.1*Reference!$C$8)*(1+Reference!$C$11*(IF(MONTH($A2648)=Reference!$C$4,1,0)+IF(MONTH($A2648)=Reference!$C$5,1,0))+(IF(MONTH($A2648)=Reference!$C$6,Reference!$C$13,0))),0)</f>
        <v>337</v>
      </c>
      <c r="C2648" s="11">
        <f ca="1">B2648*Reference!$C$7*(1-IF(MONTH($A2648)=Reference!$C$6,1,0)*Reference!$C$12)</f>
        <v>313410</v>
      </c>
      <c r="D2648" s="10">
        <f ca="1">ROUND(_xlfn.NORM.INV(RAND(),Reference!$D$8,0.1*Reference!$D$8)*(1+Reference!$D$11*(IF(MONTH($A2648)=Reference!$D$4,1,0)+IF(MONTH($A2648)=Reference!$D$5,1,0))+(IF(MONTH($A2648)=Reference!$D$6,Reference!$D$13,0))),0)</f>
        <v>406</v>
      </c>
      <c r="E2648" s="11">
        <f ca="1">D2648*Reference!$D$7*(1-IF(MONTH($A2648)=Reference!$D$6,1,0)*Reference!$D$12)</f>
        <v>304500</v>
      </c>
      <c r="M2648" s="20"/>
      <c r="N2648" s="20"/>
      <c r="O2648" s="19"/>
      <c r="P2648" s="10"/>
      <c r="Q2648" s="10"/>
      <c r="R2648" s="10"/>
      <c r="S2648" s="10"/>
      <c r="T2648" s="10"/>
      <c r="U2648" s="10"/>
      <c r="V2648" s="10"/>
      <c r="W2648" s="10"/>
      <c r="X2648" s="10"/>
      <c r="Y2648" s="10"/>
    </row>
    <row r="2649" spans="1:25" x14ac:dyDescent="0.25">
      <c r="A2649" s="9">
        <v>43187</v>
      </c>
      <c r="B2649" s="10">
        <f ca="1">ROUND(_xlfn.NORM.INV(RAND(),Reference!$C$8,0.1*Reference!$C$8)*(1+Reference!$C$11*(IF(MONTH($A2649)=Reference!$C$4,1,0)+IF(MONTH($A2649)=Reference!$C$5,1,0))+(IF(MONTH($A2649)=Reference!$C$6,Reference!$C$13,0))),0)</f>
        <v>385</v>
      </c>
      <c r="C2649" s="11">
        <f ca="1">B2649*Reference!$C$7*(1-IF(MONTH($A2649)=Reference!$C$6,1,0)*Reference!$C$12)</f>
        <v>358050</v>
      </c>
      <c r="D2649" s="10">
        <f ca="1">ROUND(_xlfn.NORM.INV(RAND(),Reference!$D$8,0.1*Reference!$D$8)*(1+Reference!$D$11*(IF(MONTH($A2649)=Reference!$D$4,1,0)+IF(MONTH($A2649)=Reference!$D$5,1,0))+(IF(MONTH($A2649)=Reference!$D$6,Reference!$D$13,0))),0)</f>
        <v>364</v>
      </c>
      <c r="E2649" s="11">
        <f ca="1">D2649*Reference!$D$7*(1-IF(MONTH($A2649)=Reference!$D$6,1,0)*Reference!$D$12)</f>
        <v>273000</v>
      </c>
      <c r="M2649" s="20"/>
      <c r="N2649" s="20"/>
      <c r="O2649" s="19"/>
      <c r="P2649" s="10"/>
      <c r="Q2649" s="10"/>
      <c r="R2649" s="10"/>
      <c r="S2649" s="10"/>
      <c r="T2649" s="10"/>
      <c r="U2649" s="10"/>
      <c r="V2649" s="10"/>
      <c r="W2649" s="10"/>
      <c r="X2649" s="10"/>
      <c r="Y2649" s="10"/>
    </row>
    <row r="2650" spans="1:25" x14ac:dyDescent="0.25">
      <c r="A2650" s="9">
        <v>43188</v>
      </c>
      <c r="B2650" s="10">
        <f ca="1">ROUND(_xlfn.NORM.INV(RAND(),Reference!$C$8,0.1*Reference!$C$8)*(1+Reference!$C$11*(IF(MONTH($A2650)=Reference!$C$4,1,0)+IF(MONTH($A2650)=Reference!$C$5,1,0))+(IF(MONTH($A2650)=Reference!$C$6,Reference!$C$13,0))),0)</f>
        <v>407</v>
      </c>
      <c r="C2650" s="11">
        <f ca="1">B2650*Reference!$C$7*(1-IF(MONTH($A2650)=Reference!$C$6,1,0)*Reference!$C$12)</f>
        <v>378510</v>
      </c>
      <c r="D2650" s="10">
        <f ca="1">ROUND(_xlfn.NORM.INV(RAND(),Reference!$D$8,0.1*Reference!$D$8)*(1+Reference!$D$11*(IF(MONTH($A2650)=Reference!$D$4,1,0)+IF(MONTH($A2650)=Reference!$D$5,1,0))+(IF(MONTH($A2650)=Reference!$D$6,Reference!$D$13,0))),0)</f>
        <v>519</v>
      </c>
      <c r="E2650" s="11">
        <f ca="1">D2650*Reference!$D$7*(1-IF(MONTH($A2650)=Reference!$D$6,1,0)*Reference!$D$12)</f>
        <v>389250</v>
      </c>
      <c r="M2650" s="20"/>
      <c r="N2650" s="20"/>
      <c r="O2650" s="19"/>
      <c r="P2650" s="10"/>
      <c r="Q2650" s="10"/>
      <c r="R2650" s="10"/>
      <c r="S2650" s="10"/>
      <c r="T2650" s="10"/>
      <c r="U2650" s="10"/>
      <c r="V2650" s="10"/>
      <c r="W2650" s="10"/>
      <c r="X2650" s="10"/>
      <c r="Y2650" s="10"/>
    </row>
    <row r="2651" spans="1:25" x14ac:dyDescent="0.25">
      <c r="A2651" s="9">
        <v>43189</v>
      </c>
      <c r="B2651" s="10">
        <f ca="1">ROUND(_xlfn.NORM.INV(RAND(),Reference!$C$8,0.1*Reference!$C$8)*(1+Reference!$C$11*(IF(MONTH($A2651)=Reference!$C$4,1,0)+IF(MONTH($A2651)=Reference!$C$5,1,0))+(IF(MONTH($A2651)=Reference!$C$6,Reference!$C$13,0))),0)</f>
        <v>327</v>
      </c>
      <c r="C2651" s="11">
        <f ca="1">B2651*Reference!$C$7*(1-IF(MONTH($A2651)=Reference!$C$6,1,0)*Reference!$C$12)</f>
        <v>304110</v>
      </c>
      <c r="D2651" s="10">
        <f ca="1">ROUND(_xlfn.NORM.INV(RAND(),Reference!$D$8,0.1*Reference!$D$8)*(1+Reference!$D$11*(IF(MONTH($A2651)=Reference!$D$4,1,0)+IF(MONTH($A2651)=Reference!$D$5,1,0))+(IF(MONTH($A2651)=Reference!$D$6,Reference!$D$13,0))),0)</f>
        <v>453</v>
      </c>
      <c r="E2651" s="11">
        <f ca="1">D2651*Reference!$D$7*(1-IF(MONTH($A2651)=Reference!$D$6,1,0)*Reference!$D$12)</f>
        <v>339750</v>
      </c>
      <c r="M2651" s="20"/>
      <c r="N2651" s="20"/>
      <c r="O2651" s="19"/>
      <c r="P2651" s="10"/>
      <c r="Q2651" s="10"/>
      <c r="R2651" s="10"/>
      <c r="S2651" s="10"/>
      <c r="T2651" s="10"/>
      <c r="U2651" s="10"/>
      <c r="V2651" s="10"/>
      <c r="W2651" s="10"/>
      <c r="X2651" s="10"/>
      <c r="Y2651" s="10"/>
    </row>
    <row r="2652" spans="1:25" x14ac:dyDescent="0.25">
      <c r="A2652" s="9">
        <v>43190</v>
      </c>
      <c r="B2652" s="10">
        <f ca="1">ROUND(_xlfn.NORM.INV(RAND(),Reference!$C$8,0.1*Reference!$C$8)*(1+Reference!$C$11*(IF(MONTH($A2652)=Reference!$C$4,1,0)+IF(MONTH($A2652)=Reference!$C$5,1,0))+(IF(MONTH($A2652)=Reference!$C$6,Reference!$C$13,0))),0)</f>
        <v>340</v>
      </c>
      <c r="C2652" s="11">
        <f ca="1">B2652*Reference!$C$7*(1-IF(MONTH($A2652)=Reference!$C$6,1,0)*Reference!$C$12)</f>
        <v>316200</v>
      </c>
      <c r="D2652" s="10">
        <f ca="1">ROUND(_xlfn.NORM.INV(RAND(),Reference!$D$8,0.1*Reference!$D$8)*(1+Reference!$D$11*(IF(MONTH($A2652)=Reference!$D$4,1,0)+IF(MONTH($A2652)=Reference!$D$5,1,0))+(IF(MONTH($A2652)=Reference!$D$6,Reference!$D$13,0))),0)</f>
        <v>418</v>
      </c>
      <c r="E2652" s="11">
        <f ca="1">D2652*Reference!$D$7*(1-IF(MONTH($A2652)=Reference!$D$6,1,0)*Reference!$D$12)</f>
        <v>313500</v>
      </c>
      <c r="M2652" s="20"/>
      <c r="N2652" s="20"/>
      <c r="O2652" s="19"/>
      <c r="P2652" s="10"/>
      <c r="Q2652" s="10"/>
      <c r="R2652" s="10"/>
      <c r="S2652" s="10"/>
      <c r="T2652" s="10"/>
      <c r="U2652" s="10"/>
      <c r="V2652" s="10"/>
      <c r="W2652" s="10"/>
      <c r="X2652" s="10"/>
      <c r="Y2652" s="10"/>
    </row>
    <row r="2653" spans="1:25" x14ac:dyDescent="0.25">
      <c r="A2653" s="9">
        <v>43191</v>
      </c>
      <c r="B2653" s="10">
        <f ca="1">ROUND(_xlfn.NORM.INV(RAND(),Reference!$C$8,0.1*Reference!$C$8)*(1+Reference!$C$11*(IF(MONTH($A2653)=Reference!$C$4,1,0)+IF(MONTH($A2653)=Reference!$C$5,1,0))+(IF(MONTH($A2653)=Reference!$C$6,Reference!$C$13,0))),0)</f>
        <v>528</v>
      </c>
      <c r="C2653" s="11">
        <f ca="1">B2653*Reference!$C$7*(1-IF(MONTH($A2653)=Reference!$C$6,1,0)*Reference!$C$12)</f>
        <v>491040</v>
      </c>
      <c r="D2653" s="10">
        <f ca="1">ROUND(_xlfn.NORM.INV(RAND(),Reference!$D$8,0.1*Reference!$D$8)*(1+Reference!$D$11*(IF(MONTH($A2653)=Reference!$D$4,1,0)+IF(MONTH($A2653)=Reference!$D$5,1,0))+(IF(MONTH($A2653)=Reference!$D$6,Reference!$D$13,0))),0)</f>
        <v>509</v>
      </c>
      <c r="E2653" s="11">
        <f ca="1">D2653*Reference!$D$7*(1-IF(MONTH($A2653)=Reference!$D$6,1,0)*Reference!$D$12)</f>
        <v>381750</v>
      </c>
      <c r="M2653" s="20"/>
      <c r="N2653" s="20"/>
      <c r="O2653" s="19"/>
      <c r="P2653" s="10"/>
      <c r="Q2653" s="10"/>
      <c r="R2653" s="10"/>
      <c r="S2653" s="10"/>
      <c r="T2653" s="10"/>
      <c r="U2653" s="10"/>
      <c r="V2653" s="10"/>
      <c r="W2653" s="10"/>
      <c r="X2653" s="10"/>
      <c r="Y2653" s="10"/>
    </row>
    <row r="2654" spans="1:25" x14ac:dyDescent="0.25">
      <c r="A2654" s="9">
        <v>43192</v>
      </c>
      <c r="B2654" s="10">
        <f ca="1">ROUND(_xlfn.NORM.INV(RAND(),Reference!$C$8,0.1*Reference!$C$8)*(1+Reference!$C$11*(IF(MONTH($A2654)=Reference!$C$4,1,0)+IF(MONTH($A2654)=Reference!$C$5,1,0))+(IF(MONTH($A2654)=Reference!$C$6,Reference!$C$13,0))),0)</f>
        <v>489</v>
      </c>
      <c r="C2654" s="11">
        <f ca="1">B2654*Reference!$C$7*(1-IF(MONTH($A2654)=Reference!$C$6,1,0)*Reference!$C$12)</f>
        <v>454770</v>
      </c>
      <c r="D2654" s="10">
        <f ca="1">ROUND(_xlfn.NORM.INV(RAND(),Reference!$D$8,0.1*Reference!$D$8)*(1+Reference!$D$11*(IF(MONTH($A2654)=Reference!$D$4,1,0)+IF(MONTH($A2654)=Reference!$D$5,1,0))+(IF(MONTH($A2654)=Reference!$D$6,Reference!$D$13,0))),0)</f>
        <v>451</v>
      </c>
      <c r="E2654" s="11">
        <f ca="1">D2654*Reference!$D$7*(1-IF(MONTH($A2654)=Reference!$D$6,1,0)*Reference!$D$12)</f>
        <v>338250</v>
      </c>
      <c r="M2654" s="20"/>
      <c r="N2654" s="20"/>
      <c r="O2654" s="19"/>
      <c r="P2654" s="10"/>
      <c r="Q2654" s="10"/>
      <c r="R2654" s="10"/>
      <c r="S2654" s="10"/>
      <c r="T2654" s="10"/>
      <c r="U2654" s="10"/>
      <c r="V2654" s="10"/>
      <c r="W2654" s="10"/>
      <c r="X2654" s="10"/>
      <c r="Y2654" s="10"/>
    </row>
    <row r="2655" spans="1:25" x14ac:dyDescent="0.25">
      <c r="A2655" s="9">
        <v>43193</v>
      </c>
      <c r="B2655" s="10">
        <f ca="1">ROUND(_xlfn.NORM.INV(RAND(),Reference!$C$8,0.1*Reference!$C$8)*(1+Reference!$C$11*(IF(MONTH($A2655)=Reference!$C$4,1,0)+IF(MONTH($A2655)=Reference!$C$5,1,0))+(IF(MONTH($A2655)=Reference!$C$6,Reference!$C$13,0))),0)</f>
        <v>520</v>
      </c>
      <c r="C2655" s="11">
        <f ca="1">B2655*Reference!$C$7*(1-IF(MONTH($A2655)=Reference!$C$6,1,0)*Reference!$C$12)</f>
        <v>483600</v>
      </c>
      <c r="D2655" s="10">
        <f ca="1">ROUND(_xlfn.NORM.INV(RAND(),Reference!$D$8,0.1*Reference!$D$8)*(1+Reference!$D$11*(IF(MONTH($A2655)=Reference!$D$4,1,0)+IF(MONTH($A2655)=Reference!$D$5,1,0))+(IF(MONTH($A2655)=Reference!$D$6,Reference!$D$13,0))),0)</f>
        <v>447</v>
      </c>
      <c r="E2655" s="11">
        <f ca="1">D2655*Reference!$D$7*(1-IF(MONTH($A2655)=Reference!$D$6,1,0)*Reference!$D$12)</f>
        <v>335250</v>
      </c>
      <c r="M2655" s="20"/>
      <c r="N2655" s="20"/>
      <c r="O2655" s="19"/>
      <c r="P2655" s="10"/>
      <c r="Q2655" s="10"/>
      <c r="R2655" s="10"/>
      <c r="S2655" s="10"/>
      <c r="T2655" s="10"/>
      <c r="U2655" s="10"/>
      <c r="V2655" s="10"/>
      <c r="W2655" s="10"/>
      <c r="X2655" s="10"/>
      <c r="Y2655" s="10"/>
    </row>
    <row r="2656" spans="1:25" x14ac:dyDescent="0.25">
      <c r="A2656" s="9">
        <v>43194</v>
      </c>
      <c r="B2656" s="10">
        <f ca="1">ROUND(_xlfn.NORM.INV(RAND(),Reference!$C$8,0.1*Reference!$C$8)*(1+Reference!$C$11*(IF(MONTH($A2656)=Reference!$C$4,1,0)+IF(MONTH($A2656)=Reference!$C$5,1,0))+(IF(MONTH($A2656)=Reference!$C$6,Reference!$C$13,0))),0)</f>
        <v>467</v>
      </c>
      <c r="C2656" s="11">
        <f ca="1">B2656*Reference!$C$7*(1-IF(MONTH($A2656)=Reference!$C$6,1,0)*Reference!$C$12)</f>
        <v>434310</v>
      </c>
      <c r="D2656" s="10">
        <f ca="1">ROUND(_xlfn.NORM.INV(RAND(),Reference!$D$8,0.1*Reference!$D$8)*(1+Reference!$D$11*(IF(MONTH($A2656)=Reference!$D$4,1,0)+IF(MONTH($A2656)=Reference!$D$5,1,0))+(IF(MONTH($A2656)=Reference!$D$6,Reference!$D$13,0))),0)</f>
        <v>488</v>
      </c>
      <c r="E2656" s="11">
        <f ca="1">D2656*Reference!$D$7*(1-IF(MONTH($A2656)=Reference!$D$6,1,0)*Reference!$D$12)</f>
        <v>366000</v>
      </c>
      <c r="M2656" s="20"/>
      <c r="N2656" s="20"/>
      <c r="O2656" s="19"/>
      <c r="P2656" s="10"/>
      <c r="Q2656" s="10"/>
      <c r="R2656" s="10"/>
      <c r="S2656" s="10"/>
      <c r="T2656" s="10"/>
      <c r="U2656" s="10"/>
      <c r="V2656" s="10"/>
      <c r="W2656" s="10"/>
      <c r="X2656" s="10"/>
      <c r="Y2656" s="10"/>
    </row>
    <row r="2657" spans="1:25" x14ac:dyDescent="0.25">
      <c r="A2657" s="9">
        <v>43195</v>
      </c>
      <c r="B2657" s="10">
        <f ca="1">ROUND(_xlfn.NORM.INV(RAND(),Reference!$C$8,0.1*Reference!$C$8)*(1+Reference!$C$11*(IF(MONTH($A2657)=Reference!$C$4,1,0)+IF(MONTH($A2657)=Reference!$C$5,1,0))+(IF(MONTH($A2657)=Reference!$C$6,Reference!$C$13,0))),0)</f>
        <v>507</v>
      </c>
      <c r="C2657" s="11">
        <f ca="1">B2657*Reference!$C$7*(1-IF(MONTH($A2657)=Reference!$C$6,1,0)*Reference!$C$12)</f>
        <v>471510</v>
      </c>
      <c r="D2657" s="10">
        <f ca="1">ROUND(_xlfn.NORM.INV(RAND(),Reference!$D$8,0.1*Reference!$D$8)*(1+Reference!$D$11*(IF(MONTH($A2657)=Reference!$D$4,1,0)+IF(MONTH($A2657)=Reference!$D$5,1,0))+(IF(MONTH($A2657)=Reference!$D$6,Reference!$D$13,0))),0)</f>
        <v>447</v>
      </c>
      <c r="E2657" s="11">
        <f ca="1">D2657*Reference!$D$7*(1-IF(MONTH($A2657)=Reference!$D$6,1,0)*Reference!$D$12)</f>
        <v>335250</v>
      </c>
      <c r="M2657" s="20"/>
      <c r="N2657" s="20"/>
      <c r="O2657" s="19"/>
      <c r="P2657" s="10"/>
      <c r="Q2657" s="10"/>
      <c r="R2657" s="10"/>
      <c r="S2657" s="10"/>
      <c r="T2657" s="10"/>
      <c r="U2657" s="10"/>
      <c r="V2657" s="10"/>
      <c r="W2657" s="10"/>
      <c r="X2657" s="10"/>
      <c r="Y2657" s="10"/>
    </row>
    <row r="2658" spans="1:25" x14ac:dyDescent="0.25">
      <c r="A2658" s="9">
        <v>43196</v>
      </c>
      <c r="B2658" s="10">
        <f ca="1">ROUND(_xlfn.NORM.INV(RAND(),Reference!$C$8,0.1*Reference!$C$8)*(1+Reference!$C$11*(IF(MONTH($A2658)=Reference!$C$4,1,0)+IF(MONTH($A2658)=Reference!$C$5,1,0))+(IF(MONTH($A2658)=Reference!$C$6,Reference!$C$13,0))),0)</f>
        <v>562</v>
      </c>
      <c r="C2658" s="11">
        <f ca="1">B2658*Reference!$C$7*(1-IF(MONTH($A2658)=Reference!$C$6,1,0)*Reference!$C$12)</f>
        <v>522660</v>
      </c>
      <c r="D2658" s="10">
        <f ca="1">ROUND(_xlfn.NORM.INV(RAND(),Reference!$D$8,0.1*Reference!$D$8)*(1+Reference!$D$11*(IF(MONTH($A2658)=Reference!$D$4,1,0)+IF(MONTH($A2658)=Reference!$D$5,1,0))+(IF(MONTH($A2658)=Reference!$D$6,Reference!$D$13,0))),0)</f>
        <v>412</v>
      </c>
      <c r="E2658" s="11">
        <f ca="1">D2658*Reference!$D$7*(1-IF(MONTH($A2658)=Reference!$D$6,1,0)*Reference!$D$12)</f>
        <v>309000</v>
      </c>
      <c r="M2658" s="20"/>
      <c r="N2658" s="20"/>
      <c r="O2658" s="19"/>
      <c r="P2658" s="10"/>
      <c r="Q2658" s="10"/>
      <c r="R2658" s="10"/>
      <c r="S2658" s="10"/>
      <c r="T2658" s="10"/>
      <c r="U2658" s="10"/>
      <c r="V2658" s="10"/>
      <c r="W2658" s="10"/>
      <c r="X2658" s="10"/>
      <c r="Y2658" s="10"/>
    </row>
    <row r="2659" spans="1:25" x14ac:dyDescent="0.25">
      <c r="A2659" s="9">
        <v>43197</v>
      </c>
      <c r="B2659" s="10">
        <f ca="1">ROUND(_xlfn.NORM.INV(RAND(),Reference!$C$8,0.1*Reference!$C$8)*(1+Reference!$C$11*(IF(MONTH($A2659)=Reference!$C$4,1,0)+IF(MONTH($A2659)=Reference!$C$5,1,0))+(IF(MONTH($A2659)=Reference!$C$6,Reference!$C$13,0))),0)</f>
        <v>537</v>
      </c>
      <c r="C2659" s="11">
        <f ca="1">B2659*Reference!$C$7*(1-IF(MONTH($A2659)=Reference!$C$6,1,0)*Reference!$C$12)</f>
        <v>499410</v>
      </c>
      <c r="D2659" s="10">
        <f ca="1">ROUND(_xlfn.NORM.INV(RAND(),Reference!$D$8,0.1*Reference!$D$8)*(1+Reference!$D$11*(IF(MONTH($A2659)=Reference!$D$4,1,0)+IF(MONTH($A2659)=Reference!$D$5,1,0))+(IF(MONTH($A2659)=Reference!$D$6,Reference!$D$13,0))),0)</f>
        <v>501</v>
      </c>
      <c r="E2659" s="11">
        <f ca="1">D2659*Reference!$D$7*(1-IF(MONTH($A2659)=Reference!$D$6,1,0)*Reference!$D$12)</f>
        <v>375750</v>
      </c>
      <c r="M2659" s="20"/>
      <c r="N2659" s="20"/>
      <c r="O2659" s="19"/>
      <c r="P2659" s="10"/>
      <c r="Q2659" s="10"/>
      <c r="R2659" s="10"/>
      <c r="S2659" s="10"/>
      <c r="T2659" s="10"/>
      <c r="U2659" s="10"/>
      <c r="V2659" s="10"/>
      <c r="W2659" s="10"/>
      <c r="X2659" s="10"/>
      <c r="Y2659" s="10"/>
    </row>
    <row r="2660" spans="1:25" x14ac:dyDescent="0.25">
      <c r="A2660" s="9">
        <v>43198</v>
      </c>
      <c r="B2660" s="10">
        <f ca="1">ROUND(_xlfn.NORM.INV(RAND(),Reference!$C$8,0.1*Reference!$C$8)*(1+Reference!$C$11*(IF(MONTH($A2660)=Reference!$C$4,1,0)+IF(MONTH($A2660)=Reference!$C$5,1,0))+(IF(MONTH($A2660)=Reference!$C$6,Reference!$C$13,0))),0)</f>
        <v>531</v>
      </c>
      <c r="C2660" s="11">
        <f ca="1">B2660*Reference!$C$7*(1-IF(MONTH($A2660)=Reference!$C$6,1,0)*Reference!$C$12)</f>
        <v>493830</v>
      </c>
      <c r="D2660" s="10">
        <f ca="1">ROUND(_xlfn.NORM.INV(RAND(),Reference!$D$8,0.1*Reference!$D$8)*(1+Reference!$D$11*(IF(MONTH($A2660)=Reference!$D$4,1,0)+IF(MONTH($A2660)=Reference!$D$5,1,0))+(IF(MONTH($A2660)=Reference!$D$6,Reference!$D$13,0))),0)</f>
        <v>419</v>
      </c>
      <c r="E2660" s="11">
        <f ca="1">D2660*Reference!$D$7*(1-IF(MONTH($A2660)=Reference!$D$6,1,0)*Reference!$D$12)</f>
        <v>314250</v>
      </c>
      <c r="M2660" s="20"/>
      <c r="N2660" s="20"/>
      <c r="O2660" s="19"/>
      <c r="P2660" s="10"/>
      <c r="Q2660" s="10"/>
      <c r="R2660" s="10"/>
      <c r="S2660" s="10"/>
      <c r="T2660" s="10"/>
      <c r="U2660" s="10"/>
      <c r="V2660" s="10"/>
      <c r="W2660" s="10"/>
      <c r="X2660" s="10"/>
      <c r="Y2660" s="10"/>
    </row>
    <row r="2661" spans="1:25" x14ac:dyDescent="0.25">
      <c r="A2661" s="9">
        <v>43199</v>
      </c>
      <c r="B2661" s="10">
        <f ca="1">ROUND(_xlfn.NORM.INV(RAND(),Reference!$C$8,0.1*Reference!$C$8)*(1+Reference!$C$11*(IF(MONTH($A2661)=Reference!$C$4,1,0)+IF(MONTH($A2661)=Reference!$C$5,1,0))+(IF(MONTH($A2661)=Reference!$C$6,Reference!$C$13,0))),0)</f>
        <v>586</v>
      </c>
      <c r="C2661" s="11">
        <f ca="1">B2661*Reference!$C$7*(1-IF(MONTH($A2661)=Reference!$C$6,1,0)*Reference!$C$12)</f>
        <v>544980</v>
      </c>
      <c r="D2661" s="10">
        <f ca="1">ROUND(_xlfn.NORM.INV(RAND(),Reference!$D$8,0.1*Reference!$D$8)*(1+Reference!$D$11*(IF(MONTH($A2661)=Reference!$D$4,1,0)+IF(MONTH($A2661)=Reference!$D$5,1,0))+(IF(MONTH($A2661)=Reference!$D$6,Reference!$D$13,0))),0)</f>
        <v>466</v>
      </c>
      <c r="E2661" s="11">
        <f ca="1">D2661*Reference!$D$7*(1-IF(MONTH($A2661)=Reference!$D$6,1,0)*Reference!$D$12)</f>
        <v>349500</v>
      </c>
      <c r="M2661" s="20"/>
      <c r="N2661" s="20"/>
      <c r="O2661" s="19"/>
      <c r="P2661" s="10"/>
      <c r="Q2661" s="10"/>
      <c r="R2661" s="10"/>
      <c r="S2661" s="10"/>
      <c r="T2661" s="10"/>
      <c r="U2661" s="10"/>
      <c r="V2661" s="10"/>
      <c r="W2661" s="10"/>
      <c r="X2661" s="10"/>
      <c r="Y2661" s="10"/>
    </row>
    <row r="2662" spans="1:25" x14ac:dyDescent="0.25">
      <c r="A2662" s="9">
        <v>43200</v>
      </c>
      <c r="B2662" s="10">
        <f ca="1">ROUND(_xlfn.NORM.INV(RAND(),Reference!$C$8,0.1*Reference!$C$8)*(1+Reference!$C$11*(IF(MONTH($A2662)=Reference!$C$4,1,0)+IF(MONTH($A2662)=Reference!$C$5,1,0))+(IF(MONTH($A2662)=Reference!$C$6,Reference!$C$13,0))),0)</f>
        <v>529</v>
      </c>
      <c r="C2662" s="11">
        <f ca="1">B2662*Reference!$C$7*(1-IF(MONTH($A2662)=Reference!$C$6,1,0)*Reference!$C$12)</f>
        <v>491970</v>
      </c>
      <c r="D2662" s="10">
        <f ca="1">ROUND(_xlfn.NORM.INV(RAND(),Reference!$D$8,0.1*Reference!$D$8)*(1+Reference!$D$11*(IF(MONTH($A2662)=Reference!$D$4,1,0)+IF(MONTH($A2662)=Reference!$D$5,1,0))+(IF(MONTH($A2662)=Reference!$D$6,Reference!$D$13,0))),0)</f>
        <v>460</v>
      </c>
      <c r="E2662" s="11">
        <f ca="1">D2662*Reference!$D$7*(1-IF(MONTH($A2662)=Reference!$D$6,1,0)*Reference!$D$12)</f>
        <v>345000</v>
      </c>
      <c r="M2662" s="20"/>
      <c r="N2662" s="20"/>
      <c r="O2662" s="19"/>
      <c r="P2662" s="10"/>
      <c r="Q2662" s="10"/>
      <c r="R2662" s="10"/>
      <c r="S2662" s="10"/>
      <c r="T2662" s="10"/>
      <c r="U2662" s="10"/>
      <c r="V2662" s="10"/>
      <c r="W2662" s="10"/>
      <c r="X2662" s="10"/>
      <c r="Y2662" s="10"/>
    </row>
    <row r="2663" spans="1:25" x14ac:dyDescent="0.25">
      <c r="A2663" s="9">
        <v>43201</v>
      </c>
      <c r="B2663" s="10">
        <f ca="1">ROUND(_xlfn.NORM.INV(RAND(),Reference!$C$8,0.1*Reference!$C$8)*(1+Reference!$C$11*(IF(MONTH($A2663)=Reference!$C$4,1,0)+IF(MONTH($A2663)=Reference!$C$5,1,0))+(IF(MONTH($A2663)=Reference!$C$6,Reference!$C$13,0))),0)</f>
        <v>577</v>
      </c>
      <c r="C2663" s="11">
        <f ca="1">B2663*Reference!$C$7*(1-IF(MONTH($A2663)=Reference!$C$6,1,0)*Reference!$C$12)</f>
        <v>536610</v>
      </c>
      <c r="D2663" s="10">
        <f ca="1">ROUND(_xlfn.NORM.INV(RAND(),Reference!$D$8,0.1*Reference!$D$8)*(1+Reference!$D$11*(IF(MONTH($A2663)=Reference!$D$4,1,0)+IF(MONTH($A2663)=Reference!$D$5,1,0))+(IF(MONTH($A2663)=Reference!$D$6,Reference!$D$13,0))),0)</f>
        <v>478</v>
      </c>
      <c r="E2663" s="11">
        <f ca="1">D2663*Reference!$D$7*(1-IF(MONTH($A2663)=Reference!$D$6,1,0)*Reference!$D$12)</f>
        <v>358500</v>
      </c>
      <c r="M2663" s="20"/>
      <c r="N2663" s="20"/>
      <c r="O2663" s="19"/>
      <c r="P2663" s="10"/>
      <c r="Q2663" s="10"/>
      <c r="R2663" s="10"/>
      <c r="S2663" s="10"/>
      <c r="T2663" s="10"/>
      <c r="U2663" s="10"/>
      <c r="V2663" s="10"/>
      <c r="W2663" s="10"/>
      <c r="X2663" s="10"/>
      <c r="Y2663" s="10"/>
    </row>
    <row r="2664" spans="1:25" x14ac:dyDescent="0.25">
      <c r="A2664" s="9">
        <v>43202</v>
      </c>
      <c r="B2664" s="10">
        <f ca="1">ROUND(_xlfn.NORM.INV(RAND(),Reference!$C$8,0.1*Reference!$C$8)*(1+Reference!$C$11*(IF(MONTH($A2664)=Reference!$C$4,1,0)+IF(MONTH($A2664)=Reference!$C$5,1,0))+(IF(MONTH($A2664)=Reference!$C$6,Reference!$C$13,0))),0)</f>
        <v>511</v>
      </c>
      <c r="C2664" s="11">
        <f ca="1">B2664*Reference!$C$7*(1-IF(MONTH($A2664)=Reference!$C$6,1,0)*Reference!$C$12)</f>
        <v>475230</v>
      </c>
      <c r="D2664" s="10">
        <f ca="1">ROUND(_xlfn.NORM.INV(RAND(),Reference!$D$8,0.1*Reference!$D$8)*(1+Reference!$D$11*(IF(MONTH($A2664)=Reference!$D$4,1,0)+IF(MONTH($A2664)=Reference!$D$5,1,0))+(IF(MONTH($A2664)=Reference!$D$6,Reference!$D$13,0))),0)</f>
        <v>502</v>
      </c>
      <c r="E2664" s="11">
        <f ca="1">D2664*Reference!$D$7*(1-IF(MONTH($A2664)=Reference!$D$6,1,0)*Reference!$D$12)</f>
        <v>376500</v>
      </c>
      <c r="M2664" s="20"/>
      <c r="N2664" s="20"/>
      <c r="O2664" s="19"/>
      <c r="P2664" s="10"/>
      <c r="Q2664" s="10"/>
      <c r="R2664" s="10"/>
      <c r="S2664" s="10"/>
      <c r="T2664" s="10"/>
      <c r="U2664" s="10"/>
      <c r="V2664" s="10"/>
      <c r="W2664" s="10"/>
      <c r="X2664" s="10"/>
      <c r="Y2664" s="10"/>
    </row>
    <row r="2665" spans="1:25" x14ac:dyDescent="0.25">
      <c r="A2665" s="9">
        <v>43203</v>
      </c>
      <c r="B2665" s="10">
        <f ca="1">ROUND(_xlfn.NORM.INV(RAND(),Reference!$C$8,0.1*Reference!$C$8)*(1+Reference!$C$11*(IF(MONTH($A2665)=Reference!$C$4,1,0)+IF(MONTH($A2665)=Reference!$C$5,1,0))+(IF(MONTH($A2665)=Reference!$C$6,Reference!$C$13,0))),0)</f>
        <v>543</v>
      </c>
      <c r="C2665" s="11">
        <f ca="1">B2665*Reference!$C$7*(1-IF(MONTH($A2665)=Reference!$C$6,1,0)*Reference!$C$12)</f>
        <v>504990</v>
      </c>
      <c r="D2665" s="10">
        <f ca="1">ROUND(_xlfn.NORM.INV(RAND(),Reference!$D$8,0.1*Reference!$D$8)*(1+Reference!$D$11*(IF(MONTH($A2665)=Reference!$D$4,1,0)+IF(MONTH($A2665)=Reference!$D$5,1,0))+(IF(MONTH($A2665)=Reference!$D$6,Reference!$D$13,0))),0)</f>
        <v>422</v>
      </c>
      <c r="E2665" s="11">
        <f ca="1">D2665*Reference!$D$7*(1-IF(MONTH($A2665)=Reference!$D$6,1,0)*Reference!$D$12)</f>
        <v>316500</v>
      </c>
      <c r="M2665" s="20"/>
      <c r="N2665" s="20"/>
      <c r="O2665" s="19"/>
      <c r="P2665" s="10"/>
      <c r="Q2665" s="10"/>
      <c r="R2665" s="10"/>
      <c r="S2665" s="10"/>
      <c r="T2665" s="10"/>
      <c r="U2665" s="10"/>
      <c r="V2665" s="10"/>
      <c r="W2665" s="10"/>
      <c r="X2665" s="10"/>
      <c r="Y2665" s="10"/>
    </row>
    <row r="2666" spans="1:25" x14ac:dyDescent="0.25">
      <c r="A2666" s="9">
        <v>43204</v>
      </c>
      <c r="B2666" s="10">
        <f ca="1">ROUND(_xlfn.NORM.INV(RAND(),Reference!$C$8,0.1*Reference!$C$8)*(1+Reference!$C$11*(IF(MONTH($A2666)=Reference!$C$4,1,0)+IF(MONTH($A2666)=Reference!$C$5,1,0))+(IF(MONTH($A2666)=Reference!$C$6,Reference!$C$13,0))),0)</f>
        <v>552</v>
      </c>
      <c r="C2666" s="11">
        <f ca="1">B2666*Reference!$C$7*(1-IF(MONTH($A2666)=Reference!$C$6,1,0)*Reference!$C$12)</f>
        <v>513360</v>
      </c>
      <c r="D2666" s="10">
        <f ca="1">ROUND(_xlfn.NORM.INV(RAND(),Reference!$D$8,0.1*Reference!$D$8)*(1+Reference!$D$11*(IF(MONTH($A2666)=Reference!$D$4,1,0)+IF(MONTH($A2666)=Reference!$D$5,1,0))+(IF(MONTH($A2666)=Reference!$D$6,Reference!$D$13,0))),0)</f>
        <v>440</v>
      </c>
      <c r="E2666" s="11">
        <f ca="1">D2666*Reference!$D$7*(1-IF(MONTH($A2666)=Reference!$D$6,1,0)*Reference!$D$12)</f>
        <v>330000</v>
      </c>
      <c r="M2666" s="20"/>
      <c r="N2666" s="20"/>
      <c r="O2666" s="19"/>
      <c r="P2666" s="10"/>
      <c r="Q2666" s="10"/>
      <c r="R2666" s="10"/>
      <c r="S2666" s="10"/>
      <c r="T2666" s="10"/>
      <c r="U2666" s="10"/>
      <c r="V2666" s="10"/>
      <c r="W2666" s="10"/>
      <c r="X2666" s="10"/>
      <c r="Y2666" s="10"/>
    </row>
    <row r="2667" spans="1:25" x14ac:dyDescent="0.25">
      <c r="A2667" s="9">
        <v>43205</v>
      </c>
      <c r="B2667" s="10">
        <f ca="1">ROUND(_xlfn.NORM.INV(RAND(),Reference!$C$8,0.1*Reference!$C$8)*(1+Reference!$C$11*(IF(MONTH($A2667)=Reference!$C$4,1,0)+IF(MONTH($A2667)=Reference!$C$5,1,0))+(IF(MONTH($A2667)=Reference!$C$6,Reference!$C$13,0))),0)</f>
        <v>509</v>
      </c>
      <c r="C2667" s="11">
        <f ca="1">B2667*Reference!$C$7*(1-IF(MONTH($A2667)=Reference!$C$6,1,0)*Reference!$C$12)</f>
        <v>473370</v>
      </c>
      <c r="D2667" s="10">
        <f ca="1">ROUND(_xlfn.NORM.INV(RAND(),Reference!$D$8,0.1*Reference!$D$8)*(1+Reference!$D$11*(IF(MONTH($A2667)=Reference!$D$4,1,0)+IF(MONTH($A2667)=Reference!$D$5,1,0))+(IF(MONTH($A2667)=Reference!$D$6,Reference!$D$13,0))),0)</f>
        <v>502</v>
      </c>
      <c r="E2667" s="11">
        <f ca="1">D2667*Reference!$D$7*(1-IF(MONTH($A2667)=Reference!$D$6,1,0)*Reference!$D$12)</f>
        <v>376500</v>
      </c>
      <c r="M2667" s="20"/>
      <c r="N2667" s="20"/>
      <c r="O2667" s="19"/>
      <c r="P2667" s="10"/>
      <c r="Q2667" s="10"/>
      <c r="R2667" s="10"/>
      <c r="S2667" s="10"/>
      <c r="T2667" s="10"/>
      <c r="U2667" s="10"/>
      <c r="V2667" s="10"/>
      <c r="W2667" s="10"/>
      <c r="X2667" s="10"/>
      <c r="Y2667" s="10"/>
    </row>
    <row r="2668" spans="1:25" x14ac:dyDescent="0.25">
      <c r="A2668" s="9">
        <v>43206</v>
      </c>
      <c r="B2668" s="10">
        <f ca="1">ROUND(_xlfn.NORM.INV(RAND(),Reference!$C$8,0.1*Reference!$C$8)*(1+Reference!$C$11*(IF(MONTH($A2668)=Reference!$C$4,1,0)+IF(MONTH($A2668)=Reference!$C$5,1,0))+(IF(MONTH($A2668)=Reference!$C$6,Reference!$C$13,0))),0)</f>
        <v>427</v>
      </c>
      <c r="C2668" s="11">
        <f ca="1">B2668*Reference!$C$7*(1-IF(MONTH($A2668)=Reference!$C$6,1,0)*Reference!$C$12)</f>
        <v>397110</v>
      </c>
      <c r="D2668" s="10">
        <f ca="1">ROUND(_xlfn.NORM.INV(RAND(),Reference!$D$8,0.1*Reference!$D$8)*(1+Reference!$D$11*(IF(MONTH($A2668)=Reference!$D$4,1,0)+IF(MONTH($A2668)=Reference!$D$5,1,0))+(IF(MONTH($A2668)=Reference!$D$6,Reference!$D$13,0))),0)</f>
        <v>426</v>
      </c>
      <c r="E2668" s="11">
        <f ca="1">D2668*Reference!$D$7*(1-IF(MONTH($A2668)=Reference!$D$6,1,0)*Reference!$D$12)</f>
        <v>319500</v>
      </c>
      <c r="M2668" s="20"/>
      <c r="N2668" s="20"/>
      <c r="O2668" s="19"/>
      <c r="P2668" s="10"/>
      <c r="Q2668" s="10"/>
      <c r="R2668" s="10"/>
      <c r="S2668" s="10"/>
      <c r="T2668" s="10"/>
      <c r="U2668" s="10"/>
      <c r="V2668" s="10"/>
      <c r="W2668" s="10"/>
      <c r="X2668" s="10"/>
      <c r="Y2668" s="10"/>
    </row>
    <row r="2669" spans="1:25" x14ac:dyDescent="0.25">
      <c r="A2669" s="9">
        <v>43207</v>
      </c>
      <c r="B2669" s="10">
        <f ca="1">ROUND(_xlfn.NORM.INV(RAND(),Reference!$C$8,0.1*Reference!$C$8)*(1+Reference!$C$11*(IF(MONTH($A2669)=Reference!$C$4,1,0)+IF(MONTH($A2669)=Reference!$C$5,1,0))+(IF(MONTH($A2669)=Reference!$C$6,Reference!$C$13,0))),0)</f>
        <v>544</v>
      </c>
      <c r="C2669" s="11">
        <f ca="1">B2669*Reference!$C$7*(1-IF(MONTH($A2669)=Reference!$C$6,1,0)*Reference!$C$12)</f>
        <v>505920</v>
      </c>
      <c r="D2669" s="10">
        <f ca="1">ROUND(_xlfn.NORM.INV(RAND(),Reference!$D$8,0.1*Reference!$D$8)*(1+Reference!$D$11*(IF(MONTH($A2669)=Reference!$D$4,1,0)+IF(MONTH($A2669)=Reference!$D$5,1,0))+(IF(MONTH($A2669)=Reference!$D$6,Reference!$D$13,0))),0)</f>
        <v>377</v>
      </c>
      <c r="E2669" s="11">
        <f ca="1">D2669*Reference!$D$7*(1-IF(MONTH($A2669)=Reference!$D$6,1,0)*Reference!$D$12)</f>
        <v>282750</v>
      </c>
      <c r="M2669" s="20"/>
      <c r="N2669" s="20"/>
      <c r="O2669" s="19"/>
      <c r="P2669" s="10"/>
      <c r="Q2669" s="10"/>
      <c r="R2669" s="10"/>
      <c r="S2669" s="10"/>
      <c r="T2669" s="10"/>
      <c r="U2669" s="10"/>
      <c r="V2669" s="10"/>
      <c r="W2669" s="10"/>
      <c r="X2669" s="10"/>
      <c r="Y2669" s="10"/>
    </row>
    <row r="2670" spans="1:25" x14ac:dyDescent="0.25">
      <c r="A2670" s="9">
        <v>43208</v>
      </c>
      <c r="B2670" s="10">
        <f ca="1">ROUND(_xlfn.NORM.INV(RAND(),Reference!$C$8,0.1*Reference!$C$8)*(1+Reference!$C$11*(IF(MONTH($A2670)=Reference!$C$4,1,0)+IF(MONTH($A2670)=Reference!$C$5,1,0))+(IF(MONTH($A2670)=Reference!$C$6,Reference!$C$13,0))),0)</f>
        <v>612</v>
      </c>
      <c r="C2670" s="11">
        <f ca="1">B2670*Reference!$C$7*(1-IF(MONTH($A2670)=Reference!$C$6,1,0)*Reference!$C$12)</f>
        <v>569160</v>
      </c>
      <c r="D2670" s="10">
        <f ca="1">ROUND(_xlfn.NORM.INV(RAND(),Reference!$D$8,0.1*Reference!$D$8)*(1+Reference!$D$11*(IF(MONTH($A2670)=Reference!$D$4,1,0)+IF(MONTH($A2670)=Reference!$D$5,1,0))+(IF(MONTH($A2670)=Reference!$D$6,Reference!$D$13,0))),0)</f>
        <v>462</v>
      </c>
      <c r="E2670" s="11">
        <f ca="1">D2670*Reference!$D$7*(1-IF(MONTH($A2670)=Reference!$D$6,1,0)*Reference!$D$12)</f>
        <v>346500</v>
      </c>
      <c r="M2670" s="20"/>
      <c r="N2670" s="20"/>
      <c r="O2670" s="19"/>
      <c r="P2670" s="10"/>
      <c r="Q2670" s="10"/>
      <c r="R2670" s="10"/>
      <c r="S2670" s="10"/>
      <c r="T2670" s="10"/>
      <c r="U2670" s="10"/>
      <c r="V2670" s="10"/>
      <c r="W2670" s="10"/>
      <c r="X2670" s="10"/>
      <c r="Y2670" s="10"/>
    </row>
    <row r="2671" spans="1:25" x14ac:dyDescent="0.25">
      <c r="A2671" s="9">
        <v>43209</v>
      </c>
      <c r="B2671" s="10">
        <f ca="1">ROUND(_xlfn.NORM.INV(RAND(),Reference!$C$8,0.1*Reference!$C$8)*(1+Reference!$C$11*(IF(MONTH($A2671)=Reference!$C$4,1,0)+IF(MONTH($A2671)=Reference!$C$5,1,0))+(IF(MONTH($A2671)=Reference!$C$6,Reference!$C$13,0))),0)</f>
        <v>518</v>
      </c>
      <c r="C2671" s="11">
        <f ca="1">B2671*Reference!$C$7*(1-IF(MONTH($A2671)=Reference!$C$6,1,0)*Reference!$C$12)</f>
        <v>481740</v>
      </c>
      <c r="D2671" s="10">
        <f ca="1">ROUND(_xlfn.NORM.INV(RAND(),Reference!$D$8,0.1*Reference!$D$8)*(1+Reference!$D$11*(IF(MONTH($A2671)=Reference!$D$4,1,0)+IF(MONTH($A2671)=Reference!$D$5,1,0))+(IF(MONTH($A2671)=Reference!$D$6,Reference!$D$13,0))),0)</f>
        <v>438</v>
      </c>
      <c r="E2671" s="11">
        <f ca="1">D2671*Reference!$D$7*(1-IF(MONTH($A2671)=Reference!$D$6,1,0)*Reference!$D$12)</f>
        <v>328500</v>
      </c>
      <c r="M2671" s="20"/>
      <c r="N2671" s="20"/>
      <c r="O2671" s="19"/>
      <c r="P2671" s="10"/>
      <c r="Q2671" s="10"/>
      <c r="R2671" s="10"/>
      <c r="S2671" s="10"/>
      <c r="T2671" s="10"/>
      <c r="U2671" s="10"/>
      <c r="V2671" s="10"/>
      <c r="W2671" s="10"/>
      <c r="X2671" s="10"/>
      <c r="Y2671" s="10"/>
    </row>
    <row r="2672" spans="1:25" x14ac:dyDescent="0.25">
      <c r="A2672" s="9">
        <v>43210</v>
      </c>
      <c r="B2672" s="10">
        <f ca="1">ROUND(_xlfn.NORM.INV(RAND(),Reference!$C$8,0.1*Reference!$C$8)*(1+Reference!$C$11*(IF(MONTH($A2672)=Reference!$C$4,1,0)+IF(MONTH($A2672)=Reference!$C$5,1,0))+(IF(MONTH($A2672)=Reference!$C$6,Reference!$C$13,0))),0)</f>
        <v>604</v>
      </c>
      <c r="C2672" s="11">
        <f ca="1">B2672*Reference!$C$7*(1-IF(MONTH($A2672)=Reference!$C$6,1,0)*Reference!$C$12)</f>
        <v>561720</v>
      </c>
      <c r="D2672" s="10">
        <f ca="1">ROUND(_xlfn.NORM.INV(RAND(),Reference!$D$8,0.1*Reference!$D$8)*(1+Reference!$D$11*(IF(MONTH($A2672)=Reference!$D$4,1,0)+IF(MONTH($A2672)=Reference!$D$5,1,0))+(IF(MONTH($A2672)=Reference!$D$6,Reference!$D$13,0))),0)</f>
        <v>426</v>
      </c>
      <c r="E2672" s="11">
        <f ca="1">D2672*Reference!$D$7*(1-IF(MONTH($A2672)=Reference!$D$6,1,0)*Reference!$D$12)</f>
        <v>319500</v>
      </c>
      <c r="M2672" s="20"/>
      <c r="N2672" s="20"/>
      <c r="O2672" s="19"/>
      <c r="P2672" s="10"/>
      <c r="Q2672" s="10"/>
      <c r="R2672" s="10"/>
      <c r="S2672" s="10"/>
      <c r="T2672" s="10"/>
      <c r="U2672" s="10"/>
      <c r="V2672" s="10"/>
      <c r="W2672" s="10"/>
      <c r="X2672" s="10"/>
      <c r="Y2672" s="10"/>
    </row>
    <row r="2673" spans="1:25" x14ac:dyDescent="0.25">
      <c r="A2673" s="9">
        <v>43211</v>
      </c>
      <c r="B2673" s="10">
        <f ca="1">ROUND(_xlfn.NORM.INV(RAND(),Reference!$C$8,0.1*Reference!$C$8)*(1+Reference!$C$11*(IF(MONTH($A2673)=Reference!$C$4,1,0)+IF(MONTH($A2673)=Reference!$C$5,1,0))+(IF(MONTH($A2673)=Reference!$C$6,Reference!$C$13,0))),0)</f>
        <v>542</v>
      </c>
      <c r="C2673" s="11">
        <f ca="1">B2673*Reference!$C$7*(1-IF(MONTH($A2673)=Reference!$C$6,1,0)*Reference!$C$12)</f>
        <v>504060</v>
      </c>
      <c r="D2673" s="10">
        <f ca="1">ROUND(_xlfn.NORM.INV(RAND(),Reference!$D$8,0.1*Reference!$D$8)*(1+Reference!$D$11*(IF(MONTH($A2673)=Reference!$D$4,1,0)+IF(MONTH($A2673)=Reference!$D$5,1,0))+(IF(MONTH($A2673)=Reference!$D$6,Reference!$D$13,0))),0)</f>
        <v>514</v>
      </c>
      <c r="E2673" s="11">
        <f ca="1">D2673*Reference!$D$7*(1-IF(MONTH($A2673)=Reference!$D$6,1,0)*Reference!$D$12)</f>
        <v>385500</v>
      </c>
      <c r="M2673" s="20"/>
      <c r="N2673" s="20"/>
      <c r="O2673" s="19"/>
      <c r="P2673" s="10"/>
      <c r="Q2673" s="10"/>
      <c r="R2673" s="10"/>
      <c r="S2673" s="10"/>
      <c r="T2673" s="10"/>
      <c r="U2673" s="10"/>
      <c r="V2673" s="10"/>
      <c r="W2673" s="10"/>
      <c r="X2673" s="10"/>
      <c r="Y2673" s="10"/>
    </row>
    <row r="2674" spans="1:25" x14ac:dyDescent="0.25">
      <c r="A2674" s="9">
        <v>43212</v>
      </c>
      <c r="B2674" s="10">
        <f ca="1">ROUND(_xlfn.NORM.INV(RAND(),Reference!$C$8,0.1*Reference!$C$8)*(1+Reference!$C$11*(IF(MONTH($A2674)=Reference!$C$4,1,0)+IF(MONTH($A2674)=Reference!$C$5,1,0))+(IF(MONTH($A2674)=Reference!$C$6,Reference!$C$13,0))),0)</f>
        <v>531</v>
      </c>
      <c r="C2674" s="11">
        <f ca="1">B2674*Reference!$C$7*(1-IF(MONTH($A2674)=Reference!$C$6,1,0)*Reference!$C$12)</f>
        <v>493830</v>
      </c>
      <c r="D2674" s="10">
        <f ca="1">ROUND(_xlfn.NORM.INV(RAND(),Reference!$D$8,0.1*Reference!$D$8)*(1+Reference!$D$11*(IF(MONTH($A2674)=Reference!$D$4,1,0)+IF(MONTH($A2674)=Reference!$D$5,1,0))+(IF(MONTH($A2674)=Reference!$D$6,Reference!$D$13,0))),0)</f>
        <v>423</v>
      </c>
      <c r="E2674" s="11">
        <f ca="1">D2674*Reference!$D$7*(1-IF(MONTH($A2674)=Reference!$D$6,1,0)*Reference!$D$12)</f>
        <v>317250</v>
      </c>
      <c r="M2674" s="20"/>
      <c r="N2674" s="20"/>
      <c r="O2674" s="19"/>
      <c r="P2674" s="10"/>
      <c r="Q2674" s="10"/>
      <c r="R2674" s="10"/>
      <c r="S2674" s="10"/>
      <c r="T2674" s="10"/>
      <c r="U2674" s="10"/>
      <c r="V2674" s="10"/>
      <c r="W2674" s="10"/>
      <c r="X2674" s="10"/>
      <c r="Y2674" s="10"/>
    </row>
    <row r="2675" spans="1:25" x14ac:dyDescent="0.25">
      <c r="A2675" s="9">
        <v>43213</v>
      </c>
      <c r="B2675" s="10">
        <f ca="1">ROUND(_xlfn.NORM.INV(RAND(),Reference!$C$8,0.1*Reference!$C$8)*(1+Reference!$C$11*(IF(MONTH($A2675)=Reference!$C$4,1,0)+IF(MONTH($A2675)=Reference!$C$5,1,0))+(IF(MONTH($A2675)=Reference!$C$6,Reference!$C$13,0))),0)</f>
        <v>567</v>
      </c>
      <c r="C2675" s="11">
        <f ca="1">B2675*Reference!$C$7*(1-IF(MONTH($A2675)=Reference!$C$6,1,0)*Reference!$C$12)</f>
        <v>527310</v>
      </c>
      <c r="D2675" s="10">
        <f ca="1">ROUND(_xlfn.NORM.INV(RAND(),Reference!$D$8,0.1*Reference!$D$8)*(1+Reference!$D$11*(IF(MONTH($A2675)=Reference!$D$4,1,0)+IF(MONTH($A2675)=Reference!$D$5,1,0))+(IF(MONTH($A2675)=Reference!$D$6,Reference!$D$13,0))),0)</f>
        <v>437</v>
      </c>
      <c r="E2675" s="11">
        <f ca="1">D2675*Reference!$D$7*(1-IF(MONTH($A2675)=Reference!$D$6,1,0)*Reference!$D$12)</f>
        <v>327750</v>
      </c>
      <c r="M2675" s="20"/>
      <c r="N2675" s="20"/>
      <c r="O2675" s="19"/>
      <c r="P2675" s="10"/>
      <c r="Q2675" s="10"/>
      <c r="R2675" s="10"/>
      <c r="S2675" s="10"/>
      <c r="T2675" s="10"/>
      <c r="U2675" s="10"/>
      <c r="V2675" s="10"/>
      <c r="W2675" s="10"/>
      <c r="X2675" s="10"/>
      <c r="Y2675" s="10"/>
    </row>
    <row r="2676" spans="1:25" x14ac:dyDescent="0.25">
      <c r="A2676" s="9">
        <v>43214</v>
      </c>
      <c r="B2676" s="10">
        <f ca="1">ROUND(_xlfn.NORM.INV(RAND(),Reference!$C$8,0.1*Reference!$C$8)*(1+Reference!$C$11*(IF(MONTH($A2676)=Reference!$C$4,1,0)+IF(MONTH($A2676)=Reference!$C$5,1,0))+(IF(MONTH($A2676)=Reference!$C$6,Reference!$C$13,0))),0)</f>
        <v>497</v>
      </c>
      <c r="C2676" s="11">
        <f ca="1">B2676*Reference!$C$7*(1-IF(MONTH($A2676)=Reference!$C$6,1,0)*Reference!$C$12)</f>
        <v>462210</v>
      </c>
      <c r="D2676" s="10">
        <f ca="1">ROUND(_xlfn.NORM.INV(RAND(),Reference!$D$8,0.1*Reference!$D$8)*(1+Reference!$D$11*(IF(MONTH($A2676)=Reference!$D$4,1,0)+IF(MONTH($A2676)=Reference!$D$5,1,0))+(IF(MONTH($A2676)=Reference!$D$6,Reference!$D$13,0))),0)</f>
        <v>452</v>
      </c>
      <c r="E2676" s="11">
        <f ca="1">D2676*Reference!$D$7*(1-IF(MONTH($A2676)=Reference!$D$6,1,0)*Reference!$D$12)</f>
        <v>339000</v>
      </c>
      <c r="M2676" s="20"/>
      <c r="N2676" s="20"/>
      <c r="O2676" s="19"/>
      <c r="P2676" s="10"/>
      <c r="Q2676" s="10"/>
      <c r="R2676" s="10"/>
      <c r="S2676" s="10"/>
      <c r="T2676" s="10"/>
      <c r="U2676" s="10"/>
      <c r="V2676" s="10"/>
      <c r="W2676" s="10"/>
      <c r="X2676" s="10"/>
      <c r="Y2676" s="10"/>
    </row>
    <row r="2677" spans="1:25" x14ac:dyDescent="0.25">
      <c r="A2677" s="9">
        <v>43215</v>
      </c>
      <c r="B2677" s="10">
        <f ca="1">ROUND(_xlfn.NORM.INV(RAND(),Reference!$C$8,0.1*Reference!$C$8)*(1+Reference!$C$11*(IF(MONTH($A2677)=Reference!$C$4,1,0)+IF(MONTH($A2677)=Reference!$C$5,1,0))+(IF(MONTH($A2677)=Reference!$C$6,Reference!$C$13,0))),0)</f>
        <v>463</v>
      </c>
      <c r="C2677" s="11">
        <f ca="1">B2677*Reference!$C$7*(1-IF(MONTH($A2677)=Reference!$C$6,1,0)*Reference!$C$12)</f>
        <v>430590</v>
      </c>
      <c r="D2677" s="10">
        <f ca="1">ROUND(_xlfn.NORM.INV(RAND(),Reference!$D$8,0.1*Reference!$D$8)*(1+Reference!$D$11*(IF(MONTH($A2677)=Reference!$D$4,1,0)+IF(MONTH($A2677)=Reference!$D$5,1,0))+(IF(MONTH($A2677)=Reference!$D$6,Reference!$D$13,0))),0)</f>
        <v>406</v>
      </c>
      <c r="E2677" s="11">
        <f ca="1">D2677*Reference!$D$7*(1-IF(MONTH($A2677)=Reference!$D$6,1,0)*Reference!$D$12)</f>
        <v>304500</v>
      </c>
      <c r="M2677" s="20"/>
      <c r="N2677" s="20"/>
      <c r="O2677" s="19"/>
      <c r="P2677" s="10"/>
      <c r="Q2677" s="10"/>
      <c r="R2677" s="10"/>
      <c r="S2677" s="10"/>
      <c r="T2677" s="10"/>
      <c r="U2677" s="10"/>
      <c r="V2677" s="10"/>
      <c r="W2677" s="10"/>
      <c r="X2677" s="10"/>
      <c r="Y2677" s="10"/>
    </row>
    <row r="2678" spans="1:25" x14ac:dyDescent="0.25">
      <c r="A2678" s="9">
        <v>43216</v>
      </c>
      <c r="B2678" s="10">
        <f ca="1">ROUND(_xlfn.NORM.INV(RAND(),Reference!$C$8,0.1*Reference!$C$8)*(1+Reference!$C$11*(IF(MONTH($A2678)=Reference!$C$4,1,0)+IF(MONTH($A2678)=Reference!$C$5,1,0))+(IF(MONTH($A2678)=Reference!$C$6,Reference!$C$13,0))),0)</f>
        <v>581</v>
      </c>
      <c r="C2678" s="11">
        <f ca="1">B2678*Reference!$C$7*(1-IF(MONTH($A2678)=Reference!$C$6,1,0)*Reference!$C$12)</f>
        <v>540330</v>
      </c>
      <c r="D2678" s="10">
        <f ca="1">ROUND(_xlfn.NORM.INV(RAND(),Reference!$D$8,0.1*Reference!$D$8)*(1+Reference!$D$11*(IF(MONTH($A2678)=Reference!$D$4,1,0)+IF(MONTH($A2678)=Reference!$D$5,1,0))+(IF(MONTH($A2678)=Reference!$D$6,Reference!$D$13,0))),0)</f>
        <v>419</v>
      </c>
      <c r="E2678" s="11">
        <f ca="1">D2678*Reference!$D$7*(1-IF(MONTH($A2678)=Reference!$D$6,1,0)*Reference!$D$12)</f>
        <v>314250</v>
      </c>
      <c r="M2678" s="20"/>
      <c r="N2678" s="20"/>
      <c r="O2678" s="19"/>
      <c r="P2678" s="10"/>
      <c r="Q2678" s="10"/>
      <c r="R2678" s="10"/>
      <c r="S2678" s="10"/>
      <c r="T2678" s="10"/>
      <c r="U2678" s="10"/>
      <c r="V2678" s="10"/>
      <c r="W2678" s="10"/>
      <c r="X2678" s="10"/>
      <c r="Y2678" s="10"/>
    </row>
    <row r="2679" spans="1:25" x14ac:dyDescent="0.25">
      <c r="A2679" s="9">
        <v>43217</v>
      </c>
      <c r="B2679" s="10">
        <f ca="1">ROUND(_xlfn.NORM.INV(RAND(),Reference!$C$8,0.1*Reference!$C$8)*(1+Reference!$C$11*(IF(MONTH($A2679)=Reference!$C$4,1,0)+IF(MONTH($A2679)=Reference!$C$5,1,0))+(IF(MONTH($A2679)=Reference!$C$6,Reference!$C$13,0))),0)</f>
        <v>532</v>
      </c>
      <c r="C2679" s="11">
        <f ca="1">B2679*Reference!$C$7*(1-IF(MONTH($A2679)=Reference!$C$6,1,0)*Reference!$C$12)</f>
        <v>494760</v>
      </c>
      <c r="D2679" s="10">
        <f ca="1">ROUND(_xlfn.NORM.INV(RAND(),Reference!$D$8,0.1*Reference!$D$8)*(1+Reference!$D$11*(IF(MONTH($A2679)=Reference!$D$4,1,0)+IF(MONTH($A2679)=Reference!$D$5,1,0))+(IF(MONTH($A2679)=Reference!$D$6,Reference!$D$13,0))),0)</f>
        <v>442</v>
      </c>
      <c r="E2679" s="11">
        <f ca="1">D2679*Reference!$D$7*(1-IF(MONTH($A2679)=Reference!$D$6,1,0)*Reference!$D$12)</f>
        <v>331500</v>
      </c>
      <c r="M2679" s="20"/>
      <c r="N2679" s="20"/>
      <c r="O2679" s="19"/>
      <c r="P2679" s="10"/>
      <c r="Q2679" s="10"/>
      <c r="R2679" s="10"/>
      <c r="S2679" s="10"/>
      <c r="T2679" s="10"/>
      <c r="U2679" s="10"/>
      <c r="V2679" s="10"/>
      <c r="W2679" s="10"/>
      <c r="X2679" s="10"/>
      <c r="Y2679" s="10"/>
    </row>
    <row r="2680" spans="1:25" x14ac:dyDescent="0.25">
      <c r="A2680" s="9">
        <v>43218</v>
      </c>
      <c r="B2680" s="10">
        <f ca="1">ROUND(_xlfn.NORM.INV(RAND(),Reference!$C$8,0.1*Reference!$C$8)*(1+Reference!$C$11*(IF(MONTH($A2680)=Reference!$C$4,1,0)+IF(MONTH($A2680)=Reference!$C$5,1,0))+(IF(MONTH($A2680)=Reference!$C$6,Reference!$C$13,0))),0)</f>
        <v>539</v>
      </c>
      <c r="C2680" s="11">
        <f ca="1">B2680*Reference!$C$7*(1-IF(MONTH($A2680)=Reference!$C$6,1,0)*Reference!$C$12)</f>
        <v>501270</v>
      </c>
      <c r="D2680" s="10">
        <f ca="1">ROUND(_xlfn.NORM.INV(RAND(),Reference!$D$8,0.1*Reference!$D$8)*(1+Reference!$D$11*(IF(MONTH($A2680)=Reference!$D$4,1,0)+IF(MONTH($A2680)=Reference!$D$5,1,0))+(IF(MONTH($A2680)=Reference!$D$6,Reference!$D$13,0))),0)</f>
        <v>376</v>
      </c>
      <c r="E2680" s="11">
        <f ca="1">D2680*Reference!$D$7*(1-IF(MONTH($A2680)=Reference!$D$6,1,0)*Reference!$D$12)</f>
        <v>282000</v>
      </c>
      <c r="M2680" s="20"/>
      <c r="N2680" s="20"/>
      <c r="O2680" s="19"/>
      <c r="P2680" s="10"/>
      <c r="Q2680" s="10"/>
      <c r="R2680" s="10"/>
      <c r="S2680" s="10"/>
      <c r="T2680" s="10"/>
      <c r="U2680" s="10"/>
      <c r="V2680" s="10"/>
      <c r="W2680" s="10"/>
      <c r="X2680" s="10"/>
      <c r="Y2680" s="10"/>
    </row>
    <row r="2681" spans="1:25" x14ac:dyDescent="0.25">
      <c r="A2681" s="9">
        <v>43219</v>
      </c>
      <c r="B2681" s="10">
        <f ca="1">ROUND(_xlfn.NORM.INV(RAND(),Reference!$C$8,0.1*Reference!$C$8)*(1+Reference!$C$11*(IF(MONTH($A2681)=Reference!$C$4,1,0)+IF(MONTH($A2681)=Reference!$C$5,1,0))+(IF(MONTH($A2681)=Reference!$C$6,Reference!$C$13,0))),0)</f>
        <v>486</v>
      </c>
      <c r="C2681" s="11">
        <f ca="1">B2681*Reference!$C$7*(1-IF(MONTH($A2681)=Reference!$C$6,1,0)*Reference!$C$12)</f>
        <v>451980</v>
      </c>
      <c r="D2681" s="10">
        <f ca="1">ROUND(_xlfn.NORM.INV(RAND(),Reference!$D$8,0.1*Reference!$D$8)*(1+Reference!$D$11*(IF(MONTH($A2681)=Reference!$D$4,1,0)+IF(MONTH($A2681)=Reference!$D$5,1,0))+(IF(MONTH($A2681)=Reference!$D$6,Reference!$D$13,0))),0)</f>
        <v>459</v>
      </c>
      <c r="E2681" s="11">
        <f ca="1">D2681*Reference!$D$7*(1-IF(MONTH($A2681)=Reference!$D$6,1,0)*Reference!$D$12)</f>
        <v>344250</v>
      </c>
      <c r="M2681" s="20"/>
      <c r="N2681" s="20"/>
      <c r="O2681" s="19"/>
      <c r="P2681" s="10"/>
      <c r="Q2681" s="10"/>
      <c r="R2681" s="10"/>
      <c r="S2681" s="10"/>
      <c r="T2681" s="10"/>
      <c r="U2681" s="10"/>
      <c r="V2681" s="10"/>
      <c r="W2681" s="10"/>
      <c r="X2681" s="10"/>
      <c r="Y2681" s="10"/>
    </row>
    <row r="2682" spans="1:25" x14ac:dyDescent="0.25">
      <c r="A2682" s="9">
        <v>43220</v>
      </c>
      <c r="B2682" s="10">
        <f ca="1">ROUND(_xlfn.NORM.INV(RAND(),Reference!$C$8,0.1*Reference!$C$8)*(1+Reference!$C$11*(IF(MONTH($A2682)=Reference!$C$4,1,0)+IF(MONTH($A2682)=Reference!$C$5,1,0))+(IF(MONTH($A2682)=Reference!$C$6,Reference!$C$13,0))),0)</f>
        <v>622</v>
      </c>
      <c r="C2682" s="11">
        <f ca="1">B2682*Reference!$C$7*(1-IF(MONTH($A2682)=Reference!$C$6,1,0)*Reference!$C$12)</f>
        <v>578460</v>
      </c>
      <c r="D2682" s="10">
        <f ca="1">ROUND(_xlfn.NORM.INV(RAND(),Reference!$D$8,0.1*Reference!$D$8)*(1+Reference!$D$11*(IF(MONTH($A2682)=Reference!$D$4,1,0)+IF(MONTH($A2682)=Reference!$D$5,1,0))+(IF(MONTH($A2682)=Reference!$D$6,Reference!$D$13,0))),0)</f>
        <v>434</v>
      </c>
      <c r="E2682" s="11">
        <f ca="1">D2682*Reference!$D$7*(1-IF(MONTH($A2682)=Reference!$D$6,1,0)*Reference!$D$12)</f>
        <v>325500</v>
      </c>
      <c r="M2682" s="20"/>
      <c r="N2682" s="20"/>
      <c r="O2682" s="19"/>
      <c r="P2682" s="10"/>
      <c r="Q2682" s="10"/>
      <c r="R2682" s="10"/>
      <c r="S2682" s="10"/>
      <c r="T2682" s="10"/>
      <c r="U2682" s="10"/>
      <c r="V2682" s="10"/>
      <c r="W2682" s="10"/>
      <c r="X2682" s="10"/>
      <c r="Y2682" s="10"/>
    </row>
    <row r="2683" spans="1:25" x14ac:dyDescent="0.25">
      <c r="A2683" s="9">
        <v>43221</v>
      </c>
      <c r="B2683" s="10">
        <f ca="1">ROUND(_xlfn.NORM.INV(RAND(),Reference!$C$8,0.1*Reference!$C$8)*(1+Reference!$C$11*(IF(MONTH($A2683)=Reference!$C$4,1,0)+IF(MONTH($A2683)=Reference!$C$5,1,0))+(IF(MONTH($A2683)=Reference!$C$6,Reference!$C$13,0))),0)</f>
        <v>588</v>
      </c>
      <c r="C2683" s="11">
        <f ca="1">B2683*Reference!$C$7*(1-IF(MONTH($A2683)=Reference!$C$6,1,0)*Reference!$C$12)</f>
        <v>546840</v>
      </c>
      <c r="D2683" s="10">
        <f ca="1">ROUND(_xlfn.NORM.INV(RAND(),Reference!$D$8,0.1*Reference!$D$8)*(1+Reference!$D$11*(IF(MONTH($A2683)=Reference!$D$4,1,0)+IF(MONTH($A2683)=Reference!$D$5,1,0))+(IF(MONTH($A2683)=Reference!$D$6,Reference!$D$13,0))),0)</f>
        <v>440</v>
      </c>
      <c r="E2683" s="11">
        <f ca="1">D2683*Reference!$D$7*(1-IF(MONTH($A2683)=Reference!$D$6,1,0)*Reference!$D$12)</f>
        <v>330000</v>
      </c>
      <c r="M2683" s="20"/>
      <c r="N2683" s="20"/>
      <c r="O2683" s="19"/>
      <c r="P2683" s="10"/>
      <c r="Q2683" s="10"/>
      <c r="R2683" s="10"/>
      <c r="S2683" s="10"/>
      <c r="T2683" s="10"/>
      <c r="U2683" s="10"/>
      <c r="V2683" s="10"/>
      <c r="W2683" s="10"/>
      <c r="X2683" s="10"/>
      <c r="Y2683" s="10"/>
    </row>
    <row r="2684" spans="1:25" x14ac:dyDescent="0.25">
      <c r="A2684" s="9">
        <v>43222</v>
      </c>
      <c r="B2684" s="10">
        <f ca="1">ROUND(_xlfn.NORM.INV(RAND(),Reference!$C$8,0.1*Reference!$C$8)*(1+Reference!$C$11*(IF(MONTH($A2684)=Reference!$C$4,1,0)+IF(MONTH($A2684)=Reference!$C$5,1,0))+(IF(MONTH($A2684)=Reference!$C$6,Reference!$C$13,0))),0)</f>
        <v>524</v>
      </c>
      <c r="C2684" s="11">
        <f ca="1">B2684*Reference!$C$7*(1-IF(MONTH($A2684)=Reference!$C$6,1,0)*Reference!$C$12)</f>
        <v>487320</v>
      </c>
      <c r="D2684" s="10">
        <f ca="1">ROUND(_xlfn.NORM.INV(RAND(),Reference!$D$8,0.1*Reference!$D$8)*(1+Reference!$D$11*(IF(MONTH($A2684)=Reference!$D$4,1,0)+IF(MONTH($A2684)=Reference!$D$5,1,0))+(IF(MONTH($A2684)=Reference!$D$6,Reference!$D$13,0))),0)</f>
        <v>429</v>
      </c>
      <c r="E2684" s="11">
        <f ca="1">D2684*Reference!$D$7*(1-IF(MONTH($A2684)=Reference!$D$6,1,0)*Reference!$D$12)</f>
        <v>321750</v>
      </c>
      <c r="M2684" s="20"/>
      <c r="N2684" s="20"/>
      <c r="O2684" s="19"/>
      <c r="P2684" s="10"/>
      <c r="Q2684" s="10"/>
      <c r="R2684" s="10"/>
      <c r="S2684" s="10"/>
      <c r="T2684" s="10"/>
      <c r="U2684" s="10"/>
      <c r="V2684" s="10"/>
      <c r="W2684" s="10"/>
      <c r="X2684" s="10"/>
      <c r="Y2684" s="10"/>
    </row>
    <row r="2685" spans="1:25" x14ac:dyDescent="0.25">
      <c r="A2685" s="9">
        <v>43223</v>
      </c>
      <c r="B2685" s="10">
        <f ca="1">ROUND(_xlfn.NORM.INV(RAND(),Reference!$C$8,0.1*Reference!$C$8)*(1+Reference!$C$11*(IF(MONTH($A2685)=Reference!$C$4,1,0)+IF(MONTH($A2685)=Reference!$C$5,1,0))+(IF(MONTH($A2685)=Reference!$C$6,Reference!$C$13,0))),0)</f>
        <v>486</v>
      </c>
      <c r="C2685" s="11">
        <f ca="1">B2685*Reference!$C$7*(1-IF(MONTH($A2685)=Reference!$C$6,1,0)*Reference!$C$12)</f>
        <v>451980</v>
      </c>
      <c r="D2685" s="10">
        <f ca="1">ROUND(_xlfn.NORM.INV(RAND(),Reference!$D$8,0.1*Reference!$D$8)*(1+Reference!$D$11*(IF(MONTH($A2685)=Reference!$D$4,1,0)+IF(MONTH($A2685)=Reference!$D$5,1,0))+(IF(MONTH($A2685)=Reference!$D$6,Reference!$D$13,0))),0)</f>
        <v>494</v>
      </c>
      <c r="E2685" s="11">
        <f ca="1">D2685*Reference!$D$7*(1-IF(MONTH($A2685)=Reference!$D$6,1,0)*Reference!$D$12)</f>
        <v>370500</v>
      </c>
      <c r="M2685" s="20"/>
      <c r="N2685" s="20"/>
      <c r="O2685" s="19"/>
      <c r="P2685" s="10"/>
      <c r="Q2685" s="10"/>
      <c r="R2685" s="10"/>
      <c r="S2685" s="10"/>
      <c r="T2685" s="10"/>
      <c r="U2685" s="10"/>
      <c r="V2685" s="10"/>
      <c r="W2685" s="10"/>
      <c r="X2685" s="10"/>
      <c r="Y2685" s="10"/>
    </row>
    <row r="2686" spans="1:25" x14ac:dyDescent="0.25">
      <c r="A2686" s="9">
        <v>43224</v>
      </c>
      <c r="B2686" s="10">
        <f ca="1">ROUND(_xlfn.NORM.INV(RAND(),Reference!$C$8,0.1*Reference!$C$8)*(1+Reference!$C$11*(IF(MONTH($A2686)=Reference!$C$4,1,0)+IF(MONTH($A2686)=Reference!$C$5,1,0))+(IF(MONTH($A2686)=Reference!$C$6,Reference!$C$13,0))),0)</f>
        <v>630</v>
      </c>
      <c r="C2686" s="11">
        <f ca="1">B2686*Reference!$C$7*(1-IF(MONTH($A2686)=Reference!$C$6,1,0)*Reference!$C$12)</f>
        <v>585900</v>
      </c>
      <c r="D2686" s="10">
        <f ca="1">ROUND(_xlfn.NORM.INV(RAND(),Reference!$D$8,0.1*Reference!$D$8)*(1+Reference!$D$11*(IF(MONTH($A2686)=Reference!$D$4,1,0)+IF(MONTH($A2686)=Reference!$D$5,1,0))+(IF(MONTH($A2686)=Reference!$D$6,Reference!$D$13,0))),0)</f>
        <v>430</v>
      </c>
      <c r="E2686" s="11">
        <f ca="1">D2686*Reference!$D$7*(1-IF(MONTH($A2686)=Reference!$D$6,1,0)*Reference!$D$12)</f>
        <v>322500</v>
      </c>
      <c r="M2686" s="20"/>
      <c r="N2686" s="20"/>
      <c r="O2686" s="19"/>
      <c r="P2686" s="10"/>
      <c r="Q2686" s="10"/>
      <c r="R2686" s="10"/>
      <c r="S2686" s="10"/>
      <c r="T2686" s="10"/>
      <c r="U2686" s="10"/>
      <c r="V2686" s="10"/>
      <c r="W2686" s="10"/>
      <c r="X2686" s="10"/>
      <c r="Y2686" s="10"/>
    </row>
    <row r="2687" spans="1:25" x14ac:dyDescent="0.25">
      <c r="A2687" s="9">
        <v>43225</v>
      </c>
      <c r="B2687" s="10">
        <f ca="1">ROUND(_xlfn.NORM.INV(RAND(),Reference!$C$8,0.1*Reference!$C$8)*(1+Reference!$C$11*(IF(MONTH($A2687)=Reference!$C$4,1,0)+IF(MONTH($A2687)=Reference!$C$5,1,0))+(IF(MONTH($A2687)=Reference!$C$6,Reference!$C$13,0))),0)</f>
        <v>548</v>
      </c>
      <c r="C2687" s="11">
        <f ca="1">B2687*Reference!$C$7*(1-IF(MONTH($A2687)=Reference!$C$6,1,0)*Reference!$C$12)</f>
        <v>509640</v>
      </c>
      <c r="D2687" s="10">
        <f ca="1">ROUND(_xlfn.NORM.INV(RAND(),Reference!$D$8,0.1*Reference!$D$8)*(1+Reference!$D$11*(IF(MONTH($A2687)=Reference!$D$4,1,0)+IF(MONTH($A2687)=Reference!$D$5,1,0))+(IF(MONTH($A2687)=Reference!$D$6,Reference!$D$13,0))),0)</f>
        <v>393</v>
      </c>
      <c r="E2687" s="11">
        <f ca="1">D2687*Reference!$D$7*(1-IF(MONTH($A2687)=Reference!$D$6,1,0)*Reference!$D$12)</f>
        <v>294750</v>
      </c>
      <c r="M2687" s="20"/>
      <c r="N2687" s="20"/>
      <c r="O2687" s="19"/>
      <c r="P2687" s="10"/>
      <c r="Q2687" s="10"/>
      <c r="R2687" s="10"/>
      <c r="S2687" s="10"/>
      <c r="T2687" s="10"/>
      <c r="U2687" s="10"/>
      <c r="V2687" s="10"/>
      <c r="W2687" s="10"/>
      <c r="X2687" s="10"/>
      <c r="Y2687" s="10"/>
    </row>
    <row r="2688" spans="1:25" x14ac:dyDescent="0.25">
      <c r="A2688" s="9">
        <v>43226</v>
      </c>
      <c r="B2688" s="10">
        <f ca="1">ROUND(_xlfn.NORM.INV(RAND(),Reference!$C$8,0.1*Reference!$C$8)*(1+Reference!$C$11*(IF(MONTH($A2688)=Reference!$C$4,1,0)+IF(MONTH($A2688)=Reference!$C$5,1,0))+(IF(MONTH($A2688)=Reference!$C$6,Reference!$C$13,0))),0)</f>
        <v>482</v>
      </c>
      <c r="C2688" s="11">
        <f ca="1">B2688*Reference!$C$7*(1-IF(MONTH($A2688)=Reference!$C$6,1,0)*Reference!$C$12)</f>
        <v>448260</v>
      </c>
      <c r="D2688" s="10">
        <f ca="1">ROUND(_xlfn.NORM.INV(RAND(),Reference!$D$8,0.1*Reference!$D$8)*(1+Reference!$D$11*(IF(MONTH($A2688)=Reference!$D$4,1,0)+IF(MONTH($A2688)=Reference!$D$5,1,0))+(IF(MONTH($A2688)=Reference!$D$6,Reference!$D$13,0))),0)</f>
        <v>485</v>
      </c>
      <c r="E2688" s="11">
        <f ca="1">D2688*Reference!$D$7*(1-IF(MONTH($A2688)=Reference!$D$6,1,0)*Reference!$D$12)</f>
        <v>363750</v>
      </c>
      <c r="M2688" s="20"/>
      <c r="N2688" s="20"/>
      <c r="O2688" s="19"/>
      <c r="P2688" s="10"/>
      <c r="Q2688" s="10"/>
      <c r="R2688" s="10"/>
      <c r="S2688" s="10"/>
      <c r="T2688" s="10"/>
      <c r="U2688" s="10"/>
      <c r="V2688" s="10"/>
      <c r="W2688" s="10"/>
      <c r="X2688" s="10"/>
      <c r="Y2688" s="10"/>
    </row>
    <row r="2689" spans="1:25" x14ac:dyDescent="0.25">
      <c r="A2689" s="9">
        <v>43227</v>
      </c>
      <c r="B2689" s="10">
        <f ca="1">ROUND(_xlfn.NORM.INV(RAND(),Reference!$C$8,0.1*Reference!$C$8)*(1+Reference!$C$11*(IF(MONTH($A2689)=Reference!$C$4,1,0)+IF(MONTH($A2689)=Reference!$C$5,1,0))+(IF(MONTH($A2689)=Reference!$C$6,Reference!$C$13,0))),0)</f>
        <v>609</v>
      </c>
      <c r="C2689" s="11">
        <f ca="1">B2689*Reference!$C$7*(1-IF(MONTH($A2689)=Reference!$C$6,1,0)*Reference!$C$12)</f>
        <v>566370</v>
      </c>
      <c r="D2689" s="10">
        <f ca="1">ROUND(_xlfn.NORM.INV(RAND(),Reference!$D$8,0.1*Reference!$D$8)*(1+Reference!$D$11*(IF(MONTH($A2689)=Reference!$D$4,1,0)+IF(MONTH($A2689)=Reference!$D$5,1,0))+(IF(MONTH($A2689)=Reference!$D$6,Reference!$D$13,0))),0)</f>
        <v>494</v>
      </c>
      <c r="E2689" s="11">
        <f ca="1">D2689*Reference!$D$7*(1-IF(MONTH($A2689)=Reference!$D$6,1,0)*Reference!$D$12)</f>
        <v>370500</v>
      </c>
      <c r="M2689" s="20"/>
      <c r="N2689" s="20"/>
      <c r="O2689" s="19"/>
      <c r="P2689" s="10"/>
      <c r="Q2689" s="10"/>
      <c r="R2689" s="10"/>
      <c r="S2689" s="10"/>
      <c r="T2689" s="10"/>
      <c r="U2689" s="10"/>
      <c r="V2689" s="10"/>
      <c r="W2689" s="10"/>
      <c r="X2689" s="10"/>
      <c r="Y2689" s="10"/>
    </row>
    <row r="2690" spans="1:25" x14ac:dyDescent="0.25">
      <c r="A2690" s="9">
        <v>43228</v>
      </c>
      <c r="B2690" s="10">
        <f ca="1">ROUND(_xlfn.NORM.INV(RAND(),Reference!$C$8,0.1*Reference!$C$8)*(1+Reference!$C$11*(IF(MONTH($A2690)=Reference!$C$4,1,0)+IF(MONTH($A2690)=Reference!$C$5,1,0))+(IF(MONTH($A2690)=Reference!$C$6,Reference!$C$13,0))),0)</f>
        <v>554</v>
      </c>
      <c r="C2690" s="11">
        <f ca="1">B2690*Reference!$C$7*(1-IF(MONTH($A2690)=Reference!$C$6,1,0)*Reference!$C$12)</f>
        <v>515220</v>
      </c>
      <c r="D2690" s="10">
        <f ca="1">ROUND(_xlfn.NORM.INV(RAND(),Reference!$D$8,0.1*Reference!$D$8)*(1+Reference!$D$11*(IF(MONTH($A2690)=Reference!$D$4,1,0)+IF(MONTH($A2690)=Reference!$D$5,1,0))+(IF(MONTH($A2690)=Reference!$D$6,Reference!$D$13,0))),0)</f>
        <v>498</v>
      </c>
      <c r="E2690" s="11">
        <f ca="1">D2690*Reference!$D$7*(1-IF(MONTH($A2690)=Reference!$D$6,1,0)*Reference!$D$12)</f>
        <v>373500</v>
      </c>
      <c r="M2690" s="20"/>
      <c r="N2690" s="20"/>
      <c r="O2690" s="19"/>
      <c r="P2690" s="10"/>
      <c r="Q2690" s="10"/>
      <c r="R2690" s="10"/>
      <c r="S2690" s="10"/>
      <c r="T2690" s="10"/>
      <c r="U2690" s="10"/>
      <c r="V2690" s="10"/>
      <c r="W2690" s="10"/>
      <c r="X2690" s="10"/>
      <c r="Y2690" s="10"/>
    </row>
    <row r="2691" spans="1:25" x14ac:dyDescent="0.25">
      <c r="A2691" s="9">
        <v>43229</v>
      </c>
      <c r="B2691" s="10">
        <f ca="1">ROUND(_xlfn.NORM.INV(RAND(),Reference!$C$8,0.1*Reference!$C$8)*(1+Reference!$C$11*(IF(MONTH($A2691)=Reference!$C$4,1,0)+IF(MONTH($A2691)=Reference!$C$5,1,0))+(IF(MONTH($A2691)=Reference!$C$6,Reference!$C$13,0))),0)</f>
        <v>532</v>
      </c>
      <c r="C2691" s="11">
        <f ca="1">B2691*Reference!$C$7*(1-IF(MONTH($A2691)=Reference!$C$6,1,0)*Reference!$C$12)</f>
        <v>494760</v>
      </c>
      <c r="D2691" s="10">
        <f ca="1">ROUND(_xlfn.NORM.INV(RAND(),Reference!$D$8,0.1*Reference!$D$8)*(1+Reference!$D$11*(IF(MONTH($A2691)=Reference!$D$4,1,0)+IF(MONTH($A2691)=Reference!$D$5,1,0))+(IF(MONTH($A2691)=Reference!$D$6,Reference!$D$13,0))),0)</f>
        <v>460</v>
      </c>
      <c r="E2691" s="11">
        <f ca="1">D2691*Reference!$D$7*(1-IF(MONTH($A2691)=Reference!$D$6,1,0)*Reference!$D$12)</f>
        <v>345000</v>
      </c>
      <c r="M2691" s="20"/>
      <c r="N2691" s="20"/>
      <c r="O2691" s="19"/>
      <c r="P2691" s="10"/>
      <c r="Q2691" s="10"/>
      <c r="R2691" s="10"/>
      <c r="S2691" s="10"/>
      <c r="T2691" s="10"/>
      <c r="U2691" s="10"/>
      <c r="V2691" s="10"/>
      <c r="W2691" s="10"/>
      <c r="X2691" s="10"/>
      <c r="Y2691" s="10"/>
    </row>
    <row r="2692" spans="1:25" x14ac:dyDescent="0.25">
      <c r="A2692" s="9">
        <v>43230</v>
      </c>
      <c r="B2692" s="10">
        <f ca="1">ROUND(_xlfn.NORM.INV(RAND(),Reference!$C$8,0.1*Reference!$C$8)*(1+Reference!$C$11*(IF(MONTH($A2692)=Reference!$C$4,1,0)+IF(MONTH($A2692)=Reference!$C$5,1,0))+(IF(MONTH($A2692)=Reference!$C$6,Reference!$C$13,0))),0)</f>
        <v>586</v>
      </c>
      <c r="C2692" s="11">
        <f ca="1">B2692*Reference!$C$7*(1-IF(MONTH($A2692)=Reference!$C$6,1,0)*Reference!$C$12)</f>
        <v>544980</v>
      </c>
      <c r="D2692" s="10">
        <f ca="1">ROUND(_xlfn.NORM.INV(RAND(),Reference!$D$8,0.1*Reference!$D$8)*(1+Reference!$D$11*(IF(MONTH($A2692)=Reference!$D$4,1,0)+IF(MONTH($A2692)=Reference!$D$5,1,0))+(IF(MONTH($A2692)=Reference!$D$6,Reference!$D$13,0))),0)</f>
        <v>469</v>
      </c>
      <c r="E2692" s="11">
        <f ca="1">D2692*Reference!$D$7*(1-IF(MONTH($A2692)=Reference!$D$6,1,0)*Reference!$D$12)</f>
        <v>351750</v>
      </c>
      <c r="M2692" s="20"/>
      <c r="N2692" s="20"/>
      <c r="O2692" s="19"/>
      <c r="P2692" s="10"/>
      <c r="Q2692" s="10"/>
      <c r="R2692" s="10"/>
      <c r="S2692" s="10"/>
      <c r="T2692" s="10"/>
      <c r="U2692" s="10"/>
      <c r="V2692" s="10"/>
      <c r="W2692" s="10"/>
      <c r="X2692" s="10"/>
      <c r="Y2692" s="10"/>
    </row>
    <row r="2693" spans="1:25" x14ac:dyDescent="0.25">
      <c r="A2693" s="9">
        <v>43231</v>
      </c>
      <c r="B2693" s="10">
        <f ca="1">ROUND(_xlfn.NORM.INV(RAND(),Reference!$C$8,0.1*Reference!$C$8)*(1+Reference!$C$11*(IF(MONTH($A2693)=Reference!$C$4,1,0)+IF(MONTH($A2693)=Reference!$C$5,1,0))+(IF(MONTH($A2693)=Reference!$C$6,Reference!$C$13,0))),0)</f>
        <v>515</v>
      </c>
      <c r="C2693" s="11">
        <f ca="1">B2693*Reference!$C$7*(1-IF(MONTH($A2693)=Reference!$C$6,1,0)*Reference!$C$12)</f>
        <v>478950</v>
      </c>
      <c r="D2693" s="10">
        <f ca="1">ROUND(_xlfn.NORM.INV(RAND(),Reference!$D$8,0.1*Reference!$D$8)*(1+Reference!$D$11*(IF(MONTH($A2693)=Reference!$D$4,1,0)+IF(MONTH($A2693)=Reference!$D$5,1,0))+(IF(MONTH($A2693)=Reference!$D$6,Reference!$D$13,0))),0)</f>
        <v>483</v>
      </c>
      <c r="E2693" s="11">
        <f ca="1">D2693*Reference!$D$7*(1-IF(MONTH($A2693)=Reference!$D$6,1,0)*Reference!$D$12)</f>
        <v>362250</v>
      </c>
      <c r="M2693" s="20"/>
      <c r="N2693" s="20"/>
      <c r="O2693" s="19"/>
      <c r="P2693" s="10"/>
      <c r="Q2693" s="10"/>
      <c r="R2693" s="10"/>
      <c r="S2693" s="10"/>
      <c r="T2693" s="10"/>
      <c r="U2693" s="10"/>
      <c r="V2693" s="10"/>
      <c r="W2693" s="10"/>
      <c r="X2693" s="10"/>
      <c r="Y2693" s="10"/>
    </row>
    <row r="2694" spans="1:25" x14ac:dyDescent="0.25">
      <c r="A2694" s="9">
        <v>43232</v>
      </c>
      <c r="B2694" s="10">
        <f ca="1">ROUND(_xlfn.NORM.INV(RAND(),Reference!$C$8,0.1*Reference!$C$8)*(1+Reference!$C$11*(IF(MONTH($A2694)=Reference!$C$4,1,0)+IF(MONTH($A2694)=Reference!$C$5,1,0))+(IF(MONTH($A2694)=Reference!$C$6,Reference!$C$13,0))),0)</f>
        <v>473</v>
      </c>
      <c r="C2694" s="11">
        <f ca="1">B2694*Reference!$C$7*(1-IF(MONTH($A2694)=Reference!$C$6,1,0)*Reference!$C$12)</f>
        <v>439890</v>
      </c>
      <c r="D2694" s="10">
        <f ca="1">ROUND(_xlfn.NORM.INV(RAND(),Reference!$D$8,0.1*Reference!$D$8)*(1+Reference!$D$11*(IF(MONTH($A2694)=Reference!$D$4,1,0)+IF(MONTH($A2694)=Reference!$D$5,1,0))+(IF(MONTH($A2694)=Reference!$D$6,Reference!$D$13,0))),0)</f>
        <v>469</v>
      </c>
      <c r="E2694" s="11">
        <f ca="1">D2694*Reference!$D$7*(1-IF(MONTH($A2694)=Reference!$D$6,1,0)*Reference!$D$12)</f>
        <v>351750</v>
      </c>
      <c r="M2694" s="20"/>
      <c r="N2694" s="20"/>
      <c r="O2694" s="19"/>
      <c r="P2694" s="10"/>
      <c r="Q2694" s="10"/>
      <c r="R2694" s="10"/>
      <c r="S2694" s="10"/>
      <c r="T2694" s="10"/>
      <c r="U2694" s="10"/>
      <c r="V2694" s="10"/>
      <c r="W2694" s="10"/>
      <c r="X2694" s="10"/>
      <c r="Y2694" s="10"/>
    </row>
    <row r="2695" spans="1:25" x14ac:dyDescent="0.25">
      <c r="A2695" s="9">
        <v>43233</v>
      </c>
      <c r="B2695" s="10">
        <f ca="1">ROUND(_xlfn.NORM.INV(RAND(),Reference!$C$8,0.1*Reference!$C$8)*(1+Reference!$C$11*(IF(MONTH($A2695)=Reference!$C$4,1,0)+IF(MONTH($A2695)=Reference!$C$5,1,0))+(IF(MONTH($A2695)=Reference!$C$6,Reference!$C$13,0))),0)</f>
        <v>594</v>
      </c>
      <c r="C2695" s="11">
        <f ca="1">B2695*Reference!$C$7*(1-IF(MONTH($A2695)=Reference!$C$6,1,0)*Reference!$C$12)</f>
        <v>552420</v>
      </c>
      <c r="D2695" s="10">
        <f ca="1">ROUND(_xlfn.NORM.INV(RAND(),Reference!$D$8,0.1*Reference!$D$8)*(1+Reference!$D$11*(IF(MONTH($A2695)=Reference!$D$4,1,0)+IF(MONTH($A2695)=Reference!$D$5,1,0))+(IF(MONTH($A2695)=Reference!$D$6,Reference!$D$13,0))),0)</f>
        <v>458</v>
      </c>
      <c r="E2695" s="11">
        <f ca="1">D2695*Reference!$D$7*(1-IF(MONTH($A2695)=Reference!$D$6,1,0)*Reference!$D$12)</f>
        <v>343500</v>
      </c>
      <c r="M2695" s="20"/>
      <c r="N2695" s="20"/>
      <c r="O2695" s="19"/>
      <c r="P2695" s="10"/>
      <c r="Q2695" s="10"/>
      <c r="R2695" s="10"/>
      <c r="S2695" s="10"/>
      <c r="T2695" s="10"/>
      <c r="U2695" s="10"/>
      <c r="V2695" s="10"/>
      <c r="W2695" s="10"/>
      <c r="X2695" s="10"/>
      <c r="Y2695" s="10"/>
    </row>
    <row r="2696" spans="1:25" x14ac:dyDescent="0.25">
      <c r="A2696" s="9">
        <v>43234</v>
      </c>
      <c r="B2696" s="10">
        <f ca="1">ROUND(_xlfn.NORM.INV(RAND(),Reference!$C$8,0.1*Reference!$C$8)*(1+Reference!$C$11*(IF(MONTH($A2696)=Reference!$C$4,1,0)+IF(MONTH($A2696)=Reference!$C$5,1,0))+(IF(MONTH($A2696)=Reference!$C$6,Reference!$C$13,0))),0)</f>
        <v>618</v>
      </c>
      <c r="C2696" s="11">
        <f ca="1">B2696*Reference!$C$7*(1-IF(MONTH($A2696)=Reference!$C$6,1,0)*Reference!$C$12)</f>
        <v>574740</v>
      </c>
      <c r="D2696" s="10">
        <f ca="1">ROUND(_xlfn.NORM.INV(RAND(),Reference!$D$8,0.1*Reference!$D$8)*(1+Reference!$D$11*(IF(MONTH($A2696)=Reference!$D$4,1,0)+IF(MONTH($A2696)=Reference!$D$5,1,0))+(IF(MONTH($A2696)=Reference!$D$6,Reference!$D$13,0))),0)</f>
        <v>465</v>
      </c>
      <c r="E2696" s="11">
        <f ca="1">D2696*Reference!$D$7*(1-IF(MONTH($A2696)=Reference!$D$6,1,0)*Reference!$D$12)</f>
        <v>348750</v>
      </c>
      <c r="M2696" s="20"/>
      <c r="N2696" s="20"/>
      <c r="O2696" s="19"/>
      <c r="P2696" s="10"/>
      <c r="Q2696" s="10"/>
      <c r="R2696" s="10"/>
      <c r="S2696" s="10"/>
      <c r="T2696" s="10"/>
      <c r="U2696" s="10"/>
      <c r="V2696" s="10"/>
      <c r="W2696" s="10"/>
      <c r="X2696" s="10"/>
      <c r="Y2696" s="10"/>
    </row>
    <row r="2697" spans="1:25" x14ac:dyDescent="0.25">
      <c r="A2697" s="9">
        <v>43235</v>
      </c>
      <c r="B2697" s="10">
        <f ca="1">ROUND(_xlfn.NORM.INV(RAND(),Reference!$C$8,0.1*Reference!$C$8)*(1+Reference!$C$11*(IF(MONTH($A2697)=Reference!$C$4,1,0)+IF(MONTH($A2697)=Reference!$C$5,1,0))+(IF(MONTH($A2697)=Reference!$C$6,Reference!$C$13,0))),0)</f>
        <v>478</v>
      </c>
      <c r="C2697" s="11">
        <f ca="1">B2697*Reference!$C$7*(1-IF(MONTH($A2697)=Reference!$C$6,1,0)*Reference!$C$12)</f>
        <v>444540</v>
      </c>
      <c r="D2697" s="10">
        <f ca="1">ROUND(_xlfn.NORM.INV(RAND(),Reference!$D$8,0.1*Reference!$D$8)*(1+Reference!$D$11*(IF(MONTH($A2697)=Reference!$D$4,1,0)+IF(MONTH($A2697)=Reference!$D$5,1,0))+(IF(MONTH($A2697)=Reference!$D$6,Reference!$D$13,0))),0)</f>
        <v>439</v>
      </c>
      <c r="E2697" s="11">
        <f ca="1">D2697*Reference!$D$7*(1-IF(MONTH($A2697)=Reference!$D$6,1,0)*Reference!$D$12)</f>
        <v>329250</v>
      </c>
      <c r="M2697" s="20"/>
      <c r="N2697" s="20"/>
      <c r="O2697" s="19"/>
      <c r="P2697" s="10"/>
      <c r="Q2697" s="10"/>
      <c r="R2697" s="10"/>
      <c r="S2697" s="10"/>
      <c r="T2697" s="10"/>
      <c r="U2697" s="10"/>
      <c r="V2697" s="10"/>
      <c r="W2697" s="10"/>
      <c r="X2697" s="10"/>
      <c r="Y2697" s="10"/>
    </row>
    <row r="2698" spans="1:25" x14ac:dyDescent="0.25">
      <c r="A2698" s="9">
        <v>43236</v>
      </c>
      <c r="B2698" s="10">
        <f ca="1">ROUND(_xlfn.NORM.INV(RAND(),Reference!$C$8,0.1*Reference!$C$8)*(1+Reference!$C$11*(IF(MONTH($A2698)=Reference!$C$4,1,0)+IF(MONTH($A2698)=Reference!$C$5,1,0))+(IF(MONTH($A2698)=Reference!$C$6,Reference!$C$13,0))),0)</f>
        <v>465</v>
      </c>
      <c r="C2698" s="11">
        <f ca="1">B2698*Reference!$C$7*(1-IF(MONTH($A2698)=Reference!$C$6,1,0)*Reference!$C$12)</f>
        <v>432450</v>
      </c>
      <c r="D2698" s="10">
        <f ca="1">ROUND(_xlfn.NORM.INV(RAND(),Reference!$D$8,0.1*Reference!$D$8)*(1+Reference!$D$11*(IF(MONTH($A2698)=Reference!$D$4,1,0)+IF(MONTH($A2698)=Reference!$D$5,1,0))+(IF(MONTH($A2698)=Reference!$D$6,Reference!$D$13,0))),0)</f>
        <v>420</v>
      </c>
      <c r="E2698" s="11">
        <f ca="1">D2698*Reference!$D$7*(1-IF(MONTH($A2698)=Reference!$D$6,1,0)*Reference!$D$12)</f>
        <v>315000</v>
      </c>
      <c r="M2698" s="20"/>
      <c r="N2698" s="20"/>
      <c r="O2698" s="19"/>
      <c r="P2698" s="10"/>
      <c r="Q2698" s="10"/>
      <c r="R2698" s="10"/>
      <c r="S2698" s="10"/>
      <c r="T2698" s="10"/>
      <c r="U2698" s="10"/>
      <c r="V2698" s="10"/>
      <c r="W2698" s="10"/>
      <c r="X2698" s="10"/>
      <c r="Y2698" s="10"/>
    </row>
    <row r="2699" spans="1:25" x14ac:dyDescent="0.25">
      <c r="A2699" s="9">
        <v>43237</v>
      </c>
      <c r="B2699" s="10">
        <f ca="1">ROUND(_xlfn.NORM.INV(RAND(),Reference!$C$8,0.1*Reference!$C$8)*(1+Reference!$C$11*(IF(MONTH($A2699)=Reference!$C$4,1,0)+IF(MONTH($A2699)=Reference!$C$5,1,0))+(IF(MONTH($A2699)=Reference!$C$6,Reference!$C$13,0))),0)</f>
        <v>593</v>
      </c>
      <c r="C2699" s="11">
        <f ca="1">B2699*Reference!$C$7*(1-IF(MONTH($A2699)=Reference!$C$6,1,0)*Reference!$C$12)</f>
        <v>551490</v>
      </c>
      <c r="D2699" s="10">
        <f ca="1">ROUND(_xlfn.NORM.INV(RAND(),Reference!$D$8,0.1*Reference!$D$8)*(1+Reference!$D$11*(IF(MONTH($A2699)=Reference!$D$4,1,0)+IF(MONTH($A2699)=Reference!$D$5,1,0))+(IF(MONTH($A2699)=Reference!$D$6,Reference!$D$13,0))),0)</f>
        <v>443</v>
      </c>
      <c r="E2699" s="11">
        <f ca="1">D2699*Reference!$D$7*(1-IF(MONTH($A2699)=Reference!$D$6,1,0)*Reference!$D$12)</f>
        <v>332250</v>
      </c>
      <c r="M2699" s="20"/>
      <c r="N2699" s="20"/>
      <c r="O2699" s="19"/>
      <c r="P2699" s="10"/>
      <c r="Q2699" s="10"/>
      <c r="R2699" s="10"/>
      <c r="S2699" s="10"/>
      <c r="T2699" s="10"/>
      <c r="U2699" s="10"/>
      <c r="V2699" s="10"/>
      <c r="W2699" s="10"/>
      <c r="X2699" s="10"/>
      <c r="Y2699" s="10"/>
    </row>
    <row r="2700" spans="1:25" x14ac:dyDescent="0.25">
      <c r="A2700" s="9">
        <v>43238</v>
      </c>
      <c r="B2700" s="10">
        <f ca="1">ROUND(_xlfn.NORM.INV(RAND(),Reference!$C$8,0.1*Reference!$C$8)*(1+Reference!$C$11*(IF(MONTH($A2700)=Reference!$C$4,1,0)+IF(MONTH($A2700)=Reference!$C$5,1,0))+(IF(MONTH($A2700)=Reference!$C$6,Reference!$C$13,0))),0)</f>
        <v>530</v>
      </c>
      <c r="C2700" s="11">
        <f ca="1">B2700*Reference!$C$7*(1-IF(MONTH($A2700)=Reference!$C$6,1,0)*Reference!$C$12)</f>
        <v>492900</v>
      </c>
      <c r="D2700" s="10">
        <f ca="1">ROUND(_xlfn.NORM.INV(RAND(),Reference!$D$8,0.1*Reference!$D$8)*(1+Reference!$D$11*(IF(MONTH($A2700)=Reference!$D$4,1,0)+IF(MONTH($A2700)=Reference!$D$5,1,0))+(IF(MONTH($A2700)=Reference!$D$6,Reference!$D$13,0))),0)</f>
        <v>482</v>
      </c>
      <c r="E2700" s="11">
        <f ca="1">D2700*Reference!$D$7*(1-IF(MONTH($A2700)=Reference!$D$6,1,0)*Reference!$D$12)</f>
        <v>361500</v>
      </c>
      <c r="M2700" s="20"/>
      <c r="N2700" s="20"/>
      <c r="O2700" s="19"/>
      <c r="P2700" s="10"/>
      <c r="Q2700" s="10"/>
      <c r="R2700" s="10"/>
      <c r="S2700" s="10"/>
      <c r="T2700" s="10"/>
      <c r="U2700" s="10"/>
      <c r="V2700" s="10"/>
      <c r="W2700" s="10"/>
      <c r="X2700" s="10"/>
      <c r="Y2700" s="10"/>
    </row>
    <row r="2701" spans="1:25" x14ac:dyDescent="0.25">
      <c r="A2701" s="9">
        <v>43239</v>
      </c>
      <c r="B2701" s="10">
        <f ca="1">ROUND(_xlfn.NORM.INV(RAND(),Reference!$C$8,0.1*Reference!$C$8)*(1+Reference!$C$11*(IF(MONTH($A2701)=Reference!$C$4,1,0)+IF(MONTH($A2701)=Reference!$C$5,1,0))+(IF(MONTH($A2701)=Reference!$C$6,Reference!$C$13,0))),0)</f>
        <v>528</v>
      </c>
      <c r="C2701" s="11">
        <f ca="1">B2701*Reference!$C$7*(1-IF(MONTH($A2701)=Reference!$C$6,1,0)*Reference!$C$12)</f>
        <v>491040</v>
      </c>
      <c r="D2701" s="10">
        <f ca="1">ROUND(_xlfn.NORM.INV(RAND(),Reference!$D$8,0.1*Reference!$D$8)*(1+Reference!$D$11*(IF(MONTH($A2701)=Reference!$D$4,1,0)+IF(MONTH($A2701)=Reference!$D$5,1,0))+(IF(MONTH($A2701)=Reference!$D$6,Reference!$D$13,0))),0)</f>
        <v>431</v>
      </c>
      <c r="E2701" s="11">
        <f ca="1">D2701*Reference!$D$7*(1-IF(MONTH($A2701)=Reference!$D$6,1,0)*Reference!$D$12)</f>
        <v>323250</v>
      </c>
      <c r="M2701" s="20"/>
      <c r="N2701" s="20"/>
      <c r="O2701" s="19"/>
      <c r="P2701" s="10"/>
      <c r="Q2701" s="10"/>
      <c r="R2701" s="10"/>
      <c r="S2701" s="10"/>
      <c r="T2701" s="10"/>
      <c r="U2701" s="10"/>
      <c r="V2701" s="10"/>
      <c r="W2701" s="10"/>
      <c r="X2701" s="10"/>
      <c r="Y2701" s="10"/>
    </row>
    <row r="2702" spans="1:25" x14ac:dyDescent="0.25">
      <c r="A2702" s="9">
        <v>43240</v>
      </c>
      <c r="B2702" s="10">
        <f ca="1">ROUND(_xlfn.NORM.INV(RAND(),Reference!$C$8,0.1*Reference!$C$8)*(1+Reference!$C$11*(IF(MONTH($A2702)=Reference!$C$4,1,0)+IF(MONTH($A2702)=Reference!$C$5,1,0))+(IF(MONTH($A2702)=Reference!$C$6,Reference!$C$13,0))),0)</f>
        <v>476</v>
      </c>
      <c r="C2702" s="11">
        <f ca="1">B2702*Reference!$C$7*(1-IF(MONTH($A2702)=Reference!$C$6,1,0)*Reference!$C$12)</f>
        <v>442680</v>
      </c>
      <c r="D2702" s="10">
        <f ca="1">ROUND(_xlfn.NORM.INV(RAND(),Reference!$D$8,0.1*Reference!$D$8)*(1+Reference!$D$11*(IF(MONTH($A2702)=Reference!$D$4,1,0)+IF(MONTH($A2702)=Reference!$D$5,1,0))+(IF(MONTH($A2702)=Reference!$D$6,Reference!$D$13,0))),0)</f>
        <v>461</v>
      </c>
      <c r="E2702" s="11">
        <f ca="1">D2702*Reference!$D$7*(1-IF(MONTH($A2702)=Reference!$D$6,1,0)*Reference!$D$12)</f>
        <v>345750</v>
      </c>
      <c r="M2702" s="20"/>
      <c r="N2702" s="20"/>
      <c r="O2702" s="19"/>
      <c r="P2702" s="10"/>
      <c r="Q2702" s="10"/>
      <c r="R2702" s="10"/>
      <c r="S2702" s="10"/>
      <c r="T2702" s="10"/>
      <c r="U2702" s="10"/>
      <c r="V2702" s="10"/>
      <c r="W2702" s="10"/>
      <c r="X2702" s="10"/>
      <c r="Y2702" s="10"/>
    </row>
    <row r="2703" spans="1:25" x14ac:dyDescent="0.25">
      <c r="A2703" s="9">
        <v>43241</v>
      </c>
      <c r="B2703" s="10">
        <f ca="1">ROUND(_xlfn.NORM.INV(RAND(),Reference!$C$8,0.1*Reference!$C$8)*(1+Reference!$C$11*(IF(MONTH($A2703)=Reference!$C$4,1,0)+IF(MONTH($A2703)=Reference!$C$5,1,0))+(IF(MONTH($A2703)=Reference!$C$6,Reference!$C$13,0))),0)</f>
        <v>477</v>
      </c>
      <c r="C2703" s="11">
        <f ca="1">B2703*Reference!$C$7*(1-IF(MONTH($A2703)=Reference!$C$6,1,0)*Reference!$C$12)</f>
        <v>443610</v>
      </c>
      <c r="D2703" s="10">
        <f ca="1">ROUND(_xlfn.NORM.INV(RAND(),Reference!$D$8,0.1*Reference!$D$8)*(1+Reference!$D$11*(IF(MONTH($A2703)=Reference!$D$4,1,0)+IF(MONTH($A2703)=Reference!$D$5,1,0))+(IF(MONTH($A2703)=Reference!$D$6,Reference!$D$13,0))),0)</f>
        <v>388</v>
      </c>
      <c r="E2703" s="11">
        <f ca="1">D2703*Reference!$D$7*(1-IF(MONTH($A2703)=Reference!$D$6,1,0)*Reference!$D$12)</f>
        <v>291000</v>
      </c>
      <c r="M2703" s="20"/>
      <c r="N2703" s="20"/>
      <c r="O2703" s="19"/>
      <c r="P2703" s="10"/>
      <c r="Q2703" s="10"/>
      <c r="R2703" s="10"/>
      <c r="S2703" s="10"/>
      <c r="T2703" s="10"/>
      <c r="U2703" s="10"/>
      <c r="V2703" s="10"/>
      <c r="W2703" s="10"/>
      <c r="X2703" s="10"/>
      <c r="Y2703" s="10"/>
    </row>
    <row r="2704" spans="1:25" x14ac:dyDescent="0.25">
      <c r="A2704" s="9">
        <v>43242</v>
      </c>
      <c r="B2704" s="10">
        <f ca="1">ROUND(_xlfn.NORM.INV(RAND(),Reference!$C$8,0.1*Reference!$C$8)*(1+Reference!$C$11*(IF(MONTH($A2704)=Reference!$C$4,1,0)+IF(MONTH($A2704)=Reference!$C$5,1,0))+(IF(MONTH($A2704)=Reference!$C$6,Reference!$C$13,0))),0)</f>
        <v>542</v>
      </c>
      <c r="C2704" s="11">
        <f ca="1">B2704*Reference!$C$7*(1-IF(MONTH($A2704)=Reference!$C$6,1,0)*Reference!$C$12)</f>
        <v>504060</v>
      </c>
      <c r="D2704" s="10">
        <f ca="1">ROUND(_xlfn.NORM.INV(RAND(),Reference!$D$8,0.1*Reference!$D$8)*(1+Reference!$D$11*(IF(MONTH($A2704)=Reference!$D$4,1,0)+IF(MONTH($A2704)=Reference!$D$5,1,0))+(IF(MONTH($A2704)=Reference!$D$6,Reference!$D$13,0))),0)</f>
        <v>391</v>
      </c>
      <c r="E2704" s="11">
        <f ca="1">D2704*Reference!$D$7*(1-IF(MONTH($A2704)=Reference!$D$6,1,0)*Reference!$D$12)</f>
        <v>293250</v>
      </c>
      <c r="M2704" s="20"/>
      <c r="N2704" s="20"/>
      <c r="O2704" s="19"/>
      <c r="P2704" s="10"/>
      <c r="Q2704" s="10"/>
      <c r="R2704" s="10"/>
      <c r="S2704" s="10"/>
      <c r="T2704" s="10"/>
      <c r="U2704" s="10"/>
      <c r="V2704" s="10"/>
      <c r="W2704" s="10"/>
      <c r="X2704" s="10"/>
      <c r="Y2704" s="10"/>
    </row>
    <row r="2705" spans="1:25" x14ac:dyDescent="0.25">
      <c r="A2705" s="9">
        <v>43243</v>
      </c>
      <c r="B2705" s="10">
        <f ca="1">ROUND(_xlfn.NORM.INV(RAND(),Reference!$C$8,0.1*Reference!$C$8)*(1+Reference!$C$11*(IF(MONTH($A2705)=Reference!$C$4,1,0)+IF(MONTH($A2705)=Reference!$C$5,1,0))+(IF(MONTH($A2705)=Reference!$C$6,Reference!$C$13,0))),0)</f>
        <v>503</v>
      </c>
      <c r="C2705" s="11">
        <f ca="1">B2705*Reference!$C$7*(1-IF(MONTH($A2705)=Reference!$C$6,1,0)*Reference!$C$12)</f>
        <v>467790</v>
      </c>
      <c r="D2705" s="10">
        <f ca="1">ROUND(_xlfn.NORM.INV(RAND(),Reference!$D$8,0.1*Reference!$D$8)*(1+Reference!$D$11*(IF(MONTH($A2705)=Reference!$D$4,1,0)+IF(MONTH($A2705)=Reference!$D$5,1,0))+(IF(MONTH($A2705)=Reference!$D$6,Reference!$D$13,0))),0)</f>
        <v>433</v>
      </c>
      <c r="E2705" s="11">
        <f ca="1">D2705*Reference!$D$7*(1-IF(MONTH($A2705)=Reference!$D$6,1,0)*Reference!$D$12)</f>
        <v>324750</v>
      </c>
      <c r="M2705" s="20"/>
      <c r="N2705" s="20"/>
      <c r="O2705" s="19"/>
      <c r="P2705" s="10"/>
      <c r="Q2705" s="10"/>
      <c r="R2705" s="10"/>
      <c r="S2705" s="10"/>
      <c r="T2705" s="10"/>
      <c r="U2705" s="10"/>
      <c r="V2705" s="10"/>
      <c r="W2705" s="10"/>
      <c r="X2705" s="10"/>
      <c r="Y2705" s="10"/>
    </row>
    <row r="2706" spans="1:25" x14ac:dyDescent="0.25">
      <c r="A2706" s="9">
        <v>43244</v>
      </c>
      <c r="B2706" s="10">
        <f ca="1">ROUND(_xlfn.NORM.INV(RAND(),Reference!$C$8,0.1*Reference!$C$8)*(1+Reference!$C$11*(IF(MONTH($A2706)=Reference!$C$4,1,0)+IF(MONTH($A2706)=Reference!$C$5,1,0))+(IF(MONTH($A2706)=Reference!$C$6,Reference!$C$13,0))),0)</f>
        <v>425</v>
      </c>
      <c r="C2706" s="11">
        <f ca="1">B2706*Reference!$C$7*(1-IF(MONTH($A2706)=Reference!$C$6,1,0)*Reference!$C$12)</f>
        <v>395250</v>
      </c>
      <c r="D2706" s="10">
        <f ca="1">ROUND(_xlfn.NORM.INV(RAND(),Reference!$D$8,0.1*Reference!$D$8)*(1+Reference!$D$11*(IF(MONTH($A2706)=Reference!$D$4,1,0)+IF(MONTH($A2706)=Reference!$D$5,1,0))+(IF(MONTH($A2706)=Reference!$D$6,Reference!$D$13,0))),0)</f>
        <v>460</v>
      </c>
      <c r="E2706" s="11">
        <f ca="1">D2706*Reference!$D$7*(1-IF(MONTH($A2706)=Reference!$D$6,1,0)*Reference!$D$12)</f>
        <v>345000</v>
      </c>
      <c r="M2706" s="20"/>
      <c r="N2706" s="20"/>
      <c r="O2706" s="19"/>
      <c r="P2706" s="10"/>
      <c r="Q2706" s="10"/>
      <c r="R2706" s="10"/>
      <c r="S2706" s="10"/>
      <c r="T2706" s="10"/>
      <c r="U2706" s="10"/>
      <c r="V2706" s="10"/>
      <c r="W2706" s="10"/>
      <c r="X2706" s="10"/>
      <c r="Y2706" s="10"/>
    </row>
    <row r="2707" spans="1:25" x14ac:dyDescent="0.25">
      <c r="A2707" s="9">
        <v>43245</v>
      </c>
      <c r="B2707" s="10">
        <f ca="1">ROUND(_xlfn.NORM.INV(RAND(),Reference!$C$8,0.1*Reference!$C$8)*(1+Reference!$C$11*(IF(MONTH($A2707)=Reference!$C$4,1,0)+IF(MONTH($A2707)=Reference!$C$5,1,0))+(IF(MONTH($A2707)=Reference!$C$6,Reference!$C$13,0))),0)</f>
        <v>551</v>
      </c>
      <c r="C2707" s="11">
        <f ca="1">B2707*Reference!$C$7*(1-IF(MONTH($A2707)=Reference!$C$6,1,0)*Reference!$C$12)</f>
        <v>512430</v>
      </c>
      <c r="D2707" s="10">
        <f ca="1">ROUND(_xlfn.NORM.INV(RAND(),Reference!$D$8,0.1*Reference!$D$8)*(1+Reference!$D$11*(IF(MONTH($A2707)=Reference!$D$4,1,0)+IF(MONTH($A2707)=Reference!$D$5,1,0))+(IF(MONTH($A2707)=Reference!$D$6,Reference!$D$13,0))),0)</f>
        <v>502</v>
      </c>
      <c r="E2707" s="11">
        <f ca="1">D2707*Reference!$D$7*(1-IF(MONTH($A2707)=Reference!$D$6,1,0)*Reference!$D$12)</f>
        <v>376500</v>
      </c>
      <c r="M2707" s="20"/>
      <c r="N2707" s="20"/>
      <c r="O2707" s="19"/>
      <c r="P2707" s="10"/>
      <c r="Q2707" s="10"/>
      <c r="R2707" s="10"/>
      <c r="S2707" s="10"/>
      <c r="T2707" s="10"/>
      <c r="U2707" s="10"/>
      <c r="V2707" s="10"/>
      <c r="W2707" s="10"/>
      <c r="X2707" s="10"/>
      <c r="Y2707" s="10"/>
    </row>
    <row r="2708" spans="1:25" x14ac:dyDescent="0.25">
      <c r="A2708" s="9">
        <v>43246</v>
      </c>
      <c r="B2708" s="10">
        <f ca="1">ROUND(_xlfn.NORM.INV(RAND(),Reference!$C$8,0.1*Reference!$C$8)*(1+Reference!$C$11*(IF(MONTH($A2708)=Reference!$C$4,1,0)+IF(MONTH($A2708)=Reference!$C$5,1,0))+(IF(MONTH($A2708)=Reference!$C$6,Reference!$C$13,0))),0)</f>
        <v>524</v>
      </c>
      <c r="C2708" s="11">
        <f ca="1">B2708*Reference!$C$7*(1-IF(MONTH($A2708)=Reference!$C$6,1,0)*Reference!$C$12)</f>
        <v>487320</v>
      </c>
      <c r="D2708" s="10">
        <f ca="1">ROUND(_xlfn.NORM.INV(RAND(),Reference!$D$8,0.1*Reference!$D$8)*(1+Reference!$D$11*(IF(MONTH($A2708)=Reference!$D$4,1,0)+IF(MONTH($A2708)=Reference!$D$5,1,0))+(IF(MONTH($A2708)=Reference!$D$6,Reference!$D$13,0))),0)</f>
        <v>428</v>
      </c>
      <c r="E2708" s="11">
        <f ca="1">D2708*Reference!$D$7*(1-IF(MONTH($A2708)=Reference!$D$6,1,0)*Reference!$D$12)</f>
        <v>321000</v>
      </c>
      <c r="M2708" s="20"/>
      <c r="N2708" s="20"/>
      <c r="O2708" s="19"/>
      <c r="P2708" s="10"/>
      <c r="Q2708" s="10"/>
      <c r="R2708" s="10"/>
      <c r="S2708" s="10"/>
      <c r="T2708" s="10"/>
      <c r="U2708" s="10"/>
      <c r="V2708" s="10"/>
      <c r="W2708" s="10"/>
      <c r="X2708" s="10"/>
      <c r="Y2708" s="10"/>
    </row>
    <row r="2709" spans="1:25" x14ac:dyDescent="0.25">
      <c r="A2709" s="9">
        <v>43247</v>
      </c>
      <c r="B2709" s="10">
        <f ca="1">ROUND(_xlfn.NORM.INV(RAND(),Reference!$C$8,0.1*Reference!$C$8)*(1+Reference!$C$11*(IF(MONTH($A2709)=Reference!$C$4,1,0)+IF(MONTH($A2709)=Reference!$C$5,1,0))+(IF(MONTH($A2709)=Reference!$C$6,Reference!$C$13,0))),0)</f>
        <v>545</v>
      </c>
      <c r="C2709" s="11">
        <f ca="1">B2709*Reference!$C$7*(1-IF(MONTH($A2709)=Reference!$C$6,1,0)*Reference!$C$12)</f>
        <v>506850</v>
      </c>
      <c r="D2709" s="10">
        <f ca="1">ROUND(_xlfn.NORM.INV(RAND(),Reference!$D$8,0.1*Reference!$D$8)*(1+Reference!$D$11*(IF(MONTH($A2709)=Reference!$D$4,1,0)+IF(MONTH($A2709)=Reference!$D$5,1,0))+(IF(MONTH($A2709)=Reference!$D$6,Reference!$D$13,0))),0)</f>
        <v>340</v>
      </c>
      <c r="E2709" s="11">
        <f ca="1">D2709*Reference!$D$7*(1-IF(MONTH($A2709)=Reference!$D$6,1,0)*Reference!$D$12)</f>
        <v>255000</v>
      </c>
      <c r="M2709" s="20"/>
      <c r="N2709" s="20"/>
      <c r="O2709" s="19"/>
      <c r="P2709" s="10"/>
      <c r="Q2709" s="10"/>
      <c r="R2709" s="10"/>
      <c r="S2709" s="10"/>
      <c r="T2709" s="10"/>
      <c r="U2709" s="10"/>
      <c r="V2709" s="10"/>
      <c r="W2709" s="10"/>
      <c r="X2709" s="10"/>
      <c r="Y2709" s="10"/>
    </row>
    <row r="2710" spans="1:25" x14ac:dyDescent="0.25">
      <c r="A2710" s="9">
        <v>43248</v>
      </c>
      <c r="B2710" s="10">
        <f ca="1">ROUND(_xlfn.NORM.INV(RAND(),Reference!$C$8,0.1*Reference!$C$8)*(1+Reference!$C$11*(IF(MONTH($A2710)=Reference!$C$4,1,0)+IF(MONTH($A2710)=Reference!$C$5,1,0))+(IF(MONTH($A2710)=Reference!$C$6,Reference!$C$13,0))),0)</f>
        <v>511</v>
      </c>
      <c r="C2710" s="11">
        <f ca="1">B2710*Reference!$C$7*(1-IF(MONTH($A2710)=Reference!$C$6,1,0)*Reference!$C$12)</f>
        <v>475230</v>
      </c>
      <c r="D2710" s="10">
        <f ca="1">ROUND(_xlfn.NORM.INV(RAND(),Reference!$D$8,0.1*Reference!$D$8)*(1+Reference!$D$11*(IF(MONTH($A2710)=Reference!$D$4,1,0)+IF(MONTH($A2710)=Reference!$D$5,1,0))+(IF(MONTH($A2710)=Reference!$D$6,Reference!$D$13,0))),0)</f>
        <v>396</v>
      </c>
      <c r="E2710" s="11">
        <f ca="1">D2710*Reference!$D$7*(1-IF(MONTH($A2710)=Reference!$D$6,1,0)*Reference!$D$12)</f>
        <v>297000</v>
      </c>
      <c r="M2710" s="20"/>
      <c r="N2710" s="20"/>
      <c r="O2710" s="19"/>
      <c r="P2710" s="10"/>
      <c r="Q2710" s="10"/>
      <c r="R2710" s="10"/>
      <c r="S2710" s="10"/>
      <c r="T2710" s="10"/>
      <c r="U2710" s="10"/>
      <c r="V2710" s="10"/>
      <c r="W2710" s="10"/>
      <c r="X2710" s="10"/>
      <c r="Y2710" s="10"/>
    </row>
    <row r="2711" spans="1:25" x14ac:dyDescent="0.25">
      <c r="A2711" s="9">
        <v>43249</v>
      </c>
      <c r="B2711" s="10">
        <f ca="1">ROUND(_xlfn.NORM.INV(RAND(),Reference!$C$8,0.1*Reference!$C$8)*(1+Reference!$C$11*(IF(MONTH($A2711)=Reference!$C$4,1,0)+IF(MONTH($A2711)=Reference!$C$5,1,0))+(IF(MONTH($A2711)=Reference!$C$6,Reference!$C$13,0))),0)</f>
        <v>525</v>
      </c>
      <c r="C2711" s="11">
        <f ca="1">B2711*Reference!$C$7*(1-IF(MONTH($A2711)=Reference!$C$6,1,0)*Reference!$C$12)</f>
        <v>488250</v>
      </c>
      <c r="D2711" s="10">
        <f ca="1">ROUND(_xlfn.NORM.INV(RAND(),Reference!$D$8,0.1*Reference!$D$8)*(1+Reference!$D$11*(IF(MONTH($A2711)=Reference!$D$4,1,0)+IF(MONTH($A2711)=Reference!$D$5,1,0))+(IF(MONTH($A2711)=Reference!$D$6,Reference!$D$13,0))),0)</f>
        <v>408</v>
      </c>
      <c r="E2711" s="11">
        <f ca="1">D2711*Reference!$D$7*(1-IF(MONTH($A2711)=Reference!$D$6,1,0)*Reference!$D$12)</f>
        <v>306000</v>
      </c>
      <c r="M2711" s="20"/>
      <c r="N2711" s="20"/>
      <c r="O2711" s="19"/>
      <c r="P2711" s="10"/>
      <c r="Q2711" s="10"/>
      <c r="R2711" s="10"/>
      <c r="S2711" s="10"/>
      <c r="T2711" s="10"/>
      <c r="U2711" s="10"/>
      <c r="V2711" s="10"/>
      <c r="W2711" s="10"/>
      <c r="X2711" s="10"/>
      <c r="Y2711" s="10"/>
    </row>
    <row r="2712" spans="1:25" x14ac:dyDescent="0.25">
      <c r="A2712" s="9">
        <v>43250</v>
      </c>
      <c r="B2712" s="10">
        <f ca="1">ROUND(_xlfn.NORM.INV(RAND(),Reference!$C$8,0.1*Reference!$C$8)*(1+Reference!$C$11*(IF(MONTH($A2712)=Reference!$C$4,1,0)+IF(MONTH($A2712)=Reference!$C$5,1,0))+(IF(MONTH($A2712)=Reference!$C$6,Reference!$C$13,0))),0)</f>
        <v>549</v>
      </c>
      <c r="C2712" s="11">
        <f ca="1">B2712*Reference!$C$7*(1-IF(MONTH($A2712)=Reference!$C$6,1,0)*Reference!$C$12)</f>
        <v>510570</v>
      </c>
      <c r="D2712" s="10">
        <f ca="1">ROUND(_xlfn.NORM.INV(RAND(),Reference!$D$8,0.1*Reference!$D$8)*(1+Reference!$D$11*(IF(MONTH($A2712)=Reference!$D$4,1,0)+IF(MONTH($A2712)=Reference!$D$5,1,0))+(IF(MONTH($A2712)=Reference!$D$6,Reference!$D$13,0))),0)</f>
        <v>478</v>
      </c>
      <c r="E2712" s="11">
        <f ca="1">D2712*Reference!$D$7*(1-IF(MONTH($A2712)=Reference!$D$6,1,0)*Reference!$D$12)</f>
        <v>358500</v>
      </c>
      <c r="M2712" s="20"/>
      <c r="N2712" s="20"/>
      <c r="O2712" s="19"/>
      <c r="P2712" s="10"/>
      <c r="Q2712" s="10"/>
      <c r="R2712" s="10"/>
      <c r="S2712" s="10"/>
      <c r="T2712" s="10"/>
      <c r="U2712" s="10"/>
      <c r="V2712" s="10"/>
      <c r="W2712" s="10"/>
      <c r="X2712" s="10"/>
      <c r="Y2712" s="10"/>
    </row>
    <row r="2713" spans="1:25" x14ac:dyDescent="0.25">
      <c r="A2713" s="9">
        <v>43251</v>
      </c>
      <c r="B2713" s="10">
        <f ca="1">ROUND(_xlfn.NORM.INV(RAND(),Reference!$C$8,0.1*Reference!$C$8)*(1+Reference!$C$11*(IF(MONTH($A2713)=Reference!$C$4,1,0)+IF(MONTH($A2713)=Reference!$C$5,1,0))+(IF(MONTH($A2713)=Reference!$C$6,Reference!$C$13,0))),0)</f>
        <v>606</v>
      </c>
      <c r="C2713" s="11">
        <f ca="1">B2713*Reference!$C$7*(1-IF(MONTH($A2713)=Reference!$C$6,1,0)*Reference!$C$12)</f>
        <v>563580</v>
      </c>
      <c r="D2713" s="10">
        <f ca="1">ROUND(_xlfn.NORM.INV(RAND(),Reference!$D$8,0.1*Reference!$D$8)*(1+Reference!$D$11*(IF(MONTH($A2713)=Reference!$D$4,1,0)+IF(MONTH($A2713)=Reference!$D$5,1,0))+(IF(MONTH($A2713)=Reference!$D$6,Reference!$D$13,0))),0)</f>
        <v>431</v>
      </c>
      <c r="E2713" s="11">
        <f ca="1">D2713*Reference!$D$7*(1-IF(MONTH($A2713)=Reference!$D$6,1,0)*Reference!$D$12)</f>
        <v>323250</v>
      </c>
      <c r="M2713" s="20"/>
      <c r="N2713" s="20"/>
      <c r="O2713" s="19"/>
      <c r="P2713" s="10"/>
      <c r="Q2713" s="10"/>
      <c r="R2713" s="10"/>
      <c r="S2713" s="10"/>
      <c r="T2713" s="10"/>
      <c r="U2713" s="10"/>
      <c r="V2713" s="10"/>
      <c r="W2713" s="10"/>
      <c r="X2713" s="10"/>
      <c r="Y2713" s="10"/>
    </row>
    <row r="2714" spans="1:25" x14ac:dyDescent="0.25">
      <c r="A2714" s="9">
        <v>43252</v>
      </c>
      <c r="B2714" s="10">
        <f ca="1">ROUND(_xlfn.NORM.INV(RAND(),Reference!$C$8,0.1*Reference!$C$8)*(1+Reference!$C$11*(IF(MONTH($A2714)=Reference!$C$4,1,0)+IF(MONTH($A2714)=Reference!$C$5,1,0))+(IF(MONTH($A2714)=Reference!$C$6,Reference!$C$13,0))),0)</f>
        <v>496</v>
      </c>
      <c r="C2714" s="11">
        <f ca="1">B2714*Reference!$C$7*(1-IF(MONTH($A2714)=Reference!$C$6,1,0)*Reference!$C$12)</f>
        <v>184512</v>
      </c>
      <c r="D2714" s="10">
        <f ca="1">ROUND(_xlfn.NORM.INV(RAND(),Reference!$D$8,0.1*Reference!$D$8)*(1+Reference!$D$11*(IF(MONTH($A2714)=Reference!$D$4,1,0)+IF(MONTH($A2714)=Reference!$D$5,1,0))+(IF(MONTH($A2714)=Reference!$D$6,Reference!$D$13,0))),0)</f>
        <v>458</v>
      </c>
      <c r="E2714" s="11">
        <f ca="1">D2714*Reference!$D$7*(1-IF(MONTH($A2714)=Reference!$D$6,1,0)*Reference!$D$12)</f>
        <v>343500</v>
      </c>
      <c r="M2714" s="20"/>
      <c r="N2714" s="20"/>
      <c r="O2714" s="19"/>
      <c r="P2714" s="10"/>
      <c r="Q2714" s="10"/>
      <c r="R2714" s="10"/>
      <c r="S2714" s="10"/>
      <c r="T2714" s="10"/>
      <c r="U2714" s="10"/>
      <c r="V2714" s="10"/>
      <c r="W2714" s="10"/>
      <c r="X2714" s="10"/>
      <c r="Y2714" s="10"/>
    </row>
    <row r="2715" spans="1:25" x14ac:dyDescent="0.25">
      <c r="A2715" s="9">
        <v>43253</v>
      </c>
      <c r="B2715" s="10">
        <f ca="1">ROUND(_xlfn.NORM.INV(RAND(),Reference!$C$8,0.1*Reference!$C$8)*(1+Reference!$C$11*(IF(MONTH($A2715)=Reference!$C$4,1,0)+IF(MONTH($A2715)=Reference!$C$5,1,0))+(IF(MONTH($A2715)=Reference!$C$6,Reference!$C$13,0))),0)</f>
        <v>498</v>
      </c>
      <c r="C2715" s="11">
        <f ca="1">B2715*Reference!$C$7*(1-IF(MONTH($A2715)=Reference!$C$6,1,0)*Reference!$C$12)</f>
        <v>185256</v>
      </c>
      <c r="D2715" s="10">
        <f ca="1">ROUND(_xlfn.NORM.INV(RAND(),Reference!$D$8,0.1*Reference!$D$8)*(1+Reference!$D$11*(IF(MONTH($A2715)=Reference!$D$4,1,0)+IF(MONTH($A2715)=Reference!$D$5,1,0))+(IF(MONTH($A2715)=Reference!$D$6,Reference!$D$13,0))),0)</f>
        <v>434</v>
      </c>
      <c r="E2715" s="11">
        <f ca="1">D2715*Reference!$D$7*(1-IF(MONTH($A2715)=Reference!$D$6,1,0)*Reference!$D$12)</f>
        <v>325500</v>
      </c>
      <c r="M2715" s="20"/>
      <c r="N2715" s="20"/>
      <c r="O2715" s="19"/>
      <c r="P2715" s="10"/>
      <c r="Q2715" s="10"/>
      <c r="R2715" s="10"/>
      <c r="S2715" s="10"/>
      <c r="T2715" s="10"/>
      <c r="U2715" s="10"/>
      <c r="V2715" s="10"/>
      <c r="W2715" s="10"/>
      <c r="X2715" s="10"/>
      <c r="Y2715" s="10"/>
    </row>
    <row r="2716" spans="1:25" x14ac:dyDescent="0.25">
      <c r="A2716" s="9">
        <v>43254</v>
      </c>
      <c r="B2716" s="10">
        <f ca="1">ROUND(_xlfn.NORM.INV(RAND(),Reference!$C$8,0.1*Reference!$C$8)*(1+Reference!$C$11*(IF(MONTH($A2716)=Reference!$C$4,1,0)+IF(MONTH($A2716)=Reference!$C$5,1,0))+(IF(MONTH($A2716)=Reference!$C$6,Reference!$C$13,0))),0)</f>
        <v>507</v>
      </c>
      <c r="C2716" s="11">
        <f ca="1">B2716*Reference!$C$7*(1-IF(MONTH($A2716)=Reference!$C$6,1,0)*Reference!$C$12)</f>
        <v>188604</v>
      </c>
      <c r="D2716" s="10">
        <f ca="1">ROUND(_xlfn.NORM.INV(RAND(),Reference!$D$8,0.1*Reference!$D$8)*(1+Reference!$D$11*(IF(MONTH($A2716)=Reference!$D$4,1,0)+IF(MONTH($A2716)=Reference!$D$5,1,0))+(IF(MONTH($A2716)=Reference!$D$6,Reference!$D$13,0))),0)</f>
        <v>410</v>
      </c>
      <c r="E2716" s="11">
        <f ca="1">D2716*Reference!$D$7*(1-IF(MONTH($A2716)=Reference!$D$6,1,0)*Reference!$D$12)</f>
        <v>307500</v>
      </c>
      <c r="M2716" s="20"/>
      <c r="N2716" s="20"/>
      <c r="O2716" s="19"/>
      <c r="P2716" s="10"/>
      <c r="Q2716" s="10"/>
      <c r="R2716" s="10"/>
      <c r="S2716" s="10"/>
      <c r="T2716" s="10"/>
      <c r="U2716" s="10"/>
      <c r="V2716" s="10"/>
      <c r="W2716" s="10"/>
      <c r="X2716" s="10"/>
      <c r="Y2716" s="10"/>
    </row>
    <row r="2717" spans="1:25" x14ac:dyDescent="0.25">
      <c r="A2717" s="9">
        <v>43255</v>
      </c>
      <c r="B2717" s="10">
        <f ca="1">ROUND(_xlfn.NORM.INV(RAND(),Reference!$C$8,0.1*Reference!$C$8)*(1+Reference!$C$11*(IF(MONTH($A2717)=Reference!$C$4,1,0)+IF(MONTH($A2717)=Reference!$C$5,1,0))+(IF(MONTH($A2717)=Reference!$C$6,Reference!$C$13,0))),0)</f>
        <v>445</v>
      </c>
      <c r="C2717" s="11">
        <f ca="1">B2717*Reference!$C$7*(1-IF(MONTH($A2717)=Reference!$C$6,1,0)*Reference!$C$12)</f>
        <v>165540</v>
      </c>
      <c r="D2717" s="10">
        <f ca="1">ROUND(_xlfn.NORM.INV(RAND(),Reference!$D$8,0.1*Reference!$D$8)*(1+Reference!$D$11*(IF(MONTH($A2717)=Reference!$D$4,1,0)+IF(MONTH($A2717)=Reference!$D$5,1,0))+(IF(MONTH($A2717)=Reference!$D$6,Reference!$D$13,0))),0)</f>
        <v>447</v>
      </c>
      <c r="E2717" s="11">
        <f ca="1">D2717*Reference!$D$7*(1-IF(MONTH($A2717)=Reference!$D$6,1,0)*Reference!$D$12)</f>
        <v>335250</v>
      </c>
      <c r="M2717" s="20"/>
      <c r="N2717" s="20"/>
      <c r="O2717" s="19"/>
      <c r="P2717" s="10"/>
      <c r="Q2717" s="10"/>
      <c r="R2717" s="10"/>
      <c r="S2717" s="10"/>
      <c r="T2717" s="10"/>
      <c r="U2717" s="10"/>
      <c r="V2717" s="10"/>
      <c r="W2717" s="10"/>
      <c r="X2717" s="10"/>
      <c r="Y2717" s="10"/>
    </row>
    <row r="2718" spans="1:25" x14ac:dyDescent="0.25">
      <c r="A2718" s="9">
        <v>43256</v>
      </c>
      <c r="B2718" s="10">
        <f ca="1">ROUND(_xlfn.NORM.INV(RAND(),Reference!$C$8,0.1*Reference!$C$8)*(1+Reference!$C$11*(IF(MONTH($A2718)=Reference!$C$4,1,0)+IF(MONTH($A2718)=Reference!$C$5,1,0))+(IF(MONTH($A2718)=Reference!$C$6,Reference!$C$13,0))),0)</f>
        <v>494</v>
      </c>
      <c r="C2718" s="11">
        <f ca="1">B2718*Reference!$C$7*(1-IF(MONTH($A2718)=Reference!$C$6,1,0)*Reference!$C$12)</f>
        <v>183768</v>
      </c>
      <c r="D2718" s="10">
        <f ca="1">ROUND(_xlfn.NORM.INV(RAND(),Reference!$D$8,0.1*Reference!$D$8)*(1+Reference!$D$11*(IF(MONTH($A2718)=Reference!$D$4,1,0)+IF(MONTH($A2718)=Reference!$D$5,1,0))+(IF(MONTH($A2718)=Reference!$D$6,Reference!$D$13,0))),0)</f>
        <v>388</v>
      </c>
      <c r="E2718" s="11">
        <f ca="1">D2718*Reference!$D$7*(1-IF(MONTH($A2718)=Reference!$D$6,1,0)*Reference!$D$12)</f>
        <v>291000</v>
      </c>
      <c r="M2718" s="20"/>
      <c r="N2718" s="20"/>
      <c r="O2718" s="19"/>
      <c r="P2718" s="10"/>
      <c r="Q2718" s="10"/>
      <c r="R2718" s="10"/>
      <c r="S2718" s="10"/>
      <c r="T2718" s="10"/>
      <c r="U2718" s="10"/>
      <c r="V2718" s="10"/>
      <c r="W2718" s="10"/>
      <c r="X2718" s="10"/>
      <c r="Y2718" s="10"/>
    </row>
    <row r="2719" spans="1:25" x14ac:dyDescent="0.25">
      <c r="A2719" s="9">
        <v>43257</v>
      </c>
      <c r="B2719" s="10">
        <f ca="1">ROUND(_xlfn.NORM.INV(RAND(),Reference!$C$8,0.1*Reference!$C$8)*(1+Reference!$C$11*(IF(MONTH($A2719)=Reference!$C$4,1,0)+IF(MONTH($A2719)=Reference!$C$5,1,0))+(IF(MONTH($A2719)=Reference!$C$6,Reference!$C$13,0))),0)</f>
        <v>498</v>
      </c>
      <c r="C2719" s="11">
        <f ca="1">B2719*Reference!$C$7*(1-IF(MONTH($A2719)=Reference!$C$6,1,0)*Reference!$C$12)</f>
        <v>185256</v>
      </c>
      <c r="D2719" s="10">
        <f ca="1">ROUND(_xlfn.NORM.INV(RAND(),Reference!$D$8,0.1*Reference!$D$8)*(1+Reference!$D$11*(IF(MONTH($A2719)=Reference!$D$4,1,0)+IF(MONTH($A2719)=Reference!$D$5,1,0))+(IF(MONTH($A2719)=Reference!$D$6,Reference!$D$13,0))),0)</f>
        <v>435</v>
      </c>
      <c r="E2719" s="11">
        <f ca="1">D2719*Reference!$D$7*(1-IF(MONTH($A2719)=Reference!$D$6,1,0)*Reference!$D$12)</f>
        <v>326250</v>
      </c>
      <c r="M2719" s="20"/>
      <c r="N2719" s="20"/>
      <c r="O2719" s="19"/>
      <c r="P2719" s="10"/>
      <c r="Q2719" s="10"/>
      <c r="R2719" s="10"/>
      <c r="S2719" s="10"/>
      <c r="T2719" s="10"/>
      <c r="U2719" s="10"/>
      <c r="V2719" s="10"/>
      <c r="W2719" s="10"/>
      <c r="X2719" s="10"/>
      <c r="Y2719" s="10"/>
    </row>
    <row r="2720" spans="1:25" x14ac:dyDescent="0.25">
      <c r="A2720" s="9">
        <v>43258</v>
      </c>
      <c r="B2720" s="10">
        <f ca="1">ROUND(_xlfn.NORM.INV(RAND(),Reference!$C$8,0.1*Reference!$C$8)*(1+Reference!$C$11*(IF(MONTH($A2720)=Reference!$C$4,1,0)+IF(MONTH($A2720)=Reference!$C$5,1,0))+(IF(MONTH($A2720)=Reference!$C$6,Reference!$C$13,0))),0)</f>
        <v>469</v>
      </c>
      <c r="C2720" s="11">
        <f ca="1">B2720*Reference!$C$7*(1-IF(MONTH($A2720)=Reference!$C$6,1,0)*Reference!$C$12)</f>
        <v>174468</v>
      </c>
      <c r="D2720" s="10">
        <f ca="1">ROUND(_xlfn.NORM.INV(RAND(),Reference!$D$8,0.1*Reference!$D$8)*(1+Reference!$D$11*(IF(MONTH($A2720)=Reference!$D$4,1,0)+IF(MONTH($A2720)=Reference!$D$5,1,0))+(IF(MONTH($A2720)=Reference!$D$6,Reference!$D$13,0))),0)</f>
        <v>523</v>
      </c>
      <c r="E2720" s="11">
        <f ca="1">D2720*Reference!$D$7*(1-IF(MONTH($A2720)=Reference!$D$6,1,0)*Reference!$D$12)</f>
        <v>392250</v>
      </c>
      <c r="M2720" s="20"/>
      <c r="N2720" s="20"/>
      <c r="O2720" s="19"/>
      <c r="P2720" s="10"/>
      <c r="Q2720" s="10"/>
      <c r="R2720" s="10"/>
      <c r="S2720" s="10"/>
      <c r="T2720" s="10"/>
      <c r="U2720" s="10"/>
      <c r="V2720" s="10"/>
      <c r="W2720" s="10"/>
      <c r="X2720" s="10"/>
      <c r="Y2720" s="10"/>
    </row>
    <row r="2721" spans="1:25" x14ac:dyDescent="0.25">
      <c r="A2721" s="9">
        <v>43259</v>
      </c>
      <c r="B2721" s="10">
        <f ca="1">ROUND(_xlfn.NORM.INV(RAND(),Reference!$C$8,0.1*Reference!$C$8)*(1+Reference!$C$11*(IF(MONTH($A2721)=Reference!$C$4,1,0)+IF(MONTH($A2721)=Reference!$C$5,1,0))+(IF(MONTH($A2721)=Reference!$C$6,Reference!$C$13,0))),0)</f>
        <v>419</v>
      </c>
      <c r="C2721" s="11">
        <f ca="1">B2721*Reference!$C$7*(1-IF(MONTH($A2721)=Reference!$C$6,1,0)*Reference!$C$12)</f>
        <v>155868</v>
      </c>
      <c r="D2721" s="10">
        <f ca="1">ROUND(_xlfn.NORM.INV(RAND(),Reference!$D$8,0.1*Reference!$D$8)*(1+Reference!$D$11*(IF(MONTH($A2721)=Reference!$D$4,1,0)+IF(MONTH($A2721)=Reference!$D$5,1,0))+(IF(MONTH($A2721)=Reference!$D$6,Reference!$D$13,0))),0)</f>
        <v>439</v>
      </c>
      <c r="E2721" s="11">
        <f ca="1">D2721*Reference!$D$7*(1-IF(MONTH($A2721)=Reference!$D$6,1,0)*Reference!$D$12)</f>
        <v>329250</v>
      </c>
      <c r="M2721" s="20"/>
      <c r="N2721" s="20"/>
      <c r="O2721" s="19"/>
      <c r="P2721" s="10"/>
      <c r="Q2721" s="10"/>
      <c r="R2721" s="10"/>
      <c r="S2721" s="10"/>
      <c r="T2721" s="10"/>
      <c r="U2721" s="10"/>
      <c r="V2721" s="10"/>
      <c r="W2721" s="10"/>
      <c r="X2721" s="10"/>
      <c r="Y2721" s="10"/>
    </row>
    <row r="2722" spans="1:25" x14ac:dyDescent="0.25">
      <c r="A2722" s="9">
        <v>43260</v>
      </c>
      <c r="B2722" s="10">
        <f ca="1">ROUND(_xlfn.NORM.INV(RAND(),Reference!$C$8,0.1*Reference!$C$8)*(1+Reference!$C$11*(IF(MONTH($A2722)=Reference!$C$4,1,0)+IF(MONTH($A2722)=Reference!$C$5,1,0))+(IF(MONTH($A2722)=Reference!$C$6,Reference!$C$13,0))),0)</f>
        <v>488</v>
      </c>
      <c r="C2722" s="11">
        <f ca="1">B2722*Reference!$C$7*(1-IF(MONTH($A2722)=Reference!$C$6,1,0)*Reference!$C$12)</f>
        <v>181536</v>
      </c>
      <c r="D2722" s="10">
        <f ca="1">ROUND(_xlfn.NORM.INV(RAND(),Reference!$D$8,0.1*Reference!$D$8)*(1+Reference!$D$11*(IF(MONTH($A2722)=Reference!$D$4,1,0)+IF(MONTH($A2722)=Reference!$D$5,1,0))+(IF(MONTH($A2722)=Reference!$D$6,Reference!$D$13,0))),0)</f>
        <v>432</v>
      </c>
      <c r="E2722" s="11">
        <f ca="1">D2722*Reference!$D$7*(1-IF(MONTH($A2722)=Reference!$D$6,1,0)*Reference!$D$12)</f>
        <v>324000</v>
      </c>
      <c r="M2722" s="20"/>
      <c r="N2722" s="20"/>
      <c r="O2722" s="19"/>
      <c r="P2722" s="10"/>
      <c r="Q2722" s="10"/>
      <c r="R2722" s="10"/>
      <c r="S2722" s="10"/>
      <c r="T2722" s="10"/>
      <c r="U2722" s="10"/>
      <c r="V2722" s="10"/>
      <c r="W2722" s="10"/>
      <c r="X2722" s="10"/>
      <c r="Y2722" s="10"/>
    </row>
    <row r="2723" spans="1:25" x14ac:dyDescent="0.25">
      <c r="A2723" s="9">
        <v>43261</v>
      </c>
      <c r="B2723" s="10">
        <f ca="1">ROUND(_xlfn.NORM.INV(RAND(),Reference!$C$8,0.1*Reference!$C$8)*(1+Reference!$C$11*(IF(MONTH($A2723)=Reference!$C$4,1,0)+IF(MONTH($A2723)=Reference!$C$5,1,0))+(IF(MONTH($A2723)=Reference!$C$6,Reference!$C$13,0))),0)</f>
        <v>476</v>
      </c>
      <c r="C2723" s="11">
        <f ca="1">B2723*Reference!$C$7*(1-IF(MONTH($A2723)=Reference!$C$6,1,0)*Reference!$C$12)</f>
        <v>177072</v>
      </c>
      <c r="D2723" s="10">
        <f ca="1">ROUND(_xlfn.NORM.INV(RAND(),Reference!$D$8,0.1*Reference!$D$8)*(1+Reference!$D$11*(IF(MONTH($A2723)=Reference!$D$4,1,0)+IF(MONTH($A2723)=Reference!$D$5,1,0))+(IF(MONTH($A2723)=Reference!$D$6,Reference!$D$13,0))),0)</f>
        <v>413</v>
      </c>
      <c r="E2723" s="11">
        <f ca="1">D2723*Reference!$D$7*(1-IF(MONTH($A2723)=Reference!$D$6,1,0)*Reference!$D$12)</f>
        <v>309750</v>
      </c>
      <c r="M2723" s="20"/>
      <c r="N2723" s="20"/>
      <c r="O2723" s="19"/>
      <c r="P2723" s="10"/>
      <c r="Q2723" s="10"/>
      <c r="R2723" s="10"/>
      <c r="S2723" s="10"/>
      <c r="T2723" s="10"/>
      <c r="U2723" s="10"/>
      <c r="V2723" s="10"/>
      <c r="W2723" s="10"/>
      <c r="X2723" s="10"/>
      <c r="Y2723" s="10"/>
    </row>
    <row r="2724" spans="1:25" x14ac:dyDescent="0.25">
      <c r="A2724" s="9">
        <v>43262</v>
      </c>
      <c r="B2724" s="10">
        <f ca="1">ROUND(_xlfn.NORM.INV(RAND(),Reference!$C$8,0.1*Reference!$C$8)*(1+Reference!$C$11*(IF(MONTH($A2724)=Reference!$C$4,1,0)+IF(MONTH($A2724)=Reference!$C$5,1,0))+(IF(MONTH($A2724)=Reference!$C$6,Reference!$C$13,0))),0)</f>
        <v>434</v>
      </c>
      <c r="C2724" s="11">
        <f ca="1">B2724*Reference!$C$7*(1-IF(MONTH($A2724)=Reference!$C$6,1,0)*Reference!$C$12)</f>
        <v>161448</v>
      </c>
      <c r="D2724" s="10">
        <f ca="1">ROUND(_xlfn.NORM.INV(RAND(),Reference!$D$8,0.1*Reference!$D$8)*(1+Reference!$D$11*(IF(MONTH($A2724)=Reference!$D$4,1,0)+IF(MONTH($A2724)=Reference!$D$5,1,0))+(IF(MONTH($A2724)=Reference!$D$6,Reference!$D$13,0))),0)</f>
        <v>471</v>
      </c>
      <c r="E2724" s="11">
        <f ca="1">D2724*Reference!$D$7*(1-IF(MONTH($A2724)=Reference!$D$6,1,0)*Reference!$D$12)</f>
        <v>353250</v>
      </c>
      <c r="M2724" s="20"/>
      <c r="N2724" s="20"/>
      <c r="O2724" s="19"/>
      <c r="P2724" s="10"/>
      <c r="Q2724" s="10"/>
      <c r="R2724" s="10"/>
      <c r="S2724" s="10"/>
      <c r="T2724" s="10"/>
      <c r="U2724" s="10"/>
      <c r="V2724" s="10"/>
      <c r="W2724" s="10"/>
      <c r="X2724" s="10"/>
      <c r="Y2724" s="10"/>
    </row>
    <row r="2725" spans="1:25" x14ac:dyDescent="0.25">
      <c r="A2725" s="9">
        <v>43263</v>
      </c>
      <c r="B2725" s="10">
        <f ca="1">ROUND(_xlfn.NORM.INV(RAND(),Reference!$C$8,0.1*Reference!$C$8)*(1+Reference!$C$11*(IF(MONTH($A2725)=Reference!$C$4,1,0)+IF(MONTH($A2725)=Reference!$C$5,1,0))+(IF(MONTH($A2725)=Reference!$C$6,Reference!$C$13,0))),0)</f>
        <v>471</v>
      </c>
      <c r="C2725" s="11">
        <f ca="1">B2725*Reference!$C$7*(1-IF(MONTH($A2725)=Reference!$C$6,1,0)*Reference!$C$12)</f>
        <v>175212</v>
      </c>
      <c r="D2725" s="10">
        <f ca="1">ROUND(_xlfn.NORM.INV(RAND(),Reference!$D$8,0.1*Reference!$D$8)*(1+Reference!$D$11*(IF(MONTH($A2725)=Reference!$D$4,1,0)+IF(MONTH($A2725)=Reference!$D$5,1,0))+(IF(MONTH($A2725)=Reference!$D$6,Reference!$D$13,0))),0)</f>
        <v>461</v>
      </c>
      <c r="E2725" s="11">
        <f ca="1">D2725*Reference!$D$7*(1-IF(MONTH($A2725)=Reference!$D$6,1,0)*Reference!$D$12)</f>
        <v>345750</v>
      </c>
      <c r="M2725" s="20"/>
      <c r="N2725" s="20"/>
      <c r="O2725" s="19"/>
      <c r="P2725" s="10"/>
      <c r="Q2725" s="10"/>
      <c r="R2725" s="10"/>
      <c r="S2725" s="10"/>
      <c r="T2725" s="10"/>
      <c r="U2725" s="10"/>
      <c r="V2725" s="10"/>
      <c r="W2725" s="10"/>
      <c r="X2725" s="10"/>
      <c r="Y2725" s="10"/>
    </row>
    <row r="2726" spans="1:25" x14ac:dyDescent="0.25">
      <c r="A2726" s="9">
        <v>43264</v>
      </c>
      <c r="B2726" s="10">
        <f ca="1">ROUND(_xlfn.NORM.INV(RAND(),Reference!$C$8,0.1*Reference!$C$8)*(1+Reference!$C$11*(IF(MONTH($A2726)=Reference!$C$4,1,0)+IF(MONTH($A2726)=Reference!$C$5,1,0))+(IF(MONTH($A2726)=Reference!$C$6,Reference!$C$13,0))),0)</f>
        <v>439</v>
      </c>
      <c r="C2726" s="11">
        <f ca="1">B2726*Reference!$C$7*(1-IF(MONTH($A2726)=Reference!$C$6,1,0)*Reference!$C$12)</f>
        <v>163308</v>
      </c>
      <c r="D2726" s="10">
        <f ca="1">ROUND(_xlfn.NORM.INV(RAND(),Reference!$D$8,0.1*Reference!$D$8)*(1+Reference!$D$11*(IF(MONTH($A2726)=Reference!$D$4,1,0)+IF(MONTH($A2726)=Reference!$D$5,1,0))+(IF(MONTH($A2726)=Reference!$D$6,Reference!$D$13,0))),0)</f>
        <v>475</v>
      </c>
      <c r="E2726" s="11">
        <f ca="1">D2726*Reference!$D$7*(1-IF(MONTH($A2726)=Reference!$D$6,1,0)*Reference!$D$12)</f>
        <v>356250</v>
      </c>
      <c r="M2726" s="20"/>
      <c r="N2726" s="20"/>
      <c r="O2726" s="19"/>
      <c r="P2726" s="10"/>
      <c r="Q2726" s="10"/>
      <c r="R2726" s="10"/>
      <c r="S2726" s="10"/>
      <c r="T2726" s="10"/>
      <c r="U2726" s="10"/>
      <c r="V2726" s="10"/>
      <c r="W2726" s="10"/>
      <c r="X2726" s="10"/>
      <c r="Y2726" s="10"/>
    </row>
    <row r="2727" spans="1:25" x14ac:dyDescent="0.25">
      <c r="A2727" s="9">
        <v>43265</v>
      </c>
      <c r="B2727" s="10">
        <f ca="1">ROUND(_xlfn.NORM.INV(RAND(),Reference!$C$8,0.1*Reference!$C$8)*(1+Reference!$C$11*(IF(MONTH($A2727)=Reference!$C$4,1,0)+IF(MONTH($A2727)=Reference!$C$5,1,0))+(IF(MONTH($A2727)=Reference!$C$6,Reference!$C$13,0))),0)</f>
        <v>436</v>
      </c>
      <c r="C2727" s="11">
        <f ca="1">B2727*Reference!$C$7*(1-IF(MONTH($A2727)=Reference!$C$6,1,0)*Reference!$C$12)</f>
        <v>162192</v>
      </c>
      <c r="D2727" s="10">
        <f ca="1">ROUND(_xlfn.NORM.INV(RAND(),Reference!$D$8,0.1*Reference!$D$8)*(1+Reference!$D$11*(IF(MONTH($A2727)=Reference!$D$4,1,0)+IF(MONTH($A2727)=Reference!$D$5,1,0))+(IF(MONTH($A2727)=Reference!$D$6,Reference!$D$13,0))),0)</f>
        <v>460</v>
      </c>
      <c r="E2727" s="11">
        <f ca="1">D2727*Reference!$D$7*(1-IF(MONTH($A2727)=Reference!$D$6,1,0)*Reference!$D$12)</f>
        <v>345000</v>
      </c>
      <c r="M2727" s="20"/>
      <c r="N2727" s="20"/>
      <c r="O2727" s="19"/>
      <c r="P2727" s="10"/>
      <c r="Q2727" s="10"/>
      <c r="R2727" s="10"/>
      <c r="S2727" s="10"/>
      <c r="T2727" s="10"/>
      <c r="U2727" s="10"/>
      <c r="V2727" s="10"/>
      <c r="W2727" s="10"/>
      <c r="X2727" s="10"/>
      <c r="Y2727" s="10"/>
    </row>
    <row r="2728" spans="1:25" x14ac:dyDescent="0.25">
      <c r="A2728" s="9">
        <v>43266</v>
      </c>
      <c r="B2728" s="10">
        <f ca="1">ROUND(_xlfn.NORM.INV(RAND(),Reference!$C$8,0.1*Reference!$C$8)*(1+Reference!$C$11*(IF(MONTH($A2728)=Reference!$C$4,1,0)+IF(MONTH($A2728)=Reference!$C$5,1,0))+(IF(MONTH($A2728)=Reference!$C$6,Reference!$C$13,0))),0)</f>
        <v>476</v>
      </c>
      <c r="C2728" s="11">
        <f ca="1">B2728*Reference!$C$7*(1-IF(MONTH($A2728)=Reference!$C$6,1,0)*Reference!$C$12)</f>
        <v>177072</v>
      </c>
      <c r="D2728" s="10">
        <f ca="1">ROUND(_xlfn.NORM.INV(RAND(),Reference!$D$8,0.1*Reference!$D$8)*(1+Reference!$D$11*(IF(MONTH($A2728)=Reference!$D$4,1,0)+IF(MONTH($A2728)=Reference!$D$5,1,0))+(IF(MONTH($A2728)=Reference!$D$6,Reference!$D$13,0))),0)</f>
        <v>442</v>
      </c>
      <c r="E2728" s="11">
        <f ca="1">D2728*Reference!$D$7*(1-IF(MONTH($A2728)=Reference!$D$6,1,0)*Reference!$D$12)</f>
        <v>331500</v>
      </c>
      <c r="M2728" s="20"/>
      <c r="N2728" s="20"/>
      <c r="O2728" s="19"/>
      <c r="P2728" s="10"/>
      <c r="Q2728" s="10"/>
      <c r="R2728" s="10"/>
      <c r="S2728" s="10"/>
      <c r="T2728" s="10"/>
      <c r="U2728" s="10"/>
      <c r="V2728" s="10"/>
      <c r="W2728" s="10"/>
      <c r="X2728" s="10"/>
      <c r="Y2728" s="10"/>
    </row>
    <row r="2729" spans="1:25" x14ac:dyDescent="0.25">
      <c r="A2729" s="9">
        <v>43267</v>
      </c>
      <c r="B2729" s="10">
        <f ca="1">ROUND(_xlfn.NORM.INV(RAND(),Reference!$C$8,0.1*Reference!$C$8)*(1+Reference!$C$11*(IF(MONTH($A2729)=Reference!$C$4,1,0)+IF(MONTH($A2729)=Reference!$C$5,1,0))+(IF(MONTH($A2729)=Reference!$C$6,Reference!$C$13,0))),0)</f>
        <v>409</v>
      </c>
      <c r="C2729" s="11">
        <f ca="1">B2729*Reference!$C$7*(1-IF(MONTH($A2729)=Reference!$C$6,1,0)*Reference!$C$12)</f>
        <v>152148</v>
      </c>
      <c r="D2729" s="10">
        <f ca="1">ROUND(_xlfn.NORM.INV(RAND(),Reference!$D$8,0.1*Reference!$D$8)*(1+Reference!$D$11*(IF(MONTH($A2729)=Reference!$D$4,1,0)+IF(MONTH($A2729)=Reference!$D$5,1,0))+(IF(MONTH($A2729)=Reference!$D$6,Reference!$D$13,0))),0)</f>
        <v>409</v>
      </c>
      <c r="E2729" s="11">
        <f ca="1">D2729*Reference!$D$7*(1-IF(MONTH($A2729)=Reference!$D$6,1,0)*Reference!$D$12)</f>
        <v>306750</v>
      </c>
      <c r="M2729" s="20"/>
      <c r="N2729" s="20"/>
      <c r="O2729" s="19"/>
      <c r="P2729" s="10"/>
      <c r="Q2729" s="10"/>
      <c r="R2729" s="10"/>
      <c r="S2729" s="10"/>
      <c r="T2729" s="10"/>
      <c r="U2729" s="10"/>
      <c r="V2729" s="10"/>
      <c r="W2729" s="10"/>
      <c r="X2729" s="10"/>
      <c r="Y2729" s="10"/>
    </row>
    <row r="2730" spans="1:25" x14ac:dyDescent="0.25">
      <c r="A2730" s="9">
        <v>43268</v>
      </c>
      <c r="B2730" s="10">
        <f ca="1">ROUND(_xlfn.NORM.INV(RAND(),Reference!$C$8,0.1*Reference!$C$8)*(1+Reference!$C$11*(IF(MONTH($A2730)=Reference!$C$4,1,0)+IF(MONTH($A2730)=Reference!$C$5,1,0))+(IF(MONTH($A2730)=Reference!$C$6,Reference!$C$13,0))),0)</f>
        <v>403</v>
      </c>
      <c r="C2730" s="11">
        <f ca="1">B2730*Reference!$C$7*(1-IF(MONTH($A2730)=Reference!$C$6,1,0)*Reference!$C$12)</f>
        <v>149916</v>
      </c>
      <c r="D2730" s="10">
        <f ca="1">ROUND(_xlfn.NORM.INV(RAND(),Reference!$D$8,0.1*Reference!$D$8)*(1+Reference!$D$11*(IF(MONTH($A2730)=Reference!$D$4,1,0)+IF(MONTH($A2730)=Reference!$D$5,1,0))+(IF(MONTH($A2730)=Reference!$D$6,Reference!$D$13,0))),0)</f>
        <v>505</v>
      </c>
      <c r="E2730" s="11">
        <f ca="1">D2730*Reference!$D$7*(1-IF(MONTH($A2730)=Reference!$D$6,1,0)*Reference!$D$12)</f>
        <v>378750</v>
      </c>
      <c r="M2730" s="20"/>
      <c r="N2730" s="20"/>
      <c r="O2730" s="19"/>
      <c r="P2730" s="10"/>
      <c r="Q2730" s="10"/>
      <c r="R2730" s="10"/>
      <c r="S2730" s="10"/>
      <c r="T2730" s="10"/>
      <c r="U2730" s="10"/>
      <c r="V2730" s="10"/>
      <c r="W2730" s="10"/>
      <c r="X2730" s="10"/>
      <c r="Y2730" s="10"/>
    </row>
    <row r="2731" spans="1:25" x14ac:dyDescent="0.25">
      <c r="A2731" s="9">
        <v>43269</v>
      </c>
      <c r="B2731" s="10">
        <f ca="1">ROUND(_xlfn.NORM.INV(RAND(),Reference!$C$8,0.1*Reference!$C$8)*(1+Reference!$C$11*(IF(MONTH($A2731)=Reference!$C$4,1,0)+IF(MONTH($A2731)=Reference!$C$5,1,0))+(IF(MONTH($A2731)=Reference!$C$6,Reference!$C$13,0))),0)</f>
        <v>480</v>
      </c>
      <c r="C2731" s="11">
        <f ca="1">B2731*Reference!$C$7*(1-IF(MONTH($A2731)=Reference!$C$6,1,0)*Reference!$C$12)</f>
        <v>178560</v>
      </c>
      <c r="D2731" s="10">
        <f ca="1">ROUND(_xlfn.NORM.INV(RAND(),Reference!$D$8,0.1*Reference!$D$8)*(1+Reference!$D$11*(IF(MONTH($A2731)=Reference!$D$4,1,0)+IF(MONTH($A2731)=Reference!$D$5,1,0))+(IF(MONTH($A2731)=Reference!$D$6,Reference!$D$13,0))),0)</f>
        <v>439</v>
      </c>
      <c r="E2731" s="11">
        <f ca="1">D2731*Reference!$D$7*(1-IF(MONTH($A2731)=Reference!$D$6,1,0)*Reference!$D$12)</f>
        <v>329250</v>
      </c>
      <c r="M2731" s="20"/>
      <c r="N2731" s="20"/>
      <c r="O2731" s="19"/>
      <c r="P2731" s="10"/>
      <c r="Q2731" s="10"/>
      <c r="R2731" s="10"/>
      <c r="S2731" s="10"/>
      <c r="T2731" s="10"/>
      <c r="U2731" s="10"/>
      <c r="V2731" s="10"/>
      <c r="W2731" s="10"/>
      <c r="X2731" s="10"/>
      <c r="Y2731" s="10"/>
    </row>
    <row r="2732" spans="1:25" x14ac:dyDescent="0.25">
      <c r="A2732" s="9">
        <v>43270</v>
      </c>
      <c r="B2732" s="10">
        <f ca="1">ROUND(_xlfn.NORM.INV(RAND(),Reference!$C$8,0.1*Reference!$C$8)*(1+Reference!$C$11*(IF(MONTH($A2732)=Reference!$C$4,1,0)+IF(MONTH($A2732)=Reference!$C$5,1,0))+(IF(MONTH($A2732)=Reference!$C$6,Reference!$C$13,0))),0)</f>
        <v>432</v>
      </c>
      <c r="C2732" s="11">
        <f ca="1">B2732*Reference!$C$7*(1-IF(MONTH($A2732)=Reference!$C$6,1,0)*Reference!$C$12)</f>
        <v>160704</v>
      </c>
      <c r="D2732" s="10">
        <f ca="1">ROUND(_xlfn.NORM.INV(RAND(),Reference!$D$8,0.1*Reference!$D$8)*(1+Reference!$D$11*(IF(MONTH($A2732)=Reference!$D$4,1,0)+IF(MONTH($A2732)=Reference!$D$5,1,0))+(IF(MONTH($A2732)=Reference!$D$6,Reference!$D$13,0))),0)</f>
        <v>469</v>
      </c>
      <c r="E2732" s="11">
        <f ca="1">D2732*Reference!$D$7*(1-IF(MONTH($A2732)=Reference!$D$6,1,0)*Reference!$D$12)</f>
        <v>351750</v>
      </c>
      <c r="M2732" s="20"/>
      <c r="N2732" s="20"/>
      <c r="O2732" s="19"/>
      <c r="P2732" s="10"/>
      <c r="Q2732" s="10"/>
      <c r="R2732" s="10"/>
      <c r="S2732" s="10"/>
      <c r="T2732" s="10"/>
      <c r="U2732" s="10"/>
      <c r="V2732" s="10"/>
      <c r="W2732" s="10"/>
      <c r="X2732" s="10"/>
      <c r="Y2732" s="10"/>
    </row>
    <row r="2733" spans="1:25" x14ac:dyDescent="0.25">
      <c r="A2733" s="9">
        <v>43271</v>
      </c>
      <c r="B2733" s="10">
        <f ca="1">ROUND(_xlfn.NORM.INV(RAND(),Reference!$C$8,0.1*Reference!$C$8)*(1+Reference!$C$11*(IF(MONTH($A2733)=Reference!$C$4,1,0)+IF(MONTH($A2733)=Reference!$C$5,1,0))+(IF(MONTH($A2733)=Reference!$C$6,Reference!$C$13,0))),0)</f>
        <v>488</v>
      </c>
      <c r="C2733" s="11">
        <f ca="1">B2733*Reference!$C$7*(1-IF(MONTH($A2733)=Reference!$C$6,1,0)*Reference!$C$12)</f>
        <v>181536</v>
      </c>
      <c r="D2733" s="10">
        <f ca="1">ROUND(_xlfn.NORM.INV(RAND(),Reference!$D$8,0.1*Reference!$D$8)*(1+Reference!$D$11*(IF(MONTH($A2733)=Reference!$D$4,1,0)+IF(MONTH($A2733)=Reference!$D$5,1,0))+(IF(MONTH($A2733)=Reference!$D$6,Reference!$D$13,0))),0)</f>
        <v>487</v>
      </c>
      <c r="E2733" s="11">
        <f ca="1">D2733*Reference!$D$7*(1-IF(MONTH($A2733)=Reference!$D$6,1,0)*Reference!$D$12)</f>
        <v>365250</v>
      </c>
      <c r="M2733" s="20"/>
      <c r="N2733" s="20"/>
      <c r="O2733" s="19"/>
      <c r="P2733" s="10"/>
      <c r="Q2733" s="10"/>
      <c r="R2733" s="10"/>
      <c r="S2733" s="10"/>
      <c r="T2733" s="10"/>
      <c r="U2733" s="10"/>
      <c r="V2733" s="10"/>
      <c r="W2733" s="10"/>
      <c r="X2733" s="10"/>
      <c r="Y2733" s="10"/>
    </row>
    <row r="2734" spans="1:25" x14ac:dyDescent="0.25">
      <c r="A2734" s="9">
        <v>43272</v>
      </c>
      <c r="B2734" s="10">
        <f ca="1">ROUND(_xlfn.NORM.INV(RAND(),Reference!$C$8,0.1*Reference!$C$8)*(1+Reference!$C$11*(IF(MONTH($A2734)=Reference!$C$4,1,0)+IF(MONTH($A2734)=Reference!$C$5,1,0))+(IF(MONTH($A2734)=Reference!$C$6,Reference!$C$13,0))),0)</f>
        <v>404</v>
      </c>
      <c r="C2734" s="11">
        <f ca="1">B2734*Reference!$C$7*(1-IF(MONTH($A2734)=Reference!$C$6,1,0)*Reference!$C$12)</f>
        <v>150288</v>
      </c>
      <c r="D2734" s="10">
        <f ca="1">ROUND(_xlfn.NORM.INV(RAND(),Reference!$D$8,0.1*Reference!$D$8)*(1+Reference!$D$11*(IF(MONTH($A2734)=Reference!$D$4,1,0)+IF(MONTH($A2734)=Reference!$D$5,1,0))+(IF(MONTH($A2734)=Reference!$D$6,Reference!$D$13,0))),0)</f>
        <v>425</v>
      </c>
      <c r="E2734" s="11">
        <f ca="1">D2734*Reference!$D$7*(1-IF(MONTH($A2734)=Reference!$D$6,1,0)*Reference!$D$12)</f>
        <v>318750</v>
      </c>
      <c r="M2734" s="20"/>
      <c r="N2734" s="20"/>
      <c r="O2734" s="19"/>
      <c r="P2734" s="10"/>
      <c r="Q2734" s="10"/>
      <c r="R2734" s="10"/>
      <c r="S2734" s="10"/>
      <c r="T2734" s="10"/>
      <c r="U2734" s="10"/>
      <c r="V2734" s="10"/>
      <c r="W2734" s="10"/>
      <c r="X2734" s="10"/>
      <c r="Y2734" s="10"/>
    </row>
    <row r="2735" spans="1:25" x14ac:dyDescent="0.25">
      <c r="A2735" s="9">
        <v>43273</v>
      </c>
      <c r="B2735" s="10">
        <f ca="1">ROUND(_xlfn.NORM.INV(RAND(),Reference!$C$8,0.1*Reference!$C$8)*(1+Reference!$C$11*(IF(MONTH($A2735)=Reference!$C$4,1,0)+IF(MONTH($A2735)=Reference!$C$5,1,0))+(IF(MONTH($A2735)=Reference!$C$6,Reference!$C$13,0))),0)</f>
        <v>418</v>
      </c>
      <c r="C2735" s="11">
        <f ca="1">B2735*Reference!$C$7*(1-IF(MONTH($A2735)=Reference!$C$6,1,0)*Reference!$C$12)</f>
        <v>155496</v>
      </c>
      <c r="D2735" s="10">
        <f ca="1">ROUND(_xlfn.NORM.INV(RAND(),Reference!$D$8,0.1*Reference!$D$8)*(1+Reference!$D$11*(IF(MONTH($A2735)=Reference!$D$4,1,0)+IF(MONTH($A2735)=Reference!$D$5,1,0))+(IF(MONTH($A2735)=Reference!$D$6,Reference!$D$13,0))),0)</f>
        <v>348</v>
      </c>
      <c r="E2735" s="11">
        <f ca="1">D2735*Reference!$D$7*(1-IF(MONTH($A2735)=Reference!$D$6,1,0)*Reference!$D$12)</f>
        <v>261000</v>
      </c>
      <c r="M2735" s="20"/>
      <c r="N2735" s="20"/>
      <c r="O2735" s="19"/>
      <c r="P2735" s="10"/>
      <c r="Q2735" s="10"/>
      <c r="R2735" s="10"/>
      <c r="S2735" s="10"/>
      <c r="T2735" s="10"/>
      <c r="U2735" s="10"/>
      <c r="V2735" s="10"/>
      <c r="W2735" s="10"/>
      <c r="X2735" s="10"/>
      <c r="Y2735" s="10"/>
    </row>
    <row r="2736" spans="1:25" x14ac:dyDescent="0.25">
      <c r="A2736" s="9">
        <v>43274</v>
      </c>
      <c r="B2736" s="10">
        <f ca="1">ROUND(_xlfn.NORM.INV(RAND(),Reference!$C$8,0.1*Reference!$C$8)*(1+Reference!$C$11*(IF(MONTH($A2736)=Reference!$C$4,1,0)+IF(MONTH($A2736)=Reference!$C$5,1,0))+(IF(MONTH($A2736)=Reference!$C$6,Reference!$C$13,0))),0)</f>
        <v>478</v>
      </c>
      <c r="C2736" s="11">
        <f ca="1">B2736*Reference!$C$7*(1-IF(MONTH($A2736)=Reference!$C$6,1,0)*Reference!$C$12)</f>
        <v>177816</v>
      </c>
      <c r="D2736" s="10">
        <f ca="1">ROUND(_xlfn.NORM.INV(RAND(),Reference!$D$8,0.1*Reference!$D$8)*(1+Reference!$D$11*(IF(MONTH($A2736)=Reference!$D$4,1,0)+IF(MONTH($A2736)=Reference!$D$5,1,0))+(IF(MONTH($A2736)=Reference!$D$6,Reference!$D$13,0))),0)</f>
        <v>455</v>
      </c>
      <c r="E2736" s="11">
        <f ca="1">D2736*Reference!$D$7*(1-IF(MONTH($A2736)=Reference!$D$6,1,0)*Reference!$D$12)</f>
        <v>341250</v>
      </c>
      <c r="M2736" s="20"/>
      <c r="N2736" s="20"/>
      <c r="O2736" s="19"/>
      <c r="P2736" s="10"/>
      <c r="Q2736" s="10"/>
      <c r="R2736" s="10"/>
      <c r="S2736" s="10"/>
      <c r="T2736" s="10"/>
      <c r="U2736" s="10"/>
      <c r="V2736" s="10"/>
      <c r="W2736" s="10"/>
      <c r="X2736" s="10"/>
      <c r="Y2736" s="10"/>
    </row>
    <row r="2737" spans="1:25" x14ac:dyDescent="0.25">
      <c r="A2737" s="9">
        <v>43275</v>
      </c>
      <c r="B2737" s="10">
        <f ca="1">ROUND(_xlfn.NORM.INV(RAND(),Reference!$C$8,0.1*Reference!$C$8)*(1+Reference!$C$11*(IF(MONTH($A2737)=Reference!$C$4,1,0)+IF(MONTH($A2737)=Reference!$C$5,1,0))+(IF(MONTH($A2737)=Reference!$C$6,Reference!$C$13,0))),0)</f>
        <v>474</v>
      </c>
      <c r="C2737" s="11">
        <f ca="1">B2737*Reference!$C$7*(1-IF(MONTH($A2737)=Reference!$C$6,1,0)*Reference!$C$12)</f>
        <v>176328</v>
      </c>
      <c r="D2737" s="10">
        <f ca="1">ROUND(_xlfn.NORM.INV(RAND(),Reference!$D$8,0.1*Reference!$D$8)*(1+Reference!$D$11*(IF(MONTH($A2737)=Reference!$D$4,1,0)+IF(MONTH($A2737)=Reference!$D$5,1,0))+(IF(MONTH($A2737)=Reference!$D$6,Reference!$D$13,0))),0)</f>
        <v>405</v>
      </c>
      <c r="E2737" s="11">
        <f ca="1">D2737*Reference!$D$7*(1-IF(MONTH($A2737)=Reference!$D$6,1,0)*Reference!$D$12)</f>
        <v>303750</v>
      </c>
      <c r="M2737" s="20"/>
      <c r="N2737" s="20"/>
      <c r="O2737" s="19"/>
      <c r="P2737" s="10"/>
      <c r="Q2737" s="10"/>
      <c r="R2737" s="10"/>
      <c r="S2737" s="10"/>
      <c r="T2737" s="10"/>
      <c r="U2737" s="10"/>
      <c r="V2737" s="10"/>
      <c r="W2737" s="10"/>
      <c r="X2737" s="10"/>
      <c r="Y2737" s="10"/>
    </row>
    <row r="2738" spans="1:25" x14ac:dyDescent="0.25">
      <c r="A2738" s="9">
        <v>43276</v>
      </c>
      <c r="B2738" s="10">
        <f ca="1">ROUND(_xlfn.NORM.INV(RAND(),Reference!$C$8,0.1*Reference!$C$8)*(1+Reference!$C$11*(IF(MONTH($A2738)=Reference!$C$4,1,0)+IF(MONTH($A2738)=Reference!$C$5,1,0))+(IF(MONTH($A2738)=Reference!$C$6,Reference!$C$13,0))),0)</f>
        <v>430</v>
      </c>
      <c r="C2738" s="11">
        <f ca="1">B2738*Reference!$C$7*(1-IF(MONTH($A2738)=Reference!$C$6,1,0)*Reference!$C$12)</f>
        <v>159960</v>
      </c>
      <c r="D2738" s="10">
        <f ca="1">ROUND(_xlfn.NORM.INV(RAND(),Reference!$D$8,0.1*Reference!$D$8)*(1+Reference!$D$11*(IF(MONTH($A2738)=Reference!$D$4,1,0)+IF(MONTH($A2738)=Reference!$D$5,1,0))+(IF(MONTH($A2738)=Reference!$D$6,Reference!$D$13,0))),0)</f>
        <v>478</v>
      </c>
      <c r="E2738" s="11">
        <f ca="1">D2738*Reference!$D$7*(1-IF(MONTH($A2738)=Reference!$D$6,1,0)*Reference!$D$12)</f>
        <v>358500</v>
      </c>
      <c r="M2738" s="20"/>
      <c r="N2738" s="20"/>
      <c r="O2738" s="19"/>
      <c r="P2738" s="10"/>
      <c r="Q2738" s="10"/>
      <c r="R2738" s="10"/>
      <c r="S2738" s="10"/>
      <c r="T2738" s="10"/>
      <c r="U2738" s="10"/>
      <c r="V2738" s="10"/>
      <c r="W2738" s="10"/>
      <c r="X2738" s="10"/>
      <c r="Y2738" s="10"/>
    </row>
    <row r="2739" spans="1:25" x14ac:dyDescent="0.25">
      <c r="A2739" s="9">
        <v>43277</v>
      </c>
      <c r="B2739" s="10">
        <f ca="1">ROUND(_xlfn.NORM.INV(RAND(),Reference!$C$8,0.1*Reference!$C$8)*(1+Reference!$C$11*(IF(MONTH($A2739)=Reference!$C$4,1,0)+IF(MONTH($A2739)=Reference!$C$5,1,0))+(IF(MONTH($A2739)=Reference!$C$6,Reference!$C$13,0))),0)</f>
        <v>441</v>
      </c>
      <c r="C2739" s="11">
        <f ca="1">B2739*Reference!$C$7*(1-IF(MONTH($A2739)=Reference!$C$6,1,0)*Reference!$C$12)</f>
        <v>164052</v>
      </c>
      <c r="D2739" s="10">
        <f ca="1">ROUND(_xlfn.NORM.INV(RAND(),Reference!$D$8,0.1*Reference!$D$8)*(1+Reference!$D$11*(IF(MONTH($A2739)=Reference!$D$4,1,0)+IF(MONTH($A2739)=Reference!$D$5,1,0))+(IF(MONTH($A2739)=Reference!$D$6,Reference!$D$13,0))),0)</f>
        <v>390</v>
      </c>
      <c r="E2739" s="11">
        <f ca="1">D2739*Reference!$D$7*(1-IF(MONTH($A2739)=Reference!$D$6,1,0)*Reference!$D$12)</f>
        <v>292500</v>
      </c>
      <c r="M2739" s="20"/>
      <c r="N2739" s="20"/>
      <c r="O2739" s="19"/>
      <c r="P2739" s="10"/>
      <c r="Q2739" s="10"/>
      <c r="R2739" s="10"/>
      <c r="S2739" s="10"/>
      <c r="T2739" s="10"/>
      <c r="U2739" s="10"/>
      <c r="V2739" s="10"/>
      <c r="W2739" s="10"/>
      <c r="X2739" s="10"/>
      <c r="Y2739" s="10"/>
    </row>
    <row r="2740" spans="1:25" x14ac:dyDescent="0.25">
      <c r="A2740" s="9">
        <v>43278</v>
      </c>
      <c r="B2740" s="10">
        <f ca="1">ROUND(_xlfn.NORM.INV(RAND(),Reference!$C$8,0.1*Reference!$C$8)*(1+Reference!$C$11*(IF(MONTH($A2740)=Reference!$C$4,1,0)+IF(MONTH($A2740)=Reference!$C$5,1,0))+(IF(MONTH($A2740)=Reference!$C$6,Reference!$C$13,0))),0)</f>
        <v>521</v>
      </c>
      <c r="C2740" s="11">
        <f ca="1">B2740*Reference!$C$7*(1-IF(MONTH($A2740)=Reference!$C$6,1,0)*Reference!$C$12)</f>
        <v>193812</v>
      </c>
      <c r="D2740" s="10">
        <f ca="1">ROUND(_xlfn.NORM.INV(RAND(),Reference!$D$8,0.1*Reference!$D$8)*(1+Reference!$D$11*(IF(MONTH($A2740)=Reference!$D$4,1,0)+IF(MONTH($A2740)=Reference!$D$5,1,0))+(IF(MONTH($A2740)=Reference!$D$6,Reference!$D$13,0))),0)</f>
        <v>387</v>
      </c>
      <c r="E2740" s="11">
        <f ca="1">D2740*Reference!$D$7*(1-IF(MONTH($A2740)=Reference!$D$6,1,0)*Reference!$D$12)</f>
        <v>290250</v>
      </c>
      <c r="M2740" s="20"/>
      <c r="N2740" s="20"/>
      <c r="O2740" s="19"/>
      <c r="P2740" s="10"/>
      <c r="Q2740" s="10"/>
      <c r="R2740" s="10"/>
      <c r="S2740" s="10"/>
      <c r="T2740" s="10"/>
      <c r="U2740" s="10"/>
      <c r="V2740" s="10"/>
      <c r="W2740" s="10"/>
      <c r="X2740" s="10"/>
      <c r="Y2740" s="10"/>
    </row>
    <row r="2741" spans="1:25" x14ac:dyDescent="0.25">
      <c r="A2741" s="9">
        <v>43279</v>
      </c>
      <c r="B2741" s="10">
        <f ca="1">ROUND(_xlfn.NORM.INV(RAND(),Reference!$C$8,0.1*Reference!$C$8)*(1+Reference!$C$11*(IF(MONTH($A2741)=Reference!$C$4,1,0)+IF(MONTH($A2741)=Reference!$C$5,1,0))+(IF(MONTH($A2741)=Reference!$C$6,Reference!$C$13,0))),0)</f>
        <v>463</v>
      </c>
      <c r="C2741" s="11">
        <f ca="1">B2741*Reference!$C$7*(1-IF(MONTH($A2741)=Reference!$C$6,1,0)*Reference!$C$12)</f>
        <v>172236</v>
      </c>
      <c r="D2741" s="10">
        <f ca="1">ROUND(_xlfn.NORM.INV(RAND(),Reference!$D$8,0.1*Reference!$D$8)*(1+Reference!$D$11*(IF(MONTH($A2741)=Reference!$D$4,1,0)+IF(MONTH($A2741)=Reference!$D$5,1,0))+(IF(MONTH($A2741)=Reference!$D$6,Reference!$D$13,0))),0)</f>
        <v>443</v>
      </c>
      <c r="E2741" s="11">
        <f ca="1">D2741*Reference!$D$7*(1-IF(MONTH($A2741)=Reference!$D$6,1,0)*Reference!$D$12)</f>
        <v>332250</v>
      </c>
      <c r="M2741" s="20"/>
      <c r="N2741" s="20"/>
      <c r="O2741" s="19"/>
      <c r="P2741" s="10"/>
      <c r="Q2741" s="10"/>
      <c r="R2741" s="10"/>
      <c r="S2741" s="10"/>
      <c r="T2741" s="10"/>
      <c r="U2741" s="10"/>
      <c r="V2741" s="10"/>
      <c r="W2741" s="10"/>
      <c r="X2741" s="10"/>
      <c r="Y2741" s="10"/>
    </row>
    <row r="2742" spans="1:25" x14ac:dyDescent="0.25">
      <c r="A2742" s="9">
        <v>43280</v>
      </c>
      <c r="B2742" s="10">
        <f ca="1">ROUND(_xlfn.NORM.INV(RAND(),Reference!$C$8,0.1*Reference!$C$8)*(1+Reference!$C$11*(IF(MONTH($A2742)=Reference!$C$4,1,0)+IF(MONTH($A2742)=Reference!$C$5,1,0))+(IF(MONTH($A2742)=Reference!$C$6,Reference!$C$13,0))),0)</f>
        <v>458</v>
      </c>
      <c r="C2742" s="11">
        <f ca="1">B2742*Reference!$C$7*(1-IF(MONTH($A2742)=Reference!$C$6,1,0)*Reference!$C$12)</f>
        <v>170376</v>
      </c>
      <c r="D2742" s="10">
        <f ca="1">ROUND(_xlfn.NORM.INV(RAND(),Reference!$D$8,0.1*Reference!$D$8)*(1+Reference!$D$11*(IF(MONTH($A2742)=Reference!$D$4,1,0)+IF(MONTH($A2742)=Reference!$D$5,1,0))+(IF(MONTH($A2742)=Reference!$D$6,Reference!$D$13,0))),0)</f>
        <v>421</v>
      </c>
      <c r="E2742" s="11">
        <f ca="1">D2742*Reference!$D$7*(1-IF(MONTH($A2742)=Reference!$D$6,1,0)*Reference!$D$12)</f>
        <v>315750</v>
      </c>
      <c r="M2742" s="20"/>
      <c r="N2742" s="20"/>
      <c r="O2742" s="19"/>
      <c r="P2742" s="10"/>
      <c r="Q2742" s="10"/>
      <c r="R2742" s="10"/>
      <c r="S2742" s="10"/>
      <c r="T2742" s="10"/>
      <c r="U2742" s="10"/>
      <c r="V2742" s="10"/>
      <c r="W2742" s="10"/>
      <c r="X2742" s="10"/>
      <c r="Y2742" s="10"/>
    </row>
    <row r="2743" spans="1:25" x14ac:dyDescent="0.25">
      <c r="A2743" s="9">
        <v>43281</v>
      </c>
      <c r="B2743" s="10">
        <f ca="1">ROUND(_xlfn.NORM.INV(RAND(),Reference!$C$8,0.1*Reference!$C$8)*(1+Reference!$C$11*(IF(MONTH($A2743)=Reference!$C$4,1,0)+IF(MONTH($A2743)=Reference!$C$5,1,0))+(IF(MONTH($A2743)=Reference!$C$6,Reference!$C$13,0))),0)</f>
        <v>372</v>
      </c>
      <c r="C2743" s="11">
        <f ca="1">B2743*Reference!$C$7*(1-IF(MONTH($A2743)=Reference!$C$6,1,0)*Reference!$C$12)</f>
        <v>138384</v>
      </c>
      <c r="D2743" s="10">
        <f ca="1">ROUND(_xlfn.NORM.INV(RAND(),Reference!$D$8,0.1*Reference!$D$8)*(1+Reference!$D$11*(IF(MONTH($A2743)=Reference!$D$4,1,0)+IF(MONTH($A2743)=Reference!$D$5,1,0))+(IF(MONTH($A2743)=Reference!$D$6,Reference!$D$13,0))),0)</f>
        <v>422</v>
      </c>
      <c r="E2743" s="11">
        <f ca="1">D2743*Reference!$D$7*(1-IF(MONTH($A2743)=Reference!$D$6,1,0)*Reference!$D$12)</f>
        <v>316500</v>
      </c>
      <c r="M2743" s="20"/>
      <c r="N2743" s="20"/>
      <c r="O2743" s="19"/>
      <c r="P2743" s="10"/>
      <c r="Q2743" s="10"/>
      <c r="R2743" s="10"/>
      <c r="S2743" s="10"/>
      <c r="T2743" s="10"/>
      <c r="U2743" s="10"/>
      <c r="V2743" s="10"/>
      <c r="W2743" s="10"/>
      <c r="X2743" s="10"/>
      <c r="Y2743" s="10"/>
    </row>
    <row r="2744" spans="1:25" x14ac:dyDescent="0.25">
      <c r="A2744" s="9">
        <v>43282</v>
      </c>
      <c r="B2744" s="10">
        <f ca="1">ROUND(_xlfn.NORM.INV(RAND(),Reference!$C$8,0.1*Reference!$C$8)*(1+Reference!$C$11*(IF(MONTH($A2744)=Reference!$C$4,1,0)+IF(MONTH($A2744)=Reference!$C$5,1,0))+(IF(MONTH($A2744)=Reference!$C$6,Reference!$C$13,0))),0)</f>
        <v>380</v>
      </c>
      <c r="C2744" s="11">
        <f ca="1">B2744*Reference!$C$7*(1-IF(MONTH($A2744)=Reference!$C$6,1,0)*Reference!$C$12)</f>
        <v>353400</v>
      </c>
      <c r="D2744" s="10">
        <f ca="1">ROUND(_xlfn.NORM.INV(RAND(),Reference!$D$8,0.1*Reference!$D$8)*(1+Reference!$D$11*(IF(MONTH($A2744)=Reference!$D$4,1,0)+IF(MONTH($A2744)=Reference!$D$5,1,0))+(IF(MONTH($A2744)=Reference!$D$6,Reference!$D$13,0))),0)</f>
        <v>454</v>
      </c>
      <c r="E2744" s="11">
        <f ca="1">D2744*Reference!$D$7*(1-IF(MONTH($A2744)=Reference!$D$6,1,0)*Reference!$D$12)</f>
        <v>340500</v>
      </c>
      <c r="M2744" s="20"/>
      <c r="N2744" s="20"/>
      <c r="O2744" s="19"/>
      <c r="P2744" s="10"/>
      <c r="Q2744" s="10"/>
      <c r="R2744" s="10"/>
      <c r="S2744" s="10"/>
      <c r="T2744" s="10"/>
      <c r="U2744" s="10"/>
      <c r="V2744" s="10"/>
      <c r="W2744" s="10"/>
      <c r="X2744" s="10"/>
      <c r="Y2744" s="10"/>
    </row>
    <row r="2745" spans="1:25" x14ac:dyDescent="0.25">
      <c r="A2745" s="9">
        <v>43283</v>
      </c>
      <c r="B2745" s="10">
        <f ca="1">ROUND(_xlfn.NORM.INV(RAND(),Reference!$C$8,0.1*Reference!$C$8)*(1+Reference!$C$11*(IF(MONTH($A2745)=Reference!$C$4,1,0)+IF(MONTH($A2745)=Reference!$C$5,1,0))+(IF(MONTH($A2745)=Reference!$C$6,Reference!$C$13,0))),0)</f>
        <v>398</v>
      </c>
      <c r="C2745" s="11">
        <f ca="1">B2745*Reference!$C$7*(1-IF(MONTH($A2745)=Reference!$C$6,1,0)*Reference!$C$12)</f>
        <v>370140</v>
      </c>
      <c r="D2745" s="10">
        <f ca="1">ROUND(_xlfn.NORM.INV(RAND(),Reference!$D$8,0.1*Reference!$D$8)*(1+Reference!$D$11*(IF(MONTH($A2745)=Reference!$D$4,1,0)+IF(MONTH($A2745)=Reference!$D$5,1,0))+(IF(MONTH($A2745)=Reference!$D$6,Reference!$D$13,0))),0)</f>
        <v>473</v>
      </c>
      <c r="E2745" s="11">
        <f ca="1">D2745*Reference!$D$7*(1-IF(MONTH($A2745)=Reference!$D$6,1,0)*Reference!$D$12)</f>
        <v>354750</v>
      </c>
      <c r="M2745" s="20"/>
      <c r="N2745" s="20"/>
      <c r="O2745" s="19"/>
      <c r="P2745" s="10"/>
      <c r="Q2745" s="10"/>
      <c r="R2745" s="10"/>
      <c r="S2745" s="10"/>
      <c r="T2745" s="10"/>
      <c r="U2745" s="10"/>
      <c r="V2745" s="10"/>
      <c r="W2745" s="10"/>
      <c r="X2745" s="10"/>
      <c r="Y2745" s="10"/>
    </row>
    <row r="2746" spans="1:25" x14ac:dyDescent="0.25">
      <c r="A2746" s="9">
        <v>43284</v>
      </c>
      <c r="B2746" s="10">
        <f ca="1">ROUND(_xlfn.NORM.INV(RAND(),Reference!$C$8,0.1*Reference!$C$8)*(1+Reference!$C$11*(IF(MONTH($A2746)=Reference!$C$4,1,0)+IF(MONTH($A2746)=Reference!$C$5,1,0))+(IF(MONTH($A2746)=Reference!$C$6,Reference!$C$13,0))),0)</f>
        <v>375</v>
      </c>
      <c r="C2746" s="11">
        <f ca="1">B2746*Reference!$C$7*(1-IF(MONTH($A2746)=Reference!$C$6,1,0)*Reference!$C$12)</f>
        <v>348750</v>
      </c>
      <c r="D2746" s="10">
        <f ca="1">ROUND(_xlfn.NORM.INV(RAND(),Reference!$D$8,0.1*Reference!$D$8)*(1+Reference!$D$11*(IF(MONTH($A2746)=Reference!$D$4,1,0)+IF(MONTH($A2746)=Reference!$D$5,1,0))+(IF(MONTH($A2746)=Reference!$D$6,Reference!$D$13,0))),0)</f>
        <v>577</v>
      </c>
      <c r="E2746" s="11">
        <f ca="1">D2746*Reference!$D$7*(1-IF(MONTH($A2746)=Reference!$D$6,1,0)*Reference!$D$12)</f>
        <v>432750</v>
      </c>
      <c r="M2746" s="20"/>
      <c r="N2746" s="20"/>
      <c r="O2746" s="19"/>
      <c r="P2746" s="10"/>
      <c r="Q2746" s="10"/>
      <c r="R2746" s="10"/>
      <c r="S2746" s="10"/>
      <c r="T2746" s="10"/>
      <c r="U2746" s="10"/>
      <c r="V2746" s="10"/>
      <c r="W2746" s="10"/>
      <c r="X2746" s="10"/>
      <c r="Y2746" s="10"/>
    </row>
    <row r="2747" spans="1:25" x14ac:dyDescent="0.25">
      <c r="A2747" s="9">
        <v>43285</v>
      </c>
      <c r="B2747" s="10">
        <f ca="1">ROUND(_xlfn.NORM.INV(RAND(),Reference!$C$8,0.1*Reference!$C$8)*(1+Reference!$C$11*(IF(MONTH($A2747)=Reference!$C$4,1,0)+IF(MONTH($A2747)=Reference!$C$5,1,0))+(IF(MONTH($A2747)=Reference!$C$6,Reference!$C$13,0))),0)</f>
        <v>435</v>
      </c>
      <c r="C2747" s="11">
        <f ca="1">B2747*Reference!$C$7*(1-IF(MONTH($A2747)=Reference!$C$6,1,0)*Reference!$C$12)</f>
        <v>404550</v>
      </c>
      <c r="D2747" s="10">
        <f ca="1">ROUND(_xlfn.NORM.INV(RAND(),Reference!$D$8,0.1*Reference!$D$8)*(1+Reference!$D$11*(IF(MONTH($A2747)=Reference!$D$4,1,0)+IF(MONTH($A2747)=Reference!$D$5,1,0))+(IF(MONTH($A2747)=Reference!$D$6,Reference!$D$13,0))),0)</f>
        <v>485</v>
      </c>
      <c r="E2747" s="11">
        <f ca="1">D2747*Reference!$D$7*(1-IF(MONTH($A2747)=Reference!$D$6,1,0)*Reference!$D$12)</f>
        <v>363750</v>
      </c>
      <c r="M2747" s="20"/>
      <c r="N2747" s="20"/>
      <c r="O2747" s="19"/>
      <c r="P2747" s="10"/>
      <c r="Q2747" s="10"/>
      <c r="R2747" s="10"/>
      <c r="S2747" s="10"/>
      <c r="T2747" s="10"/>
      <c r="U2747" s="10"/>
      <c r="V2747" s="10"/>
      <c r="W2747" s="10"/>
      <c r="X2747" s="10"/>
      <c r="Y2747" s="10"/>
    </row>
    <row r="2748" spans="1:25" x14ac:dyDescent="0.25">
      <c r="A2748" s="9">
        <v>43286</v>
      </c>
      <c r="B2748" s="10">
        <f ca="1">ROUND(_xlfn.NORM.INV(RAND(),Reference!$C$8,0.1*Reference!$C$8)*(1+Reference!$C$11*(IF(MONTH($A2748)=Reference!$C$4,1,0)+IF(MONTH($A2748)=Reference!$C$5,1,0))+(IF(MONTH($A2748)=Reference!$C$6,Reference!$C$13,0))),0)</f>
        <v>352</v>
      </c>
      <c r="C2748" s="11">
        <f ca="1">B2748*Reference!$C$7*(1-IF(MONTH($A2748)=Reference!$C$6,1,0)*Reference!$C$12)</f>
        <v>327360</v>
      </c>
      <c r="D2748" s="10">
        <f ca="1">ROUND(_xlfn.NORM.INV(RAND(),Reference!$D$8,0.1*Reference!$D$8)*(1+Reference!$D$11*(IF(MONTH($A2748)=Reference!$D$4,1,0)+IF(MONTH($A2748)=Reference!$D$5,1,0))+(IF(MONTH($A2748)=Reference!$D$6,Reference!$D$13,0))),0)</f>
        <v>507</v>
      </c>
      <c r="E2748" s="11">
        <f ca="1">D2748*Reference!$D$7*(1-IF(MONTH($A2748)=Reference!$D$6,1,0)*Reference!$D$12)</f>
        <v>380250</v>
      </c>
      <c r="M2748" s="20"/>
      <c r="N2748" s="20"/>
      <c r="O2748" s="19"/>
      <c r="P2748" s="10"/>
      <c r="Q2748" s="10"/>
      <c r="R2748" s="10"/>
      <c r="S2748" s="10"/>
      <c r="T2748" s="10"/>
      <c r="U2748" s="10"/>
      <c r="V2748" s="10"/>
      <c r="W2748" s="10"/>
      <c r="X2748" s="10"/>
      <c r="Y2748" s="10"/>
    </row>
    <row r="2749" spans="1:25" x14ac:dyDescent="0.25">
      <c r="A2749" s="9">
        <v>43287</v>
      </c>
      <c r="B2749" s="10">
        <f ca="1">ROUND(_xlfn.NORM.INV(RAND(),Reference!$C$8,0.1*Reference!$C$8)*(1+Reference!$C$11*(IF(MONTH($A2749)=Reference!$C$4,1,0)+IF(MONTH($A2749)=Reference!$C$5,1,0))+(IF(MONTH($A2749)=Reference!$C$6,Reference!$C$13,0))),0)</f>
        <v>318</v>
      </c>
      <c r="C2749" s="11">
        <f ca="1">B2749*Reference!$C$7*(1-IF(MONTH($A2749)=Reference!$C$6,1,0)*Reference!$C$12)</f>
        <v>295740</v>
      </c>
      <c r="D2749" s="10">
        <f ca="1">ROUND(_xlfn.NORM.INV(RAND(),Reference!$D$8,0.1*Reference!$D$8)*(1+Reference!$D$11*(IF(MONTH($A2749)=Reference!$D$4,1,0)+IF(MONTH($A2749)=Reference!$D$5,1,0))+(IF(MONTH($A2749)=Reference!$D$6,Reference!$D$13,0))),0)</f>
        <v>510</v>
      </c>
      <c r="E2749" s="11">
        <f ca="1">D2749*Reference!$D$7*(1-IF(MONTH($A2749)=Reference!$D$6,1,0)*Reference!$D$12)</f>
        <v>382500</v>
      </c>
      <c r="M2749" s="20"/>
      <c r="N2749" s="20"/>
      <c r="O2749" s="19"/>
      <c r="P2749" s="10"/>
      <c r="Q2749" s="10"/>
      <c r="R2749" s="10"/>
      <c r="S2749" s="10"/>
      <c r="T2749" s="10"/>
      <c r="U2749" s="10"/>
      <c r="V2749" s="10"/>
      <c r="W2749" s="10"/>
      <c r="X2749" s="10"/>
      <c r="Y2749" s="10"/>
    </row>
    <row r="2750" spans="1:25" x14ac:dyDescent="0.25">
      <c r="A2750" s="9">
        <v>43288</v>
      </c>
      <c r="B2750" s="10">
        <f ca="1">ROUND(_xlfn.NORM.INV(RAND(),Reference!$C$8,0.1*Reference!$C$8)*(1+Reference!$C$11*(IF(MONTH($A2750)=Reference!$C$4,1,0)+IF(MONTH($A2750)=Reference!$C$5,1,0))+(IF(MONTH($A2750)=Reference!$C$6,Reference!$C$13,0))),0)</f>
        <v>423</v>
      </c>
      <c r="C2750" s="11">
        <f ca="1">B2750*Reference!$C$7*(1-IF(MONTH($A2750)=Reference!$C$6,1,0)*Reference!$C$12)</f>
        <v>393390</v>
      </c>
      <c r="D2750" s="10">
        <f ca="1">ROUND(_xlfn.NORM.INV(RAND(),Reference!$D$8,0.1*Reference!$D$8)*(1+Reference!$D$11*(IF(MONTH($A2750)=Reference!$D$4,1,0)+IF(MONTH($A2750)=Reference!$D$5,1,0))+(IF(MONTH($A2750)=Reference!$D$6,Reference!$D$13,0))),0)</f>
        <v>480</v>
      </c>
      <c r="E2750" s="11">
        <f ca="1">D2750*Reference!$D$7*(1-IF(MONTH($A2750)=Reference!$D$6,1,0)*Reference!$D$12)</f>
        <v>360000</v>
      </c>
      <c r="M2750" s="20"/>
      <c r="N2750" s="20"/>
      <c r="O2750" s="19"/>
      <c r="P2750" s="10"/>
      <c r="Q2750" s="10"/>
      <c r="R2750" s="10"/>
      <c r="S2750" s="10"/>
      <c r="T2750" s="10"/>
      <c r="U2750" s="10"/>
      <c r="V2750" s="10"/>
      <c r="W2750" s="10"/>
      <c r="X2750" s="10"/>
      <c r="Y2750" s="10"/>
    </row>
    <row r="2751" spans="1:25" x14ac:dyDescent="0.25">
      <c r="A2751" s="9">
        <v>43289</v>
      </c>
      <c r="B2751" s="10">
        <f ca="1">ROUND(_xlfn.NORM.INV(RAND(),Reference!$C$8,0.1*Reference!$C$8)*(1+Reference!$C$11*(IF(MONTH($A2751)=Reference!$C$4,1,0)+IF(MONTH($A2751)=Reference!$C$5,1,0))+(IF(MONTH($A2751)=Reference!$C$6,Reference!$C$13,0))),0)</f>
        <v>280</v>
      </c>
      <c r="C2751" s="11">
        <f ca="1">B2751*Reference!$C$7*(1-IF(MONTH($A2751)=Reference!$C$6,1,0)*Reference!$C$12)</f>
        <v>260400</v>
      </c>
      <c r="D2751" s="10">
        <f ca="1">ROUND(_xlfn.NORM.INV(RAND(),Reference!$D$8,0.1*Reference!$D$8)*(1+Reference!$D$11*(IF(MONTH($A2751)=Reference!$D$4,1,0)+IF(MONTH($A2751)=Reference!$D$5,1,0))+(IF(MONTH($A2751)=Reference!$D$6,Reference!$D$13,0))),0)</f>
        <v>475</v>
      </c>
      <c r="E2751" s="11">
        <f ca="1">D2751*Reference!$D$7*(1-IF(MONTH($A2751)=Reference!$D$6,1,0)*Reference!$D$12)</f>
        <v>356250</v>
      </c>
      <c r="M2751" s="20"/>
      <c r="N2751" s="20"/>
      <c r="O2751" s="19"/>
      <c r="P2751" s="10"/>
      <c r="Q2751" s="10"/>
      <c r="R2751" s="10"/>
      <c r="S2751" s="10"/>
      <c r="T2751" s="10"/>
      <c r="U2751" s="10"/>
      <c r="V2751" s="10"/>
      <c r="W2751" s="10"/>
      <c r="X2751" s="10"/>
      <c r="Y2751" s="10"/>
    </row>
    <row r="2752" spans="1:25" x14ac:dyDescent="0.25">
      <c r="A2752" s="9">
        <v>43290</v>
      </c>
      <c r="B2752" s="10">
        <f ca="1">ROUND(_xlfn.NORM.INV(RAND(),Reference!$C$8,0.1*Reference!$C$8)*(1+Reference!$C$11*(IF(MONTH($A2752)=Reference!$C$4,1,0)+IF(MONTH($A2752)=Reference!$C$5,1,0))+(IF(MONTH($A2752)=Reference!$C$6,Reference!$C$13,0))),0)</f>
        <v>397</v>
      </c>
      <c r="C2752" s="11">
        <f ca="1">B2752*Reference!$C$7*(1-IF(MONTH($A2752)=Reference!$C$6,1,0)*Reference!$C$12)</f>
        <v>369210</v>
      </c>
      <c r="D2752" s="10">
        <f ca="1">ROUND(_xlfn.NORM.INV(RAND(),Reference!$D$8,0.1*Reference!$D$8)*(1+Reference!$D$11*(IF(MONTH($A2752)=Reference!$D$4,1,0)+IF(MONTH($A2752)=Reference!$D$5,1,0))+(IF(MONTH($A2752)=Reference!$D$6,Reference!$D$13,0))),0)</f>
        <v>398</v>
      </c>
      <c r="E2752" s="11">
        <f ca="1">D2752*Reference!$D$7*(1-IF(MONTH($A2752)=Reference!$D$6,1,0)*Reference!$D$12)</f>
        <v>298500</v>
      </c>
      <c r="M2752" s="20"/>
      <c r="N2752" s="20"/>
      <c r="O2752" s="19"/>
      <c r="P2752" s="10"/>
      <c r="Q2752" s="10"/>
      <c r="R2752" s="10"/>
      <c r="S2752" s="10"/>
      <c r="T2752" s="10"/>
      <c r="U2752" s="10"/>
      <c r="V2752" s="10"/>
      <c r="W2752" s="10"/>
      <c r="X2752" s="10"/>
      <c r="Y2752" s="10"/>
    </row>
    <row r="2753" spans="1:25" x14ac:dyDescent="0.25">
      <c r="A2753" s="9">
        <v>43291</v>
      </c>
      <c r="B2753" s="10">
        <f ca="1">ROUND(_xlfn.NORM.INV(RAND(),Reference!$C$8,0.1*Reference!$C$8)*(1+Reference!$C$11*(IF(MONTH($A2753)=Reference!$C$4,1,0)+IF(MONTH($A2753)=Reference!$C$5,1,0))+(IF(MONTH($A2753)=Reference!$C$6,Reference!$C$13,0))),0)</f>
        <v>400</v>
      </c>
      <c r="C2753" s="11">
        <f ca="1">B2753*Reference!$C$7*(1-IF(MONTH($A2753)=Reference!$C$6,1,0)*Reference!$C$12)</f>
        <v>372000</v>
      </c>
      <c r="D2753" s="10">
        <f ca="1">ROUND(_xlfn.NORM.INV(RAND(),Reference!$D$8,0.1*Reference!$D$8)*(1+Reference!$D$11*(IF(MONTH($A2753)=Reference!$D$4,1,0)+IF(MONTH($A2753)=Reference!$D$5,1,0))+(IF(MONTH($A2753)=Reference!$D$6,Reference!$D$13,0))),0)</f>
        <v>490</v>
      </c>
      <c r="E2753" s="11">
        <f ca="1">D2753*Reference!$D$7*(1-IF(MONTH($A2753)=Reference!$D$6,1,0)*Reference!$D$12)</f>
        <v>367500</v>
      </c>
      <c r="M2753" s="20"/>
      <c r="N2753" s="20"/>
      <c r="O2753" s="19"/>
      <c r="P2753" s="10"/>
      <c r="Q2753" s="10"/>
      <c r="R2753" s="10"/>
      <c r="S2753" s="10"/>
      <c r="T2753" s="10"/>
      <c r="U2753" s="10"/>
      <c r="V2753" s="10"/>
      <c r="W2753" s="10"/>
      <c r="X2753" s="10"/>
      <c r="Y2753" s="10"/>
    </row>
    <row r="2754" spans="1:25" x14ac:dyDescent="0.25">
      <c r="A2754" s="9">
        <v>43292</v>
      </c>
      <c r="B2754" s="10">
        <f ca="1">ROUND(_xlfn.NORM.INV(RAND(),Reference!$C$8,0.1*Reference!$C$8)*(1+Reference!$C$11*(IF(MONTH($A2754)=Reference!$C$4,1,0)+IF(MONTH($A2754)=Reference!$C$5,1,0))+(IF(MONTH($A2754)=Reference!$C$6,Reference!$C$13,0))),0)</f>
        <v>415</v>
      </c>
      <c r="C2754" s="11">
        <f ca="1">B2754*Reference!$C$7*(1-IF(MONTH($A2754)=Reference!$C$6,1,0)*Reference!$C$12)</f>
        <v>385950</v>
      </c>
      <c r="D2754" s="10">
        <f ca="1">ROUND(_xlfn.NORM.INV(RAND(),Reference!$D$8,0.1*Reference!$D$8)*(1+Reference!$D$11*(IF(MONTH($A2754)=Reference!$D$4,1,0)+IF(MONTH($A2754)=Reference!$D$5,1,0))+(IF(MONTH($A2754)=Reference!$D$6,Reference!$D$13,0))),0)</f>
        <v>514</v>
      </c>
      <c r="E2754" s="11">
        <f ca="1">D2754*Reference!$D$7*(1-IF(MONTH($A2754)=Reference!$D$6,1,0)*Reference!$D$12)</f>
        <v>385500</v>
      </c>
      <c r="M2754" s="20"/>
      <c r="N2754" s="20"/>
      <c r="O2754" s="19"/>
      <c r="P2754" s="10"/>
      <c r="Q2754" s="10"/>
      <c r="R2754" s="10"/>
      <c r="S2754" s="10"/>
      <c r="T2754" s="10"/>
      <c r="U2754" s="10"/>
      <c r="V2754" s="10"/>
      <c r="W2754" s="10"/>
      <c r="X2754" s="10"/>
      <c r="Y2754" s="10"/>
    </row>
    <row r="2755" spans="1:25" x14ac:dyDescent="0.25">
      <c r="A2755" s="9">
        <v>43293</v>
      </c>
      <c r="B2755" s="10">
        <f ca="1">ROUND(_xlfn.NORM.INV(RAND(),Reference!$C$8,0.1*Reference!$C$8)*(1+Reference!$C$11*(IF(MONTH($A2755)=Reference!$C$4,1,0)+IF(MONTH($A2755)=Reference!$C$5,1,0))+(IF(MONTH($A2755)=Reference!$C$6,Reference!$C$13,0))),0)</f>
        <v>408</v>
      </c>
      <c r="C2755" s="11">
        <f ca="1">B2755*Reference!$C$7*(1-IF(MONTH($A2755)=Reference!$C$6,1,0)*Reference!$C$12)</f>
        <v>379440</v>
      </c>
      <c r="D2755" s="10">
        <f ca="1">ROUND(_xlfn.NORM.INV(RAND(),Reference!$D$8,0.1*Reference!$D$8)*(1+Reference!$D$11*(IF(MONTH($A2755)=Reference!$D$4,1,0)+IF(MONTH($A2755)=Reference!$D$5,1,0))+(IF(MONTH($A2755)=Reference!$D$6,Reference!$D$13,0))),0)</f>
        <v>496</v>
      </c>
      <c r="E2755" s="11">
        <f ca="1">D2755*Reference!$D$7*(1-IF(MONTH($A2755)=Reference!$D$6,1,0)*Reference!$D$12)</f>
        <v>372000</v>
      </c>
      <c r="M2755" s="20"/>
      <c r="N2755" s="20"/>
      <c r="O2755" s="19"/>
      <c r="P2755" s="10"/>
      <c r="Q2755" s="10"/>
      <c r="R2755" s="10"/>
      <c r="S2755" s="10"/>
      <c r="T2755" s="10"/>
      <c r="U2755" s="10"/>
      <c r="V2755" s="10"/>
      <c r="W2755" s="10"/>
      <c r="X2755" s="10"/>
      <c r="Y2755" s="10"/>
    </row>
    <row r="2756" spans="1:25" x14ac:dyDescent="0.25">
      <c r="A2756" s="9">
        <v>43294</v>
      </c>
      <c r="B2756" s="10">
        <f ca="1">ROUND(_xlfn.NORM.INV(RAND(),Reference!$C$8,0.1*Reference!$C$8)*(1+Reference!$C$11*(IF(MONTH($A2756)=Reference!$C$4,1,0)+IF(MONTH($A2756)=Reference!$C$5,1,0))+(IF(MONTH($A2756)=Reference!$C$6,Reference!$C$13,0))),0)</f>
        <v>331</v>
      </c>
      <c r="C2756" s="11">
        <f ca="1">B2756*Reference!$C$7*(1-IF(MONTH($A2756)=Reference!$C$6,1,0)*Reference!$C$12)</f>
        <v>307830</v>
      </c>
      <c r="D2756" s="10">
        <f ca="1">ROUND(_xlfn.NORM.INV(RAND(),Reference!$D$8,0.1*Reference!$D$8)*(1+Reference!$D$11*(IF(MONTH($A2756)=Reference!$D$4,1,0)+IF(MONTH($A2756)=Reference!$D$5,1,0))+(IF(MONTH($A2756)=Reference!$D$6,Reference!$D$13,0))),0)</f>
        <v>411</v>
      </c>
      <c r="E2756" s="11">
        <f ca="1">D2756*Reference!$D$7*(1-IF(MONTH($A2756)=Reference!$D$6,1,0)*Reference!$D$12)</f>
        <v>308250</v>
      </c>
      <c r="M2756" s="20"/>
      <c r="N2756" s="20"/>
      <c r="O2756" s="19"/>
      <c r="P2756" s="10"/>
      <c r="Q2756" s="10"/>
      <c r="R2756" s="10"/>
      <c r="S2756" s="10"/>
      <c r="T2756" s="10"/>
      <c r="U2756" s="10"/>
      <c r="V2756" s="10"/>
      <c r="W2756" s="10"/>
      <c r="X2756" s="10"/>
      <c r="Y2756" s="10"/>
    </row>
    <row r="2757" spans="1:25" x14ac:dyDescent="0.25">
      <c r="A2757" s="9">
        <v>43295</v>
      </c>
      <c r="B2757" s="10">
        <f ca="1">ROUND(_xlfn.NORM.INV(RAND(),Reference!$C$8,0.1*Reference!$C$8)*(1+Reference!$C$11*(IF(MONTH($A2757)=Reference!$C$4,1,0)+IF(MONTH($A2757)=Reference!$C$5,1,0))+(IF(MONTH($A2757)=Reference!$C$6,Reference!$C$13,0))),0)</f>
        <v>414</v>
      </c>
      <c r="C2757" s="11">
        <f ca="1">B2757*Reference!$C$7*(1-IF(MONTH($A2757)=Reference!$C$6,1,0)*Reference!$C$12)</f>
        <v>385020</v>
      </c>
      <c r="D2757" s="10">
        <f ca="1">ROUND(_xlfn.NORM.INV(RAND(),Reference!$D$8,0.1*Reference!$D$8)*(1+Reference!$D$11*(IF(MONTH($A2757)=Reference!$D$4,1,0)+IF(MONTH($A2757)=Reference!$D$5,1,0))+(IF(MONTH($A2757)=Reference!$D$6,Reference!$D$13,0))),0)</f>
        <v>539</v>
      </c>
      <c r="E2757" s="11">
        <f ca="1">D2757*Reference!$D$7*(1-IF(MONTH($A2757)=Reference!$D$6,1,0)*Reference!$D$12)</f>
        <v>404250</v>
      </c>
      <c r="M2757" s="20"/>
      <c r="N2757" s="20"/>
      <c r="O2757" s="19"/>
      <c r="P2757" s="10"/>
      <c r="Q2757" s="10"/>
      <c r="R2757" s="10"/>
      <c r="S2757" s="10"/>
      <c r="T2757" s="10"/>
      <c r="U2757" s="10"/>
      <c r="V2757" s="10"/>
      <c r="W2757" s="10"/>
      <c r="X2757" s="10"/>
      <c r="Y2757" s="10"/>
    </row>
    <row r="2758" spans="1:25" x14ac:dyDescent="0.25">
      <c r="A2758" s="9">
        <v>43296</v>
      </c>
      <c r="B2758" s="10">
        <f ca="1">ROUND(_xlfn.NORM.INV(RAND(),Reference!$C$8,0.1*Reference!$C$8)*(1+Reference!$C$11*(IF(MONTH($A2758)=Reference!$C$4,1,0)+IF(MONTH($A2758)=Reference!$C$5,1,0))+(IF(MONTH($A2758)=Reference!$C$6,Reference!$C$13,0))),0)</f>
        <v>384</v>
      </c>
      <c r="C2758" s="11">
        <f ca="1">B2758*Reference!$C$7*(1-IF(MONTH($A2758)=Reference!$C$6,1,0)*Reference!$C$12)</f>
        <v>357120</v>
      </c>
      <c r="D2758" s="10">
        <f ca="1">ROUND(_xlfn.NORM.INV(RAND(),Reference!$D$8,0.1*Reference!$D$8)*(1+Reference!$D$11*(IF(MONTH($A2758)=Reference!$D$4,1,0)+IF(MONTH($A2758)=Reference!$D$5,1,0))+(IF(MONTH($A2758)=Reference!$D$6,Reference!$D$13,0))),0)</f>
        <v>499</v>
      </c>
      <c r="E2758" s="11">
        <f ca="1">D2758*Reference!$D$7*(1-IF(MONTH($A2758)=Reference!$D$6,1,0)*Reference!$D$12)</f>
        <v>374250</v>
      </c>
      <c r="M2758" s="20"/>
      <c r="N2758" s="20"/>
      <c r="O2758" s="19"/>
      <c r="P2758" s="10"/>
      <c r="Q2758" s="10"/>
      <c r="R2758" s="10"/>
      <c r="S2758" s="10"/>
      <c r="T2758" s="10"/>
      <c r="U2758" s="10"/>
      <c r="V2758" s="10"/>
      <c r="W2758" s="10"/>
      <c r="X2758" s="10"/>
      <c r="Y2758" s="10"/>
    </row>
    <row r="2759" spans="1:25" x14ac:dyDescent="0.25">
      <c r="A2759" s="9">
        <v>43297</v>
      </c>
      <c r="B2759" s="10">
        <f ca="1">ROUND(_xlfn.NORM.INV(RAND(),Reference!$C$8,0.1*Reference!$C$8)*(1+Reference!$C$11*(IF(MONTH($A2759)=Reference!$C$4,1,0)+IF(MONTH($A2759)=Reference!$C$5,1,0))+(IF(MONTH($A2759)=Reference!$C$6,Reference!$C$13,0))),0)</f>
        <v>336</v>
      </c>
      <c r="C2759" s="11">
        <f ca="1">B2759*Reference!$C$7*(1-IF(MONTH($A2759)=Reference!$C$6,1,0)*Reference!$C$12)</f>
        <v>312480</v>
      </c>
      <c r="D2759" s="10">
        <f ca="1">ROUND(_xlfn.NORM.INV(RAND(),Reference!$D$8,0.1*Reference!$D$8)*(1+Reference!$D$11*(IF(MONTH($A2759)=Reference!$D$4,1,0)+IF(MONTH($A2759)=Reference!$D$5,1,0))+(IF(MONTH($A2759)=Reference!$D$6,Reference!$D$13,0))),0)</f>
        <v>489</v>
      </c>
      <c r="E2759" s="11">
        <f ca="1">D2759*Reference!$D$7*(1-IF(MONTH($A2759)=Reference!$D$6,1,0)*Reference!$D$12)</f>
        <v>366750</v>
      </c>
      <c r="M2759" s="20"/>
      <c r="N2759" s="20"/>
      <c r="O2759" s="19"/>
      <c r="P2759" s="10"/>
      <c r="Q2759" s="10"/>
      <c r="R2759" s="10"/>
      <c r="S2759" s="10"/>
      <c r="T2759" s="10"/>
      <c r="U2759" s="10"/>
      <c r="V2759" s="10"/>
      <c r="W2759" s="10"/>
      <c r="X2759" s="10"/>
      <c r="Y2759" s="10"/>
    </row>
    <row r="2760" spans="1:25" x14ac:dyDescent="0.25">
      <c r="A2760" s="9">
        <v>43298</v>
      </c>
      <c r="B2760" s="10">
        <f ca="1">ROUND(_xlfn.NORM.INV(RAND(),Reference!$C$8,0.1*Reference!$C$8)*(1+Reference!$C$11*(IF(MONTH($A2760)=Reference!$C$4,1,0)+IF(MONTH($A2760)=Reference!$C$5,1,0))+(IF(MONTH($A2760)=Reference!$C$6,Reference!$C$13,0))),0)</f>
        <v>455</v>
      </c>
      <c r="C2760" s="11">
        <f ca="1">B2760*Reference!$C$7*(1-IF(MONTH($A2760)=Reference!$C$6,1,0)*Reference!$C$12)</f>
        <v>423150</v>
      </c>
      <c r="D2760" s="10">
        <f ca="1">ROUND(_xlfn.NORM.INV(RAND(),Reference!$D$8,0.1*Reference!$D$8)*(1+Reference!$D$11*(IF(MONTH($A2760)=Reference!$D$4,1,0)+IF(MONTH($A2760)=Reference!$D$5,1,0))+(IF(MONTH($A2760)=Reference!$D$6,Reference!$D$13,0))),0)</f>
        <v>451</v>
      </c>
      <c r="E2760" s="11">
        <f ca="1">D2760*Reference!$D$7*(1-IF(MONTH($A2760)=Reference!$D$6,1,0)*Reference!$D$12)</f>
        <v>338250</v>
      </c>
      <c r="M2760" s="20"/>
      <c r="N2760" s="20"/>
      <c r="O2760" s="19"/>
      <c r="P2760" s="10"/>
      <c r="Q2760" s="10"/>
      <c r="R2760" s="10"/>
      <c r="S2760" s="10"/>
      <c r="T2760" s="10"/>
      <c r="U2760" s="10"/>
      <c r="V2760" s="10"/>
      <c r="W2760" s="10"/>
      <c r="X2760" s="10"/>
      <c r="Y2760" s="10"/>
    </row>
    <row r="2761" spans="1:25" x14ac:dyDescent="0.25">
      <c r="A2761" s="9">
        <v>43299</v>
      </c>
      <c r="B2761" s="10">
        <f ca="1">ROUND(_xlfn.NORM.INV(RAND(),Reference!$C$8,0.1*Reference!$C$8)*(1+Reference!$C$11*(IF(MONTH($A2761)=Reference!$C$4,1,0)+IF(MONTH($A2761)=Reference!$C$5,1,0))+(IF(MONTH($A2761)=Reference!$C$6,Reference!$C$13,0))),0)</f>
        <v>373</v>
      </c>
      <c r="C2761" s="11">
        <f ca="1">B2761*Reference!$C$7*(1-IF(MONTH($A2761)=Reference!$C$6,1,0)*Reference!$C$12)</f>
        <v>346890</v>
      </c>
      <c r="D2761" s="10">
        <f ca="1">ROUND(_xlfn.NORM.INV(RAND(),Reference!$D$8,0.1*Reference!$D$8)*(1+Reference!$D$11*(IF(MONTH($A2761)=Reference!$D$4,1,0)+IF(MONTH($A2761)=Reference!$D$5,1,0))+(IF(MONTH($A2761)=Reference!$D$6,Reference!$D$13,0))),0)</f>
        <v>455</v>
      </c>
      <c r="E2761" s="11">
        <f ca="1">D2761*Reference!$D$7*(1-IF(MONTH($A2761)=Reference!$D$6,1,0)*Reference!$D$12)</f>
        <v>341250</v>
      </c>
      <c r="M2761" s="20"/>
      <c r="N2761" s="20"/>
      <c r="O2761" s="19"/>
      <c r="P2761" s="10"/>
      <c r="Q2761" s="10"/>
      <c r="R2761" s="10"/>
      <c r="S2761" s="10"/>
      <c r="T2761" s="10"/>
      <c r="U2761" s="10"/>
      <c r="V2761" s="10"/>
      <c r="W2761" s="10"/>
      <c r="X2761" s="10"/>
      <c r="Y2761" s="10"/>
    </row>
    <row r="2762" spans="1:25" x14ac:dyDescent="0.25">
      <c r="A2762" s="9">
        <v>43300</v>
      </c>
      <c r="B2762" s="10">
        <f ca="1">ROUND(_xlfn.NORM.INV(RAND(),Reference!$C$8,0.1*Reference!$C$8)*(1+Reference!$C$11*(IF(MONTH($A2762)=Reference!$C$4,1,0)+IF(MONTH($A2762)=Reference!$C$5,1,0))+(IF(MONTH($A2762)=Reference!$C$6,Reference!$C$13,0))),0)</f>
        <v>329</v>
      </c>
      <c r="C2762" s="11">
        <f ca="1">B2762*Reference!$C$7*(1-IF(MONTH($A2762)=Reference!$C$6,1,0)*Reference!$C$12)</f>
        <v>305970</v>
      </c>
      <c r="D2762" s="10">
        <f ca="1">ROUND(_xlfn.NORM.INV(RAND(),Reference!$D$8,0.1*Reference!$D$8)*(1+Reference!$D$11*(IF(MONTH($A2762)=Reference!$D$4,1,0)+IF(MONTH($A2762)=Reference!$D$5,1,0))+(IF(MONTH($A2762)=Reference!$D$6,Reference!$D$13,0))),0)</f>
        <v>500</v>
      </c>
      <c r="E2762" s="11">
        <f ca="1">D2762*Reference!$D$7*(1-IF(MONTH($A2762)=Reference!$D$6,1,0)*Reference!$D$12)</f>
        <v>375000</v>
      </c>
      <c r="M2762" s="20"/>
      <c r="N2762" s="20"/>
      <c r="O2762" s="19"/>
      <c r="P2762" s="10"/>
      <c r="Q2762" s="10"/>
      <c r="R2762" s="10"/>
      <c r="S2762" s="10"/>
      <c r="T2762" s="10"/>
      <c r="U2762" s="10"/>
      <c r="V2762" s="10"/>
      <c r="W2762" s="10"/>
      <c r="X2762" s="10"/>
      <c r="Y2762" s="10"/>
    </row>
    <row r="2763" spans="1:25" x14ac:dyDescent="0.25">
      <c r="A2763" s="9">
        <v>43301</v>
      </c>
      <c r="B2763" s="10">
        <f ca="1">ROUND(_xlfn.NORM.INV(RAND(),Reference!$C$8,0.1*Reference!$C$8)*(1+Reference!$C$11*(IF(MONTH($A2763)=Reference!$C$4,1,0)+IF(MONTH($A2763)=Reference!$C$5,1,0))+(IF(MONTH($A2763)=Reference!$C$6,Reference!$C$13,0))),0)</f>
        <v>296</v>
      </c>
      <c r="C2763" s="11">
        <f ca="1">B2763*Reference!$C$7*(1-IF(MONTH($A2763)=Reference!$C$6,1,0)*Reference!$C$12)</f>
        <v>275280</v>
      </c>
      <c r="D2763" s="10">
        <f ca="1">ROUND(_xlfn.NORM.INV(RAND(),Reference!$D$8,0.1*Reference!$D$8)*(1+Reference!$D$11*(IF(MONTH($A2763)=Reference!$D$4,1,0)+IF(MONTH($A2763)=Reference!$D$5,1,0))+(IF(MONTH($A2763)=Reference!$D$6,Reference!$D$13,0))),0)</f>
        <v>516</v>
      </c>
      <c r="E2763" s="11">
        <f ca="1">D2763*Reference!$D$7*(1-IF(MONTH($A2763)=Reference!$D$6,1,0)*Reference!$D$12)</f>
        <v>387000</v>
      </c>
      <c r="M2763" s="20"/>
      <c r="N2763" s="20"/>
      <c r="O2763" s="19"/>
      <c r="P2763" s="10"/>
      <c r="Q2763" s="10"/>
      <c r="R2763" s="10"/>
      <c r="S2763" s="10"/>
      <c r="T2763" s="10"/>
      <c r="U2763" s="10"/>
      <c r="V2763" s="10"/>
      <c r="W2763" s="10"/>
      <c r="X2763" s="10"/>
      <c r="Y2763" s="10"/>
    </row>
    <row r="2764" spans="1:25" x14ac:dyDescent="0.25">
      <c r="A2764" s="9">
        <v>43302</v>
      </c>
      <c r="B2764" s="10">
        <f ca="1">ROUND(_xlfn.NORM.INV(RAND(),Reference!$C$8,0.1*Reference!$C$8)*(1+Reference!$C$11*(IF(MONTH($A2764)=Reference!$C$4,1,0)+IF(MONTH($A2764)=Reference!$C$5,1,0))+(IF(MONTH($A2764)=Reference!$C$6,Reference!$C$13,0))),0)</f>
        <v>375</v>
      </c>
      <c r="C2764" s="11">
        <f ca="1">B2764*Reference!$C$7*(1-IF(MONTH($A2764)=Reference!$C$6,1,0)*Reference!$C$12)</f>
        <v>348750</v>
      </c>
      <c r="D2764" s="10">
        <f ca="1">ROUND(_xlfn.NORM.INV(RAND(),Reference!$D$8,0.1*Reference!$D$8)*(1+Reference!$D$11*(IF(MONTH($A2764)=Reference!$D$4,1,0)+IF(MONTH($A2764)=Reference!$D$5,1,0))+(IF(MONTH($A2764)=Reference!$D$6,Reference!$D$13,0))),0)</f>
        <v>391</v>
      </c>
      <c r="E2764" s="11">
        <f ca="1">D2764*Reference!$D$7*(1-IF(MONTH($A2764)=Reference!$D$6,1,0)*Reference!$D$12)</f>
        <v>293250</v>
      </c>
      <c r="M2764" s="20"/>
      <c r="N2764" s="20"/>
      <c r="O2764" s="19"/>
      <c r="P2764" s="10"/>
      <c r="Q2764" s="10"/>
      <c r="R2764" s="10"/>
      <c r="S2764" s="10"/>
      <c r="T2764" s="10"/>
      <c r="U2764" s="10"/>
      <c r="V2764" s="10"/>
      <c r="W2764" s="10"/>
      <c r="X2764" s="10"/>
      <c r="Y2764" s="10"/>
    </row>
    <row r="2765" spans="1:25" x14ac:dyDescent="0.25">
      <c r="A2765" s="9">
        <v>43303</v>
      </c>
      <c r="B2765" s="10">
        <f ca="1">ROUND(_xlfn.NORM.INV(RAND(),Reference!$C$8,0.1*Reference!$C$8)*(1+Reference!$C$11*(IF(MONTH($A2765)=Reference!$C$4,1,0)+IF(MONTH($A2765)=Reference!$C$5,1,0))+(IF(MONTH($A2765)=Reference!$C$6,Reference!$C$13,0))),0)</f>
        <v>381</v>
      </c>
      <c r="C2765" s="11">
        <f ca="1">B2765*Reference!$C$7*(1-IF(MONTH($A2765)=Reference!$C$6,1,0)*Reference!$C$12)</f>
        <v>354330</v>
      </c>
      <c r="D2765" s="10">
        <f ca="1">ROUND(_xlfn.NORM.INV(RAND(),Reference!$D$8,0.1*Reference!$D$8)*(1+Reference!$D$11*(IF(MONTH($A2765)=Reference!$D$4,1,0)+IF(MONTH($A2765)=Reference!$D$5,1,0))+(IF(MONTH($A2765)=Reference!$D$6,Reference!$D$13,0))),0)</f>
        <v>517</v>
      </c>
      <c r="E2765" s="11">
        <f ca="1">D2765*Reference!$D$7*(1-IF(MONTH($A2765)=Reference!$D$6,1,0)*Reference!$D$12)</f>
        <v>387750</v>
      </c>
      <c r="M2765" s="20"/>
      <c r="N2765" s="20"/>
      <c r="O2765" s="19"/>
      <c r="P2765" s="10"/>
      <c r="Q2765" s="10"/>
      <c r="R2765" s="10"/>
      <c r="S2765" s="10"/>
      <c r="T2765" s="10"/>
      <c r="U2765" s="10"/>
      <c r="V2765" s="10"/>
      <c r="W2765" s="10"/>
      <c r="X2765" s="10"/>
      <c r="Y2765" s="10"/>
    </row>
    <row r="2766" spans="1:25" x14ac:dyDescent="0.25">
      <c r="A2766" s="9">
        <v>43304</v>
      </c>
      <c r="B2766" s="10">
        <f ca="1">ROUND(_xlfn.NORM.INV(RAND(),Reference!$C$8,0.1*Reference!$C$8)*(1+Reference!$C$11*(IF(MONTH($A2766)=Reference!$C$4,1,0)+IF(MONTH($A2766)=Reference!$C$5,1,0))+(IF(MONTH($A2766)=Reference!$C$6,Reference!$C$13,0))),0)</f>
        <v>383</v>
      </c>
      <c r="C2766" s="11">
        <f ca="1">B2766*Reference!$C$7*(1-IF(MONTH($A2766)=Reference!$C$6,1,0)*Reference!$C$12)</f>
        <v>356190</v>
      </c>
      <c r="D2766" s="10">
        <f ca="1">ROUND(_xlfn.NORM.INV(RAND(),Reference!$D$8,0.1*Reference!$D$8)*(1+Reference!$D$11*(IF(MONTH($A2766)=Reference!$D$4,1,0)+IF(MONTH($A2766)=Reference!$D$5,1,0))+(IF(MONTH($A2766)=Reference!$D$6,Reference!$D$13,0))),0)</f>
        <v>423</v>
      </c>
      <c r="E2766" s="11">
        <f ca="1">D2766*Reference!$D$7*(1-IF(MONTH($A2766)=Reference!$D$6,1,0)*Reference!$D$12)</f>
        <v>317250</v>
      </c>
      <c r="M2766" s="20"/>
      <c r="N2766" s="20"/>
      <c r="O2766" s="19"/>
      <c r="P2766" s="10"/>
      <c r="Q2766" s="10"/>
      <c r="R2766" s="10"/>
      <c r="S2766" s="10"/>
      <c r="T2766" s="10"/>
      <c r="U2766" s="10"/>
      <c r="V2766" s="10"/>
      <c r="W2766" s="10"/>
      <c r="X2766" s="10"/>
      <c r="Y2766" s="10"/>
    </row>
    <row r="2767" spans="1:25" x14ac:dyDescent="0.25">
      <c r="A2767" s="9">
        <v>43305</v>
      </c>
      <c r="B2767" s="10">
        <f ca="1">ROUND(_xlfn.NORM.INV(RAND(),Reference!$C$8,0.1*Reference!$C$8)*(1+Reference!$C$11*(IF(MONTH($A2767)=Reference!$C$4,1,0)+IF(MONTH($A2767)=Reference!$C$5,1,0))+(IF(MONTH($A2767)=Reference!$C$6,Reference!$C$13,0))),0)</f>
        <v>411</v>
      </c>
      <c r="C2767" s="11">
        <f ca="1">B2767*Reference!$C$7*(1-IF(MONTH($A2767)=Reference!$C$6,1,0)*Reference!$C$12)</f>
        <v>382230</v>
      </c>
      <c r="D2767" s="10">
        <f ca="1">ROUND(_xlfn.NORM.INV(RAND(),Reference!$D$8,0.1*Reference!$D$8)*(1+Reference!$D$11*(IF(MONTH($A2767)=Reference!$D$4,1,0)+IF(MONTH($A2767)=Reference!$D$5,1,0))+(IF(MONTH($A2767)=Reference!$D$6,Reference!$D$13,0))),0)</f>
        <v>417</v>
      </c>
      <c r="E2767" s="11">
        <f ca="1">D2767*Reference!$D$7*(1-IF(MONTH($A2767)=Reference!$D$6,1,0)*Reference!$D$12)</f>
        <v>312750</v>
      </c>
      <c r="M2767" s="20"/>
      <c r="N2767" s="20"/>
      <c r="O2767" s="19"/>
      <c r="P2767" s="10"/>
      <c r="Q2767" s="10"/>
      <c r="R2767" s="10"/>
      <c r="S2767" s="10"/>
      <c r="T2767" s="10"/>
      <c r="U2767" s="10"/>
      <c r="V2767" s="10"/>
      <c r="W2767" s="10"/>
      <c r="X2767" s="10"/>
      <c r="Y2767" s="10"/>
    </row>
    <row r="2768" spans="1:25" x14ac:dyDescent="0.25">
      <c r="A2768" s="9">
        <v>43306</v>
      </c>
      <c r="B2768" s="10">
        <f ca="1">ROUND(_xlfn.NORM.INV(RAND(),Reference!$C$8,0.1*Reference!$C$8)*(1+Reference!$C$11*(IF(MONTH($A2768)=Reference!$C$4,1,0)+IF(MONTH($A2768)=Reference!$C$5,1,0))+(IF(MONTH($A2768)=Reference!$C$6,Reference!$C$13,0))),0)</f>
        <v>388</v>
      </c>
      <c r="C2768" s="11">
        <f ca="1">B2768*Reference!$C$7*(1-IF(MONTH($A2768)=Reference!$C$6,1,0)*Reference!$C$12)</f>
        <v>360840</v>
      </c>
      <c r="D2768" s="10">
        <f ca="1">ROUND(_xlfn.NORM.INV(RAND(),Reference!$D$8,0.1*Reference!$D$8)*(1+Reference!$D$11*(IF(MONTH($A2768)=Reference!$D$4,1,0)+IF(MONTH($A2768)=Reference!$D$5,1,0))+(IF(MONTH($A2768)=Reference!$D$6,Reference!$D$13,0))),0)</f>
        <v>518</v>
      </c>
      <c r="E2768" s="11">
        <f ca="1">D2768*Reference!$D$7*(1-IF(MONTH($A2768)=Reference!$D$6,1,0)*Reference!$D$12)</f>
        <v>388500</v>
      </c>
      <c r="M2768" s="20"/>
      <c r="N2768" s="20"/>
      <c r="O2768" s="19"/>
      <c r="P2768" s="10"/>
      <c r="Q2768" s="10"/>
      <c r="R2768" s="10"/>
      <c r="S2768" s="10"/>
      <c r="T2768" s="10"/>
      <c r="U2768" s="10"/>
      <c r="V2768" s="10"/>
      <c r="W2768" s="10"/>
      <c r="X2768" s="10"/>
      <c r="Y2768" s="10"/>
    </row>
    <row r="2769" spans="1:25" x14ac:dyDescent="0.25">
      <c r="A2769" s="9">
        <v>43307</v>
      </c>
      <c r="B2769" s="10">
        <f ca="1">ROUND(_xlfn.NORM.INV(RAND(),Reference!$C$8,0.1*Reference!$C$8)*(1+Reference!$C$11*(IF(MONTH($A2769)=Reference!$C$4,1,0)+IF(MONTH($A2769)=Reference!$C$5,1,0))+(IF(MONTH($A2769)=Reference!$C$6,Reference!$C$13,0))),0)</f>
        <v>392</v>
      </c>
      <c r="C2769" s="11">
        <f ca="1">B2769*Reference!$C$7*(1-IF(MONTH($A2769)=Reference!$C$6,1,0)*Reference!$C$12)</f>
        <v>364560</v>
      </c>
      <c r="D2769" s="10">
        <f ca="1">ROUND(_xlfn.NORM.INV(RAND(),Reference!$D$8,0.1*Reference!$D$8)*(1+Reference!$D$11*(IF(MONTH($A2769)=Reference!$D$4,1,0)+IF(MONTH($A2769)=Reference!$D$5,1,0))+(IF(MONTH($A2769)=Reference!$D$6,Reference!$D$13,0))),0)</f>
        <v>623</v>
      </c>
      <c r="E2769" s="11">
        <f ca="1">D2769*Reference!$D$7*(1-IF(MONTH($A2769)=Reference!$D$6,1,0)*Reference!$D$12)</f>
        <v>467250</v>
      </c>
      <c r="M2769" s="20"/>
      <c r="N2769" s="20"/>
      <c r="O2769" s="19"/>
      <c r="P2769" s="10"/>
      <c r="Q2769" s="10"/>
      <c r="R2769" s="10"/>
      <c r="S2769" s="10"/>
      <c r="T2769" s="10"/>
      <c r="U2769" s="10"/>
      <c r="V2769" s="10"/>
      <c r="W2769" s="10"/>
      <c r="X2769" s="10"/>
      <c r="Y2769" s="10"/>
    </row>
    <row r="2770" spans="1:25" x14ac:dyDescent="0.25">
      <c r="A2770" s="9">
        <v>43308</v>
      </c>
      <c r="B2770" s="10">
        <f ca="1">ROUND(_xlfn.NORM.INV(RAND(),Reference!$C$8,0.1*Reference!$C$8)*(1+Reference!$C$11*(IF(MONTH($A2770)=Reference!$C$4,1,0)+IF(MONTH($A2770)=Reference!$C$5,1,0))+(IF(MONTH($A2770)=Reference!$C$6,Reference!$C$13,0))),0)</f>
        <v>356</v>
      </c>
      <c r="C2770" s="11">
        <f ca="1">B2770*Reference!$C$7*(1-IF(MONTH($A2770)=Reference!$C$6,1,0)*Reference!$C$12)</f>
        <v>331080</v>
      </c>
      <c r="D2770" s="10">
        <f ca="1">ROUND(_xlfn.NORM.INV(RAND(),Reference!$D$8,0.1*Reference!$D$8)*(1+Reference!$D$11*(IF(MONTH($A2770)=Reference!$D$4,1,0)+IF(MONTH($A2770)=Reference!$D$5,1,0))+(IF(MONTH($A2770)=Reference!$D$6,Reference!$D$13,0))),0)</f>
        <v>473</v>
      </c>
      <c r="E2770" s="11">
        <f ca="1">D2770*Reference!$D$7*(1-IF(MONTH($A2770)=Reference!$D$6,1,0)*Reference!$D$12)</f>
        <v>354750</v>
      </c>
      <c r="M2770" s="20"/>
      <c r="N2770" s="20"/>
      <c r="O2770" s="19"/>
      <c r="P2770" s="10"/>
      <c r="Q2770" s="10"/>
      <c r="R2770" s="10"/>
      <c r="S2770" s="10"/>
      <c r="T2770" s="10"/>
      <c r="U2770" s="10"/>
      <c r="V2770" s="10"/>
      <c r="W2770" s="10"/>
      <c r="X2770" s="10"/>
      <c r="Y2770" s="10"/>
    </row>
    <row r="2771" spans="1:25" x14ac:dyDescent="0.25">
      <c r="A2771" s="9">
        <v>43309</v>
      </c>
      <c r="B2771" s="10">
        <f ca="1">ROUND(_xlfn.NORM.INV(RAND(),Reference!$C$8,0.1*Reference!$C$8)*(1+Reference!$C$11*(IF(MONTH($A2771)=Reference!$C$4,1,0)+IF(MONTH($A2771)=Reference!$C$5,1,0))+(IF(MONTH($A2771)=Reference!$C$6,Reference!$C$13,0))),0)</f>
        <v>348</v>
      </c>
      <c r="C2771" s="11">
        <f ca="1">B2771*Reference!$C$7*(1-IF(MONTH($A2771)=Reference!$C$6,1,0)*Reference!$C$12)</f>
        <v>323640</v>
      </c>
      <c r="D2771" s="10">
        <f ca="1">ROUND(_xlfn.NORM.INV(RAND(),Reference!$D$8,0.1*Reference!$D$8)*(1+Reference!$D$11*(IF(MONTH($A2771)=Reference!$D$4,1,0)+IF(MONTH($A2771)=Reference!$D$5,1,0))+(IF(MONTH($A2771)=Reference!$D$6,Reference!$D$13,0))),0)</f>
        <v>531</v>
      </c>
      <c r="E2771" s="11">
        <f ca="1">D2771*Reference!$D$7*(1-IF(MONTH($A2771)=Reference!$D$6,1,0)*Reference!$D$12)</f>
        <v>398250</v>
      </c>
      <c r="M2771" s="20"/>
      <c r="N2771" s="20"/>
      <c r="O2771" s="19"/>
      <c r="P2771" s="10"/>
      <c r="Q2771" s="10"/>
      <c r="R2771" s="10"/>
      <c r="S2771" s="10"/>
      <c r="T2771" s="10"/>
      <c r="U2771" s="10"/>
      <c r="V2771" s="10"/>
      <c r="W2771" s="10"/>
      <c r="X2771" s="10"/>
      <c r="Y2771" s="10"/>
    </row>
    <row r="2772" spans="1:25" x14ac:dyDescent="0.25">
      <c r="A2772" s="9">
        <v>43310</v>
      </c>
      <c r="B2772" s="10">
        <f ca="1">ROUND(_xlfn.NORM.INV(RAND(),Reference!$C$8,0.1*Reference!$C$8)*(1+Reference!$C$11*(IF(MONTH($A2772)=Reference!$C$4,1,0)+IF(MONTH($A2772)=Reference!$C$5,1,0))+(IF(MONTH($A2772)=Reference!$C$6,Reference!$C$13,0))),0)</f>
        <v>382</v>
      </c>
      <c r="C2772" s="11">
        <f ca="1">B2772*Reference!$C$7*(1-IF(MONTH($A2772)=Reference!$C$6,1,0)*Reference!$C$12)</f>
        <v>355260</v>
      </c>
      <c r="D2772" s="10">
        <f ca="1">ROUND(_xlfn.NORM.INV(RAND(),Reference!$D$8,0.1*Reference!$D$8)*(1+Reference!$D$11*(IF(MONTH($A2772)=Reference!$D$4,1,0)+IF(MONTH($A2772)=Reference!$D$5,1,0))+(IF(MONTH($A2772)=Reference!$D$6,Reference!$D$13,0))),0)</f>
        <v>435</v>
      </c>
      <c r="E2772" s="11">
        <f ca="1">D2772*Reference!$D$7*(1-IF(MONTH($A2772)=Reference!$D$6,1,0)*Reference!$D$12)</f>
        <v>326250</v>
      </c>
      <c r="M2772" s="20"/>
      <c r="N2772" s="20"/>
      <c r="O2772" s="19"/>
      <c r="P2772" s="10"/>
      <c r="Q2772" s="10"/>
      <c r="R2772" s="10"/>
      <c r="S2772" s="10"/>
      <c r="T2772" s="10"/>
      <c r="U2772" s="10"/>
      <c r="V2772" s="10"/>
      <c r="W2772" s="10"/>
      <c r="X2772" s="10"/>
      <c r="Y2772" s="10"/>
    </row>
    <row r="2773" spans="1:25" x14ac:dyDescent="0.25">
      <c r="A2773" s="9">
        <v>43311</v>
      </c>
      <c r="B2773" s="10">
        <f ca="1">ROUND(_xlfn.NORM.INV(RAND(),Reference!$C$8,0.1*Reference!$C$8)*(1+Reference!$C$11*(IF(MONTH($A2773)=Reference!$C$4,1,0)+IF(MONTH($A2773)=Reference!$C$5,1,0))+(IF(MONTH($A2773)=Reference!$C$6,Reference!$C$13,0))),0)</f>
        <v>370</v>
      </c>
      <c r="C2773" s="11">
        <f ca="1">B2773*Reference!$C$7*(1-IF(MONTH($A2773)=Reference!$C$6,1,0)*Reference!$C$12)</f>
        <v>344100</v>
      </c>
      <c r="D2773" s="10">
        <f ca="1">ROUND(_xlfn.NORM.INV(RAND(),Reference!$D$8,0.1*Reference!$D$8)*(1+Reference!$D$11*(IF(MONTH($A2773)=Reference!$D$4,1,0)+IF(MONTH($A2773)=Reference!$D$5,1,0))+(IF(MONTH($A2773)=Reference!$D$6,Reference!$D$13,0))),0)</f>
        <v>389</v>
      </c>
      <c r="E2773" s="11">
        <f ca="1">D2773*Reference!$D$7*(1-IF(MONTH($A2773)=Reference!$D$6,1,0)*Reference!$D$12)</f>
        <v>291750</v>
      </c>
      <c r="M2773" s="20"/>
      <c r="N2773" s="20"/>
      <c r="O2773" s="19"/>
      <c r="P2773" s="10"/>
      <c r="Q2773" s="10"/>
      <c r="R2773" s="10"/>
      <c r="S2773" s="10"/>
      <c r="T2773" s="10"/>
      <c r="U2773" s="10"/>
      <c r="V2773" s="10"/>
      <c r="W2773" s="10"/>
      <c r="X2773" s="10"/>
      <c r="Y2773" s="10"/>
    </row>
    <row r="2774" spans="1:25" x14ac:dyDescent="0.25">
      <c r="A2774" s="9">
        <v>43312</v>
      </c>
      <c r="B2774" s="10">
        <f ca="1">ROUND(_xlfn.NORM.INV(RAND(),Reference!$C$8,0.1*Reference!$C$8)*(1+Reference!$C$11*(IF(MONTH($A2774)=Reference!$C$4,1,0)+IF(MONTH($A2774)=Reference!$C$5,1,0))+(IF(MONTH($A2774)=Reference!$C$6,Reference!$C$13,0))),0)</f>
        <v>384</v>
      </c>
      <c r="C2774" s="11">
        <f ca="1">B2774*Reference!$C$7*(1-IF(MONTH($A2774)=Reference!$C$6,1,0)*Reference!$C$12)</f>
        <v>357120</v>
      </c>
      <c r="D2774" s="10">
        <f ca="1">ROUND(_xlfn.NORM.INV(RAND(),Reference!$D$8,0.1*Reference!$D$8)*(1+Reference!$D$11*(IF(MONTH($A2774)=Reference!$D$4,1,0)+IF(MONTH($A2774)=Reference!$D$5,1,0))+(IF(MONTH($A2774)=Reference!$D$6,Reference!$D$13,0))),0)</f>
        <v>538</v>
      </c>
      <c r="E2774" s="11">
        <f ca="1">D2774*Reference!$D$7*(1-IF(MONTH($A2774)=Reference!$D$6,1,0)*Reference!$D$12)</f>
        <v>403500</v>
      </c>
      <c r="M2774" s="20"/>
      <c r="N2774" s="20"/>
      <c r="O2774" s="19"/>
      <c r="P2774" s="10"/>
      <c r="Q2774" s="10"/>
      <c r="R2774" s="10"/>
      <c r="S2774" s="10"/>
      <c r="T2774" s="10"/>
      <c r="U2774" s="10"/>
      <c r="V2774" s="10"/>
      <c r="W2774" s="10"/>
      <c r="X2774" s="10"/>
      <c r="Y2774" s="10"/>
    </row>
    <row r="2775" spans="1:25" x14ac:dyDescent="0.25">
      <c r="A2775" s="9">
        <v>43313</v>
      </c>
      <c r="B2775" s="10">
        <f ca="1">ROUND(_xlfn.NORM.INV(RAND(),Reference!$C$8,0.1*Reference!$C$8)*(1+Reference!$C$11*(IF(MONTH($A2775)=Reference!$C$4,1,0)+IF(MONTH($A2775)=Reference!$C$5,1,0))+(IF(MONTH($A2775)=Reference!$C$6,Reference!$C$13,0))),0)</f>
        <v>402</v>
      </c>
      <c r="C2775" s="11">
        <f ca="1">B2775*Reference!$C$7*(1-IF(MONTH($A2775)=Reference!$C$6,1,0)*Reference!$C$12)</f>
        <v>373860</v>
      </c>
      <c r="D2775" s="10">
        <f ca="1">ROUND(_xlfn.NORM.INV(RAND(),Reference!$D$8,0.1*Reference!$D$8)*(1+Reference!$D$11*(IF(MONTH($A2775)=Reference!$D$4,1,0)+IF(MONTH($A2775)=Reference!$D$5,1,0))+(IF(MONTH($A2775)=Reference!$D$6,Reference!$D$13,0))),0)</f>
        <v>529</v>
      </c>
      <c r="E2775" s="11">
        <f ca="1">D2775*Reference!$D$7*(1-IF(MONTH($A2775)=Reference!$D$6,1,0)*Reference!$D$12)</f>
        <v>396750</v>
      </c>
      <c r="M2775" s="20"/>
      <c r="N2775" s="20"/>
      <c r="O2775" s="19"/>
      <c r="P2775" s="10"/>
      <c r="Q2775" s="10"/>
      <c r="R2775" s="10"/>
      <c r="S2775" s="10"/>
      <c r="T2775" s="10"/>
      <c r="U2775" s="10"/>
      <c r="V2775" s="10"/>
      <c r="W2775" s="10"/>
      <c r="X2775" s="10"/>
      <c r="Y2775" s="10"/>
    </row>
    <row r="2776" spans="1:25" x14ac:dyDescent="0.25">
      <c r="A2776" s="9">
        <v>43314</v>
      </c>
      <c r="B2776" s="10">
        <f ca="1">ROUND(_xlfn.NORM.INV(RAND(),Reference!$C$8,0.1*Reference!$C$8)*(1+Reference!$C$11*(IF(MONTH($A2776)=Reference!$C$4,1,0)+IF(MONTH($A2776)=Reference!$C$5,1,0))+(IF(MONTH($A2776)=Reference!$C$6,Reference!$C$13,0))),0)</f>
        <v>352</v>
      </c>
      <c r="C2776" s="11">
        <f ca="1">B2776*Reference!$C$7*(1-IF(MONTH($A2776)=Reference!$C$6,1,0)*Reference!$C$12)</f>
        <v>327360</v>
      </c>
      <c r="D2776" s="10">
        <f ca="1">ROUND(_xlfn.NORM.INV(RAND(),Reference!$D$8,0.1*Reference!$D$8)*(1+Reference!$D$11*(IF(MONTH($A2776)=Reference!$D$4,1,0)+IF(MONTH($A2776)=Reference!$D$5,1,0))+(IF(MONTH($A2776)=Reference!$D$6,Reference!$D$13,0))),0)</f>
        <v>414</v>
      </c>
      <c r="E2776" s="11">
        <f ca="1">D2776*Reference!$D$7*(1-IF(MONTH($A2776)=Reference!$D$6,1,0)*Reference!$D$12)</f>
        <v>310500</v>
      </c>
      <c r="M2776" s="20"/>
      <c r="N2776" s="20"/>
      <c r="O2776" s="19"/>
      <c r="P2776" s="10"/>
      <c r="Q2776" s="10"/>
      <c r="R2776" s="10"/>
      <c r="S2776" s="10"/>
      <c r="T2776" s="10"/>
      <c r="U2776" s="10"/>
      <c r="V2776" s="10"/>
      <c r="W2776" s="10"/>
      <c r="X2776" s="10"/>
      <c r="Y2776" s="10"/>
    </row>
    <row r="2777" spans="1:25" x14ac:dyDescent="0.25">
      <c r="A2777" s="9">
        <v>43315</v>
      </c>
      <c r="B2777" s="10">
        <f ca="1">ROUND(_xlfn.NORM.INV(RAND(),Reference!$C$8,0.1*Reference!$C$8)*(1+Reference!$C$11*(IF(MONTH($A2777)=Reference!$C$4,1,0)+IF(MONTH($A2777)=Reference!$C$5,1,0))+(IF(MONTH($A2777)=Reference!$C$6,Reference!$C$13,0))),0)</f>
        <v>382</v>
      </c>
      <c r="C2777" s="11">
        <f ca="1">B2777*Reference!$C$7*(1-IF(MONTH($A2777)=Reference!$C$6,1,0)*Reference!$C$12)</f>
        <v>355260</v>
      </c>
      <c r="D2777" s="10">
        <f ca="1">ROUND(_xlfn.NORM.INV(RAND(),Reference!$D$8,0.1*Reference!$D$8)*(1+Reference!$D$11*(IF(MONTH($A2777)=Reference!$D$4,1,0)+IF(MONTH($A2777)=Reference!$D$5,1,0))+(IF(MONTH($A2777)=Reference!$D$6,Reference!$D$13,0))),0)</f>
        <v>533</v>
      </c>
      <c r="E2777" s="11">
        <f ca="1">D2777*Reference!$D$7*(1-IF(MONTH($A2777)=Reference!$D$6,1,0)*Reference!$D$12)</f>
        <v>399750</v>
      </c>
      <c r="M2777" s="20"/>
      <c r="N2777" s="20"/>
      <c r="O2777" s="19"/>
      <c r="P2777" s="10"/>
      <c r="Q2777" s="10"/>
      <c r="R2777" s="10"/>
      <c r="S2777" s="10"/>
      <c r="T2777" s="10"/>
      <c r="U2777" s="10"/>
      <c r="V2777" s="10"/>
      <c r="W2777" s="10"/>
      <c r="X2777" s="10"/>
      <c r="Y2777" s="10"/>
    </row>
    <row r="2778" spans="1:25" x14ac:dyDescent="0.25">
      <c r="A2778" s="9">
        <v>43316</v>
      </c>
      <c r="B2778" s="10">
        <f ca="1">ROUND(_xlfn.NORM.INV(RAND(),Reference!$C$8,0.1*Reference!$C$8)*(1+Reference!$C$11*(IF(MONTH($A2778)=Reference!$C$4,1,0)+IF(MONTH($A2778)=Reference!$C$5,1,0))+(IF(MONTH($A2778)=Reference!$C$6,Reference!$C$13,0))),0)</f>
        <v>394</v>
      </c>
      <c r="C2778" s="11">
        <f ca="1">B2778*Reference!$C$7*(1-IF(MONTH($A2778)=Reference!$C$6,1,0)*Reference!$C$12)</f>
        <v>366420</v>
      </c>
      <c r="D2778" s="10">
        <f ca="1">ROUND(_xlfn.NORM.INV(RAND(),Reference!$D$8,0.1*Reference!$D$8)*(1+Reference!$D$11*(IF(MONTH($A2778)=Reference!$D$4,1,0)+IF(MONTH($A2778)=Reference!$D$5,1,0))+(IF(MONTH($A2778)=Reference!$D$6,Reference!$D$13,0))),0)</f>
        <v>470</v>
      </c>
      <c r="E2778" s="11">
        <f ca="1">D2778*Reference!$D$7*(1-IF(MONTH($A2778)=Reference!$D$6,1,0)*Reference!$D$12)</f>
        <v>352500</v>
      </c>
      <c r="M2778" s="20"/>
      <c r="N2778" s="20"/>
      <c r="O2778" s="19"/>
      <c r="P2778" s="10"/>
      <c r="Q2778" s="10"/>
      <c r="R2778" s="10"/>
      <c r="S2778" s="10"/>
      <c r="T2778" s="10"/>
      <c r="U2778" s="10"/>
      <c r="V2778" s="10"/>
      <c r="W2778" s="10"/>
      <c r="X2778" s="10"/>
      <c r="Y2778" s="10"/>
    </row>
    <row r="2779" spans="1:25" x14ac:dyDescent="0.25">
      <c r="A2779" s="9">
        <v>43317</v>
      </c>
      <c r="B2779" s="10">
        <f ca="1">ROUND(_xlfn.NORM.INV(RAND(),Reference!$C$8,0.1*Reference!$C$8)*(1+Reference!$C$11*(IF(MONTH($A2779)=Reference!$C$4,1,0)+IF(MONTH($A2779)=Reference!$C$5,1,0))+(IF(MONTH($A2779)=Reference!$C$6,Reference!$C$13,0))),0)</f>
        <v>389</v>
      </c>
      <c r="C2779" s="11">
        <f ca="1">B2779*Reference!$C$7*(1-IF(MONTH($A2779)=Reference!$C$6,1,0)*Reference!$C$12)</f>
        <v>361770</v>
      </c>
      <c r="D2779" s="10">
        <f ca="1">ROUND(_xlfn.NORM.INV(RAND(),Reference!$D$8,0.1*Reference!$D$8)*(1+Reference!$D$11*(IF(MONTH($A2779)=Reference!$D$4,1,0)+IF(MONTH($A2779)=Reference!$D$5,1,0))+(IF(MONTH($A2779)=Reference!$D$6,Reference!$D$13,0))),0)</f>
        <v>480</v>
      </c>
      <c r="E2779" s="11">
        <f ca="1">D2779*Reference!$D$7*(1-IF(MONTH($A2779)=Reference!$D$6,1,0)*Reference!$D$12)</f>
        <v>360000</v>
      </c>
      <c r="M2779" s="20"/>
      <c r="N2779" s="20"/>
      <c r="O2779" s="19"/>
      <c r="P2779" s="10"/>
      <c r="Q2779" s="10"/>
      <c r="R2779" s="10"/>
      <c r="S2779" s="10"/>
      <c r="T2779" s="10"/>
      <c r="U2779" s="10"/>
      <c r="V2779" s="10"/>
      <c r="W2779" s="10"/>
      <c r="X2779" s="10"/>
      <c r="Y2779" s="10"/>
    </row>
    <row r="2780" spans="1:25" x14ac:dyDescent="0.25">
      <c r="A2780" s="9">
        <v>43318</v>
      </c>
      <c r="B2780" s="10">
        <f ca="1">ROUND(_xlfn.NORM.INV(RAND(),Reference!$C$8,0.1*Reference!$C$8)*(1+Reference!$C$11*(IF(MONTH($A2780)=Reference!$C$4,1,0)+IF(MONTH($A2780)=Reference!$C$5,1,0))+(IF(MONTH($A2780)=Reference!$C$6,Reference!$C$13,0))),0)</f>
        <v>376</v>
      </c>
      <c r="C2780" s="11">
        <f ca="1">B2780*Reference!$C$7*(1-IF(MONTH($A2780)=Reference!$C$6,1,0)*Reference!$C$12)</f>
        <v>349680</v>
      </c>
      <c r="D2780" s="10">
        <f ca="1">ROUND(_xlfn.NORM.INV(RAND(),Reference!$D$8,0.1*Reference!$D$8)*(1+Reference!$D$11*(IF(MONTH($A2780)=Reference!$D$4,1,0)+IF(MONTH($A2780)=Reference!$D$5,1,0))+(IF(MONTH($A2780)=Reference!$D$6,Reference!$D$13,0))),0)</f>
        <v>575</v>
      </c>
      <c r="E2780" s="11">
        <f ca="1">D2780*Reference!$D$7*(1-IF(MONTH($A2780)=Reference!$D$6,1,0)*Reference!$D$12)</f>
        <v>431250</v>
      </c>
      <c r="M2780" s="20"/>
      <c r="N2780" s="20"/>
      <c r="O2780" s="19"/>
      <c r="P2780" s="10"/>
      <c r="Q2780" s="10"/>
      <c r="R2780" s="10"/>
      <c r="S2780" s="10"/>
      <c r="T2780" s="10"/>
      <c r="U2780" s="10"/>
      <c r="V2780" s="10"/>
      <c r="W2780" s="10"/>
      <c r="X2780" s="10"/>
      <c r="Y2780" s="10"/>
    </row>
    <row r="2781" spans="1:25" x14ac:dyDescent="0.25">
      <c r="A2781" s="9">
        <v>43319</v>
      </c>
      <c r="B2781" s="10">
        <f ca="1">ROUND(_xlfn.NORM.INV(RAND(),Reference!$C$8,0.1*Reference!$C$8)*(1+Reference!$C$11*(IF(MONTH($A2781)=Reference!$C$4,1,0)+IF(MONTH($A2781)=Reference!$C$5,1,0))+(IF(MONTH($A2781)=Reference!$C$6,Reference!$C$13,0))),0)</f>
        <v>347</v>
      </c>
      <c r="C2781" s="11">
        <f ca="1">B2781*Reference!$C$7*(1-IF(MONTH($A2781)=Reference!$C$6,1,0)*Reference!$C$12)</f>
        <v>322710</v>
      </c>
      <c r="D2781" s="10">
        <f ca="1">ROUND(_xlfn.NORM.INV(RAND(),Reference!$D$8,0.1*Reference!$D$8)*(1+Reference!$D$11*(IF(MONTH($A2781)=Reference!$D$4,1,0)+IF(MONTH($A2781)=Reference!$D$5,1,0))+(IF(MONTH($A2781)=Reference!$D$6,Reference!$D$13,0))),0)</f>
        <v>461</v>
      </c>
      <c r="E2781" s="11">
        <f ca="1">D2781*Reference!$D$7*(1-IF(MONTH($A2781)=Reference!$D$6,1,0)*Reference!$D$12)</f>
        <v>345750</v>
      </c>
      <c r="M2781" s="20"/>
      <c r="N2781" s="20"/>
      <c r="O2781" s="19"/>
      <c r="P2781" s="10"/>
      <c r="Q2781" s="10"/>
      <c r="R2781" s="10"/>
      <c r="S2781" s="10"/>
      <c r="T2781" s="10"/>
      <c r="U2781" s="10"/>
      <c r="V2781" s="10"/>
      <c r="W2781" s="10"/>
      <c r="X2781" s="10"/>
      <c r="Y2781" s="10"/>
    </row>
    <row r="2782" spans="1:25" x14ac:dyDescent="0.25">
      <c r="A2782" s="9">
        <v>43320</v>
      </c>
      <c r="B2782" s="10">
        <f ca="1">ROUND(_xlfn.NORM.INV(RAND(),Reference!$C$8,0.1*Reference!$C$8)*(1+Reference!$C$11*(IF(MONTH($A2782)=Reference!$C$4,1,0)+IF(MONTH($A2782)=Reference!$C$5,1,0))+(IF(MONTH($A2782)=Reference!$C$6,Reference!$C$13,0))),0)</f>
        <v>426</v>
      </c>
      <c r="C2782" s="11">
        <f ca="1">B2782*Reference!$C$7*(1-IF(MONTH($A2782)=Reference!$C$6,1,0)*Reference!$C$12)</f>
        <v>396180</v>
      </c>
      <c r="D2782" s="10">
        <f ca="1">ROUND(_xlfn.NORM.INV(RAND(),Reference!$D$8,0.1*Reference!$D$8)*(1+Reference!$D$11*(IF(MONTH($A2782)=Reference!$D$4,1,0)+IF(MONTH($A2782)=Reference!$D$5,1,0))+(IF(MONTH($A2782)=Reference!$D$6,Reference!$D$13,0))),0)</f>
        <v>499</v>
      </c>
      <c r="E2782" s="11">
        <f ca="1">D2782*Reference!$D$7*(1-IF(MONTH($A2782)=Reference!$D$6,1,0)*Reference!$D$12)</f>
        <v>374250</v>
      </c>
      <c r="M2782" s="20"/>
      <c r="N2782" s="20"/>
      <c r="O2782" s="19"/>
      <c r="P2782" s="10"/>
      <c r="Q2782" s="10"/>
      <c r="R2782" s="10"/>
      <c r="S2782" s="10"/>
      <c r="T2782" s="10"/>
      <c r="U2782" s="10"/>
      <c r="V2782" s="10"/>
      <c r="W2782" s="10"/>
      <c r="X2782" s="10"/>
      <c r="Y2782" s="10"/>
    </row>
    <row r="2783" spans="1:25" x14ac:dyDescent="0.25">
      <c r="A2783" s="9">
        <v>43321</v>
      </c>
      <c r="B2783" s="10">
        <f ca="1">ROUND(_xlfn.NORM.INV(RAND(),Reference!$C$8,0.1*Reference!$C$8)*(1+Reference!$C$11*(IF(MONTH($A2783)=Reference!$C$4,1,0)+IF(MONTH($A2783)=Reference!$C$5,1,0))+(IF(MONTH($A2783)=Reference!$C$6,Reference!$C$13,0))),0)</f>
        <v>310</v>
      </c>
      <c r="C2783" s="11">
        <f ca="1">B2783*Reference!$C$7*(1-IF(MONTH($A2783)=Reference!$C$6,1,0)*Reference!$C$12)</f>
        <v>288300</v>
      </c>
      <c r="D2783" s="10">
        <f ca="1">ROUND(_xlfn.NORM.INV(RAND(),Reference!$D$8,0.1*Reference!$D$8)*(1+Reference!$D$11*(IF(MONTH($A2783)=Reference!$D$4,1,0)+IF(MONTH($A2783)=Reference!$D$5,1,0))+(IF(MONTH($A2783)=Reference!$D$6,Reference!$D$13,0))),0)</f>
        <v>434</v>
      </c>
      <c r="E2783" s="11">
        <f ca="1">D2783*Reference!$D$7*(1-IF(MONTH($A2783)=Reference!$D$6,1,0)*Reference!$D$12)</f>
        <v>325500</v>
      </c>
      <c r="M2783" s="20"/>
      <c r="N2783" s="20"/>
      <c r="O2783" s="19"/>
      <c r="P2783" s="10"/>
      <c r="Q2783" s="10"/>
      <c r="R2783" s="10"/>
      <c r="S2783" s="10"/>
      <c r="T2783" s="10"/>
      <c r="U2783" s="10"/>
      <c r="V2783" s="10"/>
      <c r="W2783" s="10"/>
      <c r="X2783" s="10"/>
      <c r="Y2783" s="10"/>
    </row>
    <row r="2784" spans="1:25" x14ac:dyDescent="0.25">
      <c r="A2784" s="9">
        <v>43322</v>
      </c>
      <c r="B2784" s="10">
        <f ca="1">ROUND(_xlfn.NORM.INV(RAND(),Reference!$C$8,0.1*Reference!$C$8)*(1+Reference!$C$11*(IF(MONTH($A2784)=Reference!$C$4,1,0)+IF(MONTH($A2784)=Reference!$C$5,1,0))+(IF(MONTH($A2784)=Reference!$C$6,Reference!$C$13,0))),0)</f>
        <v>384</v>
      </c>
      <c r="C2784" s="11">
        <f ca="1">B2784*Reference!$C$7*(1-IF(MONTH($A2784)=Reference!$C$6,1,0)*Reference!$C$12)</f>
        <v>357120</v>
      </c>
      <c r="D2784" s="10">
        <f ca="1">ROUND(_xlfn.NORM.INV(RAND(),Reference!$D$8,0.1*Reference!$D$8)*(1+Reference!$D$11*(IF(MONTH($A2784)=Reference!$D$4,1,0)+IF(MONTH($A2784)=Reference!$D$5,1,0))+(IF(MONTH($A2784)=Reference!$D$6,Reference!$D$13,0))),0)</f>
        <v>584</v>
      </c>
      <c r="E2784" s="11">
        <f ca="1">D2784*Reference!$D$7*(1-IF(MONTH($A2784)=Reference!$D$6,1,0)*Reference!$D$12)</f>
        <v>438000</v>
      </c>
      <c r="M2784" s="20"/>
      <c r="N2784" s="20"/>
      <c r="O2784" s="19"/>
      <c r="P2784" s="10"/>
      <c r="Q2784" s="10"/>
      <c r="R2784" s="10"/>
      <c r="S2784" s="10"/>
      <c r="T2784" s="10"/>
      <c r="U2784" s="10"/>
      <c r="V2784" s="10"/>
      <c r="W2784" s="10"/>
      <c r="X2784" s="10"/>
      <c r="Y2784" s="10"/>
    </row>
    <row r="2785" spans="1:25" x14ac:dyDescent="0.25">
      <c r="A2785" s="9">
        <v>43323</v>
      </c>
      <c r="B2785" s="10">
        <f ca="1">ROUND(_xlfn.NORM.INV(RAND(),Reference!$C$8,0.1*Reference!$C$8)*(1+Reference!$C$11*(IF(MONTH($A2785)=Reference!$C$4,1,0)+IF(MONTH($A2785)=Reference!$C$5,1,0))+(IF(MONTH($A2785)=Reference!$C$6,Reference!$C$13,0))),0)</f>
        <v>417</v>
      </c>
      <c r="C2785" s="11">
        <f ca="1">B2785*Reference!$C$7*(1-IF(MONTH($A2785)=Reference!$C$6,1,0)*Reference!$C$12)</f>
        <v>387810</v>
      </c>
      <c r="D2785" s="10">
        <f ca="1">ROUND(_xlfn.NORM.INV(RAND(),Reference!$D$8,0.1*Reference!$D$8)*(1+Reference!$D$11*(IF(MONTH($A2785)=Reference!$D$4,1,0)+IF(MONTH($A2785)=Reference!$D$5,1,0))+(IF(MONTH($A2785)=Reference!$D$6,Reference!$D$13,0))),0)</f>
        <v>446</v>
      </c>
      <c r="E2785" s="11">
        <f ca="1">D2785*Reference!$D$7*(1-IF(MONTH($A2785)=Reference!$D$6,1,0)*Reference!$D$12)</f>
        <v>334500</v>
      </c>
      <c r="M2785" s="20"/>
      <c r="N2785" s="20"/>
      <c r="O2785" s="19"/>
      <c r="P2785" s="10"/>
      <c r="Q2785" s="10"/>
      <c r="R2785" s="10"/>
      <c r="S2785" s="10"/>
      <c r="T2785" s="10"/>
      <c r="U2785" s="10"/>
      <c r="V2785" s="10"/>
      <c r="W2785" s="10"/>
      <c r="X2785" s="10"/>
      <c r="Y2785" s="10"/>
    </row>
    <row r="2786" spans="1:25" x14ac:dyDescent="0.25">
      <c r="A2786" s="9">
        <v>43324</v>
      </c>
      <c r="B2786" s="10">
        <f ca="1">ROUND(_xlfn.NORM.INV(RAND(),Reference!$C$8,0.1*Reference!$C$8)*(1+Reference!$C$11*(IF(MONTH($A2786)=Reference!$C$4,1,0)+IF(MONTH($A2786)=Reference!$C$5,1,0))+(IF(MONTH($A2786)=Reference!$C$6,Reference!$C$13,0))),0)</f>
        <v>323</v>
      </c>
      <c r="C2786" s="11">
        <f ca="1">B2786*Reference!$C$7*(1-IF(MONTH($A2786)=Reference!$C$6,1,0)*Reference!$C$12)</f>
        <v>300390</v>
      </c>
      <c r="D2786" s="10">
        <f ca="1">ROUND(_xlfn.NORM.INV(RAND(),Reference!$D$8,0.1*Reference!$D$8)*(1+Reference!$D$11*(IF(MONTH($A2786)=Reference!$D$4,1,0)+IF(MONTH($A2786)=Reference!$D$5,1,0))+(IF(MONTH($A2786)=Reference!$D$6,Reference!$D$13,0))),0)</f>
        <v>555</v>
      </c>
      <c r="E2786" s="11">
        <f ca="1">D2786*Reference!$D$7*(1-IF(MONTH($A2786)=Reference!$D$6,1,0)*Reference!$D$12)</f>
        <v>416250</v>
      </c>
      <c r="M2786" s="20"/>
      <c r="N2786" s="20"/>
      <c r="O2786" s="19"/>
      <c r="P2786" s="10"/>
      <c r="Q2786" s="10"/>
      <c r="R2786" s="10"/>
      <c r="S2786" s="10"/>
      <c r="T2786" s="10"/>
      <c r="U2786" s="10"/>
      <c r="V2786" s="10"/>
      <c r="W2786" s="10"/>
      <c r="X2786" s="10"/>
      <c r="Y2786" s="10"/>
    </row>
    <row r="2787" spans="1:25" x14ac:dyDescent="0.25">
      <c r="A2787" s="9">
        <v>43325</v>
      </c>
      <c r="B2787" s="10">
        <f ca="1">ROUND(_xlfn.NORM.INV(RAND(),Reference!$C$8,0.1*Reference!$C$8)*(1+Reference!$C$11*(IF(MONTH($A2787)=Reference!$C$4,1,0)+IF(MONTH($A2787)=Reference!$C$5,1,0))+(IF(MONTH($A2787)=Reference!$C$6,Reference!$C$13,0))),0)</f>
        <v>361</v>
      </c>
      <c r="C2787" s="11">
        <f ca="1">B2787*Reference!$C$7*(1-IF(MONTH($A2787)=Reference!$C$6,1,0)*Reference!$C$12)</f>
        <v>335730</v>
      </c>
      <c r="D2787" s="10">
        <f ca="1">ROUND(_xlfn.NORM.INV(RAND(),Reference!$D$8,0.1*Reference!$D$8)*(1+Reference!$D$11*(IF(MONTH($A2787)=Reference!$D$4,1,0)+IF(MONTH($A2787)=Reference!$D$5,1,0))+(IF(MONTH($A2787)=Reference!$D$6,Reference!$D$13,0))),0)</f>
        <v>476</v>
      </c>
      <c r="E2787" s="11">
        <f ca="1">D2787*Reference!$D$7*(1-IF(MONTH($A2787)=Reference!$D$6,1,0)*Reference!$D$12)</f>
        <v>357000</v>
      </c>
      <c r="M2787" s="20"/>
      <c r="N2787" s="20"/>
      <c r="O2787" s="19"/>
      <c r="P2787" s="10"/>
      <c r="Q2787" s="10"/>
      <c r="R2787" s="10"/>
      <c r="S2787" s="10"/>
      <c r="T2787" s="10"/>
      <c r="U2787" s="10"/>
      <c r="V2787" s="10"/>
      <c r="W2787" s="10"/>
      <c r="X2787" s="10"/>
      <c r="Y2787" s="10"/>
    </row>
    <row r="2788" spans="1:25" x14ac:dyDescent="0.25">
      <c r="A2788" s="9">
        <v>43326</v>
      </c>
      <c r="B2788" s="10">
        <f ca="1">ROUND(_xlfn.NORM.INV(RAND(),Reference!$C$8,0.1*Reference!$C$8)*(1+Reference!$C$11*(IF(MONTH($A2788)=Reference!$C$4,1,0)+IF(MONTH($A2788)=Reference!$C$5,1,0))+(IF(MONTH($A2788)=Reference!$C$6,Reference!$C$13,0))),0)</f>
        <v>362</v>
      </c>
      <c r="C2788" s="11">
        <f ca="1">B2788*Reference!$C$7*(1-IF(MONTH($A2788)=Reference!$C$6,1,0)*Reference!$C$12)</f>
        <v>336660</v>
      </c>
      <c r="D2788" s="10">
        <f ca="1">ROUND(_xlfn.NORM.INV(RAND(),Reference!$D$8,0.1*Reference!$D$8)*(1+Reference!$D$11*(IF(MONTH($A2788)=Reference!$D$4,1,0)+IF(MONTH($A2788)=Reference!$D$5,1,0))+(IF(MONTH($A2788)=Reference!$D$6,Reference!$D$13,0))),0)</f>
        <v>532</v>
      </c>
      <c r="E2788" s="11">
        <f ca="1">D2788*Reference!$D$7*(1-IF(MONTH($A2788)=Reference!$D$6,1,0)*Reference!$D$12)</f>
        <v>399000</v>
      </c>
      <c r="M2788" s="20"/>
      <c r="N2788" s="20"/>
      <c r="O2788" s="19"/>
      <c r="P2788" s="10"/>
      <c r="Q2788" s="10"/>
      <c r="R2788" s="10"/>
      <c r="S2788" s="10"/>
      <c r="T2788" s="10"/>
      <c r="U2788" s="10"/>
      <c r="V2788" s="10"/>
      <c r="W2788" s="10"/>
      <c r="X2788" s="10"/>
      <c r="Y2788" s="10"/>
    </row>
    <row r="2789" spans="1:25" x14ac:dyDescent="0.25">
      <c r="A2789" s="9">
        <v>43327</v>
      </c>
      <c r="B2789" s="10">
        <f ca="1">ROUND(_xlfn.NORM.INV(RAND(),Reference!$C$8,0.1*Reference!$C$8)*(1+Reference!$C$11*(IF(MONTH($A2789)=Reference!$C$4,1,0)+IF(MONTH($A2789)=Reference!$C$5,1,0))+(IF(MONTH($A2789)=Reference!$C$6,Reference!$C$13,0))),0)</f>
        <v>319</v>
      </c>
      <c r="C2789" s="11">
        <f ca="1">B2789*Reference!$C$7*(1-IF(MONTH($A2789)=Reference!$C$6,1,0)*Reference!$C$12)</f>
        <v>296670</v>
      </c>
      <c r="D2789" s="10">
        <f ca="1">ROUND(_xlfn.NORM.INV(RAND(),Reference!$D$8,0.1*Reference!$D$8)*(1+Reference!$D$11*(IF(MONTH($A2789)=Reference!$D$4,1,0)+IF(MONTH($A2789)=Reference!$D$5,1,0))+(IF(MONTH($A2789)=Reference!$D$6,Reference!$D$13,0))),0)</f>
        <v>526</v>
      </c>
      <c r="E2789" s="11">
        <f ca="1">D2789*Reference!$D$7*(1-IF(MONTH($A2789)=Reference!$D$6,1,0)*Reference!$D$12)</f>
        <v>394500</v>
      </c>
      <c r="M2789" s="20"/>
      <c r="N2789" s="20"/>
      <c r="O2789" s="19"/>
      <c r="P2789" s="10"/>
      <c r="Q2789" s="10"/>
      <c r="R2789" s="10"/>
      <c r="S2789" s="10"/>
      <c r="T2789" s="10"/>
      <c r="U2789" s="10"/>
      <c r="V2789" s="10"/>
      <c r="W2789" s="10"/>
      <c r="X2789" s="10"/>
      <c r="Y2789" s="10"/>
    </row>
    <row r="2790" spans="1:25" x14ac:dyDescent="0.25">
      <c r="A2790" s="9">
        <v>43328</v>
      </c>
      <c r="B2790" s="10">
        <f ca="1">ROUND(_xlfn.NORM.INV(RAND(),Reference!$C$8,0.1*Reference!$C$8)*(1+Reference!$C$11*(IF(MONTH($A2790)=Reference!$C$4,1,0)+IF(MONTH($A2790)=Reference!$C$5,1,0))+(IF(MONTH($A2790)=Reference!$C$6,Reference!$C$13,0))),0)</f>
        <v>444</v>
      </c>
      <c r="C2790" s="11">
        <f ca="1">B2790*Reference!$C$7*(1-IF(MONTH($A2790)=Reference!$C$6,1,0)*Reference!$C$12)</f>
        <v>412920</v>
      </c>
      <c r="D2790" s="10">
        <f ca="1">ROUND(_xlfn.NORM.INV(RAND(),Reference!$D$8,0.1*Reference!$D$8)*(1+Reference!$D$11*(IF(MONTH($A2790)=Reference!$D$4,1,0)+IF(MONTH($A2790)=Reference!$D$5,1,0))+(IF(MONTH($A2790)=Reference!$D$6,Reference!$D$13,0))),0)</f>
        <v>546</v>
      </c>
      <c r="E2790" s="11">
        <f ca="1">D2790*Reference!$D$7*(1-IF(MONTH($A2790)=Reference!$D$6,1,0)*Reference!$D$12)</f>
        <v>409500</v>
      </c>
      <c r="M2790" s="20"/>
      <c r="N2790" s="20"/>
      <c r="O2790" s="19"/>
      <c r="P2790" s="10"/>
      <c r="Q2790" s="10"/>
      <c r="R2790" s="10"/>
      <c r="S2790" s="10"/>
      <c r="T2790" s="10"/>
      <c r="U2790" s="10"/>
      <c r="V2790" s="10"/>
      <c r="W2790" s="10"/>
      <c r="X2790" s="10"/>
      <c r="Y2790" s="10"/>
    </row>
    <row r="2791" spans="1:25" x14ac:dyDescent="0.25">
      <c r="A2791" s="9">
        <v>43329</v>
      </c>
      <c r="B2791" s="10">
        <f ca="1">ROUND(_xlfn.NORM.INV(RAND(),Reference!$C$8,0.1*Reference!$C$8)*(1+Reference!$C$11*(IF(MONTH($A2791)=Reference!$C$4,1,0)+IF(MONTH($A2791)=Reference!$C$5,1,0))+(IF(MONTH($A2791)=Reference!$C$6,Reference!$C$13,0))),0)</f>
        <v>376</v>
      </c>
      <c r="C2791" s="11">
        <f ca="1">B2791*Reference!$C$7*(1-IF(MONTH($A2791)=Reference!$C$6,1,0)*Reference!$C$12)</f>
        <v>349680</v>
      </c>
      <c r="D2791" s="10">
        <f ca="1">ROUND(_xlfn.NORM.INV(RAND(),Reference!$D$8,0.1*Reference!$D$8)*(1+Reference!$D$11*(IF(MONTH($A2791)=Reference!$D$4,1,0)+IF(MONTH($A2791)=Reference!$D$5,1,0))+(IF(MONTH($A2791)=Reference!$D$6,Reference!$D$13,0))),0)</f>
        <v>497</v>
      </c>
      <c r="E2791" s="11">
        <f ca="1">D2791*Reference!$D$7*(1-IF(MONTH($A2791)=Reference!$D$6,1,0)*Reference!$D$12)</f>
        <v>372750</v>
      </c>
      <c r="M2791" s="20"/>
      <c r="N2791" s="20"/>
      <c r="O2791" s="19"/>
      <c r="P2791" s="10"/>
      <c r="Q2791" s="10"/>
      <c r="R2791" s="10"/>
      <c r="S2791" s="10"/>
      <c r="T2791" s="10"/>
      <c r="U2791" s="10"/>
      <c r="V2791" s="10"/>
      <c r="W2791" s="10"/>
      <c r="X2791" s="10"/>
      <c r="Y2791" s="10"/>
    </row>
    <row r="2792" spans="1:25" x14ac:dyDescent="0.25">
      <c r="A2792" s="9">
        <v>43330</v>
      </c>
      <c r="B2792" s="10">
        <f ca="1">ROUND(_xlfn.NORM.INV(RAND(),Reference!$C$8,0.1*Reference!$C$8)*(1+Reference!$C$11*(IF(MONTH($A2792)=Reference!$C$4,1,0)+IF(MONTH($A2792)=Reference!$C$5,1,0))+(IF(MONTH($A2792)=Reference!$C$6,Reference!$C$13,0))),0)</f>
        <v>369</v>
      </c>
      <c r="C2792" s="11">
        <f ca="1">B2792*Reference!$C$7*(1-IF(MONTH($A2792)=Reference!$C$6,1,0)*Reference!$C$12)</f>
        <v>343170</v>
      </c>
      <c r="D2792" s="10">
        <f ca="1">ROUND(_xlfn.NORM.INV(RAND(),Reference!$D$8,0.1*Reference!$D$8)*(1+Reference!$D$11*(IF(MONTH($A2792)=Reference!$D$4,1,0)+IF(MONTH($A2792)=Reference!$D$5,1,0))+(IF(MONTH($A2792)=Reference!$D$6,Reference!$D$13,0))),0)</f>
        <v>543</v>
      </c>
      <c r="E2792" s="11">
        <f ca="1">D2792*Reference!$D$7*(1-IF(MONTH($A2792)=Reference!$D$6,1,0)*Reference!$D$12)</f>
        <v>407250</v>
      </c>
      <c r="M2792" s="20"/>
      <c r="N2792" s="20"/>
      <c r="O2792" s="19"/>
      <c r="P2792" s="10"/>
      <c r="Q2792" s="10"/>
      <c r="R2792" s="10"/>
      <c r="S2792" s="10"/>
      <c r="T2792" s="10"/>
      <c r="U2792" s="10"/>
      <c r="V2792" s="10"/>
      <c r="W2792" s="10"/>
      <c r="X2792" s="10"/>
      <c r="Y2792" s="10"/>
    </row>
    <row r="2793" spans="1:25" x14ac:dyDescent="0.25">
      <c r="A2793" s="9">
        <v>43331</v>
      </c>
      <c r="B2793" s="10">
        <f ca="1">ROUND(_xlfn.NORM.INV(RAND(),Reference!$C$8,0.1*Reference!$C$8)*(1+Reference!$C$11*(IF(MONTH($A2793)=Reference!$C$4,1,0)+IF(MONTH($A2793)=Reference!$C$5,1,0))+(IF(MONTH($A2793)=Reference!$C$6,Reference!$C$13,0))),0)</f>
        <v>375</v>
      </c>
      <c r="C2793" s="11">
        <f ca="1">B2793*Reference!$C$7*(1-IF(MONTH($A2793)=Reference!$C$6,1,0)*Reference!$C$12)</f>
        <v>348750</v>
      </c>
      <c r="D2793" s="10">
        <f ca="1">ROUND(_xlfn.NORM.INV(RAND(),Reference!$D$8,0.1*Reference!$D$8)*(1+Reference!$D$11*(IF(MONTH($A2793)=Reference!$D$4,1,0)+IF(MONTH($A2793)=Reference!$D$5,1,0))+(IF(MONTH($A2793)=Reference!$D$6,Reference!$D$13,0))),0)</f>
        <v>453</v>
      </c>
      <c r="E2793" s="11">
        <f ca="1">D2793*Reference!$D$7*(1-IF(MONTH($A2793)=Reference!$D$6,1,0)*Reference!$D$12)</f>
        <v>339750</v>
      </c>
      <c r="M2793" s="20"/>
      <c r="N2793" s="20"/>
      <c r="O2793" s="19"/>
      <c r="P2793" s="10"/>
      <c r="Q2793" s="10"/>
      <c r="R2793" s="10"/>
      <c r="S2793" s="10"/>
      <c r="T2793" s="10"/>
      <c r="U2793" s="10"/>
      <c r="V2793" s="10"/>
      <c r="W2793" s="10"/>
      <c r="X2793" s="10"/>
      <c r="Y2793" s="10"/>
    </row>
    <row r="2794" spans="1:25" x14ac:dyDescent="0.25">
      <c r="A2794" s="9">
        <v>43332</v>
      </c>
      <c r="B2794" s="10">
        <f ca="1">ROUND(_xlfn.NORM.INV(RAND(),Reference!$C$8,0.1*Reference!$C$8)*(1+Reference!$C$11*(IF(MONTH($A2794)=Reference!$C$4,1,0)+IF(MONTH($A2794)=Reference!$C$5,1,0))+(IF(MONTH($A2794)=Reference!$C$6,Reference!$C$13,0))),0)</f>
        <v>378</v>
      </c>
      <c r="C2794" s="11">
        <f ca="1">B2794*Reference!$C$7*(1-IF(MONTH($A2794)=Reference!$C$6,1,0)*Reference!$C$12)</f>
        <v>351540</v>
      </c>
      <c r="D2794" s="10">
        <f ca="1">ROUND(_xlfn.NORM.INV(RAND(),Reference!$D$8,0.1*Reference!$D$8)*(1+Reference!$D$11*(IF(MONTH($A2794)=Reference!$D$4,1,0)+IF(MONTH($A2794)=Reference!$D$5,1,0))+(IF(MONTH($A2794)=Reference!$D$6,Reference!$D$13,0))),0)</f>
        <v>418</v>
      </c>
      <c r="E2794" s="11">
        <f ca="1">D2794*Reference!$D$7*(1-IF(MONTH($A2794)=Reference!$D$6,1,0)*Reference!$D$12)</f>
        <v>313500</v>
      </c>
      <c r="M2794" s="20"/>
      <c r="N2794" s="20"/>
      <c r="O2794" s="19"/>
      <c r="P2794" s="10"/>
      <c r="Q2794" s="10"/>
      <c r="R2794" s="10"/>
      <c r="S2794" s="10"/>
      <c r="T2794" s="10"/>
      <c r="U2794" s="10"/>
      <c r="V2794" s="10"/>
      <c r="W2794" s="10"/>
      <c r="X2794" s="10"/>
      <c r="Y2794" s="10"/>
    </row>
    <row r="2795" spans="1:25" x14ac:dyDescent="0.25">
      <c r="A2795" s="9">
        <v>43333</v>
      </c>
      <c r="B2795" s="10">
        <f ca="1">ROUND(_xlfn.NORM.INV(RAND(),Reference!$C$8,0.1*Reference!$C$8)*(1+Reference!$C$11*(IF(MONTH($A2795)=Reference!$C$4,1,0)+IF(MONTH($A2795)=Reference!$C$5,1,0))+(IF(MONTH($A2795)=Reference!$C$6,Reference!$C$13,0))),0)</f>
        <v>316</v>
      </c>
      <c r="C2795" s="11">
        <f ca="1">B2795*Reference!$C$7*(1-IF(MONTH($A2795)=Reference!$C$6,1,0)*Reference!$C$12)</f>
        <v>293880</v>
      </c>
      <c r="D2795" s="10">
        <f ca="1">ROUND(_xlfn.NORM.INV(RAND(),Reference!$D$8,0.1*Reference!$D$8)*(1+Reference!$D$11*(IF(MONTH($A2795)=Reference!$D$4,1,0)+IF(MONTH($A2795)=Reference!$D$5,1,0))+(IF(MONTH($A2795)=Reference!$D$6,Reference!$D$13,0))),0)</f>
        <v>445</v>
      </c>
      <c r="E2795" s="11">
        <f ca="1">D2795*Reference!$D$7*(1-IF(MONTH($A2795)=Reference!$D$6,1,0)*Reference!$D$12)</f>
        <v>333750</v>
      </c>
      <c r="M2795" s="20"/>
      <c r="N2795" s="20"/>
      <c r="O2795" s="19"/>
      <c r="P2795" s="10"/>
      <c r="Q2795" s="10"/>
      <c r="R2795" s="10"/>
      <c r="S2795" s="10"/>
      <c r="T2795" s="10"/>
      <c r="U2795" s="10"/>
      <c r="V2795" s="10"/>
      <c r="W2795" s="10"/>
      <c r="X2795" s="10"/>
      <c r="Y2795" s="10"/>
    </row>
    <row r="2796" spans="1:25" x14ac:dyDescent="0.25">
      <c r="A2796" s="9">
        <v>43334</v>
      </c>
      <c r="B2796" s="10">
        <f ca="1">ROUND(_xlfn.NORM.INV(RAND(),Reference!$C$8,0.1*Reference!$C$8)*(1+Reference!$C$11*(IF(MONTH($A2796)=Reference!$C$4,1,0)+IF(MONTH($A2796)=Reference!$C$5,1,0))+(IF(MONTH($A2796)=Reference!$C$6,Reference!$C$13,0))),0)</f>
        <v>368</v>
      </c>
      <c r="C2796" s="11">
        <f ca="1">B2796*Reference!$C$7*(1-IF(MONTH($A2796)=Reference!$C$6,1,0)*Reference!$C$12)</f>
        <v>342240</v>
      </c>
      <c r="D2796" s="10">
        <f ca="1">ROUND(_xlfn.NORM.INV(RAND(),Reference!$D$8,0.1*Reference!$D$8)*(1+Reference!$D$11*(IF(MONTH($A2796)=Reference!$D$4,1,0)+IF(MONTH($A2796)=Reference!$D$5,1,0))+(IF(MONTH($A2796)=Reference!$D$6,Reference!$D$13,0))),0)</f>
        <v>524</v>
      </c>
      <c r="E2796" s="11">
        <f ca="1">D2796*Reference!$D$7*(1-IF(MONTH($A2796)=Reference!$D$6,1,0)*Reference!$D$12)</f>
        <v>393000</v>
      </c>
      <c r="M2796" s="20"/>
      <c r="N2796" s="20"/>
      <c r="O2796" s="19"/>
      <c r="P2796" s="10"/>
      <c r="Q2796" s="10"/>
      <c r="R2796" s="10"/>
      <c r="S2796" s="10"/>
      <c r="T2796" s="10"/>
      <c r="U2796" s="10"/>
      <c r="V2796" s="10"/>
      <c r="W2796" s="10"/>
      <c r="X2796" s="10"/>
      <c r="Y2796" s="10"/>
    </row>
    <row r="2797" spans="1:25" x14ac:dyDescent="0.25">
      <c r="A2797" s="9">
        <v>43335</v>
      </c>
      <c r="B2797" s="10">
        <f ca="1">ROUND(_xlfn.NORM.INV(RAND(),Reference!$C$8,0.1*Reference!$C$8)*(1+Reference!$C$11*(IF(MONTH($A2797)=Reference!$C$4,1,0)+IF(MONTH($A2797)=Reference!$C$5,1,0))+(IF(MONTH($A2797)=Reference!$C$6,Reference!$C$13,0))),0)</f>
        <v>387</v>
      </c>
      <c r="C2797" s="11">
        <f ca="1">B2797*Reference!$C$7*(1-IF(MONTH($A2797)=Reference!$C$6,1,0)*Reference!$C$12)</f>
        <v>359910</v>
      </c>
      <c r="D2797" s="10">
        <f ca="1">ROUND(_xlfn.NORM.INV(RAND(),Reference!$D$8,0.1*Reference!$D$8)*(1+Reference!$D$11*(IF(MONTH($A2797)=Reference!$D$4,1,0)+IF(MONTH($A2797)=Reference!$D$5,1,0))+(IF(MONTH($A2797)=Reference!$D$6,Reference!$D$13,0))),0)</f>
        <v>463</v>
      </c>
      <c r="E2797" s="11">
        <f ca="1">D2797*Reference!$D$7*(1-IF(MONTH($A2797)=Reference!$D$6,1,0)*Reference!$D$12)</f>
        <v>347250</v>
      </c>
      <c r="M2797" s="20"/>
      <c r="N2797" s="20"/>
      <c r="O2797" s="19"/>
      <c r="P2797" s="10"/>
      <c r="Q2797" s="10"/>
      <c r="R2797" s="10"/>
      <c r="S2797" s="10"/>
      <c r="T2797" s="10"/>
      <c r="U2797" s="10"/>
      <c r="V2797" s="10"/>
      <c r="W2797" s="10"/>
      <c r="X2797" s="10"/>
      <c r="Y2797" s="10"/>
    </row>
    <row r="2798" spans="1:25" x14ac:dyDescent="0.25">
      <c r="A2798" s="9">
        <v>43336</v>
      </c>
      <c r="B2798" s="10">
        <f ca="1">ROUND(_xlfn.NORM.INV(RAND(),Reference!$C$8,0.1*Reference!$C$8)*(1+Reference!$C$11*(IF(MONTH($A2798)=Reference!$C$4,1,0)+IF(MONTH($A2798)=Reference!$C$5,1,0))+(IF(MONTH($A2798)=Reference!$C$6,Reference!$C$13,0))),0)</f>
        <v>371</v>
      </c>
      <c r="C2798" s="11">
        <f ca="1">B2798*Reference!$C$7*(1-IF(MONTH($A2798)=Reference!$C$6,1,0)*Reference!$C$12)</f>
        <v>345030</v>
      </c>
      <c r="D2798" s="10">
        <f ca="1">ROUND(_xlfn.NORM.INV(RAND(),Reference!$D$8,0.1*Reference!$D$8)*(1+Reference!$D$11*(IF(MONTH($A2798)=Reference!$D$4,1,0)+IF(MONTH($A2798)=Reference!$D$5,1,0))+(IF(MONTH($A2798)=Reference!$D$6,Reference!$D$13,0))),0)</f>
        <v>631</v>
      </c>
      <c r="E2798" s="11">
        <f ca="1">D2798*Reference!$D$7*(1-IF(MONTH($A2798)=Reference!$D$6,1,0)*Reference!$D$12)</f>
        <v>473250</v>
      </c>
      <c r="M2798" s="20"/>
      <c r="N2798" s="20"/>
      <c r="O2798" s="19"/>
      <c r="P2798" s="10"/>
      <c r="Q2798" s="10"/>
      <c r="R2798" s="10"/>
      <c r="S2798" s="10"/>
      <c r="T2798" s="10"/>
      <c r="U2798" s="10"/>
      <c r="V2798" s="10"/>
      <c r="W2798" s="10"/>
      <c r="X2798" s="10"/>
      <c r="Y2798" s="10"/>
    </row>
    <row r="2799" spans="1:25" x14ac:dyDescent="0.25">
      <c r="A2799" s="9">
        <v>43337</v>
      </c>
      <c r="B2799" s="10">
        <f ca="1">ROUND(_xlfn.NORM.INV(RAND(),Reference!$C$8,0.1*Reference!$C$8)*(1+Reference!$C$11*(IF(MONTH($A2799)=Reference!$C$4,1,0)+IF(MONTH($A2799)=Reference!$C$5,1,0))+(IF(MONTH($A2799)=Reference!$C$6,Reference!$C$13,0))),0)</f>
        <v>428</v>
      </c>
      <c r="C2799" s="11">
        <f ca="1">B2799*Reference!$C$7*(1-IF(MONTH($A2799)=Reference!$C$6,1,0)*Reference!$C$12)</f>
        <v>398040</v>
      </c>
      <c r="D2799" s="10">
        <f ca="1">ROUND(_xlfn.NORM.INV(RAND(),Reference!$D$8,0.1*Reference!$D$8)*(1+Reference!$D$11*(IF(MONTH($A2799)=Reference!$D$4,1,0)+IF(MONTH($A2799)=Reference!$D$5,1,0))+(IF(MONTH($A2799)=Reference!$D$6,Reference!$D$13,0))),0)</f>
        <v>456</v>
      </c>
      <c r="E2799" s="11">
        <f ca="1">D2799*Reference!$D$7*(1-IF(MONTH($A2799)=Reference!$D$6,1,0)*Reference!$D$12)</f>
        <v>342000</v>
      </c>
      <c r="M2799" s="20"/>
      <c r="N2799" s="20"/>
      <c r="O2799" s="19"/>
      <c r="P2799" s="10"/>
      <c r="Q2799" s="10"/>
      <c r="R2799" s="10"/>
      <c r="S2799" s="10"/>
      <c r="T2799" s="10"/>
      <c r="U2799" s="10"/>
      <c r="V2799" s="10"/>
      <c r="W2799" s="10"/>
      <c r="X2799" s="10"/>
      <c r="Y2799" s="10"/>
    </row>
    <row r="2800" spans="1:25" x14ac:dyDescent="0.25">
      <c r="A2800" s="9">
        <v>43338</v>
      </c>
      <c r="B2800" s="10">
        <f ca="1">ROUND(_xlfn.NORM.INV(RAND(),Reference!$C$8,0.1*Reference!$C$8)*(1+Reference!$C$11*(IF(MONTH($A2800)=Reference!$C$4,1,0)+IF(MONTH($A2800)=Reference!$C$5,1,0))+(IF(MONTH($A2800)=Reference!$C$6,Reference!$C$13,0))),0)</f>
        <v>407</v>
      </c>
      <c r="C2800" s="11">
        <f ca="1">B2800*Reference!$C$7*(1-IF(MONTH($A2800)=Reference!$C$6,1,0)*Reference!$C$12)</f>
        <v>378510</v>
      </c>
      <c r="D2800" s="10">
        <f ca="1">ROUND(_xlfn.NORM.INV(RAND(),Reference!$D$8,0.1*Reference!$D$8)*(1+Reference!$D$11*(IF(MONTH($A2800)=Reference!$D$4,1,0)+IF(MONTH($A2800)=Reference!$D$5,1,0))+(IF(MONTH($A2800)=Reference!$D$6,Reference!$D$13,0))),0)</f>
        <v>410</v>
      </c>
      <c r="E2800" s="11">
        <f ca="1">D2800*Reference!$D$7*(1-IF(MONTH($A2800)=Reference!$D$6,1,0)*Reference!$D$12)</f>
        <v>307500</v>
      </c>
      <c r="M2800" s="20"/>
      <c r="N2800" s="20"/>
      <c r="O2800" s="19"/>
      <c r="P2800" s="10"/>
      <c r="Q2800" s="10"/>
      <c r="R2800" s="10"/>
      <c r="S2800" s="10"/>
      <c r="T2800" s="10"/>
      <c r="U2800" s="10"/>
      <c r="V2800" s="10"/>
      <c r="W2800" s="10"/>
      <c r="X2800" s="10"/>
      <c r="Y2800" s="10"/>
    </row>
    <row r="2801" spans="1:25" x14ac:dyDescent="0.25">
      <c r="A2801" s="9">
        <v>43339</v>
      </c>
      <c r="B2801" s="10">
        <f ca="1">ROUND(_xlfn.NORM.INV(RAND(),Reference!$C$8,0.1*Reference!$C$8)*(1+Reference!$C$11*(IF(MONTH($A2801)=Reference!$C$4,1,0)+IF(MONTH($A2801)=Reference!$C$5,1,0))+(IF(MONTH($A2801)=Reference!$C$6,Reference!$C$13,0))),0)</f>
        <v>356</v>
      </c>
      <c r="C2801" s="11">
        <f ca="1">B2801*Reference!$C$7*(1-IF(MONTH($A2801)=Reference!$C$6,1,0)*Reference!$C$12)</f>
        <v>331080</v>
      </c>
      <c r="D2801" s="10">
        <f ca="1">ROUND(_xlfn.NORM.INV(RAND(),Reference!$D$8,0.1*Reference!$D$8)*(1+Reference!$D$11*(IF(MONTH($A2801)=Reference!$D$4,1,0)+IF(MONTH($A2801)=Reference!$D$5,1,0))+(IF(MONTH($A2801)=Reference!$D$6,Reference!$D$13,0))),0)</f>
        <v>532</v>
      </c>
      <c r="E2801" s="11">
        <f ca="1">D2801*Reference!$D$7*(1-IF(MONTH($A2801)=Reference!$D$6,1,0)*Reference!$D$12)</f>
        <v>399000</v>
      </c>
      <c r="M2801" s="20"/>
      <c r="N2801" s="20"/>
      <c r="O2801" s="19"/>
      <c r="P2801" s="10"/>
      <c r="Q2801" s="10"/>
      <c r="R2801" s="10"/>
      <c r="S2801" s="10"/>
      <c r="T2801" s="10"/>
      <c r="U2801" s="10"/>
      <c r="V2801" s="10"/>
      <c r="W2801" s="10"/>
      <c r="X2801" s="10"/>
      <c r="Y2801" s="10"/>
    </row>
    <row r="2802" spans="1:25" x14ac:dyDescent="0.25">
      <c r="A2802" s="9">
        <v>43340</v>
      </c>
      <c r="B2802" s="10">
        <f ca="1">ROUND(_xlfn.NORM.INV(RAND(),Reference!$C$8,0.1*Reference!$C$8)*(1+Reference!$C$11*(IF(MONTH($A2802)=Reference!$C$4,1,0)+IF(MONTH($A2802)=Reference!$C$5,1,0))+(IF(MONTH($A2802)=Reference!$C$6,Reference!$C$13,0))),0)</f>
        <v>331</v>
      </c>
      <c r="C2802" s="11">
        <f ca="1">B2802*Reference!$C$7*(1-IF(MONTH($A2802)=Reference!$C$6,1,0)*Reference!$C$12)</f>
        <v>307830</v>
      </c>
      <c r="D2802" s="10">
        <f ca="1">ROUND(_xlfn.NORM.INV(RAND(),Reference!$D$8,0.1*Reference!$D$8)*(1+Reference!$D$11*(IF(MONTH($A2802)=Reference!$D$4,1,0)+IF(MONTH($A2802)=Reference!$D$5,1,0))+(IF(MONTH($A2802)=Reference!$D$6,Reference!$D$13,0))),0)</f>
        <v>507</v>
      </c>
      <c r="E2802" s="11">
        <f ca="1">D2802*Reference!$D$7*(1-IF(MONTH($A2802)=Reference!$D$6,1,0)*Reference!$D$12)</f>
        <v>380250</v>
      </c>
      <c r="M2802" s="20"/>
      <c r="N2802" s="20"/>
      <c r="O2802" s="19"/>
      <c r="P2802" s="10"/>
      <c r="Q2802" s="10"/>
      <c r="R2802" s="10"/>
      <c r="S2802" s="10"/>
      <c r="T2802" s="10"/>
      <c r="U2802" s="10"/>
      <c r="V2802" s="10"/>
      <c r="W2802" s="10"/>
      <c r="X2802" s="10"/>
      <c r="Y2802" s="10"/>
    </row>
    <row r="2803" spans="1:25" x14ac:dyDescent="0.25">
      <c r="A2803" s="9">
        <v>43341</v>
      </c>
      <c r="B2803" s="10">
        <f ca="1">ROUND(_xlfn.NORM.INV(RAND(),Reference!$C$8,0.1*Reference!$C$8)*(1+Reference!$C$11*(IF(MONTH($A2803)=Reference!$C$4,1,0)+IF(MONTH($A2803)=Reference!$C$5,1,0))+(IF(MONTH($A2803)=Reference!$C$6,Reference!$C$13,0))),0)</f>
        <v>290</v>
      </c>
      <c r="C2803" s="11">
        <f ca="1">B2803*Reference!$C$7*(1-IF(MONTH($A2803)=Reference!$C$6,1,0)*Reference!$C$12)</f>
        <v>269700</v>
      </c>
      <c r="D2803" s="10">
        <f ca="1">ROUND(_xlfn.NORM.INV(RAND(),Reference!$D$8,0.1*Reference!$D$8)*(1+Reference!$D$11*(IF(MONTH($A2803)=Reference!$D$4,1,0)+IF(MONTH($A2803)=Reference!$D$5,1,0))+(IF(MONTH($A2803)=Reference!$D$6,Reference!$D$13,0))),0)</f>
        <v>440</v>
      </c>
      <c r="E2803" s="11">
        <f ca="1">D2803*Reference!$D$7*(1-IF(MONTH($A2803)=Reference!$D$6,1,0)*Reference!$D$12)</f>
        <v>330000</v>
      </c>
      <c r="M2803" s="20"/>
      <c r="N2803" s="20"/>
      <c r="O2803" s="19"/>
      <c r="P2803" s="10"/>
      <c r="Q2803" s="10"/>
      <c r="R2803" s="10"/>
      <c r="S2803" s="10"/>
      <c r="T2803" s="10"/>
      <c r="U2803" s="10"/>
      <c r="V2803" s="10"/>
      <c r="W2803" s="10"/>
      <c r="X2803" s="10"/>
      <c r="Y2803" s="10"/>
    </row>
    <row r="2804" spans="1:25" x14ac:dyDescent="0.25">
      <c r="A2804" s="9">
        <v>43342</v>
      </c>
      <c r="B2804" s="10">
        <f ca="1">ROUND(_xlfn.NORM.INV(RAND(),Reference!$C$8,0.1*Reference!$C$8)*(1+Reference!$C$11*(IF(MONTH($A2804)=Reference!$C$4,1,0)+IF(MONTH($A2804)=Reference!$C$5,1,0))+(IF(MONTH($A2804)=Reference!$C$6,Reference!$C$13,0))),0)</f>
        <v>382</v>
      </c>
      <c r="C2804" s="11">
        <f ca="1">B2804*Reference!$C$7*(1-IF(MONTH($A2804)=Reference!$C$6,1,0)*Reference!$C$12)</f>
        <v>355260</v>
      </c>
      <c r="D2804" s="10">
        <f ca="1">ROUND(_xlfn.NORM.INV(RAND(),Reference!$D$8,0.1*Reference!$D$8)*(1+Reference!$D$11*(IF(MONTH($A2804)=Reference!$D$4,1,0)+IF(MONTH($A2804)=Reference!$D$5,1,0))+(IF(MONTH($A2804)=Reference!$D$6,Reference!$D$13,0))),0)</f>
        <v>508</v>
      </c>
      <c r="E2804" s="11">
        <f ca="1">D2804*Reference!$D$7*(1-IF(MONTH($A2804)=Reference!$D$6,1,0)*Reference!$D$12)</f>
        <v>381000</v>
      </c>
      <c r="M2804" s="20"/>
      <c r="N2804" s="20"/>
      <c r="O2804" s="19"/>
      <c r="P2804" s="10"/>
      <c r="Q2804" s="10"/>
      <c r="R2804" s="10"/>
      <c r="S2804" s="10"/>
      <c r="T2804" s="10"/>
      <c r="U2804" s="10"/>
      <c r="V2804" s="10"/>
      <c r="W2804" s="10"/>
      <c r="X2804" s="10"/>
      <c r="Y2804" s="10"/>
    </row>
    <row r="2805" spans="1:25" x14ac:dyDescent="0.25">
      <c r="A2805" s="9">
        <v>43343</v>
      </c>
      <c r="B2805" s="10">
        <f ca="1">ROUND(_xlfn.NORM.INV(RAND(),Reference!$C$8,0.1*Reference!$C$8)*(1+Reference!$C$11*(IF(MONTH($A2805)=Reference!$C$4,1,0)+IF(MONTH($A2805)=Reference!$C$5,1,0))+(IF(MONTH($A2805)=Reference!$C$6,Reference!$C$13,0))),0)</f>
        <v>350</v>
      </c>
      <c r="C2805" s="11">
        <f ca="1">B2805*Reference!$C$7*(1-IF(MONTH($A2805)=Reference!$C$6,1,0)*Reference!$C$12)</f>
        <v>325500</v>
      </c>
      <c r="D2805" s="10">
        <f ca="1">ROUND(_xlfn.NORM.INV(RAND(),Reference!$D$8,0.1*Reference!$D$8)*(1+Reference!$D$11*(IF(MONTH($A2805)=Reference!$D$4,1,0)+IF(MONTH($A2805)=Reference!$D$5,1,0))+(IF(MONTH($A2805)=Reference!$D$6,Reference!$D$13,0))),0)</f>
        <v>480</v>
      </c>
      <c r="E2805" s="11">
        <f ca="1">D2805*Reference!$D$7*(1-IF(MONTH($A2805)=Reference!$D$6,1,0)*Reference!$D$12)</f>
        <v>360000</v>
      </c>
      <c r="M2805" s="20"/>
      <c r="N2805" s="20"/>
      <c r="O2805" s="19"/>
      <c r="P2805" s="10"/>
      <c r="Q2805" s="10"/>
      <c r="R2805" s="10"/>
      <c r="S2805" s="10"/>
      <c r="T2805" s="10"/>
      <c r="U2805" s="10"/>
      <c r="V2805" s="10"/>
      <c r="W2805" s="10"/>
      <c r="X2805" s="10"/>
      <c r="Y2805" s="10"/>
    </row>
    <row r="2806" spans="1:25" x14ac:dyDescent="0.25">
      <c r="A2806" s="9">
        <v>43344</v>
      </c>
      <c r="B2806" s="10">
        <f ca="1">ROUND(_xlfn.NORM.INV(RAND(),Reference!$C$8,0.1*Reference!$C$8)*(1+Reference!$C$11*(IF(MONTH($A2806)=Reference!$C$4,1,0)+IF(MONTH($A2806)=Reference!$C$5,1,0))+(IF(MONTH($A2806)=Reference!$C$6,Reference!$C$13,0))),0)</f>
        <v>356</v>
      </c>
      <c r="C2806" s="11">
        <f ca="1">B2806*Reference!$C$7*(1-IF(MONTH($A2806)=Reference!$C$6,1,0)*Reference!$C$12)</f>
        <v>331080</v>
      </c>
      <c r="D2806" s="10">
        <f ca="1">ROUND(_xlfn.NORM.INV(RAND(),Reference!$D$8,0.1*Reference!$D$8)*(1+Reference!$D$11*(IF(MONTH($A2806)=Reference!$D$4,1,0)+IF(MONTH($A2806)=Reference!$D$5,1,0))+(IF(MONTH($A2806)=Reference!$D$6,Reference!$D$13,0))),0)</f>
        <v>464</v>
      </c>
      <c r="E2806" s="11">
        <f ca="1">D2806*Reference!$D$7*(1-IF(MONTH($A2806)=Reference!$D$6,1,0)*Reference!$D$12)</f>
        <v>330600</v>
      </c>
      <c r="M2806" s="20"/>
      <c r="N2806" s="20"/>
      <c r="O2806" s="19"/>
      <c r="P2806" s="10"/>
      <c r="Q2806" s="10"/>
      <c r="R2806" s="10"/>
      <c r="S2806" s="10"/>
      <c r="T2806" s="10"/>
      <c r="U2806" s="10"/>
      <c r="V2806" s="10"/>
      <c r="W2806" s="10"/>
      <c r="X2806" s="10"/>
      <c r="Y2806" s="10"/>
    </row>
    <row r="2807" spans="1:25" x14ac:dyDescent="0.25">
      <c r="A2807" s="9">
        <v>43345</v>
      </c>
      <c r="B2807" s="10">
        <f ca="1">ROUND(_xlfn.NORM.INV(RAND(),Reference!$C$8,0.1*Reference!$C$8)*(1+Reference!$C$11*(IF(MONTH($A2807)=Reference!$C$4,1,0)+IF(MONTH($A2807)=Reference!$C$5,1,0))+(IF(MONTH($A2807)=Reference!$C$6,Reference!$C$13,0))),0)</f>
        <v>364</v>
      </c>
      <c r="C2807" s="11">
        <f ca="1">B2807*Reference!$C$7*(1-IF(MONTH($A2807)=Reference!$C$6,1,0)*Reference!$C$12)</f>
        <v>338520</v>
      </c>
      <c r="D2807" s="10">
        <f ca="1">ROUND(_xlfn.NORM.INV(RAND(),Reference!$D$8,0.1*Reference!$D$8)*(1+Reference!$D$11*(IF(MONTH($A2807)=Reference!$D$4,1,0)+IF(MONTH($A2807)=Reference!$D$5,1,0))+(IF(MONTH($A2807)=Reference!$D$6,Reference!$D$13,0))),0)</f>
        <v>513</v>
      </c>
      <c r="E2807" s="11">
        <f ca="1">D2807*Reference!$D$7*(1-IF(MONTH($A2807)=Reference!$D$6,1,0)*Reference!$D$12)</f>
        <v>365512.5</v>
      </c>
      <c r="M2807" s="20"/>
      <c r="N2807" s="20"/>
      <c r="O2807" s="19"/>
      <c r="P2807" s="10"/>
      <c r="Q2807" s="10"/>
      <c r="R2807" s="10"/>
      <c r="S2807" s="10"/>
      <c r="T2807" s="10"/>
      <c r="U2807" s="10"/>
      <c r="V2807" s="10"/>
      <c r="W2807" s="10"/>
      <c r="X2807" s="10"/>
      <c r="Y2807" s="10"/>
    </row>
    <row r="2808" spans="1:25" x14ac:dyDescent="0.25">
      <c r="A2808" s="9">
        <v>43346</v>
      </c>
      <c r="B2808" s="10">
        <f ca="1">ROUND(_xlfn.NORM.INV(RAND(),Reference!$C$8,0.1*Reference!$C$8)*(1+Reference!$C$11*(IF(MONTH($A2808)=Reference!$C$4,1,0)+IF(MONTH($A2808)=Reference!$C$5,1,0))+(IF(MONTH($A2808)=Reference!$C$6,Reference!$C$13,0))),0)</f>
        <v>392</v>
      </c>
      <c r="C2808" s="11">
        <f ca="1">B2808*Reference!$C$7*(1-IF(MONTH($A2808)=Reference!$C$6,1,0)*Reference!$C$12)</f>
        <v>364560</v>
      </c>
      <c r="D2808" s="10">
        <f ca="1">ROUND(_xlfn.NORM.INV(RAND(),Reference!$D$8,0.1*Reference!$D$8)*(1+Reference!$D$11*(IF(MONTH($A2808)=Reference!$D$4,1,0)+IF(MONTH($A2808)=Reference!$D$5,1,0))+(IF(MONTH($A2808)=Reference!$D$6,Reference!$D$13,0))),0)</f>
        <v>498</v>
      </c>
      <c r="E2808" s="11">
        <f ca="1">D2808*Reference!$D$7*(1-IF(MONTH($A2808)=Reference!$D$6,1,0)*Reference!$D$12)</f>
        <v>354825</v>
      </c>
      <c r="M2808" s="20"/>
      <c r="N2808" s="20"/>
      <c r="O2808" s="19"/>
      <c r="P2808" s="10"/>
      <c r="Q2808" s="10"/>
      <c r="R2808" s="10"/>
      <c r="S2808" s="10"/>
      <c r="T2808" s="10"/>
      <c r="U2808" s="10"/>
      <c r="V2808" s="10"/>
      <c r="W2808" s="10"/>
      <c r="X2808" s="10"/>
      <c r="Y2808" s="10"/>
    </row>
    <row r="2809" spans="1:25" x14ac:dyDescent="0.25">
      <c r="A2809" s="9">
        <v>43347</v>
      </c>
      <c r="B2809" s="10">
        <f ca="1">ROUND(_xlfn.NORM.INV(RAND(),Reference!$C$8,0.1*Reference!$C$8)*(1+Reference!$C$11*(IF(MONTH($A2809)=Reference!$C$4,1,0)+IF(MONTH($A2809)=Reference!$C$5,1,0))+(IF(MONTH($A2809)=Reference!$C$6,Reference!$C$13,0))),0)</f>
        <v>427</v>
      </c>
      <c r="C2809" s="11">
        <f ca="1">B2809*Reference!$C$7*(1-IF(MONTH($A2809)=Reference!$C$6,1,0)*Reference!$C$12)</f>
        <v>397110</v>
      </c>
      <c r="D2809" s="10">
        <f ca="1">ROUND(_xlfn.NORM.INV(RAND(),Reference!$D$8,0.1*Reference!$D$8)*(1+Reference!$D$11*(IF(MONTH($A2809)=Reference!$D$4,1,0)+IF(MONTH($A2809)=Reference!$D$5,1,0))+(IF(MONTH($A2809)=Reference!$D$6,Reference!$D$13,0))),0)</f>
        <v>577</v>
      </c>
      <c r="E2809" s="11">
        <f ca="1">D2809*Reference!$D$7*(1-IF(MONTH($A2809)=Reference!$D$6,1,0)*Reference!$D$12)</f>
        <v>411112.5</v>
      </c>
      <c r="M2809" s="20"/>
      <c r="N2809" s="20"/>
      <c r="O2809" s="19"/>
      <c r="P2809" s="10"/>
      <c r="Q2809" s="10"/>
      <c r="R2809" s="10"/>
      <c r="S2809" s="10"/>
      <c r="T2809" s="10"/>
      <c r="U2809" s="10"/>
      <c r="V2809" s="10"/>
      <c r="W2809" s="10"/>
      <c r="X2809" s="10"/>
      <c r="Y2809" s="10"/>
    </row>
    <row r="2810" spans="1:25" x14ac:dyDescent="0.25">
      <c r="A2810" s="9">
        <v>43348</v>
      </c>
      <c r="B2810" s="10">
        <f ca="1">ROUND(_xlfn.NORM.INV(RAND(),Reference!$C$8,0.1*Reference!$C$8)*(1+Reference!$C$11*(IF(MONTH($A2810)=Reference!$C$4,1,0)+IF(MONTH($A2810)=Reference!$C$5,1,0))+(IF(MONTH($A2810)=Reference!$C$6,Reference!$C$13,0))),0)</f>
        <v>365</v>
      </c>
      <c r="C2810" s="11">
        <f ca="1">B2810*Reference!$C$7*(1-IF(MONTH($A2810)=Reference!$C$6,1,0)*Reference!$C$12)</f>
        <v>339450</v>
      </c>
      <c r="D2810" s="10">
        <f ca="1">ROUND(_xlfn.NORM.INV(RAND(),Reference!$D$8,0.1*Reference!$D$8)*(1+Reference!$D$11*(IF(MONTH($A2810)=Reference!$D$4,1,0)+IF(MONTH($A2810)=Reference!$D$5,1,0))+(IF(MONTH($A2810)=Reference!$D$6,Reference!$D$13,0))),0)</f>
        <v>478</v>
      </c>
      <c r="E2810" s="11">
        <f ca="1">D2810*Reference!$D$7*(1-IF(MONTH($A2810)=Reference!$D$6,1,0)*Reference!$D$12)</f>
        <v>340575</v>
      </c>
      <c r="M2810" s="20"/>
      <c r="N2810" s="20"/>
      <c r="O2810" s="19"/>
      <c r="P2810" s="10"/>
      <c r="Q2810" s="10"/>
      <c r="R2810" s="10"/>
      <c r="S2810" s="10"/>
      <c r="T2810" s="10"/>
      <c r="U2810" s="10"/>
      <c r="V2810" s="10"/>
      <c r="W2810" s="10"/>
      <c r="X2810" s="10"/>
      <c r="Y2810" s="10"/>
    </row>
    <row r="2811" spans="1:25" x14ac:dyDescent="0.25">
      <c r="A2811" s="9">
        <v>43349</v>
      </c>
      <c r="B2811" s="10">
        <f ca="1">ROUND(_xlfn.NORM.INV(RAND(),Reference!$C$8,0.1*Reference!$C$8)*(1+Reference!$C$11*(IF(MONTH($A2811)=Reference!$C$4,1,0)+IF(MONTH($A2811)=Reference!$C$5,1,0))+(IF(MONTH($A2811)=Reference!$C$6,Reference!$C$13,0))),0)</f>
        <v>327</v>
      </c>
      <c r="C2811" s="11">
        <f ca="1">B2811*Reference!$C$7*(1-IF(MONTH($A2811)=Reference!$C$6,1,0)*Reference!$C$12)</f>
        <v>304110</v>
      </c>
      <c r="D2811" s="10">
        <f ca="1">ROUND(_xlfn.NORM.INV(RAND(),Reference!$D$8,0.1*Reference!$D$8)*(1+Reference!$D$11*(IF(MONTH($A2811)=Reference!$D$4,1,0)+IF(MONTH($A2811)=Reference!$D$5,1,0))+(IF(MONTH($A2811)=Reference!$D$6,Reference!$D$13,0))),0)</f>
        <v>637</v>
      </c>
      <c r="E2811" s="11">
        <f ca="1">D2811*Reference!$D$7*(1-IF(MONTH($A2811)=Reference!$D$6,1,0)*Reference!$D$12)</f>
        <v>453862.5</v>
      </c>
      <c r="M2811" s="20"/>
      <c r="N2811" s="20"/>
      <c r="O2811" s="19"/>
      <c r="P2811" s="10"/>
      <c r="Q2811" s="10"/>
      <c r="R2811" s="10"/>
      <c r="S2811" s="10"/>
      <c r="T2811" s="10"/>
      <c r="U2811" s="10"/>
      <c r="V2811" s="10"/>
      <c r="W2811" s="10"/>
      <c r="X2811" s="10"/>
      <c r="Y2811" s="10"/>
    </row>
    <row r="2812" spans="1:25" x14ac:dyDescent="0.25">
      <c r="A2812" s="9">
        <v>43350</v>
      </c>
      <c r="B2812" s="10">
        <f ca="1">ROUND(_xlfn.NORM.INV(RAND(),Reference!$C$8,0.1*Reference!$C$8)*(1+Reference!$C$11*(IF(MONTH($A2812)=Reference!$C$4,1,0)+IF(MONTH($A2812)=Reference!$C$5,1,0))+(IF(MONTH($A2812)=Reference!$C$6,Reference!$C$13,0))),0)</f>
        <v>401</v>
      </c>
      <c r="C2812" s="11">
        <f ca="1">B2812*Reference!$C$7*(1-IF(MONTH($A2812)=Reference!$C$6,1,0)*Reference!$C$12)</f>
        <v>372930</v>
      </c>
      <c r="D2812" s="10">
        <f ca="1">ROUND(_xlfn.NORM.INV(RAND(),Reference!$D$8,0.1*Reference!$D$8)*(1+Reference!$D$11*(IF(MONTH($A2812)=Reference!$D$4,1,0)+IF(MONTH($A2812)=Reference!$D$5,1,0))+(IF(MONTH($A2812)=Reference!$D$6,Reference!$D$13,0))),0)</f>
        <v>500</v>
      </c>
      <c r="E2812" s="11">
        <f ca="1">D2812*Reference!$D$7*(1-IF(MONTH($A2812)=Reference!$D$6,1,0)*Reference!$D$12)</f>
        <v>356250</v>
      </c>
      <c r="M2812" s="20"/>
      <c r="N2812" s="20"/>
      <c r="O2812" s="19"/>
      <c r="P2812" s="10"/>
      <c r="Q2812" s="10"/>
      <c r="R2812" s="10"/>
      <c r="S2812" s="10"/>
      <c r="T2812" s="10"/>
      <c r="U2812" s="10"/>
      <c r="V2812" s="10"/>
      <c r="W2812" s="10"/>
      <c r="X2812" s="10"/>
      <c r="Y2812" s="10"/>
    </row>
    <row r="2813" spans="1:25" x14ac:dyDescent="0.25">
      <c r="A2813" s="9">
        <v>43351</v>
      </c>
      <c r="B2813" s="10">
        <f ca="1">ROUND(_xlfn.NORM.INV(RAND(),Reference!$C$8,0.1*Reference!$C$8)*(1+Reference!$C$11*(IF(MONTH($A2813)=Reference!$C$4,1,0)+IF(MONTH($A2813)=Reference!$C$5,1,0))+(IF(MONTH($A2813)=Reference!$C$6,Reference!$C$13,0))),0)</f>
        <v>399</v>
      </c>
      <c r="C2813" s="11">
        <f ca="1">B2813*Reference!$C$7*(1-IF(MONTH($A2813)=Reference!$C$6,1,0)*Reference!$C$12)</f>
        <v>371070</v>
      </c>
      <c r="D2813" s="10">
        <f ca="1">ROUND(_xlfn.NORM.INV(RAND(),Reference!$D$8,0.1*Reference!$D$8)*(1+Reference!$D$11*(IF(MONTH($A2813)=Reference!$D$4,1,0)+IF(MONTH($A2813)=Reference!$D$5,1,0))+(IF(MONTH($A2813)=Reference!$D$6,Reference!$D$13,0))),0)</f>
        <v>554</v>
      </c>
      <c r="E2813" s="11">
        <f ca="1">D2813*Reference!$D$7*(1-IF(MONTH($A2813)=Reference!$D$6,1,0)*Reference!$D$12)</f>
        <v>394725</v>
      </c>
      <c r="M2813" s="20"/>
      <c r="N2813" s="20"/>
      <c r="O2813" s="19"/>
      <c r="P2813" s="10"/>
      <c r="Q2813" s="10"/>
      <c r="R2813" s="10"/>
      <c r="S2813" s="10"/>
      <c r="T2813" s="10"/>
      <c r="U2813" s="10"/>
      <c r="V2813" s="10"/>
      <c r="W2813" s="10"/>
      <c r="X2813" s="10"/>
      <c r="Y2813" s="10"/>
    </row>
    <row r="2814" spans="1:25" x14ac:dyDescent="0.25">
      <c r="A2814" s="9">
        <v>43352</v>
      </c>
      <c r="B2814" s="10">
        <f ca="1">ROUND(_xlfn.NORM.INV(RAND(),Reference!$C$8,0.1*Reference!$C$8)*(1+Reference!$C$11*(IF(MONTH($A2814)=Reference!$C$4,1,0)+IF(MONTH($A2814)=Reference!$C$5,1,0))+(IF(MONTH($A2814)=Reference!$C$6,Reference!$C$13,0))),0)</f>
        <v>453</v>
      </c>
      <c r="C2814" s="11">
        <f ca="1">B2814*Reference!$C$7*(1-IF(MONTH($A2814)=Reference!$C$6,1,0)*Reference!$C$12)</f>
        <v>421290</v>
      </c>
      <c r="D2814" s="10">
        <f ca="1">ROUND(_xlfn.NORM.INV(RAND(),Reference!$D$8,0.1*Reference!$D$8)*(1+Reference!$D$11*(IF(MONTH($A2814)=Reference!$D$4,1,0)+IF(MONTH($A2814)=Reference!$D$5,1,0))+(IF(MONTH($A2814)=Reference!$D$6,Reference!$D$13,0))),0)</f>
        <v>515</v>
      </c>
      <c r="E2814" s="11">
        <f ca="1">D2814*Reference!$D$7*(1-IF(MONTH($A2814)=Reference!$D$6,1,0)*Reference!$D$12)</f>
        <v>366937.5</v>
      </c>
      <c r="M2814" s="20"/>
      <c r="N2814" s="20"/>
      <c r="O2814" s="19"/>
      <c r="P2814" s="10"/>
      <c r="Q2814" s="10"/>
      <c r="R2814" s="10"/>
      <c r="S2814" s="10"/>
      <c r="T2814" s="10"/>
      <c r="U2814" s="10"/>
      <c r="V2814" s="10"/>
      <c r="W2814" s="10"/>
      <c r="X2814" s="10"/>
      <c r="Y2814" s="10"/>
    </row>
    <row r="2815" spans="1:25" x14ac:dyDescent="0.25">
      <c r="A2815" s="9">
        <v>43353</v>
      </c>
      <c r="B2815" s="10">
        <f ca="1">ROUND(_xlfn.NORM.INV(RAND(),Reference!$C$8,0.1*Reference!$C$8)*(1+Reference!$C$11*(IF(MONTH($A2815)=Reference!$C$4,1,0)+IF(MONTH($A2815)=Reference!$C$5,1,0))+(IF(MONTH($A2815)=Reference!$C$6,Reference!$C$13,0))),0)</f>
        <v>377</v>
      </c>
      <c r="C2815" s="11">
        <f ca="1">B2815*Reference!$C$7*(1-IF(MONTH($A2815)=Reference!$C$6,1,0)*Reference!$C$12)</f>
        <v>350610</v>
      </c>
      <c r="D2815" s="10">
        <f ca="1">ROUND(_xlfn.NORM.INV(RAND(),Reference!$D$8,0.1*Reference!$D$8)*(1+Reference!$D$11*(IF(MONTH($A2815)=Reference!$D$4,1,0)+IF(MONTH($A2815)=Reference!$D$5,1,0))+(IF(MONTH($A2815)=Reference!$D$6,Reference!$D$13,0))),0)</f>
        <v>478</v>
      </c>
      <c r="E2815" s="11">
        <f ca="1">D2815*Reference!$D$7*(1-IF(MONTH($A2815)=Reference!$D$6,1,0)*Reference!$D$12)</f>
        <v>340575</v>
      </c>
      <c r="M2815" s="20"/>
      <c r="N2815" s="20"/>
      <c r="O2815" s="19"/>
      <c r="P2815" s="10"/>
      <c r="Q2815" s="10"/>
      <c r="R2815" s="10"/>
      <c r="S2815" s="10"/>
      <c r="T2815" s="10"/>
      <c r="U2815" s="10"/>
      <c r="V2815" s="10"/>
      <c r="W2815" s="10"/>
      <c r="X2815" s="10"/>
      <c r="Y2815" s="10"/>
    </row>
    <row r="2816" spans="1:25" x14ac:dyDescent="0.25">
      <c r="A2816" s="9">
        <v>43354</v>
      </c>
      <c r="B2816" s="10">
        <f ca="1">ROUND(_xlfn.NORM.INV(RAND(),Reference!$C$8,0.1*Reference!$C$8)*(1+Reference!$C$11*(IF(MONTH($A2816)=Reference!$C$4,1,0)+IF(MONTH($A2816)=Reference!$C$5,1,0))+(IF(MONTH($A2816)=Reference!$C$6,Reference!$C$13,0))),0)</f>
        <v>351</v>
      </c>
      <c r="C2816" s="11">
        <f ca="1">B2816*Reference!$C$7*(1-IF(MONTH($A2816)=Reference!$C$6,1,0)*Reference!$C$12)</f>
        <v>326430</v>
      </c>
      <c r="D2816" s="10">
        <f ca="1">ROUND(_xlfn.NORM.INV(RAND(),Reference!$D$8,0.1*Reference!$D$8)*(1+Reference!$D$11*(IF(MONTH($A2816)=Reference!$D$4,1,0)+IF(MONTH($A2816)=Reference!$D$5,1,0))+(IF(MONTH($A2816)=Reference!$D$6,Reference!$D$13,0))),0)</f>
        <v>392</v>
      </c>
      <c r="E2816" s="11">
        <f ca="1">D2816*Reference!$D$7*(1-IF(MONTH($A2816)=Reference!$D$6,1,0)*Reference!$D$12)</f>
        <v>279300</v>
      </c>
      <c r="M2816" s="20"/>
      <c r="N2816" s="20"/>
      <c r="O2816" s="19"/>
      <c r="P2816" s="10"/>
      <c r="Q2816" s="10"/>
      <c r="R2816" s="10"/>
      <c r="S2816" s="10"/>
      <c r="T2816" s="10"/>
      <c r="U2816" s="10"/>
      <c r="V2816" s="10"/>
      <c r="W2816" s="10"/>
      <c r="X2816" s="10"/>
      <c r="Y2816" s="10"/>
    </row>
    <row r="2817" spans="1:25" x14ac:dyDescent="0.25">
      <c r="A2817" s="9">
        <v>43355</v>
      </c>
      <c r="B2817" s="10">
        <f ca="1">ROUND(_xlfn.NORM.INV(RAND(),Reference!$C$8,0.1*Reference!$C$8)*(1+Reference!$C$11*(IF(MONTH($A2817)=Reference!$C$4,1,0)+IF(MONTH($A2817)=Reference!$C$5,1,0))+(IF(MONTH($A2817)=Reference!$C$6,Reference!$C$13,0))),0)</f>
        <v>386</v>
      </c>
      <c r="C2817" s="11">
        <f ca="1">B2817*Reference!$C$7*(1-IF(MONTH($A2817)=Reference!$C$6,1,0)*Reference!$C$12)</f>
        <v>358980</v>
      </c>
      <c r="D2817" s="10">
        <f ca="1">ROUND(_xlfn.NORM.INV(RAND(),Reference!$D$8,0.1*Reference!$D$8)*(1+Reference!$D$11*(IF(MONTH($A2817)=Reference!$D$4,1,0)+IF(MONTH($A2817)=Reference!$D$5,1,0))+(IF(MONTH($A2817)=Reference!$D$6,Reference!$D$13,0))),0)</f>
        <v>493</v>
      </c>
      <c r="E2817" s="11">
        <f ca="1">D2817*Reference!$D$7*(1-IF(MONTH($A2817)=Reference!$D$6,1,0)*Reference!$D$12)</f>
        <v>351262.5</v>
      </c>
      <c r="M2817" s="20"/>
      <c r="N2817" s="20"/>
      <c r="O2817" s="19"/>
      <c r="P2817" s="10"/>
      <c r="Q2817" s="10"/>
      <c r="R2817" s="10"/>
      <c r="S2817" s="10"/>
      <c r="T2817" s="10"/>
      <c r="U2817" s="10"/>
      <c r="V2817" s="10"/>
      <c r="W2817" s="10"/>
      <c r="X2817" s="10"/>
      <c r="Y2817" s="10"/>
    </row>
    <row r="2818" spans="1:25" x14ac:dyDescent="0.25">
      <c r="A2818" s="9">
        <v>43356</v>
      </c>
      <c r="B2818" s="10">
        <f ca="1">ROUND(_xlfn.NORM.INV(RAND(),Reference!$C$8,0.1*Reference!$C$8)*(1+Reference!$C$11*(IF(MONTH($A2818)=Reference!$C$4,1,0)+IF(MONTH($A2818)=Reference!$C$5,1,0))+(IF(MONTH($A2818)=Reference!$C$6,Reference!$C$13,0))),0)</f>
        <v>375</v>
      </c>
      <c r="C2818" s="11">
        <f ca="1">B2818*Reference!$C$7*(1-IF(MONTH($A2818)=Reference!$C$6,1,0)*Reference!$C$12)</f>
        <v>348750</v>
      </c>
      <c r="D2818" s="10">
        <f ca="1">ROUND(_xlfn.NORM.INV(RAND(),Reference!$D$8,0.1*Reference!$D$8)*(1+Reference!$D$11*(IF(MONTH($A2818)=Reference!$D$4,1,0)+IF(MONTH($A2818)=Reference!$D$5,1,0))+(IF(MONTH($A2818)=Reference!$D$6,Reference!$D$13,0))),0)</f>
        <v>538</v>
      </c>
      <c r="E2818" s="11">
        <f ca="1">D2818*Reference!$D$7*(1-IF(MONTH($A2818)=Reference!$D$6,1,0)*Reference!$D$12)</f>
        <v>383325</v>
      </c>
      <c r="M2818" s="20"/>
      <c r="N2818" s="20"/>
      <c r="O2818" s="19"/>
      <c r="P2818" s="10"/>
      <c r="Q2818" s="10"/>
      <c r="R2818" s="10"/>
      <c r="S2818" s="10"/>
      <c r="T2818" s="10"/>
      <c r="U2818" s="10"/>
      <c r="V2818" s="10"/>
      <c r="W2818" s="10"/>
      <c r="X2818" s="10"/>
      <c r="Y2818" s="10"/>
    </row>
    <row r="2819" spans="1:25" x14ac:dyDescent="0.25">
      <c r="A2819" s="9">
        <v>43357</v>
      </c>
      <c r="B2819" s="10">
        <f ca="1">ROUND(_xlfn.NORM.INV(RAND(),Reference!$C$8,0.1*Reference!$C$8)*(1+Reference!$C$11*(IF(MONTH($A2819)=Reference!$C$4,1,0)+IF(MONTH($A2819)=Reference!$C$5,1,0))+(IF(MONTH($A2819)=Reference!$C$6,Reference!$C$13,0))),0)</f>
        <v>385</v>
      </c>
      <c r="C2819" s="11">
        <f ca="1">B2819*Reference!$C$7*(1-IF(MONTH($A2819)=Reference!$C$6,1,0)*Reference!$C$12)</f>
        <v>358050</v>
      </c>
      <c r="D2819" s="10">
        <f ca="1">ROUND(_xlfn.NORM.INV(RAND(),Reference!$D$8,0.1*Reference!$D$8)*(1+Reference!$D$11*(IF(MONTH($A2819)=Reference!$D$4,1,0)+IF(MONTH($A2819)=Reference!$D$5,1,0))+(IF(MONTH($A2819)=Reference!$D$6,Reference!$D$13,0))),0)</f>
        <v>546</v>
      </c>
      <c r="E2819" s="11">
        <f ca="1">D2819*Reference!$D$7*(1-IF(MONTH($A2819)=Reference!$D$6,1,0)*Reference!$D$12)</f>
        <v>389025</v>
      </c>
      <c r="M2819" s="20"/>
      <c r="N2819" s="20"/>
      <c r="O2819" s="19"/>
      <c r="P2819" s="10"/>
      <c r="Q2819" s="10"/>
      <c r="R2819" s="10"/>
      <c r="S2819" s="10"/>
      <c r="T2819" s="10"/>
      <c r="U2819" s="10"/>
      <c r="V2819" s="10"/>
      <c r="W2819" s="10"/>
      <c r="X2819" s="10"/>
      <c r="Y2819" s="10"/>
    </row>
    <row r="2820" spans="1:25" x14ac:dyDescent="0.25">
      <c r="A2820" s="9">
        <v>43358</v>
      </c>
      <c r="B2820" s="10">
        <f ca="1">ROUND(_xlfn.NORM.INV(RAND(),Reference!$C$8,0.1*Reference!$C$8)*(1+Reference!$C$11*(IF(MONTH($A2820)=Reference!$C$4,1,0)+IF(MONTH($A2820)=Reference!$C$5,1,0))+(IF(MONTH($A2820)=Reference!$C$6,Reference!$C$13,0))),0)</f>
        <v>271</v>
      </c>
      <c r="C2820" s="11">
        <f ca="1">B2820*Reference!$C$7*(1-IF(MONTH($A2820)=Reference!$C$6,1,0)*Reference!$C$12)</f>
        <v>252030</v>
      </c>
      <c r="D2820" s="10">
        <f ca="1">ROUND(_xlfn.NORM.INV(RAND(),Reference!$D$8,0.1*Reference!$D$8)*(1+Reference!$D$11*(IF(MONTH($A2820)=Reference!$D$4,1,0)+IF(MONTH($A2820)=Reference!$D$5,1,0))+(IF(MONTH($A2820)=Reference!$D$6,Reference!$D$13,0))),0)</f>
        <v>630</v>
      </c>
      <c r="E2820" s="11">
        <f ca="1">D2820*Reference!$D$7*(1-IF(MONTH($A2820)=Reference!$D$6,1,0)*Reference!$D$12)</f>
        <v>448875</v>
      </c>
      <c r="M2820" s="20"/>
      <c r="N2820" s="20"/>
      <c r="O2820" s="19"/>
      <c r="P2820" s="10"/>
      <c r="Q2820" s="10"/>
      <c r="R2820" s="10"/>
      <c r="S2820" s="10"/>
      <c r="T2820" s="10"/>
      <c r="U2820" s="10"/>
      <c r="V2820" s="10"/>
      <c r="W2820" s="10"/>
      <c r="X2820" s="10"/>
      <c r="Y2820" s="10"/>
    </row>
    <row r="2821" spans="1:25" x14ac:dyDescent="0.25">
      <c r="A2821" s="9">
        <v>43359</v>
      </c>
      <c r="B2821" s="10">
        <f ca="1">ROUND(_xlfn.NORM.INV(RAND(),Reference!$C$8,0.1*Reference!$C$8)*(1+Reference!$C$11*(IF(MONTH($A2821)=Reference!$C$4,1,0)+IF(MONTH($A2821)=Reference!$C$5,1,0))+(IF(MONTH($A2821)=Reference!$C$6,Reference!$C$13,0))),0)</f>
        <v>368</v>
      </c>
      <c r="C2821" s="11">
        <f ca="1">B2821*Reference!$C$7*(1-IF(MONTH($A2821)=Reference!$C$6,1,0)*Reference!$C$12)</f>
        <v>342240</v>
      </c>
      <c r="D2821" s="10">
        <f ca="1">ROUND(_xlfn.NORM.INV(RAND(),Reference!$D$8,0.1*Reference!$D$8)*(1+Reference!$D$11*(IF(MONTH($A2821)=Reference!$D$4,1,0)+IF(MONTH($A2821)=Reference!$D$5,1,0))+(IF(MONTH($A2821)=Reference!$D$6,Reference!$D$13,0))),0)</f>
        <v>533</v>
      </c>
      <c r="E2821" s="11">
        <f ca="1">D2821*Reference!$D$7*(1-IF(MONTH($A2821)=Reference!$D$6,1,0)*Reference!$D$12)</f>
        <v>379762.5</v>
      </c>
      <c r="M2821" s="20"/>
      <c r="N2821" s="20"/>
      <c r="O2821" s="19"/>
      <c r="P2821" s="10"/>
      <c r="Q2821" s="10"/>
      <c r="R2821" s="10"/>
      <c r="S2821" s="10"/>
      <c r="T2821" s="10"/>
      <c r="U2821" s="10"/>
      <c r="V2821" s="10"/>
      <c r="W2821" s="10"/>
      <c r="X2821" s="10"/>
      <c r="Y2821" s="10"/>
    </row>
    <row r="2822" spans="1:25" x14ac:dyDescent="0.25">
      <c r="A2822" s="9">
        <v>43360</v>
      </c>
      <c r="B2822" s="10">
        <f ca="1">ROUND(_xlfn.NORM.INV(RAND(),Reference!$C$8,0.1*Reference!$C$8)*(1+Reference!$C$11*(IF(MONTH($A2822)=Reference!$C$4,1,0)+IF(MONTH($A2822)=Reference!$C$5,1,0))+(IF(MONTH($A2822)=Reference!$C$6,Reference!$C$13,0))),0)</f>
        <v>351</v>
      </c>
      <c r="C2822" s="11">
        <f ca="1">B2822*Reference!$C$7*(1-IF(MONTH($A2822)=Reference!$C$6,1,0)*Reference!$C$12)</f>
        <v>326430</v>
      </c>
      <c r="D2822" s="10">
        <f ca="1">ROUND(_xlfn.NORM.INV(RAND(),Reference!$D$8,0.1*Reference!$D$8)*(1+Reference!$D$11*(IF(MONTH($A2822)=Reference!$D$4,1,0)+IF(MONTH($A2822)=Reference!$D$5,1,0))+(IF(MONTH($A2822)=Reference!$D$6,Reference!$D$13,0))),0)</f>
        <v>456</v>
      </c>
      <c r="E2822" s="11">
        <f ca="1">D2822*Reference!$D$7*(1-IF(MONTH($A2822)=Reference!$D$6,1,0)*Reference!$D$12)</f>
        <v>324900</v>
      </c>
      <c r="M2822" s="20"/>
      <c r="N2822" s="20"/>
      <c r="O2822" s="19"/>
      <c r="P2822" s="10"/>
      <c r="Q2822" s="10"/>
      <c r="R2822" s="10"/>
      <c r="S2822" s="10"/>
      <c r="T2822" s="10"/>
      <c r="U2822" s="10"/>
      <c r="V2822" s="10"/>
      <c r="W2822" s="10"/>
      <c r="X2822" s="10"/>
      <c r="Y2822" s="10"/>
    </row>
    <row r="2823" spans="1:25" x14ac:dyDescent="0.25">
      <c r="A2823" s="9">
        <v>43361</v>
      </c>
      <c r="B2823" s="10">
        <f ca="1">ROUND(_xlfn.NORM.INV(RAND(),Reference!$C$8,0.1*Reference!$C$8)*(1+Reference!$C$11*(IF(MONTH($A2823)=Reference!$C$4,1,0)+IF(MONTH($A2823)=Reference!$C$5,1,0))+(IF(MONTH($A2823)=Reference!$C$6,Reference!$C$13,0))),0)</f>
        <v>357</v>
      </c>
      <c r="C2823" s="11">
        <f ca="1">B2823*Reference!$C$7*(1-IF(MONTH($A2823)=Reference!$C$6,1,0)*Reference!$C$12)</f>
        <v>332010</v>
      </c>
      <c r="D2823" s="10">
        <f ca="1">ROUND(_xlfn.NORM.INV(RAND(),Reference!$D$8,0.1*Reference!$D$8)*(1+Reference!$D$11*(IF(MONTH($A2823)=Reference!$D$4,1,0)+IF(MONTH($A2823)=Reference!$D$5,1,0))+(IF(MONTH($A2823)=Reference!$D$6,Reference!$D$13,0))),0)</f>
        <v>547</v>
      </c>
      <c r="E2823" s="11">
        <f ca="1">D2823*Reference!$D$7*(1-IF(MONTH($A2823)=Reference!$D$6,1,0)*Reference!$D$12)</f>
        <v>389737.5</v>
      </c>
      <c r="M2823" s="20"/>
      <c r="N2823" s="20"/>
      <c r="O2823" s="19"/>
      <c r="P2823" s="10"/>
      <c r="Q2823" s="10"/>
      <c r="R2823" s="10"/>
      <c r="S2823" s="10"/>
      <c r="T2823" s="10"/>
      <c r="U2823" s="10"/>
      <c r="V2823" s="10"/>
      <c r="W2823" s="10"/>
      <c r="X2823" s="10"/>
      <c r="Y2823" s="10"/>
    </row>
    <row r="2824" spans="1:25" x14ac:dyDescent="0.25">
      <c r="A2824" s="9">
        <v>43362</v>
      </c>
      <c r="B2824" s="10">
        <f ca="1">ROUND(_xlfn.NORM.INV(RAND(),Reference!$C$8,0.1*Reference!$C$8)*(1+Reference!$C$11*(IF(MONTH($A2824)=Reference!$C$4,1,0)+IF(MONTH($A2824)=Reference!$C$5,1,0))+(IF(MONTH($A2824)=Reference!$C$6,Reference!$C$13,0))),0)</f>
        <v>405</v>
      </c>
      <c r="C2824" s="11">
        <f ca="1">B2824*Reference!$C$7*(1-IF(MONTH($A2824)=Reference!$C$6,1,0)*Reference!$C$12)</f>
        <v>376650</v>
      </c>
      <c r="D2824" s="10">
        <f ca="1">ROUND(_xlfn.NORM.INV(RAND(),Reference!$D$8,0.1*Reference!$D$8)*(1+Reference!$D$11*(IF(MONTH($A2824)=Reference!$D$4,1,0)+IF(MONTH($A2824)=Reference!$D$5,1,0))+(IF(MONTH($A2824)=Reference!$D$6,Reference!$D$13,0))),0)</f>
        <v>453</v>
      </c>
      <c r="E2824" s="11">
        <f ca="1">D2824*Reference!$D$7*(1-IF(MONTH($A2824)=Reference!$D$6,1,0)*Reference!$D$12)</f>
        <v>322762.5</v>
      </c>
      <c r="M2824" s="20"/>
      <c r="N2824" s="20"/>
      <c r="O2824" s="19"/>
      <c r="P2824" s="10"/>
      <c r="Q2824" s="10"/>
      <c r="R2824" s="10"/>
      <c r="S2824" s="10"/>
      <c r="T2824" s="10"/>
      <c r="U2824" s="10"/>
      <c r="V2824" s="10"/>
      <c r="W2824" s="10"/>
      <c r="X2824" s="10"/>
      <c r="Y2824" s="10"/>
    </row>
    <row r="2825" spans="1:25" x14ac:dyDescent="0.25">
      <c r="A2825" s="9">
        <v>43363</v>
      </c>
      <c r="B2825" s="10">
        <f ca="1">ROUND(_xlfn.NORM.INV(RAND(),Reference!$C$8,0.1*Reference!$C$8)*(1+Reference!$C$11*(IF(MONTH($A2825)=Reference!$C$4,1,0)+IF(MONTH($A2825)=Reference!$C$5,1,0))+(IF(MONTH($A2825)=Reference!$C$6,Reference!$C$13,0))),0)</f>
        <v>303</v>
      </c>
      <c r="C2825" s="11">
        <f ca="1">B2825*Reference!$C$7*(1-IF(MONTH($A2825)=Reference!$C$6,1,0)*Reference!$C$12)</f>
        <v>281790</v>
      </c>
      <c r="D2825" s="10">
        <f ca="1">ROUND(_xlfn.NORM.INV(RAND(),Reference!$D$8,0.1*Reference!$D$8)*(1+Reference!$D$11*(IF(MONTH($A2825)=Reference!$D$4,1,0)+IF(MONTH($A2825)=Reference!$D$5,1,0))+(IF(MONTH($A2825)=Reference!$D$6,Reference!$D$13,0))),0)</f>
        <v>565</v>
      </c>
      <c r="E2825" s="11">
        <f ca="1">D2825*Reference!$D$7*(1-IF(MONTH($A2825)=Reference!$D$6,1,0)*Reference!$D$12)</f>
        <v>402562.5</v>
      </c>
      <c r="M2825" s="20"/>
      <c r="N2825" s="20"/>
      <c r="O2825" s="19"/>
      <c r="P2825" s="10"/>
      <c r="Q2825" s="10"/>
      <c r="R2825" s="10"/>
      <c r="S2825" s="10"/>
      <c r="T2825" s="10"/>
      <c r="U2825" s="10"/>
      <c r="V2825" s="10"/>
      <c r="W2825" s="10"/>
      <c r="X2825" s="10"/>
      <c r="Y2825" s="10"/>
    </row>
    <row r="2826" spans="1:25" x14ac:dyDescent="0.25">
      <c r="A2826" s="9">
        <v>43364</v>
      </c>
      <c r="B2826" s="10">
        <f ca="1">ROUND(_xlfn.NORM.INV(RAND(),Reference!$C$8,0.1*Reference!$C$8)*(1+Reference!$C$11*(IF(MONTH($A2826)=Reference!$C$4,1,0)+IF(MONTH($A2826)=Reference!$C$5,1,0))+(IF(MONTH($A2826)=Reference!$C$6,Reference!$C$13,0))),0)</f>
        <v>428</v>
      </c>
      <c r="C2826" s="11">
        <f ca="1">B2826*Reference!$C$7*(1-IF(MONTH($A2826)=Reference!$C$6,1,0)*Reference!$C$12)</f>
        <v>398040</v>
      </c>
      <c r="D2826" s="10">
        <f ca="1">ROUND(_xlfn.NORM.INV(RAND(),Reference!$D$8,0.1*Reference!$D$8)*(1+Reference!$D$11*(IF(MONTH($A2826)=Reference!$D$4,1,0)+IF(MONTH($A2826)=Reference!$D$5,1,0))+(IF(MONTH($A2826)=Reference!$D$6,Reference!$D$13,0))),0)</f>
        <v>579</v>
      </c>
      <c r="E2826" s="11">
        <f ca="1">D2826*Reference!$D$7*(1-IF(MONTH($A2826)=Reference!$D$6,1,0)*Reference!$D$12)</f>
        <v>412537.5</v>
      </c>
      <c r="M2826" s="20"/>
      <c r="N2826" s="20"/>
      <c r="O2826" s="19"/>
      <c r="P2826" s="10"/>
      <c r="Q2826" s="10"/>
      <c r="R2826" s="10"/>
      <c r="S2826" s="10"/>
      <c r="T2826" s="10"/>
      <c r="U2826" s="10"/>
      <c r="V2826" s="10"/>
      <c r="W2826" s="10"/>
      <c r="X2826" s="10"/>
      <c r="Y2826" s="10"/>
    </row>
    <row r="2827" spans="1:25" x14ac:dyDescent="0.25">
      <c r="A2827" s="9">
        <v>43365</v>
      </c>
      <c r="B2827" s="10">
        <f ca="1">ROUND(_xlfn.NORM.INV(RAND(),Reference!$C$8,0.1*Reference!$C$8)*(1+Reference!$C$11*(IF(MONTH($A2827)=Reference!$C$4,1,0)+IF(MONTH($A2827)=Reference!$C$5,1,0))+(IF(MONTH($A2827)=Reference!$C$6,Reference!$C$13,0))),0)</f>
        <v>382</v>
      </c>
      <c r="C2827" s="11">
        <f ca="1">B2827*Reference!$C$7*(1-IF(MONTH($A2827)=Reference!$C$6,1,0)*Reference!$C$12)</f>
        <v>355260</v>
      </c>
      <c r="D2827" s="10">
        <f ca="1">ROUND(_xlfn.NORM.INV(RAND(),Reference!$D$8,0.1*Reference!$D$8)*(1+Reference!$D$11*(IF(MONTH($A2827)=Reference!$D$4,1,0)+IF(MONTH($A2827)=Reference!$D$5,1,0))+(IF(MONTH($A2827)=Reference!$D$6,Reference!$D$13,0))),0)</f>
        <v>524</v>
      </c>
      <c r="E2827" s="11">
        <f ca="1">D2827*Reference!$D$7*(1-IF(MONTH($A2827)=Reference!$D$6,1,0)*Reference!$D$12)</f>
        <v>373350</v>
      </c>
      <c r="M2827" s="20"/>
      <c r="N2827" s="20"/>
      <c r="O2827" s="19"/>
      <c r="P2827" s="10"/>
      <c r="Q2827" s="10"/>
      <c r="R2827" s="10"/>
      <c r="S2827" s="10"/>
      <c r="T2827" s="10"/>
      <c r="U2827" s="10"/>
      <c r="V2827" s="10"/>
      <c r="W2827" s="10"/>
      <c r="X2827" s="10"/>
      <c r="Y2827" s="10"/>
    </row>
    <row r="2828" spans="1:25" x14ac:dyDescent="0.25">
      <c r="A2828" s="9">
        <v>43366</v>
      </c>
      <c r="B2828" s="10">
        <f ca="1">ROUND(_xlfn.NORM.INV(RAND(),Reference!$C$8,0.1*Reference!$C$8)*(1+Reference!$C$11*(IF(MONTH($A2828)=Reference!$C$4,1,0)+IF(MONTH($A2828)=Reference!$C$5,1,0))+(IF(MONTH($A2828)=Reference!$C$6,Reference!$C$13,0))),0)</f>
        <v>326</v>
      </c>
      <c r="C2828" s="11">
        <f ca="1">B2828*Reference!$C$7*(1-IF(MONTH($A2828)=Reference!$C$6,1,0)*Reference!$C$12)</f>
        <v>303180</v>
      </c>
      <c r="D2828" s="10">
        <f ca="1">ROUND(_xlfn.NORM.INV(RAND(),Reference!$D$8,0.1*Reference!$D$8)*(1+Reference!$D$11*(IF(MONTH($A2828)=Reference!$D$4,1,0)+IF(MONTH($A2828)=Reference!$D$5,1,0))+(IF(MONTH($A2828)=Reference!$D$6,Reference!$D$13,0))),0)</f>
        <v>480</v>
      </c>
      <c r="E2828" s="11">
        <f ca="1">D2828*Reference!$D$7*(1-IF(MONTH($A2828)=Reference!$D$6,1,0)*Reference!$D$12)</f>
        <v>342000</v>
      </c>
      <c r="M2828" s="20"/>
      <c r="N2828" s="20"/>
      <c r="O2828" s="19"/>
      <c r="P2828" s="10"/>
      <c r="Q2828" s="10"/>
      <c r="R2828" s="10"/>
      <c r="S2828" s="10"/>
      <c r="T2828" s="10"/>
      <c r="U2828" s="10"/>
      <c r="V2828" s="10"/>
      <c r="W2828" s="10"/>
      <c r="X2828" s="10"/>
      <c r="Y2828" s="10"/>
    </row>
    <row r="2829" spans="1:25" x14ac:dyDescent="0.25">
      <c r="A2829" s="9">
        <v>43367</v>
      </c>
      <c r="B2829" s="10">
        <f ca="1">ROUND(_xlfn.NORM.INV(RAND(),Reference!$C$8,0.1*Reference!$C$8)*(1+Reference!$C$11*(IF(MONTH($A2829)=Reference!$C$4,1,0)+IF(MONTH($A2829)=Reference!$C$5,1,0))+(IF(MONTH($A2829)=Reference!$C$6,Reference!$C$13,0))),0)</f>
        <v>326</v>
      </c>
      <c r="C2829" s="11">
        <f ca="1">B2829*Reference!$C$7*(1-IF(MONTH($A2829)=Reference!$C$6,1,0)*Reference!$C$12)</f>
        <v>303180</v>
      </c>
      <c r="D2829" s="10">
        <f ca="1">ROUND(_xlfn.NORM.INV(RAND(),Reference!$D$8,0.1*Reference!$D$8)*(1+Reference!$D$11*(IF(MONTH($A2829)=Reference!$D$4,1,0)+IF(MONTH($A2829)=Reference!$D$5,1,0))+(IF(MONTH($A2829)=Reference!$D$6,Reference!$D$13,0))),0)</f>
        <v>547</v>
      </c>
      <c r="E2829" s="11">
        <f ca="1">D2829*Reference!$D$7*(1-IF(MONTH($A2829)=Reference!$D$6,1,0)*Reference!$D$12)</f>
        <v>389737.5</v>
      </c>
      <c r="M2829" s="20"/>
      <c r="N2829" s="20"/>
      <c r="O2829" s="19"/>
      <c r="P2829" s="10"/>
      <c r="Q2829" s="10"/>
      <c r="R2829" s="10"/>
      <c r="S2829" s="10"/>
      <c r="T2829" s="10"/>
      <c r="U2829" s="10"/>
      <c r="V2829" s="10"/>
      <c r="W2829" s="10"/>
      <c r="X2829" s="10"/>
      <c r="Y2829" s="10"/>
    </row>
    <row r="2830" spans="1:25" x14ac:dyDescent="0.25">
      <c r="A2830" s="9">
        <v>43368</v>
      </c>
      <c r="B2830" s="10">
        <f ca="1">ROUND(_xlfn.NORM.INV(RAND(),Reference!$C$8,0.1*Reference!$C$8)*(1+Reference!$C$11*(IF(MONTH($A2830)=Reference!$C$4,1,0)+IF(MONTH($A2830)=Reference!$C$5,1,0))+(IF(MONTH($A2830)=Reference!$C$6,Reference!$C$13,0))),0)</f>
        <v>403</v>
      </c>
      <c r="C2830" s="11">
        <f ca="1">B2830*Reference!$C$7*(1-IF(MONTH($A2830)=Reference!$C$6,1,0)*Reference!$C$12)</f>
        <v>374790</v>
      </c>
      <c r="D2830" s="10">
        <f ca="1">ROUND(_xlfn.NORM.INV(RAND(),Reference!$D$8,0.1*Reference!$D$8)*(1+Reference!$D$11*(IF(MONTH($A2830)=Reference!$D$4,1,0)+IF(MONTH($A2830)=Reference!$D$5,1,0))+(IF(MONTH($A2830)=Reference!$D$6,Reference!$D$13,0))),0)</f>
        <v>517</v>
      </c>
      <c r="E2830" s="11">
        <f ca="1">D2830*Reference!$D$7*(1-IF(MONTH($A2830)=Reference!$D$6,1,0)*Reference!$D$12)</f>
        <v>368362.5</v>
      </c>
      <c r="M2830" s="20"/>
      <c r="N2830" s="20"/>
      <c r="O2830" s="19"/>
      <c r="P2830" s="10"/>
      <c r="Q2830" s="10"/>
      <c r="R2830" s="10"/>
      <c r="S2830" s="10"/>
      <c r="T2830" s="10"/>
      <c r="U2830" s="10"/>
      <c r="V2830" s="10"/>
      <c r="W2830" s="10"/>
      <c r="X2830" s="10"/>
      <c r="Y2830" s="10"/>
    </row>
    <row r="2831" spans="1:25" x14ac:dyDescent="0.25">
      <c r="A2831" s="9">
        <v>43369</v>
      </c>
      <c r="B2831" s="10">
        <f ca="1">ROUND(_xlfn.NORM.INV(RAND(),Reference!$C$8,0.1*Reference!$C$8)*(1+Reference!$C$11*(IF(MONTH($A2831)=Reference!$C$4,1,0)+IF(MONTH($A2831)=Reference!$C$5,1,0))+(IF(MONTH($A2831)=Reference!$C$6,Reference!$C$13,0))),0)</f>
        <v>364</v>
      </c>
      <c r="C2831" s="11">
        <f ca="1">B2831*Reference!$C$7*(1-IF(MONTH($A2831)=Reference!$C$6,1,0)*Reference!$C$12)</f>
        <v>338520</v>
      </c>
      <c r="D2831" s="10">
        <f ca="1">ROUND(_xlfn.NORM.INV(RAND(),Reference!$D$8,0.1*Reference!$D$8)*(1+Reference!$D$11*(IF(MONTH($A2831)=Reference!$D$4,1,0)+IF(MONTH($A2831)=Reference!$D$5,1,0))+(IF(MONTH($A2831)=Reference!$D$6,Reference!$D$13,0))),0)</f>
        <v>554</v>
      </c>
      <c r="E2831" s="11">
        <f ca="1">D2831*Reference!$D$7*(1-IF(MONTH($A2831)=Reference!$D$6,1,0)*Reference!$D$12)</f>
        <v>394725</v>
      </c>
      <c r="M2831" s="20"/>
      <c r="N2831" s="20"/>
      <c r="O2831" s="19"/>
      <c r="P2831" s="10"/>
      <c r="Q2831" s="10"/>
      <c r="R2831" s="10"/>
      <c r="S2831" s="10"/>
      <c r="T2831" s="10"/>
      <c r="U2831" s="10"/>
      <c r="V2831" s="10"/>
      <c r="W2831" s="10"/>
      <c r="X2831" s="10"/>
      <c r="Y2831" s="10"/>
    </row>
    <row r="2832" spans="1:25" x14ac:dyDescent="0.25">
      <c r="A2832" s="9">
        <v>43370</v>
      </c>
      <c r="B2832" s="10">
        <f ca="1">ROUND(_xlfn.NORM.INV(RAND(),Reference!$C$8,0.1*Reference!$C$8)*(1+Reference!$C$11*(IF(MONTH($A2832)=Reference!$C$4,1,0)+IF(MONTH($A2832)=Reference!$C$5,1,0))+(IF(MONTH($A2832)=Reference!$C$6,Reference!$C$13,0))),0)</f>
        <v>360</v>
      </c>
      <c r="C2832" s="11">
        <f ca="1">B2832*Reference!$C$7*(1-IF(MONTH($A2832)=Reference!$C$6,1,0)*Reference!$C$12)</f>
        <v>334800</v>
      </c>
      <c r="D2832" s="10">
        <f ca="1">ROUND(_xlfn.NORM.INV(RAND(),Reference!$D$8,0.1*Reference!$D$8)*(1+Reference!$D$11*(IF(MONTH($A2832)=Reference!$D$4,1,0)+IF(MONTH($A2832)=Reference!$D$5,1,0))+(IF(MONTH($A2832)=Reference!$D$6,Reference!$D$13,0))),0)</f>
        <v>464</v>
      </c>
      <c r="E2832" s="11">
        <f ca="1">D2832*Reference!$D$7*(1-IF(MONTH($A2832)=Reference!$D$6,1,0)*Reference!$D$12)</f>
        <v>330600</v>
      </c>
      <c r="M2832" s="20"/>
      <c r="N2832" s="20"/>
      <c r="O2832" s="19"/>
      <c r="P2832" s="10"/>
      <c r="Q2832" s="10"/>
      <c r="R2832" s="10"/>
      <c r="S2832" s="10"/>
      <c r="T2832" s="10"/>
      <c r="U2832" s="10"/>
      <c r="V2832" s="10"/>
      <c r="W2832" s="10"/>
      <c r="X2832" s="10"/>
      <c r="Y2832" s="10"/>
    </row>
    <row r="2833" spans="1:25" x14ac:dyDescent="0.25">
      <c r="A2833" s="9">
        <v>43371</v>
      </c>
      <c r="B2833" s="10">
        <f ca="1">ROUND(_xlfn.NORM.INV(RAND(),Reference!$C$8,0.1*Reference!$C$8)*(1+Reference!$C$11*(IF(MONTH($A2833)=Reference!$C$4,1,0)+IF(MONTH($A2833)=Reference!$C$5,1,0))+(IF(MONTH($A2833)=Reference!$C$6,Reference!$C$13,0))),0)</f>
        <v>373</v>
      </c>
      <c r="C2833" s="11">
        <f ca="1">B2833*Reference!$C$7*(1-IF(MONTH($A2833)=Reference!$C$6,1,0)*Reference!$C$12)</f>
        <v>346890</v>
      </c>
      <c r="D2833" s="10">
        <f ca="1">ROUND(_xlfn.NORM.INV(RAND(),Reference!$D$8,0.1*Reference!$D$8)*(1+Reference!$D$11*(IF(MONTH($A2833)=Reference!$D$4,1,0)+IF(MONTH($A2833)=Reference!$D$5,1,0))+(IF(MONTH($A2833)=Reference!$D$6,Reference!$D$13,0))),0)</f>
        <v>468</v>
      </c>
      <c r="E2833" s="11">
        <f ca="1">D2833*Reference!$D$7*(1-IF(MONTH($A2833)=Reference!$D$6,1,0)*Reference!$D$12)</f>
        <v>333450</v>
      </c>
      <c r="M2833" s="20"/>
      <c r="N2833" s="20"/>
      <c r="O2833" s="19"/>
      <c r="P2833" s="10"/>
      <c r="Q2833" s="10"/>
      <c r="R2833" s="10"/>
      <c r="S2833" s="10"/>
      <c r="T2833" s="10"/>
      <c r="U2833" s="10"/>
      <c r="V2833" s="10"/>
      <c r="W2833" s="10"/>
      <c r="X2833" s="10"/>
      <c r="Y2833" s="10"/>
    </row>
    <row r="2834" spans="1:25" x14ac:dyDescent="0.25">
      <c r="A2834" s="9">
        <v>43372</v>
      </c>
      <c r="B2834" s="10">
        <f ca="1">ROUND(_xlfn.NORM.INV(RAND(),Reference!$C$8,0.1*Reference!$C$8)*(1+Reference!$C$11*(IF(MONTH($A2834)=Reference!$C$4,1,0)+IF(MONTH($A2834)=Reference!$C$5,1,0))+(IF(MONTH($A2834)=Reference!$C$6,Reference!$C$13,0))),0)</f>
        <v>281</v>
      </c>
      <c r="C2834" s="11">
        <f ca="1">B2834*Reference!$C$7*(1-IF(MONTH($A2834)=Reference!$C$6,1,0)*Reference!$C$12)</f>
        <v>261330</v>
      </c>
      <c r="D2834" s="10">
        <f ca="1">ROUND(_xlfn.NORM.INV(RAND(),Reference!$D$8,0.1*Reference!$D$8)*(1+Reference!$D$11*(IF(MONTH($A2834)=Reference!$D$4,1,0)+IF(MONTH($A2834)=Reference!$D$5,1,0))+(IF(MONTH($A2834)=Reference!$D$6,Reference!$D$13,0))),0)</f>
        <v>477</v>
      </c>
      <c r="E2834" s="11">
        <f ca="1">D2834*Reference!$D$7*(1-IF(MONTH($A2834)=Reference!$D$6,1,0)*Reference!$D$12)</f>
        <v>339862.5</v>
      </c>
      <c r="M2834" s="20"/>
      <c r="N2834" s="20"/>
      <c r="O2834" s="19"/>
      <c r="P2834" s="10"/>
      <c r="Q2834" s="10"/>
      <c r="R2834" s="10"/>
      <c r="S2834" s="10"/>
      <c r="T2834" s="10"/>
      <c r="U2834" s="10"/>
      <c r="V2834" s="10"/>
      <c r="W2834" s="10"/>
      <c r="X2834" s="10"/>
      <c r="Y2834" s="10"/>
    </row>
    <row r="2835" spans="1:25" x14ac:dyDescent="0.25">
      <c r="A2835" s="9">
        <v>43373</v>
      </c>
      <c r="B2835" s="10">
        <f ca="1">ROUND(_xlfn.NORM.INV(RAND(),Reference!$C$8,0.1*Reference!$C$8)*(1+Reference!$C$11*(IF(MONTH($A2835)=Reference!$C$4,1,0)+IF(MONTH($A2835)=Reference!$C$5,1,0))+(IF(MONTH($A2835)=Reference!$C$6,Reference!$C$13,0))),0)</f>
        <v>398</v>
      </c>
      <c r="C2835" s="11">
        <f ca="1">B2835*Reference!$C$7*(1-IF(MONTH($A2835)=Reference!$C$6,1,0)*Reference!$C$12)</f>
        <v>370140</v>
      </c>
      <c r="D2835" s="10">
        <f ca="1">ROUND(_xlfn.NORM.INV(RAND(),Reference!$D$8,0.1*Reference!$D$8)*(1+Reference!$D$11*(IF(MONTH($A2835)=Reference!$D$4,1,0)+IF(MONTH($A2835)=Reference!$D$5,1,0))+(IF(MONTH($A2835)=Reference!$D$6,Reference!$D$13,0))),0)</f>
        <v>556</v>
      </c>
      <c r="E2835" s="11">
        <f ca="1">D2835*Reference!$D$7*(1-IF(MONTH($A2835)=Reference!$D$6,1,0)*Reference!$D$12)</f>
        <v>396150</v>
      </c>
      <c r="M2835" s="20"/>
      <c r="N2835" s="20"/>
      <c r="O2835" s="19"/>
      <c r="P2835" s="10"/>
      <c r="Q2835" s="10"/>
      <c r="R2835" s="10"/>
      <c r="S2835" s="10"/>
      <c r="T2835" s="10"/>
      <c r="U2835" s="10"/>
      <c r="V2835" s="10"/>
      <c r="W2835" s="10"/>
      <c r="X2835" s="10"/>
      <c r="Y2835" s="10"/>
    </row>
    <row r="2836" spans="1:25" x14ac:dyDescent="0.25">
      <c r="A2836" s="9">
        <v>43374</v>
      </c>
      <c r="B2836" s="10">
        <f ca="1">ROUND(_xlfn.NORM.INV(RAND(),Reference!$C$8,0.1*Reference!$C$8)*(1+Reference!$C$11*(IF(MONTH($A2836)=Reference!$C$4,1,0)+IF(MONTH($A2836)=Reference!$C$5,1,0))+(IF(MONTH($A2836)=Reference!$C$6,Reference!$C$13,0))),0)</f>
        <v>403</v>
      </c>
      <c r="C2836" s="11">
        <f ca="1">B2836*Reference!$C$7*(1-IF(MONTH($A2836)=Reference!$C$6,1,0)*Reference!$C$12)</f>
        <v>374790</v>
      </c>
      <c r="D2836" s="10">
        <f ca="1">ROUND(_xlfn.NORM.INV(RAND(),Reference!$D$8,0.1*Reference!$D$8)*(1+Reference!$D$11*(IF(MONTH($A2836)=Reference!$D$4,1,0)+IF(MONTH($A2836)=Reference!$D$5,1,0))+(IF(MONTH($A2836)=Reference!$D$6,Reference!$D$13,0))),0)</f>
        <v>447</v>
      </c>
      <c r="E2836" s="11">
        <f ca="1">D2836*Reference!$D$7*(1-IF(MONTH($A2836)=Reference!$D$6,1,0)*Reference!$D$12)</f>
        <v>335250</v>
      </c>
      <c r="M2836" s="20"/>
      <c r="N2836" s="20"/>
      <c r="O2836" s="19"/>
      <c r="P2836" s="10"/>
      <c r="Q2836" s="10"/>
      <c r="R2836" s="10"/>
      <c r="S2836" s="10"/>
      <c r="T2836" s="10"/>
      <c r="U2836" s="10"/>
      <c r="V2836" s="10"/>
      <c r="W2836" s="10"/>
      <c r="X2836" s="10"/>
      <c r="Y2836" s="10"/>
    </row>
    <row r="2837" spans="1:25" x14ac:dyDescent="0.25">
      <c r="A2837" s="9">
        <v>43375</v>
      </c>
      <c r="B2837" s="10">
        <f ca="1">ROUND(_xlfn.NORM.INV(RAND(),Reference!$C$8,0.1*Reference!$C$8)*(1+Reference!$C$11*(IF(MONTH($A2837)=Reference!$C$4,1,0)+IF(MONTH($A2837)=Reference!$C$5,1,0))+(IF(MONTH($A2837)=Reference!$C$6,Reference!$C$13,0))),0)</f>
        <v>387</v>
      </c>
      <c r="C2837" s="11">
        <f ca="1">B2837*Reference!$C$7*(1-IF(MONTH($A2837)=Reference!$C$6,1,0)*Reference!$C$12)</f>
        <v>359910</v>
      </c>
      <c r="D2837" s="10">
        <f ca="1">ROUND(_xlfn.NORM.INV(RAND(),Reference!$D$8,0.1*Reference!$D$8)*(1+Reference!$D$11*(IF(MONTH($A2837)=Reference!$D$4,1,0)+IF(MONTH($A2837)=Reference!$D$5,1,0))+(IF(MONTH($A2837)=Reference!$D$6,Reference!$D$13,0))),0)</f>
        <v>521</v>
      </c>
      <c r="E2837" s="11">
        <f ca="1">D2837*Reference!$D$7*(1-IF(MONTH($A2837)=Reference!$D$6,1,0)*Reference!$D$12)</f>
        <v>390750</v>
      </c>
      <c r="M2837" s="20"/>
      <c r="N2837" s="20"/>
      <c r="O2837" s="19"/>
      <c r="P2837" s="10"/>
      <c r="Q2837" s="10"/>
      <c r="R2837" s="10"/>
      <c r="S2837" s="10"/>
      <c r="T2837" s="10"/>
      <c r="U2837" s="10"/>
      <c r="V2837" s="10"/>
      <c r="W2837" s="10"/>
      <c r="X2837" s="10"/>
      <c r="Y2837" s="10"/>
    </row>
    <row r="2838" spans="1:25" x14ac:dyDescent="0.25">
      <c r="A2838" s="9">
        <v>43376</v>
      </c>
      <c r="B2838" s="10">
        <f ca="1">ROUND(_xlfn.NORM.INV(RAND(),Reference!$C$8,0.1*Reference!$C$8)*(1+Reference!$C$11*(IF(MONTH($A2838)=Reference!$C$4,1,0)+IF(MONTH($A2838)=Reference!$C$5,1,0))+(IF(MONTH($A2838)=Reference!$C$6,Reference!$C$13,0))),0)</f>
        <v>339</v>
      </c>
      <c r="C2838" s="11">
        <f ca="1">B2838*Reference!$C$7*(1-IF(MONTH($A2838)=Reference!$C$6,1,0)*Reference!$C$12)</f>
        <v>315270</v>
      </c>
      <c r="D2838" s="10">
        <f ca="1">ROUND(_xlfn.NORM.INV(RAND(),Reference!$D$8,0.1*Reference!$D$8)*(1+Reference!$D$11*(IF(MONTH($A2838)=Reference!$D$4,1,0)+IF(MONTH($A2838)=Reference!$D$5,1,0))+(IF(MONTH($A2838)=Reference!$D$6,Reference!$D$13,0))),0)</f>
        <v>516</v>
      </c>
      <c r="E2838" s="11">
        <f ca="1">D2838*Reference!$D$7*(1-IF(MONTH($A2838)=Reference!$D$6,1,0)*Reference!$D$12)</f>
        <v>387000</v>
      </c>
      <c r="M2838" s="20"/>
      <c r="N2838" s="20"/>
      <c r="O2838" s="19"/>
      <c r="P2838" s="10"/>
      <c r="Q2838" s="10"/>
      <c r="R2838" s="10"/>
      <c r="S2838" s="10"/>
      <c r="T2838" s="10"/>
      <c r="U2838" s="10"/>
      <c r="V2838" s="10"/>
      <c r="W2838" s="10"/>
      <c r="X2838" s="10"/>
      <c r="Y2838" s="10"/>
    </row>
    <row r="2839" spans="1:25" x14ac:dyDescent="0.25">
      <c r="A2839" s="9">
        <v>43377</v>
      </c>
      <c r="B2839" s="10">
        <f ca="1">ROUND(_xlfn.NORM.INV(RAND(),Reference!$C$8,0.1*Reference!$C$8)*(1+Reference!$C$11*(IF(MONTH($A2839)=Reference!$C$4,1,0)+IF(MONTH($A2839)=Reference!$C$5,1,0))+(IF(MONTH($A2839)=Reference!$C$6,Reference!$C$13,0))),0)</f>
        <v>408</v>
      </c>
      <c r="C2839" s="11">
        <f ca="1">B2839*Reference!$C$7*(1-IF(MONTH($A2839)=Reference!$C$6,1,0)*Reference!$C$12)</f>
        <v>379440</v>
      </c>
      <c r="D2839" s="10">
        <f ca="1">ROUND(_xlfn.NORM.INV(RAND(),Reference!$D$8,0.1*Reference!$D$8)*(1+Reference!$D$11*(IF(MONTH($A2839)=Reference!$D$4,1,0)+IF(MONTH($A2839)=Reference!$D$5,1,0))+(IF(MONTH($A2839)=Reference!$D$6,Reference!$D$13,0))),0)</f>
        <v>484</v>
      </c>
      <c r="E2839" s="11">
        <f ca="1">D2839*Reference!$D$7*(1-IF(MONTH($A2839)=Reference!$D$6,1,0)*Reference!$D$12)</f>
        <v>363000</v>
      </c>
      <c r="M2839" s="20"/>
      <c r="N2839" s="20"/>
      <c r="O2839" s="19"/>
      <c r="P2839" s="10"/>
      <c r="Q2839" s="10"/>
      <c r="R2839" s="10"/>
      <c r="S2839" s="10"/>
      <c r="T2839" s="10"/>
      <c r="U2839" s="10"/>
      <c r="V2839" s="10"/>
      <c r="W2839" s="10"/>
      <c r="X2839" s="10"/>
      <c r="Y2839" s="10"/>
    </row>
    <row r="2840" spans="1:25" x14ac:dyDescent="0.25">
      <c r="A2840" s="9">
        <v>43378</v>
      </c>
      <c r="B2840" s="10">
        <f ca="1">ROUND(_xlfn.NORM.INV(RAND(),Reference!$C$8,0.1*Reference!$C$8)*(1+Reference!$C$11*(IF(MONTH($A2840)=Reference!$C$4,1,0)+IF(MONTH($A2840)=Reference!$C$5,1,0))+(IF(MONTH($A2840)=Reference!$C$6,Reference!$C$13,0))),0)</f>
        <v>367</v>
      </c>
      <c r="C2840" s="11">
        <f ca="1">B2840*Reference!$C$7*(1-IF(MONTH($A2840)=Reference!$C$6,1,0)*Reference!$C$12)</f>
        <v>341310</v>
      </c>
      <c r="D2840" s="10">
        <f ca="1">ROUND(_xlfn.NORM.INV(RAND(),Reference!$D$8,0.1*Reference!$D$8)*(1+Reference!$D$11*(IF(MONTH($A2840)=Reference!$D$4,1,0)+IF(MONTH($A2840)=Reference!$D$5,1,0))+(IF(MONTH($A2840)=Reference!$D$6,Reference!$D$13,0))),0)</f>
        <v>391</v>
      </c>
      <c r="E2840" s="11">
        <f ca="1">D2840*Reference!$D$7*(1-IF(MONTH($A2840)=Reference!$D$6,1,0)*Reference!$D$12)</f>
        <v>293250</v>
      </c>
      <c r="M2840" s="20"/>
      <c r="N2840" s="20"/>
      <c r="O2840" s="19"/>
      <c r="P2840" s="10"/>
      <c r="Q2840" s="10"/>
      <c r="R2840" s="10"/>
      <c r="S2840" s="10"/>
      <c r="T2840" s="10"/>
      <c r="U2840" s="10"/>
      <c r="V2840" s="10"/>
      <c r="W2840" s="10"/>
      <c r="X2840" s="10"/>
      <c r="Y2840" s="10"/>
    </row>
    <row r="2841" spans="1:25" x14ac:dyDescent="0.25">
      <c r="A2841" s="9">
        <v>43379</v>
      </c>
      <c r="B2841" s="10">
        <f ca="1">ROUND(_xlfn.NORM.INV(RAND(),Reference!$C$8,0.1*Reference!$C$8)*(1+Reference!$C$11*(IF(MONTH($A2841)=Reference!$C$4,1,0)+IF(MONTH($A2841)=Reference!$C$5,1,0))+(IF(MONTH($A2841)=Reference!$C$6,Reference!$C$13,0))),0)</f>
        <v>346</v>
      </c>
      <c r="C2841" s="11">
        <f ca="1">B2841*Reference!$C$7*(1-IF(MONTH($A2841)=Reference!$C$6,1,0)*Reference!$C$12)</f>
        <v>321780</v>
      </c>
      <c r="D2841" s="10">
        <f ca="1">ROUND(_xlfn.NORM.INV(RAND(),Reference!$D$8,0.1*Reference!$D$8)*(1+Reference!$D$11*(IF(MONTH($A2841)=Reference!$D$4,1,0)+IF(MONTH($A2841)=Reference!$D$5,1,0))+(IF(MONTH($A2841)=Reference!$D$6,Reference!$D$13,0))),0)</f>
        <v>402</v>
      </c>
      <c r="E2841" s="11">
        <f ca="1">D2841*Reference!$D$7*(1-IF(MONTH($A2841)=Reference!$D$6,1,0)*Reference!$D$12)</f>
        <v>301500</v>
      </c>
      <c r="M2841" s="20"/>
      <c r="N2841" s="20"/>
      <c r="O2841" s="19"/>
      <c r="P2841" s="10"/>
      <c r="Q2841" s="10"/>
      <c r="R2841" s="10"/>
      <c r="S2841" s="10"/>
      <c r="T2841" s="10"/>
      <c r="U2841" s="10"/>
      <c r="V2841" s="10"/>
      <c r="W2841" s="10"/>
      <c r="X2841" s="10"/>
      <c r="Y2841" s="10"/>
    </row>
    <row r="2842" spans="1:25" x14ac:dyDescent="0.25">
      <c r="A2842" s="9">
        <v>43380</v>
      </c>
      <c r="B2842" s="10">
        <f ca="1">ROUND(_xlfn.NORM.INV(RAND(),Reference!$C$8,0.1*Reference!$C$8)*(1+Reference!$C$11*(IF(MONTH($A2842)=Reference!$C$4,1,0)+IF(MONTH($A2842)=Reference!$C$5,1,0))+(IF(MONTH($A2842)=Reference!$C$6,Reference!$C$13,0))),0)</f>
        <v>378</v>
      </c>
      <c r="C2842" s="11">
        <f ca="1">B2842*Reference!$C$7*(1-IF(MONTH($A2842)=Reference!$C$6,1,0)*Reference!$C$12)</f>
        <v>351540</v>
      </c>
      <c r="D2842" s="10">
        <f ca="1">ROUND(_xlfn.NORM.INV(RAND(),Reference!$D$8,0.1*Reference!$D$8)*(1+Reference!$D$11*(IF(MONTH($A2842)=Reference!$D$4,1,0)+IF(MONTH($A2842)=Reference!$D$5,1,0))+(IF(MONTH($A2842)=Reference!$D$6,Reference!$D$13,0))),0)</f>
        <v>487</v>
      </c>
      <c r="E2842" s="11">
        <f ca="1">D2842*Reference!$D$7*(1-IF(MONTH($A2842)=Reference!$D$6,1,0)*Reference!$D$12)</f>
        <v>365250</v>
      </c>
      <c r="M2842" s="20"/>
      <c r="N2842" s="20"/>
      <c r="O2842" s="19"/>
      <c r="P2842" s="10"/>
      <c r="Q2842" s="10"/>
      <c r="R2842" s="10"/>
      <c r="S2842" s="10"/>
      <c r="T2842" s="10"/>
      <c r="U2842" s="10"/>
      <c r="V2842" s="10"/>
      <c r="W2842" s="10"/>
      <c r="X2842" s="10"/>
      <c r="Y2842" s="10"/>
    </row>
    <row r="2843" spans="1:25" x14ac:dyDescent="0.25">
      <c r="A2843" s="9">
        <v>43381</v>
      </c>
      <c r="B2843" s="10">
        <f ca="1">ROUND(_xlfn.NORM.INV(RAND(),Reference!$C$8,0.1*Reference!$C$8)*(1+Reference!$C$11*(IF(MONTH($A2843)=Reference!$C$4,1,0)+IF(MONTH($A2843)=Reference!$C$5,1,0))+(IF(MONTH($A2843)=Reference!$C$6,Reference!$C$13,0))),0)</f>
        <v>326</v>
      </c>
      <c r="C2843" s="11">
        <f ca="1">B2843*Reference!$C$7*(1-IF(MONTH($A2843)=Reference!$C$6,1,0)*Reference!$C$12)</f>
        <v>303180</v>
      </c>
      <c r="D2843" s="10">
        <f ca="1">ROUND(_xlfn.NORM.INV(RAND(),Reference!$D$8,0.1*Reference!$D$8)*(1+Reference!$D$11*(IF(MONTH($A2843)=Reference!$D$4,1,0)+IF(MONTH($A2843)=Reference!$D$5,1,0))+(IF(MONTH($A2843)=Reference!$D$6,Reference!$D$13,0))),0)</f>
        <v>424</v>
      </c>
      <c r="E2843" s="11">
        <f ca="1">D2843*Reference!$D$7*(1-IF(MONTH($A2843)=Reference!$D$6,1,0)*Reference!$D$12)</f>
        <v>318000</v>
      </c>
      <c r="M2843" s="20"/>
      <c r="N2843" s="20"/>
      <c r="O2843" s="19"/>
      <c r="P2843" s="10"/>
      <c r="Q2843" s="10"/>
      <c r="R2843" s="10"/>
      <c r="S2843" s="10"/>
      <c r="T2843" s="10"/>
      <c r="U2843" s="10"/>
      <c r="V2843" s="10"/>
      <c r="W2843" s="10"/>
      <c r="X2843" s="10"/>
      <c r="Y2843" s="10"/>
    </row>
    <row r="2844" spans="1:25" x14ac:dyDescent="0.25">
      <c r="A2844" s="9">
        <v>43382</v>
      </c>
      <c r="B2844" s="10">
        <f ca="1">ROUND(_xlfn.NORM.INV(RAND(),Reference!$C$8,0.1*Reference!$C$8)*(1+Reference!$C$11*(IF(MONTH($A2844)=Reference!$C$4,1,0)+IF(MONTH($A2844)=Reference!$C$5,1,0))+(IF(MONTH($A2844)=Reference!$C$6,Reference!$C$13,0))),0)</f>
        <v>332</v>
      </c>
      <c r="C2844" s="11">
        <f ca="1">B2844*Reference!$C$7*(1-IF(MONTH($A2844)=Reference!$C$6,1,0)*Reference!$C$12)</f>
        <v>308760</v>
      </c>
      <c r="D2844" s="10">
        <f ca="1">ROUND(_xlfn.NORM.INV(RAND(),Reference!$D$8,0.1*Reference!$D$8)*(1+Reference!$D$11*(IF(MONTH($A2844)=Reference!$D$4,1,0)+IF(MONTH($A2844)=Reference!$D$5,1,0))+(IF(MONTH($A2844)=Reference!$D$6,Reference!$D$13,0))),0)</f>
        <v>453</v>
      </c>
      <c r="E2844" s="11">
        <f ca="1">D2844*Reference!$D$7*(1-IF(MONTH($A2844)=Reference!$D$6,1,0)*Reference!$D$12)</f>
        <v>339750</v>
      </c>
      <c r="M2844" s="20"/>
      <c r="N2844" s="20"/>
      <c r="O2844" s="19"/>
      <c r="P2844" s="10"/>
      <c r="Q2844" s="10"/>
      <c r="R2844" s="10"/>
      <c r="S2844" s="10"/>
      <c r="T2844" s="10"/>
      <c r="U2844" s="10"/>
      <c r="V2844" s="10"/>
      <c r="W2844" s="10"/>
      <c r="X2844" s="10"/>
      <c r="Y2844" s="10"/>
    </row>
    <row r="2845" spans="1:25" x14ac:dyDescent="0.25">
      <c r="A2845" s="9">
        <v>43383</v>
      </c>
      <c r="B2845" s="10">
        <f ca="1">ROUND(_xlfn.NORM.INV(RAND(),Reference!$C$8,0.1*Reference!$C$8)*(1+Reference!$C$11*(IF(MONTH($A2845)=Reference!$C$4,1,0)+IF(MONTH($A2845)=Reference!$C$5,1,0))+(IF(MONTH($A2845)=Reference!$C$6,Reference!$C$13,0))),0)</f>
        <v>337</v>
      </c>
      <c r="C2845" s="11">
        <f ca="1">B2845*Reference!$C$7*(1-IF(MONTH($A2845)=Reference!$C$6,1,0)*Reference!$C$12)</f>
        <v>313410</v>
      </c>
      <c r="D2845" s="10">
        <f ca="1">ROUND(_xlfn.NORM.INV(RAND(),Reference!$D$8,0.1*Reference!$D$8)*(1+Reference!$D$11*(IF(MONTH($A2845)=Reference!$D$4,1,0)+IF(MONTH($A2845)=Reference!$D$5,1,0))+(IF(MONTH($A2845)=Reference!$D$6,Reference!$D$13,0))),0)</f>
        <v>432</v>
      </c>
      <c r="E2845" s="11">
        <f ca="1">D2845*Reference!$D$7*(1-IF(MONTH($A2845)=Reference!$D$6,1,0)*Reference!$D$12)</f>
        <v>324000</v>
      </c>
      <c r="M2845" s="20"/>
      <c r="N2845" s="20"/>
      <c r="O2845" s="19"/>
      <c r="P2845" s="10"/>
      <c r="Q2845" s="10"/>
      <c r="R2845" s="10"/>
      <c r="S2845" s="10"/>
      <c r="T2845" s="10"/>
      <c r="U2845" s="10"/>
      <c r="V2845" s="10"/>
      <c r="W2845" s="10"/>
      <c r="X2845" s="10"/>
      <c r="Y2845" s="10"/>
    </row>
    <row r="2846" spans="1:25" x14ac:dyDescent="0.25">
      <c r="A2846" s="9">
        <v>43384</v>
      </c>
      <c r="B2846" s="10">
        <f ca="1">ROUND(_xlfn.NORM.INV(RAND(),Reference!$C$8,0.1*Reference!$C$8)*(1+Reference!$C$11*(IF(MONTH($A2846)=Reference!$C$4,1,0)+IF(MONTH($A2846)=Reference!$C$5,1,0))+(IF(MONTH($A2846)=Reference!$C$6,Reference!$C$13,0))),0)</f>
        <v>319</v>
      </c>
      <c r="C2846" s="11">
        <f ca="1">B2846*Reference!$C$7*(1-IF(MONTH($A2846)=Reference!$C$6,1,0)*Reference!$C$12)</f>
        <v>296670</v>
      </c>
      <c r="D2846" s="10">
        <f ca="1">ROUND(_xlfn.NORM.INV(RAND(),Reference!$D$8,0.1*Reference!$D$8)*(1+Reference!$D$11*(IF(MONTH($A2846)=Reference!$D$4,1,0)+IF(MONTH($A2846)=Reference!$D$5,1,0))+(IF(MONTH($A2846)=Reference!$D$6,Reference!$D$13,0))),0)</f>
        <v>404</v>
      </c>
      <c r="E2846" s="11">
        <f ca="1">D2846*Reference!$D$7*(1-IF(MONTH($A2846)=Reference!$D$6,1,0)*Reference!$D$12)</f>
        <v>303000</v>
      </c>
      <c r="M2846" s="20"/>
      <c r="N2846" s="20"/>
      <c r="O2846" s="19"/>
      <c r="P2846" s="10"/>
      <c r="Q2846" s="10"/>
      <c r="R2846" s="10"/>
      <c r="S2846" s="10"/>
      <c r="T2846" s="10"/>
      <c r="U2846" s="10"/>
      <c r="V2846" s="10"/>
      <c r="W2846" s="10"/>
      <c r="X2846" s="10"/>
      <c r="Y2846" s="10"/>
    </row>
    <row r="2847" spans="1:25" x14ac:dyDescent="0.25">
      <c r="A2847" s="9">
        <v>43385</v>
      </c>
      <c r="B2847" s="10">
        <f ca="1">ROUND(_xlfn.NORM.INV(RAND(),Reference!$C$8,0.1*Reference!$C$8)*(1+Reference!$C$11*(IF(MONTH($A2847)=Reference!$C$4,1,0)+IF(MONTH($A2847)=Reference!$C$5,1,0))+(IF(MONTH($A2847)=Reference!$C$6,Reference!$C$13,0))),0)</f>
        <v>370</v>
      </c>
      <c r="C2847" s="11">
        <f ca="1">B2847*Reference!$C$7*(1-IF(MONTH($A2847)=Reference!$C$6,1,0)*Reference!$C$12)</f>
        <v>344100</v>
      </c>
      <c r="D2847" s="10">
        <f ca="1">ROUND(_xlfn.NORM.INV(RAND(),Reference!$D$8,0.1*Reference!$D$8)*(1+Reference!$D$11*(IF(MONTH($A2847)=Reference!$D$4,1,0)+IF(MONTH($A2847)=Reference!$D$5,1,0))+(IF(MONTH($A2847)=Reference!$D$6,Reference!$D$13,0))),0)</f>
        <v>450</v>
      </c>
      <c r="E2847" s="11">
        <f ca="1">D2847*Reference!$D$7*(1-IF(MONTH($A2847)=Reference!$D$6,1,0)*Reference!$D$12)</f>
        <v>337500</v>
      </c>
      <c r="M2847" s="20"/>
      <c r="N2847" s="20"/>
      <c r="O2847" s="19"/>
      <c r="P2847" s="10"/>
      <c r="Q2847" s="10"/>
      <c r="R2847" s="10"/>
      <c r="S2847" s="10"/>
      <c r="T2847" s="10"/>
      <c r="U2847" s="10"/>
      <c r="V2847" s="10"/>
      <c r="W2847" s="10"/>
      <c r="X2847" s="10"/>
      <c r="Y2847" s="10"/>
    </row>
    <row r="2848" spans="1:25" x14ac:dyDescent="0.25">
      <c r="A2848" s="9">
        <v>43386</v>
      </c>
      <c r="B2848" s="10">
        <f ca="1">ROUND(_xlfn.NORM.INV(RAND(),Reference!$C$8,0.1*Reference!$C$8)*(1+Reference!$C$11*(IF(MONTH($A2848)=Reference!$C$4,1,0)+IF(MONTH($A2848)=Reference!$C$5,1,0))+(IF(MONTH($A2848)=Reference!$C$6,Reference!$C$13,0))),0)</f>
        <v>380</v>
      </c>
      <c r="C2848" s="11">
        <f ca="1">B2848*Reference!$C$7*(1-IF(MONTH($A2848)=Reference!$C$6,1,0)*Reference!$C$12)</f>
        <v>353400</v>
      </c>
      <c r="D2848" s="10">
        <f ca="1">ROUND(_xlfn.NORM.INV(RAND(),Reference!$D$8,0.1*Reference!$D$8)*(1+Reference!$D$11*(IF(MONTH($A2848)=Reference!$D$4,1,0)+IF(MONTH($A2848)=Reference!$D$5,1,0))+(IF(MONTH($A2848)=Reference!$D$6,Reference!$D$13,0))),0)</f>
        <v>436</v>
      </c>
      <c r="E2848" s="11">
        <f ca="1">D2848*Reference!$D$7*(1-IF(MONTH($A2848)=Reference!$D$6,1,0)*Reference!$D$12)</f>
        <v>327000</v>
      </c>
      <c r="M2848" s="20"/>
      <c r="N2848" s="20"/>
      <c r="O2848" s="19"/>
      <c r="P2848" s="10"/>
      <c r="Q2848" s="10"/>
      <c r="R2848" s="10"/>
      <c r="S2848" s="10"/>
      <c r="T2848" s="10"/>
      <c r="U2848" s="10"/>
      <c r="V2848" s="10"/>
      <c r="W2848" s="10"/>
      <c r="X2848" s="10"/>
      <c r="Y2848" s="10"/>
    </row>
    <row r="2849" spans="1:25" x14ac:dyDescent="0.25">
      <c r="A2849" s="9">
        <v>43387</v>
      </c>
      <c r="B2849" s="10">
        <f ca="1">ROUND(_xlfn.NORM.INV(RAND(),Reference!$C$8,0.1*Reference!$C$8)*(1+Reference!$C$11*(IF(MONTH($A2849)=Reference!$C$4,1,0)+IF(MONTH($A2849)=Reference!$C$5,1,0))+(IF(MONTH($A2849)=Reference!$C$6,Reference!$C$13,0))),0)</f>
        <v>340</v>
      </c>
      <c r="C2849" s="11">
        <f ca="1">B2849*Reference!$C$7*(1-IF(MONTH($A2849)=Reference!$C$6,1,0)*Reference!$C$12)</f>
        <v>316200</v>
      </c>
      <c r="D2849" s="10">
        <f ca="1">ROUND(_xlfn.NORM.INV(RAND(),Reference!$D$8,0.1*Reference!$D$8)*(1+Reference!$D$11*(IF(MONTH($A2849)=Reference!$D$4,1,0)+IF(MONTH($A2849)=Reference!$D$5,1,0))+(IF(MONTH($A2849)=Reference!$D$6,Reference!$D$13,0))),0)</f>
        <v>426</v>
      </c>
      <c r="E2849" s="11">
        <f ca="1">D2849*Reference!$D$7*(1-IF(MONTH($A2849)=Reference!$D$6,1,0)*Reference!$D$12)</f>
        <v>319500</v>
      </c>
      <c r="M2849" s="20"/>
      <c r="N2849" s="20"/>
      <c r="O2849" s="19"/>
      <c r="P2849" s="10"/>
      <c r="Q2849" s="10"/>
      <c r="R2849" s="10"/>
      <c r="S2849" s="10"/>
      <c r="T2849" s="10"/>
      <c r="U2849" s="10"/>
      <c r="V2849" s="10"/>
      <c r="W2849" s="10"/>
      <c r="X2849" s="10"/>
      <c r="Y2849" s="10"/>
    </row>
    <row r="2850" spans="1:25" x14ac:dyDescent="0.25">
      <c r="A2850" s="9">
        <v>43388</v>
      </c>
      <c r="B2850" s="10">
        <f ca="1">ROUND(_xlfn.NORM.INV(RAND(),Reference!$C$8,0.1*Reference!$C$8)*(1+Reference!$C$11*(IF(MONTH($A2850)=Reference!$C$4,1,0)+IF(MONTH($A2850)=Reference!$C$5,1,0))+(IF(MONTH($A2850)=Reference!$C$6,Reference!$C$13,0))),0)</f>
        <v>333</v>
      </c>
      <c r="C2850" s="11">
        <f ca="1">B2850*Reference!$C$7*(1-IF(MONTH($A2850)=Reference!$C$6,1,0)*Reference!$C$12)</f>
        <v>309690</v>
      </c>
      <c r="D2850" s="10">
        <f ca="1">ROUND(_xlfn.NORM.INV(RAND(),Reference!$D$8,0.1*Reference!$D$8)*(1+Reference!$D$11*(IF(MONTH($A2850)=Reference!$D$4,1,0)+IF(MONTH($A2850)=Reference!$D$5,1,0))+(IF(MONTH($A2850)=Reference!$D$6,Reference!$D$13,0))),0)</f>
        <v>427</v>
      </c>
      <c r="E2850" s="11">
        <f ca="1">D2850*Reference!$D$7*(1-IF(MONTH($A2850)=Reference!$D$6,1,0)*Reference!$D$12)</f>
        <v>320250</v>
      </c>
      <c r="M2850" s="20"/>
      <c r="N2850" s="20"/>
      <c r="O2850" s="19"/>
      <c r="P2850" s="10"/>
      <c r="Q2850" s="10"/>
      <c r="R2850" s="10"/>
      <c r="S2850" s="10"/>
      <c r="T2850" s="10"/>
      <c r="U2850" s="10"/>
      <c r="V2850" s="10"/>
      <c r="W2850" s="10"/>
      <c r="X2850" s="10"/>
      <c r="Y2850" s="10"/>
    </row>
    <row r="2851" spans="1:25" x14ac:dyDescent="0.25">
      <c r="A2851" s="9">
        <v>43389</v>
      </c>
      <c r="B2851" s="10">
        <f ca="1">ROUND(_xlfn.NORM.INV(RAND(),Reference!$C$8,0.1*Reference!$C$8)*(1+Reference!$C$11*(IF(MONTH($A2851)=Reference!$C$4,1,0)+IF(MONTH($A2851)=Reference!$C$5,1,0))+(IF(MONTH($A2851)=Reference!$C$6,Reference!$C$13,0))),0)</f>
        <v>389</v>
      </c>
      <c r="C2851" s="11">
        <f ca="1">B2851*Reference!$C$7*(1-IF(MONTH($A2851)=Reference!$C$6,1,0)*Reference!$C$12)</f>
        <v>361770</v>
      </c>
      <c r="D2851" s="10">
        <f ca="1">ROUND(_xlfn.NORM.INV(RAND(),Reference!$D$8,0.1*Reference!$D$8)*(1+Reference!$D$11*(IF(MONTH($A2851)=Reference!$D$4,1,0)+IF(MONTH($A2851)=Reference!$D$5,1,0))+(IF(MONTH($A2851)=Reference!$D$6,Reference!$D$13,0))),0)</f>
        <v>425</v>
      </c>
      <c r="E2851" s="11">
        <f ca="1">D2851*Reference!$D$7*(1-IF(MONTH($A2851)=Reference!$D$6,1,0)*Reference!$D$12)</f>
        <v>318750</v>
      </c>
      <c r="M2851" s="20"/>
      <c r="N2851" s="20"/>
      <c r="O2851" s="19"/>
      <c r="P2851" s="10"/>
      <c r="Q2851" s="10"/>
      <c r="R2851" s="10"/>
      <c r="S2851" s="10"/>
      <c r="T2851" s="10"/>
      <c r="U2851" s="10"/>
      <c r="V2851" s="10"/>
      <c r="W2851" s="10"/>
      <c r="X2851" s="10"/>
      <c r="Y2851" s="10"/>
    </row>
    <row r="2852" spans="1:25" x14ac:dyDescent="0.25">
      <c r="A2852" s="9">
        <v>43390</v>
      </c>
      <c r="B2852" s="10">
        <f ca="1">ROUND(_xlfn.NORM.INV(RAND(),Reference!$C$8,0.1*Reference!$C$8)*(1+Reference!$C$11*(IF(MONTH($A2852)=Reference!$C$4,1,0)+IF(MONTH($A2852)=Reference!$C$5,1,0))+(IF(MONTH($A2852)=Reference!$C$6,Reference!$C$13,0))),0)</f>
        <v>352</v>
      </c>
      <c r="C2852" s="11">
        <f ca="1">B2852*Reference!$C$7*(1-IF(MONTH($A2852)=Reference!$C$6,1,0)*Reference!$C$12)</f>
        <v>327360</v>
      </c>
      <c r="D2852" s="10">
        <f ca="1">ROUND(_xlfn.NORM.INV(RAND(),Reference!$D$8,0.1*Reference!$D$8)*(1+Reference!$D$11*(IF(MONTH($A2852)=Reference!$D$4,1,0)+IF(MONTH($A2852)=Reference!$D$5,1,0))+(IF(MONTH($A2852)=Reference!$D$6,Reference!$D$13,0))),0)</f>
        <v>413</v>
      </c>
      <c r="E2852" s="11">
        <f ca="1">D2852*Reference!$D$7*(1-IF(MONTH($A2852)=Reference!$D$6,1,0)*Reference!$D$12)</f>
        <v>309750</v>
      </c>
      <c r="M2852" s="20"/>
      <c r="N2852" s="20"/>
      <c r="O2852" s="19"/>
      <c r="P2852" s="10"/>
      <c r="Q2852" s="10"/>
      <c r="R2852" s="10"/>
      <c r="S2852" s="10"/>
      <c r="T2852" s="10"/>
      <c r="U2852" s="10"/>
      <c r="V2852" s="10"/>
      <c r="W2852" s="10"/>
      <c r="X2852" s="10"/>
      <c r="Y2852" s="10"/>
    </row>
    <row r="2853" spans="1:25" x14ac:dyDescent="0.25">
      <c r="A2853" s="9">
        <v>43391</v>
      </c>
      <c r="B2853" s="10">
        <f ca="1">ROUND(_xlfn.NORM.INV(RAND(),Reference!$C$8,0.1*Reference!$C$8)*(1+Reference!$C$11*(IF(MONTH($A2853)=Reference!$C$4,1,0)+IF(MONTH($A2853)=Reference!$C$5,1,0))+(IF(MONTH($A2853)=Reference!$C$6,Reference!$C$13,0))),0)</f>
        <v>349</v>
      </c>
      <c r="C2853" s="11">
        <f ca="1">B2853*Reference!$C$7*(1-IF(MONTH($A2853)=Reference!$C$6,1,0)*Reference!$C$12)</f>
        <v>324570</v>
      </c>
      <c r="D2853" s="10">
        <f ca="1">ROUND(_xlfn.NORM.INV(RAND(),Reference!$D$8,0.1*Reference!$D$8)*(1+Reference!$D$11*(IF(MONTH($A2853)=Reference!$D$4,1,0)+IF(MONTH($A2853)=Reference!$D$5,1,0))+(IF(MONTH($A2853)=Reference!$D$6,Reference!$D$13,0))),0)</f>
        <v>421</v>
      </c>
      <c r="E2853" s="11">
        <f ca="1">D2853*Reference!$D$7*(1-IF(MONTH($A2853)=Reference!$D$6,1,0)*Reference!$D$12)</f>
        <v>315750</v>
      </c>
      <c r="M2853" s="20"/>
      <c r="N2853" s="20"/>
      <c r="O2853" s="19"/>
      <c r="P2853" s="10"/>
      <c r="Q2853" s="10"/>
      <c r="R2853" s="10"/>
      <c r="S2853" s="10"/>
      <c r="T2853" s="10"/>
      <c r="U2853" s="10"/>
      <c r="V2853" s="10"/>
      <c r="W2853" s="10"/>
      <c r="X2853" s="10"/>
      <c r="Y2853" s="10"/>
    </row>
    <row r="2854" spans="1:25" x14ac:dyDescent="0.25">
      <c r="A2854" s="9">
        <v>43392</v>
      </c>
      <c r="B2854" s="10">
        <f ca="1">ROUND(_xlfn.NORM.INV(RAND(),Reference!$C$8,0.1*Reference!$C$8)*(1+Reference!$C$11*(IF(MONTH($A2854)=Reference!$C$4,1,0)+IF(MONTH($A2854)=Reference!$C$5,1,0))+(IF(MONTH($A2854)=Reference!$C$6,Reference!$C$13,0))),0)</f>
        <v>402</v>
      </c>
      <c r="C2854" s="11">
        <f ca="1">B2854*Reference!$C$7*(1-IF(MONTH($A2854)=Reference!$C$6,1,0)*Reference!$C$12)</f>
        <v>373860</v>
      </c>
      <c r="D2854" s="10">
        <f ca="1">ROUND(_xlfn.NORM.INV(RAND(),Reference!$D$8,0.1*Reference!$D$8)*(1+Reference!$D$11*(IF(MONTH($A2854)=Reference!$D$4,1,0)+IF(MONTH($A2854)=Reference!$D$5,1,0))+(IF(MONTH($A2854)=Reference!$D$6,Reference!$D$13,0))),0)</f>
        <v>413</v>
      </c>
      <c r="E2854" s="11">
        <f ca="1">D2854*Reference!$D$7*(1-IF(MONTH($A2854)=Reference!$D$6,1,0)*Reference!$D$12)</f>
        <v>309750</v>
      </c>
      <c r="M2854" s="20"/>
      <c r="N2854" s="20"/>
      <c r="O2854" s="19"/>
      <c r="P2854" s="10"/>
      <c r="Q2854" s="10"/>
      <c r="R2854" s="10"/>
      <c r="S2854" s="10"/>
      <c r="T2854" s="10"/>
      <c r="U2854" s="10"/>
      <c r="V2854" s="10"/>
      <c r="W2854" s="10"/>
      <c r="X2854" s="10"/>
      <c r="Y2854" s="10"/>
    </row>
    <row r="2855" spans="1:25" x14ac:dyDescent="0.25">
      <c r="A2855" s="9">
        <v>43393</v>
      </c>
      <c r="B2855" s="10">
        <f ca="1">ROUND(_xlfn.NORM.INV(RAND(),Reference!$C$8,0.1*Reference!$C$8)*(1+Reference!$C$11*(IF(MONTH($A2855)=Reference!$C$4,1,0)+IF(MONTH($A2855)=Reference!$C$5,1,0))+(IF(MONTH($A2855)=Reference!$C$6,Reference!$C$13,0))),0)</f>
        <v>337</v>
      </c>
      <c r="C2855" s="11">
        <f ca="1">B2855*Reference!$C$7*(1-IF(MONTH($A2855)=Reference!$C$6,1,0)*Reference!$C$12)</f>
        <v>313410</v>
      </c>
      <c r="D2855" s="10">
        <f ca="1">ROUND(_xlfn.NORM.INV(RAND(),Reference!$D$8,0.1*Reference!$D$8)*(1+Reference!$D$11*(IF(MONTH($A2855)=Reference!$D$4,1,0)+IF(MONTH($A2855)=Reference!$D$5,1,0))+(IF(MONTH($A2855)=Reference!$D$6,Reference!$D$13,0))),0)</f>
        <v>405</v>
      </c>
      <c r="E2855" s="11">
        <f ca="1">D2855*Reference!$D$7*(1-IF(MONTH($A2855)=Reference!$D$6,1,0)*Reference!$D$12)</f>
        <v>303750</v>
      </c>
      <c r="M2855" s="20"/>
      <c r="N2855" s="20"/>
      <c r="O2855" s="19"/>
      <c r="P2855" s="10"/>
      <c r="Q2855" s="10"/>
      <c r="R2855" s="10"/>
      <c r="S2855" s="10"/>
      <c r="T2855" s="10"/>
      <c r="U2855" s="10"/>
      <c r="V2855" s="10"/>
      <c r="W2855" s="10"/>
      <c r="X2855" s="10"/>
      <c r="Y2855" s="10"/>
    </row>
    <row r="2856" spans="1:25" x14ac:dyDescent="0.25">
      <c r="A2856" s="9">
        <v>43394</v>
      </c>
      <c r="B2856" s="10">
        <f ca="1">ROUND(_xlfn.NORM.INV(RAND(),Reference!$C$8,0.1*Reference!$C$8)*(1+Reference!$C$11*(IF(MONTH($A2856)=Reference!$C$4,1,0)+IF(MONTH($A2856)=Reference!$C$5,1,0))+(IF(MONTH($A2856)=Reference!$C$6,Reference!$C$13,0))),0)</f>
        <v>323</v>
      </c>
      <c r="C2856" s="11">
        <f ca="1">B2856*Reference!$C$7*(1-IF(MONTH($A2856)=Reference!$C$6,1,0)*Reference!$C$12)</f>
        <v>300390</v>
      </c>
      <c r="D2856" s="10">
        <f ca="1">ROUND(_xlfn.NORM.INV(RAND(),Reference!$D$8,0.1*Reference!$D$8)*(1+Reference!$D$11*(IF(MONTH($A2856)=Reference!$D$4,1,0)+IF(MONTH($A2856)=Reference!$D$5,1,0))+(IF(MONTH($A2856)=Reference!$D$6,Reference!$D$13,0))),0)</f>
        <v>460</v>
      </c>
      <c r="E2856" s="11">
        <f ca="1">D2856*Reference!$D$7*(1-IF(MONTH($A2856)=Reference!$D$6,1,0)*Reference!$D$12)</f>
        <v>345000</v>
      </c>
      <c r="M2856" s="20"/>
      <c r="N2856" s="20"/>
      <c r="O2856" s="19"/>
      <c r="P2856" s="10"/>
      <c r="Q2856" s="10"/>
      <c r="R2856" s="10"/>
      <c r="S2856" s="10"/>
      <c r="T2856" s="10"/>
      <c r="U2856" s="10"/>
      <c r="V2856" s="10"/>
      <c r="W2856" s="10"/>
      <c r="X2856" s="10"/>
      <c r="Y2856" s="10"/>
    </row>
    <row r="2857" spans="1:25" x14ac:dyDescent="0.25">
      <c r="A2857" s="9">
        <v>43395</v>
      </c>
      <c r="B2857" s="10">
        <f ca="1">ROUND(_xlfn.NORM.INV(RAND(),Reference!$C$8,0.1*Reference!$C$8)*(1+Reference!$C$11*(IF(MONTH($A2857)=Reference!$C$4,1,0)+IF(MONTH($A2857)=Reference!$C$5,1,0))+(IF(MONTH($A2857)=Reference!$C$6,Reference!$C$13,0))),0)</f>
        <v>345</v>
      </c>
      <c r="C2857" s="11">
        <f ca="1">B2857*Reference!$C$7*(1-IF(MONTH($A2857)=Reference!$C$6,1,0)*Reference!$C$12)</f>
        <v>320850</v>
      </c>
      <c r="D2857" s="10">
        <f ca="1">ROUND(_xlfn.NORM.INV(RAND(),Reference!$D$8,0.1*Reference!$D$8)*(1+Reference!$D$11*(IF(MONTH($A2857)=Reference!$D$4,1,0)+IF(MONTH($A2857)=Reference!$D$5,1,0))+(IF(MONTH($A2857)=Reference!$D$6,Reference!$D$13,0))),0)</f>
        <v>480</v>
      </c>
      <c r="E2857" s="11">
        <f ca="1">D2857*Reference!$D$7*(1-IF(MONTH($A2857)=Reference!$D$6,1,0)*Reference!$D$12)</f>
        <v>360000</v>
      </c>
      <c r="M2857" s="20"/>
      <c r="N2857" s="20"/>
      <c r="O2857" s="19"/>
      <c r="P2857" s="10"/>
      <c r="Q2857" s="10"/>
      <c r="R2857" s="10"/>
      <c r="S2857" s="10"/>
      <c r="T2857" s="10"/>
      <c r="U2857" s="10"/>
      <c r="V2857" s="10"/>
      <c r="W2857" s="10"/>
      <c r="X2857" s="10"/>
      <c r="Y2857" s="10"/>
    </row>
    <row r="2858" spans="1:25" x14ac:dyDescent="0.25">
      <c r="A2858" s="9">
        <v>43396</v>
      </c>
      <c r="B2858" s="10">
        <f ca="1">ROUND(_xlfn.NORM.INV(RAND(),Reference!$C$8,0.1*Reference!$C$8)*(1+Reference!$C$11*(IF(MONTH($A2858)=Reference!$C$4,1,0)+IF(MONTH($A2858)=Reference!$C$5,1,0))+(IF(MONTH($A2858)=Reference!$C$6,Reference!$C$13,0))),0)</f>
        <v>396</v>
      </c>
      <c r="C2858" s="11">
        <f ca="1">B2858*Reference!$C$7*(1-IF(MONTH($A2858)=Reference!$C$6,1,0)*Reference!$C$12)</f>
        <v>368280</v>
      </c>
      <c r="D2858" s="10">
        <f ca="1">ROUND(_xlfn.NORM.INV(RAND(),Reference!$D$8,0.1*Reference!$D$8)*(1+Reference!$D$11*(IF(MONTH($A2858)=Reference!$D$4,1,0)+IF(MONTH($A2858)=Reference!$D$5,1,0))+(IF(MONTH($A2858)=Reference!$D$6,Reference!$D$13,0))),0)</f>
        <v>452</v>
      </c>
      <c r="E2858" s="11">
        <f ca="1">D2858*Reference!$D$7*(1-IF(MONTH($A2858)=Reference!$D$6,1,0)*Reference!$D$12)</f>
        <v>339000</v>
      </c>
      <c r="M2858" s="20"/>
      <c r="N2858" s="20"/>
      <c r="O2858" s="19"/>
      <c r="P2858" s="10"/>
      <c r="Q2858" s="10"/>
      <c r="R2858" s="10"/>
      <c r="S2858" s="10"/>
      <c r="T2858" s="10"/>
      <c r="U2858" s="10"/>
      <c r="V2858" s="10"/>
      <c r="W2858" s="10"/>
      <c r="X2858" s="10"/>
      <c r="Y2858" s="10"/>
    </row>
    <row r="2859" spans="1:25" x14ac:dyDescent="0.25">
      <c r="A2859" s="9">
        <v>43397</v>
      </c>
      <c r="B2859" s="10">
        <f ca="1">ROUND(_xlfn.NORM.INV(RAND(),Reference!$C$8,0.1*Reference!$C$8)*(1+Reference!$C$11*(IF(MONTH($A2859)=Reference!$C$4,1,0)+IF(MONTH($A2859)=Reference!$C$5,1,0))+(IF(MONTH($A2859)=Reference!$C$6,Reference!$C$13,0))),0)</f>
        <v>276</v>
      </c>
      <c r="C2859" s="11">
        <f ca="1">B2859*Reference!$C$7*(1-IF(MONTH($A2859)=Reference!$C$6,1,0)*Reference!$C$12)</f>
        <v>256680</v>
      </c>
      <c r="D2859" s="10">
        <f ca="1">ROUND(_xlfn.NORM.INV(RAND(),Reference!$D$8,0.1*Reference!$D$8)*(1+Reference!$D$11*(IF(MONTH($A2859)=Reference!$D$4,1,0)+IF(MONTH($A2859)=Reference!$D$5,1,0))+(IF(MONTH($A2859)=Reference!$D$6,Reference!$D$13,0))),0)</f>
        <v>449</v>
      </c>
      <c r="E2859" s="11">
        <f ca="1">D2859*Reference!$D$7*(1-IF(MONTH($A2859)=Reference!$D$6,1,0)*Reference!$D$12)</f>
        <v>336750</v>
      </c>
      <c r="M2859" s="20"/>
      <c r="N2859" s="20"/>
      <c r="O2859" s="19"/>
      <c r="P2859" s="10"/>
      <c r="Q2859" s="10"/>
      <c r="R2859" s="10"/>
      <c r="S2859" s="10"/>
      <c r="T2859" s="10"/>
      <c r="U2859" s="10"/>
      <c r="V2859" s="10"/>
      <c r="W2859" s="10"/>
      <c r="X2859" s="10"/>
      <c r="Y2859" s="10"/>
    </row>
    <row r="2860" spans="1:25" x14ac:dyDescent="0.25">
      <c r="A2860" s="9">
        <v>43398</v>
      </c>
      <c r="B2860" s="10">
        <f ca="1">ROUND(_xlfn.NORM.INV(RAND(),Reference!$C$8,0.1*Reference!$C$8)*(1+Reference!$C$11*(IF(MONTH($A2860)=Reference!$C$4,1,0)+IF(MONTH($A2860)=Reference!$C$5,1,0))+(IF(MONTH($A2860)=Reference!$C$6,Reference!$C$13,0))),0)</f>
        <v>420</v>
      </c>
      <c r="C2860" s="11">
        <f ca="1">B2860*Reference!$C$7*(1-IF(MONTH($A2860)=Reference!$C$6,1,0)*Reference!$C$12)</f>
        <v>390600</v>
      </c>
      <c r="D2860" s="10">
        <f ca="1">ROUND(_xlfn.NORM.INV(RAND(),Reference!$D$8,0.1*Reference!$D$8)*(1+Reference!$D$11*(IF(MONTH($A2860)=Reference!$D$4,1,0)+IF(MONTH($A2860)=Reference!$D$5,1,0))+(IF(MONTH($A2860)=Reference!$D$6,Reference!$D$13,0))),0)</f>
        <v>476</v>
      </c>
      <c r="E2860" s="11">
        <f ca="1">D2860*Reference!$D$7*(1-IF(MONTH($A2860)=Reference!$D$6,1,0)*Reference!$D$12)</f>
        <v>357000</v>
      </c>
      <c r="M2860" s="20"/>
      <c r="N2860" s="20"/>
      <c r="O2860" s="19"/>
      <c r="P2860" s="10"/>
      <c r="Q2860" s="10"/>
      <c r="R2860" s="10"/>
      <c r="S2860" s="10"/>
      <c r="T2860" s="10"/>
      <c r="U2860" s="10"/>
      <c r="V2860" s="10"/>
      <c r="W2860" s="10"/>
      <c r="X2860" s="10"/>
      <c r="Y2860" s="10"/>
    </row>
    <row r="2861" spans="1:25" x14ac:dyDescent="0.25">
      <c r="A2861" s="9">
        <v>43399</v>
      </c>
      <c r="B2861" s="10">
        <f ca="1">ROUND(_xlfn.NORM.INV(RAND(),Reference!$C$8,0.1*Reference!$C$8)*(1+Reference!$C$11*(IF(MONTH($A2861)=Reference!$C$4,1,0)+IF(MONTH($A2861)=Reference!$C$5,1,0))+(IF(MONTH($A2861)=Reference!$C$6,Reference!$C$13,0))),0)</f>
        <v>340</v>
      </c>
      <c r="C2861" s="11">
        <f ca="1">B2861*Reference!$C$7*(1-IF(MONTH($A2861)=Reference!$C$6,1,0)*Reference!$C$12)</f>
        <v>316200</v>
      </c>
      <c r="D2861" s="10">
        <f ca="1">ROUND(_xlfn.NORM.INV(RAND(),Reference!$D$8,0.1*Reference!$D$8)*(1+Reference!$D$11*(IF(MONTH($A2861)=Reference!$D$4,1,0)+IF(MONTH($A2861)=Reference!$D$5,1,0))+(IF(MONTH($A2861)=Reference!$D$6,Reference!$D$13,0))),0)</f>
        <v>431</v>
      </c>
      <c r="E2861" s="11">
        <f ca="1">D2861*Reference!$D$7*(1-IF(MONTH($A2861)=Reference!$D$6,1,0)*Reference!$D$12)</f>
        <v>323250</v>
      </c>
      <c r="M2861" s="20"/>
      <c r="N2861" s="20"/>
      <c r="O2861" s="19"/>
      <c r="P2861" s="10"/>
      <c r="Q2861" s="10"/>
      <c r="R2861" s="10"/>
      <c r="S2861" s="10"/>
      <c r="T2861" s="10"/>
      <c r="U2861" s="10"/>
      <c r="V2861" s="10"/>
      <c r="W2861" s="10"/>
      <c r="X2861" s="10"/>
      <c r="Y2861" s="10"/>
    </row>
    <row r="2862" spans="1:25" x14ac:dyDescent="0.25">
      <c r="A2862" s="9">
        <v>43400</v>
      </c>
      <c r="B2862" s="10">
        <f ca="1">ROUND(_xlfn.NORM.INV(RAND(),Reference!$C$8,0.1*Reference!$C$8)*(1+Reference!$C$11*(IF(MONTH($A2862)=Reference!$C$4,1,0)+IF(MONTH($A2862)=Reference!$C$5,1,0))+(IF(MONTH($A2862)=Reference!$C$6,Reference!$C$13,0))),0)</f>
        <v>336</v>
      </c>
      <c r="C2862" s="11">
        <f ca="1">B2862*Reference!$C$7*(1-IF(MONTH($A2862)=Reference!$C$6,1,0)*Reference!$C$12)</f>
        <v>312480</v>
      </c>
      <c r="D2862" s="10">
        <f ca="1">ROUND(_xlfn.NORM.INV(RAND(),Reference!$D$8,0.1*Reference!$D$8)*(1+Reference!$D$11*(IF(MONTH($A2862)=Reference!$D$4,1,0)+IF(MONTH($A2862)=Reference!$D$5,1,0))+(IF(MONTH($A2862)=Reference!$D$6,Reference!$D$13,0))),0)</f>
        <v>556</v>
      </c>
      <c r="E2862" s="11">
        <f ca="1">D2862*Reference!$D$7*(1-IF(MONTH($A2862)=Reference!$D$6,1,0)*Reference!$D$12)</f>
        <v>417000</v>
      </c>
      <c r="M2862" s="20"/>
      <c r="N2862" s="20"/>
      <c r="O2862" s="19"/>
      <c r="P2862" s="10"/>
      <c r="Q2862" s="10"/>
      <c r="R2862" s="10"/>
      <c r="S2862" s="10"/>
      <c r="T2862" s="10"/>
      <c r="U2862" s="10"/>
      <c r="V2862" s="10"/>
      <c r="W2862" s="10"/>
      <c r="X2862" s="10"/>
      <c r="Y2862" s="10"/>
    </row>
    <row r="2863" spans="1:25" x14ac:dyDescent="0.25">
      <c r="A2863" s="9">
        <v>43401</v>
      </c>
      <c r="B2863" s="10">
        <f ca="1">ROUND(_xlfn.NORM.INV(RAND(),Reference!$C$8,0.1*Reference!$C$8)*(1+Reference!$C$11*(IF(MONTH($A2863)=Reference!$C$4,1,0)+IF(MONTH($A2863)=Reference!$C$5,1,0))+(IF(MONTH($A2863)=Reference!$C$6,Reference!$C$13,0))),0)</f>
        <v>287</v>
      </c>
      <c r="C2863" s="11">
        <f ca="1">B2863*Reference!$C$7*(1-IF(MONTH($A2863)=Reference!$C$6,1,0)*Reference!$C$12)</f>
        <v>266910</v>
      </c>
      <c r="D2863" s="10">
        <f ca="1">ROUND(_xlfn.NORM.INV(RAND(),Reference!$D$8,0.1*Reference!$D$8)*(1+Reference!$D$11*(IF(MONTH($A2863)=Reference!$D$4,1,0)+IF(MONTH($A2863)=Reference!$D$5,1,0))+(IF(MONTH($A2863)=Reference!$D$6,Reference!$D$13,0))),0)</f>
        <v>478</v>
      </c>
      <c r="E2863" s="11">
        <f ca="1">D2863*Reference!$D$7*(1-IF(MONTH($A2863)=Reference!$D$6,1,0)*Reference!$D$12)</f>
        <v>358500</v>
      </c>
      <c r="M2863" s="20"/>
      <c r="N2863" s="20"/>
      <c r="O2863" s="19"/>
      <c r="P2863" s="10"/>
      <c r="Q2863" s="10"/>
      <c r="R2863" s="10"/>
      <c r="S2863" s="10"/>
      <c r="T2863" s="10"/>
      <c r="U2863" s="10"/>
      <c r="V2863" s="10"/>
      <c r="W2863" s="10"/>
      <c r="X2863" s="10"/>
      <c r="Y2863" s="10"/>
    </row>
    <row r="2864" spans="1:25" x14ac:dyDescent="0.25">
      <c r="A2864" s="9">
        <v>43402</v>
      </c>
      <c r="B2864" s="10">
        <f ca="1">ROUND(_xlfn.NORM.INV(RAND(),Reference!$C$8,0.1*Reference!$C$8)*(1+Reference!$C$11*(IF(MONTH($A2864)=Reference!$C$4,1,0)+IF(MONTH($A2864)=Reference!$C$5,1,0))+(IF(MONTH($A2864)=Reference!$C$6,Reference!$C$13,0))),0)</f>
        <v>385</v>
      </c>
      <c r="C2864" s="11">
        <f ca="1">B2864*Reference!$C$7*(1-IF(MONTH($A2864)=Reference!$C$6,1,0)*Reference!$C$12)</f>
        <v>358050</v>
      </c>
      <c r="D2864" s="10">
        <f ca="1">ROUND(_xlfn.NORM.INV(RAND(),Reference!$D$8,0.1*Reference!$D$8)*(1+Reference!$D$11*(IF(MONTH($A2864)=Reference!$D$4,1,0)+IF(MONTH($A2864)=Reference!$D$5,1,0))+(IF(MONTH($A2864)=Reference!$D$6,Reference!$D$13,0))),0)</f>
        <v>498</v>
      </c>
      <c r="E2864" s="11">
        <f ca="1">D2864*Reference!$D$7*(1-IF(MONTH($A2864)=Reference!$D$6,1,0)*Reference!$D$12)</f>
        <v>373500</v>
      </c>
      <c r="M2864" s="20"/>
      <c r="N2864" s="20"/>
      <c r="O2864" s="19"/>
      <c r="P2864" s="10"/>
      <c r="Q2864" s="10"/>
      <c r="R2864" s="10"/>
      <c r="S2864" s="10"/>
      <c r="T2864" s="10"/>
      <c r="U2864" s="10"/>
      <c r="V2864" s="10"/>
      <c r="W2864" s="10"/>
      <c r="X2864" s="10"/>
      <c r="Y2864" s="10"/>
    </row>
    <row r="2865" spans="1:25" x14ac:dyDescent="0.25">
      <c r="A2865" s="9">
        <v>43403</v>
      </c>
      <c r="B2865" s="10">
        <f ca="1">ROUND(_xlfn.NORM.INV(RAND(),Reference!$C$8,0.1*Reference!$C$8)*(1+Reference!$C$11*(IF(MONTH($A2865)=Reference!$C$4,1,0)+IF(MONTH($A2865)=Reference!$C$5,1,0))+(IF(MONTH($A2865)=Reference!$C$6,Reference!$C$13,0))),0)</f>
        <v>344</v>
      </c>
      <c r="C2865" s="11">
        <f ca="1">B2865*Reference!$C$7*(1-IF(MONTH($A2865)=Reference!$C$6,1,0)*Reference!$C$12)</f>
        <v>319920</v>
      </c>
      <c r="D2865" s="10">
        <f ca="1">ROUND(_xlfn.NORM.INV(RAND(),Reference!$D$8,0.1*Reference!$D$8)*(1+Reference!$D$11*(IF(MONTH($A2865)=Reference!$D$4,1,0)+IF(MONTH($A2865)=Reference!$D$5,1,0))+(IF(MONTH($A2865)=Reference!$D$6,Reference!$D$13,0))),0)</f>
        <v>337</v>
      </c>
      <c r="E2865" s="11">
        <f ca="1">D2865*Reference!$D$7*(1-IF(MONTH($A2865)=Reference!$D$6,1,0)*Reference!$D$12)</f>
        <v>252750</v>
      </c>
      <c r="M2865" s="20"/>
      <c r="N2865" s="20"/>
      <c r="O2865" s="19"/>
      <c r="P2865" s="10"/>
      <c r="Q2865" s="10"/>
      <c r="R2865" s="10"/>
      <c r="S2865" s="10"/>
      <c r="T2865" s="10"/>
      <c r="U2865" s="10"/>
      <c r="V2865" s="10"/>
      <c r="W2865" s="10"/>
      <c r="X2865" s="10"/>
      <c r="Y2865" s="10"/>
    </row>
    <row r="2866" spans="1:25" x14ac:dyDescent="0.25">
      <c r="A2866" s="9">
        <v>43404</v>
      </c>
      <c r="B2866" s="10">
        <f ca="1">ROUND(_xlfn.NORM.INV(RAND(),Reference!$C$8,0.1*Reference!$C$8)*(1+Reference!$C$11*(IF(MONTH($A2866)=Reference!$C$4,1,0)+IF(MONTH($A2866)=Reference!$C$5,1,0))+(IF(MONTH($A2866)=Reference!$C$6,Reference!$C$13,0))),0)</f>
        <v>304</v>
      </c>
      <c r="C2866" s="11">
        <f ca="1">B2866*Reference!$C$7*(1-IF(MONTH($A2866)=Reference!$C$6,1,0)*Reference!$C$12)</f>
        <v>282720</v>
      </c>
      <c r="D2866" s="10">
        <f ca="1">ROUND(_xlfn.NORM.INV(RAND(),Reference!$D$8,0.1*Reference!$D$8)*(1+Reference!$D$11*(IF(MONTH($A2866)=Reference!$D$4,1,0)+IF(MONTH($A2866)=Reference!$D$5,1,0))+(IF(MONTH($A2866)=Reference!$D$6,Reference!$D$13,0))),0)</f>
        <v>473</v>
      </c>
      <c r="E2866" s="11">
        <f ca="1">D2866*Reference!$D$7*(1-IF(MONTH($A2866)=Reference!$D$6,1,0)*Reference!$D$12)</f>
        <v>354750</v>
      </c>
      <c r="M2866" s="20"/>
      <c r="N2866" s="20"/>
      <c r="O2866" s="19"/>
      <c r="P2866" s="10"/>
      <c r="Q2866" s="10"/>
      <c r="R2866" s="10"/>
      <c r="S2866" s="10"/>
      <c r="T2866" s="10"/>
      <c r="U2866" s="10"/>
      <c r="V2866" s="10"/>
      <c r="W2866" s="10"/>
      <c r="X2866" s="10"/>
      <c r="Y2866" s="10"/>
    </row>
    <row r="2867" spans="1:25" x14ac:dyDescent="0.25">
      <c r="A2867" s="9">
        <v>43405</v>
      </c>
      <c r="B2867" s="10">
        <f ca="1">ROUND(_xlfn.NORM.INV(RAND(),Reference!$C$8,0.1*Reference!$C$8)*(1+Reference!$C$11*(IF(MONTH($A2867)=Reference!$C$4,1,0)+IF(MONTH($A2867)=Reference!$C$5,1,0))+(IF(MONTH($A2867)=Reference!$C$6,Reference!$C$13,0))),0)</f>
        <v>377</v>
      </c>
      <c r="C2867" s="11">
        <f ca="1">B2867*Reference!$C$7*(1-IF(MONTH($A2867)=Reference!$C$6,1,0)*Reference!$C$12)</f>
        <v>350610</v>
      </c>
      <c r="D2867" s="10">
        <f ca="1">ROUND(_xlfn.NORM.INV(RAND(),Reference!$D$8,0.1*Reference!$D$8)*(1+Reference!$D$11*(IF(MONTH($A2867)=Reference!$D$4,1,0)+IF(MONTH($A2867)=Reference!$D$5,1,0))+(IF(MONTH($A2867)=Reference!$D$6,Reference!$D$13,0))),0)</f>
        <v>459</v>
      </c>
      <c r="E2867" s="11">
        <f ca="1">D2867*Reference!$D$7*(1-IF(MONTH($A2867)=Reference!$D$6,1,0)*Reference!$D$12)</f>
        <v>344250</v>
      </c>
      <c r="M2867" s="20"/>
      <c r="N2867" s="20"/>
      <c r="O2867" s="19"/>
      <c r="P2867" s="10"/>
      <c r="Q2867" s="10"/>
      <c r="R2867" s="10"/>
      <c r="S2867" s="10"/>
      <c r="T2867" s="10"/>
      <c r="U2867" s="10"/>
      <c r="V2867" s="10"/>
      <c r="W2867" s="10"/>
      <c r="X2867" s="10"/>
      <c r="Y2867" s="10"/>
    </row>
    <row r="2868" spans="1:25" x14ac:dyDescent="0.25">
      <c r="A2868" s="9">
        <v>43406</v>
      </c>
      <c r="B2868" s="10">
        <f ca="1">ROUND(_xlfn.NORM.INV(RAND(),Reference!$C$8,0.1*Reference!$C$8)*(1+Reference!$C$11*(IF(MONTH($A2868)=Reference!$C$4,1,0)+IF(MONTH($A2868)=Reference!$C$5,1,0))+(IF(MONTH($A2868)=Reference!$C$6,Reference!$C$13,0))),0)</f>
        <v>354</v>
      </c>
      <c r="C2868" s="11">
        <f ca="1">B2868*Reference!$C$7*(1-IF(MONTH($A2868)=Reference!$C$6,1,0)*Reference!$C$12)</f>
        <v>329220</v>
      </c>
      <c r="D2868" s="10">
        <f ca="1">ROUND(_xlfn.NORM.INV(RAND(),Reference!$D$8,0.1*Reference!$D$8)*(1+Reference!$D$11*(IF(MONTH($A2868)=Reference!$D$4,1,0)+IF(MONTH($A2868)=Reference!$D$5,1,0))+(IF(MONTH($A2868)=Reference!$D$6,Reference!$D$13,0))),0)</f>
        <v>462</v>
      </c>
      <c r="E2868" s="11">
        <f ca="1">D2868*Reference!$D$7*(1-IF(MONTH($A2868)=Reference!$D$6,1,0)*Reference!$D$12)</f>
        <v>346500</v>
      </c>
      <c r="M2868" s="20"/>
      <c r="N2868" s="20"/>
      <c r="O2868" s="19"/>
      <c r="P2868" s="10"/>
      <c r="Q2868" s="10"/>
      <c r="R2868" s="10"/>
      <c r="S2868" s="10"/>
      <c r="T2868" s="10"/>
      <c r="U2868" s="10"/>
      <c r="V2868" s="10"/>
      <c r="W2868" s="10"/>
      <c r="X2868" s="10"/>
      <c r="Y2868" s="10"/>
    </row>
    <row r="2869" spans="1:25" x14ac:dyDescent="0.25">
      <c r="A2869" s="9">
        <v>43407</v>
      </c>
      <c r="B2869" s="10">
        <f ca="1">ROUND(_xlfn.NORM.INV(RAND(),Reference!$C$8,0.1*Reference!$C$8)*(1+Reference!$C$11*(IF(MONTH($A2869)=Reference!$C$4,1,0)+IF(MONTH($A2869)=Reference!$C$5,1,0))+(IF(MONTH($A2869)=Reference!$C$6,Reference!$C$13,0))),0)</f>
        <v>340</v>
      </c>
      <c r="C2869" s="11">
        <f ca="1">B2869*Reference!$C$7*(1-IF(MONTH($A2869)=Reference!$C$6,1,0)*Reference!$C$12)</f>
        <v>316200</v>
      </c>
      <c r="D2869" s="10">
        <f ca="1">ROUND(_xlfn.NORM.INV(RAND(),Reference!$D$8,0.1*Reference!$D$8)*(1+Reference!$D$11*(IF(MONTH($A2869)=Reference!$D$4,1,0)+IF(MONTH($A2869)=Reference!$D$5,1,0))+(IF(MONTH($A2869)=Reference!$D$6,Reference!$D$13,0))),0)</f>
        <v>491</v>
      </c>
      <c r="E2869" s="11">
        <f ca="1">D2869*Reference!$D$7*(1-IF(MONTH($A2869)=Reference!$D$6,1,0)*Reference!$D$12)</f>
        <v>368250</v>
      </c>
      <c r="M2869" s="20"/>
      <c r="N2869" s="20"/>
      <c r="O2869" s="19"/>
      <c r="P2869" s="10"/>
      <c r="Q2869" s="10"/>
      <c r="R2869" s="10"/>
      <c r="S2869" s="10"/>
      <c r="T2869" s="10"/>
      <c r="U2869" s="10"/>
      <c r="V2869" s="10"/>
      <c r="W2869" s="10"/>
      <c r="X2869" s="10"/>
      <c r="Y2869" s="10"/>
    </row>
    <row r="2870" spans="1:25" x14ac:dyDescent="0.25">
      <c r="A2870" s="9">
        <v>43408</v>
      </c>
      <c r="B2870" s="10">
        <f ca="1">ROUND(_xlfn.NORM.INV(RAND(),Reference!$C$8,0.1*Reference!$C$8)*(1+Reference!$C$11*(IF(MONTH($A2870)=Reference!$C$4,1,0)+IF(MONTH($A2870)=Reference!$C$5,1,0))+(IF(MONTH($A2870)=Reference!$C$6,Reference!$C$13,0))),0)</f>
        <v>336</v>
      </c>
      <c r="C2870" s="11">
        <f ca="1">B2870*Reference!$C$7*(1-IF(MONTH($A2870)=Reference!$C$6,1,0)*Reference!$C$12)</f>
        <v>312480</v>
      </c>
      <c r="D2870" s="10">
        <f ca="1">ROUND(_xlfn.NORM.INV(RAND(),Reference!$D$8,0.1*Reference!$D$8)*(1+Reference!$D$11*(IF(MONTH($A2870)=Reference!$D$4,1,0)+IF(MONTH($A2870)=Reference!$D$5,1,0))+(IF(MONTH($A2870)=Reference!$D$6,Reference!$D$13,0))),0)</f>
        <v>422</v>
      </c>
      <c r="E2870" s="11">
        <f ca="1">D2870*Reference!$D$7*(1-IF(MONTH($A2870)=Reference!$D$6,1,0)*Reference!$D$12)</f>
        <v>316500</v>
      </c>
      <c r="M2870" s="20"/>
      <c r="N2870" s="20"/>
      <c r="O2870" s="19"/>
      <c r="P2870" s="10"/>
      <c r="Q2870" s="10"/>
      <c r="R2870" s="10"/>
      <c r="S2870" s="10"/>
      <c r="T2870" s="10"/>
      <c r="U2870" s="10"/>
      <c r="V2870" s="10"/>
      <c r="W2870" s="10"/>
      <c r="X2870" s="10"/>
      <c r="Y2870" s="10"/>
    </row>
    <row r="2871" spans="1:25" x14ac:dyDescent="0.25">
      <c r="A2871" s="9">
        <v>43409</v>
      </c>
      <c r="B2871" s="10">
        <f ca="1">ROUND(_xlfn.NORM.INV(RAND(),Reference!$C$8,0.1*Reference!$C$8)*(1+Reference!$C$11*(IF(MONTH($A2871)=Reference!$C$4,1,0)+IF(MONTH($A2871)=Reference!$C$5,1,0))+(IF(MONTH($A2871)=Reference!$C$6,Reference!$C$13,0))),0)</f>
        <v>390</v>
      </c>
      <c r="C2871" s="11">
        <f ca="1">B2871*Reference!$C$7*(1-IF(MONTH($A2871)=Reference!$C$6,1,0)*Reference!$C$12)</f>
        <v>362700</v>
      </c>
      <c r="D2871" s="10">
        <f ca="1">ROUND(_xlfn.NORM.INV(RAND(),Reference!$D$8,0.1*Reference!$D$8)*(1+Reference!$D$11*(IF(MONTH($A2871)=Reference!$D$4,1,0)+IF(MONTH($A2871)=Reference!$D$5,1,0))+(IF(MONTH($A2871)=Reference!$D$6,Reference!$D$13,0))),0)</f>
        <v>460</v>
      </c>
      <c r="E2871" s="11">
        <f ca="1">D2871*Reference!$D$7*(1-IF(MONTH($A2871)=Reference!$D$6,1,0)*Reference!$D$12)</f>
        <v>345000</v>
      </c>
      <c r="M2871" s="20"/>
      <c r="N2871" s="20"/>
      <c r="O2871" s="19"/>
      <c r="P2871" s="10"/>
      <c r="Q2871" s="10"/>
      <c r="R2871" s="10"/>
      <c r="S2871" s="10"/>
      <c r="T2871" s="10"/>
      <c r="U2871" s="10"/>
      <c r="V2871" s="10"/>
      <c r="W2871" s="10"/>
      <c r="X2871" s="10"/>
      <c r="Y2871" s="10"/>
    </row>
    <row r="2872" spans="1:25" x14ac:dyDescent="0.25">
      <c r="A2872" s="9">
        <v>43410</v>
      </c>
      <c r="B2872" s="10">
        <f ca="1">ROUND(_xlfn.NORM.INV(RAND(),Reference!$C$8,0.1*Reference!$C$8)*(1+Reference!$C$11*(IF(MONTH($A2872)=Reference!$C$4,1,0)+IF(MONTH($A2872)=Reference!$C$5,1,0))+(IF(MONTH($A2872)=Reference!$C$6,Reference!$C$13,0))),0)</f>
        <v>346</v>
      </c>
      <c r="C2872" s="11">
        <f ca="1">B2872*Reference!$C$7*(1-IF(MONTH($A2872)=Reference!$C$6,1,0)*Reference!$C$12)</f>
        <v>321780</v>
      </c>
      <c r="D2872" s="10">
        <f ca="1">ROUND(_xlfn.NORM.INV(RAND(),Reference!$D$8,0.1*Reference!$D$8)*(1+Reference!$D$11*(IF(MONTH($A2872)=Reference!$D$4,1,0)+IF(MONTH($A2872)=Reference!$D$5,1,0))+(IF(MONTH($A2872)=Reference!$D$6,Reference!$D$13,0))),0)</f>
        <v>479</v>
      </c>
      <c r="E2872" s="11">
        <f ca="1">D2872*Reference!$D$7*(1-IF(MONTH($A2872)=Reference!$D$6,1,0)*Reference!$D$12)</f>
        <v>359250</v>
      </c>
      <c r="M2872" s="20"/>
      <c r="N2872" s="20"/>
      <c r="O2872" s="19"/>
      <c r="P2872" s="10"/>
      <c r="Q2872" s="10"/>
      <c r="R2872" s="10"/>
      <c r="S2872" s="10"/>
      <c r="T2872" s="10"/>
      <c r="U2872" s="10"/>
      <c r="V2872" s="10"/>
      <c r="W2872" s="10"/>
      <c r="X2872" s="10"/>
      <c r="Y2872" s="10"/>
    </row>
    <row r="2873" spans="1:25" x14ac:dyDescent="0.25">
      <c r="A2873" s="9">
        <v>43411</v>
      </c>
      <c r="B2873" s="10">
        <f ca="1">ROUND(_xlfn.NORM.INV(RAND(),Reference!$C$8,0.1*Reference!$C$8)*(1+Reference!$C$11*(IF(MONTH($A2873)=Reference!$C$4,1,0)+IF(MONTH($A2873)=Reference!$C$5,1,0))+(IF(MONTH($A2873)=Reference!$C$6,Reference!$C$13,0))),0)</f>
        <v>342</v>
      </c>
      <c r="C2873" s="11">
        <f ca="1">B2873*Reference!$C$7*(1-IF(MONTH($A2873)=Reference!$C$6,1,0)*Reference!$C$12)</f>
        <v>318060</v>
      </c>
      <c r="D2873" s="10">
        <f ca="1">ROUND(_xlfn.NORM.INV(RAND(),Reference!$D$8,0.1*Reference!$D$8)*(1+Reference!$D$11*(IF(MONTH($A2873)=Reference!$D$4,1,0)+IF(MONTH($A2873)=Reference!$D$5,1,0))+(IF(MONTH($A2873)=Reference!$D$6,Reference!$D$13,0))),0)</f>
        <v>477</v>
      </c>
      <c r="E2873" s="11">
        <f ca="1">D2873*Reference!$D$7*(1-IF(MONTH($A2873)=Reference!$D$6,1,0)*Reference!$D$12)</f>
        <v>357750</v>
      </c>
      <c r="M2873" s="20"/>
      <c r="N2873" s="20"/>
      <c r="O2873" s="19"/>
      <c r="P2873" s="10"/>
      <c r="Q2873" s="10"/>
      <c r="R2873" s="10"/>
      <c r="S2873" s="10"/>
      <c r="T2873" s="10"/>
      <c r="U2873" s="10"/>
      <c r="V2873" s="10"/>
      <c r="W2873" s="10"/>
      <c r="X2873" s="10"/>
      <c r="Y2873" s="10"/>
    </row>
    <row r="2874" spans="1:25" x14ac:dyDescent="0.25">
      <c r="A2874" s="9">
        <v>43412</v>
      </c>
      <c r="B2874" s="10">
        <f ca="1">ROUND(_xlfn.NORM.INV(RAND(),Reference!$C$8,0.1*Reference!$C$8)*(1+Reference!$C$11*(IF(MONTH($A2874)=Reference!$C$4,1,0)+IF(MONTH($A2874)=Reference!$C$5,1,0))+(IF(MONTH($A2874)=Reference!$C$6,Reference!$C$13,0))),0)</f>
        <v>372</v>
      </c>
      <c r="C2874" s="11">
        <f ca="1">B2874*Reference!$C$7*(1-IF(MONTH($A2874)=Reference!$C$6,1,0)*Reference!$C$12)</f>
        <v>345960</v>
      </c>
      <c r="D2874" s="10">
        <f ca="1">ROUND(_xlfn.NORM.INV(RAND(),Reference!$D$8,0.1*Reference!$D$8)*(1+Reference!$D$11*(IF(MONTH($A2874)=Reference!$D$4,1,0)+IF(MONTH($A2874)=Reference!$D$5,1,0))+(IF(MONTH($A2874)=Reference!$D$6,Reference!$D$13,0))),0)</f>
        <v>388</v>
      </c>
      <c r="E2874" s="11">
        <f ca="1">D2874*Reference!$D$7*(1-IF(MONTH($A2874)=Reference!$D$6,1,0)*Reference!$D$12)</f>
        <v>291000</v>
      </c>
      <c r="M2874" s="20"/>
      <c r="N2874" s="20"/>
      <c r="O2874" s="19"/>
      <c r="P2874" s="10"/>
      <c r="Q2874" s="10"/>
      <c r="R2874" s="10"/>
      <c r="S2874" s="10"/>
      <c r="T2874" s="10"/>
      <c r="U2874" s="10"/>
      <c r="V2874" s="10"/>
      <c r="W2874" s="10"/>
      <c r="X2874" s="10"/>
      <c r="Y2874" s="10"/>
    </row>
    <row r="2875" spans="1:25" x14ac:dyDescent="0.25">
      <c r="A2875" s="9">
        <v>43413</v>
      </c>
      <c r="B2875" s="10">
        <f ca="1">ROUND(_xlfn.NORM.INV(RAND(),Reference!$C$8,0.1*Reference!$C$8)*(1+Reference!$C$11*(IF(MONTH($A2875)=Reference!$C$4,1,0)+IF(MONTH($A2875)=Reference!$C$5,1,0))+(IF(MONTH($A2875)=Reference!$C$6,Reference!$C$13,0))),0)</f>
        <v>419</v>
      </c>
      <c r="C2875" s="11">
        <f ca="1">B2875*Reference!$C$7*(1-IF(MONTH($A2875)=Reference!$C$6,1,0)*Reference!$C$12)</f>
        <v>389670</v>
      </c>
      <c r="D2875" s="10">
        <f ca="1">ROUND(_xlfn.NORM.INV(RAND(),Reference!$D$8,0.1*Reference!$D$8)*(1+Reference!$D$11*(IF(MONTH($A2875)=Reference!$D$4,1,0)+IF(MONTH($A2875)=Reference!$D$5,1,0))+(IF(MONTH($A2875)=Reference!$D$6,Reference!$D$13,0))),0)</f>
        <v>527</v>
      </c>
      <c r="E2875" s="11">
        <f ca="1">D2875*Reference!$D$7*(1-IF(MONTH($A2875)=Reference!$D$6,1,0)*Reference!$D$12)</f>
        <v>395250</v>
      </c>
      <c r="M2875" s="20"/>
      <c r="N2875" s="20"/>
      <c r="O2875" s="19"/>
      <c r="P2875" s="10"/>
      <c r="Q2875" s="10"/>
      <c r="R2875" s="10"/>
      <c r="S2875" s="10"/>
      <c r="T2875" s="10"/>
      <c r="U2875" s="10"/>
      <c r="V2875" s="10"/>
      <c r="W2875" s="10"/>
      <c r="X2875" s="10"/>
      <c r="Y2875" s="10"/>
    </row>
    <row r="2876" spans="1:25" x14ac:dyDescent="0.25">
      <c r="A2876" s="9">
        <v>43414</v>
      </c>
      <c r="B2876" s="10">
        <f ca="1">ROUND(_xlfn.NORM.INV(RAND(),Reference!$C$8,0.1*Reference!$C$8)*(1+Reference!$C$11*(IF(MONTH($A2876)=Reference!$C$4,1,0)+IF(MONTH($A2876)=Reference!$C$5,1,0))+(IF(MONTH($A2876)=Reference!$C$6,Reference!$C$13,0))),0)</f>
        <v>339</v>
      </c>
      <c r="C2876" s="11">
        <f ca="1">B2876*Reference!$C$7*(1-IF(MONTH($A2876)=Reference!$C$6,1,0)*Reference!$C$12)</f>
        <v>315270</v>
      </c>
      <c r="D2876" s="10">
        <f ca="1">ROUND(_xlfn.NORM.INV(RAND(),Reference!$D$8,0.1*Reference!$D$8)*(1+Reference!$D$11*(IF(MONTH($A2876)=Reference!$D$4,1,0)+IF(MONTH($A2876)=Reference!$D$5,1,0))+(IF(MONTH($A2876)=Reference!$D$6,Reference!$D$13,0))),0)</f>
        <v>415</v>
      </c>
      <c r="E2876" s="11">
        <f ca="1">D2876*Reference!$D$7*(1-IF(MONTH($A2876)=Reference!$D$6,1,0)*Reference!$D$12)</f>
        <v>311250</v>
      </c>
      <c r="M2876" s="20"/>
      <c r="N2876" s="20"/>
      <c r="O2876" s="19"/>
      <c r="P2876" s="10"/>
      <c r="Q2876" s="10"/>
      <c r="R2876" s="10"/>
      <c r="S2876" s="10"/>
      <c r="T2876" s="10"/>
      <c r="U2876" s="10"/>
      <c r="V2876" s="10"/>
      <c r="W2876" s="10"/>
      <c r="X2876" s="10"/>
      <c r="Y2876" s="10"/>
    </row>
    <row r="2877" spans="1:25" x14ac:dyDescent="0.25">
      <c r="A2877" s="9">
        <v>43415</v>
      </c>
      <c r="B2877" s="10">
        <f ca="1">ROUND(_xlfn.NORM.INV(RAND(),Reference!$C$8,0.1*Reference!$C$8)*(1+Reference!$C$11*(IF(MONTH($A2877)=Reference!$C$4,1,0)+IF(MONTH($A2877)=Reference!$C$5,1,0))+(IF(MONTH($A2877)=Reference!$C$6,Reference!$C$13,0))),0)</f>
        <v>363</v>
      </c>
      <c r="C2877" s="11">
        <f ca="1">B2877*Reference!$C$7*(1-IF(MONTH($A2877)=Reference!$C$6,1,0)*Reference!$C$12)</f>
        <v>337590</v>
      </c>
      <c r="D2877" s="10">
        <f ca="1">ROUND(_xlfn.NORM.INV(RAND(),Reference!$D$8,0.1*Reference!$D$8)*(1+Reference!$D$11*(IF(MONTH($A2877)=Reference!$D$4,1,0)+IF(MONTH($A2877)=Reference!$D$5,1,0))+(IF(MONTH($A2877)=Reference!$D$6,Reference!$D$13,0))),0)</f>
        <v>405</v>
      </c>
      <c r="E2877" s="11">
        <f ca="1">D2877*Reference!$D$7*(1-IF(MONTH($A2877)=Reference!$D$6,1,0)*Reference!$D$12)</f>
        <v>303750</v>
      </c>
      <c r="M2877" s="20"/>
      <c r="N2877" s="20"/>
      <c r="O2877" s="19"/>
      <c r="P2877" s="10"/>
      <c r="Q2877" s="10"/>
      <c r="R2877" s="10"/>
      <c r="S2877" s="10"/>
      <c r="T2877" s="10"/>
      <c r="U2877" s="10"/>
      <c r="V2877" s="10"/>
      <c r="W2877" s="10"/>
      <c r="X2877" s="10"/>
      <c r="Y2877" s="10"/>
    </row>
    <row r="2878" spans="1:25" x14ac:dyDescent="0.25">
      <c r="A2878" s="9">
        <v>43416</v>
      </c>
      <c r="B2878" s="10">
        <f ca="1">ROUND(_xlfn.NORM.INV(RAND(),Reference!$C$8,0.1*Reference!$C$8)*(1+Reference!$C$11*(IF(MONTH($A2878)=Reference!$C$4,1,0)+IF(MONTH($A2878)=Reference!$C$5,1,0))+(IF(MONTH($A2878)=Reference!$C$6,Reference!$C$13,0))),0)</f>
        <v>376</v>
      </c>
      <c r="C2878" s="11">
        <f ca="1">B2878*Reference!$C$7*(1-IF(MONTH($A2878)=Reference!$C$6,1,0)*Reference!$C$12)</f>
        <v>349680</v>
      </c>
      <c r="D2878" s="10">
        <f ca="1">ROUND(_xlfn.NORM.INV(RAND(),Reference!$D$8,0.1*Reference!$D$8)*(1+Reference!$D$11*(IF(MONTH($A2878)=Reference!$D$4,1,0)+IF(MONTH($A2878)=Reference!$D$5,1,0))+(IF(MONTH($A2878)=Reference!$D$6,Reference!$D$13,0))),0)</f>
        <v>505</v>
      </c>
      <c r="E2878" s="11">
        <f ca="1">D2878*Reference!$D$7*(1-IF(MONTH($A2878)=Reference!$D$6,1,0)*Reference!$D$12)</f>
        <v>378750</v>
      </c>
      <c r="M2878" s="20"/>
      <c r="N2878" s="20"/>
      <c r="O2878" s="19"/>
      <c r="P2878" s="10"/>
      <c r="Q2878" s="10"/>
      <c r="R2878" s="10"/>
      <c r="S2878" s="10"/>
      <c r="T2878" s="10"/>
      <c r="U2878" s="10"/>
      <c r="V2878" s="10"/>
      <c r="W2878" s="10"/>
      <c r="X2878" s="10"/>
      <c r="Y2878" s="10"/>
    </row>
    <row r="2879" spans="1:25" x14ac:dyDescent="0.25">
      <c r="A2879" s="9">
        <v>43417</v>
      </c>
      <c r="B2879" s="10">
        <f ca="1">ROUND(_xlfn.NORM.INV(RAND(),Reference!$C$8,0.1*Reference!$C$8)*(1+Reference!$C$11*(IF(MONTH($A2879)=Reference!$C$4,1,0)+IF(MONTH($A2879)=Reference!$C$5,1,0))+(IF(MONTH($A2879)=Reference!$C$6,Reference!$C$13,0))),0)</f>
        <v>368</v>
      </c>
      <c r="C2879" s="11">
        <f ca="1">B2879*Reference!$C$7*(1-IF(MONTH($A2879)=Reference!$C$6,1,0)*Reference!$C$12)</f>
        <v>342240</v>
      </c>
      <c r="D2879" s="10">
        <f ca="1">ROUND(_xlfn.NORM.INV(RAND(),Reference!$D$8,0.1*Reference!$D$8)*(1+Reference!$D$11*(IF(MONTH($A2879)=Reference!$D$4,1,0)+IF(MONTH($A2879)=Reference!$D$5,1,0))+(IF(MONTH($A2879)=Reference!$D$6,Reference!$D$13,0))),0)</f>
        <v>493</v>
      </c>
      <c r="E2879" s="11">
        <f ca="1">D2879*Reference!$D$7*(1-IF(MONTH($A2879)=Reference!$D$6,1,0)*Reference!$D$12)</f>
        <v>369750</v>
      </c>
      <c r="M2879" s="20"/>
      <c r="N2879" s="20"/>
      <c r="O2879" s="19"/>
      <c r="P2879" s="10"/>
      <c r="Q2879" s="10"/>
      <c r="R2879" s="10"/>
      <c r="S2879" s="10"/>
      <c r="T2879" s="10"/>
      <c r="U2879" s="10"/>
      <c r="V2879" s="10"/>
      <c r="W2879" s="10"/>
      <c r="X2879" s="10"/>
      <c r="Y2879" s="10"/>
    </row>
    <row r="2880" spans="1:25" x14ac:dyDescent="0.25">
      <c r="A2880" s="9">
        <v>43418</v>
      </c>
      <c r="B2880" s="10">
        <f ca="1">ROUND(_xlfn.NORM.INV(RAND(),Reference!$C$8,0.1*Reference!$C$8)*(1+Reference!$C$11*(IF(MONTH($A2880)=Reference!$C$4,1,0)+IF(MONTH($A2880)=Reference!$C$5,1,0))+(IF(MONTH($A2880)=Reference!$C$6,Reference!$C$13,0))),0)</f>
        <v>352</v>
      </c>
      <c r="C2880" s="11">
        <f ca="1">B2880*Reference!$C$7*(1-IF(MONTH($A2880)=Reference!$C$6,1,0)*Reference!$C$12)</f>
        <v>327360</v>
      </c>
      <c r="D2880" s="10">
        <f ca="1">ROUND(_xlfn.NORM.INV(RAND(),Reference!$D$8,0.1*Reference!$D$8)*(1+Reference!$D$11*(IF(MONTH($A2880)=Reference!$D$4,1,0)+IF(MONTH($A2880)=Reference!$D$5,1,0))+(IF(MONTH($A2880)=Reference!$D$6,Reference!$D$13,0))),0)</f>
        <v>442</v>
      </c>
      <c r="E2880" s="11">
        <f ca="1">D2880*Reference!$D$7*(1-IF(MONTH($A2880)=Reference!$D$6,1,0)*Reference!$D$12)</f>
        <v>331500</v>
      </c>
      <c r="M2880" s="20"/>
      <c r="N2880" s="20"/>
      <c r="O2880" s="19"/>
      <c r="P2880" s="10"/>
      <c r="Q2880" s="10"/>
      <c r="R2880" s="10"/>
      <c r="S2880" s="10"/>
      <c r="T2880" s="10"/>
      <c r="U2880" s="10"/>
      <c r="V2880" s="10"/>
      <c r="W2880" s="10"/>
      <c r="X2880" s="10"/>
      <c r="Y2880" s="10"/>
    </row>
    <row r="2881" spans="1:25" x14ac:dyDescent="0.25">
      <c r="A2881" s="9">
        <v>43419</v>
      </c>
      <c r="B2881" s="10">
        <f ca="1">ROUND(_xlfn.NORM.INV(RAND(),Reference!$C$8,0.1*Reference!$C$8)*(1+Reference!$C$11*(IF(MONTH($A2881)=Reference!$C$4,1,0)+IF(MONTH($A2881)=Reference!$C$5,1,0))+(IF(MONTH($A2881)=Reference!$C$6,Reference!$C$13,0))),0)</f>
        <v>298</v>
      </c>
      <c r="C2881" s="11">
        <f ca="1">B2881*Reference!$C$7*(1-IF(MONTH($A2881)=Reference!$C$6,1,0)*Reference!$C$12)</f>
        <v>277140</v>
      </c>
      <c r="D2881" s="10">
        <f ca="1">ROUND(_xlfn.NORM.INV(RAND(),Reference!$D$8,0.1*Reference!$D$8)*(1+Reference!$D$11*(IF(MONTH($A2881)=Reference!$D$4,1,0)+IF(MONTH($A2881)=Reference!$D$5,1,0))+(IF(MONTH($A2881)=Reference!$D$6,Reference!$D$13,0))),0)</f>
        <v>470</v>
      </c>
      <c r="E2881" s="11">
        <f ca="1">D2881*Reference!$D$7*(1-IF(MONTH($A2881)=Reference!$D$6,1,0)*Reference!$D$12)</f>
        <v>352500</v>
      </c>
      <c r="M2881" s="20"/>
      <c r="N2881" s="20"/>
      <c r="O2881" s="19"/>
      <c r="P2881" s="10"/>
      <c r="Q2881" s="10"/>
      <c r="R2881" s="10"/>
      <c r="S2881" s="10"/>
      <c r="T2881" s="10"/>
      <c r="U2881" s="10"/>
      <c r="V2881" s="10"/>
      <c r="W2881" s="10"/>
      <c r="X2881" s="10"/>
      <c r="Y2881" s="10"/>
    </row>
    <row r="2882" spans="1:25" x14ac:dyDescent="0.25">
      <c r="A2882" s="9">
        <v>43420</v>
      </c>
      <c r="B2882" s="10">
        <f ca="1">ROUND(_xlfn.NORM.INV(RAND(),Reference!$C$8,0.1*Reference!$C$8)*(1+Reference!$C$11*(IF(MONTH($A2882)=Reference!$C$4,1,0)+IF(MONTH($A2882)=Reference!$C$5,1,0))+(IF(MONTH($A2882)=Reference!$C$6,Reference!$C$13,0))),0)</f>
        <v>370</v>
      </c>
      <c r="C2882" s="11">
        <f ca="1">B2882*Reference!$C$7*(1-IF(MONTH($A2882)=Reference!$C$6,1,0)*Reference!$C$12)</f>
        <v>344100</v>
      </c>
      <c r="D2882" s="10">
        <f ca="1">ROUND(_xlfn.NORM.INV(RAND(),Reference!$D$8,0.1*Reference!$D$8)*(1+Reference!$D$11*(IF(MONTH($A2882)=Reference!$D$4,1,0)+IF(MONTH($A2882)=Reference!$D$5,1,0))+(IF(MONTH($A2882)=Reference!$D$6,Reference!$D$13,0))),0)</f>
        <v>475</v>
      </c>
      <c r="E2882" s="11">
        <f ca="1">D2882*Reference!$D$7*(1-IF(MONTH($A2882)=Reference!$D$6,1,0)*Reference!$D$12)</f>
        <v>356250</v>
      </c>
      <c r="M2882" s="20"/>
      <c r="N2882" s="20"/>
      <c r="O2882" s="19"/>
      <c r="P2882" s="10"/>
      <c r="Q2882" s="10"/>
      <c r="R2882" s="10"/>
      <c r="S2882" s="10"/>
      <c r="T2882" s="10"/>
      <c r="U2882" s="10"/>
      <c r="V2882" s="10"/>
      <c r="W2882" s="10"/>
      <c r="X2882" s="10"/>
      <c r="Y2882" s="10"/>
    </row>
    <row r="2883" spans="1:25" x14ac:dyDescent="0.25">
      <c r="A2883" s="9">
        <v>43421</v>
      </c>
      <c r="B2883" s="10">
        <f ca="1">ROUND(_xlfn.NORM.INV(RAND(),Reference!$C$8,0.1*Reference!$C$8)*(1+Reference!$C$11*(IF(MONTH($A2883)=Reference!$C$4,1,0)+IF(MONTH($A2883)=Reference!$C$5,1,0))+(IF(MONTH($A2883)=Reference!$C$6,Reference!$C$13,0))),0)</f>
        <v>352</v>
      </c>
      <c r="C2883" s="11">
        <f ca="1">B2883*Reference!$C$7*(1-IF(MONTH($A2883)=Reference!$C$6,1,0)*Reference!$C$12)</f>
        <v>327360</v>
      </c>
      <c r="D2883" s="10">
        <f ca="1">ROUND(_xlfn.NORM.INV(RAND(),Reference!$D$8,0.1*Reference!$D$8)*(1+Reference!$D$11*(IF(MONTH($A2883)=Reference!$D$4,1,0)+IF(MONTH($A2883)=Reference!$D$5,1,0))+(IF(MONTH($A2883)=Reference!$D$6,Reference!$D$13,0))),0)</f>
        <v>449</v>
      </c>
      <c r="E2883" s="11">
        <f ca="1">D2883*Reference!$D$7*(1-IF(MONTH($A2883)=Reference!$D$6,1,0)*Reference!$D$12)</f>
        <v>336750</v>
      </c>
      <c r="M2883" s="20"/>
      <c r="N2883" s="20"/>
      <c r="O2883" s="19"/>
      <c r="P2883" s="10"/>
      <c r="Q2883" s="10"/>
      <c r="R2883" s="10"/>
      <c r="S2883" s="10"/>
      <c r="T2883" s="10"/>
      <c r="U2883" s="10"/>
      <c r="V2883" s="10"/>
      <c r="W2883" s="10"/>
      <c r="X2883" s="10"/>
      <c r="Y2883" s="10"/>
    </row>
    <row r="2884" spans="1:25" x14ac:dyDescent="0.25">
      <c r="A2884" s="9">
        <v>43422</v>
      </c>
      <c r="B2884" s="10">
        <f ca="1">ROUND(_xlfn.NORM.INV(RAND(),Reference!$C$8,0.1*Reference!$C$8)*(1+Reference!$C$11*(IF(MONTH($A2884)=Reference!$C$4,1,0)+IF(MONTH($A2884)=Reference!$C$5,1,0))+(IF(MONTH($A2884)=Reference!$C$6,Reference!$C$13,0))),0)</f>
        <v>418</v>
      </c>
      <c r="C2884" s="11">
        <f ca="1">B2884*Reference!$C$7*(1-IF(MONTH($A2884)=Reference!$C$6,1,0)*Reference!$C$12)</f>
        <v>388740</v>
      </c>
      <c r="D2884" s="10">
        <f ca="1">ROUND(_xlfn.NORM.INV(RAND(),Reference!$D$8,0.1*Reference!$D$8)*(1+Reference!$D$11*(IF(MONTH($A2884)=Reference!$D$4,1,0)+IF(MONTH($A2884)=Reference!$D$5,1,0))+(IF(MONTH($A2884)=Reference!$D$6,Reference!$D$13,0))),0)</f>
        <v>450</v>
      </c>
      <c r="E2884" s="11">
        <f ca="1">D2884*Reference!$D$7*(1-IF(MONTH($A2884)=Reference!$D$6,1,0)*Reference!$D$12)</f>
        <v>337500</v>
      </c>
      <c r="M2884" s="20"/>
      <c r="N2884" s="20"/>
      <c r="O2884" s="19"/>
      <c r="P2884" s="10"/>
      <c r="Q2884" s="10"/>
      <c r="R2884" s="10"/>
      <c r="S2884" s="10"/>
      <c r="T2884" s="10"/>
      <c r="U2884" s="10"/>
      <c r="V2884" s="10"/>
      <c r="W2884" s="10"/>
      <c r="X2884" s="10"/>
      <c r="Y2884" s="10"/>
    </row>
    <row r="2885" spans="1:25" x14ac:dyDescent="0.25">
      <c r="A2885" s="9">
        <v>43423</v>
      </c>
      <c r="B2885" s="10">
        <f ca="1">ROUND(_xlfn.NORM.INV(RAND(),Reference!$C$8,0.1*Reference!$C$8)*(1+Reference!$C$11*(IF(MONTH($A2885)=Reference!$C$4,1,0)+IF(MONTH($A2885)=Reference!$C$5,1,0))+(IF(MONTH($A2885)=Reference!$C$6,Reference!$C$13,0))),0)</f>
        <v>351</v>
      </c>
      <c r="C2885" s="11">
        <f ca="1">B2885*Reference!$C$7*(1-IF(MONTH($A2885)=Reference!$C$6,1,0)*Reference!$C$12)</f>
        <v>326430</v>
      </c>
      <c r="D2885" s="10">
        <f ca="1">ROUND(_xlfn.NORM.INV(RAND(),Reference!$D$8,0.1*Reference!$D$8)*(1+Reference!$D$11*(IF(MONTH($A2885)=Reference!$D$4,1,0)+IF(MONTH($A2885)=Reference!$D$5,1,0))+(IF(MONTH($A2885)=Reference!$D$6,Reference!$D$13,0))),0)</f>
        <v>437</v>
      </c>
      <c r="E2885" s="11">
        <f ca="1">D2885*Reference!$D$7*(1-IF(MONTH($A2885)=Reference!$D$6,1,0)*Reference!$D$12)</f>
        <v>327750</v>
      </c>
      <c r="M2885" s="20"/>
      <c r="N2885" s="20"/>
      <c r="O2885" s="19"/>
      <c r="P2885" s="10"/>
      <c r="Q2885" s="10"/>
      <c r="R2885" s="10"/>
      <c r="S2885" s="10"/>
      <c r="T2885" s="10"/>
      <c r="U2885" s="10"/>
      <c r="V2885" s="10"/>
      <c r="W2885" s="10"/>
      <c r="X2885" s="10"/>
      <c r="Y2885" s="10"/>
    </row>
    <row r="2886" spans="1:25" x14ac:dyDescent="0.25">
      <c r="A2886" s="9">
        <v>43424</v>
      </c>
      <c r="B2886" s="10">
        <f ca="1">ROUND(_xlfn.NORM.INV(RAND(),Reference!$C$8,0.1*Reference!$C$8)*(1+Reference!$C$11*(IF(MONTH($A2886)=Reference!$C$4,1,0)+IF(MONTH($A2886)=Reference!$C$5,1,0))+(IF(MONTH($A2886)=Reference!$C$6,Reference!$C$13,0))),0)</f>
        <v>360</v>
      </c>
      <c r="C2886" s="11">
        <f ca="1">B2886*Reference!$C$7*(1-IF(MONTH($A2886)=Reference!$C$6,1,0)*Reference!$C$12)</f>
        <v>334800</v>
      </c>
      <c r="D2886" s="10">
        <f ca="1">ROUND(_xlfn.NORM.INV(RAND(),Reference!$D$8,0.1*Reference!$D$8)*(1+Reference!$D$11*(IF(MONTH($A2886)=Reference!$D$4,1,0)+IF(MONTH($A2886)=Reference!$D$5,1,0))+(IF(MONTH($A2886)=Reference!$D$6,Reference!$D$13,0))),0)</f>
        <v>511</v>
      </c>
      <c r="E2886" s="11">
        <f ca="1">D2886*Reference!$D$7*(1-IF(MONTH($A2886)=Reference!$D$6,1,0)*Reference!$D$12)</f>
        <v>383250</v>
      </c>
      <c r="M2886" s="20"/>
      <c r="N2886" s="20"/>
      <c r="O2886" s="19"/>
      <c r="P2886" s="10"/>
      <c r="Q2886" s="10"/>
      <c r="R2886" s="10"/>
      <c r="S2886" s="10"/>
      <c r="T2886" s="10"/>
      <c r="U2886" s="10"/>
      <c r="V2886" s="10"/>
      <c r="W2886" s="10"/>
      <c r="X2886" s="10"/>
      <c r="Y2886" s="10"/>
    </row>
    <row r="2887" spans="1:25" x14ac:dyDescent="0.25">
      <c r="A2887" s="9">
        <v>43425</v>
      </c>
      <c r="B2887" s="10">
        <f ca="1">ROUND(_xlfn.NORM.INV(RAND(),Reference!$C$8,0.1*Reference!$C$8)*(1+Reference!$C$11*(IF(MONTH($A2887)=Reference!$C$4,1,0)+IF(MONTH($A2887)=Reference!$C$5,1,0))+(IF(MONTH($A2887)=Reference!$C$6,Reference!$C$13,0))),0)</f>
        <v>398</v>
      </c>
      <c r="C2887" s="11">
        <f ca="1">B2887*Reference!$C$7*(1-IF(MONTH($A2887)=Reference!$C$6,1,0)*Reference!$C$12)</f>
        <v>370140</v>
      </c>
      <c r="D2887" s="10">
        <f ca="1">ROUND(_xlfn.NORM.INV(RAND(),Reference!$D$8,0.1*Reference!$D$8)*(1+Reference!$D$11*(IF(MONTH($A2887)=Reference!$D$4,1,0)+IF(MONTH($A2887)=Reference!$D$5,1,0))+(IF(MONTH($A2887)=Reference!$D$6,Reference!$D$13,0))),0)</f>
        <v>422</v>
      </c>
      <c r="E2887" s="11">
        <f ca="1">D2887*Reference!$D$7*(1-IF(MONTH($A2887)=Reference!$D$6,1,0)*Reference!$D$12)</f>
        <v>316500</v>
      </c>
      <c r="M2887" s="20"/>
      <c r="N2887" s="20"/>
      <c r="O2887" s="19"/>
      <c r="P2887" s="10"/>
      <c r="Q2887" s="10"/>
      <c r="R2887" s="10"/>
      <c r="S2887" s="10"/>
      <c r="T2887" s="10"/>
      <c r="U2887" s="10"/>
      <c r="V2887" s="10"/>
      <c r="W2887" s="10"/>
      <c r="X2887" s="10"/>
      <c r="Y2887" s="10"/>
    </row>
    <row r="2888" spans="1:25" x14ac:dyDescent="0.25">
      <c r="A2888" s="9">
        <v>43426</v>
      </c>
      <c r="B2888" s="10">
        <f ca="1">ROUND(_xlfn.NORM.INV(RAND(),Reference!$C$8,0.1*Reference!$C$8)*(1+Reference!$C$11*(IF(MONTH($A2888)=Reference!$C$4,1,0)+IF(MONTH($A2888)=Reference!$C$5,1,0))+(IF(MONTH($A2888)=Reference!$C$6,Reference!$C$13,0))),0)</f>
        <v>348</v>
      </c>
      <c r="C2888" s="11">
        <f ca="1">B2888*Reference!$C$7*(1-IF(MONTH($A2888)=Reference!$C$6,1,0)*Reference!$C$12)</f>
        <v>323640</v>
      </c>
      <c r="D2888" s="10">
        <f ca="1">ROUND(_xlfn.NORM.INV(RAND(),Reference!$D$8,0.1*Reference!$D$8)*(1+Reference!$D$11*(IF(MONTH($A2888)=Reference!$D$4,1,0)+IF(MONTH($A2888)=Reference!$D$5,1,0))+(IF(MONTH($A2888)=Reference!$D$6,Reference!$D$13,0))),0)</f>
        <v>390</v>
      </c>
      <c r="E2888" s="11">
        <f ca="1">D2888*Reference!$D$7*(1-IF(MONTH($A2888)=Reference!$D$6,1,0)*Reference!$D$12)</f>
        <v>292500</v>
      </c>
      <c r="M2888" s="20"/>
      <c r="N2888" s="20"/>
      <c r="O2888" s="19"/>
      <c r="P2888" s="10"/>
      <c r="Q2888" s="10"/>
      <c r="R2888" s="10"/>
      <c r="S2888" s="10"/>
      <c r="T2888" s="10"/>
      <c r="U2888" s="10"/>
      <c r="V2888" s="10"/>
      <c r="W2888" s="10"/>
      <c r="X2888" s="10"/>
      <c r="Y2888" s="10"/>
    </row>
    <row r="2889" spans="1:25" x14ac:dyDescent="0.25">
      <c r="A2889" s="9">
        <v>43427</v>
      </c>
      <c r="B2889" s="10">
        <f ca="1">ROUND(_xlfn.NORM.INV(RAND(),Reference!$C$8,0.1*Reference!$C$8)*(1+Reference!$C$11*(IF(MONTH($A2889)=Reference!$C$4,1,0)+IF(MONTH($A2889)=Reference!$C$5,1,0))+(IF(MONTH($A2889)=Reference!$C$6,Reference!$C$13,0))),0)</f>
        <v>366</v>
      </c>
      <c r="C2889" s="11">
        <f ca="1">B2889*Reference!$C$7*(1-IF(MONTH($A2889)=Reference!$C$6,1,0)*Reference!$C$12)</f>
        <v>340380</v>
      </c>
      <c r="D2889" s="10">
        <f ca="1">ROUND(_xlfn.NORM.INV(RAND(),Reference!$D$8,0.1*Reference!$D$8)*(1+Reference!$D$11*(IF(MONTH($A2889)=Reference!$D$4,1,0)+IF(MONTH($A2889)=Reference!$D$5,1,0))+(IF(MONTH($A2889)=Reference!$D$6,Reference!$D$13,0))),0)</f>
        <v>498</v>
      </c>
      <c r="E2889" s="11">
        <f ca="1">D2889*Reference!$D$7*(1-IF(MONTH($A2889)=Reference!$D$6,1,0)*Reference!$D$12)</f>
        <v>373500</v>
      </c>
      <c r="M2889" s="20"/>
      <c r="N2889" s="20"/>
      <c r="O2889" s="19"/>
      <c r="P2889" s="10"/>
      <c r="Q2889" s="10"/>
      <c r="R2889" s="10"/>
      <c r="S2889" s="10"/>
      <c r="T2889" s="10"/>
      <c r="U2889" s="10"/>
      <c r="V2889" s="10"/>
      <c r="W2889" s="10"/>
      <c r="X2889" s="10"/>
      <c r="Y2889" s="10"/>
    </row>
    <row r="2890" spans="1:25" x14ac:dyDescent="0.25">
      <c r="A2890" s="9">
        <v>43428</v>
      </c>
      <c r="B2890" s="10">
        <f ca="1">ROUND(_xlfn.NORM.INV(RAND(),Reference!$C$8,0.1*Reference!$C$8)*(1+Reference!$C$11*(IF(MONTH($A2890)=Reference!$C$4,1,0)+IF(MONTH($A2890)=Reference!$C$5,1,0))+(IF(MONTH($A2890)=Reference!$C$6,Reference!$C$13,0))),0)</f>
        <v>388</v>
      </c>
      <c r="C2890" s="11">
        <f ca="1">B2890*Reference!$C$7*(1-IF(MONTH($A2890)=Reference!$C$6,1,0)*Reference!$C$12)</f>
        <v>360840</v>
      </c>
      <c r="D2890" s="10">
        <f ca="1">ROUND(_xlfn.NORM.INV(RAND(),Reference!$D$8,0.1*Reference!$D$8)*(1+Reference!$D$11*(IF(MONTH($A2890)=Reference!$D$4,1,0)+IF(MONTH($A2890)=Reference!$D$5,1,0))+(IF(MONTH($A2890)=Reference!$D$6,Reference!$D$13,0))),0)</f>
        <v>489</v>
      </c>
      <c r="E2890" s="11">
        <f ca="1">D2890*Reference!$D$7*(1-IF(MONTH($A2890)=Reference!$D$6,1,0)*Reference!$D$12)</f>
        <v>366750</v>
      </c>
      <c r="M2890" s="20"/>
      <c r="N2890" s="20"/>
      <c r="O2890" s="19"/>
      <c r="P2890" s="10"/>
      <c r="Q2890" s="10"/>
      <c r="R2890" s="10"/>
      <c r="S2890" s="10"/>
      <c r="T2890" s="10"/>
      <c r="U2890" s="10"/>
      <c r="V2890" s="10"/>
      <c r="W2890" s="10"/>
      <c r="X2890" s="10"/>
      <c r="Y2890" s="10"/>
    </row>
    <row r="2891" spans="1:25" x14ac:dyDescent="0.25">
      <c r="A2891" s="9">
        <v>43429</v>
      </c>
      <c r="B2891" s="10">
        <f ca="1">ROUND(_xlfn.NORM.INV(RAND(),Reference!$C$8,0.1*Reference!$C$8)*(1+Reference!$C$11*(IF(MONTH($A2891)=Reference!$C$4,1,0)+IF(MONTH($A2891)=Reference!$C$5,1,0))+(IF(MONTH($A2891)=Reference!$C$6,Reference!$C$13,0))),0)</f>
        <v>396</v>
      </c>
      <c r="C2891" s="11">
        <f ca="1">B2891*Reference!$C$7*(1-IF(MONTH($A2891)=Reference!$C$6,1,0)*Reference!$C$12)</f>
        <v>368280</v>
      </c>
      <c r="D2891" s="10">
        <f ca="1">ROUND(_xlfn.NORM.INV(RAND(),Reference!$D$8,0.1*Reference!$D$8)*(1+Reference!$D$11*(IF(MONTH($A2891)=Reference!$D$4,1,0)+IF(MONTH($A2891)=Reference!$D$5,1,0))+(IF(MONTH($A2891)=Reference!$D$6,Reference!$D$13,0))),0)</f>
        <v>522</v>
      </c>
      <c r="E2891" s="11">
        <f ca="1">D2891*Reference!$D$7*(1-IF(MONTH($A2891)=Reference!$D$6,1,0)*Reference!$D$12)</f>
        <v>391500</v>
      </c>
      <c r="M2891" s="20"/>
      <c r="N2891" s="20"/>
      <c r="O2891" s="19"/>
      <c r="P2891" s="10"/>
      <c r="Q2891" s="10"/>
      <c r="R2891" s="10"/>
      <c r="S2891" s="10"/>
      <c r="T2891" s="10"/>
      <c r="U2891" s="10"/>
      <c r="V2891" s="10"/>
      <c r="W2891" s="10"/>
      <c r="X2891" s="10"/>
      <c r="Y2891" s="10"/>
    </row>
    <row r="2892" spans="1:25" x14ac:dyDescent="0.25">
      <c r="A2892" s="9">
        <v>43430</v>
      </c>
      <c r="B2892" s="10">
        <f ca="1">ROUND(_xlfn.NORM.INV(RAND(),Reference!$C$8,0.1*Reference!$C$8)*(1+Reference!$C$11*(IF(MONTH($A2892)=Reference!$C$4,1,0)+IF(MONTH($A2892)=Reference!$C$5,1,0))+(IF(MONTH($A2892)=Reference!$C$6,Reference!$C$13,0))),0)</f>
        <v>406</v>
      </c>
      <c r="C2892" s="11">
        <f ca="1">B2892*Reference!$C$7*(1-IF(MONTH($A2892)=Reference!$C$6,1,0)*Reference!$C$12)</f>
        <v>377580</v>
      </c>
      <c r="D2892" s="10">
        <f ca="1">ROUND(_xlfn.NORM.INV(RAND(),Reference!$D$8,0.1*Reference!$D$8)*(1+Reference!$D$11*(IF(MONTH($A2892)=Reference!$D$4,1,0)+IF(MONTH($A2892)=Reference!$D$5,1,0))+(IF(MONTH($A2892)=Reference!$D$6,Reference!$D$13,0))),0)</f>
        <v>543</v>
      </c>
      <c r="E2892" s="11">
        <f ca="1">D2892*Reference!$D$7*(1-IF(MONTH($A2892)=Reference!$D$6,1,0)*Reference!$D$12)</f>
        <v>407250</v>
      </c>
      <c r="M2892" s="20"/>
      <c r="N2892" s="20"/>
      <c r="O2892" s="19"/>
      <c r="P2892" s="10"/>
      <c r="Q2892" s="10"/>
      <c r="R2892" s="10"/>
      <c r="S2892" s="10"/>
      <c r="T2892" s="10"/>
      <c r="U2892" s="10"/>
      <c r="V2892" s="10"/>
      <c r="W2892" s="10"/>
      <c r="X2892" s="10"/>
      <c r="Y2892" s="10"/>
    </row>
    <row r="2893" spans="1:25" x14ac:dyDescent="0.25">
      <c r="A2893" s="9">
        <v>43431</v>
      </c>
      <c r="B2893" s="10">
        <f ca="1">ROUND(_xlfn.NORM.INV(RAND(),Reference!$C$8,0.1*Reference!$C$8)*(1+Reference!$C$11*(IF(MONTH($A2893)=Reference!$C$4,1,0)+IF(MONTH($A2893)=Reference!$C$5,1,0))+(IF(MONTH($A2893)=Reference!$C$6,Reference!$C$13,0))),0)</f>
        <v>385</v>
      </c>
      <c r="C2893" s="11">
        <f ca="1">B2893*Reference!$C$7*(1-IF(MONTH($A2893)=Reference!$C$6,1,0)*Reference!$C$12)</f>
        <v>358050</v>
      </c>
      <c r="D2893" s="10">
        <f ca="1">ROUND(_xlfn.NORM.INV(RAND(),Reference!$D$8,0.1*Reference!$D$8)*(1+Reference!$D$11*(IF(MONTH($A2893)=Reference!$D$4,1,0)+IF(MONTH($A2893)=Reference!$D$5,1,0))+(IF(MONTH($A2893)=Reference!$D$6,Reference!$D$13,0))),0)</f>
        <v>450</v>
      </c>
      <c r="E2893" s="11">
        <f ca="1">D2893*Reference!$D$7*(1-IF(MONTH($A2893)=Reference!$D$6,1,0)*Reference!$D$12)</f>
        <v>337500</v>
      </c>
      <c r="M2893" s="20"/>
      <c r="N2893" s="20"/>
      <c r="O2893" s="19"/>
      <c r="P2893" s="10"/>
      <c r="Q2893" s="10"/>
      <c r="R2893" s="10"/>
      <c r="S2893" s="10"/>
      <c r="T2893" s="10"/>
      <c r="U2893" s="10"/>
      <c r="V2893" s="10"/>
      <c r="W2893" s="10"/>
      <c r="X2893" s="10"/>
      <c r="Y2893" s="10"/>
    </row>
    <row r="2894" spans="1:25" x14ac:dyDescent="0.25">
      <c r="A2894" s="9">
        <v>43432</v>
      </c>
      <c r="B2894" s="10">
        <f ca="1">ROUND(_xlfn.NORM.INV(RAND(),Reference!$C$8,0.1*Reference!$C$8)*(1+Reference!$C$11*(IF(MONTH($A2894)=Reference!$C$4,1,0)+IF(MONTH($A2894)=Reference!$C$5,1,0))+(IF(MONTH($A2894)=Reference!$C$6,Reference!$C$13,0))),0)</f>
        <v>324</v>
      </c>
      <c r="C2894" s="11">
        <f ca="1">B2894*Reference!$C$7*(1-IF(MONTH($A2894)=Reference!$C$6,1,0)*Reference!$C$12)</f>
        <v>301320</v>
      </c>
      <c r="D2894" s="10">
        <f ca="1">ROUND(_xlfn.NORM.INV(RAND(),Reference!$D$8,0.1*Reference!$D$8)*(1+Reference!$D$11*(IF(MONTH($A2894)=Reference!$D$4,1,0)+IF(MONTH($A2894)=Reference!$D$5,1,0))+(IF(MONTH($A2894)=Reference!$D$6,Reference!$D$13,0))),0)</f>
        <v>343</v>
      </c>
      <c r="E2894" s="11">
        <f ca="1">D2894*Reference!$D$7*(1-IF(MONTH($A2894)=Reference!$D$6,1,0)*Reference!$D$12)</f>
        <v>257250</v>
      </c>
      <c r="M2894" s="20"/>
      <c r="N2894" s="20"/>
      <c r="O2894" s="19"/>
      <c r="P2894" s="10"/>
      <c r="Q2894" s="10"/>
      <c r="R2894" s="10"/>
      <c r="S2894" s="10"/>
      <c r="T2894" s="10"/>
      <c r="U2894" s="10"/>
      <c r="V2894" s="10"/>
      <c r="W2894" s="10"/>
      <c r="X2894" s="10"/>
      <c r="Y2894" s="10"/>
    </row>
    <row r="2895" spans="1:25" x14ac:dyDescent="0.25">
      <c r="A2895" s="9">
        <v>43433</v>
      </c>
      <c r="B2895" s="10">
        <f ca="1">ROUND(_xlfn.NORM.INV(RAND(),Reference!$C$8,0.1*Reference!$C$8)*(1+Reference!$C$11*(IF(MONTH($A2895)=Reference!$C$4,1,0)+IF(MONTH($A2895)=Reference!$C$5,1,0))+(IF(MONTH($A2895)=Reference!$C$6,Reference!$C$13,0))),0)</f>
        <v>352</v>
      </c>
      <c r="C2895" s="11">
        <f ca="1">B2895*Reference!$C$7*(1-IF(MONTH($A2895)=Reference!$C$6,1,0)*Reference!$C$12)</f>
        <v>327360</v>
      </c>
      <c r="D2895" s="10">
        <f ca="1">ROUND(_xlfn.NORM.INV(RAND(),Reference!$D$8,0.1*Reference!$D$8)*(1+Reference!$D$11*(IF(MONTH($A2895)=Reference!$D$4,1,0)+IF(MONTH($A2895)=Reference!$D$5,1,0))+(IF(MONTH($A2895)=Reference!$D$6,Reference!$D$13,0))),0)</f>
        <v>439</v>
      </c>
      <c r="E2895" s="11">
        <f ca="1">D2895*Reference!$D$7*(1-IF(MONTH($A2895)=Reference!$D$6,1,0)*Reference!$D$12)</f>
        <v>329250</v>
      </c>
      <c r="M2895" s="20"/>
      <c r="N2895" s="20"/>
      <c r="O2895" s="19"/>
      <c r="P2895" s="10"/>
      <c r="Q2895" s="10"/>
      <c r="R2895" s="10"/>
      <c r="S2895" s="10"/>
      <c r="T2895" s="10"/>
      <c r="U2895" s="10"/>
      <c r="V2895" s="10"/>
      <c r="W2895" s="10"/>
      <c r="X2895" s="10"/>
      <c r="Y2895" s="10"/>
    </row>
    <row r="2896" spans="1:25" x14ac:dyDescent="0.25">
      <c r="A2896" s="9">
        <v>43434</v>
      </c>
      <c r="B2896" s="10">
        <f ca="1">ROUND(_xlfn.NORM.INV(RAND(),Reference!$C$8,0.1*Reference!$C$8)*(1+Reference!$C$11*(IF(MONTH($A2896)=Reference!$C$4,1,0)+IF(MONTH($A2896)=Reference!$C$5,1,0))+(IF(MONTH($A2896)=Reference!$C$6,Reference!$C$13,0))),0)</f>
        <v>331</v>
      </c>
      <c r="C2896" s="11">
        <f ca="1">B2896*Reference!$C$7*(1-IF(MONTH($A2896)=Reference!$C$6,1,0)*Reference!$C$12)</f>
        <v>307830</v>
      </c>
      <c r="D2896" s="10">
        <f ca="1">ROUND(_xlfn.NORM.INV(RAND(),Reference!$D$8,0.1*Reference!$D$8)*(1+Reference!$D$11*(IF(MONTH($A2896)=Reference!$D$4,1,0)+IF(MONTH($A2896)=Reference!$D$5,1,0))+(IF(MONTH($A2896)=Reference!$D$6,Reference!$D$13,0))),0)</f>
        <v>465</v>
      </c>
      <c r="E2896" s="11">
        <f ca="1">D2896*Reference!$D$7*(1-IF(MONTH($A2896)=Reference!$D$6,1,0)*Reference!$D$12)</f>
        <v>348750</v>
      </c>
      <c r="M2896" s="20"/>
      <c r="N2896" s="20"/>
      <c r="O2896" s="19"/>
      <c r="P2896" s="10"/>
      <c r="Q2896" s="10"/>
      <c r="R2896" s="10"/>
      <c r="S2896" s="10"/>
      <c r="T2896" s="10"/>
      <c r="U2896" s="10"/>
      <c r="V2896" s="10"/>
      <c r="W2896" s="10"/>
      <c r="X2896" s="10"/>
      <c r="Y2896" s="10"/>
    </row>
    <row r="2897" spans="1:25" x14ac:dyDescent="0.25">
      <c r="A2897" s="9">
        <v>43435</v>
      </c>
      <c r="B2897" s="10">
        <f ca="1">ROUND(_xlfn.NORM.INV(RAND(),Reference!$C$8,0.1*Reference!$C$8)*(1+Reference!$C$11*(IF(MONTH($A2897)=Reference!$C$4,1,0)+IF(MONTH($A2897)=Reference!$C$5,1,0))+(IF(MONTH($A2897)=Reference!$C$6,Reference!$C$13,0))),0)</f>
        <v>355</v>
      </c>
      <c r="C2897" s="11">
        <f ca="1">B2897*Reference!$C$7*(1-IF(MONTH($A2897)=Reference!$C$6,1,0)*Reference!$C$12)</f>
        <v>330150</v>
      </c>
      <c r="D2897" s="10">
        <f ca="1">ROUND(_xlfn.NORM.INV(RAND(),Reference!$D$8,0.1*Reference!$D$8)*(1+Reference!$D$11*(IF(MONTH($A2897)=Reference!$D$4,1,0)+IF(MONTH($A2897)=Reference!$D$5,1,0))+(IF(MONTH($A2897)=Reference!$D$6,Reference!$D$13,0))),0)</f>
        <v>413</v>
      </c>
      <c r="E2897" s="11">
        <f ca="1">D2897*Reference!$D$7*(1-IF(MONTH($A2897)=Reference!$D$6,1,0)*Reference!$D$12)</f>
        <v>309750</v>
      </c>
      <c r="M2897" s="20"/>
      <c r="N2897" s="20"/>
      <c r="O2897" s="19"/>
      <c r="P2897" s="10"/>
      <c r="Q2897" s="10"/>
      <c r="R2897" s="10"/>
      <c r="S2897" s="10"/>
      <c r="T2897" s="10"/>
      <c r="U2897" s="10"/>
      <c r="V2897" s="10"/>
      <c r="W2897" s="10"/>
      <c r="X2897" s="10"/>
      <c r="Y2897" s="10"/>
    </row>
    <row r="2898" spans="1:25" x14ac:dyDescent="0.25">
      <c r="A2898" s="9">
        <v>43436</v>
      </c>
      <c r="B2898" s="10">
        <f ca="1">ROUND(_xlfn.NORM.INV(RAND(),Reference!$C$8,0.1*Reference!$C$8)*(1+Reference!$C$11*(IF(MONTH($A2898)=Reference!$C$4,1,0)+IF(MONTH($A2898)=Reference!$C$5,1,0))+(IF(MONTH($A2898)=Reference!$C$6,Reference!$C$13,0))),0)</f>
        <v>300</v>
      </c>
      <c r="C2898" s="11">
        <f ca="1">B2898*Reference!$C$7*(1-IF(MONTH($A2898)=Reference!$C$6,1,0)*Reference!$C$12)</f>
        <v>279000</v>
      </c>
      <c r="D2898" s="10">
        <f ca="1">ROUND(_xlfn.NORM.INV(RAND(),Reference!$D$8,0.1*Reference!$D$8)*(1+Reference!$D$11*(IF(MONTH($A2898)=Reference!$D$4,1,0)+IF(MONTH($A2898)=Reference!$D$5,1,0))+(IF(MONTH($A2898)=Reference!$D$6,Reference!$D$13,0))),0)</f>
        <v>486</v>
      </c>
      <c r="E2898" s="11">
        <f ca="1">D2898*Reference!$D$7*(1-IF(MONTH($A2898)=Reference!$D$6,1,0)*Reference!$D$12)</f>
        <v>364500</v>
      </c>
      <c r="M2898" s="20"/>
      <c r="N2898" s="20"/>
      <c r="O2898" s="19"/>
      <c r="P2898" s="10"/>
      <c r="Q2898" s="10"/>
      <c r="R2898" s="10"/>
      <c r="S2898" s="10"/>
      <c r="T2898" s="10"/>
      <c r="U2898" s="10"/>
      <c r="V2898" s="10"/>
      <c r="W2898" s="10"/>
      <c r="X2898" s="10"/>
      <c r="Y2898" s="10"/>
    </row>
    <row r="2899" spans="1:25" x14ac:dyDescent="0.25">
      <c r="A2899" s="9">
        <v>43437</v>
      </c>
      <c r="B2899" s="10">
        <f ca="1">ROUND(_xlfn.NORM.INV(RAND(),Reference!$C$8,0.1*Reference!$C$8)*(1+Reference!$C$11*(IF(MONTH($A2899)=Reference!$C$4,1,0)+IF(MONTH($A2899)=Reference!$C$5,1,0))+(IF(MONTH($A2899)=Reference!$C$6,Reference!$C$13,0))),0)</f>
        <v>373</v>
      </c>
      <c r="C2899" s="11">
        <f ca="1">B2899*Reference!$C$7*(1-IF(MONTH($A2899)=Reference!$C$6,1,0)*Reference!$C$12)</f>
        <v>346890</v>
      </c>
      <c r="D2899" s="10">
        <f ca="1">ROUND(_xlfn.NORM.INV(RAND(),Reference!$D$8,0.1*Reference!$D$8)*(1+Reference!$D$11*(IF(MONTH($A2899)=Reference!$D$4,1,0)+IF(MONTH($A2899)=Reference!$D$5,1,0))+(IF(MONTH($A2899)=Reference!$D$6,Reference!$D$13,0))),0)</f>
        <v>489</v>
      </c>
      <c r="E2899" s="11">
        <f ca="1">D2899*Reference!$D$7*(1-IF(MONTH($A2899)=Reference!$D$6,1,0)*Reference!$D$12)</f>
        <v>366750</v>
      </c>
      <c r="M2899" s="20"/>
      <c r="N2899" s="20"/>
      <c r="O2899" s="19"/>
      <c r="P2899" s="10"/>
      <c r="Q2899" s="10"/>
      <c r="R2899" s="10"/>
      <c r="S2899" s="10"/>
      <c r="T2899" s="10"/>
      <c r="U2899" s="10"/>
      <c r="V2899" s="10"/>
      <c r="W2899" s="10"/>
      <c r="X2899" s="10"/>
      <c r="Y2899" s="10"/>
    </row>
    <row r="2900" spans="1:25" x14ac:dyDescent="0.25">
      <c r="A2900" s="9">
        <v>43438</v>
      </c>
      <c r="B2900" s="10">
        <f ca="1">ROUND(_xlfn.NORM.INV(RAND(),Reference!$C$8,0.1*Reference!$C$8)*(1+Reference!$C$11*(IF(MONTH($A2900)=Reference!$C$4,1,0)+IF(MONTH($A2900)=Reference!$C$5,1,0))+(IF(MONTH($A2900)=Reference!$C$6,Reference!$C$13,0))),0)</f>
        <v>354</v>
      </c>
      <c r="C2900" s="11">
        <f ca="1">B2900*Reference!$C$7*(1-IF(MONTH($A2900)=Reference!$C$6,1,0)*Reference!$C$12)</f>
        <v>329220</v>
      </c>
      <c r="D2900" s="10">
        <f ca="1">ROUND(_xlfn.NORM.INV(RAND(),Reference!$D$8,0.1*Reference!$D$8)*(1+Reference!$D$11*(IF(MONTH($A2900)=Reference!$D$4,1,0)+IF(MONTH($A2900)=Reference!$D$5,1,0))+(IF(MONTH($A2900)=Reference!$D$6,Reference!$D$13,0))),0)</f>
        <v>435</v>
      </c>
      <c r="E2900" s="11">
        <f ca="1">D2900*Reference!$D$7*(1-IF(MONTH($A2900)=Reference!$D$6,1,0)*Reference!$D$12)</f>
        <v>326250</v>
      </c>
      <c r="M2900" s="20"/>
      <c r="N2900" s="20"/>
      <c r="O2900" s="19"/>
      <c r="P2900" s="10"/>
      <c r="Q2900" s="10"/>
      <c r="R2900" s="10"/>
      <c r="S2900" s="10"/>
      <c r="T2900" s="10"/>
      <c r="U2900" s="10"/>
      <c r="V2900" s="10"/>
      <c r="W2900" s="10"/>
      <c r="X2900" s="10"/>
      <c r="Y2900" s="10"/>
    </row>
    <row r="2901" spans="1:25" x14ac:dyDescent="0.25">
      <c r="A2901" s="9">
        <v>43439</v>
      </c>
      <c r="B2901" s="10">
        <f ca="1">ROUND(_xlfn.NORM.INV(RAND(),Reference!$C$8,0.1*Reference!$C$8)*(1+Reference!$C$11*(IF(MONTH($A2901)=Reference!$C$4,1,0)+IF(MONTH($A2901)=Reference!$C$5,1,0))+(IF(MONTH($A2901)=Reference!$C$6,Reference!$C$13,0))),0)</f>
        <v>347</v>
      </c>
      <c r="C2901" s="11">
        <f ca="1">B2901*Reference!$C$7*(1-IF(MONTH($A2901)=Reference!$C$6,1,0)*Reference!$C$12)</f>
        <v>322710</v>
      </c>
      <c r="D2901" s="10">
        <f ca="1">ROUND(_xlfn.NORM.INV(RAND(),Reference!$D$8,0.1*Reference!$D$8)*(1+Reference!$D$11*(IF(MONTH($A2901)=Reference!$D$4,1,0)+IF(MONTH($A2901)=Reference!$D$5,1,0))+(IF(MONTH($A2901)=Reference!$D$6,Reference!$D$13,0))),0)</f>
        <v>428</v>
      </c>
      <c r="E2901" s="11">
        <f ca="1">D2901*Reference!$D$7*(1-IF(MONTH($A2901)=Reference!$D$6,1,0)*Reference!$D$12)</f>
        <v>321000</v>
      </c>
      <c r="M2901" s="20"/>
      <c r="N2901" s="20"/>
      <c r="O2901" s="19"/>
      <c r="P2901" s="10"/>
      <c r="Q2901" s="10"/>
      <c r="R2901" s="10"/>
      <c r="S2901" s="10"/>
      <c r="T2901" s="10"/>
      <c r="U2901" s="10"/>
      <c r="V2901" s="10"/>
      <c r="W2901" s="10"/>
      <c r="X2901" s="10"/>
      <c r="Y2901" s="10"/>
    </row>
    <row r="2902" spans="1:25" x14ac:dyDescent="0.25">
      <c r="A2902" s="9">
        <v>43440</v>
      </c>
      <c r="B2902" s="10">
        <f ca="1">ROUND(_xlfn.NORM.INV(RAND(),Reference!$C$8,0.1*Reference!$C$8)*(1+Reference!$C$11*(IF(MONTH($A2902)=Reference!$C$4,1,0)+IF(MONTH($A2902)=Reference!$C$5,1,0))+(IF(MONTH($A2902)=Reference!$C$6,Reference!$C$13,0))),0)</f>
        <v>401</v>
      </c>
      <c r="C2902" s="11">
        <f ca="1">B2902*Reference!$C$7*(1-IF(MONTH($A2902)=Reference!$C$6,1,0)*Reference!$C$12)</f>
        <v>372930</v>
      </c>
      <c r="D2902" s="10">
        <f ca="1">ROUND(_xlfn.NORM.INV(RAND(),Reference!$D$8,0.1*Reference!$D$8)*(1+Reference!$D$11*(IF(MONTH($A2902)=Reference!$D$4,1,0)+IF(MONTH($A2902)=Reference!$D$5,1,0))+(IF(MONTH($A2902)=Reference!$D$6,Reference!$D$13,0))),0)</f>
        <v>489</v>
      </c>
      <c r="E2902" s="11">
        <f ca="1">D2902*Reference!$D$7*(1-IF(MONTH($A2902)=Reference!$D$6,1,0)*Reference!$D$12)</f>
        <v>366750</v>
      </c>
      <c r="M2902" s="20"/>
      <c r="N2902" s="20"/>
      <c r="O2902" s="19"/>
      <c r="P2902" s="10"/>
      <c r="Q2902" s="10"/>
      <c r="R2902" s="10"/>
      <c r="S2902" s="10"/>
      <c r="T2902" s="10"/>
      <c r="U2902" s="10"/>
      <c r="V2902" s="10"/>
      <c r="W2902" s="10"/>
      <c r="X2902" s="10"/>
      <c r="Y2902" s="10"/>
    </row>
    <row r="2903" spans="1:25" x14ac:dyDescent="0.25">
      <c r="A2903" s="9">
        <v>43441</v>
      </c>
      <c r="B2903" s="10">
        <f ca="1">ROUND(_xlfn.NORM.INV(RAND(),Reference!$C$8,0.1*Reference!$C$8)*(1+Reference!$C$11*(IF(MONTH($A2903)=Reference!$C$4,1,0)+IF(MONTH($A2903)=Reference!$C$5,1,0))+(IF(MONTH($A2903)=Reference!$C$6,Reference!$C$13,0))),0)</f>
        <v>314</v>
      </c>
      <c r="C2903" s="11">
        <f ca="1">B2903*Reference!$C$7*(1-IF(MONTH($A2903)=Reference!$C$6,1,0)*Reference!$C$12)</f>
        <v>292020</v>
      </c>
      <c r="D2903" s="10">
        <f ca="1">ROUND(_xlfn.NORM.INV(RAND(),Reference!$D$8,0.1*Reference!$D$8)*(1+Reference!$D$11*(IF(MONTH($A2903)=Reference!$D$4,1,0)+IF(MONTH($A2903)=Reference!$D$5,1,0))+(IF(MONTH($A2903)=Reference!$D$6,Reference!$D$13,0))),0)</f>
        <v>516</v>
      </c>
      <c r="E2903" s="11">
        <f ca="1">D2903*Reference!$D$7*(1-IF(MONTH($A2903)=Reference!$D$6,1,0)*Reference!$D$12)</f>
        <v>387000</v>
      </c>
      <c r="M2903" s="20"/>
      <c r="N2903" s="20"/>
      <c r="O2903" s="19"/>
      <c r="P2903" s="10"/>
      <c r="Q2903" s="10"/>
      <c r="R2903" s="10"/>
      <c r="S2903" s="10"/>
      <c r="T2903" s="10"/>
      <c r="U2903" s="10"/>
      <c r="V2903" s="10"/>
      <c r="W2903" s="10"/>
      <c r="X2903" s="10"/>
      <c r="Y2903" s="10"/>
    </row>
    <row r="2904" spans="1:25" x14ac:dyDescent="0.25">
      <c r="A2904" s="9">
        <v>43442</v>
      </c>
      <c r="B2904" s="10">
        <f ca="1">ROUND(_xlfn.NORM.INV(RAND(),Reference!$C$8,0.1*Reference!$C$8)*(1+Reference!$C$11*(IF(MONTH($A2904)=Reference!$C$4,1,0)+IF(MONTH($A2904)=Reference!$C$5,1,0))+(IF(MONTH($A2904)=Reference!$C$6,Reference!$C$13,0))),0)</f>
        <v>358</v>
      </c>
      <c r="C2904" s="11">
        <f ca="1">B2904*Reference!$C$7*(1-IF(MONTH($A2904)=Reference!$C$6,1,0)*Reference!$C$12)</f>
        <v>332940</v>
      </c>
      <c r="D2904" s="10">
        <f ca="1">ROUND(_xlfn.NORM.INV(RAND(),Reference!$D$8,0.1*Reference!$D$8)*(1+Reference!$D$11*(IF(MONTH($A2904)=Reference!$D$4,1,0)+IF(MONTH($A2904)=Reference!$D$5,1,0))+(IF(MONTH($A2904)=Reference!$D$6,Reference!$D$13,0))),0)</f>
        <v>394</v>
      </c>
      <c r="E2904" s="11">
        <f ca="1">D2904*Reference!$D$7*(1-IF(MONTH($A2904)=Reference!$D$6,1,0)*Reference!$D$12)</f>
        <v>295500</v>
      </c>
      <c r="M2904" s="20"/>
      <c r="N2904" s="20"/>
      <c r="O2904" s="19"/>
      <c r="P2904" s="10"/>
      <c r="Q2904" s="10"/>
      <c r="R2904" s="10"/>
      <c r="S2904" s="10"/>
      <c r="T2904" s="10"/>
      <c r="U2904" s="10"/>
      <c r="V2904" s="10"/>
      <c r="W2904" s="10"/>
      <c r="X2904" s="10"/>
      <c r="Y2904" s="10"/>
    </row>
    <row r="2905" spans="1:25" x14ac:dyDescent="0.25">
      <c r="A2905" s="9">
        <v>43443</v>
      </c>
      <c r="B2905" s="10">
        <f ca="1">ROUND(_xlfn.NORM.INV(RAND(),Reference!$C$8,0.1*Reference!$C$8)*(1+Reference!$C$11*(IF(MONTH($A2905)=Reference!$C$4,1,0)+IF(MONTH($A2905)=Reference!$C$5,1,0))+(IF(MONTH($A2905)=Reference!$C$6,Reference!$C$13,0))),0)</f>
        <v>386</v>
      </c>
      <c r="C2905" s="11">
        <f ca="1">B2905*Reference!$C$7*(1-IF(MONTH($A2905)=Reference!$C$6,1,0)*Reference!$C$12)</f>
        <v>358980</v>
      </c>
      <c r="D2905" s="10">
        <f ca="1">ROUND(_xlfn.NORM.INV(RAND(),Reference!$D$8,0.1*Reference!$D$8)*(1+Reference!$D$11*(IF(MONTH($A2905)=Reference!$D$4,1,0)+IF(MONTH($A2905)=Reference!$D$5,1,0))+(IF(MONTH($A2905)=Reference!$D$6,Reference!$D$13,0))),0)</f>
        <v>542</v>
      </c>
      <c r="E2905" s="11">
        <f ca="1">D2905*Reference!$D$7*(1-IF(MONTH($A2905)=Reference!$D$6,1,0)*Reference!$D$12)</f>
        <v>406500</v>
      </c>
      <c r="M2905" s="20"/>
      <c r="N2905" s="20"/>
      <c r="O2905" s="19"/>
      <c r="P2905" s="10"/>
      <c r="Q2905" s="10"/>
      <c r="R2905" s="10"/>
      <c r="S2905" s="10"/>
      <c r="T2905" s="10"/>
      <c r="U2905" s="10"/>
      <c r="V2905" s="10"/>
      <c r="W2905" s="10"/>
      <c r="X2905" s="10"/>
      <c r="Y2905" s="10"/>
    </row>
    <row r="2906" spans="1:25" x14ac:dyDescent="0.25">
      <c r="A2906" s="9">
        <v>43444</v>
      </c>
      <c r="B2906" s="10">
        <f ca="1">ROUND(_xlfn.NORM.INV(RAND(),Reference!$C$8,0.1*Reference!$C$8)*(1+Reference!$C$11*(IF(MONTH($A2906)=Reference!$C$4,1,0)+IF(MONTH($A2906)=Reference!$C$5,1,0))+(IF(MONTH($A2906)=Reference!$C$6,Reference!$C$13,0))),0)</f>
        <v>280</v>
      </c>
      <c r="C2906" s="11">
        <f ca="1">B2906*Reference!$C$7*(1-IF(MONTH($A2906)=Reference!$C$6,1,0)*Reference!$C$12)</f>
        <v>260400</v>
      </c>
      <c r="D2906" s="10">
        <f ca="1">ROUND(_xlfn.NORM.INV(RAND(),Reference!$D$8,0.1*Reference!$D$8)*(1+Reference!$D$11*(IF(MONTH($A2906)=Reference!$D$4,1,0)+IF(MONTH($A2906)=Reference!$D$5,1,0))+(IF(MONTH($A2906)=Reference!$D$6,Reference!$D$13,0))),0)</f>
        <v>423</v>
      </c>
      <c r="E2906" s="11">
        <f ca="1">D2906*Reference!$D$7*(1-IF(MONTH($A2906)=Reference!$D$6,1,0)*Reference!$D$12)</f>
        <v>317250</v>
      </c>
      <c r="M2906" s="20"/>
      <c r="N2906" s="20"/>
      <c r="O2906" s="19"/>
      <c r="P2906" s="10"/>
      <c r="Q2906" s="10"/>
      <c r="R2906" s="10"/>
      <c r="S2906" s="10"/>
      <c r="T2906" s="10"/>
      <c r="U2906" s="10"/>
      <c r="V2906" s="10"/>
      <c r="W2906" s="10"/>
      <c r="X2906" s="10"/>
      <c r="Y2906" s="10"/>
    </row>
    <row r="2907" spans="1:25" x14ac:dyDescent="0.25">
      <c r="A2907" s="9">
        <v>43445</v>
      </c>
      <c r="B2907" s="10">
        <f ca="1">ROUND(_xlfn.NORM.INV(RAND(),Reference!$C$8,0.1*Reference!$C$8)*(1+Reference!$C$11*(IF(MONTH($A2907)=Reference!$C$4,1,0)+IF(MONTH($A2907)=Reference!$C$5,1,0))+(IF(MONTH($A2907)=Reference!$C$6,Reference!$C$13,0))),0)</f>
        <v>331</v>
      </c>
      <c r="C2907" s="11">
        <f ca="1">B2907*Reference!$C$7*(1-IF(MONTH($A2907)=Reference!$C$6,1,0)*Reference!$C$12)</f>
        <v>307830</v>
      </c>
      <c r="D2907" s="10">
        <f ca="1">ROUND(_xlfn.NORM.INV(RAND(),Reference!$D$8,0.1*Reference!$D$8)*(1+Reference!$D$11*(IF(MONTH($A2907)=Reference!$D$4,1,0)+IF(MONTH($A2907)=Reference!$D$5,1,0))+(IF(MONTH($A2907)=Reference!$D$6,Reference!$D$13,0))),0)</f>
        <v>394</v>
      </c>
      <c r="E2907" s="11">
        <f ca="1">D2907*Reference!$D$7*(1-IF(MONTH($A2907)=Reference!$D$6,1,0)*Reference!$D$12)</f>
        <v>295500</v>
      </c>
      <c r="M2907" s="20"/>
      <c r="N2907" s="20"/>
      <c r="O2907" s="19"/>
      <c r="P2907" s="10"/>
      <c r="Q2907" s="10"/>
      <c r="R2907" s="10"/>
      <c r="S2907" s="10"/>
      <c r="T2907" s="10"/>
      <c r="U2907" s="10"/>
      <c r="V2907" s="10"/>
      <c r="W2907" s="10"/>
      <c r="X2907" s="10"/>
      <c r="Y2907" s="10"/>
    </row>
    <row r="2908" spans="1:25" x14ac:dyDescent="0.25">
      <c r="A2908" s="9">
        <v>43446</v>
      </c>
      <c r="B2908" s="10">
        <f ca="1">ROUND(_xlfn.NORM.INV(RAND(),Reference!$C$8,0.1*Reference!$C$8)*(1+Reference!$C$11*(IF(MONTH($A2908)=Reference!$C$4,1,0)+IF(MONTH($A2908)=Reference!$C$5,1,0))+(IF(MONTH($A2908)=Reference!$C$6,Reference!$C$13,0))),0)</f>
        <v>354</v>
      </c>
      <c r="C2908" s="11">
        <f ca="1">B2908*Reference!$C$7*(1-IF(MONTH($A2908)=Reference!$C$6,1,0)*Reference!$C$12)</f>
        <v>329220</v>
      </c>
      <c r="D2908" s="10">
        <f ca="1">ROUND(_xlfn.NORM.INV(RAND(),Reference!$D$8,0.1*Reference!$D$8)*(1+Reference!$D$11*(IF(MONTH($A2908)=Reference!$D$4,1,0)+IF(MONTH($A2908)=Reference!$D$5,1,0))+(IF(MONTH($A2908)=Reference!$D$6,Reference!$D$13,0))),0)</f>
        <v>369</v>
      </c>
      <c r="E2908" s="11">
        <f ca="1">D2908*Reference!$D$7*(1-IF(MONTH($A2908)=Reference!$D$6,1,0)*Reference!$D$12)</f>
        <v>276750</v>
      </c>
      <c r="M2908" s="20"/>
      <c r="N2908" s="20"/>
      <c r="O2908" s="19"/>
      <c r="P2908" s="10"/>
      <c r="Q2908" s="10"/>
      <c r="R2908" s="10"/>
      <c r="S2908" s="10"/>
      <c r="T2908" s="10"/>
      <c r="U2908" s="10"/>
      <c r="V2908" s="10"/>
      <c r="W2908" s="10"/>
      <c r="X2908" s="10"/>
      <c r="Y2908" s="10"/>
    </row>
    <row r="2909" spans="1:25" x14ac:dyDescent="0.25">
      <c r="A2909" s="9">
        <v>43447</v>
      </c>
      <c r="B2909" s="10">
        <f ca="1">ROUND(_xlfn.NORM.INV(RAND(),Reference!$C$8,0.1*Reference!$C$8)*(1+Reference!$C$11*(IF(MONTH($A2909)=Reference!$C$4,1,0)+IF(MONTH($A2909)=Reference!$C$5,1,0))+(IF(MONTH($A2909)=Reference!$C$6,Reference!$C$13,0))),0)</f>
        <v>324</v>
      </c>
      <c r="C2909" s="11">
        <f ca="1">B2909*Reference!$C$7*(1-IF(MONTH($A2909)=Reference!$C$6,1,0)*Reference!$C$12)</f>
        <v>301320</v>
      </c>
      <c r="D2909" s="10">
        <f ca="1">ROUND(_xlfn.NORM.INV(RAND(),Reference!$D$8,0.1*Reference!$D$8)*(1+Reference!$D$11*(IF(MONTH($A2909)=Reference!$D$4,1,0)+IF(MONTH($A2909)=Reference!$D$5,1,0))+(IF(MONTH($A2909)=Reference!$D$6,Reference!$D$13,0))),0)</f>
        <v>401</v>
      </c>
      <c r="E2909" s="11">
        <f ca="1">D2909*Reference!$D$7*(1-IF(MONTH($A2909)=Reference!$D$6,1,0)*Reference!$D$12)</f>
        <v>300750</v>
      </c>
      <c r="M2909" s="20"/>
      <c r="N2909" s="20"/>
      <c r="O2909" s="19"/>
      <c r="P2909" s="10"/>
      <c r="Q2909" s="10"/>
      <c r="R2909" s="10"/>
      <c r="S2909" s="10"/>
      <c r="T2909" s="10"/>
      <c r="U2909" s="10"/>
      <c r="V2909" s="10"/>
      <c r="W2909" s="10"/>
      <c r="X2909" s="10"/>
      <c r="Y2909" s="10"/>
    </row>
    <row r="2910" spans="1:25" x14ac:dyDescent="0.25">
      <c r="A2910" s="9">
        <v>43448</v>
      </c>
      <c r="B2910" s="10">
        <f ca="1">ROUND(_xlfn.NORM.INV(RAND(),Reference!$C$8,0.1*Reference!$C$8)*(1+Reference!$C$11*(IF(MONTH($A2910)=Reference!$C$4,1,0)+IF(MONTH($A2910)=Reference!$C$5,1,0))+(IF(MONTH($A2910)=Reference!$C$6,Reference!$C$13,0))),0)</f>
        <v>363</v>
      </c>
      <c r="C2910" s="11">
        <f ca="1">B2910*Reference!$C$7*(1-IF(MONTH($A2910)=Reference!$C$6,1,0)*Reference!$C$12)</f>
        <v>337590</v>
      </c>
      <c r="D2910" s="10">
        <f ca="1">ROUND(_xlfn.NORM.INV(RAND(),Reference!$D$8,0.1*Reference!$D$8)*(1+Reference!$D$11*(IF(MONTH($A2910)=Reference!$D$4,1,0)+IF(MONTH($A2910)=Reference!$D$5,1,0))+(IF(MONTH($A2910)=Reference!$D$6,Reference!$D$13,0))),0)</f>
        <v>398</v>
      </c>
      <c r="E2910" s="11">
        <f ca="1">D2910*Reference!$D$7*(1-IF(MONTH($A2910)=Reference!$D$6,1,0)*Reference!$D$12)</f>
        <v>298500</v>
      </c>
      <c r="M2910" s="20"/>
      <c r="N2910" s="20"/>
      <c r="O2910" s="19"/>
      <c r="P2910" s="10"/>
      <c r="Q2910" s="10"/>
      <c r="R2910" s="10"/>
      <c r="S2910" s="10"/>
      <c r="T2910" s="10"/>
      <c r="U2910" s="10"/>
      <c r="V2910" s="10"/>
      <c r="W2910" s="10"/>
      <c r="X2910" s="10"/>
      <c r="Y2910" s="10"/>
    </row>
    <row r="2911" spans="1:25" x14ac:dyDescent="0.25">
      <c r="A2911" s="9">
        <v>43449</v>
      </c>
      <c r="B2911" s="10">
        <f ca="1">ROUND(_xlfn.NORM.INV(RAND(),Reference!$C$8,0.1*Reference!$C$8)*(1+Reference!$C$11*(IF(MONTH($A2911)=Reference!$C$4,1,0)+IF(MONTH($A2911)=Reference!$C$5,1,0))+(IF(MONTH($A2911)=Reference!$C$6,Reference!$C$13,0))),0)</f>
        <v>362</v>
      </c>
      <c r="C2911" s="11">
        <f ca="1">B2911*Reference!$C$7*(1-IF(MONTH($A2911)=Reference!$C$6,1,0)*Reference!$C$12)</f>
        <v>336660</v>
      </c>
      <c r="D2911" s="10">
        <f ca="1">ROUND(_xlfn.NORM.INV(RAND(),Reference!$D$8,0.1*Reference!$D$8)*(1+Reference!$D$11*(IF(MONTH($A2911)=Reference!$D$4,1,0)+IF(MONTH($A2911)=Reference!$D$5,1,0))+(IF(MONTH($A2911)=Reference!$D$6,Reference!$D$13,0))),0)</f>
        <v>388</v>
      </c>
      <c r="E2911" s="11">
        <f ca="1">D2911*Reference!$D$7*(1-IF(MONTH($A2911)=Reference!$D$6,1,0)*Reference!$D$12)</f>
        <v>291000</v>
      </c>
      <c r="M2911" s="20"/>
      <c r="N2911" s="20"/>
      <c r="O2911" s="19"/>
      <c r="P2911" s="10"/>
      <c r="Q2911" s="10"/>
      <c r="R2911" s="10"/>
      <c r="S2911" s="10"/>
      <c r="T2911" s="10"/>
      <c r="U2911" s="10"/>
      <c r="V2911" s="10"/>
      <c r="W2911" s="10"/>
      <c r="X2911" s="10"/>
      <c r="Y2911" s="10"/>
    </row>
    <row r="2912" spans="1:25" x14ac:dyDescent="0.25">
      <c r="A2912" s="9">
        <v>43450</v>
      </c>
      <c r="B2912" s="10">
        <f ca="1">ROUND(_xlfn.NORM.INV(RAND(),Reference!$C$8,0.1*Reference!$C$8)*(1+Reference!$C$11*(IF(MONTH($A2912)=Reference!$C$4,1,0)+IF(MONTH($A2912)=Reference!$C$5,1,0))+(IF(MONTH($A2912)=Reference!$C$6,Reference!$C$13,0))),0)</f>
        <v>328</v>
      </c>
      <c r="C2912" s="11">
        <f ca="1">B2912*Reference!$C$7*(1-IF(MONTH($A2912)=Reference!$C$6,1,0)*Reference!$C$12)</f>
        <v>305040</v>
      </c>
      <c r="D2912" s="10">
        <f ca="1">ROUND(_xlfn.NORM.INV(RAND(),Reference!$D$8,0.1*Reference!$D$8)*(1+Reference!$D$11*(IF(MONTH($A2912)=Reference!$D$4,1,0)+IF(MONTH($A2912)=Reference!$D$5,1,0))+(IF(MONTH($A2912)=Reference!$D$6,Reference!$D$13,0))),0)</f>
        <v>472</v>
      </c>
      <c r="E2912" s="11">
        <f ca="1">D2912*Reference!$D$7*(1-IF(MONTH($A2912)=Reference!$D$6,1,0)*Reference!$D$12)</f>
        <v>354000</v>
      </c>
      <c r="M2912" s="20"/>
      <c r="N2912" s="20"/>
      <c r="O2912" s="19"/>
      <c r="P2912" s="10"/>
      <c r="Q2912" s="10"/>
      <c r="R2912" s="10"/>
      <c r="S2912" s="10"/>
      <c r="T2912" s="10"/>
      <c r="U2912" s="10"/>
      <c r="V2912" s="10"/>
      <c r="W2912" s="10"/>
      <c r="X2912" s="10"/>
      <c r="Y2912" s="10"/>
    </row>
    <row r="2913" spans="1:25" x14ac:dyDescent="0.25">
      <c r="A2913" s="9">
        <v>43451</v>
      </c>
      <c r="B2913" s="10">
        <f ca="1">ROUND(_xlfn.NORM.INV(RAND(),Reference!$C$8,0.1*Reference!$C$8)*(1+Reference!$C$11*(IF(MONTH($A2913)=Reference!$C$4,1,0)+IF(MONTH($A2913)=Reference!$C$5,1,0))+(IF(MONTH($A2913)=Reference!$C$6,Reference!$C$13,0))),0)</f>
        <v>399</v>
      </c>
      <c r="C2913" s="11">
        <f ca="1">B2913*Reference!$C$7*(1-IF(MONTH($A2913)=Reference!$C$6,1,0)*Reference!$C$12)</f>
        <v>371070</v>
      </c>
      <c r="D2913" s="10">
        <f ca="1">ROUND(_xlfn.NORM.INV(RAND(),Reference!$D$8,0.1*Reference!$D$8)*(1+Reference!$D$11*(IF(MONTH($A2913)=Reference!$D$4,1,0)+IF(MONTH($A2913)=Reference!$D$5,1,0))+(IF(MONTH($A2913)=Reference!$D$6,Reference!$D$13,0))),0)</f>
        <v>420</v>
      </c>
      <c r="E2913" s="11">
        <f ca="1">D2913*Reference!$D$7*(1-IF(MONTH($A2913)=Reference!$D$6,1,0)*Reference!$D$12)</f>
        <v>315000</v>
      </c>
      <c r="M2913" s="20"/>
      <c r="N2913" s="20"/>
      <c r="O2913" s="19"/>
      <c r="P2913" s="10"/>
      <c r="Q2913" s="10"/>
      <c r="R2913" s="10"/>
      <c r="S2913" s="10"/>
      <c r="T2913" s="10"/>
      <c r="U2913" s="10"/>
      <c r="V2913" s="10"/>
      <c r="W2913" s="10"/>
      <c r="X2913" s="10"/>
      <c r="Y2913" s="10"/>
    </row>
    <row r="2914" spans="1:25" x14ac:dyDescent="0.25">
      <c r="A2914" s="9">
        <v>43452</v>
      </c>
      <c r="B2914" s="10">
        <f ca="1">ROUND(_xlfn.NORM.INV(RAND(),Reference!$C$8,0.1*Reference!$C$8)*(1+Reference!$C$11*(IF(MONTH($A2914)=Reference!$C$4,1,0)+IF(MONTH($A2914)=Reference!$C$5,1,0))+(IF(MONTH($A2914)=Reference!$C$6,Reference!$C$13,0))),0)</f>
        <v>360</v>
      </c>
      <c r="C2914" s="11">
        <f ca="1">B2914*Reference!$C$7*(1-IF(MONTH($A2914)=Reference!$C$6,1,0)*Reference!$C$12)</f>
        <v>334800</v>
      </c>
      <c r="D2914" s="10">
        <f ca="1">ROUND(_xlfn.NORM.INV(RAND(),Reference!$D$8,0.1*Reference!$D$8)*(1+Reference!$D$11*(IF(MONTH($A2914)=Reference!$D$4,1,0)+IF(MONTH($A2914)=Reference!$D$5,1,0))+(IF(MONTH($A2914)=Reference!$D$6,Reference!$D$13,0))),0)</f>
        <v>537</v>
      </c>
      <c r="E2914" s="11">
        <f ca="1">D2914*Reference!$D$7*(1-IF(MONTH($A2914)=Reference!$D$6,1,0)*Reference!$D$12)</f>
        <v>402750</v>
      </c>
      <c r="M2914" s="20"/>
      <c r="N2914" s="20"/>
      <c r="O2914" s="19"/>
      <c r="P2914" s="10"/>
      <c r="Q2914" s="10"/>
      <c r="R2914" s="10"/>
      <c r="S2914" s="10"/>
      <c r="T2914" s="10"/>
      <c r="U2914" s="10"/>
      <c r="V2914" s="10"/>
      <c r="W2914" s="10"/>
      <c r="X2914" s="10"/>
      <c r="Y2914" s="10"/>
    </row>
    <row r="2915" spans="1:25" x14ac:dyDescent="0.25">
      <c r="A2915" s="9">
        <v>43453</v>
      </c>
      <c r="B2915" s="10">
        <f ca="1">ROUND(_xlfn.NORM.INV(RAND(),Reference!$C$8,0.1*Reference!$C$8)*(1+Reference!$C$11*(IF(MONTH($A2915)=Reference!$C$4,1,0)+IF(MONTH($A2915)=Reference!$C$5,1,0))+(IF(MONTH($A2915)=Reference!$C$6,Reference!$C$13,0))),0)</f>
        <v>402</v>
      </c>
      <c r="C2915" s="11">
        <f ca="1">B2915*Reference!$C$7*(1-IF(MONTH($A2915)=Reference!$C$6,1,0)*Reference!$C$12)</f>
        <v>373860</v>
      </c>
      <c r="D2915" s="10">
        <f ca="1">ROUND(_xlfn.NORM.INV(RAND(),Reference!$D$8,0.1*Reference!$D$8)*(1+Reference!$D$11*(IF(MONTH($A2915)=Reference!$D$4,1,0)+IF(MONTH($A2915)=Reference!$D$5,1,0))+(IF(MONTH($A2915)=Reference!$D$6,Reference!$D$13,0))),0)</f>
        <v>491</v>
      </c>
      <c r="E2915" s="11">
        <f ca="1">D2915*Reference!$D$7*(1-IF(MONTH($A2915)=Reference!$D$6,1,0)*Reference!$D$12)</f>
        <v>368250</v>
      </c>
      <c r="M2915" s="20"/>
      <c r="N2915" s="20"/>
      <c r="O2915" s="19"/>
      <c r="P2915" s="10"/>
      <c r="Q2915" s="10"/>
      <c r="R2915" s="10"/>
      <c r="S2915" s="10"/>
      <c r="T2915" s="10"/>
      <c r="U2915" s="10"/>
      <c r="V2915" s="10"/>
      <c r="W2915" s="10"/>
      <c r="X2915" s="10"/>
      <c r="Y2915" s="10"/>
    </row>
    <row r="2916" spans="1:25" x14ac:dyDescent="0.25">
      <c r="A2916" s="9">
        <v>43454</v>
      </c>
      <c r="B2916" s="10">
        <f ca="1">ROUND(_xlfn.NORM.INV(RAND(),Reference!$C$8,0.1*Reference!$C$8)*(1+Reference!$C$11*(IF(MONTH($A2916)=Reference!$C$4,1,0)+IF(MONTH($A2916)=Reference!$C$5,1,0))+(IF(MONTH($A2916)=Reference!$C$6,Reference!$C$13,0))),0)</f>
        <v>329</v>
      </c>
      <c r="C2916" s="11">
        <f ca="1">B2916*Reference!$C$7*(1-IF(MONTH($A2916)=Reference!$C$6,1,0)*Reference!$C$12)</f>
        <v>305970</v>
      </c>
      <c r="D2916" s="10">
        <f ca="1">ROUND(_xlfn.NORM.INV(RAND(),Reference!$D$8,0.1*Reference!$D$8)*(1+Reference!$D$11*(IF(MONTH($A2916)=Reference!$D$4,1,0)+IF(MONTH($A2916)=Reference!$D$5,1,0))+(IF(MONTH($A2916)=Reference!$D$6,Reference!$D$13,0))),0)</f>
        <v>467</v>
      </c>
      <c r="E2916" s="11">
        <f ca="1">D2916*Reference!$D$7*(1-IF(MONTH($A2916)=Reference!$D$6,1,0)*Reference!$D$12)</f>
        <v>350250</v>
      </c>
      <c r="M2916" s="20"/>
      <c r="N2916" s="20"/>
      <c r="O2916" s="19"/>
      <c r="P2916" s="10"/>
      <c r="Q2916" s="10"/>
      <c r="R2916" s="10"/>
      <c r="S2916" s="10"/>
      <c r="T2916" s="10"/>
      <c r="U2916" s="10"/>
      <c r="V2916" s="10"/>
      <c r="W2916" s="10"/>
      <c r="X2916" s="10"/>
      <c r="Y2916" s="10"/>
    </row>
    <row r="2917" spans="1:25" x14ac:dyDescent="0.25">
      <c r="A2917" s="9">
        <v>43455</v>
      </c>
      <c r="B2917" s="10">
        <f ca="1">ROUND(_xlfn.NORM.INV(RAND(),Reference!$C$8,0.1*Reference!$C$8)*(1+Reference!$C$11*(IF(MONTH($A2917)=Reference!$C$4,1,0)+IF(MONTH($A2917)=Reference!$C$5,1,0))+(IF(MONTH($A2917)=Reference!$C$6,Reference!$C$13,0))),0)</f>
        <v>377</v>
      </c>
      <c r="C2917" s="11">
        <f ca="1">B2917*Reference!$C$7*(1-IF(MONTH($A2917)=Reference!$C$6,1,0)*Reference!$C$12)</f>
        <v>350610</v>
      </c>
      <c r="D2917" s="10">
        <f ca="1">ROUND(_xlfn.NORM.INV(RAND(),Reference!$D$8,0.1*Reference!$D$8)*(1+Reference!$D$11*(IF(MONTH($A2917)=Reference!$D$4,1,0)+IF(MONTH($A2917)=Reference!$D$5,1,0))+(IF(MONTH($A2917)=Reference!$D$6,Reference!$D$13,0))),0)</f>
        <v>474</v>
      </c>
      <c r="E2917" s="11">
        <f ca="1">D2917*Reference!$D$7*(1-IF(MONTH($A2917)=Reference!$D$6,1,0)*Reference!$D$12)</f>
        <v>355500</v>
      </c>
      <c r="M2917" s="20"/>
      <c r="N2917" s="20"/>
      <c r="O2917" s="19"/>
      <c r="P2917" s="10"/>
      <c r="Q2917" s="10"/>
      <c r="R2917" s="10"/>
      <c r="S2917" s="10"/>
      <c r="T2917" s="10"/>
      <c r="U2917" s="10"/>
      <c r="V2917" s="10"/>
      <c r="W2917" s="10"/>
      <c r="X2917" s="10"/>
      <c r="Y2917" s="10"/>
    </row>
    <row r="2918" spans="1:25" x14ac:dyDescent="0.25">
      <c r="A2918" s="9">
        <v>43456</v>
      </c>
      <c r="B2918" s="10">
        <f ca="1">ROUND(_xlfn.NORM.INV(RAND(),Reference!$C$8,0.1*Reference!$C$8)*(1+Reference!$C$11*(IF(MONTH($A2918)=Reference!$C$4,1,0)+IF(MONTH($A2918)=Reference!$C$5,1,0))+(IF(MONTH($A2918)=Reference!$C$6,Reference!$C$13,0))),0)</f>
        <v>352</v>
      </c>
      <c r="C2918" s="11">
        <f ca="1">B2918*Reference!$C$7*(1-IF(MONTH($A2918)=Reference!$C$6,1,0)*Reference!$C$12)</f>
        <v>327360</v>
      </c>
      <c r="D2918" s="10">
        <f ca="1">ROUND(_xlfn.NORM.INV(RAND(),Reference!$D$8,0.1*Reference!$D$8)*(1+Reference!$D$11*(IF(MONTH($A2918)=Reference!$D$4,1,0)+IF(MONTH($A2918)=Reference!$D$5,1,0))+(IF(MONTH($A2918)=Reference!$D$6,Reference!$D$13,0))),0)</f>
        <v>548</v>
      </c>
      <c r="E2918" s="11">
        <f ca="1">D2918*Reference!$D$7*(1-IF(MONTH($A2918)=Reference!$D$6,1,0)*Reference!$D$12)</f>
        <v>411000</v>
      </c>
      <c r="M2918" s="20"/>
      <c r="N2918" s="20"/>
      <c r="O2918" s="19"/>
      <c r="P2918" s="10"/>
      <c r="Q2918" s="10"/>
      <c r="R2918" s="10"/>
      <c r="S2918" s="10"/>
      <c r="T2918" s="10"/>
      <c r="U2918" s="10"/>
      <c r="V2918" s="10"/>
      <c r="W2918" s="10"/>
      <c r="X2918" s="10"/>
      <c r="Y2918" s="10"/>
    </row>
    <row r="2919" spans="1:25" x14ac:dyDescent="0.25">
      <c r="A2919" s="9">
        <v>43457</v>
      </c>
      <c r="B2919" s="10">
        <f ca="1">ROUND(_xlfn.NORM.INV(RAND(),Reference!$C$8,0.1*Reference!$C$8)*(1+Reference!$C$11*(IF(MONTH($A2919)=Reference!$C$4,1,0)+IF(MONTH($A2919)=Reference!$C$5,1,0))+(IF(MONTH($A2919)=Reference!$C$6,Reference!$C$13,0))),0)</f>
        <v>335</v>
      </c>
      <c r="C2919" s="11">
        <f ca="1">B2919*Reference!$C$7*(1-IF(MONTH($A2919)=Reference!$C$6,1,0)*Reference!$C$12)</f>
        <v>311550</v>
      </c>
      <c r="D2919" s="10">
        <f ca="1">ROUND(_xlfn.NORM.INV(RAND(),Reference!$D$8,0.1*Reference!$D$8)*(1+Reference!$D$11*(IF(MONTH($A2919)=Reference!$D$4,1,0)+IF(MONTH($A2919)=Reference!$D$5,1,0))+(IF(MONTH($A2919)=Reference!$D$6,Reference!$D$13,0))),0)</f>
        <v>420</v>
      </c>
      <c r="E2919" s="11">
        <f ca="1">D2919*Reference!$D$7*(1-IF(MONTH($A2919)=Reference!$D$6,1,0)*Reference!$D$12)</f>
        <v>315000</v>
      </c>
      <c r="M2919" s="20"/>
      <c r="N2919" s="20"/>
      <c r="O2919" s="19"/>
      <c r="P2919" s="10"/>
      <c r="Q2919" s="10"/>
      <c r="R2919" s="10"/>
      <c r="S2919" s="10"/>
      <c r="T2919" s="10"/>
      <c r="U2919" s="10"/>
      <c r="V2919" s="10"/>
      <c r="W2919" s="10"/>
      <c r="X2919" s="10"/>
      <c r="Y2919" s="10"/>
    </row>
    <row r="2920" spans="1:25" x14ac:dyDescent="0.25">
      <c r="A2920" s="9">
        <v>43458</v>
      </c>
      <c r="B2920" s="10">
        <f ca="1">ROUND(_xlfn.NORM.INV(RAND(),Reference!$C$8,0.1*Reference!$C$8)*(1+Reference!$C$11*(IF(MONTH($A2920)=Reference!$C$4,1,0)+IF(MONTH($A2920)=Reference!$C$5,1,0))+(IF(MONTH($A2920)=Reference!$C$6,Reference!$C$13,0))),0)</f>
        <v>387</v>
      </c>
      <c r="C2920" s="11">
        <f ca="1">B2920*Reference!$C$7*(1-IF(MONTH($A2920)=Reference!$C$6,1,0)*Reference!$C$12)</f>
        <v>359910</v>
      </c>
      <c r="D2920" s="10">
        <f ca="1">ROUND(_xlfn.NORM.INV(RAND(),Reference!$D$8,0.1*Reference!$D$8)*(1+Reference!$D$11*(IF(MONTH($A2920)=Reference!$D$4,1,0)+IF(MONTH($A2920)=Reference!$D$5,1,0))+(IF(MONTH($A2920)=Reference!$D$6,Reference!$D$13,0))),0)</f>
        <v>409</v>
      </c>
      <c r="E2920" s="11">
        <f ca="1">D2920*Reference!$D$7*(1-IF(MONTH($A2920)=Reference!$D$6,1,0)*Reference!$D$12)</f>
        <v>306750</v>
      </c>
      <c r="M2920" s="20"/>
      <c r="N2920" s="20"/>
      <c r="O2920" s="19"/>
      <c r="P2920" s="10"/>
      <c r="Q2920" s="10"/>
      <c r="R2920" s="10"/>
      <c r="S2920" s="10"/>
      <c r="T2920" s="10"/>
      <c r="U2920" s="10"/>
      <c r="V2920" s="10"/>
      <c r="W2920" s="10"/>
      <c r="X2920" s="10"/>
      <c r="Y2920" s="10"/>
    </row>
    <row r="2921" spans="1:25" x14ac:dyDescent="0.25">
      <c r="A2921" s="9">
        <v>43459</v>
      </c>
      <c r="B2921" s="10">
        <f ca="1">ROUND(_xlfn.NORM.INV(RAND(),Reference!$C$8,0.1*Reference!$C$8)*(1+Reference!$C$11*(IF(MONTH($A2921)=Reference!$C$4,1,0)+IF(MONTH($A2921)=Reference!$C$5,1,0))+(IF(MONTH($A2921)=Reference!$C$6,Reference!$C$13,0))),0)</f>
        <v>371</v>
      </c>
      <c r="C2921" s="11">
        <f ca="1">B2921*Reference!$C$7*(1-IF(MONTH($A2921)=Reference!$C$6,1,0)*Reference!$C$12)</f>
        <v>345030</v>
      </c>
      <c r="D2921" s="10">
        <f ca="1">ROUND(_xlfn.NORM.INV(RAND(),Reference!$D$8,0.1*Reference!$D$8)*(1+Reference!$D$11*(IF(MONTH($A2921)=Reference!$D$4,1,0)+IF(MONTH($A2921)=Reference!$D$5,1,0))+(IF(MONTH($A2921)=Reference!$D$6,Reference!$D$13,0))),0)</f>
        <v>386</v>
      </c>
      <c r="E2921" s="11">
        <f ca="1">D2921*Reference!$D$7*(1-IF(MONTH($A2921)=Reference!$D$6,1,0)*Reference!$D$12)</f>
        <v>289500</v>
      </c>
      <c r="M2921" s="20"/>
      <c r="N2921" s="20"/>
      <c r="O2921" s="19"/>
      <c r="P2921" s="10"/>
      <c r="Q2921" s="10"/>
      <c r="R2921" s="10"/>
      <c r="S2921" s="10"/>
      <c r="T2921" s="10"/>
      <c r="U2921" s="10"/>
      <c r="V2921" s="10"/>
      <c r="W2921" s="10"/>
      <c r="X2921" s="10"/>
      <c r="Y2921" s="10"/>
    </row>
    <row r="2922" spans="1:25" x14ac:dyDescent="0.25">
      <c r="A2922" s="9">
        <v>43460</v>
      </c>
      <c r="B2922" s="10">
        <f ca="1">ROUND(_xlfn.NORM.INV(RAND(),Reference!$C$8,0.1*Reference!$C$8)*(1+Reference!$C$11*(IF(MONTH($A2922)=Reference!$C$4,1,0)+IF(MONTH($A2922)=Reference!$C$5,1,0))+(IF(MONTH($A2922)=Reference!$C$6,Reference!$C$13,0))),0)</f>
        <v>423</v>
      </c>
      <c r="C2922" s="11">
        <f ca="1">B2922*Reference!$C$7*(1-IF(MONTH($A2922)=Reference!$C$6,1,0)*Reference!$C$12)</f>
        <v>393390</v>
      </c>
      <c r="D2922" s="10">
        <f ca="1">ROUND(_xlfn.NORM.INV(RAND(),Reference!$D$8,0.1*Reference!$D$8)*(1+Reference!$D$11*(IF(MONTH($A2922)=Reference!$D$4,1,0)+IF(MONTH($A2922)=Reference!$D$5,1,0))+(IF(MONTH($A2922)=Reference!$D$6,Reference!$D$13,0))),0)</f>
        <v>527</v>
      </c>
      <c r="E2922" s="11">
        <f ca="1">D2922*Reference!$D$7*(1-IF(MONTH($A2922)=Reference!$D$6,1,0)*Reference!$D$12)</f>
        <v>395250</v>
      </c>
      <c r="M2922" s="20"/>
      <c r="N2922" s="20"/>
      <c r="O2922" s="19"/>
      <c r="P2922" s="10"/>
      <c r="Q2922" s="10"/>
      <c r="R2922" s="10"/>
      <c r="S2922" s="10"/>
      <c r="T2922" s="10"/>
      <c r="U2922" s="10"/>
      <c r="V2922" s="10"/>
      <c r="W2922" s="10"/>
      <c r="X2922" s="10"/>
      <c r="Y2922" s="10"/>
    </row>
    <row r="2923" spans="1:25" x14ac:dyDescent="0.25">
      <c r="A2923" s="9">
        <v>43461</v>
      </c>
      <c r="B2923" s="10">
        <f ca="1">ROUND(_xlfn.NORM.INV(RAND(),Reference!$C$8,0.1*Reference!$C$8)*(1+Reference!$C$11*(IF(MONTH($A2923)=Reference!$C$4,1,0)+IF(MONTH($A2923)=Reference!$C$5,1,0))+(IF(MONTH($A2923)=Reference!$C$6,Reference!$C$13,0))),0)</f>
        <v>413</v>
      </c>
      <c r="C2923" s="11">
        <f ca="1">B2923*Reference!$C$7*(1-IF(MONTH($A2923)=Reference!$C$6,1,0)*Reference!$C$12)</f>
        <v>384090</v>
      </c>
      <c r="D2923" s="10">
        <f ca="1">ROUND(_xlfn.NORM.INV(RAND(),Reference!$D$8,0.1*Reference!$D$8)*(1+Reference!$D$11*(IF(MONTH($A2923)=Reference!$D$4,1,0)+IF(MONTH($A2923)=Reference!$D$5,1,0))+(IF(MONTH($A2923)=Reference!$D$6,Reference!$D$13,0))),0)</f>
        <v>350</v>
      </c>
      <c r="E2923" s="11">
        <f ca="1">D2923*Reference!$D$7*(1-IF(MONTH($A2923)=Reference!$D$6,1,0)*Reference!$D$12)</f>
        <v>262500</v>
      </c>
      <c r="M2923" s="20"/>
      <c r="N2923" s="20"/>
      <c r="O2923" s="19"/>
      <c r="P2923" s="10"/>
      <c r="Q2923" s="10"/>
      <c r="R2923" s="10"/>
      <c r="S2923" s="10"/>
      <c r="T2923" s="10"/>
      <c r="U2923" s="10"/>
      <c r="V2923" s="10"/>
      <c r="W2923" s="10"/>
      <c r="X2923" s="10"/>
      <c r="Y2923" s="10"/>
    </row>
    <row r="2924" spans="1:25" x14ac:dyDescent="0.25">
      <c r="A2924" s="9">
        <v>43462</v>
      </c>
      <c r="B2924" s="10">
        <f ca="1">ROUND(_xlfn.NORM.INV(RAND(),Reference!$C$8,0.1*Reference!$C$8)*(1+Reference!$C$11*(IF(MONTH($A2924)=Reference!$C$4,1,0)+IF(MONTH($A2924)=Reference!$C$5,1,0))+(IF(MONTH($A2924)=Reference!$C$6,Reference!$C$13,0))),0)</f>
        <v>311</v>
      </c>
      <c r="C2924" s="11">
        <f ca="1">B2924*Reference!$C$7*(1-IF(MONTH($A2924)=Reference!$C$6,1,0)*Reference!$C$12)</f>
        <v>289230</v>
      </c>
      <c r="D2924" s="10">
        <f ca="1">ROUND(_xlfn.NORM.INV(RAND(),Reference!$D$8,0.1*Reference!$D$8)*(1+Reference!$D$11*(IF(MONTH($A2924)=Reference!$D$4,1,0)+IF(MONTH($A2924)=Reference!$D$5,1,0))+(IF(MONTH($A2924)=Reference!$D$6,Reference!$D$13,0))),0)</f>
        <v>500</v>
      </c>
      <c r="E2924" s="11">
        <f ca="1">D2924*Reference!$D$7*(1-IF(MONTH($A2924)=Reference!$D$6,1,0)*Reference!$D$12)</f>
        <v>375000</v>
      </c>
      <c r="M2924" s="20"/>
      <c r="N2924" s="20"/>
      <c r="O2924" s="19"/>
      <c r="P2924" s="10"/>
      <c r="Q2924" s="10"/>
      <c r="R2924" s="10"/>
      <c r="S2924" s="10"/>
      <c r="T2924" s="10"/>
      <c r="U2924" s="10"/>
      <c r="V2924" s="10"/>
      <c r="W2924" s="10"/>
      <c r="X2924" s="10"/>
      <c r="Y2924" s="10"/>
    </row>
    <row r="2925" spans="1:25" x14ac:dyDescent="0.25">
      <c r="A2925" s="9">
        <v>43463</v>
      </c>
      <c r="B2925" s="10">
        <f ca="1">ROUND(_xlfn.NORM.INV(RAND(),Reference!$C$8,0.1*Reference!$C$8)*(1+Reference!$C$11*(IF(MONTH($A2925)=Reference!$C$4,1,0)+IF(MONTH($A2925)=Reference!$C$5,1,0))+(IF(MONTH($A2925)=Reference!$C$6,Reference!$C$13,0))),0)</f>
        <v>346</v>
      </c>
      <c r="C2925" s="11">
        <f ca="1">B2925*Reference!$C$7*(1-IF(MONTH($A2925)=Reference!$C$6,1,0)*Reference!$C$12)</f>
        <v>321780</v>
      </c>
      <c r="D2925" s="10">
        <f ca="1">ROUND(_xlfn.NORM.INV(RAND(),Reference!$D$8,0.1*Reference!$D$8)*(1+Reference!$D$11*(IF(MONTH($A2925)=Reference!$D$4,1,0)+IF(MONTH($A2925)=Reference!$D$5,1,0))+(IF(MONTH($A2925)=Reference!$D$6,Reference!$D$13,0))),0)</f>
        <v>455</v>
      </c>
      <c r="E2925" s="11">
        <f ca="1">D2925*Reference!$D$7*(1-IF(MONTH($A2925)=Reference!$D$6,1,0)*Reference!$D$12)</f>
        <v>341250</v>
      </c>
      <c r="M2925" s="20"/>
      <c r="N2925" s="20"/>
      <c r="O2925" s="19"/>
      <c r="P2925" s="10"/>
      <c r="Q2925" s="10"/>
      <c r="R2925" s="10"/>
      <c r="S2925" s="10"/>
      <c r="T2925" s="10"/>
      <c r="U2925" s="10"/>
      <c r="V2925" s="10"/>
      <c r="W2925" s="10"/>
      <c r="X2925" s="10"/>
      <c r="Y2925" s="10"/>
    </row>
    <row r="2926" spans="1:25" x14ac:dyDescent="0.25">
      <c r="A2926" s="9">
        <v>43464</v>
      </c>
      <c r="B2926" s="10">
        <f ca="1">ROUND(_xlfn.NORM.INV(RAND(),Reference!$C$8,0.1*Reference!$C$8)*(1+Reference!$C$11*(IF(MONTH($A2926)=Reference!$C$4,1,0)+IF(MONTH($A2926)=Reference!$C$5,1,0))+(IF(MONTH($A2926)=Reference!$C$6,Reference!$C$13,0))),0)</f>
        <v>413</v>
      </c>
      <c r="C2926" s="11">
        <f ca="1">B2926*Reference!$C$7*(1-IF(MONTH($A2926)=Reference!$C$6,1,0)*Reference!$C$12)</f>
        <v>384090</v>
      </c>
      <c r="D2926" s="10">
        <f ca="1">ROUND(_xlfn.NORM.INV(RAND(),Reference!$D$8,0.1*Reference!$D$8)*(1+Reference!$D$11*(IF(MONTH($A2926)=Reference!$D$4,1,0)+IF(MONTH($A2926)=Reference!$D$5,1,0))+(IF(MONTH($A2926)=Reference!$D$6,Reference!$D$13,0))),0)</f>
        <v>510</v>
      </c>
      <c r="E2926" s="11">
        <f ca="1">D2926*Reference!$D$7*(1-IF(MONTH($A2926)=Reference!$D$6,1,0)*Reference!$D$12)</f>
        <v>382500</v>
      </c>
      <c r="M2926" s="20"/>
      <c r="N2926" s="20"/>
      <c r="O2926" s="19"/>
      <c r="P2926" s="10"/>
      <c r="Q2926" s="10"/>
      <c r="R2926" s="10"/>
      <c r="S2926" s="10"/>
      <c r="T2926" s="10"/>
      <c r="U2926" s="10"/>
      <c r="V2926" s="10"/>
      <c r="W2926" s="10"/>
      <c r="X2926" s="10"/>
      <c r="Y2926" s="10"/>
    </row>
    <row r="2927" spans="1:25" x14ac:dyDescent="0.25">
      <c r="A2927" s="9">
        <v>43465</v>
      </c>
      <c r="B2927" s="10">
        <f ca="1">ROUND(_xlfn.NORM.INV(RAND(),Reference!$C$8,0.1*Reference!$C$8)*(1+Reference!$C$11*(IF(MONTH($A2927)=Reference!$C$4,1,0)+IF(MONTH($A2927)=Reference!$C$5,1,0))+(IF(MONTH($A2927)=Reference!$C$6,Reference!$C$13,0))),0)</f>
        <v>357</v>
      </c>
      <c r="C2927" s="11">
        <f ca="1">B2927*Reference!$C$7*(1-IF(MONTH($A2927)=Reference!$C$6,1,0)*Reference!$C$12)</f>
        <v>332010</v>
      </c>
      <c r="D2927" s="10">
        <f ca="1">ROUND(_xlfn.NORM.INV(RAND(),Reference!$D$8,0.1*Reference!$D$8)*(1+Reference!$D$11*(IF(MONTH($A2927)=Reference!$D$4,1,0)+IF(MONTH($A2927)=Reference!$D$5,1,0))+(IF(MONTH($A2927)=Reference!$D$6,Reference!$D$13,0))),0)</f>
        <v>461</v>
      </c>
      <c r="E2927" s="11">
        <f ca="1">D2927*Reference!$D$7*(1-IF(MONTH($A2927)=Reference!$D$6,1,0)*Reference!$D$12)</f>
        <v>345750</v>
      </c>
      <c r="M2927" s="20"/>
      <c r="N2927" s="20"/>
      <c r="O2927" s="19"/>
      <c r="P2927" s="10"/>
      <c r="Q2927" s="10"/>
      <c r="R2927" s="10"/>
      <c r="S2927" s="10"/>
      <c r="T2927" s="10"/>
      <c r="U2927" s="10"/>
      <c r="V2927" s="10"/>
      <c r="W2927" s="10"/>
      <c r="X2927" s="10"/>
      <c r="Y2927" s="10"/>
    </row>
    <row r="2928" spans="1:25" x14ac:dyDescent="0.25">
      <c r="A2928" s="9">
        <v>43466</v>
      </c>
      <c r="B2928" s="10">
        <f ca="1">ROUND(_xlfn.NORM.INV(RAND(),Reference!$C$8,0.1*Reference!$C$8)*(1+Reference!$C$11*(IF(MONTH($A2928)=Reference!$C$4,1,0)+IF(MONTH($A2928)=Reference!$C$5,1,0))+(IF(MONTH($A2928)=Reference!$C$6,Reference!$C$13,0))),0)</f>
        <v>401</v>
      </c>
      <c r="C2928" s="11">
        <f ca="1">B2928*Reference!$C$7*(1-IF(MONTH($A2928)=Reference!$C$6,1,0)*Reference!$C$12)</f>
        <v>372930</v>
      </c>
      <c r="D2928" s="10">
        <f ca="1">ROUND(_xlfn.NORM.INV(RAND(),Reference!$D$8,0.1*Reference!$D$8)*(1+Reference!$D$11*(IF(MONTH($A2928)=Reference!$D$4,1,0)+IF(MONTH($A2928)=Reference!$D$5,1,0))+(IF(MONTH($A2928)=Reference!$D$6,Reference!$D$13,0))),0)</f>
        <v>352</v>
      </c>
      <c r="E2928" s="11">
        <f ca="1">D2928*Reference!$D$7*(1-IF(MONTH($A2928)=Reference!$D$6,1,0)*Reference!$D$12)</f>
        <v>264000</v>
      </c>
      <c r="M2928" s="20"/>
      <c r="N2928" s="20"/>
      <c r="O2928" s="19"/>
      <c r="P2928" s="10"/>
      <c r="Q2928" s="10"/>
      <c r="R2928" s="10"/>
      <c r="S2928" s="10"/>
      <c r="T2928" s="10"/>
      <c r="U2928" s="10"/>
      <c r="V2928" s="10"/>
      <c r="W2928" s="10"/>
      <c r="X2928" s="10"/>
      <c r="Y2928" s="10"/>
    </row>
    <row r="2929" spans="1:25" x14ac:dyDescent="0.25">
      <c r="A2929" s="9">
        <v>43467</v>
      </c>
      <c r="B2929" s="10">
        <f ca="1">ROUND(_xlfn.NORM.INV(RAND(),Reference!$C$8,0.1*Reference!$C$8)*(1+Reference!$C$11*(IF(MONTH($A2929)=Reference!$C$4,1,0)+IF(MONTH($A2929)=Reference!$C$5,1,0))+(IF(MONTH($A2929)=Reference!$C$6,Reference!$C$13,0))),0)</f>
        <v>360</v>
      </c>
      <c r="C2929" s="11">
        <f ca="1">B2929*Reference!$C$7*(1-IF(MONTH($A2929)=Reference!$C$6,1,0)*Reference!$C$12)</f>
        <v>334800</v>
      </c>
      <c r="D2929" s="10">
        <f ca="1">ROUND(_xlfn.NORM.INV(RAND(),Reference!$D$8,0.1*Reference!$D$8)*(1+Reference!$D$11*(IF(MONTH($A2929)=Reference!$D$4,1,0)+IF(MONTH($A2929)=Reference!$D$5,1,0))+(IF(MONTH($A2929)=Reference!$D$6,Reference!$D$13,0))),0)</f>
        <v>462</v>
      </c>
      <c r="E2929" s="11">
        <f ca="1">D2929*Reference!$D$7*(1-IF(MONTH($A2929)=Reference!$D$6,1,0)*Reference!$D$12)</f>
        <v>346500</v>
      </c>
      <c r="M2929" s="20"/>
      <c r="N2929" s="20"/>
      <c r="O2929" s="19"/>
      <c r="P2929" s="10"/>
      <c r="Q2929" s="10"/>
      <c r="R2929" s="10"/>
      <c r="S2929" s="10"/>
      <c r="T2929" s="10"/>
      <c r="U2929" s="10"/>
      <c r="V2929" s="10"/>
      <c r="W2929" s="10"/>
      <c r="X2929" s="10"/>
      <c r="Y2929" s="10"/>
    </row>
    <row r="2930" spans="1:25" x14ac:dyDescent="0.25">
      <c r="A2930" s="9">
        <v>43468</v>
      </c>
      <c r="B2930" s="10">
        <f ca="1">ROUND(_xlfn.NORM.INV(RAND(),Reference!$C$8,0.1*Reference!$C$8)*(1+Reference!$C$11*(IF(MONTH($A2930)=Reference!$C$4,1,0)+IF(MONTH($A2930)=Reference!$C$5,1,0))+(IF(MONTH($A2930)=Reference!$C$6,Reference!$C$13,0))),0)</f>
        <v>418</v>
      </c>
      <c r="C2930" s="11">
        <f ca="1">B2930*Reference!$C$7*(1-IF(MONTH($A2930)=Reference!$C$6,1,0)*Reference!$C$12)</f>
        <v>388740</v>
      </c>
      <c r="D2930" s="10">
        <f ca="1">ROUND(_xlfn.NORM.INV(RAND(),Reference!$D$8,0.1*Reference!$D$8)*(1+Reference!$D$11*(IF(MONTH($A2930)=Reference!$D$4,1,0)+IF(MONTH($A2930)=Reference!$D$5,1,0))+(IF(MONTH($A2930)=Reference!$D$6,Reference!$D$13,0))),0)</f>
        <v>497</v>
      </c>
      <c r="E2930" s="11">
        <f ca="1">D2930*Reference!$D$7*(1-IF(MONTH($A2930)=Reference!$D$6,1,0)*Reference!$D$12)</f>
        <v>372750</v>
      </c>
      <c r="M2930" s="20"/>
      <c r="N2930" s="20"/>
      <c r="O2930" s="19"/>
      <c r="P2930" s="10"/>
      <c r="Q2930" s="10"/>
      <c r="R2930" s="10"/>
      <c r="S2930" s="10"/>
      <c r="T2930" s="10"/>
      <c r="U2930" s="10"/>
      <c r="V2930" s="10"/>
      <c r="W2930" s="10"/>
      <c r="X2930" s="10"/>
      <c r="Y2930" s="10"/>
    </row>
    <row r="2931" spans="1:25" x14ac:dyDescent="0.25">
      <c r="A2931" s="9">
        <v>43469</v>
      </c>
      <c r="B2931" s="10">
        <f ca="1">ROUND(_xlfn.NORM.INV(RAND(),Reference!$C$8,0.1*Reference!$C$8)*(1+Reference!$C$11*(IF(MONTH($A2931)=Reference!$C$4,1,0)+IF(MONTH($A2931)=Reference!$C$5,1,0))+(IF(MONTH($A2931)=Reference!$C$6,Reference!$C$13,0))),0)</f>
        <v>334</v>
      </c>
      <c r="C2931" s="11">
        <f ca="1">B2931*Reference!$C$7*(1-IF(MONTH($A2931)=Reference!$C$6,1,0)*Reference!$C$12)</f>
        <v>310620</v>
      </c>
      <c r="D2931" s="10">
        <f ca="1">ROUND(_xlfn.NORM.INV(RAND(),Reference!$D$8,0.1*Reference!$D$8)*(1+Reference!$D$11*(IF(MONTH($A2931)=Reference!$D$4,1,0)+IF(MONTH($A2931)=Reference!$D$5,1,0))+(IF(MONTH($A2931)=Reference!$D$6,Reference!$D$13,0))),0)</f>
        <v>439</v>
      </c>
      <c r="E2931" s="11">
        <f ca="1">D2931*Reference!$D$7*(1-IF(MONTH($A2931)=Reference!$D$6,1,0)*Reference!$D$12)</f>
        <v>329250</v>
      </c>
      <c r="M2931" s="20"/>
      <c r="N2931" s="20"/>
      <c r="O2931" s="19"/>
      <c r="P2931" s="10"/>
      <c r="Q2931" s="10"/>
      <c r="R2931" s="10"/>
      <c r="S2931" s="10"/>
      <c r="T2931" s="10"/>
      <c r="U2931" s="10"/>
      <c r="V2931" s="10"/>
      <c r="W2931" s="10"/>
      <c r="X2931" s="10"/>
      <c r="Y2931" s="10"/>
    </row>
    <row r="2932" spans="1:25" x14ac:dyDescent="0.25">
      <c r="A2932" s="9">
        <v>43470</v>
      </c>
      <c r="B2932" s="10">
        <f ca="1">ROUND(_xlfn.NORM.INV(RAND(),Reference!$C$8,0.1*Reference!$C$8)*(1+Reference!$C$11*(IF(MONTH($A2932)=Reference!$C$4,1,0)+IF(MONTH($A2932)=Reference!$C$5,1,0))+(IF(MONTH($A2932)=Reference!$C$6,Reference!$C$13,0))),0)</f>
        <v>356</v>
      </c>
      <c r="C2932" s="11">
        <f ca="1">B2932*Reference!$C$7*(1-IF(MONTH($A2932)=Reference!$C$6,1,0)*Reference!$C$12)</f>
        <v>331080</v>
      </c>
      <c r="D2932" s="10">
        <f ca="1">ROUND(_xlfn.NORM.INV(RAND(),Reference!$D$8,0.1*Reference!$D$8)*(1+Reference!$D$11*(IF(MONTH($A2932)=Reference!$D$4,1,0)+IF(MONTH($A2932)=Reference!$D$5,1,0))+(IF(MONTH($A2932)=Reference!$D$6,Reference!$D$13,0))),0)</f>
        <v>481</v>
      </c>
      <c r="E2932" s="11">
        <f ca="1">D2932*Reference!$D$7*(1-IF(MONTH($A2932)=Reference!$D$6,1,0)*Reference!$D$12)</f>
        <v>360750</v>
      </c>
      <c r="M2932" s="20"/>
      <c r="N2932" s="20"/>
      <c r="O2932" s="19"/>
      <c r="P2932" s="10"/>
      <c r="Q2932" s="10"/>
      <c r="R2932" s="10"/>
      <c r="S2932" s="10"/>
      <c r="T2932" s="10"/>
      <c r="U2932" s="10"/>
      <c r="V2932" s="10"/>
      <c r="W2932" s="10"/>
      <c r="X2932" s="10"/>
      <c r="Y2932" s="10"/>
    </row>
    <row r="2933" spans="1:25" x14ac:dyDescent="0.25">
      <c r="A2933" s="9">
        <v>43471</v>
      </c>
      <c r="B2933" s="10">
        <f ca="1">ROUND(_xlfn.NORM.INV(RAND(),Reference!$C$8,0.1*Reference!$C$8)*(1+Reference!$C$11*(IF(MONTH($A2933)=Reference!$C$4,1,0)+IF(MONTH($A2933)=Reference!$C$5,1,0))+(IF(MONTH($A2933)=Reference!$C$6,Reference!$C$13,0))),0)</f>
        <v>324</v>
      </c>
      <c r="C2933" s="11">
        <f ca="1">B2933*Reference!$C$7*(1-IF(MONTH($A2933)=Reference!$C$6,1,0)*Reference!$C$12)</f>
        <v>301320</v>
      </c>
      <c r="D2933" s="10">
        <f ca="1">ROUND(_xlfn.NORM.INV(RAND(),Reference!$D$8,0.1*Reference!$D$8)*(1+Reference!$D$11*(IF(MONTH($A2933)=Reference!$D$4,1,0)+IF(MONTH($A2933)=Reference!$D$5,1,0))+(IF(MONTH($A2933)=Reference!$D$6,Reference!$D$13,0))),0)</f>
        <v>455</v>
      </c>
      <c r="E2933" s="11">
        <f ca="1">D2933*Reference!$D$7*(1-IF(MONTH($A2933)=Reference!$D$6,1,0)*Reference!$D$12)</f>
        <v>341250</v>
      </c>
      <c r="M2933" s="20"/>
      <c r="N2933" s="20"/>
      <c r="O2933" s="19"/>
      <c r="P2933" s="10"/>
      <c r="Q2933" s="10"/>
      <c r="R2933" s="10"/>
      <c r="S2933" s="10"/>
      <c r="T2933" s="10"/>
      <c r="U2933" s="10"/>
      <c r="V2933" s="10"/>
      <c r="W2933" s="10"/>
      <c r="X2933" s="10"/>
      <c r="Y2933" s="10"/>
    </row>
    <row r="2934" spans="1:25" x14ac:dyDescent="0.25">
      <c r="A2934" s="9">
        <v>43472</v>
      </c>
      <c r="B2934" s="10">
        <f ca="1">ROUND(_xlfn.NORM.INV(RAND(),Reference!$C$8,0.1*Reference!$C$8)*(1+Reference!$C$11*(IF(MONTH($A2934)=Reference!$C$4,1,0)+IF(MONTH($A2934)=Reference!$C$5,1,0))+(IF(MONTH($A2934)=Reference!$C$6,Reference!$C$13,0))),0)</f>
        <v>382</v>
      </c>
      <c r="C2934" s="11">
        <f ca="1">B2934*Reference!$C$7*(1-IF(MONTH($A2934)=Reference!$C$6,1,0)*Reference!$C$12)</f>
        <v>355260</v>
      </c>
      <c r="D2934" s="10">
        <f ca="1">ROUND(_xlfn.NORM.INV(RAND(),Reference!$D$8,0.1*Reference!$D$8)*(1+Reference!$D$11*(IF(MONTH($A2934)=Reference!$D$4,1,0)+IF(MONTH($A2934)=Reference!$D$5,1,0))+(IF(MONTH($A2934)=Reference!$D$6,Reference!$D$13,0))),0)</f>
        <v>538</v>
      </c>
      <c r="E2934" s="11">
        <f ca="1">D2934*Reference!$D$7*(1-IF(MONTH($A2934)=Reference!$D$6,1,0)*Reference!$D$12)</f>
        <v>403500</v>
      </c>
      <c r="M2934" s="20"/>
      <c r="N2934" s="20"/>
      <c r="O2934" s="19"/>
      <c r="P2934" s="10"/>
      <c r="Q2934" s="10"/>
      <c r="R2934" s="10"/>
      <c r="S2934" s="10"/>
      <c r="T2934" s="10"/>
      <c r="U2934" s="10"/>
      <c r="V2934" s="10"/>
      <c r="W2934" s="10"/>
      <c r="X2934" s="10"/>
      <c r="Y2934" s="10"/>
    </row>
    <row r="2935" spans="1:25" x14ac:dyDescent="0.25">
      <c r="A2935" s="9">
        <v>43473</v>
      </c>
      <c r="B2935" s="10">
        <f ca="1">ROUND(_xlfn.NORM.INV(RAND(),Reference!$C$8,0.1*Reference!$C$8)*(1+Reference!$C$11*(IF(MONTH($A2935)=Reference!$C$4,1,0)+IF(MONTH($A2935)=Reference!$C$5,1,0))+(IF(MONTH($A2935)=Reference!$C$6,Reference!$C$13,0))),0)</f>
        <v>352</v>
      </c>
      <c r="C2935" s="11">
        <f ca="1">B2935*Reference!$C$7*(1-IF(MONTH($A2935)=Reference!$C$6,1,0)*Reference!$C$12)</f>
        <v>327360</v>
      </c>
      <c r="D2935" s="10">
        <f ca="1">ROUND(_xlfn.NORM.INV(RAND(),Reference!$D$8,0.1*Reference!$D$8)*(1+Reference!$D$11*(IF(MONTH($A2935)=Reference!$D$4,1,0)+IF(MONTH($A2935)=Reference!$D$5,1,0))+(IF(MONTH($A2935)=Reference!$D$6,Reference!$D$13,0))),0)</f>
        <v>435</v>
      </c>
      <c r="E2935" s="11">
        <f ca="1">D2935*Reference!$D$7*(1-IF(MONTH($A2935)=Reference!$D$6,1,0)*Reference!$D$12)</f>
        <v>326250</v>
      </c>
      <c r="M2935" s="20"/>
      <c r="N2935" s="20"/>
      <c r="O2935" s="19"/>
      <c r="P2935" s="10"/>
      <c r="Q2935" s="10"/>
      <c r="R2935" s="10"/>
      <c r="S2935" s="10"/>
      <c r="T2935" s="10"/>
      <c r="U2935" s="10"/>
      <c r="V2935" s="10"/>
      <c r="W2935" s="10"/>
      <c r="X2935" s="10"/>
      <c r="Y2935" s="10"/>
    </row>
    <row r="2936" spans="1:25" x14ac:dyDescent="0.25">
      <c r="A2936" s="9">
        <v>43474</v>
      </c>
      <c r="B2936" s="10">
        <f ca="1">ROUND(_xlfn.NORM.INV(RAND(),Reference!$C$8,0.1*Reference!$C$8)*(1+Reference!$C$11*(IF(MONTH($A2936)=Reference!$C$4,1,0)+IF(MONTH($A2936)=Reference!$C$5,1,0))+(IF(MONTH($A2936)=Reference!$C$6,Reference!$C$13,0))),0)</f>
        <v>407</v>
      </c>
      <c r="C2936" s="11">
        <f ca="1">B2936*Reference!$C$7*(1-IF(MONTH($A2936)=Reference!$C$6,1,0)*Reference!$C$12)</f>
        <v>378510</v>
      </c>
      <c r="D2936" s="10">
        <f ca="1">ROUND(_xlfn.NORM.INV(RAND(),Reference!$D$8,0.1*Reference!$D$8)*(1+Reference!$D$11*(IF(MONTH($A2936)=Reference!$D$4,1,0)+IF(MONTH($A2936)=Reference!$D$5,1,0))+(IF(MONTH($A2936)=Reference!$D$6,Reference!$D$13,0))),0)</f>
        <v>395</v>
      </c>
      <c r="E2936" s="11">
        <f ca="1">D2936*Reference!$D$7*(1-IF(MONTH($A2936)=Reference!$D$6,1,0)*Reference!$D$12)</f>
        <v>296250</v>
      </c>
      <c r="M2936" s="20"/>
      <c r="N2936" s="20"/>
      <c r="O2936" s="19"/>
      <c r="P2936" s="10"/>
      <c r="Q2936" s="10"/>
      <c r="R2936" s="10"/>
      <c r="S2936" s="10"/>
      <c r="T2936" s="10"/>
      <c r="U2936" s="10"/>
      <c r="V2936" s="10"/>
      <c r="W2936" s="10"/>
      <c r="X2936" s="10"/>
      <c r="Y2936" s="10"/>
    </row>
    <row r="2937" spans="1:25" x14ac:dyDescent="0.25">
      <c r="A2937" s="9">
        <v>43475</v>
      </c>
      <c r="B2937" s="10">
        <f ca="1">ROUND(_xlfn.NORM.INV(RAND(),Reference!$C$8,0.1*Reference!$C$8)*(1+Reference!$C$11*(IF(MONTH($A2937)=Reference!$C$4,1,0)+IF(MONTH($A2937)=Reference!$C$5,1,0))+(IF(MONTH($A2937)=Reference!$C$6,Reference!$C$13,0))),0)</f>
        <v>359</v>
      </c>
      <c r="C2937" s="11">
        <f ca="1">B2937*Reference!$C$7*(1-IF(MONTH($A2937)=Reference!$C$6,1,0)*Reference!$C$12)</f>
        <v>333870</v>
      </c>
      <c r="D2937" s="10">
        <f ca="1">ROUND(_xlfn.NORM.INV(RAND(),Reference!$D$8,0.1*Reference!$D$8)*(1+Reference!$D$11*(IF(MONTH($A2937)=Reference!$D$4,1,0)+IF(MONTH($A2937)=Reference!$D$5,1,0))+(IF(MONTH($A2937)=Reference!$D$6,Reference!$D$13,0))),0)</f>
        <v>467</v>
      </c>
      <c r="E2937" s="11">
        <f ca="1">D2937*Reference!$D$7*(1-IF(MONTH($A2937)=Reference!$D$6,1,0)*Reference!$D$12)</f>
        <v>350250</v>
      </c>
      <c r="M2937" s="20"/>
      <c r="N2937" s="20"/>
      <c r="O2937" s="19"/>
      <c r="P2937" s="10"/>
      <c r="Q2937" s="10"/>
      <c r="R2937" s="10"/>
      <c r="S2937" s="10"/>
      <c r="T2937" s="10"/>
      <c r="U2937" s="10"/>
      <c r="V2937" s="10"/>
      <c r="W2937" s="10"/>
      <c r="X2937" s="10"/>
      <c r="Y2937" s="10"/>
    </row>
    <row r="2938" spans="1:25" x14ac:dyDescent="0.25">
      <c r="A2938" s="9">
        <v>43476</v>
      </c>
      <c r="B2938" s="10">
        <f ca="1">ROUND(_xlfn.NORM.INV(RAND(),Reference!$C$8,0.1*Reference!$C$8)*(1+Reference!$C$11*(IF(MONTH($A2938)=Reference!$C$4,1,0)+IF(MONTH($A2938)=Reference!$C$5,1,0))+(IF(MONTH($A2938)=Reference!$C$6,Reference!$C$13,0))),0)</f>
        <v>326</v>
      </c>
      <c r="C2938" s="11">
        <f ca="1">B2938*Reference!$C$7*(1-IF(MONTH($A2938)=Reference!$C$6,1,0)*Reference!$C$12)</f>
        <v>303180</v>
      </c>
      <c r="D2938" s="10">
        <f ca="1">ROUND(_xlfn.NORM.INV(RAND(),Reference!$D$8,0.1*Reference!$D$8)*(1+Reference!$D$11*(IF(MONTH($A2938)=Reference!$D$4,1,0)+IF(MONTH($A2938)=Reference!$D$5,1,0))+(IF(MONTH($A2938)=Reference!$D$6,Reference!$D$13,0))),0)</f>
        <v>433</v>
      </c>
      <c r="E2938" s="11">
        <f ca="1">D2938*Reference!$D$7*(1-IF(MONTH($A2938)=Reference!$D$6,1,0)*Reference!$D$12)</f>
        <v>324750</v>
      </c>
      <c r="M2938" s="20"/>
      <c r="N2938" s="20"/>
      <c r="O2938" s="19"/>
      <c r="P2938" s="10"/>
      <c r="Q2938" s="10"/>
      <c r="R2938" s="10"/>
      <c r="S2938" s="10"/>
      <c r="T2938" s="10"/>
      <c r="U2938" s="10"/>
      <c r="V2938" s="10"/>
      <c r="W2938" s="10"/>
      <c r="X2938" s="10"/>
      <c r="Y2938" s="10"/>
    </row>
    <row r="2939" spans="1:25" x14ac:dyDescent="0.25">
      <c r="A2939" s="9">
        <v>43477</v>
      </c>
      <c r="B2939" s="10">
        <f ca="1">ROUND(_xlfn.NORM.INV(RAND(),Reference!$C$8,0.1*Reference!$C$8)*(1+Reference!$C$11*(IF(MONTH($A2939)=Reference!$C$4,1,0)+IF(MONTH($A2939)=Reference!$C$5,1,0))+(IF(MONTH($A2939)=Reference!$C$6,Reference!$C$13,0))),0)</f>
        <v>348</v>
      </c>
      <c r="C2939" s="11">
        <f ca="1">B2939*Reference!$C$7*(1-IF(MONTH($A2939)=Reference!$C$6,1,0)*Reference!$C$12)</f>
        <v>323640</v>
      </c>
      <c r="D2939" s="10">
        <f ca="1">ROUND(_xlfn.NORM.INV(RAND(),Reference!$D$8,0.1*Reference!$D$8)*(1+Reference!$D$11*(IF(MONTH($A2939)=Reference!$D$4,1,0)+IF(MONTH($A2939)=Reference!$D$5,1,0))+(IF(MONTH($A2939)=Reference!$D$6,Reference!$D$13,0))),0)</f>
        <v>479</v>
      </c>
      <c r="E2939" s="11">
        <f ca="1">D2939*Reference!$D$7*(1-IF(MONTH($A2939)=Reference!$D$6,1,0)*Reference!$D$12)</f>
        <v>359250</v>
      </c>
      <c r="M2939" s="20"/>
      <c r="N2939" s="20"/>
      <c r="O2939" s="19"/>
      <c r="P2939" s="10"/>
      <c r="Q2939" s="10"/>
      <c r="R2939" s="10"/>
      <c r="S2939" s="10"/>
      <c r="T2939" s="10"/>
      <c r="U2939" s="10"/>
      <c r="V2939" s="10"/>
      <c r="W2939" s="10"/>
      <c r="X2939" s="10"/>
      <c r="Y2939" s="10"/>
    </row>
    <row r="2940" spans="1:25" x14ac:dyDescent="0.25">
      <c r="A2940" s="9">
        <v>43478</v>
      </c>
      <c r="B2940" s="10">
        <f ca="1">ROUND(_xlfn.NORM.INV(RAND(),Reference!$C$8,0.1*Reference!$C$8)*(1+Reference!$C$11*(IF(MONTH($A2940)=Reference!$C$4,1,0)+IF(MONTH($A2940)=Reference!$C$5,1,0))+(IF(MONTH($A2940)=Reference!$C$6,Reference!$C$13,0))),0)</f>
        <v>391</v>
      </c>
      <c r="C2940" s="11">
        <f ca="1">B2940*Reference!$C$7*(1-IF(MONTH($A2940)=Reference!$C$6,1,0)*Reference!$C$12)</f>
        <v>363630</v>
      </c>
      <c r="D2940" s="10">
        <f ca="1">ROUND(_xlfn.NORM.INV(RAND(),Reference!$D$8,0.1*Reference!$D$8)*(1+Reference!$D$11*(IF(MONTH($A2940)=Reference!$D$4,1,0)+IF(MONTH($A2940)=Reference!$D$5,1,0))+(IF(MONTH($A2940)=Reference!$D$6,Reference!$D$13,0))),0)</f>
        <v>436</v>
      </c>
      <c r="E2940" s="11">
        <f ca="1">D2940*Reference!$D$7*(1-IF(MONTH($A2940)=Reference!$D$6,1,0)*Reference!$D$12)</f>
        <v>327000</v>
      </c>
      <c r="M2940" s="20"/>
      <c r="N2940" s="20"/>
      <c r="O2940" s="19"/>
      <c r="P2940" s="10"/>
      <c r="Q2940" s="10"/>
      <c r="R2940" s="10"/>
      <c r="S2940" s="10"/>
      <c r="T2940" s="10"/>
      <c r="U2940" s="10"/>
      <c r="V2940" s="10"/>
      <c r="W2940" s="10"/>
      <c r="X2940" s="10"/>
      <c r="Y2940" s="10"/>
    </row>
    <row r="2941" spans="1:25" x14ac:dyDescent="0.25">
      <c r="A2941" s="9">
        <v>43479</v>
      </c>
      <c r="B2941" s="10">
        <f ca="1">ROUND(_xlfn.NORM.INV(RAND(),Reference!$C$8,0.1*Reference!$C$8)*(1+Reference!$C$11*(IF(MONTH($A2941)=Reference!$C$4,1,0)+IF(MONTH($A2941)=Reference!$C$5,1,0))+(IF(MONTH($A2941)=Reference!$C$6,Reference!$C$13,0))),0)</f>
        <v>370</v>
      </c>
      <c r="C2941" s="11">
        <f ca="1">B2941*Reference!$C$7*(1-IF(MONTH($A2941)=Reference!$C$6,1,0)*Reference!$C$12)</f>
        <v>344100</v>
      </c>
      <c r="D2941" s="10">
        <f ca="1">ROUND(_xlfn.NORM.INV(RAND(),Reference!$D$8,0.1*Reference!$D$8)*(1+Reference!$D$11*(IF(MONTH($A2941)=Reference!$D$4,1,0)+IF(MONTH($A2941)=Reference!$D$5,1,0))+(IF(MONTH($A2941)=Reference!$D$6,Reference!$D$13,0))),0)</f>
        <v>494</v>
      </c>
      <c r="E2941" s="11">
        <f ca="1">D2941*Reference!$D$7*(1-IF(MONTH($A2941)=Reference!$D$6,1,0)*Reference!$D$12)</f>
        <v>370500</v>
      </c>
      <c r="M2941" s="20"/>
      <c r="N2941" s="20"/>
      <c r="O2941" s="19"/>
      <c r="P2941" s="10"/>
      <c r="Q2941" s="10"/>
      <c r="R2941" s="10"/>
      <c r="S2941" s="10"/>
      <c r="T2941" s="10"/>
      <c r="U2941" s="10"/>
      <c r="V2941" s="10"/>
      <c r="W2941" s="10"/>
      <c r="X2941" s="10"/>
      <c r="Y2941" s="10"/>
    </row>
    <row r="2942" spans="1:25" x14ac:dyDescent="0.25">
      <c r="A2942" s="9">
        <v>43480</v>
      </c>
      <c r="B2942" s="10">
        <f ca="1">ROUND(_xlfn.NORM.INV(RAND(),Reference!$C$8,0.1*Reference!$C$8)*(1+Reference!$C$11*(IF(MONTH($A2942)=Reference!$C$4,1,0)+IF(MONTH($A2942)=Reference!$C$5,1,0))+(IF(MONTH($A2942)=Reference!$C$6,Reference!$C$13,0))),0)</f>
        <v>370</v>
      </c>
      <c r="C2942" s="11">
        <f ca="1">B2942*Reference!$C$7*(1-IF(MONTH($A2942)=Reference!$C$6,1,0)*Reference!$C$12)</f>
        <v>344100</v>
      </c>
      <c r="D2942" s="10">
        <f ca="1">ROUND(_xlfn.NORM.INV(RAND(),Reference!$D$8,0.1*Reference!$D$8)*(1+Reference!$D$11*(IF(MONTH($A2942)=Reference!$D$4,1,0)+IF(MONTH($A2942)=Reference!$D$5,1,0))+(IF(MONTH($A2942)=Reference!$D$6,Reference!$D$13,0))),0)</f>
        <v>438</v>
      </c>
      <c r="E2942" s="11">
        <f ca="1">D2942*Reference!$D$7*(1-IF(MONTH($A2942)=Reference!$D$6,1,0)*Reference!$D$12)</f>
        <v>328500</v>
      </c>
      <c r="M2942" s="20"/>
      <c r="N2942" s="20"/>
      <c r="O2942" s="19"/>
      <c r="P2942" s="10"/>
      <c r="Q2942" s="10"/>
      <c r="R2942" s="10"/>
      <c r="S2942" s="10"/>
      <c r="T2942" s="10"/>
      <c r="U2942" s="10"/>
      <c r="V2942" s="10"/>
      <c r="W2942" s="10"/>
      <c r="X2942" s="10"/>
      <c r="Y2942" s="10"/>
    </row>
    <row r="2943" spans="1:25" x14ac:dyDescent="0.25">
      <c r="A2943" s="9">
        <v>43481</v>
      </c>
      <c r="B2943" s="10">
        <f ca="1">ROUND(_xlfn.NORM.INV(RAND(),Reference!$C$8,0.1*Reference!$C$8)*(1+Reference!$C$11*(IF(MONTH($A2943)=Reference!$C$4,1,0)+IF(MONTH($A2943)=Reference!$C$5,1,0))+(IF(MONTH($A2943)=Reference!$C$6,Reference!$C$13,0))),0)</f>
        <v>321</v>
      </c>
      <c r="C2943" s="11">
        <f ca="1">B2943*Reference!$C$7*(1-IF(MONTH($A2943)=Reference!$C$6,1,0)*Reference!$C$12)</f>
        <v>298530</v>
      </c>
      <c r="D2943" s="10">
        <f ca="1">ROUND(_xlfn.NORM.INV(RAND(),Reference!$D$8,0.1*Reference!$D$8)*(1+Reference!$D$11*(IF(MONTH($A2943)=Reference!$D$4,1,0)+IF(MONTH($A2943)=Reference!$D$5,1,0))+(IF(MONTH($A2943)=Reference!$D$6,Reference!$D$13,0))),0)</f>
        <v>419</v>
      </c>
      <c r="E2943" s="11">
        <f ca="1">D2943*Reference!$D$7*(1-IF(MONTH($A2943)=Reference!$D$6,1,0)*Reference!$D$12)</f>
        <v>314250</v>
      </c>
      <c r="M2943" s="20"/>
      <c r="N2943" s="20"/>
      <c r="O2943" s="19"/>
      <c r="P2943" s="10"/>
      <c r="Q2943" s="10"/>
      <c r="R2943" s="10"/>
      <c r="S2943" s="10"/>
      <c r="T2943" s="10"/>
      <c r="U2943" s="10"/>
      <c r="V2943" s="10"/>
      <c r="W2943" s="10"/>
      <c r="X2943" s="10"/>
      <c r="Y2943" s="10"/>
    </row>
    <row r="2944" spans="1:25" x14ac:dyDescent="0.25">
      <c r="A2944" s="9">
        <v>43482</v>
      </c>
      <c r="B2944" s="10">
        <f ca="1">ROUND(_xlfn.NORM.INV(RAND(),Reference!$C$8,0.1*Reference!$C$8)*(1+Reference!$C$11*(IF(MONTH($A2944)=Reference!$C$4,1,0)+IF(MONTH($A2944)=Reference!$C$5,1,0))+(IF(MONTH($A2944)=Reference!$C$6,Reference!$C$13,0))),0)</f>
        <v>344</v>
      </c>
      <c r="C2944" s="11">
        <f ca="1">B2944*Reference!$C$7*(1-IF(MONTH($A2944)=Reference!$C$6,1,0)*Reference!$C$12)</f>
        <v>319920</v>
      </c>
      <c r="D2944" s="10">
        <f ca="1">ROUND(_xlfn.NORM.INV(RAND(),Reference!$D$8,0.1*Reference!$D$8)*(1+Reference!$D$11*(IF(MONTH($A2944)=Reference!$D$4,1,0)+IF(MONTH($A2944)=Reference!$D$5,1,0))+(IF(MONTH($A2944)=Reference!$D$6,Reference!$D$13,0))),0)</f>
        <v>435</v>
      </c>
      <c r="E2944" s="11">
        <f ca="1">D2944*Reference!$D$7*(1-IF(MONTH($A2944)=Reference!$D$6,1,0)*Reference!$D$12)</f>
        <v>326250</v>
      </c>
      <c r="M2944" s="20"/>
      <c r="N2944" s="20"/>
      <c r="O2944" s="19"/>
      <c r="P2944" s="10"/>
      <c r="Q2944" s="10"/>
      <c r="R2944" s="10"/>
      <c r="S2944" s="10"/>
      <c r="T2944" s="10"/>
      <c r="U2944" s="10"/>
      <c r="V2944" s="10"/>
      <c r="W2944" s="10"/>
      <c r="X2944" s="10"/>
      <c r="Y2944" s="10"/>
    </row>
    <row r="2945" spans="1:25" x14ac:dyDescent="0.25">
      <c r="A2945" s="9">
        <v>43483</v>
      </c>
      <c r="B2945" s="10">
        <f ca="1">ROUND(_xlfn.NORM.INV(RAND(),Reference!$C$8,0.1*Reference!$C$8)*(1+Reference!$C$11*(IF(MONTH($A2945)=Reference!$C$4,1,0)+IF(MONTH($A2945)=Reference!$C$5,1,0))+(IF(MONTH($A2945)=Reference!$C$6,Reference!$C$13,0))),0)</f>
        <v>321</v>
      </c>
      <c r="C2945" s="11">
        <f ca="1">B2945*Reference!$C$7*(1-IF(MONTH($A2945)=Reference!$C$6,1,0)*Reference!$C$12)</f>
        <v>298530</v>
      </c>
      <c r="D2945" s="10">
        <f ca="1">ROUND(_xlfn.NORM.INV(RAND(),Reference!$D$8,0.1*Reference!$D$8)*(1+Reference!$D$11*(IF(MONTH($A2945)=Reference!$D$4,1,0)+IF(MONTH($A2945)=Reference!$D$5,1,0))+(IF(MONTH($A2945)=Reference!$D$6,Reference!$D$13,0))),0)</f>
        <v>459</v>
      </c>
      <c r="E2945" s="11">
        <f ca="1">D2945*Reference!$D$7*(1-IF(MONTH($A2945)=Reference!$D$6,1,0)*Reference!$D$12)</f>
        <v>344250</v>
      </c>
      <c r="M2945" s="20"/>
      <c r="N2945" s="20"/>
      <c r="O2945" s="19"/>
      <c r="P2945" s="10"/>
      <c r="Q2945" s="10"/>
      <c r="R2945" s="10"/>
      <c r="S2945" s="10"/>
      <c r="T2945" s="10"/>
      <c r="U2945" s="10"/>
      <c r="V2945" s="10"/>
      <c r="W2945" s="10"/>
      <c r="X2945" s="10"/>
      <c r="Y2945" s="10"/>
    </row>
    <row r="2946" spans="1:25" x14ac:dyDescent="0.25">
      <c r="A2946" s="9">
        <v>43484</v>
      </c>
      <c r="B2946" s="10">
        <f ca="1">ROUND(_xlfn.NORM.INV(RAND(),Reference!$C$8,0.1*Reference!$C$8)*(1+Reference!$C$11*(IF(MONTH($A2946)=Reference!$C$4,1,0)+IF(MONTH($A2946)=Reference!$C$5,1,0))+(IF(MONTH($A2946)=Reference!$C$6,Reference!$C$13,0))),0)</f>
        <v>428</v>
      </c>
      <c r="C2946" s="11">
        <f ca="1">B2946*Reference!$C$7*(1-IF(MONTH($A2946)=Reference!$C$6,1,0)*Reference!$C$12)</f>
        <v>398040</v>
      </c>
      <c r="D2946" s="10">
        <f ca="1">ROUND(_xlfn.NORM.INV(RAND(),Reference!$D$8,0.1*Reference!$D$8)*(1+Reference!$D$11*(IF(MONTH($A2946)=Reference!$D$4,1,0)+IF(MONTH($A2946)=Reference!$D$5,1,0))+(IF(MONTH($A2946)=Reference!$D$6,Reference!$D$13,0))),0)</f>
        <v>467</v>
      </c>
      <c r="E2946" s="11">
        <f ca="1">D2946*Reference!$D$7*(1-IF(MONTH($A2946)=Reference!$D$6,1,0)*Reference!$D$12)</f>
        <v>350250</v>
      </c>
      <c r="M2946" s="20"/>
      <c r="N2946" s="20"/>
      <c r="O2946" s="19"/>
      <c r="P2946" s="10"/>
      <c r="Q2946" s="10"/>
      <c r="R2946" s="10"/>
      <c r="S2946" s="10"/>
      <c r="T2946" s="10"/>
      <c r="U2946" s="10"/>
      <c r="V2946" s="10"/>
      <c r="W2946" s="10"/>
      <c r="X2946" s="10"/>
      <c r="Y2946" s="10"/>
    </row>
    <row r="2947" spans="1:25" x14ac:dyDescent="0.25">
      <c r="A2947" s="9">
        <v>43485</v>
      </c>
      <c r="B2947" s="10">
        <f ca="1">ROUND(_xlfn.NORM.INV(RAND(),Reference!$C$8,0.1*Reference!$C$8)*(1+Reference!$C$11*(IF(MONTH($A2947)=Reference!$C$4,1,0)+IF(MONTH($A2947)=Reference!$C$5,1,0))+(IF(MONTH($A2947)=Reference!$C$6,Reference!$C$13,0))),0)</f>
        <v>402</v>
      </c>
      <c r="C2947" s="11">
        <f ca="1">B2947*Reference!$C$7*(1-IF(MONTH($A2947)=Reference!$C$6,1,0)*Reference!$C$12)</f>
        <v>373860</v>
      </c>
      <c r="D2947" s="10">
        <f ca="1">ROUND(_xlfn.NORM.INV(RAND(),Reference!$D$8,0.1*Reference!$D$8)*(1+Reference!$D$11*(IF(MONTH($A2947)=Reference!$D$4,1,0)+IF(MONTH($A2947)=Reference!$D$5,1,0))+(IF(MONTH($A2947)=Reference!$D$6,Reference!$D$13,0))),0)</f>
        <v>423</v>
      </c>
      <c r="E2947" s="11">
        <f ca="1">D2947*Reference!$D$7*(1-IF(MONTH($A2947)=Reference!$D$6,1,0)*Reference!$D$12)</f>
        <v>317250</v>
      </c>
      <c r="M2947" s="20"/>
      <c r="N2947" s="20"/>
      <c r="O2947" s="19"/>
      <c r="P2947" s="10"/>
      <c r="Q2947" s="10"/>
      <c r="R2947" s="10"/>
      <c r="S2947" s="10"/>
      <c r="T2947" s="10"/>
      <c r="U2947" s="10"/>
      <c r="V2947" s="10"/>
      <c r="W2947" s="10"/>
      <c r="X2947" s="10"/>
      <c r="Y2947" s="10"/>
    </row>
    <row r="2948" spans="1:25" x14ac:dyDescent="0.25">
      <c r="A2948" s="9">
        <v>43486</v>
      </c>
      <c r="B2948" s="10">
        <f ca="1">ROUND(_xlfn.NORM.INV(RAND(),Reference!$C$8,0.1*Reference!$C$8)*(1+Reference!$C$11*(IF(MONTH($A2948)=Reference!$C$4,1,0)+IF(MONTH($A2948)=Reference!$C$5,1,0))+(IF(MONTH($A2948)=Reference!$C$6,Reference!$C$13,0))),0)</f>
        <v>344</v>
      </c>
      <c r="C2948" s="11">
        <f ca="1">B2948*Reference!$C$7*(1-IF(MONTH($A2948)=Reference!$C$6,1,0)*Reference!$C$12)</f>
        <v>319920</v>
      </c>
      <c r="D2948" s="10">
        <f ca="1">ROUND(_xlfn.NORM.INV(RAND(),Reference!$D$8,0.1*Reference!$D$8)*(1+Reference!$D$11*(IF(MONTH($A2948)=Reference!$D$4,1,0)+IF(MONTH($A2948)=Reference!$D$5,1,0))+(IF(MONTH($A2948)=Reference!$D$6,Reference!$D$13,0))),0)</f>
        <v>484</v>
      </c>
      <c r="E2948" s="11">
        <f ca="1">D2948*Reference!$D$7*(1-IF(MONTH($A2948)=Reference!$D$6,1,0)*Reference!$D$12)</f>
        <v>363000</v>
      </c>
      <c r="M2948" s="20"/>
      <c r="N2948" s="20"/>
      <c r="O2948" s="19"/>
      <c r="P2948" s="10"/>
      <c r="Q2948" s="10"/>
      <c r="R2948" s="10"/>
      <c r="S2948" s="10"/>
      <c r="T2948" s="10"/>
      <c r="U2948" s="10"/>
      <c r="V2948" s="10"/>
      <c r="W2948" s="10"/>
      <c r="X2948" s="10"/>
      <c r="Y2948" s="10"/>
    </row>
    <row r="2949" spans="1:25" x14ac:dyDescent="0.25">
      <c r="A2949" s="9">
        <v>43487</v>
      </c>
      <c r="B2949" s="10">
        <f ca="1">ROUND(_xlfn.NORM.INV(RAND(),Reference!$C$8,0.1*Reference!$C$8)*(1+Reference!$C$11*(IF(MONTH($A2949)=Reference!$C$4,1,0)+IF(MONTH($A2949)=Reference!$C$5,1,0))+(IF(MONTH($A2949)=Reference!$C$6,Reference!$C$13,0))),0)</f>
        <v>352</v>
      </c>
      <c r="C2949" s="11">
        <f ca="1">B2949*Reference!$C$7*(1-IF(MONTH($A2949)=Reference!$C$6,1,0)*Reference!$C$12)</f>
        <v>327360</v>
      </c>
      <c r="D2949" s="10">
        <f ca="1">ROUND(_xlfn.NORM.INV(RAND(),Reference!$D$8,0.1*Reference!$D$8)*(1+Reference!$D$11*(IF(MONTH($A2949)=Reference!$D$4,1,0)+IF(MONTH($A2949)=Reference!$D$5,1,0))+(IF(MONTH($A2949)=Reference!$D$6,Reference!$D$13,0))),0)</f>
        <v>379</v>
      </c>
      <c r="E2949" s="11">
        <f ca="1">D2949*Reference!$D$7*(1-IF(MONTH($A2949)=Reference!$D$6,1,0)*Reference!$D$12)</f>
        <v>284250</v>
      </c>
      <c r="M2949" s="20"/>
      <c r="N2949" s="20"/>
      <c r="O2949" s="19"/>
      <c r="P2949" s="10"/>
      <c r="Q2949" s="10"/>
      <c r="R2949" s="10"/>
      <c r="S2949" s="10"/>
      <c r="T2949" s="10"/>
      <c r="U2949" s="10"/>
      <c r="V2949" s="10"/>
      <c r="W2949" s="10"/>
      <c r="X2949" s="10"/>
      <c r="Y2949" s="10"/>
    </row>
    <row r="2950" spans="1:25" x14ac:dyDescent="0.25">
      <c r="A2950" s="9">
        <v>43488</v>
      </c>
      <c r="B2950" s="10">
        <f ca="1">ROUND(_xlfn.NORM.INV(RAND(),Reference!$C$8,0.1*Reference!$C$8)*(1+Reference!$C$11*(IF(MONTH($A2950)=Reference!$C$4,1,0)+IF(MONTH($A2950)=Reference!$C$5,1,0))+(IF(MONTH($A2950)=Reference!$C$6,Reference!$C$13,0))),0)</f>
        <v>418</v>
      </c>
      <c r="C2950" s="11">
        <f ca="1">B2950*Reference!$C$7*(1-IF(MONTH($A2950)=Reference!$C$6,1,0)*Reference!$C$12)</f>
        <v>388740</v>
      </c>
      <c r="D2950" s="10">
        <f ca="1">ROUND(_xlfn.NORM.INV(RAND(),Reference!$D$8,0.1*Reference!$D$8)*(1+Reference!$D$11*(IF(MONTH($A2950)=Reference!$D$4,1,0)+IF(MONTH($A2950)=Reference!$D$5,1,0))+(IF(MONTH($A2950)=Reference!$D$6,Reference!$D$13,0))),0)</f>
        <v>406</v>
      </c>
      <c r="E2950" s="11">
        <f ca="1">D2950*Reference!$D$7*(1-IF(MONTH($A2950)=Reference!$D$6,1,0)*Reference!$D$12)</f>
        <v>304500</v>
      </c>
      <c r="M2950" s="20"/>
      <c r="N2950" s="20"/>
      <c r="O2950" s="19"/>
      <c r="P2950" s="10"/>
      <c r="Q2950" s="10"/>
      <c r="R2950" s="10"/>
      <c r="S2950" s="10"/>
      <c r="T2950" s="10"/>
      <c r="U2950" s="10"/>
      <c r="V2950" s="10"/>
      <c r="W2950" s="10"/>
      <c r="X2950" s="10"/>
      <c r="Y2950" s="10"/>
    </row>
    <row r="2951" spans="1:25" x14ac:dyDescent="0.25">
      <c r="A2951" s="9">
        <v>43489</v>
      </c>
      <c r="B2951" s="10">
        <f ca="1">ROUND(_xlfn.NORM.INV(RAND(),Reference!$C$8,0.1*Reference!$C$8)*(1+Reference!$C$11*(IF(MONTH($A2951)=Reference!$C$4,1,0)+IF(MONTH($A2951)=Reference!$C$5,1,0))+(IF(MONTH($A2951)=Reference!$C$6,Reference!$C$13,0))),0)</f>
        <v>289</v>
      </c>
      <c r="C2951" s="11">
        <f ca="1">B2951*Reference!$C$7*(1-IF(MONTH($A2951)=Reference!$C$6,1,0)*Reference!$C$12)</f>
        <v>268770</v>
      </c>
      <c r="D2951" s="10">
        <f ca="1">ROUND(_xlfn.NORM.INV(RAND(),Reference!$D$8,0.1*Reference!$D$8)*(1+Reference!$D$11*(IF(MONTH($A2951)=Reference!$D$4,1,0)+IF(MONTH($A2951)=Reference!$D$5,1,0))+(IF(MONTH($A2951)=Reference!$D$6,Reference!$D$13,0))),0)</f>
        <v>458</v>
      </c>
      <c r="E2951" s="11">
        <f ca="1">D2951*Reference!$D$7*(1-IF(MONTH($A2951)=Reference!$D$6,1,0)*Reference!$D$12)</f>
        <v>343500</v>
      </c>
      <c r="M2951" s="20"/>
      <c r="N2951" s="20"/>
      <c r="O2951" s="19"/>
      <c r="P2951" s="10"/>
      <c r="Q2951" s="10"/>
      <c r="R2951" s="10"/>
      <c r="S2951" s="10"/>
      <c r="T2951" s="10"/>
      <c r="U2951" s="10"/>
      <c r="V2951" s="10"/>
      <c r="W2951" s="10"/>
      <c r="X2951" s="10"/>
      <c r="Y2951" s="10"/>
    </row>
    <row r="2952" spans="1:25" x14ac:dyDescent="0.25">
      <c r="A2952" s="9">
        <v>43490</v>
      </c>
      <c r="B2952" s="10">
        <f ca="1">ROUND(_xlfn.NORM.INV(RAND(),Reference!$C$8,0.1*Reference!$C$8)*(1+Reference!$C$11*(IF(MONTH($A2952)=Reference!$C$4,1,0)+IF(MONTH($A2952)=Reference!$C$5,1,0))+(IF(MONTH($A2952)=Reference!$C$6,Reference!$C$13,0))),0)</f>
        <v>340</v>
      </c>
      <c r="C2952" s="11">
        <f ca="1">B2952*Reference!$C$7*(1-IF(MONTH($A2952)=Reference!$C$6,1,0)*Reference!$C$12)</f>
        <v>316200</v>
      </c>
      <c r="D2952" s="10">
        <f ca="1">ROUND(_xlfn.NORM.INV(RAND(),Reference!$D$8,0.1*Reference!$D$8)*(1+Reference!$D$11*(IF(MONTH($A2952)=Reference!$D$4,1,0)+IF(MONTH($A2952)=Reference!$D$5,1,0))+(IF(MONTH($A2952)=Reference!$D$6,Reference!$D$13,0))),0)</f>
        <v>386</v>
      </c>
      <c r="E2952" s="11">
        <f ca="1">D2952*Reference!$D$7*(1-IF(MONTH($A2952)=Reference!$D$6,1,0)*Reference!$D$12)</f>
        <v>289500</v>
      </c>
      <c r="M2952" s="20"/>
      <c r="N2952" s="20"/>
      <c r="O2952" s="19"/>
      <c r="P2952" s="10"/>
      <c r="Q2952" s="10"/>
      <c r="R2952" s="10"/>
      <c r="S2952" s="10"/>
      <c r="T2952" s="10"/>
      <c r="U2952" s="10"/>
      <c r="V2952" s="10"/>
      <c r="W2952" s="10"/>
      <c r="X2952" s="10"/>
      <c r="Y2952" s="10"/>
    </row>
    <row r="2953" spans="1:25" x14ac:dyDescent="0.25">
      <c r="A2953" s="9">
        <v>43491</v>
      </c>
      <c r="B2953" s="10">
        <f ca="1">ROUND(_xlfn.NORM.INV(RAND(),Reference!$C$8,0.1*Reference!$C$8)*(1+Reference!$C$11*(IF(MONTH($A2953)=Reference!$C$4,1,0)+IF(MONTH($A2953)=Reference!$C$5,1,0))+(IF(MONTH($A2953)=Reference!$C$6,Reference!$C$13,0))),0)</f>
        <v>334</v>
      </c>
      <c r="C2953" s="11">
        <f ca="1">B2953*Reference!$C$7*(1-IF(MONTH($A2953)=Reference!$C$6,1,0)*Reference!$C$12)</f>
        <v>310620</v>
      </c>
      <c r="D2953" s="10">
        <f ca="1">ROUND(_xlfn.NORM.INV(RAND(),Reference!$D$8,0.1*Reference!$D$8)*(1+Reference!$D$11*(IF(MONTH($A2953)=Reference!$D$4,1,0)+IF(MONTH($A2953)=Reference!$D$5,1,0))+(IF(MONTH($A2953)=Reference!$D$6,Reference!$D$13,0))),0)</f>
        <v>459</v>
      </c>
      <c r="E2953" s="11">
        <f ca="1">D2953*Reference!$D$7*(1-IF(MONTH($A2953)=Reference!$D$6,1,0)*Reference!$D$12)</f>
        <v>344250</v>
      </c>
      <c r="M2953" s="20"/>
      <c r="N2953" s="20"/>
      <c r="O2953" s="19"/>
      <c r="P2953" s="10"/>
      <c r="Q2953" s="10"/>
      <c r="R2953" s="10"/>
      <c r="S2953" s="10"/>
      <c r="T2953" s="10"/>
      <c r="U2953" s="10"/>
      <c r="V2953" s="10"/>
      <c r="W2953" s="10"/>
      <c r="X2953" s="10"/>
      <c r="Y2953" s="10"/>
    </row>
    <row r="2954" spans="1:25" x14ac:dyDescent="0.25">
      <c r="A2954" s="9">
        <v>43492</v>
      </c>
      <c r="B2954" s="10">
        <f ca="1">ROUND(_xlfn.NORM.INV(RAND(),Reference!$C$8,0.1*Reference!$C$8)*(1+Reference!$C$11*(IF(MONTH($A2954)=Reference!$C$4,1,0)+IF(MONTH($A2954)=Reference!$C$5,1,0))+(IF(MONTH($A2954)=Reference!$C$6,Reference!$C$13,0))),0)</f>
        <v>346</v>
      </c>
      <c r="C2954" s="11">
        <f ca="1">B2954*Reference!$C$7*(1-IF(MONTH($A2954)=Reference!$C$6,1,0)*Reference!$C$12)</f>
        <v>321780</v>
      </c>
      <c r="D2954" s="10">
        <f ca="1">ROUND(_xlfn.NORM.INV(RAND(),Reference!$D$8,0.1*Reference!$D$8)*(1+Reference!$D$11*(IF(MONTH($A2954)=Reference!$D$4,1,0)+IF(MONTH($A2954)=Reference!$D$5,1,0))+(IF(MONTH($A2954)=Reference!$D$6,Reference!$D$13,0))),0)</f>
        <v>405</v>
      </c>
      <c r="E2954" s="11">
        <f ca="1">D2954*Reference!$D$7*(1-IF(MONTH($A2954)=Reference!$D$6,1,0)*Reference!$D$12)</f>
        <v>303750</v>
      </c>
      <c r="M2954" s="20"/>
      <c r="N2954" s="20"/>
      <c r="O2954" s="19"/>
      <c r="P2954" s="10"/>
      <c r="Q2954" s="10"/>
      <c r="R2954" s="10"/>
      <c r="S2954" s="10"/>
      <c r="T2954" s="10"/>
      <c r="U2954" s="10"/>
      <c r="V2954" s="10"/>
      <c r="W2954" s="10"/>
      <c r="X2954" s="10"/>
      <c r="Y2954" s="10"/>
    </row>
    <row r="2955" spans="1:25" x14ac:dyDescent="0.25">
      <c r="A2955" s="9">
        <v>43493</v>
      </c>
      <c r="B2955" s="10">
        <f ca="1">ROUND(_xlfn.NORM.INV(RAND(),Reference!$C$8,0.1*Reference!$C$8)*(1+Reference!$C$11*(IF(MONTH($A2955)=Reference!$C$4,1,0)+IF(MONTH($A2955)=Reference!$C$5,1,0))+(IF(MONTH($A2955)=Reference!$C$6,Reference!$C$13,0))),0)</f>
        <v>375</v>
      </c>
      <c r="C2955" s="11">
        <f ca="1">B2955*Reference!$C$7*(1-IF(MONTH($A2955)=Reference!$C$6,1,0)*Reference!$C$12)</f>
        <v>348750</v>
      </c>
      <c r="D2955" s="10">
        <f ca="1">ROUND(_xlfn.NORM.INV(RAND(),Reference!$D$8,0.1*Reference!$D$8)*(1+Reference!$D$11*(IF(MONTH($A2955)=Reference!$D$4,1,0)+IF(MONTH($A2955)=Reference!$D$5,1,0))+(IF(MONTH($A2955)=Reference!$D$6,Reference!$D$13,0))),0)</f>
        <v>402</v>
      </c>
      <c r="E2955" s="11">
        <f ca="1">D2955*Reference!$D$7*(1-IF(MONTH($A2955)=Reference!$D$6,1,0)*Reference!$D$12)</f>
        <v>301500</v>
      </c>
      <c r="M2955" s="20"/>
      <c r="N2955" s="20"/>
      <c r="O2955" s="19"/>
      <c r="P2955" s="10"/>
      <c r="Q2955" s="10"/>
      <c r="R2955" s="10"/>
      <c r="S2955" s="10"/>
      <c r="T2955" s="10"/>
      <c r="U2955" s="10"/>
      <c r="V2955" s="10"/>
      <c r="W2955" s="10"/>
      <c r="X2955" s="10"/>
      <c r="Y2955" s="10"/>
    </row>
    <row r="2956" spans="1:25" x14ac:dyDescent="0.25">
      <c r="A2956" s="9">
        <v>43494</v>
      </c>
      <c r="B2956" s="10">
        <f ca="1">ROUND(_xlfn.NORM.INV(RAND(),Reference!$C$8,0.1*Reference!$C$8)*(1+Reference!$C$11*(IF(MONTH($A2956)=Reference!$C$4,1,0)+IF(MONTH($A2956)=Reference!$C$5,1,0))+(IF(MONTH($A2956)=Reference!$C$6,Reference!$C$13,0))),0)</f>
        <v>348</v>
      </c>
      <c r="C2956" s="11">
        <f ca="1">B2956*Reference!$C$7*(1-IF(MONTH($A2956)=Reference!$C$6,1,0)*Reference!$C$12)</f>
        <v>323640</v>
      </c>
      <c r="D2956" s="10">
        <f ca="1">ROUND(_xlfn.NORM.INV(RAND(),Reference!$D$8,0.1*Reference!$D$8)*(1+Reference!$D$11*(IF(MONTH($A2956)=Reference!$D$4,1,0)+IF(MONTH($A2956)=Reference!$D$5,1,0))+(IF(MONTH($A2956)=Reference!$D$6,Reference!$D$13,0))),0)</f>
        <v>481</v>
      </c>
      <c r="E2956" s="11">
        <f ca="1">D2956*Reference!$D$7*(1-IF(MONTH($A2956)=Reference!$D$6,1,0)*Reference!$D$12)</f>
        <v>360750</v>
      </c>
      <c r="M2956" s="20"/>
      <c r="N2956" s="20"/>
      <c r="O2956" s="19"/>
      <c r="P2956" s="10"/>
      <c r="Q2956" s="10"/>
      <c r="R2956" s="10"/>
      <c r="S2956" s="10"/>
      <c r="T2956" s="10"/>
      <c r="U2956" s="10"/>
      <c r="V2956" s="10"/>
      <c r="W2956" s="10"/>
      <c r="X2956" s="10"/>
      <c r="Y2956" s="10"/>
    </row>
    <row r="2957" spans="1:25" x14ac:dyDescent="0.25">
      <c r="A2957" s="9">
        <v>43495</v>
      </c>
      <c r="B2957" s="10">
        <f ca="1">ROUND(_xlfn.NORM.INV(RAND(),Reference!$C$8,0.1*Reference!$C$8)*(1+Reference!$C$11*(IF(MONTH($A2957)=Reference!$C$4,1,0)+IF(MONTH($A2957)=Reference!$C$5,1,0))+(IF(MONTH($A2957)=Reference!$C$6,Reference!$C$13,0))),0)</f>
        <v>370</v>
      </c>
      <c r="C2957" s="11">
        <f ca="1">B2957*Reference!$C$7*(1-IF(MONTH($A2957)=Reference!$C$6,1,0)*Reference!$C$12)</f>
        <v>344100</v>
      </c>
      <c r="D2957" s="10">
        <f ca="1">ROUND(_xlfn.NORM.INV(RAND(),Reference!$D$8,0.1*Reference!$D$8)*(1+Reference!$D$11*(IF(MONTH($A2957)=Reference!$D$4,1,0)+IF(MONTH($A2957)=Reference!$D$5,1,0))+(IF(MONTH($A2957)=Reference!$D$6,Reference!$D$13,0))),0)</f>
        <v>409</v>
      </c>
      <c r="E2957" s="11">
        <f ca="1">D2957*Reference!$D$7*(1-IF(MONTH($A2957)=Reference!$D$6,1,0)*Reference!$D$12)</f>
        <v>306750</v>
      </c>
      <c r="M2957" s="20"/>
      <c r="N2957" s="20"/>
      <c r="O2957" s="19"/>
      <c r="P2957" s="10"/>
      <c r="Q2957" s="10"/>
      <c r="R2957" s="10"/>
      <c r="S2957" s="10"/>
      <c r="T2957" s="10"/>
      <c r="U2957" s="10"/>
      <c r="V2957" s="10"/>
      <c r="W2957" s="10"/>
      <c r="X2957" s="10"/>
      <c r="Y2957" s="10"/>
    </row>
    <row r="2958" spans="1:25" x14ac:dyDescent="0.25">
      <c r="A2958" s="9">
        <v>43496</v>
      </c>
      <c r="B2958" s="10">
        <f ca="1">ROUND(_xlfn.NORM.INV(RAND(),Reference!$C$8,0.1*Reference!$C$8)*(1+Reference!$C$11*(IF(MONTH($A2958)=Reference!$C$4,1,0)+IF(MONTH($A2958)=Reference!$C$5,1,0))+(IF(MONTH($A2958)=Reference!$C$6,Reference!$C$13,0))),0)</f>
        <v>374</v>
      </c>
      <c r="C2958" s="11">
        <f ca="1">B2958*Reference!$C$7*(1-IF(MONTH($A2958)=Reference!$C$6,1,0)*Reference!$C$12)</f>
        <v>347820</v>
      </c>
      <c r="D2958" s="10">
        <f ca="1">ROUND(_xlfn.NORM.INV(RAND(),Reference!$D$8,0.1*Reference!$D$8)*(1+Reference!$D$11*(IF(MONTH($A2958)=Reference!$D$4,1,0)+IF(MONTH($A2958)=Reference!$D$5,1,0))+(IF(MONTH($A2958)=Reference!$D$6,Reference!$D$13,0))),0)</f>
        <v>466</v>
      </c>
      <c r="E2958" s="11">
        <f ca="1">D2958*Reference!$D$7*(1-IF(MONTH($A2958)=Reference!$D$6,1,0)*Reference!$D$12)</f>
        <v>349500</v>
      </c>
      <c r="M2958" s="20"/>
      <c r="N2958" s="20"/>
      <c r="O2958" s="19"/>
      <c r="P2958" s="10"/>
      <c r="Q2958" s="10"/>
      <c r="R2958" s="10"/>
      <c r="S2958" s="10"/>
      <c r="T2958" s="10"/>
      <c r="U2958" s="10"/>
      <c r="V2958" s="10"/>
      <c r="W2958" s="10"/>
      <c r="X2958" s="10"/>
      <c r="Y2958" s="10"/>
    </row>
    <row r="2959" spans="1:25" x14ac:dyDescent="0.25">
      <c r="A2959" s="9">
        <v>43497</v>
      </c>
      <c r="B2959" s="10">
        <f ca="1">ROUND(_xlfn.NORM.INV(RAND(),Reference!$C$8,0.1*Reference!$C$8)*(1+Reference!$C$11*(IF(MONTH($A2959)=Reference!$C$4,1,0)+IF(MONTH($A2959)=Reference!$C$5,1,0))+(IF(MONTH($A2959)=Reference!$C$6,Reference!$C$13,0))),0)</f>
        <v>369</v>
      </c>
      <c r="C2959" s="11">
        <f ca="1">B2959*Reference!$C$7*(1-IF(MONTH($A2959)=Reference!$C$6,1,0)*Reference!$C$12)</f>
        <v>343170</v>
      </c>
      <c r="D2959" s="10">
        <f ca="1">ROUND(_xlfn.NORM.INV(RAND(),Reference!$D$8,0.1*Reference!$D$8)*(1+Reference!$D$11*(IF(MONTH($A2959)=Reference!$D$4,1,0)+IF(MONTH($A2959)=Reference!$D$5,1,0))+(IF(MONTH($A2959)=Reference!$D$6,Reference!$D$13,0))),0)</f>
        <v>461</v>
      </c>
      <c r="E2959" s="11">
        <f ca="1">D2959*Reference!$D$7*(1-IF(MONTH($A2959)=Reference!$D$6,1,0)*Reference!$D$12)</f>
        <v>345750</v>
      </c>
      <c r="M2959" s="20"/>
      <c r="N2959" s="20"/>
      <c r="O2959" s="19"/>
      <c r="P2959" s="10"/>
      <c r="Q2959" s="10"/>
      <c r="R2959" s="10"/>
      <c r="S2959" s="10"/>
      <c r="T2959" s="10"/>
      <c r="U2959" s="10"/>
      <c r="V2959" s="10"/>
      <c r="W2959" s="10"/>
      <c r="X2959" s="10"/>
      <c r="Y2959" s="10"/>
    </row>
    <row r="2960" spans="1:25" x14ac:dyDescent="0.25">
      <c r="A2960" s="9">
        <v>43498</v>
      </c>
      <c r="B2960" s="10">
        <f ca="1">ROUND(_xlfn.NORM.INV(RAND(),Reference!$C$8,0.1*Reference!$C$8)*(1+Reference!$C$11*(IF(MONTH($A2960)=Reference!$C$4,1,0)+IF(MONTH($A2960)=Reference!$C$5,1,0))+(IF(MONTH($A2960)=Reference!$C$6,Reference!$C$13,0))),0)</f>
        <v>390</v>
      </c>
      <c r="C2960" s="11">
        <f ca="1">B2960*Reference!$C$7*(1-IF(MONTH($A2960)=Reference!$C$6,1,0)*Reference!$C$12)</f>
        <v>362700</v>
      </c>
      <c r="D2960" s="10">
        <f ca="1">ROUND(_xlfn.NORM.INV(RAND(),Reference!$D$8,0.1*Reference!$D$8)*(1+Reference!$D$11*(IF(MONTH($A2960)=Reference!$D$4,1,0)+IF(MONTH($A2960)=Reference!$D$5,1,0))+(IF(MONTH($A2960)=Reference!$D$6,Reference!$D$13,0))),0)</f>
        <v>461</v>
      </c>
      <c r="E2960" s="11">
        <f ca="1">D2960*Reference!$D$7*(1-IF(MONTH($A2960)=Reference!$D$6,1,0)*Reference!$D$12)</f>
        <v>345750</v>
      </c>
      <c r="M2960" s="20"/>
      <c r="N2960" s="20"/>
      <c r="O2960" s="19"/>
      <c r="P2960" s="10"/>
      <c r="Q2960" s="10"/>
      <c r="R2960" s="10"/>
      <c r="S2960" s="10"/>
      <c r="T2960" s="10"/>
      <c r="U2960" s="10"/>
      <c r="V2960" s="10"/>
      <c r="W2960" s="10"/>
      <c r="X2960" s="10"/>
      <c r="Y2960" s="10"/>
    </row>
    <row r="2961" spans="1:25" x14ac:dyDescent="0.25">
      <c r="A2961" s="9">
        <v>43499</v>
      </c>
      <c r="B2961" s="10">
        <f ca="1">ROUND(_xlfn.NORM.INV(RAND(),Reference!$C$8,0.1*Reference!$C$8)*(1+Reference!$C$11*(IF(MONTH($A2961)=Reference!$C$4,1,0)+IF(MONTH($A2961)=Reference!$C$5,1,0))+(IF(MONTH($A2961)=Reference!$C$6,Reference!$C$13,0))),0)</f>
        <v>443</v>
      </c>
      <c r="C2961" s="11">
        <f ca="1">B2961*Reference!$C$7*(1-IF(MONTH($A2961)=Reference!$C$6,1,0)*Reference!$C$12)</f>
        <v>411990</v>
      </c>
      <c r="D2961" s="10">
        <f ca="1">ROUND(_xlfn.NORM.INV(RAND(),Reference!$D$8,0.1*Reference!$D$8)*(1+Reference!$D$11*(IF(MONTH($A2961)=Reference!$D$4,1,0)+IF(MONTH($A2961)=Reference!$D$5,1,0))+(IF(MONTH($A2961)=Reference!$D$6,Reference!$D$13,0))),0)</f>
        <v>460</v>
      </c>
      <c r="E2961" s="11">
        <f ca="1">D2961*Reference!$D$7*(1-IF(MONTH($A2961)=Reference!$D$6,1,0)*Reference!$D$12)</f>
        <v>345000</v>
      </c>
      <c r="M2961" s="20"/>
      <c r="N2961" s="20"/>
      <c r="O2961" s="19"/>
      <c r="P2961" s="10"/>
      <c r="Q2961" s="10"/>
      <c r="R2961" s="10"/>
      <c r="S2961" s="10"/>
      <c r="T2961" s="10"/>
      <c r="U2961" s="10"/>
      <c r="V2961" s="10"/>
      <c r="W2961" s="10"/>
      <c r="X2961" s="10"/>
      <c r="Y2961" s="10"/>
    </row>
    <row r="2962" spans="1:25" x14ac:dyDescent="0.25">
      <c r="A2962" s="9">
        <v>43500</v>
      </c>
      <c r="B2962" s="10">
        <f ca="1">ROUND(_xlfn.NORM.INV(RAND(),Reference!$C$8,0.1*Reference!$C$8)*(1+Reference!$C$11*(IF(MONTH($A2962)=Reference!$C$4,1,0)+IF(MONTH($A2962)=Reference!$C$5,1,0))+(IF(MONTH($A2962)=Reference!$C$6,Reference!$C$13,0))),0)</f>
        <v>360</v>
      </c>
      <c r="C2962" s="11">
        <f ca="1">B2962*Reference!$C$7*(1-IF(MONTH($A2962)=Reference!$C$6,1,0)*Reference!$C$12)</f>
        <v>334800</v>
      </c>
      <c r="D2962" s="10">
        <f ca="1">ROUND(_xlfn.NORM.INV(RAND(),Reference!$D$8,0.1*Reference!$D$8)*(1+Reference!$D$11*(IF(MONTH($A2962)=Reference!$D$4,1,0)+IF(MONTH($A2962)=Reference!$D$5,1,0))+(IF(MONTH($A2962)=Reference!$D$6,Reference!$D$13,0))),0)</f>
        <v>470</v>
      </c>
      <c r="E2962" s="11">
        <f ca="1">D2962*Reference!$D$7*(1-IF(MONTH($A2962)=Reference!$D$6,1,0)*Reference!$D$12)</f>
        <v>352500</v>
      </c>
      <c r="M2962" s="20"/>
      <c r="N2962" s="20"/>
      <c r="O2962" s="19"/>
      <c r="P2962" s="10"/>
      <c r="Q2962" s="10"/>
      <c r="R2962" s="10"/>
      <c r="S2962" s="10"/>
      <c r="T2962" s="10"/>
      <c r="U2962" s="10"/>
      <c r="V2962" s="10"/>
      <c r="W2962" s="10"/>
      <c r="X2962" s="10"/>
      <c r="Y2962" s="10"/>
    </row>
    <row r="2963" spans="1:25" x14ac:dyDescent="0.25">
      <c r="A2963" s="9">
        <v>43501</v>
      </c>
      <c r="B2963" s="10">
        <f ca="1">ROUND(_xlfn.NORM.INV(RAND(),Reference!$C$8,0.1*Reference!$C$8)*(1+Reference!$C$11*(IF(MONTH($A2963)=Reference!$C$4,1,0)+IF(MONTH($A2963)=Reference!$C$5,1,0))+(IF(MONTH($A2963)=Reference!$C$6,Reference!$C$13,0))),0)</f>
        <v>347</v>
      </c>
      <c r="C2963" s="11">
        <f ca="1">B2963*Reference!$C$7*(1-IF(MONTH($A2963)=Reference!$C$6,1,0)*Reference!$C$12)</f>
        <v>322710</v>
      </c>
      <c r="D2963" s="10">
        <f ca="1">ROUND(_xlfn.NORM.INV(RAND(),Reference!$D$8,0.1*Reference!$D$8)*(1+Reference!$D$11*(IF(MONTH($A2963)=Reference!$D$4,1,0)+IF(MONTH($A2963)=Reference!$D$5,1,0))+(IF(MONTH($A2963)=Reference!$D$6,Reference!$D$13,0))),0)</f>
        <v>470</v>
      </c>
      <c r="E2963" s="11">
        <f ca="1">D2963*Reference!$D$7*(1-IF(MONTH($A2963)=Reference!$D$6,1,0)*Reference!$D$12)</f>
        <v>352500</v>
      </c>
      <c r="M2963" s="20"/>
      <c r="N2963" s="20"/>
      <c r="O2963" s="19"/>
      <c r="P2963" s="10"/>
      <c r="Q2963" s="10"/>
      <c r="R2963" s="10"/>
      <c r="S2963" s="10"/>
      <c r="T2963" s="10"/>
      <c r="U2963" s="10"/>
      <c r="V2963" s="10"/>
      <c r="W2963" s="10"/>
      <c r="X2963" s="10"/>
      <c r="Y2963" s="10"/>
    </row>
    <row r="2964" spans="1:25" x14ac:dyDescent="0.25">
      <c r="A2964" s="9">
        <v>43502</v>
      </c>
      <c r="B2964" s="10">
        <f ca="1">ROUND(_xlfn.NORM.INV(RAND(),Reference!$C$8,0.1*Reference!$C$8)*(1+Reference!$C$11*(IF(MONTH($A2964)=Reference!$C$4,1,0)+IF(MONTH($A2964)=Reference!$C$5,1,0))+(IF(MONTH($A2964)=Reference!$C$6,Reference!$C$13,0))),0)</f>
        <v>332</v>
      </c>
      <c r="C2964" s="11">
        <f ca="1">B2964*Reference!$C$7*(1-IF(MONTH($A2964)=Reference!$C$6,1,0)*Reference!$C$12)</f>
        <v>308760</v>
      </c>
      <c r="D2964" s="10">
        <f ca="1">ROUND(_xlfn.NORM.INV(RAND(),Reference!$D$8,0.1*Reference!$D$8)*(1+Reference!$D$11*(IF(MONTH($A2964)=Reference!$D$4,1,0)+IF(MONTH($A2964)=Reference!$D$5,1,0))+(IF(MONTH($A2964)=Reference!$D$6,Reference!$D$13,0))),0)</f>
        <v>439</v>
      </c>
      <c r="E2964" s="11">
        <f ca="1">D2964*Reference!$D$7*(1-IF(MONTH($A2964)=Reference!$D$6,1,0)*Reference!$D$12)</f>
        <v>329250</v>
      </c>
      <c r="M2964" s="20"/>
      <c r="N2964" s="20"/>
      <c r="O2964" s="19"/>
      <c r="P2964" s="10"/>
      <c r="Q2964" s="10"/>
      <c r="R2964" s="10"/>
      <c r="S2964" s="10"/>
      <c r="T2964" s="10"/>
      <c r="U2964" s="10"/>
      <c r="V2964" s="10"/>
      <c r="W2964" s="10"/>
      <c r="X2964" s="10"/>
      <c r="Y2964" s="10"/>
    </row>
    <row r="2965" spans="1:25" x14ac:dyDescent="0.25">
      <c r="A2965" s="9">
        <v>43503</v>
      </c>
      <c r="B2965" s="10">
        <f ca="1">ROUND(_xlfn.NORM.INV(RAND(),Reference!$C$8,0.1*Reference!$C$8)*(1+Reference!$C$11*(IF(MONTH($A2965)=Reference!$C$4,1,0)+IF(MONTH($A2965)=Reference!$C$5,1,0))+(IF(MONTH($A2965)=Reference!$C$6,Reference!$C$13,0))),0)</f>
        <v>341</v>
      </c>
      <c r="C2965" s="11">
        <f ca="1">B2965*Reference!$C$7*(1-IF(MONTH($A2965)=Reference!$C$6,1,0)*Reference!$C$12)</f>
        <v>317130</v>
      </c>
      <c r="D2965" s="10">
        <f ca="1">ROUND(_xlfn.NORM.INV(RAND(),Reference!$D$8,0.1*Reference!$D$8)*(1+Reference!$D$11*(IF(MONTH($A2965)=Reference!$D$4,1,0)+IF(MONTH($A2965)=Reference!$D$5,1,0))+(IF(MONTH($A2965)=Reference!$D$6,Reference!$D$13,0))),0)</f>
        <v>459</v>
      </c>
      <c r="E2965" s="11">
        <f ca="1">D2965*Reference!$D$7*(1-IF(MONTH($A2965)=Reference!$D$6,1,0)*Reference!$D$12)</f>
        <v>344250</v>
      </c>
      <c r="M2965" s="20"/>
      <c r="N2965" s="20"/>
      <c r="O2965" s="19"/>
      <c r="P2965" s="10"/>
      <c r="Q2965" s="10"/>
      <c r="R2965" s="10"/>
      <c r="S2965" s="10"/>
      <c r="T2965" s="10"/>
      <c r="U2965" s="10"/>
      <c r="V2965" s="10"/>
      <c r="W2965" s="10"/>
      <c r="X2965" s="10"/>
      <c r="Y2965" s="10"/>
    </row>
    <row r="2966" spans="1:25" x14ac:dyDescent="0.25">
      <c r="A2966" s="9">
        <v>43504</v>
      </c>
      <c r="B2966" s="10">
        <f ca="1">ROUND(_xlfn.NORM.INV(RAND(),Reference!$C$8,0.1*Reference!$C$8)*(1+Reference!$C$11*(IF(MONTH($A2966)=Reference!$C$4,1,0)+IF(MONTH($A2966)=Reference!$C$5,1,0))+(IF(MONTH($A2966)=Reference!$C$6,Reference!$C$13,0))),0)</f>
        <v>378</v>
      </c>
      <c r="C2966" s="11">
        <f ca="1">B2966*Reference!$C$7*(1-IF(MONTH($A2966)=Reference!$C$6,1,0)*Reference!$C$12)</f>
        <v>351540</v>
      </c>
      <c r="D2966" s="10">
        <f ca="1">ROUND(_xlfn.NORM.INV(RAND(),Reference!$D$8,0.1*Reference!$D$8)*(1+Reference!$D$11*(IF(MONTH($A2966)=Reference!$D$4,1,0)+IF(MONTH($A2966)=Reference!$D$5,1,0))+(IF(MONTH($A2966)=Reference!$D$6,Reference!$D$13,0))),0)</f>
        <v>477</v>
      </c>
      <c r="E2966" s="11">
        <f ca="1">D2966*Reference!$D$7*(1-IF(MONTH($A2966)=Reference!$D$6,1,0)*Reference!$D$12)</f>
        <v>357750</v>
      </c>
      <c r="M2966" s="20"/>
      <c r="N2966" s="20"/>
      <c r="O2966" s="19"/>
      <c r="P2966" s="10"/>
      <c r="Q2966" s="10"/>
      <c r="R2966" s="10"/>
      <c r="S2966" s="10"/>
      <c r="T2966" s="10"/>
      <c r="U2966" s="10"/>
      <c r="V2966" s="10"/>
      <c r="W2966" s="10"/>
      <c r="X2966" s="10"/>
      <c r="Y2966" s="10"/>
    </row>
    <row r="2967" spans="1:25" x14ac:dyDescent="0.25">
      <c r="A2967" s="9">
        <v>43505</v>
      </c>
      <c r="B2967" s="10">
        <f ca="1">ROUND(_xlfn.NORM.INV(RAND(),Reference!$C$8,0.1*Reference!$C$8)*(1+Reference!$C$11*(IF(MONTH($A2967)=Reference!$C$4,1,0)+IF(MONTH($A2967)=Reference!$C$5,1,0))+(IF(MONTH($A2967)=Reference!$C$6,Reference!$C$13,0))),0)</f>
        <v>355</v>
      </c>
      <c r="C2967" s="11">
        <f ca="1">B2967*Reference!$C$7*(1-IF(MONTH($A2967)=Reference!$C$6,1,0)*Reference!$C$12)</f>
        <v>330150</v>
      </c>
      <c r="D2967" s="10">
        <f ca="1">ROUND(_xlfn.NORM.INV(RAND(),Reference!$D$8,0.1*Reference!$D$8)*(1+Reference!$D$11*(IF(MONTH($A2967)=Reference!$D$4,1,0)+IF(MONTH($A2967)=Reference!$D$5,1,0))+(IF(MONTH($A2967)=Reference!$D$6,Reference!$D$13,0))),0)</f>
        <v>446</v>
      </c>
      <c r="E2967" s="11">
        <f ca="1">D2967*Reference!$D$7*(1-IF(MONTH($A2967)=Reference!$D$6,1,0)*Reference!$D$12)</f>
        <v>334500</v>
      </c>
      <c r="M2967" s="20"/>
      <c r="N2967" s="20"/>
      <c r="O2967" s="19"/>
      <c r="P2967" s="10"/>
      <c r="Q2967" s="10"/>
      <c r="R2967" s="10"/>
      <c r="S2967" s="10"/>
      <c r="T2967" s="10"/>
      <c r="U2967" s="10"/>
      <c r="V2967" s="10"/>
      <c r="W2967" s="10"/>
      <c r="X2967" s="10"/>
      <c r="Y2967" s="10"/>
    </row>
    <row r="2968" spans="1:25" x14ac:dyDescent="0.25">
      <c r="A2968" s="9">
        <v>43506</v>
      </c>
      <c r="B2968" s="10">
        <f ca="1">ROUND(_xlfn.NORM.INV(RAND(),Reference!$C$8,0.1*Reference!$C$8)*(1+Reference!$C$11*(IF(MONTH($A2968)=Reference!$C$4,1,0)+IF(MONTH($A2968)=Reference!$C$5,1,0))+(IF(MONTH($A2968)=Reference!$C$6,Reference!$C$13,0))),0)</f>
        <v>337</v>
      </c>
      <c r="C2968" s="11">
        <f ca="1">B2968*Reference!$C$7*(1-IF(MONTH($A2968)=Reference!$C$6,1,0)*Reference!$C$12)</f>
        <v>313410</v>
      </c>
      <c r="D2968" s="10">
        <f ca="1">ROUND(_xlfn.NORM.INV(RAND(),Reference!$D$8,0.1*Reference!$D$8)*(1+Reference!$D$11*(IF(MONTH($A2968)=Reference!$D$4,1,0)+IF(MONTH($A2968)=Reference!$D$5,1,0))+(IF(MONTH($A2968)=Reference!$D$6,Reference!$D$13,0))),0)</f>
        <v>491</v>
      </c>
      <c r="E2968" s="11">
        <f ca="1">D2968*Reference!$D$7*(1-IF(MONTH($A2968)=Reference!$D$6,1,0)*Reference!$D$12)</f>
        <v>368250</v>
      </c>
      <c r="M2968" s="20"/>
      <c r="N2968" s="20"/>
      <c r="O2968" s="19"/>
      <c r="P2968" s="10"/>
      <c r="Q2968" s="10"/>
      <c r="R2968" s="10"/>
      <c r="S2968" s="10"/>
      <c r="T2968" s="10"/>
      <c r="U2968" s="10"/>
      <c r="V2968" s="10"/>
      <c r="W2968" s="10"/>
      <c r="X2968" s="10"/>
      <c r="Y2968" s="10"/>
    </row>
    <row r="2969" spans="1:25" x14ac:dyDescent="0.25">
      <c r="A2969" s="9">
        <v>43507</v>
      </c>
      <c r="B2969" s="10">
        <f ca="1">ROUND(_xlfn.NORM.INV(RAND(),Reference!$C$8,0.1*Reference!$C$8)*(1+Reference!$C$11*(IF(MONTH($A2969)=Reference!$C$4,1,0)+IF(MONTH($A2969)=Reference!$C$5,1,0))+(IF(MONTH($A2969)=Reference!$C$6,Reference!$C$13,0))),0)</f>
        <v>287</v>
      </c>
      <c r="C2969" s="11">
        <f ca="1">B2969*Reference!$C$7*(1-IF(MONTH($A2969)=Reference!$C$6,1,0)*Reference!$C$12)</f>
        <v>266910</v>
      </c>
      <c r="D2969" s="10">
        <f ca="1">ROUND(_xlfn.NORM.INV(RAND(),Reference!$D$8,0.1*Reference!$D$8)*(1+Reference!$D$11*(IF(MONTH($A2969)=Reference!$D$4,1,0)+IF(MONTH($A2969)=Reference!$D$5,1,0))+(IF(MONTH($A2969)=Reference!$D$6,Reference!$D$13,0))),0)</f>
        <v>490</v>
      </c>
      <c r="E2969" s="11">
        <f ca="1">D2969*Reference!$D$7*(1-IF(MONTH($A2969)=Reference!$D$6,1,0)*Reference!$D$12)</f>
        <v>367500</v>
      </c>
      <c r="M2969" s="20"/>
      <c r="N2969" s="20"/>
      <c r="O2969" s="19"/>
      <c r="P2969" s="10"/>
      <c r="Q2969" s="10"/>
      <c r="R2969" s="10"/>
      <c r="S2969" s="10"/>
      <c r="T2969" s="10"/>
      <c r="U2969" s="10"/>
      <c r="V2969" s="10"/>
      <c r="W2969" s="10"/>
      <c r="X2969" s="10"/>
      <c r="Y2969" s="10"/>
    </row>
    <row r="2970" spans="1:25" x14ac:dyDescent="0.25">
      <c r="A2970" s="9">
        <v>43508</v>
      </c>
      <c r="B2970" s="10">
        <f ca="1">ROUND(_xlfn.NORM.INV(RAND(),Reference!$C$8,0.1*Reference!$C$8)*(1+Reference!$C$11*(IF(MONTH($A2970)=Reference!$C$4,1,0)+IF(MONTH($A2970)=Reference!$C$5,1,0))+(IF(MONTH($A2970)=Reference!$C$6,Reference!$C$13,0))),0)</f>
        <v>400</v>
      </c>
      <c r="C2970" s="11">
        <f ca="1">B2970*Reference!$C$7*(1-IF(MONTH($A2970)=Reference!$C$6,1,0)*Reference!$C$12)</f>
        <v>372000</v>
      </c>
      <c r="D2970" s="10">
        <f ca="1">ROUND(_xlfn.NORM.INV(RAND(),Reference!$D$8,0.1*Reference!$D$8)*(1+Reference!$D$11*(IF(MONTH($A2970)=Reference!$D$4,1,0)+IF(MONTH($A2970)=Reference!$D$5,1,0))+(IF(MONTH($A2970)=Reference!$D$6,Reference!$D$13,0))),0)</f>
        <v>430</v>
      </c>
      <c r="E2970" s="11">
        <f ca="1">D2970*Reference!$D$7*(1-IF(MONTH($A2970)=Reference!$D$6,1,0)*Reference!$D$12)</f>
        <v>322500</v>
      </c>
      <c r="M2970" s="20"/>
      <c r="N2970" s="20"/>
      <c r="O2970" s="19"/>
      <c r="P2970" s="10"/>
      <c r="Q2970" s="10"/>
      <c r="R2970" s="10"/>
      <c r="S2970" s="10"/>
      <c r="T2970" s="10"/>
      <c r="U2970" s="10"/>
      <c r="V2970" s="10"/>
      <c r="W2970" s="10"/>
      <c r="X2970" s="10"/>
      <c r="Y2970" s="10"/>
    </row>
    <row r="2971" spans="1:25" x14ac:dyDescent="0.25">
      <c r="A2971" s="9">
        <v>43509</v>
      </c>
      <c r="B2971" s="10">
        <f ca="1">ROUND(_xlfn.NORM.INV(RAND(),Reference!$C$8,0.1*Reference!$C$8)*(1+Reference!$C$11*(IF(MONTH($A2971)=Reference!$C$4,1,0)+IF(MONTH($A2971)=Reference!$C$5,1,0))+(IF(MONTH($A2971)=Reference!$C$6,Reference!$C$13,0))),0)</f>
        <v>327</v>
      </c>
      <c r="C2971" s="11">
        <f ca="1">B2971*Reference!$C$7*(1-IF(MONTH($A2971)=Reference!$C$6,1,0)*Reference!$C$12)</f>
        <v>304110</v>
      </c>
      <c r="D2971" s="10">
        <f ca="1">ROUND(_xlfn.NORM.INV(RAND(),Reference!$D$8,0.1*Reference!$D$8)*(1+Reference!$D$11*(IF(MONTH($A2971)=Reference!$D$4,1,0)+IF(MONTH($A2971)=Reference!$D$5,1,0))+(IF(MONTH($A2971)=Reference!$D$6,Reference!$D$13,0))),0)</f>
        <v>445</v>
      </c>
      <c r="E2971" s="11">
        <f ca="1">D2971*Reference!$D$7*(1-IF(MONTH($A2971)=Reference!$D$6,1,0)*Reference!$D$12)</f>
        <v>333750</v>
      </c>
      <c r="M2971" s="20"/>
      <c r="N2971" s="20"/>
      <c r="O2971" s="19"/>
      <c r="P2971" s="10"/>
      <c r="Q2971" s="10"/>
      <c r="R2971" s="10"/>
      <c r="S2971" s="10"/>
      <c r="T2971" s="10"/>
      <c r="U2971" s="10"/>
      <c r="V2971" s="10"/>
      <c r="W2971" s="10"/>
      <c r="X2971" s="10"/>
      <c r="Y2971" s="10"/>
    </row>
    <row r="2972" spans="1:25" x14ac:dyDescent="0.25">
      <c r="A2972" s="9">
        <v>43510</v>
      </c>
      <c r="B2972" s="10">
        <f ca="1">ROUND(_xlfn.NORM.INV(RAND(),Reference!$C$8,0.1*Reference!$C$8)*(1+Reference!$C$11*(IF(MONTH($A2972)=Reference!$C$4,1,0)+IF(MONTH($A2972)=Reference!$C$5,1,0))+(IF(MONTH($A2972)=Reference!$C$6,Reference!$C$13,0))),0)</f>
        <v>357</v>
      </c>
      <c r="C2972" s="11">
        <f ca="1">B2972*Reference!$C$7*(1-IF(MONTH($A2972)=Reference!$C$6,1,0)*Reference!$C$12)</f>
        <v>332010</v>
      </c>
      <c r="D2972" s="10">
        <f ca="1">ROUND(_xlfn.NORM.INV(RAND(),Reference!$D$8,0.1*Reference!$D$8)*(1+Reference!$D$11*(IF(MONTH($A2972)=Reference!$D$4,1,0)+IF(MONTH($A2972)=Reference!$D$5,1,0))+(IF(MONTH($A2972)=Reference!$D$6,Reference!$D$13,0))),0)</f>
        <v>503</v>
      </c>
      <c r="E2972" s="11">
        <f ca="1">D2972*Reference!$D$7*(1-IF(MONTH($A2972)=Reference!$D$6,1,0)*Reference!$D$12)</f>
        <v>377250</v>
      </c>
      <c r="M2972" s="20"/>
      <c r="N2972" s="20"/>
      <c r="O2972" s="19"/>
      <c r="P2972" s="10"/>
      <c r="Q2972" s="10"/>
      <c r="R2972" s="10"/>
      <c r="S2972" s="10"/>
      <c r="T2972" s="10"/>
      <c r="U2972" s="10"/>
      <c r="V2972" s="10"/>
      <c r="W2972" s="10"/>
      <c r="X2972" s="10"/>
      <c r="Y2972" s="10"/>
    </row>
    <row r="2973" spans="1:25" x14ac:dyDescent="0.25">
      <c r="A2973" s="9">
        <v>43511</v>
      </c>
      <c r="B2973" s="10">
        <f ca="1">ROUND(_xlfn.NORM.INV(RAND(),Reference!$C$8,0.1*Reference!$C$8)*(1+Reference!$C$11*(IF(MONTH($A2973)=Reference!$C$4,1,0)+IF(MONTH($A2973)=Reference!$C$5,1,0))+(IF(MONTH($A2973)=Reference!$C$6,Reference!$C$13,0))),0)</f>
        <v>326</v>
      </c>
      <c r="C2973" s="11">
        <f ca="1">B2973*Reference!$C$7*(1-IF(MONTH($A2973)=Reference!$C$6,1,0)*Reference!$C$12)</f>
        <v>303180</v>
      </c>
      <c r="D2973" s="10">
        <f ca="1">ROUND(_xlfn.NORM.INV(RAND(),Reference!$D$8,0.1*Reference!$D$8)*(1+Reference!$D$11*(IF(MONTH($A2973)=Reference!$D$4,1,0)+IF(MONTH($A2973)=Reference!$D$5,1,0))+(IF(MONTH($A2973)=Reference!$D$6,Reference!$D$13,0))),0)</f>
        <v>557</v>
      </c>
      <c r="E2973" s="11">
        <f ca="1">D2973*Reference!$D$7*(1-IF(MONTH($A2973)=Reference!$D$6,1,0)*Reference!$D$12)</f>
        <v>417750</v>
      </c>
      <c r="M2973" s="20"/>
      <c r="N2973" s="20"/>
      <c r="O2973" s="19"/>
      <c r="P2973" s="10"/>
      <c r="Q2973" s="10"/>
      <c r="R2973" s="10"/>
      <c r="S2973" s="10"/>
      <c r="T2973" s="10"/>
      <c r="U2973" s="10"/>
      <c r="V2973" s="10"/>
      <c r="W2973" s="10"/>
      <c r="X2973" s="10"/>
      <c r="Y2973" s="10"/>
    </row>
    <row r="2974" spans="1:25" x14ac:dyDescent="0.25">
      <c r="A2974" s="9">
        <v>43512</v>
      </c>
      <c r="B2974" s="10">
        <f ca="1">ROUND(_xlfn.NORM.INV(RAND(),Reference!$C$8,0.1*Reference!$C$8)*(1+Reference!$C$11*(IF(MONTH($A2974)=Reference!$C$4,1,0)+IF(MONTH($A2974)=Reference!$C$5,1,0))+(IF(MONTH($A2974)=Reference!$C$6,Reference!$C$13,0))),0)</f>
        <v>368</v>
      </c>
      <c r="C2974" s="11">
        <f ca="1">B2974*Reference!$C$7*(1-IF(MONTH($A2974)=Reference!$C$6,1,0)*Reference!$C$12)</f>
        <v>342240</v>
      </c>
      <c r="D2974" s="10">
        <f ca="1">ROUND(_xlfn.NORM.INV(RAND(),Reference!$D$8,0.1*Reference!$D$8)*(1+Reference!$D$11*(IF(MONTH($A2974)=Reference!$D$4,1,0)+IF(MONTH($A2974)=Reference!$D$5,1,0))+(IF(MONTH($A2974)=Reference!$D$6,Reference!$D$13,0))),0)</f>
        <v>451</v>
      </c>
      <c r="E2974" s="11">
        <f ca="1">D2974*Reference!$D$7*(1-IF(MONTH($A2974)=Reference!$D$6,1,0)*Reference!$D$12)</f>
        <v>338250</v>
      </c>
      <c r="M2974" s="20"/>
      <c r="N2974" s="20"/>
      <c r="O2974" s="19"/>
      <c r="P2974" s="10"/>
      <c r="Q2974" s="10"/>
      <c r="R2974" s="10"/>
      <c r="S2974" s="10"/>
      <c r="T2974" s="10"/>
      <c r="U2974" s="10"/>
      <c r="V2974" s="10"/>
      <c r="W2974" s="10"/>
      <c r="X2974" s="10"/>
      <c r="Y2974" s="10"/>
    </row>
    <row r="2975" spans="1:25" x14ac:dyDescent="0.25">
      <c r="A2975" s="9">
        <v>43513</v>
      </c>
      <c r="B2975" s="10">
        <f ca="1">ROUND(_xlfn.NORM.INV(RAND(),Reference!$C$8,0.1*Reference!$C$8)*(1+Reference!$C$11*(IF(MONTH($A2975)=Reference!$C$4,1,0)+IF(MONTH($A2975)=Reference!$C$5,1,0))+(IF(MONTH($A2975)=Reference!$C$6,Reference!$C$13,0))),0)</f>
        <v>437</v>
      </c>
      <c r="C2975" s="11">
        <f ca="1">B2975*Reference!$C$7*(1-IF(MONTH($A2975)=Reference!$C$6,1,0)*Reference!$C$12)</f>
        <v>406410</v>
      </c>
      <c r="D2975" s="10">
        <f ca="1">ROUND(_xlfn.NORM.INV(RAND(),Reference!$D$8,0.1*Reference!$D$8)*(1+Reference!$D$11*(IF(MONTH($A2975)=Reference!$D$4,1,0)+IF(MONTH($A2975)=Reference!$D$5,1,0))+(IF(MONTH($A2975)=Reference!$D$6,Reference!$D$13,0))),0)</f>
        <v>550</v>
      </c>
      <c r="E2975" s="11">
        <f ca="1">D2975*Reference!$D$7*(1-IF(MONTH($A2975)=Reference!$D$6,1,0)*Reference!$D$12)</f>
        <v>412500</v>
      </c>
      <c r="M2975" s="20"/>
      <c r="N2975" s="20"/>
      <c r="O2975" s="19"/>
      <c r="P2975" s="10"/>
      <c r="Q2975" s="10"/>
      <c r="R2975" s="10"/>
      <c r="S2975" s="10"/>
      <c r="T2975" s="10"/>
      <c r="U2975" s="10"/>
      <c r="V2975" s="10"/>
      <c r="W2975" s="10"/>
      <c r="X2975" s="10"/>
      <c r="Y2975" s="10"/>
    </row>
    <row r="2976" spans="1:25" x14ac:dyDescent="0.25">
      <c r="A2976" s="9">
        <v>43514</v>
      </c>
      <c r="B2976" s="10">
        <f ca="1">ROUND(_xlfn.NORM.INV(RAND(),Reference!$C$8,0.1*Reference!$C$8)*(1+Reference!$C$11*(IF(MONTH($A2976)=Reference!$C$4,1,0)+IF(MONTH($A2976)=Reference!$C$5,1,0))+(IF(MONTH($A2976)=Reference!$C$6,Reference!$C$13,0))),0)</f>
        <v>387</v>
      </c>
      <c r="C2976" s="11">
        <f ca="1">B2976*Reference!$C$7*(1-IF(MONTH($A2976)=Reference!$C$6,1,0)*Reference!$C$12)</f>
        <v>359910</v>
      </c>
      <c r="D2976" s="10">
        <f ca="1">ROUND(_xlfn.NORM.INV(RAND(),Reference!$D$8,0.1*Reference!$D$8)*(1+Reference!$D$11*(IF(MONTH($A2976)=Reference!$D$4,1,0)+IF(MONTH($A2976)=Reference!$D$5,1,0))+(IF(MONTH($A2976)=Reference!$D$6,Reference!$D$13,0))),0)</f>
        <v>462</v>
      </c>
      <c r="E2976" s="11">
        <f ca="1">D2976*Reference!$D$7*(1-IF(MONTH($A2976)=Reference!$D$6,1,0)*Reference!$D$12)</f>
        <v>346500</v>
      </c>
      <c r="M2976" s="20"/>
      <c r="N2976" s="20"/>
      <c r="O2976" s="19"/>
      <c r="P2976" s="10"/>
      <c r="Q2976" s="10"/>
      <c r="R2976" s="10"/>
      <c r="S2976" s="10"/>
      <c r="T2976" s="10"/>
      <c r="U2976" s="10"/>
      <c r="V2976" s="10"/>
      <c r="W2976" s="10"/>
      <c r="X2976" s="10"/>
      <c r="Y2976" s="10"/>
    </row>
    <row r="2977" spans="1:25" x14ac:dyDescent="0.25">
      <c r="A2977" s="9">
        <v>43515</v>
      </c>
      <c r="B2977" s="10">
        <f ca="1">ROUND(_xlfn.NORM.INV(RAND(),Reference!$C$8,0.1*Reference!$C$8)*(1+Reference!$C$11*(IF(MONTH($A2977)=Reference!$C$4,1,0)+IF(MONTH($A2977)=Reference!$C$5,1,0))+(IF(MONTH($A2977)=Reference!$C$6,Reference!$C$13,0))),0)</f>
        <v>353</v>
      </c>
      <c r="C2977" s="11">
        <f ca="1">B2977*Reference!$C$7*(1-IF(MONTH($A2977)=Reference!$C$6,1,0)*Reference!$C$12)</f>
        <v>328290</v>
      </c>
      <c r="D2977" s="10">
        <f ca="1">ROUND(_xlfn.NORM.INV(RAND(),Reference!$D$8,0.1*Reference!$D$8)*(1+Reference!$D$11*(IF(MONTH($A2977)=Reference!$D$4,1,0)+IF(MONTH($A2977)=Reference!$D$5,1,0))+(IF(MONTH($A2977)=Reference!$D$6,Reference!$D$13,0))),0)</f>
        <v>457</v>
      </c>
      <c r="E2977" s="11">
        <f ca="1">D2977*Reference!$D$7*(1-IF(MONTH($A2977)=Reference!$D$6,1,0)*Reference!$D$12)</f>
        <v>342750</v>
      </c>
      <c r="M2977" s="20"/>
      <c r="N2977" s="20"/>
      <c r="O2977" s="19"/>
      <c r="P2977" s="10"/>
      <c r="Q2977" s="10"/>
      <c r="R2977" s="10"/>
      <c r="S2977" s="10"/>
      <c r="T2977" s="10"/>
      <c r="U2977" s="10"/>
      <c r="V2977" s="10"/>
      <c r="W2977" s="10"/>
      <c r="X2977" s="10"/>
      <c r="Y2977" s="10"/>
    </row>
    <row r="2978" spans="1:25" x14ac:dyDescent="0.25">
      <c r="A2978" s="9">
        <v>43516</v>
      </c>
      <c r="B2978" s="10">
        <f ca="1">ROUND(_xlfn.NORM.INV(RAND(),Reference!$C$8,0.1*Reference!$C$8)*(1+Reference!$C$11*(IF(MONTH($A2978)=Reference!$C$4,1,0)+IF(MONTH($A2978)=Reference!$C$5,1,0))+(IF(MONTH($A2978)=Reference!$C$6,Reference!$C$13,0))),0)</f>
        <v>394</v>
      </c>
      <c r="C2978" s="11">
        <f ca="1">B2978*Reference!$C$7*(1-IF(MONTH($A2978)=Reference!$C$6,1,0)*Reference!$C$12)</f>
        <v>366420</v>
      </c>
      <c r="D2978" s="10">
        <f ca="1">ROUND(_xlfn.NORM.INV(RAND(),Reference!$D$8,0.1*Reference!$D$8)*(1+Reference!$D$11*(IF(MONTH($A2978)=Reference!$D$4,1,0)+IF(MONTH($A2978)=Reference!$D$5,1,0))+(IF(MONTH($A2978)=Reference!$D$6,Reference!$D$13,0))),0)</f>
        <v>431</v>
      </c>
      <c r="E2978" s="11">
        <f ca="1">D2978*Reference!$D$7*(1-IF(MONTH($A2978)=Reference!$D$6,1,0)*Reference!$D$12)</f>
        <v>323250</v>
      </c>
      <c r="M2978" s="20"/>
      <c r="N2978" s="20"/>
      <c r="O2978" s="19"/>
      <c r="P2978" s="10"/>
      <c r="Q2978" s="10"/>
      <c r="R2978" s="10"/>
      <c r="S2978" s="10"/>
      <c r="T2978" s="10"/>
      <c r="U2978" s="10"/>
      <c r="V2978" s="10"/>
      <c r="W2978" s="10"/>
      <c r="X2978" s="10"/>
      <c r="Y2978" s="10"/>
    </row>
    <row r="2979" spans="1:25" x14ac:dyDescent="0.25">
      <c r="A2979" s="9">
        <v>43517</v>
      </c>
      <c r="B2979" s="10">
        <f ca="1">ROUND(_xlfn.NORM.INV(RAND(),Reference!$C$8,0.1*Reference!$C$8)*(1+Reference!$C$11*(IF(MONTH($A2979)=Reference!$C$4,1,0)+IF(MONTH($A2979)=Reference!$C$5,1,0))+(IF(MONTH($A2979)=Reference!$C$6,Reference!$C$13,0))),0)</f>
        <v>276</v>
      </c>
      <c r="C2979" s="11">
        <f ca="1">B2979*Reference!$C$7*(1-IF(MONTH($A2979)=Reference!$C$6,1,0)*Reference!$C$12)</f>
        <v>256680</v>
      </c>
      <c r="D2979" s="10">
        <f ca="1">ROUND(_xlfn.NORM.INV(RAND(),Reference!$D$8,0.1*Reference!$D$8)*(1+Reference!$D$11*(IF(MONTH($A2979)=Reference!$D$4,1,0)+IF(MONTH($A2979)=Reference!$D$5,1,0))+(IF(MONTH($A2979)=Reference!$D$6,Reference!$D$13,0))),0)</f>
        <v>387</v>
      </c>
      <c r="E2979" s="11">
        <f ca="1">D2979*Reference!$D$7*(1-IF(MONTH($A2979)=Reference!$D$6,1,0)*Reference!$D$12)</f>
        <v>290250</v>
      </c>
      <c r="M2979" s="20"/>
      <c r="N2979" s="20"/>
      <c r="O2979" s="19"/>
      <c r="P2979" s="10"/>
      <c r="Q2979" s="10"/>
      <c r="R2979" s="10"/>
      <c r="S2979" s="10"/>
      <c r="T2979" s="10"/>
      <c r="U2979" s="10"/>
      <c r="V2979" s="10"/>
      <c r="W2979" s="10"/>
      <c r="X2979" s="10"/>
      <c r="Y2979" s="10"/>
    </row>
    <row r="2980" spans="1:25" x14ac:dyDescent="0.25">
      <c r="A2980" s="9">
        <v>43518</v>
      </c>
      <c r="B2980" s="10">
        <f ca="1">ROUND(_xlfn.NORM.INV(RAND(),Reference!$C$8,0.1*Reference!$C$8)*(1+Reference!$C$11*(IF(MONTH($A2980)=Reference!$C$4,1,0)+IF(MONTH($A2980)=Reference!$C$5,1,0))+(IF(MONTH($A2980)=Reference!$C$6,Reference!$C$13,0))),0)</f>
        <v>347</v>
      </c>
      <c r="C2980" s="11">
        <f ca="1">B2980*Reference!$C$7*(1-IF(MONTH($A2980)=Reference!$C$6,1,0)*Reference!$C$12)</f>
        <v>322710</v>
      </c>
      <c r="D2980" s="10">
        <f ca="1">ROUND(_xlfn.NORM.INV(RAND(),Reference!$D$8,0.1*Reference!$D$8)*(1+Reference!$D$11*(IF(MONTH($A2980)=Reference!$D$4,1,0)+IF(MONTH($A2980)=Reference!$D$5,1,0))+(IF(MONTH($A2980)=Reference!$D$6,Reference!$D$13,0))),0)</f>
        <v>374</v>
      </c>
      <c r="E2980" s="11">
        <f ca="1">D2980*Reference!$D$7*(1-IF(MONTH($A2980)=Reference!$D$6,1,0)*Reference!$D$12)</f>
        <v>280500</v>
      </c>
      <c r="M2980" s="20"/>
      <c r="N2980" s="20"/>
      <c r="O2980" s="19"/>
      <c r="P2980" s="10"/>
      <c r="Q2980" s="10"/>
      <c r="R2980" s="10"/>
      <c r="S2980" s="10"/>
      <c r="T2980" s="10"/>
      <c r="U2980" s="10"/>
      <c r="V2980" s="10"/>
      <c r="W2980" s="10"/>
      <c r="X2980" s="10"/>
      <c r="Y2980" s="10"/>
    </row>
    <row r="2981" spans="1:25" x14ac:dyDescent="0.25">
      <c r="A2981" s="9">
        <v>43519</v>
      </c>
      <c r="B2981" s="10">
        <f ca="1">ROUND(_xlfn.NORM.INV(RAND(),Reference!$C$8,0.1*Reference!$C$8)*(1+Reference!$C$11*(IF(MONTH($A2981)=Reference!$C$4,1,0)+IF(MONTH($A2981)=Reference!$C$5,1,0))+(IF(MONTH($A2981)=Reference!$C$6,Reference!$C$13,0))),0)</f>
        <v>340</v>
      </c>
      <c r="C2981" s="11">
        <f ca="1">B2981*Reference!$C$7*(1-IF(MONTH($A2981)=Reference!$C$6,1,0)*Reference!$C$12)</f>
        <v>316200</v>
      </c>
      <c r="D2981" s="10">
        <f ca="1">ROUND(_xlfn.NORM.INV(RAND(),Reference!$D$8,0.1*Reference!$D$8)*(1+Reference!$D$11*(IF(MONTH($A2981)=Reference!$D$4,1,0)+IF(MONTH($A2981)=Reference!$D$5,1,0))+(IF(MONTH($A2981)=Reference!$D$6,Reference!$D$13,0))),0)</f>
        <v>469</v>
      </c>
      <c r="E2981" s="11">
        <f ca="1">D2981*Reference!$D$7*(1-IF(MONTH($A2981)=Reference!$D$6,1,0)*Reference!$D$12)</f>
        <v>351750</v>
      </c>
      <c r="M2981" s="20"/>
      <c r="N2981" s="20"/>
      <c r="O2981" s="19"/>
      <c r="P2981" s="10"/>
      <c r="Q2981" s="10"/>
      <c r="R2981" s="10"/>
      <c r="S2981" s="10"/>
      <c r="T2981" s="10"/>
      <c r="U2981" s="10"/>
      <c r="V2981" s="10"/>
      <c r="W2981" s="10"/>
      <c r="X2981" s="10"/>
      <c r="Y2981" s="10"/>
    </row>
    <row r="2982" spans="1:25" x14ac:dyDescent="0.25">
      <c r="A2982" s="9">
        <v>43520</v>
      </c>
      <c r="B2982" s="10">
        <f ca="1">ROUND(_xlfn.NORM.INV(RAND(),Reference!$C$8,0.1*Reference!$C$8)*(1+Reference!$C$11*(IF(MONTH($A2982)=Reference!$C$4,1,0)+IF(MONTH($A2982)=Reference!$C$5,1,0))+(IF(MONTH($A2982)=Reference!$C$6,Reference!$C$13,0))),0)</f>
        <v>373</v>
      </c>
      <c r="C2982" s="11">
        <f ca="1">B2982*Reference!$C$7*(1-IF(MONTH($A2982)=Reference!$C$6,1,0)*Reference!$C$12)</f>
        <v>346890</v>
      </c>
      <c r="D2982" s="10">
        <f ca="1">ROUND(_xlfn.NORM.INV(RAND(),Reference!$D$8,0.1*Reference!$D$8)*(1+Reference!$D$11*(IF(MONTH($A2982)=Reference!$D$4,1,0)+IF(MONTH($A2982)=Reference!$D$5,1,0))+(IF(MONTH($A2982)=Reference!$D$6,Reference!$D$13,0))),0)</f>
        <v>446</v>
      </c>
      <c r="E2982" s="11">
        <f ca="1">D2982*Reference!$D$7*(1-IF(MONTH($A2982)=Reference!$D$6,1,0)*Reference!$D$12)</f>
        <v>334500</v>
      </c>
      <c r="M2982" s="20"/>
      <c r="N2982" s="20"/>
      <c r="O2982" s="19"/>
      <c r="P2982" s="10"/>
      <c r="Q2982" s="10"/>
      <c r="R2982" s="10"/>
      <c r="S2982" s="10"/>
      <c r="T2982" s="10"/>
      <c r="U2982" s="10"/>
      <c r="V2982" s="10"/>
      <c r="W2982" s="10"/>
      <c r="X2982" s="10"/>
      <c r="Y2982" s="10"/>
    </row>
    <row r="2983" spans="1:25" x14ac:dyDescent="0.25">
      <c r="A2983" s="9">
        <v>43521</v>
      </c>
      <c r="B2983" s="10">
        <f ca="1">ROUND(_xlfn.NORM.INV(RAND(),Reference!$C$8,0.1*Reference!$C$8)*(1+Reference!$C$11*(IF(MONTH($A2983)=Reference!$C$4,1,0)+IF(MONTH($A2983)=Reference!$C$5,1,0))+(IF(MONTH($A2983)=Reference!$C$6,Reference!$C$13,0))),0)</f>
        <v>330</v>
      </c>
      <c r="C2983" s="11">
        <f ca="1">B2983*Reference!$C$7*(1-IF(MONTH($A2983)=Reference!$C$6,1,0)*Reference!$C$12)</f>
        <v>306900</v>
      </c>
      <c r="D2983" s="10">
        <f ca="1">ROUND(_xlfn.NORM.INV(RAND(),Reference!$D$8,0.1*Reference!$D$8)*(1+Reference!$D$11*(IF(MONTH($A2983)=Reference!$D$4,1,0)+IF(MONTH($A2983)=Reference!$D$5,1,0))+(IF(MONTH($A2983)=Reference!$D$6,Reference!$D$13,0))),0)</f>
        <v>366</v>
      </c>
      <c r="E2983" s="11">
        <f ca="1">D2983*Reference!$D$7*(1-IF(MONTH($A2983)=Reference!$D$6,1,0)*Reference!$D$12)</f>
        <v>274500</v>
      </c>
      <c r="M2983" s="20"/>
      <c r="N2983" s="20"/>
      <c r="O2983" s="19"/>
      <c r="P2983" s="10"/>
      <c r="Q2983" s="10"/>
      <c r="R2983" s="10"/>
      <c r="S2983" s="10"/>
      <c r="T2983" s="10"/>
      <c r="U2983" s="10"/>
      <c r="V2983" s="10"/>
      <c r="W2983" s="10"/>
      <c r="X2983" s="10"/>
      <c r="Y2983" s="10"/>
    </row>
    <row r="2984" spans="1:25" x14ac:dyDescent="0.25">
      <c r="A2984" s="9">
        <v>43522</v>
      </c>
      <c r="B2984" s="10">
        <f ca="1">ROUND(_xlfn.NORM.INV(RAND(),Reference!$C$8,0.1*Reference!$C$8)*(1+Reference!$C$11*(IF(MONTH($A2984)=Reference!$C$4,1,0)+IF(MONTH($A2984)=Reference!$C$5,1,0))+(IF(MONTH($A2984)=Reference!$C$6,Reference!$C$13,0))),0)</f>
        <v>378</v>
      </c>
      <c r="C2984" s="11">
        <f ca="1">B2984*Reference!$C$7*(1-IF(MONTH($A2984)=Reference!$C$6,1,0)*Reference!$C$12)</f>
        <v>351540</v>
      </c>
      <c r="D2984" s="10">
        <f ca="1">ROUND(_xlfn.NORM.INV(RAND(),Reference!$D$8,0.1*Reference!$D$8)*(1+Reference!$D$11*(IF(MONTH($A2984)=Reference!$D$4,1,0)+IF(MONTH($A2984)=Reference!$D$5,1,0))+(IF(MONTH($A2984)=Reference!$D$6,Reference!$D$13,0))),0)</f>
        <v>443</v>
      </c>
      <c r="E2984" s="11">
        <f ca="1">D2984*Reference!$D$7*(1-IF(MONTH($A2984)=Reference!$D$6,1,0)*Reference!$D$12)</f>
        <v>332250</v>
      </c>
      <c r="M2984" s="20"/>
      <c r="N2984" s="20"/>
      <c r="O2984" s="19"/>
      <c r="P2984" s="10"/>
      <c r="Q2984" s="10"/>
      <c r="R2984" s="10"/>
      <c r="S2984" s="10"/>
      <c r="T2984" s="10"/>
      <c r="U2984" s="10"/>
      <c r="V2984" s="10"/>
      <c r="W2984" s="10"/>
      <c r="X2984" s="10"/>
      <c r="Y2984" s="10"/>
    </row>
    <row r="2985" spans="1:25" x14ac:dyDescent="0.25">
      <c r="A2985" s="9">
        <v>43523</v>
      </c>
      <c r="B2985" s="10">
        <f ca="1">ROUND(_xlfn.NORM.INV(RAND(),Reference!$C$8,0.1*Reference!$C$8)*(1+Reference!$C$11*(IF(MONTH($A2985)=Reference!$C$4,1,0)+IF(MONTH($A2985)=Reference!$C$5,1,0))+(IF(MONTH($A2985)=Reference!$C$6,Reference!$C$13,0))),0)</f>
        <v>305</v>
      </c>
      <c r="C2985" s="11">
        <f ca="1">B2985*Reference!$C$7*(1-IF(MONTH($A2985)=Reference!$C$6,1,0)*Reference!$C$12)</f>
        <v>283650</v>
      </c>
      <c r="D2985" s="10">
        <f ca="1">ROUND(_xlfn.NORM.INV(RAND(),Reference!$D$8,0.1*Reference!$D$8)*(1+Reference!$D$11*(IF(MONTH($A2985)=Reference!$D$4,1,0)+IF(MONTH($A2985)=Reference!$D$5,1,0))+(IF(MONTH($A2985)=Reference!$D$6,Reference!$D$13,0))),0)</f>
        <v>537</v>
      </c>
      <c r="E2985" s="11">
        <f ca="1">D2985*Reference!$D$7*(1-IF(MONTH($A2985)=Reference!$D$6,1,0)*Reference!$D$12)</f>
        <v>402750</v>
      </c>
      <c r="M2985" s="20"/>
      <c r="N2985" s="20"/>
      <c r="O2985" s="19"/>
      <c r="P2985" s="10"/>
      <c r="Q2985" s="10"/>
      <c r="R2985" s="10"/>
      <c r="S2985" s="10"/>
      <c r="T2985" s="10"/>
      <c r="U2985" s="10"/>
      <c r="V2985" s="10"/>
      <c r="W2985" s="10"/>
      <c r="X2985" s="10"/>
      <c r="Y2985" s="10"/>
    </row>
    <row r="2986" spans="1:25" x14ac:dyDescent="0.25">
      <c r="A2986" s="9">
        <v>43524</v>
      </c>
      <c r="B2986" s="10">
        <f ca="1">ROUND(_xlfn.NORM.INV(RAND(),Reference!$C$8,0.1*Reference!$C$8)*(1+Reference!$C$11*(IF(MONTH($A2986)=Reference!$C$4,1,0)+IF(MONTH($A2986)=Reference!$C$5,1,0))+(IF(MONTH($A2986)=Reference!$C$6,Reference!$C$13,0))),0)</f>
        <v>355</v>
      </c>
      <c r="C2986" s="11">
        <f ca="1">B2986*Reference!$C$7*(1-IF(MONTH($A2986)=Reference!$C$6,1,0)*Reference!$C$12)</f>
        <v>330150</v>
      </c>
      <c r="D2986" s="10">
        <f ca="1">ROUND(_xlfn.NORM.INV(RAND(),Reference!$D$8,0.1*Reference!$D$8)*(1+Reference!$D$11*(IF(MONTH($A2986)=Reference!$D$4,1,0)+IF(MONTH($A2986)=Reference!$D$5,1,0))+(IF(MONTH($A2986)=Reference!$D$6,Reference!$D$13,0))),0)</f>
        <v>473</v>
      </c>
      <c r="E2986" s="11">
        <f ca="1">D2986*Reference!$D$7*(1-IF(MONTH($A2986)=Reference!$D$6,1,0)*Reference!$D$12)</f>
        <v>354750</v>
      </c>
      <c r="M2986" s="20"/>
      <c r="N2986" s="20"/>
      <c r="O2986" s="19"/>
      <c r="P2986" s="10"/>
      <c r="Q2986" s="10"/>
      <c r="R2986" s="10"/>
      <c r="S2986" s="10"/>
      <c r="T2986" s="10"/>
      <c r="U2986" s="10"/>
      <c r="V2986" s="10"/>
      <c r="W2986" s="10"/>
      <c r="X2986" s="10"/>
      <c r="Y2986" s="10"/>
    </row>
    <row r="2987" spans="1:25" x14ac:dyDescent="0.25">
      <c r="A2987" s="9">
        <v>43525</v>
      </c>
      <c r="B2987" s="10">
        <f ca="1">ROUND(_xlfn.NORM.INV(RAND(),Reference!$C$8,0.1*Reference!$C$8)*(1+Reference!$C$11*(IF(MONTH($A2987)=Reference!$C$4,1,0)+IF(MONTH($A2987)=Reference!$C$5,1,0))+(IF(MONTH($A2987)=Reference!$C$6,Reference!$C$13,0))),0)</f>
        <v>407</v>
      </c>
      <c r="C2987" s="11">
        <f ca="1">B2987*Reference!$C$7*(1-IF(MONTH($A2987)=Reference!$C$6,1,0)*Reference!$C$12)</f>
        <v>378510</v>
      </c>
      <c r="D2987" s="10">
        <f ca="1">ROUND(_xlfn.NORM.INV(RAND(),Reference!$D$8,0.1*Reference!$D$8)*(1+Reference!$D$11*(IF(MONTH($A2987)=Reference!$D$4,1,0)+IF(MONTH($A2987)=Reference!$D$5,1,0))+(IF(MONTH($A2987)=Reference!$D$6,Reference!$D$13,0))),0)</f>
        <v>433</v>
      </c>
      <c r="E2987" s="11">
        <f ca="1">D2987*Reference!$D$7*(1-IF(MONTH($A2987)=Reference!$D$6,1,0)*Reference!$D$12)</f>
        <v>324750</v>
      </c>
      <c r="M2987" s="20"/>
      <c r="N2987" s="20"/>
      <c r="O2987" s="19"/>
      <c r="P2987" s="10"/>
      <c r="Q2987" s="10"/>
      <c r="R2987" s="10"/>
      <c r="S2987" s="10"/>
      <c r="T2987" s="10"/>
      <c r="U2987" s="10"/>
      <c r="V2987" s="10"/>
      <c r="W2987" s="10"/>
      <c r="X2987" s="10"/>
      <c r="Y2987" s="10"/>
    </row>
    <row r="2988" spans="1:25" x14ac:dyDescent="0.25">
      <c r="A2988" s="9">
        <v>43526</v>
      </c>
      <c r="B2988" s="10">
        <f ca="1">ROUND(_xlfn.NORM.INV(RAND(),Reference!$C$8,0.1*Reference!$C$8)*(1+Reference!$C$11*(IF(MONTH($A2988)=Reference!$C$4,1,0)+IF(MONTH($A2988)=Reference!$C$5,1,0))+(IF(MONTH($A2988)=Reference!$C$6,Reference!$C$13,0))),0)</f>
        <v>391</v>
      </c>
      <c r="C2988" s="11">
        <f ca="1">B2988*Reference!$C$7*(1-IF(MONTH($A2988)=Reference!$C$6,1,0)*Reference!$C$12)</f>
        <v>363630</v>
      </c>
      <c r="D2988" s="10">
        <f ca="1">ROUND(_xlfn.NORM.INV(RAND(),Reference!$D$8,0.1*Reference!$D$8)*(1+Reference!$D$11*(IF(MONTH($A2988)=Reference!$D$4,1,0)+IF(MONTH($A2988)=Reference!$D$5,1,0))+(IF(MONTH($A2988)=Reference!$D$6,Reference!$D$13,0))),0)</f>
        <v>451</v>
      </c>
      <c r="E2988" s="11">
        <f ca="1">D2988*Reference!$D$7*(1-IF(MONTH($A2988)=Reference!$D$6,1,0)*Reference!$D$12)</f>
        <v>338250</v>
      </c>
      <c r="M2988" s="20"/>
      <c r="N2988" s="20"/>
      <c r="O2988" s="19"/>
      <c r="P2988" s="10"/>
      <c r="Q2988" s="10"/>
      <c r="R2988" s="10"/>
      <c r="S2988" s="10"/>
      <c r="T2988" s="10"/>
      <c r="U2988" s="10"/>
      <c r="V2988" s="10"/>
      <c r="W2988" s="10"/>
      <c r="X2988" s="10"/>
      <c r="Y2988" s="10"/>
    </row>
    <row r="2989" spans="1:25" x14ac:dyDescent="0.25">
      <c r="A2989" s="9">
        <v>43527</v>
      </c>
      <c r="B2989" s="10">
        <f ca="1">ROUND(_xlfn.NORM.INV(RAND(),Reference!$C$8,0.1*Reference!$C$8)*(1+Reference!$C$11*(IF(MONTH($A2989)=Reference!$C$4,1,0)+IF(MONTH($A2989)=Reference!$C$5,1,0))+(IF(MONTH($A2989)=Reference!$C$6,Reference!$C$13,0))),0)</f>
        <v>400</v>
      </c>
      <c r="C2989" s="11">
        <f ca="1">B2989*Reference!$C$7*(1-IF(MONTH($A2989)=Reference!$C$6,1,0)*Reference!$C$12)</f>
        <v>372000</v>
      </c>
      <c r="D2989" s="10">
        <f ca="1">ROUND(_xlfn.NORM.INV(RAND(),Reference!$D$8,0.1*Reference!$D$8)*(1+Reference!$D$11*(IF(MONTH($A2989)=Reference!$D$4,1,0)+IF(MONTH($A2989)=Reference!$D$5,1,0))+(IF(MONTH($A2989)=Reference!$D$6,Reference!$D$13,0))),0)</f>
        <v>369</v>
      </c>
      <c r="E2989" s="11">
        <f ca="1">D2989*Reference!$D$7*(1-IF(MONTH($A2989)=Reference!$D$6,1,0)*Reference!$D$12)</f>
        <v>276750</v>
      </c>
      <c r="M2989" s="20"/>
      <c r="N2989" s="20"/>
      <c r="O2989" s="19"/>
      <c r="P2989" s="10"/>
      <c r="Q2989" s="10"/>
      <c r="R2989" s="10"/>
      <c r="S2989" s="10"/>
      <c r="T2989" s="10"/>
      <c r="U2989" s="10"/>
      <c r="V2989" s="10"/>
      <c r="W2989" s="10"/>
      <c r="X2989" s="10"/>
      <c r="Y2989" s="10"/>
    </row>
    <row r="2990" spans="1:25" x14ac:dyDescent="0.25">
      <c r="A2990" s="9">
        <v>43528</v>
      </c>
      <c r="B2990" s="10">
        <f ca="1">ROUND(_xlfn.NORM.INV(RAND(),Reference!$C$8,0.1*Reference!$C$8)*(1+Reference!$C$11*(IF(MONTH($A2990)=Reference!$C$4,1,0)+IF(MONTH($A2990)=Reference!$C$5,1,0))+(IF(MONTH($A2990)=Reference!$C$6,Reference!$C$13,0))),0)</f>
        <v>410</v>
      </c>
      <c r="C2990" s="11">
        <f ca="1">B2990*Reference!$C$7*(1-IF(MONTH($A2990)=Reference!$C$6,1,0)*Reference!$C$12)</f>
        <v>381300</v>
      </c>
      <c r="D2990" s="10">
        <f ca="1">ROUND(_xlfn.NORM.INV(RAND(),Reference!$D$8,0.1*Reference!$D$8)*(1+Reference!$D$11*(IF(MONTH($A2990)=Reference!$D$4,1,0)+IF(MONTH($A2990)=Reference!$D$5,1,0))+(IF(MONTH($A2990)=Reference!$D$6,Reference!$D$13,0))),0)</f>
        <v>414</v>
      </c>
      <c r="E2990" s="11">
        <f ca="1">D2990*Reference!$D$7*(1-IF(MONTH($A2990)=Reference!$D$6,1,0)*Reference!$D$12)</f>
        <v>310500</v>
      </c>
      <c r="M2990" s="20"/>
      <c r="N2990" s="20"/>
      <c r="O2990" s="19"/>
      <c r="P2990" s="10"/>
      <c r="Q2990" s="10"/>
      <c r="R2990" s="10"/>
      <c r="S2990" s="10"/>
      <c r="T2990" s="10"/>
      <c r="U2990" s="10"/>
      <c r="V2990" s="10"/>
      <c r="W2990" s="10"/>
      <c r="X2990" s="10"/>
      <c r="Y2990" s="10"/>
    </row>
    <row r="2991" spans="1:25" x14ac:dyDescent="0.25">
      <c r="A2991" s="9">
        <v>43529</v>
      </c>
      <c r="B2991" s="10">
        <f ca="1">ROUND(_xlfn.NORM.INV(RAND(),Reference!$C$8,0.1*Reference!$C$8)*(1+Reference!$C$11*(IF(MONTH($A2991)=Reference!$C$4,1,0)+IF(MONTH($A2991)=Reference!$C$5,1,0))+(IF(MONTH($A2991)=Reference!$C$6,Reference!$C$13,0))),0)</f>
        <v>309</v>
      </c>
      <c r="C2991" s="11">
        <f ca="1">B2991*Reference!$C$7*(1-IF(MONTH($A2991)=Reference!$C$6,1,0)*Reference!$C$12)</f>
        <v>287370</v>
      </c>
      <c r="D2991" s="10">
        <f ca="1">ROUND(_xlfn.NORM.INV(RAND(),Reference!$D$8,0.1*Reference!$D$8)*(1+Reference!$D$11*(IF(MONTH($A2991)=Reference!$D$4,1,0)+IF(MONTH($A2991)=Reference!$D$5,1,0))+(IF(MONTH($A2991)=Reference!$D$6,Reference!$D$13,0))),0)</f>
        <v>403</v>
      </c>
      <c r="E2991" s="11">
        <f ca="1">D2991*Reference!$D$7*(1-IF(MONTH($A2991)=Reference!$D$6,1,0)*Reference!$D$12)</f>
        <v>302250</v>
      </c>
      <c r="M2991" s="20"/>
      <c r="N2991" s="20"/>
      <c r="O2991" s="19"/>
      <c r="P2991" s="10"/>
      <c r="Q2991" s="10"/>
      <c r="R2991" s="10"/>
      <c r="S2991" s="10"/>
      <c r="T2991" s="10"/>
      <c r="U2991" s="10"/>
      <c r="V2991" s="10"/>
      <c r="W2991" s="10"/>
      <c r="X2991" s="10"/>
      <c r="Y2991" s="10"/>
    </row>
    <row r="2992" spans="1:25" x14ac:dyDescent="0.25">
      <c r="A2992" s="9">
        <v>43530</v>
      </c>
      <c r="B2992" s="10">
        <f ca="1">ROUND(_xlfn.NORM.INV(RAND(),Reference!$C$8,0.1*Reference!$C$8)*(1+Reference!$C$11*(IF(MONTH($A2992)=Reference!$C$4,1,0)+IF(MONTH($A2992)=Reference!$C$5,1,0))+(IF(MONTH($A2992)=Reference!$C$6,Reference!$C$13,0))),0)</f>
        <v>417</v>
      </c>
      <c r="C2992" s="11">
        <f ca="1">B2992*Reference!$C$7*(1-IF(MONTH($A2992)=Reference!$C$6,1,0)*Reference!$C$12)</f>
        <v>387810</v>
      </c>
      <c r="D2992" s="10">
        <f ca="1">ROUND(_xlfn.NORM.INV(RAND(),Reference!$D$8,0.1*Reference!$D$8)*(1+Reference!$D$11*(IF(MONTH($A2992)=Reference!$D$4,1,0)+IF(MONTH($A2992)=Reference!$D$5,1,0))+(IF(MONTH($A2992)=Reference!$D$6,Reference!$D$13,0))),0)</f>
        <v>415</v>
      </c>
      <c r="E2992" s="11">
        <f ca="1">D2992*Reference!$D$7*(1-IF(MONTH($A2992)=Reference!$D$6,1,0)*Reference!$D$12)</f>
        <v>311250</v>
      </c>
      <c r="M2992" s="20"/>
      <c r="N2992" s="20"/>
      <c r="O2992" s="19"/>
      <c r="P2992" s="10"/>
      <c r="Q2992" s="10"/>
      <c r="R2992" s="10"/>
      <c r="S2992" s="10"/>
      <c r="T2992" s="10"/>
      <c r="U2992" s="10"/>
      <c r="V2992" s="10"/>
      <c r="W2992" s="10"/>
      <c r="X2992" s="10"/>
      <c r="Y2992" s="10"/>
    </row>
    <row r="2993" spans="1:25" x14ac:dyDescent="0.25">
      <c r="A2993" s="9">
        <v>43531</v>
      </c>
      <c r="B2993" s="10">
        <f ca="1">ROUND(_xlfn.NORM.INV(RAND(),Reference!$C$8,0.1*Reference!$C$8)*(1+Reference!$C$11*(IF(MONTH($A2993)=Reference!$C$4,1,0)+IF(MONTH($A2993)=Reference!$C$5,1,0))+(IF(MONTH($A2993)=Reference!$C$6,Reference!$C$13,0))),0)</f>
        <v>363</v>
      </c>
      <c r="C2993" s="11">
        <f ca="1">B2993*Reference!$C$7*(1-IF(MONTH($A2993)=Reference!$C$6,1,0)*Reference!$C$12)</f>
        <v>337590</v>
      </c>
      <c r="D2993" s="10">
        <f ca="1">ROUND(_xlfn.NORM.INV(RAND(),Reference!$D$8,0.1*Reference!$D$8)*(1+Reference!$D$11*(IF(MONTH($A2993)=Reference!$D$4,1,0)+IF(MONTH($A2993)=Reference!$D$5,1,0))+(IF(MONTH($A2993)=Reference!$D$6,Reference!$D$13,0))),0)</f>
        <v>518</v>
      </c>
      <c r="E2993" s="11">
        <f ca="1">D2993*Reference!$D$7*(1-IF(MONTH($A2993)=Reference!$D$6,1,0)*Reference!$D$12)</f>
        <v>388500</v>
      </c>
      <c r="M2993" s="20"/>
      <c r="N2993" s="20"/>
      <c r="O2993" s="19"/>
      <c r="P2993" s="10"/>
      <c r="Q2993" s="10"/>
      <c r="R2993" s="10"/>
      <c r="S2993" s="10"/>
      <c r="T2993" s="10"/>
      <c r="U2993" s="10"/>
      <c r="V2993" s="10"/>
      <c r="W2993" s="10"/>
      <c r="X2993" s="10"/>
      <c r="Y2993" s="10"/>
    </row>
    <row r="2994" spans="1:25" x14ac:dyDescent="0.25">
      <c r="A2994" s="9">
        <v>43532</v>
      </c>
      <c r="B2994" s="10">
        <f ca="1">ROUND(_xlfn.NORM.INV(RAND(),Reference!$C$8,0.1*Reference!$C$8)*(1+Reference!$C$11*(IF(MONTH($A2994)=Reference!$C$4,1,0)+IF(MONTH($A2994)=Reference!$C$5,1,0))+(IF(MONTH($A2994)=Reference!$C$6,Reference!$C$13,0))),0)</f>
        <v>386</v>
      </c>
      <c r="C2994" s="11">
        <f ca="1">B2994*Reference!$C$7*(1-IF(MONTH($A2994)=Reference!$C$6,1,0)*Reference!$C$12)</f>
        <v>358980</v>
      </c>
      <c r="D2994" s="10">
        <f ca="1">ROUND(_xlfn.NORM.INV(RAND(),Reference!$D$8,0.1*Reference!$D$8)*(1+Reference!$D$11*(IF(MONTH($A2994)=Reference!$D$4,1,0)+IF(MONTH($A2994)=Reference!$D$5,1,0))+(IF(MONTH($A2994)=Reference!$D$6,Reference!$D$13,0))),0)</f>
        <v>441</v>
      </c>
      <c r="E2994" s="11">
        <f ca="1">D2994*Reference!$D$7*(1-IF(MONTH($A2994)=Reference!$D$6,1,0)*Reference!$D$12)</f>
        <v>330750</v>
      </c>
      <c r="M2994" s="20"/>
      <c r="N2994" s="20"/>
      <c r="O2994" s="19"/>
      <c r="P2994" s="10"/>
      <c r="Q2994" s="10"/>
      <c r="R2994" s="10"/>
      <c r="S2994" s="10"/>
      <c r="T2994" s="10"/>
      <c r="U2994" s="10"/>
      <c r="V2994" s="10"/>
      <c r="W2994" s="10"/>
      <c r="X2994" s="10"/>
      <c r="Y2994" s="10"/>
    </row>
    <row r="2995" spans="1:25" x14ac:dyDescent="0.25">
      <c r="A2995" s="9">
        <v>43533</v>
      </c>
      <c r="B2995" s="10">
        <f ca="1">ROUND(_xlfn.NORM.INV(RAND(),Reference!$C$8,0.1*Reference!$C$8)*(1+Reference!$C$11*(IF(MONTH($A2995)=Reference!$C$4,1,0)+IF(MONTH($A2995)=Reference!$C$5,1,0))+(IF(MONTH($A2995)=Reference!$C$6,Reference!$C$13,0))),0)</f>
        <v>373</v>
      </c>
      <c r="C2995" s="11">
        <f ca="1">B2995*Reference!$C$7*(1-IF(MONTH($A2995)=Reference!$C$6,1,0)*Reference!$C$12)</f>
        <v>346890</v>
      </c>
      <c r="D2995" s="10">
        <f ca="1">ROUND(_xlfn.NORM.INV(RAND(),Reference!$D$8,0.1*Reference!$D$8)*(1+Reference!$D$11*(IF(MONTH($A2995)=Reference!$D$4,1,0)+IF(MONTH($A2995)=Reference!$D$5,1,0))+(IF(MONTH($A2995)=Reference!$D$6,Reference!$D$13,0))),0)</f>
        <v>483</v>
      </c>
      <c r="E2995" s="11">
        <f ca="1">D2995*Reference!$D$7*(1-IF(MONTH($A2995)=Reference!$D$6,1,0)*Reference!$D$12)</f>
        <v>362250</v>
      </c>
      <c r="M2995" s="20"/>
      <c r="N2995" s="20"/>
      <c r="O2995" s="19"/>
      <c r="P2995" s="10"/>
      <c r="Q2995" s="10"/>
      <c r="R2995" s="10"/>
      <c r="S2995" s="10"/>
      <c r="T2995" s="10"/>
      <c r="U2995" s="10"/>
      <c r="V2995" s="10"/>
      <c r="W2995" s="10"/>
      <c r="X2995" s="10"/>
      <c r="Y2995" s="10"/>
    </row>
    <row r="2996" spans="1:25" x14ac:dyDescent="0.25">
      <c r="A2996" s="9">
        <v>43534</v>
      </c>
      <c r="B2996" s="10">
        <f ca="1">ROUND(_xlfn.NORM.INV(RAND(),Reference!$C$8,0.1*Reference!$C$8)*(1+Reference!$C$11*(IF(MONTH($A2996)=Reference!$C$4,1,0)+IF(MONTH($A2996)=Reference!$C$5,1,0))+(IF(MONTH($A2996)=Reference!$C$6,Reference!$C$13,0))),0)</f>
        <v>413</v>
      </c>
      <c r="C2996" s="11">
        <f ca="1">B2996*Reference!$C$7*(1-IF(MONTH($A2996)=Reference!$C$6,1,0)*Reference!$C$12)</f>
        <v>384090</v>
      </c>
      <c r="D2996" s="10">
        <f ca="1">ROUND(_xlfn.NORM.INV(RAND(),Reference!$D$8,0.1*Reference!$D$8)*(1+Reference!$D$11*(IF(MONTH($A2996)=Reference!$D$4,1,0)+IF(MONTH($A2996)=Reference!$D$5,1,0))+(IF(MONTH($A2996)=Reference!$D$6,Reference!$D$13,0))),0)</f>
        <v>475</v>
      </c>
      <c r="E2996" s="11">
        <f ca="1">D2996*Reference!$D$7*(1-IF(MONTH($A2996)=Reference!$D$6,1,0)*Reference!$D$12)</f>
        <v>356250</v>
      </c>
      <c r="M2996" s="20"/>
      <c r="N2996" s="20"/>
      <c r="O2996" s="19"/>
      <c r="P2996" s="10"/>
      <c r="Q2996" s="10"/>
      <c r="R2996" s="10"/>
      <c r="S2996" s="10"/>
      <c r="T2996" s="10"/>
      <c r="U2996" s="10"/>
      <c r="V2996" s="10"/>
      <c r="W2996" s="10"/>
      <c r="X2996" s="10"/>
      <c r="Y2996" s="10"/>
    </row>
    <row r="2997" spans="1:25" x14ac:dyDescent="0.25">
      <c r="A2997" s="9">
        <v>43535</v>
      </c>
      <c r="B2997" s="10">
        <f ca="1">ROUND(_xlfn.NORM.INV(RAND(),Reference!$C$8,0.1*Reference!$C$8)*(1+Reference!$C$11*(IF(MONTH($A2997)=Reference!$C$4,1,0)+IF(MONTH($A2997)=Reference!$C$5,1,0))+(IF(MONTH($A2997)=Reference!$C$6,Reference!$C$13,0))),0)</f>
        <v>324</v>
      </c>
      <c r="C2997" s="11">
        <f ca="1">B2997*Reference!$C$7*(1-IF(MONTH($A2997)=Reference!$C$6,1,0)*Reference!$C$12)</f>
        <v>301320</v>
      </c>
      <c r="D2997" s="10">
        <f ca="1">ROUND(_xlfn.NORM.INV(RAND(),Reference!$D$8,0.1*Reference!$D$8)*(1+Reference!$D$11*(IF(MONTH($A2997)=Reference!$D$4,1,0)+IF(MONTH($A2997)=Reference!$D$5,1,0))+(IF(MONTH($A2997)=Reference!$D$6,Reference!$D$13,0))),0)</f>
        <v>374</v>
      </c>
      <c r="E2997" s="11">
        <f ca="1">D2997*Reference!$D$7*(1-IF(MONTH($A2997)=Reference!$D$6,1,0)*Reference!$D$12)</f>
        <v>280500</v>
      </c>
      <c r="M2997" s="20"/>
      <c r="N2997" s="20"/>
      <c r="O2997" s="19"/>
      <c r="P2997" s="10"/>
      <c r="Q2997" s="10"/>
      <c r="R2997" s="10"/>
      <c r="S2997" s="10"/>
      <c r="T2997" s="10"/>
      <c r="U2997" s="10"/>
      <c r="V2997" s="10"/>
      <c r="W2997" s="10"/>
      <c r="X2997" s="10"/>
      <c r="Y2997" s="10"/>
    </row>
    <row r="2998" spans="1:25" x14ac:dyDescent="0.25">
      <c r="A2998" s="9">
        <v>43536</v>
      </c>
      <c r="B2998" s="10">
        <f ca="1">ROUND(_xlfn.NORM.INV(RAND(),Reference!$C$8,0.1*Reference!$C$8)*(1+Reference!$C$11*(IF(MONTH($A2998)=Reference!$C$4,1,0)+IF(MONTH($A2998)=Reference!$C$5,1,0))+(IF(MONTH($A2998)=Reference!$C$6,Reference!$C$13,0))),0)</f>
        <v>378</v>
      </c>
      <c r="C2998" s="11">
        <f ca="1">B2998*Reference!$C$7*(1-IF(MONTH($A2998)=Reference!$C$6,1,0)*Reference!$C$12)</f>
        <v>351540</v>
      </c>
      <c r="D2998" s="10">
        <f ca="1">ROUND(_xlfn.NORM.INV(RAND(),Reference!$D$8,0.1*Reference!$D$8)*(1+Reference!$D$11*(IF(MONTH($A2998)=Reference!$D$4,1,0)+IF(MONTH($A2998)=Reference!$D$5,1,0))+(IF(MONTH($A2998)=Reference!$D$6,Reference!$D$13,0))),0)</f>
        <v>399</v>
      </c>
      <c r="E2998" s="11">
        <f ca="1">D2998*Reference!$D$7*(1-IF(MONTH($A2998)=Reference!$D$6,1,0)*Reference!$D$12)</f>
        <v>299250</v>
      </c>
      <c r="M2998" s="20"/>
      <c r="N2998" s="20"/>
      <c r="O2998" s="19"/>
      <c r="P2998" s="10"/>
      <c r="Q2998" s="10"/>
      <c r="R2998" s="10"/>
      <c r="S2998" s="10"/>
      <c r="T2998" s="10"/>
      <c r="U2998" s="10"/>
      <c r="V2998" s="10"/>
      <c r="W2998" s="10"/>
      <c r="X2998" s="10"/>
      <c r="Y2998" s="10"/>
    </row>
    <row r="2999" spans="1:25" x14ac:dyDescent="0.25">
      <c r="A2999" s="9">
        <v>43537</v>
      </c>
      <c r="B2999" s="10">
        <f ca="1">ROUND(_xlfn.NORM.INV(RAND(),Reference!$C$8,0.1*Reference!$C$8)*(1+Reference!$C$11*(IF(MONTH($A2999)=Reference!$C$4,1,0)+IF(MONTH($A2999)=Reference!$C$5,1,0))+(IF(MONTH($A2999)=Reference!$C$6,Reference!$C$13,0))),0)</f>
        <v>326</v>
      </c>
      <c r="C2999" s="11">
        <f ca="1">B2999*Reference!$C$7*(1-IF(MONTH($A2999)=Reference!$C$6,1,0)*Reference!$C$12)</f>
        <v>303180</v>
      </c>
      <c r="D2999" s="10">
        <f ca="1">ROUND(_xlfn.NORM.INV(RAND(),Reference!$D$8,0.1*Reference!$D$8)*(1+Reference!$D$11*(IF(MONTH($A2999)=Reference!$D$4,1,0)+IF(MONTH($A2999)=Reference!$D$5,1,0))+(IF(MONTH($A2999)=Reference!$D$6,Reference!$D$13,0))),0)</f>
        <v>523</v>
      </c>
      <c r="E2999" s="11">
        <f ca="1">D2999*Reference!$D$7*(1-IF(MONTH($A2999)=Reference!$D$6,1,0)*Reference!$D$12)</f>
        <v>392250</v>
      </c>
      <c r="M2999" s="20"/>
      <c r="N2999" s="20"/>
      <c r="O2999" s="19"/>
      <c r="P2999" s="10"/>
      <c r="Q2999" s="10"/>
      <c r="R2999" s="10"/>
      <c r="S2999" s="10"/>
      <c r="T2999" s="10"/>
      <c r="U2999" s="10"/>
      <c r="V2999" s="10"/>
      <c r="W2999" s="10"/>
      <c r="X2999" s="10"/>
      <c r="Y2999" s="10"/>
    </row>
    <row r="3000" spans="1:25" x14ac:dyDescent="0.25">
      <c r="A3000" s="9">
        <v>43538</v>
      </c>
      <c r="B3000" s="10">
        <f ca="1">ROUND(_xlfn.NORM.INV(RAND(),Reference!$C$8,0.1*Reference!$C$8)*(1+Reference!$C$11*(IF(MONTH($A3000)=Reference!$C$4,1,0)+IF(MONTH($A3000)=Reference!$C$5,1,0))+(IF(MONTH($A3000)=Reference!$C$6,Reference!$C$13,0))),0)</f>
        <v>365</v>
      </c>
      <c r="C3000" s="11">
        <f ca="1">B3000*Reference!$C$7*(1-IF(MONTH($A3000)=Reference!$C$6,1,0)*Reference!$C$12)</f>
        <v>339450</v>
      </c>
      <c r="D3000" s="10">
        <f ca="1">ROUND(_xlfn.NORM.INV(RAND(),Reference!$D$8,0.1*Reference!$D$8)*(1+Reference!$D$11*(IF(MONTH($A3000)=Reference!$D$4,1,0)+IF(MONTH($A3000)=Reference!$D$5,1,0))+(IF(MONTH($A3000)=Reference!$D$6,Reference!$D$13,0))),0)</f>
        <v>476</v>
      </c>
      <c r="E3000" s="11">
        <f ca="1">D3000*Reference!$D$7*(1-IF(MONTH($A3000)=Reference!$D$6,1,0)*Reference!$D$12)</f>
        <v>357000</v>
      </c>
      <c r="M3000" s="20"/>
      <c r="N3000" s="20"/>
      <c r="O3000" s="19"/>
      <c r="P3000" s="10"/>
      <c r="Q3000" s="10"/>
      <c r="R3000" s="10"/>
      <c r="S3000" s="10"/>
      <c r="T3000" s="10"/>
      <c r="U3000" s="10"/>
      <c r="V3000" s="10"/>
      <c r="W3000" s="10"/>
      <c r="X3000" s="10"/>
      <c r="Y3000" s="10"/>
    </row>
    <row r="3001" spans="1:25" x14ac:dyDescent="0.25">
      <c r="A3001" s="9">
        <v>43539</v>
      </c>
      <c r="B3001" s="10">
        <f ca="1">ROUND(_xlfn.NORM.INV(RAND(),Reference!$C$8,0.1*Reference!$C$8)*(1+Reference!$C$11*(IF(MONTH($A3001)=Reference!$C$4,1,0)+IF(MONTH($A3001)=Reference!$C$5,1,0))+(IF(MONTH($A3001)=Reference!$C$6,Reference!$C$13,0))),0)</f>
        <v>364</v>
      </c>
      <c r="C3001" s="11">
        <f ca="1">B3001*Reference!$C$7*(1-IF(MONTH($A3001)=Reference!$C$6,1,0)*Reference!$C$12)</f>
        <v>338520</v>
      </c>
      <c r="D3001" s="10">
        <f ca="1">ROUND(_xlfn.NORM.INV(RAND(),Reference!$D$8,0.1*Reference!$D$8)*(1+Reference!$D$11*(IF(MONTH($A3001)=Reference!$D$4,1,0)+IF(MONTH($A3001)=Reference!$D$5,1,0))+(IF(MONTH($A3001)=Reference!$D$6,Reference!$D$13,0))),0)</f>
        <v>392</v>
      </c>
      <c r="E3001" s="11">
        <f ca="1">D3001*Reference!$D$7*(1-IF(MONTH($A3001)=Reference!$D$6,1,0)*Reference!$D$12)</f>
        <v>294000</v>
      </c>
      <c r="M3001" s="20"/>
      <c r="N3001" s="20"/>
      <c r="O3001" s="19"/>
      <c r="P3001" s="10"/>
      <c r="Q3001" s="10"/>
      <c r="R3001" s="10"/>
      <c r="S3001" s="10"/>
      <c r="T3001" s="10"/>
      <c r="U3001" s="10"/>
      <c r="V3001" s="10"/>
      <c r="W3001" s="10"/>
      <c r="X3001" s="10"/>
      <c r="Y3001" s="10"/>
    </row>
    <row r="3002" spans="1:25" x14ac:dyDescent="0.25">
      <c r="A3002" s="9">
        <v>43540</v>
      </c>
      <c r="B3002" s="10">
        <f ca="1">ROUND(_xlfn.NORM.INV(RAND(),Reference!$C$8,0.1*Reference!$C$8)*(1+Reference!$C$11*(IF(MONTH($A3002)=Reference!$C$4,1,0)+IF(MONTH($A3002)=Reference!$C$5,1,0))+(IF(MONTH($A3002)=Reference!$C$6,Reference!$C$13,0))),0)</f>
        <v>356</v>
      </c>
      <c r="C3002" s="11">
        <f ca="1">B3002*Reference!$C$7*(1-IF(MONTH($A3002)=Reference!$C$6,1,0)*Reference!$C$12)</f>
        <v>331080</v>
      </c>
      <c r="D3002" s="10">
        <f ca="1">ROUND(_xlfn.NORM.INV(RAND(),Reference!$D$8,0.1*Reference!$D$8)*(1+Reference!$D$11*(IF(MONTH($A3002)=Reference!$D$4,1,0)+IF(MONTH($A3002)=Reference!$D$5,1,0))+(IF(MONTH($A3002)=Reference!$D$6,Reference!$D$13,0))),0)</f>
        <v>425</v>
      </c>
      <c r="E3002" s="11">
        <f ca="1">D3002*Reference!$D$7*(1-IF(MONTH($A3002)=Reference!$D$6,1,0)*Reference!$D$12)</f>
        <v>318750</v>
      </c>
      <c r="M3002" s="20"/>
      <c r="N3002" s="20"/>
      <c r="O3002" s="19"/>
      <c r="P3002" s="10"/>
      <c r="Q3002" s="10"/>
      <c r="R3002" s="10"/>
      <c r="S3002" s="10"/>
      <c r="T3002" s="10"/>
      <c r="U3002" s="10"/>
      <c r="V3002" s="10"/>
      <c r="W3002" s="10"/>
      <c r="X3002" s="10"/>
      <c r="Y3002" s="10"/>
    </row>
    <row r="3003" spans="1:25" x14ac:dyDescent="0.25">
      <c r="A3003" s="9">
        <v>43541</v>
      </c>
      <c r="B3003" s="10">
        <f ca="1">ROUND(_xlfn.NORM.INV(RAND(),Reference!$C$8,0.1*Reference!$C$8)*(1+Reference!$C$11*(IF(MONTH($A3003)=Reference!$C$4,1,0)+IF(MONTH($A3003)=Reference!$C$5,1,0))+(IF(MONTH($A3003)=Reference!$C$6,Reference!$C$13,0))),0)</f>
        <v>384</v>
      </c>
      <c r="C3003" s="11">
        <f ca="1">B3003*Reference!$C$7*(1-IF(MONTH($A3003)=Reference!$C$6,1,0)*Reference!$C$12)</f>
        <v>357120</v>
      </c>
      <c r="D3003" s="10">
        <f ca="1">ROUND(_xlfn.NORM.INV(RAND(),Reference!$D$8,0.1*Reference!$D$8)*(1+Reference!$D$11*(IF(MONTH($A3003)=Reference!$D$4,1,0)+IF(MONTH($A3003)=Reference!$D$5,1,0))+(IF(MONTH($A3003)=Reference!$D$6,Reference!$D$13,0))),0)</f>
        <v>610</v>
      </c>
      <c r="E3003" s="11">
        <f ca="1">D3003*Reference!$D$7*(1-IF(MONTH($A3003)=Reference!$D$6,1,0)*Reference!$D$12)</f>
        <v>457500</v>
      </c>
      <c r="M3003" s="20"/>
      <c r="N3003" s="20"/>
      <c r="O3003" s="19"/>
      <c r="P3003" s="10"/>
      <c r="Q3003" s="10"/>
      <c r="R3003" s="10"/>
      <c r="S3003" s="10"/>
      <c r="T3003" s="10"/>
      <c r="U3003" s="10"/>
      <c r="V3003" s="10"/>
      <c r="W3003" s="10"/>
      <c r="X3003" s="10"/>
      <c r="Y3003" s="10"/>
    </row>
    <row r="3004" spans="1:25" x14ac:dyDescent="0.25">
      <c r="A3004" s="9">
        <v>43542</v>
      </c>
      <c r="B3004" s="10">
        <f ca="1">ROUND(_xlfn.NORM.INV(RAND(),Reference!$C$8,0.1*Reference!$C$8)*(1+Reference!$C$11*(IF(MONTH($A3004)=Reference!$C$4,1,0)+IF(MONTH($A3004)=Reference!$C$5,1,0))+(IF(MONTH($A3004)=Reference!$C$6,Reference!$C$13,0))),0)</f>
        <v>409</v>
      </c>
      <c r="C3004" s="11">
        <f ca="1">B3004*Reference!$C$7*(1-IF(MONTH($A3004)=Reference!$C$6,1,0)*Reference!$C$12)</f>
        <v>380370</v>
      </c>
      <c r="D3004" s="10">
        <f ca="1">ROUND(_xlfn.NORM.INV(RAND(),Reference!$D$8,0.1*Reference!$D$8)*(1+Reference!$D$11*(IF(MONTH($A3004)=Reference!$D$4,1,0)+IF(MONTH($A3004)=Reference!$D$5,1,0))+(IF(MONTH($A3004)=Reference!$D$6,Reference!$D$13,0))),0)</f>
        <v>477</v>
      </c>
      <c r="E3004" s="11">
        <f ca="1">D3004*Reference!$D$7*(1-IF(MONTH($A3004)=Reference!$D$6,1,0)*Reference!$D$12)</f>
        <v>357750</v>
      </c>
      <c r="M3004" s="20"/>
      <c r="N3004" s="20"/>
      <c r="O3004" s="19"/>
      <c r="P3004" s="10"/>
      <c r="Q3004" s="10"/>
      <c r="R3004" s="10"/>
      <c r="S3004" s="10"/>
      <c r="T3004" s="10"/>
      <c r="U3004" s="10"/>
      <c r="V3004" s="10"/>
      <c r="W3004" s="10"/>
      <c r="X3004" s="10"/>
      <c r="Y3004" s="10"/>
    </row>
    <row r="3005" spans="1:25" x14ac:dyDescent="0.25">
      <c r="A3005" s="9">
        <v>43543</v>
      </c>
      <c r="B3005" s="10">
        <f ca="1">ROUND(_xlfn.NORM.INV(RAND(),Reference!$C$8,0.1*Reference!$C$8)*(1+Reference!$C$11*(IF(MONTH($A3005)=Reference!$C$4,1,0)+IF(MONTH($A3005)=Reference!$C$5,1,0))+(IF(MONTH($A3005)=Reference!$C$6,Reference!$C$13,0))),0)</f>
        <v>413</v>
      </c>
      <c r="C3005" s="11">
        <f ca="1">B3005*Reference!$C$7*(1-IF(MONTH($A3005)=Reference!$C$6,1,0)*Reference!$C$12)</f>
        <v>384090</v>
      </c>
      <c r="D3005" s="10">
        <f ca="1">ROUND(_xlfn.NORM.INV(RAND(),Reference!$D$8,0.1*Reference!$D$8)*(1+Reference!$D$11*(IF(MONTH($A3005)=Reference!$D$4,1,0)+IF(MONTH($A3005)=Reference!$D$5,1,0))+(IF(MONTH($A3005)=Reference!$D$6,Reference!$D$13,0))),0)</f>
        <v>515</v>
      </c>
      <c r="E3005" s="11">
        <f ca="1">D3005*Reference!$D$7*(1-IF(MONTH($A3005)=Reference!$D$6,1,0)*Reference!$D$12)</f>
        <v>386250</v>
      </c>
      <c r="M3005" s="20"/>
      <c r="N3005" s="20"/>
      <c r="O3005" s="19"/>
      <c r="P3005" s="10"/>
      <c r="Q3005" s="10"/>
      <c r="R3005" s="10"/>
      <c r="S3005" s="10"/>
      <c r="T3005" s="10"/>
      <c r="U3005" s="10"/>
      <c r="V3005" s="10"/>
      <c r="W3005" s="10"/>
      <c r="X3005" s="10"/>
      <c r="Y3005" s="10"/>
    </row>
    <row r="3006" spans="1:25" x14ac:dyDescent="0.25">
      <c r="A3006" s="9">
        <v>43544</v>
      </c>
      <c r="B3006" s="10">
        <f ca="1">ROUND(_xlfn.NORM.INV(RAND(),Reference!$C$8,0.1*Reference!$C$8)*(1+Reference!$C$11*(IF(MONTH($A3006)=Reference!$C$4,1,0)+IF(MONTH($A3006)=Reference!$C$5,1,0))+(IF(MONTH($A3006)=Reference!$C$6,Reference!$C$13,0))),0)</f>
        <v>361</v>
      </c>
      <c r="C3006" s="11">
        <f ca="1">B3006*Reference!$C$7*(1-IF(MONTH($A3006)=Reference!$C$6,1,0)*Reference!$C$12)</f>
        <v>335730</v>
      </c>
      <c r="D3006" s="10">
        <f ca="1">ROUND(_xlfn.NORM.INV(RAND(),Reference!$D$8,0.1*Reference!$D$8)*(1+Reference!$D$11*(IF(MONTH($A3006)=Reference!$D$4,1,0)+IF(MONTH($A3006)=Reference!$D$5,1,0))+(IF(MONTH($A3006)=Reference!$D$6,Reference!$D$13,0))),0)</f>
        <v>463</v>
      </c>
      <c r="E3006" s="11">
        <f ca="1">D3006*Reference!$D$7*(1-IF(MONTH($A3006)=Reference!$D$6,1,0)*Reference!$D$12)</f>
        <v>347250</v>
      </c>
      <c r="M3006" s="20"/>
      <c r="N3006" s="20"/>
      <c r="O3006" s="19"/>
      <c r="P3006" s="10"/>
      <c r="Q3006" s="10"/>
      <c r="R3006" s="10"/>
      <c r="S3006" s="10"/>
      <c r="T3006" s="10"/>
      <c r="U3006" s="10"/>
      <c r="V3006" s="10"/>
      <c r="W3006" s="10"/>
      <c r="X3006" s="10"/>
      <c r="Y3006" s="10"/>
    </row>
    <row r="3007" spans="1:25" x14ac:dyDescent="0.25">
      <c r="A3007" s="9">
        <v>43545</v>
      </c>
      <c r="B3007" s="10">
        <f ca="1">ROUND(_xlfn.NORM.INV(RAND(),Reference!$C$8,0.1*Reference!$C$8)*(1+Reference!$C$11*(IF(MONTH($A3007)=Reference!$C$4,1,0)+IF(MONTH($A3007)=Reference!$C$5,1,0))+(IF(MONTH($A3007)=Reference!$C$6,Reference!$C$13,0))),0)</f>
        <v>347</v>
      </c>
      <c r="C3007" s="11">
        <f ca="1">B3007*Reference!$C$7*(1-IF(MONTH($A3007)=Reference!$C$6,1,0)*Reference!$C$12)</f>
        <v>322710</v>
      </c>
      <c r="D3007" s="10">
        <f ca="1">ROUND(_xlfn.NORM.INV(RAND(),Reference!$D$8,0.1*Reference!$D$8)*(1+Reference!$D$11*(IF(MONTH($A3007)=Reference!$D$4,1,0)+IF(MONTH($A3007)=Reference!$D$5,1,0))+(IF(MONTH($A3007)=Reference!$D$6,Reference!$D$13,0))),0)</f>
        <v>417</v>
      </c>
      <c r="E3007" s="11">
        <f ca="1">D3007*Reference!$D$7*(1-IF(MONTH($A3007)=Reference!$D$6,1,0)*Reference!$D$12)</f>
        <v>312750</v>
      </c>
      <c r="M3007" s="20"/>
      <c r="N3007" s="20"/>
      <c r="O3007" s="19"/>
      <c r="P3007" s="10"/>
      <c r="Q3007" s="10"/>
      <c r="R3007" s="10"/>
      <c r="S3007" s="10"/>
      <c r="T3007" s="10"/>
      <c r="U3007" s="10"/>
      <c r="V3007" s="10"/>
      <c r="W3007" s="10"/>
      <c r="X3007" s="10"/>
      <c r="Y3007" s="10"/>
    </row>
    <row r="3008" spans="1:25" x14ac:dyDescent="0.25">
      <c r="A3008" s="9">
        <v>43546</v>
      </c>
      <c r="B3008" s="10">
        <f ca="1">ROUND(_xlfn.NORM.INV(RAND(),Reference!$C$8,0.1*Reference!$C$8)*(1+Reference!$C$11*(IF(MONTH($A3008)=Reference!$C$4,1,0)+IF(MONTH($A3008)=Reference!$C$5,1,0))+(IF(MONTH($A3008)=Reference!$C$6,Reference!$C$13,0))),0)</f>
        <v>273</v>
      </c>
      <c r="C3008" s="11">
        <f ca="1">B3008*Reference!$C$7*(1-IF(MONTH($A3008)=Reference!$C$6,1,0)*Reference!$C$12)</f>
        <v>253890</v>
      </c>
      <c r="D3008" s="10">
        <f ca="1">ROUND(_xlfn.NORM.INV(RAND(),Reference!$D$8,0.1*Reference!$D$8)*(1+Reference!$D$11*(IF(MONTH($A3008)=Reference!$D$4,1,0)+IF(MONTH($A3008)=Reference!$D$5,1,0))+(IF(MONTH($A3008)=Reference!$D$6,Reference!$D$13,0))),0)</f>
        <v>476</v>
      </c>
      <c r="E3008" s="11">
        <f ca="1">D3008*Reference!$D$7*(1-IF(MONTH($A3008)=Reference!$D$6,1,0)*Reference!$D$12)</f>
        <v>357000</v>
      </c>
      <c r="M3008" s="20"/>
      <c r="N3008" s="20"/>
      <c r="O3008" s="19"/>
      <c r="P3008" s="10"/>
      <c r="Q3008" s="10"/>
      <c r="R3008" s="10"/>
      <c r="S3008" s="10"/>
      <c r="T3008" s="10"/>
      <c r="U3008" s="10"/>
      <c r="V3008" s="10"/>
      <c r="W3008" s="10"/>
      <c r="X3008" s="10"/>
      <c r="Y3008" s="10"/>
    </row>
    <row r="3009" spans="1:25" x14ac:dyDescent="0.25">
      <c r="A3009" s="9">
        <v>43547</v>
      </c>
      <c r="B3009" s="10">
        <f ca="1">ROUND(_xlfn.NORM.INV(RAND(),Reference!$C$8,0.1*Reference!$C$8)*(1+Reference!$C$11*(IF(MONTH($A3009)=Reference!$C$4,1,0)+IF(MONTH($A3009)=Reference!$C$5,1,0))+(IF(MONTH($A3009)=Reference!$C$6,Reference!$C$13,0))),0)</f>
        <v>409</v>
      </c>
      <c r="C3009" s="11">
        <f ca="1">B3009*Reference!$C$7*(1-IF(MONTH($A3009)=Reference!$C$6,1,0)*Reference!$C$12)</f>
        <v>380370</v>
      </c>
      <c r="D3009" s="10">
        <f ca="1">ROUND(_xlfn.NORM.INV(RAND(),Reference!$D$8,0.1*Reference!$D$8)*(1+Reference!$D$11*(IF(MONTH($A3009)=Reference!$D$4,1,0)+IF(MONTH($A3009)=Reference!$D$5,1,0))+(IF(MONTH($A3009)=Reference!$D$6,Reference!$D$13,0))),0)</f>
        <v>477</v>
      </c>
      <c r="E3009" s="11">
        <f ca="1">D3009*Reference!$D$7*(1-IF(MONTH($A3009)=Reference!$D$6,1,0)*Reference!$D$12)</f>
        <v>357750</v>
      </c>
      <c r="M3009" s="20"/>
      <c r="N3009" s="20"/>
      <c r="O3009" s="19"/>
      <c r="P3009" s="10"/>
      <c r="Q3009" s="10"/>
      <c r="R3009" s="10"/>
      <c r="S3009" s="10"/>
      <c r="T3009" s="10"/>
      <c r="U3009" s="10"/>
      <c r="V3009" s="10"/>
      <c r="W3009" s="10"/>
      <c r="X3009" s="10"/>
      <c r="Y3009" s="10"/>
    </row>
    <row r="3010" spans="1:25" x14ac:dyDescent="0.25">
      <c r="A3010" s="9">
        <v>43548</v>
      </c>
      <c r="B3010" s="10">
        <f ca="1">ROUND(_xlfn.NORM.INV(RAND(),Reference!$C$8,0.1*Reference!$C$8)*(1+Reference!$C$11*(IF(MONTH($A3010)=Reference!$C$4,1,0)+IF(MONTH($A3010)=Reference!$C$5,1,0))+(IF(MONTH($A3010)=Reference!$C$6,Reference!$C$13,0))),0)</f>
        <v>267</v>
      </c>
      <c r="C3010" s="11">
        <f ca="1">B3010*Reference!$C$7*(1-IF(MONTH($A3010)=Reference!$C$6,1,0)*Reference!$C$12)</f>
        <v>248310</v>
      </c>
      <c r="D3010" s="10">
        <f ca="1">ROUND(_xlfn.NORM.INV(RAND(),Reference!$D$8,0.1*Reference!$D$8)*(1+Reference!$D$11*(IF(MONTH($A3010)=Reference!$D$4,1,0)+IF(MONTH($A3010)=Reference!$D$5,1,0))+(IF(MONTH($A3010)=Reference!$D$6,Reference!$D$13,0))),0)</f>
        <v>487</v>
      </c>
      <c r="E3010" s="11">
        <f ca="1">D3010*Reference!$D$7*(1-IF(MONTH($A3010)=Reference!$D$6,1,0)*Reference!$D$12)</f>
        <v>365250</v>
      </c>
      <c r="M3010" s="20"/>
      <c r="N3010" s="20"/>
      <c r="O3010" s="19"/>
      <c r="P3010" s="10"/>
      <c r="Q3010" s="10"/>
      <c r="R3010" s="10"/>
      <c r="S3010" s="10"/>
      <c r="T3010" s="10"/>
      <c r="U3010" s="10"/>
      <c r="V3010" s="10"/>
      <c r="W3010" s="10"/>
      <c r="X3010" s="10"/>
      <c r="Y3010" s="10"/>
    </row>
    <row r="3011" spans="1:25" x14ac:dyDescent="0.25">
      <c r="A3011" s="9">
        <v>43549</v>
      </c>
      <c r="B3011" s="10">
        <f ca="1">ROUND(_xlfn.NORM.INV(RAND(),Reference!$C$8,0.1*Reference!$C$8)*(1+Reference!$C$11*(IF(MONTH($A3011)=Reference!$C$4,1,0)+IF(MONTH($A3011)=Reference!$C$5,1,0))+(IF(MONTH($A3011)=Reference!$C$6,Reference!$C$13,0))),0)</f>
        <v>339</v>
      </c>
      <c r="C3011" s="11">
        <f ca="1">B3011*Reference!$C$7*(1-IF(MONTH($A3011)=Reference!$C$6,1,0)*Reference!$C$12)</f>
        <v>315270</v>
      </c>
      <c r="D3011" s="10">
        <f ca="1">ROUND(_xlfn.NORM.INV(RAND(),Reference!$D$8,0.1*Reference!$D$8)*(1+Reference!$D$11*(IF(MONTH($A3011)=Reference!$D$4,1,0)+IF(MONTH($A3011)=Reference!$D$5,1,0))+(IF(MONTH($A3011)=Reference!$D$6,Reference!$D$13,0))),0)</f>
        <v>516</v>
      </c>
      <c r="E3011" s="11">
        <f ca="1">D3011*Reference!$D$7*(1-IF(MONTH($A3011)=Reference!$D$6,1,0)*Reference!$D$12)</f>
        <v>387000</v>
      </c>
      <c r="M3011" s="20"/>
      <c r="N3011" s="20"/>
      <c r="O3011" s="19"/>
      <c r="P3011" s="10"/>
      <c r="Q3011" s="10"/>
      <c r="R3011" s="10"/>
      <c r="S3011" s="10"/>
      <c r="T3011" s="10"/>
      <c r="U3011" s="10"/>
      <c r="V3011" s="10"/>
      <c r="W3011" s="10"/>
      <c r="X3011" s="10"/>
      <c r="Y3011" s="10"/>
    </row>
    <row r="3012" spans="1:25" x14ac:dyDescent="0.25">
      <c r="A3012" s="9">
        <v>43550</v>
      </c>
      <c r="B3012" s="10">
        <f ca="1">ROUND(_xlfn.NORM.INV(RAND(),Reference!$C$8,0.1*Reference!$C$8)*(1+Reference!$C$11*(IF(MONTH($A3012)=Reference!$C$4,1,0)+IF(MONTH($A3012)=Reference!$C$5,1,0))+(IF(MONTH($A3012)=Reference!$C$6,Reference!$C$13,0))),0)</f>
        <v>348</v>
      </c>
      <c r="C3012" s="11">
        <f ca="1">B3012*Reference!$C$7*(1-IF(MONTH($A3012)=Reference!$C$6,1,0)*Reference!$C$12)</f>
        <v>323640</v>
      </c>
      <c r="D3012" s="10">
        <f ca="1">ROUND(_xlfn.NORM.INV(RAND(),Reference!$D$8,0.1*Reference!$D$8)*(1+Reference!$D$11*(IF(MONTH($A3012)=Reference!$D$4,1,0)+IF(MONTH($A3012)=Reference!$D$5,1,0))+(IF(MONTH($A3012)=Reference!$D$6,Reference!$D$13,0))),0)</f>
        <v>484</v>
      </c>
      <c r="E3012" s="11">
        <f ca="1">D3012*Reference!$D$7*(1-IF(MONTH($A3012)=Reference!$D$6,1,0)*Reference!$D$12)</f>
        <v>363000</v>
      </c>
      <c r="M3012" s="20"/>
      <c r="N3012" s="20"/>
      <c r="O3012" s="19"/>
      <c r="P3012" s="10"/>
      <c r="Q3012" s="10"/>
      <c r="R3012" s="10"/>
      <c r="S3012" s="10"/>
      <c r="T3012" s="10"/>
      <c r="U3012" s="10"/>
      <c r="V3012" s="10"/>
      <c r="W3012" s="10"/>
      <c r="X3012" s="10"/>
      <c r="Y3012" s="10"/>
    </row>
    <row r="3013" spans="1:25" x14ac:dyDescent="0.25">
      <c r="A3013" s="9">
        <v>43551</v>
      </c>
      <c r="B3013" s="10">
        <f ca="1">ROUND(_xlfn.NORM.INV(RAND(),Reference!$C$8,0.1*Reference!$C$8)*(1+Reference!$C$11*(IF(MONTH($A3013)=Reference!$C$4,1,0)+IF(MONTH($A3013)=Reference!$C$5,1,0))+(IF(MONTH($A3013)=Reference!$C$6,Reference!$C$13,0))),0)</f>
        <v>447</v>
      </c>
      <c r="C3013" s="11">
        <f ca="1">B3013*Reference!$C$7*(1-IF(MONTH($A3013)=Reference!$C$6,1,0)*Reference!$C$12)</f>
        <v>415710</v>
      </c>
      <c r="D3013" s="10">
        <f ca="1">ROUND(_xlfn.NORM.INV(RAND(),Reference!$D$8,0.1*Reference!$D$8)*(1+Reference!$D$11*(IF(MONTH($A3013)=Reference!$D$4,1,0)+IF(MONTH($A3013)=Reference!$D$5,1,0))+(IF(MONTH($A3013)=Reference!$D$6,Reference!$D$13,0))),0)</f>
        <v>455</v>
      </c>
      <c r="E3013" s="11">
        <f ca="1">D3013*Reference!$D$7*(1-IF(MONTH($A3013)=Reference!$D$6,1,0)*Reference!$D$12)</f>
        <v>341250</v>
      </c>
      <c r="M3013" s="20"/>
      <c r="N3013" s="20"/>
      <c r="O3013" s="19"/>
      <c r="P3013" s="10"/>
      <c r="Q3013" s="10"/>
      <c r="R3013" s="10"/>
      <c r="S3013" s="10"/>
      <c r="T3013" s="10"/>
      <c r="U3013" s="10"/>
      <c r="V3013" s="10"/>
      <c r="W3013" s="10"/>
      <c r="X3013" s="10"/>
      <c r="Y3013" s="10"/>
    </row>
    <row r="3014" spans="1:25" x14ac:dyDescent="0.25">
      <c r="A3014" s="9">
        <v>43552</v>
      </c>
      <c r="B3014" s="10">
        <f ca="1">ROUND(_xlfn.NORM.INV(RAND(),Reference!$C$8,0.1*Reference!$C$8)*(1+Reference!$C$11*(IF(MONTH($A3014)=Reference!$C$4,1,0)+IF(MONTH($A3014)=Reference!$C$5,1,0))+(IF(MONTH($A3014)=Reference!$C$6,Reference!$C$13,0))),0)</f>
        <v>292</v>
      </c>
      <c r="C3014" s="11">
        <f ca="1">B3014*Reference!$C$7*(1-IF(MONTH($A3014)=Reference!$C$6,1,0)*Reference!$C$12)</f>
        <v>271560</v>
      </c>
      <c r="D3014" s="10">
        <f ca="1">ROUND(_xlfn.NORM.INV(RAND(),Reference!$D$8,0.1*Reference!$D$8)*(1+Reference!$D$11*(IF(MONTH($A3014)=Reference!$D$4,1,0)+IF(MONTH($A3014)=Reference!$D$5,1,0))+(IF(MONTH($A3014)=Reference!$D$6,Reference!$D$13,0))),0)</f>
        <v>412</v>
      </c>
      <c r="E3014" s="11">
        <f ca="1">D3014*Reference!$D$7*(1-IF(MONTH($A3014)=Reference!$D$6,1,0)*Reference!$D$12)</f>
        <v>309000</v>
      </c>
      <c r="M3014" s="20"/>
      <c r="N3014" s="20"/>
      <c r="O3014" s="19"/>
      <c r="P3014" s="10"/>
      <c r="Q3014" s="10"/>
      <c r="R3014" s="10"/>
      <c r="S3014" s="10"/>
      <c r="T3014" s="10"/>
      <c r="U3014" s="10"/>
      <c r="V3014" s="10"/>
      <c r="W3014" s="10"/>
      <c r="X3014" s="10"/>
      <c r="Y3014" s="10"/>
    </row>
    <row r="3015" spans="1:25" x14ac:dyDescent="0.25">
      <c r="A3015" s="9">
        <v>43553</v>
      </c>
      <c r="B3015" s="10">
        <f ca="1">ROUND(_xlfn.NORM.INV(RAND(),Reference!$C$8,0.1*Reference!$C$8)*(1+Reference!$C$11*(IF(MONTH($A3015)=Reference!$C$4,1,0)+IF(MONTH($A3015)=Reference!$C$5,1,0))+(IF(MONTH($A3015)=Reference!$C$6,Reference!$C$13,0))),0)</f>
        <v>395</v>
      </c>
      <c r="C3015" s="11">
        <f ca="1">B3015*Reference!$C$7*(1-IF(MONTH($A3015)=Reference!$C$6,1,0)*Reference!$C$12)</f>
        <v>367350</v>
      </c>
      <c r="D3015" s="10">
        <f ca="1">ROUND(_xlfn.NORM.INV(RAND(),Reference!$D$8,0.1*Reference!$D$8)*(1+Reference!$D$11*(IF(MONTH($A3015)=Reference!$D$4,1,0)+IF(MONTH($A3015)=Reference!$D$5,1,0))+(IF(MONTH($A3015)=Reference!$D$6,Reference!$D$13,0))),0)</f>
        <v>443</v>
      </c>
      <c r="E3015" s="11">
        <f ca="1">D3015*Reference!$D$7*(1-IF(MONTH($A3015)=Reference!$D$6,1,0)*Reference!$D$12)</f>
        <v>332250</v>
      </c>
      <c r="M3015" s="20"/>
      <c r="N3015" s="20"/>
      <c r="O3015" s="19"/>
      <c r="P3015" s="10"/>
      <c r="Q3015" s="10"/>
      <c r="R3015" s="10"/>
      <c r="S3015" s="10"/>
      <c r="T3015" s="10"/>
      <c r="U3015" s="10"/>
      <c r="V3015" s="10"/>
      <c r="W3015" s="10"/>
      <c r="X3015" s="10"/>
      <c r="Y3015" s="10"/>
    </row>
    <row r="3016" spans="1:25" x14ac:dyDescent="0.25">
      <c r="A3016" s="9">
        <v>43554</v>
      </c>
      <c r="B3016" s="10">
        <f ca="1">ROUND(_xlfn.NORM.INV(RAND(),Reference!$C$8,0.1*Reference!$C$8)*(1+Reference!$C$11*(IF(MONTH($A3016)=Reference!$C$4,1,0)+IF(MONTH($A3016)=Reference!$C$5,1,0))+(IF(MONTH($A3016)=Reference!$C$6,Reference!$C$13,0))),0)</f>
        <v>337</v>
      </c>
      <c r="C3016" s="11">
        <f ca="1">B3016*Reference!$C$7*(1-IF(MONTH($A3016)=Reference!$C$6,1,0)*Reference!$C$12)</f>
        <v>313410</v>
      </c>
      <c r="D3016" s="10">
        <f ca="1">ROUND(_xlfn.NORM.INV(RAND(),Reference!$D$8,0.1*Reference!$D$8)*(1+Reference!$D$11*(IF(MONTH($A3016)=Reference!$D$4,1,0)+IF(MONTH($A3016)=Reference!$D$5,1,0))+(IF(MONTH($A3016)=Reference!$D$6,Reference!$D$13,0))),0)</f>
        <v>438</v>
      </c>
      <c r="E3016" s="11">
        <f ca="1">D3016*Reference!$D$7*(1-IF(MONTH($A3016)=Reference!$D$6,1,0)*Reference!$D$12)</f>
        <v>328500</v>
      </c>
      <c r="M3016" s="20"/>
      <c r="N3016" s="20"/>
      <c r="O3016" s="19"/>
      <c r="P3016" s="10"/>
      <c r="Q3016" s="10"/>
      <c r="R3016" s="10"/>
      <c r="S3016" s="10"/>
      <c r="T3016" s="10"/>
      <c r="U3016" s="10"/>
      <c r="V3016" s="10"/>
      <c r="W3016" s="10"/>
      <c r="X3016" s="10"/>
      <c r="Y3016" s="10"/>
    </row>
    <row r="3017" spans="1:25" x14ac:dyDescent="0.25">
      <c r="A3017" s="9">
        <v>43555</v>
      </c>
      <c r="B3017" s="10">
        <f ca="1">ROUND(_xlfn.NORM.INV(RAND(),Reference!$C$8,0.1*Reference!$C$8)*(1+Reference!$C$11*(IF(MONTH($A3017)=Reference!$C$4,1,0)+IF(MONTH($A3017)=Reference!$C$5,1,0))+(IF(MONTH($A3017)=Reference!$C$6,Reference!$C$13,0))),0)</f>
        <v>379</v>
      </c>
      <c r="C3017" s="11">
        <f ca="1">B3017*Reference!$C$7*(1-IF(MONTH($A3017)=Reference!$C$6,1,0)*Reference!$C$12)</f>
        <v>352470</v>
      </c>
      <c r="D3017" s="10">
        <f ca="1">ROUND(_xlfn.NORM.INV(RAND(),Reference!$D$8,0.1*Reference!$D$8)*(1+Reference!$D$11*(IF(MONTH($A3017)=Reference!$D$4,1,0)+IF(MONTH($A3017)=Reference!$D$5,1,0))+(IF(MONTH($A3017)=Reference!$D$6,Reference!$D$13,0))),0)</f>
        <v>511</v>
      </c>
      <c r="E3017" s="11">
        <f ca="1">D3017*Reference!$D$7*(1-IF(MONTH($A3017)=Reference!$D$6,1,0)*Reference!$D$12)</f>
        <v>383250</v>
      </c>
      <c r="M3017" s="20"/>
      <c r="N3017" s="20"/>
      <c r="O3017" s="19"/>
      <c r="P3017" s="10"/>
      <c r="Q3017" s="10"/>
      <c r="R3017" s="10"/>
      <c r="S3017" s="10"/>
      <c r="T3017" s="10"/>
      <c r="U3017" s="10"/>
      <c r="V3017" s="10"/>
      <c r="W3017" s="10"/>
      <c r="X3017" s="10"/>
      <c r="Y3017" s="10"/>
    </row>
    <row r="3018" spans="1:25" x14ac:dyDescent="0.25">
      <c r="A3018" s="9">
        <v>43556</v>
      </c>
      <c r="B3018" s="10">
        <f ca="1">ROUND(_xlfn.NORM.INV(RAND(),Reference!$C$8,0.1*Reference!$C$8)*(1+Reference!$C$11*(IF(MONTH($A3018)=Reference!$C$4,1,0)+IF(MONTH($A3018)=Reference!$C$5,1,0))+(IF(MONTH($A3018)=Reference!$C$6,Reference!$C$13,0))),0)</f>
        <v>581</v>
      </c>
      <c r="C3018" s="11">
        <f ca="1">B3018*Reference!$C$7*(1-IF(MONTH($A3018)=Reference!$C$6,1,0)*Reference!$C$12)</f>
        <v>540330</v>
      </c>
      <c r="D3018" s="10">
        <f ca="1">ROUND(_xlfn.NORM.INV(RAND(),Reference!$D$8,0.1*Reference!$D$8)*(1+Reference!$D$11*(IF(MONTH($A3018)=Reference!$D$4,1,0)+IF(MONTH($A3018)=Reference!$D$5,1,0))+(IF(MONTH($A3018)=Reference!$D$6,Reference!$D$13,0))),0)</f>
        <v>372</v>
      </c>
      <c r="E3018" s="11">
        <f ca="1">D3018*Reference!$D$7*(1-IF(MONTH($A3018)=Reference!$D$6,1,0)*Reference!$D$12)</f>
        <v>279000</v>
      </c>
      <c r="M3018" s="20"/>
      <c r="N3018" s="20"/>
      <c r="O3018" s="19"/>
      <c r="P3018" s="10"/>
      <c r="Q3018" s="10"/>
      <c r="R3018" s="10"/>
      <c r="S3018" s="10"/>
      <c r="T3018" s="10"/>
      <c r="U3018" s="10"/>
      <c r="V3018" s="10"/>
      <c r="W3018" s="10"/>
      <c r="X3018" s="10"/>
      <c r="Y3018" s="10"/>
    </row>
    <row r="3019" spans="1:25" x14ac:dyDescent="0.25">
      <c r="A3019" s="9">
        <v>43557</v>
      </c>
      <c r="B3019" s="10">
        <f ca="1">ROUND(_xlfn.NORM.INV(RAND(),Reference!$C$8,0.1*Reference!$C$8)*(1+Reference!$C$11*(IF(MONTH($A3019)=Reference!$C$4,1,0)+IF(MONTH($A3019)=Reference!$C$5,1,0))+(IF(MONTH($A3019)=Reference!$C$6,Reference!$C$13,0))),0)</f>
        <v>501</v>
      </c>
      <c r="C3019" s="11">
        <f ca="1">B3019*Reference!$C$7*(1-IF(MONTH($A3019)=Reference!$C$6,1,0)*Reference!$C$12)</f>
        <v>465930</v>
      </c>
      <c r="D3019" s="10">
        <f ca="1">ROUND(_xlfn.NORM.INV(RAND(),Reference!$D$8,0.1*Reference!$D$8)*(1+Reference!$D$11*(IF(MONTH($A3019)=Reference!$D$4,1,0)+IF(MONTH($A3019)=Reference!$D$5,1,0))+(IF(MONTH($A3019)=Reference!$D$6,Reference!$D$13,0))),0)</f>
        <v>440</v>
      </c>
      <c r="E3019" s="11">
        <f ca="1">D3019*Reference!$D$7*(1-IF(MONTH($A3019)=Reference!$D$6,1,0)*Reference!$D$12)</f>
        <v>330000</v>
      </c>
      <c r="M3019" s="20"/>
      <c r="N3019" s="20"/>
      <c r="O3019" s="19"/>
      <c r="P3019" s="10"/>
      <c r="Q3019" s="10"/>
      <c r="R3019" s="10"/>
      <c r="S3019" s="10"/>
      <c r="T3019" s="10"/>
      <c r="U3019" s="10"/>
      <c r="V3019" s="10"/>
      <c r="W3019" s="10"/>
      <c r="X3019" s="10"/>
      <c r="Y3019" s="10"/>
    </row>
    <row r="3020" spans="1:25" x14ac:dyDescent="0.25">
      <c r="A3020" s="9">
        <v>43558</v>
      </c>
      <c r="B3020" s="10">
        <f ca="1">ROUND(_xlfn.NORM.INV(RAND(),Reference!$C$8,0.1*Reference!$C$8)*(1+Reference!$C$11*(IF(MONTH($A3020)=Reference!$C$4,1,0)+IF(MONTH($A3020)=Reference!$C$5,1,0))+(IF(MONTH($A3020)=Reference!$C$6,Reference!$C$13,0))),0)</f>
        <v>539</v>
      </c>
      <c r="C3020" s="11">
        <f ca="1">B3020*Reference!$C$7*(1-IF(MONTH($A3020)=Reference!$C$6,1,0)*Reference!$C$12)</f>
        <v>501270</v>
      </c>
      <c r="D3020" s="10">
        <f ca="1">ROUND(_xlfn.NORM.INV(RAND(),Reference!$D$8,0.1*Reference!$D$8)*(1+Reference!$D$11*(IF(MONTH($A3020)=Reference!$D$4,1,0)+IF(MONTH($A3020)=Reference!$D$5,1,0))+(IF(MONTH($A3020)=Reference!$D$6,Reference!$D$13,0))),0)</f>
        <v>433</v>
      </c>
      <c r="E3020" s="11">
        <f ca="1">D3020*Reference!$D$7*(1-IF(MONTH($A3020)=Reference!$D$6,1,0)*Reference!$D$12)</f>
        <v>324750</v>
      </c>
      <c r="M3020" s="20"/>
      <c r="N3020" s="20"/>
      <c r="O3020" s="19"/>
      <c r="P3020" s="10"/>
      <c r="Q3020" s="10"/>
      <c r="R3020" s="10"/>
      <c r="S3020" s="10"/>
      <c r="T3020" s="10"/>
      <c r="U3020" s="10"/>
      <c r="V3020" s="10"/>
      <c r="W3020" s="10"/>
      <c r="X3020" s="10"/>
      <c r="Y3020" s="10"/>
    </row>
    <row r="3021" spans="1:25" x14ac:dyDescent="0.25">
      <c r="A3021" s="9">
        <v>43559</v>
      </c>
      <c r="B3021" s="10">
        <f ca="1">ROUND(_xlfn.NORM.INV(RAND(),Reference!$C$8,0.1*Reference!$C$8)*(1+Reference!$C$11*(IF(MONTH($A3021)=Reference!$C$4,1,0)+IF(MONTH($A3021)=Reference!$C$5,1,0))+(IF(MONTH($A3021)=Reference!$C$6,Reference!$C$13,0))),0)</f>
        <v>467</v>
      </c>
      <c r="C3021" s="11">
        <f ca="1">B3021*Reference!$C$7*(1-IF(MONTH($A3021)=Reference!$C$6,1,0)*Reference!$C$12)</f>
        <v>434310</v>
      </c>
      <c r="D3021" s="10">
        <f ca="1">ROUND(_xlfn.NORM.INV(RAND(),Reference!$D$8,0.1*Reference!$D$8)*(1+Reference!$D$11*(IF(MONTH($A3021)=Reference!$D$4,1,0)+IF(MONTH($A3021)=Reference!$D$5,1,0))+(IF(MONTH($A3021)=Reference!$D$6,Reference!$D$13,0))),0)</f>
        <v>450</v>
      </c>
      <c r="E3021" s="11">
        <f ca="1">D3021*Reference!$D$7*(1-IF(MONTH($A3021)=Reference!$D$6,1,0)*Reference!$D$12)</f>
        <v>337500</v>
      </c>
      <c r="M3021" s="20"/>
      <c r="N3021" s="20"/>
      <c r="O3021" s="19"/>
      <c r="P3021" s="10"/>
      <c r="Q3021" s="10"/>
      <c r="R3021" s="10"/>
      <c r="S3021" s="10"/>
      <c r="T3021" s="10"/>
      <c r="U3021" s="10"/>
      <c r="V3021" s="10"/>
      <c r="W3021" s="10"/>
      <c r="X3021" s="10"/>
      <c r="Y3021" s="10"/>
    </row>
    <row r="3022" spans="1:25" x14ac:dyDescent="0.25">
      <c r="A3022" s="9">
        <v>43560</v>
      </c>
      <c r="B3022" s="10">
        <f ca="1">ROUND(_xlfn.NORM.INV(RAND(),Reference!$C$8,0.1*Reference!$C$8)*(1+Reference!$C$11*(IF(MONTH($A3022)=Reference!$C$4,1,0)+IF(MONTH($A3022)=Reference!$C$5,1,0))+(IF(MONTH($A3022)=Reference!$C$6,Reference!$C$13,0))),0)</f>
        <v>653</v>
      </c>
      <c r="C3022" s="11">
        <f ca="1">B3022*Reference!$C$7*(1-IF(MONTH($A3022)=Reference!$C$6,1,0)*Reference!$C$12)</f>
        <v>607290</v>
      </c>
      <c r="D3022" s="10">
        <f ca="1">ROUND(_xlfn.NORM.INV(RAND(),Reference!$D$8,0.1*Reference!$D$8)*(1+Reference!$D$11*(IF(MONTH($A3022)=Reference!$D$4,1,0)+IF(MONTH($A3022)=Reference!$D$5,1,0))+(IF(MONTH($A3022)=Reference!$D$6,Reference!$D$13,0))),0)</f>
        <v>408</v>
      </c>
      <c r="E3022" s="11">
        <f ca="1">D3022*Reference!$D$7*(1-IF(MONTH($A3022)=Reference!$D$6,1,0)*Reference!$D$12)</f>
        <v>306000</v>
      </c>
      <c r="M3022" s="20"/>
      <c r="N3022" s="20"/>
      <c r="O3022" s="19"/>
      <c r="P3022" s="10"/>
      <c r="Q3022" s="10"/>
      <c r="R3022" s="10"/>
      <c r="S3022" s="10"/>
      <c r="T3022" s="10"/>
      <c r="U3022" s="10"/>
      <c r="V3022" s="10"/>
      <c r="W3022" s="10"/>
      <c r="X3022" s="10"/>
      <c r="Y3022" s="10"/>
    </row>
    <row r="3023" spans="1:25" x14ac:dyDescent="0.25">
      <c r="A3023" s="9">
        <v>43561</v>
      </c>
      <c r="B3023" s="10">
        <f ca="1">ROUND(_xlfn.NORM.INV(RAND(),Reference!$C$8,0.1*Reference!$C$8)*(1+Reference!$C$11*(IF(MONTH($A3023)=Reference!$C$4,1,0)+IF(MONTH($A3023)=Reference!$C$5,1,0))+(IF(MONTH($A3023)=Reference!$C$6,Reference!$C$13,0))),0)</f>
        <v>494</v>
      </c>
      <c r="C3023" s="11">
        <f ca="1">B3023*Reference!$C$7*(1-IF(MONTH($A3023)=Reference!$C$6,1,0)*Reference!$C$12)</f>
        <v>459420</v>
      </c>
      <c r="D3023" s="10">
        <f ca="1">ROUND(_xlfn.NORM.INV(RAND(),Reference!$D$8,0.1*Reference!$D$8)*(1+Reference!$D$11*(IF(MONTH($A3023)=Reference!$D$4,1,0)+IF(MONTH($A3023)=Reference!$D$5,1,0))+(IF(MONTH($A3023)=Reference!$D$6,Reference!$D$13,0))),0)</f>
        <v>479</v>
      </c>
      <c r="E3023" s="11">
        <f ca="1">D3023*Reference!$D$7*(1-IF(MONTH($A3023)=Reference!$D$6,1,0)*Reference!$D$12)</f>
        <v>359250</v>
      </c>
      <c r="M3023" s="20"/>
      <c r="N3023" s="20"/>
      <c r="O3023" s="19"/>
      <c r="P3023" s="10"/>
      <c r="Q3023" s="10"/>
      <c r="R3023" s="10"/>
      <c r="S3023" s="10"/>
      <c r="T3023" s="10"/>
      <c r="U3023" s="10"/>
      <c r="V3023" s="10"/>
      <c r="W3023" s="10"/>
      <c r="X3023" s="10"/>
      <c r="Y3023" s="10"/>
    </row>
    <row r="3024" spans="1:25" x14ac:dyDescent="0.25">
      <c r="A3024" s="9">
        <v>43562</v>
      </c>
      <c r="B3024" s="10">
        <f ca="1">ROUND(_xlfn.NORM.INV(RAND(),Reference!$C$8,0.1*Reference!$C$8)*(1+Reference!$C$11*(IF(MONTH($A3024)=Reference!$C$4,1,0)+IF(MONTH($A3024)=Reference!$C$5,1,0))+(IF(MONTH($A3024)=Reference!$C$6,Reference!$C$13,0))),0)</f>
        <v>502</v>
      </c>
      <c r="C3024" s="11">
        <f ca="1">B3024*Reference!$C$7*(1-IF(MONTH($A3024)=Reference!$C$6,1,0)*Reference!$C$12)</f>
        <v>466860</v>
      </c>
      <c r="D3024" s="10">
        <f ca="1">ROUND(_xlfn.NORM.INV(RAND(),Reference!$D$8,0.1*Reference!$D$8)*(1+Reference!$D$11*(IF(MONTH($A3024)=Reference!$D$4,1,0)+IF(MONTH($A3024)=Reference!$D$5,1,0))+(IF(MONTH($A3024)=Reference!$D$6,Reference!$D$13,0))),0)</f>
        <v>442</v>
      </c>
      <c r="E3024" s="11">
        <f ca="1">D3024*Reference!$D$7*(1-IF(MONTH($A3024)=Reference!$D$6,1,0)*Reference!$D$12)</f>
        <v>331500</v>
      </c>
      <c r="M3024" s="20"/>
      <c r="N3024" s="20"/>
      <c r="O3024" s="19"/>
      <c r="P3024" s="10"/>
      <c r="Q3024" s="10"/>
      <c r="R3024" s="10"/>
      <c r="S3024" s="10"/>
      <c r="T3024" s="10"/>
      <c r="U3024" s="10"/>
      <c r="V3024" s="10"/>
      <c r="W3024" s="10"/>
      <c r="X3024" s="10"/>
      <c r="Y3024" s="10"/>
    </row>
    <row r="3025" spans="1:25" x14ac:dyDescent="0.25">
      <c r="A3025" s="9">
        <v>43563</v>
      </c>
      <c r="B3025" s="10">
        <f ca="1">ROUND(_xlfn.NORM.INV(RAND(),Reference!$C$8,0.1*Reference!$C$8)*(1+Reference!$C$11*(IF(MONTH($A3025)=Reference!$C$4,1,0)+IF(MONTH($A3025)=Reference!$C$5,1,0))+(IF(MONTH($A3025)=Reference!$C$6,Reference!$C$13,0))),0)</f>
        <v>480</v>
      </c>
      <c r="C3025" s="11">
        <f ca="1">B3025*Reference!$C$7*(1-IF(MONTH($A3025)=Reference!$C$6,1,0)*Reference!$C$12)</f>
        <v>446400</v>
      </c>
      <c r="D3025" s="10">
        <f ca="1">ROUND(_xlfn.NORM.INV(RAND(),Reference!$D$8,0.1*Reference!$D$8)*(1+Reference!$D$11*(IF(MONTH($A3025)=Reference!$D$4,1,0)+IF(MONTH($A3025)=Reference!$D$5,1,0))+(IF(MONTH($A3025)=Reference!$D$6,Reference!$D$13,0))),0)</f>
        <v>450</v>
      </c>
      <c r="E3025" s="11">
        <f ca="1">D3025*Reference!$D$7*(1-IF(MONTH($A3025)=Reference!$D$6,1,0)*Reference!$D$12)</f>
        <v>337500</v>
      </c>
      <c r="M3025" s="20"/>
      <c r="N3025" s="20"/>
      <c r="O3025" s="19"/>
      <c r="P3025" s="10"/>
      <c r="Q3025" s="10"/>
      <c r="R3025" s="10"/>
      <c r="S3025" s="10"/>
      <c r="T3025" s="10"/>
      <c r="U3025" s="10"/>
      <c r="V3025" s="10"/>
      <c r="W3025" s="10"/>
      <c r="X3025" s="10"/>
      <c r="Y3025" s="10"/>
    </row>
    <row r="3026" spans="1:25" x14ac:dyDescent="0.25">
      <c r="A3026" s="9">
        <v>43564</v>
      </c>
      <c r="B3026" s="10">
        <f ca="1">ROUND(_xlfn.NORM.INV(RAND(),Reference!$C$8,0.1*Reference!$C$8)*(1+Reference!$C$11*(IF(MONTH($A3026)=Reference!$C$4,1,0)+IF(MONTH($A3026)=Reference!$C$5,1,0))+(IF(MONTH($A3026)=Reference!$C$6,Reference!$C$13,0))),0)</f>
        <v>518</v>
      </c>
      <c r="C3026" s="11">
        <f ca="1">B3026*Reference!$C$7*(1-IF(MONTH($A3026)=Reference!$C$6,1,0)*Reference!$C$12)</f>
        <v>481740</v>
      </c>
      <c r="D3026" s="10">
        <f ca="1">ROUND(_xlfn.NORM.INV(RAND(),Reference!$D$8,0.1*Reference!$D$8)*(1+Reference!$D$11*(IF(MONTH($A3026)=Reference!$D$4,1,0)+IF(MONTH($A3026)=Reference!$D$5,1,0))+(IF(MONTH($A3026)=Reference!$D$6,Reference!$D$13,0))),0)</f>
        <v>458</v>
      </c>
      <c r="E3026" s="11">
        <f ca="1">D3026*Reference!$D$7*(1-IF(MONTH($A3026)=Reference!$D$6,1,0)*Reference!$D$12)</f>
        <v>343500</v>
      </c>
      <c r="M3026" s="20"/>
      <c r="N3026" s="20"/>
      <c r="O3026" s="19"/>
      <c r="P3026" s="10"/>
      <c r="Q3026" s="10"/>
      <c r="R3026" s="10"/>
      <c r="S3026" s="10"/>
      <c r="T3026" s="10"/>
      <c r="U3026" s="10"/>
      <c r="V3026" s="10"/>
      <c r="W3026" s="10"/>
      <c r="X3026" s="10"/>
      <c r="Y3026" s="10"/>
    </row>
    <row r="3027" spans="1:25" x14ac:dyDescent="0.25">
      <c r="A3027" s="9">
        <v>43565</v>
      </c>
      <c r="B3027" s="10">
        <f ca="1">ROUND(_xlfn.NORM.INV(RAND(),Reference!$C$8,0.1*Reference!$C$8)*(1+Reference!$C$11*(IF(MONTH($A3027)=Reference!$C$4,1,0)+IF(MONTH($A3027)=Reference!$C$5,1,0))+(IF(MONTH($A3027)=Reference!$C$6,Reference!$C$13,0))),0)</f>
        <v>497</v>
      </c>
      <c r="C3027" s="11">
        <f ca="1">B3027*Reference!$C$7*(1-IF(MONTH($A3027)=Reference!$C$6,1,0)*Reference!$C$12)</f>
        <v>462210</v>
      </c>
      <c r="D3027" s="10">
        <f ca="1">ROUND(_xlfn.NORM.INV(RAND(),Reference!$D$8,0.1*Reference!$D$8)*(1+Reference!$D$11*(IF(MONTH($A3027)=Reference!$D$4,1,0)+IF(MONTH($A3027)=Reference!$D$5,1,0))+(IF(MONTH($A3027)=Reference!$D$6,Reference!$D$13,0))),0)</f>
        <v>430</v>
      </c>
      <c r="E3027" s="11">
        <f ca="1">D3027*Reference!$D$7*(1-IF(MONTH($A3027)=Reference!$D$6,1,0)*Reference!$D$12)</f>
        <v>322500</v>
      </c>
      <c r="M3027" s="20"/>
      <c r="N3027" s="20"/>
      <c r="O3027" s="19"/>
      <c r="P3027" s="10"/>
      <c r="Q3027" s="10"/>
      <c r="R3027" s="10"/>
      <c r="S3027" s="10"/>
      <c r="T3027" s="10"/>
      <c r="U3027" s="10"/>
      <c r="V3027" s="10"/>
      <c r="W3027" s="10"/>
      <c r="X3027" s="10"/>
      <c r="Y3027" s="10"/>
    </row>
    <row r="3028" spans="1:25" x14ac:dyDescent="0.25">
      <c r="A3028" s="9">
        <v>43566</v>
      </c>
      <c r="B3028" s="10">
        <f ca="1">ROUND(_xlfn.NORM.INV(RAND(),Reference!$C$8,0.1*Reference!$C$8)*(1+Reference!$C$11*(IF(MONTH($A3028)=Reference!$C$4,1,0)+IF(MONTH($A3028)=Reference!$C$5,1,0))+(IF(MONTH($A3028)=Reference!$C$6,Reference!$C$13,0))),0)</f>
        <v>446</v>
      </c>
      <c r="C3028" s="11">
        <f ca="1">B3028*Reference!$C$7*(1-IF(MONTH($A3028)=Reference!$C$6,1,0)*Reference!$C$12)</f>
        <v>414780</v>
      </c>
      <c r="D3028" s="10">
        <f ca="1">ROUND(_xlfn.NORM.INV(RAND(),Reference!$D$8,0.1*Reference!$D$8)*(1+Reference!$D$11*(IF(MONTH($A3028)=Reference!$D$4,1,0)+IF(MONTH($A3028)=Reference!$D$5,1,0))+(IF(MONTH($A3028)=Reference!$D$6,Reference!$D$13,0))),0)</f>
        <v>500</v>
      </c>
      <c r="E3028" s="11">
        <f ca="1">D3028*Reference!$D$7*(1-IF(MONTH($A3028)=Reference!$D$6,1,0)*Reference!$D$12)</f>
        <v>375000</v>
      </c>
      <c r="M3028" s="20"/>
      <c r="N3028" s="20"/>
      <c r="O3028" s="19"/>
      <c r="P3028" s="10"/>
      <c r="Q3028" s="10"/>
      <c r="R3028" s="10"/>
      <c r="S3028" s="10"/>
      <c r="T3028" s="10"/>
      <c r="U3028" s="10"/>
      <c r="V3028" s="10"/>
      <c r="W3028" s="10"/>
      <c r="X3028" s="10"/>
      <c r="Y3028" s="10"/>
    </row>
    <row r="3029" spans="1:25" x14ac:dyDescent="0.25">
      <c r="A3029" s="9">
        <v>43567</v>
      </c>
      <c r="B3029" s="10">
        <f ca="1">ROUND(_xlfn.NORM.INV(RAND(),Reference!$C$8,0.1*Reference!$C$8)*(1+Reference!$C$11*(IF(MONTH($A3029)=Reference!$C$4,1,0)+IF(MONTH($A3029)=Reference!$C$5,1,0))+(IF(MONTH($A3029)=Reference!$C$6,Reference!$C$13,0))),0)</f>
        <v>520</v>
      </c>
      <c r="C3029" s="11">
        <f ca="1">B3029*Reference!$C$7*(1-IF(MONTH($A3029)=Reference!$C$6,1,0)*Reference!$C$12)</f>
        <v>483600</v>
      </c>
      <c r="D3029" s="10">
        <f ca="1">ROUND(_xlfn.NORM.INV(RAND(),Reference!$D$8,0.1*Reference!$D$8)*(1+Reference!$D$11*(IF(MONTH($A3029)=Reference!$D$4,1,0)+IF(MONTH($A3029)=Reference!$D$5,1,0))+(IF(MONTH($A3029)=Reference!$D$6,Reference!$D$13,0))),0)</f>
        <v>424</v>
      </c>
      <c r="E3029" s="11">
        <f ca="1">D3029*Reference!$D$7*(1-IF(MONTH($A3029)=Reference!$D$6,1,0)*Reference!$D$12)</f>
        <v>318000</v>
      </c>
      <c r="M3029" s="20"/>
      <c r="N3029" s="20"/>
      <c r="O3029" s="19"/>
      <c r="P3029" s="10"/>
      <c r="Q3029" s="10"/>
      <c r="R3029" s="10"/>
      <c r="S3029" s="10"/>
      <c r="T3029" s="10"/>
      <c r="U3029" s="10"/>
      <c r="V3029" s="10"/>
      <c r="W3029" s="10"/>
      <c r="X3029" s="10"/>
      <c r="Y3029" s="10"/>
    </row>
    <row r="3030" spans="1:25" x14ac:dyDescent="0.25">
      <c r="A3030" s="9">
        <v>43568</v>
      </c>
      <c r="B3030" s="10">
        <f ca="1">ROUND(_xlfn.NORM.INV(RAND(),Reference!$C$8,0.1*Reference!$C$8)*(1+Reference!$C$11*(IF(MONTH($A3030)=Reference!$C$4,1,0)+IF(MONTH($A3030)=Reference!$C$5,1,0))+(IF(MONTH($A3030)=Reference!$C$6,Reference!$C$13,0))),0)</f>
        <v>478</v>
      </c>
      <c r="C3030" s="11">
        <f ca="1">B3030*Reference!$C$7*(1-IF(MONTH($A3030)=Reference!$C$6,1,0)*Reference!$C$12)</f>
        <v>444540</v>
      </c>
      <c r="D3030" s="10">
        <f ca="1">ROUND(_xlfn.NORM.INV(RAND(),Reference!$D$8,0.1*Reference!$D$8)*(1+Reference!$D$11*(IF(MONTH($A3030)=Reference!$D$4,1,0)+IF(MONTH($A3030)=Reference!$D$5,1,0))+(IF(MONTH($A3030)=Reference!$D$6,Reference!$D$13,0))),0)</f>
        <v>345</v>
      </c>
      <c r="E3030" s="11">
        <f ca="1">D3030*Reference!$D$7*(1-IF(MONTH($A3030)=Reference!$D$6,1,0)*Reference!$D$12)</f>
        <v>258750</v>
      </c>
      <c r="M3030" s="20"/>
      <c r="N3030" s="20"/>
      <c r="O3030" s="19"/>
      <c r="P3030" s="10"/>
      <c r="Q3030" s="10"/>
      <c r="R3030" s="10"/>
      <c r="S3030" s="10"/>
      <c r="T3030" s="10"/>
      <c r="U3030" s="10"/>
      <c r="V3030" s="10"/>
      <c r="W3030" s="10"/>
      <c r="X3030" s="10"/>
      <c r="Y3030" s="10"/>
    </row>
    <row r="3031" spans="1:25" x14ac:dyDescent="0.25">
      <c r="A3031" s="9">
        <v>43569</v>
      </c>
      <c r="B3031" s="10">
        <f ca="1">ROUND(_xlfn.NORM.INV(RAND(),Reference!$C$8,0.1*Reference!$C$8)*(1+Reference!$C$11*(IF(MONTH($A3031)=Reference!$C$4,1,0)+IF(MONTH($A3031)=Reference!$C$5,1,0))+(IF(MONTH($A3031)=Reference!$C$6,Reference!$C$13,0))),0)</f>
        <v>554</v>
      </c>
      <c r="C3031" s="11">
        <f ca="1">B3031*Reference!$C$7*(1-IF(MONTH($A3031)=Reference!$C$6,1,0)*Reference!$C$12)</f>
        <v>515220</v>
      </c>
      <c r="D3031" s="10">
        <f ca="1">ROUND(_xlfn.NORM.INV(RAND(),Reference!$D$8,0.1*Reference!$D$8)*(1+Reference!$D$11*(IF(MONTH($A3031)=Reference!$D$4,1,0)+IF(MONTH($A3031)=Reference!$D$5,1,0))+(IF(MONTH($A3031)=Reference!$D$6,Reference!$D$13,0))),0)</f>
        <v>521</v>
      </c>
      <c r="E3031" s="11">
        <f ca="1">D3031*Reference!$D$7*(1-IF(MONTH($A3031)=Reference!$D$6,1,0)*Reference!$D$12)</f>
        <v>390750</v>
      </c>
      <c r="M3031" s="20"/>
      <c r="N3031" s="20"/>
      <c r="O3031" s="19"/>
      <c r="P3031" s="10"/>
      <c r="Q3031" s="10"/>
      <c r="R3031" s="10"/>
      <c r="S3031" s="10"/>
      <c r="T3031" s="10"/>
      <c r="U3031" s="10"/>
      <c r="V3031" s="10"/>
      <c r="W3031" s="10"/>
      <c r="X3031" s="10"/>
      <c r="Y3031" s="10"/>
    </row>
    <row r="3032" spans="1:25" x14ac:dyDescent="0.25">
      <c r="A3032" s="9">
        <v>43570</v>
      </c>
      <c r="B3032" s="10">
        <f ca="1">ROUND(_xlfn.NORM.INV(RAND(),Reference!$C$8,0.1*Reference!$C$8)*(1+Reference!$C$11*(IF(MONTH($A3032)=Reference!$C$4,1,0)+IF(MONTH($A3032)=Reference!$C$5,1,0))+(IF(MONTH($A3032)=Reference!$C$6,Reference!$C$13,0))),0)</f>
        <v>604</v>
      </c>
      <c r="C3032" s="11">
        <f ca="1">B3032*Reference!$C$7*(1-IF(MONTH($A3032)=Reference!$C$6,1,0)*Reference!$C$12)</f>
        <v>561720</v>
      </c>
      <c r="D3032" s="10">
        <f ca="1">ROUND(_xlfn.NORM.INV(RAND(),Reference!$D$8,0.1*Reference!$D$8)*(1+Reference!$D$11*(IF(MONTH($A3032)=Reference!$D$4,1,0)+IF(MONTH($A3032)=Reference!$D$5,1,0))+(IF(MONTH($A3032)=Reference!$D$6,Reference!$D$13,0))),0)</f>
        <v>460</v>
      </c>
      <c r="E3032" s="11">
        <f ca="1">D3032*Reference!$D$7*(1-IF(MONTH($A3032)=Reference!$D$6,1,0)*Reference!$D$12)</f>
        <v>345000</v>
      </c>
      <c r="M3032" s="20"/>
      <c r="N3032" s="20"/>
      <c r="O3032" s="19"/>
      <c r="P3032" s="10"/>
      <c r="Q3032" s="10"/>
      <c r="R3032" s="10"/>
      <c r="S3032" s="10"/>
      <c r="T3032" s="10"/>
      <c r="U3032" s="10"/>
      <c r="V3032" s="10"/>
      <c r="W3032" s="10"/>
      <c r="X3032" s="10"/>
      <c r="Y3032" s="10"/>
    </row>
    <row r="3033" spans="1:25" x14ac:dyDescent="0.25">
      <c r="A3033" s="9">
        <v>43571</v>
      </c>
      <c r="B3033" s="10">
        <f ca="1">ROUND(_xlfn.NORM.INV(RAND(),Reference!$C$8,0.1*Reference!$C$8)*(1+Reference!$C$11*(IF(MONTH($A3033)=Reference!$C$4,1,0)+IF(MONTH($A3033)=Reference!$C$5,1,0))+(IF(MONTH($A3033)=Reference!$C$6,Reference!$C$13,0))),0)</f>
        <v>515</v>
      </c>
      <c r="C3033" s="11">
        <f ca="1">B3033*Reference!$C$7*(1-IF(MONTH($A3033)=Reference!$C$6,1,0)*Reference!$C$12)</f>
        <v>478950</v>
      </c>
      <c r="D3033" s="10">
        <f ca="1">ROUND(_xlfn.NORM.INV(RAND(),Reference!$D$8,0.1*Reference!$D$8)*(1+Reference!$D$11*(IF(MONTH($A3033)=Reference!$D$4,1,0)+IF(MONTH($A3033)=Reference!$D$5,1,0))+(IF(MONTH($A3033)=Reference!$D$6,Reference!$D$13,0))),0)</f>
        <v>519</v>
      </c>
      <c r="E3033" s="11">
        <f ca="1">D3033*Reference!$D$7*(1-IF(MONTH($A3033)=Reference!$D$6,1,0)*Reference!$D$12)</f>
        <v>389250</v>
      </c>
      <c r="M3033" s="20"/>
      <c r="N3033" s="20"/>
      <c r="O3033" s="19"/>
      <c r="P3033" s="10"/>
      <c r="Q3033" s="10"/>
      <c r="R3033" s="10"/>
      <c r="S3033" s="10"/>
      <c r="T3033" s="10"/>
      <c r="U3033" s="10"/>
      <c r="V3033" s="10"/>
      <c r="W3033" s="10"/>
      <c r="X3033" s="10"/>
      <c r="Y3033" s="10"/>
    </row>
    <row r="3034" spans="1:25" x14ac:dyDescent="0.25">
      <c r="A3034" s="9">
        <v>43572</v>
      </c>
      <c r="B3034" s="10">
        <f ca="1">ROUND(_xlfn.NORM.INV(RAND(),Reference!$C$8,0.1*Reference!$C$8)*(1+Reference!$C$11*(IF(MONTH($A3034)=Reference!$C$4,1,0)+IF(MONTH($A3034)=Reference!$C$5,1,0))+(IF(MONTH($A3034)=Reference!$C$6,Reference!$C$13,0))),0)</f>
        <v>622</v>
      </c>
      <c r="C3034" s="11">
        <f ca="1">B3034*Reference!$C$7*(1-IF(MONTH($A3034)=Reference!$C$6,1,0)*Reference!$C$12)</f>
        <v>578460</v>
      </c>
      <c r="D3034" s="10">
        <f ca="1">ROUND(_xlfn.NORM.INV(RAND(),Reference!$D$8,0.1*Reference!$D$8)*(1+Reference!$D$11*(IF(MONTH($A3034)=Reference!$D$4,1,0)+IF(MONTH($A3034)=Reference!$D$5,1,0))+(IF(MONTH($A3034)=Reference!$D$6,Reference!$D$13,0))),0)</f>
        <v>487</v>
      </c>
      <c r="E3034" s="11">
        <f ca="1">D3034*Reference!$D$7*(1-IF(MONTH($A3034)=Reference!$D$6,1,0)*Reference!$D$12)</f>
        <v>365250</v>
      </c>
      <c r="M3034" s="20"/>
      <c r="N3034" s="20"/>
      <c r="O3034" s="19"/>
      <c r="P3034" s="10"/>
      <c r="Q3034" s="10"/>
      <c r="R3034" s="10"/>
      <c r="S3034" s="10"/>
      <c r="T3034" s="10"/>
      <c r="U3034" s="10"/>
      <c r="V3034" s="10"/>
      <c r="W3034" s="10"/>
      <c r="X3034" s="10"/>
      <c r="Y3034" s="10"/>
    </row>
    <row r="3035" spans="1:25" x14ac:dyDescent="0.25">
      <c r="A3035" s="9">
        <v>43573</v>
      </c>
      <c r="B3035" s="10">
        <f ca="1">ROUND(_xlfn.NORM.INV(RAND(),Reference!$C$8,0.1*Reference!$C$8)*(1+Reference!$C$11*(IF(MONTH($A3035)=Reference!$C$4,1,0)+IF(MONTH($A3035)=Reference!$C$5,1,0))+(IF(MONTH($A3035)=Reference!$C$6,Reference!$C$13,0))),0)</f>
        <v>567</v>
      </c>
      <c r="C3035" s="11">
        <f ca="1">B3035*Reference!$C$7*(1-IF(MONTH($A3035)=Reference!$C$6,1,0)*Reference!$C$12)</f>
        <v>527310</v>
      </c>
      <c r="D3035" s="10">
        <f ca="1">ROUND(_xlfn.NORM.INV(RAND(),Reference!$D$8,0.1*Reference!$D$8)*(1+Reference!$D$11*(IF(MONTH($A3035)=Reference!$D$4,1,0)+IF(MONTH($A3035)=Reference!$D$5,1,0))+(IF(MONTH($A3035)=Reference!$D$6,Reference!$D$13,0))),0)</f>
        <v>442</v>
      </c>
      <c r="E3035" s="11">
        <f ca="1">D3035*Reference!$D$7*(1-IF(MONTH($A3035)=Reference!$D$6,1,0)*Reference!$D$12)</f>
        <v>331500</v>
      </c>
      <c r="M3035" s="20"/>
      <c r="N3035" s="20"/>
      <c r="O3035" s="19"/>
      <c r="P3035" s="10"/>
      <c r="Q3035" s="10"/>
      <c r="R3035" s="10"/>
      <c r="S3035" s="10"/>
      <c r="T3035" s="10"/>
      <c r="U3035" s="10"/>
      <c r="V3035" s="10"/>
      <c r="W3035" s="10"/>
      <c r="X3035" s="10"/>
      <c r="Y3035" s="10"/>
    </row>
    <row r="3036" spans="1:25" x14ac:dyDescent="0.25">
      <c r="A3036" s="9">
        <v>43574</v>
      </c>
      <c r="B3036" s="10">
        <f ca="1">ROUND(_xlfn.NORM.INV(RAND(),Reference!$C$8,0.1*Reference!$C$8)*(1+Reference!$C$11*(IF(MONTH($A3036)=Reference!$C$4,1,0)+IF(MONTH($A3036)=Reference!$C$5,1,0))+(IF(MONTH($A3036)=Reference!$C$6,Reference!$C$13,0))),0)</f>
        <v>612</v>
      </c>
      <c r="C3036" s="11">
        <f ca="1">B3036*Reference!$C$7*(1-IF(MONTH($A3036)=Reference!$C$6,1,0)*Reference!$C$12)</f>
        <v>569160</v>
      </c>
      <c r="D3036" s="10">
        <f ca="1">ROUND(_xlfn.NORM.INV(RAND(),Reference!$D$8,0.1*Reference!$D$8)*(1+Reference!$D$11*(IF(MONTH($A3036)=Reference!$D$4,1,0)+IF(MONTH($A3036)=Reference!$D$5,1,0))+(IF(MONTH($A3036)=Reference!$D$6,Reference!$D$13,0))),0)</f>
        <v>488</v>
      </c>
      <c r="E3036" s="11">
        <f ca="1">D3036*Reference!$D$7*(1-IF(MONTH($A3036)=Reference!$D$6,1,0)*Reference!$D$12)</f>
        <v>366000</v>
      </c>
      <c r="M3036" s="20"/>
      <c r="N3036" s="20"/>
      <c r="O3036" s="19"/>
      <c r="P3036" s="10"/>
      <c r="Q3036" s="10"/>
      <c r="R3036" s="10"/>
      <c r="S3036" s="10"/>
      <c r="T3036" s="10"/>
      <c r="U3036" s="10"/>
      <c r="V3036" s="10"/>
      <c r="W3036" s="10"/>
      <c r="X3036" s="10"/>
      <c r="Y3036" s="10"/>
    </row>
    <row r="3037" spans="1:25" x14ac:dyDescent="0.25">
      <c r="A3037" s="9">
        <v>43575</v>
      </c>
      <c r="B3037" s="10">
        <f ca="1">ROUND(_xlfn.NORM.INV(RAND(),Reference!$C$8,0.1*Reference!$C$8)*(1+Reference!$C$11*(IF(MONTH($A3037)=Reference!$C$4,1,0)+IF(MONTH($A3037)=Reference!$C$5,1,0))+(IF(MONTH($A3037)=Reference!$C$6,Reference!$C$13,0))),0)</f>
        <v>527</v>
      </c>
      <c r="C3037" s="11">
        <f ca="1">B3037*Reference!$C$7*(1-IF(MONTH($A3037)=Reference!$C$6,1,0)*Reference!$C$12)</f>
        <v>490110</v>
      </c>
      <c r="D3037" s="10">
        <f ca="1">ROUND(_xlfn.NORM.INV(RAND(),Reference!$D$8,0.1*Reference!$D$8)*(1+Reference!$D$11*(IF(MONTH($A3037)=Reference!$D$4,1,0)+IF(MONTH($A3037)=Reference!$D$5,1,0))+(IF(MONTH($A3037)=Reference!$D$6,Reference!$D$13,0))),0)</f>
        <v>475</v>
      </c>
      <c r="E3037" s="11">
        <f ca="1">D3037*Reference!$D$7*(1-IF(MONTH($A3037)=Reference!$D$6,1,0)*Reference!$D$12)</f>
        <v>356250</v>
      </c>
      <c r="M3037" s="20"/>
      <c r="N3037" s="20"/>
      <c r="O3037" s="19"/>
      <c r="P3037" s="10"/>
      <c r="Q3037" s="10"/>
      <c r="R3037" s="10"/>
      <c r="S3037" s="10"/>
      <c r="T3037" s="10"/>
      <c r="U3037" s="10"/>
      <c r="V3037" s="10"/>
      <c r="W3037" s="10"/>
      <c r="X3037" s="10"/>
      <c r="Y3037" s="10"/>
    </row>
    <row r="3038" spans="1:25" x14ac:dyDescent="0.25">
      <c r="A3038" s="9">
        <v>43576</v>
      </c>
      <c r="B3038" s="10">
        <f ca="1">ROUND(_xlfn.NORM.INV(RAND(),Reference!$C$8,0.1*Reference!$C$8)*(1+Reference!$C$11*(IF(MONTH($A3038)=Reference!$C$4,1,0)+IF(MONTH($A3038)=Reference!$C$5,1,0))+(IF(MONTH($A3038)=Reference!$C$6,Reference!$C$13,0))),0)</f>
        <v>563</v>
      </c>
      <c r="C3038" s="11">
        <f ca="1">B3038*Reference!$C$7*(1-IF(MONTH($A3038)=Reference!$C$6,1,0)*Reference!$C$12)</f>
        <v>523590</v>
      </c>
      <c r="D3038" s="10">
        <f ca="1">ROUND(_xlfn.NORM.INV(RAND(),Reference!$D$8,0.1*Reference!$D$8)*(1+Reference!$D$11*(IF(MONTH($A3038)=Reference!$D$4,1,0)+IF(MONTH($A3038)=Reference!$D$5,1,0))+(IF(MONTH($A3038)=Reference!$D$6,Reference!$D$13,0))),0)</f>
        <v>431</v>
      </c>
      <c r="E3038" s="11">
        <f ca="1">D3038*Reference!$D$7*(1-IF(MONTH($A3038)=Reference!$D$6,1,0)*Reference!$D$12)</f>
        <v>323250</v>
      </c>
      <c r="M3038" s="20"/>
      <c r="N3038" s="20"/>
      <c r="O3038" s="19"/>
      <c r="P3038" s="10"/>
      <c r="Q3038" s="10"/>
      <c r="R3038" s="10"/>
      <c r="S3038" s="10"/>
      <c r="T3038" s="10"/>
      <c r="U3038" s="10"/>
      <c r="V3038" s="10"/>
      <c r="W3038" s="10"/>
      <c r="X3038" s="10"/>
      <c r="Y3038" s="10"/>
    </row>
    <row r="3039" spans="1:25" x14ac:dyDescent="0.25">
      <c r="A3039" s="9">
        <v>43577</v>
      </c>
      <c r="B3039" s="10">
        <f ca="1">ROUND(_xlfn.NORM.INV(RAND(),Reference!$C$8,0.1*Reference!$C$8)*(1+Reference!$C$11*(IF(MONTH($A3039)=Reference!$C$4,1,0)+IF(MONTH($A3039)=Reference!$C$5,1,0))+(IF(MONTH($A3039)=Reference!$C$6,Reference!$C$13,0))),0)</f>
        <v>501</v>
      </c>
      <c r="C3039" s="11">
        <f ca="1">B3039*Reference!$C$7*(1-IF(MONTH($A3039)=Reference!$C$6,1,0)*Reference!$C$12)</f>
        <v>465930</v>
      </c>
      <c r="D3039" s="10">
        <f ca="1">ROUND(_xlfn.NORM.INV(RAND(),Reference!$D$8,0.1*Reference!$D$8)*(1+Reference!$D$11*(IF(MONTH($A3039)=Reference!$D$4,1,0)+IF(MONTH($A3039)=Reference!$D$5,1,0))+(IF(MONTH($A3039)=Reference!$D$6,Reference!$D$13,0))),0)</f>
        <v>455</v>
      </c>
      <c r="E3039" s="11">
        <f ca="1">D3039*Reference!$D$7*(1-IF(MONTH($A3039)=Reference!$D$6,1,0)*Reference!$D$12)</f>
        <v>341250</v>
      </c>
      <c r="M3039" s="20"/>
      <c r="N3039" s="20"/>
      <c r="O3039" s="19"/>
      <c r="P3039" s="10"/>
      <c r="Q3039" s="10"/>
      <c r="R3039" s="10"/>
      <c r="S3039" s="10"/>
      <c r="T3039" s="10"/>
      <c r="U3039" s="10"/>
      <c r="V3039" s="10"/>
      <c r="W3039" s="10"/>
      <c r="X3039" s="10"/>
      <c r="Y3039" s="10"/>
    </row>
    <row r="3040" spans="1:25" x14ac:dyDescent="0.25">
      <c r="A3040" s="9">
        <v>43578</v>
      </c>
      <c r="B3040" s="10">
        <f ca="1">ROUND(_xlfn.NORM.INV(RAND(),Reference!$C$8,0.1*Reference!$C$8)*(1+Reference!$C$11*(IF(MONTH($A3040)=Reference!$C$4,1,0)+IF(MONTH($A3040)=Reference!$C$5,1,0))+(IF(MONTH($A3040)=Reference!$C$6,Reference!$C$13,0))),0)</f>
        <v>522</v>
      </c>
      <c r="C3040" s="11">
        <f ca="1">B3040*Reference!$C$7*(1-IF(MONTH($A3040)=Reference!$C$6,1,0)*Reference!$C$12)</f>
        <v>485460</v>
      </c>
      <c r="D3040" s="10">
        <f ca="1">ROUND(_xlfn.NORM.INV(RAND(),Reference!$D$8,0.1*Reference!$D$8)*(1+Reference!$D$11*(IF(MONTH($A3040)=Reference!$D$4,1,0)+IF(MONTH($A3040)=Reference!$D$5,1,0))+(IF(MONTH($A3040)=Reference!$D$6,Reference!$D$13,0))),0)</f>
        <v>466</v>
      </c>
      <c r="E3040" s="11">
        <f ca="1">D3040*Reference!$D$7*(1-IF(MONTH($A3040)=Reference!$D$6,1,0)*Reference!$D$12)</f>
        <v>349500</v>
      </c>
      <c r="M3040" s="20"/>
      <c r="N3040" s="20"/>
      <c r="O3040" s="19"/>
      <c r="P3040" s="10"/>
      <c r="Q3040" s="10"/>
      <c r="R3040" s="10"/>
      <c r="S3040" s="10"/>
      <c r="T3040" s="10"/>
      <c r="U3040" s="10"/>
      <c r="V3040" s="10"/>
      <c r="W3040" s="10"/>
      <c r="X3040" s="10"/>
      <c r="Y3040" s="10"/>
    </row>
    <row r="3041" spans="1:25" x14ac:dyDescent="0.25">
      <c r="A3041" s="9">
        <v>43579</v>
      </c>
      <c r="B3041" s="10">
        <f ca="1">ROUND(_xlfn.NORM.INV(RAND(),Reference!$C$8,0.1*Reference!$C$8)*(1+Reference!$C$11*(IF(MONTH($A3041)=Reference!$C$4,1,0)+IF(MONTH($A3041)=Reference!$C$5,1,0))+(IF(MONTH($A3041)=Reference!$C$6,Reference!$C$13,0))),0)</f>
        <v>612</v>
      </c>
      <c r="C3041" s="11">
        <f ca="1">B3041*Reference!$C$7*(1-IF(MONTH($A3041)=Reference!$C$6,1,0)*Reference!$C$12)</f>
        <v>569160</v>
      </c>
      <c r="D3041" s="10">
        <f ca="1">ROUND(_xlfn.NORM.INV(RAND(),Reference!$D$8,0.1*Reference!$D$8)*(1+Reference!$D$11*(IF(MONTH($A3041)=Reference!$D$4,1,0)+IF(MONTH($A3041)=Reference!$D$5,1,0))+(IF(MONTH($A3041)=Reference!$D$6,Reference!$D$13,0))),0)</f>
        <v>400</v>
      </c>
      <c r="E3041" s="11">
        <f ca="1">D3041*Reference!$D$7*(1-IF(MONTH($A3041)=Reference!$D$6,1,0)*Reference!$D$12)</f>
        <v>300000</v>
      </c>
      <c r="M3041" s="20"/>
      <c r="N3041" s="20"/>
      <c r="O3041" s="19"/>
      <c r="P3041" s="10"/>
      <c r="Q3041" s="10"/>
      <c r="R3041" s="10"/>
      <c r="S3041" s="10"/>
      <c r="T3041" s="10"/>
      <c r="U3041" s="10"/>
      <c r="V3041" s="10"/>
      <c r="W3041" s="10"/>
      <c r="X3041" s="10"/>
      <c r="Y3041" s="10"/>
    </row>
    <row r="3042" spans="1:25" x14ac:dyDescent="0.25">
      <c r="A3042" s="9">
        <v>43580</v>
      </c>
      <c r="B3042" s="10">
        <f ca="1">ROUND(_xlfn.NORM.INV(RAND(),Reference!$C$8,0.1*Reference!$C$8)*(1+Reference!$C$11*(IF(MONTH($A3042)=Reference!$C$4,1,0)+IF(MONTH($A3042)=Reference!$C$5,1,0))+(IF(MONTH($A3042)=Reference!$C$6,Reference!$C$13,0))),0)</f>
        <v>545</v>
      </c>
      <c r="C3042" s="11">
        <f ca="1">B3042*Reference!$C$7*(1-IF(MONTH($A3042)=Reference!$C$6,1,0)*Reference!$C$12)</f>
        <v>506850</v>
      </c>
      <c r="D3042" s="10">
        <f ca="1">ROUND(_xlfn.NORM.INV(RAND(),Reference!$D$8,0.1*Reference!$D$8)*(1+Reference!$D$11*(IF(MONTH($A3042)=Reference!$D$4,1,0)+IF(MONTH($A3042)=Reference!$D$5,1,0))+(IF(MONTH($A3042)=Reference!$D$6,Reference!$D$13,0))),0)</f>
        <v>441</v>
      </c>
      <c r="E3042" s="11">
        <f ca="1">D3042*Reference!$D$7*(1-IF(MONTH($A3042)=Reference!$D$6,1,0)*Reference!$D$12)</f>
        <v>330750</v>
      </c>
      <c r="M3042" s="20"/>
      <c r="N3042" s="20"/>
      <c r="O3042" s="19"/>
      <c r="P3042" s="10"/>
      <c r="Q3042" s="10"/>
      <c r="R3042" s="10"/>
      <c r="S3042" s="10"/>
      <c r="T3042" s="10"/>
      <c r="U3042" s="10"/>
      <c r="V3042" s="10"/>
      <c r="W3042" s="10"/>
      <c r="X3042" s="10"/>
      <c r="Y3042" s="10"/>
    </row>
    <row r="3043" spans="1:25" x14ac:dyDescent="0.25">
      <c r="A3043" s="9">
        <v>43581</v>
      </c>
      <c r="B3043" s="10">
        <f ca="1">ROUND(_xlfn.NORM.INV(RAND(),Reference!$C$8,0.1*Reference!$C$8)*(1+Reference!$C$11*(IF(MONTH($A3043)=Reference!$C$4,1,0)+IF(MONTH($A3043)=Reference!$C$5,1,0))+(IF(MONTH($A3043)=Reference!$C$6,Reference!$C$13,0))),0)</f>
        <v>506</v>
      </c>
      <c r="C3043" s="11">
        <f ca="1">B3043*Reference!$C$7*(1-IF(MONTH($A3043)=Reference!$C$6,1,0)*Reference!$C$12)</f>
        <v>470580</v>
      </c>
      <c r="D3043" s="10">
        <f ca="1">ROUND(_xlfn.NORM.INV(RAND(),Reference!$D$8,0.1*Reference!$D$8)*(1+Reference!$D$11*(IF(MONTH($A3043)=Reference!$D$4,1,0)+IF(MONTH($A3043)=Reference!$D$5,1,0))+(IF(MONTH($A3043)=Reference!$D$6,Reference!$D$13,0))),0)</f>
        <v>448</v>
      </c>
      <c r="E3043" s="11">
        <f ca="1">D3043*Reference!$D$7*(1-IF(MONTH($A3043)=Reference!$D$6,1,0)*Reference!$D$12)</f>
        <v>336000</v>
      </c>
      <c r="M3043" s="20"/>
      <c r="N3043" s="20"/>
      <c r="O3043" s="19"/>
      <c r="P3043" s="10"/>
      <c r="Q3043" s="10"/>
      <c r="R3043" s="10"/>
      <c r="S3043" s="10"/>
      <c r="T3043" s="10"/>
      <c r="U3043" s="10"/>
      <c r="V3043" s="10"/>
      <c r="W3043" s="10"/>
      <c r="X3043" s="10"/>
      <c r="Y3043" s="10"/>
    </row>
    <row r="3044" spans="1:25" x14ac:dyDescent="0.25">
      <c r="A3044" s="9">
        <v>43582</v>
      </c>
      <c r="B3044" s="10">
        <f ca="1">ROUND(_xlfn.NORM.INV(RAND(),Reference!$C$8,0.1*Reference!$C$8)*(1+Reference!$C$11*(IF(MONTH($A3044)=Reference!$C$4,1,0)+IF(MONTH($A3044)=Reference!$C$5,1,0))+(IF(MONTH($A3044)=Reference!$C$6,Reference!$C$13,0))),0)</f>
        <v>538</v>
      </c>
      <c r="C3044" s="11">
        <f ca="1">B3044*Reference!$C$7*(1-IF(MONTH($A3044)=Reference!$C$6,1,0)*Reference!$C$12)</f>
        <v>500340</v>
      </c>
      <c r="D3044" s="10">
        <f ca="1">ROUND(_xlfn.NORM.INV(RAND(),Reference!$D$8,0.1*Reference!$D$8)*(1+Reference!$D$11*(IF(MONTH($A3044)=Reference!$D$4,1,0)+IF(MONTH($A3044)=Reference!$D$5,1,0))+(IF(MONTH($A3044)=Reference!$D$6,Reference!$D$13,0))),0)</f>
        <v>442</v>
      </c>
      <c r="E3044" s="11">
        <f ca="1">D3044*Reference!$D$7*(1-IF(MONTH($A3044)=Reference!$D$6,1,0)*Reference!$D$12)</f>
        <v>331500</v>
      </c>
      <c r="M3044" s="20"/>
      <c r="N3044" s="20"/>
      <c r="O3044" s="19"/>
      <c r="P3044" s="10"/>
      <c r="Q3044" s="10"/>
      <c r="R3044" s="10"/>
      <c r="S3044" s="10"/>
      <c r="T3044" s="10"/>
      <c r="U3044" s="10"/>
      <c r="V3044" s="10"/>
      <c r="W3044" s="10"/>
      <c r="X3044" s="10"/>
      <c r="Y3044" s="10"/>
    </row>
    <row r="3045" spans="1:25" x14ac:dyDescent="0.25">
      <c r="A3045" s="9">
        <v>43583</v>
      </c>
      <c r="B3045" s="10">
        <f ca="1">ROUND(_xlfn.NORM.INV(RAND(),Reference!$C$8,0.1*Reference!$C$8)*(1+Reference!$C$11*(IF(MONTH($A3045)=Reference!$C$4,1,0)+IF(MONTH($A3045)=Reference!$C$5,1,0))+(IF(MONTH($A3045)=Reference!$C$6,Reference!$C$13,0))),0)</f>
        <v>586</v>
      </c>
      <c r="C3045" s="11">
        <f ca="1">B3045*Reference!$C$7*(1-IF(MONTH($A3045)=Reference!$C$6,1,0)*Reference!$C$12)</f>
        <v>544980</v>
      </c>
      <c r="D3045" s="10">
        <f ca="1">ROUND(_xlfn.NORM.INV(RAND(),Reference!$D$8,0.1*Reference!$D$8)*(1+Reference!$D$11*(IF(MONTH($A3045)=Reference!$D$4,1,0)+IF(MONTH($A3045)=Reference!$D$5,1,0))+(IF(MONTH($A3045)=Reference!$D$6,Reference!$D$13,0))),0)</f>
        <v>477</v>
      </c>
      <c r="E3045" s="11">
        <f ca="1">D3045*Reference!$D$7*(1-IF(MONTH($A3045)=Reference!$D$6,1,0)*Reference!$D$12)</f>
        <v>357750</v>
      </c>
      <c r="M3045" s="20"/>
      <c r="N3045" s="20"/>
      <c r="O3045" s="19"/>
      <c r="P3045" s="10"/>
      <c r="Q3045" s="10"/>
      <c r="R3045" s="10"/>
      <c r="S3045" s="10"/>
      <c r="T3045" s="10"/>
      <c r="U3045" s="10"/>
      <c r="V3045" s="10"/>
      <c r="W3045" s="10"/>
      <c r="X3045" s="10"/>
      <c r="Y3045" s="10"/>
    </row>
    <row r="3046" spans="1:25" x14ac:dyDescent="0.25">
      <c r="A3046" s="9">
        <v>43584</v>
      </c>
      <c r="B3046" s="10">
        <f ca="1">ROUND(_xlfn.NORM.INV(RAND(),Reference!$C$8,0.1*Reference!$C$8)*(1+Reference!$C$11*(IF(MONTH($A3046)=Reference!$C$4,1,0)+IF(MONTH($A3046)=Reference!$C$5,1,0))+(IF(MONTH($A3046)=Reference!$C$6,Reference!$C$13,0))),0)</f>
        <v>550</v>
      </c>
      <c r="C3046" s="11">
        <f ca="1">B3046*Reference!$C$7*(1-IF(MONTH($A3046)=Reference!$C$6,1,0)*Reference!$C$12)</f>
        <v>511500</v>
      </c>
      <c r="D3046" s="10">
        <f ca="1">ROUND(_xlfn.NORM.INV(RAND(),Reference!$D$8,0.1*Reference!$D$8)*(1+Reference!$D$11*(IF(MONTH($A3046)=Reference!$D$4,1,0)+IF(MONTH($A3046)=Reference!$D$5,1,0))+(IF(MONTH($A3046)=Reference!$D$6,Reference!$D$13,0))),0)</f>
        <v>416</v>
      </c>
      <c r="E3046" s="11">
        <f ca="1">D3046*Reference!$D$7*(1-IF(MONTH($A3046)=Reference!$D$6,1,0)*Reference!$D$12)</f>
        <v>312000</v>
      </c>
      <c r="M3046" s="20"/>
      <c r="N3046" s="20"/>
      <c r="O3046" s="19"/>
      <c r="P3046" s="10"/>
      <c r="Q3046" s="10"/>
      <c r="R3046" s="10"/>
      <c r="S3046" s="10"/>
      <c r="T3046" s="10"/>
      <c r="U3046" s="10"/>
      <c r="V3046" s="10"/>
      <c r="W3046" s="10"/>
      <c r="X3046" s="10"/>
      <c r="Y3046" s="10"/>
    </row>
    <row r="3047" spans="1:25" x14ac:dyDescent="0.25">
      <c r="A3047" s="9">
        <v>43585</v>
      </c>
      <c r="B3047" s="10">
        <f ca="1">ROUND(_xlfn.NORM.INV(RAND(),Reference!$C$8,0.1*Reference!$C$8)*(1+Reference!$C$11*(IF(MONTH($A3047)=Reference!$C$4,1,0)+IF(MONTH($A3047)=Reference!$C$5,1,0))+(IF(MONTH($A3047)=Reference!$C$6,Reference!$C$13,0))),0)</f>
        <v>495</v>
      </c>
      <c r="C3047" s="11">
        <f ca="1">B3047*Reference!$C$7*(1-IF(MONTH($A3047)=Reference!$C$6,1,0)*Reference!$C$12)</f>
        <v>460350</v>
      </c>
      <c r="D3047" s="10">
        <f ca="1">ROUND(_xlfn.NORM.INV(RAND(),Reference!$D$8,0.1*Reference!$D$8)*(1+Reference!$D$11*(IF(MONTH($A3047)=Reference!$D$4,1,0)+IF(MONTH($A3047)=Reference!$D$5,1,0))+(IF(MONTH($A3047)=Reference!$D$6,Reference!$D$13,0))),0)</f>
        <v>408</v>
      </c>
      <c r="E3047" s="11">
        <f ca="1">D3047*Reference!$D$7*(1-IF(MONTH($A3047)=Reference!$D$6,1,0)*Reference!$D$12)</f>
        <v>306000</v>
      </c>
      <c r="M3047" s="20"/>
      <c r="N3047" s="20"/>
      <c r="O3047" s="19"/>
      <c r="P3047" s="10"/>
      <c r="Q3047" s="10"/>
      <c r="R3047" s="10"/>
      <c r="S3047" s="10"/>
      <c r="T3047" s="10"/>
      <c r="U3047" s="10"/>
      <c r="V3047" s="10"/>
      <c r="W3047" s="10"/>
      <c r="X3047" s="10"/>
      <c r="Y3047" s="10"/>
    </row>
    <row r="3048" spans="1:25" x14ac:dyDescent="0.25">
      <c r="A3048" s="9">
        <v>43586</v>
      </c>
      <c r="B3048" s="10">
        <f ca="1">ROUND(_xlfn.NORM.INV(RAND(),Reference!$C$8,0.1*Reference!$C$8)*(1+Reference!$C$11*(IF(MONTH($A3048)=Reference!$C$4,1,0)+IF(MONTH($A3048)=Reference!$C$5,1,0))+(IF(MONTH($A3048)=Reference!$C$6,Reference!$C$13,0))),0)</f>
        <v>562</v>
      </c>
      <c r="C3048" s="11">
        <f ca="1">B3048*Reference!$C$7*(1-IF(MONTH($A3048)=Reference!$C$6,1,0)*Reference!$C$12)</f>
        <v>522660</v>
      </c>
      <c r="D3048" s="10">
        <f ca="1">ROUND(_xlfn.NORM.INV(RAND(),Reference!$D$8,0.1*Reference!$D$8)*(1+Reference!$D$11*(IF(MONTH($A3048)=Reference!$D$4,1,0)+IF(MONTH($A3048)=Reference!$D$5,1,0))+(IF(MONTH($A3048)=Reference!$D$6,Reference!$D$13,0))),0)</f>
        <v>495</v>
      </c>
      <c r="E3048" s="11">
        <f ca="1">D3048*Reference!$D$7*(1-IF(MONTH($A3048)=Reference!$D$6,1,0)*Reference!$D$12)</f>
        <v>371250</v>
      </c>
      <c r="M3048" s="20"/>
      <c r="N3048" s="20"/>
      <c r="O3048" s="19"/>
      <c r="P3048" s="10"/>
      <c r="Q3048" s="10"/>
      <c r="R3048" s="10"/>
      <c r="S3048" s="10"/>
      <c r="T3048" s="10"/>
      <c r="U3048" s="10"/>
      <c r="V3048" s="10"/>
      <c r="W3048" s="10"/>
      <c r="X3048" s="10"/>
      <c r="Y3048" s="10"/>
    </row>
    <row r="3049" spans="1:25" x14ac:dyDescent="0.25">
      <c r="A3049" s="9">
        <v>43587</v>
      </c>
      <c r="B3049" s="10">
        <f ca="1">ROUND(_xlfn.NORM.INV(RAND(),Reference!$C$8,0.1*Reference!$C$8)*(1+Reference!$C$11*(IF(MONTH($A3049)=Reference!$C$4,1,0)+IF(MONTH($A3049)=Reference!$C$5,1,0))+(IF(MONTH($A3049)=Reference!$C$6,Reference!$C$13,0))),0)</f>
        <v>530</v>
      </c>
      <c r="C3049" s="11">
        <f ca="1">B3049*Reference!$C$7*(1-IF(MONTH($A3049)=Reference!$C$6,1,0)*Reference!$C$12)</f>
        <v>492900</v>
      </c>
      <c r="D3049" s="10">
        <f ca="1">ROUND(_xlfn.NORM.INV(RAND(),Reference!$D$8,0.1*Reference!$D$8)*(1+Reference!$D$11*(IF(MONTH($A3049)=Reference!$D$4,1,0)+IF(MONTH($A3049)=Reference!$D$5,1,0))+(IF(MONTH($A3049)=Reference!$D$6,Reference!$D$13,0))),0)</f>
        <v>469</v>
      </c>
      <c r="E3049" s="11">
        <f ca="1">D3049*Reference!$D$7*(1-IF(MONTH($A3049)=Reference!$D$6,1,0)*Reference!$D$12)</f>
        <v>351750</v>
      </c>
      <c r="M3049" s="20"/>
      <c r="N3049" s="20"/>
      <c r="O3049" s="19"/>
      <c r="P3049" s="10"/>
      <c r="Q3049" s="10"/>
      <c r="R3049" s="10"/>
      <c r="S3049" s="10"/>
      <c r="T3049" s="10"/>
      <c r="U3049" s="10"/>
      <c r="V3049" s="10"/>
      <c r="W3049" s="10"/>
      <c r="X3049" s="10"/>
      <c r="Y3049" s="10"/>
    </row>
    <row r="3050" spans="1:25" x14ac:dyDescent="0.25">
      <c r="A3050" s="9">
        <v>43588</v>
      </c>
      <c r="B3050" s="10">
        <f ca="1">ROUND(_xlfn.NORM.INV(RAND(),Reference!$C$8,0.1*Reference!$C$8)*(1+Reference!$C$11*(IF(MONTH($A3050)=Reference!$C$4,1,0)+IF(MONTH($A3050)=Reference!$C$5,1,0))+(IF(MONTH($A3050)=Reference!$C$6,Reference!$C$13,0))),0)</f>
        <v>597</v>
      </c>
      <c r="C3050" s="11">
        <f ca="1">B3050*Reference!$C$7*(1-IF(MONTH($A3050)=Reference!$C$6,1,0)*Reference!$C$12)</f>
        <v>555210</v>
      </c>
      <c r="D3050" s="10">
        <f ca="1">ROUND(_xlfn.NORM.INV(RAND(),Reference!$D$8,0.1*Reference!$D$8)*(1+Reference!$D$11*(IF(MONTH($A3050)=Reference!$D$4,1,0)+IF(MONTH($A3050)=Reference!$D$5,1,0))+(IF(MONTH($A3050)=Reference!$D$6,Reference!$D$13,0))),0)</f>
        <v>463</v>
      </c>
      <c r="E3050" s="11">
        <f ca="1">D3050*Reference!$D$7*(1-IF(MONTH($A3050)=Reference!$D$6,1,0)*Reference!$D$12)</f>
        <v>347250</v>
      </c>
      <c r="M3050" s="20"/>
      <c r="N3050" s="20"/>
      <c r="O3050" s="19"/>
      <c r="P3050" s="10"/>
      <c r="Q3050" s="10"/>
      <c r="R3050" s="10"/>
      <c r="S3050" s="10"/>
      <c r="T3050" s="10"/>
      <c r="U3050" s="10"/>
      <c r="V3050" s="10"/>
      <c r="W3050" s="10"/>
      <c r="X3050" s="10"/>
      <c r="Y3050" s="10"/>
    </row>
    <row r="3051" spans="1:25" x14ac:dyDescent="0.25">
      <c r="A3051" s="9">
        <v>43589</v>
      </c>
      <c r="B3051" s="10">
        <f ca="1">ROUND(_xlfn.NORM.INV(RAND(),Reference!$C$8,0.1*Reference!$C$8)*(1+Reference!$C$11*(IF(MONTH($A3051)=Reference!$C$4,1,0)+IF(MONTH($A3051)=Reference!$C$5,1,0))+(IF(MONTH($A3051)=Reference!$C$6,Reference!$C$13,0))),0)</f>
        <v>454</v>
      </c>
      <c r="C3051" s="11">
        <f ca="1">B3051*Reference!$C$7*(1-IF(MONTH($A3051)=Reference!$C$6,1,0)*Reference!$C$12)</f>
        <v>422220</v>
      </c>
      <c r="D3051" s="10">
        <f ca="1">ROUND(_xlfn.NORM.INV(RAND(),Reference!$D$8,0.1*Reference!$D$8)*(1+Reference!$D$11*(IF(MONTH($A3051)=Reference!$D$4,1,0)+IF(MONTH($A3051)=Reference!$D$5,1,0))+(IF(MONTH($A3051)=Reference!$D$6,Reference!$D$13,0))),0)</f>
        <v>527</v>
      </c>
      <c r="E3051" s="11">
        <f ca="1">D3051*Reference!$D$7*(1-IF(MONTH($A3051)=Reference!$D$6,1,0)*Reference!$D$12)</f>
        <v>395250</v>
      </c>
      <c r="M3051" s="20"/>
      <c r="N3051" s="20"/>
      <c r="O3051" s="19"/>
      <c r="P3051" s="10"/>
      <c r="Q3051" s="10"/>
      <c r="R3051" s="10"/>
      <c r="S3051" s="10"/>
      <c r="T3051" s="10"/>
      <c r="U3051" s="10"/>
      <c r="V3051" s="10"/>
      <c r="W3051" s="10"/>
      <c r="X3051" s="10"/>
      <c r="Y3051" s="10"/>
    </row>
    <row r="3052" spans="1:25" x14ac:dyDescent="0.25">
      <c r="A3052" s="9">
        <v>43590</v>
      </c>
      <c r="B3052" s="10">
        <f ca="1">ROUND(_xlfn.NORM.INV(RAND(),Reference!$C$8,0.1*Reference!$C$8)*(1+Reference!$C$11*(IF(MONTH($A3052)=Reference!$C$4,1,0)+IF(MONTH($A3052)=Reference!$C$5,1,0))+(IF(MONTH($A3052)=Reference!$C$6,Reference!$C$13,0))),0)</f>
        <v>573</v>
      </c>
      <c r="C3052" s="11">
        <f ca="1">B3052*Reference!$C$7*(1-IF(MONTH($A3052)=Reference!$C$6,1,0)*Reference!$C$12)</f>
        <v>532890</v>
      </c>
      <c r="D3052" s="10">
        <f ca="1">ROUND(_xlfn.NORM.INV(RAND(),Reference!$D$8,0.1*Reference!$D$8)*(1+Reference!$D$11*(IF(MONTH($A3052)=Reference!$D$4,1,0)+IF(MONTH($A3052)=Reference!$D$5,1,0))+(IF(MONTH($A3052)=Reference!$D$6,Reference!$D$13,0))),0)</f>
        <v>406</v>
      </c>
      <c r="E3052" s="11">
        <f ca="1">D3052*Reference!$D$7*(1-IF(MONTH($A3052)=Reference!$D$6,1,0)*Reference!$D$12)</f>
        <v>304500</v>
      </c>
      <c r="M3052" s="20"/>
      <c r="N3052" s="20"/>
      <c r="O3052" s="19"/>
      <c r="P3052" s="10"/>
      <c r="Q3052" s="10"/>
      <c r="R3052" s="10"/>
      <c r="S3052" s="10"/>
      <c r="T3052" s="10"/>
      <c r="U3052" s="10"/>
      <c r="V3052" s="10"/>
      <c r="W3052" s="10"/>
      <c r="X3052" s="10"/>
      <c r="Y3052" s="10"/>
    </row>
    <row r="3053" spans="1:25" x14ac:dyDescent="0.25">
      <c r="A3053" s="9">
        <v>43591</v>
      </c>
      <c r="B3053" s="10">
        <f ca="1">ROUND(_xlfn.NORM.INV(RAND(),Reference!$C$8,0.1*Reference!$C$8)*(1+Reference!$C$11*(IF(MONTH($A3053)=Reference!$C$4,1,0)+IF(MONTH($A3053)=Reference!$C$5,1,0))+(IF(MONTH($A3053)=Reference!$C$6,Reference!$C$13,0))),0)</f>
        <v>619</v>
      </c>
      <c r="C3053" s="11">
        <f ca="1">B3053*Reference!$C$7*(1-IF(MONTH($A3053)=Reference!$C$6,1,0)*Reference!$C$12)</f>
        <v>575670</v>
      </c>
      <c r="D3053" s="10">
        <f ca="1">ROUND(_xlfn.NORM.INV(RAND(),Reference!$D$8,0.1*Reference!$D$8)*(1+Reference!$D$11*(IF(MONTH($A3053)=Reference!$D$4,1,0)+IF(MONTH($A3053)=Reference!$D$5,1,0))+(IF(MONTH($A3053)=Reference!$D$6,Reference!$D$13,0))),0)</f>
        <v>478</v>
      </c>
      <c r="E3053" s="11">
        <f ca="1">D3053*Reference!$D$7*(1-IF(MONTH($A3053)=Reference!$D$6,1,0)*Reference!$D$12)</f>
        <v>358500</v>
      </c>
      <c r="M3053" s="20"/>
      <c r="N3053" s="20"/>
      <c r="O3053" s="19"/>
      <c r="P3053" s="10"/>
      <c r="Q3053" s="10"/>
      <c r="R3053" s="10"/>
      <c r="S3053" s="10"/>
      <c r="T3053" s="10"/>
      <c r="U3053" s="10"/>
      <c r="V3053" s="10"/>
      <c r="W3053" s="10"/>
      <c r="X3053" s="10"/>
      <c r="Y3053" s="10"/>
    </row>
    <row r="3054" spans="1:25" x14ac:dyDescent="0.25">
      <c r="A3054" s="9">
        <v>43592</v>
      </c>
      <c r="B3054" s="10">
        <f ca="1">ROUND(_xlfn.NORM.INV(RAND(),Reference!$C$8,0.1*Reference!$C$8)*(1+Reference!$C$11*(IF(MONTH($A3054)=Reference!$C$4,1,0)+IF(MONTH($A3054)=Reference!$C$5,1,0))+(IF(MONTH($A3054)=Reference!$C$6,Reference!$C$13,0))),0)</f>
        <v>468</v>
      </c>
      <c r="C3054" s="11">
        <f ca="1">B3054*Reference!$C$7*(1-IF(MONTH($A3054)=Reference!$C$6,1,0)*Reference!$C$12)</f>
        <v>435240</v>
      </c>
      <c r="D3054" s="10">
        <f ca="1">ROUND(_xlfn.NORM.INV(RAND(),Reference!$D$8,0.1*Reference!$D$8)*(1+Reference!$D$11*(IF(MONTH($A3054)=Reference!$D$4,1,0)+IF(MONTH($A3054)=Reference!$D$5,1,0))+(IF(MONTH($A3054)=Reference!$D$6,Reference!$D$13,0))),0)</f>
        <v>490</v>
      </c>
      <c r="E3054" s="11">
        <f ca="1">D3054*Reference!$D$7*(1-IF(MONTH($A3054)=Reference!$D$6,1,0)*Reference!$D$12)</f>
        <v>367500</v>
      </c>
      <c r="M3054" s="20"/>
      <c r="N3054" s="20"/>
      <c r="O3054" s="19"/>
      <c r="P3054" s="10"/>
      <c r="Q3054" s="10"/>
      <c r="R3054" s="10"/>
      <c r="S3054" s="10"/>
      <c r="T3054" s="10"/>
      <c r="U3054" s="10"/>
      <c r="V3054" s="10"/>
      <c r="W3054" s="10"/>
      <c r="X3054" s="10"/>
      <c r="Y3054" s="10"/>
    </row>
    <row r="3055" spans="1:25" x14ac:dyDescent="0.25">
      <c r="A3055" s="9">
        <v>43593</v>
      </c>
      <c r="B3055" s="10">
        <f ca="1">ROUND(_xlfn.NORM.INV(RAND(),Reference!$C$8,0.1*Reference!$C$8)*(1+Reference!$C$11*(IF(MONTH($A3055)=Reference!$C$4,1,0)+IF(MONTH($A3055)=Reference!$C$5,1,0))+(IF(MONTH($A3055)=Reference!$C$6,Reference!$C$13,0))),0)</f>
        <v>668</v>
      </c>
      <c r="C3055" s="11">
        <f ca="1">B3055*Reference!$C$7*(1-IF(MONTH($A3055)=Reference!$C$6,1,0)*Reference!$C$12)</f>
        <v>621240</v>
      </c>
      <c r="D3055" s="10">
        <f ca="1">ROUND(_xlfn.NORM.INV(RAND(),Reference!$D$8,0.1*Reference!$D$8)*(1+Reference!$D$11*(IF(MONTH($A3055)=Reference!$D$4,1,0)+IF(MONTH($A3055)=Reference!$D$5,1,0))+(IF(MONTH($A3055)=Reference!$D$6,Reference!$D$13,0))),0)</f>
        <v>462</v>
      </c>
      <c r="E3055" s="11">
        <f ca="1">D3055*Reference!$D$7*(1-IF(MONTH($A3055)=Reference!$D$6,1,0)*Reference!$D$12)</f>
        <v>346500</v>
      </c>
      <c r="M3055" s="20"/>
      <c r="N3055" s="20"/>
      <c r="O3055" s="19"/>
      <c r="P3055" s="10"/>
      <c r="Q3055" s="10"/>
      <c r="R3055" s="10"/>
      <c r="S3055" s="10"/>
      <c r="T3055" s="10"/>
      <c r="U3055" s="10"/>
      <c r="V3055" s="10"/>
      <c r="W3055" s="10"/>
      <c r="X3055" s="10"/>
      <c r="Y3055" s="10"/>
    </row>
    <row r="3056" spans="1:25" x14ac:dyDescent="0.25">
      <c r="A3056" s="9">
        <v>43594</v>
      </c>
      <c r="B3056" s="10">
        <f ca="1">ROUND(_xlfn.NORM.INV(RAND(),Reference!$C$8,0.1*Reference!$C$8)*(1+Reference!$C$11*(IF(MONTH($A3056)=Reference!$C$4,1,0)+IF(MONTH($A3056)=Reference!$C$5,1,0))+(IF(MONTH($A3056)=Reference!$C$6,Reference!$C$13,0))),0)</f>
        <v>528</v>
      </c>
      <c r="C3056" s="11">
        <f ca="1">B3056*Reference!$C$7*(1-IF(MONTH($A3056)=Reference!$C$6,1,0)*Reference!$C$12)</f>
        <v>491040</v>
      </c>
      <c r="D3056" s="10">
        <f ca="1">ROUND(_xlfn.NORM.INV(RAND(),Reference!$D$8,0.1*Reference!$D$8)*(1+Reference!$D$11*(IF(MONTH($A3056)=Reference!$D$4,1,0)+IF(MONTH($A3056)=Reference!$D$5,1,0))+(IF(MONTH($A3056)=Reference!$D$6,Reference!$D$13,0))),0)</f>
        <v>456</v>
      </c>
      <c r="E3056" s="11">
        <f ca="1">D3056*Reference!$D$7*(1-IF(MONTH($A3056)=Reference!$D$6,1,0)*Reference!$D$12)</f>
        <v>342000</v>
      </c>
      <c r="M3056" s="20"/>
      <c r="N3056" s="20"/>
      <c r="O3056" s="19"/>
      <c r="P3056" s="10"/>
      <c r="Q3056" s="10"/>
      <c r="R3056" s="10"/>
      <c r="S3056" s="10"/>
      <c r="T3056" s="10"/>
      <c r="U3056" s="10"/>
      <c r="V3056" s="10"/>
      <c r="W3056" s="10"/>
      <c r="X3056" s="10"/>
      <c r="Y3056" s="10"/>
    </row>
    <row r="3057" spans="1:25" x14ac:dyDescent="0.25">
      <c r="A3057" s="9">
        <v>43595</v>
      </c>
      <c r="B3057" s="10">
        <f ca="1">ROUND(_xlfn.NORM.INV(RAND(),Reference!$C$8,0.1*Reference!$C$8)*(1+Reference!$C$11*(IF(MONTH($A3057)=Reference!$C$4,1,0)+IF(MONTH($A3057)=Reference!$C$5,1,0))+(IF(MONTH($A3057)=Reference!$C$6,Reference!$C$13,0))),0)</f>
        <v>556</v>
      </c>
      <c r="C3057" s="11">
        <f ca="1">B3057*Reference!$C$7*(1-IF(MONTH($A3057)=Reference!$C$6,1,0)*Reference!$C$12)</f>
        <v>517080</v>
      </c>
      <c r="D3057" s="10">
        <f ca="1">ROUND(_xlfn.NORM.INV(RAND(),Reference!$D$8,0.1*Reference!$D$8)*(1+Reference!$D$11*(IF(MONTH($A3057)=Reference!$D$4,1,0)+IF(MONTH($A3057)=Reference!$D$5,1,0))+(IF(MONTH($A3057)=Reference!$D$6,Reference!$D$13,0))),0)</f>
        <v>518</v>
      </c>
      <c r="E3057" s="11">
        <f ca="1">D3057*Reference!$D$7*(1-IF(MONTH($A3057)=Reference!$D$6,1,0)*Reference!$D$12)</f>
        <v>388500</v>
      </c>
      <c r="M3057" s="20"/>
      <c r="N3057" s="20"/>
      <c r="O3057" s="19"/>
      <c r="P3057" s="10"/>
      <c r="Q3057" s="10"/>
      <c r="R3057" s="10"/>
      <c r="S3057" s="10"/>
      <c r="T3057" s="10"/>
      <c r="U3057" s="10"/>
      <c r="V3057" s="10"/>
      <c r="W3057" s="10"/>
      <c r="X3057" s="10"/>
      <c r="Y3057" s="10"/>
    </row>
    <row r="3058" spans="1:25" x14ac:dyDescent="0.25">
      <c r="A3058" s="9">
        <v>43596</v>
      </c>
      <c r="B3058" s="10">
        <f ca="1">ROUND(_xlfn.NORM.INV(RAND(),Reference!$C$8,0.1*Reference!$C$8)*(1+Reference!$C$11*(IF(MONTH($A3058)=Reference!$C$4,1,0)+IF(MONTH($A3058)=Reference!$C$5,1,0))+(IF(MONTH($A3058)=Reference!$C$6,Reference!$C$13,0))),0)</f>
        <v>520</v>
      </c>
      <c r="C3058" s="11">
        <f ca="1">B3058*Reference!$C$7*(1-IF(MONTH($A3058)=Reference!$C$6,1,0)*Reference!$C$12)</f>
        <v>483600</v>
      </c>
      <c r="D3058" s="10">
        <f ca="1">ROUND(_xlfn.NORM.INV(RAND(),Reference!$D$8,0.1*Reference!$D$8)*(1+Reference!$D$11*(IF(MONTH($A3058)=Reference!$D$4,1,0)+IF(MONTH($A3058)=Reference!$D$5,1,0))+(IF(MONTH($A3058)=Reference!$D$6,Reference!$D$13,0))),0)</f>
        <v>401</v>
      </c>
      <c r="E3058" s="11">
        <f ca="1">D3058*Reference!$D$7*(1-IF(MONTH($A3058)=Reference!$D$6,1,0)*Reference!$D$12)</f>
        <v>300750</v>
      </c>
      <c r="M3058" s="20"/>
      <c r="N3058" s="20"/>
      <c r="O3058" s="19"/>
      <c r="P3058" s="10"/>
      <c r="Q3058" s="10"/>
      <c r="R3058" s="10"/>
      <c r="S3058" s="10"/>
      <c r="T3058" s="10"/>
      <c r="U3058" s="10"/>
      <c r="V3058" s="10"/>
      <c r="W3058" s="10"/>
      <c r="X3058" s="10"/>
      <c r="Y3058" s="10"/>
    </row>
    <row r="3059" spans="1:25" x14ac:dyDescent="0.25">
      <c r="A3059" s="9">
        <v>43597</v>
      </c>
      <c r="B3059" s="10">
        <f ca="1">ROUND(_xlfn.NORM.INV(RAND(),Reference!$C$8,0.1*Reference!$C$8)*(1+Reference!$C$11*(IF(MONTH($A3059)=Reference!$C$4,1,0)+IF(MONTH($A3059)=Reference!$C$5,1,0))+(IF(MONTH($A3059)=Reference!$C$6,Reference!$C$13,0))),0)</f>
        <v>610</v>
      </c>
      <c r="C3059" s="11">
        <f ca="1">B3059*Reference!$C$7*(1-IF(MONTH($A3059)=Reference!$C$6,1,0)*Reference!$C$12)</f>
        <v>567300</v>
      </c>
      <c r="D3059" s="10">
        <f ca="1">ROUND(_xlfn.NORM.INV(RAND(),Reference!$D$8,0.1*Reference!$D$8)*(1+Reference!$D$11*(IF(MONTH($A3059)=Reference!$D$4,1,0)+IF(MONTH($A3059)=Reference!$D$5,1,0))+(IF(MONTH($A3059)=Reference!$D$6,Reference!$D$13,0))),0)</f>
        <v>435</v>
      </c>
      <c r="E3059" s="11">
        <f ca="1">D3059*Reference!$D$7*(1-IF(MONTH($A3059)=Reference!$D$6,1,0)*Reference!$D$12)</f>
        <v>326250</v>
      </c>
      <c r="M3059" s="20"/>
      <c r="N3059" s="20"/>
      <c r="O3059" s="19"/>
      <c r="P3059" s="10"/>
      <c r="Q3059" s="10"/>
      <c r="R3059" s="10"/>
      <c r="S3059" s="10"/>
      <c r="T3059" s="10"/>
      <c r="U3059" s="10"/>
      <c r="V3059" s="10"/>
      <c r="W3059" s="10"/>
      <c r="X3059" s="10"/>
      <c r="Y3059" s="10"/>
    </row>
    <row r="3060" spans="1:25" x14ac:dyDescent="0.25">
      <c r="A3060" s="9">
        <v>43598</v>
      </c>
      <c r="B3060" s="10">
        <f ca="1">ROUND(_xlfn.NORM.INV(RAND(),Reference!$C$8,0.1*Reference!$C$8)*(1+Reference!$C$11*(IF(MONTH($A3060)=Reference!$C$4,1,0)+IF(MONTH($A3060)=Reference!$C$5,1,0))+(IF(MONTH($A3060)=Reference!$C$6,Reference!$C$13,0))),0)</f>
        <v>563</v>
      </c>
      <c r="C3060" s="11">
        <f ca="1">B3060*Reference!$C$7*(1-IF(MONTH($A3060)=Reference!$C$6,1,0)*Reference!$C$12)</f>
        <v>523590</v>
      </c>
      <c r="D3060" s="10">
        <f ca="1">ROUND(_xlfn.NORM.INV(RAND(),Reference!$D$8,0.1*Reference!$D$8)*(1+Reference!$D$11*(IF(MONTH($A3060)=Reference!$D$4,1,0)+IF(MONTH($A3060)=Reference!$D$5,1,0))+(IF(MONTH($A3060)=Reference!$D$6,Reference!$D$13,0))),0)</f>
        <v>477</v>
      </c>
      <c r="E3060" s="11">
        <f ca="1">D3060*Reference!$D$7*(1-IF(MONTH($A3060)=Reference!$D$6,1,0)*Reference!$D$12)</f>
        <v>357750</v>
      </c>
      <c r="M3060" s="20"/>
      <c r="N3060" s="20"/>
      <c r="O3060" s="19"/>
      <c r="P3060" s="10"/>
      <c r="Q3060" s="10"/>
      <c r="R3060" s="10"/>
      <c r="S3060" s="10"/>
      <c r="T3060" s="10"/>
      <c r="U3060" s="10"/>
      <c r="V3060" s="10"/>
      <c r="W3060" s="10"/>
      <c r="X3060" s="10"/>
      <c r="Y3060" s="10"/>
    </row>
    <row r="3061" spans="1:25" x14ac:dyDescent="0.25">
      <c r="A3061" s="9">
        <v>43599</v>
      </c>
      <c r="B3061" s="10">
        <f ca="1">ROUND(_xlfn.NORM.INV(RAND(),Reference!$C$8,0.1*Reference!$C$8)*(1+Reference!$C$11*(IF(MONTH($A3061)=Reference!$C$4,1,0)+IF(MONTH($A3061)=Reference!$C$5,1,0))+(IF(MONTH($A3061)=Reference!$C$6,Reference!$C$13,0))),0)</f>
        <v>467</v>
      </c>
      <c r="C3061" s="11">
        <f ca="1">B3061*Reference!$C$7*(1-IF(MONTH($A3061)=Reference!$C$6,1,0)*Reference!$C$12)</f>
        <v>434310</v>
      </c>
      <c r="D3061" s="10">
        <f ca="1">ROUND(_xlfn.NORM.INV(RAND(),Reference!$D$8,0.1*Reference!$D$8)*(1+Reference!$D$11*(IF(MONTH($A3061)=Reference!$D$4,1,0)+IF(MONTH($A3061)=Reference!$D$5,1,0))+(IF(MONTH($A3061)=Reference!$D$6,Reference!$D$13,0))),0)</f>
        <v>508</v>
      </c>
      <c r="E3061" s="11">
        <f ca="1">D3061*Reference!$D$7*(1-IF(MONTH($A3061)=Reference!$D$6,1,0)*Reference!$D$12)</f>
        <v>381000</v>
      </c>
      <c r="M3061" s="20"/>
      <c r="N3061" s="20"/>
      <c r="O3061" s="19"/>
      <c r="P3061" s="10"/>
      <c r="Q3061" s="10"/>
      <c r="R3061" s="10"/>
      <c r="S3061" s="10"/>
      <c r="T3061" s="10"/>
      <c r="U3061" s="10"/>
      <c r="V3061" s="10"/>
      <c r="W3061" s="10"/>
      <c r="X3061" s="10"/>
      <c r="Y3061" s="10"/>
    </row>
    <row r="3062" spans="1:25" x14ac:dyDescent="0.25">
      <c r="A3062" s="9">
        <v>43600</v>
      </c>
      <c r="B3062" s="10">
        <f ca="1">ROUND(_xlfn.NORM.INV(RAND(),Reference!$C$8,0.1*Reference!$C$8)*(1+Reference!$C$11*(IF(MONTH($A3062)=Reference!$C$4,1,0)+IF(MONTH($A3062)=Reference!$C$5,1,0))+(IF(MONTH($A3062)=Reference!$C$6,Reference!$C$13,0))),0)</f>
        <v>590</v>
      </c>
      <c r="C3062" s="11">
        <f ca="1">B3062*Reference!$C$7*(1-IF(MONTH($A3062)=Reference!$C$6,1,0)*Reference!$C$12)</f>
        <v>548700</v>
      </c>
      <c r="D3062" s="10">
        <f ca="1">ROUND(_xlfn.NORM.INV(RAND(),Reference!$D$8,0.1*Reference!$D$8)*(1+Reference!$D$11*(IF(MONTH($A3062)=Reference!$D$4,1,0)+IF(MONTH($A3062)=Reference!$D$5,1,0))+(IF(MONTH($A3062)=Reference!$D$6,Reference!$D$13,0))),0)</f>
        <v>404</v>
      </c>
      <c r="E3062" s="11">
        <f ca="1">D3062*Reference!$D$7*(1-IF(MONTH($A3062)=Reference!$D$6,1,0)*Reference!$D$12)</f>
        <v>303000</v>
      </c>
      <c r="M3062" s="20"/>
      <c r="N3062" s="20"/>
      <c r="O3062" s="19"/>
      <c r="P3062" s="10"/>
      <c r="Q3062" s="10"/>
      <c r="R3062" s="10"/>
      <c r="S3062" s="10"/>
      <c r="T3062" s="10"/>
      <c r="U3062" s="10"/>
      <c r="V3062" s="10"/>
      <c r="W3062" s="10"/>
      <c r="X3062" s="10"/>
      <c r="Y3062" s="10"/>
    </row>
    <row r="3063" spans="1:25" x14ac:dyDescent="0.25">
      <c r="A3063" s="9">
        <v>43601</v>
      </c>
      <c r="B3063" s="10">
        <f ca="1">ROUND(_xlfn.NORM.INV(RAND(),Reference!$C$8,0.1*Reference!$C$8)*(1+Reference!$C$11*(IF(MONTH($A3063)=Reference!$C$4,1,0)+IF(MONTH($A3063)=Reference!$C$5,1,0))+(IF(MONTH($A3063)=Reference!$C$6,Reference!$C$13,0))),0)</f>
        <v>492</v>
      </c>
      <c r="C3063" s="11">
        <f ca="1">B3063*Reference!$C$7*(1-IF(MONTH($A3063)=Reference!$C$6,1,0)*Reference!$C$12)</f>
        <v>457560</v>
      </c>
      <c r="D3063" s="10">
        <f ca="1">ROUND(_xlfn.NORM.INV(RAND(),Reference!$D$8,0.1*Reference!$D$8)*(1+Reference!$D$11*(IF(MONTH($A3063)=Reference!$D$4,1,0)+IF(MONTH($A3063)=Reference!$D$5,1,0))+(IF(MONTH($A3063)=Reference!$D$6,Reference!$D$13,0))),0)</f>
        <v>417</v>
      </c>
      <c r="E3063" s="11">
        <f ca="1">D3063*Reference!$D$7*(1-IF(MONTH($A3063)=Reference!$D$6,1,0)*Reference!$D$12)</f>
        <v>312750</v>
      </c>
      <c r="M3063" s="20"/>
      <c r="N3063" s="20"/>
      <c r="O3063" s="19"/>
      <c r="P3063" s="10"/>
      <c r="Q3063" s="10"/>
      <c r="R3063" s="10"/>
      <c r="S3063" s="10"/>
      <c r="T3063" s="10"/>
      <c r="U3063" s="10"/>
      <c r="V3063" s="10"/>
      <c r="W3063" s="10"/>
      <c r="X3063" s="10"/>
      <c r="Y3063" s="10"/>
    </row>
    <row r="3064" spans="1:25" x14ac:dyDescent="0.25">
      <c r="A3064" s="9">
        <v>43602</v>
      </c>
      <c r="B3064" s="10">
        <f ca="1">ROUND(_xlfn.NORM.INV(RAND(),Reference!$C$8,0.1*Reference!$C$8)*(1+Reference!$C$11*(IF(MONTH($A3064)=Reference!$C$4,1,0)+IF(MONTH($A3064)=Reference!$C$5,1,0))+(IF(MONTH($A3064)=Reference!$C$6,Reference!$C$13,0))),0)</f>
        <v>539</v>
      </c>
      <c r="C3064" s="11">
        <f ca="1">B3064*Reference!$C$7*(1-IF(MONTH($A3064)=Reference!$C$6,1,0)*Reference!$C$12)</f>
        <v>501270</v>
      </c>
      <c r="D3064" s="10">
        <f ca="1">ROUND(_xlfn.NORM.INV(RAND(),Reference!$D$8,0.1*Reference!$D$8)*(1+Reference!$D$11*(IF(MONTH($A3064)=Reference!$D$4,1,0)+IF(MONTH($A3064)=Reference!$D$5,1,0))+(IF(MONTH($A3064)=Reference!$D$6,Reference!$D$13,0))),0)</f>
        <v>458</v>
      </c>
      <c r="E3064" s="11">
        <f ca="1">D3064*Reference!$D$7*(1-IF(MONTH($A3064)=Reference!$D$6,1,0)*Reference!$D$12)</f>
        <v>343500</v>
      </c>
      <c r="M3064" s="20"/>
      <c r="N3064" s="20"/>
      <c r="O3064" s="19"/>
      <c r="P3064" s="10"/>
      <c r="Q3064" s="10"/>
      <c r="R3064" s="10"/>
      <c r="S3064" s="10"/>
      <c r="T3064" s="10"/>
      <c r="U3064" s="10"/>
      <c r="V3064" s="10"/>
      <c r="W3064" s="10"/>
      <c r="X3064" s="10"/>
      <c r="Y3064" s="10"/>
    </row>
    <row r="3065" spans="1:25" x14ac:dyDescent="0.25">
      <c r="A3065" s="9">
        <v>43603</v>
      </c>
      <c r="B3065" s="10">
        <f ca="1">ROUND(_xlfn.NORM.INV(RAND(),Reference!$C$8,0.1*Reference!$C$8)*(1+Reference!$C$11*(IF(MONTH($A3065)=Reference!$C$4,1,0)+IF(MONTH($A3065)=Reference!$C$5,1,0))+(IF(MONTH($A3065)=Reference!$C$6,Reference!$C$13,0))),0)</f>
        <v>456</v>
      </c>
      <c r="C3065" s="11">
        <f ca="1">B3065*Reference!$C$7*(1-IF(MONTH($A3065)=Reference!$C$6,1,0)*Reference!$C$12)</f>
        <v>424080</v>
      </c>
      <c r="D3065" s="10">
        <f ca="1">ROUND(_xlfn.NORM.INV(RAND(),Reference!$D$8,0.1*Reference!$D$8)*(1+Reference!$D$11*(IF(MONTH($A3065)=Reference!$D$4,1,0)+IF(MONTH($A3065)=Reference!$D$5,1,0))+(IF(MONTH($A3065)=Reference!$D$6,Reference!$D$13,0))),0)</f>
        <v>468</v>
      </c>
      <c r="E3065" s="11">
        <f ca="1">D3065*Reference!$D$7*(1-IF(MONTH($A3065)=Reference!$D$6,1,0)*Reference!$D$12)</f>
        <v>351000</v>
      </c>
      <c r="M3065" s="20"/>
      <c r="N3065" s="20"/>
      <c r="O3065" s="19"/>
      <c r="P3065" s="10"/>
      <c r="Q3065" s="10"/>
      <c r="R3065" s="10"/>
      <c r="S3065" s="10"/>
      <c r="T3065" s="10"/>
      <c r="U3065" s="10"/>
      <c r="V3065" s="10"/>
      <c r="W3065" s="10"/>
      <c r="X3065" s="10"/>
      <c r="Y3065" s="10"/>
    </row>
    <row r="3066" spans="1:25" x14ac:dyDescent="0.25">
      <c r="A3066" s="9">
        <v>43604</v>
      </c>
      <c r="B3066" s="10">
        <f ca="1">ROUND(_xlfn.NORM.INV(RAND(),Reference!$C$8,0.1*Reference!$C$8)*(1+Reference!$C$11*(IF(MONTH($A3066)=Reference!$C$4,1,0)+IF(MONTH($A3066)=Reference!$C$5,1,0))+(IF(MONTH($A3066)=Reference!$C$6,Reference!$C$13,0))),0)</f>
        <v>539</v>
      </c>
      <c r="C3066" s="11">
        <f ca="1">B3066*Reference!$C$7*(1-IF(MONTH($A3066)=Reference!$C$6,1,0)*Reference!$C$12)</f>
        <v>501270</v>
      </c>
      <c r="D3066" s="10">
        <f ca="1">ROUND(_xlfn.NORM.INV(RAND(),Reference!$D$8,0.1*Reference!$D$8)*(1+Reference!$D$11*(IF(MONTH($A3066)=Reference!$D$4,1,0)+IF(MONTH($A3066)=Reference!$D$5,1,0))+(IF(MONTH($A3066)=Reference!$D$6,Reference!$D$13,0))),0)</f>
        <v>567</v>
      </c>
      <c r="E3066" s="11">
        <f ca="1">D3066*Reference!$D$7*(1-IF(MONTH($A3066)=Reference!$D$6,1,0)*Reference!$D$12)</f>
        <v>425250</v>
      </c>
      <c r="M3066" s="20"/>
      <c r="N3066" s="20"/>
      <c r="O3066" s="19"/>
      <c r="P3066" s="10"/>
      <c r="Q3066" s="10"/>
      <c r="R3066" s="10"/>
      <c r="S3066" s="10"/>
      <c r="T3066" s="10"/>
      <c r="U3066" s="10"/>
      <c r="V3066" s="10"/>
      <c r="W3066" s="10"/>
      <c r="X3066" s="10"/>
      <c r="Y3066" s="10"/>
    </row>
    <row r="3067" spans="1:25" x14ac:dyDescent="0.25">
      <c r="A3067" s="9">
        <v>43605</v>
      </c>
      <c r="B3067" s="10">
        <f ca="1">ROUND(_xlfn.NORM.INV(RAND(),Reference!$C$8,0.1*Reference!$C$8)*(1+Reference!$C$11*(IF(MONTH($A3067)=Reference!$C$4,1,0)+IF(MONTH($A3067)=Reference!$C$5,1,0))+(IF(MONTH($A3067)=Reference!$C$6,Reference!$C$13,0))),0)</f>
        <v>501</v>
      </c>
      <c r="C3067" s="11">
        <f ca="1">B3067*Reference!$C$7*(1-IF(MONTH($A3067)=Reference!$C$6,1,0)*Reference!$C$12)</f>
        <v>465930</v>
      </c>
      <c r="D3067" s="10">
        <f ca="1">ROUND(_xlfn.NORM.INV(RAND(),Reference!$D$8,0.1*Reference!$D$8)*(1+Reference!$D$11*(IF(MONTH($A3067)=Reference!$D$4,1,0)+IF(MONTH($A3067)=Reference!$D$5,1,0))+(IF(MONTH($A3067)=Reference!$D$6,Reference!$D$13,0))),0)</f>
        <v>433</v>
      </c>
      <c r="E3067" s="11">
        <f ca="1">D3067*Reference!$D$7*(1-IF(MONTH($A3067)=Reference!$D$6,1,0)*Reference!$D$12)</f>
        <v>324750</v>
      </c>
      <c r="M3067" s="20"/>
      <c r="N3067" s="20"/>
      <c r="O3067" s="19"/>
      <c r="P3067" s="10"/>
      <c r="Q3067" s="10"/>
      <c r="R3067" s="10"/>
      <c r="S3067" s="10"/>
      <c r="T3067" s="10"/>
      <c r="U3067" s="10"/>
      <c r="V3067" s="10"/>
      <c r="W3067" s="10"/>
      <c r="X3067" s="10"/>
      <c r="Y3067" s="10"/>
    </row>
    <row r="3068" spans="1:25" x14ac:dyDescent="0.25">
      <c r="A3068" s="9">
        <v>43606</v>
      </c>
      <c r="B3068" s="10">
        <f ca="1">ROUND(_xlfn.NORM.INV(RAND(),Reference!$C$8,0.1*Reference!$C$8)*(1+Reference!$C$11*(IF(MONTH($A3068)=Reference!$C$4,1,0)+IF(MONTH($A3068)=Reference!$C$5,1,0))+(IF(MONTH($A3068)=Reference!$C$6,Reference!$C$13,0))),0)</f>
        <v>474</v>
      </c>
      <c r="C3068" s="11">
        <f ca="1">B3068*Reference!$C$7*(1-IF(MONTH($A3068)=Reference!$C$6,1,0)*Reference!$C$12)</f>
        <v>440820</v>
      </c>
      <c r="D3068" s="10">
        <f ca="1">ROUND(_xlfn.NORM.INV(RAND(),Reference!$D$8,0.1*Reference!$D$8)*(1+Reference!$D$11*(IF(MONTH($A3068)=Reference!$D$4,1,0)+IF(MONTH($A3068)=Reference!$D$5,1,0))+(IF(MONTH($A3068)=Reference!$D$6,Reference!$D$13,0))),0)</f>
        <v>452</v>
      </c>
      <c r="E3068" s="11">
        <f ca="1">D3068*Reference!$D$7*(1-IF(MONTH($A3068)=Reference!$D$6,1,0)*Reference!$D$12)</f>
        <v>339000</v>
      </c>
      <c r="M3068" s="20"/>
      <c r="N3068" s="20"/>
      <c r="O3068" s="19"/>
      <c r="P3068" s="10"/>
      <c r="Q3068" s="10"/>
      <c r="R3068" s="10"/>
      <c r="S3068" s="10"/>
      <c r="T3068" s="10"/>
      <c r="U3068" s="10"/>
      <c r="V3068" s="10"/>
      <c r="W3068" s="10"/>
      <c r="X3068" s="10"/>
      <c r="Y3068" s="10"/>
    </row>
    <row r="3069" spans="1:25" x14ac:dyDescent="0.25">
      <c r="A3069" s="9">
        <v>43607</v>
      </c>
      <c r="B3069" s="10">
        <f ca="1">ROUND(_xlfn.NORM.INV(RAND(),Reference!$C$8,0.1*Reference!$C$8)*(1+Reference!$C$11*(IF(MONTH($A3069)=Reference!$C$4,1,0)+IF(MONTH($A3069)=Reference!$C$5,1,0))+(IF(MONTH($A3069)=Reference!$C$6,Reference!$C$13,0))),0)</f>
        <v>589</v>
      </c>
      <c r="C3069" s="11">
        <f ca="1">B3069*Reference!$C$7*(1-IF(MONTH($A3069)=Reference!$C$6,1,0)*Reference!$C$12)</f>
        <v>547770</v>
      </c>
      <c r="D3069" s="10">
        <f ca="1">ROUND(_xlfn.NORM.INV(RAND(),Reference!$D$8,0.1*Reference!$D$8)*(1+Reference!$D$11*(IF(MONTH($A3069)=Reference!$D$4,1,0)+IF(MONTH($A3069)=Reference!$D$5,1,0))+(IF(MONTH($A3069)=Reference!$D$6,Reference!$D$13,0))),0)</f>
        <v>449</v>
      </c>
      <c r="E3069" s="11">
        <f ca="1">D3069*Reference!$D$7*(1-IF(MONTH($A3069)=Reference!$D$6,1,0)*Reference!$D$12)</f>
        <v>336750</v>
      </c>
      <c r="M3069" s="20"/>
      <c r="N3069" s="20"/>
      <c r="O3069" s="19"/>
      <c r="P3069" s="10"/>
      <c r="Q3069" s="10"/>
      <c r="R3069" s="10"/>
      <c r="S3069" s="10"/>
      <c r="T3069" s="10"/>
      <c r="U3069" s="10"/>
      <c r="V3069" s="10"/>
      <c r="W3069" s="10"/>
      <c r="X3069" s="10"/>
      <c r="Y3069" s="10"/>
    </row>
    <row r="3070" spans="1:25" x14ac:dyDescent="0.25">
      <c r="A3070" s="9">
        <v>43608</v>
      </c>
      <c r="B3070" s="10">
        <f ca="1">ROUND(_xlfn.NORM.INV(RAND(),Reference!$C$8,0.1*Reference!$C$8)*(1+Reference!$C$11*(IF(MONTH($A3070)=Reference!$C$4,1,0)+IF(MONTH($A3070)=Reference!$C$5,1,0))+(IF(MONTH($A3070)=Reference!$C$6,Reference!$C$13,0))),0)</f>
        <v>511</v>
      </c>
      <c r="C3070" s="11">
        <f ca="1">B3070*Reference!$C$7*(1-IF(MONTH($A3070)=Reference!$C$6,1,0)*Reference!$C$12)</f>
        <v>475230</v>
      </c>
      <c r="D3070" s="10">
        <f ca="1">ROUND(_xlfn.NORM.INV(RAND(),Reference!$D$8,0.1*Reference!$D$8)*(1+Reference!$D$11*(IF(MONTH($A3070)=Reference!$D$4,1,0)+IF(MONTH($A3070)=Reference!$D$5,1,0))+(IF(MONTH($A3070)=Reference!$D$6,Reference!$D$13,0))),0)</f>
        <v>478</v>
      </c>
      <c r="E3070" s="11">
        <f ca="1">D3070*Reference!$D$7*(1-IF(MONTH($A3070)=Reference!$D$6,1,0)*Reference!$D$12)</f>
        <v>358500</v>
      </c>
      <c r="M3070" s="20"/>
      <c r="N3070" s="20"/>
      <c r="O3070" s="19"/>
      <c r="P3070" s="10"/>
      <c r="Q3070" s="10"/>
      <c r="R3070" s="10"/>
      <c r="S3070" s="10"/>
      <c r="T3070" s="10"/>
      <c r="U3070" s="10"/>
      <c r="V3070" s="10"/>
      <c r="W3070" s="10"/>
      <c r="X3070" s="10"/>
      <c r="Y3070" s="10"/>
    </row>
    <row r="3071" spans="1:25" x14ac:dyDescent="0.25">
      <c r="A3071" s="9">
        <v>43609</v>
      </c>
      <c r="B3071" s="10">
        <f ca="1">ROUND(_xlfn.NORM.INV(RAND(),Reference!$C$8,0.1*Reference!$C$8)*(1+Reference!$C$11*(IF(MONTH($A3071)=Reference!$C$4,1,0)+IF(MONTH($A3071)=Reference!$C$5,1,0))+(IF(MONTH($A3071)=Reference!$C$6,Reference!$C$13,0))),0)</f>
        <v>634</v>
      </c>
      <c r="C3071" s="11">
        <f ca="1">B3071*Reference!$C$7*(1-IF(MONTH($A3071)=Reference!$C$6,1,0)*Reference!$C$12)</f>
        <v>589620</v>
      </c>
      <c r="D3071" s="10">
        <f ca="1">ROUND(_xlfn.NORM.INV(RAND(),Reference!$D$8,0.1*Reference!$D$8)*(1+Reference!$D$11*(IF(MONTH($A3071)=Reference!$D$4,1,0)+IF(MONTH($A3071)=Reference!$D$5,1,0))+(IF(MONTH($A3071)=Reference!$D$6,Reference!$D$13,0))),0)</f>
        <v>435</v>
      </c>
      <c r="E3071" s="11">
        <f ca="1">D3071*Reference!$D$7*(1-IF(MONTH($A3071)=Reference!$D$6,1,0)*Reference!$D$12)</f>
        <v>326250</v>
      </c>
      <c r="M3071" s="20"/>
      <c r="N3071" s="20"/>
      <c r="O3071" s="19"/>
      <c r="P3071" s="10"/>
      <c r="Q3071" s="10"/>
      <c r="R3071" s="10"/>
      <c r="S3071" s="10"/>
      <c r="T3071" s="10"/>
      <c r="U3071" s="10"/>
      <c r="V3071" s="10"/>
      <c r="W3071" s="10"/>
      <c r="X3071" s="10"/>
      <c r="Y3071" s="10"/>
    </row>
    <row r="3072" spans="1:25" x14ac:dyDescent="0.25">
      <c r="A3072" s="9">
        <v>43610</v>
      </c>
      <c r="B3072" s="10">
        <f ca="1">ROUND(_xlfn.NORM.INV(RAND(),Reference!$C$8,0.1*Reference!$C$8)*(1+Reference!$C$11*(IF(MONTH($A3072)=Reference!$C$4,1,0)+IF(MONTH($A3072)=Reference!$C$5,1,0))+(IF(MONTH($A3072)=Reference!$C$6,Reference!$C$13,0))),0)</f>
        <v>548</v>
      </c>
      <c r="C3072" s="11">
        <f ca="1">B3072*Reference!$C$7*(1-IF(MONTH($A3072)=Reference!$C$6,1,0)*Reference!$C$12)</f>
        <v>509640</v>
      </c>
      <c r="D3072" s="10">
        <f ca="1">ROUND(_xlfn.NORM.INV(RAND(),Reference!$D$8,0.1*Reference!$D$8)*(1+Reference!$D$11*(IF(MONTH($A3072)=Reference!$D$4,1,0)+IF(MONTH($A3072)=Reference!$D$5,1,0))+(IF(MONTH($A3072)=Reference!$D$6,Reference!$D$13,0))),0)</f>
        <v>403</v>
      </c>
      <c r="E3072" s="11">
        <f ca="1">D3072*Reference!$D$7*(1-IF(MONTH($A3072)=Reference!$D$6,1,0)*Reference!$D$12)</f>
        <v>302250</v>
      </c>
      <c r="M3072" s="20"/>
      <c r="N3072" s="20"/>
      <c r="O3072" s="19"/>
      <c r="P3072" s="10"/>
      <c r="Q3072" s="10"/>
      <c r="R3072" s="10"/>
      <c r="S3072" s="10"/>
      <c r="T3072" s="10"/>
      <c r="U3072" s="10"/>
      <c r="V3072" s="10"/>
      <c r="W3072" s="10"/>
      <c r="X3072" s="10"/>
      <c r="Y3072" s="10"/>
    </row>
    <row r="3073" spans="1:25" x14ac:dyDescent="0.25">
      <c r="A3073" s="9">
        <v>43611</v>
      </c>
      <c r="B3073" s="10">
        <f ca="1">ROUND(_xlfn.NORM.INV(RAND(),Reference!$C$8,0.1*Reference!$C$8)*(1+Reference!$C$11*(IF(MONTH($A3073)=Reference!$C$4,1,0)+IF(MONTH($A3073)=Reference!$C$5,1,0))+(IF(MONTH($A3073)=Reference!$C$6,Reference!$C$13,0))),0)</f>
        <v>587</v>
      </c>
      <c r="C3073" s="11">
        <f ca="1">B3073*Reference!$C$7*(1-IF(MONTH($A3073)=Reference!$C$6,1,0)*Reference!$C$12)</f>
        <v>545910</v>
      </c>
      <c r="D3073" s="10">
        <f ca="1">ROUND(_xlfn.NORM.INV(RAND(),Reference!$D$8,0.1*Reference!$D$8)*(1+Reference!$D$11*(IF(MONTH($A3073)=Reference!$D$4,1,0)+IF(MONTH($A3073)=Reference!$D$5,1,0))+(IF(MONTH($A3073)=Reference!$D$6,Reference!$D$13,0))),0)</f>
        <v>446</v>
      </c>
      <c r="E3073" s="11">
        <f ca="1">D3073*Reference!$D$7*(1-IF(MONTH($A3073)=Reference!$D$6,1,0)*Reference!$D$12)</f>
        <v>334500</v>
      </c>
      <c r="M3073" s="20"/>
      <c r="N3073" s="20"/>
      <c r="O3073" s="19"/>
      <c r="P3073" s="10"/>
      <c r="Q3073" s="10"/>
      <c r="R3073" s="10"/>
      <c r="S3073" s="10"/>
      <c r="T3073" s="10"/>
      <c r="U3073" s="10"/>
      <c r="V3073" s="10"/>
      <c r="W3073" s="10"/>
      <c r="X3073" s="10"/>
      <c r="Y3073" s="10"/>
    </row>
    <row r="3074" spans="1:25" x14ac:dyDescent="0.25">
      <c r="A3074" s="9">
        <v>43612</v>
      </c>
      <c r="B3074" s="10">
        <f ca="1">ROUND(_xlfn.NORM.INV(RAND(),Reference!$C$8,0.1*Reference!$C$8)*(1+Reference!$C$11*(IF(MONTH($A3074)=Reference!$C$4,1,0)+IF(MONTH($A3074)=Reference!$C$5,1,0))+(IF(MONTH($A3074)=Reference!$C$6,Reference!$C$13,0))),0)</f>
        <v>530</v>
      </c>
      <c r="C3074" s="11">
        <f ca="1">B3074*Reference!$C$7*(1-IF(MONTH($A3074)=Reference!$C$6,1,0)*Reference!$C$12)</f>
        <v>492900</v>
      </c>
      <c r="D3074" s="10">
        <f ca="1">ROUND(_xlfn.NORM.INV(RAND(),Reference!$D$8,0.1*Reference!$D$8)*(1+Reference!$D$11*(IF(MONTH($A3074)=Reference!$D$4,1,0)+IF(MONTH($A3074)=Reference!$D$5,1,0))+(IF(MONTH($A3074)=Reference!$D$6,Reference!$D$13,0))),0)</f>
        <v>484</v>
      </c>
      <c r="E3074" s="11">
        <f ca="1">D3074*Reference!$D$7*(1-IF(MONTH($A3074)=Reference!$D$6,1,0)*Reference!$D$12)</f>
        <v>363000</v>
      </c>
      <c r="M3074" s="20"/>
      <c r="N3074" s="20"/>
      <c r="O3074" s="19"/>
      <c r="P3074" s="10"/>
      <c r="Q3074" s="10"/>
      <c r="R3074" s="10"/>
      <c r="S3074" s="10"/>
      <c r="T3074" s="10"/>
      <c r="U3074" s="10"/>
      <c r="V3074" s="10"/>
      <c r="W3074" s="10"/>
      <c r="X3074" s="10"/>
      <c r="Y3074" s="10"/>
    </row>
    <row r="3075" spans="1:25" x14ac:dyDescent="0.25">
      <c r="A3075" s="9">
        <v>43613</v>
      </c>
      <c r="B3075" s="10">
        <f ca="1">ROUND(_xlfn.NORM.INV(RAND(),Reference!$C$8,0.1*Reference!$C$8)*(1+Reference!$C$11*(IF(MONTH($A3075)=Reference!$C$4,1,0)+IF(MONTH($A3075)=Reference!$C$5,1,0))+(IF(MONTH($A3075)=Reference!$C$6,Reference!$C$13,0))),0)</f>
        <v>546</v>
      </c>
      <c r="C3075" s="11">
        <f ca="1">B3075*Reference!$C$7*(1-IF(MONTH($A3075)=Reference!$C$6,1,0)*Reference!$C$12)</f>
        <v>507780</v>
      </c>
      <c r="D3075" s="10">
        <f ca="1">ROUND(_xlfn.NORM.INV(RAND(),Reference!$D$8,0.1*Reference!$D$8)*(1+Reference!$D$11*(IF(MONTH($A3075)=Reference!$D$4,1,0)+IF(MONTH($A3075)=Reference!$D$5,1,0))+(IF(MONTH($A3075)=Reference!$D$6,Reference!$D$13,0))),0)</f>
        <v>459</v>
      </c>
      <c r="E3075" s="11">
        <f ca="1">D3075*Reference!$D$7*(1-IF(MONTH($A3075)=Reference!$D$6,1,0)*Reference!$D$12)</f>
        <v>344250</v>
      </c>
      <c r="M3075" s="20"/>
      <c r="N3075" s="20"/>
      <c r="O3075" s="19"/>
      <c r="P3075" s="10"/>
      <c r="Q3075" s="10"/>
      <c r="R3075" s="10"/>
      <c r="S3075" s="10"/>
      <c r="T3075" s="10"/>
      <c r="U3075" s="10"/>
      <c r="V3075" s="10"/>
      <c r="W3075" s="10"/>
      <c r="X3075" s="10"/>
      <c r="Y3075" s="10"/>
    </row>
    <row r="3076" spans="1:25" x14ac:dyDescent="0.25">
      <c r="A3076" s="9">
        <v>43614</v>
      </c>
      <c r="B3076" s="10">
        <f ca="1">ROUND(_xlfn.NORM.INV(RAND(),Reference!$C$8,0.1*Reference!$C$8)*(1+Reference!$C$11*(IF(MONTH($A3076)=Reference!$C$4,1,0)+IF(MONTH($A3076)=Reference!$C$5,1,0))+(IF(MONTH($A3076)=Reference!$C$6,Reference!$C$13,0))),0)</f>
        <v>502</v>
      </c>
      <c r="C3076" s="11">
        <f ca="1">B3076*Reference!$C$7*(1-IF(MONTH($A3076)=Reference!$C$6,1,0)*Reference!$C$12)</f>
        <v>466860</v>
      </c>
      <c r="D3076" s="10">
        <f ca="1">ROUND(_xlfn.NORM.INV(RAND(),Reference!$D$8,0.1*Reference!$D$8)*(1+Reference!$D$11*(IF(MONTH($A3076)=Reference!$D$4,1,0)+IF(MONTH($A3076)=Reference!$D$5,1,0))+(IF(MONTH($A3076)=Reference!$D$6,Reference!$D$13,0))),0)</f>
        <v>493</v>
      </c>
      <c r="E3076" s="11">
        <f ca="1">D3076*Reference!$D$7*(1-IF(MONTH($A3076)=Reference!$D$6,1,0)*Reference!$D$12)</f>
        <v>369750</v>
      </c>
      <c r="M3076" s="20"/>
      <c r="N3076" s="20"/>
      <c r="O3076" s="19"/>
      <c r="P3076" s="10"/>
      <c r="Q3076" s="10"/>
      <c r="R3076" s="10"/>
      <c r="S3076" s="10"/>
      <c r="T3076" s="10"/>
      <c r="U3076" s="10"/>
      <c r="V3076" s="10"/>
      <c r="W3076" s="10"/>
      <c r="X3076" s="10"/>
      <c r="Y3076" s="10"/>
    </row>
    <row r="3077" spans="1:25" x14ac:dyDescent="0.25">
      <c r="A3077" s="9">
        <v>43615</v>
      </c>
      <c r="B3077" s="10">
        <f ca="1">ROUND(_xlfn.NORM.INV(RAND(),Reference!$C$8,0.1*Reference!$C$8)*(1+Reference!$C$11*(IF(MONTH($A3077)=Reference!$C$4,1,0)+IF(MONTH($A3077)=Reference!$C$5,1,0))+(IF(MONTH($A3077)=Reference!$C$6,Reference!$C$13,0))),0)</f>
        <v>438</v>
      </c>
      <c r="C3077" s="11">
        <f ca="1">B3077*Reference!$C$7*(1-IF(MONTH($A3077)=Reference!$C$6,1,0)*Reference!$C$12)</f>
        <v>407340</v>
      </c>
      <c r="D3077" s="10">
        <f ca="1">ROUND(_xlfn.NORM.INV(RAND(),Reference!$D$8,0.1*Reference!$D$8)*(1+Reference!$D$11*(IF(MONTH($A3077)=Reference!$D$4,1,0)+IF(MONTH($A3077)=Reference!$D$5,1,0))+(IF(MONTH($A3077)=Reference!$D$6,Reference!$D$13,0))),0)</f>
        <v>400</v>
      </c>
      <c r="E3077" s="11">
        <f ca="1">D3077*Reference!$D$7*(1-IF(MONTH($A3077)=Reference!$D$6,1,0)*Reference!$D$12)</f>
        <v>300000</v>
      </c>
      <c r="M3077" s="20"/>
      <c r="N3077" s="20"/>
      <c r="O3077" s="19"/>
      <c r="P3077" s="10"/>
      <c r="Q3077" s="10"/>
      <c r="R3077" s="10"/>
      <c r="S3077" s="10"/>
      <c r="T3077" s="10"/>
      <c r="U3077" s="10"/>
      <c r="V3077" s="10"/>
      <c r="W3077" s="10"/>
      <c r="X3077" s="10"/>
      <c r="Y3077" s="10"/>
    </row>
    <row r="3078" spans="1:25" x14ac:dyDescent="0.25">
      <c r="A3078" s="9">
        <v>43616</v>
      </c>
      <c r="B3078" s="10">
        <f ca="1">ROUND(_xlfn.NORM.INV(RAND(),Reference!$C$8,0.1*Reference!$C$8)*(1+Reference!$C$11*(IF(MONTH($A3078)=Reference!$C$4,1,0)+IF(MONTH($A3078)=Reference!$C$5,1,0))+(IF(MONTH($A3078)=Reference!$C$6,Reference!$C$13,0))),0)</f>
        <v>605</v>
      </c>
      <c r="C3078" s="11">
        <f ca="1">B3078*Reference!$C$7*(1-IF(MONTH($A3078)=Reference!$C$6,1,0)*Reference!$C$12)</f>
        <v>562650</v>
      </c>
      <c r="D3078" s="10">
        <f ca="1">ROUND(_xlfn.NORM.INV(RAND(),Reference!$D$8,0.1*Reference!$D$8)*(1+Reference!$D$11*(IF(MONTH($A3078)=Reference!$D$4,1,0)+IF(MONTH($A3078)=Reference!$D$5,1,0))+(IF(MONTH($A3078)=Reference!$D$6,Reference!$D$13,0))),0)</f>
        <v>489</v>
      </c>
      <c r="E3078" s="11">
        <f ca="1">D3078*Reference!$D$7*(1-IF(MONTH($A3078)=Reference!$D$6,1,0)*Reference!$D$12)</f>
        <v>366750</v>
      </c>
      <c r="M3078" s="20"/>
      <c r="N3078" s="20"/>
      <c r="O3078" s="19"/>
      <c r="P3078" s="10"/>
      <c r="Q3078" s="10"/>
      <c r="R3078" s="10"/>
      <c r="S3078" s="10"/>
      <c r="T3078" s="10"/>
      <c r="U3078" s="10"/>
      <c r="V3078" s="10"/>
      <c r="W3078" s="10"/>
      <c r="X3078" s="10"/>
      <c r="Y3078" s="10"/>
    </row>
    <row r="3079" spans="1:25" x14ac:dyDescent="0.25">
      <c r="A3079" s="9">
        <v>43617</v>
      </c>
      <c r="B3079" s="10">
        <f ca="1">ROUND(_xlfn.NORM.INV(RAND(),Reference!$C$8,0.1*Reference!$C$8)*(1+Reference!$C$11*(IF(MONTH($A3079)=Reference!$C$4,1,0)+IF(MONTH($A3079)=Reference!$C$5,1,0))+(IF(MONTH($A3079)=Reference!$C$6,Reference!$C$13,0))),0)</f>
        <v>443</v>
      </c>
      <c r="C3079" s="11">
        <f ca="1">B3079*Reference!$C$7*(1-IF(MONTH($A3079)=Reference!$C$6,1,0)*Reference!$C$12)</f>
        <v>164796</v>
      </c>
      <c r="D3079" s="10">
        <f ca="1">ROUND(_xlfn.NORM.INV(RAND(),Reference!$D$8,0.1*Reference!$D$8)*(1+Reference!$D$11*(IF(MONTH($A3079)=Reference!$D$4,1,0)+IF(MONTH($A3079)=Reference!$D$5,1,0))+(IF(MONTH($A3079)=Reference!$D$6,Reference!$D$13,0))),0)</f>
        <v>458</v>
      </c>
      <c r="E3079" s="11">
        <f ca="1">D3079*Reference!$D$7*(1-IF(MONTH($A3079)=Reference!$D$6,1,0)*Reference!$D$12)</f>
        <v>343500</v>
      </c>
      <c r="M3079" s="20"/>
      <c r="N3079" s="20"/>
      <c r="O3079" s="19"/>
      <c r="P3079" s="10"/>
      <c r="Q3079" s="10"/>
      <c r="R3079" s="10"/>
      <c r="S3079" s="10"/>
      <c r="T3079" s="10"/>
      <c r="U3079" s="10"/>
      <c r="V3079" s="10"/>
      <c r="W3079" s="10"/>
      <c r="X3079" s="10"/>
      <c r="Y3079" s="10"/>
    </row>
    <row r="3080" spans="1:25" x14ac:dyDescent="0.25">
      <c r="A3080" s="9">
        <v>43618</v>
      </c>
      <c r="B3080" s="10">
        <f ca="1">ROUND(_xlfn.NORM.INV(RAND(),Reference!$C$8,0.1*Reference!$C$8)*(1+Reference!$C$11*(IF(MONTH($A3080)=Reference!$C$4,1,0)+IF(MONTH($A3080)=Reference!$C$5,1,0))+(IF(MONTH($A3080)=Reference!$C$6,Reference!$C$13,0))),0)</f>
        <v>472</v>
      </c>
      <c r="C3080" s="11">
        <f ca="1">B3080*Reference!$C$7*(1-IF(MONTH($A3080)=Reference!$C$6,1,0)*Reference!$C$12)</f>
        <v>175584</v>
      </c>
      <c r="D3080" s="10">
        <f ca="1">ROUND(_xlfn.NORM.INV(RAND(),Reference!$D$8,0.1*Reference!$D$8)*(1+Reference!$D$11*(IF(MONTH($A3080)=Reference!$D$4,1,0)+IF(MONTH($A3080)=Reference!$D$5,1,0))+(IF(MONTH($A3080)=Reference!$D$6,Reference!$D$13,0))),0)</f>
        <v>464</v>
      </c>
      <c r="E3080" s="11">
        <f ca="1">D3080*Reference!$D$7*(1-IF(MONTH($A3080)=Reference!$D$6,1,0)*Reference!$D$12)</f>
        <v>348000</v>
      </c>
      <c r="M3080" s="20"/>
      <c r="N3080" s="20"/>
      <c r="O3080" s="19"/>
      <c r="P3080" s="10"/>
      <c r="Q3080" s="10"/>
      <c r="R3080" s="10"/>
      <c r="S3080" s="10"/>
      <c r="T3080" s="10"/>
      <c r="U3080" s="10"/>
      <c r="V3080" s="10"/>
      <c r="W3080" s="10"/>
      <c r="X3080" s="10"/>
      <c r="Y3080" s="10"/>
    </row>
    <row r="3081" spans="1:25" x14ac:dyDescent="0.25">
      <c r="A3081" s="9">
        <v>43619</v>
      </c>
      <c r="B3081" s="10">
        <f ca="1">ROUND(_xlfn.NORM.INV(RAND(),Reference!$C$8,0.1*Reference!$C$8)*(1+Reference!$C$11*(IF(MONTH($A3081)=Reference!$C$4,1,0)+IF(MONTH($A3081)=Reference!$C$5,1,0))+(IF(MONTH($A3081)=Reference!$C$6,Reference!$C$13,0))),0)</f>
        <v>399</v>
      </c>
      <c r="C3081" s="11">
        <f ca="1">B3081*Reference!$C$7*(1-IF(MONTH($A3081)=Reference!$C$6,1,0)*Reference!$C$12)</f>
        <v>148428</v>
      </c>
      <c r="D3081" s="10">
        <f ca="1">ROUND(_xlfn.NORM.INV(RAND(),Reference!$D$8,0.1*Reference!$D$8)*(1+Reference!$D$11*(IF(MONTH($A3081)=Reference!$D$4,1,0)+IF(MONTH($A3081)=Reference!$D$5,1,0))+(IF(MONTH($A3081)=Reference!$D$6,Reference!$D$13,0))),0)</f>
        <v>467</v>
      </c>
      <c r="E3081" s="11">
        <f ca="1">D3081*Reference!$D$7*(1-IF(MONTH($A3081)=Reference!$D$6,1,0)*Reference!$D$12)</f>
        <v>350250</v>
      </c>
      <c r="M3081" s="20"/>
      <c r="N3081" s="20"/>
      <c r="O3081" s="19"/>
      <c r="P3081" s="10"/>
      <c r="Q3081" s="10"/>
      <c r="R3081" s="10"/>
      <c r="S3081" s="10"/>
      <c r="T3081" s="10"/>
      <c r="U3081" s="10"/>
      <c r="V3081" s="10"/>
      <c r="W3081" s="10"/>
      <c r="X3081" s="10"/>
      <c r="Y3081" s="10"/>
    </row>
    <row r="3082" spans="1:25" x14ac:dyDescent="0.25">
      <c r="A3082" s="9">
        <v>43620</v>
      </c>
      <c r="B3082" s="10">
        <f ca="1">ROUND(_xlfn.NORM.INV(RAND(),Reference!$C$8,0.1*Reference!$C$8)*(1+Reference!$C$11*(IF(MONTH($A3082)=Reference!$C$4,1,0)+IF(MONTH($A3082)=Reference!$C$5,1,0))+(IF(MONTH($A3082)=Reference!$C$6,Reference!$C$13,0))),0)</f>
        <v>532</v>
      </c>
      <c r="C3082" s="11">
        <f ca="1">B3082*Reference!$C$7*(1-IF(MONTH($A3082)=Reference!$C$6,1,0)*Reference!$C$12)</f>
        <v>197904</v>
      </c>
      <c r="D3082" s="10">
        <f ca="1">ROUND(_xlfn.NORM.INV(RAND(),Reference!$D$8,0.1*Reference!$D$8)*(1+Reference!$D$11*(IF(MONTH($A3082)=Reference!$D$4,1,0)+IF(MONTH($A3082)=Reference!$D$5,1,0))+(IF(MONTH($A3082)=Reference!$D$6,Reference!$D$13,0))),0)</f>
        <v>378</v>
      </c>
      <c r="E3082" s="11">
        <f ca="1">D3082*Reference!$D$7*(1-IF(MONTH($A3082)=Reference!$D$6,1,0)*Reference!$D$12)</f>
        <v>283500</v>
      </c>
      <c r="M3082" s="20"/>
      <c r="N3082" s="20"/>
      <c r="O3082" s="19"/>
      <c r="P3082" s="10"/>
      <c r="Q3082" s="10"/>
      <c r="R3082" s="10"/>
      <c r="S3082" s="10"/>
      <c r="T3082" s="10"/>
      <c r="U3082" s="10"/>
      <c r="V3082" s="10"/>
      <c r="W3082" s="10"/>
      <c r="X3082" s="10"/>
      <c r="Y3082" s="10"/>
    </row>
    <row r="3083" spans="1:25" x14ac:dyDescent="0.25">
      <c r="A3083" s="9">
        <v>43621</v>
      </c>
      <c r="B3083" s="10">
        <f ca="1">ROUND(_xlfn.NORM.INV(RAND(),Reference!$C$8,0.1*Reference!$C$8)*(1+Reference!$C$11*(IF(MONTH($A3083)=Reference!$C$4,1,0)+IF(MONTH($A3083)=Reference!$C$5,1,0))+(IF(MONTH($A3083)=Reference!$C$6,Reference!$C$13,0))),0)</f>
        <v>446</v>
      </c>
      <c r="C3083" s="11">
        <f ca="1">B3083*Reference!$C$7*(1-IF(MONTH($A3083)=Reference!$C$6,1,0)*Reference!$C$12)</f>
        <v>165912</v>
      </c>
      <c r="D3083" s="10">
        <f ca="1">ROUND(_xlfn.NORM.INV(RAND(),Reference!$D$8,0.1*Reference!$D$8)*(1+Reference!$D$11*(IF(MONTH($A3083)=Reference!$D$4,1,0)+IF(MONTH($A3083)=Reference!$D$5,1,0))+(IF(MONTH($A3083)=Reference!$D$6,Reference!$D$13,0))),0)</f>
        <v>452</v>
      </c>
      <c r="E3083" s="11">
        <f ca="1">D3083*Reference!$D$7*(1-IF(MONTH($A3083)=Reference!$D$6,1,0)*Reference!$D$12)</f>
        <v>339000</v>
      </c>
      <c r="M3083" s="20"/>
      <c r="N3083" s="20"/>
      <c r="O3083" s="19"/>
      <c r="P3083" s="10"/>
      <c r="Q3083" s="10"/>
      <c r="R3083" s="10"/>
      <c r="S3083" s="10"/>
      <c r="T3083" s="10"/>
      <c r="U3083" s="10"/>
      <c r="V3083" s="10"/>
      <c r="W3083" s="10"/>
      <c r="X3083" s="10"/>
      <c r="Y3083" s="10"/>
    </row>
    <row r="3084" spans="1:25" x14ac:dyDescent="0.25">
      <c r="A3084" s="9">
        <v>43622</v>
      </c>
      <c r="B3084" s="10">
        <f ca="1">ROUND(_xlfn.NORM.INV(RAND(),Reference!$C$8,0.1*Reference!$C$8)*(1+Reference!$C$11*(IF(MONTH($A3084)=Reference!$C$4,1,0)+IF(MONTH($A3084)=Reference!$C$5,1,0))+(IF(MONTH($A3084)=Reference!$C$6,Reference!$C$13,0))),0)</f>
        <v>427</v>
      </c>
      <c r="C3084" s="11">
        <f ca="1">B3084*Reference!$C$7*(1-IF(MONTH($A3084)=Reference!$C$6,1,0)*Reference!$C$12)</f>
        <v>158844</v>
      </c>
      <c r="D3084" s="10">
        <f ca="1">ROUND(_xlfn.NORM.INV(RAND(),Reference!$D$8,0.1*Reference!$D$8)*(1+Reference!$D$11*(IF(MONTH($A3084)=Reference!$D$4,1,0)+IF(MONTH($A3084)=Reference!$D$5,1,0))+(IF(MONTH($A3084)=Reference!$D$6,Reference!$D$13,0))),0)</f>
        <v>472</v>
      </c>
      <c r="E3084" s="11">
        <f ca="1">D3084*Reference!$D$7*(1-IF(MONTH($A3084)=Reference!$D$6,1,0)*Reference!$D$12)</f>
        <v>354000</v>
      </c>
      <c r="M3084" s="20"/>
      <c r="N3084" s="20"/>
      <c r="O3084" s="19"/>
      <c r="P3084" s="10"/>
      <c r="Q3084" s="10"/>
      <c r="R3084" s="10"/>
      <c r="S3084" s="10"/>
      <c r="T3084" s="10"/>
      <c r="U3084" s="10"/>
      <c r="V3084" s="10"/>
      <c r="W3084" s="10"/>
      <c r="X3084" s="10"/>
      <c r="Y3084" s="10"/>
    </row>
    <row r="3085" spans="1:25" x14ac:dyDescent="0.25">
      <c r="A3085" s="9">
        <v>43623</v>
      </c>
      <c r="B3085" s="10">
        <f ca="1">ROUND(_xlfn.NORM.INV(RAND(),Reference!$C$8,0.1*Reference!$C$8)*(1+Reference!$C$11*(IF(MONTH($A3085)=Reference!$C$4,1,0)+IF(MONTH($A3085)=Reference!$C$5,1,0))+(IF(MONTH($A3085)=Reference!$C$6,Reference!$C$13,0))),0)</f>
        <v>459</v>
      </c>
      <c r="C3085" s="11">
        <f ca="1">B3085*Reference!$C$7*(1-IF(MONTH($A3085)=Reference!$C$6,1,0)*Reference!$C$12)</f>
        <v>170748</v>
      </c>
      <c r="D3085" s="10">
        <f ca="1">ROUND(_xlfn.NORM.INV(RAND(),Reference!$D$8,0.1*Reference!$D$8)*(1+Reference!$D$11*(IF(MONTH($A3085)=Reference!$D$4,1,0)+IF(MONTH($A3085)=Reference!$D$5,1,0))+(IF(MONTH($A3085)=Reference!$D$6,Reference!$D$13,0))),0)</f>
        <v>418</v>
      </c>
      <c r="E3085" s="11">
        <f ca="1">D3085*Reference!$D$7*(1-IF(MONTH($A3085)=Reference!$D$6,1,0)*Reference!$D$12)</f>
        <v>313500</v>
      </c>
      <c r="M3085" s="20"/>
      <c r="N3085" s="20"/>
      <c r="O3085" s="19"/>
      <c r="P3085" s="10"/>
      <c r="Q3085" s="10"/>
      <c r="R3085" s="10"/>
      <c r="S3085" s="10"/>
      <c r="T3085" s="10"/>
      <c r="U3085" s="10"/>
      <c r="V3085" s="10"/>
      <c r="W3085" s="10"/>
      <c r="X3085" s="10"/>
      <c r="Y3085" s="10"/>
    </row>
    <row r="3086" spans="1:25" x14ac:dyDescent="0.25">
      <c r="A3086" s="9">
        <v>43624</v>
      </c>
      <c r="B3086" s="10">
        <f ca="1">ROUND(_xlfn.NORM.INV(RAND(),Reference!$C$8,0.1*Reference!$C$8)*(1+Reference!$C$11*(IF(MONTH($A3086)=Reference!$C$4,1,0)+IF(MONTH($A3086)=Reference!$C$5,1,0))+(IF(MONTH($A3086)=Reference!$C$6,Reference!$C$13,0))),0)</f>
        <v>454</v>
      </c>
      <c r="C3086" s="11">
        <f ca="1">B3086*Reference!$C$7*(1-IF(MONTH($A3086)=Reference!$C$6,1,0)*Reference!$C$12)</f>
        <v>168888</v>
      </c>
      <c r="D3086" s="10">
        <f ca="1">ROUND(_xlfn.NORM.INV(RAND(),Reference!$D$8,0.1*Reference!$D$8)*(1+Reference!$D$11*(IF(MONTH($A3086)=Reference!$D$4,1,0)+IF(MONTH($A3086)=Reference!$D$5,1,0))+(IF(MONTH($A3086)=Reference!$D$6,Reference!$D$13,0))),0)</f>
        <v>408</v>
      </c>
      <c r="E3086" s="11">
        <f ca="1">D3086*Reference!$D$7*(1-IF(MONTH($A3086)=Reference!$D$6,1,0)*Reference!$D$12)</f>
        <v>306000</v>
      </c>
      <c r="M3086" s="20"/>
      <c r="N3086" s="20"/>
      <c r="O3086" s="19"/>
      <c r="P3086" s="10"/>
      <c r="Q3086" s="10"/>
      <c r="R3086" s="10"/>
      <c r="S3086" s="10"/>
      <c r="T3086" s="10"/>
      <c r="U3086" s="10"/>
      <c r="V3086" s="10"/>
      <c r="W3086" s="10"/>
      <c r="X3086" s="10"/>
      <c r="Y3086" s="10"/>
    </row>
    <row r="3087" spans="1:25" x14ac:dyDescent="0.25">
      <c r="A3087" s="9">
        <v>43625</v>
      </c>
      <c r="B3087" s="10">
        <f ca="1">ROUND(_xlfn.NORM.INV(RAND(),Reference!$C$8,0.1*Reference!$C$8)*(1+Reference!$C$11*(IF(MONTH($A3087)=Reference!$C$4,1,0)+IF(MONTH($A3087)=Reference!$C$5,1,0))+(IF(MONTH($A3087)=Reference!$C$6,Reference!$C$13,0))),0)</f>
        <v>477</v>
      </c>
      <c r="C3087" s="11">
        <f ca="1">B3087*Reference!$C$7*(1-IF(MONTH($A3087)=Reference!$C$6,1,0)*Reference!$C$12)</f>
        <v>177444</v>
      </c>
      <c r="D3087" s="10">
        <f ca="1">ROUND(_xlfn.NORM.INV(RAND(),Reference!$D$8,0.1*Reference!$D$8)*(1+Reference!$D$11*(IF(MONTH($A3087)=Reference!$D$4,1,0)+IF(MONTH($A3087)=Reference!$D$5,1,0))+(IF(MONTH($A3087)=Reference!$D$6,Reference!$D$13,0))),0)</f>
        <v>483</v>
      </c>
      <c r="E3087" s="11">
        <f ca="1">D3087*Reference!$D$7*(1-IF(MONTH($A3087)=Reference!$D$6,1,0)*Reference!$D$12)</f>
        <v>362250</v>
      </c>
      <c r="M3087" s="20"/>
      <c r="N3087" s="20"/>
      <c r="O3087" s="19"/>
      <c r="P3087" s="10"/>
      <c r="Q3087" s="10"/>
      <c r="R3087" s="10"/>
      <c r="S3087" s="10"/>
      <c r="T3087" s="10"/>
      <c r="U3087" s="10"/>
      <c r="V3087" s="10"/>
      <c r="W3087" s="10"/>
      <c r="X3087" s="10"/>
      <c r="Y3087" s="10"/>
    </row>
    <row r="3088" spans="1:25" x14ac:dyDescent="0.25">
      <c r="A3088" s="9">
        <v>43626</v>
      </c>
      <c r="B3088" s="10">
        <f ca="1">ROUND(_xlfn.NORM.INV(RAND(),Reference!$C$8,0.1*Reference!$C$8)*(1+Reference!$C$11*(IF(MONTH($A3088)=Reference!$C$4,1,0)+IF(MONTH($A3088)=Reference!$C$5,1,0))+(IF(MONTH($A3088)=Reference!$C$6,Reference!$C$13,0))),0)</f>
        <v>446</v>
      </c>
      <c r="C3088" s="11">
        <f ca="1">B3088*Reference!$C$7*(1-IF(MONTH($A3088)=Reference!$C$6,1,0)*Reference!$C$12)</f>
        <v>165912</v>
      </c>
      <c r="D3088" s="10">
        <f ca="1">ROUND(_xlfn.NORM.INV(RAND(),Reference!$D$8,0.1*Reference!$D$8)*(1+Reference!$D$11*(IF(MONTH($A3088)=Reference!$D$4,1,0)+IF(MONTH($A3088)=Reference!$D$5,1,0))+(IF(MONTH($A3088)=Reference!$D$6,Reference!$D$13,0))),0)</f>
        <v>467</v>
      </c>
      <c r="E3088" s="11">
        <f ca="1">D3088*Reference!$D$7*(1-IF(MONTH($A3088)=Reference!$D$6,1,0)*Reference!$D$12)</f>
        <v>350250</v>
      </c>
      <c r="M3088" s="20"/>
      <c r="N3088" s="20"/>
      <c r="O3088" s="19"/>
      <c r="P3088" s="10"/>
      <c r="Q3088" s="10"/>
      <c r="R3088" s="10"/>
      <c r="S3088" s="10"/>
      <c r="T3088" s="10"/>
      <c r="U3088" s="10"/>
      <c r="V3088" s="10"/>
      <c r="W3088" s="10"/>
      <c r="X3088" s="10"/>
      <c r="Y3088" s="10"/>
    </row>
    <row r="3089" spans="1:25" x14ac:dyDescent="0.25">
      <c r="A3089" s="9">
        <v>43627</v>
      </c>
      <c r="B3089" s="10">
        <f ca="1">ROUND(_xlfn.NORM.INV(RAND(),Reference!$C$8,0.1*Reference!$C$8)*(1+Reference!$C$11*(IF(MONTH($A3089)=Reference!$C$4,1,0)+IF(MONTH($A3089)=Reference!$C$5,1,0))+(IF(MONTH($A3089)=Reference!$C$6,Reference!$C$13,0))),0)</f>
        <v>419</v>
      </c>
      <c r="C3089" s="11">
        <f ca="1">B3089*Reference!$C$7*(1-IF(MONTH($A3089)=Reference!$C$6,1,0)*Reference!$C$12)</f>
        <v>155868</v>
      </c>
      <c r="D3089" s="10">
        <f ca="1">ROUND(_xlfn.NORM.INV(RAND(),Reference!$D$8,0.1*Reference!$D$8)*(1+Reference!$D$11*(IF(MONTH($A3089)=Reference!$D$4,1,0)+IF(MONTH($A3089)=Reference!$D$5,1,0))+(IF(MONTH($A3089)=Reference!$D$6,Reference!$D$13,0))),0)</f>
        <v>357</v>
      </c>
      <c r="E3089" s="11">
        <f ca="1">D3089*Reference!$D$7*(1-IF(MONTH($A3089)=Reference!$D$6,1,0)*Reference!$D$12)</f>
        <v>267750</v>
      </c>
      <c r="M3089" s="20"/>
      <c r="N3089" s="20"/>
      <c r="O3089" s="19"/>
      <c r="P3089" s="10"/>
      <c r="Q3089" s="10"/>
      <c r="R3089" s="10"/>
      <c r="S3089" s="10"/>
      <c r="T3089" s="10"/>
      <c r="U3089" s="10"/>
      <c r="V3089" s="10"/>
      <c r="W3089" s="10"/>
      <c r="X3089" s="10"/>
      <c r="Y3089" s="10"/>
    </row>
    <row r="3090" spans="1:25" x14ac:dyDescent="0.25">
      <c r="A3090" s="9">
        <v>43628</v>
      </c>
      <c r="B3090" s="10">
        <f ca="1">ROUND(_xlfn.NORM.INV(RAND(),Reference!$C$8,0.1*Reference!$C$8)*(1+Reference!$C$11*(IF(MONTH($A3090)=Reference!$C$4,1,0)+IF(MONTH($A3090)=Reference!$C$5,1,0))+(IF(MONTH($A3090)=Reference!$C$6,Reference!$C$13,0))),0)</f>
        <v>440</v>
      </c>
      <c r="C3090" s="11">
        <f ca="1">B3090*Reference!$C$7*(1-IF(MONTH($A3090)=Reference!$C$6,1,0)*Reference!$C$12)</f>
        <v>163680</v>
      </c>
      <c r="D3090" s="10">
        <f ca="1">ROUND(_xlfn.NORM.INV(RAND(),Reference!$D$8,0.1*Reference!$D$8)*(1+Reference!$D$11*(IF(MONTH($A3090)=Reference!$D$4,1,0)+IF(MONTH($A3090)=Reference!$D$5,1,0))+(IF(MONTH($A3090)=Reference!$D$6,Reference!$D$13,0))),0)</f>
        <v>426</v>
      </c>
      <c r="E3090" s="11">
        <f ca="1">D3090*Reference!$D$7*(1-IF(MONTH($A3090)=Reference!$D$6,1,0)*Reference!$D$12)</f>
        <v>319500</v>
      </c>
      <c r="M3090" s="20"/>
      <c r="N3090" s="20"/>
      <c r="O3090" s="19"/>
      <c r="P3090" s="10"/>
      <c r="Q3090" s="10"/>
      <c r="R3090" s="10"/>
      <c r="S3090" s="10"/>
      <c r="T3090" s="10"/>
      <c r="U3090" s="10"/>
      <c r="V3090" s="10"/>
      <c r="W3090" s="10"/>
      <c r="X3090" s="10"/>
      <c r="Y3090" s="10"/>
    </row>
    <row r="3091" spans="1:25" x14ac:dyDescent="0.25">
      <c r="A3091" s="9">
        <v>43629</v>
      </c>
      <c r="B3091" s="10">
        <f ca="1">ROUND(_xlfn.NORM.INV(RAND(),Reference!$C$8,0.1*Reference!$C$8)*(1+Reference!$C$11*(IF(MONTH($A3091)=Reference!$C$4,1,0)+IF(MONTH($A3091)=Reference!$C$5,1,0))+(IF(MONTH($A3091)=Reference!$C$6,Reference!$C$13,0))),0)</f>
        <v>517</v>
      </c>
      <c r="C3091" s="11">
        <f ca="1">B3091*Reference!$C$7*(1-IF(MONTH($A3091)=Reference!$C$6,1,0)*Reference!$C$12)</f>
        <v>192324</v>
      </c>
      <c r="D3091" s="10">
        <f ca="1">ROUND(_xlfn.NORM.INV(RAND(),Reference!$D$8,0.1*Reference!$D$8)*(1+Reference!$D$11*(IF(MONTH($A3091)=Reference!$D$4,1,0)+IF(MONTH($A3091)=Reference!$D$5,1,0))+(IF(MONTH($A3091)=Reference!$D$6,Reference!$D$13,0))),0)</f>
        <v>446</v>
      </c>
      <c r="E3091" s="11">
        <f ca="1">D3091*Reference!$D$7*(1-IF(MONTH($A3091)=Reference!$D$6,1,0)*Reference!$D$12)</f>
        <v>334500</v>
      </c>
      <c r="M3091" s="20"/>
      <c r="N3091" s="20"/>
      <c r="O3091" s="19"/>
      <c r="P3091" s="10"/>
      <c r="Q3091" s="10"/>
      <c r="R3091" s="10"/>
      <c r="S3091" s="10"/>
      <c r="T3091" s="10"/>
      <c r="U3091" s="10"/>
      <c r="V3091" s="10"/>
      <c r="W3091" s="10"/>
      <c r="X3091" s="10"/>
      <c r="Y3091" s="10"/>
    </row>
    <row r="3092" spans="1:25" x14ac:dyDescent="0.25">
      <c r="A3092" s="9">
        <v>43630</v>
      </c>
      <c r="B3092" s="10">
        <f ca="1">ROUND(_xlfn.NORM.INV(RAND(),Reference!$C$8,0.1*Reference!$C$8)*(1+Reference!$C$11*(IF(MONTH($A3092)=Reference!$C$4,1,0)+IF(MONTH($A3092)=Reference!$C$5,1,0))+(IF(MONTH($A3092)=Reference!$C$6,Reference!$C$13,0))),0)</f>
        <v>454</v>
      </c>
      <c r="C3092" s="11">
        <f ca="1">B3092*Reference!$C$7*(1-IF(MONTH($A3092)=Reference!$C$6,1,0)*Reference!$C$12)</f>
        <v>168888</v>
      </c>
      <c r="D3092" s="10">
        <f ca="1">ROUND(_xlfn.NORM.INV(RAND(),Reference!$D$8,0.1*Reference!$D$8)*(1+Reference!$D$11*(IF(MONTH($A3092)=Reference!$D$4,1,0)+IF(MONTH($A3092)=Reference!$D$5,1,0))+(IF(MONTH($A3092)=Reference!$D$6,Reference!$D$13,0))),0)</f>
        <v>399</v>
      </c>
      <c r="E3092" s="11">
        <f ca="1">D3092*Reference!$D$7*(1-IF(MONTH($A3092)=Reference!$D$6,1,0)*Reference!$D$12)</f>
        <v>299250</v>
      </c>
      <c r="M3092" s="20"/>
      <c r="N3092" s="20"/>
      <c r="O3092" s="19"/>
      <c r="P3092" s="10"/>
      <c r="Q3092" s="10"/>
      <c r="R3092" s="10"/>
      <c r="S3092" s="10"/>
      <c r="T3092" s="10"/>
      <c r="U3092" s="10"/>
      <c r="V3092" s="10"/>
      <c r="W3092" s="10"/>
      <c r="X3092" s="10"/>
      <c r="Y3092" s="10"/>
    </row>
    <row r="3093" spans="1:25" x14ac:dyDescent="0.25">
      <c r="A3093" s="9">
        <v>43631</v>
      </c>
      <c r="B3093" s="10">
        <f ca="1">ROUND(_xlfn.NORM.INV(RAND(),Reference!$C$8,0.1*Reference!$C$8)*(1+Reference!$C$11*(IF(MONTH($A3093)=Reference!$C$4,1,0)+IF(MONTH($A3093)=Reference!$C$5,1,0))+(IF(MONTH($A3093)=Reference!$C$6,Reference!$C$13,0))),0)</f>
        <v>384</v>
      </c>
      <c r="C3093" s="11">
        <f ca="1">B3093*Reference!$C$7*(1-IF(MONTH($A3093)=Reference!$C$6,1,0)*Reference!$C$12)</f>
        <v>142848</v>
      </c>
      <c r="D3093" s="10">
        <f ca="1">ROUND(_xlfn.NORM.INV(RAND(),Reference!$D$8,0.1*Reference!$D$8)*(1+Reference!$D$11*(IF(MONTH($A3093)=Reference!$D$4,1,0)+IF(MONTH($A3093)=Reference!$D$5,1,0))+(IF(MONTH($A3093)=Reference!$D$6,Reference!$D$13,0))),0)</f>
        <v>445</v>
      </c>
      <c r="E3093" s="11">
        <f ca="1">D3093*Reference!$D$7*(1-IF(MONTH($A3093)=Reference!$D$6,1,0)*Reference!$D$12)</f>
        <v>333750</v>
      </c>
      <c r="M3093" s="20"/>
      <c r="N3093" s="20"/>
      <c r="O3093" s="19"/>
      <c r="P3093" s="10"/>
      <c r="Q3093" s="10"/>
      <c r="R3093" s="10"/>
      <c r="S3093" s="10"/>
      <c r="T3093" s="10"/>
      <c r="U3093" s="10"/>
      <c r="V3093" s="10"/>
      <c r="W3093" s="10"/>
      <c r="X3093" s="10"/>
      <c r="Y3093" s="10"/>
    </row>
    <row r="3094" spans="1:25" x14ac:dyDescent="0.25">
      <c r="A3094" s="9">
        <v>43632</v>
      </c>
      <c r="B3094" s="10">
        <f ca="1">ROUND(_xlfn.NORM.INV(RAND(),Reference!$C$8,0.1*Reference!$C$8)*(1+Reference!$C$11*(IF(MONTH($A3094)=Reference!$C$4,1,0)+IF(MONTH($A3094)=Reference!$C$5,1,0))+(IF(MONTH($A3094)=Reference!$C$6,Reference!$C$13,0))),0)</f>
        <v>526</v>
      </c>
      <c r="C3094" s="11">
        <f ca="1">B3094*Reference!$C$7*(1-IF(MONTH($A3094)=Reference!$C$6,1,0)*Reference!$C$12)</f>
        <v>195672</v>
      </c>
      <c r="D3094" s="10">
        <f ca="1">ROUND(_xlfn.NORM.INV(RAND(),Reference!$D$8,0.1*Reference!$D$8)*(1+Reference!$D$11*(IF(MONTH($A3094)=Reference!$D$4,1,0)+IF(MONTH($A3094)=Reference!$D$5,1,0))+(IF(MONTH($A3094)=Reference!$D$6,Reference!$D$13,0))),0)</f>
        <v>433</v>
      </c>
      <c r="E3094" s="11">
        <f ca="1">D3094*Reference!$D$7*(1-IF(MONTH($A3094)=Reference!$D$6,1,0)*Reference!$D$12)</f>
        <v>324750</v>
      </c>
      <c r="M3094" s="20"/>
      <c r="N3094" s="20"/>
      <c r="O3094" s="19"/>
      <c r="P3094" s="10"/>
      <c r="Q3094" s="10"/>
      <c r="R3094" s="10"/>
      <c r="S3094" s="10"/>
      <c r="T3094" s="10"/>
      <c r="U3094" s="10"/>
      <c r="V3094" s="10"/>
      <c r="W3094" s="10"/>
      <c r="X3094" s="10"/>
      <c r="Y3094" s="10"/>
    </row>
    <row r="3095" spans="1:25" x14ac:dyDescent="0.25">
      <c r="A3095" s="9">
        <v>43633</v>
      </c>
      <c r="B3095" s="10">
        <f ca="1">ROUND(_xlfn.NORM.INV(RAND(),Reference!$C$8,0.1*Reference!$C$8)*(1+Reference!$C$11*(IF(MONTH($A3095)=Reference!$C$4,1,0)+IF(MONTH($A3095)=Reference!$C$5,1,0))+(IF(MONTH($A3095)=Reference!$C$6,Reference!$C$13,0))),0)</f>
        <v>422</v>
      </c>
      <c r="C3095" s="11">
        <f ca="1">B3095*Reference!$C$7*(1-IF(MONTH($A3095)=Reference!$C$6,1,0)*Reference!$C$12)</f>
        <v>156984</v>
      </c>
      <c r="D3095" s="10">
        <f ca="1">ROUND(_xlfn.NORM.INV(RAND(),Reference!$D$8,0.1*Reference!$D$8)*(1+Reference!$D$11*(IF(MONTH($A3095)=Reference!$D$4,1,0)+IF(MONTH($A3095)=Reference!$D$5,1,0))+(IF(MONTH($A3095)=Reference!$D$6,Reference!$D$13,0))),0)</f>
        <v>496</v>
      </c>
      <c r="E3095" s="11">
        <f ca="1">D3095*Reference!$D$7*(1-IF(MONTH($A3095)=Reference!$D$6,1,0)*Reference!$D$12)</f>
        <v>372000</v>
      </c>
      <c r="M3095" s="20"/>
      <c r="N3095" s="20"/>
      <c r="O3095" s="19"/>
      <c r="P3095" s="10"/>
      <c r="Q3095" s="10"/>
      <c r="R3095" s="10"/>
      <c r="S3095" s="10"/>
      <c r="T3095" s="10"/>
      <c r="U3095" s="10"/>
      <c r="V3095" s="10"/>
      <c r="W3095" s="10"/>
      <c r="X3095" s="10"/>
      <c r="Y3095" s="10"/>
    </row>
    <row r="3096" spans="1:25" x14ac:dyDescent="0.25">
      <c r="A3096" s="9">
        <v>43634</v>
      </c>
      <c r="B3096" s="10">
        <f ca="1">ROUND(_xlfn.NORM.INV(RAND(),Reference!$C$8,0.1*Reference!$C$8)*(1+Reference!$C$11*(IF(MONTH($A3096)=Reference!$C$4,1,0)+IF(MONTH($A3096)=Reference!$C$5,1,0))+(IF(MONTH($A3096)=Reference!$C$6,Reference!$C$13,0))),0)</f>
        <v>438</v>
      </c>
      <c r="C3096" s="11">
        <f ca="1">B3096*Reference!$C$7*(1-IF(MONTH($A3096)=Reference!$C$6,1,0)*Reference!$C$12)</f>
        <v>162936</v>
      </c>
      <c r="D3096" s="10">
        <f ca="1">ROUND(_xlfn.NORM.INV(RAND(),Reference!$D$8,0.1*Reference!$D$8)*(1+Reference!$D$11*(IF(MONTH($A3096)=Reference!$D$4,1,0)+IF(MONTH($A3096)=Reference!$D$5,1,0))+(IF(MONTH($A3096)=Reference!$D$6,Reference!$D$13,0))),0)</f>
        <v>465</v>
      </c>
      <c r="E3096" s="11">
        <f ca="1">D3096*Reference!$D$7*(1-IF(MONTH($A3096)=Reference!$D$6,1,0)*Reference!$D$12)</f>
        <v>348750</v>
      </c>
      <c r="M3096" s="20"/>
      <c r="N3096" s="20"/>
      <c r="O3096" s="19"/>
      <c r="P3096" s="10"/>
      <c r="Q3096" s="10"/>
      <c r="R3096" s="10"/>
      <c r="S3096" s="10"/>
      <c r="T3096" s="10"/>
      <c r="U3096" s="10"/>
      <c r="V3096" s="10"/>
      <c r="W3096" s="10"/>
      <c r="X3096" s="10"/>
      <c r="Y3096" s="10"/>
    </row>
    <row r="3097" spans="1:25" x14ac:dyDescent="0.25">
      <c r="A3097" s="9">
        <v>43635</v>
      </c>
      <c r="B3097" s="10">
        <f ca="1">ROUND(_xlfn.NORM.INV(RAND(),Reference!$C$8,0.1*Reference!$C$8)*(1+Reference!$C$11*(IF(MONTH($A3097)=Reference!$C$4,1,0)+IF(MONTH($A3097)=Reference!$C$5,1,0))+(IF(MONTH($A3097)=Reference!$C$6,Reference!$C$13,0))),0)</f>
        <v>483</v>
      </c>
      <c r="C3097" s="11">
        <f ca="1">B3097*Reference!$C$7*(1-IF(MONTH($A3097)=Reference!$C$6,1,0)*Reference!$C$12)</f>
        <v>179676</v>
      </c>
      <c r="D3097" s="10">
        <f ca="1">ROUND(_xlfn.NORM.INV(RAND(),Reference!$D$8,0.1*Reference!$D$8)*(1+Reference!$D$11*(IF(MONTH($A3097)=Reference!$D$4,1,0)+IF(MONTH($A3097)=Reference!$D$5,1,0))+(IF(MONTH($A3097)=Reference!$D$6,Reference!$D$13,0))),0)</f>
        <v>507</v>
      </c>
      <c r="E3097" s="11">
        <f ca="1">D3097*Reference!$D$7*(1-IF(MONTH($A3097)=Reference!$D$6,1,0)*Reference!$D$12)</f>
        <v>380250</v>
      </c>
      <c r="M3097" s="20"/>
      <c r="N3097" s="20"/>
      <c r="O3097" s="19"/>
      <c r="P3097" s="10"/>
      <c r="Q3097" s="10"/>
      <c r="R3097" s="10"/>
      <c r="S3097" s="10"/>
      <c r="T3097" s="10"/>
      <c r="U3097" s="10"/>
      <c r="V3097" s="10"/>
      <c r="W3097" s="10"/>
      <c r="X3097" s="10"/>
      <c r="Y3097" s="10"/>
    </row>
    <row r="3098" spans="1:25" x14ac:dyDescent="0.25">
      <c r="A3098" s="9">
        <v>43636</v>
      </c>
      <c r="B3098" s="10">
        <f ca="1">ROUND(_xlfn.NORM.INV(RAND(),Reference!$C$8,0.1*Reference!$C$8)*(1+Reference!$C$11*(IF(MONTH($A3098)=Reference!$C$4,1,0)+IF(MONTH($A3098)=Reference!$C$5,1,0))+(IF(MONTH($A3098)=Reference!$C$6,Reference!$C$13,0))),0)</f>
        <v>547</v>
      </c>
      <c r="C3098" s="11">
        <f ca="1">B3098*Reference!$C$7*(1-IF(MONTH($A3098)=Reference!$C$6,1,0)*Reference!$C$12)</f>
        <v>203484</v>
      </c>
      <c r="D3098" s="10">
        <f ca="1">ROUND(_xlfn.NORM.INV(RAND(),Reference!$D$8,0.1*Reference!$D$8)*(1+Reference!$D$11*(IF(MONTH($A3098)=Reference!$D$4,1,0)+IF(MONTH($A3098)=Reference!$D$5,1,0))+(IF(MONTH($A3098)=Reference!$D$6,Reference!$D$13,0))),0)</f>
        <v>430</v>
      </c>
      <c r="E3098" s="11">
        <f ca="1">D3098*Reference!$D$7*(1-IF(MONTH($A3098)=Reference!$D$6,1,0)*Reference!$D$12)</f>
        <v>322500</v>
      </c>
      <c r="M3098" s="20"/>
      <c r="N3098" s="20"/>
      <c r="O3098" s="19"/>
      <c r="P3098" s="10"/>
      <c r="Q3098" s="10"/>
      <c r="R3098" s="10"/>
      <c r="S3098" s="10"/>
      <c r="T3098" s="10"/>
      <c r="U3098" s="10"/>
      <c r="V3098" s="10"/>
      <c r="W3098" s="10"/>
      <c r="X3098" s="10"/>
      <c r="Y3098" s="10"/>
    </row>
    <row r="3099" spans="1:25" x14ac:dyDescent="0.25">
      <c r="A3099" s="9">
        <v>43637</v>
      </c>
      <c r="B3099" s="10">
        <f ca="1">ROUND(_xlfn.NORM.INV(RAND(),Reference!$C$8,0.1*Reference!$C$8)*(1+Reference!$C$11*(IF(MONTH($A3099)=Reference!$C$4,1,0)+IF(MONTH($A3099)=Reference!$C$5,1,0))+(IF(MONTH($A3099)=Reference!$C$6,Reference!$C$13,0))),0)</f>
        <v>521</v>
      </c>
      <c r="C3099" s="11">
        <f ca="1">B3099*Reference!$C$7*(1-IF(MONTH($A3099)=Reference!$C$6,1,0)*Reference!$C$12)</f>
        <v>193812</v>
      </c>
      <c r="D3099" s="10">
        <f ca="1">ROUND(_xlfn.NORM.INV(RAND(),Reference!$D$8,0.1*Reference!$D$8)*(1+Reference!$D$11*(IF(MONTH($A3099)=Reference!$D$4,1,0)+IF(MONTH($A3099)=Reference!$D$5,1,0))+(IF(MONTH($A3099)=Reference!$D$6,Reference!$D$13,0))),0)</f>
        <v>372</v>
      </c>
      <c r="E3099" s="11">
        <f ca="1">D3099*Reference!$D$7*(1-IF(MONTH($A3099)=Reference!$D$6,1,0)*Reference!$D$12)</f>
        <v>279000</v>
      </c>
      <c r="M3099" s="20"/>
      <c r="N3099" s="20"/>
      <c r="O3099" s="19"/>
      <c r="P3099" s="10"/>
      <c r="Q3099" s="10"/>
      <c r="R3099" s="10"/>
      <c r="S3099" s="10"/>
      <c r="T3099" s="10"/>
      <c r="U3099" s="10"/>
      <c r="V3099" s="10"/>
      <c r="W3099" s="10"/>
      <c r="X3099" s="10"/>
      <c r="Y3099" s="10"/>
    </row>
    <row r="3100" spans="1:25" x14ac:dyDescent="0.25">
      <c r="A3100" s="9">
        <v>43638</v>
      </c>
      <c r="B3100" s="10">
        <f ca="1">ROUND(_xlfn.NORM.INV(RAND(),Reference!$C$8,0.1*Reference!$C$8)*(1+Reference!$C$11*(IF(MONTH($A3100)=Reference!$C$4,1,0)+IF(MONTH($A3100)=Reference!$C$5,1,0))+(IF(MONTH($A3100)=Reference!$C$6,Reference!$C$13,0))),0)</f>
        <v>396</v>
      </c>
      <c r="C3100" s="11">
        <f ca="1">B3100*Reference!$C$7*(1-IF(MONTH($A3100)=Reference!$C$6,1,0)*Reference!$C$12)</f>
        <v>147312</v>
      </c>
      <c r="D3100" s="10">
        <f ca="1">ROUND(_xlfn.NORM.INV(RAND(),Reference!$D$8,0.1*Reference!$D$8)*(1+Reference!$D$11*(IF(MONTH($A3100)=Reference!$D$4,1,0)+IF(MONTH($A3100)=Reference!$D$5,1,0))+(IF(MONTH($A3100)=Reference!$D$6,Reference!$D$13,0))),0)</f>
        <v>391</v>
      </c>
      <c r="E3100" s="11">
        <f ca="1">D3100*Reference!$D$7*(1-IF(MONTH($A3100)=Reference!$D$6,1,0)*Reference!$D$12)</f>
        <v>293250</v>
      </c>
      <c r="M3100" s="20"/>
      <c r="N3100" s="20"/>
      <c r="O3100" s="19"/>
      <c r="P3100" s="10"/>
      <c r="Q3100" s="10"/>
      <c r="R3100" s="10"/>
      <c r="S3100" s="10"/>
      <c r="T3100" s="10"/>
      <c r="U3100" s="10"/>
      <c r="V3100" s="10"/>
      <c r="W3100" s="10"/>
      <c r="X3100" s="10"/>
      <c r="Y3100" s="10"/>
    </row>
    <row r="3101" spans="1:25" x14ac:dyDescent="0.25">
      <c r="A3101" s="9">
        <v>43639</v>
      </c>
      <c r="B3101" s="10">
        <f ca="1">ROUND(_xlfn.NORM.INV(RAND(),Reference!$C$8,0.1*Reference!$C$8)*(1+Reference!$C$11*(IF(MONTH($A3101)=Reference!$C$4,1,0)+IF(MONTH($A3101)=Reference!$C$5,1,0))+(IF(MONTH($A3101)=Reference!$C$6,Reference!$C$13,0))),0)</f>
        <v>424</v>
      </c>
      <c r="C3101" s="11">
        <f ca="1">B3101*Reference!$C$7*(1-IF(MONTH($A3101)=Reference!$C$6,1,0)*Reference!$C$12)</f>
        <v>157728</v>
      </c>
      <c r="D3101" s="10">
        <f ca="1">ROUND(_xlfn.NORM.INV(RAND(),Reference!$D$8,0.1*Reference!$D$8)*(1+Reference!$D$11*(IF(MONTH($A3101)=Reference!$D$4,1,0)+IF(MONTH($A3101)=Reference!$D$5,1,0))+(IF(MONTH($A3101)=Reference!$D$6,Reference!$D$13,0))),0)</f>
        <v>494</v>
      </c>
      <c r="E3101" s="11">
        <f ca="1">D3101*Reference!$D$7*(1-IF(MONTH($A3101)=Reference!$D$6,1,0)*Reference!$D$12)</f>
        <v>370500</v>
      </c>
      <c r="M3101" s="20"/>
      <c r="N3101" s="20"/>
      <c r="O3101" s="19"/>
      <c r="P3101" s="10"/>
      <c r="Q3101" s="10"/>
      <c r="R3101" s="10"/>
      <c r="S3101" s="10"/>
      <c r="T3101" s="10"/>
      <c r="U3101" s="10"/>
      <c r="V3101" s="10"/>
      <c r="W3101" s="10"/>
      <c r="X3101" s="10"/>
      <c r="Y3101" s="10"/>
    </row>
    <row r="3102" spans="1:25" x14ac:dyDescent="0.25">
      <c r="A3102" s="9">
        <v>43640</v>
      </c>
      <c r="B3102" s="10">
        <f ca="1">ROUND(_xlfn.NORM.INV(RAND(),Reference!$C$8,0.1*Reference!$C$8)*(1+Reference!$C$11*(IF(MONTH($A3102)=Reference!$C$4,1,0)+IF(MONTH($A3102)=Reference!$C$5,1,0))+(IF(MONTH($A3102)=Reference!$C$6,Reference!$C$13,0))),0)</f>
        <v>394</v>
      </c>
      <c r="C3102" s="11">
        <f ca="1">B3102*Reference!$C$7*(1-IF(MONTH($A3102)=Reference!$C$6,1,0)*Reference!$C$12)</f>
        <v>146568</v>
      </c>
      <c r="D3102" s="10">
        <f ca="1">ROUND(_xlfn.NORM.INV(RAND(),Reference!$D$8,0.1*Reference!$D$8)*(1+Reference!$D$11*(IF(MONTH($A3102)=Reference!$D$4,1,0)+IF(MONTH($A3102)=Reference!$D$5,1,0))+(IF(MONTH($A3102)=Reference!$D$6,Reference!$D$13,0))),0)</f>
        <v>446</v>
      </c>
      <c r="E3102" s="11">
        <f ca="1">D3102*Reference!$D$7*(1-IF(MONTH($A3102)=Reference!$D$6,1,0)*Reference!$D$12)</f>
        <v>334500</v>
      </c>
      <c r="M3102" s="20"/>
      <c r="N3102" s="20"/>
      <c r="O3102" s="19"/>
      <c r="P3102" s="10"/>
      <c r="Q3102" s="10"/>
      <c r="R3102" s="10"/>
      <c r="S3102" s="10"/>
      <c r="T3102" s="10"/>
      <c r="U3102" s="10"/>
      <c r="V3102" s="10"/>
      <c r="W3102" s="10"/>
      <c r="X3102" s="10"/>
      <c r="Y3102" s="10"/>
    </row>
    <row r="3103" spans="1:25" x14ac:dyDescent="0.25">
      <c r="A3103" s="9">
        <v>43641</v>
      </c>
      <c r="B3103" s="10">
        <f ca="1">ROUND(_xlfn.NORM.INV(RAND(),Reference!$C$8,0.1*Reference!$C$8)*(1+Reference!$C$11*(IF(MONTH($A3103)=Reference!$C$4,1,0)+IF(MONTH($A3103)=Reference!$C$5,1,0))+(IF(MONTH($A3103)=Reference!$C$6,Reference!$C$13,0))),0)</f>
        <v>420</v>
      </c>
      <c r="C3103" s="11">
        <f ca="1">B3103*Reference!$C$7*(1-IF(MONTH($A3103)=Reference!$C$6,1,0)*Reference!$C$12)</f>
        <v>156240</v>
      </c>
      <c r="D3103" s="10">
        <f ca="1">ROUND(_xlfn.NORM.INV(RAND(),Reference!$D$8,0.1*Reference!$D$8)*(1+Reference!$D$11*(IF(MONTH($A3103)=Reference!$D$4,1,0)+IF(MONTH($A3103)=Reference!$D$5,1,0))+(IF(MONTH($A3103)=Reference!$D$6,Reference!$D$13,0))),0)</f>
        <v>358</v>
      </c>
      <c r="E3103" s="11">
        <f ca="1">D3103*Reference!$D$7*(1-IF(MONTH($A3103)=Reference!$D$6,1,0)*Reference!$D$12)</f>
        <v>268500</v>
      </c>
      <c r="M3103" s="20"/>
      <c r="N3103" s="20"/>
      <c r="O3103" s="19"/>
      <c r="P3103" s="10"/>
      <c r="Q3103" s="10"/>
      <c r="R3103" s="10"/>
      <c r="S3103" s="10"/>
      <c r="T3103" s="10"/>
      <c r="U3103" s="10"/>
      <c r="V3103" s="10"/>
      <c r="W3103" s="10"/>
      <c r="X3103" s="10"/>
      <c r="Y3103" s="10"/>
    </row>
    <row r="3104" spans="1:25" x14ac:dyDescent="0.25">
      <c r="A3104" s="9">
        <v>43642</v>
      </c>
      <c r="B3104" s="10">
        <f ca="1">ROUND(_xlfn.NORM.INV(RAND(),Reference!$C$8,0.1*Reference!$C$8)*(1+Reference!$C$11*(IF(MONTH($A3104)=Reference!$C$4,1,0)+IF(MONTH($A3104)=Reference!$C$5,1,0))+(IF(MONTH($A3104)=Reference!$C$6,Reference!$C$13,0))),0)</f>
        <v>403</v>
      </c>
      <c r="C3104" s="11">
        <f ca="1">B3104*Reference!$C$7*(1-IF(MONTH($A3104)=Reference!$C$6,1,0)*Reference!$C$12)</f>
        <v>149916</v>
      </c>
      <c r="D3104" s="10">
        <f ca="1">ROUND(_xlfn.NORM.INV(RAND(),Reference!$D$8,0.1*Reference!$D$8)*(1+Reference!$D$11*(IF(MONTH($A3104)=Reference!$D$4,1,0)+IF(MONTH($A3104)=Reference!$D$5,1,0))+(IF(MONTH($A3104)=Reference!$D$6,Reference!$D$13,0))),0)</f>
        <v>520</v>
      </c>
      <c r="E3104" s="11">
        <f ca="1">D3104*Reference!$D$7*(1-IF(MONTH($A3104)=Reference!$D$6,1,0)*Reference!$D$12)</f>
        <v>390000</v>
      </c>
      <c r="M3104" s="20"/>
      <c r="N3104" s="20"/>
      <c r="O3104" s="19"/>
      <c r="P3104" s="10"/>
      <c r="Q3104" s="10"/>
      <c r="R3104" s="10"/>
      <c r="S3104" s="10"/>
      <c r="T3104" s="10"/>
      <c r="U3104" s="10"/>
      <c r="V3104" s="10"/>
      <c r="W3104" s="10"/>
      <c r="X3104" s="10"/>
      <c r="Y3104" s="10"/>
    </row>
    <row r="3105" spans="1:25" x14ac:dyDescent="0.25">
      <c r="A3105" s="9">
        <v>43643</v>
      </c>
      <c r="B3105" s="10">
        <f ca="1">ROUND(_xlfn.NORM.INV(RAND(),Reference!$C$8,0.1*Reference!$C$8)*(1+Reference!$C$11*(IF(MONTH($A3105)=Reference!$C$4,1,0)+IF(MONTH($A3105)=Reference!$C$5,1,0))+(IF(MONTH($A3105)=Reference!$C$6,Reference!$C$13,0))),0)</f>
        <v>451</v>
      </c>
      <c r="C3105" s="11">
        <f ca="1">B3105*Reference!$C$7*(1-IF(MONTH($A3105)=Reference!$C$6,1,0)*Reference!$C$12)</f>
        <v>167772</v>
      </c>
      <c r="D3105" s="10">
        <f ca="1">ROUND(_xlfn.NORM.INV(RAND(),Reference!$D$8,0.1*Reference!$D$8)*(1+Reference!$D$11*(IF(MONTH($A3105)=Reference!$D$4,1,0)+IF(MONTH($A3105)=Reference!$D$5,1,0))+(IF(MONTH($A3105)=Reference!$D$6,Reference!$D$13,0))),0)</f>
        <v>423</v>
      </c>
      <c r="E3105" s="11">
        <f ca="1">D3105*Reference!$D$7*(1-IF(MONTH($A3105)=Reference!$D$6,1,0)*Reference!$D$12)</f>
        <v>317250</v>
      </c>
      <c r="M3105" s="20"/>
      <c r="N3105" s="20"/>
      <c r="O3105" s="19"/>
      <c r="P3105" s="10"/>
      <c r="Q3105" s="10"/>
      <c r="R3105" s="10"/>
      <c r="S3105" s="10"/>
      <c r="T3105" s="10"/>
      <c r="U3105" s="10"/>
      <c r="V3105" s="10"/>
      <c r="W3105" s="10"/>
      <c r="X3105" s="10"/>
      <c r="Y3105" s="10"/>
    </row>
    <row r="3106" spans="1:25" x14ac:dyDescent="0.25">
      <c r="A3106" s="9">
        <v>43644</v>
      </c>
      <c r="B3106" s="10">
        <f ca="1">ROUND(_xlfn.NORM.INV(RAND(),Reference!$C$8,0.1*Reference!$C$8)*(1+Reference!$C$11*(IF(MONTH($A3106)=Reference!$C$4,1,0)+IF(MONTH($A3106)=Reference!$C$5,1,0))+(IF(MONTH($A3106)=Reference!$C$6,Reference!$C$13,0))),0)</f>
        <v>448</v>
      </c>
      <c r="C3106" s="11">
        <f ca="1">B3106*Reference!$C$7*(1-IF(MONTH($A3106)=Reference!$C$6,1,0)*Reference!$C$12)</f>
        <v>166656</v>
      </c>
      <c r="D3106" s="10">
        <f ca="1">ROUND(_xlfn.NORM.INV(RAND(),Reference!$D$8,0.1*Reference!$D$8)*(1+Reference!$D$11*(IF(MONTH($A3106)=Reference!$D$4,1,0)+IF(MONTH($A3106)=Reference!$D$5,1,0))+(IF(MONTH($A3106)=Reference!$D$6,Reference!$D$13,0))),0)</f>
        <v>373</v>
      </c>
      <c r="E3106" s="11">
        <f ca="1">D3106*Reference!$D$7*(1-IF(MONTH($A3106)=Reference!$D$6,1,0)*Reference!$D$12)</f>
        <v>279750</v>
      </c>
      <c r="M3106" s="20"/>
      <c r="N3106" s="20"/>
      <c r="O3106" s="19"/>
      <c r="P3106" s="10"/>
      <c r="Q3106" s="10"/>
      <c r="R3106" s="10"/>
      <c r="S3106" s="10"/>
      <c r="T3106" s="10"/>
      <c r="U3106" s="10"/>
      <c r="V3106" s="10"/>
      <c r="W3106" s="10"/>
      <c r="X3106" s="10"/>
      <c r="Y3106" s="10"/>
    </row>
    <row r="3107" spans="1:25" x14ac:dyDescent="0.25">
      <c r="A3107" s="9">
        <v>43645</v>
      </c>
      <c r="B3107" s="10">
        <f ca="1">ROUND(_xlfn.NORM.INV(RAND(),Reference!$C$8,0.1*Reference!$C$8)*(1+Reference!$C$11*(IF(MONTH($A3107)=Reference!$C$4,1,0)+IF(MONTH($A3107)=Reference!$C$5,1,0))+(IF(MONTH($A3107)=Reference!$C$6,Reference!$C$13,0))),0)</f>
        <v>494</v>
      </c>
      <c r="C3107" s="11">
        <f ca="1">B3107*Reference!$C$7*(1-IF(MONTH($A3107)=Reference!$C$6,1,0)*Reference!$C$12)</f>
        <v>183768</v>
      </c>
      <c r="D3107" s="10">
        <f ca="1">ROUND(_xlfn.NORM.INV(RAND(),Reference!$D$8,0.1*Reference!$D$8)*(1+Reference!$D$11*(IF(MONTH($A3107)=Reference!$D$4,1,0)+IF(MONTH($A3107)=Reference!$D$5,1,0))+(IF(MONTH($A3107)=Reference!$D$6,Reference!$D$13,0))),0)</f>
        <v>399</v>
      </c>
      <c r="E3107" s="11">
        <f ca="1">D3107*Reference!$D$7*(1-IF(MONTH($A3107)=Reference!$D$6,1,0)*Reference!$D$12)</f>
        <v>299250</v>
      </c>
      <c r="M3107" s="20"/>
      <c r="N3107" s="20"/>
      <c r="O3107" s="19"/>
      <c r="P3107" s="10"/>
      <c r="Q3107" s="10"/>
      <c r="R3107" s="10"/>
      <c r="S3107" s="10"/>
      <c r="T3107" s="10"/>
      <c r="U3107" s="10"/>
      <c r="V3107" s="10"/>
      <c r="W3107" s="10"/>
      <c r="X3107" s="10"/>
      <c r="Y3107" s="10"/>
    </row>
    <row r="3108" spans="1:25" x14ac:dyDescent="0.25">
      <c r="A3108" s="9">
        <v>43646</v>
      </c>
      <c r="B3108" s="10">
        <f ca="1">ROUND(_xlfn.NORM.INV(RAND(),Reference!$C$8,0.1*Reference!$C$8)*(1+Reference!$C$11*(IF(MONTH($A3108)=Reference!$C$4,1,0)+IF(MONTH($A3108)=Reference!$C$5,1,0))+(IF(MONTH($A3108)=Reference!$C$6,Reference!$C$13,0))),0)</f>
        <v>502</v>
      </c>
      <c r="C3108" s="11">
        <f ca="1">B3108*Reference!$C$7*(1-IF(MONTH($A3108)=Reference!$C$6,1,0)*Reference!$C$12)</f>
        <v>186744</v>
      </c>
      <c r="D3108" s="10">
        <f ca="1">ROUND(_xlfn.NORM.INV(RAND(),Reference!$D$8,0.1*Reference!$D$8)*(1+Reference!$D$11*(IF(MONTH($A3108)=Reference!$D$4,1,0)+IF(MONTH($A3108)=Reference!$D$5,1,0))+(IF(MONTH($A3108)=Reference!$D$6,Reference!$D$13,0))),0)</f>
        <v>490</v>
      </c>
      <c r="E3108" s="11">
        <f ca="1">D3108*Reference!$D$7*(1-IF(MONTH($A3108)=Reference!$D$6,1,0)*Reference!$D$12)</f>
        <v>367500</v>
      </c>
      <c r="M3108" s="20"/>
      <c r="N3108" s="20"/>
      <c r="O3108" s="19"/>
      <c r="P3108" s="10"/>
      <c r="Q3108" s="10"/>
      <c r="R3108" s="10"/>
      <c r="S3108" s="10"/>
      <c r="T3108" s="10"/>
      <c r="U3108" s="10"/>
      <c r="V3108" s="10"/>
      <c r="W3108" s="10"/>
      <c r="X3108" s="10"/>
      <c r="Y3108" s="10"/>
    </row>
    <row r="3109" spans="1:25" x14ac:dyDescent="0.25">
      <c r="A3109" s="9">
        <v>43647</v>
      </c>
      <c r="B3109" s="10">
        <f ca="1">ROUND(_xlfn.NORM.INV(RAND(),Reference!$C$8,0.1*Reference!$C$8)*(1+Reference!$C$11*(IF(MONTH($A3109)=Reference!$C$4,1,0)+IF(MONTH($A3109)=Reference!$C$5,1,0))+(IF(MONTH($A3109)=Reference!$C$6,Reference!$C$13,0))),0)</f>
        <v>386</v>
      </c>
      <c r="C3109" s="11">
        <f ca="1">B3109*Reference!$C$7*(1-IF(MONTH($A3109)=Reference!$C$6,1,0)*Reference!$C$12)</f>
        <v>358980</v>
      </c>
      <c r="D3109" s="10">
        <f ca="1">ROUND(_xlfn.NORM.INV(RAND(),Reference!$D$8,0.1*Reference!$D$8)*(1+Reference!$D$11*(IF(MONTH($A3109)=Reference!$D$4,1,0)+IF(MONTH($A3109)=Reference!$D$5,1,0))+(IF(MONTH($A3109)=Reference!$D$6,Reference!$D$13,0))),0)</f>
        <v>523</v>
      </c>
      <c r="E3109" s="11">
        <f ca="1">D3109*Reference!$D$7*(1-IF(MONTH($A3109)=Reference!$D$6,1,0)*Reference!$D$12)</f>
        <v>392250</v>
      </c>
      <c r="M3109" s="20"/>
      <c r="N3109" s="20"/>
      <c r="O3109" s="19"/>
      <c r="P3109" s="10"/>
      <c r="Q3109" s="10"/>
      <c r="R3109" s="10"/>
      <c r="S3109" s="10"/>
      <c r="T3109" s="10"/>
      <c r="U3109" s="10"/>
      <c r="V3109" s="10"/>
      <c r="W3109" s="10"/>
      <c r="X3109" s="10"/>
      <c r="Y3109" s="10"/>
    </row>
    <row r="3110" spans="1:25" x14ac:dyDescent="0.25">
      <c r="A3110" s="9">
        <v>43648</v>
      </c>
      <c r="B3110" s="10">
        <f ca="1">ROUND(_xlfn.NORM.INV(RAND(),Reference!$C$8,0.1*Reference!$C$8)*(1+Reference!$C$11*(IF(MONTH($A3110)=Reference!$C$4,1,0)+IF(MONTH($A3110)=Reference!$C$5,1,0))+(IF(MONTH($A3110)=Reference!$C$6,Reference!$C$13,0))),0)</f>
        <v>354</v>
      </c>
      <c r="C3110" s="11">
        <f ca="1">B3110*Reference!$C$7*(1-IF(MONTH($A3110)=Reference!$C$6,1,0)*Reference!$C$12)</f>
        <v>329220</v>
      </c>
      <c r="D3110" s="10">
        <f ca="1">ROUND(_xlfn.NORM.INV(RAND(),Reference!$D$8,0.1*Reference!$D$8)*(1+Reference!$D$11*(IF(MONTH($A3110)=Reference!$D$4,1,0)+IF(MONTH($A3110)=Reference!$D$5,1,0))+(IF(MONTH($A3110)=Reference!$D$6,Reference!$D$13,0))),0)</f>
        <v>527</v>
      </c>
      <c r="E3110" s="11">
        <f ca="1">D3110*Reference!$D$7*(1-IF(MONTH($A3110)=Reference!$D$6,1,0)*Reference!$D$12)</f>
        <v>395250</v>
      </c>
      <c r="M3110" s="20"/>
      <c r="N3110" s="20"/>
      <c r="O3110" s="19"/>
      <c r="P3110" s="10"/>
      <c r="Q3110" s="10"/>
      <c r="R3110" s="10"/>
      <c r="S3110" s="10"/>
      <c r="T3110" s="10"/>
      <c r="U3110" s="10"/>
      <c r="V3110" s="10"/>
      <c r="W3110" s="10"/>
      <c r="X3110" s="10"/>
      <c r="Y3110" s="10"/>
    </row>
    <row r="3111" spans="1:25" x14ac:dyDescent="0.25">
      <c r="A3111" s="9">
        <v>43649</v>
      </c>
      <c r="B3111" s="10">
        <f ca="1">ROUND(_xlfn.NORM.INV(RAND(),Reference!$C$8,0.1*Reference!$C$8)*(1+Reference!$C$11*(IF(MONTH($A3111)=Reference!$C$4,1,0)+IF(MONTH($A3111)=Reference!$C$5,1,0))+(IF(MONTH($A3111)=Reference!$C$6,Reference!$C$13,0))),0)</f>
        <v>425</v>
      </c>
      <c r="C3111" s="11">
        <f ca="1">B3111*Reference!$C$7*(1-IF(MONTH($A3111)=Reference!$C$6,1,0)*Reference!$C$12)</f>
        <v>395250</v>
      </c>
      <c r="D3111" s="10">
        <f ca="1">ROUND(_xlfn.NORM.INV(RAND(),Reference!$D$8,0.1*Reference!$D$8)*(1+Reference!$D$11*(IF(MONTH($A3111)=Reference!$D$4,1,0)+IF(MONTH($A3111)=Reference!$D$5,1,0))+(IF(MONTH($A3111)=Reference!$D$6,Reference!$D$13,0))),0)</f>
        <v>454</v>
      </c>
      <c r="E3111" s="11">
        <f ca="1">D3111*Reference!$D$7*(1-IF(MONTH($A3111)=Reference!$D$6,1,0)*Reference!$D$12)</f>
        <v>340500</v>
      </c>
      <c r="M3111" s="20"/>
      <c r="N3111" s="20"/>
      <c r="O3111" s="19"/>
      <c r="P3111" s="10"/>
      <c r="Q3111" s="10"/>
      <c r="R3111" s="10"/>
      <c r="S3111" s="10"/>
      <c r="T3111" s="10"/>
      <c r="U3111" s="10"/>
      <c r="V3111" s="10"/>
      <c r="W3111" s="10"/>
      <c r="X3111" s="10"/>
      <c r="Y3111" s="10"/>
    </row>
    <row r="3112" spans="1:25" x14ac:dyDescent="0.25">
      <c r="A3112" s="9">
        <v>43650</v>
      </c>
      <c r="B3112" s="10">
        <f ca="1">ROUND(_xlfn.NORM.INV(RAND(),Reference!$C$8,0.1*Reference!$C$8)*(1+Reference!$C$11*(IF(MONTH($A3112)=Reference!$C$4,1,0)+IF(MONTH($A3112)=Reference!$C$5,1,0))+(IF(MONTH($A3112)=Reference!$C$6,Reference!$C$13,0))),0)</f>
        <v>322</v>
      </c>
      <c r="C3112" s="11">
        <f ca="1">B3112*Reference!$C$7*(1-IF(MONTH($A3112)=Reference!$C$6,1,0)*Reference!$C$12)</f>
        <v>299460</v>
      </c>
      <c r="D3112" s="10">
        <f ca="1">ROUND(_xlfn.NORM.INV(RAND(),Reference!$D$8,0.1*Reference!$D$8)*(1+Reference!$D$11*(IF(MONTH($A3112)=Reference!$D$4,1,0)+IF(MONTH($A3112)=Reference!$D$5,1,0))+(IF(MONTH($A3112)=Reference!$D$6,Reference!$D$13,0))),0)</f>
        <v>592</v>
      </c>
      <c r="E3112" s="11">
        <f ca="1">D3112*Reference!$D$7*(1-IF(MONTH($A3112)=Reference!$D$6,1,0)*Reference!$D$12)</f>
        <v>444000</v>
      </c>
      <c r="M3112" s="20"/>
      <c r="N3112" s="20"/>
      <c r="O3112" s="19"/>
      <c r="P3112" s="10"/>
      <c r="Q3112" s="10"/>
      <c r="R3112" s="10"/>
      <c r="S3112" s="10"/>
      <c r="T3112" s="10"/>
      <c r="U3112" s="10"/>
      <c r="V3112" s="10"/>
      <c r="W3112" s="10"/>
      <c r="X3112" s="10"/>
      <c r="Y3112" s="10"/>
    </row>
    <row r="3113" spans="1:25" x14ac:dyDescent="0.25">
      <c r="A3113" s="9">
        <v>43651</v>
      </c>
      <c r="B3113" s="10">
        <f ca="1">ROUND(_xlfn.NORM.INV(RAND(),Reference!$C$8,0.1*Reference!$C$8)*(1+Reference!$C$11*(IF(MONTH($A3113)=Reference!$C$4,1,0)+IF(MONTH($A3113)=Reference!$C$5,1,0))+(IF(MONTH($A3113)=Reference!$C$6,Reference!$C$13,0))),0)</f>
        <v>334</v>
      </c>
      <c r="C3113" s="11">
        <f ca="1">B3113*Reference!$C$7*(1-IF(MONTH($A3113)=Reference!$C$6,1,0)*Reference!$C$12)</f>
        <v>310620</v>
      </c>
      <c r="D3113" s="10">
        <f ca="1">ROUND(_xlfn.NORM.INV(RAND(),Reference!$D$8,0.1*Reference!$D$8)*(1+Reference!$D$11*(IF(MONTH($A3113)=Reference!$D$4,1,0)+IF(MONTH($A3113)=Reference!$D$5,1,0))+(IF(MONTH($A3113)=Reference!$D$6,Reference!$D$13,0))),0)</f>
        <v>445</v>
      </c>
      <c r="E3113" s="11">
        <f ca="1">D3113*Reference!$D$7*(1-IF(MONTH($A3113)=Reference!$D$6,1,0)*Reference!$D$12)</f>
        <v>333750</v>
      </c>
      <c r="M3113" s="20"/>
      <c r="N3113" s="20"/>
      <c r="O3113" s="19"/>
      <c r="P3113" s="10"/>
      <c r="Q3113" s="10"/>
      <c r="R3113" s="10"/>
      <c r="S3113" s="10"/>
      <c r="T3113" s="10"/>
      <c r="U3113" s="10"/>
      <c r="V3113" s="10"/>
      <c r="W3113" s="10"/>
      <c r="X3113" s="10"/>
      <c r="Y3113" s="10"/>
    </row>
    <row r="3114" spans="1:25" x14ac:dyDescent="0.25">
      <c r="A3114" s="9">
        <v>43652</v>
      </c>
      <c r="B3114" s="10">
        <f ca="1">ROUND(_xlfn.NORM.INV(RAND(),Reference!$C$8,0.1*Reference!$C$8)*(1+Reference!$C$11*(IF(MONTH($A3114)=Reference!$C$4,1,0)+IF(MONTH($A3114)=Reference!$C$5,1,0))+(IF(MONTH($A3114)=Reference!$C$6,Reference!$C$13,0))),0)</f>
        <v>320</v>
      </c>
      <c r="C3114" s="11">
        <f ca="1">B3114*Reference!$C$7*(1-IF(MONTH($A3114)=Reference!$C$6,1,0)*Reference!$C$12)</f>
        <v>297600</v>
      </c>
      <c r="D3114" s="10">
        <f ca="1">ROUND(_xlfn.NORM.INV(RAND(),Reference!$D$8,0.1*Reference!$D$8)*(1+Reference!$D$11*(IF(MONTH($A3114)=Reference!$D$4,1,0)+IF(MONTH($A3114)=Reference!$D$5,1,0))+(IF(MONTH($A3114)=Reference!$D$6,Reference!$D$13,0))),0)</f>
        <v>397</v>
      </c>
      <c r="E3114" s="11">
        <f ca="1">D3114*Reference!$D$7*(1-IF(MONTH($A3114)=Reference!$D$6,1,0)*Reference!$D$12)</f>
        <v>297750</v>
      </c>
      <c r="M3114" s="20"/>
      <c r="N3114" s="20"/>
      <c r="O3114" s="19"/>
      <c r="P3114" s="10"/>
      <c r="Q3114" s="10"/>
      <c r="R3114" s="10"/>
      <c r="S3114" s="10"/>
      <c r="T3114" s="10"/>
      <c r="U3114" s="10"/>
      <c r="V3114" s="10"/>
      <c r="W3114" s="10"/>
      <c r="X3114" s="10"/>
      <c r="Y3114" s="10"/>
    </row>
    <row r="3115" spans="1:25" x14ac:dyDescent="0.25">
      <c r="A3115" s="9">
        <v>43653</v>
      </c>
      <c r="B3115" s="10">
        <f ca="1">ROUND(_xlfn.NORM.INV(RAND(),Reference!$C$8,0.1*Reference!$C$8)*(1+Reference!$C$11*(IF(MONTH($A3115)=Reference!$C$4,1,0)+IF(MONTH($A3115)=Reference!$C$5,1,0))+(IF(MONTH($A3115)=Reference!$C$6,Reference!$C$13,0))),0)</f>
        <v>389</v>
      </c>
      <c r="C3115" s="11">
        <f ca="1">B3115*Reference!$C$7*(1-IF(MONTH($A3115)=Reference!$C$6,1,0)*Reference!$C$12)</f>
        <v>361770</v>
      </c>
      <c r="D3115" s="10">
        <f ca="1">ROUND(_xlfn.NORM.INV(RAND(),Reference!$D$8,0.1*Reference!$D$8)*(1+Reference!$D$11*(IF(MONTH($A3115)=Reference!$D$4,1,0)+IF(MONTH($A3115)=Reference!$D$5,1,0))+(IF(MONTH($A3115)=Reference!$D$6,Reference!$D$13,0))),0)</f>
        <v>500</v>
      </c>
      <c r="E3115" s="11">
        <f ca="1">D3115*Reference!$D$7*(1-IF(MONTH($A3115)=Reference!$D$6,1,0)*Reference!$D$12)</f>
        <v>375000</v>
      </c>
      <c r="M3115" s="20"/>
      <c r="N3115" s="20"/>
      <c r="O3115" s="19"/>
      <c r="P3115" s="10"/>
      <c r="Q3115" s="10"/>
      <c r="R3115" s="10"/>
      <c r="S3115" s="10"/>
      <c r="T3115" s="10"/>
      <c r="U3115" s="10"/>
      <c r="V3115" s="10"/>
      <c r="W3115" s="10"/>
      <c r="X3115" s="10"/>
      <c r="Y3115" s="10"/>
    </row>
    <row r="3116" spans="1:25" x14ac:dyDescent="0.25">
      <c r="A3116" s="9">
        <v>43654</v>
      </c>
      <c r="B3116" s="10">
        <f ca="1">ROUND(_xlfn.NORM.INV(RAND(),Reference!$C$8,0.1*Reference!$C$8)*(1+Reference!$C$11*(IF(MONTH($A3116)=Reference!$C$4,1,0)+IF(MONTH($A3116)=Reference!$C$5,1,0))+(IF(MONTH($A3116)=Reference!$C$6,Reference!$C$13,0))),0)</f>
        <v>393</v>
      </c>
      <c r="C3116" s="11">
        <f ca="1">B3116*Reference!$C$7*(1-IF(MONTH($A3116)=Reference!$C$6,1,0)*Reference!$C$12)</f>
        <v>365490</v>
      </c>
      <c r="D3116" s="10">
        <f ca="1">ROUND(_xlfn.NORM.INV(RAND(),Reference!$D$8,0.1*Reference!$D$8)*(1+Reference!$D$11*(IF(MONTH($A3116)=Reference!$D$4,1,0)+IF(MONTH($A3116)=Reference!$D$5,1,0))+(IF(MONTH($A3116)=Reference!$D$6,Reference!$D$13,0))),0)</f>
        <v>521</v>
      </c>
      <c r="E3116" s="11">
        <f ca="1">D3116*Reference!$D$7*(1-IF(MONTH($A3116)=Reference!$D$6,1,0)*Reference!$D$12)</f>
        <v>390750</v>
      </c>
      <c r="M3116" s="20"/>
      <c r="N3116" s="20"/>
      <c r="O3116" s="19"/>
      <c r="P3116" s="10"/>
      <c r="Q3116" s="10"/>
      <c r="R3116" s="10"/>
      <c r="S3116" s="10"/>
      <c r="T3116" s="10"/>
      <c r="U3116" s="10"/>
      <c r="V3116" s="10"/>
      <c r="W3116" s="10"/>
      <c r="X3116" s="10"/>
      <c r="Y3116" s="10"/>
    </row>
    <row r="3117" spans="1:25" x14ac:dyDescent="0.25">
      <c r="A3117" s="9">
        <v>43655</v>
      </c>
      <c r="B3117" s="10">
        <f ca="1">ROUND(_xlfn.NORM.INV(RAND(),Reference!$C$8,0.1*Reference!$C$8)*(1+Reference!$C$11*(IF(MONTH($A3117)=Reference!$C$4,1,0)+IF(MONTH($A3117)=Reference!$C$5,1,0))+(IF(MONTH($A3117)=Reference!$C$6,Reference!$C$13,0))),0)</f>
        <v>341</v>
      </c>
      <c r="C3117" s="11">
        <f ca="1">B3117*Reference!$C$7*(1-IF(MONTH($A3117)=Reference!$C$6,1,0)*Reference!$C$12)</f>
        <v>317130</v>
      </c>
      <c r="D3117" s="10">
        <f ca="1">ROUND(_xlfn.NORM.INV(RAND(),Reference!$D$8,0.1*Reference!$D$8)*(1+Reference!$D$11*(IF(MONTH($A3117)=Reference!$D$4,1,0)+IF(MONTH($A3117)=Reference!$D$5,1,0))+(IF(MONTH($A3117)=Reference!$D$6,Reference!$D$13,0))),0)</f>
        <v>511</v>
      </c>
      <c r="E3117" s="11">
        <f ca="1">D3117*Reference!$D$7*(1-IF(MONTH($A3117)=Reference!$D$6,1,0)*Reference!$D$12)</f>
        <v>383250</v>
      </c>
      <c r="M3117" s="20"/>
      <c r="N3117" s="20"/>
      <c r="O3117" s="19"/>
      <c r="P3117" s="10"/>
      <c r="Q3117" s="10"/>
      <c r="R3117" s="10"/>
      <c r="S3117" s="10"/>
      <c r="T3117" s="10"/>
      <c r="U3117" s="10"/>
      <c r="V3117" s="10"/>
      <c r="W3117" s="10"/>
      <c r="X3117" s="10"/>
      <c r="Y3117" s="10"/>
    </row>
    <row r="3118" spans="1:25" x14ac:dyDescent="0.25">
      <c r="A3118" s="9">
        <v>43656</v>
      </c>
      <c r="B3118" s="10">
        <f ca="1">ROUND(_xlfn.NORM.INV(RAND(),Reference!$C$8,0.1*Reference!$C$8)*(1+Reference!$C$11*(IF(MONTH($A3118)=Reference!$C$4,1,0)+IF(MONTH($A3118)=Reference!$C$5,1,0))+(IF(MONTH($A3118)=Reference!$C$6,Reference!$C$13,0))),0)</f>
        <v>383</v>
      </c>
      <c r="C3118" s="11">
        <f ca="1">B3118*Reference!$C$7*(1-IF(MONTH($A3118)=Reference!$C$6,1,0)*Reference!$C$12)</f>
        <v>356190</v>
      </c>
      <c r="D3118" s="10">
        <f ca="1">ROUND(_xlfn.NORM.INV(RAND(),Reference!$D$8,0.1*Reference!$D$8)*(1+Reference!$D$11*(IF(MONTH($A3118)=Reference!$D$4,1,0)+IF(MONTH($A3118)=Reference!$D$5,1,0))+(IF(MONTH($A3118)=Reference!$D$6,Reference!$D$13,0))),0)</f>
        <v>518</v>
      </c>
      <c r="E3118" s="11">
        <f ca="1">D3118*Reference!$D$7*(1-IF(MONTH($A3118)=Reference!$D$6,1,0)*Reference!$D$12)</f>
        <v>388500</v>
      </c>
      <c r="M3118" s="20"/>
      <c r="N3118" s="20"/>
      <c r="O3118" s="19"/>
      <c r="P3118" s="10"/>
      <c r="Q3118" s="10"/>
      <c r="R3118" s="10"/>
      <c r="S3118" s="10"/>
      <c r="T3118" s="10"/>
      <c r="U3118" s="10"/>
      <c r="V3118" s="10"/>
      <c r="W3118" s="10"/>
      <c r="X3118" s="10"/>
      <c r="Y3118" s="10"/>
    </row>
    <row r="3119" spans="1:25" x14ac:dyDescent="0.25">
      <c r="A3119" s="9">
        <v>43657</v>
      </c>
      <c r="B3119" s="10">
        <f ca="1">ROUND(_xlfn.NORM.INV(RAND(),Reference!$C$8,0.1*Reference!$C$8)*(1+Reference!$C$11*(IF(MONTH($A3119)=Reference!$C$4,1,0)+IF(MONTH($A3119)=Reference!$C$5,1,0))+(IF(MONTH($A3119)=Reference!$C$6,Reference!$C$13,0))),0)</f>
        <v>426</v>
      </c>
      <c r="C3119" s="11">
        <f ca="1">B3119*Reference!$C$7*(1-IF(MONTH($A3119)=Reference!$C$6,1,0)*Reference!$C$12)</f>
        <v>396180</v>
      </c>
      <c r="D3119" s="10">
        <f ca="1">ROUND(_xlfn.NORM.INV(RAND(),Reference!$D$8,0.1*Reference!$D$8)*(1+Reference!$D$11*(IF(MONTH($A3119)=Reference!$D$4,1,0)+IF(MONTH($A3119)=Reference!$D$5,1,0))+(IF(MONTH($A3119)=Reference!$D$6,Reference!$D$13,0))),0)</f>
        <v>511</v>
      </c>
      <c r="E3119" s="11">
        <f ca="1">D3119*Reference!$D$7*(1-IF(MONTH($A3119)=Reference!$D$6,1,0)*Reference!$D$12)</f>
        <v>383250</v>
      </c>
      <c r="M3119" s="20"/>
      <c r="N3119" s="20"/>
      <c r="O3119" s="19"/>
      <c r="P3119" s="10"/>
      <c r="Q3119" s="10"/>
      <c r="R3119" s="10"/>
      <c r="S3119" s="10"/>
      <c r="T3119" s="10"/>
      <c r="U3119" s="10"/>
      <c r="V3119" s="10"/>
      <c r="W3119" s="10"/>
      <c r="X3119" s="10"/>
      <c r="Y3119" s="10"/>
    </row>
    <row r="3120" spans="1:25" x14ac:dyDescent="0.25">
      <c r="A3120" s="9">
        <v>43658</v>
      </c>
      <c r="B3120" s="10">
        <f ca="1">ROUND(_xlfn.NORM.INV(RAND(),Reference!$C$8,0.1*Reference!$C$8)*(1+Reference!$C$11*(IF(MONTH($A3120)=Reference!$C$4,1,0)+IF(MONTH($A3120)=Reference!$C$5,1,0))+(IF(MONTH($A3120)=Reference!$C$6,Reference!$C$13,0))),0)</f>
        <v>366</v>
      </c>
      <c r="C3120" s="11">
        <f ca="1">B3120*Reference!$C$7*(1-IF(MONTH($A3120)=Reference!$C$6,1,0)*Reference!$C$12)</f>
        <v>340380</v>
      </c>
      <c r="D3120" s="10">
        <f ca="1">ROUND(_xlfn.NORM.INV(RAND(),Reference!$D$8,0.1*Reference!$D$8)*(1+Reference!$D$11*(IF(MONTH($A3120)=Reference!$D$4,1,0)+IF(MONTH($A3120)=Reference!$D$5,1,0))+(IF(MONTH($A3120)=Reference!$D$6,Reference!$D$13,0))),0)</f>
        <v>426</v>
      </c>
      <c r="E3120" s="11">
        <f ca="1">D3120*Reference!$D$7*(1-IF(MONTH($A3120)=Reference!$D$6,1,0)*Reference!$D$12)</f>
        <v>319500</v>
      </c>
      <c r="M3120" s="20"/>
      <c r="N3120" s="20"/>
      <c r="O3120" s="19"/>
      <c r="P3120" s="10"/>
      <c r="Q3120" s="10"/>
      <c r="R3120" s="10"/>
      <c r="S3120" s="10"/>
      <c r="T3120" s="10"/>
      <c r="U3120" s="10"/>
      <c r="V3120" s="10"/>
      <c r="W3120" s="10"/>
      <c r="X3120" s="10"/>
      <c r="Y3120" s="10"/>
    </row>
    <row r="3121" spans="1:25" x14ac:dyDescent="0.25">
      <c r="A3121" s="9">
        <v>43659</v>
      </c>
      <c r="B3121" s="10">
        <f ca="1">ROUND(_xlfn.NORM.INV(RAND(),Reference!$C$8,0.1*Reference!$C$8)*(1+Reference!$C$11*(IF(MONTH($A3121)=Reference!$C$4,1,0)+IF(MONTH($A3121)=Reference!$C$5,1,0))+(IF(MONTH($A3121)=Reference!$C$6,Reference!$C$13,0))),0)</f>
        <v>343</v>
      </c>
      <c r="C3121" s="11">
        <f ca="1">B3121*Reference!$C$7*(1-IF(MONTH($A3121)=Reference!$C$6,1,0)*Reference!$C$12)</f>
        <v>318990</v>
      </c>
      <c r="D3121" s="10">
        <f ca="1">ROUND(_xlfn.NORM.INV(RAND(),Reference!$D$8,0.1*Reference!$D$8)*(1+Reference!$D$11*(IF(MONTH($A3121)=Reference!$D$4,1,0)+IF(MONTH($A3121)=Reference!$D$5,1,0))+(IF(MONTH($A3121)=Reference!$D$6,Reference!$D$13,0))),0)</f>
        <v>521</v>
      </c>
      <c r="E3121" s="11">
        <f ca="1">D3121*Reference!$D$7*(1-IF(MONTH($A3121)=Reference!$D$6,1,0)*Reference!$D$12)</f>
        <v>390750</v>
      </c>
      <c r="M3121" s="20"/>
      <c r="N3121" s="20"/>
      <c r="O3121" s="19"/>
      <c r="P3121" s="10"/>
      <c r="Q3121" s="10"/>
      <c r="R3121" s="10"/>
      <c r="S3121" s="10"/>
      <c r="T3121" s="10"/>
      <c r="U3121" s="10"/>
      <c r="V3121" s="10"/>
      <c r="W3121" s="10"/>
      <c r="X3121" s="10"/>
      <c r="Y3121" s="10"/>
    </row>
    <row r="3122" spans="1:25" x14ac:dyDescent="0.25">
      <c r="A3122" s="9">
        <v>43660</v>
      </c>
      <c r="B3122" s="10">
        <f ca="1">ROUND(_xlfn.NORM.INV(RAND(),Reference!$C$8,0.1*Reference!$C$8)*(1+Reference!$C$11*(IF(MONTH($A3122)=Reference!$C$4,1,0)+IF(MONTH($A3122)=Reference!$C$5,1,0))+(IF(MONTH($A3122)=Reference!$C$6,Reference!$C$13,0))),0)</f>
        <v>346</v>
      </c>
      <c r="C3122" s="11">
        <f ca="1">B3122*Reference!$C$7*(1-IF(MONTH($A3122)=Reference!$C$6,1,0)*Reference!$C$12)</f>
        <v>321780</v>
      </c>
      <c r="D3122" s="10">
        <f ca="1">ROUND(_xlfn.NORM.INV(RAND(),Reference!$D$8,0.1*Reference!$D$8)*(1+Reference!$D$11*(IF(MONTH($A3122)=Reference!$D$4,1,0)+IF(MONTH($A3122)=Reference!$D$5,1,0))+(IF(MONTH($A3122)=Reference!$D$6,Reference!$D$13,0))),0)</f>
        <v>487</v>
      </c>
      <c r="E3122" s="11">
        <f ca="1">D3122*Reference!$D$7*(1-IF(MONTH($A3122)=Reference!$D$6,1,0)*Reference!$D$12)</f>
        <v>365250</v>
      </c>
      <c r="M3122" s="20"/>
      <c r="N3122" s="20"/>
      <c r="O3122" s="19"/>
      <c r="P3122" s="10"/>
      <c r="Q3122" s="10"/>
      <c r="R3122" s="10"/>
      <c r="S3122" s="10"/>
      <c r="T3122" s="10"/>
      <c r="U3122" s="10"/>
      <c r="V3122" s="10"/>
      <c r="W3122" s="10"/>
      <c r="X3122" s="10"/>
      <c r="Y3122" s="10"/>
    </row>
    <row r="3123" spans="1:25" x14ac:dyDescent="0.25">
      <c r="A3123" s="9">
        <v>43661</v>
      </c>
      <c r="B3123" s="10">
        <f ca="1">ROUND(_xlfn.NORM.INV(RAND(),Reference!$C$8,0.1*Reference!$C$8)*(1+Reference!$C$11*(IF(MONTH($A3123)=Reference!$C$4,1,0)+IF(MONTH($A3123)=Reference!$C$5,1,0))+(IF(MONTH($A3123)=Reference!$C$6,Reference!$C$13,0))),0)</f>
        <v>352</v>
      </c>
      <c r="C3123" s="11">
        <f ca="1">B3123*Reference!$C$7*(1-IF(MONTH($A3123)=Reference!$C$6,1,0)*Reference!$C$12)</f>
        <v>327360</v>
      </c>
      <c r="D3123" s="10">
        <f ca="1">ROUND(_xlfn.NORM.INV(RAND(),Reference!$D$8,0.1*Reference!$D$8)*(1+Reference!$D$11*(IF(MONTH($A3123)=Reference!$D$4,1,0)+IF(MONTH($A3123)=Reference!$D$5,1,0))+(IF(MONTH($A3123)=Reference!$D$6,Reference!$D$13,0))),0)</f>
        <v>470</v>
      </c>
      <c r="E3123" s="11">
        <f ca="1">D3123*Reference!$D$7*(1-IF(MONTH($A3123)=Reference!$D$6,1,0)*Reference!$D$12)</f>
        <v>352500</v>
      </c>
      <c r="M3123" s="20"/>
      <c r="N3123" s="20"/>
      <c r="O3123" s="19"/>
      <c r="P3123" s="10"/>
      <c r="Q3123" s="10"/>
      <c r="R3123" s="10"/>
      <c r="S3123" s="10"/>
      <c r="T3123" s="10"/>
      <c r="U3123" s="10"/>
      <c r="V3123" s="10"/>
      <c r="W3123" s="10"/>
      <c r="X3123" s="10"/>
      <c r="Y3123" s="10"/>
    </row>
    <row r="3124" spans="1:25" x14ac:dyDescent="0.25">
      <c r="A3124" s="9">
        <v>43662</v>
      </c>
      <c r="B3124" s="10">
        <f ca="1">ROUND(_xlfn.NORM.INV(RAND(),Reference!$C$8,0.1*Reference!$C$8)*(1+Reference!$C$11*(IF(MONTH($A3124)=Reference!$C$4,1,0)+IF(MONTH($A3124)=Reference!$C$5,1,0))+(IF(MONTH($A3124)=Reference!$C$6,Reference!$C$13,0))),0)</f>
        <v>343</v>
      </c>
      <c r="C3124" s="11">
        <f ca="1">B3124*Reference!$C$7*(1-IF(MONTH($A3124)=Reference!$C$6,1,0)*Reference!$C$12)</f>
        <v>318990</v>
      </c>
      <c r="D3124" s="10">
        <f ca="1">ROUND(_xlfn.NORM.INV(RAND(),Reference!$D$8,0.1*Reference!$D$8)*(1+Reference!$D$11*(IF(MONTH($A3124)=Reference!$D$4,1,0)+IF(MONTH($A3124)=Reference!$D$5,1,0))+(IF(MONTH($A3124)=Reference!$D$6,Reference!$D$13,0))),0)</f>
        <v>481</v>
      </c>
      <c r="E3124" s="11">
        <f ca="1">D3124*Reference!$D$7*(1-IF(MONTH($A3124)=Reference!$D$6,1,0)*Reference!$D$12)</f>
        <v>360750</v>
      </c>
      <c r="M3124" s="20"/>
      <c r="N3124" s="20"/>
      <c r="O3124" s="19"/>
      <c r="P3124" s="10"/>
      <c r="Q3124" s="10"/>
      <c r="R3124" s="10"/>
      <c r="S3124" s="10"/>
      <c r="T3124" s="10"/>
      <c r="U3124" s="10"/>
      <c r="V3124" s="10"/>
      <c r="W3124" s="10"/>
      <c r="X3124" s="10"/>
      <c r="Y3124" s="10"/>
    </row>
    <row r="3125" spans="1:25" x14ac:dyDescent="0.25">
      <c r="A3125" s="9">
        <v>43663</v>
      </c>
      <c r="B3125" s="10">
        <f ca="1">ROUND(_xlfn.NORM.INV(RAND(),Reference!$C$8,0.1*Reference!$C$8)*(1+Reference!$C$11*(IF(MONTH($A3125)=Reference!$C$4,1,0)+IF(MONTH($A3125)=Reference!$C$5,1,0))+(IF(MONTH($A3125)=Reference!$C$6,Reference!$C$13,0))),0)</f>
        <v>335</v>
      </c>
      <c r="C3125" s="11">
        <f ca="1">B3125*Reference!$C$7*(1-IF(MONTH($A3125)=Reference!$C$6,1,0)*Reference!$C$12)</f>
        <v>311550</v>
      </c>
      <c r="D3125" s="10">
        <f ca="1">ROUND(_xlfn.NORM.INV(RAND(),Reference!$D$8,0.1*Reference!$D$8)*(1+Reference!$D$11*(IF(MONTH($A3125)=Reference!$D$4,1,0)+IF(MONTH($A3125)=Reference!$D$5,1,0))+(IF(MONTH($A3125)=Reference!$D$6,Reference!$D$13,0))),0)</f>
        <v>509</v>
      </c>
      <c r="E3125" s="11">
        <f ca="1">D3125*Reference!$D$7*(1-IF(MONTH($A3125)=Reference!$D$6,1,0)*Reference!$D$12)</f>
        <v>381750</v>
      </c>
      <c r="M3125" s="20"/>
      <c r="N3125" s="20"/>
      <c r="O3125" s="19"/>
      <c r="P3125" s="10"/>
      <c r="Q3125" s="10"/>
      <c r="R3125" s="10"/>
      <c r="S3125" s="10"/>
      <c r="T3125" s="10"/>
      <c r="U3125" s="10"/>
      <c r="V3125" s="10"/>
      <c r="W3125" s="10"/>
      <c r="X3125" s="10"/>
      <c r="Y3125" s="10"/>
    </row>
    <row r="3126" spans="1:25" x14ac:dyDescent="0.25">
      <c r="A3126" s="9">
        <v>43664</v>
      </c>
      <c r="B3126" s="10">
        <f ca="1">ROUND(_xlfn.NORM.INV(RAND(),Reference!$C$8,0.1*Reference!$C$8)*(1+Reference!$C$11*(IF(MONTH($A3126)=Reference!$C$4,1,0)+IF(MONTH($A3126)=Reference!$C$5,1,0))+(IF(MONTH($A3126)=Reference!$C$6,Reference!$C$13,0))),0)</f>
        <v>371</v>
      </c>
      <c r="C3126" s="11">
        <f ca="1">B3126*Reference!$C$7*(1-IF(MONTH($A3126)=Reference!$C$6,1,0)*Reference!$C$12)</f>
        <v>345030</v>
      </c>
      <c r="D3126" s="10">
        <f ca="1">ROUND(_xlfn.NORM.INV(RAND(),Reference!$D$8,0.1*Reference!$D$8)*(1+Reference!$D$11*(IF(MONTH($A3126)=Reference!$D$4,1,0)+IF(MONTH($A3126)=Reference!$D$5,1,0))+(IF(MONTH($A3126)=Reference!$D$6,Reference!$D$13,0))),0)</f>
        <v>414</v>
      </c>
      <c r="E3126" s="11">
        <f ca="1">D3126*Reference!$D$7*(1-IF(MONTH($A3126)=Reference!$D$6,1,0)*Reference!$D$12)</f>
        <v>310500</v>
      </c>
      <c r="M3126" s="20"/>
      <c r="N3126" s="20"/>
      <c r="O3126" s="19"/>
      <c r="P3126" s="10"/>
      <c r="Q3126" s="10"/>
      <c r="R3126" s="10"/>
      <c r="S3126" s="10"/>
      <c r="T3126" s="10"/>
      <c r="U3126" s="10"/>
      <c r="V3126" s="10"/>
      <c r="W3126" s="10"/>
      <c r="X3126" s="10"/>
      <c r="Y3126" s="10"/>
    </row>
    <row r="3127" spans="1:25" x14ac:dyDescent="0.25">
      <c r="A3127" s="9">
        <v>43665</v>
      </c>
      <c r="B3127" s="10">
        <f ca="1">ROUND(_xlfn.NORM.INV(RAND(),Reference!$C$8,0.1*Reference!$C$8)*(1+Reference!$C$11*(IF(MONTH($A3127)=Reference!$C$4,1,0)+IF(MONTH($A3127)=Reference!$C$5,1,0))+(IF(MONTH($A3127)=Reference!$C$6,Reference!$C$13,0))),0)</f>
        <v>335</v>
      </c>
      <c r="C3127" s="11">
        <f ca="1">B3127*Reference!$C$7*(1-IF(MONTH($A3127)=Reference!$C$6,1,0)*Reference!$C$12)</f>
        <v>311550</v>
      </c>
      <c r="D3127" s="10">
        <f ca="1">ROUND(_xlfn.NORM.INV(RAND(),Reference!$D$8,0.1*Reference!$D$8)*(1+Reference!$D$11*(IF(MONTH($A3127)=Reference!$D$4,1,0)+IF(MONTH($A3127)=Reference!$D$5,1,0))+(IF(MONTH($A3127)=Reference!$D$6,Reference!$D$13,0))),0)</f>
        <v>523</v>
      </c>
      <c r="E3127" s="11">
        <f ca="1">D3127*Reference!$D$7*(1-IF(MONTH($A3127)=Reference!$D$6,1,0)*Reference!$D$12)</f>
        <v>392250</v>
      </c>
      <c r="M3127" s="20"/>
      <c r="N3127" s="20"/>
      <c r="O3127" s="19"/>
      <c r="P3127" s="10"/>
      <c r="Q3127" s="10"/>
      <c r="R3127" s="10"/>
      <c r="S3127" s="10"/>
      <c r="T3127" s="10"/>
      <c r="U3127" s="10"/>
      <c r="V3127" s="10"/>
      <c r="W3127" s="10"/>
      <c r="X3127" s="10"/>
      <c r="Y3127" s="10"/>
    </row>
    <row r="3128" spans="1:25" x14ac:dyDescent="0.25">
      <c r="A3128" s="9">
        <v>43666</v>
      </c>
      <c r="B3128" s="10">
        <f ca="1">ROUND(_xlfn.NORM.INV(RAND(),Reference!$C$8,0.1*Reference!$C$8)*(1+Reference!$C$11*(IF(MONTH($A3128)=Reference!$C$4,1,0)+IF(MONTH($A3128)=Reference!$C$5,1,0))+(IF(MONTH($A3128)=Reference!$C$6,Reference!$C$13,0))),0)</f>
        <v>379</v>
      </c>
      <c r="C3128" s="11">
        <f ca="1">B3128*Reference!$C$7*(1-IF(MONTH($A3128)=Reference!$C$6,1,0)*Reference!$C$12)</f>
        <v>352470</v>
      </c>
      <c r="D3128" s="10">
        <f ca="1">ROUND(_xlfn.NORM.INV(RAND(),Reference!$D$8,0.1*Reference!$D$8)*(1+Reference!$D$11*(IF(MONTH($A3128)=Reference!$D$4,1,0)+IF(MONTH($A3128)=Reference!$D$5,1,0))+(IF(MONTH($A3128)=Reference!$D$6,Reference!$D$13,0))),0)</f>
        <v>473</v>
      </c>
      <c r="E3128" s="11">
        <f ca="1">D3128*Reference!$D$7*(1-IF(MONTH($A3128)=Reference!$D$6,1,0)*Reference!$D$12)</f>
        <v>354750</v>
      </c>
      <c r="M3128" s="20"/>
      <c r="N3128" s="20"/>
      <c r="O3128" s="19"/>
      <c r="P3128" s="10"/>
      <c r="Q3128" s="10"/>
      <c r="R3128" s="10"/>
      <c r="S3128" s="10"/>
      <c r="T3128" s="10"/>
      <c r="U3128" s="10"/>
      <c r="V3128" s="10"/>
      <c r="W3128" s="10"/>
      <c r="X3128" s="10"/>
      <c r="Y3128" s="10"/>
    </row>
    <row r="3129" spans="1:25" x14ac:dyDescent="0.25">
      <c r="A3129" s="9">
        <v>43667</v>
      </c>
      <c r="B3129" s="10">
        <f ca="1">ROUND(_xlfn.NORM.INV(RAND(),Reference!$C$8,0.1*Reference!$C$8)*(1+Reference!$C$11*(IF(MONTH($A3129)=Reference!$C$4,1,0)+IF(MONTH($A3129)=Reference!$C$5,1,0))+(IF(MONTH($A3129)=Reference!$C$6,Reference!$C$13,0))),0)</f>
        <v>354</v>
      </c>
      <c r="C3129" s="11">
        <f ca="1">B3129*Reference!$C$7*(1-IF(MONTH($A3129)=Reference!$C$6,1,0)*Reference!$C$12)</f>
        <v>329220</v>
      </c>
      <c r="D3129" s="10">
        <f ca="1">ROUND(_xlfn.NORM.INV(RAND(),Reference!$D$8,0.1*Reference!$D$8)*(1+Reference!$D$11*(IF(MONTH($A3129)=Reference!$D$4,1,0)+IF(MONTH($A3129)=Reference!$D$5,1,0))+(IF(MONTH($A3129)=Reference!$D$6,Reference!$D$13,0))),0)</f>
        <v>389</v>
      </c>
      <c r="E3129" s="11">
        <f ca="1">D3129*Reference!$D$7*(1-IF(MONTH($A3129)=Reference!$D$6,1,0)*Reference!$D$12)</f>
        <v>291750</v>
      </c>
      <c r="M3129" s="20"/>
      <c r="N3129" s="20"/>
      <c r="O3129" s="19"/>
      <c r="P3129" s="10"/>
      <c r="Q3129" s="10"/>
      <c r="R3129" s="10"/>
      <c r="S3129" s="10"/>
      <c r="T3129" s="10"/>
      <c r="U3129" s="10"/>
      <c r="V3129" s="10"/>
      <c r="W3129" s="10"/>
      <c r="X3129" s="10"/>
      <c r="Y3129" s="10"/>
    </row>
    <row r="3130" spans="1:25" x14ac:dyDescent="0.25">
      <c r="A3130" s="9">
        <v>43668</v>
      </c>
      <c r="B3130" s="10">
        <f ca="1">ROUND(_xlfn.NORM.INV(RAND(),Reference!$C$8,0.1*Reference!$C$8)*(1+Reference!$C$11*(IF(MONTH($A3130)=Reference!$C$4,1,0)+IF(MONTH($A3130)=Reference!$C$5,1,0))+(IF(MONTH($A3130)=Reference!$C$6,Reference!$C$13,0))),0)</f>
        <v>391</v>
      </c>
      <c r="C3130" s="11">
        <f ca="1">B3130*Reference!$C$7*(1-IF(MONTH($A3130)=Reference!$C$6,1,0)*Reference!$C$12)</f>
        <v>363630</v>
      </c>
      <c r="D3130" s="10">
        <f ca="1">ROUND(_xlfn.NORM.INV(RAND(),Reference!$D$8,0.1*Reference!$D$8)*(1+Reference!$D$11*(IF(MONTH($A3130)=Reference!$D$4,1,0)+IF(MONTH($A3130)=Reference!$D$5,1,0))+(IF(MONTH($A3130)=Reference!$D$6,Reference!$D$13,0))),0)</f>
        <v>490</v>
      </c>
      <c r="E3130" s="11">
        <f ca="1">D3130*Reference!$D$7*(1-IF(MONTH($A3130)=Reference!$D$6,1,0)*Reference!$D$12)</f>
        <v>367500</v>
      </c>
      <c r="M3130" s="20"/>
      <c r="N3130" s="20"/>
      <c r="O3130" s="19"/>
      <c r="P3130" s="10"/>
      <c r="Q3130" s="10"/>
      <c r="R3130" s="10"/>
      <c r="S3130" s="10"/>
      <c r="T3130" s="10"/>
      <c r="U3130" s="10"/>
      <c r="V3130" s="10"/>
      <c r="W3130" s="10"/>
      <c r="X3130" s="10"/>
      <c r="Y3130" s="10"/>
    </row>
    <row r="3131" spans="1:25" x14ac:dyDescent="0.25">
      <c r="A3131" s="9">
        <v>43669</v>
      </c>
      <c r="B3131" s="10">
        <f ca="1">ROUND(_xlfn.NORM.INV(RAND(),Reference!$C$8,0.1*Reference!$C$8)*(1+Reference!$C$11*(IF(MONTH($A3131)=Reference!$C$4,1,0)+IF(MONTH($A3131)=Reference!$C$5,1,0))+(IF(MONTH($A3131)=Reference!$C$6,Reference!$C$13,0))),0)</f>
        <v>347</v>
      </c>
      <c r="C3131" s="11">
        <f ca="1">B3131*Reference!$C$7*(1-IF(MONTH($A3131)=Reference!$C$6,1,0)*Reference!$C$12)</f>
        <v>322710</v>
      </c>
      <c r="D3131" s="10">
        <f ca="1">ROUND(_xlfn.NORM.INV(RAND(),Reference!$D$8,0.1*Reference!$D$8)*(1+Reference!$D$11*(IF(MONTH($A3131)=Reference!$D$4,1,0)+IF(MONTH($A3131)=Reference!$D$5,1,0))+(IF(MONTH($A3131)=Reference!$D$6,Reference!$D$13,0))),0)</f>
        <v>534</v>
      </c>
      <c r="E3131" s="11">
        <f ca="1">D3131*Reference!$D$7*(1-IF(MONTH($A3131)=Reference!$D$6,1,0)*Reference!$D$12)</f>
        <v>400500</v>
      </c>
      <c r="M3131" s="20"/>
      <c r="N3131" s="20"/>
      <c r="O3131" s="19"/>
      <c r="P3131" s="10"/>
      <c r="Q3131" s="10"/>
      <c r="R3131" s="10"/>
      <c r="S3131" s="10"/>
      <c r="T3131" s="10"/>
      <c r="U3131" s="10"/>
      <c r="V3131" s="10"/>
      <c r="W3131" s="10"/>
      <c r="X3131" s="10"/>
      <c r="Y3131" s="10"/>
    </row>
    <row r="3132" spans="1:25" x14ac:dyDescent="0.25">
      <c r="A3132" s="9">
        <v>43670</v>
      </c>
      <c r="B3132" s="10">
        <f ca="1">ROUND(_xlfn.NORM.INV(RAND(),Reference!$C$8,0.1*Reference!$C$8)*(1+Reference!$C$11*(IF(MONTH($A3132)=Reference!$C$4,1,0)+IF(MONTH($A3132)=Reference!$C$5,1,0))+(IF(MONTH($A3132)=Reference!$C$6,Reference!$C$13,0))),0)</f>
        <v>387</v>
      </c>
      <c r="C3132" s="11">
        <f ca="1">B3132*Reference!$C$7*(1-IF(MONTH($A3132)=Reference!$C$6,1,0)*Reference!$C$12)</f>
        <v>359910</v>
      </c>
      <c r="D3132" s="10">
        <f ca="1">ROUND(_xlfn.NORM.INV(RAND(),Reference!$D$8,0.1*Reference!$D$8)*(1+Reference!$D$11*(IF(MONTH($A3132)=Reference!$D$4,1,0)+IF(MONTH($A3132)=Reference!$D$5,1,0))+(IF(MONTH($A3132)=Reference!$D$6,Reference!$D$13,0))),0)</f>
        <v>510</v>
      </c>
      <c r="E3132" s="11">
        <f ca="1">D3132*Reference!$D$7*(1-IF(MONTH($A3132)=Reference!$D$6,1,0)*Reference!$D$12)</f>
        <v>382500</v>
      </c>
      <c r="M3132" s="20"/>
      <c r="N3132" s="20"/>
      <c r="O3132" s="19"/>
      <c r="P3132" s="10"/>
      <c r="Q3132" s="10"/>
      <c r="R3132" s="10"/>
      <c r="S3132" s="10"/>
      <c r="T3132" s="10"/>
      <c r="U3132" s="10"/>
      <c r="V3132" s="10"/>
      <c r="W3132" s="10"/>
      <c r="X3132" s="10"/>
      <c r="Y3132" s="10"/>
    </row>
    <row r="3133" spans="1:25" x14ac:dyDescent="0.25">
      <c r="A3133" s="9">
        <v>43671</v>
      </c>
      <c r="B3133" s="10">
        <f ca="1">ROUND(_xlfn.NORM.INV(RAND(),Reference!$C$8,0.1*Reference!$C$8)*(1+Reference!$C$11*(IF(MONTH($A3133)=Reference!$C$4,1,0)+IF(MONTH($A3133)=Reference!$C$5,1,0))+(IF(MONTH($A3133)=Reference!$C$6,Reference!$C$13,0))),0)</f>
        <v>328</v>
      </c>
      <c r="C3133" s="11">
        <f ca="1">B3133*Reference!$C$7*(1-IF(MONTH($A3133)=Reference!$C$6,1,0)*Reference!$C$12)</f>
        <v>305040</v>
      </c>
      <c r="D3133" s="10">
        <f ca="1">ROUND(_xlfn.NORM.INV(RAND(),Reference!$D$8,0.1*Reference!$D$8)*(1+Reference!$D$11*(IF(MONTH($A3133)=Reference!$D$4,1,0)+IF(MONTH($A3133)=Reference!$D$5,1,0))+(IF(MONTH($A3133)=Reference!$D$6,Reference!$D$13,0))),0)</f>
        <v>491</v>
      </c>
      <c r="E3133" s="11">
        <f ca="1">D3133*Reference!$D$7*(1-IF(MONTH($A3133)=Reference!$D$6,1,0)*Reference!$D$12)</f>
        <v>368250</v>
      </c>
      <c r="M3133" s="20"/>
      <c r="N3133" s="20"/>
      <c r="O3133" s="19"/>
      <c r="P3133" s="10"/>
      <c r="Q3133" s="10"/>
      <c r="R3133" s="10"/>
      <c r="S3133" s="10"/>
      <c r="T3133" s="10"/>
      <c r="U3133" s="10"/>
      <c r="V3133" s="10"/>
      <c r="W3133" s="10"/>
      <c r="X3133" s="10"/>
      <c r="Y3133" s="10"/>
    </row>
    <row r="3134" spans="1:25" x14ac:dyDescent="0.25">
      <c r="A3134" s="9">
        <v>43672</v>
      </c>
      <c r="B3134" s="10">
        <f ca="1">ROUND(_xlfn.NORM.INV(RAND(),Reference!$C$8,0.1*Reference!$C$8)*(1+Reference!$C$11*(IF(MONTH($A3134)=Reference!$C$4,1,0)+IF(MONTH($A3134)=Reference!$C$5,1,0))+(IF(MONTH($A3134)=Reference!$C$6,Reference!$C$13,0))),0)</f>
        <v>360</v>
      </c>
      <c r="C3134" s="11">
        <f ca="1">B3134*Reference!$C$7*(1-IF(MONTH($A3134)=Reference!$C$6,1,0)*Reference!$C$12)</f>
        <v>334800</v>
      </c>
      <c r="D3134" s="10">
        <f ca="1">ROUND(_xlfn.NORM.INV(RAND(),Reference!$D$8,0.1*Reference!$D$8)*(1+Reference!$D$11*(IF(MONTH($A3134)=Reference!$D$4,1,0)+IF(MONTH($A3134)=Reference!$D$5,1,0))+(IF(MONTH($A3134)=Reference!$D$6,Reference!$D$13,0))),0)</f>
        <v>559</v>
      </c>
      <c r="E3134" s="11">
        <f ca="1">D3134*Reference!$D$7*(1-IF(MONTH($A3134)=Reference!$D$6,1,0)*Reference!$D$12)</f>
        <v>419250</v>
      </c>
      <c r="M3134" s="20"/>
      <c r="N3134" s="20"/>
      <c r="O3134" s="19"/>
      <c r="P3134" s="10"/>
      <c r="Q3134" s="10"/>
      <c r="R3134" s="10"/>
      <c r="S3134" s="10"/>
      <c r="T3134" s="10"/>
      <c r="U3134" s="10"/>
      <c r="V3134" s="10"/>
      <c r="W3134" s="10"/>
      <c r="X3134" s="10"/>
      <c r="Y3134" s="10"/>
    </row>
    <row r="3135" spans="1:25" x14ac:dyDescent="0.25">
      <c r="A3135" s="9">
        <v>43673</v>
      </c>
      <c r="B3135" s="10">
        <f ca="1">ROUND(_xlfn.NORM.INV(RAND(),Reference!$C$8,0.1*Reference!$C$8)*(1+Reference!$C$11*(IF(MONTH($A3135)=Reference!$C$4,1,0)+IF(MONTH($A3135)=Reference!$C$5,1,0))+(IF(MONTH($A3135)=Reference!$C$6,Reference!$C$13,0))),0)</f>
        <v>361</v>
      </c>
      <c r="C3135" s="11">
        <f ca="1">B3135*Reference!$C$7*(1-IF(MONTH($A3135)=Reference!$C$6,1,0)*Reference!$C$12)</f>
        <v>335730</v>
      </c>
      <c r="D3135" s="10">
        <f ca="1">ROUND(_xlfn.NORM.INV(RAND(),Reference!$D$8,0.1*Reference!$D$8)*(1+Reference!$D$11*(IF(MONTH($A3135)=Reference!$D$4,1,0)+IF(MONTH($A3135)=Reference!$D$5,1,0))+(IF(MONTH($A3135)=Reference!$D$6,Reference!$D$13,0))),0)</f>
        <v>482</v>
      </c>
      <c r="E3135" s="11">
        <f ca="1">D3135*Reference!$D$7*(1-IF(MONTH($A3135)=Reference!$D$6,1,0)*Reference!$D$12)</f>
        <v>361500</v>
      </c>
      <c r="M3135" s="20"/>
      <c r="N3135" s="20"/>
      <c r="O3135" s="19"/>
      <c r="P3135" s="10"/>
      <c r="Q3135" s="10"/>
      <c r="R3135" s="10"/>
      <c r="S3135" s="10"/>
      <c r="T3135" s="10"/>
      <c r="U3135" s="10"/>
      <c r="V3135" s="10"/>
      <c r="W3135" s="10"/>
      <c r="X3135" s="10"/>
      <c r="Y3135" s="10"/>
    </row>
    <row r="3136" spans="1:25" x14ac:dyDescent="0.25">
      <c r="A3136" s="9">
        <v>43674</v>
      </c>
      <c r="B3136" s="10">
        <f ca="1">ROUND(_xlfn.NORM.INV(RAND(),Reference!$C$8,0.1*Reference!$C$8)*(1+Reference!$C$11*(IF(MONTH($A3136)=Reference!$C$4,1,0)+IF(MONTH($A3136)=Reference!$C$5,1,0))+(IF(MONTH($A3136)=Reference!$C$6,Reference!$C$13,0))),0)</f>
        <v>385</v>
      </c>
      <c r="C3136" s="11">
        <f ca="1">B3136*Reference!$C$7*(1-IF(MONTH($A3136)=Reference!$C$6,1,0)*Reference!$C$12)</f>
        <v>358050</v>
      </c>
      <c r="D3136" s="10">
        <f ca="1">ROUND(_xlfn.NORM.INV(RAND(),Reference!$D$8,0.1*Reference!$D$8)*(1+Reference!$D$11*(IF(MONTH($A3136)=Reference!$D$4,1,0)+IF(MONTH($A3136)=Reference!$D$5,1,0))+(IF(MONTH($A3136)=Reference!$D$6,Reference!$D$13,0))),0)</f>
        <v>476</v>
      </c>
      <c r="E3136" s="11">
        <f ca="1">D3136*Reference!$D$7*(1-IF(MONTH($A3136)=Reference!$D$6,1,0)*Reference!$D$12)</f>
        <v>357000</v>
      </c>
      <c r="M3136" s="20"/>
      <c r="N3136" s="20"/>
      <c r="O3136" s="19"/>
      <c r="P3136" s="10"/>
      <c r="Q3136" s="10"/>
      <c r="R3136" s="10"/>
      <c r="S3136" s="10"/>
      <c r="T3136" s="10"/>
      <c r="U3136" s="10"/>
      <c r="V3136" s="10"/>
      <c r="W3136" s="10"/>
      <c r="X3136" s="10"/>
      <c r="Y3136" s="10"/>
    </row>
    <row r="3137" spans="1:25" x14ac:dyDescent="0.25">
      <c r="A3137" s="9">
        <v>43675</v>
      </c>
      <c r="B3137" s="10">
        <f ca="1">ROUND(_xlfn.NORM.INV(RAND(),Reference!$C$8,0.1*Reference!$C$8)*(1+Reference!$C$11*(IF(MONTH($A3137)=Reference!$C$4,1,0)+IF(MONTH($A3137)=Reference!$C$5,1,0))+(IF(MONTH($A3137)=Reference!$C$6,Reference!$C$13,0))),0)</f>
        <v>360</v>
      </c>
      <c r="C3137" s="11">
        <f ca="1">B3137*Reference!$C$7*(1-IF(MONTH($A3137)=Reference!$C$6,1,0)*Reference!$C$12)</f>
        <v>334800</v>
      </c>
      <c r="D3137" s="10">
        <f ca="1">ROUND(_xlfn.NORM.INV(RAND(),Reference!$D$8,0.1*Reference!$D$8)*(1+Reference!$D$11*(IF(MONTH($A3137)=Reference!$D$4,1,0)+IF(MONTH($A3137)=Reference!$D$5,1,0))+(IF(MONTH($A3137)=Reference!$D$6,Reference!$D$13,0))),0)</f>
        <v>481</v>
      </c>
      <c r="E3137" s="11">
        <f ca="1">D3137*Reference!$D$7*(1-IF(MONTH($A3137)=Reference!$D$6,1,0)*Reference!$D$12)</f>
        <v>360750</v>
      </c>
      <c r="M3137" s="20"/>
      <c r="N3137" s="20"/>
      <c r="O3137" s="19"/>
      <c r="P3137" s="10"/>
      <c r="Q3137" s="10"/>
      <c r="R3137" s="10"/>
      <c r="S3137" s="10"/>
      <c r="T3137" s="10"/>
      <c r="U3137" s="10"/>
      <c r="V3137" s="10"/>
      <c r="W3137" s="10"/>
      <c r="X3137" s="10"/>
      <c r="Y3137" s="10"/>
    </row>
    <row r="3138" spans="1:25" x14ac:dyDescent="0.25">
      <c r="A3138" s="9">
        <v>43676</v>
      </c>
      <c r="B3138" s="10">
        <f ca="1">ROUND(_xlfn.NORM.INV(RAND(),Reference!$C$8,0.1*Reference!$C$8)*(1+Reference!$C$11*(IF(MONTH($A3138)=Reference!$C$4,1,0)+IF(MONTH($A3138)=Reference!$C$5,1,0))+(IF(MONTH($A3138)=Reference!$C$6,Reference!$C$13,0))),0)</f>
        <v>400</v>
      </c>
      <c r="C3138" s="11">
        <f ca="1">B3138*Reference!$C$7*(1-IF(MONTH($A3138)=Reference!$C$6,1,0)*Reference!$C$12)</f>
        <v>372000</v>
      </c>
      <c r="D3138" s="10">
        <f ca="1">ROUND(_xlfn.NORM.INV(RAND(),Reference!$D$8,0.1*Reference!$D$8)*(1+Reference!$D$11*(IF(MONTH($A3138)=Reference!$D$4,1,0)+IF(MONTH($A3138)=Reference!$D$5,1,0))+(IF(MONTH($A3138)=Reference!$D$6,Reference!$D$13,0))),0)</f>
        <v>444</v>
      </c>
      <c r="E3138" s="11">
        <f ca="1">D3138*Reference!$D$7*(1-IF(MONTH($A3138)=Reference!$D$6,1,0)*Reference!$D$12)</f>
        <v>333000</v>
      </c>
      <c r="M3138" s="20"/>
      <c r="N3138" s="20"/>
      <c r="O3138" s="19"/>
      <c r="P3138" s="10"/>
      <c r="Q3138" s="10"/>
      <c r="R3138" s="10"/>
      <c r="S3138" s="10"/>
      <c r="T3138" s="10"/>
      <c r="U3138" s="10"/>
      <c r="V3138" s="10"/>
      <c r="W3138" s="10"/>
      <c r="X3138" s="10"/>
      <c r="Y3138" s="10"/>
    </row>
    <row r="3139" spans="1:25" x14ac:dyDescent="0.25">
      <c r="A3139" s="9">
        <v>43677</v>
      </c>
      <c r="B3139" s="10">
        <f ca="1">ROUND(_xlfn.NORM.INV(RAND(),Reference!$C$8,0.1*Reference!$C$8)*(1+Reference!$C$11*(IF(MONTH($A3139)=Reference!$C$4,1,0)+IF(MONTH($A3139)=Reference!$C$5,1,0))+(IF(MONTH($A3139)=Reference!$C$6,Reference!$C$13,0))),0)</f>
        <v>365</v>
      </c>
      <c r="C3139" s="11">
        <f ca="1">B3139*Reference!$C$7*(1-IF(MONTH($A3139)=Reference!$C$6,1,0)*Reference!$C$12)</f>
        <v>339450</v>
      </c>
      <c r="D3139" s="10">
        <f ca="1">ROUND(_xlfn.NORM.INV(RAND(),Reference!$D$8,0.1*Reference!$D$8)*(1+Reference!$D$11*(IF(MONTH($A3139)=Reference!$D$4,1,0)+IF(MONTH($A3139)=Reference!$D$5,1,0))+(IF(MONTH($A3139)=Reference!$D$6,Reference!$D$13,0))),0)</f>
        <v>456</v>
      </c>
      <c r="E3139" s="11">
        <f ca="1">D3139*Reference!$D$7*(1-IF(MONTH($A3139)=Reference!$D$6,1,0)*Reference!$D$12)</f>
        <v>342000</v>
      </c>
      <c r="M3139" s="20"/>
      <c r="N3139" s="20"/>
      <c r="O3139" s="19"/>
      <c r="P3139" s="10"/>
      <c r="Q3139" s="10"/>
      <c r="R3139" s="10"/>
      <c r="S3139" s="10"/>
      <c r="T3139" s="10"/>
      <c r="U3139" s="10"/>
      <c r="V3139" s="10"/>
      <c r="W3139" s="10"/>
      <c r="X3139" s="10"/>
      <c r="Y3139" s="10"/>
    </row>
    <row r="3140" spans="1:25" x14ac:dyDescent="0.25">
      <c r="A3140" s="9">
        <v>43678</v>
      </c>
      <c r="B3140" s="10">
        <f ca="1">ROUND(_xlfn.NORM.INV(RAND(),Reference!$C$8,0.1*Reference!$C$8)*(1+Reference!$C$11*(IF(MONTH($A3140)=Reference!$C$4,1,0)+IF(MONTH($A3140)=Reference!$C$5,1,0))+(IF(MONTH($A3140)=Reference!$C$6,Reference!$C$13,0))),0)</f>
        <v>359</v>
      </c>
      <c r="C3140" s="11">
        <f ca="1">B3140*Reference!$C$7*(1-IF(MONTH($A3140)=Reference!$C$6,1,0)*Reference!$C$12)</f>
        <v>333870</v>
      </c>
      <c r="D3140" s="10">
        <f ca="1">ROUND(_xlfn.NORM.INV(RAND(),Reference!$D$8,0.1*Reference!$D$8)*(1+Reference!$D$11*(IF(MONTH($A3140)=Reference!$D$4,1,0)+IF(MONTH($A3140)=Reference!$D$5,1,0))+(IF(MONTH($A3140)=Reference!$D$6,Reference!$D$13,0))),0)</f>
        <v>484</v>
      </c>
      <c r="E3140" s="11">
        <f ca="1">D3140*Reference!$D$7*(1-IF(MONTH($A3140)=Reference!$D$6,1,0)*Reference!$D$12)</f>
        <v>363000</v>
      </c>
      <c r="M3140" s="20"/>
      <c r="N3140" s="20"/>
      <c r="O3140" s="19"/>
      <c r="P3140" s="10"/>
      <c r="Q3140" s="10"/>
      <c r="R3140" s="10"/>
      <c r="S3140" s="10"/>
      <c r="T3140" s="10"/>
      <c r="U3140" s="10"/>
      <c r="V3140" s="10"/>
      <c r="W3140" s="10"/>
      <c r="X3140" s="10"/>
      <c r="Y3140" s="10"/>
    </row>
    <row r="3141" spans="1:25" x14ac:dyDescent="0.25">
      <c r="A3141" s="9">
        <v>43679</v>
      </c>
      <c r="B3141" s="10">
        <f ca="1">ROUND(_xlfn.NORM.INV(RAND(),Reference!$C$8,0.1*Reference!$C$8)*(1+Reference!$C$11*(IF(MONTH($A3141)=Reference!$C$4,1,0)+IF(MONTH($A3141)=Reference!$C$5,1,0))+(IF(MONTH($A3141)=Reference!$C$6,Reference!$C$13,0))),0)</f>
        <v>379</v>
      </c>
      <c r="C3141" s="11">
        <f ca="1">B3141*Reference!$C$7*(1-IF(MONTH($A3141)=Reference!$C$6,1,0)*Reference!$C$12)</f>
        <v>352470</v>
      </c>
      <c r="D3141" s="10">
        <f ca="1">ROUND(_xlfn.NORM.INV(RAND(),Reference!$D$8,0.1*Reference!$D$8)*(1+Reference!$D$11*(IF(MONTH($A3141)=Reference!$D$4,1,0)+IF(MONTH($A3141)=Reference!$D$5,1,0))+(IF(MONTH($A3141)=Reference!$D$6,Reference!$D$13,0))),0)</f>
        <v>529</v>
      </c>
      <c r="E3141" s="11">
        <f ca="1">D3141*Reference!$D$7*(1-IF(MONTH($A3141)=Reference!$D$6,1,0)*Reference!$D$12)</f>
        <v>396750</v>
      </c>
      <c r="M3141" s="20"/>
      <c r="N3141" s="20"/>
      <c r="O3141" s="19"/>
      <c r="P3141" s="10"/>
      <c r="Q3141" s="10"/>
      <c r="R3141" s="10"/>
      <c r="S3141" s="10"/>
      <c r="T3141" s="10"/>
      <c r="U3141" s="10"/>
      <c r="V3141" s="10"/>
      <c r="W3141" s="10"/>
      <c r="X3141" s="10"/>
      <c r="Y3141" s="10"/>
    </row>
    <row r="3142" spans="1:25" x14ac:dyDescent="0.25">
      <c r="A3142" s="9">
        <v>43680</v>
      </c>
      <c r="B3142" s="10">
        <f ca="1">ROUND(_xlfn.NORM.INV(RAND(),Reference!$C$8,0.1*Reference!$C$8)*(1+Reference!$C$11*(IF(MONTH($A3142)=Reference!$C$4,1,0)+IF(MONTH($A3142)=Reference!$C$5,1,0))+(IF(MONTH($A3142)=Reference!$C$6,Reference!$C$13,0))),0)</f>
        <v>355</v>
      </c>
      <c r="C3142" s="11">
        <f ca="1">B3142*Reference!$C$7*(1-IF(MONTH($A3142)=Reference!$C$6,1,0)*Reference!$C$12)</f>
        <v>330150</v>
      </c>
      <c r="D3142" s="10">
        <f ca="1">ROUND(_xlfn.NORM.INV(RAND(),Reference!$D$8,0.1*Reference!$D$8)*(1+Reference!$D$11*(IF(MONTH($A3142)=Reference!$D$4,1,0)+IF(MONTH($A3142)=Reference!$D$5,1,0))+(IF(MONTH($A3142)=Reference!$D$6,Reference!$D$13,0))),0)</f>
        <v>523</v>
      </c>
      <c r="E3142" s="11">
        <f ca="1">D3142*Reference!$D$7*(1-IF(MONTH($A3142)=Reference!$D$6,1,0)*Reference!$D$12)</f>
        <v>392250</v>
      </c>
      <c r="M3142" s="20"/>
      <c r="N3142" s="20"/>
      <c r="O3142" s="19"/>
      <c r="P3142" s="10"/>
      <c r="Q3142" s="10"/>
      <c r="R3142" s="10"/>
      <c r="S3142" s="10"/>
      <c r="T3142" s="10"/>
      <c r="U3142" s="10"/>
      <c r="V3142" s="10"/>
      <c r="W3142" s="10"/>
      <c r="X3142" s="10"/>
      <c r="Y3142" s="10"/>
    </row>
    <row r="3143" spans="1:25" x14ac:dyDescent="0.25">
      <c r="A3143" s="9">
        <v>43681</v>
      </c>
      <c r="B3143" s="10">
        <f ca="1">ROUND(_xlfn.NORM.INV(RAND(),Reference!$C$8,0.1*Reference!$C$8)*(1+Reference!$C$11*(IF(MONTH($A3143)=Reference!$C$4,1,0)+IF(MONTH($A3143)=Reference!$C$5,1,0))+(IF(MONTH($A3143)=Reference!$C$6,Reference!$C$13,0))),0)</f>
        <v>329</v>
      </c>
      <c r="C3143" s="11">
        <f ca="1">B3143*Reference!$C$7*(1-IF(MONTH($A3143)=Reference!$C$6,1,0)*Reference!$C$12)</f>
        <v>305970</v>
      </c>
      <c r="D3143" s="10">
        <f ca="1">ROUND(_xlfn.NORM.INV(RAND(),Reference!$D$8,0.1*Reference!$D$8)*(1+Reference!$D$11*(IF(MONTH($A3143)=Reference!$D$4,1,0)+IF(MONTH($A3143)=Reference!$D$5,1,0))+(IF(MONTH($A3143)=Reference!$D$6,Reference!$D$13,0))),0)</f>
        <v>477</v>
      </c>
      <c r="E3143" s="11">
        <f ca="1">D3143*Reference!$D$7*(1-IF(MONTH($A3143)=Reference!$D$6,1,0)*Reference!$D$12)</f>
        <v>357750</v>
      </c>
      <c r="M3143" s="20"/>
      <c r="N3143" s="20"/>
      <c r="O3143" s="19"/>
      <c r="P3143" s="10"/>
      <c r="Q3143" s="10"/>
      <c r="R3143" s="10"/>
      <c r="S3143" s="10"/>
      <c r="T3143" s="10"/>
      <c r="U3143" s="10"/>
      <c r="V3143" s="10"/>
      <c r="W3143" s="10"/>
      <c r="X3143" s="10"/>
      <c r="Y3143" s="10"/>
    </row>
    <row r="3144" spans="1:25" x14ac:dyDescent="0.25">
      <c r="A3144" s="9">
        <v>43682</v>
      </c>
      <c r="B3144" s="10">
        <f ca="1">ROUND(_xlfn.NORM.INV(RAND(),Reference!$C$8,0.1*Reference!$C$8)*(1+Reference!$C$11*(IF(MONTH($A3144)=Reference!$C$4,1,0)+IF(MONTH($A3144)=Reference!$C$5,1,0))+(IF(MONTH($A3144)=Reference!$C$6,Reference!$C$13,0))),0)</f>
        <v>357</v>
      </c>
      <c r="C3144" s="11">
        <f ca="1">B3144*Reference!$C$7*(1-IF(MONTH($A3144)=Reference!$C$6,1,0)*Reference!$C$12)</f>
        <v>332010</v>
      </c>
      <c r="D3144" s="10">
        <f ca="1">ROUND(_xlfn.NORM.INV(RAND(),Reference!$D$8,0.1*Reference!$D$8)*(1+Reference!$D$11*(IF(MONTH($A3144)=Reference!$D$4,1,0)+IF(MONTH($A3144)=Reference!$D$5,1,0))+(IF(MONTH($A3144)=Reference!$D$6,Reference!$D$13,0))),0)</f>
        <v>459</v>
      </c>
      <c r="E3144" s="11">
        <f ca="1">D3144*Reference!$D$7*(1-IF(MONTH($A3144)=Reference!$D$6,1,0)*Reference!$D$12)</f>
        <v>344250</v>
      </c>
      <c r="M3144" s="20"/>
      <c r="N3144" s="20"/>
      <c r="O3144" s="19"/>
      <c r="P3144" s="10"/>
      <c r="Q3144" s="10"/>
      <c r="R3144" s="10"/>
      <c r="S3144" s="10"/>
      <c r="T3144" s="10"/>
      <c r="U3144" s="10"/>
      <c r="V3144" s="10"/>
      <c r="W3144" s="10"/>
      <c r="X3144" s="10"/>
      <c r="Y3144" s="10"/>
    </row>
    <row r="3145" spans="1:25" x14ac:dyDescent="0.25">
      <c r="A3145" s="9">
        <v>43683</v>
      </c>
      <c r="B3145" s="10">
        <f ca="1">ROUND(_xlfn.NORM.INV(RAND(),Reference!$C$8,0.1*Reference!$C$8)*(1+Reference!$C$11*(IF(MONTH($A3145)=Reference!$C$4,1,0)+IF(MONTH($A3145)=Reference!$C$5,1,0))+(IF(MONTH($A3145)=Reference!$C$6,Reference!$C$13,0))),0)</f>
        <v>350</v>
      </c>
      <c r="C3145" s="11">
        <f ca="1">B3145*Reference!$C$7*(1-IF(MONTH($A3145)=Reference!$C$6,1,0)*Reference!$C$12)</f>
        <v>325500</v>
      </c>
      <c r="D3145" s="10">
        <f ca="1">ROUND(_xlfn.NORM.INV(RAND(),Reference!$D$8,0.1*Reference!$D$8)*(1+Reference!$D$11*(IF(MONTH($A3145)=Reference!$D$4,1,0)+IF(MONTH($A3145)=Reference!$D$5,1,0))+(IF(MONTH($A3145)=Reference!$D$6,Reference!$D$13,0))),0)</f>
        <v>492</v>
      </c>
      <c r="E3145" s="11">
        <f ca="1">D3145*Reference!$D$7*(1-IF(MONTH($A3145)=Reference!$D$6,1,0)*Reference!$D$12)</f>
        <v>369000</v>
      </c>
      <c r="M3145" s="20"/>
      <c r="N3145" s="20"/>
      <c r="O3145" s="19"/>
      <c r="P3145" s="10"/>
      <c r="Q3145" s="10"/>
      <c r="R3145" s="10"/>
      <c r="S3145" s="10"/>
      <c r="T3145" s="10"/>
      <c r="U3145" s="10"/>
      <c r="V3145" s="10"/>
      <c r="W3145" s="10"/>
      <c r="X3145" s="10"/>
      <c r="Y3145" s="10"/>
    </row>
    <row r="3146" spans="1:25" x14ac:dyDescent="0.25">
      <c r="A3146" s="9">
        <v>43684</v>
      </c>
      <c r="B3146" s="10">
        <f ca="1">ROUND(_xlfn.NORM.INV(RAND(),Reference!$C$8,0.1*Reference!$C$8)*(1+Reference!$C$11*(IF(MONTH($A3146)=Reference!$C$4,1,0)+IF(MONTH($A3146)=Reference!$C$5,1,0))+(IF(MONTH($A3146)=Reference!$C$6,Reference!$C$13,0))),0)</f>
        <v>263</v>
      </c>
      <c r="C3146" s="11">
        <f ca="1">B3146*Reference!$C$7*(1-IF(MONTH($A3146)=Reference!$C$6,1,0)*Reference!$C$12)</f>
        <v>244590</v>
      </c>
      <c r="D3146" s="10">
        <f ca="1">ROUND(_xlfn.NORM.INV(RAND(),Reference!$D$8,0.1*Reference!$D$8)*(1+Reference!$D$11*(IF(MONTH($A3146)=Reference!$D$4,1,0)+IF(MONTH($A3146)=Reference!$D$5,1,0))+(IF(MONTH($A3146)=Reference!$D$6,Reference!$D$13,0))),0)</f>
        <v>443</v>
      </c>
      <c r="E3146" s="11">
        <f ca="1">D3146*Reference!$D$7*(1-IF(MONTH($A3146)=Reference!$D$6,1,0)*Reference!$D$12)</f>
        <v>332250</v>
      </c>
      <c r="M3146" s="20"/>
      <c r="N3146" s="20"/>
      <c r="O3146" s="19"/>
      <c r="P3146" s="10"/>
      <c r="Q3146" s="10"/>
      <c r="R3146" s="10"/>
      <c r="S3146" s="10"/>
      <c r="T3146" s="10"/>
      <c r="U3146" s="10"/>
      <c r="V3146" s="10"/>
      <c r="W3146" s="10"/>
      <c r="X3146" s="10"/>
      <c r="Y3146" s="10"/>
    </row>
    <row r="3147" spans="1:25" x14ac:dyDescent="0.25">
      <c r="A3147" s="9">
        <v>43685</v>
      </c>
      <c r="B3147" s="10">
        <f ca="1">ROUND(_xlfn.NORM.INV(RAND(),Reference!$C$8,0.1*Reference!$C$8)*(1+Reference!$C$11*(IF(MONTH($A3147)=Reference!$C$4,1,0)+IF(MONTH($A3147)=Reference!$C$5,1,0))+(IF(MONTH($A3147)=Reference!$C$6,Reference!$C$13,0))),0)</f>
        <v>343</v>
      </c>
      <c r="C3147" s="11">
        <f ca="1">B3147*Reference!$C$7*(1-IF(MONTH($A3147)=Reference!$C$6,1,0)*Reference!$C$12)</f>
        <v>318990</v>
      </c>
      <c r="D3147" s="10">
        <f ca="1">ROUND(_xlfn.NORM.INV(RAND(),Reference!$D$8,0.1*Reference!$D$8)*(1+Reference!$D$11*(IF(MONTH($A3147)=Reference!$D$4,1,0)+IF(MONTH($A3147)=Reference!$D$5,1,0))+(IF(MONTH($A3147)=Reference!$D$6,Reference!$D$13,0))),0)</f>
        <v>558</v>
      </c>
      <c r="E3147" s="11">
        <f ca="1">D3147*Reference!$D$7*(1-IF(MONTH($A3147)=Reference!$D$6,1,0)*Reference!$D$12)</f>
        <v>418500</v>
      </c>
      <c r="M3147" s="20"/>
      <c r="N3147" s="20"/>
      <c r="O3147" s="19"/>
      <c r="P3147" s="10"/>
      <c r="Q3147" s="10"/>
      <c r="R3147" s="10"/>
      <c r="S3147" s="10"/>
      <c r="T3147" s="10"/>
      <c r="U3147" s="10"/>
      <c r="V3147" s="10"/>
      <c r="W3147" s="10"/>
      <c r="X3147" s="10"/>
      <c r="Y3147" s="10"/>
    </row>
    <row r="3148" spans="1:25" x14ac:dyDescent="0.25">
      <c r="A3148" s="9">
        <v>43686</v>
      </c>
      <c r="B3148" s="10">
        <f ca="1">ROUND(_xlfn.NORM.INV(RAND(),Reference!$C$8,0.1*Reference!$C$8)*(1+Reference!$C$11*(IF(MONTH($A3148)=Reference!$C$4,1,0)+IF(MONTH($A3148)=Reference!$C$5,1,0))+(IF(MONTH($A3148)=Reference!$C$6,Reference!$C$13,0))),0)</f>
        <v>393</v>
      </c>
      <c r="C3148" s="11">
        <f ca="1">B3148*Reference!$C$7*(1-IF(MONTH($A3148)=Reference!$C$6,1,0)*Reference!$C$12)</f>
        <v>365490</v>
      </c>
      <c r="D3148" s="10">
        <f ca="1">ROUND(_xlfn.NORM.INV(RAND(),Reference!$D$8,0.1*Reference!$D$8)*(1+Reference!$D$11*(IF(MONTH($A3148)=Reference!$D$4,1,0)+IF(MONTH($A3148)=Reference!$D$5,1,0))+(IF(MONTH($A3148)=Reference!$D$6,Reference!$D$13,0))),0)</f>
        <v>525</v>
      </c>
      <c r="E3148" s="11">
        <f ca="1">D3148*Reference!$D$7*(1-IF(MONTH($A3148)=Reference!$D$6,1,0)*Reference!$D$12)</f>
        <v>393750</v>
      </c>
      <c r="M3148" s="20"/>
      <c r="N3148" s="20"/>
      <c r="O3148" s="19"/>
      <c r="P3148" s="10"/>
      <c r="Q3148" s="10"/>
      <c r="R3148" s="10"/>
      <c r="S3148" s="10"/>
      <c r="T3148" s="10"/>
      <c r="U3148" s="10"/>
      <c r="V3148" s="10"/>
      <c r="W3148" s="10"/>
      <c r="X3148" s="10"/>
      <c r="Y3148" s="10"/>
    </row>
    <row r="3149" spans="1:25" x14ac:dyDescent="0.25">
      <c r="A3149" s="9">
        <v>43687</v>
      </c>
      <c r="B3149" s="10">
        <f ca="1">ROUND(_xlfn.NORM.INV(RAND(),Reference!$C$8,0.1*Reference!$C$8)*(1+Reference!$C$11*(IF(MONTH($A3149)=Reference!$C$4,1,0)+IF(MONTH($A3149)=Reference!$C$5,1,0))+(IF(MONTH($A3149)=Reference!$C$6,Reference!$C$13,0))),0)</f>
        <v>400</v>
      </c>
      <c r="C3149" s="11">
        <f ca="1">B3149*Reference!$C$7*(1-IF(MONTH($A3149)=Reference!$C$6,1,0)*Reference!$C$12)</f>
        <v>372000</v>
      </c>
      <c r="D3149" s="10">
        <f ca="1">ROUND(_xlfn.NORM.INV(RAND(),Reference!$D$8,0.1*Reference!$D$8)*(1+Reference!$D$11*(IF(MONTH($A3149)=Reference!$D$4,1,0)+IF(MONTH($A3149)=Reference!$D$5,1,0))+(IF(MONTH($A3149)=Reference!$D$6,Reference!$D$13,0))),0)</f>
        <v>494</v>
      </c>
      <c r="E3149" s="11">
        <f ca="1">D3149*Reference!$D$7*(1-IF(MONTH($A3149)=Reference!$D$6,1,0)*Reference!$D$12)</f>
        <v>370500</v>
      </c>
      <c r="M3149" s="20"/>
      <c r="N3149" s="20"/>
      <c r="O3149" s="19"/>
      <c r="P3149" s="10"/>
      <c r="Q3149" s="10"/>
      <c r="R3149" s="10"/>
      <c r="S3149" s="10"/>
      <c r="T3149" s="10"/>
      <c r="U3149" s="10"/>
      <c r="V3149" s="10"/>
      <c r="W3149" s="10"/>
      <c r="X3149" s="10"/>
      <c r="Y3149" s="10"/>
    </row>
    <row r="3150" spans="1:25" x14ac:dyDescent="0.25">
      <c r="A3150" s="9">
        <v>43688</v>
      </c>
      <c r="B3150" s="10">
        <f ca="1">ROUND(_xlfn.NORM.INV(RAND(),Reference!$C$8,0.1*Reference!$C$8)*(1+Reference!$C$11*(IF(MONTH($A3150)=Reference!$C$4,1,0)+IF(MONTH($A3150)=Reference!$C$5,1,0))+(IF(MONTH($A3150)=Reference!$C$6,Reference!$C$13,0))),0)</f>
        <v>299</v>
      </c>
      <c r="C3150" s="11">
        <f ca="1">B3150*Reference!$C$7*(1-IF(MONTH($A3150)=Reference!$C$6,1,0)*Reference!$C$12)</f>
        <v>278070</v>
      </c>
      <c r="D3150" s="10">
        <f ca="1">ROUND(_xlfn.NORM.INV(RAND(),Reference!$D$8,0.1*Reference!$D$8)*(1+Reference!$D$11*(IF(MONTH($A3150)=Reference!$D$4,1,0)+IF(MONTH($A3150)=Reference!$D$5,1,0))+(IF(MONTH($A3150)=Reference!$D$6,Reference!$D$13,0))),0)</f>
        <v>508</v>
      </c>
      <c r="E3150" s="11">
        <f ca="1">D3150*Reference!$D$7*(1-IF(MONTH($A3150)=Reference!$D$6,1,0)*Reference!$D$12)</f>
        <v>381000</v>
      </c>
      <c r="M3150" s="20"/>
      <c r="N3150" s="20"/>
      <c r="O3150" s="19"/>
      <c r="P3150" s="10"/>
      <c r="Q3150" s="10"/>
      <c r="R3150" s="10"/>
      <c r="S3150" s="10"/>
      <c r="T3150" s="10"/>
      <c r="U3150" s="10"/>
      <c r="V3150" s="10"/>
      <c r="W3150" s="10"/>
      <c r="X3150" s="10"/>
      <c r="Y3150" s="10"/>
    </row>
    <row r="3151" spans="1:25" x14ac:dyDescent="0.25">
      <c r="A3151" s="9">
        <v>43689</v>
      </c>
      <c r="B3151" s="10">
        <f ca="1">ROUND(_xlfn.NORM.INV(RAND(),Reference!$C$8,0.1*Reference!$C$8)*(1+Reference!$C$11*(IF(MONTH($A3151)=Reference!$C$4,1,0)+IF(MONTH($A3151)=Reference!$C$5,1,0))+(IF(MONTH($A3151)=Reference!$C$6,Reference!$C$13,0))),0)</f>
        <v>349</v>
      </c>
      <c r="C3151" s="11">
        <f ca="1">B3151*Reference!$C$7*(1-IF(MONTH($A3151)=Reference!$C$6,1,0)*Reference!$C$12)</f>
        <v>324570</v>
      </c>
      <c r="D3151" s="10">
        <f ca="1">ROUND(_xlfn.NORM.INV(RAND(),Reference!$D$8,0.1*Reference!$D$8)*(1+Reference!$D$11*(IF(MONTH($A3151)=Reference!$D$4,1,0)+IF(MONTH($A3151)=Reference!$D$5,1,0))+(IF(MONTH($A3151)=Reference!$D$6,Reference!$D$13,0))),0)</f>
        <v>512</v>
      </c>
      <c r="E3151" s="11">
        <f ca="1">D3151*Reference!$D$7*(1-IF(MONTH($A3151)=Reference!$D$6,1,0)*Reference!$D$12)</f>
        <v>384000</v>
      </c>
      <c r="M3151" s="20"/>
      <c r="N3151" s="20"/>
      <c r="O3151" s="19"/>
      <c r="P3151" s="10"/>
      <c r="Q3151" s="10"/>
      <c r="R3151" s="10"/>
      <c r="S3151" s="10"/>
      <c r="T3151" s="10"/>
      <c r="U3151" s="10"/>
      <c r="V3151" s="10"/>
      <c r="W3151" s="10"/>
      <c r="X3151" s="10"/>
      <c r="Y3151" s="10"/>
    </row>
    <row r="3152" spans="1:25" x14ac:dyDescent="0.25">
      <c r="A3152" s="9">
        <v>43690</v>
      </c>
      <c r="B3152" s="10">
        <f ca="1">ROUND(_xlfn.NORM.INV(RAND(),Reference!$C$8,0.1*Reference!$C$8)*(1+Reference!$C$11*(IF(MONTH($A3152)=Reference!$C$4,1,0)+IF(MONTH($A3152)=Reference!$C$5,1,0))+(IF(MONTH($A3152)=Reference!$C$6,Reference!$C$13,0))),0)</f>
        <v>362</v>
      </c>
      <c r="C3152" s="11">
        <f ca="1">B3152*Reference!$C$7*(1-IF(MONTH($A3152)=Reference!$C$6,1,0)*Reference!$C$12)</f>
        <v>336660</v>
      </c>
      <c r="D3152" s="10">
        <f ca="1">ROUND(_xlfn.NORM.INV(RAND(),Reference!$D$8,0.1*Reference!$D$8)*(1+Reference!$D$11*(IF(MONTH($A3152)=Reference!$D$4,1,0)+IF(MONTH($A3152)=Reference!$D$5,1,0))+(IF(MONTH($A3152)=Reference!$D$6,Reference!$D$13,0))),0)</f>
        <v>506</v>
      </c>
      <c r="E3152" s="11">
        <f ca="1">D3152*Reference!$D$7*(1-IF(MONTH($A3152)=Reference!$D$6,1,0)*Reference!$D$12)</f>
        <v>379500</v>
      </c>
      <c r="M3152" s="20"/>
      <c r="N3152" s="20"/>
      <c r="O3152" s="19"/>
      <c r="P3152" s="10"/>
      <c r="Q3152" s="10"/>
      <c r="R3152" s="10"/>
      <c r="S3152" s="10"/>
      <c r="T3152" s="10"/>
      <c r="U3152" s="10"/>
      <c r="V3152" s="10"/>
      <c r="W3152" s="10"/>
      <c r="X3152" s="10"/>
      <c r="Y3152" s="10"/>
    </row>
    <row r="3153" spans="1:25" x14ac:dyDescent="0.25">
      <c r="A3153" s="9">
        <v>43691</v>
      </c>
      <c r="B3153" s="10">
        <f ca="1">ROUND(_xlfn.NORM.INV(RAND(),Reference!$C$8,0.1*Reference!$C$8)*(1+Reference!$C$11*(IF(MONTH($A3153)=Reference!$C$4,1,0)+IF(MONTH($A3153)=Reference!$C$5,1,0))+(IF(MONTH($A3153)=Reference!$C$6,Reference!$C$13,0))),0)</f>
        <v>344</v>
      </c>
      <c r="C3153" s="11">
        <f ca="1">B3153*Reference!$C$7*(1-IF(MONTH($A3153)=Reference!$C$6,1,0)*Reference!$C$12)</f>
        <v>319920</v>
      </c>
      <c r="D3153" s="10">
        <f ca="1">ROUND(_xlfn.NORM.INV(RAND(),Reference!$D$8,0.1*Reference!$D$8)*(1+Reference!$D$11*(IF(MONTH($A3153)=Reference!$D$4,1,0)+IF(MONTH($A3153)=Reference!$D$5,1,0))+(IF(MONTH($A3153)=Reference!$D$6,Reference!$D$13,0))),0)</f>
        <v>509</v>
      </c>
      <c r="E3153" s="11">
        <f ca="1">D3153*Reference!$D$7*(1-IF(MONTH($A3153)=Reference!$D$6,1,0)*Reference!$D$12)</f>
        <v>381750</v>
      </c>
      <c r="M3153" s="20"/>
      <c r="N3153" s="20"/>
      <c r="O3153" s="19"/>
      <c r="P3153" s="10"/>
      <c r="Q3153" s="10"/>
      <c r="R3153" s="10"/>
      <c r="S3153" s="10"/>
      <c r="T3153" s="10"/>
      <c r="U3153" s="10"/>
      <c r="V3153" s="10"/>
      <c r="W3153" s="10"/>
      <c r="X3153" s="10"/>
      <c r="Y3153" s="10"/>
    </row>
    <row r="3154" spans="1:25" x14ac:dyDescent="0.25">
      <c r="A3154" s="9">
        <v>43692</v>
      </c>
      <c r="B3154" s="10">
        <f ca="1">ROUND(_xlfn.NORM.INV(RAND(),Reference!$C$8,0.1*Reference!$C$8)*(1+Reference!$C$11*(IF(MONTH($A3154)=Reference!$C$4,1,0)+IF(MONTH($A3154)=Reference!$C$5,1,0))+(IF(MONTH($A3154)=Reference!$C$6,Reference!$C$13,0))),0)</f>
        <v>394</v>
      </c>
      <c r="C3154" s="11">
        <f ca="1">B3154*Reference!$C$7*(1-IF(MONTH($A3154)=Reference!$C$6,1,0)*Reference!$C$12)</f>
        <v>366420</v>
      </c>
      <c r="D3154" s="10">
        <f ca="1">ROUND(_xlfn.NORM.INV(RAND(),Reference!$D$8,0.1*Reference!$D$8)*(1+Reference!$D$11*(IF(MONTH($A3154)=Reference!$D$4,1,0)+IF(MONTH($A3154)=Reference!$D$5,1,0))+(IF(MONTH($A3154)=Reference!$D$6,Reference!$D$13,0))),0)</f>
        <v>469</v>
      </c>
      <c r="E3154" s="11">
        <f ca="1">D3154*Reference!$D$7*(1-IF(MONTH($A3154)=Reference!$D$6,1,0)*Reference!$D$12)</f>
        <v>351750</v>
      </c>
      <c r="M3154" s="20"/>
      <c r="N3154" s="20"/>
      <c r="O3154" s="19"/>
      <c r="P3154" s="10"/>
      <c r="Q3154" s="10"/>
      <c r="R3154" s="10"/>
      <c r="S3154" s="10"/>
      <c r="T3154" s="10"/>
      <c r="U3154" s="10"/>
      <c r="V3154" s="10"/>
      <c r="W3154" s="10"/>
      <c r="X3154" s="10"/>
      <c r="Y3154" s="10"/>
    </row>
    <row r="3155" spans="1:25" x14ac:dyDescent="0.25">
      <c r="A3155" s="9">
        <v>43693</v>
      </c>
      <c r="B3155" s="10">
        <f ca="1">ROUND(_xlfn.NORM.INV(RAND(),Reference!$C$8,0.1*Reference!$C$8)*(1+Reference!$C$11*(IF(MONTH($A3155)=Reference!$C$4,1,0)+IF(MONTH($A3155)=Reference!$C$5,1,0))+(IF(MONTH($A3155)=Reference!$C$6,Reference!$C$13,0))),0)</f>
        <v>351</v>
      </c>
      <c r="C3155" s="11">
        <f ca="1">B3155*Reference!$C$7*(1-IF(MONTH($A3155)=Reference!$C$6,1,0)*Reference!$C$12)</f>
        <v>326430</v>
      </c>
      <c r="D3155" s="10">
        <f ca="1">ROUND(_xlfn.NORM.INV(RAND(),Reference!$D$8,0.1*Reference!$D$8)*(1+Reference!$D$11*(IF(MONTH($A3155)=Reference!$D$4,1,0)+IF(MONTH($A3155)=Reference!$D$5,1,0))+(IF(MONTH($A3155)=Reference!$D$6,Reference!$D$13,0))),0)</f>
        <v>584</v>
      </c>
      <c r="E3155" s="11">
        <f ca="1">D3155*Reference!$D$7*(1-IF(MONTH($A3155)=Reference!$D$6,1,0)*Reference!$D$12)</f>
        <v>438000</v>
      </c>
      <c r="M3155" s="20"/>
      <c r="N3155" s="20"/>
      <c r="O3155" s="19"/>
      <c r="P3155" s="10"/>
      <c r="Q3155" s="10"/>
      <c r="R3155" s="10"/>
      <c r="S3155" s="10"/>
      <c r="T3155" s="10"/>
      <c r="U3155" s="10"/>
      <c r="V3155" s="10"/>
      <c r="W3155" s="10"/>
      <c r="X3155" s="10"/>
      <c r="Y3155" s="10"/>
    </row>
    <row r="3156" spans="1:25" x14ac:dyDescent="0.25">
      <c r="A3156" s="9">
        <v>43694</v>
      </c>
      <c r="B3156" s="10">
        <f ca="1">ROUND(_xlfn.NORM.INV(RAND(),Reference!$C$8,0.1*Reference!$C$8)*(1+Reference!$C$11*(IF(MONTH($A3156)=Reference!$C$4,1,0)+IF(MONTH($A3156)=Reference!$C$5,1,0))+(IF(MONTH($A3156)=Reference!$C$6,Reference!$C$13,0))),0)</f>
        <v>363</v>
      </c>
      <c r="C3156" s="11">
        <f ca="1">B3156*Reference!$C$7*(1-IF(MONTH($A3156)=Reference!$C$6,1,0)*Reference!$C$12)</f>
        <v>337590</v>
      </c>
      <c r="D3156" s="10">
        <f ca="1">ROUND(_xlfn.NORM.INV(RAND(),Reference!$D$8,0.1*Reference!$D$8)*(1+Reference!$D$11*(IF(MONTH($A3156)=Reference!$D$4,1,0)+IF(MONTH($A3156)=Reference!$D$5,1,0))+(IF(MONTH($A3156)=Reference!$D$6,Reference!$D$13,0))),0)</f>
        <v>496</v>
      </c>
      <c r="E3156" s="11">
        <f ca="1">D3156*Reference!$D$7*(1-IF(MONTH($A3156)=Reference!$D$6,1,0)*Reference!$D$12)</f>
        <v>372000</v>
      </c>
      <c r="M3156" s="20"/>
      <c r="N3156" s="20"/>
      <c r="O3156" s="19"/>
      <c r="P3156" s="10"/>
      <c r="Q3156" s="10"/>
      <c r="R3156" s="10"/>
      <c r="S3156" s="10"/>
      <c r="T3156" s="10"/>
      <c r="U3156" s="10"/>
      <c r="V3156" s="10"/>
      <c r="W3156" s="10"/>
      <c r="X3156" s="10"/>
      <c r="Y3156" s="10"/>
    </row>
    <row r="3157" spans="1:25" x14ac:dyDescent="0.25">
      <c r="A3157" s="9">
        <v>43695</v>
      </c>
      <c r="B3157" s="10">
        <f ca="1">ROUND(_xlfn.NORM.INV(RAND(),Reference!$C$8,0.1*Reference!$C$8)*(1+Reference!$C$11*(IF(MONTH($A3157)=Reference!$C$4,1,0)+IF(MONTH($A3157)=Reference!$C$5,1,0))+(IF(MONTH($A3157)=Reference!$C$6,Reference!$C$13,0))),0)</f>
        <v>405</v>
      </c>
      <c r="C3157" s="11">
        <f ca="1">B3157*Reference!$C$7*(1-IF(MONTH($A3157)=Reference!$C$6,1,0)*Reference!$C$12)</f>
        <v>376650</v>
      </c>
      <c r="D3157" s="10">
        <f ca="1">ROUND(_xlfn.NORM.INV(RAND(),Reference!$D$8,0.1*Reference!$D$8)*(1+Reference!$D$11*(IF(MONTH($A3157)=Reference!$D$4,1,0)+IF(MONTH($A3157)=Reference!$D$5,1,0))+(IF(MONTH($A3157)=Reference!$D$6,Reference!$D$13,0))),0)</f>
        <v>502</v>
      </c>
      <c r="E3157" s="11">
        <f ca="1">D3157*Reference!$D$7*(1-IF(MONTH($A3157)=Reference!$D$6,1,0)*Reference!$D$12)</f>
        <v>376500</v>
      </c>
      <c r="M3157" s="20"/>
      <c r="N3157" s="20"/>
      <c r="O3157" s="19"/>
      <c r="P3157" s="10"/>
      <c r="Q3157" s="10"/>
      <c r="R3157" s="10"/>
      <c r="S3157" s="10"/>
      <c r="T3157" s="10"/>
      <c r="U3157" s="10"/>
      <c r="V3157" s="10"/>
      <c r="W3157" s="10"/>
      <c r="X3157" s="10"/>
      <c r="Y3157" s="10"/>
    </row>
    <row r="3158" spans="1:25" x14ac:dyDescent="0.25">
      <c r="A3158" s="9">
        <v>43696</v>
      </c>
      <c r="B3158" s="10">
        <f ca="1">ROUND(_xlfn.NORM.INV(RAND(),Reference!$C$8,0.1*Reference!$C$8)*(1+Reference!$C$11*(IF(MONTH($A3158)=Reference!$C$4,1,0)+IF(MONTH($A3158)=Reference!$C$5,1,0))+(IF(MONTH($A3158)=Reference!$C$6,Reference!$C$13,0))),0)</f>
        <v>352</v>
      </c>
      <c r="C3158" s="11">
        <f ca="1">B3158*Reference!$C$7*(1-IF(MONTH($A3158)=Reference!$C$6,1,0)*Reference!$C$12)</f>
        <v>327360</v>
      </c>
      <c r="D3158" s="10">
        <f ca="1">ROUND(_xlfn.NORM.INV(RAND(),Reference!$D$8,0.1*Reference!$D$8)*(1+Reference!$D$11*(IF(MONTH($A3158)=Reference!$D$4,1,0)+IF(MONTH($A3158)=Reference!$D$5,1,0))+(IF(MONTH($A3158)=Reference!$D$6,Reference!$D$13,0))),0)</f>
        <v>539</v>
      </c>
      <c r="E3158" s="11">
        <f ca="1">D3158*Reference!$D$7*(1-IF(MONTH($A3158)=Reference!$D$6,1,0)*Reference!$D$12)</f>
        <v>404250</v>
      </c>
      <c r="M3158" s="20"/>
      <c r="N3158" s="20"/>
      <c r="O3158" s="19"/>
      <c r="P3158" s="10"/>
      <c r="Q3158" s="10"/>
      <c r="R3158" s="10"/>
      <c r="S3158" s="10"/>
      <c r="T3158" s="10"/>
      <c r="U3158" s="10"/>
      <c r="V3158" s="10"/>
      <c r="W3158" s="10"/>
      <c r="X3158" s="10"/>
      <c r="Y3158" s="10"/>
    </row>
    <row r="3159" spans="1:25" x14ac:dyDescent="0.25">
      <c r="A3159" s="9">
        <v>43697</v>
      </c>
      <c r="B3159" s="10">
        <f ca="1">ROUND(_xlfn.NORM.INV(RAND(),Reference!$C$8,0.1*Reference!$C$8)*(1+Reference!$C$11*(IF(MONTH($A3159)=Reference!$C$4,1,0)+IF(MONTH($A3159)=Reference!$C$5,1,0))+(IF(MONTH($A3159)=Reference!$C$6,Reference!$C$13,0))),0)</f>
        <v>410</v>
      </c>
      <c r="C3159" s="11">
        <f ca="1">B3159*Reference!$C$7*(1-IF(MONTH($A3159)=Reference!$C$6,1,0)*Reference!$C$12)</f>
        <v>381300</v>
      </c>
      <c r="D3159" s="10">
        <f ca="1">ROUND(_xlfn.NORM.INV(RAND(),Reference!$D$8,0.1*Reference!$D$8)*(1+Reference!$D$11*(IF(MONTH($A3159)=Reference!$D$4,1,0)+IF(MONTH($A3159)=Reference!$D$5,1,0))+(IF(MONTH($A3159)=Reference!$D$6,Reference!$D$13,0))),0)</f>
        <v>492</v>
      </c>
      <c r="E3159" s="11">
        <f ca="1">D3159*Reference!$D$7*(1-IF(MONTH($A3159)=Reference!$D$6,1,0)*Reference!$D$12)</f>
        <v>369000</v>
      </c>
      <c r="M3159" s="20"/>
      <c r="N3159" s="20"/>
      <c r="O3159" s="19"/>
      <c r="P3159" s="10"/>
      <c r="Q3159" s="10"/>
      <c r="R3159" s="10"/>
      <c r="S3159" s="10"/>
      <c r="T3159" s="10"/>
      <c r="U3159" s="10"/>
      <c r="V3159" s="10"/>
      <c r="W3159" s="10"/>
      <c r="X3159" s="10"/>
      <c r="Y3159" s="10"/>
    </row>
    <row r="3160" spans="1:25" x14ac:dyDescent="0.25">
      <c r="A3160" s="9">
        <v>43698</v>
      </c>
      <c r="B3160" s="10">
        <f ca="1">ROUND(_xlfn.NORM.INV(RAND(),Reference!$C$8,0.1*Reference!$C$8)*(1+Reference!$C$11*(IF(MONTH($A3160)=Reference!$C$4,1,0)+IF(MONTH($A3160)=Reference!$C$5,1,0))+(IF(MONTH($A3160)=Reference!$C$6,Reference!$C$13,0))),0)</f>
        <v>411</v>
      </c>
      <c r="C3160" s="11">
        <f ca="1">B3160*Reference!$C$7*(1-IF(MONTH($A3160)=Reference!$C$6,1,0)*Reference!$C$12)</f>
        <v>382230</v>
      </c>
      <c r="D3160" s="10">
        <f ca="1">ROUND(_xlfn.NORM.INV(RAND(),Reference!$D$8,0.1*Reference!$D$8)*(1+Reference!$D$11*(IF(MONTH($A3160)=Reference!$D$4,1,0)+IF(MONTH($A3160)=Reference!$D$5,1,0))+(IF(MONTH($A3160)=Reference!$D$6,Reference!$D$13,0))),0)</f>
        <v>397</v>
      </c>
      <c r="E3160" s="11">
        <f ca="1">D3160*Reference!$D$7*(1-IF(MONTH($A3160)=Reference!$D$6,1,0)*Reference!$D$12)</f>
        <v>297750</v>
      </c>
      <c r="M3160" s="20"/>
      <c r="N3160" s="20"/>
      <c r="O3160" s="19"/>
      <c r="P3160" s="10"/>
      <c r="Q3160" s="10"/>
      <c r="R3160" s="10"/>
      <c r="S3160" s="10"/>
      <c r="T3160" s="10"/>
      <c r="U3160" s="10"/>
      <c r="V3160" s="10"/>
      <c r="W3160" s="10"/>
      <c r="X3160" s="10"/>
      <c r="Y3160" s="10"/>
    </row>
    <row r="3161" spans="1:25" x14ac:dyDescent="0.25">
      <c r="A3161" s="9">
        <v>43699</v>
      </c>
      <c r="B3161" s="10">
        <f ca="1">ROUND(_xlfn.NORM.INV(RAND(),Reference!$C$8,0.1*Reference!$C$8)*(1+Reference!$C$11*(IF(MONTH($A3161)=Reference!$C$4,1,0)+IF(MONTH($A3161)=Reference!$C$5,1,0))+(IF(MONTH($A3161)=Reference!$C$6,Reference!$C$13,0))),0)</f>
        <v>393</v>
      </c>
      <c r="C3161" s="11">
        <f ca="1">B3161*Reference!$C$7*(1-IF(MONTH($A3161)=Reference!$C$6,1,0)*Reference!$C$12)</f>
        <v>365490</v>
      </c>
      <c r="D3161" s="10">
        <f ca="1">ROUND(_xlfn.NORM.INV(RAND(),Reference!$D$8,0.1*Reference!$D$8)*(1+Reference!$D$11*(IF(MONTH($A3161)=Reference!$D$4,1,0)+IF(MONTH($A3161)=Reference!$D$5,1,0))+(IF(MONTH($A3161)=Reference!$D$6,Reference!$D$13,0))),0)</f>
        <v>501</v>
      </c>
      <c r="E3161" s="11">
        <f ca="1">D3161*Reference!$D$7*(1-IF(MONTH($A3161)=Reference!$D$6,1,0)*Reference!$D$12)</f>
        <v>375750</v>
      </c>
      <c r="M3161" s="20"/>
      <c r="N3161" s="20"/>
      <c r="O3161" s="19"/>
      <c r="P3161" s="10"/>
      <c r="Q3161" s="10"/>
      <c r="R3161" s="10"/>
      <c r="S3161" s="10"/>
      <c r="T3161" s="10"/>
      <c r="U3161" s="10"/>
      <c r="V3161" s="10"/>
      <c r="W3161" s="10"/>
      <c r="X3161" s="10"/>
      <c r="Y3161" s="10"/>
    </row>
    <row r="3162" spans="1:25" x14ac:dyDescent="0.25">
      <c r="A3162" s="9">
        <v>43700</v>
      </c>
      <c r="B3162" s="10">
        <f ca="1">ROUND(_xlfn.NORM.INV(RAND(),Reference!$C$8,0.1*Reference!$C$8)*(1+Reference!$C$11*(IF(MONTH($A3162)=Reference!$C$4,1,0)+IF(MONTH($A3162)=Reference!$C$5,1,0))+(IF(MONTH($A3162)=Reference!$C$6,Reference!$C$13,0))),0)</f>
        <v>403</v>
      </c>
      <c r="C3162" s="11">
        <f ca="1">B3162*Reference!$C$7*(1-IF(MONTH($A3162)=Reference!$C$6,1,0)*Reference!$C$12)</f>
        <v>374790</v>
      </c>
      <c r="D3162" s="10">
        <f ca="1">ROUND(_xlfn.NORM.INV(RAND(),Reference!$D$8,0.1*Reference!$D$8)*(1+Reference!$D$11*(IF(MONTH($A3162)=Reference!$D$4,1,0)+IF(MONTH($A3162)=Reference!$D$5,1,0))+(IF(MONTH($A3162)=Reference!$D$6,Reference!$D$13,0))),0)</f>
        <v>547</v>
      </c>
      <c r="E3162" s="11">
        <f ca="1">D3162*Reference!$D$7*(1-IF(MONTH($A3162)=Reference!$D$6,1,0)*Reference!$D$12)</f>
        <v>410250</v>
      </c>
      <c r="M3162" s="20"/>
      <c r="N3162" s="20"/>
      <c r="O3162" s="19"/>
      <c r="P3162" s="10"/>
      <c r="Q3162" s="10"/>
      <c r="R3162" s="10"/>
      <c r="S3162" s="10"/>
      <c r="T3162" s="10"/>
      <c r="U3162" s="10"/>
      <c r="V3162" s="10"/>
      <c r="W3162" s="10"/>
      <c r="X3162" s="10"/>
      <c r="Y3162" s="10"/>
    </row>
    <row r="3163" spans="1:25" x14ac:dyDescent="0.25">
      <c r="A3163" s="9">
        <v>43701</v>
      </c>
      <c r="B3163" s="10">
        <f ca="1">ROUND(_xlfn.NORM.INV(RAND(),Reference!$C$8,0.1*Reference!$C$8)*(1+Reference!$C$11*(IF(MONTH($A3163)=Reference!$C$4,1,0)+IF(MONTH($A3163)=Reference!$C$5,1,0))+(IF(MONTH($A3163)=Reference!$C$6,Reference!$C$13,0))),0)</f>
        <v>364</v>
      </c>
      <c r="C3163" s="11">
        <f ca="1">B3163*Reference!$C$7*(1-IF(MONTH($A3163)=Reference!$C$6,1,0)*Reference!$C$12)</f>
        <v>338520</v>
      </c>
      <c r="D3163" s="10">
        <f ca="1">ROUND(_xlfn.NORM.INV(RAND(),Reference!$D$8,0.1*Reference!$D$8)*(1+Reference!$D$11*(IF(MONTH($A3163)=Reference!$D$4,1,0)+IF(MONTH($A3163)=Reference!$D$5,1,0))+(IF(MONTH($A3163)=Reference!$D$6,Reference!$D$13,0))),0)</f>
        <v>432</v>
      </c>
      <c r="E3163" s="11">
        <f ca="1">D3163*Reference!$D$7*(1-IF(MONTH($A3163)=Reference!$D$6,1,0)*Reference!$D$12)</f>
        <v>324000</v>
      </c>
      <c r="M3163" s="20"/>
      <c r="N3163" s="20"/>
      <c r="O3163" s="19"/>
      <c r="P3163" s="10"/>
      <c r="Q3163" s="10"/>
      <c r="R3163" s="10"/>
      <c r="S3163" s="10"/>
      <c r="T3163" s="10"/>
      <c r="U3163" s="10"/>
      <c r="V3163" s="10"/>
      <c r="W3163" s="10"/>
      <c r="X3163" s="10"/>
      <c r="Y3163" s="10"/>
    </row>
    <row r="3164" spans="1:25" x14ac:dyDescent="0.25">
      <c r="A3164" s="9">
        <v>43702</v>
      </c>
      <c r="B3164" s="10">
        <f ca="1">ROUND(_xlfn.NORM.INV(RAND(),Reference!$C$8,0.1*Reference!$C$8)*(1+Reference!$C$11*(IF(MONTH($A3164)=Reference!$C$4,1,0)+IF(MONTH($A3164)=Reference!$C$5,1,0))+(IF(MONTH($A3164)=Reference!$C$6,Reference!$C$13,0))),0)</f>
        <v>407</v>
      </c>
      <c r="C3164" s="11">
        <f ca="1">B3164*Reference!$C$7*(1-IF(MONTH($A3164)=Reference!$C$6,1,0)*Reference!$C$12)</f>
        <v>378510</v>
      </c>
      <c r="D3164" s="10">
        <f ca="1">ROUND(_xlfn.NORM.INV(RAND(),Reference!$D$8,0.1*Reference!$D$8)*(1+Reference!$D$11*(IF(MONTH($A3164)=Reference!$D$4,1,0)+IF(MONTH($A3164)=Reference!$D$5,1,0))+(IF(MONTH($A3164)=Reference!$D$6,Reference!$D$13,0))),0)</f>
        <v>488</v>
      </c>
      <c r="E3164" s="11">
        <f ca="1">D3164*Reference!$D$7*(1-IF(MONTH($A3164)=Reference!$D$6,1,0)*Reference!$D$12)</f>
        <v>366000</v>
      </c>
      <c r="M3164" s="20"/>
      <c r="N3164" s="20"/>
      <c r="O3164" s="19"/>
      <c r="P3164" s="10"/>
      <c r="Q3164" s="10"/>
      <c r="R3164" s="10"/>
      <c r="S3164" s="10"/>
      <c r="T3164" s="10"/>
      <c r="U3164" s="10"/>
      <c r="V3164" s="10"/>
      <c r="W3164" s="10"/>
      <c r="X3164" s="10"/>
      <c r="Y3164" s="10"/>
    </row>
    <row r="3165" spans="1:25" x14ac:dyDescent="0.25">
      <c r="A3165" s="9">
        <v>43703</v>
      </c>
      <c r="B3165" s="10">
        <f ca="1">ROUND(_xlfn.NORM.INV(RAND(),Reference!$C$8,0.1*Reference!$C$8)*(1+Reference!$C$11*(IF(MONTH($A3165)=Reference!$C$4,1,0)+IF(MONTH($A3165)=Reference!$C$5,1,0))+(IF(MONTH($A3165)=Reference!$C$6,Reference!$C$13,0))),0)</f>
        <v>372</v>
      </c>
      <c r="C3165" s="11">
        <f ca="1">B3165*Reference!$C$7*(1-IF(MONTH($A3165)=Reference!$C$6,1,0)*Reference!$C$12)</f>
        <v>345960</v>
      </c>
      <c r="D3165" s="10">
        <f ca="1">ROUND(_xlfn.NORM.INV(RAND(),Reference!$D$8,0.1*Reference!$D$8)*(1+Reference!$D$11*(IF(MONTH($A3165)=Reference!$D$4,1,0)+IF(MONTH($A3165)=Reference!$D$5,1,0))+(IF(MONTH($A3165)=Reference!$D$6,Reference!$D$13,0))),0)</f>
        <v>605</v>
      </c>
      <c r="E3165" s="11">
        <f ca="1">D3165*Reference!$D$7*(1-IF(MONTH($A3165)=Reference!$D$6,1,0)*Reference!$D$12)</f>
        <v>453750</v>
      </c>
      <c r="M3165" s="20"/>
      <c r="N3165" s="20"/>
      <c r="O3165" s="19"/>
      <c r="P3165" s="10"/>
      <c r="Q3165" s="10"/>
      <c r="R3165" s="10"/>
      <c r="S3165" s="10"/>
      <c r="T3165" s="10"/>
      <c r="U3165" s="10"/>
      <c r="V3165" s="10"/>
      <c r="W3165" s="10"/>
      <c r="X3165" s="10"/>
      <c r="Y3165" s="10"/>
    </row>
    <row r="3166" spans="1:25" x14ac:dyDescent="0.25">
      <c r="A3166" s="9">
        <v>43704</v>
      </c>
      <c r="B3166" s="10">
        <f ca="1">ROUND(_xlfn.NORM.INV(RAND(),Reference!$C$8,0.1*Reference!$C$8)*(1+Reference!$C$11*(IF(MONTH($A3166)=Reference!$C$4,1,0)+IF(MONTH($A3166)=Reference!$C$5,1,0))+(IF(MONTH($A3166)=Reference!$C$6,Reference!$C$13,0))),0)</f>
        <v>384</v>
      </c>
      <c r="C3166" s="11">
        <f ca="1">B3166*Reference!$C$7*(1-IF(MONTH($A3166)=Reference!$C$6,1,0)*Reference!$C$12)</f>
        <v>357120</v>
      </c>
      <c r="D3166" s="10">
        <f ca="1">ROUND(_xlfn.NORM.INV(RAND(),Reference!$D$8,0.1*Reference!$D$8)*(1+Reference!$D$11*(IF(MONTH($A3166)=Reference!$D$4,1,0)+IF(MONTH($A3166)=Reference!$D$5,1,0))+(IF(MONTH($A3166)=Reference!$D$6,Reference!$D$13,0))),0)</f>
        <v>545</v>
      </c>
      <c r="E3166" s="11">
        <f ca="1">D3166*Reference!$D$7*(1-IF(MONTH($A3166)=Reference!$D$6,1,0)*Reference!$D$12)</f>
        <v>408750</v>
      </c>
      <c r="M3166" s="20"/>
      <c r="N3166" s="20"/>
      <c r="O3166" s="19"/>
      <c r="P3166" s="10"/>
      <c r="Q3166" s="10"/>
      <c r="R3166" s="10"/>
      <c r="S3166" s="10"/>
      <c r="T3166" s="10"/>
      <c r="U3166" s="10"/>
      <c r="V3166" s="10"/>
      <c r="W3166" s="10"/>
      <c r="X3166" s="10"/>
      <c r="Y3166" s="10"/>
    </row>
    <row r="3167" spans="1:25" x14ac:dyDescent="0.25">
      <c r="A3167" s="9">
        <v>43705</v>
      </c>
      <c r="B3167" s="10">
        <f ca="1">ROUND(_xlfn.NORM.INV(RAND(),Reference!$C$8,0.1*Reference!$C$8)*(1+Reference!$C$11*(IF(MONTH($A3167)=Reference!$C$4,1,0)+IF(MONTH($A3167)=Reference!$C$5,1,0))+(IF(MONTH($A3167)=Reference!$C$6,Reference!$C$13,0))),0)</f>
        <v>340</v>
      </c>
      <c r="C3167" s="11">
        <f ca="1">B3167*Reference!$C$7*(1-IF(MONTH($A3167)=Reference!$C$6,1,0)*Reference!$C$12)</f>
        <v>316200</v>
      </c>
      <c r="D3167" s="10">
        <f ca="1">ROUND(_xlfn.NORM.INV(RAND(),Reference!$D$8,0.1*Reference!$D$8)*(1+Reference!$D$11*(IF(MONTH($A3167)=Reference!$D$4,1,0)+IF(MONTH($A3167)=Reference!$D$5,1,0))+(IF(MONTH($A3167)=Reference!$D$6,Reference!$D$13,0))),0)</f>
        <v>427</v>
      </c>
      <c r="E3167" s="11">
        <f ca="1">D3167*Reference!$D$7*(1-IF(MONTH($A3167)=Reference!$D$6,1,0)*Reference!$D$12)</f>
        <v>320250</v>
      </c>
      <c r="M3167" s="20"/>
      <c r="N3167" s="20"/>
      <c r="O3167" s="19"/>
      <c r="P3167" s="10"/>
      <c r="Q3167" s="10"/>
      <c r="R3167" s="10"/>
      <c r="S3167" s="10"/>
      <c r="T3167" s="10"/>
      <c r="U3167" s="10"/>
      <c r="V3167" s="10"/>
      <c r="W3167" s="10"/>
      <c r="X3167" s="10"/>
      <c r="Y3167" s="10"/>
    </row>
    <row r="3168" spans="1:25" x14ac:dyDescent="0.25">
      <c r="A3168" s="9">
        <v>43706</v>
      </c>
      <c r="B3168" s="10">
        <f ca="1">ROUND(_xlfn.NORM.INV(RAND(),Reference!$C$8,0.1*Reference!$C$8)*(1+Reference!$C$11*(IF(MONTH($A3168)=Reference!$C$4,1,0)+IF(MONTH($A3168)=Reference!$C$5,1,0))+(IF(MONTH($A3168)=Reference!$C$6,Reference!$C$13,0))),0)</f>
        <v>351</v>
      </c>
      <c r="C3168" s="11">
        <f ca="1">B3168*Reference!$C$7*(1-IF(MONTH($A3168)=Reference!$C$6,1,0)*Reference!$C$12)</f>
        <v>326430</v>
      </c>
      <c r="D3168" s="10">
        <f ca="1">ROUND(_xlfn.NORM.INV(RAND(),Reference!$D$8,0.1*Reference!$D$8)*(1+Reference!$D$11*(IF(MONTH($A3168)=Reference!$D$4,1,0)+IF(MONTH($A3168)=Reference!$D$5,1,0))+(IF(MONTH($A3168)=Reference!$D$6,Reference!$D$13,0))),0)</f>
        <v>476</v>
      </c>
      <c r="E3168" s="11">
        <f ca="1">D3168*Reference!$D$7*(1-IF(MONTH($A3168)=Reference!$D$6,1,0)*Reference!$D$12)</f>
        <v>357000</v>
      </c>
      <c r="M3168" s="20"/>
      <c r="N3168" s="20"/>
      <c r="O3168" s="19"/>
      <c r="P3168" s="10"/>
      <c r="Q3168" s="10"/>
      <c r="R3168" s="10"/>
      <c r="S3168" s="10"/>
      <c r="T3168" s="10"/>
      <c r="U3168" s="10"/>
      <c r="V3168" s="10"/>
      <c r="W3168" s="10"/>
      <c r="X3168" s="10"/>
      <c r="Y3168" s="10"/>
    </row>
    <row r="3169" spans="1:25" x14ac:dyDescent="0.25">
      <c r="A3169" s="9">
        <v>43707</v>
      </c>
      <c r="B3169" s="10">
        <f ca="1">ROUND(_xlfn.NORM.INV(RAND(),Reference!$C$8,0.1*Reference!$C$8)*(1+Reference!$C$11*(IF(MONTH($A3169)=Reference!$C$4,1,0)+IF(MONTH($A3169)=Reference!$C$5,1,0))+(IF(MONTH($A3169)=Reference!$C$6,Reference!$C$13,0))),0)</f>
        <v>357</v>
      </c>
      <c r="C3169" s="11">
        <f ca="1">B3169*Reference!$C$7*(1-IF(MONTH($A3169)=Reference!$C$6,1,0)*Reference!$C$12)</f>
        <v>332010</v>
      </c>
      <c r="D3169" s="10">
        <f ca="1">ROUND(_xlfn.NORM.INV(RAND(),Reference!$D$8,0.1*Reference!$D$8)*(1+Reference!$D$11*(IF(MONTH($A3169)=Reference!$D$4,1,0)+IF(MONTH($A3169)=Reference!$D$5,1,0))+(IF(MONTH($A3169)=Reference!$D$6,Reference!$D$13,0))),0)</f>
        <v>526</v>
      </c>
      <c r="E3169" s="11">
        <f ca="1">D3169*Reference!$D$7*(1-IF(MONTH($A3169)=Reference!$D$6,1,0)*Reference!$D$12)</f>
        <v>394500</v>
      </c>
      <c r="M3169" s="20"/>
      <c r="N3169" s="20"/>
      <c r="O3169" s="19"/>
      <c r="P3169" s="10"/>
      <c r="Q3169" s="10"/>
      <c r="R3169" s="10"/>
      <c r="S3169" s="10"/>
      <c r="T3169" s="10"/>
      <c r="U3169" s="10"/>
      <c r="V3169" s="10"/>
      <c r="W3169" s="10"/>
      <c r="X3169" s="10"/>
      <c r="Y3169" s="10"/>
    </row>
    <row r="3170" spans="1:25" x14ac:dyDescent="0.25">
      <c r="A3170" s="9">
        <v>43708</v>
      </c>
      <c r="B3170" s="10">
        <f ca="1">ROUND(_xlfn.NORM.INV(RAND(),Reference!$C$8,0.1*Reference!$C$8)*(1+Reference!$C$11*(IF(MONTH($A3170)=Reference!$C$4,1,0)+IF(MONTH($A3170)=Reference!$C$5,1,0))+(IF(MONTH($A3170)=Reference!$C$6,Reference!$C$13,0))),0)</f>
        <v>389</v>
      </c>
      <c r="C3170" s="11">
        <f ca="1">B3170*Reference!$C$7*(1-IF(MONTH($A3170)=Reference!$C$6,1,0)*Reference!$C$12)</f>
        <v>361770</v>
      </c>
      <c r="D3170" s="10">
        <f ca="1">ROUND(_xlfn.NORM.INV(RAND(),Reference!$D$8,0.1*Reference!$D$8)*(1+Reference!$D$11*(IF(MONTH($A3170)=Reference!$D$4,1,0)+IF(MONTH($A3170)=Reference!$D$5,1,0))+(IF(MONTH($A3170)=Reference!$D$6,Reference!$D$13,0))),0)</f>
        <v>391</v>
      </c>
      <c r="E3170" s="11">
        <f ca="1">D3170*Reference!$D$7*(1-IF(MONTH($A3170)=Reference!$D$6,1,0)*Reference!$D$12)</f>
        <v>293250</v>
      </c>
      <c r="M3170" s="20"/>
      <c r="N3170" s="20"/>
      <c r="O3170" s="19"/>
      <c r="P3170" s="10"/>
      <c r="Q3170" s="10"/>
      <c r="R3170" s="10"/>
      <c r="S3170" s="10"/>
      <c r="T3170" s="10"/>
      <c r="U3170" s="10"/>
      <c r="V3170" s="10"/>
      <c r="W3170" s="10"/>
      <c r="X3170" s="10"/>
      <c r="Y3170" s="10"/>
    </row>
    <row r="3171" spans="1:25" x14ac:dyDescent="0.25">
      <c r="A3171" s="9">
        <v>43709</v>
      </c>
      <c r="B3171" s="10">
        <f ca="1">ROUND(_xlfn.NORM.INV(RAND(),Reference!$C$8,0.1*Reference!$C$8)*(1+Reference!$C$11*(IF(MONTH($A3171)=Reference!$C$4,1,0)+IF(MONTH($A3171)=Reference!$C$5,1,0))+(IF(MONTH($A3171)=Reference!$C$6,Reference!$C$13,0))),0)</f>
        <v>325</v>
      </c>
      <c r="C3171" s="11">
        <f ca="1">B3171*Reference!$C$7*(1-IF(MONTH($A3171)=Reference!$C$6,1,0)*Reference!$C$12)</f>
        <v>302250</v>
      </c>
      <c r="D3171" s="10">
        <f ca="1">ROUND(_xlfn.NORM.INV(RAND(),Reference!$D$8,0.1*Reference!$D$8)*(1+Reference!$D$11*(IF(MONTH($A3171)=Reference!$D$4,1,0)+IF(MONTH($A3171)=Reference!$D$5,1,0))+(IF(MONTH($A3171)=Reference!$D$6,Reference!$D$13,0))),0)</f>
        <v>536</v>
      </c>
      <c r="E3171" s="11">
        <f ca="1">D3171*Reference!$D$7*(1-IF(MONTH($A3171)=Reference!$D$6,1,0)*Reference!$D$12)</f>
        <v>381900</v>
      </c>
      <c r="M3171" s="20"/>
      <c r="N3171" s="20"/>
      <c r="O3171" s="19"/>
      <c r="P3171" s="10"/>
      <c r="Q3171" s="10"/>
      <c r="R3171" s="10"/>
      <c r="S3171" s="10"/>
      <c r="T3171" s="10"/>
      <c r="U3171" s="10"/>
      <c r="V3171" s="10"/>
      <c r="W3171" s="10"/>
      <c r="X3171" s="10"/>
      <c r="Y3171" s="10"/>
    </row>
    <row r="3172" spans="1:25" x14ac:dyDescent="0.25">
      <c r="A3172" s="9">
        <v>43710</v>
      </c>
      <c r="B3172" s="10">
        <f ca="1">ROUND(_xlfn.NORM.INV(RAND(),Reference!$C$8,0.1*Reference!$C$8)*(1+Reference!$C$11*(IF(MONTH($A3172)=Reference!$C$4,1,0)+IF(MONTH($A3172)=Reference!$C$5,1,0))+(IF(MONTH($A3172)=Reference!$C$6,Reference!$C$13,0))),0)</f>
        <v>401</v>
      </c>
      <c r="C3172" s="11">
        <f ca="1">B3172*Reference!$C$7*(1-IF(MONTH($A3172)=Reference!$C$6,1,0)*Reference!$C$12)</f>
        <v>372930</v>
      </c>
      <c r="D3172" s="10">
        <f ca="1">ROUND(_xlfn.NORM.INV(RAND(),Reference!$D$8,0.1*Reference!$D$8)*(1+Reference!$D$11*(IF(MONTH($A3172)=Reference!$D$4,1,0)+IF(MONTH($A3172)=Reference!$D$5,1,0))+(IF(MONTH($A3172)=Reference!$D$6,Reference!$D$13,0))),0)</f>
        <v>524</v>
      </c>
      <c r="E3172" s="11">
        <f ca="1">D3172*Reference!$D$7*(1-IF(MONTH($A3172)=Reference!$D$6,1,0)*Reference!$D$12)</f>
        <v>373350</v>
      </c>
      <c r="M3172" s="20"/>
      <c r="N3172" s="20"/>
      <c r="O3172" s="19"/>
      <c r="P3172" s="10"/>
      <c r="Q3172" s="10"/>
      <c r="R3172" s="10"/>
      <c r="S3172" s="10"/>
      <c r="T3172" s="10"/>
      <c r="U3172" s="10"/>
      <c r="V3172" s="10"/>
      <c r="W3172" s="10"/>
      <c r="X3172" s="10"/>
      <c r="Y3172" s="10"/>
    </row>
    <row r="3173" spans="1:25" x14ac:dyDescent="0.25">
      <c r="A3173" s="9">
        <v>43711</v>
      </c>
      <c r="B3173" s="10">
        <f ca="1">ROUND(_xlfn.NORM.INV(RAND(),Reference!$C$8,0.1*Reference!$C$8)*(1+Reference!$C$11*(IF(MONTH($A3173)=Reference!$C$4,1,0)+IF(MONTH($A3173)=Reference!$C$5,1,0))+(IF(MONTH($A3173)=Reference!$C$6,Reference!$C$13,0))),0)</f>
        <v>312</v>
      </c>
      <c r="C3173" s="11">
        <f ca="1">B3173*Reference!$C$7*(1-IF(MONTH($A3173)=Reference!$C$6,1,0)*Reference!$C$12)</f>
        <v>290160</v>
      </c>
      <c r="D3173" s="10">
        <f ca="1">ROUND(_xlfn.NORM.INV(RAND(),Reference!$D$8,0.1*Reference!$D$8)*(1+Reference!$D$11*(IF(MONTH($A3173)=Reference!$D$4,1,0)+IF(MONTH($A3173)=Reference!$D$5,1,0))+(IF(MONTH($A3173)=Reference!$D$6,Reference!$D$13,0))),0)</f>
        <v>500</v>
      </c>
      <c r="E3173" s="11">
        <f ca="1">D3173*Reference!$D$7*(1-IF(MONTH($A3173)=Reference!$D$6,1,0)*Reference!$D$12)</f>
        <v>356250</v>
      </c>
      <c r="M3173" s="20"/>
      <c r="N3173" s="20"/>
      <c r="O3173" s="19"/>
      <c r="P3173" s="10"/>
      <c r="Q3173" s="10"/>
      <c r="R3173" s="10"/>
      <c r="S3173" s="10"/>
      <c r="T3173" s="10"/>
      <c r="U3173" s="10"/>
      <c r="V3173" s="10"/>
      <c r="W3173" s="10"/>
      <c r="X3173" s="10"/>
      <c r="Y3173" s="10"/>
    </row>
    <row r="3174" spans="1:25" x14ac:dyDescent="0.25">
      <c r="A3174" s="9">
        <v>43712</v>
      </c>
      <c r="B3174" s="10">
        <f ca="1">ROUND(_xlfn.NORM.INV(RAND(),Reference!$C$8,0.1*Reference!$C$8)*(1+Reference!$C$11*(IF(MONTH($A3174)=Reference!$C$4,1,0)+IF(MONTH($A3174)=Reference!$C$5,1,0))+(IF(MONTH($A3174)=Reference!$C$6,Reference!$C$13,0))),0)</f>
        <v>380</v>
      </c>
      <c r="C3174" s="11">
        <f ca="1">B3174*Reference!$C$7*(1-IF(MONTH($A3174)=Reference!$C$6,1,0)*Reference!$C$12)</f>
        <v>353400</v>
      </c>
      <c r="D3174" s="10">
        <f ca="1">ROUND(_xlfn.NORM.INV(RAND(),Reference!$D$8,0.1*Reference!$D$8)*(1+Reference!$D$11*(IF(MONTH($A3174)=Reference!$D$4,1,0)+IF(MONTH($A3174)=Reference!$D$5,1,0))+(IF(MONTH($A3174)=Reference!$D$6,Reference!$D$13,0))),0)</f>
        <v>508</v>
      </c>
      <c r="E3174" s="11">
        <f ca="1">D3174*Reference!$D$7*(1-IF(MONTH($A3174)=Reference!$D$6,1,0)*Reference!$D$12)</f>
        <v>361950</v>
      </c>
      <c r="M3174" s="20"/>
      <c r="N3174" s="20"/>
      <c r="O3174" s="19"/>
      <c r="P3174" s="10"/>
      <c r="Q3174" s="10"/>
      <c r="R3174" s="10"/>
      <c r="S3174" s="10"/>
      <c r="T3174" s="10"/>
      <c r="U3174" s="10"/>
      <c r="V3174" s="10"/>
      <c r="W3174" s="10"/>
      <c r="X3174" s="10"/>
      <c r="Y3174" s="10"/>
    </row>
    <row r="3175" spans="1:25" x14ac:dyDescent="0.25">
      <c r="A3175" s="9">
        <v>43713</v>
      </c>
      <c r="B3175" s="10">
        <f ca="1">ROUND(_xlfn.NORM.INV(RAND(),Reference!$C$8,0.1*Reference!$C$8)*(1+Reference!$C$11*(IF(MONTH($A3175)=Reference!$C$4,1,0)+IF(MONTH($A3175)=Reference!$C$5,1,0))+(IF(MONTH($A3175)=Reference!$C$6,Reference!$C$13,0))),0)</f>
        <v>356</v>
      </c>
      <c r="C3175" s="11">
        <f ca="1">B3175*Reference!$C$7*(1-IF(MONTH($A3175)=Reference!$C$6,1,0)*Reference!$C$12)</f>
        <v>331080</v>
      </c>
      <c r="D3175" s="10">
        <f ca="1">ROUND(_xlfn.NORM.INV(RAND(),Reference!$D$8,0.1*Reference!$D$8)*(1+Reference!$D$11*(IF(MONTH($A3175)=Reference!$D$4,1,0)+IF(MONTH($A3175)=Reference!$D$5,1,0))+(IF(MONTH($A3175)=Reference!$D$6,Reference!$D$13,0))),0)</f>
        <v>448</v>
      </c>
      <c r="E3175" s="11">
        <f ca="1">D3175*Reference!$D$7*(1-IF(MONTH($A3175)=Reference!$D$6,1,0)*Reference!$D$12)</f>
        <v>319200</v>
      </c>
      <c r="M3175" s="20"/>
      <c r="N3175" s="20"/>
      <c r="O3175" s="19"/>
      <c r="P3175" s="10"/>
      <c r="Q3175" s="10"/>
      <c r="R3175" s="10"/>
      <c r="S3175" s="10"/>
      <c r="T3175" s="10"/>
      <c r="U3175" s="10"/>
      <c r="V3175" s="10"/>
      <c r="W3175" s="10"/>
      <c r="X3175" s="10"/>
      <c r="Y3175" s="10"/>
    </row>
    <row r="3176" spans="1:25" x14ac:dyDescent="0.25">
      <c r="A3176" s="9">
        <v>43714</v>
      </c>
      <c r="B3176" s="10">
        <f ca="1">ROUND(_xlfn.NORM.INV(RAND(),Reference!$C$8,0.1*Reference!$C$8)*(1+Reference!$C$11*(IF(MONTH($A3176)=Reference!$C$4,1,0)+IF(MONTH($A3176)=Reference!$C$5,1,0))+(IF(MONTH($A3176)=Reference!$C$6,Reference!$C$13,0))),0)</f>
        <v>343</v>
      </c>
      <c r="C3176" s="11">
        <f ca="1">B3176*Reference!$C$7*(1-IF(MONTH($A3176)=Reference!$C$6,1,0)*Reference!$C$12)</f>
        <v>318990</v>
      </c>
      <c r="D3176" s="10">
        <f ca="1">ROUND(_xlfn.NORM.INV(RAND(),Reference!$D$8,0.1*Reference!$D$8)*(1+Reference!$D$11*(IF(MONTH($A3176)=Reference!$D$4,1,0)+IF(MONTH($A3176)=Reference!$D$5,1,0))+(IF(MONTH($A3176)=Reference!$D$6,Reference!$D$13,0))),0)</f>
        <v>494</v>
      </c>
      <c r="E3176" s="11">
        <f ca="1">D3176*Reference!$D$7*(1-IF(MONTH($A3176)=Reference!$D$6,1,0)*Reference!$D$12)</f>
        <v>351975</v>
      </c>
      <c r="M3176" s="20"/>
      <c r="N3176" s="20"/>
      <c r="O3176" s="19"/>
      <c r="P3176" s="10"/>
      <c r="Q3176" s="10"/>
      <c r="R3176" s="10"/>
      <c r="S3176" s="10"/>
      <c r="T3176" s="10"/>
      <c r="U3176" s="10"/>
      <c r="V3176" s="10"/>
      <c r="W3176" s="10"/>
      <c r="X3176" s="10"/>
      <c r="Y3176" s="10"/>
    </row>
    <row r="3177" spans="1:25" x14ac:dyDescent="0.25">
      <c r="A3177" s="9">
        <v>43715</v>
      </c>
      <c r="B3177" s="10">
        <f ca="1">ROUND(_xlfn.NORM.INV(RAND(),Reference!$C$8,0.1*Reference!$C$8)*(1+Reference!$C$11*(IF(MONTH($A3177)=Reference!$C$4,1,0)+IF(MONTH($A3177)=Reference!$C$5,1,0))+(IF(MONTH($A3177)=Reference!$C$6,Reference!$C$13,0))),0)</f>
        <v>338</v>
      </c>
      <c r="C3177" s="11">
        <f ca="1">B3177*Reference!$C$7*(1-IF(MONTH($A3177)=Reference!$C$6,1,0)*Reference!$C$12)</f>
        <v>314340</v>
      </c>
      <c r="D3177" s="10">
        <f ca="1">ROUND(_xlfn.NORM.INV(RAND(),Reference!$D$8,0.1*Reference!$D$8)*(1+Reference!$D$11*(IF(MONTH($A3177)=Reference!$D$4,1,0)+IF(MONTH($A3177)=Reference!$D$5,1,0))+(IF(MONTH($A3177)=Reference!$D$6,Reference!$D$13,0))),0)</f>
        <v>486</v>
      </c>
      <c r="E3177" s="11">
        <f ca="1">D3177*Reference!$D$7*(1-IF(MONTH($A3177)=Reference!$D$6,1,0)*Reference!$D$12)</f>
        <v>346275</v>
      </c>
      <c r="M3177" s="20"/>
      <c r="N3177" s="20"/>
      <c r="O3177" s="19"/>
      <c r="P3177" s="10"/>
      <c r="Q3177" s="10"/>
      <c r="R3177" s="10"/>
      <c r="S3177" s="10"/>
      <c r="T3177" s="10"/>
      <c r="U3177" s="10"/>
      <c r="V3177" s="10"/>
      <c r="W3177" s="10"/>
      <c r="X3177" s="10"/>
      <c r="Y3177" s="10"/>
    </row>
    <row r="3178" spans="1:25" x14ac:dyDescent="0.25">
      <c r="A3178" s="9">
        <v>43716</v>
      </c>
      <c r="B3178" s="10">
        <f ca="1">ROUND(_xlfn.NORM.INV(RAND(),Reference!$C$8,0.1*Reference!$C$8)*(1+Reference!$C$11*(IF(MONTH($A3178)=Reference!$C$4,1,0)+IF(MONTH($A3178)=Reference!$C$5,1,0))+(IF(MONTH($A3178)=Reference!$C$6,Reference!$C$13,0))),0)</f>
        <v>356</v>
      </c>
      <c r="C3178" s="11">
        <f ca="1">B3178*Reference!$C$7*(1-IF(MONTH($A3178)=Reference!$C$6,1,0)*Reference!$C$12)</f>
        <v>331080</v>
      </c>
      <c r="D3178" s="10">
        <f ca="1">ROUND(_xlfn.NORM.INV(RAND(),Reference!$D$8,0.1*Reference!$D$8)*(1+Reference!$D$11*(IF(MONTH($A3178)=Reference!$D$4,1,0)+IF(MONTH($A3178)=Reference!$D$5,1,0))+(IF(MONTH($A3178)=Reference!$D$6,Reference!$D$13,0))),0)</f>
        <v>540</v>
      </c>
      <c r="E3178" s="11">
        <f ca="1">D3178*Reference!$D$7*(1-IF(MONTH($A3178)=Reference!$D$6,1,0)*Reference!$D$12)</f>
        <v>384750</v>
      </c>
      <c r="M3178" s="20"/>
      <c r="N3178" s="20"/>
      <c r="O3178" s="19"/>
      <c r="P3178" s="10"/>
      <c r="Q3178" s="10"/>
      <c r="R3178" s="10"/>
      <c r="S3178" s="10"/>
      <c r="T3178" s="10"/>
      <c r="U3178" s="10"/>
      <c r="V3178" s="10"/>
      <c r="W3178" s="10"/>
      <c r="X3178" s="10"/>
      <c r="Y3178" s="10"/>
    </row>
    <row r="3179" spans="1:25" x14ac:dyDescent="0.25">
      <c r="A3179" s="9">
        <v>43717</v>
      </c>
      <c r="B3179" s="10">
        <f ca="1">ROUND(_xlfn.NORM.INV(RAND(),Reference!$C$8,0.1*Reference!$C$8)*(1+Reference!$C$11*(IF(MONTH($A3179)=Reference!$C$4,1,0)+IF(MONTH($A3179)=Reference!$C$5,1,0))+(IF(MONTH($A3179)=Reference!$C$6,Reference!$C$13,0))),0)</f>
        <v>367</v>
      </c>
      <c r="C3179" s="11">
        <f ca="1">B3179*Reference!$C$7*(1-IF(MONTH($A3179)=Reference!$C$6,1,0)*Reference!$C$12)</f>
        <v>341310</v>
      </c>
      <c r="D3179" s="10">
        <f ca="1">ROUND(_xlfn.NORM.INV(RAND(),Reference!$D$8,0.1*Reference!$D$8)*(1+Reference!$D$11*(IF(MONTH($A3179)=Reference!$D$4,1,0)+IF(MONTH($A3179)=Reference!$D$5,1,0))+(IF(MONTH($A3179)=Reference!$D$6,Reference!$D$13,0))),0)</f>
        <v>460</v>
      </c>
      <c r="E3179" s="11">
        <f ca="1">D3179*Reference!$D$7*(1-IF(MONTH($A3179)=Reference!$D$6,1,0)*Reference!$D$12)</f>
        <v>327750</v>
      </c>
      <c r="M3179" s="20"/>
      <c r="N3179" s="20"/>
      <c r="O3179" s="19"/>
      <c r="P3179" s="10"/>
      <c r="Q3179" s="10"/>
      <c r="R3179" s="10"/>
      <c r="S3179" s="10"/>
      <c r="T3179" s="10"/>
      <c r="U3179" s="10"/>
      <c r="V3179" s="10"/>
      <c r="W3179" s="10"/>
      <c r="X3179" s="10"/>
      <c r="Y3179" s="10"/>
    </row>
    <row r="3180" spans="1:25" x14ac:dyDescent="0.25">
      <c r="A3180" s="9">
        <v>43718</v>
      </c>
      <c r="B3180" s="10">
        <f ca="1">ROUND(_xlfn.NORM.INV(RAND(),Reference!$C$8,0.1*Reference!$C$8)*(1+Reference!$C$11*(IF(MONTH($A3180)=Reference!$C$4,1,0)+IF(MONTH($A3180)=Reference!$C$5,1,0))+(IF(MONTH($A3180)=Reference!$C$6,Reference!$C$13,0))),0)</f>
        <v>308</v>
      </c>
      <c r="C3180" s="11">
        <f ca="1">B3180*Reference!$C$7*(1-IF(MONTH($A3180)=Reference!$C$6,1,0)*Reference!$C$12)</f>
        <v>286440</v>
      </c>
      <c r="D3180" s="10">
        <f ca="1">ROUND(_xlfn.NORM.INV(RAND(),Reference!$D$8,0.1*Reference!$D$8)*(1+Reference!$D$11*(IF(MONTH($A3180)=Reference!$D$4,1,0)+IF(MONTH($A3180)=Reference!$D$5,1,0))+(IF(MONTH($A3180)=Reference!$D$6,Reference!$D$13,0))),0)</f>
        <v>480</v>
      </c>
      <c r="E3180" s="11">
        <f ca="1">D3180*Reference!$D$7*(1-IF(MONTH($A3180)=Reference!$D$6,1,0)*Reference!$D$12)</f>
        <v>342000</v>
      </c>
      <c r="M3180" s="20"/>
      <c r="N3180" s="20"/>
      <c r="O3180" s="19"/>
      <c r="P3180" s="10"/>
      <c r="Q3180" s="10"/>
      <c r="R3180" s="10"/>
      <c r="S3180" s="10"/>
      <c r="T3180" s="10"/>
      <c r="U3180" s="10"/>
      <c r="V3180" s="10"/>
      <c r="W3180" s="10"/>
      <c r="X3180" s="10"/>
      <c r="Y3180" s="10"/>
    </row>
    <row r="3181" spans="1:25" x14ac:dyDescent="0.25">
      <c r="A3181" s="9">
        <v>43719</v>
      </c>
      <c r="B3181" s="10">
        <f ca="1">ROUND(_xlfn.NORM.INV(RAND(),Reference!$C$8,0.1*Reference!$C$8)*(1+Reference!$C$11*(IF(MONTH($A3181)=Reference!$C$4,1,0)+IF(MONTH($A3181)=Reference!$C$5,1,0))+(IF(MONTH($A3181)=Reference!$C$6,Reference!$C$13,0))),0)</f>
        <v>485</v>
      </c>
      <c r="C3181" s="11">
        <f ca="1">B3181*Reference!$C$7*(1-IF(MONTH($A3181)=Reference!$C$6,1,0)*Reference!$C$12)</f>
        <v>451050</v>
      </c>
      <c r="D3181" s="10">
        <f ca="1">ROUND(_xlfn.NORM.INV(RAND(),Reference!$D$8,0.1*Reference!$D$8)*(1+Reference!$D$11*(IF(MONTH($A3181)=Reference!$D$4,1,0)+IF(MONTH($A3181)=Reference!$D$5,1,0))+(IF(MONTH($A3181)=Reference!$D$6,Reference!$D$13,0))),0)</f>
        <v>493</v>
      </c>
      <c r="E3181" s="11">
        <f ca="1">D3181*Reference!$D$7*(1-IF(MONTH($A3181)=Reference!$D$6,1,0)*Reference!$D$12)</f>
        <v>351262.5</v>
      </c>
      <c r="M3181" s="20"/>
      <c r="N3181" s="20"/>
      <c r="O3181" s="19"/>
      <c r="P3181" s="10"/>
      <c r="Q3181" s="10"/>
      <c r="R3181" s="10"/>
      <c r="S3181" s="10"/>
      <c r="T3181" s="10"/>
      <c r="U3181" s="10"/>
      <c r="V3181" s="10"/>
      <c r="W3181" s="10"/>
      <c r="X3181" s="10"/>
      <c r="Y3181" s="10"/>
    </row>
    <row r="3182" spans="1:25" x14ac:dyDescent="0.25">
      <c r="A3182" s="9">
        <v>43720</v>
      </c>
      <c r="B3182" s="10">
        <f ca="1">ROUND(_xlfn.NORM.INV(RAND(),Reference!$C$8,0.1*Reference!$C$8)*(1+Reference!$C$11*(IF(MONTH($A3182)=Reference!$C$4,1,0)+IF(MONTH($A3182)=Reference!$C$5,1,0))+(IF(MONTH($A3182)=Reference!$C$6,Reference!$C$13,0))),0)</f>
        <v>388</v>
      </c>
      <c r="C3182" s="11">
        <f ca="1">B3182*Reference!$C$7*(1-IF(MONTH($A3182)=Reference!$C$6,1,0)*Reference!$C$12)</f>
        <v>360840</v>
      </c>
      <c r="D3182" s="10">
        <f ca="1">ROUND(_xlfn.NORM.INV(RAND(),Reference!$D$8,0.1*Reference!$D$8)*(1+Reference!$D$11*(IF(MONTH($A3182)=Reference!$D$4,1,0)+IF(MONTH($A3182)=Reference!$D$5,1,0))+(IF(MONTH($A3182)=Reference!$D$6,Reference!$D$13,0))),0)</f>
        <v>447</v>
      </c>
      <c r="E3182" s="11">
        <f ca="1">D3182*Reference!$D$7*(1-IF(MONTH($A3182)=Reference!$D$6,1,0)*Reference!$D$12)</f>
        <v>318487.5</v>
      </c>
      <c r="M3182" s="20"/>
      <c r="N3182" s="20"/>
      <c r="O3182" s="19"/>
      <c r="P3182" s="10"/>
      <c r="Q3182" s="10"/>
      <c r="R3182" s="10"/>
      <c r="S3182" s="10"/>
      <c r="T3182" s="10"/>
      <c r="U3182" s="10"/>
      <c r="V3182" s="10"/>
      <c r="W3182" s="10"/>
      <c r="X3182" s="10"/>
      <c r="Y3182" s="10"/>
    </row>
    <row r="3183" spans="1:25" x14ac:dyDescent="0.25">
      <c r="A3183" s="9">
        <v>43721</v>
      </c>
      <c r="B3183" s="10">
        <f ca="1">ROUND(_xlfn.NORM.INV(RAND(),Reference!$C$8,0.1*Reference!$C$8)*(1+Reference!$C$11*(IF(MONTH($A3183)=Reference!$C$4,1,0)+IF(MONTH($A3183)=Reference!$C$5,1,0))+(IF(MONTH($A3183)=Reference!$C$6,Reference!$C$13,0))),0)</f>
        <v>390</v>
      </c>
      <c r="C3183" s="11">
        <f ca="1">B3183*Reference!$C$7*(1-IF(MONTH($A3183)=Reference!$C$6,1,0)*Reference!$C$12)</f>
        <v>362700</v>
      </c>
      <c r="D3183" s="10">
        <f ca="1">ROUND(_xlfn.NORM.INV(RAND(),Reference!$D$8,0.1*Reference!$D$8)*(1+Reference!$D$11*(IF(MONTH($A3183)=Reference!$D$4,1,0)+IF(MONTH($A3183)=Reference!$D$5,1,0))+(IF(MONTH($A3183)=Reference!$D$6,Reference!$D$13,0))),0)</f>
        <v>469</v>
      </c>
      <c r="E3183" s="11">
        <f ca="1">D3183*Reference!$D$7*(1-IF(MONTH($A3183)=Reference!$D$6,1,0)*Reference!$D$12)</f>
        <v>334162.5</v>
      </c>
      <c r="M3183" s="20"/>
      <c r="N3183" s="20"/>
      <c r="O3183" s="19"/>
      <c r="P3183" s="10"/>
      <c r="Q3183" s="10"/>
      <c r="R3183" s="10"/>
      <c r="S3183" s="10"/>
      <c r="T3183" s="10"/>
      <c r="U3183" s="10"/>
      <c r="V3183" s="10"/>
      <c r="W3183" s="10"/>
      <c r="X3183" s="10"/>
      <c r="Y3183" s="10"/>
    </row>
    <row r="3184" spans="1:25" x14ac:dyDescent="0.25">
      <c r="A3184" s="9">
        <v>43722</v>
      </c>
      <c r="B3184" s="10">
        <f ca="1">ROUND(_xlfn.NORM.INV(RAND(),Reference!$C$8,0.1*Reference!$C$8)*(1+Reference!$C$11*(IF(MONTH($A3184)=Reference!$C$4,1,0)+IF(MONTH($A3184)=Reference!$C$5,1,0))+(IF(MONTH($A3184)=Reference!$C$6,Reference!$C$13,0))),0)</f>
        <v>347</v>
      </c>
      <c r="C3184" s="11">
        <f ca="1">B3184*Reference!$C$7*(1-IF(MONTH($A3184)=Reference!$C$6,1,0)*Reference!$C$12)</f>
        <v>322710</v>
      </c>
      <c r="D3184" s="10">
        <f ca="1">ROUND(_xlfn.NORM.INV(RAND(),Reference!$D$8,0.1*Reference!$D$8)*(1+Reference!$D$11*(IF(MONTH($A3184)=Reference!$D$4,1,0)+IF(MONTH($A3184)=Reference!$D$5,1,0))+(IF(MONTH($A3184)=Reference!$D$6,Reference!$D$13,0))),0)</f>
        <v>451</v>
      </c>
      <c r="E3184" s="11">
        <f ca="1">D3184*Reference!$D$7*(1-IF(MONTH($A3184)=Reference!$D$6,1,0)*Reference!$D$12)</f>
        <v>321337.5</v>
      </c>
      <c r="M3184" s="20"/>
      <c r="N3184" s="20"/>
      <c r="O3184" s="19"/>
      <c r="P3184" s="10"/>
      <c r="Q3184" s="10"/>
      <c r="R3184" s="10"/>
      <c r="S3184" s="10"/>
      <c r="T3184" s="10"/>
      <c r="U3184" s="10"/>
      <c r="V3184" s="10"/>
      <c r="W3184" s="10"/>
      <c r="X3184" s="10"/>
      <c r="Y3184" s="10"/>
    </row>
    <row r="3185" spans="1:25" x14ac:dyDescent="0.25">
      <c r="A3185" s="9">
        <v>43723</v>
      </c>
      <c r="B3185" s="10">
        <f ca="1">ROUND(_xlfn.NORM.INV(RAND(),Reference!$C$8,0.1*Reference!$C$8)*(1+Reference!$C$11*(IF(MONTH($A3185)=Reference!$C$4,1,0)+IF(MONTH($A3185)=Reference!$C$5,1,0))+(IF(MONTH($A3185)=Reference!$C$6,Reference!$C$13,0))),0)</f>
        <v>393</v>
      </c>
      <c r="C3185" s="11">
        <f ca="1">B3185*Reference!$C$7*(1-IF(MONTH($A3185)=Reference!$C$6,1,0)*Reference!$C$12)</f>
        <v>365490</v>
      </c>
      <c r="D3185" s="10">
        <f ca="1">ROUND(_xlfn.NORM.INV(RAND(),Reference!$D$8,0.1*Reference!$D$8)*(1+Reference!$D$11*(IF(MONTH($A3185)=Reference!$D$4,1,0)+IF(MONTH($A3185)=Reference!$D$5,1,0))+(IF(MONTH($A3185)=Reference!$D$6,Reference!$D$13,0))),0)</f>
        <v>497</v>
      </c>
      <c r="E3185" s="11">
        <f ca="1">D3185*Reference!$D$7*(1-IF(MONTH($A3185)=Reference!$D$6,1,0)*Reference!$D$12)</f>
        <v>354112.5</v>
      </c>
      <c r="M3185" s="20"/>
      <c r="N3185" s="20"/>
      <c r="O3185" s="19"/>
      <c r="P3185" s="10"/>
      <c r="Q3185" s="10"/>
      <c r="R3185" s="10"/>
      <c r="S3185" s="10"/>
      <c r="T3185" s="10"/>
      <c r="U3185" s="10"/>
      <c r="V3185" s="10"/>
      <c r="W3185" s="10"/>
      <c r="X3185" s="10"/>
      <c r="Y3185" s="10"/>
    </row>
    <row r="3186" spans="1:25" x14ac:dyDescent="0.25">
      <c r="A3186" s="9">
        <v>43724</v>
      </c>
      <c r="B3186" s="10">
        <f ca="1">ROUND(_xlfn.NORM.INV(RAND(),Reference!$C$8,0.1*Reference!$C$8)*(1+Reference!$C$11*(IF(MONTH($A3186)=Reference!$C$4,1,0)+IF(MONTH($A3186)=Reference!$C$5,1,0))+(IF(MONTH($A3186)=Reference!$C$6,Reference!$C$13,0))),0)</f>
        <v>345</v>
      </c>
      <c r="C3186" s="11">
        <f ca="1">B3186*Reference!$C$7*(1-IF(MONTH($A3186)=Reference!$C$6,1,0)*Reference!$C$12)</f>
        <v>320850</v>
      </c>
      <c r="D3186" s="10">
        <f ca="1">ROUND(_xlfn.NORM.INV(RAND(),Reference!$D$8,0.1*Reference!$D$8)*(1+Reference!$D$11*(IF(MONTH($A3186)=Reference!$D$4,1,0)+IF(MONTH($A3186)=Reference!$D$5,1,0))+(IF(MONTH($A3186)=Reference!$D$6,Reference!$D$13,0))),0)</f>
        <v>525</v>
      </c>
      <c r="E3186" s="11">
        <f ca="1">D3186*Reference!$D$7*(1-IF(MONTH($A3186)=Reference!$D$6,1,0)*Reference!$D$12)</f>
        <v>374062.5</v>
      </c>
      <c r="M3186" s="20"/>
      <c r="N3186" s="20"/>
      <c r="O3186" s="19"/>
      <c r="P3186" s="10"/>
      <c r="Q3186" s="10"/>
      <c r="R3186" s="10"/>
      <c r="S3186" s="10"/>
      <c r="T3186" s="10"/>
      <c r="U3186" s="10"/>
      <c r="V3186" s="10"/>
      <c r="W3186" s="10"/>
      <c r="X3186" s="10"/>
      <c r="Y3186" s="10"/>
    </row>
    <row r="3187" spans="1:25" x14ac:dyDescent="0.25">
      <c r="A3187" s="9">
        <v>43725</v>
      </c>
      <c r="B3187" s="10">
        <f ca="1">ROUND(_xlfn.NORM.INV(RAND(),Reference!$C$8,0.1*Reference!$C$8)*(1+Reference!$C$11*(IF(MONTH($A3187)=Reference!$C$4,1,0)+IF(MONTH($A3187)=Reference!$C$5,1,0))+(IF(MONTH($A3187)=Reference!$C$6,Reference!$C$13,0))),0)</f>
        <v>387</v>
      </c>
      <c r="C3187" s="11">
        <f ca="1">B3187*Reference!$C$7*(1-IF(MONTH($A3187)=Reference!$C$6,1,0)*Reference!$C$12)</f>
        <v>359910</v>
      </c>
      <c r="D3187" s="10">
        <f ca="1">ROUND(_xlfn.NORM.INV(RAND(),Reference!$D$8,0.1*Reference!$D$8)*(1+Reference!$D$11*(IF(MONTH($A3187)=Reference!$D$4,1,0)+IF(MONTH($A3187)=Reference!$D$5,1,0))+(IF(MONTH($A3187)=Reference!$D$6,Reference!$D$13,0))),0)</f>
        <v>503</v>
      </c>
      <c r="E3187" s="11">
        <f ca="1">D3187*Reference!$D$7*(1-IF(MONTH($A3187)=Reference!$D$6,1,0)*Reference!$D$12)</f>
        <v>358387.5</v>
      </c>
      <c r="M3187" s="20"/>
      <c r="N3187" s="20"/>
      <c r="O3187" s="19"/>
      <c r="P3187" s="10"/>
      <c r="Q3187" s="10"/>
      <c r="R3187" s="10"/>
      <c r="S3187" s="10"/>
      <c r="T3187" s="10"/>
      <c r="U3187" s="10"/>
      <c r="V3187" s="10"/>
      <c r="W3187" s="10"/>
      <c r="X3187" s="10"/>
      <c r="Y3187" s="10"/>
    </row>
    <row r="3188" spans="1:25" x14ac:dyDescent="0.25">
      <c r="A3188" s="9">
        <v>43726</v>
      </c>
      <c r="B3188" s="10">
        <f ca="1">ROUND(_xlfn.NORM.INV(RAND(),Reference!$C$8,0.1*Reference!$C$8)*(1+Reference!$C$11*(IF(MONTH($A3188)=Reference!$C$4,1,0)+IF(MONTH($A3188)=Reference!$C$5,1,0))+(IF(MONTH($A3188)=Reference!$C$6,Reference!$C$13,0))),0)</f>
        <v>330</v>
      </c>
      <c r="C3188" s="11">
        <f ca="1">B3188*Reference!$C$7*(1-IF(MONTH($A3188)=Reference!$C$6,1,0)*Reference!$C$12)</f>
        <v>306900</v>
      </c>
      <c r="D3188" s="10">
        <f ca="1">ROUND(_xlfn.NORM.INV(RAND(),Reference!$D$8,0.1*Reference!$D$8)*(1+Reference!$D$11*(IF(MONTH($A3188)=Reference!$D$4,1,0)+IF(MONTH($A3188)=Reference!$D$5,1,0))+(IF(MONTH($A3188)=Reference!$D$6,Reference!$D$13,0))),0)</f>
        <v>517</v>
      </c>
      <c r="E3188" s="11">
        <f ca="1">D3188*Reference!$D$7*(1-IF(MONTH($A3188)=Reference!$D$6,1,0)*Reference!$D$12)</f>
        <v>368362.5</v>
      </c>
      <c r="M3188" s="20"/>
      <c r="N3188" s="20"/>
      <c r="O3188" s="19"/>
      <c r="P3188" s="10"/>
      <c r="Q3188" s="10"/>
      <c r="R3188" s="10"/>
      <c r="S3188" s="10"/>
      <c r="T3188" s="10"/>
      <c r="U3188" s="10"/>
      <c r="V3188" s="10"/>
      <c r="W3188" s="10"/>
      <c r="X3188" s="10"/>
      <c r="Y3188" s="10"/>
    </row>
    <row r="3189" spans="1:25" x14ac:dyDescent="0.25">
      <c r="A3189" s="9">
        <v>43727</v>
      </c>
      <c r="B3189" s="10">
        <f ca="1">ROUND(_xlfn.NORM.INV(RAND(),Reference!$C$8,0.1*Reference!$C$8)*(1+Reference!$C$11*(IF(MONTH($A3189)=Reference!$C$4,1,0)+IF(MONTH($A3189)=Reference!$C$5,1,0))+(IF(MONTH($A3189)=Reference!$C$6,Reference!$C$13,0))),0)</f>
        <v>389</v>
      </c>
      <c r="C3189" s="11">
        <f ca="1">B3189*Reference!$C$7*(1-IF(MONTH($A3189)=Reference!$C$6,1,0)*Reference!$C$12)</f>
        <v>361770</v>
      </c>
      <c r="D3189" s="10">
        <f ca="1">ROUND(_xlfn.NORM.INV(RAND(),Reference!$D$8,0.1*Reference!$D$8)*(1+Reference!$D$11*(IF(MONTH($A3189)=Reference!$D$4,1,0)+IF(MONTH($A3189)=Reference!$D$5,1,0))+(IF(MONTH($A3189)=Reference!$D$6,Reference!$D$13,0))),0)</f>
        <v>491</v>
      </c>
      <c r="E3189" s="11">
        <f ca="1">D3189*Reference!$D$7*(1-IF(MONTH($A3189)=Reference!$D$6,1,0)*Reference!$D$12)</f>
        <v>349837.5</v>
      </c>
      <c r="M3189" s="20"/>
      <c r="N3189" s="20"/>
      <c r="O3189" s="19"/>
      <c r="P3189" s="10"/>
      <c r="Q3189" s="10"/>
      <c r="R3189" s="10"/>
      <c r="S3189" s="10"/>
      <c r="T3189" s="10"/>
      <c r="U3189" s="10"/>
      <c r="V3189" s="10"/>
      <c r="W3189" s="10"/>
      <c r="X3189" s="10"/>
      <c r="Y3189" s="10"/>
    </row>
    <row r="3190" spans="1:25" x14ac:dyDescent="0.25">
      <c r="A3190" s="9">
        <v>43728</v>
      </c>
      <c r="B3190" s="10">
        <f ca="1">ROUND(_xlfn.NORM.INV(RAND(),Reference!$C$8,0.1*Reference!$C$8)*(1+Reference!$C$11*(IF(MONTH($A3190)=Reference!$C$4,1,0)+IF(MONTH($A3190)=Reference!$C$5,1,0))+(IF(MONTH($A3190)=Reference!$C$6,Reference!$C$13,0))),0)</f>
        <v>346</v>
      </c>
      <c r="C3190" s="11">
        <f ca="1">B3190*Reference!$C$7*(1-IF(MONTH($A3190)=Reference!$C$6,1,0)*Reference!$C$12)</f>
        <v>321780</v>
      </c>
      <c r="D3190" s="10">
        <f ca="1">ROUND(_xlfn.NORM.INV(RAND(),Reference!$D$8,0.1*Reference!$D$8)*(1+Reference!$D$11*(IF(MONTH($A3190)=Reference!$D$4,1,0)+IF(MONTH($A3190)=Reference!$D$5,1,0))+(IF(MONTH($A3190)=Reference!$D$6,Reference!$D$13,0))),0)</f>
        <v>489</v>
      </c>
      <c r="E3190" s="11">
        <f ca="1">D3190*Reference!$D$7*(1-IF(MONTH($A3190)=Reference!$D$6,1,0)*Reference!$D$12)</f>
        <v>348412.5</v>
      </c>
      <c r="M3190" s="20"/>
      <c r="N3190" s="20"/>
      <c r="O3190" s="19"/>
      <c r="P3190" s="10"/>
      <c r="Q3190" s="10"/>
      <c r="R3190" s="10"/>
      <c r="S3190" s="10"/>
      <c r="T3190" s="10"/>
      <c r="U3190" s="10"/>
      <c r="V3190" s="10"/>
      <c r="W3190" s="10"/>
      <c r="X3190" s="10"/>
      <c r="Y3190" s="10"/>
    </row>
    <row r="3191" spans="1:25" x14ac:dyDescent="0.25">
      <c r="A3191" s="9">
        <v>43729</v>
      </c>
      <c r="B3191" s="10">
        <f ca="1">ROUND(_xlfn.NORM.INV(RAND(),Reference!$C$8,0.1*Reference!$C$8)*(1+Reference!$C$11*(IF(MONTH($A3191)=Reference!$C$4,1,0)+IF(MONTH($A3191)=Reference!$C$5,1,0))+(IF(MONTH($A3191)=Reference!$C$6,Reference!$C$13,0))),0)</f>
        <v>407</v>
      </c>
      <c r="C3191" s="11">
        <f ca="1">B3191*Reference!$C$7*(1-IF(MONTH($A3191)=Reference!$C$6,1,0)*Reference!$C$12)</f>
        <v>378510</v>
      </c>
      <c r="D3191" s="10">
        <f ca="1">ROUND(_xlfn.NORM.INV(RAND(),Reference!$D$8,0.1*Reference!$D$8)*(1+Reference!$D$11*(IF(MONTH($A3191)=Reference!$D$4,1,0)+IF(MONTH($A3191)=Reference!$D$5,1,0))+(IF(MONTH($A3191)=Reference!$D$6,Reference!$D$13,0))),0)</f>
        <v>488</v>
      </c>
      <c r="E3191" s="11">
        <f ca="1">D3191*Reference!$D$7*(1-IF(MONTH($A3191)=Reference!$D$6,1,0)*Reference!$D$12)</f>
        <v>347700</v>
      </c>
      <c r="M3191" s="20"/>
      <c r="N3191" s="20"/>
      <c r="O3191" s="19"/>
      <c r="P3191" s="10"/>
      <c r="Q3191" s="10"/>
      <c r="R3191" s="10"/>
      <c r="S3191" s="10"/>
      <c r="T3191" s="10"/>
      <c r="U3191" s="10"/>
      <c r="V3191" s="10"/>
      <c r="W3191" s="10"/>
      <c r="X3191" s="10"/>
      <c r="Y3191" s="10"/>
    </row>
    <row r="3192" spans="1:25" x14ac:dyDescent="0.25">
      <c r="A3192" s="9">
        <v>43730</v>
      </c>
      <c r="B3192" s="10">
        <f ca="1">ROUND(_xlfn.NORM.INV(RAND(),Reference!$C$8,0.1*Reference!$C$8)*(1+Reference!$C$11*(IF(MONTH($A3192)=Reference!$C$4,1,0)+IF(MONTH($A3192)=Reference!$C$5,1,0))+(IF(MONTH($A3192)=Reference!$C$6,Reference!$C$13,0))),0)</f>
        <v>367</v>
      </c>
      <c r="C3192" s="11">
        <f ca="1">B3192*Reference!$C$7*(1-IF(MONTH($A3192)=Reference!$C$6,1,0)*Reference!$C$12)</f>
        <v>341310</v>
      </c>
      <c r="D3192" s="10">
        <f ca="1">ROUND(_xlfn.NORM.INV(RAND(),Reference!$D$8,0.1*Reference!$D$8)*(1+Reference!$D$11*(IF(MONTH($A3192)=Reference!$D$4,1,0)+IF(MONTH($A3192)=Reference!$D$5,1,0))+(IF(MONTH($A3192)=Reference!$D$6,Reference!$D$13,0))),0)</f>
        <v>500</v>
      </c>
      <c r="E3192" s="11">
        <f ca="1">D3192*Reference!$D$7*(1-IF(MONTH($A3192)=Reference!$D$6,1,0)*Reference!$D$12)</f>
        <v>356250</v>
      </c>
      <c r="M3192" s="20"/>
      <c r="N3192" s="20"/>
      <c r="O3192" s="19"/>
      <c r="P3192" s="10"/>
      <c r="Q3192" s="10"/>
      <c r="R3192" s="10"/>
      <c r="S3192" s="10"/>
      <c r="T3192" s="10"/>
      <c r="U3192" s="10"/>
      <c r="V3192" s="10"/>
      <c r="W3192" s="10"/>
      <c r="X3192" s="10"/>
      <c r="Y3192" s="10"/>
    </row>
    <row r="3193" spans="1:25" x14ac:dyDescent="0.25">
      <c r="A3193" s="9">
        <v>43731</v>
      </c>
      <c r="B3193" s="10">
        <f ca="1">ROUND(_xlfn.NORM.INV(RAND(),Reference!$C$8,0.1*Reference!$C$8)*(1+Reference!$C$11*(IF(MONTH($A3193)=Reference!$C$4,1,0)+IF(MONTH($A3193)=Reference!$C$5,1,0))+(IF(MONTH($A3193)=Reference!$C$6,Reference!$C$13,0))),0)</f>
        <v>330</v>
      </c>
      <c r="C3193" s="11">
        <f ca="1">B3193*Reference!$C$7*(1-IF(MONTH($A3193)=Reference!$C$6,1,0)*Reference!$C$12)</f>
        <v>306900</v>
      </c>
      <c r="D3193" s="10">
        <f ca="1">ROUND(_xlfn.NORM.INV(RAND(),Reference!$D$8,0.1*Reference!$D$8)*(1+Reference!$D$11*(IF(MONTH($A3193)=Reference!$D$4,1,0)+IF(MONTH($A3193)=Reference!$D$5,1,0))+(IF(MONTH($A3193)=Reference!$D$6,Reference!$D$13,0))),0)</f>
        <v>389</v>
      </c>
      <c r="E3193" s="11">
        <f ca="1">D3193*Reference!$D$7*(1-IF(MONTH($A3193)=Reference!$D$6,1,0)*Reference!$D$12)</f>
        <v>277162.5</v>
      </c>
      <c r="M3193" s="20"/>
      <c r="N3193" s="20"/>
      <c r="O3193" s="19"/>
      <c r="P3193" s="10"/>
      <c r="Q3193" s="10"/>
      <c r="R3193" s="10"/>
      <c r="S3193" s="10"/>
      <c r="T3193" s="10"/>
      <c r="U3193" s="10"/>
      <c r="V3193" s="10"/>
      <c r="W3193" s="10"/>
      <c r="X3193" s="10"/>
      <c r="Y3193" s="10"/>
    </row>
    <row r="3194" spans="1:25" x14ac:dyDescent="0.25">
      <c r="A3194" s="9">
        <v>43732</v>
      </c>
      <c r="B3194" s="10">
        <f ca="1">ROUND(_xlfn.NORM.INV(RAND(),Reference!$C$8,0.1*Reference!$C$8)*(1+Reference!$C$11*(IF(MONTH($A3194)=Reference!$C$4,1,0)+IF(MONTH($A3194)=Reference!$C$5,1,0))+(IF(MONTH($A3194)=Reference!$C$6,Reference!$C$13,0))),0)</f>
        <v>340</v>
      </c>
      <c r="C3194" s="11">
        <f ca="1">B3194*Reference!$C$7*(1-IF(MONTH($A3194)=Reference!$C$6,1,0)*Reference!$C$12)</f>
        <v>316200</v>
      </c>
      <c r="D3194" s="10">
        <f ca="1">ROUND(_xlfn.NORM.INV(RAND(),Reference!$D$8,0.1*Reference!$D$8)*(1+Reference!$D$11*(IF(MONTH($A3194)=Reference!$D$4,1,0)+IF(MONTH($A3194)=Reference!$D$5,1,0))+(IF(MONTH($A3194)=Reference!$D$6,Reference!$D$13,0))),0)</f>
        <v>497</v>
      </c>
      <c r="E3194" s="11">
        <f ca="1">D3194*Reference!$D$7*(1-IF(MONTH($A3194)=Reference!$D$6,1,0)*Reference!$D$12)</f>
        <v>354112.5</v>
      </c>
      <c r="M3194" s="20"/>
      <c r="N3194" s="20"/>
      <c r="O3194" s="19"/>
      <c r="P3194" s="10"/>
      <c r="Q3194" s="10"/>
      <c r="R3194" s="10"/>
      <c r="S3194" s="10"/>
      <c r="T3194" s="10"/>
      <c r="U3194" s="10"/>
      <c r="V3194" s="10"/>
      <c r="W3194" s="10"/>
      <c r="X3194" s="10"/>
      <c r="Y3194" s="10"/>
    </row>
    <row r="3195" spans="1:25" x14ac:dyDescent="0.25">
      <c r="A3195" s="9">
        <v>43733</v>
      </c>
      <c r="B3195" s="10">
        <f ca="1">ROUND(_xlfn.NORM.INV(RAND(),Reference!$C$8,0.1*Reference!$C$8)*(1+Reference!$C$11*(IF(MONTH($A3195)=Reference!$C$4,1,0)+IF(MONTH($A3195)=Reference!$C$5,1,0))+(IF(MONTH($A3195)=Reference!$C$6,Reference!$C$13,0))),0)</f>
        <v>360</v>
      </c>
      <c r="C3195" s="11">
        <f ca="1">B3195*Reference!$C$7*(1-IF(MONTH($A3195)=Reference!$C$6,1,0)*Reference!$C$12)</f>
        <v>334800</v>
      </c>
      <c r="D3195" s="10">
        <f ca="1">ROUND(_xlfn.NORM.INV(RAND(),Reference!$D$8,0.1*Reference!$D$8)*(1+Reference!$D$11*(IF(MONTH($A3195)=Reference!$D$4,1,0)+IF(MONTH($A3195)=Reference!$D$5,1,0))+(IF(MONTH($A3195)=Reference!$D$6,Reference!$D$13,0))),0)</f>
        <v>502</v>
      </c>
      <c r="E3195" s="11">
        <f ca="1">D3195*Reference!$D$7*(1-IF(MONTH($A3195)=Reference!$D$6,1,0)*Reference!$D$12)</f>
        <v>357675</v>
      </c>
      <c r="M3195" s="20"/>
      <c r="N3195" s="20"/>
      <c r="O3195" s="19"/>
      <c r="P3195" s="10"/>
      <c r="Q3195" s="10"/>
      <c r="R3195" s="10"/>
      <c r="S3195" s="10"/>
      <c r="T3195" s="10"/>
      <c r="U3195" s="10"/>
      <c r="V3195" s="10"/>
      <c r="W3195" s="10"/>
      <c r="X3195" s="10"/>
      <c r="Y3195" s="10"/>
    </row>
    <row r="3196" spans="1:25" x14ac:dyDescent="0.25">
      <c r="A3196" s="9">
        <v>43734</v>
      </c>
      <c r="B3196" s="10">
        <f ca="1">ROUND(_xlfn.NORM.INV(RAND(),Reference!$C$8,0.1*Reference!$C$8)*(1+Reference!$C$11*(IF(MONTH($A3196)=Reference!$C$4,1,0)+IF(MONTH($A3196)=Reference!$C$5,1,0))+(IF(MONTH($A3196)=Reference!$C$6,Reference!$C$13,0))),0)</f>
        <v>339</v>
      </c>
      <c r="C3196" s="11">
        <f ca="1">B3196*Reference!$C$7*(1-IF(MONTH($A3196)=Reference!$C$6,1,0)*Reference!$C$12)</f>
        <v>315270</v>
      </c>
      <c r="D3196" s="10">
        <f ca="1">ROUND(_xlfn.NORM.INV(RAND(),Reference!$D$8,0.1*Reference!$D$8)*(1+Reference!$D$11*(IF(MONTH($A3196)=Reference!$D$4,1,0)+IF(MONTH($A3196)=Reference!$D$5,1,0))+(IF(MONTH($A3196)=Reference!$D$6,Reference!$D$13,0))),0)</f>
        <v>453</v>
      </c>
      <c r="E3196" s="11">
        <f ca="1">D3196*Reference!$D$7*(1-IF(MONTH($A3196)=Reference!$D$6,1,0)*Reference!$D$12)</f>
        <v>322762.5</v>
      </c>
      <c r="M3196" s="20"/>
      <c r="N3196" s="20"/>
      <c r="O3196" s="19"/>
      <c r="P3196" s="10"/>
      <c r="Q3196" s="10"/>
      <c r="R3196" s="10"/>
      <c r="S3196" s="10"/>
      <c r="T3196" s="10"/>
      <c r="U3196" s="10"/>
      <c r="V3196" s="10"/>
      <c r="W3196" s="10"/>
      <c r="X3196" s="10"/>
      <c r="Y3196" s="10"/>
    </row>
    <row r="3197" spans="1:25" x14ac:dyDescent="0.25">
      <c r="A3197" s="9">
        <v>43735</v>
      </c>
      <c r="B3197" s="10">
        <f ca="1">ROUND(_xlfn.NORM.INV(RAND(),Reference!$C$8,0.1*Reference!$C$8)*(1+Reference!$C$11*(IF(MONTH($A3197)=Reference!$C$4,1,0)+IF(MONTH($A3197)=Reference!$C$5,1,0))+(IF(MONTH($A3197)=Reference!$C$6,Reference!$C$13,0))),0)</f>
        <v>315</v>
      </c>
      <c r="C3197" s="11">
        <f ca="1">B3197*Reference!$C$7*(1-IF(MONTH($A3197)=Reference!$C$6,1,0)*Reference!$C$12)</f>
        <v>292950</v>
      </c>
      <c r="D3197" s="10">
        <f ca="1">ROUND(_xlfn.NORM.INV(RAND(),Reference!$D$8,0.1*Reference!$D$8)*(1+Reference!$D$11*(IF(MONTH($A3197)=Reference!$D$4,1,0)+IF(MONTH($A3197)=Reference!$D$5,1,0))+(IF(MONTH($A3197)=Reference!$D$6,Reference!$D$13,0))),0)</f>
        <v>489</v>
      </c>
      <c r="E3197" s="11">
        <f ca="1">D3197*Reference!$D$7*(1-IF(MONTH($A3197)=Reference!$D$6,1,0)*Reference!$D$12)</f>
        <v>348412.5</v>
      </c>
      <c r="M3197" s="20"/>
      <c r="N3197" s="20"/>
      <c r="O3197" s="19"/>
      <c r="P3197" s="10"/>
      <c r="Q3197" s="10"/>
      <c r="R3197" s="10"/>
      <c r="S3197" s="10"/>
      <c r="T3197" s="10"/>
      <c r="U3197" s="10"/>
      <c r="V3197" s="10"/>
      <c r="W3197" s="10"/>
      <c r="X3197" s="10"/>
      <c r="Y3197" s="10"/>
    </row>
    <row r="3198" spans="1:25" x14ac:dyDescent="0.25">
      <c r="A3198" s="9">
        <v>43736</v>
      </c>
      <c r="B3198" s="10">
        <f ca="1">ROUND(_xlfn.NORM.INV(RAND(),Reference!$C$8,0.1*Reference!$C$8)*(1+Reference!$C$11*(IF(MONTH($A3198)=Reference!$C$4,1,0)+IF(MONTH($A3198)=Reference!$C$5,1,0))+(IF(MONTH($A3198)=Reference!$C$6,Reference!$C$13,0))),0)</f>
        <v>365</v>
      </c>
      <c r="C3198" s="11">
        <f ca="1">B3198*Reference!$C$7*(1-IF(MONTH($A3198)=Reference!$C$6,1,0)*Reference!$C$12)</f>
        <v>339450</v>
      </c>
      <c r="D3198" s="10">
        <f ca="1">ROUND(_xlfn.NORM.INV(RAND(),Reference!$D$8,0.1*Reference!$D$8)*(1+Reference!$D$11*(IF(MONTH($A3198)=Reference!$D$4,1,0)+IF(MONTH($A3198)=Reference!$D$5,1,0))+(IF(MONTH($A3198)=Reference!$D$6,Reference!$D$13,0))),0)</f>
        <v>457</v>
      </c>
      <c r="E3198" s="11">
        <f ca="1">D3198*Reference!$D$7*(1-IF(MONTH($A3198)=Reference!$D$6,1,0)*Reference!$D$12)</f>
        <v>325612.5</v>
      </c>
      <c r="M3198" s="20"/>
      <c r="N3198" s="20"/>
      <c r="O3198" s="19"/>
      <c r="P3198" s="10"/>
      <c r="Q3198" s="10"/>
      <c r="R3198" s="10"/>
      <c r="S3198" s="10"/>
      <c r="T3198" s="10"/>
      <c r="U3198" s="10"/>
      <c r="V3198" s="10"/>
      <c r="W3198" s="10"/>
      <c r="X3198" s="10"/>
      <c r="Y3198" s="10"/>
    </row>
    <row r="3199" spans="1:25" x14ac:dyDescent="0.25">
      <c r="A3199" s="9">
        <v>43737</v>
      </c>
      <c r="B3199" s="10">
        <f ca="1">ROUND(_xlfn.NORM.INV(RAND(),Reference!$C$8,0.1*Reference!$C$8)*(1+Reference!$C$11*(IF(MONTH($A3199)=Reference!$C$4,1,0)+IF(MONTH($A3199)=Reference!$C$5,1,0))+(IF(MONTH($A3199)=Reference!$C$6,Reference!$C$13,0))),0)</f>
        <v>319</v>
      </c>
      <c r="C3199" s="11">
        <f ca="1">B3199*Reference!$C$7*(1-IF(MONTH($A3199)=Reference!$C$6,1,0)*Reference!$C$12)</f>
        <v>296670</v>
      </c>
      <c r="D3199" s="10">
        <f ca="1">ROUND(_xlfn.NORM.INV(RAND(),Reference!$D$8,0.1*Reference!$D$8)*(1+Reference!$D$11*(IF(MONTH($A3199)=Reference!$D$4,1,0)+IF(MONTH($A3199)=Reference!$D$5,1,0))+(IF(MONTH($A3199)=Reference!$D$6,Reference!$D$13,0))),0)</f>
        <v>487</v>
      </c>
      <c r="E3199" s="11">
        <f ca="1">D3199*Reference!$D$7*(1-IF(MONTH($A3199)=Reference!$D$6,1,0)*Reference!$D$12)</f>
        <v>346987.5</v>
      </c>
      <c r="M3199" s="20"/>
      <c r="N3199" s="20"/>
      <c r="O3199" s="19"/>
      <c r="P3199" s="10"/>
      <c r="Q3199" s="10"/>
      <c r="R3199" s="10"/>
      <c r="S3199" s="10"/>
      <c r="T3199" s="10"/>
      <c r="U3199" s="10"/>
      <c r="V3199" s="10"/>
      <c r="W3199" s="10"/>
      <c r="X3199" s="10"/>
      <c r="Y3199" s="10"/>
    </row>
    <row r="3200" spans="1:25" x14ac:dyDescent="0.25">
      <c r="A3200" s="9">
        <v>43738</v>
      </c>
      <c r="B3200" s="10">
        <f ca="1">ROUND(_xlfn.NORM.INV(RAND(),Reference!$C$8,0.1*Reference!$C$8)*(1+Reference!$C$11*(IF(MONTH($A3200)=Reference!$C$4,1,0)+IF(MONTH($A3200)=Reference!$C$5,1,0))+(IF(MONTH($A3200)=Reference!$C$6,Reference!$C$13,0))),0)</f>
        <v>365</v>
      </c>
      <c r="C3200" s="11">
        <f ca="1">B3200*Reference!$C$7*(1-IF(MONTH($A3200)=Reference!$C$6,1,0)*Reference!$C$12)</f>
        <v>339450</v>
      </c>
      <c r="D3200" s="10">
        <f ca="1">ROUND(_xlfn.NORM.INV(RAND(),Reference!$D$8,0.1*Reference!$D$8)*(1+Reference!$D$11*(IF(MONTH($A3200)=Reference!$D$4,1,0)+IF(MONTH($A3200)=Reference!$D$5,1,0))+(IF(MONTH($A3200)=Reference!$D$6,Reference!$D$13,0))),0)</f>
        <v>561</v>
      </c>
      <c r="E3200" s="11">
        <f ca="1">D3200*Reference!$D$7*(1-IF(MONTH($A3200)=Reference!$D$6,1,0)*Reference!$D$12)</f>
        <v>399712.5</v>
      </c>
      <c r="M3200" s="20"/>
      <c r="N3200" s="20"/>
      <c r="O3200" s="19"/>
      <c r="P3200" s="10"/>
      <c r="Q3200" s="10"/>
      <c r="R3200" s="10"/>
      <c r="S3200" s="10"/>
      <c r="T3200" s="10"/>
      <c r="U3200" s="10"/>
      <c r="V3200" s="10"/>
      <c r="W3200" s="10"/>
      <c r="X3200" s="10"/>
      <c r="Y3200" s="10"/>
    </row>
    <row r="3201" spans="1:25" x14ac:dyDescent="0.25">
      <c r="A3201" s="9">
        <v>43739</v>
      </c>
      <c r="B3201" s="10">
        <f ca="1">ROUND(_xlfn.NORM.INV(RAND(),Reference!$C$8,0.1*Reference!$C$8)*(1+Reference!$C$11*(IF(MONTH($A3201)=Reference!$C$4,1,0)+IF(MONTH($A3201)=Reference!$C$5,1,0))+(IF(MONTH($A3201)=Reference!$C$6,Reference!$C$13,0))),0)</f>
        <v>359</v>
      </c>
      <c r="C3201" s="11">
        <f ca="1">B3201*Reference!$C$7*(1-IF(MONTH($A3201)=Reference!$C$6,1,0)*Reference!$C$12)</f>
        <v>333870</v>
      </c>
      <c r="D3201" s="10">
        <f ca="1">ROUND(_xlfn.NORM.INV(RAND(),Reference!$D$8,0.1*Reference!$D$8)*(1+Reference!$D$11*(IF(MONTH($A3201)=Reference!$D$4,1,0)+IF(MONTH($A3201)=Reference!$D$5,1,0))+(IF(MONTH($A3201)=Reference!$D$6,Reference!$D$13,0))),0)</f>
        <v>522</v>
      </c>
      <c r="E3201" s="11">
        <f ca="1">D3201*Reference!$D$7*(1-IF(MONTH($A3201)=Reference!$D$6,1,0)*Reference!$D$12)</f>
        <v>391500</v>
      </c>
      <c r="M3201" s="20"/>
      <c r="N3201" s="20"/>
      <c r="O3201" s="19"/>
      <c r="P3201" s="10"/>
      <c r="Q3201" s="10"/>
      <c r="R3201" s="10"/>
      <c r="S3201" s="10"/>
      <c r="T3201" s="10"/>
      <c r="U3201" s="10"/>
      <c r="V3201" s="10"/>
      <c r="W3201" s="10"/>
      <c r="X3201" s="10"/>
      <c r="Y3201" s="10"/>
    </row>
    <row r="3202" spans="1:25" x14ac:dyDescent="0.25">
      <c r="A3202" s="9">
        <v>43740</v>
      </c>
      <c r="B3202" s="10">
        <f ca="1">ROUND(_xlfn.NORM.INV(RAND(),Reference!$C$8,0.1*Reference!$C$8)*(1+Reference!$C$11*(IF(MONTH($A3202)=Reference!$C$4,1,0)+IF(MONTH($A3202)=Reference!$C$5,1,0))+(IF(MONTH($A3202)=Reference!$C$6,Reference!$C$13,0))),0)</f>
        <v>369</v>
      </c>
      <c r="C3202" s="11">
        <f ca="1">B3202*Reference!$C$7*(1-IF(MONTH($A3202)=Reference!$C$6,1,0)*Reference!$C$12)</f>
        <v>343170</v>
      </c>
      <c r="D3202" s="10">
        <f ca="1">ROUND(_xlfn.NORM.INV(RAND(),Reference!$D$8,0.1*Reference!$D$8)*(1+Reference!$D$11*(IF(MONTH($A3202)=Reference!$D$4,1,0)+IF(MONTH($A3202)=Reference!$D$5,1,0))+(IF(MONTH($A3202)=Reference!$D$6,Reference!$D$13,0))),0)</f>
        <v>487</v>
      </c>
      <c r="E3202" s="11">
        <f ca="1">D3202*Reference!$D$7*(1-IF(MONTH($A3202)=Reference!$D$6,1,0)*Reference!$D$12)</f>
        <v>365250</v>
      </c>
      <c r="M3202" s="20"/>
      <c r="N3202" s="20"/>
      <c r="O3202" s="19"/>
      <c r="P3202" s="10"/>
      <c r="Q3202" s="10"/>
      <c r="R3202" s="10"/>
      <c r="S3202" s="10"/>
      <c r="T3202" s="10"/>
      <c r="U3202" s="10"/>
      <c r="V3202" s="10"/>
      <c r="W3202" s="10"/>
      <c r="X3202" s="10"/>
      <c r="Y3202" s="10"/>
    </row>
    <row r="3203" spans="1:25" x14ac:dyDescent="0.25">
      <c r="A3203" s="9">
        <v>43741</v>
      </c>
      <c r="B3203" s="10">
        <f ca="1">ROUND(_xlfn.NORM.INV(RAND(),Reference!$C$8,0.1*Reference!$C$8)*(1+Reference!$C$11*(IF(MONTH($A3203)=Reference!$C$4,1,0)+IF(MONTH($A3203)=Reference!$C$5,1,0))+(IF(MONTH($A3203)=Reference!$C$6,Reference!$C$13,0))),0)</f>
        <v>354</v>
      </c>
      <c r="C3203" s="11">
        <f ca="1">B3203*Reference!$C$7*(1-IF(MONTH($A3203)=Reference!$C$6,1,0)*Reference!$C$12)</f>
        <v>329220</v>
      </c>
      <c r="D3203" s="10">
        <f ca="1">ROUND(_xlfn.NORM.INV(RAND(),Reference!$D$8,0.1*Reference!$D$8)*(1+Reference!$D$11*(IF(MONTH($A3203)=Reference!$D$4,1,0)+IF(MONTH($A3203)=Reference!$D$5,1,0))+(IF(MONTH($A3203)=Reference!$D$6,Reference!$D$13,0))),0)</f>
        <v>529</v>
      </c>
      <c r="E3203" s="11">
        <f ca="1">D3203*Reference!$D$7*(1-IF(MONTH($A3203)=Reference!$D$6,1,0)*Reference!$D$12)</f>
        <v>396750</v>
      </c>
      <c r="M3203" s="20"/>
      <c r="N3203" s="20"/>
      <c r="O3203" s="19"/>
      <c r="P3203" s="10"/>
      <c r="Q3203" s="10"/>
      <c r="R3203" s="10"/>
      <c r="S3203" s="10"/>
      <c r="T3203" s="10"/>
      <c r="U3203" s="10"/>
      <c r="V3203" s="10"/>
      <c r="W3203" s="10"/>
      <c r="X3203" s="10"/>
      <c r="Y3203" s="10"/>
    </row>
    <row r="3204" spans="1:25" x14ac:dyDescent="0.25">
      <c r="A3204" s="9">
        <v>43742</v>
      </c>
      <c r="B3204" s="10">
        <f ca="1">ROUND(_xlfn.NORM.INV(RAND(),Reference!$C$8,0.1*Reference!$C$8)*(1+Reference!$C$11*(IF(MONTH($A3204)=Reference!$C$4,1,0)+IF(MONTH($A3204)=Reference!$C$5,1,0))+(IF(MONTH($A3204)=Reference!$C$6,Reference!$C$13,0))),0)</f>
        <v>384</v>
      </c>
      <c r="C3204" s="11">
        <f ca="1">B3204*Reference!$C$7*(1-IF(MONTH($A3204)=Reference!$C$6,1,0)*Reference!$C$12)</f>
        <v>357120</v>
      </c>
      <c r="D3204" s="10">
        <f ca="1">ROUND(_xlfn.NORM.INV(RAND(),Reference!$D$8,0.1*Reference!$D$8)*(1+Reference!$D$11*(IF(MONTH($A3204)=Reference!$D$4,1,0)+IF(MONTH($A3204)=Reference!$D$5,1,0))+(IF(MONTH($A3204)=Reference!$D$6,Reference!$D$13,0))),0)</f>
        <v>487</v>
      </c>
      <c r="E3204" s="11">
        <f ca="1">D3204*Reference!$D$7*(1-IF(MONTH($A3204)=Reference!$D$6,1,0)*Reference!$D$12)</f>
        <v>365250</v>
      </c>
      <c r="M3204" s="20"/>
      <c r="N3204" s="20"/>
      <c r="O3204" s="19"/>
      <c r="P3204" s="10"/>
      <c r="Q3204" s="10"/>
      <c r="R3204" s="10"/>
      <c r="S3204" s="10"/>
      <c r="T3204" s="10"/>
      <c r="U3204" s="10"/>
      <c r="V3204" s="10"/>
      <c r="W3204" s="10"/>
      <c r="X3204" s="10"/>
      <c r="Y3204" s="10"/>
    </row>
    <row r="3205" spans="1:25" x14ac:dyDescent="0.25">
      <c r="A3205" s="9">
        <v>43743</v>
      </c>
      <c r="B3205" s="10">
        <f ca="1">ROUND(_xlfn.NORM.INV(RAND(),Reference!$C$8,0.1*Reference!$C$8)*(1+Reference!$C$11*(IF(MONTH($A3205)=Reference!$C$4,1,0)+IF(MONTH($A3205)=Reference!$C$5,1,0))+(IF(MONTH($A3205)=Reference!$C$6,Reference!$C$13,0))),0)</f>
        <v>315</v>
      </c>
      <c r="C3205" s="11">
        <f ca="1">B3205*Reference!$C$7*(1-IF(MONTH($A3205)=Reference!$C$6,1,0)*Reference!$C$12)</f>
        <v>292950</v>
      </c>
      <c r="D3205" s="10">
        <f ca="1">ROUND(_xlfn.NORM.INV(RAND(),Reference!$D$8,0.1*Reference!$D$8)*(1+Reference!$D$11*(IF(MONTH($A3205)=Reference!$D$4,1,0)+IF(MONTH($A3205)=Reference!$D$5,1,0))+(IF(MONTH($A3205)=Reference!$D$6,Reference!$D$13,0))),0)</f>
        <v>491</v>
      </c>
      <c r="E3205" s="11">
        <f ca="1">D3205*Reference!$D$7*(1-IF(MONTH($A3205)=Reference!$D$6,1,0)*Reference!$D$12)</f>
        <v>368250</v>
      </c>
      <c r="M3205" s="20"/>
      <c r="N3205" s="20"/>
      <c r="O3205" s="19"/>
      <c r="P3205" s="10"/>
      <c r="Q3205" s="10"/>
      <c r="R3205" s="10"/>
      <c r="S3205" s="10"/>
      <c r="T3205" s="10"/>
      <c r="U3205" s="10"/>
      <c r="V3205" s="10"/>
      <c r="W3205" s="10"/>
      <c r="X3205" s="10"/>
      <c r="Y3205" s="10"/>
    </row>
    <row r="3206" spans="1:25" x14ac:dyDescent="0.25">
      <c r="A3206" s="9">
        <v>43744</v>
      </c>
      <c r="B3206" s="10">
        <f ca="1">ROUND(_xlfn.NORM.INV(RAND(),Reference!$C$8,0.1*Reference!$C$8)*(1+Reference!$C$11*(IF(MONTH($A3206)=Reference!$C$4,1,0)+IF(MONTH($A3206)=Reference!$C$5,1,0))+(IF(MONTH($A3206)=Reference!$C$6,Reference!$C$13,0))),0)</f>
        <v>401</v>
      </c>
      <c r="C3206" s="11">
        <f ca="1">B3206*Reference!$C$7*(1-IF(MONTH($A3206)=Reference!$C$6,1,0)*Reference!$C$12)</f>
        <v>372930</v>
      </c>
      <c r="D3206" s="10">
        <f ca="1">ROUND(_xlfn.NORM.INV(RAND(),Reference!$D$8,0.1*Reference!$D$8)*(1+Reference!$D$11*(IF(MONTH($A3206)=Reference!$D$4,1,0)+IF(MONTH($A3206)=Reference!$D$5,1,0))+(IF(MONTH($A3206)=Reference!$D$6,Reference!$D$13,0))),0)</f>
        <v>553</v>
      </c>
      <c r="E3206" s="11">
        <f ca="1">D3206*Reference!$D$7*(1-IF(MONTH($A3206)=Reference!$D$6,1,0)*Reference!$D$12)</f>
        <v>414750</v>
      </c>
      <c r="M3206" s="20"/>
      <c r="N3206" s="20"/>
      <c r="O3206" s="19"/>
      <c r="P3206" s="10"/>
      <c r="Q3206" s="10"/>
      <c r="R3206" s="10"/>
      <c r="S3206" s="10"/>
      <c r="T3206" s="10"/>
      <c r="U3206" s="10"/>
      <c r="V3206" s="10"/>
      <c r="W3206" s="10"/>
      <c r="X3206" s="10"/>
      <c r="Y3206" s="10"/>
    </row>
    <row r="3207" spans="1:25" x14ac:dyDescent="0.25">
      <c r="A3207" s="9">
        <v>43745</v>
      </c>
      <c r="B3207" s="10">
        <f ca="1">ROUND(_xlfn.NORM.INV(RAND(),Reference!$C$8,0.1*Reference!$C$8)*(1+Reference!$C$11*(IF(MONTH($A3207)=Reference!$C$4,1,0)+IF(MONTH($A3207)=Reference!$C$5,1,0))+(IF(MONTH($A3207)=Reference!$C$6,Reference!$C$13,0))),0)</f>
        <v>344</v>
      </c>
      <c r="C3207" s="11">
        <f ca="1">B3207*Reference!$C$7*(1-IF(MONTH($A3207)=Reference!$C$6,1,0)*Reference!$C$12)</f>
        <v>319920</v>
      </c>
      <c r="D3207" s="10">
        <f ca="1">ROUND(_xlfn.NORM.INV(RAND(),Reference!$D$8,0.1*Reference!$D$8)*(1+Reference!$D$11*(IF(MONTH($A3207)=Reference!$D$4,1,0)+IF(MONTH($A3207)=Reference!$D$5,1,0))+(IF(MONTH($A3207)=Reference!$D$6,Reference!$D$13,0))),0)</f>
        <v>502</v>
      </c>
      <c r="E3207" s="11">
        <f ca="1">D3207*Reference!$D$7*(1-IF(MONTH($A3207)=Reference!$D$6,1,0)*Reference!$D$12)</f>
        <v>376500</v>
      </c>
      <c r="M3207" s="20"/>
      <c r="N3207" s="20"/>
      <c r="O3207" s="19"/>
      <c r="P3207" s="10"/>
      <c r="Q3207" s="10"/>
      <c r="R3207" s="10"/>
      <c r="S3207" s="10"/>
      <c r="T3207" s="10"/>
      <c r="U3207" s="10"/>
      <c r="V3207" s="10"/>
      <c r="W3207" s="10"/>
      <c r="X3207" s="10"/>
      <c r="Y3207" s="10"/>
    </row>
    <row r="3208" spans="1:25" x14ac:dyDescent="0.25">
      <c r="A3208" s="9">
        <v>43746</v>
      </c>
      <c r="B3208" s="10">
        <f ca="1">ROUND(_xlfn.NORM.INV(RAND(),Reference!$C$8,0.1*Reference!$C$8)*(1+Reference!$C$11*(IF(MONTH($A3208)=Reference!$C$4,1,0)+IF(MONTH($A3208)=Reference!$C$5,1,0))+(IF(MONTH($A3208)=Reference!$C$6,Reference!$C$13,0))),0)</f>
        <v>383</v>
      </c>
      <c r="C3208" s="11">
        <f ca="1">B3208*Reference!$C$7*(1-IF(MONTH($A3208)=Reference!$C$6,1,0)*Reference!$C$12)</f>
        <v>356190</v>
      </c>
      <c r="D3208" s="10">
        <f ca="1">ROUND(_xlfn.NORM.INV(RAND(),Reference!$D$8,0.1*Reference!$D$8)*(1+Reference!$D$11*(IF(MONTH($A3208)=Reference!$D$4,1,0)+IF(MONTH($A3208)=Reference!$D$5,1,0))+(IF(MONTH($A3208)=Reference!$D$6,Reference!$D$13,0))),0)</f>
        <v>459</v>
      </c>
      <c r="E3208" s="11">
        <f ca="1">D3208*Reference!$D$7*(1-IF(MONTH($A3208)=Reference!$D$6,1,0)*Reference!$D$12)</f>
        <v>344250</v>
      </c>
      <c r="M3208" s="20"/>
      <c r="N3208" s="20"/>
      <c r="O3208" s="19"/>
      <c r="P3208" s="10"/>
      <c r="Q3208" s="10"/>
      <c r="R3208" s="10"/>
      <c r="S3208" s="10"/>
      <c r="T3208" s="10"/>
      <c r="U3208" s="10"/>
      <c r="V3208" s="10"/>
      <c r="W3208" s="10"/>
      <c r="X3208" s="10"/>
      <c r="Y3208" s="10"/>
    </row>
    <row r="3209" spans="1:25" x14ac:dyDescent="0.25">
      <c r="A3209" s="9">
        <v>43747</v>
      </c>
      <c r="B3209" s="10">
        <f ca="1">ROUND(_xlfn.NORM.INV(RAND(),Reference!$C$8,0.1*Reference!$C$8)*(1+Reference!$C$11*(IF(MONTH($A3209)=Reference!$C$4,1,0)+IF(MONTH($A3209)=Reference!$C$5,1,0))+(IF(MONTH($A3209)=Reference!$C$6,Reference!$C$13,0))),0)</f>
        <v>402</v>
      </c>
      <c r="C3209" s="11">
        <f ca="1">B3209*Reference!$C$7*(1-IF(MONTH($A3209)=Reference!$C$6,1,0)*Reference!$C$12)</f>
        <v>373860</v>
      </c>
      <c r="D3209" s="10">
        <f ca="1">ROUND(_xlfn.NORM.INV(RAND(),Reference!$D$8,0.1*Reference!$D$8)*(1+Reference!$D$11*(IF(MONTH($A3209)=Reference!$D$4,1,0)+IF(MONTH($A3209)=Reference!$D$5,1,0))+(IF(MONTH($A3209)=Reference!$D$6,Reference!$D$13,0))),0)</f>
        <v>426</v>
      </c>
      <c r="E3209" s="11">
        <f ca="1">D3209*Reference!$D$7*(1-IF(MONTH($A3209)=Reference!$D$6,1,0)*Reference!$D$12)</f>
        <v>319500</v>
      </c>
      <c r="M3209" s="20"/>
      <c r="N3209" s="20"/>
      <c r="O3209" s="19"/>
      <c r="P3209" s="10"/>
      <c r="Q3209" s="10"/>
      <c r="R3209" s="10"/>
      <c r="S3209" s="10"/>
      <c r="T3209" s="10"/>
      <c r="U3209" s="10"/>
      <c r="V3209" s="10"/>
      <c r="W3209" s="10"/>
      <c r="X3209" s="10"/>
      <c r="Y3209" s="10"/>
    </row>
    <row r="3210" spans="1:25" x14ac:dyDescent="0.25">
      <c r="A3210" s="9">
        <v>43748</v>
      </c>
      <c r="B3210" s="10">
        <f ca="1">ROUND(_xlfn.NORM.INV(RAND(),Reference!$C$8,0.1*Reference!$C$8)*(1+Reference!$C$11*(IF(MONTH($A3210)=Reference!$C$4,1,0)+IF(MONTH($A3210)=Reference!$C$5,1,0))+(IF(MONTH($A3210)=Reference!$C$6,Reference!$C$13,0))),0)</f>
        <v>379</v>
      </c>
      <c r="C3210" s="11">
        <f ca="1">B3210*Reference!$C$7*(1-IF(MONTH($A3210)=Reference!$C$6,1,0)*Reference!$C$12)</f>
        <v>352470</v>
      </c>
      <c r="D3210" s="10">
        <f ca="1">ROUND(_xlfn.NORM.INV(RAND(),Reference!$D$8,0.1*Reference!$D$8)*(1+Reference!$D$11*(IF(MONTH($A3210)=Reference!$D$4,1,0)+IF(MONTH($A3210)=Reference!$D$5,1,0))+(IF(MONTH($A3210)=Reference!$D$6,Reference!$D$13,0))),0)</f>
        <v>452</v>
      </c>
      <c r="E3210" s="11">
        <f ca="1">D3210*Reference!$D$7*(1-IF(MONTH($A3210)=Reference!$D$6,1,0)*Reference!$D$12)</f>
        <v>339000</v>
      </c>
      <c r="M3210" s="20"/>
      <c r="N3210" s="20"/>
      <c r="O3210" s="19"/>
      <c r="P3210" s="10"/>
      <c r="Q3210" s="10"/>
      <c r="R3210" s="10"/>
      <c r="S3210" s="10"/>
      <c r="T3210" s="10"/>
      <c r="U3210" s="10"/>
      <c r="V3210" s="10"/>
      <c r="W3210" s="10"/>
      <c r="X3210" s="10"/>
      <c r="Y3210" s="10"/>
    </row>
    <row r="3211" spans="1:25" x14ac:dyDescent="0.25">
      <c r="A3211" s="9">
        <v>43749</v>
      </c>
      <c r="B3211" s="10">
        <f ca="1">ROUND(_xlfn.NORM.INV(RAND(),Reference!$C$8,0.1*Reference!$C$8)*(1+Reference!$C$11*(IF(MONTH($A3211)=Reference!$C$4,1,0)+IF(MONTH($A3211)=Reference!$C$5,1,0))+(IF(MONTH($A3211)=Reference!$C$6,Reference!$C$13,0))),0)</f>
        <v>323</v>
      </c>
      <c r="C3211" s="11">
        <f ca="1">B3211*Reference!$C$7*(1-IF(MONTH($A3211)=Reference!$C$6,1,0)*Reference!$C$12)</f>
        <v>300390</v>
      </c>
      <c r="D3211" s="10">
        <f ca="1">ROUND(_xlfn.NORM.INV(RAND(),Reference!$D$8,0.1*Reference!$D$8)*(1+Reference!$D$11*(IF(MONTH($A3211)=Reference!$D$4,1,0)+IF(MONTH($A3211)=Reference!$D$5,1,0))+(IF(MONTH($A3211)=Reference!$D$6,Reference!$D$13,0))),0)</f>
        <v>544</v>
      </c>
      <c r="E3211" s="11">
        <f ca="1">D3211*Reference!$D$7*(1-IF(MONTH($A3211)=Reference!$D$6,1,0)*Reference!$D$12)</f>
        <v>408000</v>
      </c>
      <c r="M3211" s="20"/>
      <c r="N3211" s="20"/>
      <c r="O3211" s="19"/>
      <c r="P3211" s="10"/>
      <c r="Q3211" s="10"/>
      <c r="R3211" s="10"/>
      <c r="S3211" s="10"/>
      <c r="T3211" s="10"/>
      <c r="U3211" s="10"/>
      <c r="V3211" s="10"/>
      <c r="W3211" s="10"/>
      <c r="X3211" s="10"/>
      <c r="Y3211" s="10"/>
    </row>
    <row r="3212" spans="1:25" x14ac:dyDescent="0.25">
      <c r="A3212" s="9">
        <v>43750</v>
      </c>
      <c r="B3212" s="10">
        <f ca="1">ROUND(_xlfn.NORM.INV(RAND(),Reference!$C$8,0.1*Reference!$C$8)*(1+Reference!$C$11*(IF(MONTH($A3212)=Reference!$C$4,1,0)+IF(MONTH($A3212)=Reference!$C$5,1,0))+(IF(MONTH($A3212)=Reference!$C$6,Reference!$C$13,0))),0)</f>
        <v>378</v>
      </c>
      <c r="C3212" s="11">
        <f ca="1">B3212*Reference!$C$7*(1-IF(MONTH($A3212)=Reference!$C$6,1,0)*Reference!$C$12)</f>
        <v>351540</v>
      </c>
      <c r="D3212" s="10">
        <f ca="1">ROUND(_xlfn.NORM.INV(RAND(),Reference!$D$8,0.1*Reference!$D$8)*(1+Reference!$D$11*(IF(MONTH($A3212)=Reference!$D$4,1,0)+IF(MONTH($A3212)=Reference!$D$5,1,0))+(IF(MONTH($A3212)=Reference!$D$6,Reference!$D$13,0))),0)</f>
        <v>459</v>
      </c>
      <c r="E3212" s="11">
        <f ca="1">D3212*Reference!$D$7*(1-IF(MONTH($A3212)=Reference!$D$6,1,0)*Reference!$D$12)</f>
        <v>344250</v>
      </c>
      <c r="M3212" s="20"/>
      <c r="N3212" s="20"/>
      <c r="O3212" s="19"/>
      <c r="P3212" s="10"/>
      <c r="Q3212" s="10"/>
      <c r="R3212" s="10"/>
      <c r="S3212" s="10"/>
      <c r="T3212" s="10"/>
      <c r="U3212" s="10"/>
      <c r="V3212" s="10"/>
      <c r="W3212" s="10"/>
      <c r="X3212" s="10"/>
      <c r="Y3212" s="10"/>
    </row>
    <row r="3213" spans="1:25" x14ac:dyDescent="0.25">
      <c r="A3213" s="9">
        <v>43751</v>
      </c>
      <c r="B3213" s="10">
        <f ca="1">ROUND(_xlfn.NORM.INV(RAND(),Reference!$C$8,0.1*Reference!$C$8)*(1+Reference!$C$11*(IF(MONTH($A3213)=Reference!$C$4,1,0)+IF(MONTH($A3213)=Reference!$C$5,1,0))+(IF(MONTH($A3213)=Reference!$C$6,Reference!$C$13,0))),0)</f>
        <v>372</v>
      </c>
      <c r="C3213" s="11">
        <f ca="1">B3213*Reference!$C$7*(1-IF(MONTH($A3213)=Reference!$C$6,1,0)*Reference!$C$12)</f>
        <v>345960</v>
      </c>
      <c r="D3213" s="10">
        <f ca="1">ROUND(_xlfn.NORM.INV(RAND(),Reference!$D$8,0.1*Reference!$D$8)*(1+Reference!$D$11*(IF(MONTH($A3213)=Reference!$D$4,1,0)+IF(MONTH($A3213)=Reference!$D$5,1,0))+(IF(MONTH($A3213)=Reference!$D$6,Reference!$D$13,0))),0)</f>
        <v>467</v>
      </c>
      <c r="E3213" s="11">
        <f ca="1">D3213*Reference!$D$7*(1-IF(MONTH($A3213)=Reference!$D$6,1,0)*Reference!$D$12)</f>
        <v>350250</v>
      </c>
      <c r="M3213" s="20"/>
      <c r="N3213" s="20"/>
      <c r="O3213" s="19"/>
      <c r="P3213" s="10"/>
      <c r="Q3213" s="10"/>
      <c r="R3213" s="10"/>
      <c r="S3213" s="10"/>
      <c r="T3213" s="10"/>
      <c r="U3213" s="10"/>
      <c r="V3213" s="10"/>
      <c r="W3213" s="10"/>
      <c r="X3213" s="10"/>
      <c r="Y3213" s="10"/>
    </row>
    <row r="3214" spans="1:25" x14ac:dyDescent="0.25">
      <c r="A3214" s="9">
        <v>43752</v>
      </c>
      <c r="B3214" s="10">
        <f ca="1">ROUND(_xlfn.NORM.INV(RAND(),Reference!$C$8,0.1*Reference!$C$8)*(1+Reference!$C$11*(IF(MONTH($A3214)=Reference!$C$4,1,0)+IF(MONTH($A3214)=Reference!$C$5,1,0))+(IF(MONTH($A3214)=Reference!$C$6,Reference!$C$13,0))),0)</f>
        <v>344</v>
      </c>
      <c r="C3214" s="11">
        <f ca="1">B3214*Reference!$C$7*(1-IF(MONTH($A3214)=Reference!$C$6,1,0)*Reference!$C$12)</f>
        <v>319920</v>
      </c>
      <c r="D3214" s="10">
        <f ca="1">ROUND(_xlfn.NORM.INV(RAND(),Reference!$D$8,0.1*Reference!$D$8)*(1+Reference!$D$11*(IF(MONTH($A3214)=Reference!$D$4,1,0)+IF(MONTH($A3214)=Reference!$D$5,1,0))+(IF(MONTH($A3214)=Reference!$D$6,Reference!$D$13,0))),0)</f>
        <v>426</v>
      </c>
      <c r="E3214" s="11">
        <f ca="1">D3214*Reference!$D$7*(1-IF(MONTH($A3214)=Reference!$D$6,1,0)*Reference!$D$12)</f>
        <v>319500</v>
      </c>
      <c r="M3214" s="20"/>
      <c r="N3214" s="20"/>
      <c r="O3214" s="19"/>
      <c r="P3214" s="10"/>
      <c r="Q3214" s="10"/>
      <c r="R3214" s="10"/>
      <c r="S3214" s="10"/>
      <c r="T3214" s="10"/>
      <c r="U3214" s="10"/>
      <c r="V3214" s="10"/>
      <c r="W3214" s="10"/>
      <c r="X3214" s="10"/>
      <c r="Y3214" s="10"/>
    </row>
    <row r="3215" spans="1:25" x14ac:dyDescent="0.25">
      <c r="A3215" s="9">
        <v>43753</v>
      </c>
      <c r="B3215" s="10">
        <f ca="1">ROUND(_xlfn.NORM.INV(RAND(),Reference!$C$8,0.1*Reference!$C$8)*(1+Reference!$C$11*(IF(MONTH($A3215)=Reference!$C$4,1,0)+IF(MONTH($A3215)=Reference!$C$5,1,0))+(IF(MONTH($A3215)=Reference!$C$6,Reference!$C$13,0))),0)</f>
        <v>282</v>
      </c>
      <c r="C3215" s="11">
        <f ca="1">B3215*Reference!$C$7*(1-IF(MONTH($A3215)=Reference!$C$6,1,0)*Reference!$C$12)</f>
        <v>262260</v>
      </c>
      <c r="D3215" s="10">
        <f ca="1">ROUND(_xlfn.NORM.INV(RAND(),Reference!$D$8,0.1*Reference!$D$8)*(1+Reference!$D$11*(IF(MONTH($A3215)=Reference!$D$4,1,0)+IF(MONTH($A3215)=Reference!$D$5,1,0))+(IF(MONTH($A3215)=Reference!$D$6,Reference!$D$13,0))),0)</f>
        <v>359</v>
      </c>
      <c r="E3215" s="11">
        <f ca="1">D3215*Reference!$D$7*(1-IF(MONTH($A3215)=Reference!$D$6,1,0)*Reference!$D$12)</f>
        <v>269250</v>
      </c>
      <c r="M3215" s="20"/>
      <c r="N3215" s="20"/>
      <c r="O3215" s="19"/>
      <c r="P3215" s="10"/>
      <c r="Q3215" s="10"/>
      <c r="R3215" s="10"/>
      <c r="S3215" s="10"/>
      <c r="T3215" s="10"/>
      <c r="U3215" s="10"/>
      <c r="V3215" s="10"/>
      <c r="W3215" s="10"/>
      <c r="X3215" s="10"/>
      <c r="Y3215" s="10"/>
    </row>
    <row r="3216" spans="1:25" x14ac:dyDescent="0.25">
      <c r="A3216" s="9">
        <v>43754</v>
      </c>
      <c r="B3216" s="10">
        <f ca="1">ROUND(_xlfn.NORM.INV(RAND(),Reference!$C$8,0.1*Reference!$C$8)*(1+Reference!$C$11*(IF(MONTH($A3216)=Reference!$C$4,1,0)+IF(MONTH($A3216)=Reference!$C$5,1,0))+(IF(MONTH($A3216)=Reference!$C$6,Reference!$C$13,0))),0)</f>
        <v>395</v>
      </c>
      <c r="C3216" s="11">
        <f ca="1">B3216*Reference!$C$7*(1-IF(MONTH($A3216)=Reference!$C$6,1,0)*Reference!$C$12)</f>
        <v>367350</v>
      </c>
      <c r="D3216" s="10">
        <f ca="1">ROUND(_xlfn.NORM.INV(RAND(),Reference!$D$8,0.1*Reference!$D$8)*(1+Reference!$D$11*(IF(MONTH($A3216)=Reference!$D$4,1,0)+IF(MONTH($A3216)=Reference!$D$5,1,0))+(IF(MONTH($A3216)=Reference!$D$6,Reference!$D$13,0))),0)</f>
        <v>414</v>
      </c>
      <c r="E3216" s="11">
        <f ca="1">D3216*Reference!$D$7*(1-IF(MONTH($A3216)=Reference!$D$6,1,0)*Reference!$D$12)</f>
        <v>310500</v>
      </c>
      <c r="M3216" s="20"/>
      <c r="N3216" s="20"/>
      <c r="O3216" s="19"/>
      <c r="P3216" s="10"/>
      <c r="Q3216" s="10"/>
      <c r="R3216" s="10"/>
      <c r="S3216" s="10"/>
      <c r="T3216" s="10"/>
      <c r="U3216" s="10"/>
      <c r="V3216" s="10"/>
      <c r="W3216" s="10"/>
      <c r="X3216" s="10"/>
      <c r="Y3216" s="10"/>
    </row>
    <row r="3217" spans="1:25" x14ac:dyDescent="0.25">
      <c r="A3217" s="9">
        <v>43755</v>
      </c>
      <c r="B3217" s="10">
        <f ca="1">ROUND(_xlfn.NORM.INV(RAND(),Reference!$C$8,0.1*Reference!$C$8)*(1+Reference!$C$11*(IF(MONTH($A3217)=Reference!$C$4,1,0)+IF(MONTH($A3217)=Reference!$C$5,1,0))+(IF(MONTH($A3217)=Reference!$C$6,Reference!$C$13,0))),0)</f>
        <v>339</v>
      </c>
      <c r="C3217" s="11">
        <f ca="1">B3217*Reference!$C$7*(1-IF(MONTH($A3217)=Reference!$C$6,1,0)*Reference!$C$12)</f>
        <v>315270</v>
      </c>
      <c r="D3217" s="10">
        <f ca="1">ROUND(_xlfn.NORM.INV(RAND(),Reference!$D$8,0.1*Reference!$D$8)*(1+Reference!$D$11*(IF(MONTH($A3217)=Reference!$D$4,1,0)+IF(MONTH($A3217)=Reference!$D$5,1,0))+(IF(MONTH($A3217)=Reference!$D$6,Reference!$D$13,0))),0)</f>
        <v>422</v>
      </c>
      <c r="E3217" s="11">
        <f ca="1">D3217*Reference!$D$7*(1-IF(MONTH($A3217)=Reference!$D$6,1,0)*Reference!$D$12)</f>
        <v>316500</v>
      </c>
      <c r="M3217" s="20"/>
      <c r="N3217" s="20"/>
      <c r="O3217" s="19"/>
      <c r="P3217" s="10"/>
      <c r="Q3217" s="10"/>
      <c r="R3217" s="10"/>
      <c r="S3217" s="10"/>
      <c r="T3217" s="10"/>
      <c r="U3217" s="10"/>
      <c r="V3217" s="10"/>
      <c r="W3217" s="10"/>
      <c r="X3217" s="10"/>
      <c r="Y3217" s="10"/>
    </row>
    <row r="3218" spans="1:25" x14ac:dyDescent="0.25">
      <c r="A3218" s="9">
        <v>43756</v>
      </c>
      <c r="B3218" s="10">
        <f ca="1">ROUND(_xlfn.NORM.INV(RAND(),Reference!$C$8,0.1*Reference!$C$8)*(1+Reference!$C$11*(IF(MONTH($A3218)=Reference!$C$4,1,0)+IF(MONTH($A3218)=Reference!$C$5,1,0))+(IF(MONTH($A3218)=Reference!$C$6,Reference!$C$13,0))),0)</f>
        <v>406</v>
      </c>
      <c r="C3218" s="11">
        <f ca="1">B3218*Reference!$C$7*(1-IF(MONTH($A3218)=Reference!$C$6,1,0)*Reference!$C$12)</f>
        <v>377580</v>
      </c>
      <c r="D3218" s="10">
        <f ca="1">ROUND(_xlfn.NORM.INV(RAND(),Reference!$D$8,0.1*Reference!$D$8)*(1+Reference!$D$11*(IF(MONTH($A3218)=Reference!$D$4,1,0)+IF(MONTH($A3218)=Reference!$D$5,1,0))+(IF(MONTH($A3218)=Reference!$D$6,Reference!$D$13,0))),0)</f>
        <v>380</v>
      </c>
      <c r="E3218" s="11">
        <f ca="1">D3218*Reference!$D$7*(1-IF(MONTH($A3218)=Reference!$D$6,1,0)*Reference!$D$12)</f>
        <v>285000</v>
      </c>
      <c r="M3218" s="20"/>
      <c r="N3218" s="20"/>
      <c r="O3218" s="19"/>
      <c r="P3218" s="10"/>
      <c r="Q3218" s="10"/>
      <c r="R3218" s="10"/>
      <c r="S3218" s="10"/>
      <c r="T3218" s="10"/>
      <c r="U3218" s="10"/>
      <c r="V3218" s="10"/>
      <c r="W3218" s="10"/>
      <c r="X3218" s="10"/>
      <c r="Y3218" s="10"/>
    </row>
    <row r="3219" spans="1:25" x14ac:dyDescent="0.25">
      <c r="A3219" s="9">
        <v>43757</v>
      </c>
      <c r="B3219" s="10">
        <f ca="1">ROUND(_xlfn.NORM.INV(RAND(),Reference!$C$8,0.1*Reference!$C$8)*(1+Reference!$C$11*(IF(MONTH($A3219)=Reference!$C$4,1,0)+IF(MONTH($A3219)=Reference!$C$5,1,0))+(IF(MONTH($A3219)=Reference!$C$6,Reference!$C$13,0))),0)</f>
        <v>410</v>
      </c>
      <c r="C3219" s="11">
        <f ca="1">B3219*Reference!$C$7*(1-IF(MONTH($A3219)=Reference!$C$6,1,0)*Reference!$C$12)</f>
        <v>381300</v>
      </c>
      <c r="D3219" s="10">
        <f ca="1">ROUND(_xlfn.NORM.INV(RAND(),Reference!$D$8,0.1*Reference!$D$8)*(1+Reference!$D$11*(IF(MONTH($A3219)=Reference!$D$4,1,0)+IF(MONTH($A3219)=Reference!$D$5,1,0))+(IF(MONTH($A3219)=Reference!$D$6,Reference!$D$13,0))),0)</f>
        <v>458</v>
      </c>
      <c r="E3219" s="11">
        <f ca="1">D3219*Reference!$D$7*(1-IF(MONTH($A3219)=Reference!$D$6,1,0)*Reference!$D$12)</f>
        <v>343500</v>
      </c>
      <c r="M3219" s="20"/>
      <c r="N3219" s="20"/>
      <c r="O3219" s="19"/>
      <c r="P3219" s="10"/>
      <c r="Q3219" s="10"/>
      <c r="R3219" s="10"/>
      <c r="S3219" s="10"/>
      <c r="T3219" s="10"/>
      <c r="U3219" s="10"/>
      <c r="V3219" s="10"/>
      <c r="W3219" s="10"/>
      <c r="X3219" s="10"/>
      <c r="Y3219" s="10"/>
    </row>
    <row r="3220" spans="1:25" x14ac:dyDescent="0.25">
      <c r="A3220" s="9">
        <v>43758</v>
      </c>
      <c r="B3220" s="10">
        <f ca="1">ROUND(_xlfn.NORM.INV(RAND(),Reference!$C$8,0.1*Reference!$C$8)*(1+Reference!$C$11*(IF(MONTH($A3220)=Reference!$C$4,1,0)+IF(MONTH($A3220)=Reference!$C$5,1,0))+(IF(MONTH($A3220)=Reference!$C$6,Reference!$C$13,0))),0)</f>
        <v>352</v>
      </c>
      <c r="C3220" s="11">
        <f ca="1">B3220*Reference!$C$7*(1-IF(MONTH($A3220)=Reference!$C$6,1,0)*Reference!$C$12)</f>
        <v>327360</v>
      </c>
      <c r="D3220" s="10">
        <f ca="1">ROUND(_xlfn.NORM.INV(RAND(),Reference!$D$8,0.1*Reference!$D$8)*(1+Reference!$D$11*(IF(MONTH($A3220)=Reference!$D$4,1,0)+IF(MONTH($A3220)=Reference!$D$5,1,0))+(IF(MONTH($A3220)=Reference!$D$6,Reference!$D$13,0))),0)</f>
        <v>458</v>
      </c>
      <c r="E3220" s="11">
        <f ca="1">D3220*Reference!$D$7*(1-IF(MONTH($A3220)=Reference!$D$6,1,0)*Reference!$D$12)</f>
        <v>343500</v>
      </c>
      <c r="M3220" s="20"/>
      <c r="N3220" s="20"/>
      <c r="O3220" s="19"/>
      <c r="P3220" s="10"/>
      <c r="Q3220" s="10"/>
      <c r="R3220" s="10"/>
      <c r="S3220" s="10"/>
      <c r="T3220" s="10"/>
      <c r="U3220" s="10"/>
      <c r="V3220" s="10"/>
      <c r="W3220" s="10"/>
      <c r="X3220" s="10"/>
      <c r="Y3220" s="10"/>
    </row>
    <row r="3221" spans="1:25" x14ac:dyDescent="0.25">
      <c r="A3221" s="9">
        <v>43759</v>
      </c>
      <c r="B3221" s="10">
        <f ca="1">ROUND(_xlfn.NORM.INV(RAND(),Reference!$C$8,0.1*Reference!$C$8)*(1+Reference!$C$11*(IF(MONTH($A3221)=Reference!$C$4,1,0)+IF(MONTH($A3221)=Reference!$C$5,1,0))+(IF(MONTH($A3221)=Reference!$C$6,Reference!$C$13,0))),0)</f>
        <v>332</v>
      </c>
      <c r="C3221" s="11">
        <f ca="1">B3221*Reference!$C$7*(1-IF(MONTH($A3221)=Reference!$C$6,1,0)*Reference!$C$12)</f>
        <v>308760</v>
      </c>
      <c r="D3221" s="10">
        <f ca="1">ROUND(_xlfn.NORM.INV(RAND(),Reference!$D$8,0.1*Reference!$D$8)*(1+Reference!$D$11*(IF(MONTH($A3221)=Reference!$D$4,1,0)+IF(MONTH($A3221)=Reference!$D$5,1,0))+(IF(MONTH($A3221)=Reference!$D$6,Reference!$D$13,0))),0)</f>
        <v>365</v>
      </c>
      <c r="E3221" s="11">
        <f ca="1">D3221*Reference!$D$7*(1-IF(MONTH($A3221)=Reference!$D$6,1,0)*Reference!$D$12)</f>
        <v>273750</v>
      </c>
      <c r="M3221" s="20"/>
      <c r="N3221" s="20"/>
      <c r="O3221" s="19"/>
      <c r="P3221" s="10"/>
      <c r="Q3221" s="10"/>
      <c r="R3221" s="10"/>
      <c r="S3221" s="10"/>
      <c r="T3221" s="10"/>
      <c r="U3221" s="10"/>
      <c r="V3221" s="10"/>
      <c r="W3221" s="10"/>
      <c r="X3221" s="10"/>
      <c r="Y3221" s="10"/>
    </row>
    <row r="3222" spans="1:25" x14ac:dyDescent="0.25">
      <c r="A3222" s="9">
        <v>43760</v>
      </c>
      <c r="B3222" s="10">
        <f ca="1">ROUND(_xlfn.NORM.INV(RAND(),Reference!$C$8,0.1*Reference!$C$8)*(1+Reference!$C$11*(IF(MONTH($A3222)=Reference!$C$4,1,0)+IF(MONTH($A3222)=Reference!$C$5,1,0))+(IF(MONTH($A3222)=Reference!$C$6,Reference!$C$13,0))),0)</f>
        <v>400</v>
      </c>
      <c r="C3222" s="11">
        <f ca="1">B3222*Reference!$C$7*(1-IF(MONTH($A3222)=Reference!$C$6,1,0)*Reference!$C$12)</f>
        <v>372000</v>
      </c>
      <c r="D3222" s="10">
        <f ca="1">ROUND(_xlfn.NORM.INV(RAND(),Reference!$D$8,0.1*Reference!$D$8)*(1+Reference!$D$11*(IF(MONTH($A3222)=Reference!$D$4,1,0)+IF(MONTH($A3222)=Reference!$D$5,1,0))+(IF(MONTH($A3222)=Reference!$D$6,Reference!$D$13,0))),0)</f>
        <v>455</v>
      </c>
      <c r="E3222" s="11">
        <f ca="1">D3222*Reference!$D$7*(1-IF(MONTH($A3222)=Reference!$D$6,1,0)*Reference!$D$12)</f>
        <v>341250</v>
      </c>
      <c r="M3222" s="20"/>
      <c r="N3222" s="20"/>
      <c r="O3222" s="19"/>
      <c r="P3222" s="10"/>
      <c r="Q3222" s="10"/>
      <c r="R3222" s="10"/>
      <c r="S3222" s="10"/>
      <c r="T3222" s="10"/>
      <c r="U3222" s="10"/>
      <c r="V3222" s="10"/>
      <c r="W3222" s="10"/>
      <c r="X3222" s="10"/>
      <c r="Y3222" s="10"/>
    </row>
    <row r="3223" spans="1:25" x14ac:dyDescent="0.25">
      <c r="A3223" s="9">
        <v>43761</v>
      </c>
      <c r="B3223" s="10">
        <f ca="1">ROUND(_xlfn.NORM.INV(RAND(),Reference!$C$8,0.1*Reference!$C$8)*(1+Reference!$C$11*(IF(MONTH($A3223)=Reference!$C$4,1,0)+IF(MONTH($A3223)=Reference!$C$5,1,0))+(IF(MONTH($A3223)=Reference!$C$6,Reference!$C$13,0))),0)</f>
        <v>376</v>
      </c>
      <c r="C3223" s="11">
        <f ca="1">B3223*Reference!$C$7*(1-IF(MONTH($A3223)=Reference!$C$6,1,0)*Reference!$C$12)</f>
        <v>349680</v>
      </c>
      <c r="D3223" s="10">
        <f ca="1">ROUND(_xlfn.NORM.INV(RAND(),Reference!$D$8,0.1*Reference!$D$8)*(1+Reference!$D$11*(IF(MONTH($A3223)=Reference!$D$4,1,0)+IF(MONTH($A3223)=Reference!$D$5,1,0))+(IF(MONTH($A3223)=Reference!$D$6,Reference!$D$13,0))),0)</f>
        <v>392</v>
      </c>
      <c r="E3223" s="11">
        <f ca="1">D3223*Reference!$D$7*(1-IF(MONTH($A3223)=Reference!$D$6,1,0)*Reference!$D$12)</f>
        <v>294000</v>
      </c>
      <c r="M3223" s="20"/>
      <c r="N3223" s="20"/>
      <c r="O3223" s="19"/>
      <c r="P3223" s="10"/>
      <c r="Q3223" s="10"/>
      <c r="R3223" s="10"/>
      <c r="S3223" s="10"/>
      <c r="T3223" s="10"/>
      <c r="U3223" s="10"/>
      <c r="V3223" s="10"/>
      <c r="W3223" s="10"/>
      <c r="X3223" s="10"/>
      <c r="Y3223" s="10"/>
    </row>
    <row r="3224" spans="1:25" x14ac:dyDescent="0.25">
      <c r="A3224" s="9">
        <v>43762</v>
      </c>
      <c r="B3224" s="10">
        <f ca="1">ROUND(_xlfn.NORM.INV(RAND(),Reference!$C$8,0.1*Reference!$C$8)*(1+Reference!$C$11*(IF(MONTH($A3224)=Reference!$C$4,1,0)+IF(MONTH($A3224)=Reference!$C$5,1,0))+(IF(MONTH($A3224)=Reference!$C$6,Reference!$C$13,0))),0)</f>
        <v>362</v>
      </c>
      <c r="C3224" s="11">
        <f ca="1">B3224*Reference!$C$7*(1-IF(MONTH($A3224)=Reference!$C$6,1,0)*Reference!$C$12)</f>
        <v>336660</v>
      </c>
      <c r="D3224" s="10">
        <f ca="1">ROUND(_xlfn.NORM.INV(RAND(),Reference!$D$8,0.1*Reference!$D$8)*(1+Reference!$D$11*(IF(MONTH($A3224)=Reference!$D$4,1,0)+IF(MONTH($A3224)=Reference!$D$5,1,0))+(IF(MONTH($A3224)=Reference!$D$6,Reference!$D$13,0))),0)</f>
        <v>475</v>
      </c>
      <c r="E3224" s="11">
        <f ca="1">D3224*Reference!$D$7*(1-IF(MONTH($A3224)=Reference!$D$6,1,0)*Reference!$D$12)</f>
        <v>356250</v>
      </c>
      <c r="M3224" s="20"/>
      <c r="N3224" s="20"/>
      <c r="O3224" s="19"/>
      <c r="P3224" s="10"/>
      <c r="Q3224" s="10"/>
      <c r="R3224" s="10"/>
      <c r="S3224" s="10"/>
      <c r="T3224" s="10"/>
      <c r="U3224" s="10"/>
      <c r="V3224" s="10"/>
      <c r="W3224" s="10"/>
      <c r="X3224" s="10"/>
      <c r="Y3224" s="10"/>
    </row>
    <row r="3225" spans="1:25" x14ac:dyDescent="0.25">
      <c r="A3225" s="9">
        <v>43763</v>
      </c>
      <c r="B3225" s="10">
        <f ca="1">ROUND(_xlfn.NORM.INV(RAND(),Reference!$C$8,0.1*Reference!$C$8)*(1+Reference!$C$11*(IF(MONTH($A3225)=Reference!$C$4,1,0)+IF(MONTH($A3225)=Reference!$C$5,1,0))+(IF(MONTH($A3225)=Reference!$C$6,Reference!$C$13,0))),0)</f>
        <v>473</v>
      </c>
      <c r="C3225" s="11">
        <f ca="1">B3225*Reference!$C$7*(1-IF(MONTH($A3225)=Reference!$C$6,1,0)*Reference!$C$12)</f>
        <v>439890</v>
      </c>
      <c r="D3225" s="10">
        <f ca="1">ROUND(_xlfn.NORM.INV(RAND(),Reference!$D$8,0.1*Reference!$D$8)*(1+Reference!$D$11*(IF(MONTH($A3225)=Reference!$D$4,1,0)+IF(MONTH($A3225)=Reference!$D$5,1,0))+(IF(MONTH($A3225)=Reference!$D$6,Reference!$D$13,0))),0)</f>
        <v>526</v>
      </c>
      <c r="E3225" s="11">
        <f ca="1">D3225*Reference!$D$7*(1-IF(MONTH($A3225)=Reference!$D$6,1,0)*Reference!$D$12)</f>
        <v>394500</v>
      </c>
      <c r="M3225" s="20"/>
      <c r="N3225" s="20"/>
      <c r="O3225" s="19"/>
      <c r="P3225" s="10"/>
      <c r="Q3225" s="10"/>
      <c r="R3225" s="10"/>
      <c r="S3225" s="10"/>
      <c r="T3225" s="10"/>
      <c r="U3225" s="10"/>
      <c r="V3225" s="10"/>
      <c r="W3225" s="10"/>
      <c r="X3225" s="10"/>
      <c r="Y3225" s="10"/>
    </row>
    <row r="3226" spans="1:25" x14ac:dyDescent="0.25">
      <c r="A3226" s="9">
        <v>43764</v>
      </c>
      <c r="B3226" s="10">
        <f ca="1">ROUND(_xlfn.NORM.INV(RAND(),Reference!$C$8,0.1*Reference!$C$8)*(1+Reference!$C$11*(IF(MONTH($A3226)=Reference!$C$4,1,0)+IF(MONTH($A3226)=Reference!$C$5,1,0))+(IF(MONTH($A3226)=Reference!$C$6,Reference!$C$13,0))),0)</f>
        <v>385</v>
      </c>
      <c r="C3226" s="11">
        <f ca="1">B3226*Reference!$C$7*(1-IF(MONTH($A3226)=Reference!$C$6,1,0)*Reference!$C$12)</f>
        <v>358050</v>
      </c>
      <c r="D3226" s="10">
        <f ca="1">ROUND(_xlfn.NORM.INV(RAND(),Reference!$D$8,0.1*Reference!$D$8)*(1+Reference!$D$11*(IF(MONTH($A3226)=Reference!$D$4,1,0)+IF(MONTH($A3226)=Reference!$D$5,1,0))+(IF(MONTH($A3226)=Reference!$D$6,Reference!$D$13,0))),0)</f>
        <v>427</v>
      </c>
      <c r="E3226" s="11">
        <f ca="1">D3226*Reference!$D$7*(1-IF(MONTH($A3226)=Reference!$D$6,1,0)*Reference!$D$12)</f>
        <v>320250</v>
      </c>
      <c r="M3226" s="20"/>
      <c r="N3226" s="20"/>
      <c r="O3226" s="19"/>
      <c r="P3226" s="10"/>
      <c r="Q3226" s="10"/>
      <c r="R3226" s="10"/>
      <c r="S3226" s="10"/>
      <c r="T3226" s="10"/>
      <c r="U3226" s="10"/>
      <c r="V3226" s="10"/>
      <c r="W3226" s="10"/>
      <c r="X3226" s="10"/>
      <c r="Y3226" s="10"/>
    </row>
    <row r="3227" spans="1:25" x14ac:dyDescent="0.25">
      <c r="A3227" s="9">
        <v>43765</v>
      </c>
      <c r="B3227" s="10">
        <f ca="1">ROUND(_xlfn.NORM.INV(RAND(),Reference!$C$8,0.1*Reference!$C$8)*(1+Reference!$C$11*(IF(MONTH($A3227)=Reference!$C$4,1,0)+IF(MONTH($A3227)=Reference!$C$5,1,0))+(IF(MONTH($A3227)=Reference!$C$6,Reference!$C$13,0))),0)</f>
        <v>354</v>
      </c>
      <c r="C3227" s="11">
        <f ca="1">B3227*Reference!$C$7*(1-IF(MONTH($A3227)=Reference!$C$6,1,0)*Reference!$C$12)</f>
        <v>329220</v>
      </c>
      <c r="D3227" s="10">
        <f ca="1">ROUND(_xlfn.NORM.INV(RAND(),Reference!$D$8,0.1*Reference!$D$8)*(1+Reference!$D$11*(IF(MONTH($A3227)=Reference!$D$4,1,0)+IF(MONTH($A3227)=Reference!$D$5,1,0))+(IF(MONTH($A3227)=Reference!$D$6,Reference!$D$13,0))),0)</f>
        <v>428</v>
      </c>
      <c r="E3227" s="11">
        <f ca="1">D3227*Reference!$D$7*(1-IF(MONTH($A3227)=Reference!$D$6,1,0)*Reference!$D$12)</f>
        <v>321000</v>
      </c>
      <c r="M3227" s="20"/>
      <c r="N3227" s="20"/>
      <c r="O3227" s="19"/>
      <c r="P3227" s="10"/>
      <c r="Q3227" s="10"/>
      <c r="R3227" s="10"/>
      <c r="S3227" s="10"/>
      <c r="T3227" s="10"/>
      <c r="U3227" s="10"/>
      <c r="V3227" s="10"/>
      <c r="W3227" s="10"/>
      <c r="X3227" s="10"/>
      <c r="Y3227" s="10"/>
    </row>
    <row r="3228" spans="1:25" x14ac:dyDescent="0.25">
      <c r="A3228" s="9">
        <v>43766</v>
      </c>
      <c r="B3228" s="10">
        <f ca="1">ROUND(_xlfn.NORM.INV(RAND(),Reference!$C$8,0.1*Reference!$C$8)*(1+Reference!$C$11*(IF(MONTH($A3228)=Reference!$C$4,1,0)+IF(MONTH($A3228)=Reference!$C$5,1,0))+(IF(MONTH($A3228)=Reference!$C$6,Reference!$C$13,0))),0)</f>
        <v>345</v>
      </c>
      <c r="C3228" s="11">
        <f ca="1">B3228*Reference!$C$7*(1-IF(MONTH($A3228)=Reference!$C$6,1,0)*Reference!$C$12)</f>
        <v>320850</v>
      </c>
      <c r="D3228" s="10">
        <f ca="1">ROUND(_xlfn.NORM.INV(RAND(),Reference!$D$8,0.1*Reference!$D$8)*(1+Reference!$D$11*(IF(MONTH($A3228)=Reference!$D$4,1,0)+IF(MONTH($A3228)=Reference!$D$5,1,0))+(IF(MONTH($A3228)=Reference!$D$6,Reference!$D$13,0))),0)</f>
        <v>526</v>
      </c>
      <c r="E3228" s="11">
        <f ca="1">D3228*Reference!$D$7*(1-IF(MONTH($A3228)=Reference!$D$6,1,0)*Reference!$D$12)</f>
        <v>394500</v>
      </c>
      <c r="M3228" s="20"/>
      <c r="N3228" s="20"/>
      <c r="O3228" s="19"/>
      <c r="P3228" s="10"/>
      <c r="Q3228" s="10"/>
      <c r="R3228" s="10"/>
      <c r="S3228" s="10"/>
      <c r="T3228" s="10"/>
      <c r="U3228" s="10"/>
      <c r="V3228" s="10"/>
      <c r="W3228" s="10"/>
      <c r="X3228" s="10"/>
      <c r="Y3228" s="10"/>
    </row>
    <row r="3229" spans="1:25" x14ac:dyDescent="0.25">
      <c r="A3229" s="9">
        <v>43767</v>
      </c>
      <c r="B3229" s="10">
        <f ca="1">ROUND(_xlfn.NORM.INV(RAND(),Reference!$C$8,0.1*Reference!$C$8)*(1+Reference!$C$11*(IF(MONTH($A3229)=Reference!$C$4,1,0)+IF(MONTH($A3229)=Reference!$C$5,1,0))+(IF(MONTH($A3229)=Reference!$C$6,Reference!$C$13,0))),0)</f>
        <v>342</v>
      </c>
      <c r="C3229" s="11">
        <f ca="1">B3229*Reference!$C$7*(1-IF(MONTH($A3229)=Reference!$C$6,1,0)*Reference!$C$12)</f>
        <v>318060</v>
      </c>
      <c r="D3229" s="10">
        <f ca="1">ROUND(_xlfn.NORM.INV(RAND(),Reference!$D$8,0.1*Reference!$D$8)*(1+Reference!$D$11*(IF(MONTH($A3229)=Reference!$D$4,1,0)+IF(MONTH($A3229)=Reference!$D$5,1,0))+(IF(MONTH($A3229)=Reference!$D$6,Reference!$D$13,0))),0)</f>
        <v>446</v>
      </c>
      <c r="E3229" s="11">
        <f ca="1">D3229*Reference!$D$7*(1-IF(MONTH($A3229)=Reference!$D$6,1,0)*Reference!$D$12)</f>
        <v>334500</v>
      </c>
      <c r="M3229" s="20"/>
      <c r="N3229" s="20"/>
      <c r="O3229" s="19"/>
      <c r="P3229" s="10"/>
      <c r="Q3229" s="10"/>
      <c r="R3229" s="10"/>
      <c r="S3229" s="10"/>
      <c r="T3229" s="10"/>
      <c r="U3229" s="10"/>
      <c r="V3229" s="10"/>
      <c r="W3229" s="10"/>
      <c r="X3229" s="10"/>
      <c r="Y3229" s="10"/>
    </row>
    <row r="3230" spans="1:25" x14ac:dyDescent="0.25">
      <c r="A3230" s="9">
        <v>43768</v>
      </c>
      <c r="B3230" s="10">
        <f ca="1">ROUND(_xlfn.NORM.INV(RAND(),Reference!$C$8,0.1*Reference!$C$8)*(1+Reference!$C$11*(IF(MONTH($A3230)=Reference!$C$4,1,0)+IF(MONTH($A3230)=Reference!$C$5,1,0))+(IF(MONTH($A3230)=Reference!$C$6,Reference!$C$13,0))),0)</f>
        <v>387</v>
      </c>
      <c r="C3230" s="11">
        <f ca="1">B3230*Reference!$C$7*(1-IF(MONTH($A3230)=Reference!$C$6,1,0)*Reference!$C$12)</f>
        <v>359910</v>
      </c>
      <c r="D3230" s="10">
        <f ca="1">ROUND(_xlfn.NORM.INV(RAND(),Reference!$D$8,0.1*Reference!$D$8)*(1+Reference!$D$11*(IF(MONTH($A3230)=Reference!$D$4,1,0)+IF(MONTH($A3230)=Reference!$D$5,1,0))+(IF(MONTH($A3230)=Reference!$D$6,Reference!$D$13,0))),0)</f>
        <v>449</v>
      </c>
      <c r="E3230" s="11">
        <f ca="1">D3230*Reference!$D$7*(1-IF(MONTH($A3230)=Reference!$D$6,1,0)*Reference!$D$12)</f>
        <v>336750</v>
      </c>
      <c r="M3230" s="20"/>
      <c r="N3230" s="20"/>
      <c r="O3230" s="19"/>
      <c r="P3230" s="10"/>
      <c r="Q3230" s="10"/>
      <c r="R3230" s="10"/>
      <c r="S3230" s="10"/>
      <c r="T3230" s="10"/>
      <c r="U3230" s="10"/>
      <c r="V3230" s="10"/>
      <c r="W3230" s="10"/>
      <c r="X3230" s="10"/>
      <c r="Y3230" s="10"/>
    </row>
    <row r="3231" spans="1:25" x14ac:dyDescent="0.25">
      <c r="A3231" s="9">
        <v>43769</v>
      </c>
      <c r="B3231" s="10">
        <f ca="1">ROUND(_xlfn.NORM.INV(RAND(),Reference!$C$8,0.1*Reference!$C$8)*(1+Reference!$C$11*(IF(MONTH($A3231)=Reference!$C$4,1,0)+IF(MONTH($A3231)=Reference!$C$5,1,0))+(IF(MONTH($A3231)=Reference!$C$6,Reference!$C$13,0))),0)</f>
        <v>403</v>
      </c>
      <c r="C3231" s="11">
        <f ca="1">B3231*Reference!$C$7*(1-IF(MONTH($A3231)=Reference!$C$6,1,0)*Reference!$C$12)</f>
        <v>374790</v>
      </c>
      <c r="D3231" s="10">
        <f ca="1">ROUND(_xlfn.NORM.INV(RAND(),Reference!$D$8,0.1*Reference!$D$8)*(1+Reference!$D$11*(IF(MONTH($A3231)=Reference!$D$4,1,0)+IF(MONTH($A3231)=Reference!$D$5,1,0))+(IF(MONTH($A3231)=Reference!$D$6,Reference!$D$13,0))),0)</f>
        <v>471</v>
      </c>
      <c r="E3231" s="11">
        <f ca="1">D3231*Reference!$D$7*(1-IF(MONTH($A3231)=Reference!$D$6,1,0)*Reference!$D$12)</f>
        <v>353250</v>
      </c>
      <c r="M3231" s="20"/>
      <c r="N3231" s="20"/>
      <c r="O3231" s="19"/>
      <c r="P3231" s="10"/>
      <c r="Q3231" s="10"/>
      <c r="R3231" s="10"/>
      <c r="S3231" s="10"/>
      <c r="T3231" s="10"/>
      <c r="U3231" s="10"/>
      <c r="V3231" s="10"/>
      <c r="W3231" s="10"/>
      <c r="X3231" s="10"/>
      <c r="Y3231" s="10"/>
    </row>
    <row r="3232" spans="1:25" x14ac:dyDescent="0.25">
      <c r="A3232" s="9">
        <v>43770</v>
      </c>
      <c r="B3232" s="10">
        <f ca="1">ROUND(_xlfn.NORM.INV(RAND(),Reference!$C$8,0.1*Reference!$C$8)*(1+Reference!$C$11*(IF(MONTH($A3232)=Reference!$C$4,1,0)+IF(MONTH($A3232)=Reference!$C$5,1,0))+(IF(MONTH($A3232)=Reference!$C$6,Reference!$C$13,0))),0)</f>
        <v>400</v>
      </c>
      <c r="C3232" s="11">
        <f ca="1">B3232*Reference!$C$7*(1-IF(MONTH($A3232)=Reference!$C$6,1,0)*Reference!$C$12)</f>
        <v>372000</v>
      </c>
      <c r="D3232" s="10">
        <f ca="1">ROUND(_xlfn.NORM.INV(RAND(),Reference!$D$8,0.1*Reference!$D$8)*(1+Reference!$D$11*(IF(MONTH($A3232)=Reference!$D$4,1,0)+IF(MONTH($A3232)=Reference!$D$5,1,0))+(IF(MONTH($A3232)=Reference!$D$6,Reference!$D$13,0))),0)</f>
        <v>490</v>
      </c>
      <c r="E3232" s="11">
        <f ca="1">D3232*Reference!$D$7*(1-IF(MONTH($A3232)=Reference!$D$6,1,0)*Reference!$D$12)</f>
        <v>367500</v>
      </c>
      <c r="M3232" s="20"/>
      <c r="N3232" s="20"/>
      <c r="O3232" s="19"/>
      <c r="P3232" s="10"/>
      <c r="Q3232" s="10"/>
      <c r="R3232" s="10"/>
      <c r="S3232" s="10"/>
      <c r="T3232" s="10"/>
      <c r="U3232" s="10"/>
      <c r="V3232" s="10"/>
      <c r="W3232" s="10"/>
      <c r="X3232" s="10"/>
      <c r="Y3232" s="10"/>
    </row>
    <row r="3233" spans="1:25" x14ac:dyDescent="0.25">
      <c r="A3233" s="9">
        <v>43771</v>
      </c>
      <c r="B3233" s="10">
        <f ca="1">ROUND(_xlfn.NORM.INV(RAND(),Reference!$C$8,0.1*Reference!$C$8)*(1+Reference!$C$11*(IF(MONTH($A3233)=Reference!$C$4,1,0)+IF(MONTH($A3233)=Reference!$C$5,1,0))+(IF(MONTH($A3233)=Reference!$C$6,Reference!$C$13,0))),0)</f>
        <v>427</v>
      </c>
      <c r="C3233" s="11">
        <f ca="1">B3233*Reference!$C$7*(1-IF(MONTH($A3233)=Reference!$C$6,1,0)*Reference!$C$12)</f>
        <v>397110</v>
      </c>
      <c r="D3233" s="10">
        <f ca="1">ROUND(_xlfn.NORM.INV(RAND(),Reference!$D$8,0.1*Reference!$D$8)*(1+Reference!$D$11*(IF(MONTH($A3233)=Reference!$D$4,1,0)+IF(MONTH($A3233)=Reference!$D$5,1,0))+(IF(MONTH($A3233)=Reference!$D$6,Reference!$D$13,0))),0)</f>
        <v>392</v>
      </c>
      <c r="E3233" s="11">
        <f ca="1">D3233*Reference!$D$7*(1-IF(MONTH($A3233)=Reference!$D$6,1,0)*Reference!$D$12)</f>
        <v>294000</v>
      </c>
      <c r="M3233" s="20"/>
      <c r="N3233" s="20"/>
      <c r="O3233" s="19"/>
      <c r="P3233" s="10"/>
      <c r="Q3233" s="10"/>
      <c r="R3233" s="10"/>
      <c r="S3233" s="10"/>
      <c r="T3233" s="10"/>
      <c r="U3233" s="10"/>
      <c r="V3233" s="10"/>
      <c r="W3233" s="10"/>
      <c r="X3233" s="10"/>
      <c r="Y3233" s="10"/>
    </row>
    <row r="3234" spans="1:25" x14ac:dyDescent="0.25">
      <c r="A3234" s="9">
        <v>43772</v>
      </c>
      <c r="B3234" s="10">
        <f ca="1">ROUND(_xlfn.NORM.INV(RAND(),Reference!$C$8,0.1*Reference!$C$8)*(1+Reference!$C$11*(IF(MONTH($A3234)=Reference!$C$4,1,0)+IF(MONTH($A3234)=Reference!$C$5,1,0))+(IF(MONTH($A3234)=Reference!$C$6,Reference!$C$13,0))),0)</f>
        <v>325</v>
      </c>
      <c r="C3234" s="11">
        <f ca="1">B3234*Reference!$C$7*(1-IF(MONTH($A3234)=Reference!$C$6,1,0)*Reference!$C$12)</f>
        <v>302250</v>
      </c>
      <c r="D3234" s="10">
        <f ca="1">ROUND(_xlfn.NORM.INV(RAND(),Reference!$D$8,0.1*Reference!$D$8)*(1+Reference!$D$11*(IF(MONTH($A3234)=Reference!$D$4,1,0)+IF(MONTH($A3234)=Reference!$D$5,1,0))+(IF(MONTH($A3234)=Reference!$D$6,Reference!$D$13,0))),0)</f>
        <v>436</v>
      </c>
      <c r="E3234" s="11">
        <f ca="1">D3234*Reference!$D$7*(1-IF(MONTH($A3234)=Reference!$D$6,1,0)*Reference!$D$12)</f>
        <v>327000</v>
      </c>
      <c r="M3234" s="20"/>
      <c r="N3234" s="20"/>
      <c r="O3234" s="19"/>
      <c r="P3234" s="10"/>
      <c r="Q3234" s="10"/>
      <c r="R3234" s="10"/>
      <c r="S3234" s="10"/>
      <c r="T3234" s="10"/>
      <c r="U3234" s="10"/>
      <c r="V3234" s="10"/>
      <c r="W3234" s="10"/>
      <c r="X3234" s="10"/>
      <c r="Y3234" s="10"/>
    </row>
    <row r="3235" spans="1:25" x14ac:dyDescent="0.25">
      <c r="A3235" s="9">
        <v>43773</v>
      </c>
      <c r="B3235" s="10">
        <f ca="1">ROUND(_xlfn.NORM.INV(RAND(),Reference!$C$8,0.1*Reference!$C$8)*(1+Reference!$C$11*(IF(MONTH($A3235)=Reference!$C$4,1,0)+IF(MONTH($A3235)=Reference!$C$5,1,0))+(IF(MONTH($A3235)=Reference!$C$6,Reference!$C$13,0))),0)</f>
        <v>428</v>
      </c>
      <c r="C3235" s="11">
        <f ca="1">B3235*Reference!$C$7*(1-IF(MONTH($A3235)=Reference!$C$6,1,0)*Reference!$C$12)</f>
        <v>398040</v>
      </c>
      <c r="D3235" s="10">
        <f ca="1">ROUND(_xlfn.NORM.INV(RAND(),Reference!$D$8,0.1*Reference!$D$8)*(1+Reference!$D$11*(IF(MONTH($A3235)=Reference!$D$4,1,0)+IF(MONTH($A3235)=Reference!$D$5,1,0))+(IF(MONTH($A3235)=Reference!$D$6,Reference!$D$13,0))),0)</f>
        <v>411</v>
      </c>
      <c r="E3235" s="11">
        <f ca="1">D3235*Reference!$D$7*(1-IF(MONTH($A3235)=Reference!$D$6,1,0)*Reference!$D$12)</f>
        <v>308250</v>
      </c>
      <c r="M3235" s="20"/>
      <c r="N3235" s="20"/>
      <c r="O3235" s="19"/>
      <c r="P3235" s="10"/>
      <c r="Q3235" s="10"/>
      <c r="R3235" s="10"/>
      <c r="S3235" s="10"/>
      <c r="T3235" s="10"/>
      <c r="U3235" s="10"/>
      <c r="V3235" s="10"/>
      <c r="W3235" s="10"/>
      <c r="X3235" s="10"/>
      <c r="Y3235" s="10"/>
    </row>
    <row r="3236" spans="1:25" x14ac:dyDescent="0.25">
      <c r="A3236" s="9">
        <v>43774</v>
      </c>
      <c r="B3236" s="10">
        <f ca="1">ROUND(_xlfn.NORM.INV(RAND(),Reference!$C$8,0.1*Reference!$C$8)*(1+Reference!$C$11*(IF(MONTH($A3236)=Reference!$C$4,1,0)+IF(MONTH($A3236)=Reference!$C$5,1,0))+(IF(MONTH($A3236)=Reference!$C$6,Reference!$C$13,0))),0)</f>
        <v>405</v>
      </c>
      <c r="C3236" s="11">
        <f ca="1">B3236*Reference!$C$7*(1-IF(MONTH($A3236)=Reference!$C$6,1,0)*Reference!$C$12)</f>
        <v>376650</v>
      </c>
      <c r="D3236" s="10">
        <f ca="1">ROUND(_xlfn.NORM.INV(RAND(),Reference!$D$8,0.1*Reference!$D$8)*(1+Reference!$D$11*(IF(MONTH($A3236)=Reference!$D$4,1,0)+IF(MONTH($A3236)=Reference!$D$5,1,0))+(IF(MONTH($A3236)=Reference!$D$6,Reference!$D$13,0))),0)</f>
        <v>416</v>
      </c>
      <c r="E3236" s="11">
        <f ca="1">D3236*Reference!$D$7*(1-IF(MONTH($A3236)=Reference!$D$6,1,0)*Reference!$D$12)</f>
        <v>312000</v>
      </c>
      <c r="M3236" s="20"/>
      <c r="N3236" s="20"/>
      <c r="O3236" s="19"/>
      <c r="P3236" s="10"/>
      <c r="Q3236" s="10"/>
      <c r="R3236" s="10"/>
      <c r="S3236" s="10"/>
      <c r="T3236" s="10"/>
      <c r="U3236" s="10"/>
      <c r="V3236" s="10"/>
      <c r="W3236" s="10"/>
      <c r="X3236" s="10"/>
      <c r="Y3236" s="10"/>
    </row>
    <row r="3237" spans="1:25" x14ac:dyDescent="0.25">
      <c r="A3237" s="9">
        <v>43775</v>
      </c>
      <c r="B3237" s="10">
        <f ca="1">ROUND(_xlfn.NORM.INV(RAND(),Reference!$C$8,0.1*Reference!$C$8)*(1+Reference!$C$11*(IF(MONTH($A3237)=Reference!$C$4,1,0)+IF(MONTH($A3237)=Reference!$C$5,1,0))+(IF(MONTH($A3237)=Reference!$C$6,Reference!$C$13,0))),0)</f>
        <v>359</v>
      </c>
      <c r="C3237" s="11">
        <f ca="1">B3237*Reference!$C$7*(1-IF(MONTH($A3237)=Reference!$C$6,1,0)*Reference!$C$12)</f>
        <v>333870</v>
      </c>
      <c r="D3237" s="10">
        <f ca="1">ROUND(_xlfn.NORM.INV(RAND(),Reference!$D$8,0.1*Reference!$D$8)*(1+Reference!$D$11*(IF(MONTH($A3237)=Reference!$D$4,1,0)+IF(MONTH($A3237)=Reference!$D$5,1,0))+(IF(MONTH($A3237)=Reference!$D$6,Reference!$D$13,0))),0)</f>
        <v>454</v>
      </c>
      <c r="E3237" s="11">
        <f ca="1">D3237*Reference!$D$7*(1-IF(MONTH($A3237)=Reference!$D$6,1,0)*Reference!$D$12)</f>
        <v>340500</v>
      </c>
      <c r="M3237" s="20"/>
      <c r="N3237" s="20"/>
      <c r="O3237" s="19"/>
      <c r="P3237" s="10"/>
      <c r="Q3237" s="10"/>
      <c r="R3237" s="10"/>
      <c r="S3237" s="10"/>
      <c r="T3237" s="10"/>
      <c r="U3237" s="10"/>
      <c r="V3237" s="10"/>
      <c r="W3237" s="10"/>
      <c r="X3237" s="10"/>
      <c r="Y3237" s="10"/>
    </row>
    <row r="3238" spans="1:25" x14ac:dyDescent="0.25">
      <c r="A3238" s="9">
        <v>43776</v>
      </c>
      <c r="B3238" s="10">
        <f ca="1">ROUND(_xlfn.NORM.INV(RAND(),Reference!$C$8,0.1*Reference!$C$8)*(1+Reference!$C$11*(IF(MONTH($A3238)=Reference!$C$4,1,0)+IF(MONTH($A3238)=Reference!$C$5,1,0))+(IF(MONTH($A3238)=Reference!$C$6,Reference!$C$13,0))),0)</f>
        <v>391</v>
      </c>
      <c r="C3238" s="11">
        <f ca="1">B3238*Reference!$C$7*(1-IF(MONTH($A3238)=Reference!$C$6,1,0)*Reference!$C$12)</f>
        <v>363630</v>
      </c>
      <c r="D3238" s="10">
        <f ca="1">ROUND(_xlfn.NORM.INV(RAND(),Reference!$D$8,0.1*Reference!$D$8)*(1+Reference!$D$11*(IF(MONTH($A3238)=Reference!$D$4,1,0)+IF(MONTH($A3238)=Reference!$D$5,1,0))+(IF(MONTH($A3238)=Reference!$D$6,Reference!$D$13,0))),0)</f>
        <v>377</v>
      </c>
      <c r="E3238" s="11">
        <f ca="1">D3238*Reference!$D$7*(1-IF(MONTH($A3238)=Reference!$D$6,1,0)*Reference!$D$12)</f>
        <v>282750</v>
      </c>
      <c r="M3238" s="20"/>
      <c r="N3238" s="20"/>
      <c r="O3238" s="19"/>
      <c r="P3238" s="10"/>
      <c r="Q3238" s="10"/>
      <c r="R3238" s="10"/>
      <c r="S3238" s="10"/>
      <c r="T3238" s="10"/>
      <c r="U3238" s="10"/>
      <c r="V3238" s="10"/>
      <c r="W3238" s="10"/>
      <c r="X3238" s="10"/>
      <c r="Y3238" s="10"/>
    </row>
    <row r="3239" spans="1:25" x14ac:dyDescent="0.25">
      <c r="A3239" s="9">
        <v>43777</v>
      </c>
      <c r="B3239" s="10">
        <f ca="1">ROUND(_xlfn.NORM.INV(RAND(),Reference!$C$8,0.1*Reference!$C$8)*(1+Reference!$C$11*(IF(MONTH($A3239)=Reference!$C$4,1,0)+IF(MONTH($A3239)=Reference!$C$5,1,0))+(IF(MONTH($A3239)=Reference!$C$6,Reference!$C$13,0))),0)</f>
        <v>361</v>
      </c>
      <c r="C3239" s="11">
        <f ca="1">B3239*Reference!$C$7*(1-IF(MONTH($A3239)=Reference!$C$6,1,0)*Reference!$C$12)</f>
        <v>335730</v>
      </c>
      <c r="D3239" s="10">
        <f ca="1">ROUND(_xlfn.NORM.INV(RAND(),Reference!$D$8,0.1*Reference!$D$8)*(1+Reference!$D$11*(IF(MONTH($A3239)=Reference!$D$4,1,0)+IF(MONTH($A3239)=Reference!$D$5,1,0))+(IF(MONTH($A3239)=Reference!$D$6,Reference!$D$13,0))),0)</f>
        <v>488</v>
      </c>
      <c r="E3239" s="11">
        <f ca="1">D3239*Reference!$D$7*(1-IF(MONTH($A3239)=Reference!$D$6,1,0)*Reference!$D$12)</f>
        <v>366000</v>
      </c>
      <c r="M3239" s="20"/>
      <c r="N3239" s="20"/>
      <c r="O3239" s="19"/>
      <c r="P3239" s="10"/>
      <c r="Q3239" s="10"/>
      <c r="R3239" s="10"/>
      <c r="S3239" s="10"/>
      <c r="T3239" s="10"/>
      <c r="U3239" s="10"/>
      <c r="V3239" s="10"/>
      <c r="W3239" s="10"/>
      <c r="X3239" s="10"/>
      <c r="Y3239" s="10"/>
    </row>
    <row r="3240" spans="1:25" x14ac:dyDescent="0.25">
      <c r="A3240" s="9">
        <v>43778</v>
      </c>
      <c r="B3240" s="10">
        <f ca="1">ROUND(_xlfn.NORM.INV(RAND(),Reference!$C$8,0.1*Reference!$C$8)*(1+Reference!$C$11*(IF(MONTH($A3240)=Reference!$C$4,1,0)+IF(MONTH($A3240)=Reference!$C$5,1,0))+(IF(MONTH($A3240)=Reference!$C$6,Reference!$C$13,0))),0)</f>
        <v>370</v>
      </c>
      <c r="C3240" s="11">
        <f ca="1">B3240*Reference!$C$7*(1-IF(MONTH($A3240)=Reference!$C$6,1,0)*Reference!$C$12)</f>
        <v>344100</v>
      </c>
      <c r="D3240" s="10">
        <f ca="1">ROUND(_xlfn.NORM.INV(RAND(),Reference!$D$8,0.1*Reference!$D$8)*(1+Reference!$D$11*(IF(MONTH($A3240)=Reference!$D$4,1,0)+IF(MONTH($A3240)=Reference!$D$5,1,0))+(IF(MONTH($A3240)=Reference!$D$6,Reference!$D$13,0))),0)</f>
        <v>459</v>
      </c>
      <c r="E3240" s="11">
        <f ca="1">D3240*Reference!$D$7*(1-IF(MONTH($A3240)=Reference!$D$6,1,0)*Reference!$D$12)</f>
        <v>344250</v>
      </c>
      <c r="M3240" s="20"/>
      <c r="N3240" s="20"/>
      <c r="O3240" s="19"/>
      <c r="P3240" s="10"/>
      <c r="Q3240" s="10"/>
      <c r="R3240" s="10"/>
      <c r="S3240" s="10"/>
      <c r="T3240" s="10"/>
      <c r="U3240" s="10"/>
      <c r="V3240" s="10"/>
      <c r="W3240" s="10"/>
      <c r="X3240" s="10"/>
      <c r="Y3240" s="10"/>
    </row>
    <row r="3241" spans="1:25" x14ac:dyDescent="0.25">
      <c r="A3241" s="9">
        <v>43779</v>
      </c>
      <c r="B3241" s="10">
        <f ca="1">ROUND(_xlfn.NORM.INV(RAND(),Reference!$C$8,0.1*Reference!$C$8)*(1+Reference!$C$11*(IF(MONTH($A3241)=Reference!$C$4,1,0)+IF(MONTH($A3241)=Reference!$C$5,1,0))+(IF(MONTH($A3241)=Reference!$C$6,Reference!$C$13,0))),0)</f>
        <v>314</v>
      </c>
      <c r="C3241" s="11">
        <f ca="1">B3241*Reference!$C$7*(1-IF(MONTH($A3241)=Reference!$C$6,1,0)*Reference!$C$12)</f>
        <v>292020</v>
      </c>
      <c r="D3241" s="10">
        <f ca="1">ROUND(_xlfn.NORM.INV(RAND(),Reference!$D$8,0.1*Reference!$D$8)*(1+Reference!$D$11*(IF(MONTH($A3241)=Reference!$D$4,1,0)+IF(MONTH($A3241)=Reference!$D$5,1,0))+(IF(MONTH($A3241)=Reference!$D$6,Reference!$D$13,0))),0)</f>
        <v>474</v>
      </c>
      <c r="E3241" s="11">
        <f ca="1">D3241*Reference!$D$7*(1-IF(MONTH($A3241)=Reference!$D$6,1,0)*Reference!$D$12)</f>
        <v>355500</v>
      </c>
      <c r="M3241" s="20"/>
      <c r="N3241" s="20"/>
      <c r="O3241" s="19"/>
      <c r="P3241" s="10"/>
      <c r="Q3241" s="10"/>
      <c r="R3241" s="10"/>
      <c r="S3241" s="10"/>
      <c r="T3241" s="10"/>
      <c r="U3241" s="10"/>
      <c r="V3241" s="10"/>
      <c r="W3241" s="10"/>
      <c r="X3241" s="10"/>
      <c r="Y3241" s="10"/>
    </row>
    <row r="3242" spans="1:25" x14ac:dyDescent="0.25">
      <c r="A3242" s="9">
        <v>43780</v>
      </c>
      <c r="B3242" s="10">
        <f ca="1">ROUND(_xlfn.NORM.INV(RAND(),Reference!$C$8,0.1*Reference!$C$8)*(1+Reference!$C$11*(IF(MONTH($A3242)=Reference!$C$4,1,0)+IF(MONTH($A3242)=Reference!$C$5,1,0))+(IF(MONTH($A3242)=Reference!$C$6,Reference!$C$13,0))),0)</f>
        <v>389</v>
      </c>
      <c r="C3242" s="11">
        <f ca="1">B3242*Reference!$C$7*(1-IF(MONTH($A3242)=Reference!$C$6,1,0)*Reference!$C$12)</f>
        <v>361770</v>
      </c>
      <c r="D3242" s="10">
        <f ca="1">ROUND(_xlfn.NORM.INV(RAND(),Reference!$D$8,0.1*Reference!$D$8)*(1+Reference!$D$11*(IF(MONTH($A3242)=Reference!$D$4,1,0)+IF(MONTH($A3242)=Reference!$D$5,1,0))+(IF(MONTH($A3242)=Reference!$D$6,Reference!$D$13,0))),0)</f>
        <v>450</v>
      </c>
      <c r="E3242" s="11">
        <f ca="1">D3242*Reference!$D$7*(1-IF(MONTH($A3242)=Reference!$D$6,1,0)*Reference!$D$12)</f>
        <v>337500</v>
      </c>
      <c r="M3242" s="20"/>
      <c r="N3242" s="20"/>
      <c r="O3242" s="19"/>
      <c r="P3242" s="10"/>
      <c r="Q3242" s="10"/>
      <c r="R3242" s="10"/>
      <c r="S3242" s="10"/>
      <c r="T3242" s="10"/>
      <c r="U3242" s="10"/>
      <c r="V3242" s="10"/>
      <c r="W3242" s="10"/>
      <c r="X3242" s="10"/>
      <c r="Y3242" s="10"/>
    </row>
    <row r="3243" spans="1:25" x14ac:dyDescent="0.25">
      <c r="A3243" s="9">
        <v>43781</v>
      </c>
      <c r="B3243" s="10">
        <f ca="1">ROUND(_xlfn.NORM.INV(RAND(),Reference!$C$8,0.1*Reference!$C$8)*(1+Reference!$C$11*(IF(MONTH($A3243)=Reference!$C$4,1,0)+IF(MONTH($A3243)=Reference!$C$5,1,0))+(IF(MONTH($A3243)=Reference!$C$6,Reference!$C$13,0))),0)</f>
        <v>316</v>
      </c>
      <c r="C3243" s="11">
        <f ca="1">B3243*Reference!$C$7*(1-IF(MONTH($A3243)=Reference!$C$6,1,0)*Reference!$C$12)</f>
        <v>293880</v>
      </c>
      <c r="D3243" s="10">
        <f ca="1">ROUND(_xlfn.NORM.INV(RAND(),Reference!$D$8,0.1*Reference!$D$8)*(1+Reference!$D$11*(IF(MONTH($A3243)=Reference!$D$4,1,0)+IF(MONTH($A3243)=Reference!$D$5,1,0))+(IF(MONTH($A3243)=Reference!$D$6,Reference!$D$13,0))),0)</f>
        <v>474</v>
      </c>
      <c r="E3243" s="11">
        <f ca="1">D3243*Reference!$D$7*(1-IF(MONTH($A3243)=Reference!$D$6,1,0)*Reference!$D$12)</f>
        <v>355500</v>
      </c>
      <c r="M3243" s="20"/>
      <c r="N3243" s="20"/>
      <c r="O3243" s="19"/>
      <c r="P3243" s="10"/>
      <c r="Q3243" s="10"/>
      <c r="R3243" s="10"/>
      <c r="S3243" s="10"/>
      <c r="T3243" s="10"/>
      <c r="U3243" s="10"/>
      <c r="V3243" s="10"/>
      <c r="W3243" s="10"/>
      <c r="X3243" s="10"/>
      <c r="Y3243" s="10"/>
    </row>
    <row r="3244" spans="1:25" x14ac:dyDescent="0.25">
      <c r="A3244" s="9">
        <v>43782</v>
      </c>
      <c r="B3244" s="10">
        <f ca="1">ROUND(_xlfn.NORM.INV(RAND(),Reference!$C$8,0.1*Reference!$C$8)*(1+Reference!$C$11*(IF(MONTH($A3244)=Reference!$C$4,1,0)+IF(MONTH($A3244)=Reference!$C$5,1,0))+(IF(MONTH($A3244)=Reference!$C$6,Reference!$C$13,0))),0)</f>
        <v>382</v>
      </c>
      <c r="C3244" s="11">
        <f ca="1">B3244*Reference!$C$7*(1-IF(MONTH($A3244)=Reference!$C$6,1,0)*Reference!$C$12)</f>
        <v>355260</v>
      </c>
      <c r="D3244" s="10">
        <f ca="1">ROUND(_xlfn.NORM.INV(RAND(),Reference!$D$8,0.1*Reference!$D$8)*(1+Reference!$D$11*(IF(MONTH($A3244)=Reference!$D$4,1,0)+IF(MONTH($A3244)=Reference!$D$5,1,0))+(IF(MONTH($A3244)=Reference!$D$6,Reference!$D$13,0))),0)</f>
        <v>474</v>
      </c>
      <c r="E3244" s="11">
        <f ca="1">D3244*Reference!$D$7*(1-IF(MONTH($A3244)=Reference!$D$6,1,0)*Reference!$D$12)</f>
        <v>355500</v>
      </c>
      <c r="M3244" s="20"/>
      <c r="N3244" s="20"/>
      <c r="O3244" s="19"/>
      <c r="P3244" s="10"/>
      <c r="Q3244" s="10"/>
      <c r="R3244" s="10"/>
      <c r="S3244" s="10"/>
      <c r="T3244" s="10"/>
      <c r="U3244" s="10"/>
      <c r="V3244" s="10"/>
      <c r="W3244" s="10"/>
      <c r="X3244" s="10"/>
      <c r="Y3244" s="10"/>
    </row>
    <row r="3245" spans="1:25" x14ac:dyDescent="0.25">
      <c r="A3245" s="9">
        <v>43783</v>
      </c>
      <c r="B3245" s="10">
        <f ca="1">ROUND(_xlfn.NORM.INV(RAND(),Reference!$C$8,0.1*Reference!$C$8)*(1+Reference!$C$11*(IF(MONTH($A3245)=Reference!$C$4,1,0)+IF(MONTH($A3245)=Reference!$C$5,1,0))+(IF(MONTH($A3245)=Reference!$C$6,Reference!$C$13,0))),0)</f>
        <v>385</v>
      </c>
      <c r="C3245" s="11">
        <f ca="1">B3245*Reference!$C$7*(1-IF(MONTH($A3245)=Reference!$C$6,1,0)*Reference!$C$12)</f>
        <v>358050</v>
      </c>
      <c r="D3245" s="10">
        <f ca="1">ROUND(_xlfn.NORM.INV(RAND(),Reference!$D$8,0.1*Reference!$D$8)*(1+Reference!$D$11*(IF(MONTH($A3245)=Reference!$D$4,1,0)+IF(MONTH($A3245)=Reference!$D$5,1,0))+(IF(MONTH($A3245)=Reference!$D$6,Reference!$D$13,0))),0)</f>
        <v>515</v>
      </c>
      <c r="E3245" s="11">
        <f ca="1">D3245*Reference!$D$7*(1-IF(MONTH($A3245)=Reference!$D$6,1,0)*Reference!$D$12)</f>
        <v>386250</v>
      </c>
      <c r="M3245" s="20"/>
      <c r="N3245" s="20"/>
      <c r="O3245" s="19"/>
      <c r="P3245" s="10"/>
      <c r="Q3245" s="10"/>
      <c r="R3245" s="10"/>
      <c r="S3245" s="10"/>
      <c r="T3245" s="10"/>
      <c r="U3245" s="10"/>
      <c r="V3245" s="10"/>
      <c r="W3245" s="10"/>
      <c r="X3245" s="10"/>
      <c r="Y3245" s="10"/>
    </row>
    <row r="3246" spans="1:25" x14ac:dyDescent="0.25">
      <c r="A3246" s="9">
        <v>43784</v>
      </c>
      <c r="B3246" s="10">
        <f ca="1">ROUND(_xlfn.NORM.INV(RAND(),Reference!$C$8,0.1*Reference!$C$8)*(1+Reference!$C$11*(IF(MONTH($A3246)=Reference!$C$4,1,0)+IF(MONTH($A3246)=Reference!$C$5,1,0))+(IF(MONTH($A3246)=Reference!$C$6,Reference!$C$13,0))),0)</f>
        <v>332</v>
      </c>
      <c r="C3246" s="11">
        <f ca="1">B3246*Reference!$C$7*(1-IF(MONTH($A3246)=Reference!$C$6,1,0)*Reference!$C$12)</f>
        <v>308760</v>
      </c>
      <c r="D3246" s="10">
        <f ca="1">ROUND(_xlfn.NORM.INV(RAND(),Reference!$D$8,0.1*Reference!$D$8)*(1+Reference!$D$11*(IF(MONTH($A3246)=Reference!$D$4,1,0)+IF(MONTH($A3246)=Reference!$D$5,1,0))+(IF(MONTH($A3246)=Reference!$D$6,Reference!$D$13,0))),0)</f>
        <v>491</v>
      </c>
      <c r="E3246" s="11">
        <f ca="1">D3246*Reference!$D$7*(1-IF(MONTH($A3246)=Reference!$D$6,1,0)*Reference!$D$12)</f>
        <v>368250</v>
      </c>
      <c r="M3246" s="20"/>
      <c r="N3246" s="20"/>
      <c r="O3246" s="19"/>
      <c r="P3246" s="10"/>
      <c r="Q3246" s="10"/>
      <c r="R3246" s="10"/>
      <c r="S3246" s="10"/>
      <c r="T3246" s="10"/>
      <c r="U3246" s="10"/>
      <c r="V3246" s="10"/>
      <c r="W3246" s="10"/>
      <c r="X3246" s="10"/>
      <c r="Y3246" s="10"/>
    </row>
    <row r="3247" spans="1:25" x14ac:dyDescent="0.25">
      <c r="A3247" s="9">
        <v>43785</v>
      </c>
      <c r="B3247" s="10">
        <f ca="1">ROUND(_xlfn.NORM.INV(RAND(),Reference!$C$8,0.1*Reference!$C$8)*(1+Reference!$C$11*(IF(MONTH($A3247)=Reference!$C$4,1,0)+IF(MONTH($A3247)=Reference!$C$5,1,0))+(IF(MONTH($A3247)=Reference!$C$6,Reference!$C$13,0))),0)</f>
        <v>402</v>
      </c>
      <c r="C3247" s="11">
        <f ca="1">B3247*Reference!$C$7*(1-IF(MONTH($A3247)=Reference!$C$6,1,0)*Reference!$C$12)</f>
        <v>373860</v>
      </c>
      <c r="D3247" s="10">
        <f ca="1">ROUND(_xlfn.NORM.INV(RAND(),Reference!$D$8,0.1*Reference!$D$8)*(1+Reference!$D$11*(IF(MONTH($A3247)=Reference!$D$4,1,0)+IF(MONTH($A3247)=Reference!$D$5,1,0))+(IF(MONTH($A3247)=Reference!$D$6,Reference!$D$13,0))),0)</f>
        <v>495</v>
      </c>
      <c r="E3247" s="11">
        <f ca="1">D3247*Reference!$D$7*(1-IF(MONTH($A3247)=Reference!$D$6,1,0)*Reference!$D$12)</f>
        <v>371250</v>
      </c>
      <c r="M3247" s="20"/>
      <c r="N3247" s="20"/>
      <c r="O3247" s="19"/>
      <c r="P3247" s="10"/>
      <c r="Q3247" s="10"/>
      <c r="R3247" s="10"/>
      <c r="S3247" s="10"/>
      <c r="T3247" s="10"/>
      <c r="U3247" s="10"/>
      <c r="V3247" s="10"/>
      <c r="W3247" s="10"/>
      <c r="X3247" s="10"/>
      <c r="Y3247" s="10"/>
    </row>
    <row r="3248" spans="1:25" x14ac:dyDescent="0.25">
      <c r="A3248" s="9">
        <v>43786</v>
      </c>
      <c r="B3248" s="10">
        <f ca="1">ROUND(_xlfn.NORM.INV(RAND(),Reference!$C$8,0.1*Reference!$C$8)*(1+Reference!$C$11*(IF(MONTH($A3248)=Reference!$C$4,1,0)+IF(MONTH($A3248)=Reference!$C$5,1,0))+(IF(MONTH($A3248)=Reference!$C$6,Reference!$C$13,0))),0)</f>
        <v>348</v>
      </c>
      <c r="C3248" s="11">
        <f ca="1">B3248*Reference!$C$7*(1-IF(MONTH($A3248)=Reference!$C$6,1,0)*Reference!$C$12)</f>
        <v>323640</v>
      </c>
      <c r="D3248" s="10">
        <f ca="1">ROUND(_xlfn.NORM.INV(RAND(),Reference!$D$8,0.1*Reference!$D$8)*(1+Reference!$D$11*(IF(MONTH($A3248)=Reference!$D$4,1,0)+IF(MONTH($A3248)=Reference!$D$5,1,0))+(IF(MONTH($A3248)=Reference!$D$6,Reference!$D$13,0))),0)</f>
        <v>488</v>
      </c>
      <c r="E3248" s="11">
        <f ca="1">D3248*Reference!$D$7*(1-IF(MONTH($A3248)=Reference!$D$6,1,0)*Reference!$D$12)</f>
        <v>366000</v>
      </c>
      <c r="M3248" s="20"/>
      <c r="N3248" s="20"/>
      <c r="O3248" s="19"/>
      <c r="P3248" s="10"/>
      <c r="Q3248" s="10"/>
      <c r="R3248" s="10"/>
      <c r="S3248" s="10"/>
      <c r="T3248" s="10"/>
      <c r="U3248" s="10"/>
      <c r="V3248" s="10"/>
      <c r="W3248" s="10"/>
      <c r="X3248" s="10"/>
      <c r="Y3248" s="10"/>
    </row>
    <row r="3249" spans="1:25" x14ac:dyDescent="0.25">
      <c r="A3249" s="9">
        <v>43787</v>
      </c>
      <c r="B3249" s="10">
        <f ca="1">ROUND(_xlfn.NORM.INV(RAND(),Reference!$C$8,0.1*Reference!$C$8)*(1+Reference!$C$11*(IF(MONTH($A3249)=Reference!$C$4,1,0)+IF(MONTH($A3249)=Reference!$C$5,1,0))+(IF(MONTH($A3249)=Reference!$C$6,Reference!$C$13,0))),0)</f>
        <v>352</v>
      </c>
      <c r="C3249" s="11">
        <f ca="1">B3249*Reference!$C$7*(1-IF(MONTH($A3249)=Reference!$C$6,1,0)*Reference!$C$12)</f>
        <v>327360</v>
      </c>
      <c r="D3249" s="10">
        <f ca="1">ROUND(_xlfn.NORM.INV(RAND(),Reference!$D$8,0.1*Reference!$D$8)*(1+Reference!$D$11*(IF(MONTH($A3249)=Reference!$D$4,1,0)+IF(MONTH($A3249)=Reference!$D$5,1,0))+(IF(MONTH($A3249)=Reference!$D$6,Reference!$D$13,0))),0)</f>
        <v>492</v>
      </c>
      <c r="E3249" s="11">
        <f ca="1">D3249*Reference!$D$7*(1-IF(MONTH($A3249)=Reference!$D$6,1,0)*Reference!$D$12)</f>
        <v>369000</v>
      </c>
      <c r="M3249" s="20"/>
      <c r="N3249" s="20"/>
      <c r="O3249" s="19"/>
      <c r="P3249" s="10"/>
      <c r="Q3249" s="10"/>
      <c r="R3249" s="10"/>
      <c r="S3249" s="10"/>
      <c r="T3249" s="10"/>
      <c r="U3249" s="10"/>
      <c r="V3249" s="10"/>
      <c r="W3249" s="10"/>
      <c r="X3249" s="10"/>
      <c r="Y3249" s="10"/>
    </row>
    <row r="3250" spans="1:25" x14ac:dyDescent="0.25">
      <c r="A3250" s="9">
        <v>43788</v>
      </c>
      <c r="B3250" s="10">
        <f ca="1">ROUND(_xlfn.NORM.INV(RAND(),Reference!$C$8,0.1*Reference!$C$8)*(1+Reference!$C$11*(IF(MONTH($A3250)=Reference!$C$4,1,0)+IF(MONTH($A3250)=Reference!$C$5,1,0))+(IF(MONTH($A3250)=Reference!$C$6,Reference!$C$13,0))),0)</f>
        <v>349</v>
      </c>
      <c r="C3250" s="11">
        <f ca="1">B3250*Reference!$C$7*(1-IF(MONTH($A3250)=Reference!$C$6,1,0)*Reference!$C$12)</f>
        <v>324570</v>
      </c>
      <c r="D3250" s="10">
        <f ca="1">ROUND(_xlfn.NORM.INV(RAND(),Reference!$D$8,0.1*Reference!$D$8)*(1+Reference!$D$11*(IF(MONTH($A3250)=Reference!$D$4,1,0)+IF(MONTH($A3250)=Reference!$D$5,1,0))+(IF(MONTH($A3250)=Reference!$D$6,Reference!$D$13,0))),0)</f>
        <v>438</v>
      </c>
      <c r="E3250" s="11">
        <f ca="1">D3250*Reference!$D$7*(1-IF(MONTH($A3250)=Reference!$D$6,1,0)*Reference!$D$12)</f>
        <v>328500</v>
      </c>
      <c r="M3250" s="20"/>
      <c r="N3250" s="20"/>
      <c r="O3250" s="19"/>
      <c r="P3250" s="10"/>
      <c r="Q3250" s="10"/>
      <c r="R3250" s="10"/>
      <c r="S3250" s="10"/>
      <c r="T3250" s="10"/>
      <c r="U3250" s="10"/>
      <c r="V3250" s="10"/>
      <c r="W3250" s="10"/>
      <c r="X3250" s="10"/>
      <c r="Y3250" s="10"/>
    </row>
    <row r="3251" spans="1:25" x14ac:dyDescent="0.25">
      <c r="A3251" s="9">
        <v>43789</v>
      </c>
      <c r="B3251" s="10">
        <f ca="1">ROUND(_xlfn.NORM.INV(RAND(),Reference!$C$8,0.1*Reference!$C$8)*(1+Reference!$C$11*(IF(MONTH($A3251)=Reference!$C$4,1,0)+IF(MONTH($A3251)=Reference!$C$5,1,0))+(IF(MONTH($A3251)=Reference!$C$6,Reference!$C$13,0))),0)</f>
        <v>368</v>
      </c>
      <c r="C3251" s="11">
        <f ca="1">B3251*Reference!$C$7*(1-IF(MONTH($A3251)=Reference!$C$6,1,0)*Reference!$C$12)</f>
        <v>342240</v>
      </c>
      <c r="D3251" s="10">
        <f ca="1">ROUND(_xlfn.NORM.INV(RAND(),Reference!$D$8,0.1*Reference!$D$8)*(1+Reference!$D$11*(IF(MONTH($A3251)=Reference!$D$4,1,0)+IF(MONTH($A3251)=Reference!$D$5,1,0))+(IF(MONTH($A3251)=Reference!$D$6,Reference!$D$13,0))),0)</f>
        <v>387</v>
      </c>
      <c r="E3251" s="11">
        <f ca="1">D3251*Reference!$D$7*(1-IF(MONTH($A3251)=Reference!$D$6,1,0)*Reference!$D$12)</f>
        <v>290250</v>
      </c>
      <c r="M3251" s="20"/>
      <c r="N3251" s="20"/>
      <c r="O3251" s="19"/>
      <c r="P3251" s="10"/>
      <c r="Q3251" s="10"/>
      <c r="R3251" s="10"/>
      <c r="S3251" s="10"/>
      <c r="T3251" s="10"/>
      <c r="U3251" s="10"/>
      <c r="V3251" s="10"/>
      <c r="W3251" s="10"/>
      <c r="X3251" s="10"/>
      <c r="Y3251" s="10"/>
    </row>
    <row r="3252" spans="1:25" x14ac:dyDescent="0.25">
      <c r="A3252" s="9">
        <v>43790</v>
      </c>
      <c r="B3252" s="10">
        <f ca="1">ROUND(_xlfn.NORM.INV(RAND(),Reference!$C$8,0.1*Reference!$C$8)*(1+Reference!$C$11*(IF(MONTH($A3252)=Reference!$C$4,1,0)+IF(MONTH($A3252)=Reference!$C$5,1,0))+(IF(MONTH($A3252)=Reference!$C$6,Reference!$C$13,0))),0)</f>
        <v>372</v>
      </c>
      <c r="C3252" s="11">
        <f ca="1">B3252*Reference!$C$7*(1-IF(MONTH($A3252)=Reference!$C$6,1,0)*Reference!$C$12)</f>
        <v>345960</v>
      </c>
      <c r="D3252" s="10">
        <f ca="1">ROUND(_xlfn.NORM.INV(RAND(),Reference!$D$8,0.1*Reference!$D$8)*(1+Reference!$D$11*(IF(MONTH($A3252)=Reference!$D$4,1,0)+IF(MONTH($A3252)=Reference!$D$5,1,0))+(IF(MONTH($A3252)=Reference!$D$6,Reference!$D$13,0))),0)</f>
        <v>496</v>
      </c>
      <c r="E3252" s="11">
        <f ca="1">D3252*Reference!$D$7*(1-IF(MONTH($A3252)=Reference!$D$6,1,0)*Reference!$D$12)</f>
        <v>372000</v>
      </c>
      <c r="M3252" s="20"/>
      <c r="N3252" s="20"/>
      <c r="O3252" s="19"/>
      <c r="P3252" s="10"/>
      <c r="Q3252" s="10"/>
      <c r="R3252" s="10"/>
      <c r="S3252" s="10"/>
      <c r="T3252" s="10"/>
      <c r="U3252" s="10"/>
      <c r="V3252" s="10"/>
      <c r="W3252" s="10"/>
      <c r="X3252" s="10"/>
      <c r="Y3252" s="10"/>
    </row>
    <row r="3253" spans="1:25" x14ac:dyDescent="0.25">
      <c r="A3253" s="9">
        <v>43791</v>
      </c>
      <c r="B3253" s="10">
        <f ca="1">ROUND(_xlfn.NORM.INV(RAND(),Reference!$C$8,0.1*Reference!$C$8)*(1+Reference!$C$11*(IF(MONTH($A3253)=Reference!$C$4,1,0)+IF(MONTH($A3253)=Reference!$C$5,1,0))+(IF(MONTH($A3253)=Reference!$C$6,Reference!$C$13,0))),0)</f>
        <v>310</v>
      </c>
      <c r="C3253" s="11">
        <f ca="1">B3253*Reference!$C$7*(1-IF(MONTH($A3253)=Reference!$C$6,1,0)*Reference!$C$12)</f>
        <v>288300</v>
      </c>
      <c r="D3253" s="10">
        <f ca="1">ROUND(_xlfn.NORM.INV(RAND(),Reference!$D$8,0.1*Reference!$D$8)*(1+Reference!$D$11*(IF(MONTH($A3253)=Reference!$D$4,1,0)+IF(MONTH($A3253)=Reference!$D$5,1,0))+(IF(MONTH($A3253)=Reference!$D$6,Reference!$D$13,0))),0)</f>
        <v>462</v>
      </c>
      <c r="E3253" s="11">
        <f ca="1">D3253*Reference!$D$7*(1-IF(MONTH($A3253)=Reference!$D$6,1,0)*Reference!$D$12)</f>
        <v>346500</v>
      </c>
      <c r="M3253" s="20"/>
      <c r="N3253" s="20"/>
      <c r="O3253" s="19"/>
      <c r="P3253" s="10"/>
      <c r="Q3253" s="10"/>
      <c r="R3253" s="10"/>
      <c r="S3253" s="10"/>
      <c r="T3253" s="10"/>
      <c r="U3253" s="10"/>
      <c r="V3253" s="10"/>
      <c r="W3253" s="10"/>
      <c r="X3253" s="10"/>
      <c r="Y3253" s="10"/>
    </row>
    <row r="3254" spans="1:25" x14ac:dyDescent="0.25">
      <c r="A3254" s="9">
        <v>43792</v>
      </c>
      <c r="B3254" s="10">
        <f ca="1">ROUND(_xlfn.NORM.INV(RAND(),Reference!$C$8,0.1*Reference!$C$8)*(1+Reference!$C$11*(IF(MONTH($A3254)=Reference!$C$4,1,0)+IF(MONTH($A3254)=Reference!$C$5,1,0))+(IF(MONTH($A3254)=Reference!$C$6,Reference!$C$13,0))),0)</f>
        <v>408</v>
      </c>
      <c r="C3254" s="11">
        <f ca="1">B3254*Reference!$C$7*(1-IF(MONTH($A3254)=Reference!$C$6,1,0)*Reference!$C$12)</f>
        <v>379440</v>
      </c>
      <c r="D3254" s="10">
        <f ca="1">ROUND(_xlfn.NORM.INV(RAND(),Reference!$D$8,0.1*Reference!$D$8)*(1+Reference!$D$11*(IF(MONTH($A3254)=Reference!$D$4,1,0)+IF(MONTH($A3254)=Reference!$D$5,1,0))+(IF(MONTH($A3254)=Reference!$D$6,Reference!$D$13,0))),0)</f>
        <v>409</v>
      </c>
      <c r="E3254" s="11">
        <f ca="1">D3254*Reference!$D$7*(1-IF(MONTH($A3254)=Reference!$D$6,1,0)*Reference!$D$12)</f>
        <v>306750</v>
      </c>
      <c r="M3254" s="20"/>
      <c r="N3254" s="20"/>
      <c r="O3254" s="19"/>
      <c r="P3254" s="10"/>
      <c r="Q3254" s="10"/>
      <c r="R3254" s="10"/>
      <c r="S3254" s="10"/>
      <c r="T3254" s="10"/>
      <c r="U3254" s="10"/>
      <c r="V3254" s="10"/>
      <c r="W3254" s="10"/>
      <c r="X3254" s="10"/>
      <c r="Y3254" s="10"/>
    </row>
    <row r="3255" spans="1:25" x14ac:dyDescent="0.25">
      <c r="A3255" s="9">
        <v>43793</v>
      </c>
      <c r="B3255" s="10">
        <f ca="1">ROUND(_xlfn.NORM.INV(RAND(),Reference!$C$8,0.1*Reference!$C$8)*(1+Reference!$C$11*(IF(MONTH($A3255)=Reference!$C$4,1,0)+IF(MONTH($A3255)=Reference!$C$5,1,0))+(IF(MONTH($A3255)=Reference!$C$6,Reference!$C$13,0))),0)</f>
        <v>304</v>
      </c>
      <c r="C3255" s="11">
        <f ca="1">B3255*Reference!$C$7*(1-IF(MONTH($A3255)=Reference!$C$6,1,0)*Reference!$C$12)</f>
        <v>282720</v>
      </c>
      <c r="D3255" s="10">
        <f ca="1">ROUND(_xlfn.NORM.INV(RAND(),Reference!$D$8,0.1*Reference!$D$8)*(1+Reference!$D$11*(IF(MONTH($A3255)=Reference!$D$4,1,0)+IF(MONTH($A3255)=Reference!$D$5,1,0))+(IF(MONTH($A3255)=Reference!$D$6,Reference!$D$13,0))),0)</f>
        <v>510</v>
      </c>
      <c r="E3255" s="11">
        <f ca="1">D3255*Reference!$D$7*(1-IF(MONTH($A3255)=Reference!$D$6,1,0)*Reference!$D$12)</f>
        <v>382500</v>
      </c>
      <c r="M3255" s="20"/>
      <c r="N3255" s="20"/>
      <c r="O3255" s="19"/>
      <c r="P3255" s="10"/>
      <c r="Q3255" s="10"/>
      <c r="R3255" s="10"/>
      <c r="S3255" s="10"/>
      <c r="T3255" s="10"/>
      <c r="U3255" s="10"/>
      <c r="V3255" s="10"/>
      <c r="W3255" s="10"/>
      <c r="X3255" s="10"/>
      <c r="Y3255" s="10"/>
    </row>
    <row r="3256" spans="1:25" x14ac:dyDescent="0.25">
      <c r="A3256" s="9">
        <v>43794</v>
      </c>
      <c r="B3256" s="10">
        <f ca="1">ROUND(_xlfn.NORM.INV(RAND(),Reference!$C$8,0.1*Reference!$C$8)*(1+Reference!$C$11*(IF(MONTH($A3256)=Reference!$C$4,1,0)+IF(MONTH($A3256)=Reference!$C$5,1,0))+(IF(MONTH($A3256)=Reference!$C$6,Reference!$C$13,0))),0)</f>
        <v>402</v>
      </c>
      <c r="C3256" s="11">
        <f ca="1">B3256*Reference!$C$7*(1-IF(MONTH($A3256)=Reference!$C$6,1,0)*Reference!$C$12)</f>
        <v>373860</v>
      </c>
      <c r="D3256" s="10">
        <f ca="1">ROUND(_xlfn.NORM.INV(RAND(),Reference!$D$8,0.1*Reference!$D$8)*(1+Reference!$D$11*(IF(MONTH($A3256)=Reference!$D$4,1,0)+IF(MONTH($A3256)=Reference!$D$5,1,0))+(IF(MONTH($A3256)=Reference!$D$6,Reference!$D$13,0))),0)</f>
        <v>435</v>
      </c>
      <c r="E3256" s="11">
        <f ca="1">D3256*Reference!$D$7*(1-IF(MONTH($A3256)=Reference!$D$6,1,0)*Reference!$D$12)</f>
        <v>326250</v>
      </c>
      <c r="M3256" s="20"/>
      <c r="N3256" s="20"/>
      <c r="O3256" s="19"/>
      <c r="P3256" s="10"/>
      <c r="Q3256" s="10"/>
      <c r="R3256" s="10"/>
      <c r="S3256" s="10"/>
      <c r="T3256" s="10"/>
      <c r="U3256" s="10"/>
      <c r="V3256" s="10"/>
      <c r="W3256" s="10"/>
      <c r="X3256" s="10"/>
      <c r="Y3256" s="10"/>
    </row>
    <row r="3257" spans="1:25" x14ac:dyDescent="0.25">
      <c r="A3257" s="9">
        <v>43795</v>
      </c>
      <c r="B3257" s="10">
        <f ca="1">ROUND(_xlfn.NORM.INV(RAND(),Reference!$C$8,0.1*Reference!$C$8)*(1+Reference!$C$11*(IF(MONTH($A3257)=Reference!$C$4,1,0)+IF(MONTH($A3257)=Reference!$C$5,1,0))+(IF(MONTH($A3257)=Reference!$C$6,Reference!$C$13,0))),0)</f>
        <v>383</v>
      </c>
      <c r="C3257" s="11">
        <f ca="1">B3257*Reference!$C$7*(1-IF(MONTH($A3257)=Reference!$C$6,1,0)*Reference!$C$12)</f>
        <v>356190</v>
      </c>
      <c r="D3257" s="10">
        <f ca="1">ROUND(_xlfn.NORM.INV(RAND(),Reference!$D$8,0.1*Reference!$D$8)*(1+Reference!$D$11*(IF(MONTH($A3257)=Reference!$D$4,1,0)+IF(MONTH($A3257)=Reference!$D$5,1,0))+(IF(MONTH($A3257)=Reference!$D$6,Reference!$D$13,0))),0)</f>
        <v>490</v>
      </c>
      <c r="E3257" s="11">
        <f ca="1">D3257*Reference!$D$7*(1-IF(MONTH($A3257)=Reference!$D$6,1,0)*Reference!$D$12)</f>
        <v>367500</v>
      </c>
      <c r="M3257" s="20"/>
      <c r="N3257" s="20"/>
      <c r="O3257" s="19"/>
      <c r="P3257" s="10"/>
      <c r="Q3257" s="10"/>
      <c r="R3257" s="10"/>
      <c r="S3257" s="10"/>
      <c r="T3257" s="10"/>
      <c r="U3257" s="10"/>
      <c r="V3257" s="10"/>
      <c r="W3257" s="10"/>
      <c r="X3257" s="10"/>
      <c r="Y3257" s="10"/>
    </row>
    <row r="3258" spans="1:25" x14ac:dyDescent="0.25">
      <c r="A3258" s="9">
        <v>43796</v>
      </c>
      <c r="B3258" s="10">
        <f ca="1">ROUND(_xlfn.NORM.INV(RAND(),Reference!$C$8,0.1*Reference!$C$8)*(1+Reference!$C$11*(IF(MONTH($A3258)=Reference!$C$4,1,0)+IF(MONTH($A3258)=Reference!$C$5,1,0))+(IF(MONTH($A3258)=Reference!$C$6,Reference!$C$13,0))),0)</f>
        <v>301</v>
      </c>
      <c r="C3258" s="11">
        <f ca="1">B3258*Reference!$C$7*(1-IF(MONTH($A3258)=Reference!$C$6,1,0)*Reference!$C$12)</f>
        <v>279930</v>
      </c>
      <c r="D3258" s="10">
        <f ca="1">ROUND(_xlfn.NORM.INV(RAND(),Reference!$D$8,0.1*Reference!$D$8)*(1+Reference!$D$11*(IF(MONTH($A3258)=Reference!$D$4,1,0)+IF(MONTH($A3258)=Reference!$D$5,1,0))+(IF(MONTH($A3258)=Reference!$D$6,Reference!$D$13,0))),0)</f>
        <v>425</v>
      </c>
      <c r="E3258" s="11">
        <f ca="1">D3258*Reference!$D$7*(1-IF(MONTH($A3258)=Reference!$D$6,1,0)*Reference!$D$12)</f>
        <v>318750</v>
      </c>
      <c r="M3258" s="20"/>
      <c r="N3258" s="20"/>
      <c r="O3258" s="19"/>
      <c r="P3258" s="10"/>
      <c r="Q3258" s="10"/>
      <c r="R3258" s="10"/>
      <c r="S3258" s="10"/>
      <c r="T3258" s="10"/>
      <c r="U3258" s="10"/>
      <c r="V3258" s="10"/>
      <c r="W3258" s="10"/>
      <c r="X3258" s="10"/>
      <c r="Y3258" s="10"/>
    </row>
    <row r="3259" spans="1:25" x14ac:dyDescent="0.25">
      <c r="A3259" s="9">
        <v>43797</v>
      </c>
      <c r="B3259" s="10">
        <f ca="1">ROUND(_xlfn.NORM.INV(RAND(),Reference!$C$8,0.1*Reference!$C$8)*(1+Reference!$C$11*(IF(MONTH($A3259)=Reference!$C$4,1,0)+IF(MONTH($A3259)=Reference!$C$5,1,0))+(IF(MONTH($A3259)=Reference!$C$6,Reference!$C$13,0))),0)</f>
        <v>346</v>
      </c>
      <c r="C3259" s="11">
        <f ca="1">B3259*Reference!$C$7*(1-IF(MONTH($A3259)=Reference!$C$6,1,0)*Reference!$C$12)</f>
        <v>321780</v>
      </c>
      <c r="D3259" s="10">
        <f ca="1">ROUND(_xlfn.NORM.INV(RAND(),Reference!$D$8,0.1*Reference!$D$8)*(1+Reference!$D$11*(IF(MONTH($A3259)=Reference!$D$4,1,0)+IF(MONTH($A3259)=Reference!$D$5,1,0))+(IF(MONTH($A3259)=Reference!$D$6,Reference!$D$13,0))),0)</f>
        <v>373</v>
      </c>
      <c r="E3259" s="11">
        <f ca="1">D3259*Reference!$D$7*(1-IF(MONTH($A3259)=Reference!$D$6,1,0)*Reference!$D$12)</f>
        <v>279750</v>
      </c>
      <c r="M3259" s="20"/>
      <c r="N3259" s="20"/>
      <c r="O3259" s="19"/>
      <c r="P3259" s="10"/>
      <c r="Q3259" s="10"/>
      <c r="R3259" s="10"/>
      <c r="S3259" s="10"/>
      <c r="T3259" s="10"/>
      <c r="U3259" s="10"/>
      <c r="V3259" s="10"/>
      <c r="W3259" s="10"/>
      <c r="X3259" s="10"/>
      <c r="Y3259" s="10"/>
    </row>
    <row r="3260" spans="1:25" x14ac:dyDescent="0.25">
      <c r="A3260" s="9">
        <v>43798</v>
      </c>
      <c r="B3260" s="10">
        <f ca="1">ROUND(_xlfn.NORM.INV(RAND(),Reference!$C$8,0.1*Reference!$C$8)*(1+Reference!$C$11*(IF(MONTH($A3260)=Reference!$C$4,1,0)+IF(MONTH($A3260)=Reference!$C$5,1,0))+(IF(MONTH($A3260)=Reference!$C$6,Reference!$C$13,0))),0)</f>
        <v>367</v>
      </c>
      <c r="C3260" s="11">
        <f ca="1">B3260*Reference!$C$7*(1-IF(MONTH($A3260)=Reference!$C$6,1,0)*Reference!$C$12)</f>
        <v>341310</v>
      </c>
      <c r="D3260" s="10">
        <f ca="1">ROUND(_xlfn.NORM.INV(RAND(),Reference!$D$8,0.1*Reference!$D$8)*(1+Reference!$D$11*(IF(MONTH($A3260)=Reference!$D$4,1,0)+IF(MONTH($A3260)=Reference!$D$5,1,0))+(IF(MONTH($A3260)=Reference!$D$6,Reference!$D$13,0))),0)</f>
        <v>435</v>
      </c>
      <c r="E3260" s="11">
        <f ca="1">D3260*Reference!$D$7*(1-IF(MONTH($A3260)=Reference!$D$6,1,0)*Reference!$D$12)</f>
        <v>326250</v>
      </c>
      <c r="M3260" s="20"/>
      <c r="N3260" s="20"/>
      <c r="O3260" s="19"/>
      <c r="P3260" s="10"/>
      <c r="Q3260" s="10"/>
      <c r="R3260" s="10"/>
      <c r="S3260" s="10"/>
      <c r="T3260" s="10"/>
      <c r="U3260" s="10"/>
      <c r="V3260" s="10"/>
      <c r="W3260" s="10"/>
      <c r="X3260" s="10"/>
      <c r="Y3260" s="10"/>
    </row>
    <row r="3261" spans="1:25" x14ac:dyDescent="0.25">
      <c r="A3261" s="9">
        <v>43799</v>
      </c>
      <c r="B3261" s="10">
        <f ca="1">ROUND(_xlfn.NORM.INV(RAND(),Reference!$C$8,0.1*Reference!$C$8)*(1+Reference!$C$11*(IF(MONTH($A3261)=Reference!$C$4,1,0)+IF(MONTH($A3261)=Reference!$C$5,1,0))+(IF(MONTH($A3261)=Reference!$C$6,Reference!$C$13,0))),0)</f>
        <v>404</v>
      </c>
      <c r="C3261" s="11">
        <f ca="1">B3261*Reference!$C$7*(1-IF(MONTH($A3261)=Reference!$C$6,1,0)*Reference!$C$12)</f>
        <v>375720</v>
      </c>
      <c r="D3261" s="10">
        <f ca="1">ROUND(_xlfn.NORM.INV(RAND(),Reference!$D$8,0.1*Reference!$D$8)*(1+Reference!$D$11*(IF(MONTH($A3261)=Reference!$D$4,1,0)+IF(MONTH($A3261)=Reference!$D$5,1,0))+(IF(MONTH($A3261)=Reference!$D$6,Reference!$D$13,0))),0)</f>
        <v>498</v>
      </c>
      <c r="E3261" s="11">
        <f ca="1">D3261*Reference!$D$7*(1-IF(MONTH($A3261)=Reference!$D$6,1,0)*Reference!$D$12)</f>
        <v>373500</v>
      </c>
      <c r="M3261" s="20"/>
      <c r="N3261" s="20"/>
      <c r="O3261" s="19"/>
      <c r="P3261" s="10"/>
      <c r="Q3261" s="10"/>
      <c r="R3261" s="10"/>
      <c r="S3261" s="10"/>
      <c r="T3261" s="10"/>
      <c r="U3261" s="10"/>
      <c r="V3261" s="10"/>
      <c r="W3261" s="10"/>
      <c r="X3261" s="10"/>
      <c r="Y3261" s="10"/>
    </row>
    <row r="3262" spans="1:25" x14ac:dyDescent="0.25">
      <c r="A3262" s="9">
        <v>43800</v>
      </c>
      <c r="B3262" s="10">
        <f ca="1">ROUND(_xlfn.NORM.INV(RAND(),Reference!$C$8,0.1*Reference!$C$8)*(1+Reference!$C$11*(IF(MONTH($A3262)=Reference!$C$4,1,0)+IF(MONTH($A3262)=Reference!$C$5,1,0))+(IF(MONTH($A3262)=Reference!$C$6,Reference!$C$13,0))),0)</f>
        <v>310</v>
      </c>
      <c r="C3262" s="11">
        <f ca="1">B3262*Reference!$C$7*(1-IF(MONTH($A3262)=Reference!$C$6,1,0)*Reference!$C$12)</f>
        <v>288300</v>
      </c>
      <c r="D3262" s="10">
        <f ca="1">ROUND(_xlfn.NORM.INV(RAND(),Reference!$D$8,0.1*Reference!$D$8)*(1+Reference!$D$11*(IF(MONTH($A3262)=Reference!$D$4,1,0)+IF(MONTH($A3262)=Reference!$D$5,1,0))+(IF(MONTH($A3262)=Reference!$D$6,Reference!$D$13,0))),0)</f>
        <v>422</v>
      </c>
      <c r="E3262" s="11">
        <f ca="1">D3262*Reference!$D$7*(1-IF(MONTH($A3262)=Reference!$D$6,1,0)*Reference!$D$12)</f>
        <v>316500</v>
      </c>
      <c r="M3262" s="20"/>
      <c r="N3262" s="20"/>
      <c r="O3262" s="19"/>
      <c r="P3262" s="10"/>
      <c r="Q3262" s="10"/>
      <c r="R3262" s="10"/>
      <c r="S3262" s="10"/>
      <c r="T3262" s="10"/>
      <c r="U3262" s="10"/>
      <c r="V3262" s="10"/>
      <c r="W3262" s="10"/>
      <c r="X3262" s="10"/>
      <c r="Y3262" s="10"/>
    </row>
    <row r="3263" spans="1:25" x14ac:dyDescent="0.25">
      <c r="A3263" s="9">
        <v>43801</v>
      </c>
      <c r="B3263" s="10">
        <f ca="1">ROUND(_xlfn.NORM.INV(RAND(),Reference!$C$8,0.1*Reference!$C$8)*(1+Reference!$C$11*(IF(MONTH($A3263)=Reference!$C$4,1,0)+IF(MONTH($A3263)=Reference!$C$5,1,0))+(IF(MONTH($A3263)=Reference!$C$6,Reference!$C$13,0))),0)</f>
        <v>338</v>
      </c>
      <c r="C3263" s="11">
        <f ca="1">B3263*Reference!$C$7*(1-IF(MONTH($A3263)=Reference!$C$6,1,0)*Reference!$C$12)</f>
        <v>314340</v>
      </c>
      <c r="D3263" s="10">
        <f ca="1">ROUND(_xlfn.NORM.INV(RAND(),Reference!$D$8,0.1*Reference!$D$8)*(1+Reference!$D$11*(IF(MONTH($A3263)=Reference!$D$4,1,0)+IF(MONTH($A3263)=Reference!$D$5,1,0))+(IF(MONTH($A3263)=Reference!$D$6,Reference!$D$13,0))),0)</f>
        <v>448</v>
      </c>
      <c r="E3263" s="11">
        <f ca="1">D3263*Reference!$D$7*(1-IF(MONTH($A3263)=Reference!$D$6,1,0)*Reference!$D$12)</f>
        <v>336000</v>
      </c>
      <c r="M3263" s="20"/>
      <c r="N3263" s="20"/>
      <c r="O3263" s="19"/>
      <c r="P3263" s="10"/>
      <c r="Q3263" s="10"/>
      <c r="R3263" s="10"/>
      <c r="S3263" s="10"/>
      <c r="T3263" s="10"/>
      <c r="U3263" s="10"/>
      <c r="V3263" s="10"/>
      <c r="W3263" s="10"/>
      <c r="X3263" s="10"/>
      <c r="Y3263" s="10"/>
    </row>
    <row r="3264" spans="1:25" x14ac:dyDescent="0.25">
      <c r="A3264" s="9">
        <v>43802</v>
      </c>
      <c r="B3264" s="10">
        <f ca="1">ROUND(_xlfn.NORM.INV(RAND(),Reference!$C$8,0.1*Reference!$C$8)*(1+Reference!$C$11*(IF(MONTH($A3264)=Reference!$C$4,1,0)+IF(MONTH($A3264)=Reference!$C$5,1,0))+(IF(MONTH($A3264)=Reference!$C$6,Reference!$C$13,0))),0)</f>
        <v>384</v>
      </c>
      <c r="C3264" s="11">
        <f ca="1">B3264*Reference!$C$7*(1-IF(MONTH($A3264)=Reference!$C$6,1,0)*Reference!$C$12)</f>
        <v>357120</v>
      </c>
      <c r="D3264" s="10">
        <f ca="1">ROUND(_xlfn.NORM.INV(RAND(),Reference!$D$8,0.1*Reference!$D$8)*(1+Reference!$D$11*(IF(MONTH($A3264)=Reference!$D$4,1,0)+IF(MONTH($A3264)=Reference!$D$5,1,0))+(IF(MONTH($A3264)=Reference!$D$6,Reference!$D$13,0))),0)</f>
        <v>466</v>
      </c>
      <c r="E3264" s="11">
        <f ca="1">D3264*Reference!$D$7*(1-IF(MONTH($A3264)=Reference!$D$6,1,0)*Reference!$D$12)</f>
        <v>349500</v>
      </c>
      <c r="M3264" s="20"/>
      <c r="N3264" s="20"/>
      <c r="O3264" s="19"/>
      <c r="P3264" s="10"/>
      <c r="Q3264" s="10"/>
      <c r="R3264" s="10"/>
      <c r="S3264" s="10"/>
      <c r="T3264" s="10"/>
      <c r="U3264" s="10"/>
      <c r="V3264" s="10"/>
      <c r="W3264" s="10"/>
      <c r="X3264" s="10"/>
      <c r="Y3264" s="10"/>
    </row>
    <row r="3265" spans="1:25" x14ac:dyDescent="0.25">
      <c r="A3265" s="9">
        <v>43803</v>
      </c>
      <c r="B3265" s="10">
        <f ca="1">ROUND(_xlfn.NORM.INV(RAND(),Reference!$C$8,0.1*Reference!$C$8)*(1+Reference!$C$11*(IF(MONTH($A3265)=Reference!$C$4,1,0)+IF(MONTH($A3265)=Reference!$C$5,1,0))+(IF(MONTH($A3265)=Reference!$C$6,Reference!$C$13,0))),0)</f>
        <v>351</v>
      </c>
      <c r="C3265" s="11">
        <f ca="1">B3265*Reference!$C$7*(1-IF(MONTH($A3265)=Reference!$C$6,1,0)*Reference!$C$12)</f>
        <v>326430</v>
      </c>
      <c r="D3265" s="10">
        <f ca="1">ROUND(_xlfn.NORM.INV(RAND(),Reference!$D$8,0.1*Reference!$D$8)*(1+Reference!$D$11*(IF(MONTH($A3265)=Reference!$D$4,1,0)+IF(MONTH($A3265)=Reference!$D$5,1,0))+(IF(MONTH($A3265)=Reference!$D$6,Reference!$D$13,0))),0)</f>
        <v>488</v>
      </c>
      <c r="E3265" s="11">
        <f ca="1">D3265*Reference!$D$7*(1-IF(MONTH($A3265)=Reference!$D$6,1,0)*Reference!$D$12)</f>
        <v>366000</v>
      </c>
      <c r="M3265" s="20"/>
      <c r="N3265" s="20"/>
      <c r="O3265" s="19"/>
      <c r="P3265" s="10"/>
      <c r="Q3265" s="10"/>
      <c r="R3265" s="10"/>
      <c r="S3265" s="10"/>
      <c r="T3265" s="10"/>
      <c r="U3265" s="10"/>
      <c r="V3265" s="10"/>
      <c r="W3265" s="10"/>
      <c r="X3265" s="10"/>
      <c r="Y3265" s="10"/>
    </row>
    <row r="3266" spans="1:25" x14ac:dyDescent="0.25">
      <c r="A3266" s="9">
        <v>43804</v>
      </c>
      <c r="B3266" s="10">
        <f ca="1">ROUND(_xlfn.NORM.INV(RAND(),Reference!$C$8,0.1*Reference!$C$8)*(1+Reference!$C$11*(IF(MONTH($A3266)=Reference!$C$4,1,0)+IF(MONTH($A3266)=Reference!$C$5,1,0))+(IF(MONTH($A3266)=Reference!$C$6,Reference!$C$13,0))),0)</f>
        <v>355</v>
      </c>
      <c r="C3266" s="11">
        <f ca="1">B3266*Reference!$C$7*(1-IF(MONTH($A3266)=Reference!$C$6,1,0)*Reference!$C$12)</f>
        <v>330150</v>
      </c>
      <c r="D3266" s="10">
        <f ca="1">ROUND(_xlfn.NORM.INV(RAND(),Reference!$D$8,0.1*Reference!$D$8)*(1+Reference!$D$11*(IF(MONTH($A3266)=Reference!$D$4,1,0)+IF(MONTH($A3266)=Reference!$D$5,1,0))+(IF(MONTH($A3266)=Reference!$D$6,Reference!$D$13,0))),0)</f>
        <v>398</v>
      </c>
      <c r="E3266" s="11">
        <f ca="1">D3266*Reference!$D$7*(1-IF(MONTH($A3266)=Reference!$D$6,1,0)*Reference!$D$12)</f>
        <v>298500</v>
      </c>
      <c r="M3266" s="20"/>
      <c r="N3266" s="20"/>
      <c r="O3266" s="19"/>
      <c r="P3266" s="10"/>
      <c r="Q3266" s="10"/>
      <c r="R3266" s="10"/>
      <c r="S3266" s="10"/>
      <c r="T3266" s="10"/>
      <c r="U3266" s="10"/>
      <c r="V3266" s="10"/>
      <c r="W3266" s="10"/>
      <c r="X3266" s="10"/>
      <c r="Y3266" s="10"/>
    </row>
    <row r="3267" spans="1:25" x14ac:dyDescent="0.25">
      <c r="A3267" s="9">
        <v>43805</v>
      </c>
      <c r="B3267" s="10">
        <f ca="1">ROUND(_xlfn.NORM.INV(RAND(),Reference!$C$8,0.1*Reference!$C$8)*(1+Reference!$C$11*(IF(MONTH($A3267)=Reference!$C$4,1,0)+IF(MONTH($A3267)=Reference!$C$5,1,0))+(IF(MONTH($A3267)=Reference!$C$6,Reference!$C$13,0))),0)</f>
        <v>361</v>
      </c>
      <c r="C3267" s="11">
        <f ca="1">B3267*Reference!$C$7*(1-IF(MONTH($A3267)=Reference!$C$6,1,0)*Reference!$C$12)</f>
        <v>335730</v>
      </c>
      <c r="D3267" s="10">
        <f ca="1">ROUND(_xlfn.NORM.INV(RAND(),Reference!$D$8,0.1*Reference!$D$8)*(1+Reference!$D$11*(IF(MONTH($A3267)=Reference!$D$4,1,0)+IF(MONTH($A3267)=Reference!$D$5,1,0))+(IF(MONTH($A3267)=Reference!$D$6,Reference!$D$13,0))),0)</f>
        <v>444</v>
      </c>
      <c r="E3267" s="11">
        <f ca="1">D3267*Reference!$D$7*(1-IF(MONTH($A3267)=Reference!$D$6,1,0)*Reference!$D$12)</f>
        <v>333000</v>
      </c>
      <c r="M3267" s="20"/>
      <c r="N3267" s="20"/>
      <c r="O3267" s="19"/>
      <c r="P3267" s="10"/>
      <c r="Q3267" s="10"/>
      <c r="R3267" s="10"/>
      <c r="S3267" s="10"/>
      <c r="T3267" s="10"/>
      <c r="U3267" s="10"/>
      <c r="V3267" s="10"/>
      <c r="W3267" s="10"/>
      <c r="X3267" s="10"/>
      <c r="Y3267" s="10"/>
    </row>
    <row r="3268" spans="1:25" x14ac:dyDescent="0.25">
      <c r="A3268" s="9">
        <v>43806</v>
      </c>
      <c r="B3268" s="10">
        <f ca="1">ROUND(_xlfn.NORM.INV(RAND(),Reference!$C$8,0.1*Reference!$C$8)*(1+Reference!$C$11*(IF(MONTH($A3268)=Reference!$C$4,1,0)+IF(MONTH($A3268)=Reference!$C$5,1,0))+(IF(MONTH($A3268)=Reference!$C$6,Reference!$C$13,0))),0)</f>
        <v>374</v>
      </c>
      <c r="C3268" s="11">
        <f ca="1">B3268*Reference!$C$7*(1-IF(MONTH($A3268)=Reference!$C$6,1,0)*Reference!$C$12)</f>
        <v>347820</v>
      </c>
      <c r="D3268" s="10">
        <f ca="1">ROUND(_xlfn.NORM.INV(RAND(),Reference!$D$8,0.1*Reference!$D$8)*(1+Reference!$D$11*(IF(MONTH($A3268)=Reference!$D$4,1,0)+IF(MONTH($A3268)=Reference!$D$5,1,0))+(IF(MONTH($A3268)=Reference!$D$6,Reference!$D$13,0))),0)</f>
        <v>446</v>
      </c>
      <c r="E3268" s="11">
        <f ca="1">D3268*Reference!$D$7*(1-IF(MONTH($A3268)=Reference!$D$6,1,0)*Reference!$D$12)</f>
        <v>334500</v>
      </c>
      <c r="M3268" s="20"/>
      <c r="N3268" s="20"/>
      <c r="O3268" s="19"/>
      <c r="P3268" s="10"/>
      <c r="Q3268" s="10"/>
      <c r="R3268" s="10"/>
      <c r="S3268" s="10"/>
      <c r="T3268" s="10"/>
      <c r="U3268" s="10"/>
      <c r="V3268" s="10"/>
      <c r="W3268" s="10"/>
      <c r="X3268" s="10"/>
      <c r="Y3268" s="10"/>
    </row>
    <row r="3269" spans="1:25" x14ac:dyDescent="0.25">
      <c r="A3269" s="9">
        <v>43807</v>
      </c>
      <c r="B3269" s="10">
        <f ca="1">ROUND(_xlfn.NORM.INV(RAND(),Reference!$C$8,0.1*Reference!$C$8)*(1+Reference!$C$11*(IF(MONTH($A3269)=Reference!$C$4,1,0)+IF(MONTH($A3269)=Reference!$C$5,1,0))+(IF(MONTH($A3269)=Reference!$C$6,Reference!$C$13,0))),0)</f>
        <v>330</v>
      </c>
      <c r="C3269" s="11">
        <f ca="1">B3269*Reference!$C$7*(1-IF(MONTH($A3269)=Reference!$C$6,1,0)*Reference!$C$12)</f>
        <v>306900</v>
      </c>
      <c r="D3269" s="10">
        <f ca="1">ROUND(_xlfn.NORM.INV(RAND(),Reference!$D$8,0.1*Reference!$D$8)*(1+Reference!$D$11*(IF(MONTH($A3269)=Reference!$D$4,1,0)+IF(MONTH($A3269)=Reference!$D$5,1,0))+(IF(MONTH($A3269)=Reference!$D$6,Reference!$D$13,0))),0)</f>
        <v>377</v>
      </c>
      <c r="E3269" s="11">
        <f ca="1">D3269*Reference!$D$7*(1-IF(MONTH($A3269)=Reference!$D$6,1,0)*Reference!$D$12)</f>
        <v>282750</v>
      </c>
      <c r="M3269" s="20"/>
      <c r="N3269" s="20"/>
      <c r="O3269" s="19"/>
      <c r="P3269" s="10"/>
      <c r="Q3269" s="10"/>
      <c r="R3269" s="10"/>
      <c r="S3269" s="10"/>
      <c r="T3269" s="10"/>
      <c r="U3269" s="10"/>
      <c r="V3269" s="10"/>
      <c r="W3269" s="10"/>
      <c r="X3269" s="10"/>
      <c r="Y3269" s="10"/>
    </row>
    <row r="3270" spans="1:25" x14ac:dyDescent="0.25">
      <c r="A3270" s="9">
        <v>43808</v>
      </c>
      <c r="B3270" s="10">
        <f ca="1">ROUND(_xlfn.NORM.INV(RAND(),Reference!$C$8,0.1*Reference!$C$8)*(1+Reference!$C$11*(IF(MONTH($A3270)=Reference!$C$4,1,0)+IF(MONTH($A3270)=Reference!$C$5,1,0))+(IF(MONTH($A3270)=Reference!$C$6,Reference!$C$13,0))),0)</f>
        <v>331</v>
      </c>
      <c r="C3270" s="11">
        <f ca="1">B3270*Reference!$C$7*(1-IF(MONTH($A3270)=Reference!$C$6,1,0)*Reference!$C$12)</f>
        <v>307830</v>
      </c>
      <c r="D3270" s="10">
        <f ca="1">ROUND(_xlfn.NORM.INV(RAND(),Reference!$D$8,0.1*Reference!$D$8)*(1+Reference!$D$11*(IF(MONTH($A3270)=Reference!$D$4,1,0)+IF(MONTH($A3270)=Reference!$D$5,1,0))+(IF(MONTH($A3270)=Reference!$D$6,Reference!$D$13,0))),0)</f>
        <v>416</v>
      </c>
      <c r="E3270" s="11">
        <f ca="1">D3270*Reference!$D$7*(1-IF(MONTH($A3270)=Reference!$D$6,1,0)*Reference!$D$12)</f>
        <v>312000</v>
      </c>
      <c r="M3270" s="20"/>
      <c r="N3270" s="20"/>
      <c r="O3270" s="19"/>
      <c r="P3270" s="10"/>
      <c r="Q3270" s="10"/>
      <c r="R3270" s="10"/>
      <c r="S3270" s="10"/>
      <c r="T3270" s="10"/>
      <c r="U3270" s="10"/>
      <c r="V3270" s="10"/>
      <c r="W3270" s="10"/>
      <c r="X3270" s="10"/>
      <c r="Y3270" s="10"/>
    </row>
    <row r="3271" spans="1:25" x14ac:dyDescent="0.25">
      <c r="A3271" s="9">
        <v>43809</v>
      </c>
      <c r="B3271" s="10">
        <f ca="1">ROUND(_xlfn.NORM.INV(RAND(),Reference!$C$8,0.1*Reference!$C$8)*(1+Reference!$C$11*(IF(MONTH($A3271)=Reference!$C$4,1,0)+IF(MONTH($A3271)=Reference!$C$5,1,0))+(IF(MONTH($A3271)=Reference!$C$6,Reference!$C$13,0))),0)</f>
        <v>355</v>
      </c>
      <c r="C3271" s="11">
        <f ca="1">B3271*Reference!$C$7*(1-IF(MONTH($A3271)=Reference!$C$6,1,0)*Reference!$C$12)</f>
        <v>330150</v>
      </c>
      <c r="D3271" s="10">
        <f ca="1">ROUND(_xlfn.NORM.INV(RAND(),Reference!$D$8,0.1*Reference!$D$8)*(1+Reference!$D$11*(IF(MONTH($A3271)=Reference!$D$4,1,0)+IF(MONTH($A3271)=Reference!$D$5,1,0))+(IF(MONTH($A3271)=Reference!$D$6,Reference!$D$13,0))),0)</f>
        <v>434</v>
      </c>
      <c r="E3271" s="11">
        <f ca="1">D3271*Reference!$D$7*(1-IF(MONTH($A3271)=Reference!$D$6,1,0)*Reference!$D$12)</f>
        <v>325500</v>
      </c>
      <c r="M3271" s="20"/>
      <c r="N3271" s="20"/>
      <c r="O3271" s="19"/>
      <c r="P3271" s="10"/>
      <c r="Q3271" s="10"/>
      <c r="R3271" s="10"/>
      <c r="S3271" s="10"/>
      <c r="T3271" s="10"/>
      <c r="U3271" s="10"/>
      <c r="V3271" s="10"/>
      <c r="W3271" s="10"/>
      <c r="X3271" s="10"/>
      <c r="Y3271" s="10"/>
    </row>
    <row r="3272" spans="1:25" x14ac:dyDescent="0.25">
      <c r="A3272" s="9">
        <v>43810</v>
      </c>
      <c r="B3272" s="10">
        <f ca="1">ROUND(_xlfn.NORM.INV(RAND(),Reference!$C$8,0.1*Reference!$C$8)*(1+Reference!$C$11*(IF(MONTH($A3272)=Reference!$C$4,1,0)+IF(MONTH($A3272)=Reference!$C$5,1,0))+(IF(MONTH($A3272)=Reference!$C$6,Reference!$C$13,0))),0)</f>
        <v>355</v>
      </c>
      <c r="C3272" s="11">
        <f ca="1">B3272*Reference!$C$7*(1-IF(MONTH($A3272)=Reference!$C$6,1,0)*Reference!$C$12)</f>
        <v>330150</v>
      </c>
      <c r="D3272" s="10">
        <f ca="1">ROUND(_xlfn.NORM.INV(RAND(),Reference!$D$8,0.1*Reference!$D$8)*(1+Reference!$D$11*(IF(MONTH($A3272)=Reference!$D$4,1,0)+IF(MONTH($A3272)=Reference!$D$5,1,0))+(IF(MONTH($A3272)=Reference!$D$6,Reference!$D$13,0))),0)</f>
        <v>477</v>
      </c>
      <c r="E3272" s="11">
        <f ca="1">D3272*Reference!$D$7*(1-IF(MONTH($A3272)=Reference!$D$6,1,0)*Reference!$D$12)</f>
        <v>357750</v>
      </c>
      <c r="M3272" s="20"/>
      <c r="N3272" s="20"/>
      <c r="O3272" s="19"/>
      <c r="P3272" s="10"/>
      <c r="Q3272" s="10"/>
      <c r="R3272" s="10"/>
      <c r="S3272" s="10"/>
      <c r="T3272" s="10"/>
      <c r="U3272" s="10"/>
      <c r="V3272" s="10"/>
      <c r="W3272" s="10"/>
      <c r="X3272" s="10"/>
      <c r="Y3272" s="10"/>
    </row>
    <row r="3273" spans="1:25" x14ac:dyDescent="0.25">
      <c r="A3273" s="9">
        <v>43811</v>
      </c>
      <c r="B3273" s="10">
        <f ca="1">ROUND(_xlfn.NORM.INV(RAND(),Reference!$C$8,0.1*Reference!$C$8)*(1+Reference!$C$11*(IF(MONTH($A3273)=Reference!$C$4,1,0)+IF(MONTH($A3273)=Reference!$C$5,1,0))+(IF(MONTH($A3273)=Reference!$C$6,Reference!$C$13,0))),0)</f>
        <v>350</v>
      </c>
      <c r="C3273" s="11">
        <f ca="1">B3273*Reference!$C$7*(1-IF(MONTH($A3273)=Reference!$C$6,1,0)*Reference!$C$12)</f>
        <v>325500</v>
      </c>
      <c r="D3273" s="10">
        <f ca="1">ROUND(_xlfn.NORM.INV(RAND(),Reference!$D$8,0.1*Reference!$D$8)*(1+Reference!$D$11*(IF(MONTH($A3273)=Reference!$D$4,1,0)+IF(MONTH($A3273)=Reference!$D$5,1,0))+(IF(MONTH($A3273)=Reference!$D$6,Reference!$D$13,0))),0)</f>
        <v>476</v>
      </c>
      <c r="E3273" s="11">
        <f ca="1">D3273*Reference!$D$7*(1-IF(MONTH($A3273)=Reference!$D$6,1,0)*Reference!$D$12)</f>
        <v>357000</v>
      </c>
      <c r="M3273" s="20"/>
      <c r="N3273" s="20"/>
      <c r="O3273" s="19"/>
      <c r="P3273" s="10"/>
      <c r="Q3273" s="10"/>
      <c r="R3273" s="10"/>
      <c r="S3273" s="10"/>
      <c r="T3273" s="10"/>
      <c r="U3273" s="10"/>
      <c r="V3273" s="10"/>
      <c r="W3273" s="10"/>
      <c r="X3273" s="10"/>
      <c r="Y3273" s="10"/>
    </row>
    <row r="3274" spans="1:25" x14ac:dyDescent="0.25">
      <c r="A3274" s="9">
        <v>43812</v>
      </c>
      <c r="B3274" s="10">
        <f ca="1">ROUND(_xlfn.NORM.INV(RAND(),Reference!$C$8,0.1*Reference!$C$8)*(1+Reference!$C$11*(IF(MONTH($A3274)=Reference!$C$4,1,0)+IF(MONTH($A3274)=Reference!$C$5,1,0))+(IF(MONTH($A3274)=Reference!$C$6,Reference!$C$13,0))),0)</f>
        <v>349</v>
      </c>
      <c r="C3274" s="11">
        <f ca="1">B3274*Reference!$C$7*(1-IF(MONTH($A3274)=Reference!$C$6,1,0)*Reference!$C$12)</f>
        <v>324570</v>
      </c>
      <c r="D3274" s="10">
        <f ca="1">ROUND(_xlfn.NORM.INV(RAND(),Reference!$D$8,0.1*Reference!$D$8)*(1+Reference!$D$11*(IF(MONTH($A3274)=Reference!$D$4,1,0)+IF(MONTH($A3274)=Reference!$D$5,1,0))+(IF(MONTH($A3274)=Reference!$D$6,Reference!$D$13,0))),0)</f>
        <v>468</v>
      </c>
      <c r="E3274" s="11">
        <f ca="1">D3274*Reference!$D$7*(1-IF(MONTH($A3274)=Reference!$D$6,1,0)*Reference!$D$12)</f>
        <v>351000</v>
      </c>
      <c r="M3274" s="20"/>
      <c r="N3274" s="20"/>
      <c r="O3274" s="19"/>
      <c r="P3274" s="10"/>
      <c r="Q3274" s="10"/>
      <c r="R3274" s="10"/>
      <c r="S3274" s="10"/>
      <c r="T3274" s="10"/>
      <c r="U3274" s="10"/>
      <c r="V3274" s="10"/>
      <c r="W3274" s="10"/>
      <c r="X3274" s="10"/>
      <c r="Y3274" s="10"/>
    </row>
    <row r="3275" spans="1:25" x14ac:dyDescent="0.25">
      <c r="A3275" s="9">
        <v>43813</v>
      </c>
      <c r="B3275" s="10">
        <f ca="1">ROUND(_xlfn.NORM.INV(RAND(),Reference!$C$8,0.1*Reference!$C$8)*(1+Reference!$C$11*(IF(MONTH($A3275)=Reference!$C$4,1,0)+IF(MONTH($A3275)=Reference!$C$5,1,0))+(IF(MONTH($A3275)=Reference!$C$6,Reference!$C$13,0))),0)</f>
        <v>400</v>
      </c>
      <c r="C3275" s="11">
        <f ca="1">B3275*Reference!$C$7*(1-IF(MONTH($A3275)=Reference!$C$6,1,0)*Reference!$C$12)</f>
        <v>372000</v>
      </c>
      <c r="D3275" s="10">
        <f ca="1">ROUND(_xlfn.NORM.INV(RAND(),Reference!$D$8,0.1*Reference!$D$8)*(1+Reference!$D$11*(IF(MONTH($A3275)=Reference!$D$4,1,0)+IF(MONTH($A3275)=Reference!$D$5,1,0))+(IF(MONTH($A3275)=Reference!$D$6,Reference!$D$13,0))),0)</f>
        <v>479</v>
      </c>
      <c r="E3275" s="11">
        <f ca="1">D3275*Reference!$D$7*(1-IF(MONTH($A3275)=Reference!$D$6,1,0)*Reference!$D$12)</f>
        <v>359250</v>
      </c>
      <c r="M3275" s="20"/>
      <c r="N3275" s="20"/>
      <c r="O3275" s="19"/>
      <c r="P3275" s="10"/>
      <c r="Q3275" s="10"/>
      <c r="R3275" s="10"/>
      <c r="S3275" s="10"/>
      <c r="T3275" s="10"/>
      <c r="U3275" s="10"/>
      <c r="V3275" s="10"/>
      <c r="W3275" s="10"/>
      <c r="X3275" s="10"/>
      <c r="Y3275" s="10"/>
    </row>
    <row r="3276" spans="1:25" x14ac:dyDescent="0.25">
      <c r="A3276" s="9">
        <v>43814</v>
      </c>
      <c r="B3276" s="10">
        <f ca="1">ROUND(_xlfn.NORM.INV(RAND(),Reference!$C$8,0.1*Reference!$C$8)*(1+Reference!$C$11*(IF(MONTH($A3276)=Reference!$C$4,1,0)+IF(MONTH($A3276)=Reference!$C$5,1,0))+(IF(MONTH($A3276)=Reference!$C$6,Reference!$C$13,0))),0)</f>
        <v>409</v>
      </c>
      <c r="C3276" s="11">
        <f ca="1">B3276*Reference!$C$7*(1-IF(MONTH($A3276)=Reference!$C$6,1,0)*Reference!$C$12)</f>
        <v>380370</v>
      </c>
      <c r="D3276" s="10">
        <f ca="1">ROUND(_xlfn.NORM.INV(RAND(),Reference!$D$8,0.1*Reference!$D$8)*(1+Reference!$D$11*(IF(MONTH($A3276)=Reference!$D$4,1,0)+IF(MONTH($A3276)=Reference!$D$5,1,0))+(IF(MONTH($A3276)=Reference!$D$6,Reference!$D$13,0))),0)</f>
        <v>418</v>
      </c>
      <c r="E3276" s="11">
        <f ca="1">D3276*Reference!$D$7*(1-IF(MONTH($A3276)=Reference!$D$6,1,0)*Reference!$D$12)</f>
        <v>313500</v>
      </c>
      <c r="M3276" s="20"/>
      <c r="N3276" s="20"/>
      <c r="O3276" s="19"/>
      <c r="P3276" s="10"/>
      <c r="Q3276" s="10"/>
      <c r="R3276" s="10"/>
      <c r="S3276" s="10"/>
      <c r="T3276" s="10"/>
      <c r="U3276" s="10"/>
      <c r="V3276" s="10"/>
      <c r="W3276" s="10"/>
      <c r="X3276" s="10"/>
      <c r="Y3276" s="10"/>
    </row>
    <row r="3277" spans="1:25" x14ac:dyDescent="0.25">
      <c r="A3277" s="9">
        <v>43815</v>
      </c>
      <c r="B3277" s="10">
        <f ca="1">ROUND(_xlfn.NORM.INV(RAND(),Reference!$C$8,0.1*Reference!$C$8)*(1+Reference!$C$11*(IF(MONTH($A3277)=Reference!$C$4,1,0)+IF(MONTH($A3277)=Reference!$C$5,1,0))+(IF(MONTH($A3277)=Reference!$C$6,Reference!$C$13,0))),0)</f>
        <v>279</v>
      </c>
      <c r="C3277" s="11">
        <f ca="1">B3277*Reference!$C$7*(1-IF(MONTH($A3277)=Reference!$C$6,1,0)*Reference!$C$12)</f>
        <v>259470</v>
      </c>
      <c r="D3277" s="10">
        <f ca="1">ROUND(_xlfn.NORM.INV(RAND(),Reference!$D$8,0.1*Reference!$D$8)*(1+Reference!$D$11*(IF(MONTH($A3277)=Reference!$D$4,1,0)+IF(MONTH($A3277)=Reference!$D$5,1,0))+(IF(MONTH($A3277)=Reference!$D$6,Reference!$D$13,0))),0)</f>
        <v>420</v>
      </c>
      <c r="E3277" s="11">
        <f ca="1">D3277*Reference!$D$7*(1-IF(MONTH($A3277)=Reference!$D$6,1,0)*Reference!$D$12)</f>
        <v>315000</v>
      </c>
      <c r="M3277" s="20"/>
      <c r="N3277" s="20"/>
      <c r="O3277" s="19"/>
      <c r="P3277" s="10"/>
      <c r="Q3277" s="10"/>
      <c r="R3277" s="10"/>
      <c r="S3277" s="10"/>
      <c r="T3277" s="10"/>
      <c r="U3277" s="10"/>
      <c r="V3277" s="10"/>
      <c r="W3277" s="10"/>
      <c r="X3277" s="10"/>
      <c r="Y3277" s="10"/>
    </row>
    <row r="3278" spans="1:25" x14ac:dyDescent="0.25">
      <c r="A3278" s="9">
        <v>43816</v>
      </c>
      <c r="B3278" s="10">
        <f ca="1">ROUND(_xlfn.NORM.INV(RAND(),Reference!$C$8,0.1*Reference!$C$8)*(1+Reference!$C$11*(IF(MONTH($A3278)=Reference!$C$4,1,0)+IF(MONTH($A3278)=Reference!$C$5,1,0))+(IF(MONTH($A3278)=Reference!$C$6,Reference!$C$13,0))),0)</f>
        <v>327</v>
      </c>
      <c r="C3278" s="11">
        <f ca="1">B3278*Reference!$C$7*(1-IF(MONTH($A3278)=Reference!$C$6,1,0)*Reference!$C$12)</f>
        <v>304110</v>
      </c>
      <c r="D3278" s="10">
        <f ca="1">ROUND(_xlfn.NORM.INV(RAND(),Reference!$D$8,0.1*Reference!$D$8)*(1+Reference!$D$11*(IF(MONTH($A3278)=Reference!$D$4,1,0)+IF(MONTH($A3278)=Reference!$D$5,1,0))+(IF(MONTH($A3278)=Reference!$D$6,Reference!$D$13,0))),0)</f>
        <v>450</v>
      </c>
      <c r="E3278" s="11">
        <f ca="1">D3278*Reference!$D$7*(1-IF(MONTH($A3278)=Reference!$D$6,1,0)*Reference!$D$12)</f>
        <v>337500</v>
      </c>
      <c r="M3278" s="20"/>
      <c r="N3278" s="20"/>
      <c r="O3278" s="19"/>
      <c r="P3278" s="10"/>
      <c r="Q3278" s="10"/>
      <c r="R3278" s="10"/>
      <c r="S3278" s="10"/>
      <c r="T3278" s="10"/>
      <c r="U3278" s="10"/>
      <c r="V3278" s="10"/>
      <c r="W3278" s="10"/>
      <c r="X3278" s="10"/>
      <c r="Y3278" s="10"/>
    </row>
    <row r="3279" spans="1:25" x14ac:dyDescent="0.25">
      <c r="A3279" s="9">
        <v>43817</v>
      </c>
      <c r="B3279" s="10">
        <f ca="1">ROUND(_xlfn.NORM.INV(RAND(),Reference!$C$8,0.1*Reference!$C$8)*(1+Reference!$C$11*(IF(MONTH($A3279)=Reference!$C$4,1,0)+IF(MONTH($A3279)=Reference!$C$5,1,0))+(IF(MONTH($A3279)=Reference!$C$6,Reference!$C$13,0))),0)</f>
        <v>396</v>
      </c>
      <c r="C3279" s="11">
        <f ca="1">B3279*Reference!$C$7*(1-IF(MONTH($A3279)=Reference!$C$6,1,0)*Reference!$C$12)</f>
        <v>368280</v>
      </c>
      <c r="D3279" s="10">
        <f ca="1">ROUND(_xlfn.NORM.INV(RAND(),Reference!$D$8,0.1*Reference!$D$8)*(1+Reference!$D$11*(IF(MONTH($A3279)=Reference!$D$4,1,0)+IF(MONTH($A3279)=Reference!$D$5,1,0))+(IF(MONTH($A3279)=Reference!$D$6,Reference!$D$13,0))),0)</f>
        <v>424</v>
      </c>
      <c r="E3279" s="11">
        <f ca="1">D3279*Reference!$D$7*(1-IF(MONTH($A3279)=Reference!$D$6,1,0)*Reference!$D$12)</f>
        <v>318000</v>
      </c>
      <c r="M3279" s="20"/>
      <c r="N3279" s="20"/>
      <c r="O3279" s="19"/>
      <c r="P3279" s="10"/>
      <c r="Q3279" s="10"/>
      <c r="R3279" s="10"/>
      <c r="S3279" s="10"/>
      <c r="T3279" s="10"/>
      <c r="U3279" s="10"/>
      <c r="V3279" s="10"/>
      <c r="W3279" s="10"/>
      <c r="X3279" s="10"/>
      <c r="Y3279" s="10"/>
    </row>
    <row r="3280" spans="1:25" x14ac:dyDescent="0.25">
      <c r="A3280" s="9">
        <v>43818</v>
      </c>
      <c r="B3280" s="10">
        <f ca="1">ROUND(_xlfn.NORM.INV(RAND(),Reference!$C$8,0.1*Reference!$C$8)*(1+Reference!$C$11*(IF(MONTH($A3280)=Reference!$C$4,1,0)+IF(MONTH($A3280)=Reference!$C$5,1,0))+(IF(MONTH($A3280)=Reference!$C$6,Reference!$C$13,0))),0)</f>
        <v>384</v>
      </c>
      <c r="C3280" s="11">
        <f ca="1">B3280*Reference!$C$7*(1-IF(MONTH($A3280)=Reference!$C$6,1,0)*Reference!$C$12)</f>
        <v>357120</v>
      </c>
      <c r="D3280" s="10">
        <f ca="1">ROUND(_xlfn.NORM.INV(RAND(),Reference!$D$8,0.1*Reference!$D$8)*(1+Reference!$D$11*(IF(MONTH($A3280)=Reference!$D$4,1,0)+IF(MONTH($A3280)=Reference!$D$5,1,0))+(IF(MONTH($A3280)=Reference!$D$6,Reference!$D$13,0))),0)</f>
        <v>430</v>
      </c>
      <c r="E3280" s="11">
        <f ca="1">D3280*Reference!$D$7*(1-IF(MONTH($A3280)=Reference!$D$6,1,0)*Reference!$D$12)</f>
        <v>322500</v>
      </c>
      <c r="M3280" s="20"/>
      <c r="N3280" s="20"/>
      <c r="O3280" s="19"/>
      <c r="P3280" s="10"/>
      <c r="Q3280" s="10"/>
      <c r="R3280" s="10"/>
      <c r="S3280" s="10"/>
      <c r="T3280" s="10"/>
      <c r="U3280" s="10"/>
      <c r="V3280" s="10"/>
      <c r="W3280" s="10"/>
      <c r="X3280" s="10"/>
      <c r="Y3280" s="10"/>
    </row>
    <row r="3281" spans="1:25" x14ac:dyDescent="0.25">
      <c r="A3281" s="9">
        <v>43819</v>
      </c>
      <c r="B3281" s="10">
        <f ca="1">ROUND(_xlfn.NORM.INV(RAND(),Reference!$C$8,0.1*Reference!$C$8)*(1+Reference!$C$11*(IF(MONTH($A3281)=Reference!$C$4,1,0)+IF(MONTH($A3281)=Reference!$C$5,1,0))+(IF(MONTH($A3281)=Reference!$C$6,Reference!$C$13,0))),0)</f>
        <v>378</v>
      </c>
      <c r="C3281" s="11">
        <f ca="1">B3281*Reference!$C$7*(1-IF(MONTH($A3281)=Reference!$C$6,1,0)*Reference!$C$12)</f>
        <v>351540</v>
      </c>
      <c r="D3281" s="10">
        <f ca="1">ROUND(_xlfn.NORM.INV(RAND(),Reference!$D$8,0.1*Reference!$D$8)*(1+Reference!$D$11*(IF(MONTH($A3281)=Reference!$D$4,1,0)+IF(MONTH($A3281)=Reference!$D$5,1,0))+(IF(MONTH($A3281)=Reference!$D$6,Reference!$D$13,0))),0)</f>
        <v>468</v>
      </c>
      <c r="E3281" s="11">
        <f ca="1">D3281*Reference!$D$7*(1-IF(MONTH($A3281)=Reference!$D$6,1,0)*Reference!$D$12)</f>
        <v>351000</v>
      </c>
      <c r="M3281" s="20"/>
      <c r="N3281" s="20"/>
      <c r="O3281" s="19"/>
      <c r="P3281" s="10"/>
      <c r="Q3281" s="10"/>
      <c r="R3281" s="10"/>
      <c r="S3281" s="10"/>
      <c r="T3281" s="10"/>
      <c r="U3281" s="10"/>
      <c r="V3281" s="10"/>
      <c r="W3281" s="10"/>
      <c r="X3281" s="10"/>
      <c r="Y3281" s="10"/>
    </row>
    <row r="3282" spans="1:25" x14ac:dyDescent="0.25">
      <c r="A3282" s="9">
        <v>43820</v>
      </c>
      <c r="B3282" s="10">
        <f ca="1">ROUND(_xlfn.NORM.INV(RAND(),Reference!$C$8,0.1*Reference!$C$8)*(1+Reference!$C$11*(IF(MONTH($A3282)=Reference!$C$4,1,0)+IF(MONTH($A3282)=Reference!$C$5,1,0))+(IF(MONTH($A3282)=Reference!$C$6,Reference!$C$13,0))),0)</f>
        <v>304</v>
      </c>
      <c r="C3282" s="11">
        <f ca="1">B3282*Reference!$C$7*(1-IF(MONTH($A3282)=Reference!$C$6,1,0)*Reference!$C$12)</f>
        <v>282720</v>
      </c>
      <c r="D3282" s="10">
        <f ca="1">ROUND(_xlfn.NORM.INV(RAND(),Reference!$D$8,0.1*Reference!$D$8)*(1+Reference!$D$11*(IF(MONTH($A3282)=Reference!$D$4,1,0)+IF(MONTH($A3282)=Reference!$D$5,1,0))+(IF(MONTH($A3282)=Reference!$D$6,Reference!$D$13,0))),0)</f>
        <v>421</v>
      </c>
      <c r="E3282" s="11">
        <f ca="1">D3282*Reference!$D$7*(1-IF(MONTH($A3282)=Reference!$D$6,1,0)*Reference!$D$12)</f>
        <v>315750</v>
      </c>
      <c r="M3282" s="20"/>
      <c r="N3282" s="20"/>
      <c r="O3282" s="19"/>
      <c r="P3282" s="10"/>
      <c r="Q3282" s="10"/>
      <c r="R3282" s="10"/>
      <c r="S3282" s="10"/>
      <c r="T3282" s="10"/>
      <c r="U3282" s="10"/>
      <c r="V3282" s="10"/>
      <c r="W3282" s="10"/>
      <c r="X3282" s="10"/>
      <c r="Y3282" s="10"/>
    </row>
    <row r="3283" spans="1:25" x14ac:dyDescent="0.25">
      <c r="A3283" s="9">
        <v>43821</v>
      </c>
      <c r="B3283" s="10">
        <f ca="1">ROUND(_xlfn.NORM.INV(RAND(),Reference!$C$8,0.1*Reference!$C$8)*(1+Reference!$C$11*(IF(MONTH($A3283)=Reference!$C$4,1,0)+IF(MONTH($A3283)=Reference!$C$5,1,0))+(IF(MONTH($A3283)=Reference!$C$6,Reference!$C$13,0))),0)</f>
        <v>392</v>
      </c>
      <c r="C3283" s="11">
        <f ca="1">B3283*Reference!$C$7*(1-IF(MONTH($A3283)=Reference!$C$6,1,0)*Reference!$C$12)</f>
        <v>364560</v>
      </c>
      <c r="D3283" s="10">
        <f ca="1">ROUND(_xlfn.NORM.INV(RAND(),Reference!$D$8,0.1*Reference!$D$8)*(1+Reference!$D$11*(IF(MONTH($A3283)=Reference!$D$4,1,0)+IF(MONTH($A3283)=Reference!$D$5,1,0))+(IF(MONTH($A3283)=Reference!$D$6,Reference!$D$13,0))),0)</f>
        <v>397</v>
      </c>
      <c r="E3283" s="11">
        <f ca="1">D3283*Reference!$D$7*(1-IF(MONTH($A3283)=Reference!$D$6,1,0)*Reference!$D$12)</f>
        <v>297750</v>
      </c>
      <c r="M3283" s="20"/>
      <c r="N3283" s="20"/>
      <c r="O3283" s="19"/>
      <c r="P3283" s="10"/>
      <c r="Q3283" s="10"/>
      <c r="R3283" s="10"/>
      <c r="S3283" s="10"/>
      <c r="T3283" s="10"/>
      <c r="U3283" s="10"/>
      <c r="V3283" s="10"/>
      <c r="W3283" s="10"/>
      <c r="X3283" s="10"/>
      <c r="Y3283" s="10"/>
    </row>
    <row r="3284" spans="1:25" x14ac:dyDescent="0.25">
      <c r="A3284" s="9">
        <v>43822</v>
      </c>
      <c r="B3284" s="10">
        <f ca="1">ROUND(_xlfn.NORM.INV(RAND(),Reference!$C$8,0.1*Reference!$C$8)*(1+Reference!$C$11*(IF(MONTH($A3284)=Reference!$C$4,1,0)+IF(MONTH($A3284)=Reference!$C$5,1,0))+(IF(MONTH($A3284)=Reference!$C$6,Reference!$C$13,0))),0)</f>
        <v>394</v>
      </c>
      <c r="C3284" s="11">
        <f ca="1">B3284*Reference!$C$7*(1-IF(MONTH($A3284)=Reference!$C$6,1,0)*Reference!$C$12)</f>
        <v>366420</v>
      </c>
      <c r="D3284" s="10">
        <f ca="1">ROUND(_xlfn.NORM.INV(RAND(),Reference!$D$8,0.1*Reference!$D$8)*(1+Reference!$D$11*(IF(MONTH($A3284)=Reference!$D$4,1,0)+IF(MONTH($A3284)=Reference!$D$5,1,0))+(IF(MONTH($A3284)=Reference!$D$6,Reference!$D$13,0))),0)</f>
        <v>448</v>
      </c>
      <c r="E3284" s="11">
        <f ca="1">D3284*Reference!$D$7*(1-IF(MONTH($A3284)=Reference!$D$6,1,0)*Reference!$D$12)</f>
        <v>336000</v>
      </c>
      <c r="M3284" s="20"/>
      <c r="N3284" s="20"/>
      <c r="O3284" s="19"/>
      <c r="P3284" s="10"/>
      <c r="Q3284" s="10"/>
      <c r="R3284" s="10"/>
      <c r="S3284" s="10"/>
      <c r="T3284" s="10"/>
      <c r="U3284" s="10"/>
      <c r="V3284" s="10"/>
      <c r="W3284" s="10"/>
      <c r="X3284" s="10"/>
      <c r="Y3284" s="10"/>
    </row>
    <row r="3285" spans="1:25" x14ac:dyDescent="0.25">
      <c r="A3285" s="9">
        <v>43823</v>
      </c>
      <c r="B3285" s="10">
        <f ca="1">ROUND(_xlfn.NORM.INV(RAND(),Reference!$C$8,0.1*Reference!$C$8)*(1+Reference!$C$11*(IF(MONTH($A3285)=Reference!$C$4,1,0)+IF(MONTH($A3285)=Reference!$C$5,1,0))+(IF(MONTH($A3285)=Reference!$C$6,Reference!$C$13,0))),0)</f>
        <v>345</v>
      </c>
      <c r="C3285" s="11">
        <f ca="1">B3285*Reference!$C$7*(1-IF(MONTH($A3285)=Reference!$C$6,1,0)*Reference!$C$12)</f>
        <v>320850</v>
      </c>
      <c r="D3285" s="10">
        <f ca="1">ROUND(_xlfn.NORM.INV(RAND(),Reference!$D$8,0.1*Reference!$D$8)*(1+Reference!$D$11*(IF(MONTH($A3285)=Reference!$D$4,1,0)+IF(MONTH($A3285)=Reference!$D$5,1,0))+(IF(MONTH($A3285)=Reference!$D$6,Reference!$D$13,0))),0)</f>
        <v>445</v>
      </c>
      <c r="E3285" s="11">
        <f ca="1">D3285*Reference!$D$7*(1-IF(MONTH($A3285)=Reference!$D$6,1,0)*Reference!$D$12)</f>
        <v>333750</v>
      </c>
      <c r="M3285" s="20"/>
      <c r="N3285" s="20"/>
      <c r="O3285" s="19"/>
      <c r="P3285" s="10"/>
      <c r="Q3285" s="10"/>
      <c r="R3285" s="10"/>
      <c r="S3285" s="10"/>
      <c r="T3285" s="10"/>
      <c r="U3285" s="10"/>
      <c r="V3285" s="10"/>
      <c r="W3285" s="10"/>
      <c r="X3285" s="10"/>
      <c r="Y3285" s="10"/>
    </row>
    <row r="3286" spans="1:25" x14ac:dyDescent="0.25">
      <c r="A3286" s="9">
        <v>43824</v>
      </c>
      <c r="B3286" s="10">
        <f ca="1">ROUND(_xlfn.NORM.INV(RAND(),Reference!$C$8,0.1*Reference!$C$8)*(1+Reference!$C$11*(IF(MONTH($A3286)=Reference!$C$4,1,0)+IF(MONTH($A3286)=Reference!$C$5,1,0))+(IF(MONTH($A3286)=Reference!$C$6,Reference!$C$13,0))),0)</f>
        <v>387</v>
      </c>
      <c r="C3286" s="11">
        <f ca="1">B3286*Reference!$C$7*(1-IF(MONTH($A3286)=Reference!$C$6,1,0)*Reference!$C$12)</f>
        <v>359910</v>
      </c>
      <c r="D3286" s="10">
        <f ca="1">ROUND(_xlfn.NORM.INV(RAND(),Reference!$D$8,0.1*Reference!$D$8)*(1+Reference!$D$11*(IF(MONTH($A3286)=Reference!$D$4,1,0)+IF(MONTH($A3286)=Reference!$D$5,1,0))+(IF(MONTH($A3286)=Reference!$D$6,Reference!$D$13,0))),0)</f>
        <v>446</v>
      </c>
      <c r="E3286" s="11">
        <f ca="1">D3286*Reference!$D$7*(1-IF(MONTH($A3286)=Reference!$D$6,1,0)*Reference!$D$12)</f>
        <v>334500</v>
      </c>
      <c r="M3286" s="20"/>
      <c r="N3286" s="20"/>
      <c r="O3286" s="19"/>
      <c r="P3286" s="10"/>
      <c r="Q3286" s="10"/>
      <c r="R3286" s="10"/>
      <c r="S3286" s="10"/>
      <c r="T3286" s="10"/>
      <c r="U3286" s="10"/>
      <c r="V3286" s="10"/>
      <c r="W3286" s="10"/>
      <c r="X3286" s="10"/>
      <c r="Y3286" s="10"/>
    </row>
    <row r="3287" spans="1:25" x14ac:dyDescent="0.25">
      <c r="A3287" s="9">
        <v>43825</v>
      </c>
      <c r="B3287" s="10">
        <f ca="1">ROUND(_xlfn.NORM.INV(RAND(),Reference!$C$8,0.1*Reference!$C$8)*(1+Reference!$C$11*(IF(MONTH($A3287)=Reference!$C$4,1,0)+IF(MONTH($A3287)=Reference!$C$5,1,0))+(IF(MONTH($A3287)=Reference!$C$6,Reference!$C$13,0))),0)</f>
        <v>347</v>
      </c>
      <c r="C3287" s="11">
        <f ca="1">B3287*Reference!$C$7*(1-IF(MONTH($A3287)=Reference!$C$6,1,0)*Reference!$C$12)</f>
        <v>322710</v>
      </c>
      <c r="D3287" s="10">
        <f ca="1">ROUND(_xlfn.NORM.INV(RAND(),Reference!$D$8,0.1*Reference!$D$8)*(1+Reference!$D$11*(IF(MONTH($A3287)=Reference!$D$4,1,0)+IF(MONTH($A3287)=Reference!$D$5,1,0))+(IF(MONTH($A3287)=Reference!$D$6,Reference!$D$13,0))),0)</f>
        <v>434</v>
      </c>
      <c r="E3287" s="11">
        <f ca="1">D3287*Reference!$D$7*(1-IF(MONTH($A3287)=Reference!$D$6,1,0)*Reference!$D$12)</f>
        <v>325500</v>
      </c>
      <c r="M3287" s="20"/>
      <c r="N3287" s="20"/>
      <c r="O3287" s="19"/>
      <c r="P3287" s="10"/>
      <c r="Q3287" s="10"/>
      <c r="R3287" s="10"/>
      <c r="S3287" s="10"/>
      <c r="T3287" s="10"/>
      <c r="U3287" s="10"/>
      <c r="V3287" s="10"/>
      <c r="W3287" s="10"/>
      <c r="X3287" s="10"/>
      <c r="Y3287" s="10"/>
    </row>
    <row r="3288" spans="1:25" x14ac:dyDescent="0.25">
      <c r="A3288" s="9">
        <v>43826</v>
      </c>
      <c r="B3288" s="10">
        <f ca="1">ROUND(_xlfn.NORM.INV(RAND(),Reference!$C$8,0.1*Reference!$C$8)*(1+Reference!$C$11*(IF(MONTH($A3288)=Reference!$C$4,1,0)+IF(MONTH($A3288)=Reference!$C$5,1,0))+(IF(MONTH($A3288)=Reference!$C$6,Reference!$C$13,0))),0)</f>
        <v>449</v>
      </c>
      <c r="C3288" s="11">
        <f ca="1">B3288*Reference!$C$7*(1-IF(MONTH($A3288)=Reference!$C$6,1,0)*Reference!$C$12)</f>
        <v>417570</v>
      </c>
      <c r="D3288" s="10">
        <f ca="1">ROUND(_xlfn.NORM.INV(RAND(),Reference!$D$8,0.1*Reference!$D$8)*(1+Reference!$D$11*(IF(MONTH($A3288)=Reference!$D$4,1,0)+IF(MONTH($A3288)=Reference!$D$5,1,0))+(IF(MONTH($A3288)=Reference!$D$6,Reference!$D$13,0))),0)</f>
        <v>437</v>
      </c>
      <c r="E3288" s="11">
        <f ca="1">D3288*Reference!$D$7*(1-IF(MONTH($A3288)=Reference!$D$6,1,0)*Reference!$D$12)</f>
        <v>327750</v>
      </c>
      <c r="M3288" s="20"/>
      <c r="N3288" s="20"/>
      <c r="O3288" s="19"/>
      <c r="P3288" s="10"/>
      <c r="Q3288" s="10"/>
      <c r="R3288" s="10"/>
      <c r="S3288" s="10"/>
      <c r="T3288" s="10"/>
      <c r="U3288" s="10"/>
      <c r="V3288" s="10"/>
      <c r="W3288" s="10"/>
      <c r="X3288" s="10"/>
      <c r="Y3288" s="10"/>
    </row>
    <row r="3289" spans="1:25" x14ac:dyDescent="0.25">
      <c r="A3289" s="9">
        <v>43827</v>
      </c>
      <c r="B3289" s="10">
        <f ca="1">ROUND(_xlfn.NORM.INV(RAND(),Reference!$C$8,0.1*Reference!$C$8)*(1+Reference!$C$11*(IF(MONTH($A3289)=Reference!$C$4,1,0)+IF(MONTH($A3289)=Reference!$C$5,1,0))+(IF(MONTH($A3289)=Reference!$C$6,Reference!$C$13,0))),0)</f>
        <v>449</v>
      </c>
      <c r="C3289" s="11">
        <f ca="1">B3289*Reference!$C$7*(1-IF(MONTH($A3289)=Reference!$C$6,1,0)*Reference!$C$12)</f>
        <v>417570</v>
      </c>
      <c r="D3289" s="10">
        <f ca="1">ROUND(_xlfn.NORM.INV(RAND(),Reference!$D$8,0.1*Reference!$D$8)*(1+Reference!$D$11*(IF(MONTH($A3289)=Reference!$D$4,1,0)+IF(MONTH($A3289)=Reference!$D$5,1,0))+(IF(MONTH($A3289)=Reference!$D$6,Reference!$D$13,0))),0)</f>
        <v>378</v>
      </c>
      <c r="E3289" s="11">
        <f ca="1">D3289*Reference!$D$7*(1-IF(MONTH($A3289)=Reference!$D$6,1,0)*Reference!$D$12)</f>
        <v>283500</v>
      </c>
      <c r="M3289" s="20"/>
      <c r="N3289" s="20"/>
      <c r="O3289" s="19"/>
      <c r="P3289" s="10"/>
      <c r="Q3289" s="10"/>
      <c r="R3289" s="10"/>
      <c r="S3289" s="10"/>
      <c r="T3289" s="10"/>
      <c r="U3289" s="10"/>
      <c r="V3289" s="10"/>
      <c r="W3289" s="10"/>
      <c r="X3289" s="10"/>
      <c r="Y3289" s="10"/>
    </row>
    <row r="3290" spans="1:25" x14ac:dyDescent="0.25">
      <c r="A3290" s="9">
        <v>43828</v>
      </c>
      <c r="B3290" s="10">
        <f ca="1">ROUND(_xlfn.NORM.INV(RAND(),Reference!$C$8,0.1*Reference!$C$8)*(1+Reference!$C$11*(IF(MONTH($A3290)=Reference!$C$4,1,0)+IF(MONTH($A3290)=Reference!$C$5,1,0))+(IF(MONTH($A3290)=Reference!$C$6,Reference!$C$13,0))),0)</f>
        <v>407</v>
      </c>
      <c r="C3290" s="11">
        <f ca="1">B3290*Reference!$C$7*(1-IF(MONTH($A3290)=Reference!$C$6,1,0)*Reference!$C$12)</f>
        <v>378510</v>
      </c>
      <c r="D3290" s="10">
        <f ca="1">ROUND(_xlfn.NORM.INV(RAND(),Reference!$D$8,0.1*Reference!$D$8)*(1+Reference!$D$11*(IF(MONTH($A3290)=Reference!$D$4,1,0)+IF(MONTH($A3290)=Reference!$D$5,1,0))+(IF(MONTH($A3290)=Reference!$D$6,Reference!$D$13,0))),0)</f>
        <v>400</v>
      </c>
      <c r="E3290" s="11">
        <f ca="1">D3290*Reference!$D$7*(1-IF(MONTH($A3290)=Reference!$D$6,1,0)*Reference!$D$12)</f>
        <v>300000</v>
      </c>
      <c r="M3290" s="20"/>
      <c r="N3290" s="20"/>
      <c r="O3290" s="19"/>
      <c r="P3290" s="10"/>
      <c r="Q3290" s="10"/>
      <c r="R3290" s="10"/>
      <c r="S3290" s="10"/>
      <c r="T3290" s="10"/>
      <c r="U3290" s="10"/>
      <c r="V3290" s="10"/>
      <c r="W3290" s="10"/>
      <c r="X3290" s="10"/>
      <c r="Y3290" s="10"/>
    </row>
    <row r="3291" spans="1:25" x14ac:dyDescent="0.25">
      <c r="A3291" s="9">
        <v>43829</v>
      </c>
      <c r="B3291" s="10">
        <f ca="1">ROUND(_xlfn.NORM.INV(RAND(),Reference!$C$8,0.1*Reference!$C$8)*(1+Reference!$C$11*(IF(MONTH($A3291)=Reference!$C$4,1,0)+IF(MONTH($A3291)=Reference!$C$5,1,0))+(IF(MONTH($A3291)=Reference!$C$6,Reference!$C$13,0))),0)</f>
        <v>378</v>
      </c>
      <c r="C3291" s="11">
        <f ca="1">B3291*Reference!$C$7*(1-IF(MONTH($A3291)=Reference!$C$6,1,0)*Reference!$C$12)</f>
        <v>351540</v>
      </c>
      <c r="D3291" s="10">
        <f ca="1">ROUND(_xlfn.NORM.INV(RAND(),Reference!$D$8,0.1*Reference!$D$8)*(1+Reference!$D$11*(IF(MONTH($A3291)=Reference!$D$4,1,0)+IF(MONTH($A3291)=Reference!$D$5,1,0))+(IF(MONTH($A3291)=Reference!$D$6,Reference!$D$13,0))),0)</f>
        <v>448</v>
      </c>
      <c r="E3291" s="11">
        <f ca="1">D3291*Reference!$D$7*(1-IF(MONTH($A3291)=Reference!$D$6,1,0)*Reference!$D$12)</f>
        <v>336000</v>
      </c>
      <c r="M3291" s="20"/>
      <c r="N3291" s="20"/>
      <c r="O3291" s="19"/>
      <c r="P3291" s="10"/>
      <c r="Q3291" s="10"/>
      <c r="R3291" s="10"/>
      <c r="S3291" s="10"/>
      <c r="T3291" s="10"/>
      <c r="U3291" s="10"/>
      <c r="V3291" s="10"/>
      <c r="W3291" s="10"/>
      <c r="X3291" s="10"/>
      <c r="Y3291" s="10"/>
    </row>
    <row r="3292" spans="1:25" x14ac:dyDescent="0.25">
      <c r="A3292" s="9">
        <v>43830</v>
      </c>
      <c r="B3292" s="10">
        <f ca="1">ROUND(_xlfn.NORM.INV(RAND(),Reference!$C$8,0.1*Reference!$C$8)*(1+Reference!$C$11*(IF(MONTH($A3292)=Reference!$C$4,1,0)+IF(MONTH($A3292)=Reference!$C$5,1,0))+(IF(MONTH($A3292)=Reference!$C$6,Reference!$C$13,0))),0)</f>
        <v>384</v>
      </c>
      <c r="C3292" s="11">
        <f ca="1">B3292*Reference!$C$7*(1-IF(MONTH($A3292)=Reference!$C$6,1,0)*Reference!$C$12)</f>
        <v>357120</v>
      </c>
      <c r="D3292" s="10">
        <f ca="1">ROUND(_xlfn.NORM.INV(RAND(),Reference!$D$8,0.1*Reference!$D$8)*(1+Reference!$D$11*(IF(MONTH($A3292)=Reference!$D$4,1,0)+IF(MONTH($A3292)=Reference!$D$5,1,0))+(IF(MONTH($A3292)=Reference!$D$6,Reference!$D$13,0))),0)</f>
        <v>422</v>
      </c>
      <c r="E3292" s="11">
        <f ca="1">D3292*Reference!$D$7*(1-IF(MONTH($A3292)=Reference!$D$6,1,0)*Reference!$D$12)</f>
        <v>316500</v>
      </c>
      <c r="M3292" s="20"/>
      <c r="N3292" s="20"/>
      <c r="O3292" s="19"/>
      <c r="P3292" s="10"/>
      <c r="Q3292" s="10"/>
      <c r="R3292" s="10"/>
      <c r="S3292" s="10"/>
      <c r="T3292" s="10"/>
      <c r="U3292" s="10"/>
      <c r="V3292" s="10"/>
      <c r="W3292" s="10"/>
      <c r="X3292" s="10"/>
      <c r="Y3292" s="10"/>
    </row>
    <row r="3293" spans="1:25" x14ac:dyDescent="0.25">
      <c r="A3293" s="9">
        <v>43831</v>
      </c>
      <c r="B3293" s="10">
        <f ca="1">ROUND(_xlfn.NORM.INV(RAND(),Reference!$C$8,0.1*Reference!$C$8)*(1+Reference!$C$11*(IF(MONTH($A3293)=Reference!$C$4,1,0)+IF(MONTH($A3293)=Reference!$C$5,1,0))+(IF(MONTH($A3293)=Reference!$C$6,Reference!$C$13,0))),0)</f>
        <v>336</v>
      </c>
      <c r="C3293" s="11">
        <f ca="1">B3293*Reference!$C$7*(1-IF(MONTH($A3293)=Reference!$C$6,1,0)*Reference!$C$12)</f>
        <v>312480</v>
      </c>
      <c r="D3293" s="10">
        <f ca="1">ROUND(_xlfn.NORM.INV(RAND(),Reference!$D$8,0.1*Reference!$D$8)*(1+Reference!$D$11*(IF(MONTH($A3293)=Reference!$D$4,1,0)+IF(MONTH($A3293)=Reference!$D$5,1,0))+(IF(MONTH($A3293)=Reference!$D$6,Reference!$D$13,0))),0)</f>
        <v>416</v>
      </c>
      <c r="E3293" s="11">
        <f ca="1">D3293*Reference!$D$7*(1-IF(MONTH($A3293)=Reference!$D$6,1,0)*Reference!$D$12)</f>
        <v>312000</v>
      </c>
      <c r="M3293" s="20"/>
      <c r="N3293" s="20"/>
      <c r="O3293" s="19"/>
      <c r="P3293" s="10"/>
      <c r="Q3293" s="10"/>
      <c r="R3293" s="10"/>
      <c r="S3293" s="10"/>
      <c r="T3293" s="10"/>
      <c r="U3293" s="10"/>
      <c r="V3293" s="10"/>
      <c r="W3293" s="10"/>
      <c r="X3293" s="10"/>
      <c r="Y3293" s="10"/>
    </row>
    <row r="3294" spans="1:25" x14ac:dyDescent="0.25">
      <c r="A3294" s="9">
        <v>43832</v>
      </c>
      <c r="B3294" s="10">
        <f ca="1">ROUND(_xlfn.NORM.INV(RAND(),Reference!$C$8,0.1*Reference!$C$8)*(1+Reference!$C$11*(IF(MONTH($A3294)=Reference!$C$4,1,0)+IF(MONTH($A3294)=Reference!$C$5,1,0))+(IF(MONTH($A3294)=Reference!$C$6,Reference!$C$13,0))),0)</f>
        <v>411</v>
      </c>
      <c r="C3294" s="11">
        <f ca="1">B3294*Reference!$C$7*(1-IF(MONTH($A3294)=Reference!$C$6,1,0)*Reference!$C$12)</f>
        <v>382230</v>
      </c>
      <c r="D3294" s="10">
        <f ca="1">ROUND(_xlfn.NORM.INV(RAND(),Reference!$D$8,0.1*Reference!$D$8)*(1+Reference!$D$11*(IF(MONTH($A3294)=Reference!$D$4,1,0)+IF(MONTH($A3294)=Reference!$D$5,1,0))+(IF(MONTH($A3294)=Reference!$D$6,Reference!$D$13,0))),0)</f>
        <v>419</v>
      </c>
      <c r="E3294" s="11">
        <f ca="1">D3294*Reference!$D$7*(1-IF(MONTH($A3294)=Reference!$D$6,1,0)*Reference!$D$12)</f>
        <v>314250</v>
      </c>
      <c r="M3294" s="20"/>
      <c r="N3294" s="20"/>
      <c r="O3294" s="19"/>
      <c r="P3294" s="10"/>
      <c r="Q3294" s="10"/>
      <c r="R3294" s="10"/>
      <c r="S3294" s="10"/>
      <c r="T3294" s="10"/>
      <c r="U3294" s="10"/>
      <c r="V3294" s="10"/>
      <c r="W3294" s="10"/>
      <c r="X3294" s="10"/>
      <c r="Y3294" s="10"/>
    </row>
    <row r="3295" spans="1:25" x14ac:dyDescent="0.25">
      <c r="A3295" s="9">
        <v>43833</v>
      </c>
      <c r="B3295" s="10">
        <f ca="1">ROUND(_xlfn.NORM.INV(RAND(),Reference!$C$8,0.1*Reference!$C$8)*(1+Reference!$C$11*(IF(MONTH($A3295)=Reference!$C$4,1,0)+IF(MONTH($A3295)=Reference!$C$5,1,0))+(IF(MONTH($A3295)=Reference!$C$6,Reference!$C$13,0))),0)</f>
        <v>367</v>
      </c>
      <c r="C3295" s="11">
        <f ca="1">B3295*Reference!$C$7*(1-IF(MONTH($A3295)=Reference!$C$6,1,0)*Reference!$C$12)</f>
        <v>341310</v>
      </c>
      <c r="D3295" s="10">
        <f ca="1">ROUND(_xlfn.NORM.INV(RAND(),Reference!$D$8,0.1*Reference!$D$8)*(1+Reference!$D$11*(IF(MONTH($A3295)=Reference!$D$4,1,0)+IF(MONTH($A3295)=Reference!$D$5,1,0))+(IF(MONTH($A3295)=Reference!$D$6,Reference!$D$13,0))),0)</f>
        <v>433</v>
      </c>
      <c r="E3295" s="11">
        <f ca="1">D3295*Reference!$D$7*(1-IF(MONTH($A3295)=Reference!$D$6,1,0)*Reference!$D$12)</f>
        <v>324750</v>
      </c>
      <c r="M3295" s="20"/>
      <c r="N3295" s="20"/>
      <c r="O3295" s="19"/>
      <c r="P3295" s="10"/>
      <c r="Q3295" s="10"/>
      <c r="R3295" s="10"/>
      <c r="S3295" s="10"/>
      <c r="T3295" s="10"/>
      <c r="U3295" s="10"/>
      <c r="V3295" s="10"/>
      <c r="W3295" s="10"/>
      <c r="X3295" s="10"/>
      <c r="Y3295" s="10"/>
    </row>
    <row r="3296" spans="1:25" x14ac:dyDescent="0.25">
      <c r="A3296" s="9">
        <v>43834</v>
      </c>
      <c r="B3296" s="10">
        <f ca="1">ROUND(_xlfn.NORM.INV(RAND(),Reference!$C$8,0.1*Reference!$C$8)*(1+Reference!$C$11*(IF(MONTH($A3296)=Reference!$C$4,1,0)+IF(MONTH($A3296)=Reference!$C$5,1,0))+(IF(MONTH($A3296)=Reference!$C$6,Reference!$C$13,0))),0)</f>
        <v>298</v>
      </c>
      <c r="C3296" s="11">
        <f ca="1">B3296*Reference!$C$7*(1-IF(MONTH($A3296)=Reference!$C$6,1,0)*Reference!$C$12)</f>
        <v>277140</v>
      </c>
      <c r="D3296" s="10">
        <f ca="1">ROUND(_xlfn.NORM.INV(RAND(),Reference!$D$8,0.1*Reference!$D$8)*(1+Reference!$D$11*(IF(MONTH($A3296)=Reference!$D$4,1,0)+IF(MONTH($A3296)=Reference!$D$5,1,0))+(IF(MONTH($A3296)=Reference!$D$6,Reference!$D$13,0))),0)</f>
        <v>462</v>
      </c>
      <c r="E3296" s="11">
        <f ca="1">D3296*Reference!$D$7*(1-IF(MONTH($A3296)=Reference!$D$6,1,0)*Reference!$D$12)</f>
        <v>346500</v>
      </c>
      <c r="M3296" s="20"/>
      <c r="N3296" s="20"/>
      <c r="O3296" s="19"/>
      <c r="P3296" s="10"/>
      <c r="Q3296" s="10"/>
      <c r="R3296" s="10"/>
      <c r="S3296" s="10"/>
      <c r="T3296" s="10"/>
      <c r="U3296" s="10"/>
      <c r="V3296" s="10"/>
      <c r="W3296" s="10"/>
      <c r="X3296" s="10"/>
      <c r="Y3296" s="10"/>
    </row>
    <row r="3297" spans="1:25" x14ac:dyDescent="0.25">
      <c r="A3297" s="9">
        <v>43835</v>
      </c>
      <c r="B3297" s="10">
        <f ca="1">ROUND(_xlfn.NORM.INV(RAND(),Reference!$C$8,0.1*Reference!$C$8)*(1+Reference!$C$11*(IF(MONTH($A3297)=Reference!$C$4,1,0)+IF(MONTH($A3297)=Reference!$C$5,1,0))+(IF(MONTH($A3297)=Reference!$C$6,Reference!$C$13,0))),0)</f>
        <v>397</v>
      </c>
      <c r="C3297" s="11">
        <f ca="1">B3297*Reference!$C$7*(1-IF(MONTH($A3297)=Reference!$C$6,1,0)*Reference!$C$12)</f>
        <v>369210</v>
      </c>
      <c r="D3297" s="10">
        <f ca="1">ROUND(_xlfn.NORM.INV(RAND(),Reference!$D$8,0.1*Reference!$D$8)*(1+Reference!$D$11*(IF(MONTH($A3297)=Reference!$D$4,1,0)+IF(MONTH($A3297)=Reference!$D$5,1,0))+(IF(MONTH($A3297)=Reference!$D$6,Reference!$D$13,0))),0)</f>
        <v>498</v>
      </c>
      <c r="E3297" s="11">
        <f ca="1">D3297*Reference!$D$7*(1-IF(MONTH($A3297)=Reference!$D$6,1,0)*Reference!$D$12)</f>
        <v>373500</v>
      </c>
      <c r="M3297" s="20"/>
      <c r="N3297" s="20"/>
      <c r="O3297" s="19"/>
      <c r="P3297" s="10"/>
      <c r="Q3297" s="10"/>
      <c r="R3297" s="10"/>
      <c r="S3297" s="10"/>
      <c r="T3297" s="10"/>
      <c r="U3297" s="10"/>
      <c r="V3297" s="10"/>
      <c r="W3297" s="10"/>
      <c r="X3297" s="10"/>
      <c r="Y3297" s="10"/>
    </row>
    <row r="3298" spans="1:25" x14ac:dyDescent="0.25">
      <c r="A3298" s="9">
        <v>43836</v>
      </c>
      <c r="B3298" s="10">
        <f ca="1">ROUND(_xlfn.NORM.INV(RAND(),Reference!$C$8,0.1*Reference!$C$8)*(1+Reference!$C$11*(IF(MONTH($A3298)=Reference!$C$4,1,0)+IF(MONTH($A3298)=Reference!$C$5,1,0))+(IF(MONTH($A3298)=Reference!$C$6,Reference!$C$13,0))),0)</f>
        <v>373</v>
      </c>
      <c r="C3298" s="11">
        <f ca="1">B3298*Reference!$C$7*(1-IF(MONTH($A3298)=Reference!$C$6,1,0)*Reference!$C$12)</f>
        <v>346890</v>
      </c>
      <c r="D3298" s="10">
        <f ca="1">ROUND(_xlfn.NORM.INV(RAND(),Reference!$D$8,0.1*Reference!$D$8)*(1+Reference!$D$11*(IF(MONTH($A3298)=Reference!$D$4,1,0)+IF(MONTH($A3298)=Reference!$D$5,1,0))+(IF(MONTH($A3298)=Reference!$D$6,Reference!$D$13,0))),0)</f>
        <v>481</v>
      </c>
      <c r="E3298" s="11">
        <f ca="1">D3298*Reference!$D$7*(1-IF(MONTH($A3298)=Reference!$D$6,1,0)*Reference!$D$12)</f>
        <v>360750</v>
      </c>
      <c r="M3298" s="20"/>
      <c r="N3298" s="20"/>
      <c r="O3298" s="19"/>
      <c r="P3298" s="10"/>
      <c r="Q3298" s="10"/>
      <c r="R3298" s="10"/>
      <c r="S3298" s="10"/>
      <c r="T3298" s="10"/>
      <c r="U3298" s="10"/>
      <c r="V3298" s="10"/>
      <c r="W3298" s="10"/>
      <c r="X3298" s="10"/>
      <c r="Y3298" s="10"/>
    </row>
    <row r="3299" spans="1:25" x14ac:dyDescent="0.25">
      <c r="A3299" s="9">
        <v>43837</v>
      </c>
      <c r="B3299" s="10">
        <f ca="1">ROUND(_xlfn.NORM.INV(RAND(),Reference!$C$8,0.1*Reference!$C$8)*(1+Reference!$C$11*(IF(MONTH($A3299)=Reference!$C$4,1,0)+IF(MONTH($A3299)=Reference!$C$5,1,0))+(IF(MONTH($A3299)=Reference!$C$6,Reference!$C$13,0))),0)</f>
        <v>378</v>
      </c>
      <c r="C3299" s="11">
        <f ca="1">B3299*Reference!$C$7*(1-IF(MONTH($A3299)=Reference!$C$6,1,0)*Reference!$C$12)</f>
        <v>351540</v>
      </c>
      <c r="D3299" s="10">
        <f ca="1">ROUND(_xlfn.NORM.INV(RAND(),Reference!$D$8,0.1*Reference!$D$8)*(1+Reference!$D$11*(IF(MONTH($A3299)=Reference!$D$4,1,0)+IF(MONTH($A3299)=Reference!$D$5,1,0))+(IF(MONTH($A3299)=Reference!$D$6,Reference!$D$13,0))),0)</f>
        <v>472</v>
      </c>
      <c r="E3299" s="11">
        <f ca="1">D3299*Reference!$D$7*(1-IF(MONTH($A3299)=Reference!$D$6,1,0)*Reference!$D$12)</f>
        <v>354000</v>
      </c>
      <c r="M3299" s="20"/>
      <c r="N3299" s="20"/>
      <c r="O3299" s="19"/>
      <c r="P3299" s="10"/>
      <c r="Q3299" s="10"/>
      <c r="R3299" s="10"/>
      <c r="S3299" s="10"/>
      <c r="T3299" s="10"/>
      <c r="U3299" s="10"/>
      <c r="V3299" s="10"/>
      <c r="W3299" s="10"/>
      <c r="X3299" s="10"/>
      <c r="Y3299" s="10"/>
    </row>
    <row r="3300" spans="1:25" x14ac:dyDescent="0.25">
      <c r="A3300" s="9">
        <v>43838</v>
      </c>
      <c r="B3300" s="10">
        <f ca="1">ROUND(_xlfn.NORM.INV(RAND(),Reference!$C$8,0.1*Reference!$C$8)*(1+Reference!$C$11*(IF(MONTH($A3300)=Reference!$C$4,1,0)+IF(MONTH($A3300)=Reference!$C$5,1,0))+(IF(MONTH($A3300)=Reference!$C$6,Reference!$C$13,0))),0)</f>
        <v>329</v>
      </c>
      <c r="C3300" s="11">
        <f ca="1">B3300*Reference!$C$7*(1-IF(MONTH($A3300)=Reference!$C$6,1,0)*Reference!$C$12)</f>
        <v>305970</v>
      </c>
      <c r="D3300" s="10">
        <f ca="1">ROUND(_xlfn.NORM.INV(RAND(),Reference!$D$8,0.1*Reference!$D$8)*(1+Reference!$D$11*(IF(MONTH($A3300)=Reference!$D$4,1,0)+IF(MONTH($A3300)=Reference!$D$5,1,0))+(IF(MONTH($A3300)=Reference!$D$6,Reference!$D$13,0))),0)</f>
        <v>357</v>
      </c>
      <c r="E3300" s="11">
        <f ca="1">D3300*Reference!$D$7*(1-IF(MONTH($A3300)=Reference!$D$6,1,0)*Reference!$D$12)</f>
        <v>267750</v>
      </c>
      <c r="M3300" s="20"/>
      <c r="N3300" s="20"/>
      <c r="O3300" s="19"/>
      <c r="P3300" s="10"/>
      <c r="Q3300" s="10"/>
      <c r="R3300" s="10"/>
      <c r="S3300" s="10"/>
      <c r="T3300" s="10"/>
      <c r="U3300" s="10"/>
      <c r="V3300" s="10"/>
      <c r="W3300" s="10"/>
      <c r="X3300" s="10"/>
      <c r="Y3300" s="10"/>
    </row>
    <row r="3301" spans="1:25" x14ac:dyDescent="0.25">
      <c r="A3301" s="9">
        <v>43839</v>
      </c>
      <c r="B3301" s="10">
        <f ca="1">ROUND(_xlfn.NORM.INV(RAND(),Reference!$C$8,0.1*Reference!$C$8)*(1+Reference!$C$11*(IF(MONTH($A3301)=Reference!$C$4,1,0)+IF(MONTH($A3301)=Reference!$C$5,1,0))+(IF(MONTH($A3301)=Reference!$C$6,Reference!$C$13,0))),0)</f>
        <v>356</v>
      </c>
      <c r="C3301" s="11">
        <f ca="1">B3301*Reference!$C$7*(1-IF(MONTH($A3301)=Reference!$C$6,1,0)*Reference!$C$12)</f>
        <v>331080</v>
      </c>
      <c r="D3301" s="10">
        <f ca="1">ROUND(_xlfn.NORM.INV(RAND(),Reference!$D$8,0.1*Reference!$D$8)*(1+Reference!$D$11*(IF(MONTH($A3301)=Reference!$D$4,1,0)+IF(MONTH($A3301)=Reference!$D$5,1,0))+(IF(MONTH($A3301)=Reference!$D$6,Reference!$D$13,0))),0)</f>
        <v>457</v>
      </c>
      <c r="E3301" s="11">
        <f ca="1">D3301*Reference!$D$7*(1-IF(MONTH($A3301)=Reference!$D$6,1,0)*Reference!$D$12)</f>
        <v>342750</v>
      </c>
      <c r="M3301" s="20"/>
      <c r="N3301" s="20"/>
      <c r="O3301" s="19"/>
      <c r="P3301" s="10"/>
      <c r="Q3301" s="10"/>
      <c r="R3301" s="10"/>
      <c r="S3301" s="10"/>
      <c r="T3301" s="10"/>
      <c r="U3301" s="10"/>
      <c r="V3301" s="10"/>
      <c r="W3301" s="10"/>
      <c r="X3301" s="10"/>
      <c r="Y3301" s="10"/>
    </row>
    <row r="3302" spans="1:25" x14ac:dyDescent="0.25">
      <c r="A3302" s="9">
        <v>43840</v>
      </c>
      <c r="B3302" s="10">
        <f ca="1">ROUND(_xlfn.NORM.INV(RAND(),Reference!$C$8,0.1*Reference!$C$8)*(1+Reference!$C$11*(IF(MONTH($A3302)=Reference!$C$4,1,0)+IF(MONTH($A3302)=Reference!$C$5,1,0))+(IF(MONTH($A3302)=Reference!$C$6,Reference!$C$13,0))),0)</f>
        <v>334</v>
      </c>
      <c r="C3302" s="11">
        <f ca="1">B3302*Reference!$C$7*(1-IF(MONTH($A3302)=Reference!$C$6,1,0)*Reference!$C$12)</f>
        <v>310620</v>
      </c>
      <c r="D3302" s="10">
        <f ca="1">ROUND(_xlfn.NORM.INV(RAND(),Reference!$D$8,0.1*Reference!$D$8)*(1+Reference!$D$11*(IF(MONTH($A3302)=Reference!$D$4,1,0)+IF(MONTH($A3302)=Reference!$D$5,1,0))+(IF(MONTH($A3302)=Reference!$D$6,Reference!$D$13,0))),0)</f>
        <v>446</v>
      </c>
      <c r="E3302" s="11">
        <f ca="1">D3302*Reference!$D$7*(1-IF(MONTH($A3302)=Reference!$D$6,1,0)*Reference!$D$12)</f>
        <v>334500</v>
      </c>
      <c r="M3302" s="20"/>
      <c r="N3302" s="20"/>
      <c r="O3302" s="19"/>
      <c r="P3302" s="10"/>
      <c r="Q3302" s="10"/>
      <c r="R3302" s="10"/>
      <c r="S3302" s="10"/>
      <c r="T3302" s="10"/>
      <c r="U3302" s="10"/>
      <c r="V3302" s="10"/>
      <c r="W3302" s="10"/>
      <c r="X3302" s="10"/>
      <c r="Y3302" s="10"/>
    </row>
    <row r="3303" spans="1:25" x14ac:dyDescent="0.25">
      <c r="A3303" s="9">
        <v>43841</v>
      </c>
      <c r="B3303" s="10">
        <f ca="1">ROUND(_xlfn.NORM.INV(RAND(),Reference!$C$8,0.1*Reference!$C$8)*(1+Reference!$C$11*(IF(MONTH($A3303)=Reference!$C$4,1,0)+IF(MONTH($A3303)=Reference!$C$5,1,0))+(IF(MONTH($A3303)=Reference!$C$6,Reference!$C$13,0))),0)</f>
        <v>377</v>
      </c>
      <c r="C3303" s="11">
        <f ca="1">B3303*Reference!$C$7*(1-IF(MONTH($A3303)=Reference!$C$6,1,0)*Reference!$C$12)</f>
        <v>350610</v>
      </c>
      <c r="D3303" s="10">
        <f ca="1">ROUND(_xlfn.NORM.INV(RAND(),Reference!$D$8,0.1*Reference!$D$8)*(1+Reference!$D$11*(IF(MONTH($A3303)=Reference!$D$4,1,0)+IF(MONTH($A3303)=Reference!$D$5,1,0))+(IF(MONTH($A3303)=Reference!$D$6,Reference!$D$13,0))),0)</f>
        <v>452</v>
      </c>
      <c r="E3303" s="11">
        <f ca="1">D3303*Reference!$D$7*(1-IF(MONTH($A3303)=Reference!$D$6,1,0)*Reference!$D$12)</f>
        <v>339000</v>
      </c>
      <c r="M3303" s="20"/>
      <c r="N3303" s="20"/>
      <c r="O3303" s="19"/>
      <c r="P3303" s="10"/>
      <c r="Q3303" s="10"/>
      <c r="R3303" s="10"/>
      <c r="S3303" s="10"/>
      <c r="T3303" s="10"/>
      <c r="U3303" s="10"/>
      <c r="V3303" s="10"/>
      <c r="W3303" s="10"/>
      <c r="X3303" s="10"/>
      <c r="Y3303" s="10"/>
    </row>
    <row r="3304" spans="1:25" x14ac:dyDescent="0.25">
      <c r="A3304" s="9">
        <v>43842</v>
      </c>
      <c r="B3304" s="10">
        <f ca="1">ROUND(_xlfn.NORM.INV(RAND(),Reference!$C$8,0.1*Reference!$C$8)*(1+Reference!$C$11*(IF(MONTH($A3304)=Reference!$C$4,1,0)+IF(MONTH($A3304)=Reference!$C$5,1,0))+(IF(MONTH($A3304)=Reference!$C$6,Reference!$C$13,0))),0)</f>
        <v>393</v>
      </c>
      <c r="C3304" s="11">
        <f ca="1">B3304*Reference!$C$7*(1-IF(MONTH($A3304)=Reference!$C$6,1,0)*Reference!$C$12)</f>
        <v>365490</v>
      </c>
      <c r="D3304" s="10">
        <f ca="1">ROUND(_xlfn.NORM.INV(RAND(),Reference!$D$8,0.1*Reference!$D$8)*(1+Reference!$D$11*(IF(MONTH($A3304)=Reference!$D$4,1,0)+IF(MONTH($A3304)=Reference!$D$5,1,0))+(IF(MONTH($A3304)=Reference!$D$6,Reference!$D$13,0))),0)</f>
        <v>459</v>
      </c>
      <c r="E3304" s="11">
        <f ca="1">D3304*Reference!$D$7*(1-IF(MONTH($A3304)=Reference!$D$6,1,0)*Reference!$D$12)</f>
        <v>344250</v>
      </c>
      <c r="M3304" s="20"/>
      <c r="N3304" s="20"/>
      <c r="O3304" s="19"/>
      <c r="P3304" s="10"/>
      <c r="Q3304" s="10"/>
      <c r="R3304" s="10"/>
      <c r="S3304" s="10"/>
      <c r="T3304" s="10"/>
      <c r="U3304" s="10"/>
      <c r="V3304" s="10"/>
      <c r="W3304" s="10"/>
      <c r="X3304" s="10"/>
      <c r="Y3304" s="10"/>
    </row>
    <row r="3305" spans="1:25" x14ac:dyDescent="0.25">
      <c r="A3305" s="9">
        <v>43843</v>
      </c>
      <c r="B3305" s="10">
        <f ca="1">ROUND(_xlfn.NORM.INV(RAND(),Reference!$C$8,0.1*Reference!$C$8)*(1+Reference!$C$11*(IF(MONTH($A3305)=Reference!$C$4,1,0)+IF(MONTH($A3305)=Reference!$C$5,1,0))+(IF(MONTH($A3305)=Reference!$C$6,Reference!$C$13,0))),0)</f>
        <v>284</v>
      </c>
      <c r="C3305" s="11">
        <f ca="1">B3305*Reference!$C$7*(1-IF(MONTH($A3305)=Reference!$C$6,1,0)*Reference!$C$12)</f>
        <v>264120</v>
      </c>
      <c r="D3305" s="10">
        <f ca="1">ROUND(_xlfn.NORM.INV(RAND(),Reference!$D$8,0.1*Reference!$D$8)*(1+Reference!$D$11*(IF(MONTH($A3305)=Reference!$D$4,1,0)+IF(MONTH($A3305)=Reference!$D$5,1,0))+(IF(MONTH($A3305)=Reference!$D$6,Reference!$D$13,0))),0)</f>
        <v>467</v>
      </c>
      <c r="E3305" s="11">
        <f ca="1">D3305*Reference!$D$7*(1-IF(MONTH($A3305)=Reference!$D$6,1,0)*Reference!$D$12)</f>
        <v>350250</v>
      </c>
      <c r="M3305" s="20"/>
      <c r="N3305" s="20"/>
      <c r="O3305" s="19"/>
      <c r="P3305" s="10"/>
      <c r="Q3305" s="10"/>
      <c r="R3305" s="10"/>
      <c r="S3305" s="10"/>
      <c r="T3305" s="10"/>
      <c r="U3305" s="10"/>
      <c r="V3305" s="10"/>
      <c r="W3305" s="10"/>
      <c r="X3305" s="10"/>
      <c r="Y3305" s="10"/>
    </row>
    <row r="3306" spans="1:25" x14ac:dyDescent="0.25">
      <c r="A3306" s="9">
        <v>43844</v>
      </c>
      <c r="B3306" s="10">
        <f ca="1">ROUND(_xlfn.NORM.INV(RAND(),Reference!$C$8,0.1*Reference!$C$8)*(1+Reference!$C$11*(IF(MONTH($A3306)=Reference!$C$4,1,0)+IF(MONTH($A3306)=Reference!$C$5,1,0))+(IF(MONTH($A3306)=Reference!$C$6,Reference!$C$13,0))),0)</f>
        <v>393</v>
      </c>
      <c r="C3306" s="11">
        <f ca="1">B3306*Reference!$C$7*(1-IF(MONTH($A3306)=Reference!$C$6,1,0)*Reference!$C$12)</f>
        <v>365490</v>
      </c>
      <c r="D3306" s="10">
        <f ca="1">ROUND(_xlfn.NORM.INV(RAND(),Reference!$D$8,0.1*Reference!$D$8)*(1+Reference!$D$11*(IF(MONTH($A3306)=Reference!$D$4,1,0)+IF(MONTH($A3306)=Reference!$D$5,1,0))+(IF(MONTH($A3306)=Reference!$D$6,Reference!$D$13,0))),0)</f>
        <v>456</v>
      </c>
      <c r="E3306" s="11">
        <f ca="1">D3306*Reference!$D$7*(1-IF(MONTH($A3306)=Reference!$D$6,1,0)*Reference!$D$12)</f>
        <v>342000</v>
      </c>
      <c r="M3306" s="20"/>
      <c r="N3306" s="20"/>
      <c r="O3306" s="19"/>
      <c r="P3306" s="10"/>
      <c r="Q3306" s="10"/>
      <c r="R3306" s="10"/>
      <c r="S3306" s="10"/>
      <c r="T3306" s="10"/>
      <c r="U3306" s="10"/>
      <c r="V3306" s="10"/>
      <c r="W3306" s="10"/>
      <c r="X3306" s="10"/>
      <c r="Y3306" s="10"/>
    </row>
    <row r="3307" spans="1:25" x14ac:dyDescent="0.25">
      <c r="A3307" s="9">
        <v>43845</v>
      </c>
      <c r="B3307" s="10">
        <f ca="1">ROUND(_xlfn.NORM.INV(RAND(),Reference!$C$8,0.1*Reference!$C$8)*(1+Reference!$C$11*(IF(MONTH($A3307)=Reference!$C$4,1,0)+IF(MONTH($A3307)=Reference!$C$5,1,0))+(IF(MONTH($A3307)=Reference!$C$6,Reference!$C$13,0))),0)</f>
        <v>381</v>
      </c>
      <c r="C3307" s="11">
        <f ca="1">B3307*Reference!$C$7*(1-IF(MONTH($A3307)=Reference!$C$6,1,0)*Reference!$C$12)</f>
        <v>354330</v>
      </c>
      <c r="D3307" s="10">
        <f ca="1">ROUND(_xlfn.NORM.INV(RAND(),Reference!$D$8,0.1*Reference!$D$8)*(1+Reference!$D$11*(IF(MONTH($A3307)=Reference!$D$4,1,0)+IF(MONTH($A3307)=Reference!$D$5,1,0))+(IF(MONTH($A3307)=Reference!$D$6,Reference!$D$13,0))),0)</f>
        <v>493</v>
      </c>
      <c r="E3307" s="11">
        <f ca="1">D3307*Reference!$D$7*(1-IF(MONTH($A3307)=Reference!$D$6,1,0)*Reference!$D$12)</f>
        <v>369750</v>
      </c>
      <c r="M3307" s="20"/>
      <c r="N3307" s="20"/>
      <c r="O3307" s="19"/>
      <c r="P3307" s="10"/>
      <c r="Q3307" s="10"/>
      <c r="R3307" s="10"/>
      <c r="S3307" s="10"/>
      <c r="T3307" s="10"/>
      <c r="U3307" s="10"/>
      <c r="V3307" s="10"/>
      <c r="W3307" s="10"/>
      <c r="X3307" s="10"/>
      <c r="Y3307" s="10"/>
    </row>
    <row r="3308" spans="1:25" x14ac:dyDescent="0.25">
      <c r="A3308" s="9">
        <v>43846</v>
      </c>
      <c r="B3308" s="10">
        <f ca="1">ROUND(_xlfn.NORM.INV(RAND(),Reference!$C$8,0.1*Reference!$C$8)*(1+Reference!$C$11*(IF(MONTH($A3308)=Reference!$C$4,1,0)+IF(MONTH($A3308)=Reference!$C$5,1,0))+(IF(MONTH($A3308)=Reference!$C$6,Reference!$C$13,0))),0)</f>
        <v>378</v>
      </c>
      <c r="C3308" s="11">
        <f ca="1">B3308*Reference!$C$7*(1-IF(MONTH($A3308)=Reference!$C$6,1,0)*Reference!$C$12)</f>
        <v>351540</v>
      </c>
      <c r="D3308" s="10">
        <f ca="1">ROUND(_xlfn.NORM.INV(RAND(),Reference!$D$8,0.1*Reference!$D$8)*(1+Reference!$D$11*(IF(MONTH($A3308)=Reference!$D$4,1,0)+IF(MONTH($A3308)=Reference!$D$5,1,0))+(IF(MONTH($A3308)=Reference!$D$6,Reference!$D$13,0))),0)</f>
        <v>488</v>
      </c>
      <c r="E3308" s="11">
        <f ca="1">D3308*Reference!$D$7*(1-IF(MONTH($A3308)=Reference!$D$6,1,0)*Reference!$D$12)</f>
        <v>366000</v>
      </c>
      <c r="M3308" s="20"/>
      <c r="N3308" s="20"/>
      <c r="O3308" s="19"/>
      <c r="P3308" s="10"/>
      <c r="Q3308" s="10"/>
      <c r="R3308" s="10"/>
      <c r="S3308" s="10"/>
      <c r="T3308" s="10"/>
      <c r="U3308" s="10"/>
      <c r="V3308" s="10"/>
      <c r="W3308" s="10"/>
      <c r="X3308" s="10"/>
      <c r="Y3308" s="10"/>
    </row>
    <row r="3309" spans="1:25" x14ac:dyDescent="0.25">
      <c r="A3309" s="9">
        <v>43847</v>
      </c>
      <c r="B3309" s="10">
        <f ca="1">ROUND(_xlfn.NORM.INV(RAND(),Reference!$C$8,0.1*Reference!$C$8)*(1+Reference!$C$11*(IF(MONTH($A3309)=Reference!$C$4,1,0)+IF(MONTH($A3309)=Reference!$C$5,1,0))+(IF(MONTH($A3309)=Reference!$C$6,Reference!$C$13,0))),0)</f>
        <v>372</v>
      </c>
      <c r="C3309" s="11">
        <f ca="1">B3309*Reference!$C$7*(1-IF(MONTH($A3309)=Reference!$C$6,1,0)*Reference!$C$12)</f>
        <v>345960</v>
      </c>
      <c r="D3309" s="10">
        <f ca="1">ROUND(_xlfn.NORM.INV(RAND(),Reference!$D$8,0.1*Reference!$D$8)*(1+Reference!$D$11*(IF(MONTH($A3309)=Reference!$D$4,1,0)+IF(MONTH($A3309)=Reference!$D$5,1,0))+(IF(MONTH($A3309)=Reference!$D$6,Reference!$D$13,0))),0)</f>
        <v>473</v>
      </c>
      <c r="E3309" s="11">
        <f ca="1">D3309*Reference!$D$7*(1-IF(MONTH($A3309)=Reference!$D$6,1,0)*Reference!$D$12)</f>
        <v>354750</v>
      </c>
      <c r="M3309" s="20"/>
      <c r="N3309" s="20"/>
      <c r="O3309" s="19"/>
      <c r="P3309" s="10"/>
      <c r="Q3309" s="10"/>
      <c r="R3309" s="10"/>
      <c r="S3309" s="10"/>
      <c r="T3309" s="10"/>
      <c r="U3309" s="10"/>
      <c r="V3309" s="10"/>
      <c r="W3309" s="10"/>
      <c r="X3309" s="10"/>
      <c r="Y3309" s="10"/>
    </row>
    <row r="3310" spans="1:25" x14ac:dyDescent="0.25">
      <c r="A3310" s="9">
        <v>43848</v>
      </c>
      <c r="B3310" s="10">
        <f ca="1">ROUND(_xlfn.NORM.INV(RAND(),Reference!$C$8,0.1*Reference!$C$8)*(1+Reference!$C$11*(IF(MONTH($A3310)=Reference!$C$4,1,0)+IF(MONTH($A3310)=Reference!$C$5,1,0))+(IF(MONTH($A3310)=Reference!$C$6,Reference!$C$13,0))),0)</f>
        <v>407</v>
      </c>
      <c r="C3310" s="11">
        <f ca="1">B3310*Reference!$C$7*(1-IF(MONTH($A3310)=Reference!$C$6,1,0)*Reference!$C$12)</f>
        <v>378510</v>
      </c>
      <c r="D3310" s="10">
        <f ca="1">ROUND(_xlfn.NORM.INV(RAND(),Reference!$D$8,0.1*Reference!$D$8)*(1+Reference!$D$11*(IF(MONTH($A3310)=Reference!$D$4,1,0)+IF(MONTH($A3310)=Reference!$D$5,1,0))+(IF(MONTH($A3310)=Reference!$D$6,Reference!$D$13,0))),0)</f>
        <v>457</v>
      </c>
      <c r="E3310" s="11">
        <f ca="1">D3310*Reference!$D$7*(1-IF(MONTH($A3310)=Reference!$D$6,1,0)*Reference!$D$12)</f>
        <v>342750</v>
      </c>
      <c r="M3310" s="20"/>
      <c r="N3310" s="20"/>
      <c r="O3310" s="19"/>
      <c r="P3310" s="10"/>
      <c r="Q3310" s="10"/>
      <c r="R3310" s="10"/>
      <c r="S3310" s="10"/>
      <c r="T3310" s="10"/>
      <c r="U3310" s="10"/>
      <c r="V3310" s="10"/>
      <c r="W3310" s="10"/>
      <c r="X3310" s="10"/>
      <c r="Y3310" s="10"/>
    </row>
    <row r="3311" spans="1:25" x14ac:dyDescent="0.25">
      <c r="A3311" s="9">
        <v>43849</v>
      </c>
      <c r="B3311" s="10">
        <f ca="1">ROUND(_xlfn.NORM.INV(RAND(),Reference!$C$8,0.1*Reference!$C$8)*(1+Reference!$C$11*(IF(MONTH($A3311)=Reference!$C$4,1,0)+IF(MONTH($A3311)=Reference!$C$5,1,0))+(IF(MONTH($A3311)=Reference!$C$6,Reference!$C$13,0))),0)</f>
        <v>392</v>
      </c>
      <c r="C3311" s="11">
        <f ca="1">B3311*Reference!$C$7*(1-IF(MONTH($A3311)=Reference!$C$6,1,0)*Reference!$C$12)</f>
        <v>364560</v>
      </c>
      <c r="D3311" s="10">
        <f ca="1">ROUND(_xlfn.NORM.INV(RAND(),Reference!$D$8,0.1*Reference!$D$8)*(1+Reference!$D$11*(IF(MONTH($A3311)=Reference!$D$4,1,0)+IF(MONTH($A3311)=Reference!$D$5,1,0))+(IF(MONTH($A3311)=Reference!$D$6,Reference!$D$13,0))),0)</f>
        <v>439</v>
      </c>
      <c r="E3311" s="11">
        <f ca="1">D3311*Reference!$D$7*(1-IF(MONTH($A3311)=Reference!$D$6,1,0)*Reference!$D$12)</f>
        <v>329250</v>
      </c>
      <c r="M3311" s="20"/>
      <c r="N3311" s="20"/>
      <c r="O3311" s="19"/>
      <c r="P3311" s="10"/>
      <c r="Q3311" s="10"/>
      <c r="R3311" s="10"/>
      <c r="S3311" s="10"/>
      <c r="T3311" s="10"/>
      <c r="U3311" s="10"/>
      <c r="V3311" s="10"/>
      <c r="W3311" s="10"/>
      <c r="X3311" s="10"/>
      <c r="Y3311" s="10"/>
    </row>
    <row r="3312" spans="1:25" x14ac:dyDescent="0.25">
      <c r="A3312" s="9">
        <v>43850</v>
      </c>
      <c r="B3312" s="10">
        <f ca="1">ROUND(_xlfn.NORM.INV(RAND(),Reference!$C$8,0.1*Reference!$C$8)*(1+Reference!$C$11*(IF(MONTH($A3312)=Reference!$C$4,1,0)+IF(MONTH($A3312)=Reference!$C$5,1,0))+(IF(MONTH($A3312)=Reference!$C$6,Reference!$C$13,0))),0)</f>
        <v>313</v>
      </c>
      <c r="C3312" s="11">
        <f ca="1">B3312*Reference!$C$7*(1-IF(MONTH($A3312)=Reference!$C$6,1,0)*Reference!$C$12)</f>
        <v>291090</v>
      </c>
      <c r="D3312" s="10">
        <f ca="1">ROUND(_xlfn.NORM.INV(RAND(),Reference!$D$8,0.1*Reference!$D$8)*(1+Reference!$D$11*(IF(MONTH($A3312)=Reference!$D$4,1,0)+IF(MONTH($A3312)=Reference!$D$5,1,0))+(IF(MONTH($A3312)=Reference!$D$6,Reference!$D$13,0))),0)</f>
        <v>514</v>
      </c>
      <c r="E3312" s="11">
        <f ca="1">D3312*Reference!$D$7*(1-IF(MONTH($A3312)=Reference!$D$6,1,0)*Reference!$D$12)</f>
        <v>385500</v>
      </c>
      <c r="M3312" s="20"/>
      <c r="N3312" s="20"/>
      <c r="O3312" s="19"/>
      <c r="P3312" s="10"/>
      <c r="Q3312" s="10"/>
      <c r="R3312" s="10"/>
      <c r="S3312" s="10"/>
      <c r="T3312" s="10"/>
      <c r="U3312" s="10"/>
      <c r="V3312" s="10"/>
      <c r="W3312" s="10"/>
      <c r="X3312" s="10"/>
      <c r="Y3312" s="10"/>
    </row>
    <row r="3313" spans="1:25" x14ac:dyDescent="0.25">
      <c r="A3313" s="9">
        <v>43851</v>
      </c>
      <c r="B3313" s="10">
        <f ca="1">ROUND(_xlfn.NORM.INV(RAND(),Reference!$C$8,0.1*Reference!$C$8)*(1+Reference!$C$11*(IF(MONTH($A3313)=Reference!$C$4,1,0)+IF(MONTH($A3313)=Reference!$C$5,1,0))+(IF(MONTH($A3313)=Reference!$C$6,Reference!$C$13,0))),0)</f>
        <v>411</v>
      </c>
      <c r="C3313" s="11">
        <f ca="1">B3313*Reference!$C$7*(1-IF(MONTH($A3313)=Reference!$C$6,1,0)*Reference!$C$12)</f>
        <v>382230</v>
      </c>
      <c r="D3313" s="10">
        <f ca="1">ROUND(_xlfn.NORM.INV(RAND(),Reference!$D$8,0.1*Reference!$D$8)*(1+Reference!$D$11*(IF(MONTH($A3313)=Reference!$D$4,1,0)+IF(MONTH($A3313)=Reference!$D$5,1,0))+(IF(MONTH($A3313)=Reference!$D$6,Reference!$D$13,0))),0)</f>
        <v>405</v>
      </c>
      <c r="E3313" s="11">
        <f ca="1">D3313*Reference!$D$7*(1-IF(MONTH($A3313)=Reference!$D$6,1,0)*Reference!$D$12)</f>
        <v>303750</v>
      </c>
      <c r="M3313" s="20"/>
      <c r="N3313" s="20"/>
      <c r="O3313" s="19"/>
      <c r="P3313" s="10"/>
      <c r="Q3313" s="10"/>
      <c r="R3313" s="10"/>
      <c r="S3313" s="10"/>
      <c r="T3313" s="10"/>
      <c r="U3313" s="10"/>
      <c r="V3313" s="10"/>
      <c r="W3313" s="10"/>
      <c r="X3313" s="10"/>
      <c r="Y3313" s="10"/>
    </row>
    <row r="3314" spans="1:25" x14ac:dyDescent="0.25">
      <c r="A3314" s="9">
        <v>43852</v>
      </c>
      <c r="B3314" s="10">
        <f ca="1">ROUND(_xlfn.NORM.INV(RAND(),Reference!$C$8,0.1*Reference!$C$8)*(1+Reference!$C$11*(IF(MONTH($A3314)=Reference!$C$4,1,0)+IF(MONTH($A3314)=Reference!$C$5,1,0))+(IF(MONTH($A3314)=Reference!$C$6,Reference!$C$13,0))),0)</f>
        <v>330</v>
      </c>
      <c r="C3314" s="11">
        <f ca="1">B3314*Reference!$C$7*(1-IF(MONTH($A3314)=Reference!$C$6,1,0)*Reference!$C$12)</f>
        <v>306900</v>
      </c>
      <c r="D3314" s="10">
        <f ca="1">ROUND(_xlfn.NORM.INV(RAND(),Reference!$D$8,0.1*Reference!$D$8)*(1+Reference!$D$11*(IF(MONTH($A3314)=Reference!$D$4,1,0)+IF(MONTH($A3314)=Reference!$D$5,1,0))+(IF(MONTH($A3314)=Reference!$D$6,Reference!$D$13,0))),0)</f>
        <v>439</v>
      </c>
      <c r="E3314" s="11">
        <f ca="1">D3314*Reference!$D$7*(1-IF(MONTH($A3314)=Reference!$D$6,1,0)*Reference!$D$12)</f>
        <v>329250</v>
      </c>
      <c r="M3314" s="20"/>
      <c r="N3314" s="20"/>
      <c r="O3314" s="19"/>
      <c r="P3314" s="10"/>
      <c r="Q3314" s="10"/>
      <c r="R3314" s="10"/>
      <c r="S3314" s="10"/>
      <c r="T3314" s="10"/>
      <c r="U3314" s="10"/>
      <c r="V3314" s="10"/>
      <c r="W3314" s="10"/>
      <c r="X3314" s="10"/>
      <c r="Y3314" s="10"/>
    </row>
    <row r="3315" spans="1:25" x14ac:dyDescent="0.25">
      <c r="A3315" s="9">
        <v>43853</v>
      </c>
      <c r="B3315" s="10">
        <f ca="1">ROUND(_xlfn.NORM.INV(RAND(),Reference!$C$8,0.1*Reference!$C$8)*(1+Reference!$C$11*(IF(MONTH($A3315)=Reference!$C$4,1,0)+IF(MONTH($A3315)=Reference!$C$5,1,0))+(IF(MONTH($A3315)=Reference!$C$6,Reference!$C$13,0))),0)</f>
        <v>302</v>
      </c>
      <c r="C3315" s="11">
        <f ca="1">B3315*Reference!$C$7*(1-IF(MONTH($A3315)=Reference!$C$6,1,0)*Reference!$C$12)</f>
        <v>280860</v>
      </c>
      <c r="D3315" s="10">
        <f ca="1">ROUND(_xlfn.NORM.INV(RAND(),Reference!$D$8,0.1*Reference!$D$8)*(1+Reference!$D$11*(IF(MONTH($A3315)=Reference!$D$4,1,0)+IF(MONTH($A3315)=Reference!$D$5,1,0))+(IF(MONTH($A3315)=Reference!$D$6,Reference!$D$13,0))),0)</f>
        <v>469</v>
      </c>
      <c r="E3315" s="11">
        <f ca="1">D3315*Reference!$D$7*(1-IF(MONTH($A3315)=Reference!$D$6,1,0)*Reference!$D$12)</f>
        <v>351750</v>
      </c>
      <c r="M3315" s="20"/>
      <c r="N3315" s="20"/>
      <c r="O3315" s="19"/>
      <c r="P3315" s="10"/>
      <c r="Q3315" s="10"/>
      <c r="R3315" s="10"/>
      <c r="S3315" s="10"/>
      <c r="T3315" s="10"/>
      <c r="U3315" s="10"/>
      <c r="V3315" s="10"/>
      <c r="W3315" s="10"/>
      <c r="X3315" s="10"/>
      <c r="Y3315" s="10"/>
    </row>
    <row r="3316" spans="1:25" x14ac:dyDescent="0.25">
      <c r="A3316" s="9">
        <v>43854</v>
      </c>
      <c r="B3316" s="10">
        <f ca="1">ROUND(_xlfn.NORM.INV(RAND(),Reference!$C$8,0.1*Reference!$C$8)*(1+Reference!$C$11*(IF(MONTH($A3316)=Reference!$C$4,1,0)+IF(MONTH($A3316)=Reference!$C$5,1,0))+(IF(MONTH($A3316)=Reference!$C$6,Reference!$C$13,0))),0)</f>
        <v>386</v>
      </c>
      <c r="C3316" s="11">
        <f ca="1">B3316*Reference!$C$7*(1-IF(MONTH($A3316)=Reference!$C$6,1,0)*Reference!$C$12)</f>
        <v>358980</v>
      </c>
      <c r="D3316" s="10">
        <f ca="1">ROUND(_xlfn.NORM.INV(RAND(),Reference!$D$8,0.1*Reference!$D$8)*(1+Reference!$D$11*(IF(MONTH($A3316)=Reference!$D$4,1,0)+IF(MONTH($A3316)=Reference!$D$5,1,0))+(IF(MONTH($A3316)=Reference!$D$6,Reference!$D$13,0))),0)</f>
        <v>453</v>
      </c>
      <c r="E3316" s="11">
        <f ca="1">D3316*Reference!$D$7*(1-IF(MONTH($A3316)=Reference!$D$6,1,0)*Reference!$D$12)</f>
        <v>339750</v>
      </c>
      <c r="M3316" s="20"/>
      <c r="N3316" s="20"/>
      <c r="O3316" s="19"/>
      <c r="P3316" s="10"/>
      <c r="Q3316" s="10"/>
      <c r="R3316" s="10"/>
      <c r="S3316" s="10"/>
      <c r="T3316" s="10"/>
      <c r="U3316" s="10"/>
      <c r="V3316" s="10"/>
      <c r="W3316" s="10"/>
      <c r="X3316" s="10"/>
      <c r="Y3316" s="10"/>
    </row>
    <row r="3317" spans="1:25" x14ac:dyDescent="0.25">
      <c r="A3317" s="9">
        <v>43855</v>
      </c>
      <c r="B3317" s="10">
        <f ca="1">ROUND(_xlfn.NORM.INV(RAND(),Reference!$C$8,0.1*Reference!$C$8)*(1+Reference!$C$11*(IF(MONTH($A3317)=Reference!$C$4,1,0)+IF(MONTH($A3317)=Reference!$C$5,1,0))+(IF(MONTH($A3317)=Reference!$C$6,Reference!$C$13,0))),0)</f>
        <v>335</v>
      </c>
      <c r="C3317" s="11">
        <f ca="1">B3317*Reference!$C$7*(1-IF(MONTH($A3317)=Reference!$C$6,1,0)*Reference!$C$12)</f>
        <v>311550</v>
      </c>
      <c r="D3317" s="10">
        <f ca="1">ROUND(_xlfn.NORM.INV(RAND(),Reference!$D$8,0.1*Reference!$D$8)*(1+Reference!$D$11*(IF(MONTH($A3317)=Reference!$D$4,1,0)+IF(MONTH($A3317)=Reference!$D$5,1,0))+(IF(MONTH($A3317)=Reference!$D$6,Reference!$D$13,0))),0)</f>
        <v>484</v>
      </c>
      <c r="E3317" s="11">
        <f ca="1">D3317*Reference!$D$7*(1-IF(MONTH($A3317)=Reference!$D$6,1,0)*Reference!$D$12)</f>
        <v>363000</v>
      </c>
      <c r="M3317" s="20"/>
      <c r="N3317" s="20"/>
      <c r="O3317" s="19"/>
      <c r="P3317" s="10"/>
      <c r="Q3317" s="10"/>
      <c r="R3317" s="10"/>
      <c r="S3317" s="10"/>
      <c r="T3317" s="10"/>
      <c r="U3317" s="10"/>
      <c r="V3317" s="10"/>
      <c r="W3317" s="10"/>
      <c r="X3317" s="10"/>
      <c r="Y3317" s="10"/>
    </row>
    <row r="3318" spans="1:25" x14ac:dyDescent="0.25">
      <c r="A3318" s="9">
        <v>43856</v>
      </c>
      <c r="B3318" s="10">
        <f ca="1">ROUND(_xlfn.NORM.INV(RAND(),Reference!$C$8,0.1*Reference!$C$8)*(1+Reference!$C$11*(IF(MONTH($A3318)=Reference!$C$4,1,0)+IF(MONTH($A3318)=Reference!$C$5,1,0))+(IF(MONTH($A3318)=Reference!$C$6,Reference!$C$13,0))),0)</f>
        <v>422</v>
      </c>
      <c r="C3318" s="11">
        <f ca="1">B3318*Reference!$C$7*(1-IF(MONTH($A3318)=Reference!$C$6,1,0)*Reference!$C$12)</f>
        <v>392460</v>
      </c>
      <c r="D3318" s="10">
        <f ca="1">ROUND(_xlfn.NORM.INV(RAND(),Reference!$D$8,0.1*Reference!$D$8)*(1+Reference!$D$11*(IF(MONTH($A3318)=Reference!$D$4,1,0)+IF(MONTH($A3318)=Reference!$D$5,1,0))+(IF(MONTH($A3318)=Reference!$D$6,Reference!$D$13,0))),0)</f>
        <v>415</v>
      </c>
      <c r="E3318" s="11">
        <f ca="1">D3318*Reference!$D$7*(1-IF(MONTH($A3318)=Reference!$D$6,1,0)*Reference!$D$12)</f>
        <v>311250</v>
      </c>
      <c r="M3318" s="20"/>
      <c r="N3318" s="20"/>
      <c r="O3318" s="19"/>
      <c r="P3318" s="10"/>
      <c r="Q3318" s="10"/>
      <c r="R3318" s="10"/>
      <c r="S3318" s="10"/>
      <c r="T3318" s="10"/>
      <c r="U3318" s="10"/>
      <c r="V3318" s="10"/>
      <c r="W3318" s="10"/>
      <c r="X3318" s="10"/>
      <c r="Y3318" s="10"/>
    </row>
    <row r="3319" spans="1:25" x14ac:dyDescent="0.25">
      <c r="A3319" s="9">
        <v>43857</v>
      </c>
      <c r="B3319" s="10">
        <f ca="1">ROUND(_xlfn.NORM.INV(RAND(),Reference!$C$8,0.1*Reference!$C$8)*(1+Reference!$C$11*(IF(MONTH($A3319)=Reference!$C$4,1,0)+IF(MONTH($A3319)=Reference!$C$5,1,0))+(IF(MONTH($A3319)=Reference!$C$6,Reference!$C$13,0))),0)</f>
        <v>386</v>
      </c>
      <c r="C3319" s="11">
        <f ca="1">B3319*Reference!$C$7*(1-IF(MONTH($A3319)=Reference!$C$6,1,0)*Reference!$C$12)</f>
        <v>358980</v>
      </c>
      <c r="D3319" s="10">
        <f ca="1">ROUND(_xlfn.NORM.INV(RAND(),Reference!$D$8,0.1*Reference!$D$8)*(1+Reference!$D$11*(IF(MONTH($A3319)=Reference!$D$4,1,0)+IF(MONTH($A3319)=Reference!$D$5,1,0))+(IF(MONTH($A3319)=Reference!$D$6,Reference!$D$13,0))),0)</f>
        <v>532</v>
      </c>
      <c r="E3319" s="11">
        <f ca="1">D3319*Reference!$D$7*(1-IF(MONTH($A3319)=Reference!$D$6,1,0)*Reference!$D$12)</f>
        <v>399000</v>
      </c>
      <c r="M3319" s="20"/>
      <c r="N3319" s="20"/>
      <c r="O3319" s="19"/>
      <c r="P3319" s="10"/>
      <c r="Q3319" s="10"/>
      <c r="R3319" s="10"/>
      <c r="S3319" s="10"/>
      <c r="T3319" s="10"/>
      <c r="U3319" s="10"/>
      <c r="V3319" s="10"/>
      <c r="W3319" s="10"/>
      <c r="X3319" s="10"/>
      <c r="Y3319" s="10"/>
    </row>
    <row r="3320" spans="1:25" x14ac:dyDescent="0.25">
      <c r="A3320" s="9">
        <v>43858</v>
      </c>
      <c r="B3320" s="10">
        <f ca="1">ROUND(_xlfn.NORM.INV(RAND(),Reference!$C$8,0.1*Reference!$C$8)*(1+Reference!$C$11*(IF(MONTH($A3320)=Reference!$C$4,1,0)+IF(MONTH($A3320)=Reference!$C$5,1,0))+(IF(MONTH($A3320)=Reference!$C$6,Reference!$C$13,0))),0)</f>
        <v>337</v>
      </c>
      <c r="C3320" s="11">
        <f ca="1">B3320*Reference!$C$7*(1-IF(MONTH($A3320)=Reference!$C$6,1,0)*Reference!$C$12)</f>
        <v>313410</v>
      </c>
      <c r="D3320" s="10">
        <f ca="1">ROUND(_xlfn.NORM.INV(RAND(),Reference!$D$8,0.1*Reference!$D$8)*(1+Reference!$D$11*(IF(MONTH($A3320)=Reference!$D$4,1,0)+IF(MONTH($A3320)=Reference!$D$5,1,0))+(IF(MONTH($A3320)=Reference!$D$6,Reference!$D$13,0))),0)</f>
        <v>461</v>
      </c>
      <c r="E3320" s="11">
        <f ca="1">D3320*Reference!$D$7*(1-IF(MONTH($A3320)=Reference!$D$6,1,0)*Reference!$D$12)</f>
        <v>345750</v>
      </c>
      <c r="M3320" s="20"/>
      <c r="N3320" s="20"/>
      <c r="O3320" s="19"/>
      <c r="P3320" s="10"/>
      <c r="Q3320" s="10"/>
      <c r="R3320" s="10"/>
      <c r="S3320" s="10"/>
      <c r="T3320" s="10"/>
      <c r="U3320" s="10"/>
      <c r="V3320" s="10"/>
      <c r="W3320" s="10"/>
      <c r="X3320" s="10"/>
      <c r="Y3320" s="10"/>
    </row>
    <row r="3321" spans="1:25" x14ac:dyDescent="0.25">
      <c r="A3321" s="9">
        <v>43859</v>
      </c>
      <c r="B3321" s="10">
        <f ca="1">ROUND(_xlfn.NORM.INV(RAND(),Reference!$C$8,0.1*Reference!$C$8)*(1+Reference!$C$11*(IF(MONTH($A3321)=Reference!$C$4,1,0)+IF(MONTH($A3321)=Reference!$C$5,1,0))+(IF(MONTH($A3321)=Reference!$C$6,Reference!$C$13,0))),0)</f>
        <v>354</v>
      </c>
      <c r="C3321" s="11">
        <f ca="1">B3321*Reference!$C$7*(1-IF(MONTH($A3321)=Reference!$C$6,1,0)*Reference!$C$12)</f>
        <v>329220</v>
      </c>
      <c r="D3321" s="10">
        <f ca="1">ROUND(_xlfn.NORM.INV(RAND(),Reference!$D$8,0.1*Reference!$D$8)*(1+Reference!$D$11*(IF(MONTH($A3321)=Reference!$D$4,1,0)+IF(MONTH($A3321)=Reference!$D$5,1,0))+(IF(MONTH($A3321)=Reference!$D$6,Reference!$D$13,0))),0)</f>
        <v>422</v>
      </c>
      <c r="E3321" s="11">
        <f ca="1">D3321*Reference!$D$7*(1-IF(MONTH($A3321)=Reference!$D$6,1,0)*Reference!$D$12)</f>
        <v>316500</v>
      </c>
      <c r="M3321" s="20"/>
      <c r="N3321" s="20"/>
      <c r="O3321" s="19"/>
      <c r="P3321" s="10"/>
      <c r="Q3321" s="10"/>
      <c r="R3321" s="10"/>
      <c r="S3321" s="10"/>
      <c r="T3321" s="10"/>
      <c r="U3321" s="10"/>
      <c r="V3321" s="10"/>
      <c r="W3321" s="10"/>
      <c r="X3321" s="10"/>
      <c r="Y3321" s="10"/>
    </row>
    <row r="3322" spans="1:25" x14ac:dyDescent="0.25">
      <c r="A3322" s="9">
        <v>43860</v>
      </c>
      <c r="B3322" s="10">
        <f ca="1">ROUND(_xlfn.NORM.INV(RAND(),Reference!$C$8,0.1*Reference!$C$8)*(1+Reference!$C$11*(IF(MONTH($A3322)=Reference!$C$4,1,0)+IF(MONTH($A3322)=Reference!$C$5,1,0))+(IF(MONTH($A3322)=Reference!$C$6,Reference!$C$13,0))),0)</f>
        <v>443</v>
      </c>
      <c r="C3322" s="11">
        <f ca="1">B3322*Reference!$C$7*(1-IF(MONTH($A3322)=Reference!$C$6,1,0)*Reference!$C$12)</f>
        <v>411990</v>
      </c>
      <c r="D3322" s="10">
        <f ca="1">ROUND(_xlfn.NORM.INV(RAND(),Reference!$D$8,0.1*Reference!$D$8)*(1+Reference!$D$11*(IF(MONTH($A3322)=Reference!$D$4,1,0)+IF(MONTH($A3322)=Reference!$D$5,1,0))+(IF(MONTH($A3322)=Reference!$D$6,Reference!$D$13,0))),0)</f>
        <v>397</v>
      </c>
      <c r="E3322" s="11">
        <f ca="1">D3322*Reference!$D$7*(1-IF(MONTH($A3322)=Reference!$D$6,1,0)*Reference!$D$12)</f>
        <v>297750</v>
      </c>
      <c r="M3322" s="20"/>
      <c r="N3322" s="20"/>
      <c r="O3322" s="19"/>
      <c r="P3322" s="10"/>
      <c r="Q3322" s="10"/>
      <c r="R3322" s="10"/>
      <c r="S3322" s="10"/>
      <c r="T3322" s="10"/>
      <c r="U3322" s="10"/>
      <c r="V3322" s="10"/>
      <c r="W3322" s="10"/>
      <c r="X3322" s="10"/>
      <c r="Y3322" s="10"/>
    </row>
    <row r="3323" spans="1:25" x14ac:dyDescent="0.25">
      <c r="A3323" s="9">
        <v>43861</v>
      </c>
      <c r="B3323" s="10">
        <f ca="1">ROUND(_xlfn.NORM.INV(RAND(),Reference!$C$8,0.1*Reference!$C$8)*(1+Reference!$C$11*(IF(MONTH($A3323)=Reference!$C$4,1,0)+IF(MONTH($A3323)=Reference!$C$5,1,0))+(IF(MONTH($A3323)=Reference!$C$6,Reference!$C$13,0))),0)</f>
        <v>383</v>
      </c>
      <c r="C3323" s="11">
        <f ca="1">B3323*Reference!$C$7*(1-IF(MONTH($A3323)=Reference!$C$6,1,0)*Reference!$C$12)</f>
        <v>356190</v>
      </c>
      <c r="D3323" s="10">
        <f ca="1">ROUND(_xlfn.NORM.INV(RAND(),Reference!$D$8,0.1*Reference!$D$8)*(1+Reference!$D$11*(IF(MONTH($A3323)=Reference!$D$4,1,0)+IF(MONTH($A3323)=Reference!$D$5,1,0))+(IF(MONTH($A3323)=Reference!$D$6,Reference!$D$13,0))),0)</f>
        <v>485</v>
      </c>
      <c r="E3323" s="11">
        <f ca="1">D3323*Reference!$D$7*(1-IF(MONTH($A3323)=Reference!$D$6,1,0)*Reference!$D$12)</f>
        <v>363750</v>
      </c>
      <c r="M3323" s="20"/>
      <c r="N3323" s="20"/>
      <c r="O3323" s="19"/>
      <c r="P3323" s="10"/>
      <c r="Q3323" s="10"/>
      <c r="R3323" s="10"/>
      <c r="S3323" s="10"/>
      <c r="T3323" s="10"/>
      <c r="U3323" s="10"/>
      <c r="V3323" s="10"/>
      <c r="W3323" s="10"/>
      <c r="X3323" s="10"/>
      <c r="Y3323" s="10"/>
    </row>
    <row r="3324" spans="1:25" x14ac:dyDescent="0.25">
      <c r="A3324" s="9">
        <v>43862</v>
      </c>
      <c r="B3324" s="10">
        <f ca="1">ROUND(_xlfn.NORM.INV(RAND(),Reference!$C$8,0.1*Reference!$C$8)*(1+Reference!$C$11*(IF(MONTH($A3324)=Reference!$C$4,1,0)+IF(MONTH($A3324)=Reference!$C$5,1,0))+(IF(MONTH($A3324)=Reference!$C$6,Reference!$C$13,0))),0)</f>
        <v>463</v>
      </c>
      <c r="C3324" s="11">
        <f ca="1">B3324*Reference!$C$7*(1-IF(MONTH($A3324)=Reference!$C$6,1,0)*Reference!$C$12)</f>
        <v>430590</v>
      </c>
      <c r="D3324" s="10">
        <f ca="1">ROUND(_xlfn.NORM.INV(RAND(),Reference!$D$8,0.1*Reference!$D$8)*(1+Reference!$D$11*(IF(MONTH($A3324)=Reference!$D$4,1,0)+IF(MONTH($A3324)=Reference!$D$5,1,0))+(IF(MONTH($A3324)=Reference!$D$6,Reference!$D$13,0))),0)</f>
        <v>465</v>
      </c>
      <c r="E3324" s="11">
        <f ca="1">D3324*Reference!$D$7*(1-IF(MONTH($A3324)=Reference!$D$6,1,0)*Reference!$D$12)</f>
        <v>348750</v>
      </c>
      <c r="M3324" s="20"/>
      <c r="N3324" s="20"/>
      <c r="O3324" s="19"/>
      <c r="P3324" s="10"/>
      <c r="Q3324" s="10"/>
      <c r="R3324" s="10"/>
      <c r="S3324" s="10"/>
      <c r="T3324" s="10"/>
      <c r="U3324" s="10"/>
      <c r="V3324" s="10"/>
      <c r="W3324" s="10"/>
      <c r="X3324" s="10"/>
      <c r="Y3324" s="10"/>
    </row>
    <row r="3325" spans="1:25" x14ac:dyDescent="0.25">
      <c r="A3325" s="9">
        <v>43863</v>
      </c>
      <c r="B3325" s="10">
        <f ca="1">ROUND(_xlfn.NORM.INV(RAND(),Reference!$C$8,0.1*Reference!$C$8)*(1+Reference!$C$11*(IF(MONTH($A3325)=Reference!$C$4,1,0)+IF(MONTH($A3325)=Reference!$C$5,1,0))+(IF(MONTH($A3325)=Reference!$C$6,Reference!$C$13,0))),0)</f>
        <v>328</v>
      </c>
      <c r="C3325" s="11">
        <f ca="1">B3325*Reference!$C$7*(1-IF(MONTH($A3325)=Reference!$C$6,1,0)*Reference!$C$12)</f>
        <v>305040</v>
      </c>
      <c r="D3325" s="10">
        <f ca="1">ROUND(_xlfn.NORM.INV(RAND(),Reference!$D$8,0.1*Reference!$D$8)*(1+Reference!$D$11*(IF(MONTH($A3325)=Reference!$D$4,1,0)+IF(MONTH($A3325)=Reference!$D$5,1,0))+(IF(MONTH($A3325)=Reference!$D$6,Reference!$D$13,0))),0)</f>
        <v>436</v>
      </c>
      <c r="E3325" s="11">
        <f ca="1">D3325*Reference!$D$7*(1-IF(MONTH($A3325)=Reference!$D$6,1,0)*Reference!$D$12)</f>
        <v>327000</v>
      </c>
      <c r="M3325" s="20"/>
      <c r="N3325" s="20"/>
      <c r="O3325" s="19"/>
      <c r="P3325" s="10"/>
      <c r="Q3325" s="10"/>
      <c r="R3325" s="10"/>
      <c r="S3325" s="10"/>
      <c r="T3325" s="10"/>
      <c r="U3325" s="10"/>
      <c r="V3325" s="10"/>
      <c r="W3325" s="10"/>
      <c r="X3325" s="10"/>
      <c r="Y3325" s="10"/>
    </row>
    <row r="3326" spans="1:25" x14ac:dyDescent="0.25">
      <c r="A3326" s="9">
        <v>43864</v>
      </c>
      <c r="B3326" s="10">
        <f ca="1">ROUND(_xlfn.NORM.INV(RAND(),Reference!$C$8,0.1*Reference!$C$8)*(1+Reference!$C$11*(IF(MONTH($A3326)=Reference!$C$4,1,0)+IF(MONTH($A3326)=Reference!$C$5,1,0))+(IF(MONTH($A3326)=Reference!$C$6,Reference!$C$13,0))),0)</f>
        <v>352</v>
      </c>
      <c r="C3326" s="11">
        <f ca="1">B3326*Reference!$C$7*(1-IF(MONTH($A3326)=Reference!$C$6,1,0)*Reference!$C$12)</f>
        <v>327360</v>
      </c>
      <c r="D3326" s="10">
        <f ca="1">ROUND(_xlfn.NORM.INV(RAND(),Reference!$D$8,0.1*Reference!$D$8)*(1+Reference!$D$11*(IF(MONTH($A3326)=Reference!$D$4,1,0)+IF(MONTH($A3326)=Reference!$D$5,1,0))+(IF(MONTH($A3326)=Reference!$D$6,Reference!$D$13,0))),0)</f>
        <v>427</v>
      </c>
      <c r="E3326" s="11">
        <f ca="1">D3326*Reference!$D$7*(1-IF(MONTH($A3326)=Reference!$D$6,1,0)*Reference!$D$12)</f>
        <v>320250</v>
      </c>
      <c r="M3326" s="20"/>
      <c r="N3326" s="20"/>
      <c r="O3326" s="19"/>
      <c r="P3326" s="10"/>
      <c r="Q3326" s="10"/>
      <c r="R3326" s="10"/>
      <c r="S3326" s="10"/>
      <c r="T3326" s="10"/>
      <c r="U3326" s="10"/>
      <c r="V3326" s="10"/>
      <c r="W3326" s="10"/>
      <c r="X3326" s="10"/>
      <c r="Y3326" s="10"/>
    </row>
    <row r="3327" spans="1:25" x14ac:dyDescent="0.25">
      <c r="A3327" s="9">
        <v>43865</v>
      </c>
      <c r="B3327" s="10">
        <f ca="1">ROUND(_xlfn.NORM.INV(RAND(),Reference!$C$8,0.1*Reference!$C$8)*(1+Reference!$C$11*(IF(MONTH($A3327)=Reference!$C$4,1,0)+IF(MONTH($A3327)=Reference!$C$5,1,0))+(IF(MONTH($A3327)=Reference!$C$6,Reference!$C$13,0))),0)</f>
        <v>388</v>
      </c>
      <c r="C3327" s="11">
        <f ca="1">B3327*Reference!$C$7*(1-IF(MONTH($A3327)=Reference!$C$6,1,0)*Reference!$C$12)</f>
        <v>360840</v>
      </c>
      <c r="D3327" s="10">
        <f ca="1">ROUND(_xlfn.NORM.INV(RAND(),Reference!$D$8,0.1*Reference!$D$8)*(1+Reference!$D$11*(IF(MONTH($A3327)=Reference!$D$4,1,0)+IF(MONTH($A3327)=Reference!$D$5,1,0))+(IF(MONTH($A3327)=Reference!$D$6,Reference!$D$13,0))),0)</f>
        <v>484</v>
      </c>
      <c r="E3327" s="11">
        <f ca="1">D3327*Reference!$D$7*(1-IF(MONTH($A3327)=Reference!$D$6,1,0)*Reference!$D$12)</f>
        <v>363000</v>
      </c>
      <c r="M3327" s="20"/>
      <c r="N3327" s="20"/>
      <c r="O3327" s="19"/>
      <c r="P3327" s="10"/>
      <c r="Q3327" s="10"/>
      <c r="R3327" s="10"/>
      <c r="S3327" s="10"/>
      <c r="T3327" s="10"/>
      <c r="U3327" s="10"/>
      <c r="V3327" s="10"/>
      <c r="W3327" s="10"/>
      <c r="X3327" s="10"/>
      <c r="Y3327" s="10"/>
    </row>
    <row r="3328" spans="1:25" x14ac:dyDescent="0.25">
      <c r="A3328" s="9">
        <v>43866</v>
      </c>
      <c r="B3328" s="10">
        <f ca="1">ROUND(_xlfn.NORM.INV(RAND(),Reference!$C$8,0.1*Reference!$C$8)*(1+Reference!$C$11*(IF(MONTH($A3328)=Reference!$C$4,1,0)+IF(MONTH($A3328)=Reference!$C$5,1,0))+(IF(MONTH($A3328)=Reference!$C$6,Reference!$C$13,0))),0)</f>
        <v>349</v>
      </c>
      <c r="C3328" s="11">
        <f ca="1">B3328*Reference!$C$7*(1-IF(MONTH($A3328)=Reference!$C$6,1,0)*Reference!$C$12)</f>
        <v>324570</v>
      </c>
      <c r="D3328" s="10">
        <f ca="1">ROUND(_xlfn.NORM.INV(RAND(),Reference!$D$8,0.1*Reference!$D$8)*(1+Reference!$D$11*(IF(MONTH($A3328)=Reference!$D$4,1,0)+IF(MONTH($A3328)=Reference!$D$5,1,0))+(IF(MONTH($A3328)=Reference!$D$6,Reference!$D$13,0))),0)</f>
        <v>421</v>
      </c>
      <c r="E3328" s="11">
        <f ca="1">D3328*Reference!$D$7*(1-IF(MONTH($A3328)=Reference!$D$6,1,0)*Reference!$D$12)</f>
        <v>315750</v>
      </c>
      <c r="M3328" s="20"/>
      <c r="N3328" s="20"/>
      <c r="O3328" s="19"/>
      <c r="P3328" s="10"/>
      <c r="Q3328" s="10"/>
      <c r="R3328" s="10"/>
      <c r="S3328" s="10"/>
      <c r="T3328" s="10"/>
      <c r="U3328" s="10"/>
      <c r="V3328" s="10"/>
      <c r="W3328" s="10"/>
      <c r="X3328" s="10"/>
      <c r="Y3328" s="10"/>
    </row>
    <row r="3329" spans="1:25" x14ac:dyDescent="0.25">
      <c r="A3329" s="9">
        <v>43867</v>
      </c>
      <c r="B3329" s="10">
        <f ca="1">ROUND(_xlfn.NORM.INV(RAND(),Reference!$C$8,0.1*Reference!$C$8)*(1+Reference!$C$11*(IF(MONTH($A3329)=Reference!$C$4,1,0)+IF(MONTH($A3329)=Reference!$C$5,1,0))+(IF(MONTH($A3329)=Reference!$C$6,Reference!$C$13,0))),0)</f>
        <v>416</v>
      </c>
      <c r="C3329" s="11">
        <f ca="1">B3329*Reference!$C$7*(1-IF(MONTH($A3329)=Reference!$C$6,1,0)*Reference!$C$12)</f>
        <v>386880</v>
      </c>
      <c r="D3329" s="10">
        <f ca="1">ROUND(_xlfn.NORM.INV(RAND(),Reference!$D$8,0.1*Reference!$D$8)*(1+Reference!$D$11*(IF(MONTH($A3329)=Reference!$D$4,1,0)+IF(MONTH($A3329)=Reference!$D$5,1,0))+(IF(MONTH($A3329)=Reference!$D$6,Reference!$D$13,0))),0)</f>
        <v>395</v>
      </c>
      <c r="E3329" s="11">
        <f ca="1">D3329*Reference!$D$7*(1-IF(MONTH($A3329)=Reference!$D$6,1,0)*Reference!$D$12)</f>
        <v>296250</v>
      </c>
      <c r="M3329" s="20"/>
      <c r="N3329" s="20"/>
      <c r="O3329" s="19"/>
      <c r="P3329" s="10"/>
      <c r="Q3329" s="10"/>
      <c r="R3329" s="10"/>
      <c r="S3329" s="10"/>
      <c r="T3329" s="10"/>
      <c r="U3329" s="10"/>
      <c r="V3329" s="10"/>
      <c r="W3329" s="10"/>
      <c r="X3329" s="10"/>
      <c r="Y3329" s="10"/>
    </row>
    <row r="3330" spans="1:25" x14ac:dyDescent="0.25">
      <c r="A3330" s="9">
        <v>43868</v>
      </c>
      <c r="B3330" s="10">
        <f ca="1">ROUND(_xlfn.NORM.INV(RAND(),Reference!$C$8,0.1*Reference!$C$8)*(1+Reference!$C$11*(IF(MONTH($A3330)=Reference!$C$4,1,0)+IF(MONTH($A3330)=Reference!$C$5,1,0))+(IF(MONTH($A3330)=Reference!$C$6,Reference!$C$13,0))),0)</f>
        <v>379</v>
      </c>
      <c r="C3330" s="11">
        <f ca="1">B3330*Reference!$C$7*(1-IF(MONTH($A3330)=Reference!$C$6,1,0)*Reference!$C$12)</f>
        <v>352470</v>
      </c>
      <c r="D3330" s="10">
        <f ca="1">ROUND(_xlfn.NORM.INV(RAND(),Reference!$D$8,0.1*Reference!$D$8)*(1+Reference!$D$11*(IF(MONTH($A3330)=Reference!$D$4,1,0)+IF(MONTH($A3330)=Reference!$D$5,1,0))+(IF(MONTH($A3330)=Reference!$D$6,Reference!$D$13,0))),0)</f>
        <v>512</v>
      </c>
      <c r="E3330" s="11">
        <f ca="1">D3330*Reference!$D$7*(1-IF(MONTH($A3330)=Reference!$D$6,1,0)*Reference!$D$12)</f>
        <v>384000</v>
      </c>
      <c r="M3330" s="20"/>
      <c r="N3330" s="20"/>
      <c r="O3330" s="19"/>
      <c r="P3330" s="10"/>
      <c r="Q3330" s="10"/>
      <c r="R3330" s="10"/>
      <c r="S3330" s="10"/>
      <c r="T3330" s="10"/>
      <c r="U3330" s="10"/>
      <c r="V3330" s="10"/>
      <c r="W3330" s="10"/>
      <c r="X3330" s="10"/>
      <c r="Y3330" s="10"/>
    </row>
    <row r="3331" spans="1:25" x14ac:dyDescent="0.25">
      <c r="A3331" s="9">
        <v>43869</v>
      </c>
      <c r="B3331" s="10">
        <f ca="1">ROUND(_xlfn.NORM.INV(RAND(),Reference!$C$8,0.1*Reference!$C$8)*(1+Reference!$C$11*(IF(MONTH($A3331)=Reference!$C$4,1,0)+IF(MONTH($A3331)=Reference!$C$5,1,0))+(IF(MONTH($A3331)=Reference!$C$6,Reference!$C$13,0))),0)</f>
        <v>392</v>
      </c>
      <c r="C3331" s="11">
        <f ca="1">B3331*Reference!$C$7*(1-IF(MONTH($A3331)=Reference!$C$6,1,0)*Reference!$C$12)</f>
        <v>364560</v>
      </c>
      <c r="D3331" s="10">
        <f ca="1">ROUND(_xlfn.NORM.INV(RAND(),Reference!$D$8,0.1*Reference!$D$8)*(1+Reference!$D$11*(IF(MONTH($A3331)=Reference!$D$4,1,0)+IF(MONTH($A3331)=Reference!$D$5,1,0))+(IF(MONTH($A3331)=Reference!$D$6,Reference!$D$13,0))),0)</f>
        <v>471</v>
      </c>
      <c r="E3331" s="11">
        <f ca="1">D3331*Reference!$D$7*(1-IF(MONTH($A3331)=Reference!$D$6,1,0)*Reference!$D$12)</f>
        <v>353250</v>
      </c>
      <c r="M3331" s="20"/>
      <c r="N3331" s="20"/>
      <c r="O3331" s="19"/>
      <c r="P3331" s="10"/>
      <c r="Q3331" s="10"/>
      <c r="R3331" s="10"/>
      <c r="S3331" s="10"/>
      <c r="T3331" s="10"/>
      <c r="U3331" s="10"/>
      <c r="V3331" s="10"/>
      <c r="W3331" s="10"/>
      <c r="X3331" s="10"/>
      <c r="Y3331" s="10"/>
    </row>
    <row r="3332" spans="1:25" x14ac:dyDescent="0.25">
      <c r="A3332" s="9">
        <v>43870</v>
      </c>
      <c r="B3332" s="10">
        <f ca="1">ROUND(_xlfn.NORM.INV(RAND(),Reference!$C$8,0.1*Reference!$C$8)*(1+Reference!$C$11*(IF(MONTH($A3332)=Reference!$C$4,1,0)+IF(MONTH($A3332)=Reference!$C$5,1,0))+(IF(MONTH($A3332)=Reference!$C$6,Reference!$C$13,0))),0)</f>
        <v>421</v>
      </c>
      <c r="C3332" s="11">
        <f ca="1">B3332*Reference!$C$7*(1-IF(MONTH($A3332)=Reference!$C$6,1,0)*Reference!$C$12)</f>
        <v>391530</v>
      </c>
      <c r="D3332" s="10">
        <f ca="1">ROUND(_xlfn.NORM.INV(RAND(),Reference!$D$8,0.1*Reference!$D$8)*(1+Reference!$D$11*(IF(MONTH($A3332)=Reference!$D$4,1,0)+IF(MONTH($A3332)=Reference!$D$5,1,0))+(IF(MONTH($A3332)=Reference!$D$6,Reference!$D$13,0))),0)</f>
        <v>408</v>
      </c>
      <c r="E3332" s="11">
        <f ca="1">D3332*Reference!$D$7*(1-IF(MONTH($A3332)=Reference!$D$6,1,0)*Reference!$D$12)</f>
        <v>306000</v>
      </c>
      <c r="M3332" s="20"/>
      <c r="N3332" s="20"/>
      <c r="O3332" s="19"/>
      <c r="P3332" s="10"/>
      <c r="Q3332" s="10"/>
      <c r="R3332" s="10"/>
      <c r="S3332" s="10"/>
      <c r="T3332" s="10"/>
      <c r="U3332" s="10"/>
      <c r="V3332" s="10"/>
      <c r="W3332" s="10"/>
      <c r="X3332" s="10"/>
      <c r="Y3332" s="10"/>
    </row>
    <row r="3333" spans="1:25" x14ac:dyDescent="0.25">
      <c r="A3333" s="9">
        <v>43871</v>
      </c>
      <c r="B3333" s="10">
        <f ca="1">ROUND(_xlfn.NORM.INV(RAND(),Reference!$C$8,0.1*Reference!$C$8)*(1+Reference!$C$11*(IF(MONTH($A3333)=Reference!$C$4,1,0)+IF(MONTH($A3333)=Reference!$C$5,1,0))+(IF(MONTH($A3333)=Reference!$C$6,Reference!$C$13,0))),0)</f>
        <v>380</v>
      </c>
      <c r="C3333" s="11">
        <f ca="1">B3333*Reference!$C$7*(1-IF(MONTH($A3333)=Reference!$C$6,1,0)*Reference!$C$12)</f>
        <v>353400</v>
      </c>
      <c r="D3333" s="10">
        <f ca="1">ROUND(_xlfn.NORM.INV(RAND(),Reference!$D$8,0.1*Reference!$D$8)*(1+Reference!$D$11*(IF(MONTH($A3333)=Reference!$D$4,1,0)+IF(MONTH($A3333)=Reference!$D$5,1,0))+(IF(MONTH($A3333)=Reference!$D$6,Reference!$D$13,0))),0)</f>
        <v>410</v>
      </c>
      <c r="E3333" s="11">
        <f ca="1">D3333*Reference!$D$7*(1-IF(MONTH($A3333)=Reference!$D$6,1,0)*Reference!$D$12)</f>
        <v>307500</v>
      </c>
      <c r="M3333" s="20"/>
      <c r="N3333" s="20"/>
      <c r="O3333" s="19"/>
      <c r="P3333" s="10"/>
      <c r="Q3333" s="10"/>
      <c r="R3333" s="10"/>
      <c r="S3333" s="10"/>
      <c r="T3333" s="10"/>
      <c r="U3333" s="10"/>
      <c r="V3333" s="10"/>
      <c r="W3333" s="10"/>
      <c r="X3333" s="10"/>
      <c r="Y3333" s="10"/>
    </row>
    <row r="3334" spans="1:25" x14ac:dyDescent="0.25">
      <c r="A3334" s="9">
        <v>43872</v>
      </c>
      <c r="B3334" s="10">
        <f ca="1">ROUND(_xlfn.NORM.INV(RAND(),Reference!$C$8,0.1*Reference!$C$8)*(1+Reference!$C$11*(IF(MONTH($A3334)=Reference!$C$4,1,0)+IF(MONTH($A3334)=Reference!$C$5,1,0))+(IF(MONTH($A3334)=Reference!$C$6,Reference!$C$13,0))),0)</f>
        <v>322</v>
      </c>
      <c r="C3334" s="11">
        <f ca="1">B3334*Reference!$C$7*(1-IF(MONTH($A3334)=Reference!$C$6,1,0)*Reference!$C$12)</f>
        <v>299460</v>
      </c>
      <c r="D3334" s="10">
        <f ca="1">ROUND(_xlfn.NORM.INV(RAND(),Reference!$D$8,0.1*Reference!$D$8)*(1+Reference!$D$11*(IF(MONTH($A3334)=Reference!$D$4,1,0)+IF(MONTH($A3334)=Reference!$D$5,1,0))+(IF(MONTH($A3334)=Reference!$D$6,Reference!$D$13,0))),0)</f>
        <v>373</v>
      </c>
      <c r="E3334" s="11">
        <f ca="1">D3334*Reference!$D$7*(1-IF(MONTH($A3334)=Reference!$D$6,1,0)*Reference!$D$12)</f>
        <v>279750</v>
      </c>
      <c r="M3334" s="20"/>
      <c r="N3334" s="20"/>
      <c r="O3334" s="19"/>
      <c r="P3334" s="10"/>
      <c r="Q3334" s="10"/>
      <c r="R3334" s="10"/>
      <c r="S3334" s="10"/>
      <c r="T3334" s="10"/>
      <c r="U3334" s="10"/>
      <c r="V3334" s="10"/>
      <c r="W3334" s="10"/>
      <c r="X3334" s="10"/>
      <c r="Y3334" s="10"/>
    </row>
    <row r="3335" spans="1:25" x14ac:dyDescent="0.25">
      <c r="A3335" s="9">
        <v>43873</v>
      </c>
      <c r="B3335" s="10">
        <f ca="1">ROUND(_xlfn.NORM.INV(RAND(),Reference!$C$8,0.1*Reference!$C$8)*(1+Reference!$C$11*(IF(MONTH($A3335)=Reference!$C$4,1,0)+IF(MONTH($A3335)=Reference!$C$5,1,0))+(IF(MONTH($A3335)=Reference!$C$6,Reference!$C$13,0))),0)</f>
        <v>349</v>
      </c>
      <c r="C3335" s="11">
        <f ca="1">B3335*Reference!$C$7*(1-IF(MONTH($A3335)=Reference!$C$6,1,0)*Reference!$C$12)</f>
        <v>324570</v>
      </c>
      <c r="D3335" s="10">
        <f ca="1">ROUND(_xlfn.NORM.INV(RAND(),Reference!$D$8,0.1*Reference!$D$8)*(1+Reference!$D$11*(IF(MONTH($A3335)=Reference!$D$4,1,0)+IF(MONTH($A3335)=Reference!$D$5,1,0))+(IF(MONTH($A3335)=Reference!$D$6,Reference!$D$13,0))),0)</f>
        <v>543</v>
      </c>
      <c r="E3335" s="11">
        <f ca="1">D3335*Reference!$D$7*(1-IF(MONTH($A3335)=Reference!$D$6,1,0)*Reference!$D$12)</f>
        <v>407250</v>
      </c>
      <c r="M3335" s="20"/>
      <c r="N3335" s="20"/>
      <c r="O3335" s="19"/>
      <c r="P3335" s="10"/>
      <c r="Q3335" s="10"/>
      <c r="R3335" s="10"/>
      <c r="S3335" s="10"/>
      <c r="T3335" s="10"/>
      <c r="U3335" s="10"/>
      <c r="V3335" s="10"/>
      <c r="W3335" s="10"/>
      <c r="X3335" s="10"/>
      <c r="Y3335" s="10"/>
    </row>
    <row r="3336" spans="1:25" x14ac:dyDescent="0.25">
      <c r="A3336" s="9">
        <v>43874</v>
      </c>
      <c r="B3336" s="10">
        <f ca="1">ROUND(_xlfn.NORM.INV(RAND(),Reference!$C$8,0.1*Reference!$C$8)*(1+Reference!$C$11*(IF(MONTH($A3336)=Reference!$C$4,1,0)+IF(MONTH($A3336)=Reference!$C$5,1,0))+(IF(MONTH($A3336)=Reference!$C$6,Reference!$C$13,0))),0)</f>
        <v>387</v>
      </c>
      <c r="C3336" s="11">
        <f ca="1">B3336*Reference!$C$7*(1-IF(MONTH($A3336)=Reference!$C$6,1,0)*Reference!$C$12)</f>
        <v>359910</v>
      </c>
      <c r="D3336" s="10">
        <f ca="1">ROUND(_xlfn.NORM.INV(RAND(),Reference!$D$8,0.1*Reference!$D$8)*(1+Reference!$D$11*(IF(MONTH($A3336)=Reference!$D$4,1,0)+IF(MONTH($A3336)=Reference!$D$5,1,0))+(IF(MONTH($A3336)=Reference!$D$6,Reference!$D$13,0))),0)</f>
        <v>427</v>
      </c>
      <c r="E3336" s="11">
        <f ca="1">D3336*Reference!$D$7*(1-IF(MONTH($A3336)=Reference!$D$6,1,0)*Reference!$D$12)</f>
        <v>320250</v>
      </c>
      <c r="M3336" s="20"/>
      <c r="N3336" s="20"/>
      <c r="O3336" s="19"/>
      <c r="P3336" s="10"/>
      <c r="Q3336" s="10"/>
      <c r="R3336" s="10"/>
      <c r="S3336" s="10"/>
      <c r="T3336" s="10"/>
      <c r="U3336" s="10"/>
      <c r="V3336" s="10"/>
      <c r="W3336" s="10"/>
      <c r="X3336" s="10"/>
      <c r="Y3336" s="10"/>
    </row>
    <row r="3337" spans="1:25" x14ac:dyDescent="0.25">
      <c r="A3337" s="9">
        <v>43875</v>
      </c>
      <c r="B3337" s="10">
        <f ca="1">ROUND(_xlfn.NORM.INV(RAND(),Reference!$C$8,0.1*Reference!$C$8)*(1+Reference!$C$11*(IF(MONTH($A3337)=Reference!$C$4,1,0)+IF(MONTH($A3337)=Reference!$C$5,1,0))+(IF(MONTH($A3337)=Reference!$C$6,Reference!$C$13,0))),0)</f>
        <v>354</v>
      </c>
      <c r="C3337" s="11">
        <f ca="1">B3337*Reference!$C$7*(1-IF(MONTH($A3337)=Reference!$C$6,1,0)*Reference!$C$12)</f>
        <v>329220</v>
      </c>
      <c r="D3337" s="10">
        <f ca="1">ROUND(_xlfn.NORM.INV(RAND(),Reference!$D$8,0.1*Reference!$D$8)*(1+Reference!$D$11*(IF(MONTH($A3337)=Reference!$D$4,1,0)+IF(MONTH($A3337)=Reference!$D$5,1,0))+(IF(MONTH($A3337)=Reference!$D$6,Reference!$D$13,0))),0)</f>
        <v>540</v>
      </c>
      <c r="E3337" s="11">
        <f ca="1">D3337*Reference!$D$7*(1-IF(MONTH($A3337)=Reference!$D$6,1,0)*Reference!$D$12)</f>
        <v>405000</v>
      </c>
      <c r="M3337" s="20"/>
      <c r="N3337" s="20"/>
      <c r="O3337" s="19"/>
      <c r="P3337" s="10"/>
      <c r="Q3337" s="10"/>
      <c r="R3337" s="10"/>
      <c r="S3337" s="10"/>
      <c r="T3337" s="10"/>
      <c r="U3337" s="10"/>
      <c r="V3337" s="10"/>
      <c r="W3337" s="10"/>
      <c r="X3337" s="10"/>
      <c r="Y3337" s="10"/>
    </row>
    <row r="3338" spans="1:25" x14ac:dyDescent="0.25">
      <c r="A3338" s="9">
        <v>43876</v>
      </c>
      <c r="B3338" s="10">
        <f ca="1">ROUND(_xlfn.NORM.INV(RAND(),Reference!$C$8,0.1*Reference!$C$8)*(1+Reference!$C$11*(IF(MONTH($A3338)=Reference!$C$4,1,0)+IF(MONTH($A3338)=Reference!$C$5,1,0))+(IF(MONTH($A3338)=Reference!$C$6,Reference!$C$13,0))),0)</f>
        <v>295</v>
      </c>
      <c r="C3338" s="11">
        <f ca="1">B3338*Reference!$C$7*(1-IF(MONTH($A3338)=Reference!$C$6,1,0)*Reference!$C$12)</f>
        <v>274350</v>
      </c>
      <c r="D3338" s="10">
        <f ca="1">ROUND(_xlfn.NORM.INV(RAND(),Reference!$D$8,0.1*Reference!$D$8)*(1+Reference!$D$11*(IF(MONTH($A3338)=Reference!$D$4,1,0)+IF(MONTH($A3338)=Reference!$D$5,1,0))+(IF(MONTH($A3338)=Reference!$D$6,Reference!$D$13,0))),0)</f>
        <v>460</v>
      </c>
      <c r="E3338" s="11">
        <f ca="1">D3338*Reference!$D$7*(1-IF(MONTH($A3338)=Reference!$D$6,1,0)*Reference!$D$12)</f>
        <v>345000</v>
      </c>
      <c r="M3338" s="20"/>
      <c r="N3338" s="20"/>
      <c r="O3338" s="19"/>
      <c r="P3338" s="10"/>
      <c r="Q3338" s="10"/>
      <c r="R3338" s="10"/>
      <c r="S3338" s="10"/>
      <c r="T3338" s="10"/>
      <c r="U3338" s="10"/>
      <c r="V3338" s="10"/>
      <c r="W3338" s="10"/>
      <c r="X3338" s="10"/>
      <c r="Y3338" s="10"/>
    </row>
    <row r="3339" spans="1:25" x14ac:dyDescent="0.25">
      <c r="A3339" s="9">
        <v>43877</v>
      </c>
      <c r="B3339" s="10">
        <f ca="1">ROUND(_xlfn.NORM.INV(RAND(),Reference!$C$8,0.1*Reference!$C$8)*(1+Reference!$C$11*(IF(MONTH($A3339)=Reference!$C$4,1,0)+IF(MONTH($A3339)=Reference!$C$5,1,0))+(IF(MONTH($A3339)=Reference!$C$6,Reference!$C$13,0))),0)</f>
        <v>310</v>
      </c>
      <c r="C3339" s="11">
        <f ca="1">B3339*Reference!$C$7*(1-IF(MONTH($A3339)=Reference!$C$6,1,0)*Reference!$C$12)</f>
        <v>288300</v>
      </c>
      <c r="D3339" s="10">
        <f ca="1">ROUND(_xlfn.NORM.INV(RAND(),Reference!$D$8,0.1*Reference!$D$8)*(1+Reference!$D$11*(IF(MONTH($A3339)=Reference!$D$4,1,0)+IF(MONTH($A3339)=Reference!$D$5,1,0))+(IF(MONTH($A3339)=Reference!$D$6,Reference!$D$13,0))),0)</f>
        <v>465</v>
      </c>
      <c r="E3339" s="11">
        <f ca="1">D3339*Reference!$D$7*(1-IF(MONTH($A3339)=Reference!$D$6,1,0)*Reference!$D$12)</f>
        <v>348750</v>
      </c>
      <c r="M3339" s="20"/>
      <c r="N3339" s="20"/>
      <c r="O3339" s="19"/>
      <c r="P3339" s="10"/>
      <c r="Q3339" s="10"/>
      <c r="R3339" s="10"/>
      <c r="S3339" s="10"/>
      <c r="T3339" s="10"/>
      <c r="U3339" s="10"/>
      <c r="V3339" s="10"/>
      <c r="W3339" s="10"/>
      <c r="X3339" s="10"/>
      <c r="Y3339" s="10"/>
    </row>
    <row r="3340" spans="1:25" x14ac:dyDescent="0.25">
      <c r="A3340" s="9">
        <v>43878</v>
      </c>
      <c r="B3340" s="10">
        <f ca="1">ROUND(_xlfn.NORM.INV(RAND(),Reference!$C$8,0.1*Reference!$C$8)*(1+Reference!$C$11*(IF(MONTH($A3340)=Reference!$C$4,1,0)+IF(MONTH($A3340)=Reference!$C$5,1,0))+(IF(MONTH($A3340)=Reference!$C$6,Reference!$C$13,0))),0)</f>
        <v>314</v>
      </c>
      <c r="C3340" s="11">
        <f ca="1">B3340*Reference!$C$7*(1-IF(MONTH($A3340)=Reference!$C$6,1,0)*Reference!$C$12)</f>
        <v>292020</v>
      </c>
      <c r="D3340" s="10">
        <f ca="1">ROUND(_xlfn.NORM.INV(RAND(),Reference!$D$8,0.1*Reference!$D$8)*(1+Reference!$D$11*(IF(MONTH($A3340)=Reference!$D$4,1,0)+IF(MONTH($A3340)=Reference!$D$5,1,0))+(IF(MONTH($A3340)=Reference!$D$6,Reference!$D$13,0))),0)</f>
        <v>409</v>
      </c>
      <c r="E3340" s="11">
        <f ca="1">D3340*Reference!$D$7*(1-IF(MONTH($A3340)=Reference!$D$6,1,0)*Reference!$D$12)</f>
        <v>306750</v>
      </c>
      <c r="M3340" s="20"/>
      <c r="N3340" s="20"/>
      <c r="O3340" s="19"/>
      <c r="P3340" s="10"/>
      <c r="Q3340" s="10"/>
      <c r="R3340" s="10"/>
      <c r="S3340" s="10"/>
      <c r="T3340" s="10"/>
      <c r="U3340" s="10"/>
      <c r="V3340" s="10"/>
      <c r="W3340" s="10"/>
      <c r="X3340" s="10"/>
      <c r="Y3340" s="10"/>
    </row>
    <row r="3341" spans="1:25" x14ac:dyDescent="0.25">
      <c r="A3341" s="9">
        <v>43879</v>
      </c>
      <c r="B3341" s="10">
        <f ca="1">ROUND(_xlfn.NORM.INV(RAND(),Reference!$C$8,0.1*Reference!$C$8)*(1+Reference!$C$11*(IF(MONTH($A3341)=Reference!$C$4,1,0)+IF(MONTH($A3341)=Reference!$C$5,1,0))+(IF(MONTH($A3341)=Reference!$C$6,Reference!$C$13,0))),0)</f>
        <v>326</v>
      </c>
      <c r="C3341" s="11">
        <f ca="1">B3341*Reference!$C$7*(1-IF(MONTH($A3341)=Reference!$C$6,1,0)*Reference!$C$12)</f>
        <v>303180</v>
      </c>
      <c r="D3341" s="10">
        <f ca="1">ROUND(_xlfn.NORM.INV(RAND(),Reference!$D$8,0.1*Reference!$D$8)*(1+Reference!$D$11*(IF(MONTH($A3341)=Reference!$D$4,1,0)+IF(MONTH($A3341)=Reference!$D$5,1,0))+(IF(MONTH($A3341)=Reference!$D$6,Reference!$D$13,0))),0)</f>
        <v>438</v>
      </c>
      <c r="E3341" s="11">
        <f ca="1">D3341*Reference!$D$7*(1-IF(MONTH($A3341)=Reference!$D$6,1,0)*Reference!$D$12)</f>
        <v>328500</v>
      </c>
      <c r="M3341" s="20"/>
      <c r="N3341" s="20"/>
      <c r="O3341" s="19"/>
      <c r="P3341" s="10"/>
      <c r="Q3341" s="10"/>
      <c r="R3341" s="10"/>
      <c r="S3341" s="10"/>
      <c r="T3341" s="10"/>
      <c r="U3341" s="10"/>
      <c r="V3341" s="10"/>
      <c r="W3341" s="10"/>
      <c r="X3341" s="10"/>
      <c r="Y3341" s="10"/>
    </row>
    <row r="3342" spans="1:25" x14ac:dyDescent="0.25">
      <c r="A3342" s="9">
        <v>43880</v>
      </c>
      <c r="B3342" s="10">
        <f ca="1">ROUND(_xlfn.NORM.INV(RAND(),Reference!$C$8,0.1*Reference!$C$8)*(1+Reference!$C$11*(IF(MONTH($A3342)=Reference!$C$4,1,0)+IF(MONTH($A3342)=Reference!$C$5,1,0))+(IF(MONTH($A3342)=Reference!$C$6,Reference!$C$13,0))),0)</f>
        <v>376</v>
      </c>
      <c r="C3342" s="11">
        <f ca="1">B3342*Reference!$C$7*(1-IF(MONTH($A3342)=Reference!$C$6,1,0)*Reference!$C$12)</f>
        <v>349680</v>
      </c>
      <c r="D3342" s="10">
        <f ca="1">ROUND(_xlfn.NORM.INV(RAND(),Reference!$D$8,0.1*Reference!$D$8)*(1+Reference!$D$11*(IF(MONTH($A3342)=Reference!$D$4,1,0)+IF(MONTH($A3342)=Reference!$D$5,1,0))+(IF(MONTH($A3342)=Reference!$D$6,Reference!$D$13,0))),0)</f>
        <v>427</v>
      </c>
      <c r="E3342" s="11">
        <f ca="1">D3342*Reference!$D$7*(1-IF(MONTH($A3342)=Reference!$D$6,1,0)*Reference!$D$12)</f>
        <v>320250</v>
      </c>
      <c r="M3342" s="20"/>
      <c r="N3342" s="20"/>
      <c r="O3342" s="19"/>
      <c r="P3342" s="10"/>
      <c r="Q3342" s="10"/>
      <c r="R3342" s="10"/>
      <c r="S3342" s="10"/>
      <c r="T3342" s="10"/>
      <c r="U3342" s="10"/>
      <c r="V3342" s="10"/>
      <c r="W3342" s="10"/>
      <c r="X3342" s="10"/>
      <c r="Y3342" s="10"/>
    </row>
    <row r="3343" spans="1:25" x14ac:dyDescent="0.25">
      <c r="A3343" s="9">
        <v>43881</v>
      </c>
      <c r="B3343" s="10">
        <f ca="1">ROUND(_xlfn.NORM.INV(RAND(),Reference!$C$8,0.1*Reference!$C$8)*(1+Reference!$C$11*(IF(MONTH($A3343)=Reference!$C$4,1,0)+IF(MONTH($A3343)=Reference!$C$5,1,0))+(IF(MONTH($A3343)=Reference!$C$6,Reference!$C$13,0))),0)</f>
        <v>384</v>
      </c>
      <c r="C3343" s="11">
        <f ca="1">B3343*Reference!$C$7*(1-IF(MONTH($A3343)=Reference!$C$6,1,0)*Reference!$C$12)</f>
        <v>357120</v>
      </c>
      <c r="D3343" s="10">
        <f ca="1">ROUND(_xlfn.NORM.INV(RAND(),Reference!$D$8,0.1*Reference!$D$8)*(1+Reference!$D$11*(IF(MONTH($A3343)=Reference!$D$4,1,0)+IF(MONTH($A3343)=Reference!$D$5,1,0))+(IF(MONTH($A3343)=Reference!$D$6,Reference!$D$13,0))),0)</f>
        <v>456</v>
      </c>
      <c r="E3343" s="11">
        <f ca="1">D3343*Reference!$D$7*(1-IF(MONTH($A3343)=Reference!$D$6,1,0)*Reference!$D$12)</f>
        <v>342000</v>
      </c>
      <c r="M3343" s="20"/>
      <c r="N3343" s="20"/>
      <c r="O3343" s="19"/>
      <c r="P3343" s="10"/>
      <c r="Q3343" s="10"/>
      <c r="R3343" s="10"/>
      <c r="S3343" s="10"/>
      <c r="T3343" s="10"/>
      <c r="U3343" s="10"/>
      <c r="V3343" s="10"/>
      <c r="W3343" s="10"/>
      <c r="X3343" s="10"/>
      <c r="Y3343" s="10"/>
    </row>
    <row r="3344" spans="1:25" x14ac:dyDescent="0.25">
      <c r="A3344" s="9">
        <v>43882</v>
      </c>
      <c r="B3344" s="10">
        <f ca="1">ROUND(_xlfn.NORM.INV(RAND(),Reference!$C$8,0.1*Reference!$C$8)*(1+Reference!$C$11*(IF(MONTH($A3344)=Reference!$C$4,1,0)+IF(MONTH($A3344)=Reference!$C$5,1,0))+(IF(MONTH($A3344)=Reference!$C$6,Reference!$C$13,0))),0)</f>
        <v>413</v>
      </c>
      <c r="C3344" s="11">
        <f ca="1">B3344*Reference!$C$7*(1-IF(MONTH($A3344)=Reference!$C$6,1,0)*Reference!$C$12)</f>
        <v>384090</v>
      </c>
      <c r="D3344" s="10">
        <f ca="1">ROUND(_xlfn.NORM.INV(RAND(),Reference!$D$8,0.1*Reference!$D$8)*(1+Reference!$D$11*(IF(MONTH($A3344)=Reference!$D$4,1,0)+IF(MONTH($A3344)=Reference!$D$5,1,0))+(IF(MONTH($A3344)=Reference!$D$6,Reference!$D$13,0))),0)</f>
        <v>514</v>
      </c>
      <c r="E3344" s="11">
        <f ca="1">D3344*Reference!$D$7*(1-IF(MONTH($A3344)=Reference!$D$6,1,0)*Reference!$D$12)</f>
        <v>385500</v>
      </c>
      <c r="M3344" s="20"/>
      <c r="N3344" s="20"/>
      <c r="O3344" s="19"/>
      <c r="P3344" s="10"/>
      <c r="Q3344" s="10"/>
      <c r="R3344" s="10"/>
      <c r="S3344" s="10"/>
      <c r="T3344" s="10"/>
      <c r="U3344" s="10"/>
      <c r="V3344" s="10"/>
      <c r="W3344" s="10"/>
      <c r="X3344" s="10"/>
      <c r="Y3344" s="10"/>
    </row>
    <row r="3345" spans="1:25" x14ac:dyDescent="0.25">
      <c r="A3345" s="9">
        <v>43883</v>
      </c>
      <c r="B3345" s="10">
        <f ca="1">ROUND(_xlfn.NORM.INV(RAND(),Reference!$C$8,0.1*Reference!$C$8)*(1+Reference!$C$11*(IF(MONTH($A3345)=Reference!$C$4,1,0)+IF(MONTH($A3345)=Reference!$C$5,1,0))+(IF(MONTH($A3345)=Reference!$C$6,Reference!$C$13,0))),0)</f>
        <v>414</v>
      </c>
      <c r="C3345" s="11">
        <f ca="1">B3345*Reference!$C$7*(1-IF(MONTH($A3345)=Reference!$C$6,1,0)*Reference!$C$12)</f>
        <v>385020</v>
      </c>
      <c r="D3345" s="10">
        <f ca="1">ROUND(_xlfn.NORM.INV(RAND(),Reference!$D$8,0.1*Reference!$D$8)*(1+Reference!$D$11*(IF(MONTH($A3345)=Reference!$D$4,1,0)+IF(MONTH($A3345)=Reference!$D$5,1,0))+(IF(MONTH($A3345)=Reference!$D$6,Reference!$D$13,0))),0)</f>
        <v>463</v>
      </c>
      <c r="E3345" s="11">
        <f ca="1">D3345*Reference!$D$7*(1-IF(MONTH($A3345)=Reference!$D$6,1,0)*Reference!$D$12)</f>
        <v>347250</v>
      </c>
      <c r="M3345" s="20"/>
      <c r="N3345" s="20"/>
      <c r="O3345" s="19"/>
      <c r="P3345" s="10"/>
      <c r="Q3345" s="10"/>
      <c r="R3345" s="10"/>
      <c r="S3345" s="10"/>
      <c r="T3345" s="10"/>
      <c r="U3345" s="10"/>
      <c r="V3345" s="10"/>
      <c r="W3345" s="10"/>
      <c r="X3345" s="10"/>
      <c r="Y3345" s="10"/>
    </row>
    <row r="3346" spans="1:25" x14ac:dyDescent="0.25">
      <c r="A3346" s="9">
        <v>43884</v>
      </c>
      <c r="B3346" s="10">
        <f ca="1">ROUND(_xlfn.NORM.INV(RAND(),Reference!$C$8,0.1*Reference!$C$8)*(1+Reference!$C$11*(IF(MONTH($A3346)=Reference!$C$4,1,0)+IF(MONTH($A3346)=Reference!$C$5,1,0))+(IF(MONTH($A3346)=Reference!$C$6,Reference!$C$13,0))),0)</f>
        <v>363</v>
      </c>
      <c r="C3346" s="11">
        <f ca="1">B3346*Reference!$C$7*(1-IF(MONTH($A3346)=Reference!$C$6,1,0)*Reference!$C$12)</f>
        <v>337590</v>
      </c>
      <c r="D3346" s="10">
        <f ca="1">ROUND(_xlfn.NORM.INV(RAND(),Reference!$D$8,0.1*Reference!$D$8)*(1+Reference!$D$11*(IF(MONTH($A3346)=Reference!$D$4,1,0)+IF(MONTH($A3346)=Reference!$D$5,1,0))+(IF(MONTH($A3346)=Reference!$D$6,Reference!$D$13,0))),0)</f>
        <v>430</v>
      </c>
      <c r="E3346" s="11">
        <f ca="1">D3346*Reference!$D$7*(1-IF(MONTH($A3346)=Reference!$D$6,1,0)*Reference!$D$12)</f>
        <v>322500</v>
      </c>
      <c r="M3346" s="20"/>
      <c r="N3346" s="20"/>
      <c r="O3346" s="19"/>
      <c r="P3346" s="10"/>
      <c r="Q3346" s="10"/>
      <c r="R3346" s="10"/>
      <c r="S3346" s="10"/>
      <c r="T3346" s="10"/>
      <c r="U3346" s="10"/>
      <c r="V3346" s="10"/>
      <c r="W3346" s="10"/>
      <c r="X3346" s="10"/>
      <c r="Y3346" s="10"/>
    </row>
    <row r="3347" spans="1:25" x14ac:dyDescent="0.25">
      <c r="A3347" s="9">
        <v>43885</v>
      </c>
      <c r="B3347" s="10">
        <f ca="1">ROUND(_xlfn.NORM.INV(RAND(),Reference!$C$8,0.1*Reference!$C$8)*(1+Reference!$C$11*(IF(MONTH($A3347)=Reference!$C$4,1,0)+IF(MONTH($A3347)=Reference!$C$5,1,0))+(IF(MONTH($A3347)=Reference!$C$6,Reference!$C$13,0))),0)</f>
        <v>384</v>
      </c>
      <c r="C3347" s="11">
        <f ca="1">B3347*Reference!$C$7*(1-IF(MONTH($A3347)=Reference!$C$6,1,0)*Reference!$C$12)</f>
        <v>357120</v>
      </c>
      <c r="D3347" s="10">
        <f ca="1">ROUND(_xlfn.NORM.INV(RAND(),Reference!$D$8,0.1*Reference!$D$8)*(1+Reference!$D$11*(IF(MONTH($A3347)=Reference!$D$4,1,0)+IF(MONTH($A3347)=Reference!$D$5,1,0))+(IF(MONTH($A3347)=Reference!$D$6,Reference!$D$13,0))),0)</f>
        <v>305</v>
      </c>
      <c r="E3347" s="11">
        <f ca="1">D3347*Reference!$D$7*(1-IF(MONTH($A3347)=Reference!$D$6,1,0)*Reference!$D$12)</f>
        <v>228750</v>
      </c>
      <c r="M3347" s="20"/>
      <c r="N3347" s="20"/>
      <c r="O3347" s="19"/>
      <c r="P3347" s="10"/>
      <c r="Q3347" s="10"/>
      <c r="R3347" s="10"/>
      <c r="S3347" s="10"/>
      <c r="T3347" s="10"/>
      <c r="U3347" s="10"/>
      <c r="V3347" s="10"/>
      <c r="W3347" s="10"/>
      <c r="X3347" s="10"/>
      <c r="Y3347" s="10"/>
    </row>
    <row r="3348" spans="1:25" x14ac:dyDescent="0.25">
      <c r="A3348" s="9">
        <v>43886</v>
      </c>
      <c r="B3348" s="10">
        <f ca="1">ROUND(_xlfn.NORM.INV(RAND(),Reference!$C$8,0.1*Reference!$C$8)*(1+Reference!$C$11*(IF(MONTH($A3348)=Reference!$C$4,1,0)+IF(MONTH($A3348)=Reference!$C$5,1,0))+(IF(MONTH($A3348)=Reference!$C$6,Reference!$C$13,0))),0)</f>
        <v>378</v>
      </c>
      <c r="C3348" s="11">
        <f ca="1">B3348*Reference!$C$7*(1-IF(MONTH($A3348)=Reference!$C$6,1,0)*Reference!$C$12)</f>
        <v>351540</v>
      </c>
      <c r="D3348" s="10">
        <f ca="1">ROUND(_xlfn.NORM.INV(RAND(),Reference!$D$8,0.1*Reference!$D$8)*(1+Reference!$D$11*(IF(MONTH($A3348)=Reference!$D$4,1,0)+IF(MONTH($A3348)=Reference!$D$5,1,0))+(IF(MONTH($A3348)=Reference!$D$6,Reference!$D$13,0))),0)</f>
        <v>467</v>
      </c>
      <c r="E3348" s="11">
        <f ca="1">D3348*Reference!$D$7*(1-IF(MONTH($A3348)=Reference!$D$6,1,0)*Reference!$D$12)</f>
        <v>350250</v>
      </c>
      <c r="M3348" s="20"/>
      <c r="N3348" s="20"/>
      <c r="O3348" s="19"/>
      <c r="P3348" s="10"/>
      <c r="Q3348" s="10"/>
      <c r="R3348" s="10"/>
      <c r="S3348" s="10"/>
      <c r="T3348" s="10"/>
      <c r="U3348" s="10"/>
      <c r="V3348" s="10"/>
      <c r="W3348" s="10"/>
      <c r="X3348" s="10"/>
      <c r="Y3348" s="10"/>
    </row>
    <row r="3349" spans="1:25" x14ac:dyDescent="0.25">
      <c r="A3349" s="9">
        <v>43887</v>
      </c>
      <c r="B3349" s="10">
        <f ca="1">ROUND(_xlfn.NORM.INV(RAND(),Reference!$C$8,0.1*Reference!$C$8)*(1+Reference!$C$11*(IF(MONTH($A3349)=Reference!$C$4,1,0)+IF(MONTH($A3349)=Reference!$C$5,1,0))+(IF(MONTH($A3349)=Reference!$C$6,Reference!$C$13,0))),0)</f>
        <v>357</v>
      </c>
      <c r="C3349" s="11">
        <f ca="1">B3349*Reference!$C$7*(1-IF(MONTH($A3349)=Reference!$C$6,1,0)*Reference!$C$12)</f>
        <v>332010</v>
      </c>
      <c r="D3349" s="10">
        <f ca="1">ROUND(_xlfn.NORM.INV(RAND(),Reference!$D$8,0.1*Reference!$D$8)*(1+Reference!$D$11*(IF(MONTH($A3349)=Reference!$D$4,1,0)+IF(MONTH($A3349)=Reference!$D$5,1,0))+(IF(MONTH($A3349)=Reference!$D$6,Reference!$D$13,0))),0)</f>
        <v>415</v>
      </c>
      <c r="E3349" s="11">
        <f ca="1">D3349*Reference!$D$7*(1-IF(MONTH($A3349)=Reference!$D$6,1,0)*Reference!$D$12)</f>
        <v>311250</v>
      </c>
      <c r="M3349" s="20"/>
      <c r="N3349" s="20"/>
      <c r="O3349" s="19"/>
      <c r="P3349" s="10"/>
      <c r="Q3349" s="10"/>
      <c r="R3349" s="10"/>
      <c r="S3349" s="10"/>
      <c r="T3349" s="10"/>
      <c r="U3349" s="10"/>
      <c r="V3349" s="10"/>
      <c r="W3349" s="10"/>
      <c r="X3349" s="10"/>
      <c r="Y3349" s="10"/>
    </row>
    <row r="3350" spans="1:25" x14ac:dyDescent="0.25">
      <c r="A3350" s="9">
        <v>43888</v>
      </c>
      <c r="B3350" s="10">
        <f ca="1">ROUND(_xlfn.NORM.INV(RAND(),Reference!$C$8,0.1*Reference!$C$8)*(1+Reference!$C$11*(IF(MONTH($A3350)=Reference!$C$4,1,0)+IF(MONTH($A3350)=Reference!$C$5,1,0))+(IF(MONTH($A3350)=Reference!$C$6,Reference!$C$13,0))),0)</f>
        <v>321</v>
      </c>
      <c r="C3350" s="11">
        <f ca="1">B3350*Reference!$C$7*(1-IF(MONTH($A3350)=Reference!$C$6,1,0)*Reference!$C$12)</f>
        <v>298530</v>
      </c>
      <c r="D3350" s="10">
        <f ca="1">ROUND(_xlfn.NORM.INV(RAND(),Reference!$D$8,0.1*Reference!$D$8)*(1+Reference!$D$11*(IF(MONTH($A3350)=Reference!$D$4,1,0)+IF(MONTH($A3350)=Reference!$D$5,1,0))+(IF(MONTH($A3350)=Reference!$D$6,Reference!$D$13,0))),0)</f>
        <v>554</v>
      </c>
      <c r="E3350" s="11">
        <f ca="1">D3350*Reference!$D$7*(1-IF(MONTH($A3350)=Reference!$D$6,1,0)*Reference!$D$12)</f>
        <v>415500</v>
      </c>
      <c r="M3350" s="20"/>
      <c r="N3350" s="20"/>
      <c r="O3350" s="19"/>
      <c r="P3350" s="10"/>
      <c r="Q3350" s="10"/>
      <c r="R3350" s="10"/>
      <c r="S3350" s="10"/>
      <c r="T3350" s="10"/>
      <c r="U3350" s="10"/>
      <c r="V3350" s="10"/>
      <c r="W3350" s="10"/>
      <c r="X3350" s="10"/>
      <c r="Y3350" s="10"/>
    </row>
    <row r="3351" spans="1:25" x14ac:dyDescent="0.25">
      <c r="A3351" s="9">
        <v>43889</v>
      </c>
      <c r="B3351" s="10">
        <f ca="1">ROUND(_xlfn.NORM.INV(RAND(),Reference!$C$8,0.1*Reference!$C$8)*(1+Reference!$C$11*(IF(MONTH($A3351)=Reference!$C$4,1,0)+IF(MONTH($A3351)=Reference!$C$5,1,0))+(IF(MONTH($A3351)=Reference!$C$6,Reference!$C$13,0))),0)</f>
        <v>430</v>
      </c>
      <c r="C3351" s="11">
        <f ca="1">B3351*Reference!$C$7*(1-IF(MONTH($A3351)=Reference!$C$6,1,0)*Reference!$C$12)</f>
        <v>399900</v>
      </c>
      <c r="D3351" s="10">
        <f ca="1">ROUND(_xlfn.NORM.INV(RAND(),Reference!$D$8,0.1*Reference!$D$8)*(1+Reference!$D$11*(IF(MONTH($A3351)=Reference!$D$4,1,0)+IF(MONTH($A3351)=Reference!$D$5,1,0))+(IF(MONTH($A3351)=Reference!$D$6,Reference!$D$13,0))),0)</f>
        <v>431</v>
      </c>
      <c r="E3351" s="11">
        <f ca="1">D3351*Reference!$D$7*(1-IF(MONTH($A3351)=Reference!$D$6,1,0)*Reference!$D$12)</f>
        <v>323250</v>
      </c>
      <c r="M3351" s="20"/>
      <c r="N3351" s="20"/>
      <c r="O3351" s="19"/>
      <c r="P3351" s="10"/>
      <c r="Q3351" s="10"/>
      <c r="R3351" s="10"/>
      <c r="S3351" s="10"/>
      <c r="T3351" s="10"/>
      <c r="U3351" s="10"/>
      <c r="V3351" s="10"/>
      <c r="W3351" s="10"/>
      <c r="X3351" s="10"/>
      <c r="Y3351" s="10"/>
    </row>
    <row r="3352" spans="1:25" x14ac:dyDescent="0.25">
      <c r="A3352" s="9">
        <v>43890</v>
      </c>
      <c r="B3352" s="10">
        <f ca="1">ROUND(_xlfn.NORM.INV(RAND(),Reference!$C$8,0.1*Reference!$C$8)*(1+Reference!$C$11*(IF(MONTH($A3352)=Reference!$C$4,1,0)+IF(MONTH($A3352)=Reference!$C$5,1,0))+(IF(MONTH($A3352)=Reference!$C$6,Reference!$C$13,0))),0)</f>
        <v>323</v>
      </c>
      <c r="C3352" s="11">
        <f ca="1">B3352*Reference!$C$7*(1-IF(MONTH($A3352)=Reference!$C$6,1,0)*Reference!$C$12)</f>
        <v>300390</v>
      </c>
      <c r="D3352" s="10">
        <f ca="1">ROUND(_xlfn.NORM.INV(RAND(),Reference!$D$8,0.1*Reference!$D$8)*(1+Reference!$D$11*(IF(MONTH($A3352)=Reference!$D$4,1,0)+IF(MONTH($A3352)=Reference!$D$5,1,0))+(IF(MONTH($A3352)=Reference!$D$6,Reference!$D$13,0))),0)</f>
        <v>413</v>
      </c>
      <c r="E3352" s="11">
        <f ca="1">D3352*Reference!$D$7*(1-IF(MONTH($A3352)=Reference!$D$6,1,0)*Reference!$D$12)</f>
        <v>309750</v>
      </c>
      <c r="M3352" s="20"/>
      <c r="N3352" s="20"/>
      <c r="O3352" s="19"/>
      <c r="P3352" s="10"/>
      <c r="Q3352" s="10"/>
      <c r="R3352" s="10"/>
      <c r="S3352" s="10"/>
      <c r="T3352" s="10"/>
      <c r="U3352" s="10"/>
      <c r="V3352" s="10"/>
      <c r="W3352" s="10"/>
      <c r="X3352" s="10"/>
      <c r="Y3352" s="10"/>
    </row>
    <row r="3353" spans="1:25" x14ac:dyDescent="0.25">
      <c r="A3353" s="9">
        <v>43891</v>
      </c>
      <c r="B3353" s="10">
        <f ca="1">ROUND(_xlfn.NORM.INV(RAND(),Reference!$C$8,0.1*Reference!$C$8)*(1+Reference!$C$11*(IF(MONTH($A3353)=Reference!$C$4,1,0)+IF(MONTH($A3353)=Reference!$C$5,1,0))+(IF(MONTH($A3353)=Reference!$C$6,Reference!$C$13,0))),0)</f>
        <v>411</v>
      </c>
      <c r="C3353" s="11">
        <f ca="1">B3353*Reference!$C$7*(1-IF(MONTH($A3353)=Reference!$C$6,1,0)*Reference!$C$12)</f>
        <v>382230</v>
      </c>
      <c r="D3353" s="10">
        <f ca="1">ROUND(_xlfn.NORM.INV(RAND(),Reference!$D$8,0.1*Reference!$D$8)*(1+Reference!$D$11*(IF(MONTH($A3353)=Reference!$D$4,1,0)+IF(MONTH($A3353)=Reference!$D$5,1,0))+(IF(MONTH($A3353)=Reference!$D$6,Reference!$D$13,0))),0)</f>
        <v>493</v>
      </c>
      <c r="E3353" s="11">
        <f ca="1">D3353*Reference!$D$7*(1-IF(MONTH($A3353)=Reference!$D$6,1,0)*Reference!$D$12)</f>
        <v>369750</v>
      </c>
      <c r="M3353" s="20"/>
      <c r="N3353" s="20"/>
      <c r="O3353" s="19"/>
      <c r="P3353" s="10"/>
      <c r="Q3353" s="10"/>
      <c r="R3353" s="10"/>
      <c r="S3353" s="10"/>
      <c r="T3353" s="10"/>
      <c r="U3353" s="10"/>
      <c r="V3353" s="10"/>
      <c r="W3353" s="10"/>
      <c r="X3353" s="10"/>
      <c r="Y3353" s="10"/>
    </row>
    <row r="3354" spans="1:25" x14ac:dyDescent="0.25">
      <c r="A3354" s="9">
        <v>43892</v>
      </c>
      <c r="B3354" s="10">
        <f ca="1">ROUND(_xlfn.NORM.INV(RAND(),Reference!$C$8,0.1*Reference!$C$8)*(1+Reference!$C$11*(IF(MONTH($A3354)=Reference!$C$4,1,0)+IF(MONTH($A3354)=Reference!$C$5,1,0))+(IF(MONTH($A3354)=Reference!$C$6,Reference!$C$13,0))),0)</f>
        <v>371</v>
      </c>
      <c r="C3354" s="11">
        <f ca="1">B3354*Reference!$C$7*(1-IF(MONTH($A3354)=Reference!$C$6,1,0)*Reference!$C$12)</f>
        <v>345030</v>
      </c>
      <c r="D3354" s="10">
        <f ca="1">ROUND(_xlfn.NORM.INV(RAND(),Reference!$D$8,0.1*Reference!$D$8)*(1+Reference!$D$11*(IF(MONTH($A3354)=Reference!$D$4,1,0)+IF(MONTH($A3354)=Reference!$D$5,1,0))+(IF(MONTH($A3354)=Reference!$D$6,Reference!$D$13,0))),0)</f>
        <v>474</v>
      </c>
      <c r="E3354" s="11">
        <f ca="1">D3354*Reference!$D$7*(1-IF(MONTH($A3354)=Reference!$D$6,1,0)*Reference!$D$12)</f>
        <v>355500</v>
      </c>
      <c r="M3354" s="20"/>
      <c r="N3354" s="20"/>
      <c r="O3354" s="19"/>
      <c r="P3354" s="10"/>
      <c r="Q3354" s="10"/>
      <c r="R3354" s="10"/>
      <c r="S3354" s="10"/>
      <c r="T3354" s="10"/>
      <c r="U3354" s="10"/>
      <c r="V3354" s="10"/>
      <c r="W3354" s="10"/>
      <c r="X3354" s="10"/>
      <c r="Y3354" s="10"/>
    </row>
    <row r="3355" spans="1:25" x14ac:dyDescent="0.25">
      <c r="A3355" s="9">
        <v>43893</v>
      </c>
      <c r="B3355" s="10">
        <f ca="1">ROUND(_xlfn.NORM.INV(RAND(),Reference!$C$8,0.1*Reference!$C$8)*(1+Reference!$C$11*(IF(MONTH($A3355)=Reference!$C$4,1,0)+IF(MONTH($A3355)=Reference!$C$5,1,0))+(IF(MONTH($A3355)=Reference!$C$6,Reference!$C$13,0))),0)</f>
        <v>391</v>
      </c>
      <c r="C3355" s="11">
        <f ca="1">B3355*Reference!$C$7*(1-IF(MONTH($A3355)=Reference!$C$6,1,0)*Reference!$C$12)</f>
        <v>363630</v>
      </c>
      <c r="D3355" s="10">
        <f ca="1">ROUND(_xlfn.NORM.INV(RAND(),Reference!$D$8,0.1*Reference!$D$8)*(1+Reference!$D$11*(IF(MONTH($A3355)=Reference!$D$4,1,0)+IF(MONTH($A3355)=Reference!$D$5,1,0))+(IF(MONTH($A3355)=Reference!$D$6,Reference!$D$13,0))),0)</f>
        <v>451</v>
      </c>
      <c r="E3355" s="11">
        <f ca="1">D3355*Reference!$D$7*(1-IF(MONTH($A3355)=Reference!$D$6,1,0)*Reference!$D$12)</f>
        <v>338250</v>
      </c>
      <c r="M3355" s="20"/>
      <c r="N3355" s="20"/>
      <c r="O3355" s="19"/>
      <c r="P3355" s="10"/>
      <c r="Q3355" s="10"/>
      <c r="R3355" s="10"/>
      <c r="S3355" s="10"/>
      <c r="T3355" s="10"/>
      <c r="U3355" s="10"/>
      <c r="V3355" s="10"/>
      <c r="W3355" s="10"/>
      <c r="X3355" s="10"/>
      <c r="Y3355" s="10"/>
    </row>
    <row r="3356" spans="1:25" x14ac:dyDescent="0.25">
      <c r="A3356" s="9">
        <v>43894</v>
      </c>
      <c r="B3356" s="10">
        <f ca="1">ROUND(_xlfn.NORM.INV(RAND(),Reference!$C$8,0.1*Reference!$C$8)*(1+Reference!$C$11*(IF(MONTH($A3356)=Reference!$C$4,1,0)+IF(MONTH($A3356)=Reference!$C$5,1,0))+(IF(MONTH($A3356)=Reference!$C$6,Reference!$C$13,0))),0)</f>
        <v>390</v>
      </c>
      <c r="C3356" s="11">
        <f ca="1">B3356*Reference!$C$7*(1-IF(MONTH($A3356)=Reference!$C$6,1,0)*Reference!$C$12)</f>
        <v>362700</v>
      </c>
      <c r="D3356" s="10">
        <f ca="1">ROUND(_xlfn.NORM.INV(RAND(),Reference!$D$8,0.1*Reference!$D$8)*(1+Reference!$D$11*(IF(MONTH($A3356)=Reference!$D$4,1,0)+IF(MONTH($A3356)=Reference!$D$5,1,0))+(IF(MONTH($A3356)=Reference!$D$6,Reference!$D$13,0))),0)</f>
        <v>409</v>
      </c>
      <c r="E3356" s="11">
        <f ca="1">D3356*Reference!$D$7*(1-IF(MONTH($A3356)=Reference!$D$6,1,0)*Reference!$D$12)</f>
        <v>306750</v>
      </c>
      <c r="M3356" s="20"/>
      <c r="N3356" s="20"/>
      <c r="O3356" s="19"/>
      <c r="P3356" s="10"/>
      <c r="Q3356" s="10"/>
      <c r="R3356" s="10"/>
      <c r="S3356" s="10"/>
      <c r="T3356" s="10"/>
      <c r="U3356" s="10"/>
      <c r="V3356" s="10"/>
      <c r="W3356" s="10"/>
      <c r="X3356" s="10"/>
      <c r="Y3356" s="10"/>
    </row>
    <row r="3357" spans="1:25" x14ac:dyDescent="0.25">
      <c r="A3357" s="9">
        <v>43895</v>
      </c>
      <c r="B3357" s="10">
        <f ca="1">ROUND(_xlfn.NORM.INV(RAND(),Reference!$C$8,0.1*Reference!$C$8)*(1+Reference!$C$11*(IF(MONTH($A3357)=Reference!$C$4,1,0)+IF(MONTH($A3357)=Reference!$C$5,1,0))+(IF(MONTH($A3357)=Reference!$C$6,Reference!$C$13,0))),0)</f>
        <v>424</v>
      </c>
      <c r="C3357" s="11">
        <f ca="1">B3357*Reference!$C$7*(1-IF(MONTH($A3357)=Reference!$C$6,1,0)*Reference!$C$12)</f>
        <v>394320</v>
      </c>
      <c r="D3357" s="10">
        <f ca="1">ROUND(_xlfn.NORM.INV(RAND(),Reference!$D$8,0.1*Reference!$D$8)*(1+Reference!$D$11*(IF(MONTH($A3357)=Reference!$D$4,1,0)+IF(MONTH($A3357)=Reference!$D$5,1,0))+(IF(MONTH($A3357)=Reference!$D$6,Reference!$D$13,0))),0)</f>
        <v>478</v>
      </c>
      <c r="E3357" s="11">
        <f ca="1">D3357*Reference!$D$7*(1-IF(MONTH($A3357)=Reference!$D$6,1,0)*Reference!$D$12)</f>
        <v>358500</v>
      </c>
      <c r="M3357" s="20"/>
      <c r="N3357" s="20"/>
      <c r="O3357" s="19"/>
      <c r="P3357" s="10"/>
      <c r="Q3357" s="10"/>
      <c r="R3357" s="10"/>
      <c r="S3357" s="10"/>
      <c r="T3357" s="10"/>
      <c r="U3357" s="10"/>
      <c r="V3357" s="10"/>
      <c r="W3357" s="10"/>
      <c r="X3357" s="10"/>
      <c r="Y3357" s="10"/>
    </row>
    <row r="3358" spans="1:25" x14ac:dyDescent="0.25">
      <c r="A3358" s="9">
        <v>43896</v>
      </c>
      <c r="B3358" s="10">
        <f ca="1">ROUND(_xlfn.NORM.INV(RAND(),Reference!$C$8,0.1*Reference!$C$8)*(1+Reference!$C$11*(IF(MONTH($A3358)=Reference!$C$4,1,0)+IF(MONTH($A3358)=Reference!$C$5,1,0))+(IF(MONTH($A3358)=Reference!$C$6,Reference!$C$13,0))),0)</f>
        <v>313</v>
      </c>
      <c r="C3358" s="11">
        <f ca="1">B3358*Reference!$C$7*(1-IF(MONTH($A3358)=Reference!$C$6,1,0)*Reference!$C$12)</f>
        <v>291090</v>
      </c>
      <c r="D3358" s="10">
        <f ca="1">ROUND(_xlfn.NORM.INV(RAND(),Reference!$D$8,0.1*Reference!$D$8)*(1+Reference!$D$11*(IF(MONTH($A3358)=Reference!$D$4,1,0)+IF(MONTH($A3358)=Reference!$D$5,1,0))+(IF(MONTH($A3358)=Reference!$D$6,Reference!$D$13,0))),0)</f>
        <v>444</v>
      </c>
      <c r="E3358" s="11">
        <f ca="1">D3358*Reference!$D$7*(1-IF(MONTH($A3358)=Reference!$D$6,1,0)*Reference!$D$12)</f>
        <v>333000</v>
      </c>
      <c r="M3358" s="20"/>
      <c r="N3358" s="20"/>
      <c r="O3358" s="19"/>
      <c r="P3358" s="10"/>
      <c r="Q3358" s="10"/>
      <c r="R3358" s="10"/>
      <c r="S3358" s="10"/>
      <c r="T3358" s="10"/>
      <c r="U3358" s="10"/>
      <c r="V3358" s="10"/>
      <c r="W3358" s="10"/>
      <c r="X3358" s="10"/>
      <c r="Y3358" s="10"/>
    </row>
    <row r="3359" spans="1:25" x14ac:dyDescent="0.25">
      <c r="A3359" s="9">
        <v>43897</v>
      </c>
      <c r="B3359" s="10">
        <f ca="1">ROUND(_xlfn.NORM.INV(RAND(),Reference!$C$8,0.1*Reference!$C$8)*(1+Reference!$C$11*(IF(MONTH($A3359)=Reference!$C$4,1,0)+IF(MONTH($A3359)=Reference!$C$5,1,0))+(IF(MONTH($A3359)=Reference!$C$6,Reference!$C$13,0))),0)</f>
        <v>404</v>
      </c>
      <c r="C3359" s="11">
        <f ca="1">B3359*Reference!$C$7*(1-IF(MONTH($A3359)=Reference!$C$6,1,0)*Reference!$C$12)</f>
        <v>375720</v>
      </c>
      <c r="D3359" s="10">
        <f ca="1">ROUND(_xlfn.NORM.INV(RAND(),Reference!$D$8,0.1*Reference!$D$8)*(1+Reference!$D$11*(IF(MONTH($A3359)=Reference!$D$4,1,0)+IF(MONTH($A3359)=Reference!$D$5,1,0))+(IF(MONTH($A3359)=Reference!$D$6,Reference!$D$13,0))),0)</f>
        <v>451</v>
      </c>
      <c r="E3359" s="11">
        <f ca="1">D3359*Reference!$D$7*(1-IF(MONTH($A3359)=Reference!$D$6,1,0)*Reference!$D$12)</f>
        <v>338250</v>
      </c>
      <c r="M3359" s="20"/>
      <c r="N3359" s="20"/>
      <c r="O3359" s="19"/>
      <c r="P3359" s="10"/>
      <c r="Q3359" s="10"/>
      <c r="R3359" s="10"/>
      <c r="S3359" s="10"/>
      <c r="T3359" s="10"/>
      <c r="U3359" s="10"/>
      <c r="V3359" s="10"/>
      <c r="W3359" s="10"/>
      <c r="X3359" s="10"/>
      <c r="Y3359" s="10"/>
    </row>
    <row r="3360" spans="1:25" x14ac:dyDescent="0.25">
      <c r="A3360" s="9">
        <v>43898</v>
      </c>
      <c r="B3360" s="10">
        <f ca="1">ROUND(_xlfn.NORM.INV(RAND(),Reference!$C$8,0.1*Reference!$C$8)*(1+Reference!$C$11*(IF(MONTH($A3360)=Reference!$C$4,1,0)+IF(MONTH($A3360)=Reference!$C$5,1,0))+(IF(MONTH($A3360)=Reference!$C$6,Reference!$C$13,0))),0)</f>
        <v>296</v>
      </c>
      <c r="C3360" s="11">
        <f ca="1">B3360*Reference!$C$7*(1-IF(MONTH($A3360)=Reference!$C$6,1,0)*Reference!$C$12)</f>
        <v>275280</v>
      </c>
      <c r="D3360" s="10">
        <f ca="1">ROUND(_xlfn.NORM.INV(RAND(),Reference!$D$8,0.1*Reference!$D$8)*(1+Reference!$D$11*(IF(MONTH($A3360)=Reference!$D$4,1,0)+IF(MONTH($A3360)=Reference!$D$5,1,0))+(IF(MONTH($A3360)=Reference!$D$6,Reference!$D$13,0))),0)</f>
        <v>464</v>
      </c>
      <c r="E3360" s="11">
        <f ca="1">D3360*Reference!$D$7*(1-IF(MONTH($A3360)=Reference!$D$6,1,0)*Reference!$D$12)</f>
        <v>348000</v>
      </c>
      <c r="M3360" s="20"/>
      <c r="N3360" s="20"/>
      <c r="O3360" s="19"/>
      <c r="P3360" s="10"/>
      <c r="Q3360" s="10"/>
      <c r="R3360" s="10"/>
      <c r="S3360" s="10"/>
      <c r="T3360" s="10"/>
      <c r="U3360" s="10"/>
      <c r="V3360" s="10"/>
      <c r="W3360" s="10"/>
      <c r="X3360" s="10"/>
      <c r="Y3360" s="10"/>
    </row>
    <row r="3361" spans="1:25" x14ac:dyDescent="0.25">
      <c r="A3361" s="9">
        <v>43899</v>
      </c>
      <c r="B3361" s="10">
        <f ca="1">ROUND(_xlfn.NORM.INV(RAND(),Reference!$C$8,0.1*Reference!$C$8)*(1+Reference!$C$11*(IF(MONTH($A3361)=Reference!$C$4,1,0)+IF(MONTH($A3361)=Reference!$C$5,1,0))+(IF(MONTH($A3361)=Reference!$C$6,Reference!$C$13,0))),0)</f>
        <v>363</v>
      </c>
      <c r="C3361" s="11">
        <f ca="1">B3361*Reference!$C$7*(1-IF(MONTH($A3361)=Reference!$C$6,1,0)*Reference!$C$12)</f>
        <v>337590</v>
      </c>
      <c r="D3361" s="10">
        <f ca="1">ROUND(_xlfn.NORM.INV(RAND(),Reference!$D$8,0.1*Reference!$D$8)*(1+Reference!$D$11*(IF(MONTH($A3361)=Reference!$D$4,1,0)+IF(MONTH($A3361)=Reference!$D$5,1,0))+(IF(MONTH($A3361)=Reference!$D$6,Reference!$D$13,0))),0)</f>
        <v>389</v>
      </c>
      <c r="E3361" s="11">
        <f ca="1">D3361*Reference!$D$7*(1-IF(MONTH($A3361)=Reference!$D$6,1,0)*Reference!$D$12)</f>
        <v>291750</v>
      </c>
      <c r="M3361" s="20"/>
      <c r="N3361" s="20"/>
      <c r="O3361" s="19"/>
      <c r="P3361" s="10"/>
      <c r="Q3361" s="10"/>
      <c r="R3361" s="10"/>
      <c r="S3361" s="10"/>
      <c r="T3361" s="10"/>
      <c r="U3361" s="10"/>
      <c r="V3361" s="10"/>
      <c r="W3361" s="10"/>
      <c r="X3361" s="10"/>
      <c r="Y3361" s="10"/>
    </row>
    <row r="3362" spans="1:25" x14ac:dyDescent="0.25">
      <c r="A3362" s="9">
        <v>43900</v>
      </c>
      <c r="B3362" s="10">
        <f ca="1">ROUND(_xlfn.NORM.INV(RAND(),Reference!$C$8,0.1*Reference!$C$8)*(1+Reference!$C$11*(IF(MONTH($A3362)=Reference!$C$4,1,0)+IF(MONTH($A3362)=Reference!$C$5,1,0))+(IF(MONTH($A3362)=Reference!$C$6,Reference!$C$13,0))),0)</f>
        <v>380</v>
      </c>
      <c r="C3362" s="11">
        <f ca="1">B3362*Reference!$C$7*(1-IF(MONTH($A3362)=Reference!$C$6,1,0)*Reference!$C$12)</f>
        <v>353400</v>
      </c>
      <c r="D3362" s="10">
        <f ca="1">ROUND(_xlfn.NORM.INV(RAND(),Reference!$D$8,0.1*Reference!$D$8)*(1+Reference!$D$11*(IF(MONTH($A3362)=Reference!$D$4,1,0)+IF(MONTH($A3362)=Reference!$D$5,1,0))+(IF(MONTH($A3362)=Reference!$D$6,Reference!$D$13,0))),0)</f>
        <v>522</v>
      </c>
      <c r="E3362" s="11">
        <f ca="1">D3362*Reference!$D$7*(1-IF(MONTH($A3362)=Reference!$D$6,1,0)*Reference!$D$12)</f>
        <v>391500</v>
      </c>
      <c r="M3362" s="20"/>
      <c r="N3362" s="20"/>
      <c r="O3362" s="19"/>
      <c r="P3362" s="10"/>
      <c r="Q3362" s="10"/>
      <c r="R3362" s="10"/>
      <c r="S3362" s="10"/>
      <c r="T3362" s="10"/>
      <c r="U3362" s="10"/>
      <c r="V3362" s="10"/>
      <c r="W3362" s="10"/>
      <c r="X3362" s="10"/>
      <c r="Y3362" s="10"/>
    </row>
    <row r="3363" spans="1:25" x14ac:dyDescent="0.25">
      <c r="A3363" s="9">
        <v>43901</v>
      </c>
      <c r="B3363" s="10">
        <f ca="1">ROUND(_xlfn.NORM.INV(RAND(),Reference!$C$8,0.1*Reference!$C$8)*(1+Reference!$C$11*(IF(MONTH($A3363)=Reference!$C$4,1,0)+IF(MONTH($A3363)=Reference!$C$5,1,0))+(IF(MONTH($A3363)=Reference!$C$6,Reference!$C$13,0))),0)</f>
        <v>329</v>
      </c>
      <c r="C3363" s="11">
        <f ca="1">B3363*Reference!$C$7*(1-IF(MONTH($A3363)=Reference!$C$6,1,0)*Reference!$C$12)</f>
        <v>305970</v>
      </c>
      <c r="D3363" s="10">
        <f ca="1">ROUND(_xlfn.NORM.INV(RAND(),Reference!$D$8,0.1*Reference!$D$8)*(1+Reference!$D$11*(IF(MONTH($A3363)=Reference!$D$4,1,0)+IF(MONTH($A3363)=Reference!$D$5,1,0))+(IF(MONTH($A3363)=Reference!$D$6,Reference!$D$13,0))),0)</f>
        <v>466</v>
      </c>
      <c r="E3363" s="11">
        <f ca="1">D3363*Reference!$D$7*(1-IF(MONTH($A3363)=Reference!$D$6,1,0)*Reference!$D$12)</f>
        <v>349500</v>
      </c>
      <c r="M3363" s="20"/>
      <c r="N3363" s="20"/>
      <c r="O3363" s="19"/>
      <c r="P3363" s="10"/>
      <c r="Q3363" s="10"/>
      <c r="R3363" s="10"/>
      <c r="S3363" s="10"/>
      <c r="T3363" s="10"/>
      <c r="U3363" s="10"/>
      <c r="V3363" s="10"/>
      <c r="W3363" s="10"/>
      <c r="X3363" s="10"/>
      <c r="Y3363" s="10"/>
    </row>
    <row r="3364" spans="1:25" x14ac:dyDescent="0.25">
      <c r="A3364" s="9">
        <v>43902</v>
      </c>
      <c r="B3364" s="10">
        <f ca="1">ROUND(_xlfn.NORM.INV(RAND(),Reference!$C$8,0.1*Reference!$C$8)*(1+Reference!$C$11*(IF(MONTH($A3364)=Reference!$C$4,1,0)+IF(MONTH($A3364)=Reference!$C$5,1,0))+(IF(MONTH($A3364)=Reference!$C$6,Reference!$C$13,0))),0)</f>
        <v>374</v>
      </c>
      <c r="C3364" s="11">
        <f ca="1">B3364*Reference!$C$7*(1-IF(MONTH($A3364)=Reference!$C$6,1,0)*Reference!$C$12)</f>
        <v>347820</v>
      </c>
      <c r="D3364" s="10">
        <f ca="1">ROUND(_xlfn.NORM.INV(RAND(),Reference!$D$8,0.1*Reference!$D$8)*(1+Reference!$D$11*(IF(MONTH($A3364)=Reference!$D$4,1,0)+IF(MONTH($A3364)=Reference!$D$5,1,0))+(IF(MONTH($A3364)=Reference!$D$6,Reference!$D$13,0))),0)</f>
        <v>522</v>
      </c>
      <c r="E3364" s="11">
        <f ca="1">D3364*Reference!$D$7*(1-IF(MONTH($A3364)=Reference!$D$6,1,0)*Reference!$D$12)</f>
        <v>391500</v>
      </c>
      <c r="M3364" s="20"/>
      <c r="N3364" s="20"/>
      <c r="O3364" s="19"/>
      <c r="P3364" s="10"/>
      <c r="Q3364" s="10"/>
      <c r="R3364" s="10"/>
      <c r="S3364" s="10"/>
      <c r="T3364" s="10"/>
      <c r="U3364" s="10"/>
      <c r="V3364" s="10"/>
      <c r="W3364" s="10"/>
      <c r="X3364" s="10"/>
      <c r="Y3364" s="10"/>
    </row>
    <row r="3365" spans="1:25" x14ac:dyDescent="0.25">
      <c r="A3365" s="9">
        <v>43903</v>
      </c>
      <c r="B3365" s="10">
        <f ca="1">ROUND(_xlfn.NORM.INV(RAND(),Reference!$C$8,0.1*Reference!$C$8)*(1+Reference!$C$11*(IF(MONTH($A3365)=Reference!$C$4,1,0)+IF(MONTH($A3365)=Reference!$C$5,1,0))+(IF(MONTH($A3365)=Reference!$C$6,Reference!$C$13,0))),0)</f>
        <v>316</v>
      </c>
      <c r="C3365" s="11">
        <f ca="1">B3365*Reference!$C$7*(1-IF(MONTH($A3365)=Reference!$C$6,1,0)*Reference!$C$12)</f>
        <v>293880</v>
      </c>
      <c r="D3365" s="10">
        <f ca="1">ROUND(_xlfn.NORM.INV(RAND(),Reference!$D$8,0.1*Reference!$D$8)*(1+Reference!$D$11*(IF(MONTH($A3365)=Reference!$D$4,1,0)+IF(MONTH($A3365)=Reference!$D$5,1,0))+(IF(MONTH($A3365)=Reference!$D$6,Reference!$D$13,0))),0)</f>
        <v>459</v>
      </c>
      <c r="E3365" s="11">
        <f ca="1">D3365*Reference!$D$7*(1-IF(MONTH($A3365)=Reference!$D$6,1,0)*Reference!$D$12)</f>
        <v>344250</v>
      </c>
      <c r="M3365" s="20"/>
      <c r="N3365" s="20"/>
      <c r="O3365" s="19"/>
      <c r="P3365" s="10"/>
      <c r="Q3365" s="10"/>
      <c r="R3365" s="10"/>
      <c r="S3365" s="10"/>
      <c r="T3365" s="10"/>
      <c r="U3365" s="10"/>
      <c r="V3365" s="10"/>
      <c r="W3365" s="10"/>
      <c r="X3365" s="10"/>
      <c r="Y3365" s="10"/>
    </row>
    <row r="3366" spans="1:25" x14ac:dyDescent="0.25">
      <c r="A3366" s="9">
        <v>43904</v>
      </c>
      <c r="B3366" s="10">
        <f ca="1">ROUND(_xlfn.NORM.INV(RAND(),Reference!$C$8,0.1*Reference!$C$8)*(1+Reference!$C$11*(IF(MONTH($A3366)=Reference!$C$4,1,0)+IF(MONTH($A3366)=Reference!$C$5,1,0))+(IF(MONTH($A3366)=Reference!$C$6,Reference!$C$13,0))),0)</f>
        <v>374</v>
      </c>
      <c r="C3366" s="11">
        <f ca="1">B3366*Reference!$C$7*(1-IF(MONTH($A3366)=Reference!$C$6,1,0)*Reference!$C$12)</f>
        <v>347820</v>
      </c>
      <c r="D3366" s="10">
        <f ca="1">ROUND(_xlfn.NORM.INV(RAND(),Reference!$D$8,0.1*Reference!$D$8)*(1+Reference!$D$11*(IF(MONTH($A3366)=Reference!$D$4,1,0)+IF(MONTH($A3366)=Reference!$D$5,1,0))+(IF(MONTH($A3366)=Reference!$D$6,Reference!$D$13,0))),0)</f>
        <v>407</v>
      </c>
      <c r="E3366" s="11">
        <f ca="1">D3366*Reference!$D$7*(1-IF(MONTH($A3366)=Reference!$D$6,1,0)*Reference!$D$12)</f>
        <v>305250</v>
      </c>
      <c r="M3366" s="20"/>
      <c r="N3366" s="20"/>
      <c r="O3366" s="19"/>
      <c r="P3366" s="10"/>
      <c r="Q3366" s="10"/>
      <c r="R3366" s="10"/>
      <c r="S3366" s="10"/>
      <c r="T3366" s="10"/>
      <c r="U3366" s="10"/>
      <c r="V3366" s="10"/>
      <c r="W3366" s="10"/>
      <c r="X3366" s="10"/>
      <c r="Y3366" s="10"/>
    </row>
    <row r="3367" spans="1:25" x14ac:dyDescent="0.25">
      <c r="A3367" s="9">
        <v>43905</v>
      </c>
      <c r="B3367" s="10">
        <f ca="1">ROUND(_xlfn.NORM.INV(RAND(),Reference!$C$8,0.1*Reference!$C$8)*(1+Reference!$C$11*(IF(MONTH($A3367)=Reference!$C$4,1,0)+IF(MONTH($A3367)=Reference!$C$5,1,0))+(IF(MONTH($A3367)=Reference!$C$6,Reference!$C$13,0))),0)</f>
        <v>350</v>
      </c>
      <c r="C3367" s="11">
        <f ca="1">B3367*Reference!$C$7*(1-IF(MONTH($A3367)=Reference!$C$6,1,0)*Reference!$C$12)</f>
        <v>325500</v>
      </c>
      <c r="D3367" s="10">
        <f ca="1">ROUND(_xlfn.NORM.INV(RAND(),Reference!$D$8,0.1*Reference!$D$8)*(1+Reference!$D$11*(IF(MONTH($A3367)=Reference!$D$4,1,0)+IF(MONTH($A3367)=Reference!$D$5,1,0))+(IF(MONTH($A3367)=Reference!$D$6,Reference!$D$13,0))),0)</f>
        <v>467</v>
      </c>
      <c r="E3367" s="11">
        <f ca="1">D3367*Reference!$D$7*(1-IF(MONTH($A3367)=Reference!$D$6,1,0)*Reference!$D$12)</f>
        <v>350250</v>
      </c>
      <c r="M3367" s="20"/>
      <c r="N3367" s="20"/>
      <c r="O3367" s="19"/>
      <c r="P3367" s="10"/>
      <c r="Q3367" s="10"/>
      <c r="R3367" s="10"/>
      <c r="S3367" s="10"/>
      <c r="T3367" s="10"/>
      <c r="U3367" s="10"/>
      <c r="V3367" s="10"/>
      <c r="W3367" s="10"/>
      <c r="X3367" s="10"/>
      <c r="Y3367" s="10"/>
    </row>
    <row r="3368" spans="1:25" x14ac:dyDescent="0.25">
      <c r="A3368" s="9">
        <v>43906</v>
      </c>
      <c r="B3368" s="10">
        <f ca="1">ROUND(_xlfn.NORM.INV(RAND(),Reference!$C$8,0.1*Reference!$C$8)*(1+Reference!$C$11*(IF(MONTH($A3368)=Reference!$C$4,1,0)+IF(MONTH($A3368)=Reference!$C$5,1,0))+(IF(MONTH($A3368)=Reference!$C$6,Reference!$C$13,0))),0)</f>
        <v>328</v>
      </c>
      <c r="C3368" s="11">
        <f ca="1">B3368*Reference!$C$7*(1-IF(MONTH($A3368)=Reference!$C$6,1,0)*Reference!$C$12)</f>
        <v>305040</v>
      </c>
      <c r="D3368" s="10">
        <f ca="1">ROUND(_xlfn.NORM.INV(RAND(),Reference!$D$8,0.1*Reference!$D$8)*(1+Reference!$D$11*(IF(MONTH($A3368)=Reference!$D$4,1,0)+IF(MONTH($A3368)=Reference!$D$5,1,0))+(IF(MONTH($A3368)=Reference!$D$6,Reference!$D$13,0))),0)</f>
        <v>401</v>
      </c>
      <c r="E3368" s="11">
        <f ca="1">D3368*Reference!$D$7*(1-IF(MONTH($A3368)=Reference!$D$6,1,0)*Reference!$D$12)</f>
        <v>300750</v>
      </c>
      <c r="M3368" s="20"/>
      <c r="N3368" s="20"/>
      <c r="O3368" s="19"/>
      <c r="P3368" s="10"/>
      <c r="Q3368" s="10"/>
      <c r="R3368" s="10"/>
      <c r="S3368" s="10"/>
      <c r="T3368" s="10"/>
      <c r="U3368" s="10"/>
      <c r="V3368" s="10"/>
      <c r="W3368" s="10"/>
      <c r="X3368" s="10"/>
      <c r="Y3368" s="10"/>
    </row>
    <row r="3369" spans="1:25" x14ac:dyDescent="0.25">
      <c r="A3369" s="9">
        <v>43907</v>
      </c>
      <c r="B3369" s="10">
        <f ca="1">ROUND(_xlfn.NORM.INV(RAND(),Reference!$C$8,0.1*Reference!$C$8)*(1+Reference!$C$11*(IF(MONTH($A3369)=Reference!$C$4,1,0)+IF(MONTH($A3369)=Reference!$C$5,1,0))+(IF(MONTH($A3369)=Reference!$C$6,Reference!$C$13,0))),0)</f>
        <v>291</v>
      </c>
      <c r="C3369" s="11">
        <f ca="1">B3369*Reference!$C$7*(1-IF(MONTH($A3369)=Reference!$C$6,1,0)*Reference!$C$12)</f>
        <v>270630</v>
      </c>
      <c r="D3369" s="10">
        <f ca="1">ROUND(_xlfn.NORM.INV(RAND(),Reference!$D$8,0.1*Reference!$D$8)*(1+Reference!$D$11*(IF(MONTH($A3369)=Reference!$D$4,1,0)+IF(MONTH($A3369)=Reference!$D$5,1,0))+(IF(MONTH($A3369)=Reference!$D$6,Reference!$D$13,0))),0)</f>
        <v>502</v>
      </c>
      <c r="E3369" s="11">
        <f ca="1">D3369*Reference!$D$7*(1-IF(MONTH($A3369)=Reference!$D$6,1,0)*Reference!$D$12)</f>
        <v>376500</v>
      </c>
      <c r="M3369" s="20"/>
      <c r="N3369" s="20"/>
      <c r="O3369" s="19"/>
      <c r="P3369" s="10"/>
      <c r="Q3369" s="10"/>
      <c r="R3369" s="10"/>
      <c r="S3369" s="10"/>
      <c r="T3369" s="10"/>
      <c r="U3369" s="10"/>
      <c r="V3369" s="10"/>
      <c r="W3369" s="10"/>
      <c r="X3369" s="10"/>
      <c r="Y3369" s="10"/>
    </row>
    <row r="3370" spans="1:25" x14ac:dyDescent="0.25">
      <c r="A3370" s="9">
        <v>43908</v>
      </c>
      <c r="B3370" s="10">
        <f ca="1">ROUND(_xlfn.NORM.INV(RAND(),Reference!$C$8,0.1*Reference!$C$8)*(1+Reference!$C$11*(IF(MONTH($A3370)=Reference!$C$4,1,0)+IF(MONTH($A3370)=Reference!$C$5,1,0))+(IF(MONTH($A3370)=Reference!$C$6,Reference!$C$13,0))),0)</f>
        <v>396</v>
      </c>
      <c r="C3370" s="11">
        <f ca="1">B3370*Reference!$C$7*(1-IF(MONTH($A3370)=Reference!$C$6,1,0)*Reference!$C$12)</f>
        <v>368280</v>
      </c>
      <c r="D3370" s="10">
        <f ca="1">ROUND(_xlfn.NORM.INV(RAND(),Reference!$D$8,0.1*Reference!$D$8)*(1+Reference!$D$11*(IF(MONTH($A3370)=Reference!$D$4,1,0)+IF(MONTH($A3370)=Reference!$D$5,1,0))+(IF(MONTH($A3370)=Reference!$D$6,Reference!$D$13,0))),0)</f>
        <v>529</v>
      </c>
      <c r="E3370" s="11">
        <f ca="1">D3370*Reference!$D$7*(1-IF(MONTH($A3370)=Reference!$D$6,1,0)*Reference!$D$12)</f>
        <v>396750</v>
      </c>
      <c r="M3370" s="20"/>
      <c r="N3370" s="20"/>
      <c r="O3370" s="19"/>
      <c r="P3370" s="10"/>
      <c r="Q3370" s="10"/>
      <c r="R3370" s="10"/>
      <c r="S3370" s="10"/>
      <c r="T3370" s="10"/>
      <c r="U3370" s="10"/>
      <c r="V3370" s="10"/>
      <c r="W3370" s="10"/>
      <c r="X3370" s="10"/>
      <c r="Y3370" s="10"/>
    </row>
    <row r="3371" spans="1:25" x14ac:dyDescent="0.25">
      <c r="A3371" s="9">
        <v>43909</v>
      </c>
      <c r="B3371" s="10">
        <f ca="1">ROUND(_xlfn.NORM.INV(RAND(),Reference!$C$8,0.1*Reference!$C$8)*(1+Reference!$C$11*(IF(MONTH($A3371)=Reference!$C$4,1,0)+IF(MONTH($A3371)=Reference!$C$5,1,0))+(IF(MONTH($A3371)=Reference!$C$6,Reference!$C$13,0))),0)</f>
        <v>341</v>
      </c>
      <c r="C3371" s="11">
        <f ca="1">B3371*Reference!$C$7*(1-IF(MONTH($A3371)=Reference!$C$6,1,0)*Reference!$C$12)</f>
        <v>317130</v>
      </c>
      <c r="D3371" s="10">
        <f ca="1">ROUND(_xlfn.NORM.INV(RAND(),Reference!$D$8,0.1*Reference!$D$8)*(1+Reference!$D$11*(IF(MONTH($A3371)=Reference!$D$4,1,0)+IF(MONTH($A3371)=Reference!$D$5,1,0))+(IF(MONTH($A3371)=Reference!$D$6,Reference!$D$13,0))),0)</f>
        <v>494</v>
      </c>
      <c r="E3371" s="11">
        <f ca="1">D3371*Reference!$D$7*(1-IF(MONTH($A3371)=Reference!$D$6,1,0)*Reference!$D$12)</f>
        <v>370500</v>
      </c>
      <c r="M3371" s="20"/>
      <c r="N3371" s="20"/>
      <c r="O3371" s="19"/>
      <c r="P3371" s="10"/>
      <c r="Q3371" s="10"/>
      <c r="R3371" s="10"/>
      <c r="S3371" s="10"/>
      <c r="T3371" s="10"/>
      <c r="U3371" s="10"/>
      <c r="V3371" s="10"/>
      <c r="W3371" s="10"/>
      <c r="X3371" s="10"/>
      <c r="Y3371" s="10"/>
    </row>
    <row r="3372" spans="1:25" x14ac:dyDescent="0.25">
      <c r="A3372" s="9">
        <v>43910</v>
      </c>
      <c r="B3372" s="10">
        <f ca="1">ROUND(_xlfn.NORM.INV(RAND(),Reference!$C$8,0.1*Reference!$C$8)*(1+Reference!$C$11*(IF(MONTH($A3372)=Reference!$C$4,1,0)+IF(MONTH($A3372)=Reference!$C$5,1,0))+(IF(MONTH($A3372)=Reference!$C$6,Reference!$C$13,0))),0)</f>
        <v>315</v>
      </c>
      <c r="C3372" s="11">
        <f ca="1">B3372*Reference!$C$7*(1-IF(MONTH($A3372)=Reference!$C$6,1,0)*Reference!$C$12)</f>
        <v>292950</v>
      </c>
      <c r="D3372" s="10">
        <f ca="1">ROUND(_xlfn.NORM.INV(RAND(),Reference!$D$8,0.1*Reference!$D$8)*(1+Reference!$D$11*(IF(MONTH($A3372)=Reference!$D$4,1,0)+IF(MONTH($A3372)=Reference!$D$5,1,0))+(IF(MONTH($A3372)=Reference!$D$6,Reference!$D$13,0))),0)</f>
        <v>473</v>
      </c>
      <c r="E3372" s="11">
        <f ca="1">D3372*Reference!$D$7*(1-IF(MONTH($A3372)=Reference!$D$6,1,0)*Reference!$D$12)</f>
        <v>354750</v>
      </c>
      <c r="M3372" s="20"/>
      <c r="N3372" s="20"/>
      <c r="O3372" s="19"/>
      <c r="P3372" s="10"/>
      <c r="Q3372" s="10"/>
      <c r="R3372" s="10"/>
      <c r="S3372" s="10"/>
      <c r="T3372" s="10"/>
      <c r="U3372" s="10"/>
      <c r="V3372" s="10"/>
      <c r="W3372" s="10"/>
      <c r="X3372" s="10"/>
      <c r="Y3372" s="10"/>
    </row>
    <row r="3373" spans="1:25" x14ac:dyDescent="0.25">
      <c r="A3373" s="9">
        <v>43911</v>
      </c>
      <c r="B3373" s="10">
        <f ca="1">ROUND(_xlfn.NORM.INV(RAND(),Reference!$C$8,0.1*Reference!$C$8)*(1+Reference!$C$11*(IF(MONTH($A3373)=Reference!$C$4,1,0)+IF(MONTH($A3373)=Reference!$C$5,1,0))+(IF(MONTH($A3373)=Reference!$C$6,Reference!$C$13,0))),0)</f>
        <v>371</v>
      </c>
      <c r="C3373" s="11">
        <f ca="1">B3373*Reference!$C$7*(1-IF(MONTH($A3373)=Reference!$C$6,1,0)*Reference!$C$12)</f>
        <v>345030</v>
      </c>
      <c r="D3373" s="10">
        <f ca="1">ROUND(_xlfn.NORM.INV(RAND(),Reference!$D$8,0.1*Reference!$D$8)*(1+Reference!$D$11*(IF(MONTH($A3373)=Reference!$D$4,1,0)+IF(MONTH($A3373)=Reference!$D$5,1,0))+(IF(MONTH($A3373)=Reference!$D$6,Reference!$D$13,0))),0)</f>
        <v>403</v>
      </c>
      <c r="E3373" s="11">
        <f ca="1">D3373*Reference!$D$7*(1-IF(MONTH($A3373)=Reference!$D$6,1,0)*Reference!$D$12)</f>
        <v>302250</v>
      </c>
      <c r="M3373" s="20"/>
      <c r="N3373" s="20"/>
      <c r="O3373" s="19"/>
      <c r="P3373" s="10"/>
      <c r="Q3373" s="10"/>
      <c r="R3373" s="10"/>
      <c r="S3373" s="10"/>
      <c r="T3373" s="10"/>
      <c r="U3373" s="10"/>
      <c r="V3373" s="10"/>
      <c r="W3373" s="10"/>
      <c r="X3373" s="10"/>
      <c r="Y3373" s="10"/>
    </row>
    <row r="3374" spans="1:25" x14ac:dyDescent="0.25">
      <c r="A3374" s="9">
        <v>43912</v>
      </c>
      <c r="B3374" s="10">
        <f ca="1">ROUND(_xlfn.NORM.INV(RAND(),Reference!$C$8,0.1*Reference!$C$8)*(1+Reference!$C$11*(IF(MONTH($A3374)=Reference!$C$4,1,0)+IF(MONTH($A3374)=Reference!$C$5,1,0))+(IF(MONTH($A3374)=Reference!$C$6,Reference!$C$13,0))),0)</f>
        <v>341</v>
      </c>
      <c r="C3374" s="11">
        <f ca="1">B3374*Reference!$C$7*(1-IF(MONTH($A3374)=Reference!$C$6,1,0)*Reference!$C$12)</f>
        <v>317130</v>
      </c>
      <c r="D3374" s="10">
        <f ca="1">ROUND(_xlfn.NORM.INV(RAND(),Reference!$D$8,0.1*Reference!$D$8)*(1+Reference!$D$11*(IF(MONTH($A3374)=Reference!$D$4,1,0)+IF(MONTH($A3374)=Reference!$D$5,1,0))+(IF(MONTH($A3374)=Reference!$D$6,Reference!$D$13,0))),0)</f>
        <v>380</v>
      </c>
      <c r="E3374" s="11">
        <f ca="1">D3374*Reference!$D$7*(1-IF(MONTH($A3374)=Reference!$D$6,1,0)*Reference!$D$12)</f>
        <v>285000</v>
      </c>
      <c r="M3374" s="20"/>
      <c r="N3374" s="20"/>
      <c r="O3374" s="19"/>
      <c r="P3374" s="10"/>
      <c r="Q3374" s="10"/>
      <c r="R3374" s="10"/>
      <c r="S3374" s="10"/>
      <c r="T3374" s="10"/>
      <c r="U3374" s="10"/>
      <c r="V3374" s="10"/>
      <c r="W3374" s="10"/>
      <c r="X3374" s="10"/>
      <c r="Y3374" s="10"/>
    </row>
    <row r="3375" spans="1:25" x14ac:dyDescent="0.25">
      <c r="A3375" s="9">
        <v>43913</v>
      </c>
      <c r="B3375" s="10">
        <f ca="1">ROUND(_xlfn.NORM.INV(RAND(),Reference!$C$8,0.1*Reference!$C$8)*(1+Reference!$C$11*(IF(MONTH($A3375)=Reference!$C$4,1,0)+IF(MONTH($A3375)=Reference!$C$5,1,0))+(IF(MONTH($A3375)=Reference!$C$6,Reference!$C$13,0))),0)</f>
        <v>364</v>
      </c>
      <c r="C3375" s="11">
        <f ca="1">B3375*Reference!$C$7*(1-IF(MONTH($A3375)=Reference!$C$6,1,0)*Reference!$C$12)</f>
        <v>338520</v>
      </c>
      <c r="D3375" s="10">
        <f ca="1">ROUND(_xlfn.NORM.INV(RAND(),Reference!$D$8,0.1*Reference!$D$8)*(1+Reference!$D$11*(IF(MONTH($A3375)=Reference!$D$4,1,0)+IF(MONTH($A3375)=Reference!$D$5,1,0))+(IF(MONTH($A3375)=Reference!$D$6,Reference!$D$13,0))),0)</f>
        <v>437</v>
      </c>
      <c r="E3375" s="11">
        <f ca="1">D3375*Reference!$D$7*(1-IF(MONTH($A3375)=Reference!$D$6,1,0)*Reference!$D$12)</f>
        <v>327750</v>
      </c>
      <c r="M3375" s="20"/>
      <c r="N3375" s="20"/>
      <c r="O3375" s="19"/>
      <c r="P3375" s="10"/>
      <c r="Q3375" s="10"/>
      <c r="R3375" s="10"/>
      <c r="S3375" s="10"/>
      <c r="T3375" s="10"/>
      <c r="U3375" s="10"/>
      <c r="V3375" s="10"/>
      <c r="W3375" s="10"/>
      <c r="X3375" s="10"/>
      <c r="Y3375" s="10"/>
    </row>
    <row r="3376" spans="1:25" x14ac:dyDescent="0.25">
      <c r="A3376" s="9">
        <v>43914</v>
      </c>
      <c r="B3376" s="10">
        <f ca="1">ROUND(_xlfn.NORM.INV(RAND(),Reference!$C$8,0.1*Reference!$C$8)*(1+Reference!$C$11*(IF(MONTH($A3376)=Reference!$C$4,1,0)+IF(MONTH($A3376)=Reference!$C$5,1,0))+(IF(MONTH($A3376)=Reference!$C$6,Reference!$C$13,0))),0)</f>
        <v>357</v>
      </c>
      <c r="C3376" s="11">
        <f ca="1">B3376*Reference!$C$7*(1-IF(MONTH($A3376)=Reference!$C$6,1,0)*Reference!$C$12)</f>
        <v>332010</v>
      </c>
      <c r="D3376" s="10">
        <f ca="1">ROUND(_xlfn.NORM.INV(RAND(),Reference!$D$8,0.1*Reference!$D$8)*(1+Reference!$D$11*(IF(MONTH($A3376)=Reference!$D$4,1,0)+IF(MONTH($A3376)=Reference!$D$5,1,0))+(IF(MONTH($A3376)=Reference!$D$6,Reference!$D$13,0))),0)</f>
        <v>458</v>
      </c>
      <c r="E3376" s="11">
        <f ca="1">D3376*Reference!$D$7*(1-IF(MONTH($A3376)=Reference!$D$6,1,0)*Reference!$D$12)</f>
        <v>343500</v>
      </c>
      <c r="M3376" s="20"/>
      <c r="N3376" s="20"/>
      <c r="O3376" s="19"/>
      <c r="P3376" s="10"/>
      <c r="Q3376" s="10"/>
      <c r="R3376" s="10"/>
      <c r="S3376" s="10"/>
      <c r="T3376" s="10"/>
      <c r="U3376" s="10"/>
      <c r="V3376" s="10"/>
      <c r="W3376" s="10"/>
      <c r="X3376" s="10"/>
      <c r="Y3376" s="10"/>
    </row>
    <row r="3377" spans="1:25" x14ac:dyDescent="0.25">
      <c r="A3377" s="9">
        <v>43915</v>
      </c>
      <c r="B3377" s="10">
        <f ca="1">ROUND(_xlfn.NORM.INV(RAND(),Reference!$C$8,0.1*Reference!$C$8)*(1+Reference!$C$11*(IF(MONTH($A3377)=Reference!$C$4,1,0)+IF(MONTH($A3377)=Reference!$C$5,1,0))+(IF(MONTH($A3377)=Reference!$C$6,Reference!$C$13,0))),0)</f>
        <v>369</v>
      </c>
      <c r="C3377" s="11">
        <f ca="1">B3377*Reference!$C$7*(1-IF(MONTH($A3377)=Reference!$C$6,1,0)*Reference!$C$12)</f>
        <v>343170</v>
      </c>
      <c r="D3377" s="10">
        <f ca="1">ROUND(_xlfn.NORM.INV(RAND(),Reference!$D$8,0.1*Reference!$D$8)*(1+Reference!$D$11*(IF(MONTH($A3377)=Reference!$D$4,1,0)+IF(MONTH($A3377)=Reference!$D$5,1,0))+(IF(MONTH($A3377)=Reference!$D$6,Reference!$D$13,0))),0)</f>
        <v>493</v>
      </c>
      <c r="E3377" s="11">
        <f ca="1">D3377*Reference!$D$7*(1-IF(MONTH($A3377)=Reference!$D$6,1,0)*Reference!$D$12)</f>
        <v>369750</v>
      </c>
      <c r="M3377" s="20"/>
      <c r="N3377" s="20"/>
      <c r="O3377" s="19"/>
      <c r="P3377" s="10"/>
      <c r="Q3377" s="10"/>
      <c r="R3377" s="10"/>
      <c r="S3377" s="10"/>
      <c r="T3377" s="10"/>
      <c r="U3377" s="10"/>
      <c r="V3377" s="10"/>
      <c r="W3377" s="10"/>
      <c r="X3377" s="10"/>
      <c r="Y3377" s="10"/>
    </row>
    <row r="3378" spans="1:25" x14ac:dyDescent="0.25">
      <c r="A3378" s="9">
        <v>43916</v>
      </c>
      <c r="B3378" s="10">
        <f ca="1">ROUND(_xlfn.NORM.INV(RAND(),Reference!$C$8,0.1*Reference!$C$8)*(1+Reference!$C$11*(IF(MONTH($A3378)=Reference!$C$4,1,0)+IF(MONTH($A3378)=Reference!$C$5,1,0))+(IF(MONTH($A3378)=Reference!$C$6,Reference!$C$13,0))),0)</f>
        <v>392</v>
      </c>
      <c r="C3378" s="11">
        <f ca="1">B3378*Reference!$C$7*(1-IF(MONTH($A3378)=Reference!$C$6,1,0)*Reference!$C$12)</f>
        <v>364560</v>
      </c>
      <c r="D3378" s="10">
        <f ca="1">ROUND(_xlfn.NORM.INV(RAND(),Reference!$D$8,0.1*Reference!$D$8)*(1+Reference!$D$11*(IF(MONTH($A3378)=Reference!$D$4,1,0)+IF(MONTH($A3378)=Reference!$D$5,1,0))+(IF(MONTH($A3378)=Reference!$D$6,Reference!$D$13,0))),0)</f>
        <v>474</v>
      </c>
      <c r="E3378" s="11">
        <f ca="1">D3378*Reference!$D$7*(1-IF(MONTH($A3378)=Reference!$D$6,1,0)*Reference!$D$12)</f>
        <v>355500</v>
      </c>
      <c r="M3378" s="20"/>
      <c r="N3378" s="20"/>
      <c r="O3378" s="19"/>
      <c r="P3378" s="10"/>
      <c r="Q3378" s="10"/>
      <c r="R3378" s="10"/>
      <c r="S3378" s="10"/>
      <c r="T3378" s="10"/>
      <c r="U3378" s="10"/>
      <c r="V3378" s="10"/>
      <c r="W3378" s="10"/>
      <c r="X3378" s="10"/>
      <c r="Y3378" s="10"/>
    </row>
    <row r="3379" spans="1:25" x14ac:dyDescent="0.25">
      <c r="A3379" s="9">
        <v>43917</v>
      </c>
      <c r="B3379" s="10">
        <f ca="1">ROUND(_xlfn.NORM.INV(RAND(),Reference!$C$8,0.1*Reference!$C$8)*(1+Reference!$C$11*(IF(MONTH($A3379)=Reference!$C$4,1,0)+IF(MONTH($A3379)=Reference!$C$5,1,0))+(IF(MONTH($A3379)=Reference!$C$6,Reference!$C$13,0))),0)</f>
        <v>337</v>
      </c>
      <c r="C3379" s="11">
        <f ca="1">B3379*Reference!$C$7*(1-IF(MONTH($A3379)=Reference!$C$6,1,0)*Reference!$C$12)</f>
        <v>313410</v>
      </c>
      <c r="D3379" s="10">
        <f ca="1">ROUND(_xlfn.NORM.INV(RAND(),Reference!$D$8,0.1*Reference!$D$8)*(1+Reference!$D$11*(IF(MONTH($A3379)=Reference!$D$4,1,0)+IF(MONTH($A3379)=Reference!$D$5,1,0))+(IF(MONTH($A3379)=Reference!$D$6,Reference!$D$13,0))),0)</f>
        <v>445</v>
      </c>
      <c r="E3379" s="11">
        <f ca="1">D3379*Reference!$D$7*(1-IF(MONTH($A3379)=Reference!$D$6,1,0)*Reference!$D$12)</f>
        <v>333750</v>
      </c>
      <c r="M3379" s="20"/>
      <c r="N3379" s="20"/>
      <c r="O3379" s="19"/>
      <c r="P3379" s="10"/>
      <c r="Q3379" s="10"/>
      <c r="R3379" s="10"/>
      <c r="S3379" s="10"/>
      <c r="T3379" s="10"/>
      <c r="U3379" s="10"/>
      <c r="V3379" s="10"/>
      <c r="W3379" s="10"/>
      <c r="X3379" s="10"/>
      <c r="Y3379" s="10"/>
    </row>
    <row r="3380" spans="1:25" x14ac:dyDescent="0.25">
      <c r="A3380" s="9">
        <v>43918</v>
      </c>
      <c r="B3380" s="10">
        <f ca="1">ROUND(_xlfn.NORM.INV(RAND(),Reference!$C$8,0.1*Reference!$C$8)*(1+Reference!$C$11*(IF(MONTH($A3380)=Reference!$C$4,1,0)+IF(MONTH($A3380)=Reference!$C$5,1,0))+(IF(MONTH($A3380)=Reference!$C$6,Reference!$C$13,0))),0)</f>
        <v>356</v>
      </c>
      <c r="C3380" s="11">
        <f ca="1">B3380*Reference!$C$7*(1-IF(MONTH($A3380)=Reference!$C$6,1,0)*Reference!$C$12)</f>
        <v>331080</v>
      </c>
      <c r="D3380" s="10">
        <f ca="1">ROUND(_xlfn.NORM.INV(RAND(),Reference!$D$8,0.1*Reference!$D$8)*(1+Reference!$D$11*(IF(MONTH($A3380)=Reference!$D$4,1,0)+IF(MONTH($A3380)=Reference!$D$5,1,0))+(IF(MONTH($A3380)=Reference!$D$6,Reference!$D$13,0))),0)</f>
        <v>445</v>
      </c>
      <c r="E3380" s="11">
        <f ca="1">D3380*Reference!$D$7*(1-IF(MONTH($A3380)=Reference!$D$6,1,0)*Reference!$D$12)</f>
        <v>333750</v>
      </c>
      <c r="M3380" s="20"/>
      <c r="N3380" s="20"/>
      <c r="O3380" s="19"/>
      <c r="P3380" s="10"/>
      <c r="Q3380" s="10"/>
      <c r="R3380" s="10"/>
      <c r="S3380" s="10"/>
      <c r="T3380" s="10"/>
      <c r="U3380" s="10"/>
      <c r="V3380" s="10"/>
      <c r="W3380" s="10"/>
      <c r="X3380" s="10"/>
      <c r="Y3380" s="10"/>
    </row>
    <row r="3381" spans="1:25" x14ac:dyDescent="0.25">
      <c r="A3381" s="9">
        <v>43919</v>
      </c>
      <c r="B3381" s="10">
        <f ca="1">ROUND(_xlfn.NORM.INV(RAND(),Reference!$C$8,0.1*Reference!$C$8)*(1+Reference!$C$11*(IF(MONTH($A3381)=Reference!$C$4,1,0)+IF(MONTH($A3381)=Reference!$C$5,1,0))+(IF(MONTH($A3381)=Reference!$C$6,Reference!$C$13,0))),0)</f>
        <v>379</v>
      </c>
      <c r="C3381" s="11">
        <f ca="1">B3381*Reference!$C$7*(1-IF(MONTH($A3381)=Reference!$C$6,1,0)*Reference!$C$12)</f>
        <v>352470</v>
      </c>
      <c r="D3381" s="10">
        <f ca="1">ROUND(_xlfn.NORM.INV(RAND(),Reference!$D$8,0.1*Reference!$D$8)*(1+Reference!$D$11*(IF(MONTH($A3381)=Reference!$D$4,1,0)+IF(MONTH($A3381)=Reference!$D$5,1,0))+(IF(MONTH($A3381)=Reference!$D$6,Reference!$D$13,0))),0)</f>
        <v>495</v>
      </c>
      <c r="E3381" s="11">
        <f ca="1">D3381*Reference!$D$7*(1-IF(MONTH($A3381)=Reference!$D$6,1,0)*Reference!$D$12)</f>
        <v>371250</v>
      </c>
      <c r="M3381" s="20"/>
      <c r="N3381" s="20"/>
      <c r="O3381" s="19"/>
      <c r="P3381" s="10"/>
      <c r="Q3381" s="10"/>
      <c r="R3381" s="10"/>
      <c r="S3381" s="10"/>
      <c r="T3381" s="10"/>
      <c r="U3381" s="10"/>
      <c r="V3381" s="10"/>
      <c r="W3381" s="10"/>
      <c r="X3381" s="10"/>
      <c r="Y3381" s="10"/>
    </row>
    <row r="3382" spans="1:25" x14ac:dyDescent="0.25">
      <c r="A3382" s="9">
        <v>43920</v>
      </c>
      <c r="B3382" s="10">
        <f ca="1">ROUND(_xlfn.NORM.INV(RAND(),Reference!$C$8,0.1*Reference!$C$8)*(1+Reference!$C$11*(IF(MONTH($A3382)=Reference!$C$4,1,0)+IF(MONTH($A3382)=Reference!$C$5,1,0))+(IF(MONTH($A3382)=Reference!$C$6,Reference!$C$13,0))),0)</f>
        <v>450</v>
      </c>
      <c r="C3382" s="11">
        <f ca="1">B3382*Reference!$C$7*(1-IF(MONTH($A3382)=Reference!$C$6,1,0)*Reference!$C$12)</f>
        <v>418500</v>
      </c>
      <c r="D3382" s="10">
        <f ca="1">ROUND(_xlfn.NORM.INV(RAND(),Reference!$D$8,0.1*Reference!$D$8)*(1+Reference!$D$11*(IF(MONTH($A3382)=Reference!$D$4,1,0)+IF(MONTH($A3382)=Reference!$D$5,1,0))+(IF(MONTH($A3382)=Reference!$D$6,Reference!$D$13,0))),0)</f>
        <v>414</v>
      </c>
      <c r="E3382" s="11">
        <f ca="1">D3382*Reference!$D$7*(1-IF(MONTH($A3382)=Reference!$D$6,1,0)*Reference!$D$12)</f>
        <v>310500</v>
      </c>
      <c r="M3382" s="20"/>
      <c r="N3382" s="20"/>
      <c r="O3382" s="19"/>
      <c r="P3382" s="10"/>
      <c r="Q3382" s="10"/>
      <c r="R3382" s="10"/>
      <c r="S3382" s="10"/>
      <c r="T3382" s="10"/>
      <c r="U3382" s="10"/>
      <c r="V3382" s="10"/>
      <c r="W3382" s="10"/>
      <c r="X3382" s="10"/>
      <c r="Y3382" s="10"/>
    </row>
    <row r="3383" spans="1:25" x14ac:dyDescent="0.25">
      <c r="A3383" s="9">
        <v>43921</v>
      </c>
      <c r="B3383" s="10">
        <f ca="1">ROUND(_xlfn.NORM.INV(RAND(),Reference!$C$8,0.1*Reference!$C$8)*(1+Reference!$C$11*(IF(MONTH($A3383)=Reference!$C$4,1,0)+IF(MONTH($A3383)=Reference!$C$5,1,0))+(IF(MONTH($A3383)=Reference!$C$6,Reference!$C$13,0))),0)</f>
        <v>333</v>
      </c>
      <c r="C3383" s="11">
        <f ca="1">B3383*Reference!$C$7*(1-IF(MONTH($A3383)=Reference!$C$6,1,0)*Reference!$C$12)</f>
        <v>309690</v>
      </c>
      <c r="D3383" s="10">
        <f ca="1">ROUND(_xlfn.NORM.INV(RAND(),Reference!$D$8,0.1*Reference!$D$8)*(1+Reference!$D$11*(IF(MONTH($A3383)=Reference!$D$4,1,0)+IF(MONTH($A3383)=Reference!$D$5,1,0))+(IF(MONTH($A3383)=Reference!$D$6,Reference!$D$13,0))),0)</f>
        <v>437</v>
      </c>
      <c r="E3383" s="11">
        <f ca="1">D3383*Reference!$D$7*(1-IF(MONTH($A3383)=Reference!$D$6,1,0)*Reference!$D$12)</f>
        <v>327750</v>
      </c>
      <c r="M3383" s="20"/>
      <c r="N3383" s="20"/>
      <c r="O3383" s="19"/>
      <c r="P3383" s="10"/>
      <c r="Q3383" s="10"/>
      <c r="R3383" s="10"/>
      <c r="S3383" s="10"/>
      <c r="T3383" s="10"/>
      <c r="U3383" s="10"/>
      <c r="V3383" s="10"/>
      <c r="W3383" s="10"/>
      <c r="X3383" s="10"/>
      <c r="Y3383" s="10"/>
    </row>
    <row r="3384" spans="1:25" x14ac:dyDescent="0.25">
      <c r="A3384" s="9">
        <v>43922</v>
      </c>
      <c r="B3384" s="10">
        <f ca="1">ROUND(_xlfn.NORM.INV(RAND(),Reference!$C$8,0.1*Reference!$C$8)*(1+Reference!$C$11*(IF(MONTH($A3384)=Reference!$C$4,1,0)+IF(MONTH($A3384)=Reference!$C$5,1,0))+(IF(MONTH($A3384)=Reference!$C$6,Reference!$C$13,0))),0)</f>
        <v>533</v>
      </c>
      <c r="C3384" s="11">
        <f ca="1">B3384*Reference!$C$7*(1-IF(MONTH($A3384)=Reference!$C$6,1,0)*Reference!$C$12)</f>
        <v>495690</v>
      </c>
      <c r="D3384" s="10">
        <f ca="1">ROUND(_xlfn.NORM.INV(RAND(),Reference!$D$8,0.1*Reference!$D$8)*(1+Reference!$D$11*(IF(MONTH($A3384)=Reference!$D$4,1,0)+IF(MONTH($A3384)=Reference!$D$5,1,0))+(IF(MONTH($A3384)=Reference!$D$6,Reference!$D$13,0))),0)</f>
        <v>489</v>
      </c>
      <c r="E3384" s="11">
        <f ca="1">D3384*Reference!$D$7*(1-IF(MONTH($A3384)=Reference!$D$6,1,0)*Reference!$D$12)</f>
        <v>366750</v>
      </c>
      <c r="M3384" s="20"/>
      <c r="N3384" s="20"/>
      <c r="O3384" s="19"/>
      <c r="P3384" s="10"/>
      <c r="Q3384" s="10"/>
      <c r="R3384" s="10"/>
      <c r="S3384" s="10"/>
      <c r="T3384" s="10"/>
      <c r="U3384" s="10"/>
      <c r="V3384" s="10"/>
      <c r="W3384" s="10"/>
      <c r="X3384" s="10"/>
      <c r="Y3384" s="10"/>
    </row>
    <row r="3385" spans="1:25" x14ac:dyDescent="0.25">
      <c r="A3385" s="9">
        <v>43923</v>
      </c>
      <c r="B3385" s="10">
        <f ca="1">ROUND(_xlfn.NORM.INV(RAND(),Reference!$C$8,0.1*Reference!$C$8)*(1+Reference!$C$11*(IF(MONTH($A3385)=Reference!$C$4,1,0)+IF(MONTH($A3385)=Reference!$C$5,1,0))+(IF(MONTH($A3385)=Reference!$C$6,Reference!$C$13,0))),0)</f>
        <v>499</v>
      </c>
      <c r="C3385" s="11">
        <f ca="1">B3385*Reference!$C$7*(1-IF(MONTH($A3385)=Reference!$C$6,1,0)*Reference!$C$12)</f>
        <v>464070</v>
      </c>
      <c r="D3385" s="10">
        <f ca="1">ROUND(_xlfn.NORM.INV(RAND(),Reference!$D$8,0.1*Reference!$D$8)*(1+Reference!$D$11*(IF(MONTH($A3385)=Reference!$D$4,1,0)+IF(MONTH($A3385)=Reference!$D$5,1,0))+(IF(MONTH($A3385)=Reference!$D$6,Reference!$D$13,0))),0)</f>
        <v>341</v>
      </c>
      <c r="E3385" s="11">
        <f ca="1">D3385*Reference!$D$7*(1-IF(MONTH($A3385)=Reference!$D$6,1,0)*Reference!$D$12)</f>
        <v>255750</v>
      </c>
      <c r="M3385" s="20"/>
      <c r="N3385" s="20"/>
      <c r="O3385" s="19"/>
      <c r="P3385" s="10"/>
      <c r="Q3385" s="10"/>
      <c r="R3385" s="10"/>
      <c r="S3385" s="10"/>
      <c r="T3385" s="10"/>
      <c r="U3385" s="10"/>
      <c r="V3385" s="10"/>
      <c r="W3385" s="10"/>
      <c r="X3385" s="10"/>
      <c r="Y3385" s="10"/>
    </row>
    <row r="3386" spans="1:25" x14ac:dyDescent="0.25">
      <c r="A3386" s="9">
        <v>43924</v>
      </c>
      <c r="B3386" s="10">
        <f ca="1">ROUND(_xlfn.NORM.INV(RAND(),Reference!$C$8,0.1*Reference!$C$8)*(1+Reference!$C$11*(IF(MONTH($A3386)=Reference!$C$4,1,0)+IF(MONTH($A3386)=Reference!$C$5,1,0))+(IF(MONTH($A3386)=Reference!$C$6,Reference!$C$13,0))),0)</f>
        <v>439</v>
      </c>
      <c r="C3386" s="11">
        <f ca="1">B3386*Reference!$C$7*(1-IF(MONTH($A3386)=Reference!$C$6,1,0)*Reference!$C$12)</f>
        <v>408270</v>
      </c>
      <c r="D3386" s="10">
        <f ca="1">ROUND(_xlfn.NORM.INV(RAND(),Reference!$D$8,0.1*Reference!$D$8)*(1+Reference!$D$11*(IF(MONTH($A3386)=Reference!$D$4,1,0)+IF(MONTH($A3386)=Reference!$D$5,1,0))+(IF(MONTH($A3386)=Reference!$D$6,Reference!$D$13,0))),0)</f>
        <v>400</v>
      </c>
      <c r="E3386" s="11">
        <f ca="1">D3386*Reference!$D$7*(1-IF(MONTH($A3386)=Reference!$D$6,1,0)*Reference!$D$12)</f>
        <v>300000</v>
      </c>
      <c r="M3386" s="20"/>
      <c r="N3386" s="20"/>
      <c r="O3386" s="19"/>
      <c r="P3386" s="10"/>
      <c r="Q3386" s="10"/>
      <c r="R3386" s="10"/>
      <c r="S3386" s="10"/>
      <c r="T3386" s="10"/>
      <c r="U3386" s="10"/>
      <c r="V3386" s="10"/>
      <c r="W3386" s="10"/>
      <c r="X3386" s="10"/>
      <c r="Y3386" s="10"/>
    </row>
    <row r="3387" spans="1:25" x14ac:dyDescent="0.25">
      <c r="A3387" s="9">
        <v>43925</v>
      </c>
      <c r="B3387" s="10">
        <f ca="1">ROUND(_xlfn.NORM.INV(RAND(),Reference!$C$8,0.1*Reference!$C$8)*(1+Reference!$C$11*(IF(MONTH($A3387)=Reference!$C$4,1,0)+IF(MONTH($A3387)=Reference!$C$5,1,0))+(IF(MONTH($A3387)=Reference!$C$6,Reference!$C$13,0))),0)</f>
        <v>506</v>
      </c>
      <c r="C3387" s="11">
        <f ca="1">B3387*Reference!$C$7*(1-IF(MONTH($A3387)=Reference!$C$6,1,0)*Reference!$C$12)</f>
        <v>470580</v>
      </c>
      <c r="D3387" s="10">
        <f ca="1">ROUND(_xlfn.NORM.INV(RAND(),Reference!$D$8,0.1*Reference!$D$8)*(1+Reference!$D$11*(IF(MONTH($A3387)=Reference!$D$4,1,0)+IF(MONTH($A3387)=Reference!$D$5,1,0))+(IF(MONTH($A3387)=Reference!$D$6,Reference!$D$13,0))),0)</f>
        <v>415</v>
      </c>
      <c r="E3387" s="11">
        <f ca="1">D3387*Reference!$D$7*(1-IF(MONTH($A3387)=Reference!$D$6,1,0)*Reference!$D$12)</f>
        <v>311250</v>
      </c>
      <c r="M3387" s="20"/>
      <c r="N3387" s="20"/>
      <c r="O3387" s="19"/>
      <c r="P3387" s="10"/>
      <c r="Q3387" s="10"/>
      <c r="R3387" s="10"/>
      <c r="S3387" s="10"/>
      <c r="T3387" s="10"/>
      <c r="U3387" s="10"/>
      <c r="V3387" s="10"/>
      <c r="W3387" s="10"/>
      <c r="X3387" s="10"/>
      <c r="Y3387" s="10"/>
    </row>
    <row r="3388" spans="1:25" x14ac:dyDescent="0.25">
      <c r="A3388" s="9">
        <v>43926</v>
      </c>
      <c r="B3388" s="10">
        <f ca="1">ROUND(_xlfn.NORM.INV(RAND(),Reference!$C$8,0.1*Reference!$C$8)*(1+Reference!$C$11*(IF(MONTH($A3388)=Reference!$C$4,1,0)+IF(MONTH($A3388)=Reference!$C$5,1,0))+(IF(MONTH($A3388)=Reference!$C$6,Reference!$C$13,0))),0)</f>
        <v>563</v>
      </c>
      <c r="C3388" s="11">
        <f ca="1">B3388*Reference!$C$7*(1-IF(MONTH($A3388)=Reference!$C$6,1,0)*Reference!$C$12)</f>
        <v>523590</v>
      </c>
      <c r="D3388" s="10">
        <f ca="1">ROUND(_xlfn.NORM.INV(RAND(),Reference!$D$8,0.1*Reference!$D$8)*(1+Reference!$D$11*(IF(MONTH($A3388)=Reference!$D$4,1,0)+IF(MONTH($A3388)=Reference!$D$5,1,0))+(IF(MONTH($A3388)=Reference!$D$6,Reference!$D$13,0))),0)</f>
        <v>453</v>
      </c>
      <c r="E3388" s="11">
        <f ca="1">D3388*Reference!$D$7*(1-IF(MONTH($A3388)=Reference!$D$6,1,0)*Reference!$D$12)</f>
        <v>339750</v>
      </c>
      <c r="M3388" s="20"/>
      <c r="N3388" s="20"/>
      <c r="O3388" s="19"/>
      <c r="P3388" s="10"/>
      <c r="Q3388" s="10"/>
      <c r="R3388" s="10"/>
      <c r="S3388" s="10"/>
      <c r="T3388" s="10"/>
      <c r="U3388" s="10"/>
      <c r="V3388" s="10"/>
      <c r="W3388" s="10"/>
      <c r="X3388" s="10"/>
      <c r="Y3388" s="10"/>
    </row>
    <row r="3389" spans="1:25" x14ac:dyDescent="0.25">
      <c r="A3389" s="9">
        <v>43927</v>
      </c>
      <c r="B3389" s="10">
        <f ca="1">ROUND(_xlfn.NORM.INV(RAND(),Reference!$C$8,0.1*Reference!$C$8)*(1+Reference!$C$11*(IF(MONTH($A3389)=Reference!$C$4,1,0)+IF(MONTH($A3389)=Reference!$C$5,1,0))+(IF(MONTH($A3389)=Reference!$C$6,Reference!$C$13,0))),0)</f>
        <v>552</v>
      </c>
      <c r="C3389" s="11">
        <f ca="1">B3389*Reference!$C$7*(1-IF(MONTH($A3389)=Reference!$C$6,1,0)*Reference!$C$12)</f>
        <v>513360</v>
      </c>
      <c r="D3389" s="10">
        <f ca="1">ROUND(_xlfn.NORM.INV(RAND(),Reference!$D$8,0.1*Reference!$D$8)*(1+Reference!$D$11*(IF(MONTH($A3389)=Reference!$D$4,1,0)+IF(MONTH($A3389)=Reference!$D$5,1,0))+(IF(MONTH($A3389)=Reference!$D$6,Reference!$D$13,0))),0)</f>
        <v>445</v>
      </c>
      <c r="E3389" s="11">
        <f ca="1">D3389*Reference!$D$7*(1-IF(MONTH($A3389)=Reference!$D$6,1,0)*Reference!$D$12)</f>
        <v>333750</v>
      </c>
      <c r="M3389" s="20"/>
      <c r="N3389" s="20"/>
      <c r="O3389" s="19"/>
      <c r="P3389" s="10"/>
      <c r="Q3389" s="10"/>
      <c r="R3389" s="10"/>
      <c r="S3389" s="10"/>
      <c r="T3389" s="10"/>
      <c r="U3389" s="10"/>
      <c r="V3389" s="10"/>
      <c r="W3389" s="10"/>
      <c r="X3389" s="10"/>
      <c r="Y3389" s="10"/>
    </row>
    <row r="3390" spans="1:25" x14ac:dyDescent="0.25">
      <c r="A3390" s="9">
        <v>43928</v>
      </c>
      <c r="B3390" s="10">
        <f ca="1">ROUND(_xlfn.NORM.INV(RAND(),Reference!$C$8,0.1*Reference!$C$8)*(1+Reference!$C$11*(IF(MONTH($A3390)=Reference!$C$4,1,0)+IF(MONTH($A3390)=Reference!$C$5,1,0))+(IF(MONTH($A3390)=Reference!$C$6,Reference!$C$13,0))),0)</f>
        <v>514</v>
      </c>
      <c r="C3390" s="11">
        <f ca="1">B3390*Reference!$C$7*(1-IF(MONTH($A3390)=Reference!$C$6,1,0)*Reference!$C$12)</f>
        <v>478020</v>
      </c>
      <c r="D3390" s="10">
        <f ca="1">ROUND(_xlfn.NORM.INV(RAND(),Reference!$D$8,0.1*Reference!$D$8)*(1+Reference!$D$11*(IF(MONTH($A3390)=Reference!$D$4,1,0)+IF(MONTH($A3390)=Reference!$D$5,1,0))+(IF(MONTH($A3390)=Reference!$D$6,Reference!$D$13,0))),0)</f>
        <v>434</v>
      </c>
      <c r="E3390" s="11">
        <f ca="1">D3390*Reference!$D$7*(1-IF(MONTH($A3390)=Reference!$D$6,1,0)*Reference!$D$12)</f>
        <v>325500</v>
      </c>
      <c r="M3390" s="20"/>
      <c r="N3390" s="20"/>
      <c r="O3390" s="19"/>
      <c r="P3390" s="10"/>
      <c r="Q3390" s="10"/>
      <c r="R3390" s="10"/>
      <c r="S3390" s="10"/>
      <c r="T3390" s="10"/>
      <c r="U3390" s="10"/>
      <c r="V3390" s="10"/>
      <c r="W3390" s="10"/>
      <c r="X3390" s="10"/>
      <c r="Y3390" s="10"/>
    </row>
    <row r="3391" spans="1:25" x14ac:dyDescent="0.25">
      <c r="A3391" s="9">
        <v>43929</v>
      </c>
      <c r="B3391" s="10">
        <f ca="1">ROUND(_xlfn.NORM.INV(RAND(),Reference!$C$8,0.1*Reference!$C$8)*(1+Reference!$C$11*(IF(MONTH($A3391)=Reference!$C$4,1,0)+IF(MONTH($A3391)=Reference!$C$5,1,0))+(IF(MONTH($A3391)=Reference!$C$6,Reference!$C$13,0))),0)</f>
        <v>536</v>
      </c>
      <c r="C3391" s="11">
        <f ca="1">B3391*Reference!$C$7*(1-IF(MONTH($A3391)=Reference!$C$6,1,0)*Reference!$C$12)</f>
        <v>498480</v>
      </c>
      <c r="D3391" s="10">
        <f ca="1">ROUND(_xlfn.NORM.INV(RAND(),Reference!$D$8,0.1*Reference!$D$8)*(1+Reference!$D$11*(IF(MONTH($A3391)=Reference!$D$4,1,0)+IF(MONTH($A3391)=Reference!$D$5,1,0))+(IF(MONTH($A3391)=Reference!$D$6,Reference!$D$13,0))),0)</f>
        <v>405</v>
      </c>
      <c r="E3391" s="11">
        <f ca="1">D3391*Reference!$D$7*(1-IF(MONTH($A3391)=Reference!$D$6,1,0)*Reference!$D$12)</f>
        <v>303750</v>
      </c>
      <c r="M3391" s="20"/>
      <c r="N3391" s="20"/>
      <c r="O3391" s="19"/>
      <c r="P3391" s="10"/>
      <c r="Q3391" s="10"/>
      <c r="R3391" s="10"/>
      <c r="S3391" s="10"/>
      <c r="T3391" s="10"/>
      <c r="U3391" s="10"/>
      <c r="V3391" s="10"/>
      <c r="W3391" s="10"/>
      <c r="X3391" s="10"/>
      <c r="Y3391" s="10"/>
    </row>
    <row r="3392" spans="1:25" x14ac:dyDescent="0.25">
      <c r="A3392" s="9">
        <v>43930</v>
      </c>
      <c r="B3392" s="10">
        <f ca="1">ROUND(_xlfn.NORM.INV(RAND(),Reference!$C$8,0.1*Reference!$C$8)*(1+Reference!$C$11*(IF(MONTH($A3392)=Reference!$C$4,1,0)+IF(MONTH($A3392)=Reference!$C$5,1,0))+(IF(MONTH($A3392)=Reference!$C$6,Reference!$C$13,0))),0)</f>
        <v>596</v>
      </c>
      <c r="C3392" s="11">
        <f ca="1">B3392*Reference!$C$7*(1-IF(MONTH($A3392)=Reference!$C$6,1,0)*Reference!$C$12)</f>
        <v>554280</v>
      </c>
      <c r="D3392" s="10">
        <f ca="1">ROUND(_xlfn.NORM.INV(RAND(),Reference!$D$8,0.1*Reference!$D$8)*(1+Reference!$D$11*(IF(MONTH($A3392)=Reference!$D$4,1,0)+IF(MONTH($A3392)=Reference!$D$5,1,0))+(IF(MONTH($A3392)=Reference!$D$6,Reference!$D$13,0))),0)</f>
        <v>494</v>
      </c>
      <c r="E3392" s="11">
        <f ca="1">D3392*Reference!$D$7*(1-IF(MONTH($A3392)=Reference!$D$6,1,0)*Reference!$D$12)</f>
        <v>370500</v>
      </c>
      <c r="M3392" s="20"/>
      <c r="N3392" s="20"/>
      <c r="O3392" s="19"/>
      <c r="P3392" s="10"/>
      <c r="Q3392" s="10"/>
      <c r="R3392" s="10"/>
      <c r="S3392" s="10"/>
      <c r="T3392" s="10"/>
      <c r="U3392" s="10"/>
      <c r="V3392" s="10"/>
      <c r="W3392" s="10"/>
      <c r="X3392" s="10"/>
      <c r="Y3392" s="10"/>
    </row>
    <row r="3393" spans="1:25" x14ac:dyDescent="0.25">
      <c r="A3393" s="9">
        <v>43931</v>
      </c>
      <c r="B3393" s="10">
        <f ca="1">ROUND(_xlfn.NORM.INV(RAND(),Reference!$C$8,0.1*Reference!$C$8)*(1+Reference!$C$11*(IF(MONTH($A3393)=Reference!$C$4,1,0)+IF(MONTH($A3393)=Reference!$C$5,1,0))+(IF(MONTH($A3393)=Reference!$C$6,Reference!$C$13,0))),0)</f>
        <v>618</v>
      </c>
      <c r="C3393" s="11">
        <f ca="1">B3393*Reference!$C$7*(1-IF(MONTH($A3393)=Reference!$C$6,1,0)*Reference!$C$12)</f>
        <v>574740</v>
      </c>
      <c r="D3393" s="10">
        <f ca="1">ROUND(_xlfn.NORM.INV(RAND(),Reference!$D$8,0.1*Reference!$D$8)*(1+Reference!$D$11*(IF(MONTH($A3393)=Reference!$D$4,1,0)+IF(MONTH($A3393)=Reference!$D$5,1,0))+(IF(MONTH($A3393)=Reference!$D$6,Reference!$D$13,0))),0)</f>
        <v>382</v>
      </c>
      <c r="E3393" s="11">
        <f ca="1">D3393*Reference!$D$7*(1-IF(MONTH($A3393)=Reference!$D$6,1,0)*Reference!$D$12)</f>
        <v>286500</v>
      </c>
      <c r="M3393" s="20"/>
      <c r="N3393" s="20"/>
      <c r="O3393" s="19"/>
      <c r="P3393" s="10"/>
      <c r="Q3393" s="10"/>
      <c r="R3393" s="10"/>
      <c r="S3393" s="10"/>
      <c r="T3393" s="10"/>
      <c r="U3393" s="10"/>
      <c r="V3393" s="10"/>
      <c r="W3393" s="10"/>
      <c r="X3393" s="10"/>
      <c r="Y3393" s="10"/>
    </row>
    <row r="3394" spans="1:25" x14ac:dyDescent="0.25">
      <c r="A3394" s="9">
        <v>43932</v>
      </c>
      <c r="B3394" s="10">
        <f ca="1">ROUND(_xlfn.NORM.INV(RAND(),Reference!$C$8,0.1*Reference!$C$8)*(1+Reference!$C$11*(IF(MONTH($A3394)=Reference!$C$4,1,0)+IF(MONTH($A3394)=Reference!$C$5,1,0))+(IF(MONTH($A3394)=Reference!$C$6,Reference!$C$13,0))),0)</f>
        <v>632</v>
      </c>
      <c r="C3394" s="11">
        <f ca="1">B3394*Reference!$C$7*(1-IF(MONTH($A3394)=Reference!$C$6,1,0)*Reference!$C$12)</f>
        <v>587760</v>
      </c>
      <c r="D3394" s="10">
        <f ca="1">ROUND(_xlfn.NORM.INV(RAND(),Reference!$D$8,0.1*Reference!$D$8)*(1+Reference!$D$11*(IF(MONTH($A3394)=Reference!$D$4,1,0)+IF(MONTH($A3394)=Reference!$D$5,1,0))+(IF(MONTH($A3394)=Reference!$D$6,Reference!$D$13,0))),0)</f>
        <v>497</v>
      </c>
      <c r="E3394" s="11">
        <f ca="1">D3394*Reference!$D$7*(1-IF(MONTH($A3394)=Reference!$D$6,1,0)*Reference!$D$12)</f>
        <v>372750</v>
      </c>
      <c r="M3394" s="20"/>
      <c r="N3394" s="20"/>
      <c r="O3394" s="19"/>
      <c r="P3394" s="10"/>
      <c r="Q3394" s="10"/>
      <c r="R3394" s="10"/>
      <c r="S3394" s="10"/>
      <c r="T3394" s="10"/>
      <c r="U3394" s="10"/>
      <c r="V3394" s="10"/>
      <c r="W3394" s="10"/>
      <c r="X3394" s="10"/>
      <c r="Y3394" s="10"/>
    </row>
    <row r="3395" spans="1:25" x14ac:dyDescent="0.25">
      <c r="A3395" s="9">
        <v>43933</v>
      </c>
      <c r="B3395" s="10">
        <f ca="1">ROUND(_xlfn.NORM.INV(RAND(),Reference!$C$8,0.1*Reference!$C$8)*(1+Reference!$C$11*(IF(MONTH($A3395)=Reference!$C$4,1,0)+IF(MONTH($A3395)=Reference!$C$5,1,0))+(IF(MONTH($A3395)=Reference!$C$6,Reference!$C$13,0))),0)</f>
        <v>613</v>
      </c>
      <c r="C3395" s="11">
        <f ca="1">B3395*Reference!$C$7*(1-IF(MONTH($A3395)=Reference!$C$6,1,0)*Reference!$C$12)</f>
        <v>570090</v>
      </c>
      <c r="D3395" s="10">
        <f ca="1">ROUND(_xlfn.NORM.INV(RAND(),Reference!$D$8,0.1*Reference!$D$8)*(1+Reference!$D$11*(IF(MONTH($A3395)=Reference!$D$4,1,0)+IF(MONTH($A3395)=Reference!$D$5,1,0))+(IF(MONTH($A3395)=Reference!$D$6,Reference!$D$13,0))),0)</f>
        <v>532</v>
      </c>
      <c r="E3395" s="11">
        <f ca="1">D3395*Reference!$D$7*(1-IF(MONTH($A3395)=Reference!$D$6,1,0)*Reference!$D$12)</f>
        <v>399000</v>
      </c>
      <c r="M3395" s="20"/>
      <c r="N3395" s="20"/>
      <c r="O3395" s="19"/>
      <c r="P3395" s="10"/>
      <c r="Q3395" s="10"/>
      <c r="R3395" s="10"/>
      <c r="S3395" s="10"/>
      <c r="T3395" s="10"/>
      <c r="U3395" s="10"/>
      <c r="V3395" s="10"/>
      <c r="W3395" s="10"/>
      <c r="X3395" s="10"/>
      <c r="Y3395" s="10"/>
    </row>
    <row r="3396" spans="1:25" x14ac:dyDescent="0.25">
      <c r="A3396" s="9">
        <v>43934</v>
      </c>
      <c r="B3396" s="10">
        <f ca="1">ROUND(_xlfn.NORM.INV(RAND(),Reference!$C$8,0.1*Reference!$C$8)*(1+Reference!$C$11*(IF(MONTH($A3396)=Reference!$C$4,1,0)+IF(MONTH($A3396)=Reference!$C$5,1,0))+(IF(MONTH($A3396)=Reference!$C$6,Reference!$C$13,0))),0)</f>
        <v>540</v>
      </c>
      <c r="C3396" s="11">
        <f ca="1">B3396*Reference!$C$7*(1-IF(MONTH($A3396)=Reference!$C$6,1,0)*Reference!$C$12)</f>
        <v>502200</v>
      </c>
      <c r="D3396" s="10">
        <f ca="1">ROUND(_xlfn.NORM.INV(RAND(),Reference!$D$8,0.1*Reference!$D$8)*(1+Reference!$D$11*(IF(MONTH($A3396)=Reference!$D$4,1,0)+IF(MONTH($A3396)=Reference!$D$5,1,0))+(IF(MONTH($A3396)=Reference!$D$6,Reference!$D$13,0))),0)</f>
        <v>505</v>
      </c>
      <c r="E3396" s="11">
        <f ca="1">D3396*Reference!$D$7*(1-IF(MONTH($A3396)=Reference!$D$6,1,0)*Reference!$D$12)</f>
        <v>378750</v>
      </c>
      <c r="M3396" s="20"/>
      <c r="N3396" s="20"/>
      <c r="O3396" s="19"/>
      <c r="P3396" s="10"/>
      <c r="Q3396" s="10"/>
      <c r="R3396" s="10"/>
      <c r="S3396" s="10"/>
      <c r="T3396" s="10"/>
      <c r="U3396" s="10"/>
      <c r="V3396" s="10"/>
      <c r="W3396" s="10"/>
      <c r="X3396" s="10"/>
      <c r="Y3396" s="10"/>
    </row>
    <row r="3397" spans="1:25" x14ac:dyDescent="0.25">
      <c r="A3397" s="9">
        <v>43935</v>
      </c>
      <c r="B3397" s="10">
        <f ca="1">ROUND(_xlfn.NORM.INV(RAND(),Reference!$C$8,0.1*Reference!$C$8)*(1+Reference!$C$11*(IF(MONTH($A3397)=Reference!$C$4,1,0)+IF(MONTH($A3397)=Reference!$C$5,1,0))+(IF(MONTH($A3397)=Reference!$C$6,Reference!$C$13,0))),0)</f>
        <v>556</v>
      </c>
      <c r="C3397" s="11">
        <f ca="1">B3397*Reference!$C$7*(1-IF(MONTH($A3397)=Reference!$C$6,1,0)*Reference!$C$12)</f>
        <v>517080</v>
      </c>
      <c r="D3397" s="10">
        <f ca="1">ROUND(_xlfn.NORM.INV(RAND(),Reference!$D$8,0.1*Reference!$D$8)*(1+Reference!$D$11*(IF(MONTH($A3397)=Reference!$D$4,1,0)+IF(MONTH($A3397)=Reference!$D$5,1,0))+(IF(MONTH($A3397)=Reference!$D$6,Reference!$D$13,0))),0)</f>
        <v>473</v>
      </c>
      <c r="E3397" s="11">
        <f ca="1">D3397*Reference!$D$7*(1-IF(MONTH($A3397)=Reference!$D$6,1,0)*Reference!$D$12)</f>
        <v>354750</v>
      </c>
      <c r="M3397" s="20"/>
      <c r="N3397" s="20"/>
      <c r="O3397" s="19"/>
      <c r="P3397" s="10"/>
      <c r="Q3397" s="10"/>
      <c r="R3397" s="10"/>
      <c r="S3397" s="10"/>
      <c r="T3397" s="10"/>
      <c r="U3397" s="10"/>
      <c r="V3397" s="10"/>
      <c r="W3397" s="10"/>
      <c r="X3397" s="10"/>
      <c r="Y3397" s="10"/>
    </row>
    <row r="3398" spans="1:25" x14ac:dyDescent="0.25">
      <c r="A3398" s="9">
        <v>43936</v>
      </c>
      <c r="B3398" s="10">
        <f ca="1">ROUND(_xlfn.NORM.INV(RAND(),Reference!$C$8,0.1*Reference!$C$8)*(1+Reference!$C$11*(IF(MONTH($A3398)=Reference!$C$4,1,0)+IF(MONTH($A3398)=Reference!$C$5,1,0))+(IF(MONTH($A3398)=Reference!$C$6,Reference!$C$13,0))),0)</f>
        <v>557</v>
      </c>
      <c r="C3398" s="11">
        <f ca="1">B3398*Reference!$C$7*(1-IF(MONTH($A3398)=Reference!$C$6,1,0)*Reference!$C$12)</f>
        <v>518010</v>
      </c>
      <c r="D3398" s="10">
        <f ca="1">ROUND(_xlfn.NORM.INV(RAND(),Reference!$D$8,0.1*Reference!$D$8)*(1+Reference!$D$11*(IF(MONTH($A3398)=Reference!$D$4,1,0)+IF(MONTH($A3398)=Reference!$D$5,1,0))+(IF(MONTH($A3398)=Reference!$D$6,Reference!$D$13,0))),0)</f>
        <v>423</v>
      </c>
      <c r="E3398" s="11">
        <f ca="1">D3398*Reference!$D$7*(1-IF(MONTH($A3398)=Reference!$D$6,1,0)*Reference!$D$12)</f>
        <v>317250</v>
      </c>
      <c r="M3398" s="20"/>
      <c r="N3398" s="20"/>
      <c r="O3398" s="19"/>
      <c r="P3398" s="10"/>
      <c r="Q3398" s="10"/>
      <c r="R3398" s="10"/>
      <c r="S3398" s="10"/>
      <c r="T3398" s="10"/>
      <c r="U3398" s="10"/>
      <c r="V3398" s="10"/>
      <c r="W3398" s="10"/>
      <c r="X3398" s="10"/>
      <c r="Y3398" s="10"/>
    </row>
    <row r="3399" spans="1:25" x14ac:dyDescent="0.25">
      <c r="A3399" s="9">
        <v>43937</v>
      </c>
      <c r="B3399" s="10">
        <f ca="1">ROUND(_xlfn.NORM.INV(RAND(),Reference!$C$8,0.1*Reference!$C$8)*(1+Reference!$C$11*(IF(MONTH($A3399)=Reference!$C$4,1,0)+IF(MONTH($A3399)=Reference!$C$5,1,0))+(IF(MONTH($A3399)=Reference!$C$6,Reference!$C$13,0))),0)</f>
        <v>474</v>
      </c>
      <c r="C3399" s="11">
        <f ca="1">B3399*Reference!$C$7*(1-IF(MONTH($A3399)=Reference!$C$6,1,0)*Reference!$C$12)</f>
        <v>440820</v>
      </c>
      <c r="D3399" s="10">
        <f ca="1">ROUND(_xlfn.NORM.INV(RAND(),Reference!$D$8,0.1*Reference!$D$8)*(1+Reference!$D$11*(IF(MONTH($A3399)=Reference!$D$4,1,0)+IF(MONTH($A3399)=Reference!$D$5,1,0))+(IF(MONTH($A3399)=Reference!$D$6,Reference!$D$13,0))),0)</f>
        <v>473</v>
      </c>
      <c r="E3399" s="11">
        <f ca="1">D3399*Reference!$D$7*(1-IF(MONTH($A3399)=Reference!$D$6,1,0)*Reference!$D$12)</f>
        <v>354750</v>
      </c>
      <c r="M3399" s="20"/>
      <c r="N3399" s="20"/>
      <c r="O3399" s="19"/>
      <c r="P3399" s="10"/>
      <c r="Q3399" s="10"/>
      <c r="R3399" s="10"/>
      <c r="S3399" s="10"/>
      <c r="T3399" s="10"/>
      <c r="U3399" s="10"/>
      <c r="V3399" s="10"/>
      <c r="W3399" s="10"/>
      <c r="X3399" s="10"/>
      <c r="Y3399" s="10"/>
    </row>
    <row r="3400" spans="1:25" x14ac:dyDescent="0.25">
      <c r="A3400" s="9">
        <v>43938</v>
      </c>
      <c r="B3400" s="10">
        <f ca="1">ROUND(_xlfn.NORM.INV(RAND(),Reference!$C$8,0.1*Reference!$C$8)*(1+Reference!$C$11*(IF(MONTH($A3400)=Reference!$C$4,1,0)+IF(MONTH($A3400)=Reference!$C$5,1,0))+(IF(MONTH($A3400)=Reference!$C$6,Reference!$C$13,0))),0)</f>
        <v>500</v>
      </c>
      <c r="C3400" s="11">
        <f ca="1">B3400*Reference!$C$7*(1-IF(MONTH($A3400)=Reference!$C$6,1,0)*Reference!$C$12)</f>
        <v>465000</v>
      </c>
      <c r="D3400" s="10">
        <f ca="1">ROUND(_xlfn.NORM.INV(RAND(),Reference!$D$8,0.1*Reference!$D$8)*(1+Reference!$D$11*(IF(MONTH($A3400)=Reference!$D$4,1,0)+IF(MONTH($A3400)=Reference!$D$5,1,0))+(IF(MONTH($A3400)=Reference!$D$6,Reference!$D$13,0))),0)</f>
        <v>431</v>
      </c>
      <c r="E3400" s="11">
        <f ca="1">D3400*Reference!$D$7*(1-IF(MONTH($A3400)=Reference!$D$6,1,0)*Reference!$D$12)</f>
        <v>323250</v>
      </c>
      <c r="M3400" s="20"/>
      <c r="N3400" s="20"/>
      <c r="O3400" s="19"/>
      <c r="P3400" s="10"/>
      <c r="Q3400" s="10"/>
      <c r="R3400" s="10"/>
      <c r="S3400" s="10"/>
      <c r="T3400" s="10"/>
      <c r="U3400" s="10"/>
      <c r="V3400" s="10"/>
      <c r="W3400" s="10"/>
      <c r="X3400" s="10"/>
      <c r="Y3400" s="10"/>
    </row>
    <row r="3401" spans="1:25" x14ac:dyDescent="0.25">
      <c r="A3401" s="9">
        <v>43939</v>
      </c>
      <c r="B3401" s="10">
        <f ca="1">ROUND(_xlfn.NORM.INV(RAND(),Reference!$C$8,0.1*Reference!$C$8)*(1+Reference!$C$11*(IF(MONTH($A3401)=Reference!$C$4,1,0)+IF(MONTH($A3401)=Reference!$C$5,1,0))+(IF(MONTH($A3401)=Reference!$C$6,Reference!$C$13,0))),0)</f>
        <v>540</v>
      </c>
      <c r="C3401" s="11">
        <f ca="1">B3401*Reference!$C$7*(1-IF(MONTH($A3401)=Reference!$C$6,1,0)*Reference!$C$12)</f>
        <v>502200</v>
      </c>
      <c r="D3401" s="10">
        <f ca="1">ROUND(_xlfn.NORM.INV(RAND(),Reference!$D$8,0.1*Reference!$D$8)*(1+Reference!$D$11*(IF(MONTH($A3401)=Reference!$D$4,1,0)+IF(MONTH($A3401)=Reference!$D$5,1,0))+(IF(MONTH($A3401)=Reference!$D$6,Reference!$D$13,0))),0)</f>
        <v>427</v>
      </c>
      <c r="E3401" s="11">
        <f ca="1">D3401*Reference!$D$7*(1-IF(MONTH($A3401)=Reference!$D$6,1,0)*Reference!$D$12)</f>
        <v>320250</v>
      </c>
      <c r="M3401" s="20"/>
      <c r="N3401" s="20"/>
      <c r="O3401" s="19"/>
      <c r="P3401" s="10"/>
      <c r="Q3401" s="10"/>
      <c r="R3401" s="10"/>
      <c r="S3401" s="10"/>
      <c r="T3401" s="10"/>
      <c r="U3401" s="10"/>
      <c r="V3401" s="10"/>
      <c r="W3401" s="10"/>
      <c r="X3401" s="10"/>
      <c r="Y3401" s="10"/>
    </row>
    <row r="3402" spans="1:25" x14ac:dyDescent="0.25">
      <c r="A3402" s="9">
        <v>43940</v>
      </c>
      <c r="B3402" s="10">
        <f ca="1">ROUND(_xlfn.NORM.INV(RAND(),Reference!$C$8,0.1*Reference!$C$8)*(1+Reference!$C$11*(IF(MONTH($A3402)=Reference!$C$4,1,0)+IF(MONTH($A3402)=Reference!$C$5,1,0))+(IF(MONTH($A3402)=Reference!$C$6,Reference!$C$13,0))),0)</f>
        <v>573</v>
      </c>
      <c r="C3402" s="11">
        <f ca="1">B3402*Reference!$C$7*(1-IF(MONTH($A3402)=Reference!$C$6,1,0)*Reference!$C$12)</f>
        <v>532890</v>
      </c>
      <c r="D3402" s="10">
        <f ca="1">ROUND(_xlfn.NORM.INV(RAND(),Reference!$D$8,0.1*Reference!$D$8)*(1+Reference!$D$11*(IF(MONTH($A3402)=Reference!$D$4,1,0)+IF(MONTH($A3402)=Reference!$D$5,1,0))+(IF(MONTH($A3402)=Reference!$D$6,Reference!$D$13,0))),0)</f>
        <v>454</v>
      </c>
      <c r="E3402" s="11">
        <f ca="1">D3402*Reference!$D$7*(1-IF(MONTH($A3402)=Reference!$D$6,1,0)*Reference!$D$12)</f>
        <v>340500</v>
      </c>
      <c r="M3402" s="20"/>
      <c r="N3402" s="20"/>
      <c r="O3402" s="19"/>
      <c r="P3402" s="10"/>
      <c r="Q3402" s="10"/>
      <c r="R3402" s="10"/>
      <c r="S3402" s="10"/>
      <c r="T3402" s="10"/>
      <c r="U3402" s="10"/>
      <c r="V3402" s="10"/>
      <c r="W3402" s="10"/>
      <c r="X3402" s="10"/>
      <c r="Y3402" s="10"/>
    </row>
    <row r="3403" spans="1:25" x14ac:dyDescent="0.25">
      <c r="A3403" s="9">
        <v>43941</v>
      </c>
      <c r="B3403" s="10">
        <f ca="1">ROUND(_xlfn.NORM.INV(RAND(),Reference!$C$8,0.1*Reference!$C$8)*(1+Reference!$C$11*(IF(MONTH($A3403)=Reference!$C$4,1,0)+IF(MONTH($A3403)=Reference!$C$5,1,0))+(IF(MONTH($A3403)=Reference!$C$6,Reference!$C$13,0))),0)</f>
        <v>528</v>
      </c>
      <c r="C3403" s="11">
        <f ca="1">B3403*Reference!$C$7*(1-IF(MONTH($A3403)=Reference!$C$6,1,0)*Reference!$C$12)</f>
        <v>491040</v>
      </c>
      <c r="D3403" s="10">
        <f ca="1">ROUND(_xlfn.NORM.INV(RAND(),Reference!$D$8,0.1*Reference!$D$8)*(1+Reference!$D$11*(IF(MONTH($A3403)=Reference!$D$4,1,0)+IF(MONTH($A3403)=Reference!$D$5,1,0))+(IF(MONTH($A3403)=Reference!$D$6,Reference!$D$13,0))),0)</f>
        <v>463</v>
      </c>
      <c r="E3403" s="11">
        <f ca="1">D3403*Reference!$D$7*(1-IF(MONTH($A3403)=Reference!$D$6,1,0)*Reference!$D$12)</f>
        <v>347250</v>
      </c>
      <c r="M3403" s="20"/>
      <c r="N3403" s="20"/>
      <c r="O3403" s="19"/>
      <c r="P3403" s="10"/>
      <c r="Q3403" s="10"/>
      <c r="R3403" s="10"/>
      <c r="S3403" s="10"/>
      <c r="T3403" s="10"/>
      <c r="U3403" s="10"/>
      <c r="V3403" s="10"/>
      <c r="W3403" s="10"/>
      <c r="X3403" s="10"/>
      <c r="Y3403" s="10"/>
    </row>
    <row r="3404" spans="1:25" x14ac:dyDescent="0.25">
      <c r="A3404" s="9">
        <v>43942</v>
      </c>
      <c r="B3404" s="10">
        <f ca="1">ROUND(_xlfn.NORM.INV(RAND(),Reference!$C$8,0.1*Reference!$C$8)*(1+Reference!$C$11*(IF(MONTH($A3404)=Reference!$C$4,1,0)+IF(MONTH($A3404)=Reference!$C$5,1,0))+(IF(MONTH($A3404)=Reference!$C$6,Reference!$C$13,0))),0)</f>
        <v>561</v>
      </c>
      <c r="C3404" s="11">
        <f ca="1">B3404*Reference!$C$7*(1-IF(MONTH($A3404)=Reference!$C$6,1,0)*Reference!$C$12)</f>
        <v>521730</v>
      </c>
      <c r="D3404" s="10">
        <f ca="1">ROUND(_xlfn.NORM.INV(RAND(),Reference!$D$8,0.1*Reference!$D$8)*(1+Reference!$D$11*(IF(MONTH($A3404)=Reference!$D$4,1,0)+IF(MONTH($A3404)=Reference!$D$5,1,0))+(IF(MONTH($A3404)=Reference!$D$6,Reference!$D$13,0))),0)</f>
        <v>453</v>
      </c>
      <c r="E3404" s="11">
        <f ca="1">D3404*Reference!$D$7*(1-IF(MONTH($A3404)=Reference!$D$6,1,0)*Reference!$D$12)</f>
        <v>339750</v>
      </c>
      <c r="M3404" s="20"/>
      <c r="N3404" s="20"/>
      <c r="O3404" s="19"/>
      <c r="P3404" s="10"/>
      <c r="Q3404" s="10"/>
      <c r="R3404" s="10"/>
      <c r="S3404" s="10"/>
      <c r="T3404" s="10"/>
      <c r="U3404" s="10"/>
      <c r="V3404" s="10"/>
      <c r="W3404" s="10"/>
      <c r="X3404" s="10"/>
      <c r="Y3404" s="10"/>
    </row>
    <row r="3405" spans="1:25" x14ac:dyDescent="0.25">
      <c r="A3405" s="9">
        <v>43943</v>
      </c>
      <c r="B3405" s="10">
        <f ca="1">ROUND(_xlfn.NORM.INV(RAND(),Reference!$C$8,0.1*Reference!$C$8)*(1+Reference!$C$11*(IF(MONTH($A3405)=Reference!$C$4,1,0)+IF(MONTH($A3405)=Reference!$C$5,1,0))+(IF(MONTH($A3405)=Reference!$C$6,Reference!$C$13,0))),0)</f>
        <v>608</v>
      </c>
      <c r="C3405" s="11">
        <f ca="1">B3405*Reference!$C$7*(1-IF(MONTH($A3405)=Reference!$C$6,1,0)*Reference!$C$12)</f>
        <v>565440</v>
      </c>
      <c r="D3405" s="10">
        <f ca="1">ROUND(_xlfn.NORM.INV(RAND(),Reference!$D$8,0.1*Reference!$D$8)*(1+Reference!$D$11*(IF(MONTH($A3405)=Reference!$D$4,1,0)+IF(MONTH($A3405)=Reference!$D$5,1,0))+(IF(MONTH($A3405)=Reference!$D$6,Reference!$D$13,0))),0)</f>
        <v>461</v>
      </c>
      <c r="E3405" s="11">
        <f ca="1">D3405*Reference!$D$7*(1-IF(MONTH($A3405)=Reference!$D$6,1,0)*Reference!$D$12)</f>
        <v>345750</v>
      </c>
      <c r="M3405" s="20"/>
      <c r="N3405" s="20"/>
      <c r="O3405" s="19"/>
      <c r="P3405" s="10"/>
      <c r="Q3405" s="10"/>
      <c r="R3405" s="10"/>
      <c r="S3405" s="10"/>
      <c r="T3405" s="10"/>
      <c r="U3405" s="10"/>
      <c r="V3405" s="10"/>
      <c r="W3405" s="10"/>
      <c r="X3405" s="10"/>
      <c r="Y3405" s="10"/>
    </row>
    <row r="3406" spans="1:25" x14ac:dyDescent="0.25">
      <c r="A3406" s="9">
        <v>43944</v>
      </c>
      <c r="B3406" s="10">
        <f ca="1">ROUND(_xlfn.NORM.INV(RAND(),Reference!$C$8,0.1*Reference!$C$8)*(1+Reference!$C$11*(IF(MONTH($A3406)=Reference!$C$4,1,0)+IF(MONTH($A3406)=Reference!$C$5,1,0))+(IF(MONTH($A3406)=Reference!$C$6,Reference!$C$13,0))),0)</f>
        <v>524</v>
      </c>
      <c r="C3406" s="11">
        <f ca="1">B3406*Reference!$C$7*(1-IF(MONTH($A3406)=Reference!$C$6,1,0)*Reference!$C$12)</f>
        <v>487320</v>
      </c>
      <c r="D3406" s="10">
        <f ca="1">ROUND(_xlfn.NORM.INV(RAND(),Reference!$D$8,0.1*Reference!$D$8)*(1+Reference!$D$11*(IF(MONTH($A3406)=Reference!$D$4,1,0)+IF(MONTH($A3406)=Reference!$D$5,1,0))+(IF(MONTH($A3406)=Reference!$D$6,Reference!$D$13,0))),0)</f>
        <v>339</v>
      </c>
      <c r="E3406" s="11">
        <f ca="1">D3406*Reference!$D$7*(1-IF(MONTH($A3406)=Reference!$D$6,1,0)*Reference!$D$12)</f>
        <v>254250</v>
      </c>
      <c r="M3406" s="20"/>
      <c r="N3406" s="20"/>
      <c r="O3406" s="19"/>
      <c r="P3406" s="10"/>
      <c r="Q3406" s="10"/>
      <c r="R3406" s="10"/>
      <c r="S3406" s="10"/>
      <c r="T3406" s="10"/>
      <c r="U3406" s="10"/>
      <c r="V3406" s="10"/>
      <c r="W3406" s="10"/>
      <c r="X3406" s="10"/>
      <c r="Y3406" s="10"/>
    </row>
    <row r="3407" spans="1:25" x14ac:dyDescent="0.25">
      <c r="A3407" s="9">
        <v>43945</v>
      </c>
      <c r="B3407" s="10">
        <f ca="1">ROUND(_xlfn.NORM.INV(RAND(),Reference!$C$8,0.1*Reference!$C$8)*(1+Reference!$C$11*(IF(MONTH($A3407)=Reference!$C$4,1,0)+IF(MONTH($A3407)=Reference!$C$5,1,0))+(IF(MONTH($A3407)=Reference!$C$6,Reference!$C$13,0))),0)</f>
        <v>599</v>
      </c>
      <c r="C3407" s="11">
        <f ca="1">B3407*Reference!$C$7*(1-IF(MONTH($A3407)=Reference!$C$6,1,0)*Reference!$C$12)</f>
        <v>557070</v>
      </c>
      <c r="D3407" s="10">
        <f ca="1">ROUND(_xlfn.NORM.INV(RAND(),Reference!$D$8,0.1*Reference!$D$8)*(1+Reference!$D$11*(IF(MONTH($A3407)=Reference!$D$4,1,0)+IF(MONTH($A3407)=Reference!$D$5,1,0))+(IF(MONTH($A3407)=Reference!$D$6,Reference!$D$13,0))),0)</f>
        <v>530</v>
      </c>
      <c r="E3407" s="11">
        <f ca="1">D3407*Reference!$D$7*(1-IF(MONTH($A3407)=Reference!$D$6,1,0)*Reference!$D$12)</f>
        <v>397500</v>
      </c>
      <c r="M3407" s="20"/>
      <c r="N3407" s="20"/>
      <c r="O3407" s="19"/>
      <c r="P3407" s="10"/>
      <c r="Q3407" s="10"/>
      <c r="R3407" s="10"/>
      <c r="S3407" s="10"/>
      <c r="T3407" s="10"/>
      <c r="U3407" s="10"/>
      <c r="V3407" s="10"/>
      <c r="W3407" s="10"/>
      <c r="X3407" s="10"/>
      <c r="Y3407" s="10"/>
    </row>
    <row r="3408" spans="1:25" x14ac:dyDescent="0.25">
      <c r="A3408" s="9">
        <v>43946</v>
      </c>
      <c r="B3408" s="10">
        <f ca="1">ROUND(_xlfn.NORM.INV(RAND(),Reference!$C$8,0.1*Reference!$C$8)*(1+Reference!$C$11*(IF(MONTH($A3408)=Reference!$C$4,1,0)+IF(MONTH($A3408)=Reference!$C$5,1,0))+(IF(MONTH($A3408)=Reference!$C$6,Reference!$C$13,0))),0)</f>
        <v>640</v>
      </c>
      <c r="C3408" s="11">
        <f ca="1">B3408*Reference!$C$7*(1-IF(MONTH($A3408)=Reference!$C$6,1,0)*Reference!$C$12)</f>
        <v>595200</v>
      </c>
      <c r="D3408" s="10">
        <f ca="1">ROUND(_xlfn.NORM.INV(RAND(),Reference!$D$8,0.1*Reference!$D$8)*(1+Reference!$D$11*(IF(MONTH($A3408)=Reference!$D$4,1,0)+IF(MONTH($A3408)=Reference!$D$5,1,0))+(IF(MONTH($A3408)=Reference!$D$6,Reference!$D$13,0))),0)</f>
        <v>497</v>
      </c>
      <c r="E3408" s="11">
        <f ca="1">D3408*Reference!$D$7*(1-IF(MONTH($A3408)=Reference!$D$6,1,0)*Reference!$D$12)</f>
        <v>372750</v>
      </c>
      <c r="M3408" s="20"/>
      <c r="N3408" s="20"/>
      <c r="O3408" s="19"/>
      <c r="P3408" s="10"/>
      <c r="Q3408" s="10"/>
      <c r="R3408" s="10"/>
      <c r="S3408" s="10"/>
      <c r="T3408" s="10"/>
      <c r="U3408" s="10"/>
      <c r="V3408" s="10"/>
      <c r="W3408" s="10"/>
      <c r="X3408" s="10"/>
      <c r="Y3408" s="10"/>
    </row>
    <row r="3409" spans="1:25" x14ac:dyDescent="0.25">
      <c r="A3409" s="9">
        <v>43947</v>
      </c>
      <c r="B3409" s="10">
        <f ca="1">ROUND(_xlfn.NORM.INV(RAND(),Reference!$C$8,0.1*Reference!$C$8)*(1+Reference!$C$11*(IF(MONTH($A3409)=Reference!$C$4,1,0)+IF(MONTH($A3409)=Reference!$C$5,1,0))+(IF(MONTH($A3409)=Reference!$C$6,Reference!$C$13,0))),0)</f>
        <v>554</v>
      </c>
      <c r="C3409" s="11">
        <f ca="1">B3409*Reference!$C$7*(1-IF(MONTH($A3409)=Reference!$C$6,1,0)*Reference!$C$12)</f>
        <v>515220</v>
      </c>
      <c r="D3409" s="10">
        <f ca="1">ROUND(_xlfn.NORM.INV(RAND(),Reference!$D$8,0.1*Reference!$D$8)*(1+Reference!$D$11*(IF(MONTH($A3409)=Reference!$D$4,1,0)+IF(MONTH($A3409)=Reference!$D$5,1,0))+(IF(MONTH($A3409)=Reference!$D$6,Reference!$D$13,0))),0)</f>
        <v>521</v>
      </c>
      <c r="E3409" s="11">
        <f ca="1">D3409*Reference!$D$7*(1-IF(MONTH($A3409)=Reference!$D$6,1,0)*Reference!$D$12)</f>
        <v>390750</v>
      </c>
      <c r="M3409" s="20"/>
      <c r="N3409" s="20"/>
      <c r="O3409" s="19"/>
      <c r="P3409" s="10"/>
      <c r="Q3409" s="10"/>
      <c r="R3409" s="10"/>
      <c r="S3409" s="10"/>
      <c r="T3409" s="10"/>
      <c r="U3409" s="10"/>
      <c r="V3409" s="10"/>
      <c r="W3409" s="10"/>
      <c r="X3409" s="10"/>
      <c r="Y3409" s="10"/>
    </row>
    <row r="3410" spans="1:25" x14ac:dyDescent="0.25">
      <c r="A3410" s="9">
        <v>43948</v>
      </c>
      <c r="B3410" s="10">
        <f ca="1">ROUND(_xlfn.NORM.INV(RAND(),Reference!$C$8,0.1*Reference!$C$8)*(1+Reference!$C$11*(IF(MONTH($A3410)=Reference!$C$4,1,0)+IF(MONTH($A3410)=Reference!$C$5,1,0))+(IF(MONTH($A3410)=Reference!$C$6,Reference!$C$13,0))),0)</f>
        <v>518</v>
      </c>
      <c r="C3410" s="11">
        <f ca="1">B3410*Reference!$C$7*(1-IF(MONTH($A3410)=Reference!$C$6,1,0)*Reference!$C$12)</f>
        <v>481740</v>
      </c>
      <c r="D3410" s="10">
        <f ca="1">ROUND(_xlfn.NORM.INV(RAND(),Reference!$D$8,0.1*Reference!$D$8)*(1+Reference!$D$11*(IF(MONTH($A3410)=Reference!$D$4,1,0)+IF(MONTH($A3410)=Reference!$D$5,1,0))+(IF(MONTH($A3410)=Reference!$D$6,Reference!$D$13,0))),0)</f>
        <v>412</v>
      </c>
      <c r="E3410" s="11">
        <f ca="1">D3410*Reference!$D$7*(1-IF(MONTH($A3410)=Reference!$D$6,1,0)*Reference!$D$12)</f>
        <v>309000</v>
      </c>
      <c r="M3410" s="20"/>
      <c r="N3410" s="20"/>
      <c r="O3410" s="19"/>
      <c r="P3410" s="10"/>
      <c r="Q3410" s="10"/>
      <c r="R3410" s="10"/>
      <c r="S3410" s="10"/>
      <c r="T3410" s="10"/>
      <c r="U3410" s="10"/>
      <c r="V3410" s="10"/>
      <c r="W3410" s="10"/>
      <c r="X3410" s="10"/>
      <c r="Y3410" s="10"/>
    </row>
    <row r="3411" spans="1:25" x14ac:dyDescent="0.25">
      <c r="A3411" s="9">
        <v>43949</v>
      </c>
      <c r="B3411" s="10">
        <f ca="1">ROUND(_xlfn.NORM.INV(RAND(),Reference!$C$8,0.1*Reference!$C$8)*(1+Reference!$C$11*(IF(MONTH($A3411)=Reference!$C$4,1,0)+IF(MONTH($A3411)=Reference!$C$5,1,0))+(IF(MONTH($A3411)=Reference!$C$6,Reference!$C$13,0))),0)</f>
        <v>592</v>
      </c>
      <c r="C3411" s="11">
        <f ca="1">B3411*Reference!$C$7*(1-IF(MONTH($A3411)=Reference!$C$6,1,0)*Reference!$C$12)</f>
        <v>550560</v>
      </c>
      <c r="D3411" s="10">
        <f ca="1">ROUND(_xlfn.NORM.INV(RAND(),Reference!$D$8,0.1*Reference!$D$8)*(1+Reference!$D$11*(IF(MONTH($A3411)=Reference!$D$4,1,0)+IF(MONTH($A3411)=Reference!$D$5,1,0))+(IF(MONTH($A3411)=Reference!$D$6,Reference!$D$13,0))),0)</f>
        <v>524</v>
      </c>
      <c r="E3411" s="11">
        <f ca="1">D3411*Reference!$D$7*(1-IF(MONTH($A3411)=Reference!$D$6,1,0)*Reference!$D$12)</f>
        <v>393000</v>
      </c>
      <c r="M3411" s="20"/>
      <c r="N3411" s="20"/>
      <c r="O3411" s="19"/>
      <c r="P3411" s="10"/>
      <c r="Q3411" s="10"/>
      <c r="R3411" s="10"/>
      <c r="S3411" s="10"/>
      <c r="T3411" s="10"/>
      <c r="U3411" s="10"/>
      <c r="V3411" s="10"/>
      <c r="W3411" s="10"/>
      <c r="X3411" s="10"/>
      <c r="Y3411" s="10"/>
    </row>
    <row r="3412" spans="1:25" x14ac:dyDescent="0.25">
      <c r="A3412" s="9">
        <v>43950</v>
      </c>
      <c r="B3412" s="10">
        <f ca="1">ROUND(_xlfn.NORM.INV(RAND(),Reference!$C$8,0.1*Reference!$C$8)*(1+Reference!$C$11*(IF(MONTH($A3412)=Reference!$C$4,1,0)+IF(MONTH($A3412)=Reference!$C$5,1,0))+(IF(MONTH($A3412)=Reference!$C$6,Reference!$C$13,0))),0)</f>
        <v>528</v>
      </c>
      <c r="C3412" s="11">
        <f ca="1">B3412*Reference!$C$7*(1-IF(MONTH($A3412)=Reference!$C$6,1,0)*Reference!$C$12)</f>
        <v>491040</v>
      </c>
      <c r="D3412" s="10">
        <f ca="1">ROUND(_xlfn.NORM.INV(RAND(),Reference!$D$8,0.1*Reference!$D$8)*(1+Reference!$D$11*(IF(MONTH($A3412)=Reference!$D$4,1,0)+IF(MONTH($A3412)=Reference!$D$5,1,0))+(IF(MONTH($A3412)=Reference!$D$6,Reference!$D$13,0))),0)</f>
        <v>448</v>
      </c>
      <c r="E3412" s="11">
        <f ca="1">D3412*Reference!$D$7*(1-IF(MONTH($A3412)=Reference!$D$6,1,0)*Reference!$D$12)</f>
        <v>336000</v>
      </c>
      <c r="M3412" s="20"/>
      <c r="N3412" s="20"/>
      <c r="O3412" s="19"/>
      <c r="P3412" s="10"/>
      <c r="Q3412" s="10"/>
      <c r="R3412" s="10"/>
      <c r="S3412" s="10"/>
      <c r="T3412" s="10"/>
      <c r="U3412" s="10"/>
      <c r="V3412" s="10"/>
      <c r="W3412" s="10"/>
      <c r="X3412" s="10"/>
      <c r="Y3412" s="10"/>
    </row>
    <row r="3413" spans="1:25" x14ac:dyDescent="0.25">
      <c r="A3413" s="9">
        <v>43951</v>
      </c>
      <c r="B3413" s="10">
        <f ca="1">ROUND(_xlfn.NORM.INV(RAND(),Reference!$C$8,0.1*Reference!$C$8)*(1+Reference!$C$11*(IF(MONTH($A3413)=Reference!$C$4,1,0)+IF(MONTH($A3413)=Reference!$C$5,1,0))+(IF(MONTH($A3413)=Reference!$C$6,Reference!$C$13,0))),0)</f>
        <v>490</v>
      </c>
      <c r="C3413" s="11">
        <f ca="1">B3413*Reference!$C$7*(1-IF(MONTH($A3413)=Reference!$C$6,1,0)*Reference!$C$12)</f>
        <v>455700</v>
      </c>
      <c r="D3413" s="10">
        <f ca="1">ROUND(_xlfn.NORM.INV(RAND(),Reference!$D$8,0.1*Reference!$D$8)*(1+Reference!$D$11*(IF(MONTH($A3413)=Reference!$D$4,1,0)+IF(MONTH($A3413)=Reference!$D$5,1,0))+(IF(MONTH($A3413)=Reference!$D$6,Reference!$D$13,0))),0)</f>
        <v>413</v>
      </c>
      <c r="E3413" s="11">
        <f ca="1">D3413*Reference!$D$7*(1-IF(MONTH($A3413)=Reference!$D$6,1,0)*Reference!$D$12)</f>
        <v>309750</v>
      </c>
      <c r="M3413" s="20"/>
      <c r="N3413" s="20"/>
      <c r="O3413" s="19"/>
      <c r="P3413" s="10"/>
      <c r="Q3413" s="10"/>
      <c r="R3413" s="10"/>
      <c r="S3413" s="10"/>
      <c r="T3413" s="10"/>
      <c r="U3413" s="10"/>
      <c r="V3413" s="10"/>
      <c r="W3413" s="10"/>
      <c r="X3413" s="10"/>
      <c r="Y3413" s="10"/>
    </row>
    <row r="3414" spans="1:25" x14ac:dyDescent="0.25">
      <c r="A3414" s="9">
        <v>43952</v>
      </c>
      <c r="B3414" s="10">
        <f ca="1">ROUND(_xlfn.NORM.INV(RAND(),Reference!$C$8,0.1*Reference!$C$8)*(1+Reference!$C$11*(IF(MONTH($A3414)=Reference!$C$4,1,0)+IF(MONTH($A3414)=Reference!$C$5,1,0))+(IF(MONTH($A3414)=Reference!$C$6,Reference!$C$13,0))),0)</f>
        <v>466</v>
      </c>
      <c r="C3414" s="11">
        <f ca="1">B3414*Reference!$C$7*(1-IF(MONTH($A3414)=Reference!$C$6,1,0)*Reference!$C$12)</f>
        <v>433380</v>
      </c>
      <c r="D3414" s="10">
        <f ca="1">ROUND(_xlfn.NORM.INV(RAND(),Reference!$D$8,0.1*Reference!$D$8)*(1+Reference!$D$11*(IF(MONTH($A3414)=Reference!$D$4,1,0)+IF(MONTH($A3414)=Reference!$D$5,1,0))+(IF(MONTH($A3414)=Reference!$D$6,Reference!$D$13,0))),0)</f>
        <v>436</v>
      </c>
      <c r="E3414" s="11">
        <f ca="1">D3414*Reference!$D$7*(1-IF(MONTH($A3414)=Reference!$D$6,1,0)*Reference!$D$12)</f>
        <v>327000</v>
      </c>
      <c r="M3414" s="20"/>
      <c r="N3414" s="20"/>
      <c r="O3414" s="19"/>
      <c r="P3414" s="10"/>
      <c r="Q3414" s="10"/>
      <c r="R3414" s="10"/>
      <c r="S3414" s="10"/>
      <c r="T3414" s="10"/>
      <c r="U3414" s="10"/>
      <c r="V3414" s="10"/>
      <c r="W3414" s="10"/>
      <c r="X3414" s="10"/>
      <c r="Y3414" s="10"/>
    </row>
    <row r="3415" spans="1:25" x14ac:dyDescent="0.25">
      <c r="A3415" s="9">
        <v>43953</v>
      </c>
      <c r="B3415" s="10">
        <f ca="1">ROUND(_xlfn.NORM.INV(RAND(),Reference!$C$8,0.1*Reference!$C$8)*(1+Reference!$C$11*(IF(MONTH($A3415)=Reference!$C$4,1,0)+IF(MONTH($A3415)=Reference!$C$5,1,0))+(IF(MONTH($A3415)=Reference!$C$6,Reference!$C$13,0))),0)</f>
        <v>579</v>
      </c>
      <c r="C3415" s="11">
        <f ca="1">B3415*Reference!$C$7*(1-IF(MONTH($A3415)=Reference!$C$6,1,0)*Reference!$C$12)</f>
        <v>538470</v>
      </c>
      <c r="D3415" s="10">
        <f ca="1">ROUND(_xlfn.NORM.INV(RAND(),Reference!$D$8,0.1*Reference!$D$8)*(1+Reference!$D$11*(IF(MONTH($A3415)=Reference!$D$4,1,0)+IF(MONTH($A3415)=Reference!$D$5,1,0))+(IF(MONTH($A3415)=Reference!$D$6,Reference!$D$13,0))),0)</f>
        <v>546</v>
      </c>
      <c r="E3415" s="11">
        <f ca="1">D3415*Reference!$D$7*(1-IF(MONTH($A3415)=Reference!$D$6,1,0)*Reference!$D$12)</f>
        <v>409500</v>
      </c>
      <c r="M3415" s="20"/>
      <c r="N3415" s="20"/>
      <c r="O3415" s="19"/>
      <c r="P3415" s="10"/>
      <c r="Q3415" s="10"/>
      <c r="R3415" s="10"/>
      <c r="S3415" s="10"/>
      <c r="T3415" s="10"/>
      <c r="U3415" s="10"/>
      <c r="V3415" s="10"/>
      <c r="W3415" s="10"/>
      <c r="X3415" s="10"/>
      <c r="Y3415" s="10"/>
    </row>
    <row r="3416" spans="1:25" x14ac:dyDescent="0.25">
      <c r="A3416" s="9">
        <v>43954</v>
      </c>
      <c r="B3416" s="10">
        <f ca="1">ROUND(_xlfn.NORM.INV(RAND(),Reference!$C$8,0.1*Reference!$C$8)*(1+Reference!$C$11*(IF(MONTH($A3416)=Reference!$C$4,1,0)+IF(MONTH($A3416)=Reference!$C$5,1,0))+(IF(MONTH($A3416)=Reference!$C$6,Reference!$C$13,0))),0)</f>
        <v>588</v>
      </c>
      <c r="C3416" s="11">
        <f ca="1">B3416*Reference!$C$7*(1-IF(MONTH($A3416)=Reference!$C$6,1,0)*Reference!$C$12)</f>
        <v>546840</v>
      </c>
      <c r="D3416" s="10">
        <f ca="1">ROUND(_xlfn.NORM.INV(RAND(),Reference!$D$8,0.1*Reference!$D$8)*(1+Reference!$D$11*(IF(MONTH($A3416)=Reference!$D$4,1,0)+IF(MONTH($A3416)=Reference!$D$5,1,0))+(IF(MONTH($A3416)=Reference!$D$6,Reference!$D$13,0))),0)</f>
        <v>342</v>
      </c>
      <c r="E3416" s="11">
        <f ca="1">D3416*Reference!$D$7*(1-IF(MONTH($A3416)=Reference!$D$6,1,0)*Reference!$D$12)</f>
        <v>256500</v>
      </c>
      <c r="M3416" s="20"/>
      <c r="N3416" s="20"/>
      <c r="O3416" s="19"/>
      <c r="P3416" s="10"/>
      <c r="Q3416" s="10"/>
      <c r="R3416" s="10"/>
      <c r="S3416" s="10"/>
      <c r="T3416" s="10"/>
      <c r="U3416" s="10"/>
      <c r="V3416" s="10"/>
      <c r="W3416" s="10"/>
      <c r="X3416" s="10"/>
      <c r="Y3416" s="10"/>
    </row>
    <row r="3417" spans="1:25" x14ac:dyDescent="0.25">
      <c r="A3417" s="9">
        <v>43955</v>
      </c>
      <c r="B3417" s="10">
        <f ca="1">ROUND(_xlfn.NORM.INV(RAND(),Reference!$C$8,0.1*Reference!$C$8)*(1+Reference!$C$11*(IF(MONTH($A3417)=Reference!$C$4,1,0)+IF(MONTH($A3417)=Reference!$C$5,1,0))+(IF(MONTH($A3417)=Reference!$C$6,Reference!$C$13,0))),0)</f>
        <v>613</v>
      </c>
      <c r="C3417" s="11">
        <f ca="1">B3417*Reference!$C$7*(1-IF(MONTH($A3417)=Reference!$C$6,1,0)*Reference!$C$12)</f>
        <v>570090</v>
      </c>
      <c r="D3417" s="10">
        <f ca="1">ROUND(_xlfn.NORM.INV(RAND(),Reference!$D$8,0.1*Reference!$D$8)*(1+Reference!$D$11*(IF(MONTH($A3417)=Reference!$D$4,1,0)+IF(MONTH($A3417)=Reference!$D$5,1,0))+(IF(MONTH($A3417)=Reference!$D$6,Reference!$D$13,0))),0)</f>
        <v>512</v>
      </c>
      <c r="E3417" s="11">
        <f ca="1">D3417*Reference!$D$7*(1-IF(MONTH($A3417)=Reference!$D$6,1,0)*Reference!$D$12)</f>
        <v>384000</v>
      </c>
      <c r="M3417" s="20"/>
      <c r="N3417" s="20"/>
      <c r="O3417" s="19"/>
      <c r="P3417" s="10"/>
      <c r="Q3417" s="10"/>
      <c r="R3417" s="10"/>
      <c r="S3417" s="10"/>
      <c r="T3417" s="10"/>
      <c r="U3417" s="10"/>
      <c r="V3417" s="10"/>
      <c r="W3417" s="10"/>
      <c r="X3417" s="10"/>
      <c r="Y3417" s="10"/>
    </row>
    <row r="3418" spans="1:25" x14ac:dyDescent="0.25">
      <c r="A3418" s="9">
        <v>43956</v>
      </c>
      <c r="B3418" s="10">
        <f ca="1">ROUND(_xlfn.NORM.INV(RAND(),Reference!$C$8,0.1*Reference!$C$8)*(1+Reference!$C$11*(IF(MONTH($A3418)=Reference!$C$4,1,0)+IF(MONTH($A3418)=Reference!$C$5,1,0))+(IF(MONTH($A3418)=Reference!$C$6,Reference!$C$13,0))),0)</f>
        <v>610</v>
      </c>
      <c r="C3418" s="11">
        <f ca="1">B3418*Reference!$C$7*(1-IF(MONTH($A3418)=Reference!$C$6,1,0)*Reference!$C$12)</f>
        <v>567300</v>
      </c>
      <c r="D3418" s="10">
        <f ca="1">ROUND(_xlfn.NORM.INV(RAND(),Reference!$D$8,0.1*Reference!$D$8)*(1+Reference!$D$11*(IF(MONTH($A3418)=Reference!$D$4,1,0)+IF(MONTH($A3418)=Reference!$D$5,1,0))+(IF(MONTH($A3418)=Reference!$D$6,Reference!$D$13,0))),0)</f>
        <v>474</v>
      </c>
      <c r="E3418" s="11">
        <f ca="1">D3418*Reference!$D$7*(1-IF(MONTH($A3418)=Reference!$D$6,1,0)*Reference!$D$12)</f>
        <v>355500</v>
      </c>
      <c r="M3418" s="20"/>
      <c r="N3418" s="20"/>
      <c r="O3418" s="19"/>
      <c r="P3418" s="10"/>
      <c r="Q3418" s="10"/>
      <c r="R3418" s="10"/>
      <c r="S3418" s="10"/>
      <c r="T3418" s="10"/>
      <c r="U3418" s="10"/>
      <c r="V3418" s="10"/>
      <c r="W3418" s="10"/>
      <c r="X3418" s="10"/>
      <c r="Y3418" s="10"/>
    </row>
    <row r="3419" spans="1:25" x14ac:dyDescent="0.25">
      <c r="A3419" s="9">
        <v>43957</v>
      </c>
      <c r="B3419" s="10">
        <f ca="1">ROUND(_xlfn.NORM.INV(RAND(),Reference!$C$8,0.1*Reference!$C$8)*(1+Reference!$C$11*(IF(MONTH($A3419)=Reference!$C$4,1,0)+IF(MONTH($A3419)=Reference!$C$5,1,0))+(IF(MONTH($A3419)=Reference!$C$6,Reference!$C$13,0))),0)</f>
        <v>571</v>
      </c>
      <c r="C3419" s="11">
        <f ca="1">B3419*Reference!$C$7*(1-IF(MONTH($A3419)=Reference!$C$6,1,0)*Reference!$C$12)</f>
        <v>531030</v>
      </c>
      <c r="D3419" s="10">
        <f ca="1">ROUND(_xlfn.NORM.INV(RAND(),Reference!$D$8,0.1*Reference!$D$8)*(1+Reference!$D$11*(IF(MONTH($A3419)=Reference!$D$4,1,0)+IF(MONTH($A3419)=Reference!$D$5,1,0))+(IF(MONTH($A3419)=Reference!$D$6,Reference!$D$13,0))),0)</f>
        <v>441</v>
      </c>
      <c r="E3419" s="11">
        <f ca="1">D3419*Reference!$D$7*(1-IF(MONTH($A3419)=Reference!$D$6,1,0)*Reference!$D$12)</f>
        <v>330750</v>
      </c>
      <c r="M3419" s="20"/>
      <c r="N3419" s="20"/>
      <c r="O3419" s="19"/>
      <c r="P3419" s="10"/>
      <c r="Q3419" s="10"/>
      <c r="R3419" s="10"/>
      <c r="S3419" s="10"/>
      <c r="T3419" s="10"/>
      <c r="U3419" s="10"/>
      <c r="V3419" s="10"/>
      <c r="W3419" s="10"/>
      <c r="X3419" s="10"/>
      <c r="Y3419" s="10"/>
    </row>
    <row r="3420" spans="1:25" x14ac:dyDescent="0.25">
      <c r="A3420" s="9">
        <v>43958</v>
      </c>
      <c r="B3420" s="10">
        <f ca="1">ROUND(_xlfn.NORM.INV(RAND(),Reference!$C$8,0.1*Reference!$C$8)*(1+Reference!$C$11*(IF(MONTH($A3420)=Reference!$C$4,1,0)+IF(MONTH($A3420)=Reference!$C$5,1,0))+(IF(MONTH($A3420)=Reference!$C$6,Reference!$C$13,0))),0)</f>
        <v>532</v>
      </c>
      <c r="C3420" s="11">
        <f ca="1">B3420*Reference!$C$7*(1-IF(MONTH($A3420)=Reference!$C$6,1,0)*Reference!$C$12)</f>
        <v>494760</v>
      </c>
      <c r="D3420" s="10">
        <f ca="1">ROUND(_xlfn.NORM.INV(RAND(),Reference!$D$8,0.1*Reference!$D$8)*(1+Reference!$D$11*(IF(MONTH($A3420)=Reference!$D$4,1,0)+IF(MONTH($A3420)=Reference!$D$5,1,0))+(IF(MONTH($A3420)=Reference!$D$6,Reference!$D$13,0))),0)</f>
        <v>442</v>
      </c>
      <c r="E3420" s="11">
        <f ca="1">D3420*Reference!$D$7*(1-IF(MONTH($A3420)=Reference!$D$6,1,0)*Reference!$D$12)</f>
        <v>331500</v>
      </c>
      <c r="M3420" s="20"/>
      <c r="N3420" s="20"/>
      <c r="O3420" s="19"/>
      <c r="P3420" s="10"/>
      <c r="Q3420" s="10"/>
      <c r="R3420" s="10"/>
      <c r="S3420" s="10"/>
      <c r="T3420" s="10"/>
      <c r="U3420" s="10"/>
      <c r="V3420" s="10"/>
      <c r="W3420" s="10"/>
      <c r="X3420" s="10"/>
      <c r="Y3420" s="10"/>
    </row>
    <row r="3421" spans="1:25" x14ac:dyDescent="0.25">
      <c r="A3421" s="9">
        <v>43959</v>
      </c>
      <c r="B3421" s="10">
        <f ca="1">ROUND(_xlfn.NORM.INV(RAND(),Reference!$C$8,0.1*Reference!$C$8)*(1+Reference!$C$11*(IF(MONTH($A3421)=Reference!$C$4,1,0)+IF(MONTH($A3421)=Reference!$C$5,1,0))+(IF(MONTH($A3421)=Reference!$C$6,Reference!$C$13,0))),0)</f>
        <v>410</v>
      </c>
      <c r="C3421" s="11">
        <f ca="1">B3421*Reference!$C$7*(1-IF(MONTH($A3421)=Reference!$C$6,1,0)*Reference!$C$12)</f>
        <v>381300</v>
      </c>
      <c r="D3421" s="10">
        <f ca="1">ROUND(_xlfn.NORM.INV(RAND(),Reference!$D$8,0.1*Reference!$D$8)*(1+Reference!$D$11*(IF(MONTH($A3421)=Reference!$D$4,1,0)+IF(MONTH($A3421)=Reference!$D$5,1,0))+(IF(MONTH($A3421)=Reference!$D$6,Reference!$D$13,0))),0)</f>
        <v>425</v>
      </c>
      <c r="E3421" s="11">
        <f ca="1">D3421*Reference!$D$7*(1-IF(MONTH($A3421)=Reference!$D$6,1,0)*Reference!$D$12)</f>
        <v>318750</v>
      </c>
      <c r="M3421" s="20"/>
      <c r="N3421" s="20"/>
      <c r="O3421" s="19"/>
      <c r="P3421" s="10"/>
      <c r="Q3421" s="10"/>
      <c r="R3421" s="10"/>
      <c r="S3421" s="10"/>
      <c r="T3421" s="10"/>
      <c r="U3421" s="10"/>
      <c r="V3421" s="10"/>
      <c r="W3421" s="10"/>
      <c r="X3421" s="10"/>
      <c r="Y3421" s="10"/>
    </row>
    <row r="3422" spans="1:25" x14ac:dyDescent="0.25">
      <c r="A3422" s="9">
        <v>43960</v>
      </c>
      <c r="B3422" s="10">
        <f ca="1">ROUND(_xlfn.NORM.INV(RAND(),Reference!$C$8,0.1*Reference!$C$8)*(1+Reference!$C$11*(IF(MONTH($A3422)=Reference!$C$4,1,0)+IF(MONTH($A3422)=Reference!$C$5,1,0))+(IF(MONTH($A3422)=Reference!$C$6,Reference!$C$13,0))),0)</f>
        <v>535</v>
      </c>
      <c r="C3422" s="11">
        <f ca="1">B3422*Reference!$C$7*(1-IF(MONTH($A3422)=Reference!$C$6,1,0)*Reference!$C$12)</f>
        <v>497550</v>
      </c>
      <c r="D3422" s="10">
        <f ca="1">ROUND(_xlfn.NORM.INV(RAND(),Reference!$D$8,0.1*Reference!$D$8)*(1+Reference!$D$11*(IF(MONTH($A3422)=Reference!$D$4,1,0)+IF(MONTH($A3422)=Reference!$D$5,1,0))+(IF(MONTH($A3422)=Reference!$D$6,Reference!$D$13,0))),0)</f>
        <v>446</v>
      </c>
      <c r="E3422" s="11">
        <f ca="1">D3422*Reference!$D$7*(1-IF(MONTH($A3422)=Reference!$D$6,1,0)*Reference!$D$12)</f>
        <v>334500</v>
      </c>
      <c r="M3422" s="20"/>
      <c r="N3422" s="20"/>
      <c r="O3422" s="19"/>
      <c r="P3422" s="10"/>
      <c r="Q3422" s="10"/>
      <c r="R3422" s="10"/>
      <c r="S3422" s="10"/>
      <c r="T3422" s="10"/>
      <c r="U3422" s="10"/>
      <c r="V3422" s="10"/>
      <c r="W3422" s="10"/>
      <c r="X3422" s="10"/>
      <c r="Y3422" s="10"/>
    </row>
    <row r="3423" spans="1:25" x14ac:dyDescent="0.25">
      <c r="A3423" s="9">
        <v>43961</v>
      </c>
      <c r="B3423" s="10">
        <f ca="1">ROUND(_xlfn.NORM.INV(RAND(),Reference!$C$8,0.1*Reference!$C$8)*(1+Reference!$C$11*(IF(MONTH($A3423)=Reference!$C$4,1,0)+IF(MONTH($A3423)=Reference!$C$5,1,0))+(IF(MONTH($A3423)=Reference!$C$6,Reference!$C$13,0))),0)</f>
        <v>527</v>
      </c>
      <c r="C3423" s="11">
        <f ca="1">B3423*Reference!$C$7*(1-IF(MONTH($A3423)=Reference!$C$6,1,0)*Reference!$C$12)</f>
        <v>490110</v>
      </c>
      <c r="D3423" s="10">
        <f ca="1">ROUND(_xlfn.NORM.INV(RAND(),Reference!$D$8,0.1*Reference!$D$8)*(1+Reference!$D$11*(IF(MONTH($A3423)=Reference!$D$4,1,0)+IF(MONTH($A3423)=Reference!$D$5,1,0))+(IF(MONTH($A3423)=Reference!$D$6,Reference!$D$13,0))),0)</f>
        <v>528</v>
      </c>
      <c r="E3423" s="11">
        <f ca="1">D3423*Reference!$D$7*(1-IF(MONTH($A3423)=Reference!$D$6,1,0)*Reference!$D$12)</f>
        <v>396000</v>
      </c>
      <c r="M3423" s="20"/>
      <c r="N3423" s="20"/>
      <c r="O3423" s="19"/>
      <c r="P3423" s="10"/>
      <c r="Q3423" s="10"/>
      <c r="R3423" s="10"/>
      <c r="S3423" s="10"/>
      <c r="T3423" s="10"/>
      <c r="U3423" s="10"/>
      <c r="V3423" s="10"/>
      <c r="W3423" s="10"/>
      <c r="X3423" s="10"/>
      <c r="Y3423" s="10"/>
    </row>
    <row r="3424" spans="1:25" x14ac:dyDescent="0.25">
      <c r="A3424" s="9">
        <v>43962</v>
      </c>
      <c r="B3424" s="10">
        <f ca="1">ROUND(_xlfn.NORM.INV(RAND(),Reference!$C$8,0.1*Reference!$C$8)*(1+Reference!$C$11*(IF(MONTH($A3424)=Reference!$C$4,1,0)+IF(MONTH($A3424)=Reference!$C$5,1,0))+(IF(MONTH($A3424)=Reference!$C$6,Reference!$C$13,0))),0)</f>
        <v>460</v>
      </c>
      <c r="C3424" s="11">
        <f ca="1">B3424*Reference!$C$7*(1-IF(MONTH($A3424)=Reference!$C$6,1,0)*Reference!$C$12)</f>
        <v>427800</v>
      </c>
      <c r="D3424" s="10">
        <f ca="1">ROUND(_xlfn.NORM.INV(RAND(),Reference!$D$8,0.1*Reference!$D$8)*(1+Reference!$D$11*(IF(MONTH($A3424)=Reference!$D$4,1,0)+IF(MONTH($A3424)=Reference!$D$5,1,0))+(IF(MONTH($A3424)=Reference!$D$6,Reference!$D$13,0))),0)</f>
        <v>448</v>
      </c>
      <c r="E3424" s="11">
        <f ca="1">D3424*Reference!$D$7*(1-IF(MONTH($A3424)=Reference!$D$6,1,0)*Reference!$D$12)</f>
        <v>336000</v>
      </c>
      <c r="M3424" s="20"/>
      <c r="N3424" s="20"/>
      <c r="O3424" s="19"/>
      <c r="P3424" s="10"/>
      <c r="Q3424" s="10"/>
      <c r="R3424" s="10"/>
      <c r="S3424" s="10"/>
      <c r="T3424" s="10"/>
      <c r="U3424" s="10"/>
      <c r="V3424" s="10"/>
      <c r="W3424" s="10"/>
      <c r="X3424" s="10"/>
      <c r="Y3424" s="10"/>
    </row>
    <row r="3425" spans="1:25" x14ac:dyDescent="0.25">
      <c r="A3425" s="9">
        <v>43963</v>
      </c>
      <c r="B3425" s="10">
        <f ca="1">ROUND(_xlfn.NORM.INV(RAND(),Reference!$C$8,0.1*Reference!$C$8)*(1+Reference!$C$11*(IF(MONTH($A3425)=Reference!$C$4,1,0)+IF(MONTH($A3425)=Reference!$C$5,1,0))+(IF(MONTH($A3425)=Reference!$C$6,Reference!$C$13,0))),0)</f>
        <v>472</v>
      </c>
      <c r="C3425" s="11">
        <f ca="1">B3425*Reference!$C$7*(1-IF(MONTH($A3425)=Reference!$C$6,1,0)*Reference!$C$12)</f>
        <v>438960</v>
      </c>
      <c r="D3425" s="10">
        <f ca="1">ROUND(_xlfn.NORM.INV(RAND(),Reference!$D$8,0.1*Reference!$D$8)*(1+Reference!$D$11*(IF(MONTH($A3425)=Reference!$D$4,1,0)+IF(MONTH($A3425)=Reference!$D$5,1,0))+(IF(MONTH($A3425)=Reference!$D$6,Reference!$D$13,0))),0)</f>
        <v>448</v>
      </c>
      <c r="E3425" s="11">
        <f ca="1">D3425*Reference!$D$7*(1-IF(MONTH($A3425)=Reference!$D$6,1,0)*Reference!$D$12)</f>
        <v>336000</v>
      </c>
      <c r="M3425" s="20"/>
      <c r="N3425" s="20"/>
      <c r="O3425" s="19"/>
      <c r="P3425" s="10"/>
      <c r="Q3425" s="10"/>
      <c r="R3425" s="10"/>
      <c r="S3425" s="10"/>
      <c r="T3425" s="10"/>
      <c r="U3425" s="10"/>
      <c r="V3425" s="10"/>
      <c r="W3425" s="10"/>
      <c r="X3425" s="10"/>
      <c r="Y3425" s="10"/>
    </row>
    <row r="3426" spans="1:25" x14ac:dyDescent="0.25">
      <c r="A3426" s="9">
        <v>43964</v>
      </c>
      <c r="B3426" s="10">
        <f ca="1">ROUND(_xlfn.NORM.INV(RAND(),Reference!$C$8,0.1*Reference!$C$8)*(1+Reference!$C$11*(IF(MONTH($A3426)=Reference!$C$4,1,0)+IF(MONTH($A3426)=Reference!$C$5,1,0))+(IF(MONTH($A3426)=Reference!$C$6,Reference!$C$13,0))),0)</f>
        <v>594</v>
      </c>
      <c r="C3426" s="11">
        <f ca="1">B3426*Reference!$C$7*(1-IF(MONTH($A3426)=Reference!$C$6,1,0)*Reference!$C$12)</f>
        <v>552420</v>
      </c>
      <c r="D3426" s="10">
        <f ca="1">ROUND(_xlfn.NORM.INV(RAND(),Reference!$D$8,0.1*Reference!$D$8)*(1+Reference!$D$11*(IF(MONTH($A3426)=Reference!$D$4,1,0)+IF(MONTH($A3426)=Reference!$D$5,1,0))+(IF(MONTH($A3426)=Reference!$D$6,Reference!$D$13,0))),0)</f>
        <v>533</v>
      </c>
      <c r="E3426" s="11">
        <f ca="1">D3426*Reference!$D$7*(1-IF(MONTH($A3426)=Reference!$D$6,1,0)*Reference!$D$12)</f>
        <v>399750</v>
      </c>
      <c r="M3426" s="20"/>
      <c r="N3426" s="20"/>
      <c r="O3426" s="19"/>
      <c r="P3426" s="10"/>
      <c r="Q3426" s="10"/>
      <c r="R3426" s="10"/>
      <c r="S3426" s="10"/>
      <c r="T3426" s="10"/>
      <c r="U3426" s="10"/>
      <c r="V3426" s="10"/>
      <c r="W3426" s="10"/>
      <c r="X3426" s="10"/>
      <c r="Y3426" s="10"/>
    </row>
    <row r="3427" spans="1:25" x14ac:dyDescent="0.25">
      <c r="A3427" s="9">
        <v>43965</v>
      </c>
      <c r="B3427" s="10">
        <f ca="1">ROUND(_xlfn.NORM.INV(RAND(),Reference!$C$8,0.1*Reference!$C$8)*(1+Reference!$C$11*(IF(MONTH($A3427)=Reference!$C$4,1,0)+IF(MONTH($A3427)=Reference!$C$5,1,0))+(IF(MONTH($A3427)=Reference!$C$6,Reference!$C$13,0))),0)</f>
        <v>527</v>
      </c>
      <c r="C3427" s="11">
        <f ca="1">B3427*Reference!$C$7*(1-IF(MONTH($A3427)=Reference!$C$6,1,0)*Reference!$C$12)</f>
        <v>490110</v>
      </c>
      <c r="D3427" s="10">
        <f ca="1">ROUND(_xlfn.NORM.INV(RAND(),Reference!$D$8,0.1*Reference!$D$8)*(1+Reference!$D$11*(IF(MONTH($A3427)=Reference!$D$4,1,0)+IF(MONTH($A3427)=Reference!$D$5,1,0))+(IF(MONTH($A3427)=Reference!$D$6,Reference!$D$13,0))),0)</f>
        <v>470</v>
      </c>
      <c r="E3427" s="11">
        <f ca="1">D3427*Reference!$D$7*(1-IF(MONTH($A3427)=Reference!$D$6,1,0)*Reference!$D$12)</f>
        <v>352500</v>
      </c>
      <c r="M3427" s="20"/>
      <c r="N3427" s="20"/>
      <c r="O3427" s="19"/>
      <c r="P3427" s="10"/>
      <c r="Q3427" s="10"/>
      <c r="R3427" s="10"/>
      <c r="S3427" s="10"/>
      <c r="T3427" s="10"/>
      <c r="U3427" s="10"/>
      <c r="V3427" s="10"/>
      <c r="W3427" s="10"/>
      <c r="X3427" s="10"/>
      <c r="Y3427" s="10"/>
    </row>
    <row r="3428" spans="1:25" x14ac:dyDescent="0.25">
      <c r="A3428" s="9">
        <v>43966</v>
      </c>
      <c r="B3428" s="10">
        <f ca="1">ROUND(_xlfn.NORM.INV(RAND(),Reference!$C$8,0.1*Reference!$C$8)*(1+Reference!$C$11*(IF(MONTH($A3428)=Reference!$C$4,1,0)+IF(MONTH($A3428)=Reference!$C$5,1,0))+(IF(MONTH($A3428)=Reference!$C$6,Reference!$C$13,0))),0)</f>
        <v>486</v>
      </c>
      <c r="C3428" s="11">
        <f ca="1">B3428*Reference!$C$7*(1-IF(MONTH($A3428)=Reference!$C$6,1,0)*Reference!$C$12)</f>
        <v>451980</v>
      </c>
      <c r="D3428" s="10">
        <f ca="1">ROUND(_xlfn.NORM.INV(RAND(),Reference!$D$8,0.1*Reference!$D$8)*(1+Reference!$D$11*(IF(MONTH($A3428)=Reference!$D$4,1,0)+IF(MONTH($A3428)=Reference!$D$5,1,0))+(IF(MONTH($A3428)=Reference!$D$6,Reference!$D$13,0))),0)</f>
        <v>434</v>
      </c>
      <c r="E3428" s="11">
        <f ca="1">D3428*Reference!$D$7*(1-IF(MONTH($A3428)=Reference!$D$6,1,0)*Reference!$D$12)</f>
        <v>325500</v>
      </c>
      <c r="M3428" s="20"/>
      <c r="N3428" s="20"/>
      <c r="O3428" s="19"/>
      <c r="P3428" s="10"/>
      <c r="Q3428" s="10"/>
      <c r="R3428" s="10"/>
      <c r="S3428" s="10"/>
      <c r="T3428" s="10"/>
      <c r="U3428" s="10"/>
      <c r="V3428" s="10"/>
      <c r="W3428" s="10"/>
      <c r="X3428" s="10"/>
      <c r="Y3428" s="10"/>
    </row>
    <row r="3429" spans="1:25" x14ac:dyDescent="0.25">
      <c r="A3429" s="9">
        <v>43967</v>
      </c>
      <c r="B3429" s="10">
        <f ca="1">ROUND(_xlfn.NORM.INV(RAND(),Reference!$C$8,0.1*Reference!$C$8)*(1+Reference!$C$11*(IF(MONTH($A3429)=Reference!$C$4,1,0)+IF(MONTH($A3429)=Reference!$C$5,1,0))+(IF(MONTH($A3429)=Reference!$C$6,Reference!$C$13,0))),0)</f>
        <v>565</v>
      </c>
      <c r="C3429" s="11">
        <f ca="1">B3429*Reference!$C$7*(1-IF(MONTH($A3429)=Reference!$C$6,1,0)*Reference!$C$12)</f>
        <v>525450</v>
      </c>
      <c r="D3429" s="10">
        <f ca="1">ROUND(_xlfn.NORM.INV(RAND(),Reference!$D$8,0.1*Reference!$D$8)*(1+Reference!$D$11*(IF(MONTH($A3429)=Reference!$D$4,1,0)+IF(MONTH($A3429)=Reference!$D$5,1,0))+(IF(MONTH($A3429)=Reference!$D$6,Reference!$D$13,0))),0)</f>
        <v>514</v>
      </c>
      <c r="E3429" s="11">
        <f ca="1">D3429*Reference!$D$7*(1-IF(MONTH($A3429)=Reference!$D$6,1,0)*Reference!$D$12)</f>
        <v>385500</v>
      </c>
      <c r="M3429" s="20"/>
      <c r="N3429" s="20"/>
      <c r="O3429" s="19"/>
      <c r="P3429" s="10"/>
      <c r="Q3429" s="10"/>
      <c r="R3429" s="10"/>
      <c r="S3429" s="10"/>
      <c r="T3429" s="10"/>
      <c r="U3429" s="10"/>
      <c r="V3429" s="10"/>
      <c r="W3429" s="10"/>
      <c r="X3429" s="10"/>
      <c r="Y3429" s="10"/>
    </row>
    <row r="3430" spans="1:25" x14ac:dyDescent="0.25">
      <c r="A3430" s="9">
        <v>43968</v>
      </c>
      <c r="B3430" s="10">
        <f ca="1">ROUND(_xlfn.NORM.INV(RAND(),Reference!$C$8,0.1*Reference!$C$8)*(1+Reference!$C$11*(IF(MONTH($A3430)=Reference!$C$4,1,0)+IF(MONTH($A3430)=Reference!$C$5,1,0))+(IF(MONTH($A3430)=Reference!$C$6,Reference!$C$13,0))),0)</f>
        <v>437</v>
      </c>
      <c r="C3430" s="11">
        <f ca="1">B3430*Reference!$C$7*(1-IF(MONTH($A3430)=Reference!$C$6,1,0)*Reference!$C$12)</f>
        <v>406410</v>
      </c>
      <c r="D3430" s="10">
        <f ca="1">ROUND(_xlfn.NORM.INV(RAND(),Reference!$D$8,0.1*Reference!$D$8)*(1+Reference!$D$11*(IF(MONTH($A3430)=Reference!$D$4,1,0)+IF(MONTH($A3430)=Reference!$D$5,1,0))+(IF(MONTH($A3430)=Reference!$D$6,Reference!$D$13,0))),0)</f>
        <v>467</v>
      </c>
      <c r="E3430" s="11">
        <f ca="1">D3430*Reference!$D$7*(1-IF(MONTH($A3430)=Reference!$D$6,1,0)*Reference!$D$12)</f>
        <v>350250</v>
      </c>
      <c r="M3430" s="20"/>
      <c r="N3430" s="20"/>
      <c r="O3430" s="19"/>
      <c r="P3430" s="10"/>
      <c r="Q3430" s="10"/>
      <c r="R3430" s="10"/>
      <c r="S3430" s="10"/>
      <c r="T3430" s="10"/>
      <c r="U3430" s="10"/>
      <c r="V3430" s="10"/>
      <c r="W3430" s="10"/>
      <c r="X3430" s="10"/>
      <c r="Y3430" s="10"/>
    </row>
    <row r="3431" spans="1:25" x14ac:dyDescent="0.25">
      <c r="A3431" s="9">
        <v>43969</v>
      </c>
      <c r="B3431" s="10">
        <f ca="1">ROUND(_xlfn.NORM.INV(RAND(),Reference!$C$8,0.1*Reference!$C$8)*(1+Reference!$C$11*(IF(MONTH($A3431)=Reference!$C$4,1,0)+IF(MONTH($A3431)=Reference!$C$5,1,0))+(IF(MONTH($A3431)=Reference!$C$6,Reference!$C$13,0))),0)</f>
        <v>441</v>
      </c>
      <c r="C3431" s="11">
        <f ca="1">B3431*Reference!$C$7*(1-IF(MONTH($A3431)=Reference!$C$6,1,0)*Reference!$C$12)</f>
        <v>410130</v>
      </c>
      <c r="D3431" s="10">
        <f ca="1">ROUND(_xlfn.NORM.INV(RAND(),Reference!$D$8,0.1*Reference!$D$8)*(1+Reference!$D$11*(IF(MONTH($A3431)=Reference!$D$4,1,0)+IF(MONTH($A3431)=Reference!$D$5,1,0))+(IF(MONTH($A3431)=Reference!$D$6,Reference!$D$13,0))),0)</f>
        <v>429</v>
      </c>
      <c r="E3431" s="11">
        <f ca="1">D3431*Reference!$D$7*(1-IF(MONTH($A3431)=Reference!$D$6,1,0)*Reference!$D$12)</f>
        <v>321750</v>
      </c>
      <c r="M3431" s="20"/>
      <c r="N3431" s="20"/>
      <c r="O3431" s="19"/>
      <c r="P3431" s="10"/>
      <c r="Q3431" s="10"/>
      <c r="R3431" s="10"/>
      <c r="S3431" s="10"/>
      <c r="T3431" s="10"/>
      <c r="U3431" s="10"/>
      <c r="V3431" s="10"/>
      <c r="W3431" s="10"/>
      <c r="X3431" s="10"/>
      <c r="Y3431" s="10"/>
    </row>
    <row r="3432" spans="1:25" x14ac:dyDescent="0.25">
      <c r="A3432" s="9">
        <v>43970</v>
      </c>
      <c r="B3432" s="10">
        <f ca="1">ROUND(_xlfn.NORM.INV(RAND(),Reference!$C$8,0.1*Reference!$C$8)*(1+Reference!$C$11*(IF(MONTH($A3432)=Reference!$C$4,1,0)+IF(MONTH($A3432)=Reference!$C$5,1,0))+(IF(MONTH($A3432)=Reference!$C$6,Reference!$C$13,0))),0)</f>
        <v>545</v>
      </c>
      <c r="C3432" s="11">
        <f ca="1">B3432*Reference!$C$7*(1-IF(MONTH($A3432)=Reference!$C$6,1,0)*Reference!$C$12)</f>
        <v>506850</v>
      </c>
      <c r="D3432" s="10">
        <f ca="1">ROUND(_xlfn.NORM.INV(RAND(),Reference!$D$8,0.1*Reference!$D$8)*(1+Reference!$D$11*(IF(MONTH($A3432)=Reference!$D$4,1,0)+IF(MONTH($A3432)=Reference!$D$5,1,0))+(IF(MONTH($A3432)=Reference!$D$6,Reference!$D$13,0))),0)</f>
        <v>451</v>
      </c>
      <c r="E3432" s="11">
        <f ca="1">D3432*Reference!$D$7*(1-IF(MONTH($A3432)=Reference!$D$6,1,0)*Reference!$D$12)</f>
        <v>338250</v>
      </c>
      <c r="M3432" s="20"/>
      <c r="N3432" s="20"/>
      <c r="O3432" s="19"/>
      <c r="P3432" s="10"/>
      <c r="Q3432" s="10"/>
      <c r="R3432" s="10"/>
      <c r="S3432" s="10"/>
      <c r="T3432" s="10"/>
      <c r="U3432" s="10"/>
      <c r="V3432" s="10"/>
      <c r="W3432" s="10"/>
      <c r="X3432" s="10"/>
      <c r="Y3432" s="10"/>
    </row>
    <row r="3433" spans="1:25" x14ac:dyDescent="0.25">
      <c r="A3433" s="9">
        <v>43971</v>
      </c>
      <c r="B3433" s="10">
        <f ca="1">ROUND(_xlfn.NORM.INV(RAND(),Reference!$C$8,0.1*Reference!$C$8)*(1+Reference!$C$11*(IF(MONTH($A3433)=Reference!$C$4,1,0)+IF(MONTH($A3433)=Reference!$C$5,1,0))+(IF(MONTH($A3433)=Reference!$C$6,Reference!$C$13,0))),0)</f>
        <v>543</v>
      </c>
      <c r="C3433" s="11">
        <f ca="1">B3433*Reference!$C$7*(1-IF(MONTH($A3433)=Reference!$C$6,1,0)*Reference!$C$12)</f>
        <v>504990</v>
      </c>
      <c r="D3433" s="10">
        <f ca="1">ROUND(_xlfn.NORM.INV(RAND(),Reference!$D$8,0.1*Reference!$D$8)*(1+Reference!$D$11*(IF(MONTH($A3433)=Reference!$D$4,1,0)+IF(MONTH($A3433)=Reference!$D$5,1,0))+(IF(MONTH($A3433)=Reference!$D$6,Reference!$D$13,0))),0)</f>
        <v>479</v>
      </c>
      <c r="E3433" s="11">
        <f ca="1">D3433*Reference!$D$7*(1-IF(MONTH($A3433)=Reference!$D$6,1,0)*Reference!$D$12)</f>
        <v>359250</v>
      </c>
      <c r="M3433" s="20"/>
      <c r="N3433" s="20"/>
      <c r="O3433" s="19"/>
      <c r="P3433" s="10"/>
      <c r="Q3433" s="10"/>
      <c r="R3433" s="10"/>
      <c r="S3433" s="10"/>
      <c r="T3433" s="10"/>
      <c r="U3433" s="10"/>
      <c r="V3433" s="10"/>
      <c r="W3433" s="10"/>
      <c r="X3433" s="10"/>
      <c r="Y3433" s="10"/>
    </row>
    <row r="3434" spans="1:25" x14ac:dyDescent="0.25">
      <c r="A3434" s="9">
        <v>43972</v>
      </c>
      <c r="B3434" s="10">
        <f ca="1">ROUND(_xlfn.NORM.INV(RAND(),Reference!$C$8,0.1*Reference!$C$8)*(1+Reference!$C$11*(IF(MONTH($A3434)=Reference!$C$4,1,0)+IF(MONTH($A3434)=Reference!$C$5,1,0))+(IF(MONTH($A3434)=Reference!$C$6,Reference!$C$13,0))),0)</f>
        <v>504</v>
      </c>
      <c r="C3434" s="11">
        <f ca="1">B3434*Reference!$C$7*(1-IF(MONTH($A3434)=Reference!$C$6,1,0)*Reference!$C$12)</f>
        <v>468720</v>
      </c>
      <c r="D3434" s="10">
        <f ca="1">ROUND(_xlfn.NORM.INV(RAND(),Reference!$D$8,0.1*Reference!$D$8)*(1+Reference!$D$11*(IF(MONTH($A3434)=Reference!$D$4,1,0)+IF(MONTH($A3434)=Reference!$D$5,1,0))+(IF(MONTH($A3434)=Reference!$D$6,Reference!$D$13,0))),0)</f>
        <v>419</v>
      </c>
      <c r="E3434" s="11">
        <f ca="1">D3434*Reference!$D$7*(1-IF(MONTH($A3434)=Reference!$D$6,1,0)*Reference!$D$12)</f>
        <v>314250</v>
      </c>
      <c r="M3434" s="20"/>
      <c r="N3434" s="20"/>
      <c r="O3434" s="19"/>
      <c r="P3434" s="10"/>
      <c r="Q3434" s="10"/>
      <c r="R3434" s="10"/>
      <c r="S3434" s="10"/>
      <c r="T3434" s="10"/>
      <c r="U3434" s="10"/>
      <c r="V3434" s="10"/>
      <c r="W3434" s="10"/>
      <c r="X3434" s="10"/>
      <c r="Y3434" s="10"/>
    </row>
    <row r="3435" spans="1:25" x14ac:dyDescent="0.25">
      <c r="A3435" s="9">
        <v>43973</v>
      </c>
      <c r="B3435" s="10">
        <f ca="1">ROUND(_xlfn.NORM.INV(RAND(),Reference!$C$8,0.1*Reference!$C$8)*(1+Reference!$C$11*(IF(MONTH($A3435)=Reference!$C$4,1,0)+IF(MONTH($A3435)=Reference!$C$5,1,0))+(IF(MONTH($A3435)=Reference!$C$6,Reference!$C$13,0))),0)</f>
        <v>547</v>
      </c>
      <c r="C3435" s="11">
        <f ca="1">B3435*Reference!$C$7*(1-IF(MONTH($A3435)=Reference!$C$6,1,0)*Reference!$C$12)</f>
        <v>508710</v>
      </c>
      <c r="D3435" s="10">
        <f ca="1">ROUND(_xlfn.NORM.INV(RAND(),Reference!$D$8,0.1*Reference!$D$8)*(1+Reference!$D$11*(IF(MONTH($A3435)=Reference!$D$4,1,0)+IF(MONTH($A3435)=Reference!$D$5,1,0))+(IF(MONTH($A3435)=Reference!$D$6,Reference!$D$13,0))),0)</f>
        <v>440</v>
      </c>
      <c r="E3435" s="11">
        <f ca="1">D3435*Reference!$D$7*(1-IF(MONTH($A3435)=Reference!$D$6,1,0)*Reference!$D$12)</f>
        <v>330000</v>
      </c>
      <c r="M3435" s="20"/>
      <c r="N3435" s="20"/>
      <c r="O3435" s="19"/>
      <c r="P3435" s="10"/>
      <c r="Q3435" s="10"/>
      <c r="R3435" s="10"/>
      <c r="S3435" s="10"/>
      <c r="T3435" s="10"/>
      <c r="U3435" s="10"/>
      <c r="V3435" s="10"/>
      <c r="W3435" s="10"/>
      <c r="X3435" s="10"/>
      <c r="Y3435" s="10"/>
    </row>
    <row r="3436" spans="1:25" x14ac:dyDescent="0.25">
      <c r="A3436" s="9">
        <v>43974</v>
      </c>
      <c r="B3436" s="10">
        <f ca="1">ROUND(_xlfn.NORM.INV(RAND(),Reference!$C$8,0.1*Reference!$C$8)*(1+Reference!$C$11*(IF(MONTH($A3436)=Reference!$C$4,1,0)+IF(MONTH($A3436)=Reference!$C$5,1,0))+(IF(MONTH($A3436)=Reference!$C$6,Reference!$C$13,0))),0)</f>
        <v>693</v>
      </c>
      <c r="C3436" s="11">
        <f ca="1">B3436*Reference!$C$7*(1-IF(MONTH($A3436)=Reference!$C$6,1,0)*Reference!$C$12)</f>
        <v>644490</v>
      </c>
      <c r="D3436" s="10">
        <f ca="1">ROUND(_xlfn.NORM.INV(RAND(),Reference!$D$8,0.1*Reference!$D$8)*(1+Reference!$D$11*(IF(MONTH($A3436)=Reference!$D$4,1,0)+IF(MONTH($A3436)=Reference!$D$5,1,0))+(IF(MONTH($A3436)=Reference!$D$6,Reference!$D$13,0))),0)</f>
        <v>436</v>
      </c>
      <c r="E3436" s="11">
        <f ca="1">D3436*Reference!$D$7*(1-IF(MONTH($A3436)=Reference!$D$6,1,0)*Reference!$D$12)</f>
        <v>327000</v>
      </c>
      <c r="M3436" s="20"/>
      <c r="N3436" s="20"/>
      <c r="O3436" s="19"/>
      <c r="P3436" s="10"/>
      <c r="Q3436" s="10"/>
      <c r="R3436" s="10"/>
      <c r="S3436" s="10"/>
      <c r="T3436" s="10"/>
      <c r="U3436" s="10"/>
      <c r="V3436" s="10"/>
      <c r="W3436" s="10"/>
      <c r="X3436" s="10"/>
      <c r="Y3436" s="10"/>
    </row>
    <row r="3437" spans="1:25" x14ac:dyDescent="0.25">
      <c r="A3437" s="9">
        <v>43975</v>
      </c>
      <c r="B3437" s="10">
        <f ca="1">ROUND(_xlfn.NORM.INV(RAND(),Reference!$C$8,0.1*Reference!$C$8)*(1+Reference!$C$11*(IF(MONTH($A3437)=Reference!$C$4,1,0)+IF(MONTH($A3437)=Reference!$C$5,1,0))+(IF(MONTH($A3437)=Reference!$C$6,Reference!$C$13,0))),0)</f>
        <v>540</v>
      </c>
      <c r="C3437" s="11">
        <f ca="1">B3437*Reference!$C$7*(1-IF(MONTH($A3437)=Reference!$C$6,1,0)*Reference!$C$12)</f>
        <v>502200</v>
      </c>
      <c r="D3437" s="10">
        <f ca="1">ROUND(_xlfn.NORM.INV(RAND(),Reference!$D$8,0.1*Reference!$D$8)*(1+Reference!$D$11*(IF(MONTH($A3437)=Reference!$D$4,1,0)+IF(MONTH($A3437)=Reference!$D$5,1,0))+(IF(MONTH($A3437)=Reference!$D$6,Reference!$D$13,0))),0)</f>
        <v>395</v>
      </c>
      <c r="E3437" s="11">
        <f ca="1">D3437*Reference!$D$7*(1-IF(MONTH($A3437)=Reference!$D$6,1,0)*Reference!$D$12)</f>
        <v>296250</v>
      </c>
      <c r="M3437" s="20"/>
      <c r="N3437" s="20"/>
      <c r="O3437" s="19"/>
      <c r="P3437" s="10"/>
      <c r="Q3437" s="10"/>
      <c r="R3437" s="10"/>
      <c r="S3437" s="10"/>
      <c r="T3437" s="10"/>
      <c r="U3437" s="10"/>
      <c r="V3437" s="10"/>
      <c r="W3437" s="10"/>
      <c r="X3437" s="10"/>
      <c r="Y3437" s="10"/>
    </row>
    <row r="3438" spans="1:25" x14ac:dyDescent="0.25">
      <c r="A3438" s="9">
        <v>43976</v>
      </c>
      <c r="B3438" s="10">
        <f ca="1">ROUND(_xlfn.NORM.INV(RAND(),Reference!$C$8,0.1*Reference!$C$8)*(1+Reference!$C$11*(IF(MONTH($A3438)=Reference!$C$4,1,0)+IF(MONTH($A3438)=Reference!$C$5,1,0))+(IF(MONTH($A3438)=Reference!$C$6,Reference!$C$13,0))),0)</f>
        <v>655</v>
      </c>
      <c r="C3438" s="11">
        <f ca="1">B3438*Reference!$C$7*(1-IF(MONTH($A3438)=Reference!$C$6,1,0)*Reference!$C$12)</f>
        <v>609150</v>
      </c>
      <c r="D3438" s="10">
        <f ca="1">ROUND(_xlfn.NORM.INV(RAND(),Reference!$D$8,0.1*Reference!$D$8)*(1+Reference!$D$11*(IF(MONTH($A3438)=Reference!$D$4,1,0)+IF(MONTH($A3438)=Reference!$D$5,1,0))+(IF(MONTH($A3438)=Reference!$D$6,Reference!$D$13,0))),0)</f>
        <v>489</v>
      </c>
      <c r="E3438" s="11">
        <f ca="1">D3438*Reference!$D$7*(1-IF(MONTH($A3438)=Reference!$D$6,1,0)*Reference!$D$12)</f>
        <v>366750</v>
      </c>
      <c r="M3438" s="20"/>
      <c r="N3438" s="20"/>
      <c r="O3438" s="19"/>
      <c r="P3438" s="10"/>
      <c r="Q3438" s="10"/>
      <c r="R3438" s="10"/>
      <c r="S3438" s="10"/>
      <c r="T3438" s="10"/>
      <c r="U3438" s="10"/>
      <c r="V3438" s="10"/>
      <c r="W3438" s="10"/>
      <c r="X3438" s="10"/>
      <c r="Y3438" s="10"/>
    </row>
    <row r="3439" spans="1:25" x14ac:dyDescent="0.25">
      <c r="A3439" s="9">
        <v>43977</v>
      </c>
      <c r="B3439" s="10">
        <f ca="1">ROUND(_xlfn.NORM.INV(RAND(),Reference!$C$8,0.1*Reference!$C$8)*(1+Reference!$C$11*(IF(MONTH($A3439)=Reference!$C$4,1,0)+IF(MONTH($A3439)=Reference!$C$5,1,0))+(IF(MONTH($A3439)=Reference!$C$6,Reference!$C$13,0))),0)</f>
        <v>499</v>
      </c>
      <c r="C3439" s="11">
        <f ca="1">B3439*Reference!$C$7*(1-IF(MONTH($A3439)=Reference!$C$6,1,0)*Reference!$C$12)</f>
        <v>464070</v>
      </c>
      <c r="D3439" s="10">
        <f ca="1">ROUND(_xlfn.NORM.INV(RAND(),Reference!$D$8,0.1*Reference!$D$8)*(1+Reference!$D$11*(IF(MONTH($A3439)=Reference!$D$4,1,0)+IF(MONTH($A3439)=Reference!$D$5,1,0))+(IF(MONTH($A3439)=Reference!$D$6,Reference!$D$13,0))),0)</f>
        <v>425</v>
      </c>
      <c r="E3439" s="11">
        <f ca="1">D3439*Reference!$D$7*(1-IF(MONTH($A3439)=Reference!$D$6,1,0)*Reference!$D$12)</f>
        <v>318750</v>
      </c>
      <c r="M3439" s="20"/>
      <c r="N3439" s="20"/>
      <c r="O3439" s="19"/>
      <c r="P3439" s="10"/>
      <c r="Q3439" s="10"/>
      <c r="R3439" s="10"/>
      <c r="S3439" s="10"/>
      <c r="T3439" s="10"/>
      <c r="U3439" s="10"/>
      <c r="V3439" s="10"/>
      <c r="W3439" s="10"/>
      <c r="X3439" s="10"/>
      <c r="Y3439" s="10"/>
    </row>
    <row r="3440" spans="1:25" x14ac:dyDescent="0.25">
      <c r="A3440" s="9">
        <v>43978</v>
      </c>
      <c r="B3440" s="10">
        <f ca="1">ROUND(_xlfn.NORM.INV(RAND(),Reference!$C$8,0.1*Reference!$C$8)*(1+Reference!$C$11*(IF(MONTH($A3440)=Reference!$C$4,1,0)+IF(MONTH($A3440)=Reference!$C$5,1,0))+(IF(MONTH($A3440)=Reference!$C$6,Reference!$C$13,0))),0)</f>
        <v>448</v>
      </c>
      <c r="C3440" s="11">
        <f ca="1">B3440*Reference!$C$7*(1-IF(MONTH($A3440)=Reference!$C$6,1,0)*Reference!$C$12)</f>
        <v>416640</v>
      </c>
      <c r="D3440" s="10">
        <f ca="1">ROUND(_xlfn.NORM.INV(RAND(),Reference!$D$8,0.1*Reference!$D$8)*(1+Reference!$D$11*(IF(MONTH($A3440)=Reference!$D$4,1,0)+IF(MONTH($A3440)=Reference!$D$5,1,0))+(IF(MONTH($A3440)=Reference!$D$6,Reference!$D$13,0))),0)</f>
        <v>437</v>
      </c>
      <c r="E3440" s="11">
        <f ca="1">D3440*Reference!$D$7*(1-IF(MONTH($A3440)=Reference!$D$6,1,0)*Reference!$D$12)</f>
        <v>327750</v>
      </c>
      <c r="M3440" s="20"/>
      <c r="N3440" s="20"/>
      <c r="O3440" s="19"/>
      <c r="P3440" s="10"/>
      <c r="Q3440" s="10"/>
      <c r="R3440" s="10"/>
      <c r="S3440" s="10"/>
      <c r="T3440" s="10"/>
      <c r="U3440" s="10"/>
      <c r="V3440" s="10"/>
      <c r="W3440" s="10"/>
      <c r="X3440" s="10"/>
      <c r="Y3440" s="10"/>
    </row>
    <row r="3441" spans="1:25" x14ac:dyDescent="0.25">
      <c r="A3441" s="9">
        <v>43979</v>
      </c>
      <c r="B3441" s="10">
        <f ca="1">ROUND(_xlfn.NORM.INV(RAND(),Reference!$C$8,0.1*Reference!$C$8)*(1+Reference!$C$11*(IF(MONTH($A3441)=Reference!$C$4,1,0)+IF(MONTH($A3441)=Reference!$C$5,1,0))+(IF(MONTH($A3441)=Reference!$C$6,Reference!$C$13,0))),0)</f>
        <v>511</v>
      </c>
      <c r="C3441" s="11">
        <f ca="1">B3441*Reference!$C$7*(1-IF(MONTH($A3441)=Reference!$C$6,1,0)*Reference!$C$12)</f>
        <v>475230</v>
      </c>
      <c r="D3441" s="10">
        <f ca="1">ROUND(_xlfn.NORM.INV(RAND(),Reference!$D$8,0.1*Reference!$D$8)*(1+Reference!$D$11*(IF(MONTH($A3441)=Reference!$D$4,1,0)+IF(MONTH($A3441)=Reference!$D$5,1,0))+(IF(MONTH($A3441)=Reference!$D$6,Reference!$D$13,0))),0)</f>
        <v>423</v>
      </c>
      <c r="E3441" s="11">
        <f ca="1">D3441*Reference!$D$7*(1-IF(MONTH($A3441)=Reference!$D$6,1,0)*Reference!$D$12)</f>
        <v>317250</v>
      </c>
      <c r="M3441" s="20"/>
      <c r="N3441" s="20"/>
      <c r="O3441" s="19"/>
      <c r="P3441" s="10"/>
      <c r="Q3441" s="10"/>
      <c r="R3441" s="10"/>
      <c r="S3441" s="10"/>
      <c r="T3441" s="10"/>
      <c r="U3441" s="10"/>
      <c r="V3441" s="10"/>
      <c r="W3441" s="10"/>
      <c r="X3441" s="10"/>
      <c r="Y3441" s="10"/>
    </row>
    <row r="3442" spans="1:25" x14ac:dyDescent="0.25">
      <c r="A3442" s="9">
        <v>43980</v>
      </c>
      <c r="B3442" s="10">
        <f ca="1">ROUND(_xlfn.NORM.INV(RAND(),Reference!$C$8,0.1*Reference!$C$8)*(1+Reference!$C$11*(IF(MONTH($A3442)=Reference!$C$4,1,0)+IF(MONTH($A3442)=Reference!$C$5,1,0))+(IF(MONTH($A3442)=Reference!$C$6,Reference!$C$13,0))),0)</f>
        <v>486</v>
      </c>
      <c r="C3442" s="11">
        <f ca="1">B3442*Reference!$C$7*(1-IF(MONTH($A3442)=Reference!$C$6,1,0)*Reference!$C$12)</f>
        <v>451980</v>
      </c>
      <c r="D3442" s="10">
        <f ca="1">ROUND(_xlfn.NORM.INV(RAND(),Reference!$D$8,0.1*Reference!$D$8)*(1+Reference!$D$11*(IF(MONTH($A3442)=Reference!$D$4,1,0)+IF(MONTH($A3442)=Reference!$D$5,1,0))+(IF(MONTH($A3442)=Reference!$D$6,Reference!$D$13,0))),0)</f>
        <v>431</v>
      </c>
      <c r="E3442" s="11">
        <f ca="1">D3442*Reference!$D$7*(1-IF(MONTH($A3442)=Reference!$D$6,1,0)*Reference!$D$12)</f>
        <v>323250</v>
      </c>
      <c r="M3442" s="20"/>
      <c r="N3442" s="20"/>
      <c r="O3442" s="19"/>
      <c r="P3442" s="10"/>
      <c r="Q3442" s="10"/>
      <c r="R3442" s="10"/>
      <c r="S3442" s="10"/>
      <c r="T3442" s="10"/>
      <c r="U3442" s="10"/>
      <c r="V3442" s="10"/>
      <c r="W3442" s="10"/>
      <c r="X3442" s="10"/>
      <c r="Y3442" s="10"/>
    </row>
    <row r="3443" spans="1:25" x14ac:dyDescent="0.25">
      <c r="A3443" s="9">
        <v>43981</v>
      </c>
      <c r="B3443" s="10">
        <f ca="1">ROUND(_xlfn.NORM.INV(RAND(),Reference!$C$8,0.1*Reference!$C$8)*(1+Reference!$C$11*(IF(MONTH($A3443)=Reference!$C$4,1,0)+IF(MONTH($A3443)=Reference!$C$5,1,0))+(IF(MONTH($A3443)=Reference!$C$6,Reference!$C$13,0))),0)</f>
        <v>547</v>
      </c>
      <c r="C3443" s="11">
        <f ca="1">B3443*Reference!$C$7*(1-IF(MONTH($A3443)=Reference!$C$6,1,0)*Reference!$C$12)</f>
        <v>508710</v>
      </c>
      <c r="D3443" s="10">
        <f ca="1">ROUND(_xlfn.NORM.INV(RAND(),Reference!$D$8,0.1*Reference!$D$8)*(1+Reference!$D$11*(IF(MONTH($A3443)=Reference!$D$4,1,0)+IF(MONTH($A3443)=Reference!$D$5,1,0))+(IF(MONTH($A3443)=Reference!$D$6,Reference!$D$13,0))),0)</f>
        <v>538</v>
      </c>
      <c r="E3443" s="11">
        <f ca="1">D3443*Reference!$D$7*(1-IF(MONTH($A3443)=Reference!$D$6,1,0)*Reference!$D$12)</f>
        <v>403500</v>
      </c>
      <c r="M3443" s="20"/>
      <c r="N3443" s="20"/>
      <c r="O3443" s="19"/>
      <c r="P3443" s="10"/>
      <c r="Q3443" s="10"/>
      <c r="R3443" s="10"/>
      <c r="S3443" s="10"/>
      <c r="T3443" s="10"/>
      <c r="U3443" s="10"/>
      <c r="V3443" s="10"/>
      <c r="W3443" s="10"/>
      <c r="X3443" s="10"/>
      <c r="Y3443" s="10"/>
    </row>
    <row r="3444" spans="1:25" x14ac:dyDescent="0.25">
      <c r="A3444" s="9">
        <v>43982</v>
      </c>
      <c r="B3444" s="10">
        <f ca="1">ROUND(_xlfn.NORM.INV(RAND(),Reference!$C$8,0.1*Reference!$C$8)*(1+Reference!$C$11*(IF(MONTH($A3444)=Reference!$C$4,1,0)+IF(MONTH($A3444)=Reference!$C$5,1,0))+(IF(MONTH($A3444)=Reference!$C$6,Reference!$C$13,0))),0)</f>
        <v>425</v>
      </c>
      <c r="C3444" s="11">
        <f ca="1">B3444*Reference!$C$7*(1-IF(MONTH($A3444)=Reference!$C$6,1,0)*Reference!$C$12)</f>
        <v>395250</v>
      </c>
      <c r="D3444" s="10">
        <f ca="1">ROUND(_xlfn.NORM.INV(RAND(),Reference!$D$8,0.1*Reference!$D$8)*(1+Reference!$D$11*(IF(MONTH($A3444)=Reference!$D$4,1,0)+IF(MONTH($A3444)=Reference!$D$5,1,0))+(IF(MONTH($A3444)=Reference!$D$6,Reference!$D$13,0))),0)</f>
        <v>465</v>
      </c>
      <c r="E3444" s="11">
        <f ca="1">D3444*Reference!$D$7*(1-IF(MONTH($A3444)=Reference!$D$6,1,0)*Reference!$D$12)</f>
        <v>348750</v>
      </c>
      <c r="M3444" s="20"/>
      <c r="N3444" s="20"/>
      <c r="O3444" s="19"/>
      <c r="P3444" s="10"/>
      <c r="Q3444" s="10"/>
      <c r="R3444" s="10"/>
      <c r="S3444" s="10"/>
      <c r="T3444" s="10"/>
      <c r="U3444" s="10"/>
      <c r="V3444" s="10"/>
      <c r="W3444" s="10"/>
      <c r="X3444" s="10"/>
      <c r="Y3444" s="10"/>
    </row>
    <row r="3445" spans="1:25" x14ac:dyDescent="0.25">
      <c r="A3445" s="9">
        <v>43983</v>
      </c>
      <c r="B3445" s="10">
        <f ca="1">ROUND(_xlfn.NORM.INV(RAND(),Reference!$C$8,0.1*Reference!$C$8)*(1+Reference!$C$11*(IF(MONTH($A3445)=Reference!$C$4,1,0)+IF(MONTH($A3445)=Reference!$C$5,1,0))+(IF(MONTH($A3445)=Reference!$C$6,Reference!$C$13,0))),0)</f>
        <v>417</v>
      </c>
      <c r="C3445" s="11">
        <f ca="1">B3445*Reference!$C$7*(1-IF(MONTH($A3445)=Reference!$C$6,1,0)*Reference!$C$12)</f>
        <v>155124</v>
      </c>
      <c r="D3445" s="10">
        <f ca="1">ROUND(_xlfn.NORM.INV(RAND(),Reference!$D$8,0.1*Reference!$D$8)*(1+Reference!$D$11*(IF(MONTH($A3445)=Reference!$D$4,1,0)+IF(MONTH($A3445)=Reference!$D$5,1,0))+(IF(MONTH($A3445)=Reference!$D$6,Reference!$D$13,0))),0)</f>
        <v>467</v>
      </c>
      <c r="E3445" s="11">
        <f ca="1">D3445*Reference!$D$7*(1-IF(MONTH($A3445)=Reference!$D$6,1,0)*Reference!$D$12)</f>
        <v>350250</v>
      </c>
      <c r="M3445" s="20"/>
      <c r="N3445" s="20"/>
      <c r="O3445" s="19"/>
      <c r="P3445" s="10"/>
      <c r="Q3445" s="10"/>
      <c r="R3445" s="10"/>
      <c r="S3445" s="10"/>
      <c r="T3445" s="10"/>
      <c r="U3445" s="10"/>
      <c r="V3445" s="10"/>
      <c r="W3445" s="10"/>
      <c r="X3445" s="10"/>
      <c r="Y3445" s="10"/>
    </row>
    <row r="3446" spans="1:25" x14ac:dyDescent="0.25">
      <c r="A3446" s="9">
        <v>43984</v>
      </c>
      <c r="B3446" s="10">
        <f ca="1">ROUND(_xlfn.NORM.INV(RAND(),Reference!$C$8,0.1*Reference!$C$8)*(1+Reference!$C$11*(IF(MONTH($A3446)=Reference!$C$4,1,0)+IF(MONTH($A3446)=Reference!$C$5,1,0))+(IF(MONTH($A3446)=Reference!$C$6,Reference!$C$13,0))),0)</f>
        <v>495</v>
      </c>
      <c r="C3446" s="11">
        <f ca="1">B3446*Reference!$C$7*(1-IF(MONTH($A3446)=Reference!$C$6,1,0)*Reference!$C$12)</f>
        <v>184140</v>
      </c>
      <c r="D3446" s="10">
        <f ca="1">ROUND(_xlfn.NORM.INV(RAND(),Reference!$D$8,0.1*Reference!$D$8)*(1+Reference!$D$11*(IF(MONTH($A3446)=Reference!$D$4,1,0)+IF(MONTH($A3446)=Reference!$D$5,1,0))+(IF(MONTH($A3446)=Reference!$D$6,Reference!$D$13,0))),0)</f>
        <v>386</v>
      </c>
      <c r="E3446" s="11">
        <f ca="1">D3446*Reference!$D$7*(1-IF(MONTH($A3446)=Reference!$D$6,1,0)*Reference!$D$12)</f>
        <v>289500</v>
      </c>
      <c r="M3446" s="20"/>
      <c r="N3446" s="20"/>
      <c r="O3446" s="19"/>
      <c r="P3446" s="10"/>
      <c r="Q3446" s="10"/>
      <c r="R3446" s="10"/>
      <c r="S3446" s="10"/>
      <c r="T3446" s="10"/>
      <c r="U3446" s="10"/>
      <c r="V3446" s="10"/>
      <c r="W3446" s="10"/>
      <c r="X3446" s="10"/>
      <c r="Y3446" s="10"/>
    </row>
    <row r="3447" spans="1:25" x14ac:dyDescent="0.25">
      <c r="A3447" s="9">
        <v>43985</v>
      </c>
      <c r="B3447" s="10">
        <f ca="1">ROUND(_xlfn.NORM.INV(RAND(),Reference!$C$8,0.1*Reference!$C$8)*(1+Reference!$C$11*(IF(MONTH($A3447)=Reference!$C$4,1,0)+IF(MONTH($A3447)=Reference!$C$5,1,0))+(IF(MONTH($A3447)=Reference!$C$6,Reference!$C$13,0))),0)</f>
        <v>551</v>
      </c>
      <c r="C3447" s="11">
        <f ca="1">B3447*Reference!$C$7*(1-IF(MONTH($A3447)=Reference!$C$6,1,0)*Reference!$C$12)</f>
        <v>204972</v>
      </c>
      <c r="D3447" s="10">
        <f ca="1">ROUND(_xlfn.NORM.INV(RAND(),Reference!$D$8,0.1*Reference!$D$8)*(1+Reference!$D$11*(IF(MONTH($A3447)=Reference!$D$4,1,0)+IF(MONTH($A3447)=Reference!$D$5,1,0))+(IF(MONTH($A3447)=Reference!$D$6,Reference!$D$13,0))),0)</f>
        <v>446</v>
      </c>
      <c r="E3447" s="11">
        <f ca="1">D3447*Reference!$D$7*(1-IF(MONTH($A3447)=Reference!$D$6,1,0)*Reference!$D$12)</f>
        <v>334500</v>
      </c>
      <c r="M3447" s="20"/>
      <c r="N3447" s="20"/>
      <c r="O3447" s="19"/>
      <c r="P3447" s="10"/>
      <c r="Q3447" s="10"/>
      <c r="R3447" s="10"/>
      <c r="S3447" s="10"/>
      <c r="T3447" s="10"/>
      <c r="U3447" s="10"/>
      <c r="V3447" s="10"/>
      <c r="W3447" s="10"/>
      <c r="X3447" s="10"/>
      <c r="Y3447" s="10"/>
    </row>
    <row r="3448" spans="1:25" x14ac:dyDescent="0.25">
      <c r="A3448" s="9">
        <v>43986</v>
      </c>
      <c r="B3448" s="10">
        <f ca="1">ROUND(_xlfn.NORM.INV(RAND(),Reference!$C$8,0.1*Reference!$C$8)*(1+Reference!$C$11*(IF(MONTH($A3448)=Reference!$C$4,1,0)+IF(MONTH($A3448)=Reference!$C$5,1,0))+(IF(MONTH($A3448)=Reference!$C$6,Reference!$C$13,0))),0)</f>
        <v>518</v>
      </c>
      <c r="C3448" s="11">
        <f ca="1">B3448*Reference!$C$7*(1-IF(MONTH($A3448)=Reference!$C$6,1,0)*Reference!$C$12)</f>
        <v>192696</v>
      </c>
      <c r="D3448" s="10">
        <f ca="1">ROUND(_xlfn.NORM.INV(RAND(),Reference!$D$8,0.1*Reference!$D$8)*(1+Reference!$D$11*(IF(MONTH($A3448)=Reference!$D$4,1,0)+IF(MONTH($A3448)=Reference!$D$5,1,0))+(IF(MONTH($A3448)=Reference!$D$6,Reference!$D$13,0))),0)</f>
        <v>478</v>
      </c>
      <c r="E3448" s="11">
        <f ca="1">D3448*Reference!$D$7*(1-IF(MONTH($A3448)=Reference!$D$6,1,0)*Reference!$D$12)</f>
        <v>358500</v>
      </c>
      <c r="M3448" s="20"/>
      <c r="N3448" s="20"/>
      <c r="O3448" s="19"/>
      <c r="P3448" s="10"/>
      <c r="Q3448" s="10"/>
      <c r="R3448" s="10"/>
      <c r="S3448" s="10"/>
      <c r="T3448" s="10"/>
      <c r="U3448" s="10"/>
      <c r="V3448" s="10"/>
      <c r="W3448" s="10"/>
      <c r="X3448" s="10"/>
      <c r="Y3448" s="10"/>
    </row>
    <row r="3449" spans="1:25" x14ac:dyDescent="0.25">
      <c r="A3449" s="9">
        <v>43987</v>
      </c>
      <c r="B3449" s="10">
        <f ca="1">ROUND(_xlfn.NORM.INV(RAND(),Reference!$C$8,0.1*Reference!$C$8)*(1+Reference!$C$11*(IF(MONTH($A3449)=Reference!$C$4,1,0)+IF(MONTH($A3449)=Reference!$C$5,1,0))+(IF(MONTH($A3449)=Reference!$C$6,Reference!$C$13,0))),0)</f>
        <v>429</v>
      </c>
      <c r="C3449" s="11">
        <f ca="1">B3449*Reference!$C$7*(1-IF(MONTH($A3449)=Reference!$C$6,1,0)*Reference!$C$12)</f>
        <v>159588</v>
      </c>
      <c r="D3449" s="10">
        <f ca="1">ROUND(_xlfn.NORM.INV(RAND(),Reference!$D$8,0.1*Reference!$D$8)*(1+Reference!$D$11*(IF(MONTH($A3449)=Reference!$D$4,1,0)+IF(MONTH($A3449)=Reference!$D$5,1,0))+(IF(MONTH($A3449)=Reference!$D$6,Reference!$D$13,0))),0)</f>
        <v>432</v>
      </c>
      <c r="E3449" s="11">
        <f ca="1">D3449*Reference!$D$7*(1-IF(MONTH($A3449)=Reference!$D$6,1,0)*Reference!$D$12)</f>
        <v>324000</v>
      </c>
      <c r="M3449" s="20"/>
      <c r="N3449" s="20"/>
      <c r="O3449" s="19"/>
      <c r="P3449" s="10"/>
      <c r="Q3449" s="10"/>
      <c r="R3449" s="10"/>
      <c r="S3449" s="10"/>
      <c r="T3449" s="10"/>
      <c r="U3449" s="10"/>
      <c r="V3449" s="10"/>
      <c r="W3449" s="10"/>
      <c r="X3449" s="10"/>
      <c r="Y3449" s="10"/>
    </row>
    <row r="3450" spans="1:25" x14ac:dyDescent="0.25">
      <c r="A3450" s="9">
        <v>43988</v>
      </c>
      <c r="B3450" s="10">
        <f ca="1">ROUND(_xlfn.NORM.INV(RAND(),Reference!$C$8,0.1*Reference!$C$8)*(1+Reference!$C$11*(IF(MONTH($A3450)=Reference!$C$4,1,0)+IF(MONTH($A3450)=Reference!$C$5,1,0))+(IF(MONTH($A3450)=Reference!$C$6,Reference!$C$13,0))),0)</f>
        <v>501</v>
      </c>
      <c r="C3450" s="11">
        <f ca="1">B3450*Reference!$C$7*(1-IF(MONTH($A3450)=Reference!$C$6,1,0)*Reference!$C$12)</f>
        <v>186372</v>
      </c>
      <c r="D3450" s="10">
        <f ca="1">ROUND(_xlfn.NORM.INV(RAND(),Reference!$D$8,0.1*Reference!$D$8)*(1+Reference!$D$11*(IF(MONTH($A3450)=Reference!$D$4,1,0)+IF(MONTH($A3450)=Reference!$D$5,1,0))+(IF(MONTH($A3450)=Reference!$D$6,Reference!$D$13,0))),0)</f>
        <v>434</v>
      </c>
      <c r="E3450" s="11">
        <f ca="1">D3450*Reference!$D$7*(1-IF(MONTH($A3450)=Reference!$D$6,1,0)*Reference!$D$12)</f>
        <v>325500</v>
      </c>
      <c r="M3450" s="20"/>
      <c r="N3450" s="20"/>
      <c r="O3450" s="19"/>
      <c r="P3450" s="10"/>
      <c r="Q3450" s="10"/>
      <c r="R3450" s="10"/>
      <c r="S3450" s="10"/>
      <c r="T3450" s="10"/>
      <c r="U3450" s="10"/>
      <c r="V3450" s="10"/>
      <c r="W3450" s="10"/>
      <c r="X3450" s="10"/>
      <c r="Y3450" s="10"/>
    </row>
    <row r="3451" spans="1:25" x14ac:dyDescent="0.25">
      <c r="A3451" s="9">
        <v>43989</v>
      </c>
      <c r="B3451" s="10">
        <f ca="1">ROUND(_xlfn.NORM.INV(RAND(),Reference!$C$8,0.1*Reference!$C$8)*(1+Reference!$C$11*(IF(MONTH($A3451)=Reference!$C$4,1,0)+IF(MONTH($A3451)=Reference!$C$5,1,0))+(IF(MONTH($A3451)=Reference!$C$6,Reference!$C$13,0))),0)</f>
        <v>468</v>
      </c>
      <c r="C3451" s="11">
        <f ca="1">B3451*Reference!$C$7*(1-IF(MONTH($A3451)=Reference!$C$6,1,0)*Reference!$C$12)</f>
        <v>174096</v>
      </c>
      <c r="D3451" s="10">
        <f ca="1">ROUND(_xlfn.NORM.INV(RAND(),Reference!$D$8,0.1*Reference!$D$8)*(1+Reference!$D$11*(IF(MONTH($A3451)=Reference!$D$4,1,0)+IF(MONTH($A3451)=Reference!$D$5,1,0))+(IF(MONTH($A3451)=Reference!$D$6,Reference!$D$13,0))),0)</f>
        <v>546</v>
      </c>
      <c r="E3451" s="11">
        <f ca="1">D3451*Reference!$D$7*(1-IF(MONTH($A3451)=Reference!$D$6,1,0)*Reference!$D$12)</f>
        <v>409500</v>
      </c>
      <c r="M3451" s="20"/>
      <c r="N3451" s="20"/>
      <c r="O3451" s="19"/>
      <c r="P3451" s="10"/>
      <c r="Q3451" s="10"/>
      <c r="R3451" s="10"/>
      <c r="S3451" s="10"/>
      <c r="T3451" s="10"/>
      <c r="U3451" s="10"/>
      <c r="V3451" s="10"/>
      <c r="W3451" s="10"/>
      <c r="X3451" s="10"/>
      <c r="Y3451" s="10"/>
    </row>
    <row r="3452" spans="1:25" x14ac:dyDescent="0.25">
      <c r="A3452" s="9">
        <v>43990</v>
      </c>
      <c r="B3452" s="10">
        <f ca="1">ROUND(_xlfn.NORM.INV(RAND(),Reference!$C$8,0.1*Reference!$C$8)*(1+Reference!$C$11*(IF(MONTH($A3452)=Reference!$C$4,1,0)+IF(MONTH($A3452)=Reference!$C$5,1,0))+(IF(MONTH($A3452)=Reference!$C$6,Reference!$C$13,0))),0)</f>
        <v>407</v>
      </c>
      <c r="C3452" s="11">
        <f ca="1">B3452*Reference!$C$7*(1-IF(MONTH($A3452)=Reference!$C$6,1,0)*Reference!$C$12)</f>
        <v>151404</v>
      </c>
      <c r="D3452" s="10">
        <f ca="1">ROUND(_xlfn.NORM.INV(RAND(),Reference!$D$8,0.1*Reference!$D$8)*(1+Reference!$D$11*(IF(MONTH($A3452)=Reference!$D$4,1,0)+IF(MONTH($A3452)=Reference!$D$5,1,0))+(IF(MONTH($A3452)=Reference!$D$6,Reference!$D$13,0))),0)</f>
        <v>401</v>
      </c>
      <c r="E3452" s="11">
        <f ca="1">D3452*Reference!$D$7*(1-IF(MONTH($A3452)=Reference!$D$6,1,0)*Reference!$D$12)</f>
        <v>300750</v>
      </c>
      <c r="M3452" s="20"/>
      <c r="N3452" s="20"/>
      <c r="O3452" s="19"/>
      <c r="P3452" s="10"/>
      <c r="Q3452" s="10"/>
      <c r="R3452" s="10"/>
      <c r="S3452" s="10"/>
      <c r="T3452" s="10"/>
      <c r="U3452" s="10"/>
      <c r="V3452" s="10"/>
      <c r="W3452" s="10"/>
      <c r="X3452" s="10"/>
      <c r="Y3452" s="10"/>
    </row>
    <row r="3453" spans="1:25" x14ac:dyDescent="0.25">
      <c r="A3453" s="9">
        <v>43991</v>
      </c>
      <c r="B3453" s="10">
        <f ca="1">ROUND(_xlfn.NORM.INV(RAND(),Reference!$C$8,0.1*Reference!$C$8)*(1+Reference!$C$11*(IF(MONTH($A3453)=Reference!$C$4,1,0)+IF(MONTH($A3453)=Reference!$C$5,1,0))+(IF(MONTH($A3453)=Reference!$C$6,Reference!$C$13,0))),0)</f>
        <v>422</v>
      </c>
      <c r="C3453" s="11">
        <f ca="1">B3453*Reference!$C$7*(1-IF(MONTH($A3453)=Reference!$C$6,1,0)*Reference!$C$12)</f>
        <v>156984</v>
      </c>
      <c r="D3453" s="10">
        <f ca="1">ROUND(_xlfn.NORM.INV(RAND(),Reference!$D$8,0.1*Reference!$D$8)*(1+Reference!$D$11*(IF(MONTH($A3453)=Reference!$D$4,1,0)+IF(MONTH($A3453)=Reference!$D$5,1,0))+(IF(MONTH($A3453)=Reference!$D$6,Reference!$D$13,0))),0)</f>
        <v>443</v>
      </c>
      <c r="E3453" s="11">
        <f ca="1">D3453*Reference!$D$7*(1-IF(MONTH($A3453)=Reference!$D$6,1,0)*Reference!$D$12)</f>
        <v>332250</v>
      </c>
      <c r="M3453" s="20"/>
      <c r="N3453" s="20"/>
      <c r="O3453" s="19"/>
      <c r="P3453" s="10"/>
      <c r="Q3453" s="10"/>
      <c r="R3453" s="10"/>
      <c r="S3453" s="10"/>
      <c r="T3453" s="10"/>
      <c r="U3453" s="10"/>
      <c r="V3453" s="10"/>
      <c r="W3453" s="10"/>
      <c r="X3453" s="10"/>
      <c r="Y3453" s="10"/>
    </row>
    <row r="3454" spans="1:25" x14ac:dyDescent="0.25">
      <c r="A3454" s="9">
        <v>43992</v>
      </c>
      <c r="B3454" s="10">
        <f ca="1">ROUND(_xlfn.NORM.INV(RAND(),Reference!$C$8,0.1*Reference!$C$8)*(1+Reference!$C$11*(IF(MONTH($A3454)=Reference!$C$4,1,0)+IF(MONTH($A3454)=Reference!$C$5,1,0))+(IF(MONTH($A3454)=Reference!$C$6,Reference!$C$13,0))),0)</f>
        <v>496</v>
      </c>
      <c r="C3454" s="11">
        <f ca="1">B3454*Reference!$C$7*(1-IF(MONTH($A3454)=Reference!$C$6,1,0)*Reference!$C$12)</f>
        <v>184512</v>
      </c>
      <c r="D3454" s="10">
        <f ca="1">ROUND(_xlfn.NORM.INV(RAND(),Reference!$D$8,0.1*Reference!$D$8)*(1+Reference!$D$11*(IF(MONTH($A3454)=Reference!$D$4,1,0)+IF(MONTH($A3454)=Reference!$D$5,1,0))+(IF(MONTH($A3454)=Reference!$D$6,Reference!$D$13,0))),0)</f>
        <v>430</v>
      </c>
      <c r="E3454" s="11">
        <f ca="1">D3454*Reference!$D$7*(1-IF(MONTH($A3454)=Reference!$D$6,1,0)*Reference!$D$12)</f>
        <v>322500</v>
      </c>
      <c r="M3454" s="20"/>
      <c r="N3454" s="20"/>
      <c r="O3454" s="19"/>
      <c r="P3454" s="10"/>
      <c r="Q3454" s="10"/>
      <c r="R3454" s="10"/>
      <c r="S3454" s="10"/>
      <c r="T3454" s="10"/>
      <c r="U3454" s="10"/>
      <c r="V3454" s="10"/>
      <c r="W3454" s="10"/>
      <c r="X3454" s="10"/>
      <c r="Y3454" s="10"/>
    </row>
    <row r="3455" spans="1:25" x14ac:dyDescent="0.25">
      <c r="A3455" s="9">
        <v>43993</v>
      </c>
      <c r="B3455" s="10">
        <f ca="1">ROUND(_xlfn.NORM.INV(RAND(),Reference!$C$8,0.1*Reference!$C$8)*(1+Reference!$C$11*(IF(MONTH($A3455)=Reference!$C$4,1,0)+IF(MONTH($A3455)=Reference!$C$5,1,0))+(IF(MONTH($A3455)=Reference!$C$6,Reference!$C$13,0))),0)</f>
        <v>482</v>
      </c>
      <c r="C3455" s="11">
        <f ca="1">B3455*Reference!$C$7*(1-IF(MONTH($A3455)=Reference!$C$6,1,0)*Reference!$C$12)</f>
        <v>179304</v>
      </c>
      <c r="D3455" s="10">
        <f ca="1">ROUND(_xlfn.NORM.INV(RAND(),Reference!$D$8,0.1*Reference!$D$8)*(1+Reference!$D$11*(IF(MONTH($A3455)=Reference!$D$4,1,0)+IF(MONTH($A3455)=Reference!$D$5,1,0))+(IF(MONTH($A3455)=Reference!$D$6,Reference!$D$13,0))),0)</f>
        <v>483</v>
      </c>
      <c r="E3455" s="11">
        <f ca="1">D3455*Reference!$D$7*(1-IF(MONTH($A3455)=Reference!$D$6,1,0)*Reference!$D$12)</f>
        <v>362250</v>
      </c>
      <c r="M3455" s="20"/>
      <c r="N3455" s="20"/>
      <c r="O3455" s="19"/>
      <c r="P3455" s="10"/>
      <c r="Q3455" s="10"/>
      <c r="R3455" s="10"/>
      <c r="S3455" s="10"/>
      <c r="T3455" s="10"/>
      <c r="U3455" s="10"/>
      <c r="V3455" s="10"/>
      <c r="W3455" s="10"/>
      <c r="X3455" s="10"/>
      <c r="Y3455" s="10"/>
    </row>
    <row r="3456" spans="1:25" x14ac:dyDescent="0.25">
      <c r="A3456" s="9">
        <v>43994</v>
      </c>
      <c r="B3456" s="10">
        <f ca="1">ROUND(_xlfn.NORM.INV(RAND(),Reference!$C$8,0.1*Reference!$C$8)*(1+Reference!$C$11*(IF(MONTH($A3456)=Reference!$C$4,1,0)+IF(MONTH($A3456)=Reference!$C$5,1,0))+(IF(MONTH($A3456)=Reference!$C$6,Reference!$C$13,0))),0)</f>
        <v>437</v>
      </c>
      <c r="C3456" s="11">
        <f ca="1">B3456*Reference!$C$7*(1-IF(MONTH($A3456)=Reference!$C$6,1,0)*Reference!$C$12)</f>
        <v>162564</v>
      </c>
      <c r="D3456" s="10">
        <f ca="1">ROUND(_xlfn.NORM.INV(RAND(),Reference!$D$8,0.1*Reference!$D$8)*(1+Reference!$D$11*(IF(MONTH($A3456)=Reference!$D$4,1,0)+IF(MONTH($A3456)=Reference!$D$5,1,0))+(IF(MONTH($A3456)=Reference!$D$6,Reference!$D$13,0))),0)</f>
        <v>516</v>
      </c>
      <c r="E3456" s="11">
        <f ca="1">D3456*Reference!$D$7*(1-IF(MONTH($A3456)=Reference!$D$6,1,0)*Reference!$D$12)</f>
        <v>387000</v>
      </c>
      <c r="M3456" s="20"/>
      <c r="N3456" s="20"/>
      <c r="O3456" s="19"/>
      <c r="P3456" s="10"/>
      <c r="Q3456" s="10"/>
      <c r="R3456" s="10"/>
      <c r="S3456" s="10"/>
      <c r="T3456" s="10"/>
      <c r="U3456" s="10"/>
      <c r="V3456" s="10"/>
      <c r="W3456" s="10"/>
      <c r="X3456" s="10"/>
      <c r="Y3456" s="10"/>
    </row>
    <row r="3457" spans="1:25" x14ac:dyDescent="0.25">
      <c r="A3457" s="9">
        <v>43995</v>
      </c>
      <c r="B3457" s="10">
        <f ca="1">ROUND(_xlfn.NORM.INV(RAND(),Reference!$C$8,0.1*Reference!$C$8)*(1+Reference!$C$11*(IF(MONTH($A3457)=Reference!$C$4,1,0)+IF(MONTH($A3457)=Reference!$C$5,1,0))+(IF(MONTH($A3457)=Reference!$C$6,Reference!$C$13,0))),0)</f>
        <v>474</v>
      </c>
      <c r="C3457" s="11">
        <f ca="1">B3457*Reference!$C$7*(1-IF(MONTH($A3457)=Reference!$C$6,1,0)*Reference!$C$12)</f>
        <v>176328</v>
      </c>
      <c r="D3457" s="10">
        <f ca="1">ROUND(_xlfn.NORM.INV(RAND(),Reference!$D$8,0.1*Reference!$D$8)*(1+Reference!$D$11*(IF(MONTH($A3457)=Reference!$D$4,1,0)+IF(MONTH($A3457)=Reference!$D$5,1,0))+(IF(MONTH($A3457)=Reference!$D$6,Reference!$D$13,0))),0)</f>
        <v>454</v>
      </c>
      <c r="E3457" s="11">
        <f ca="1">D3457*Reference!$D$7*(1-IF(MONTH($A3457)=Reference!$D$6,1,0)*Reference!$D$12)</f>
        <v>340500</v>
      </c>
      <c r="M3457" s="20"/>
      <c r="N3457" s="20"/>
      <c r="O3457" s="19"/>
      <c r="P3457" s="10"/>
      <c r="Q3457" s="10"/>
      <c r="R3457" s="10"/>
      <c r="S3457" s="10"/>
      <c r="T3457" s="10"/>
      <c r="U3457" s="10"/>
      <c r="V3457" s="10"/>
      <c r="W3457" s="10"/>
      <c r="X3457" s="10"/>
      <c r="Y3457" s="10"/>
    </row>
    <row r="3458" spans="1:25" x14ac:dyDescent="0.25">
      <c r="A3458" s="9">
        <v>43996</v>
      </c>
      <c r="B3458" s="10">
        <f ca="1">ROUND(_xlfn.NORM.INV(RAND(),Reference!$C$8,0.1*Reference!$C$8)*(1+Reference!$C$11*(IF(MONTH($A3458)=Reference!$C$4,1,0)+IF(MONTH($A3458)=Reference!$C$5,1,0))+(IF(MONTH($A3458)=Reference!$C$6,Reference!$C$13,0))),0)</f>
        <v>443</v>
      </c>
      <c r="C3458" s="11">
        <f ca="1">B3458*Reference!$C$7*(1-IF(MONTH($A3458)=Reference!$C$6,1,0)*Reference!$C$12)</f>
        <v>164796</v>
      </c>
      <c r="D3458" s="10">
        <f ca="1">ROUND(_xlfn.NORM.INV(RAND(),Reference!$D$8,0.1*Reference!$D$8)*(1+Reference!$D$11*(IF(MONTH($A3458)=Reference!$D$4,1,0)+IF(MONTH($A3458)=Reference!$D$5,1,0))+(IF(MONTH($A3458)=Reference!$D$6,Reference!$D$13,0))),0)</f>
        <v>511</v>
      </c>
      <c r="E3458" s="11">
        <f ca="1">D3458*Reference!$D$7*(1-IF(MONTH($A3458)=Reference!$D$6,1,0)*Reference!$D$12)</f>
        <v>383250</v>
      </c>
      <c r="M3458" s="20"/>
      <c r="N3458" s="20"/>
      <c r="O3458" s="19"/>
      <c r="P3458" s="10"/>
      <c r="Q3458" s="10"/>
      <c r="R3458" s="10"/>
      <c r="S3458" s="10"/>
      <c r="T3458" s="10"/>
      <c r="U3458" s="10"/>
      <c r="V3458" s="10"/>
      <c r="W3458" s="10"/>
      <c r="X3458" s="10"/>
      <c r="Y3458" s="10"/>
    </row>
    <row r="3459" spans="1:25" x14ac:dyDescent="0.25">
      <c r="A3459" s="9">
        <v>43997</v>
      </c>
      <c r="B3459" s="10">
        <f ca="1">ROUND(_xlfn.NORM.INV(RAND(),Reference!$C$8,0.1*Reference!$C$8)*(1+Reference!$C$11*(IF(MONTH($A3459)=Reference!$C$4,1,0)+IF(MONTH($A3459)=Reference!$C$5,1,0))+(IF(MONTH($A3459)=Reference!$C$6,Reference!$C$13,0))),0)</f>
        <v>471</v>
      </c>
      <c r="C3459" s="11">
        <f ca="1">B3459*Reference!$C$7*(1-IF(MONTH($A3459)=Reference!$C$6,1,0)*Reference!$C$12)</f>
        <v>175212</v>
      </c>
      <c r="D3459" s="10">
        <f ca="1">ROUND(_xlfn.NORM.INV(RAND(),Reference!$D$8,0.1*Reference!$D$8)*(1+Reference!$D$11*(IF(MONTH($A3459)=Reference!$D$4,1,0)+IF(MONTH($A3459)=Reference!$D$5,1,0))+(IF(MONTH($A3459)=Reference!$D$6,Reference!$D$13,0))),0)</f>
        <v>396</v>
      </c>
      <c r="E3459" s="11">
        <f ca="1">D3459*Reference!$D$7*(1-IF(MONTH($A3459)=Reference!$D$6,1,0)*Reference!$D$12)</f>
        <v>297000</v>
      </c>
      <c r="M3459" s="20"/>
      <c r="N3459" s="20"/>
      <c r="O3459" s="19"/>
      <c r="P3459" s="10"/>
      <c r="Q3459" s="10"/>
      <c r="R3459" s="10"/>
      <c r="S3459" s="10"/>
      <c r="T3459" s="10"/>
      <c r="U3459" s="10"/>
      <c r="V3459" s="10"/>
      <c r="W3459" s="10"/>
      <c r="X3459" s="10"/>
      <c r="Y3459" s="10"/>
    </row>
    <row r="3460" spans="1:25" x14ac:dyDescent="0.25">
      <c r="A3460" s="9">
        <v>43998</v>
      </c>
      <c r="B3460" s="10">
        <f ca="1">ROUND(_xlfn.NORM.INV(RAND(),Reference!$C$8,0.1*Reference!$C$8)*(1+Reference!$C$11*(IF(MONTH($A3460)=Reference!$C$4,1,0)+IF(MONTH($A3460)=Reference!$C$5,1,0))+(IF(MONTH($A3460)=Reference!$C$6,Reference!$C$13,0))),0)</f>
        <v>504</v>
      </c>
      <c r="C3460" s="11">
        <f ca="1">B3460*Reference!$C$7*(1-IF(MONTH($A3460)=Reference!$C$6,1,0)*Reference!$C$12)</f>
        <v>187488</v>
      </c>
      <c r="D3460" s="10">
        <f ca="1">ROUND(_xlfn.NORM.INV(RAND(),Reference!$D$8,0.1*Reference!$D$8)*(1+Reference!$D$11*(IF(MONTH($A3460)=Reference!$D$4,1,0)+IF(MONTH($A3460)=Reference!$D$5,1,0))+(IF(MONTH($A3460)=Reference!$D$6,Reference!$D$13,0))),0)</f>
        <v>485</v>
      </c>
      <c r="E3460" s="11">
        <f ca="1">D3460*Reference!$D$7*(1-IF(MONTH($A3460)=Reference!$D$6,1,0)*Reference!$D$12)</f>
        <v>363750</v>
      </c>
      <c r="M3460" s="20"/>
      <c r="N3460" s="20"/>
      <c r="O3460" s="19"/>
      <c r="P3460" s="10"/>
      <c r="Q3460" s="10"/>
      <c r="R3460" s="10"/>
      <c r="S3460" s="10"/>
      <c r="T3460" s="10"/>
      <c r="U3460" s="10"/>
      <c r="V3460" s="10"/>
      <c r="W3460" s="10"/>
      <c r="X3460" s="10"/>
      <c r="Y3460" s="10"/>
    </row>
    <row r="3461" spans="1:25" x14ac:dyDescent="0.25">
      <c r="A3461" s="9">
        <v>43999</v>
      </c>
      <c r="B3461" s="10">
        <f ca="1">ROUND(_xlfn.NORM.INV(RAND(),Reference!$C$8,0.1*Reference!$C$8)*(1+Reference!$C$11*(IF(MONTH($A3461)=Reference!$C$4,1,0)+IF(MONTH($A3461)=Reference!$C$5,1,0))+(IF(MONTH($A3461)=Reference!$C$6,Reference!$C$13,0))),0)</f>
        <v>413</v>
      </c>
      <c r="C3461" s="11">
        <f ca="1">B3461*Reference!$C$7*(1-IF(MONTH($A3461)=Reference!$C$6,1,0)*Reference!$C$12)</f>
        <v>153636</v>
      </c>
      <c r="D3461" s="10">
        <f ca="1">ROUND(_xlfn.NORM.INV(RAND(),Reference!$D$8,0.1*Reference!$D$8)*(1+Reference!$D$11*(IF(MONTH($A3461)=Reference!$D$4,1,0)+IF(MONTH($A3461)=Reference!$D$5,1,0))+(IF(MONTH($A3461)=Reference!$D$6,Reference!$D$13,0))),0)</f>
        <v>417</v>
      </c>
      <c r="E3461" s="11">
        <f ca="1">D3461*Reference!$D$7*(1-IF(MONTH($A3461)=Reference!$D$6,1,0)*Reference!$D$12)</f>
        <v>312750</v>
      </c>
      <c r="M3461" s="20"/>
      <c r="N3461" s="20"/>
      <c r="O3461" s="19"/>
      <c r="P3461" s="10"/>
      <c r="Q3461" s="10"/>
      <c r="R3461" s="10"/>
      <c r="S3461" s="10"/>
      <c r="T3461" s="10"/>
      <c r="U3461" s="10"/>
      <c r="V3461" s="10"/>
      <c r="W3461" s="10"/>
      <c r="X3461" s="10"/>
      <c r="Y3461" s="10"/>
    </row>
    <row r="3462" spans="1:25" x14ac:dyDescent="0.25">
      <c r="A3462" s="9">
        <v>44000</v>
      </c>
      <c r="B3462" s="10">
        <f ca="1">ROUND(_xlfn.NORM.INV(RAND(),Reference!$C$8,0.1*Reference!$C$8)*(1+Reference!$C$11*(IF(MONTH($A3462)=Reference!$C$4,1,0)+IF(MONTH($A3462)=Reference!$C$5,1,0))+(IF(MONTH($A3462)=Reference!$C$6,Reference!$C$13,0))),0)</f>
        <v>457</v>
      </c>
      <c r="C3462" s="11">
        <f ca="1">B3462*Reference!$C$7*(1-IF(MONTH($A3462)=Reference!$C$6,1,0)*Reference!$C$12)</f>
        <v>170004</v>
      </c>
      <c r="D3462" s="10">
        <f ca="1">ROUND(_xlfn.NORM.INV(RAND(),Reference!$D$8,0.1*Reference!$D$8)*(1+Reference!$D$11*(IF(MONTH($A3462)=Reference!$D$4,1,0)+IF(MONTH($A3462)=Reference!$D$5,1,0))+(IF(MONTH($A3462)=Reference!$D$6,Reference!$D$13,0))),0)</f>
        <v>364</v>
      </c>
      <c r="E3462" s="11">
        <f ca="1">D3462*Reference!$D$7*(1-IF(MONTH($A3462)=Reference!$D$6,1,0)*Reference!$D$12)</f>
        <v>273000</v>
      </c>
      <c r="M3462" s="20"/>
      <c r="N3462" s="20"/>
      <c r="O3462" s="19"/>
      <c r="P3462" s="10"/>
      <c r="Q3462" s="10"/>
      <c r="R3462" s="10"/>
      <c r="S3462" s="10"/>
      <c r="T3462" s="10"/>
      <c r="U3462" s="10"/>
      <c r="V3462" s="10"/>
      <c r="W3462" s="10"/>
      <c r="X3462" s="10"/>
      <c r="Y3462" s="10"/>
    </row>
    <row r="3463" spans="1:25" x14ac:dyDescent="0.25">
      <c r="A3463" s="9">
        <v>44001</v>
      </c>
      <c r="B3463" s="10">
        <f ca="1">ROUND(_xlfn.NORM.INV(RAND(),Reference!$C$8,0.1*Reference!$C$8)*(1+Reference!$C$11*(IF(MONTH($A3463)=Reference!$C$4,1,0)+IF(MONTH($A3463)=Reference!$C$5,1,0))+(IF(MONTH($A3463)=Reference!$C$6,Reference!$C$13,0))),0)</f>
        <v>487</v>
      </c>
      <c r="C3463" s="11">
        <f ca="1">B3463*Reference!$C$7*(1-IF(MONTH($A3463)=Reference!$C$6,1,0)*Reference!$C$12)</f>
        <v>181164</v>
      </c>
      <c r="D3463" s="10">
        <f ca="1">ROUND(_xlfn.NORM.INV(RAND(),Reference!$D$8,0.1*Reference!$D$8)*(1+Reference!$D$11*(IF(MONTH($A3463)=Reference!$D$4,1,0)+IF(MONTH($A3463)=Reference!$D$5,1,0))+(IF(MONTH($A3463)=Reference!$D$6,Reference!$D$13,0))),0)</f>
        <v>454</v>
      </c>
      <c r="E3463" s="11">
        <f ca="1">D3463*Reference!$D$7*(1-IF(MONTH($A3463)=Reference!$D$6,1,0)*Reference!$D$12)</f>
        <v>340500</v>
      </c>
      <c r="M3463" s="20"/>
      <c r="N3463" s="20"/>
      <c r="O3463" s="19"/>
      <c r="P3463" s="10"/>
      <c r="Q3463" s="10"/>
      <c r="R3463" s="10"/>
      <c r="S3463" s="10"/>
      <c r="T3463" s="10"/>
      <c r="U3463" s="10"/>
      <c r="V3463" s="10"/>
      <c r="W3463" s="10"/>
      <c r="X3463" s="10"/>
      <c r="Y3463" s="10"/>
    </row>
    <row r="3464" spans="1:25" x14ac:dyDescent="0.25">
      <c r="A3464" s="9">
        <v>44002</v>
      </c>
      <c r="B3464" s="10">
        <f ca="1">ROUND(_xlfn.NORM.INV(RAND(),Reference!$C$8,0.1*Reference!$C$8)*(1+Reference!$C$11*(IF(MONTH($A3464)=Reference!$C$4,1,0)+IF(MONTH($A3464)=Reference!$C$5,1,0))+(IF(MONTH($A3464)=Reference!$C$6,Reference!$C$13,0))),0)</f>
        <v>478</v>
      </c>
      <c r="C3464" s="11">
        <f ca="1">B3464*Reference!$C$7*(1-IF(MONTH($A3464)=Reference!$C$6,1,0)*Reference!$C$12)</f>
        <v>177816</v>
      </c>
      <c r="D3464" s="10">
        <f ca="1">ROUND(_xlfn.NORM.INV(RAND(),Reference!$D$8,0.1*Reference!$D$8)*(1+Reference!$D$11*(IF(MONTH($A3464)=Reference!$D$4,1,0)+IF(MONTH($A3464)=Reference!$D$5,1,0))+(IF(MONTH($A3464)=Reference!$D$6,Reference!$D$13,0))),0)</f>
        <v>420</v>
      </c>
      <c r="E3464" s="11">
        <f ca="1">D3464*Reference!$D$7*(1-IF(MONTH($A3464)=Reference!$D$6,1,0)*Reference!$D$12)</f>
        <v>315000</v>
      </c>
      <c r="M3464" s="20"/>
      <c r="N3464" s="20"/>
      <c r="O3464" s="19"/>
      <c r="P3464" s="10"/>
      <c r="Q3464" s="10"/>
      <c r="R3464" s="10"/>
      <c r="S3464" s="10"/>
      <c r="T3464" s="10"/>
      <c r="U3464" s="10"/>
      <c r="V3464" s="10"/>
      <c r="W3464" s="10"/>
      <c r="X3464" s="10"/>
      <c r="Y3464" s="10"/>
    </row>
    <row r="3465" spans="1:25" x14ac:dyDescent="0.25">
      <c r="A3465" s="9">
        <v>44003</v>
      </c>
      <c r="B3465" s="10">
        <f ca="1">ROUND(_xlfn.NORM.INV(RAND(),Reference!$C$8,0.1*Reference!$C$8)*(1+Reference!$C$11*(IF(MONTH($A3465)=Reference!$C$4,1,0)+IF(MONTH($A3465)=Reference!$C$5,1,0))+(IF(MONTH($A3465)=Reference!$C$6,Reference!$C$13,0))),0)</f>
        <v>436</v>
      </c>
      <c r="C3465" s="11">
        <f ca="1">B3465*Reference!$C$7*(1-IF(MONTH($A3465)=Reference!$C$6,1,0)*Reference!$C$12)</f>
        <v>162192</v>
      </c>
      <c r="D3465" s="10">
        <f ca="1">ROUND(_xlfn.NORM.INV(RAND(),Reference!$D$8,0.1*Reference!$D$8)*(1+Reference!$D$11*(IF(MONTH($A3465)=Reference!$D$4,1,0)+IF(MONTH($A3465)=Reference!$D$5,1,0))+(IF(MONTH($A3465)=Reference!$D$6,Reference!$D$13,0))),0)</f>
        <v>411</v>
      </c>
      <c r="E3465" s="11">
        <f ca="1">D3465*Reference!$D$7*(1-IF(MONTH($A3465)=Reference!$D$6,1,0)*Reference!$D$12)</f>
        <v>308250</v>
      </c>
      <c r="M3465" s="20"/>
      <c r="N3465" s="20"/>
      <c r="O3465" s="19"/>
      <c r="P3465" s="10"/>
      <c r="Q3465" s="10"/>
      <c r="R3465" s="10"/>
      <c r="S3465" s="10"/>
      <c r="T3465" s="10"/>
      <c r="U3465" s="10"/>
      <c r="V3465" s="10"/>
      <c r="W3465" s="10"/>
      <c r="X3465" s="10"/>
      <c r="Y3465" s="10"/>
    </row>
    <row r="3466" spans="1:25" x14ac:dyDescent="0.25">
      <c r="A3466" s="9">
        <v>44004</v>
      </c>
      <c r="B3466" s="10">
        <f ca="1">ROUND(_xlfn.NORM.INV(RAND(),Reference!$C$8,0.1*Reference!$C$8)*(1+Reference!$C$11*(IF(MONTH($A3466)=Reference!$C$4,1,0)+IF(MONTH($A3466)=Reference!$C$5,1,0))+(IF(MONTH($A3466)=Reference!$C$6,Reference!$C$13,0))),0)</f>
        <v>517</v>
      </c>
      <c r="C3466" s="11">
        <f ca="1">B3466*Reference!$C$7*(1-IF(MONTH($A3466)=Reference!$C$6,1,0)*Reference!$C$12)</f>
        <v>192324</v>
      </c>
      <c r="D3466" s="10">
        <f ca="1">ROUND(_xlfn.NORM.INV(RAND(),Reference!$D$8,0.1*Reference!$D$8)*(1+Reference!$D$11*(IF(MONTH($A3466)=Reference!$D$4,1,0)+IF(MONTH($A3466)=Reference!$D$5,1,0))+(IF(MONTH($A3466)=Reference!$D$6,Reference!$D$13,0))),0)</f>
        <v>434</v>
      </c>
      <c r="E3466" s="11">
        <f ca="1">D3466*Reference!$D$7*(1-IF(MONTH($A3466)=Reference!$D$6,1,0)*Reference!$D$12)</f>
        <v>325500</v>
      </c>
      <c r="M3466" s="20"/>
      <c r="N3466" s="20"/>
      <c r="O3466" s="19"/>
      <c r="P3466" s="10"/>
      <c r="Q3466" s="10"/>
      <c r="R3466" s="10"/>
      <c r="S3466" s="10"/>
      <c r="T3466" s="10"/>
      <c r="U3466" s="10"/>
      <c r="V3466" s="10"/>
      <c r="W3466" s="10"/>
      <c r="X3466" s="10"/>
      <c r="Y3466" s="10"/>
    </row>
    <row r="3467" spans="1:25" x14ac:dyDescent="0.25">
      <c r="A3467" s="9">
        <v>44005</v>
      </c>
      <c r="B3467" s="10">
        <f ca="1">ROUND(_xlfn.NORM.INV(RAND(),Reference!$C$8,0.1*Reference!$C$8)*(1+Reference!$C$11*(IF(MONTH($A3467)=Reference!$C$4,1,0)+IF(MONTH($A3467)=Reference!$C$5,1,0))+(IF(MONTH($A3467)=Reference!$C$6,Reference!$C$13,0))),0)</f>
        <v>464</v>
      </c>
      <c r="C3467" s="11">
        <f ca="1">B3467*Reference!$C$7*(1-IF(MONTH($A3467)=Reference!$C$6,1,0)*Reference!$C$12)</f>
        <v>172608</v>
      </c>
      <c r="D3467" s="10">
        <f ca="1">ROUND(_xlfn.NORM.INV(RAND(),Reference!$D$8,0.1*Reference!$D$8)*(1+Reference!$D$11*(IF(MONTH($A3467)=Reference!$D$4,1,0)+IF(MONTH($A3467)=Reference!$D$5,1,0))+(IF(MONTH($A3467)=Reference!$D$6,Reference!$D$13,0))),0)</f>
        <v>377</v>
      </c>
      <c r="E3467" s="11">
        <f ca="1">D3467*Reference!$D$7*(1-IF(MONTH($A3467)=Reference!$D$6,1,0)*Reference!$D$12)</f>
        <v>282750</v>
      </c>
      <c r="M3467" s="20"/>
      <c r="N3467" s="20"/>
      <c r="O3467" s="19"/>
      <c r="P3467" s="10"/>
      <c r="Q3467" s="10"/>
      <c r="R3467" s="10"/>
      <c r="S3467" s="10"/>
      <c r="T3467" s="10"/>
      <c r="U3467" s="10"/>
      <c r="V3467" s="10"/>
      <c r="W3467" s="10"/>
      <c r="X3467" s="10"/>
      <c r="Y3467" s="10"/>
    </row>
    <row r="3468" spans="1:25" x14ac:dyDescent="0.25">
      <c r="A3468" s="9">
        <v>44006</v>
      </c>
      <c r="B3468" s="10">
        <f ca="1">ROUND(_xlfn.NORM.INV(RAND(),Reference!$C$8,0.1*Reference!$C$8)*(1+Reference!$C$11*(IF(MONTH($A3468)=Reference!$C$4,1,0)+IF(MONTH($A3468)=Reference!$C$5,1,0))+(IF(MONTH($A3468)=Reference!$C$6,Reference!$C$13,0))),0)</f>
        <v>458</v>
      </c>
      <c r="C3468" s="11">
        <f ca="1">B3468*Reference!$C$7*(1-IF(MONTH($A3468)=Reference!$C$6,1,0)*Reference!$C$12)</f>
        <v>170376</v>
      </c>
      <c r="D3468" s="10">
        <f ca="1">ROUND(_xlfn.NORM.INV(RAND(),Reference!$D$8,0.1*Reference!$D$8)*(1+Reference!$D$11*(IF(MONTH($A3468)=Reference!$D$4,1,0)+IF(MONTH($A3468)=Reference!$D$5,1,0))+(IF(MONTH($A3468)=Reference!$D$6,Reference!$D$13,0))),0)</f>
        <v>439</v>
      </c>
      <c r="E3468" s="11">
        <f ca="1">D3468*Reference!$D$7*(1-IF(MONTH($A3468)=Reference!$D$6,1,0)*Reference!$D$12)</f>
        <v>329250</v>
      </c>
      <c r="M3468" s="20"/>
      <c r="N3468" s="20"/>
      <c r="O3468" s="19"/>
      <c r="P3468" s="10"/>
      <c r="Q3468" s="10"/>
      <c r="R3468" s="10"/>
      <c r="S3468" s="10"/>
      <c r="T3468" s="10"/>
      <c r="U3468" s="10"/>
      <c r="V3468" s="10"/>
      <c r="W3468" s="10"/>
      <c r="X3468" s="10"/>
      <c r="Y3468" s="10"/>
    </row>
    <row r="3469" spans="1:25" x14ac:dyDescent="0.25">
      <c r="A3469" s="9">
        <v>44007</v>
      </c>
      <c r="B3469" s="10">
        <f ca="1">ROUND(_xlfn.NORM.INV(RAND(),Reference!$C$8,0.1*Reference!$C$8)*(1+Reference!$C$11*(IF(MONTH($A3469)=Reference!$C$4,1,0)+IF(MONTH($A3469)=Reference!$C$5,1,0))+(IF(MONTH($A3469)=Reference!$C$6,Reference!$C$13,0))),0)</f>
        <v>422</v>
      </c>
      <c r="C3469" s="11">
        <f ca="1">B3469*Reference!$C$7*(1-IF(MONTH($A3469)=Reference!$C$6,1,0)*Reference!$C$12)</f>
        <v>156984</v>
      </c>
      <c r="D3469" s="10">
        <f ca="1">ROUND(_xlfn.NORM.INV(RAND(),Reference!$D$8,0.1*Reference!$D$8)*(1+Reference!$D$11*(IF(MONTH($A3469)=Reference!$D$4,1,0)+IF(MONTH($A3469)=Reference!$D$5,1,0))+(IF(MONTH($A3469)=Reference!$D$6,Reference!$D$13,0))),0)</f>
        <v>434</v>
      </c>
      <c r="E3469" s="11">
        <f ca="1">D3469*Reference!$D$7*(1-IF(MONTH($A3469)=Reference!$D$6,1,0)*Reference!$D$12)</f>
        <v>325500</v>
      </c>
      <c r="M3469" s="20"/>
      <c r="N3469" s="20"/>
      <c r="O3469" s="19"/>
      <c r="P3469" s="10"/>
      <c r="Q3469" s="10"/>
      <c r="R3469" s="10"/>
      <c r="S3469" s="10"/>
      <c r="T3469" s="10"/>
      <c r="U3469" s="10"/>
      <c r="V3469" s="10"/>
      <c r="W3469" s="10"/>
      <c r="X3469" s="10"/>
      <c r="Y3469" s="10"/>
    </row>
    <row r="3470" spans="1:25" x14ac:dyDescent="0.25">
      <c r="A3470" s="9">
        <v>44008</v>
      </c>
      <c r="B3470" s="10">
        <f ca="1">ROUND(_xlfn.NORM.INV(RAND(),Reference!$C$8,0.1*Reference!$C$8)*(1+Reference!$C$11*(IF(MONTH($A3470)=Reference!$C$4,1,0)+IF(MONTH($A3470)=Reference!$C$5,1,0))+(IF(MONTH($A3470)=Reference!$C$6,Reference!$C$13,0))),0)</f>
        <v>422</v>
      </c>
      <c r="C3470" s="11">
        <f ca="1">B3470*Reference!$C$7*(1-IF(MONTH($A3470)=Reference!$C$6,1,0)*Reference!$C$12)</f>
        <v>156984</v>
      </c>
      <c r="D3470" s="10">
        <f ca="1">ROUND(_xlfn.NORM.INV(RAND(),Reference!$D$8,0.1*Reference!$D$8)*(1+Reference!$D$11*(IF(MONTH($A3470)=Reference!$D$4,1,0)+IF(MONTH($A3470)=Reference!$D$5,1,0))+(IF(MONTH($A3470)=Reference!$D$6,Reference!$D$13,0))),0)</f>
        <v>424</v>
      </c>
      <c r="E3470" s="11">
        <f ca="1">D3470*Reference!$D$7*(1-IF(MONTH($A3470)=Reference!$D$6,1,0)*Reference!$D$12)</f>
        <v>318000</v>
      </c>
      <c r="M3470" s="20"/>
      <c r="N3470" s="20"/>
      <c r="O3470" s="19"/>
      <c r="P3470" s="10"/>
      <c r="Q3470" s="10"/>
      <c r="R3470" s="10"/>
      <c r="S3470" s="10"/>
      <c r="T3470" s="10"/>
      <c r="U3470" s="10"/>
      <c r="V3470" s="10"/>
      <c r="W3470" s="10"/>
      <c r="X3470" s="10"/>
      <c r="Y3470" s="10"/>
    </row>
    <row r="3471" spans="1:25" x14ac:dyDescent="0.25">
      <c r="A3471" s="9">
        <v>44009</v>
      </c>
      <c r="B3471" s="10">
        <f ca="1">ROUND(_xlfn.NORM.INV(RAND(),Reference!$C$8,0.1*Reference!$C$8)*(1+Reference!$C$11*(IF(MONTH($A3471)=Reference!$C$4,1,0)+IF(MONTH($A3471)=Reference!$C$5,1,0))+(IF(MONTH($A3471)=Reference!$C$6,Reference!$C$13,0))),0)</f>
        <v>473</v>
      </c>
      <c r="C3471" s="11">
        <f ca="1">B3471*Reference!$C$7*(1-IF(MONTH($A3471)=Reference!$C$6,1,0)*Reference!$C$12)</f>
        <v>175956</v>
      </c>
      <c r="D3471" s="10">
        <f ca="1">ROUND(_xlfn.NORM.INV(RAND(),Reference!$D$8,0.1*Reference!$D$8)*(1+Reference!$D$11*(IF(MONTH($A3471)=Reference!$D$4,1,0)+IF(MONTH($A3471)=Reference!$D$5,1,0))+(IF(MONTH($A3471)=Reference!$D$6,Reference!$D$13,0))),0)</f>
        <v>501</v>
      </c>
      <c r="E3471" s="11">
        <f ca="1">D3471*Reference!$D$7*(1-IF(MONTH($A3471)=Reference!$D$6,1,0)*Reference!$D$12)</f>
        <v>375750</v>
      </c>
      <c r="M3471" s="20"/>
      <c r="N3471" s="20"/>
      <c r="O3471" s="19"/>
      <c r="P3471" s="10"/>
      <c r="Q3471" s="10"/>
      <c r="R3471" s="10"/>
      <c r="S3471" s="10"/>
      <c r="T3471" s="10"/>
      <c r="U3471" s="10"/>
      <c r="V3471" s="10"/>
      <c r="W3471" s="10"/>
      <c r="X3471" s="10"/>
      <c r="Y3471" s="10"/>
    </row>
    <row r="3472" spans="1:25" x14ac:dyDescent="0.25">
      <c r="A3472" s="9">
        <v>44010</v>
      </c>
      <c r="B3472" s="10">
        <f ca="1">ROUND(_xlfn.NORM.INV(RAND(),Reference!$C$8,0.1*Reference!$C$8)*(1+Reference!$C$11*(IF(MONTH($A3472)=Reference!$C$4,1,0)+IF(MONTH($A3472)=Reference!$C$5,1,0))+(IF(MONTH($A3472)=Reference!$C$6,Reference!$C$13,0))),0)</f>
        <v>420</v>
      </c>
      <c r="C3472" s="11">
        <f ca="1">B3472*Reference!$C$7*(1-IF(MONTH($A3472)=Reference!$C$6,1,0)*Reference!$C$12)</f>
        <v>156240</v>
      </c>
      <c r="D3472" s="10">
        <f ca="1">ROUND(_xlfn.NORM.INV(RAND(),Reference!$D$8,0.1*Reference!$D$8)*(1+Reference!$D$11*(IF(MONTH($A3472)=Reference!$D$4,1,0)+IF(MONTH($A3472)=Reference!$D$5,1,0))+(IF(MONTH($A3472)=Reference!$D$6,Reference!$D$13,0))),0)</f>
        <v>425</v>
      </c>
      <c r="E3472" s="11">
        <f ca="1">D3472*Reference!$D$7*(1-IF(MONTH($A3472)=Reference!$D$6,1,0)*Reference!$D$12)</f>
        <v>318750</v>
      </c>
      <c r="M3472" s="20"/>
      <c r="N3472" s="20"/>
      <c r="O3472" s="19"/>
      <c r="P3472" s="10"/>
      <c r="Q3472" s="10"/>
      <c r="R3472" s="10"/>
      <c r="S3472" s="10"/>
      <c r="T3472" s="10"/>
      <c r="U3472" s="10"/>
      <c r="V3472" s="10"/>
      <c r="W3472" s="10"/>
      <c r="X3472" s="10"/>
      <c r="Y3472" s="10"/>
    </row>
    <row r="3473" spans="1:25" x14ac:dyDescent="0.25">
      <c r="A3473" s="9">
        <v>44011</v>
      </c>
      <c r="B3473" s="10">
        <f ca="1">ROUND(_xlfn.NORM.INV(RAND(),Reference!$C$8,0.1*Reference!$C$8)*(1+Reference!$C$11*(IF(MONTH($A3473)=Reference!$C$4,1,0)+IF(MONTH($A3473)=Reference!$C$5,1,0))+(IF(MONTH($A3473)=Reference!$C$6,Reference!$C$13,0))),0)</f>
        <v>482</v>
      </c>
      <c r="C3473" s="11">
        <f ca="1">B3473*Reference!$C$7*(1-IF(MONTH($A3473)=Reference!$C$6,1,0)*Reference!$C$12)</f>
        <v>179304</v>
      </c>
      <c r="D3473" s="10">
        <f ca="1">ROUND(_xlfn.NORM.INV(RAND(),Reference!$D$8,0.1*Reference!$D$8)*(1+Reference!$D$11*(IF(MONTH($A3473)=Reference!$D$4,1,0)+IF(MONTH($A3473)=Reference!$D$5,1,0))+(IF(MONTH($A3473)=Reference!$D$6,Reference!$D$13,0))),0)</f>
        <v>433</v>
      </c>
      <c r="E3473" s="11">
        <f ca="1">D3473*Reference!$D$7*(1-IF(MONTH($A3473)=Reference!$D$6,1,0)*Reference!$D$12)</f>
        <v>324750</v>
      </c>
      <c r="M3473" s="20"/>
      <c r="N3473" s="20"/>
      <c r="O3473" s="19"/>
      <c r="P3473" s="10"/>
      <c r="Q3473" s="10"/>
      <c r="R3473" s="10"/>
      <c r="S3473" s="10"/>
      <c r="T3473" s="10"/>
      <c r="U3473" s="10"/>
      <c r="V3473" s="10"/>
      <c r="W3473" s="10"/>
      <c r="X3473" s="10"/>
      <c r="Y3473" s="10"/>
    </row>
    <row r="3474" spans="1:25" x14ac:dyDescent="0.25">
      <c r="A3474" s="9">
        <v>44012</v>
      </c>
      <c r="B3474" s="10">
        <f ca="1">ROUND(_xlfn.NORM.INV(RAND(),Reference!$C$8,0.1*Reference!$C$8)*(1+Reference!$C$11*(IF(MONTH($A3474)=Reference!$C$4,1,0)+IF(MONTH($A3474)=Reference!$C$5,1,0))+(IF(MONTH($A3474)=Reference!$C$6,Reference!$C$13,0))),0)</f>
        <v>445</v>
      </c>
      <c r="C3474" s="11">
        <f ca="1">B3474*Reference!$C$7*(1-IF(MONTH($A3474)=Reference!$C$6,1,0)*Reference!$C$12)</f>
        <v>165540</v>
      </c>
      <c r="D3474" s="10">
        <f ca="1">ROUND(_xlfn.NORM.INV(RAND(),Reference!$D$8,0.1*Reference!$D$8)*(1+Reference!$D$11*(IF(MONTH($A3474)=Reference!$D$4,1,0)+IF(MONTH($A3474)=Reference!$D$5,1,0))+(IF(MONTH($A3474)=Reference!$D$6,Reference!$D$13,0))),0)</f>
        <v>416</v>
      </c>
      <c r="E3474" s="11">
        <f ca="1">D3474*Reference!$D$7*(1-IF(MONTH($A3474)=Reference!$D$6,1,0)*Reference!$D$12)</f>
        <v>312000</v>
      </c>
      <c r="M3474" s="20"/>
      <c r="N3474" s="20"/>
      <c r="O3474" s="19"/>
      <c r="P3474" s="10"/>
      <c r="Q3474" s="10"/>
      <c r="R3474" s="10"/>
      <c r="S3474" s="10"/>
      <c r="T3474" s="10"/>
      <c r="U3474" s="10"/>
      <c r="V3474" s="10"/>
      <c r="W3474" s="10"/>
      <c r="X3474" s="10"/>
      <c r="Y3474" s="10"/>
    </row>
    <row r="3475" spans="1:25" x14ac:dyDescent="0.25">
      <c r="A3475" s="9">
        <v>44013</v>
      </c>
      <c r="B3475" s="10">
        <f ca="1">ROUND(_xlfn.NORM.INV(RAND(),Reference!$C$8,0.1*Reference!$C$8)*(1+Reference!$C$11*(IF(MONTH($A3475)=Reference!$C$4,1,0)+IF(MONTH($A3475)=Reference!$C$5,1,0))+(IF(MONTH($A3475)=Reference!$C$6,Reference!$C$13,0))),0)</f>
        <v>369</v>
      </c>
      <c r="C3475" s="11">
        <f ca="1">B3475*Reference!$C$7*(1-IF(MONTH($A3475)=Reference!$C$6,1,0)*Reference!$C$12)</f>
        <v>343170</v>
      </c>
      <c r="D3475" s="10">
        <f ca="1">ROUND(_xlfn.NORM.INV(RAND(),Reference!$D$8,0.1*Reference!$D$8)*(1+Reference!$D$11*(IF(MONTH($A3475)=Reference!$D$4,1,0)+IF(MONTH($A3475)=Reference!$D$5,1,0))+(IF(MONTH($A3475)=Reference!$D$6,Reference!$D$13,0))),0)</f>
        <v>526</v>
      </c>
      <c r="E3475" s="11">
        <f ca="1">D3475*Reference!$D$7*(1-IF(MONTH($A3475)=Reference!$D$6,1,0)*Reference!$D$12)</f>
        <v>394500</v>
      </c>
      <c r="M3475" s="20"/>
      <c r="N3475" s="20"/>
      <c r="O3475" s="19"/>
      <c r="P3475" s="10"/>
      <c r="Q3475" s="10"/>
      <c r="R3475" s="10"/>
      <c r="S3475" s="10"/>
      <c r="T3475" s="10"/>
      <c r="U3475" s="10"/>
      <c r="V3475" s="10"/>
      <c r="W3475" s="10"/>
      <c r="X3475" s="10"/>
      <c r="Y3475" s="10"/>
    </row>
    <row r="3476" spans="1:25" x14ac:dyDescent="0.25">
      <c r="A3476" s="9">
        <v>44014</v>
      </c>
      <c r="B3476" s="10">
        <f ca="1">ROUND(_xlfn.NORM.INV(RAND(),Reference!$C$8,0.1*Reference!$C$8)*(1+Reference!$C$11*(IF(MONTH($A3476)=Reference!$C$4,1,0)+IF(MONTH($A3476)=Reference!$C$5,1,0))+(IF(MONTH($A3476)=Reference!$C$6,Reference!$C$13,0))),0)</f>
        <v>388</v>
      </c>
      <c r="C3476" s="11">
        <f ca="1">B3476*Reference!$C$7*(1-IF(MONTH($A3476)=Reference!$C$6,1,0)*Reference!$C$12)</f>
        <v>360840</v>
      </c>
      <c r="D3476" s="10">
        <f ca="1">ROUND(_xlfn.NORM.INV(RAND(),Reference!$D$8,0.1*Reference!$D$8)*(1+Reference!$D$11*(IF(MONTH($A3476)=Reference!$D$4,1,0)+IF(MONTH($A3476)=Reference!$D$5,1,0))+(IF(MONTH($A3476)=Reference!$D$6,Reference!$D$13,0))),0)</f>
        <v>504</v>
      </c>
      <c r="E3476" s="11">
        <f ca="1">D3476*Reference!$D$7*(1-IF(MONTH($A3476)=Reference!$D$6,1,0)*Reference!$D$12)</f>
        <v>378000</v>
      </c>
      <c r="M3476" s="20"/>
      <c r="N3476" s="20"/>
      <c r="O3476" s="19"/>
      <c r="P3476" s="10"/>
      <c r="Q3476" s="10"/>
      <c r="R3476" s="10"/>
      <c r="S3476" s="10"/>
      <c r="T3476" s="10"/>
      <c r="U3476" s="10"/>
      <c r="V3476" s="10"/>
      <c r="W3476" s="10"/>
      <c r="X3476" s="10"/>
      <c r="Y3476" s="10"/>
    </row>
    <row r="3477" spans="1:25" x14ac:dyDescent="0.25">
      <c r="A3477" s="9">
        <v>44015</v>
      </c>
      <c r="B3477" s="10">
        <f ca="1">ROUND(_xlfn.NORM.INV(RAND(),Reference!$C$8,0.1*Reference!$C$8)*(1+Reference!$C$11*(IF(MONTH($A3477)=Reference!$C$4,1,0)+IF(MONTH($A3477)=Reference!$C$5,1,0))+(IF(MONTH($A3477)=Reference!$C$6,Reference!$C$13,0))),0)</f>
        <v>324</v>
      </c>
      <c r="C3477" s="11">
        <f ca="1">B3477*Reference!$C$7*(1-IF(MONTH($A3477)=Reference!$C$6,1,0)*Reference!$C$12)</f>
        <v>301320</v>
      </c>
      <c r="D3477" s="10">
        <f ca="1">ROUND(_xlfn.NORM.INV(RAND(),Reference!$D$8,0.1*Reference!$D$8)*(1+Reference!$D$11*(IF(MONTH($A3477)=Reference!$D$4,1,0)+IF(MONTH($A3477)=Reference!$D$5,1,0))+(IF(MONTH($A3477)=Reference!$D$6,Reference!$D$13,0))),0)</f>
        <v>500</v>
      </c>
      <c r="E3477" s="11">
        <f ca="1">D3477*Reference!$D$7*(1-IF(MONTH($A3477)=Reference!$D$6,1,0)*Reference!$D$12)</f>
        <v>375000</v>
      </c>
      <c r="M3477" s="20"/>
      <c r="N3477" s="20"/>
      <c r="O3477" s="19"/>
      <c r="P3477" s="10"/>
      <c r="Q3477" s="10"/>
      <c r="R3477" s="10"/>
      <c r="S3477" s="10"/>
      <c r="T3477" s="10"/>
      <c r="U3477" s="10"/>
      <c r="V3477" s="10"/>
      <c r="W3477" s="10"/>
      <c r="X3477" s="10"/>
      <c r="Y3477" s="10"/>
    </row>
    <row r="3478" spans="1:25" x14ac:dyDescent="0.25">
      <c r="A3478" s="9">
        <v>44016</v>
      </c>
      <c r="B3478" s="10">
        <f ca="1">ROUND(_xlfn.NORM.INV(RAND(),Reference!$C$8,0.1*Reference!$C$8)*(1+Reference!$C$11*(IF(MONTH($A3478)=Reference!$C$4,1,0)+IF(MONTH($A3478)=Reference!$C$5,1,0))+(IF(MONTH($A3478)=Reference!$C$6,Reference!$C$13,0))),0)</f>
        <v>385</v>
      </c>
      <c r="C3478" s="11">
        <f ca="1">B3478*Reference!$C$7*(1-IF(MONTH($A3478)=Reference!$C$6,1,0)*Reference!$C$12)</f>
        <v>358050</v>
      </c>
      <c r="D3478" s="10">
        <f ca="1">ROUND(_xlfn.NORM.INV(RAND(),Reference!$D$8,0.1*Reference!$D$8)*(1+Reference!$D$11*(IF(MONTH($A3478)=Reference!$D$4,1,0)+IF(MONTH($A3478)=Reference!$D$5,1,0))+(IF(MONTH($A3478)=Reference!$D$6,Reference!$D$13,0))),0)</f>
        <v>456</v>
      </c>
      <c r="E3478" s="11">
        <f ca="1">D3478*Reference!$D$7*(1-IF(MONTH($A3478)=Reference!$D$6,1,0)*Reference!$D$12)</f>
        <v>342000</v>
      </c>
      <c r="M3478" s="20"/>
      <c r="N3478" s="20"/>
      <c r="O3478" s="19"/>
      <c r="P3478" s="10"/>
      <c r="Q3478" s="10"/>
      <c r="R3478" s="10"/>
      <c r="S3478" s="10"/>
      <c r="T3478" s="10"/>
      <c r="U3478" s="10"/>
      <c r="V3478" s="10"/>
      <c r="W3478" s="10"/>
      <c r="X3478" s="10"/>
      <c r="Y3478" s="10"/>
    </row>
    <row r="3479" spans="1:25" x14ac:dyDescent="0.25">
      <c r="A3479" s="9">
        <v>44017</v>
      </c>
      <c r="B3479" s="10">
        <f ca="1">ROUND(_xlfn.NORM.INV(RAND(),Reference!$C$8,0.1*Reference!$C$8)*(1+Reference!$C$11*(IF(MONTH($A3479)=Reference!$C$4,1,0)+IF(MONTH($A3479)=Reference!$C$5,1,0))+(IF(MONTH($A3479)=Reference!$C$6,Reference!$C$13,0))),0)</f>
        <v>318</v>
      </c>
      <c r="C3479" s="11">
        <f ca="1">B3479*Reference!$C$7*(1-IF(MONTH($A3479)=Reference!$C$6,1,0)*Reference!$C$12)</f>
        <v>295740</v>
      </c>
      <c r="D3479" s="10">
        <f ca="1">ROUND(_xlfn.NORM.INV(RAND(),Reference!$D$8,0.1*Reference!$D$8)*(1+Reference!$D$11*(IF(MONTH($A3479)=Reference!$D$4,1,0)+IF(MONTH($A3479)=Reference!$D$5,1,0))+(IF(MONTH($A3479)=Reference!$D$6,Reference!$D$13,0))),0)</f>
        <v>480</v>
      </c>
      <c r="E3479" s="11">
        <f ca="1">D3479*Reference!$D$7*(1-IF(MONTH($A3479)=Reference!$D$6,1,0)*Reference!$D$12)</f>
        <v>360000</v>
      </c>
      <c r="M3479" s="20"/>
      <c r="N3479" s="20"/>
      <c r="O3479" s="19"/>
      <c r="P3479" s="10"/>
      <c r="Q3479" s="10"/>
      <c r="R3479" s="10"/>
      <c r="S3479" s="10"/>
      <c r="T3479" s="10"/>
      <c r="U3479" s="10"/>
      <c r="V3479" s="10"/>
      <c r="W3479" s="10"/>
      <c r="X3479" s="10"/>
      <c r="Y3479" s="10"/>
    </row>
    <row r="3480" spans="1:25" x14ac:dyDescent="0.25">
      <c r="A3480" s="9">
        <v>44018</v>
      </c>
      <c r="B3480" s="10">
        <f ca="1">ROUND(_xlfn.NORM.INV(RAND(),Reference!$C$8,0.1*Reference!$C$8)*(1+Reference!$C$11*(IF(MONTH($A3480)=Reference!$C$4,1,0)+IF(MONTH($A3480)=Reference!$C$5,1,0))+(IF(MONTH($A3480)=Reference!$C$6,Reference!$C$13,0))),0)</f>
        <v>362</v>
      </c>
      <c r="C3480" s="11">
        <f ca="1">B3480*Reference!$C$7*(1-IF(MONTH($A3480)=Reference!$C$6,1,0)*Reference!$C$12)</f>
        <v>336660</v>
      </c>
      <c r="D3480" s="10">
        <f ca="1">ROUND(_xlfn.NORM.INV(RAND(),Reference!$D$8,0.1*Reference!$D$8)*(1+Reference!$D$11*(IF(MONTH($A3480)=Reference!$D$4,1,0)+IF(MONTH($A3480)=Reference!$D$5,1,0))+(IF(MONTH($A3480)=Reference!$D$6,Reference!$D$13,0))),0)</f>
        <v>426</v>
      </c>
      <c r="E3480" s="11">
        <f ca="1">D3480*Reference!$D$7*(1-IF(MONTH($A3480)=Reference!$D$6,1,0)*Reference!$D$12)</f>
        <v>319500</v>
      </c>
      <c r="M3480" s="20"/>
      <c r="N3480" s="20"/>
      <c r="O3480" s="19"/>
      <c r="P3480" s="10"/>
      <c r="Q3480" s="10"/>
      <c r="R3480" s="10"/>
      <c r="S3480" s="10"/>
      <c r="T3480" s="10"/>
      <c r="U3480" s="10"/>
      <c r="V3480" s="10"/>
      <c r="W3480" s="10"/>
      <c r="X3480" s="10"/>
      <c r="Y3480" s="10"/>
    </row>
    <row r="3481" spans="1:25" x14ac:dyDescent="0.25">
      <c r="A3481" s="9">
        <v>44019</v>
      </c>
      <c r="B3481" s="10">
        <f ca="1">ROUND(_xlfn.NORM.INV(RAND(),Reference!$C$8,0.1*Reference!$C$8)*(1+Reference!$C$11*(IF(MONTH($A3481)=Reference!$C$4,1,0)+IF(MONTH($A3481)=Reference!$C$5,1,0))+(IF(MONTH($A3481)=Reference!$C$6,Reference!$C$13,0))),0)</f>
        <v>404</v>
      </c>
      <c r="C3481" s="11">
        <f ca="1">B3481*Reference!$C$7*(1-IF(MONTH($A3481)=Reference!$C$6,1,0)*Reference!$C$12)</f>
        <v>375720</v>
      </c>
      <c r="D3481" s="10">
        <f ca="1">ROUND(_xlfn.NORM.INV(RAND(),Reference!$D$8,0.1*Reference!$D$8)*(1+Reference!$D$11*(IF(MONTH($A3481)=Reference!$D$4,1,0)+IF(MONTH($A3481)=Reference!$D$5,1,0))+(IF(MONTH($A3481)=Reference!$D$6,Reference!$D$13,0))),0)</f>
        <v>477</v>
      </c>
      <c r="E3481" s="11">
        <f ca="1">D3481*Reference!$D$7*(1-IF(MONTH($A3481)=Reference!$D$6,1,0)*Reference!$D$12)</f>
        <v>357750</v>
      </c>
      <c r="M3481" s="20"/>
      <c r="N3481" s="20"/>
      <c r="O3481" s="19"/>
      <c r="P3481" s="10"/>
      <c r="Q3481" s="10"/>
      <c r="R3481" s="10"/>
      <c r="S3481" s="10"/>
      <c r="T3481" s="10"/>
      <c r="U3481" s="10"/>
      <c r="V3481" s="10"/>
      <c r="W3481" s="10"/>
      <c r="X3481" s="10"/>
      <c r="Y3481" s="10"/>
    </row>
    <row r="3482" spans="1:25" x14ac:dyDescent="0.25">
      <c r="A3482" s="9">
        <v>44020</v>
      </c>
      <c r="B3482" s="10">
        <f ca="1">ROUND(_xlfn.NORM.INV(RAND(),Reference!$C$8,0.1*Reference!$C$8)*(1+Reference!$C$11*(IF(MONTH($A3482)=Reference!$C$4,1,0)+IF(MONTH($A3482)=Reference!$C$5,1,0))+(IF(MONTH($A3482)=Reference!$C$6,Reference!$C$13,0))),0)</f>
        <v>379</v>
      </c>
      <c r="C3482" s="11">
        <f ca="1">B3482*Reference!$C$7*(1-IF(MONTH($A3482)=Reference!$C$6,1,0)*Reference!$C$12)</f>
        <v>352470</v>
      </c>
      <c r="D3482" s="10">
        <f ca="1">ROUND(_xlfn.NORM.INV(RAND(),Reference!$D$8,0.1*Reference!$D$8)*(1+Reference!$D$11*(IF(MONTH($A3482)=Reference!$D$4,1,0)+IF(MONTH($A3482)=Reference!$D$5,1,0))+(IF(MONTH($A3482)=Reference!$D$6,Reference!$D$13,0))),0)</f>
        <v>507</v>
      </c>
      <c r="E3482" s="11">
        <f ca="1">D3482*Reference!$D$7*(1-IF(MONTH($A3482)=Reference!$D$6,1,0)*Reference!$D$12)</f>
        <v>380250</v>
      </c>
      <c r="M3482" s="20"/>
      <c r="N3482" s="20"/>
      <c r="O3482" s="19"/>
      <c r="P3482" s="10"/>
      <c r="Q3482" s="10"/>
      <c r="R3482" s="10"/>
      <c r="S3482" s="10"/>
      <c r="T3482" s="10"/>
      <c r="U3482" s="10"/>
      <c r="V3482" s="10"/>
      <c r="W3482" s="10"/>
      <c r="X3482" s="10"/>
      <c r="Y3482" s="10"/>
    </row>
    <row r="3483" spans="1:25" x14ac:dyDescent="0.25">
      <c r="A3483" s="9">
        <v>44021</v>
      </c>
      <c r="B3483" s="10">
        <f ca="1">ROUND(_xlfn.NORM.INV(RAND(),Reference!$C$8,0.1*Reference!$C$8)*(1+Reference!$C$11*(IF(MONTH($A3483)=Reference!$C$4,1,0)+IF(MONTH($A3483)=Reference!$C$5,1,0))+(IF(MONTH($A3483)=Reference!$C$6,Reference!$C$13,0))),0)</f>
        <v>334</v>
      </c>
      <c r="C3483" s="11">
        <f ca="1">B3483*Reference!$C$7*(1-IF(MONTH($A3483)=Reference!$C$6,1,0)*Reference!$C$12)</f>
        <v>310620</v>
      </c>
      <c r="D3483" s="10">
        <f ca="1">ROUND(_xlfn.NORM.INV(RAND(),Reference!$D$8,0.1*Reference!$D$8)*(1+Reference!$D$11*(IF(MONTH($A3483)=Reference!$D$4,1,0)+IF(MONTH($A3483)=Reference!$D$5,1,0))+(IF(MONTH($A3483)=Reference!$D$6,Reference!$D$13,0))),0)</f>
        <v>407</v>
      </c>
      <c r="E3483" s="11">
        <f ca="1">D3483*Reference!$D$7*(1-IF(MONTH($A3483)=Reference!$D$6,1,0)*Reference!$D$12)</f>
        <v>305250</v>
      </c>
      <c r="M3483" s="20"/>
      <c r="N3483" s="20"/>
      <c r="O3483" s="19"/>
      <c r="P3483" s="10"/>
      <c r="Q3483" s="10"/>
      <c r="R3483" s="10"/>
      <c r="S3483" s="10"/>
      <c r="T3483" s="10"/>
      <c r="U3483" s="10"/>
      <c r="V3483" s="10"/>
      <c r="W3483" s="10"/>
      <c r="X3483" s="10"/>
      <c r="Y3483" s="10"/>
    </row>
    <row r="3484" spans="1:25" x14ac:dyDescent="0.25">
      <c r="A3484" s="9">
        <v>44022</v>
      </c>
      <c r="B3484" s="10">
        <f ca="1">ROUND(_xlfn.NORM.INV(RAND(),Reference!$C$8,0.1*Reference!$C$8)*(1+Reference!$C$11*(IF(MONTH($A3484)=Reference!$C$4,1,0)+IF(MONTH($A3484)=Reference!$C$5,1,0))+(IF(MONTH($A3484)=Reference!$C$6,Reference!$C$13,0))),0)</f>
        <v>366</v>
      </c>
      <c r="C3484" s="11">
        <f ca="1">B3484*Reference!$C$7*(1-IF(MONTH($A3484)=Reference!$C$6,1,0)*Reference!$C$12)</f>
        <v>340380</v>
      </c>
      <c r="D3484" s="10">
        <f ca="1">ROUND(_xlfn.NORM.INV(RAND(),Reference!$D$8,0.1*Reference!$D$8)*(1+Reference!$D$11*(IF(MONTH($A3484)=Reference!$D$4,1,0)+IF(MONTH($A3484)=Reference!$D$5,1,0))+(IF(MONTH($A3484)=Reference!$D$6,Reference!$D$13,0))),0)</f>
        <v>496</v>
      </c>
      <c r="E3484" s="11">
        <f ca="1">D3484*Reference!$D$7*(1-IF(MONTH($A3484)=Reference!$D$6,1,0)*Reference!$D$12)</f>
        <v>372000</v>
      </c>
      <c r="M3484" s="20"/>
      <c r="N3484" s="20"/>
      <c r="O3484" s="19"/>
      <c r="P3484" s="10"/>
      <c r="Q3484" s="10"/>
      <c r="R3484" s="10"/>
      <c r="S3484" s="10"/>
      <c r="T3484" s="10"/>
      <c r="U3484" s="10"/>
      <c r="V3484" s="10"/>
      <c r="W3484" s="10"/>
      <c r="X3484" s="10"/>
      <c r="Y3484" s="10"/>
    </row>
    <row r="3485" spans="1:25" x14ac:dyDescent="0.25">
      <c r="A3485" s="9">
        <v>44023</v>
      </c>
      <c r="B3485" s="10">
        <f ca="1">ROUND(_xlfn.NORM.INV(RAND(),Reference!$C$8,0.1*Reference!$C$8)*(1+Reference!$C$11*(IF(MONTH($A3485)=Reference!$C$4,1,0)+IF(MONTH($A3485)=Reference!$C$5,1,0))+(IF(MONTH($A3485)=Reference!$C$6,Reference!$C$13,0))),0)</f>
        <v>385</v>
      </c>
      <c r="C3485" s="11">
        <f ca="1">B3485*Reference!$C$7*(1-IF(MONTH($A3485)=Reference!$C$6,1,0)*Reference!$C$12)</f>
        <v>358050</v>
      </c>
      <c r="D3485" s="10">
        <f ca="1">ROUND(_xlfn.NORM.INV(RAND(),Reference!$D$8,0.1*Reference!$D$8)*(1+Reference!$D$11*(IF(MONTH($A3485)=Reference!$D$4,1,0)+IF(MONTH($A3485)=Reference!$D$5,1,0))+(IF(MONTH($A3485)=Reference!$D$6,Reference!$D$13,0))),0)</f>
        <v>527</v>
      </c>
      <c r="E3485" s="11">
        <f ca="1">D3485*Reference!$D$7*(1-IF(MONTH($A3485)=Reference!$D$6,1,0)*Reference!$D$12)</f>
        <v>395250</v>
      </c>
      <c r="M3485" s="20"/>
      <c r="N3485" s="20"/>
      <c r="O3485" s="19"/>
      <c r="P3485" s="10"/>
      <c r="Q3485" s="10"/>
      <c r="R3485" s="10"/>
      <c r="S3485" s="10"/>
      <c r="T3485" s="10"/>
      <c r="U3485" s="10"/>
      <c r="V3485" s="10"/>
      <c r="W3485" s="10"/>
      <c r="X3485" s="10"/>
      <c r="Y3485" s="10"/>
    </row>
    <row r="3486" spans="1:25" x14ac:dyDescent="0.25">
      <c r="A3486" s="9">
        <v>44024</v>
      </c>
      <c r="B3486" s="10">
        <f ca="1">ROUND(_xlfn.NORM.INV(RAND(),Reference!$C$8,0.1*Reference!$C$8)*(1+Reference!$C$11*(IF(MONTH($A3486)=Reference!$C$4,1,0)+IF(MONTH($A3486)=Reference!$C$5,1,0))+(IF(MONTH($A3486)=Reference!$C$6,Reference!$C$13,0))),0)</f>
        <v>290</v>
      </c>
      <c r="C3486" s="11">
        <f ca="1">B3486*Reference!$C$7*(1-IF(MONTH($A3486)=Reference!$C$6,1,0)*Reference!$C$12)</f>
        <v>269700</v>
      </c>
      <c r="D3486" s="10">
        <f ca="1">ROUND(_xlfn.NORM.INV(RAND(),Reference!$D$8,0.1*Reference!$D$8)*(1+Reference!$D$11*(IF(MONTH($A3486)=Reference!$D$4,1,0)+IF(MONTH($A3486)=Reference!$D$5,1,0))+(IF(MONTH($A3486)=Reference!$D$6,Reference!$D$13,0))),0)</f>
        <v>481</v>
      </c>
      <c r="E3486" s="11">
        <f ca="1">D3486*Reference!$D$7*(1-IF(MONTH($A3486)=Reference!$D$6,1,0)*Reference!$D$12)</f>
        <v>360750</v>
      </c>
      <c r="M3486" s="20"/>
      <c r="N3486" s="20"/>
      <c r="O3486" s="19"/>
      <c r="P3486" s="10"/>
      <c r="Q3486" s="10"/>
      <c r="R3486" s="10"/>
      <c r="S3486" s="10"/>
      <c r="T3486" s="10"/>
      <c r="U3486" s="10"/>
      <c r="V3486" s="10"/>
      <c r="W3486" s="10"/>
      <c r="X3486" s="10"/>
      <c r="Y3486" s="10"/>
    </row>
    <row r="3487" spans="1:25" x14ac:dyDescent="0.25">
      <c r="A3487" s="9">
        <v>44025</v>
      </c>
      <c r="B3487" s="10">
        <f ca="1">ROUND(_xlfn.NORM.INV(RAND(),Reference!$C$8,0.1*Reference!$C$8)*(1+Reference!$C$11*(IF(MONTH($A3487)=Reference!$C$4,1,0)+IF(MONTH($A3487)=Reference!$C$5,1,0))+(IF(MONTH($A3487)=Reference!$C$6,Reference!$C$13,0))),0)</f>
        <v>325</v>
      </c>
      <c r="C3487" s="11">
        <f ca="1">B3487*Reference!$C$7*(1-IF(MONTH($A3487)=Reference!$C$6,1,0)*Reference!$C$12)</f>
        <v>302250</v>
      </c>
      <c r="D3487" s="10">
        <f ca="1">ROUND(_xlfn.NORM.INV(RAND(),Reference!$D$8,0.1*Reference!$D$8)*(1+Reference!$D$11*(IF(MONTH($A3487)=Reference!$D$4,1,0)+IF(MONTH($A3487)=Reference!$D$5,1,0))+(IF(MONTH($A3487)=Reference!$D$6,Reference!$D$13,0))),0)</f>
        <v>526</v>
      </c>
      <c r="E3487" s="11">
        <f ca="1">D3487*Reference!$D$7*(1-IF(MONTH($A3487)=Reference!$D$6,1,0)*Reference!$D$12)</f>
        <v>394500</v>
      </c>
      <c r="M3487" s="20"/>
      <c r="N3487" s="20"/>
      <c r="O3487" s="19"/>
      <c r="P3487" s="10"/>
      <c r="Q3487" s="10"/>
      <c r="R3487" s="10"/>
      <c r="S3487" s="10"/>
      <c r="T3487" s="10"/>
      <c r="U3487" s="10"/>
      <c r="V3487" s="10"/>
      <c r="W3487" s="10"/>
      <c r="X3487" s="10"/>
      <c r="Y3487" s="10"/>
    </row>
    <row r="3488" spans="1:25" x14ac:dyDescent="0.25">
      <c r="A3488" s="9">
        <v>44026</v>
      </c>
      <c r="B3488" s="10">
        <f ca="1">ROUND(_xlfn.NORM.INV(RAND(),Reference!$C$8,0.1*Reference!$C$8)*(1+Reference!$C$11*(IF(MONTH($A3488)=Reference!$C$4,1,0)+IF(MONTH($A3488)=Reference!$C$5,1,0))+(IF(MONTH($A3488)=Reference!$C$6,Reference!$C$13,0))),0)</f>
        <v>325</v>
      </c>
      <c r="C3488" s="11">
        <f ca="1">B3488*Reference!$C$7*(1-IF(MONTH($A3488)=Reference!$C$6,1,0)*Reference!$C$12)</f>
        <v>302250</v>
      </c>
      <c r="D3488" s="10">
        <f ca="1">ROUND(_xlfn.NORM.INV(RAND(),Reference!$D$8,0.1*Reference!$D$8)*(1+Reference!$D$11*(IF(MONTH($A3488)=Reference!$D$4,1,0)+IF(MONTH($A3488)=Reference!$D$5,1,0))+(IF(MONTH($A3488)=Reference!$D$6,Reference!$D$13,0))),0)</f>
        <v>496</v>
      </c>
      <c r="E3488" s="11">
        <f ca="1">D3488*Reference!$D$7*(1-IF(MONTH($A3488)=Reference!$D$6,1,0)*Reference!$D$12)</f>
        <v>372000</v>
      </c>
      <c r="M3488" s="20"/>
      <c r="N3488" s="20"/>
      <c r="O3488" s="19"/>
      <c r="P3488" s="10"/>
      <c r="Q3488" s="10"/>
      <c r="R3488" s="10"/>
      <c r="S3488" s="10"/>
      <c r="T3488" s="10"/>
      <c r="U3488" s="10"/>
      <c r="V3488" s="10"/>
      <c r="W3488" s="10"/>
      <c r="X3488" s="10"/>
      <c r="Y3488" s="10"/>
    </row>
    <row r="3489" spans="1:25" x14ac:dyDescent="0.25">
      <c r="A3489" s="9">
        <v>44027</v>
      </c>
      <c r="B3489" s="10">
        <f ca="1">ROUND(_xlfn.NORM.INV(RAND(),Reference!$C$8,0.1*Reference!$C$8)*(1+Reference!$C$11*(IF(MONTH($A3489)=Reference!$C$4,1,0)+IF(MONTH($A3489)=Reference!$C$5,1,0))+(IF(MONTH($A3489)=Reference!$C$6,Reference!$C$13,0))),0)</f>
        <v>390</v>
      </c>
      <c r="C3489" s="11">
        <f ca="1">B3489*Reference!$C$7*(1-IF(MONTH($A3489)=Reference!$C$6,1,0)*Reference!$C$12)</f>
        <v>362700</v>
      </c>
      <c r="D3489" s="10">
        <f ca="1">ROUND(_xlfn.NORM.INV(RAND(),Reference!$D$8,0.1*Reference!$D$8)*(1+Reference!$D$11*(IF(MONTH($A3489)=Reference!$D$4,1,0)+IF(MONTH($A3489)=Reference!$D$5,1,0))+(IF(MONTH($A3489)=Reference!$D$6,Reference!$D$13,0))),0)</f>
        <v>450</v>
      </c>
      <c r="E3489" s="11">
        <f ca="1">D3489*Reference!$D$7*(1-IF(MONTH($A3489)=Reference!$D$6,1,0)*Reference!$D$12)</f>
        <v>337500</v>
      </c>
      <c r="M3489" s="20"/>
      <c r="N3489" s="20"/>
      <c r="O3489" s="19"/>
      <c r="P3489" s="10"/>
      <c r="Q3489" s="10"/>
      <c r="R3489" s="10"/>
      <c r="S3489" s="10"/>
      <c r="T3489" s="10"/>
      <c r="U3489" s="10"/>
      <c r="V3489" s="10"/>
      <c r="W3489" s="10"/>
      <c r="X3489" s="10"/>
      <c r="Y3489" s="10"/>
    </row>
    <row r="3490" spans="1:25" x14ac:dyDescent="0.25">
      <c r="A3490" s="9">
        <v>44028</v>
      </c>
      <c r="B3490" s="10">
        <f ca="1">ROUND(_xlfn.NORM.INV(RAND(),Reference!$C$8,0.1*Reference!$C$8)*(1+Reference!$C$11*(IF(MONTH($A3490)=Reference!$C$4,1,0)+IF(MONTH($A3490)=Reference!$C$5,1,0))+(IF(MONTH($A3490)=Reference!$C$6,Reference!$C$13,0))),0)</f>
        <v>335</v>
      </c>
      <c r="C3490" s="11">
        <f ca="1">B3490*Reference!$C$7*(1-IF(MONTH($A3490)=Reference!$C$6,1,0)*Reference!$C$12)</f>
        <v>311550</v>
      </c>
      <c r="D3490" s="10">
        <f ca="1">ROUND(_xlfn.NORM.INV(RAND(),Reference!$D$8,0.1*Reference!$D$8)*(1+Reference!$D$11*(IF(MONTH($A3490)=Reference!$D$4,1,0)+IF(MONTH($A3490)=Reference!$D$5,1,0))+(IF(MONTH($A3490)=Reference!$D$6,Reference!$D$13,0))),0)</f>
        <v>418</v>
      </c>
      <c r="E3490" s="11">
        <f ca="1">D3490*Reference!$D$7*(1-IF(MONTH($A3490)=Reference!$D$6,1,0)*Reference!$D$12)</f>
        <v>313500</v>
      </c>
      <c r="M3490" s="20"/>
      <c r="N3490" s="20"/>
      <c r="O3490" s="19"/>
      <c r="P3490" s="10"/>
      <c r="Q3490" s="10"/>
      <c r="R3490" s="10"/>
      <c r="S3490" s="10"/>
      <c r="T3490" s="10"/>
      <c r="U3490" s="10"/>
      <c r="V3490" s="10"/>
      <c r="W3490" s="10"/>
      <c r="X3490" s="10"/>
      <c r="Y3490" s="10"/>
    </row>
    <row r="3491" spans="1:25" x14ac:dyDescent="0.25">
      <c r="A3491" s="9">
        <v>44029</v>
      </c>
      <c r="B3491" s="10">
        <f ca="1">ROUND(_xlfn.NORM.INV(RAND(),Reference!$C$8,0.1*Reference!$C$8)*(1+Reference!$C$11*(IF(MONTH($A3491)=Reference!$C$4,1,0)+IF(MONTH($A3491)=Reference!$C$5,1,0))+(IF(MONTH($A3491)=Reference!$C$6,Reference!$C$13,0))),0)</f>
        <v>375</v>
      </c>
      <c r="C3491" s="11">
        <f ca="1">B3491*Reference!$C$7*(1-IF(MONTH($A3491)=Reference!$C$6,1,0)*Reference!$C$12)</f>
        <v>348750</v>
      </c>
      <c r="D3491" s="10">
        <f ca="1">ROUND(_xlfn.NORM.INV(RAND(),Reference!$D$8,0.1*Reference!$D$8)*(1+Reference!$D$11*(IF(MONTH($A3491)=Reference!$D$4,1,0)+IF(MONTH($A3491)=Reference!$D$5,1,0))+(IF(MONTH($A3491)=Reference!$D$6,Reference!$D$13,0))),0)</f>
        <v>581</v>
      </c>
      <c r="E3491" s="11">
        <f ca="1">D3491*Reference!$D$7*(1-IF(MONTH($A3491)=Reference!$D$6,1,0)*Reference!$D$12)</f>
        <v>435750</v>
      </c>
      <c r="M3491" s="20"/>
      <c r="N3491" s="20"/>
      <c r="O3491" s="19"/>
      <c r="P3491" s="10"/>
      <c r="Q3491" s="10"/>
      <c r="R3491" s="10"/>
      <c r="S3491" s="10"/>
      <c r="T3491" s="10"/>
      <c r="U3491" s="10"/>
      <c r="V3491" s="10"/>
      <c r="W3491" s="10"/>
      <c r="X3491" s="10"/>
      <c r="Y3491" s="10"/>
    </row>
    <row r="3492" spans="1:25" x14ac:dyDescent="0.25">
      <c r="A3492" s="9">
        <v>44030</v>
      </c>
      <c r="B3492" s="10">
        <f ca="1">ROUND(_xlfn.NORM.INV(RAND(),Reference!$C$8,0.1*Reference!$C$8)*(1+Reference!$C$11*(IF(MONTH($A3492)=Reference!$C$4,1,0)+IF(MONTH($A3492)=Reference!$C$5,1,0))+(IF(MONTH($A3492)=Reference!$C$6,Reference!$C$13,0))),0)</f>
        <v>404</v>
      </c>
      <c r="C3492" s="11">
        <f ca="1">B3492*Reference!$C$7*(1-IF(MONTH($A3492)=Reference!$C$6,1,0)*Reference!$C$12)</f>
        <v>375720</v>
      </c>
      <c r="D3492" s="10">
        <f ca="1">ROUND(_xlfn.NORM.INV(RAND(),Reference!$D$8,0.1*Reference!$D$8)*(1+Reference!$D$11*(IF(MONTH($A3492)=Reference!$D$4,1,0)+IF(MONTH($A3492)=Reference!$D$5,1,0))+(IF(MONTH($A3492)=Reference!$D$6,Reference!$D$13,0))),0)</f>
        <v>472</v>
      </c>
      <c r="E3492" s="11">
        <f ca="1">D3492*Reference!$D$7*(1-IF(MONTH($A3492)=Reference!$D$6,1,0)*Reference!$D$12)</f>
        <v>354000</v>
      </c>
      <c r="M3492" s="20"/>
      <c r="N3492" s="20"/>
      <c r="O3492" s="19"/>
      <c r="P3492" s="10"/>
      <c r="Q3492" s="10"/>
      <c r="R3492" s="10"/>
      <c r="S3492" s="10"/>
      <c r="T3492" s="10"/>
      <c r="U3492" s="10"/>
      <c r="V3492" s="10"/>
      <c r="W3492" s="10"/>
      <c r="X3492" s="10"/>
      <c r="Y3492" s="10"/>
    </row>
    <row r="3493" spans="1:25" x14ac:dyDescent="0.25">
      <c r="A3493" s="9">
        <v>44031</v>
      </c>
      <c r="B3493" s="10">
        <f ca="1">ROUND(_xlfn.NORM.INV(RAND(),Reference!$C$8,0.1*Reference!$C$8)*(1+Reference!$C$11*(IF(MONTH($A3493)=Reference!$C$4,1,0)+IF(MONTH($A3493)=Reference!$C$5,1,0))+(IF(MONTH($A3493)=Reference!$C$6,Reference!$C$13,0))),0)</f>
        <v>378</v>
      </c>
      <c r="C3493" s="11">
        <f ca="1">B3493*Reference!$C$7*(1-IF(MONTH($A3493)=Reference!$C$6,1,0)*Reference!$C$12)</f>
        <v>351540</v>
      </c>
      <c r="D3493" s="10">
        <f ca="1">ROUND(_xlfn.NORM.INV(RAND(),Reference!$D$8,0.1*Reference!$D$8)*(1+Reference!$D$11*(IF(MONTH($A3493)=Reference!$D$4,1,0)+IF(MONTH($A3493)=Reference!$D$5,1,0))+(IF(MONTH($A3493)=Reference!$D$6,Reference!$D$13,0))),0)</f>
        <v>503</v>
      </c>
      <c r="E3493" s="11">
        <f ca="1">D3493*Reference!$D$7*(1-IF(MONTH($A3493)=Reference!$D$6,1,0)*Reference!$D$12)</f>
        <v>377250</v>
      </c>
      <c r="M3493" s="20"/>
      <c r="N3493" s="20"/>
      <c r="O3493" s="19"/>
      <c r="P3493" s="10"/>
      <c r="Q3493" s="10"/>
      <c r="R3493" s="10"/>
      <c r="S3493" s="10"/>
      <c r="T3493" s="10"/>
      <c r="U3493" s="10"/>
      <c r="V3493" s="10"/>
      <c r="W3493" s="10"/>
      <c r="X3493" s="10"/>
      <c r="Y3493" s="10"/>
    </row>
    <row r="3494" spans="1:25" x14ac:dyDescent="0.25">
      <c r="A3494" s="9">
        <v>44032</v>
      </c>
      <c r="B3494" s="10">
        <f ca="1">ROUND(_xlfn.NORM.INV(RAND(),Reference!$C$8,0.1*Reference!$C$8)*(1+Reference!$C$11*(IF(MONTH($A3494)=Reference!$C$4,1,0)+IF(MONTH($A3494)=Reference!$C$5,1,0))+(IF(MONTH($A3494)=Reference!$C$6,Reference!$C$13,0))),0)</f>
        <v>356</v>
      </c>
      <c r="C3494" s="11">
        <f ca="1">B3494*Reference!$C$7*(1-IF(MONTH($A3494)=Reference!$C$6,1,0)*Reference!$C$12)</f>
        <v>331080</v>
      </c>
      <c r="D3494" s="10">
        <f ca="1">ROUND(_xlfn.NORM.INV(RAND(),Reference!$D$8,0.1*Reference!$D$8)*(1+Reference!$D$11*(IF(MONTH($A3494)=Reference!$D$4,1,0)+IF(MONTH($A3494)=Reference!$D$5,1,0))+(IF(MONTH($A3494)=Reference!$D$6,Reference!$D$13,0))),0)</f>
        <v>510</v>
      </c>
      <c r="E3494" s="11">
        <f ca="1">D3494*Reference!$D$7*(1-IF(MONTH($A3494)=Reference!$D$6,1,0)*Reference!$D$12)</f>
        <v>382500</v>
      </c>
      <c r="M3494" s="20"/>
      <c r="N3494" s="20"/>
      <c r="O3494" s="19"/>
      <c r="P3494" s="10"/>
      <c r="Q3494" s="10"/>
      <c r="R3494" s="10"/>
      <c r="S3494" s="10"/>
      <c r="T3494" s="10"/>
      <c r="U3494" s="10"/>
      <c r="V3494" s="10"/>
      <c r="W3494" s="10"/>
      <c r="X3494" s="10"/>
      <c r="Y3494" s="10"/>
    </row>
    <row r="3495" spans="1:25" x14ac:dyDescent="0.25">
      <c r="A3495" s="9">
        <v>44033</v>
      </c>
      <c r="B3495" s="10">
        <f ca="1">ROUND(_xlfn.NORM.INV(RAND(),Reference!$C$8,0.1*Reference!$C$8)*(1+Reference!$C$11*(IF(MONTH($A3495)=Reference!$C$4,1,0)+IF(MONTH($A3495)=Reference!$C$5,1,0))+(IF(MONTH($A3495)=Reference!$C$6,Reference!$C$13,0))),0)</f>
        <v>375</v>
      </c>
      <c r="C3495" s="11">
        <f ca="1">B3495*Reference!$C$7*(1-IF(MONTH($A3495)=Reference!$C$6,1,0)*Reference!$C$12)</f>
        <v>348750</v>
      </c>
      <c r="D3495" s="10">
        <f ca="1">ROUND(_xlfn.NORM.INV(RAND(),Reference!$D$8,0.1*Reference!$D$8)*(1+Reference!$D$11*(IF(MONTH($A3495)=Reference!$D$4,1,0)+IF(MONTH($A3495)=Reference!$D$5,1,0))+(IF(MONTH($A3495)=Reference!$D$6,Reference!$D$13,0))),0)</f>
        <v>431</v>
      </c>
      <c r="E3495" s="11">
        <f ca="1">D3495*Reference!$D$7*(1-IF(MONTH($A3495)=Reference!$D$6,1,0)*Reference!$D$12)</f>
        <v>323250</v>
      </c>
      <c r="M3495" s="20"/>
      <c r="N3495" s="20"/>
      <c r="O3495" s="19"/>
      <c r="P3495" s="10"/>
      <c r="Q3495" s="10"/>
      <c r="R3495" s="10"/>
      <c r="S3495" s="10"/>
      <c r="T3495" s="10"/>
      <c r="U3495" s="10"/>
      <c r="V3495" s="10"/>
      <c r="W3495" s="10"/>
      <c r="X3495" s="10"/>
      <c r="Y3495" s="10"/>
    </row>
    <row r="3496" spans="1:25" x14ac:dyDescent="0.25">
      <c r="A3496" s="9">
        <v>44034</v>
      </c>
      <c r="B3496" s="10">
        <f ca="1">ROUND(_xlfn.NORM.INV(RAND(),Reference!$C$8,0.1*Reference!$C$8)*(1+Reference!$C$11*(IF(MONTH($A3496)=Reference!$C$4,1,0)+IF(MONTH($A3496)=Reference!$C$5,1,0))+(IF(MONTH($A3496)=Reference!$C$6,Reference!$C$13,0))),0)</f>
        <v>384</v>
      </c>
      <c r="C3496" s="11">
        <f ca="1">B3496*Reference!$C$7*(1-IF(MONTH($A3496)=Reference!$C$6,1,0)*Reference!$C$12)</f>
        <v>357120</v>
      </c>
      <c r="D3496" s="10">
        <f ca="1">ROUND(_xlfn.NORM.INV(RAND(),Reference!$D$8,0.1*Reference!$D$8)*(1+Reference!$D$11*(IF(MONTH($A3496)=Reference!$D$4,1,0)+IF(MONTH($A3496)=Reference!$D$5,1,0))+(IF(MONTH($A3496)=Reference!$D$6,Reference!$D$13,0))),0)</f>
        <v>522</v>
      </c>
      <c r="E3496" s="11">
        <f ca="1">D3496*Reference!$D$7*(1-IF(MONTH($A3496)=Reference!$D$6,1,0)*Reference!$D$12)</f>
        <v>391500</v>
      </c>
      <c r="M3496" s="20"/>
      <c r="N3496" s="20"/>
      <c r="O3496" s="19"/>
      <c r="P3496" s="10"/>
      <c r="Q3496" s="10"/>
      <c r="R3496" s="10"/>
      <c r="S3496" s="10"/>
      <c r="T3496" s="10"/>
      <c r="U3496" s="10"/>
      <c r="V3496" s="10"/>
      <c r="W3496" s="10"/>
      <c r="X3496" s="10"/>
      <c r="Y3496" s="10"/>
    </row>
    <row r="3497" spans="1:25" x14ac:dyDescent="0.25">
      <c r="A3497" s="9">
        <v>44035</v>
      </c>
      <c r="B3497" s="10">
        <f ca="1">ROUND(_xlfn.NORM.INV(RAND(),Reference!$C$8,0.1*Reference!$C$8)*(1+Reference!$C$11*(IF(MONTH($A3497)=Reference!$C$4,1,0)+IF(MONTH($A3497)=Reference!$C$5,1,0))+(IF(MONTH($A3497)=Reference!$C$6,Reference!$C$13,0))),0)</f>
        <v>364</v>
      </c>
      <c r="C3497" s="11">
        <f ca="1">B3497*Reference!$C$7*(1-IF(MONTH($A3497)=Reference!$C$6,1,0)*Reference!$C$12)</f>
        <v>338520</v>
      </c>
      <c r="D3497" s="10">
        <f ca="1">ROUND(_xlfn.NORM.INV(RAND(),Reference!$D$8,0.1*Reference!$D$8)*(1+Reference!$D$11*(IF(MONTH($A3497)=Reference!$D$4,1,0)+IF(MONTH($A3497)=Reference!$D$5,1,0))+(IF(MONTH($A3497)=Reference!$D$6,Reference!$D$13,0))),0)</f>
        <v>500</v>
      </c>
      <c r="E3497" s="11">
        <f ca="1">D3497*Reference!$D$7*(1-IF(MONTH($A3497)=Reference!$D$6,1,0)*Reference!$D$12)</f>
        <v>375000</v>
      </c>
      <c r="M3497" s="20"/>
      <c r="N3497" s="20"/>
      <c r="O3497" s="19"/>
      <c r="P3497" s="10"/>
      <c r="Q3497" s="10"/>
      <c r="R3497" s="10"/>
      <c r="S3497" s="10"/>
      <c r="T3497" s="10"/>
      <c r="U3497" s="10"/>
      <c r="V3497" s="10"/>
      <c r="W3497" s="10"/>
      <c r="X3497" s="10"/>
      <c r="Y3497" s="10"/>
    </row>
    <row r="3498" spans="1:25" x14ac:dyDescent="0.25">
      <c r="A3498" s="9">
        <v>44036</v>
      </c>
      <c r="B3498" s="10">
        <f ca="1">ROUND(_xlfn.NORM.INV(RAND(),Reference!$C$8,0.1*Reference!$C$8)*(1+Reference!$C$11*(IF(MONTH($A3498)=Reference!$C$4,1,0)+IF(MONTH($A3498)=Reference!$C$5,1,0))+(IF(MONTH($A3498)=Reference!$C$6,Reference!$C$13,0))),0)</f>
        <v>380</v>
      </c>
      <c r="C3498" s="11">
        <f ca="1">B3498*Reference!$C$7*(1-IF(MONTH($A3498)=Reference!$C$6,1,0)*Reference!$C$12)</f>
        <v>353400</v>
      </c>
      <c r="D3498" s="10">
        <f ca="1">ROUND(_xlfn.NORM.INV(RAND(),Reference!$D$8,0.1*Reference!$D$8)*(1+Reference!$D$11*(IF(MONTH($A3498)=Reference!$D$4,1,0)+IF(MONTH($A3498)=Reference!$D$5,1,0))+(IF(MONTH($A3498)=Reference!$D$6,Reference!$D$13,0))),0)</f>
        <v>447</v>
      </c>
      <c r="E3498" s="11">
        <f ca="1">D3498*Reference!$D$7*(1-IF(MONTH($A3498)=Reference!$D$6,1,0)*Reference!$D$12)</f>
        <v>335250</v>
      </c>
      <c r="M3498" s="20"/>
      <c r="N3498" s="20"/>
      <c r="O3498" s="19"/>
      <c r="P3498" s="10"/>
      <c r="Q3498" s="10"/>
      <c r="R3498" s="10"/>
      <c r="S3498" s="10"/>
      <c r="T3498" s="10"/>
      <c r="U3498" s="10"/>
      <c r="V3498" s="10"/>
      <c r="W3498" s="10"/>
      <c r="X3498" s="10"/>
      <c r="Y3498" s="10"/>
    </row>
    <row r="3499" spans="1:25" x14ac:dyDescent="0.25">
      <c r="A3499" s="9">
        <v>44037</v>
      </c>
      <c r="B3499" s="10">
        <f ca="1">ROUND(_xlfn.NORM.INV(RAND(),Reference!$C$8,0.1*Reference!$C$8)*(1+Reference!$C$11*(IF(MONTH($A3499)=Reference!$C$4,1,0)+IF(MONTH($A3499)=Reference!$C$5,1,0))+(IF(MONTH($A3499)=Reference!$C$6,Reference!$C$13,0))),0)</f>
        <v>361</v>
      </c>
      <c r="C3499" s="11">
        <f ca="1">B3499*Reference!$C$7*(1-IF(MONTH($A3499)=Reference!$C$6,1,0)*Reference!$C$12)</f>
        <v>335730</v>
      </c>
      <c r="D3499" s="10">
        <f ca="1">ROUND(_xlfn.NORM.INV(RAND(),Reference!$D$8,0.1*Reference!$D$8)*(1+Reference!$D$11*(IF(MONTH($A3499)=Reference!$D$4,1,0)+IF(MONTH($A3499)=Reference!$D$5,1,0))+(IF(MONTH($A3499)=Reference!$D$6,Reference!$D$13,0))),0)</f>
        <v>552</v>
      </c>
      <c r="E3499" s="11">
        <f ca="1">D3499*Reference!$D$7*(1-IF(MONTH($A3499)=Reference!$D$6,1,0)*Reference!$D$12)</f>
        <v>414000</v>
      </c>
      <c r="M3499" s="20"/>
      <c r="N3499" s="20"/>
      <c r="O3499" s="19"/>
      <c r="P3499" s="10"/>
      <c r="Q3499" s="10"/>
      <c r="R3499" s="10"/>
      <c r="S3499" s="10"/>
      <c r="T3499" s="10"/>
      <c r="U3499" s="10"/>
      <c r="V3499" s="10"/>
      <c r="W3499" s="10"/>
      <c r="X3499" s="10"/>
      <c r="Y3499" s="10"/>
    </row>
    <row r="3500" spans="1:25" x14ac:dyDescent="0.25">
      <c r="A3500" s="9">
        <v>44038</v>
      </c>
      <c r="B3500" s="10">
        <f ca="1">ROUND(_xlfn.NORM.INV(RAND(),Reference!$C$8,0.1*Reference!$C$8)*(1+Reference!$C$11*(IF(MONTH($A3500)=Reference!$C$4,1,0)+IF(MONTH($A3500)=Reference!$C$5,1,0))+(IF(MONTH($A3500)=Reference!$C$6,Reference!$C$13,0))),0)</f>
        <v>376</v>
      </c>
      <c r="C3500" s="11">
        <f ca="1">B3500*Reference!$C$7*(1-IF(MONTH($A3500)=Reference!$C$6,1,0)*Reference!$C$12)</f>
        <v>349680</v>
      </c>
      <c r="D3500" s="10">
        <f ca="1">ROUND(_xlfn.NORM.INV(RAND(),Reference!$D$8,0.1*Reference!$D$8)*(1+Reference!$D$11*(IF(MONTH($A3500)=Reference!$D$4,1,0)+IF(MONTH($A3500)=Reference!$D$5,1,0))+(IF(MONTH($A3500)=Reference!$D$6,Reference!$D$13,0))),0)</f>
        <v>393</v>
      </c>
      <c r="E3500" s="11">
        <f ca="1">D3500*Reference!$D$7*(1-IF(MONTH($A3500)=Reference!$D$6,1,0)*Reference!$D$12)</f>
        <v>294750</v>
      </c>
      <c r="M3500" s="20"/>
      <c r="N3500" s="20"/>
      <c r="O3500" s="19"/>
      <c r="P3500" s="10"/>
      <c r="Q3500" s="10"/>
      <c r="R3500" s="10"/>
      <c r="S3500" s="10"/>
      <c r="T3500" s="10"/>
      <c r="U3500" s="10"/>
      <c r="V3500" s="10"/>
      <c r="W3500" s="10"/>
      <c r="X3500" s="10"/>
      <c r="Y3500" s="10"/>
    </row>
    <row r="3501" spans="1:25" x14ac:dyDescent="0.25">
      <c r="A3501" s="9">
        <v>44039</v>
      </c>
      <c r="B3501" s="10">
        <f ca="1">ROUND(_xlfn.NORM.INV(RAND(),Reference!$C$8,0.1*Reference!$C$8)*(1+Reference!$C$11*(IF(MONTH($A3501)=Reference!$C$4,1,0)+IF(MONTH($A3501)=Reference!$C$5,1,0))+(IF(MONTH($A3501)=Reference!$C$6,Reference!$C$13,0))),0)</f>
        <v>368</v>
      </c>
      <c r="C3501" s="11">
        <f ca="1">B3501*Reference!$C$7*(1-IF(MONTH($A3501)=Reference!$C$6,1,0)*Reference!$C$12)</f>
        <v>342240</v>
      </c>
      <c r="D3501" s="10">
        <f ca="1">ROUND(_xlfn.NORM.INV(RAND(),Reference!$D$8,0.1*Reference!$D$8)*(1+Reference!$D$11*(IF(MONTH($A3501)=Reference!$D$4,1,0)+IF(MONTH($A3501)=Reference!$D$5,1,0))+(IF(MONTH($A3501)=Reference!$D$6,Reference!$D$13,0))),0)</f>
        <v>448</v>
      </c>
      <c r="E3501" s="11">
        <f ca="1">D3501*Reference!$D$7*(1-IF(MONTH($A3501)=Reference!$D$6,1,0)*Reference!$D$12)</f>
        <v>336000</v>
      </c>
      <c r="M3501" s="20"/>
      <c r="N3501" s="20"/>
      <c r="O3501" s="19"/>
      <c r="P3501" s="10"/>
      <c r="Q3501" s="10"/>
      <c r="R3501" s="10"/>
      <c r="S3501" s="10"/>
      <c r="T3501" s="10"/>
      <c r="U3501" s="10"/>
      <c r="V3501" s="10"/>
      <c r="W3501" s="10"/>
      <c r="X3501" s="10"/>
      <c r="Y3501" s="10"/>
    </row>
    <row r="3502" spans="1:25" x14ac:dyDescent="0.25">
      <c r="A3502" s="9">
        <v>44040</v>
      </c>
      <c r="B3502" s="10">
        <f ca="1">ROUND(_xlfn.NORM.INV(RAND(),Reference!$C$8,0.1*Reference!$C$8)*(1+Reference!$C$11*(IF(MONTH($A3502)=Reference!$C$4,1,0)+IF(MONTH($A3502)=Reference!$C$5,1,0))+(IF(MONTH($A3502)=Reference!$C$6,Reference!$C$13,0))),0)</f>
        <v>351</v>
      </c>
      <c r="C3502" s="11">
        <f ca="1">B3502*Reference!$C$7*(1-IF(MONTH($A3502)=Reference!$C$6,1,0)*Reference!$C$12)</f>
        <v>326430</v>
      </c>
      <c r="D3502" s="10">
        <f ca="1">ROUND(_xlfn.NORM.INV(RAND(),Reference!$D$8,0.1*Reference!$D$8)*(1+Reference!$D$11*(IF(MONTH($A3502)=Reference!$D$4,1,0)+IF(MONTH($A3502)=Reference!$D$5,1,0))+(IF(MONTH($A3502)=Reference!$D$6,Reference!$D$13,0))),0)</f>
        <v>521</v>
      </c>
      <c r="E3502" s="11">
        <f ca="1">D3502*Reference!$D$7*(1-IF(MONTH($A3502)=Reference!$D$6,1,0)*Reference!$D$12)</f>
        <v>390750</v>
      </c>
      <c r="M3502" s="20"/>
      <c r="N3502" s="20"/>
      <c r="O3502" s="19"/>
      <c r="P3502" s="10"/>
      <c r="Q3502" s="10"/>
      <c r="R3502" s="10"/>
      <c r="S3502" s="10"/>
      <c r="T3502" s="10"/>
      <c r="U3502" s="10"/>
      <c r="V3502" s="10"/>
      <c r="W3502" s="10"/>
      <c r="X3502" s="10"/>
      <c r="Y3502" s="10"/>
    </row>
    <row r="3503" spans="1:25" x14ac:dyDescent="0.25">
      <c r="A3503" s="9">
        <v>44041</v>
      </c>
      <c r="B3503" s="10">
        <f ca="1">ROUND(_xlfn.NORM.INV(RAND(),Reference!$C$8,0.1*Reference!$C$8)*(1+Reference!$C$11*(IF(MONTH($A3503)=Reference!$C$4,1,0)+IF(MONTH($A3503)=Reference!$C$5,1,0))+(IF(MONTH($A3503)=Reference!$C$6,Reference!$C$13,0))),0)</f>
        <v>351</v>
      </c>
      <c r="C3503" s="11">
        <f ca="1">B3503*Reference!$C$7*(1-IF(MONTH($A3503)=Reference!$C$6,1,0)*Reference!$C$12)</f>
        <v>326430</v>
      </c>
      <c r="D3503" s="10">
        <f ca="1">ROUND(_xlfn.NORM.INV(RAND(),Reference!$D$8,0.1*Reference!$D$8)*(1+Reference!$D$11*(IF(MONTH($A3503)=Reference!$D$4,1,0)+IF(MONTH($A3503)=Reference!$D$5,1,0))+(IF(MONTH($A3503)=Reference!$D$6,Reference!$D$13,0))),0)</f>
        <v>504</v>
      </c>
      <c r="E3503" s="11">
        <f ca="1">D3503*Reference!$D$7*(1-IF(MONTH($A3503)=Reference!$D$6,1,0)*Reference!$D$12)</f>
        <v>378000</v>
      </c>
      <c r="M3503" s="20"/>
      <c r="N3503" s="20"/>
      <c r="O3503" s="19"/>
      <c r="P3503" s="10"/>
      <c r="Q3503" s="10"/>
      <c r="R3503" s="10"/>
      <c r="S3503" s="10"/>
      <c r="T3503" s="10"/>
      <c r="U3503" s="10"/>
      <c r="V3503" s="10"/>
      <c r="W3503" s="10"/>
      <c r="X3503" s="10"/>
      <c r="Y3503" s="10"/>
    </row>
    <row r="3504" spans="1:25" x14ac:dyDescent="0.25">
      <c r="A3504" s="9">
        <v>44042</v>
      </c>
      <c r="B3504" s="10">
        <f ca="1">ROUND(_xlfn.NORM.INV(RAND(),Reference!$C$8,0.1*Reference!$C$8)*(1+Reference!$C$11*(IF(MONTH($A3504)=Reference!$C$4,1,0)+IF(MONTH($A3504)=Reference!$C$5,1,0))+(IF(MONTH($A3504)=Reference!$C$6,Reference!$C$13,0))),0)</f>
        <v>302</v>
      </c>
      <c r="C3504" s="11">
        <f ca="1">B3504*Reference!$C$7*(1-IF(MONTH($A3504)=Reference!$C$6,1,0)*Reference!$C$12)</f>
        <v>280860</v>
      </c>
      <c r="D3504" s="10">
        <f ca="1">ROUND(_xlfn.NORM.INV(RAND(),Reference!$D$8,0.1*Reference!$D$8)*(1+Reference!$D$11*(IF(MONTH($A3504)=Reference!$D$4,1,0)+IF(MONTH($A3504)=Reference!$D$5,1,0))+(IF(MONTH($A3504)=Reference!$D$6,Reference!$D$13,0))),0)</f>
        <v>483</v>
      </c>
      <c r="E3504" s="11">
        <f ca="1">D3504*Reference!$D$7*(1-IF(MONTH($A3504)=Reference!$D$6,1,0)*Reference!$D$12)</f>
        <v>362250</v>
      </c>
      <c r="M3504" s="20"/>
      <c r="N3504" s="20"/>
      <c r="O3504" s="19"/>
      <c r="P3504" s="10"/>
      <c r="Q3504" s="10"/>
      <c r="R3504" s="10"/>
      <c r="S3504" s="10"/>
      <c r="T3504" s="10"/>
      <c r="U3504" s="10"/>
      <c r="V3504" s="10"/>
      <c r="W3504" s="10"/>
      <c r="X3504" s="10"/>
      <c r="Y3504" s="10"/>
    </row>
    <row r="3505" spans="1:25" x14ac:dyDescent="0.25">
      <c r="A3505" s="9">
        <v>44043</v>
      </c>
      <c r="B3505" s="10">
        <f ca="1">ROUND(_xlfn.NORM.INV(RAND(),Reference!$C$8,0.1*Reference!$C$8)*(1+Reference!$C$11*(IF(MONTH($A3505)=Reference!$C$4,1,0)+IF(MONTH($A3505)=Reference!$C$5,1,0))+(IF(MONTH($A3505)=Reference!$C$6,Reference!$C$13,0))),0)</f>
        <v>369</v>
      </c>
      <c r="C3505" s="11">
        <f ca="1">B3505*Reference!$C$7*(1-IF(MONTH($A3505)=Reference!$C$6,1,0)*Reference!$C$12)</f>
        <v>343170</v>
      </c>
      <c r="D3505" s="10">
        <f ca="1">ROUND(_xlfn.NORM.INV(RAND(),Reference!$D$8,0.1*Reference!$D$8)*(1+Reference!$D$11*(IF(MONTH($A3505)=Reference!$D$4,1,0)+IF(MONTH($A3505)=Reference!$D$5,1,0))+(IF(MONTH($A3505)=Reference!$D$6,Reference!$D$13,0))),0)</f>
        <v>510</v>
      </c>
      <c r="E3505" s="11">
        <f ca="1">D3505*Reference!$D$7*(1-IF(MONTH($A3505)=Reference!$D$6,1,0)*Reference!$D$12)</f>
        <v>382500</v>
      </c>
      <c r="M3505" s="20"/>
      <c r="N3505" s="20"/>
      <c r="O3505" s="19"/>
      <c r="P3505" s="10"/>
      <c r="Q3505" s="10"/>
      <c r="R3505" s="10"/>
      <c r="S3505" s="10"/>
      <c r="T3505" s="10"/>
      <c r="U3505" s="10"/>
      <c r="V3505" s="10"/>
      <c r="W3505" s="10"/>
      <c r="X3505" s="10"/>
      <c r="Y3505" s="10"/>
    </row>
    <row r="3506" spans="1:25" x14ac:dyDescent="0.25">
      <c r="A3506" s="9">
        <v>44044</v>
      </c>
      <c r="B3506" s="10">
        <f ca="1">ROUND(_xlfn.NORM.INV(RAND(),Reference!$C$8,0.1*Reference!$C$8)*(1+Reference!$C$11*(IF(MONTH($A3506)=Reference!$C$4,1,0)+IF(MONTH($A3506)=Reference!$C$5,1,0))+(IF(MONTH($A3506)=Reference!$C$6,Reference!$C$13,0))),0)</f>
        <v>378</v>
      </c>
      <c r="C3506" s="11">
        <f ca="1">B3506*Reference!$C$7*(1-IF(MONTH($A3506)=Reference!$C$6,1,0)*Reference!$C$12)</f>
        <v>351540</v>
      </c>
      <c r="D3506" s="10">
        <f ca="1">ROUND(_xlfn.NORM.INV(RAND(),Reference!$D$8,0.1*Reference!$D$8)*(1+Reference!$D$11*(IF(MONTH($A3506)=Reference!$D$4,1,0)+IF(MONTH($A3506)=Reference!$D$5,1,0))+(IF(MONTH($A3506)=Reference!$D$6,Reference!$D$13,0))),0)</f>
        <v>466</v>
      </c>
      <c r="E3506" s="11">
        <f ca="1">D3506*Reference!$D$7*(1-IF(MONTH($A3506)=Reference!$D$6,1,0)*Reference!$D$12)</f>
        <v>349500</v>
      </c>
      <c r="M3506" s="20"/>
      <c r="N3506" s="20"/>
      <c r="O3506" s="19"/>
      <c r="P3506" s="10"/>
      <c r="Q3506" s="10"/>
      <c r="R3506" s="10"/>
      <c r="S3506" s="10"/>
      <c r="T3506" s="10"/>
      <c r="U3506" s="10"/>
      <c r="V3506" s="10"/>
      <c r="W3506" s="10"/>
      <c r="X3506" s="10"/>
      <c r="Y3506" s="10"/>
    </row>
    <row r="3507" spans="1:25" x14ac:dyDescent="0.25">
      <c r="A3507" s="9">
        <v>44045</v>
      </c>
      <c r="B3507" s="10">
        <f ca="1">ROUND(_xlfn.NORM.INV(RAND(),Reference!$C$8,0.1*Reference!$C$8)*(1+Reference!$C$11*(IF(MONTH($A3507)=Reference!$C$4,1,0)+IF(MONTH($A3507)=Reference!$C$5,1,0))+(IF(MONTH($A3507)=Reference!$C$6,Reference!$C$13,0))),0)</f>
        <v>404</v>
      </c>
      <c r="C3507" s="11">
        <f ca="1">B3507*Reference!$C$7*(1-IF(MONTH($A3507)=Reference!$C$6,1,0)*Reference!$C$12)</f>
        <v>375720</v>
      </c>
      <c r="D3507" s="10">
        <f ca="1">ROUND(_xlfn.NORM.INV(RAND(),Reference!$D$8,0.1*Reference!$D$8)*(1+Reference!$D$11*(IF(MONTH($A3507)=Reference!$D$4,1,0)+IF(MONTH($A3507)=Reference!$D$5,1,0))+(IF(MONTH($A3507)=Reference!$D$6,Reference!$D$13,0))),0)</f>
        <v>548</v>
      </c>
      <c r="E3507" s="11">
        <f ca="1">D3507*Reference!$D$7*(1-IF(MONTH($A3507)=Reference!$D$6,1,0)*Reference!$D$12)</f>
        <v>411000</v>
      </c>
      <c r="M3507" s="20"/>
      <c r="N3507" s="20"/>
      <c r="O3507" s="19"/>
      <c r="P3507" s="10"/>
      <c r="Q3507" s="10"/>
      <c r="R3507" s="10"/>
      <c r="S3507" s="10"/>
      <c r="T3507" s="10"/>
      <c r="U3507" s="10"/>
      <c r="V3507" s="10"/>
      <c r="W3507" s="10"/>
      <c r="X3507" s="10"/>
      <c r="Y3507" s="10"/>
    </row>
    <row r="3508" spans="1:25" x14ac:dyDescent="0.25">
      <c r="A3508" s="9">
        <v>44046</v>
      </c>
      <c r="B3508" s="10">
        <f ca="1">ROUND(_xlfn.NORM.INV(RAND(),Reference!$C$8,0.1*Reference!$C$8)*(1+Reference!$C$11*(IF(MONTH($A3508)=Reference!$C$4,1,0)+IF(MONTH($A3508)=Reference!$C$5,1,0))+(IF(MONTH($A3508)=Reference!$C$6,Reference!$C$13,0))),0)</f>
        <v>405</v>
      </c>
      <c r="C3508" s="11">
        <f ca="1">B3508*Reference!$C$7*(1-IF(MONTH($A3508)=Reference!$C$6,1,0)*Reference!$C$12)</f>
        <v>376650</v>
      </c>
      <c r="D3508" s="10">
        <f ca="1">ROUND(_xlfn.NORM.INV(RAND(),Reference!$D$8,0.1*Reference!$D$8)*(1+Reference!$D$11*(IF(MONTH($A3508)=Reference!$D$4,1,0)+IF(MONTH($A3508)=Reference!$D$5,1,0))+(IF(MONTH($A3508)=Reference!$D$6,Reference!$D$13,0))),0)</f>
        <v>508</v>
      </c>
      <c r="E3508" s="11">
        <f ca="1">D3508*Reference!$D$7*(1-IF(MONTH($A3508)=Reference!$D$6,1,0)*Reference!$D$12)</f>
        <v>381000</v>
      </c>
      <c r="M3508" s="20"/>
      <c r="N3508" s="20"/>
      <c r="O3508" s="19"/>
      <c r="P3508" s="10"/>
      <c r="Q3508" s="10"/>
      <c r="R3508" s="10"/>
      <c r="S3508" s="10"/>
      <c r="T3508" s="10"/>
      <c r="U3508" s="10"/>
      <c r="V3508" s="10"/>
      <c r="W3508" s="10"/>
      <c r="X3508" s="10"/>
      <c r="Y3508" s="10"/>
    </row>
    <row r="3509" spans="1:25" x14ac:dyDescent="0.25">
      <c r="A3509" s="9">
        <v>44047</v>
      </c>
      <c r="B3509" s="10">
        <f ca="1">ROUND(_xlfn.NORM.INV(RAND(),Reference!$C$8,0.1*Reference!$C$8)*(1+Reference!$C$11*(IF(MONTH($A3509)=Reference!$C$4,1,0)+IF(MONTH($A3509)=Reference!$C$5,1,0))+(IF(MONTH($A3509)=Reference!$C$6,Reference!$C$13,0))),0)</f>
        <v>363</v>
      </c>
      <c r="C3509" s="11">
        <f ca="1">B3509*Reference!$C$7*(1-IF(MONTH($A3509)=Reference!$C$6,1,0)*Reference!$C$12)</f>
        <v>337590</v>
      </c>
      <c r="D3509" s="10">
        <f ca="1">ROUND(_xlfn.NORM.INV(RAND(),Reference!$D$8,0.1*Reference!$D$8)*(1+Reference!$D$11*(IF(MONTH($A3509)=Reference!$D$4,1,0)+IF(MONTH($A3509)=Reference!$D$5,1,0))+(IF(MONTH($A3509)=Reference!$D$6,Reference!$D$13,0))),0)</f>
        <v>557</v>
      </c>
      <c r="E3509" s="11">
        <f ca="1">D3509*Reference!$D$7*(1-IF(MONTH($A3509)=Reference!$D$6,1,0)*Reference!$D$12)</f>
        <v>417750</v>
      </c>
      <c r="M3509" s="20"/>
      <c r="N3509" s="20"/>
      <c r="O3509" s="19"/>
      <c r="P3509" s="10"/>
      <c r="Q3509" s="10"/>
      <c r="R3509" s="10"/>
      <c r="S3509" s="10"/>
      <c r="T3509" s="10"/>
      <c r="U3509" s="10"/>
      <c r="V3509" s="10"/>
      <c r="W3509" s="10"/>
      <c r="X3509" s="10"/>
      <c r="Y3509" s="10"/>
    </row>
    <row r="3510" spans="1:25" x14ac:dyDescent="0.25">
      <c r="A3510" s="9">
        <v>44048</v>
      </c>
      <c r="B3510" s="10">
        <f ca="1">ROUND(_xlfn.NORM.INV(RAND(),Reference!$C$8,0.1*Reference!$C$8)*(1+Reference!$C$11*(IF(MONTH($A3510)=Reference!$C$4,1,0)+IF(MONTH($A3510)=Reference!$C$5,1,0))+(IF(MONTH($A3510)=Reference!$C$6,Reference!$C$13,0))),0)</f>
        <v>313</v>
      </c>
      <c r="C3510" s="11">
        <f ca="1">B3510*Reference!$C$7*(1-IF(MONTH($A3510)=Reference!$C$6,1,0)*Reference!$C$12)</f>
        <v>291090</v>
      </c>
      <c r="D3510" s="10">
        <f ca="1">ROUND(_xlfn.NORM.INV(RAND(),Reference!$D$8,0.1*Reference!$D$8)*(1+Reference!$D$11*(IF(MONTH($A3510)=Reference!$D$4,1,0)+IF(MONTH($A3510)=Reference!$D$5,1,0))+(IF(MONTH($A3510)=Reference!$D$6,Reference!$D$13,0))),0)</f>
        <v>392</v>
      </c>
      <c r="E3510" s="11">
        <f ca="1">D3510*Reference!$D$7*(1-IF(MONTH($A3510)=Reference!$D$6,1,0)*Reference!$D$12)</f>
        <v>294000</v>
      </c>
      <c r="M3510" s="20"/>
      <c r="N3510" s="20"/>
      <c r="O3510" s="19"/>
      <c r="P3510" s="10"/>
      <c r="Q3510" s="10"/>
      <c r="R3510" s="10"/>
      <c r="S3510" s="10"/>
      <c r="T3510" s="10"/>
      <c r="U3510" s="10"/>
      <c r="V3510" s="10"/>
      <c r="W3510" s="10"/>
      <c r="X3510" s="10"/>
      <c r="Y3510" s="10"/>
    </row>
    <row r="3511" spans="1:25" x14ac:dyDescent="0.25">
      <c r="A3511" s="9">
        <v>44049</v>
      </c>
      <c r="B3511" s="10">
        <f ca="1">ROUND(_xlfn.NORM.INV(RAND(),Reference!$C$8,0.1*Reference!$C$8)*(1+Reference!$C$11*(IF(MONTH($A3511)=Reference!$C$4,1,0)+IF(MONTH($A3511)=Reference!$C$5,1,0))+(IF(MONTH($A3511)=Reference!$C$6,Reference!$C$13,0))),0)</f>
        <v>296</v>
      </c>
      <c r="C3511" s="11">
        <f ca="1">B3511*Reference!$C$7*(1-IF(MONTH($A3511)=Reference!$C$6,1,0)*Reference!$C$12)</f>
        <v>275280</v>
      </c>
      <c r="D3511" s="10">
        <f ca="1">ROUND(_xlfn.NORM.INV(RAND(),Reference!$D$8,0.1*Reference!$D$8)*(1+Reference!$D$11*(IF(MONTH($A3511)=Reference!$D$4,1,0)+IF(MONTH($A3511)=Reference!$D$5,1,0))+(IF(MONTH($A3511)=Reference!$D$6,Reference!$D$13,0))),0)</f>
        <v>466</v>
      </c>
      <c r="E3511" s="11">
        <f ca="1">D3511*Reference!$D$7*(1-IF(MONTH($A3511)=Reference!$D$6,1,0)*Reference!$D$12)</f>
        <v>349500</v>
      </c>
      <c r="M3511" s="20"/>
      <c r="N3511" s="20"/>
      <c r="O3511" s="19"/>
      <c r="P3511" s="10"/>
      <c r="Q3511" s="10"/>
      <c r="R3511" s="10"/>
      <c r="S3511" s="10"/>
      <c r="T3511" s="10"/>
      <c r="U3511" s="10"/>
      <c r="V3511" s="10"/>
      <c r="W3511" s="10"/>
      <c r="X3511" s="10"/>
      <c r="Y3511" s="10"/>
    </row>
    <row r="3512" spans="1:25" x14ac:dyDescent="0.25">
      <c r="A3512" s="9">
        <v>44050</v>
      </c>
      <c r="B3512" s="10">
        <f ca="1">ROUND(_xlfn.NORM.INV(RAND(),Reference!$C$8,0.1*Reference!$C$8)*(1+Reference!$C$11*(IF(MONTH($A3512)=Reference!$C$4,1,0)+IF(MONTH($A3512)=Reference!$C$5,1,0))+(IF(MONTH($A3512)=Reference!$C$6,Reference!$C$13,0))),0)</f>
        <v>353</v>
      </c>
      <c r="C3512" s="11">
        <f ca="1">B3512*Reference!$C$7*(1-IF(MONTH($A3512)=Reference!$C$6,1,0)*Reference!$C$12)</f>
        <v>328290</v>
      </c>
      <c r="D3512" s="10">
        <f ca="1">ROUND(_xlfn.NORM.INV(RAND(),Reference!$D$8,0.1*Reference!$D$8)*(1+Reference!$D$11*(IF(MONTH($A3512)=Reference!$D$4,1,0)+IF(MONTH($A3512)=Reference!$D$5,1,0))+(IF(MONTH($A3512)=Reference!$D$6,Reference!$D$13,0))),0)</f>
        <v>405</v>
      </c>
      <c r="E3512" s="11">
        <f ca="1">D3512*Reference!$D$7*(1-IF(MONTH($A3512)=Reference!$D$6,1,0)*Reference!$D$12)</f>
        <v>303750</v>
      </c>
      <c r="M3512" s="20"/>
      <c r="N3512" s="20"/>
      <c r="O3512" s="19"/>
      <c r="P3512" s="10"/>
      <c r="Q3512" s="10"/>
      <c r="R3512" s="10"/>
      <c r="S3512" s="10"/>
      <c r="T3512" s="10"/>
      <c r="U3512" s="10"/>
      <c r="V3512" s="10"/>
      <c r="W3512" s="10"/>
      <c r="X3512" s="10"/>
      <c r="Y3512" s="10"/>
    </row>
    <row r="3513" spans="1:25" x14ac:dyDescent="0.25">
      <c r="A3513" s="9">
        <v>44051</v>
      </c>
      <c r="B3513" s="10">
        <f ca="1">ROUND(_xlfn.NORM.INV(RAND(),Reference!$C$8,0.1*Reference!$C$8)*(1+Reference!$C$11*(IF(MONTH($A3513)=Reference!$C$4,1,0)+IF(MONTH($A3513)=Reference!$C$5,1,0))+(IF(MONTH($A3513)=Reference!$C$6,Reference!$C$13,0))),0)</f>
        <v>299</v>
      </c>
      <c r="C3513" s="11">
        <f ca="1">B3513*Reference!$C$7*(1-IF(MONTH($A3513)=Reference!$C$6,1,0)*Reference!$C$12)</f>
        <v>278070</v>
      </c>
      <c r="D3513" s="10">
        <f ca="1">ROUND(_xlfn.NORM.INV(RAND(),Reference!$D$8,0.1*Reference!$D$8)*(1+Reference!$D$11*(IF(MONTH($A3513)=Reference!$D$4,1,0)+IF(MONTH($A3513)=Reference!$D$5,1,0))+(IF(MONTH($A3513)=Reference!$D$6,Reference!$D$13,0))),0)</f>
        <v>480</v>
      </c>
      <c r="E3513" s="11">
        <f ca="1">D3513*Reference!$D$7*(1-IF(MONTH($A3513)=Reference!$D$6,1,0)*Reference!$D$12)</f>
        <v>360000</v>
      </c>
      <c r="M3513" s="20"/>
      <c r="N3513" s="20"/>
      <c r="O3513" s="19"/>
      <c r="P3513" s="10"/>
      <c r="Q3513" s="10"/>
      <c r="R3513" s="10"/>
      <c r="S3513" s="10"/>
      <c r="T3513" s="10"/>
      <c r="U3513" s="10"/>
      <c r="V3513" s="10"/>
      <c r="W3513" s="10"/>
      <c r="X3513" s="10"/>
      <c r="Y3513" s="10"/>
    </row>
    <row r="3514" spans="1:25" x14ac:dyDescent="0.25">
      <c r="A3514" s="9">
        <v>44052</v>
      </c>
      <c r="B3514" s="10">
        <f ca="1">ROUND(_xlfn.NORM.INV(RAND(),Reference!$C$8,0.1*Reference!$C$8)*(1+Reference!$C$11*(IF(MONTH($A3514)=Reference!$C$4,1,0)+IF(MONTH($A3514)=Reference!$C$5,1,0))+(IF(MONTH($A3514)=Reference!$C$6,Reference!$C$13,0))),0)</f>
        <v>350</v>
      </c>
      <c r="C3514" s="11">
        <f ca="1">B3514*Reference!$C$7*(1-IF(MONTH($A3514)=Reference!$C$6,1,0)*Reference!$C$12)</f>
        <v>325500</v>
      </c>
      <c r="D3514" s="10">
        <f ca="1">ROUND(_xlfn.NORM.INV(RAND(),Reference!$D$8,0.1*Reference!$D$8)*(1+Reference!$D$11*(IF(MONTH($A3514)=Reference!$D$4,1,0)+IF(MONTH($A3514)=Reference!$D$5,1,0))+(IF(MONTH($A3514)=Reference!$D$6,Reference!$D$13,0))),0)</f>
        <v>438</v>
      </c>
      <c r="E3514" s="11">
        <f ca="1">D3514*Reference!$D$7*(1-IF(MONTH($A3514)=Reference!$D$6,1,0)*Reference!$D$12)</f>
        <v>328500</v>
      </c>
      <c r="M3514" s="20"/>
      <c r="N3514" s="20"/>
      <c r="O3514" s="19"/>
      <c r="P3514" s="10"/>
      <c r="Q3514" s="10"/>
      <c r="R3514" s="10"/>
      <c r="S3514" s="10"/>
      <c r="T3514" s="10"/>
      <c r="U3514" s="10"/>
      <c r="V3514" s="10"/>
      <c r="W3514" s="10"/>
      <c r="X3514" s="10"/>
      <c r="Y3514" s="10"/>
    </row>
    <row r="3515" spans="1:25" x14ac:dyDescent="0.25">
      <c r="A3515" s="9">
        <v>44053</v>
      </c>
      <c r="B3515" s="10">
        <f ca="1">ROUND(_xlfn.NORM.INV(RAND(),Reference!$C$8,0.1*Reference!$C$8)*(1+Reference!$C$11*(IF(MONTH($A3515)=Reference!$C$4,1,0)+IF(MONTH($A3515)=Reference!$C$5,1,0))+(IF(MONTH($A3515)=Reference!$C$6,Reference!$C$13,0))),0)</f>
        <v>413</v>
      </c>
      <c r="C3515" s="11">
        <f ca="1">B3515*Reference!$C$7*(1-IF(MONTH($A3515)=Reference!$C$6,1,0)*Reference!$C$12)</f>
        <v>384090</v>
      </c>
      <c r="D3515" s="10">
        <f ca="1">ROUND(_xlfn.NORM.INV(RAND(),Reference!$D$8,0.1*Reference!$D$8)*(1+Reference!$D$11*(IF(MONTH($A3515)=Reference!$D$4,1,0)+IF(MONTH($A3515)=Reference!$D$5,1,0))+(IF(MONTH($A3515)=Reference!$D$6,Reference!$D$13,0))),0)</f>
        <v>454</v>
      </c>
      <c r="E3515" s="11">
        <f ca="1">D3515*Reference!$D$7*(1-IF(MONTH($A3515)=Reference!$D$6,1,0)*Reference!$D$12)</f>
        <v>340500</v>
      </c>
      <c r="M3515" s="20"/>
      <c r="N3515" s="20"/>
      <c r="O3515" s="19"/>
      <c r="P3515" s="10"/>
      <c r="Q3515" s="10"/>
      <c r="R3515" s="10"/>
      <c r="S3515" s="10"/>
      <c r="T3515" s="10"/>
      <c r="U3515" s="10"/>
      <c r="V3515" s="10"/>
      <c r="W3515" s="10"/>
      <c r="X3515" s="10"/>
      <c r="Y3515" s="10"/>
    </row>
    <row r="3516" spans="1:25" x14ac:dyDescent="0.25">
      <c r="A3516" s="9">
        <v>44054</v>
      </c>
      <c r="B3516" s="10">
        <f ca="1">ROUND(_xlfn.NORM.INV(RAND(),Reference!$C$8,0.1*Reference!$C$8)*(1+Reference!$C$11*(IF(MONTH($A3516)=Reference!$C$4,1,0)+IF(MONTH($A3516)=Reference!$C$5,1,0))+(IF(MONTH($A3516)=Reference!$C$6,Reference!$C$13,0))),0)</f>
        <v>374</v>
      </c>
      <c r="C3516" s="11">
        <f ca="1">B3516*Reference!$C$7*(1-IF(MONTH($A3516)=Reference!$C$6,1,0)*Reference!$C$12)</f>
        <v>347820</v>
      </c>
      <c r="D3516" s="10">
        <f ca="1">ROUND(_xlfn.NORM.INV(RAND(),Reference!$D$8,0.1*Reference!$D$8)*(1+Reference!$D$11*(IF(MONTH($A3516)=Reference!$D$4,1,0)+IF(MONTH($A3516)=Reference!$D$5,1,0))+(IF(MONTH($A3516)=Reference!$D$6,Reference!$D$13,0))),0)</f>
        <v>593</v>
      </c>
      <c r="E3516" s="11">
        <f ca="1">D3516*Reference!$D$7*(1-IF(MONTH($A3516)=Reference!$D$6,1,0)*Reference!$D$12)</f>
        <v>444750</v>
      </c>
      <c r="M3516" s="20"/>
      <c r="N3516" s="20"/>
      <c r="O3516" s="19"/>
      <c r="P3516" s="10"/>
      <c r="Q3516" s="10"/>
      <c r="R3516" s="10"/>
      <c r="S3516" s="10"/>
      <c r="T3516" s="10"/>
      <c r="U3516" s="10"/>
      <c r="V3516" s="10"/>
      <c r="W3516" s="10"/>
      <c r="X3516" s="10"/>
      <c r="Y3516" s="10"/>
    </row>
    <row r="3517" spans="1:25" x14ac:dyDescent="0.25">
      <c r="A3517" s="9">
        <v>44055</v>
      </c>
      <c r="B3517" s="10">
        <f ca="1">ROUND(_xlfn.NORM.INV(RAND(),Reference!$C$8,0.1*Reference!$C$8)*(1+Reference!$C$11*(IF(MONTH($A3517)=Reference!$C$4,1,0)+IF(MONTH($A3517)=Reference!$C$5,1,0))+(IF(MONTH($A3517)=Reference!$C$6,Reference!$C$13,0))),0)</f>
        <v>393</v>
      </c>
      <c r="C3517" s="11">
        <f ca="1">B3517*Reference!$C$7*(1-IF(MONTH($A3517)=Reference!$C$6,1,0)*Reference!$C$12)</f>
        <v>365490</v>
      </c>
      <c r="D3517" s="10">
        <f ca="1">ROUND(_xlfn.NORM.INV(RAND(),Reference!$D$8,0.1*Reference!$D$8)*(1+Reference!$D$11*(IF(MONTH($A3517)=Reference!$D$4,1,0)+IF(MONTH($A3517)=Reference!$D$5,1,0))+(IF(MONTH($A3517)=Reference!$D$6,Reference!$D$13,0))),0)</f>
        <v>561</v>
      </c>
      <c r="E3517" s="11">
        <f ca="1">D3517*Reference!$D$7*(1-IF(MONTH($A3517)=Reference!$D$6,1,0)*Reference!$D$12)</f>
        <v>420750</v>
      </c>
      <c r="M3517" s="20"/>
      <c r="N3517" s="20"/>
      <c r="O3517" s="19"/>
      <c r="P3517" s="10"/>
      <c r="Q3517" s="10"/>
      <c r="R3517" s="10"/>
      <c r="S3517" s="10"/>
      <c r="T3517" s="10"/>
      <c r="U3517" s="10"/>
      <c r="V3517" s="10"/>
      <c r="W3517" s="10"/>
      <c r="X3517" s="10"/>
      <c r="Y3517" s="10"/>
    </row>
    <row r="3518" spans="1:25" x14ac:dyDescent="0.25">
      <c r="A3518" s="9">
        <v>44056</v>
      </c>
      <c r="B3518" s="10">
        <f ca="1">ROUND(_xlfn.NORM.INV(RAND(),Reference!$C$8,0.1*Reference!$C$8)*(1+Reference!$C$11*(IF(MONTH($A3518)=Reference!$C$4,1,0)+IF(MONTH($A3518)=Reference!$C$5,1,0))+(IF(MONTH($A3518)=Reference!$C$6,Reference!$C$13,0))),0)</f>
        <v>365</v>
      </c>
      <c r="C3518" s="11">
        <f ca="1">B3518*Reference!$C$7*(1-IF(MONTH($A3518)=Reference!$C$6,1,0)*Reference!$C$12)</f>
        <v>339450</v>
      </c>
      <c r="D3518" s="10">
        <f ca="1">ROUND(_xlfn.NORM.INV(RAND(),Reference!$D$8,0.1*Reference!$D$8)*(1+Reference!$D$11*(IF(MONTH($A3518)=Reference!$D$4,1,0)+IF(MONTH($A3518)=Reference!$D$5,1,0))+(IF(MONTH($A3518)=Reference!$D$6,Reference!$D$13,0))),0)</f>
        <v>524</v>
      </c>
      <c r="E3518" s="11">
        <f ca="1">D3518*Reference!$D$7*(1-IF(MONTH($A3518)=Reference!$D$6,1,0)*Reference!$D$12)</f>
        <v>393000</v>
      </c>
      <c r="M3518" s="20"/>
      <c r="N3518" s="20"/>
      <c r="O3518" s="19"/>
      <c r="P3518" s="10"/>
      <c r="Q3518" s="10"/>
      <c r="R3518" s="10"/>
      <c r="S3518" s="10"/>
      <c r="T3518" s="10"/>
      <c r="U3518" s="10"/>
      <c r="V3518" s="10"/>
      <c r="W3518" s="10"/>
      <c r="X3518" s="10"/>
      <c r="Y3518" s="10"/>
    </row>
    <row r="3519" spans="1:25" x14ac:dyDescent="0.25">
      <c r="A3519" s="9">
        <v>44057</v>
      </c>
      <c r="B3519" s="10">
        <f ca="1">ROUND(_xlfn.NORM.INV(RAND(),Reference!$C$8,0.1*Reference!$C$8)*(1+Reference!$C$11*(IF(MONTH($A3519)=Reference!$C$4,1,0)+IF(MONTH($A3519)=Reference!$C$5,1,0))+(IF(MONTH($A3519)=Reference!$C$6,Reference!$C$13,0))),0)</f>
        <v>350</v>
      </c>
      <c r="C3519" s="11">
        <f ca="1">B3519*Reference!$C$7*(1-IF(MONTH($A3519)=Reference!$C$6,1,0)*Reference!$C$12)</f>
        <v>325500</v>
      </c>
      <c r="D3519" s="10">
        <f ca="1">ROUND(_xlfn.NORM.INV(RAND(),Reference!$D$8,0.1*Reference!$D$8)*(1+Reference!$D$11*(IF(MONTH($A3519)=Reference!$D$4,1,0)+IF(MONTH($A3519)=Reference!$D$5,1,0))+(IF(MONTH($A3519)=Reference!$D$6,Reference!$D$13,0))),0)</f>
        <v>485</v>
      </c>
      <c r="E3519" s="11">
        <f ca="1">D3519*Reference!$D$7*(1-IF(MONTH($A3519)=Reference!$D$6,1,0)*Reference!$D$12)</f>
        <v>363750</v>
      </c>
      <c r="M3519" s="20"/>
      <c r="N3519" s="20"/>
      <c r="O3519" s="19"/>
      <c r="P3519" s="10"/>
      <c r="Q3519" s="10"/>
      <c r="R3519" s="10"/>
      <c r="S3519" s="10"/>
      <c r="T3519" s="10"/>
      <c r="U3519" s="10"/>
      <c r="V3519" s="10"/>
      <c r="W3519" s="10"/>
      <c r="X3519" s="10"/>
      <c r="Y3519" s="10"/>
    </row>
    <row r="3520" spans="1:25" x14ac:dyDescent="0.25">
      <c r="A3520" s="9">
        <v>44058</v>
      </c>
      <c r="B3520" s="10">
        <f ca="1">ROUND(_xlfn.NORM.INV(RAND(),Reference!$C$8,0.1*Reference!$C$8)*(1+Reference!$C$11*(IF(MONTH($A3520)=Reference!$C$4,1,0)+IF(MONTH($A3520)=Reference!$C$5,1,0))+(IF(MONTH($A3520)=Reference!$C$6,Reference!$C$13,0))),0)</f>
        <v>388</v>
      </c>
      <c r="C3520" s="11">
        <f ca="1">B3520*Reference!$C$7*(1-IF(MONTH($A3520)=Reference!$C$6,1,0)*Reference!$C$12)</f>
        <v>360840</v>
      </c>
      <c r="D3520" s="10">
        <f ca="1">ROUND(_xlfn.NORM.INV(RAND(),Reference!$D$8,0.1*Reference!$D$8)*(1+Reference!$D$11*(IF(MONTH($A3520)=Reference!$D$4,1,0)+IF(MONTH($A3520)=Reference!$D$5,1,0))+(IF(MONTH($A3520)=Reference!$D$6,Reference!$D$13,0))),0)</f>
        <v>453</v>
      </c>
      <c r="E3520" s="11">
        <f ca="1">D3520*Reference!$D$7*(1-IF(MONTH($A3520)=Reference!$D$6,1,0)*Reference!$D$12)</f>
        <v>339750</v>
      </c>
      <c r="M3520" s="20"/>
      <c r="N3520" s="20"/>
      <c r="O3520" s="19"/>
      <c r="P3520" s="10"/>
      <c r="Q3520" s="10"/>
      <c r="R3520" s="10"/>
      <c r="S3520" s="10"/>
      <c r="T3520" s="10"/>
      <c r="U3520" s="10"/>
      <c r="V3520" s="10"/>
      <c r="W3520" s="10"/>
      <c r="X3520" s="10"/>
      <c r="Y3520" s="10"/>
    </row>
    <row r="3521" spans="1:25" x14ac:dyDescent="0.25">
      <c r="A3521" s="9">
        <v>44059</v>
      </c>
      <c r="B3521" s="10">
        <f ca="1">ROUND(_xlfn.NORM.INV(RAND(),Reference!$C$8,0.1*Reference!$C$8)*(1+Reference!$C$11*(IF(MONTH($A3521)=Reference!$C$4,1,0)+IF(MONTH($A3521)=Reference!$C$5,1,0))+(IF(MONTH($A3521)=Reference!$C$6,Reference!$C$13,0))),0)</f>
        <v>356</v>
      </c>
      <c r="C3521" s="11">
        <f ca="1">B3521*Reference!$C$7*(1-IF(MONTH($A3521)=Reference!$C$6,1,0)*Reference!$C$12)</f>
        <v>331080</v>
      </c>
      <c r="D3521" s="10">
        <f ca="1">ROUND(_xlfn.NORM.INV(RAND(),Reference!$D$8,0.1*Reference!$D$8)*(1+Reference!$D$11*(IF(MONTH($A3521)=Reference!$D$4,1,0)+IF(MONTH($A3521)=Reference!$D$5,1,0))+(IF(MONTH($A3521)=Reference!$D$6,Reference!$D$13,0))),0)</f>
        <v>524</v>
      </c>
      <c r="E3521" s="11">
        <f ca="1">D3521*Reference!$D$7*(1-IF(MONTH($A3521)=Reference!$D$6,1,0)*Reference!$D$12)</f>
        <v>393000</v>
      </c>
      <c r="M3521" s="20"/>
      <c r="N3521" s="20"/>
      <c r="O3521" s="19"/>
      <c r="P3521" s="10"/>
      <c r="Q3521" s="10"/>
      <c r="R3521" s="10"/>
      <c r="S3521" s="10"/>
      <c r="T3521" s="10"/>
      <c r="U3521" s="10"/>
      <c r="V3521" s="10"/>
      <c r="W3521" s="10"/>
      <c r="X3521" s="10"/>
      <c r="Y3521" s="10"/>
    </row>
    <row r="3522" spans="1:25" x14ac:dyDescent="0.25">
      <c r="A3522" s="9">
        <v>44060</v>
      </c>
      <c r="B3522" s="10">
        <f ca="1">ROUND(_xlfn.NORM.INV(RAND(),Reference!$C$8,0.1*Reference!$C$8)*(1+Reference!$C$11*(IF(MONTH($A3522)=Reference!$C$4,1,0)+IF(MONTH($A3522)=Reference!$C$5,1,0))+(IF(MONTH($A3522)=Reference!$C$6,Reference!$C$13,0))),0)</f>
        <v>365</v>
      </c>
      <c r="C3522" s="11">
        <f ca="1">B3522*Reference!$C$7*(1-IF(MONTH($A3522)=Reference!$C$6,1,0)*Reference!$C$12)</f>
        <v>339450</v>
      </c>
      <c r="D3522" s="10">
        <f ca="1">ROUND(_xlfn.NORM.INV(RAND(),Reference!$D$8,0.1*Reference!$D$8)*(1+Reference!$D$11*(IF(MONTH($A3522)=Reference!$D$4,1,0)+IF(MONTH($A3522)=Reference!$D$5,1,0))+(IF(MONTH($A3522)=Reference!$D$6,Reference!$D$13,0))),0)</f>
        <v>475</v>
      </c>
      <c r="E3522" s="11">
        <f ca="1">D3522*Reference!$D$7*(1-IF(MONTH($A3522)=Reference!$D$6,1,0)*Reference!$D$12)</f>
        <v>356250</v>
      </c>
      <c r="M3522" s="20"/>
      <c r="N3522" s="20"/>
      <c r="O3522" s="19"/>
      <c r="P3522" s="10"/>
      <c r="Q3522" s="10"/>
      <c r="R3522" s="10"/>
      <c r="S3522" s="10"/>
      <c r="T3522" s="10"/>
      <c r="U3522" s="10"/>
      <c r="V3522" s="10"/>
      <c r="W3522" s="10"/>
      <c r="X3522" s="10"/>
      <c r="Y3522" s="10"/>
    </row>
    <row r="3523" spans="1:25" x14ac:dyDescent="0.25">
      <c r="A3523" s="9">
        <v>44061</v>
      </c>
      <c r="B3523" s="10">
        <f ca="1">ROUND(_xlfn.NORM.INV(RAND(),Reference!$C$8,0.1*Reference!$C$8)*(1+Reference!$C$11*(IF(MONTH($A3523)=Reference!$C$4,1,0)+IF(MONTH($A3523)=Reference!$C$5,1,0))+(IF(MONTH($A3523)=Reference!$C$6,Reference!$C$13,0))),0)</f>
        <v>345</v>
      </c>
      <c r="C3523" s="11">
        <f ca="1">B3523*Reference!$C$7*(1-IF(MONTH($A3523)=Reference!$C$6,1,0)*Reference!$C$12)</f>
        <v>320850</v>
      </c>
      <c r="D3523" s="10">
        <f ca="1">ROUND(_xlfn.NORM.INV(RAND(),Reference!$D$8,0.1*Reference!$D$8)*(1+Reference!$D$11*(IF(MONTH($A3523)=Reference!$D$4,1,0)+IF(MONTH($A3523)=Reference!$D$5,1,0))+(IF(MONTH($A3523)=Reference!$D$6,Reference!$D$13,0))),0)</f>
        <v>558</v>
      </c>
      <c r="E3523" s="11">
        <f ca="1">D3523*Reference!$D$7*(1-IF(MONTH($A3523)=Reference!$D$6,1,0)*Reference!$D$12)</f>
        <v>418500</v>
      </c>
      <c r="M3523" s="20"/>
      <c r="N3523" s="20"/>
      <c r="O3523" s="19"/>
      <c r="P3523" s="10"/>
      <c r="Q3523" s="10"/>
      <c r="R3523" s="10"/>
      <c r="S3523" s="10"/>
      <c r="T3523" s="10"/>
      <c r="U3523" s="10"/>
      <c r="V3523" s="10"/>
      <c r="W3523" s="10"/>
      <c r="X3523" s="10"/>
      <c r="Y3523" s="10"/>
    </row>
    <row r="3524" spans="1:25" x14ac:dyDescent="0.25">
      <c r="A3524" s="9">
        <v>44062</v>
      </c>
      <c r="B3524" s="10">
        <f ca="1">ROUND(_xlfn.NORM.INV(RAND(),Reference!$C$8,0.1*Reference!$C$8)*(1+Reference!$C$11*(IF(MONTH($A3524)=Reference!$C$4,1,0)+IF(MONTH($A3524)=Reference!$C$5,1,0))+(IF(MONTH($A3524)=Reference!$C$6,Reference!$C$13,0))),0)</f>
        <v>311</v>
      </c>
      <c r="C3524" s="11">
        <f ca="1">B3524*Reference!$C$7*(1-IF(MONTH($A3524)=Reference!$C$6,1,0)*Reference!$C$12)</f>
        <v>289230</v>
      </c>
      <c r="D3524" s="10">
        <f ca="1">ROUND(_xlfn.NORM.INV(RAND(),Reference!$D$8,0.1*Reference!$D$8)*(1+Reference!$D$11*(IF(MONTH($A3524)=Reference!$D$4,1,0)+IF(MONTH($A3524)=Reference!$D$5,1,0))+(IF(MONTH($A3524)=Reference!$D$6,Reference!$D$13,0))),0)</f>
        <v>465</v>
      </c>
      <c r="E3524" s="11">
        <f ca="1">D3524*Reference!$D$7*(1-IF(MONTH($A3524)=Reference!$D$6,1,0)*Reference!$D$12)</f>
        <v>348750</v>
      </c>
      <c r="M3524" s="20"/>
      <c r="N3524" s="20"/>
      <c r="O3524" s="19"/>
      <c r="P3524" s="10"/>
      <c r="Q3524" s="10"/>
      <c r="R3524" s="10"/>
      <c r="S3524" s="10"/>
      <c r="T3524" s="10"/>
      <c r="U3524" s="10"/>
      <c r="V3524" s="10"/>
      <c r="W3524" s="10"/>
      <c r="X3524" s="10"/>
      <c r="Y3524" s="10"/>
    </row>
    <row r="3525" spans="1:25" x14ac:dyDescent="0.25">
      <c r="A3525" s="9">
        <v>44063</v>
      </c>
      <c r="B3525" s="10">
        <f ca="1">ROUND(_xlfn.NORM.INV(RAND(),Reference!$C$8,0.1*Reference!$C$8)*(1+Reference!$C$11*(IF(MONTH($A3525)=Reference!$C$4,1,0)+IF(MONTH($A3525)=Reference!$C$5,1,0))+(IF(MONTH($A3525)=Reference!$C$6,Reference!$C$13,0))),0)</f>
        <v>394</v>
      </c>
      <c r="C3525" s="11">
        <f ca="1">B3525*Reference!$C$7*(1-IF(MONTH($A3525)=Reference!$C$6,1,0)*Reference!$C$12)</f>
        <v>366420</v>
      </c>
      <c r="D3525" s="10">
        <f ca="1">ROUND(_xlfn.NORM.INV(RAND(),Reference!$D$8,0.1*Reference!$D$8)*(1+Reference!$D$11*(IF(MONTH($A3525)=Reference!$D$4,1,0)+IF(MONTH($A3525)=Reference!$D$5,1,0))+(IF(MONTH($A3525)=Reference!$D$6,Reference!$D$13,0))),0)</f>
        <v>428</v>
      </c>
      <c r="E3525" s="11">
        <f ca="1">D3525*Reference!$D$7*(1-IF(MONTH($A3525)=Reference!$D$6,1,0)*Reference!$D$12)</f>
        <v>321000</v>
      </c>
      <c r="M3525" s="20"/>
      <c r="N3525" s="20"/>
      <c r="O3525" s="19"/>
      <c r="P3525" s="10"/>
      <c r="Q3525" s="10"/>
      <c r="R3525" s="10"/>
      <c r="S3525" s="10"/>
      <c r="T3525" s="10"/>
      <c r="U3525" s="10"/>
      <c r="V3525" s="10"/>
      <c r="W3525" s="10"/>
      <c r="X3525" s="10"/>
      <c r="Y3525" s="10"/>
    </row>
    <row r="3526" spans="1:25" x14ac:dyDescent="0.25">
      <c r="A3526" s="9">
        <v>44064</v>
      </c>
      <c r="B3526" s="10">
        <f ca="1">ROUND(_xlfn.NORM.INV(RAND(),Reference!$C$8,0.1*Reference!$C$8)*(1+Reference!$C$11*(IF(MONTH($A3526)=Reference!$C$4,1,0)+IF(MONTH($A3526)=Reference!$C$5,1,0))+(IF(MONTH($A3526)=Reference!$C$6,Reference!$C$13,0))),0)</f>
        <v>324</v>
      </c>
      <c r="C3526" s="11">
        <f ca="1">B3526*Reference!$C$7*(1-IF(MONTH($A3526)=Reference!$C$6,1,0)*Reference!$C$12)</f>
        <v>301320</v>
      </c>
      <c r="D3526" s="10">
        <f ca="1">ROUND(_xlfn.NORM.INV(RAND(),Reference!$D$8,0.1*Reference!$D$8)*(1+Reference!$D$11*(IF(MONTH($A3526)=Reference!$D$4,1,0)+IF(MONTH($A3526)=Reference!$D$5,1,0))+(IF(MONTH($A3526)=Reference!$D$6,Reference!$D$13,0))),0)</f>
        <v>604</v>
      </c>
      <c r="E3526" s="11">
        <f ca="1">D3526*Reference!$D$7*(1-IF(MONTH($A3526)=Reference!$D$6,1,0)*Reference!$D$12)</f>
        <v>453000</v>
      </c>
      <c r="M3526" s="20"/>
      <c r="N3526" s="20"/>
      <c r="O3526" s="19"/>
      <c r="P3526" s="10"/>
      <c r="Q3526" s="10"/>
      <c r="R3526" s="10"/>
      <c r="S3526" s="10"/>
      <c r="T3526" s="10"/>
      <c r="U3526" s="10"/>
      <c r="V3526" s="10"/>
      <c r="W3526" s="10"/>
      <c r="X3526" s="10"/>
      <c r="Y3526" s="10"/>
    </row>
    <row r="3527" spans="1:25" x14ac:dyDescent="0.25">
      <c r="A3527" s="9">
        <v>44065</v>
      </c>
      <c r="B3527" s="10">
        <f ca="1">ROUND(_xlfn.NORM.INV(RAND(),Reference!$C$8,0.1*Reference!$C$8)*(1+Reference!$C$11*(IF(MONTH($A3527)=Reference!$C$4,1,0)+IF(MONTH($A3527)=Reference!$C$5,1,0))+(IF(MONTH($A3527)=Reference!$C$6,Reference!$C$13,0))),0)</f>
        <v>310</v>
      </c>
      <c r="C3527" s="11">
        <f ca="1">B3527*Reference!$C$7*(1-IF(MONTH($A3527)=Reference!$C$6,1,0)*Reference!$C$12)</f>
        <v>288300</v>
      </c>
      <c r="D3527" s="10">
        <f ca="1">ROUND(_xlfn.NORM.INV(RAND(),Reference!$D$8,0.1*Reference!$D$8)*(1+Reference!$D$11*(IF(MONTH($A3527)=Reference!$D$4,1,0)+IF(MONTH($A3527)=Reference!$D$5,1,0))+(IF(MONTH($A3527)=Reference!$D$6,Reference!$D$13,0))),0)</f>
        <v>425</v>
      </c>
      <c r="E3527" s="11">
        <f ca="1">D3527*Reference!$D$7*(1-IF(MONTH($A3527)=Reference!$D$6,1,0)*Reference!$D$12)</f>
        <v>318750</v>
      </c>
      <c r="M3527" s="20"/>
      <c r="N3527" s="20"/>
      <c r="O3527" s="19"/>
      <c r="P3527" s="10"/>
      <c r="Q3527" s="10"/>
      <c r="R3527" s="10"/>
      <c r="S3527" s="10"/>
      <c r="T3527" s="10"/>
      <c r="U3527" s="10"/>
      <c r="V3527" s="10"/>
      <c r="W3527" s="10"/>
      <c r="X3527" s="10"/>
      <c r="Y3527" s="10"/>
    </row>
    <row r="3528" spans="1:25" x14ac:dyDescent="0.25">
      <c r="A3528" s="9">
        <v>44066</v>
      </c>
      <c r="B3528" s="10">
        <f ca="1">ROUND(_xlfn.NORM.INV(RAND(),Reference!$C$8,0.1*Reference!$C$8)*(1+Reference!$C$11*(IF(MONTH($A3528)=Reference!$C$4,1,0)+IF(MONTH($A3528)=Reference!$C$5,1,0))+(IF(MONTH($A3528)=Reference!$C$6,Reference!$C$13,0))),0)</f>
        <v>366</v>
      </c>
      <c r="C3528" s="11">
        <f ca="1">B3528*Reference!$C$7*(1-IF(MONTH($A3528)=Reference!$C$6,1,0)*Reference!$C$12)</f>
        <v>340380</v>
      </c>
      <c r="D3528" s="10">
        <f ca="1">ROUND(_xlfn.NORM.INV(RAND(),Reference!$D$8,0.1*Reference!$D$8)*(1+Reference!$D$11*(IF(MONTH($A3528)=Reference!$D$4,1,0)+IF(MONTH($A3528)=Reference!$D$5,1,0))+(IF(MONTH($A3528)=Reference!$D$6,Reference!$D$13,0))),0)</f>
        <v>472</v>
      </c>
      <c r="E3528" s="11">
        <f ca="1">D3528*Reference!$D$7*(1-IF(MONTH($A3528)=Reference!$D$6,1,0)*Reference!$D$12)</f>
        <v>354000</v>
      </c>
      <c r="M3528" s="20"/>
      <c r="N3528" s="20"/>
      <c r="O3528" s="19"/>
      <c r="P3528" s="10"/>
      <c r="Q3528" s="10"/>
      <c r="R3528" s="10"/>
      <c r="S3528" s="10"/>
      <c r="T3528" s="10"/>
      <c r="U3528" s="10"/>
      <c r="V3528" s="10"/>
      <c r="W3528" s="10"/>
      <c r="X3528" s="10"/>
      <c r="Y3528" s="10"/>
    </row>
    <row r="3529" spans="1:25" x14ac:dyDescent="0.25">
      <c r="A3529" s="9">
        <v>44067</v>
      </c>
      <c r="B3529" s="10">
        <f ca="1">ROUND(_xlfn.NORM.INV(RAND(),Reference!$C$8,0.1*Reference!$C$8)*(1+Reference!$C$11*(IF(MONTH($A3529)=Reference!$C$4,1,0)+IF(MONTH($A3529)=Reference!$C$5,1,0))+(IF(MONTH($A3529)=Reference!$C$6,Reference!$C$13,0))),0)</f>
        <v>373</v>
      </c>
      <c r="C3529" s="11">
        <f ca="1">B3529*Reference!$C$7*(1-IF(MONTH($A3529)=Reference!$C$6,1,0)*Reference!$C$12)</f>
        <v>346890</v>
      </c>
      <c r="D3529" s="10">
        <f ca="1">ROUND(_xlfn.NORM.INV(RAND(),Reference!$D$8,0.1*Reference!$D$8)*(1+Reference!$D$11*(IF(MONTH($A3529)=Reference!$D$4,1,0)+IF(MONTH($A3529)=Reference!$D$5,1,0))+(IF(MONTH($A3529)=Reference!$D$6,Reference!$D$13,0))),0)</f>
        <v>549</v>
      </c>
      <c r="E3529" s="11">
        <f ca="1">D3529*Reference!$D$7*(1-IF(MONTH($A3529)=Reference!$D$6,1,0)*Reference!$D$12)</f>
        <v>411750</v>
      </c>
      <c r="M3529" s="20"/>
      <c r="N3529" s="20"/>
      <c r="O3529" s="19"/>
      <c r="P3529" s="10"/>
      <c r="Q3529" s="10"/>
      <c r="R3529" s="10"/>
      <c r="S3529" s="10"/>
      <c r="T3529" s="10"/>
      <c r="U3529" s="10"/>
      <c r="V3529" s="10"/>
      <c r="W3529" s="10"/>
      <c r="X3529" s="10"/>
      <c r="Y3529" s="10"/>
    </row>
    <row r="3530" spans="1:25" x14ac:dyDescent="0.25">
      <c r="A3530" s="9">
        <v>44068</v>
      </c>
      <c r="B3530" s="10">
        <f ca="1">ROUND(_xlfn.NORM.INV(RAND(),Reference!$C$8,0.1*Reference!$C$8)*(1+Reference!$C$11*(IF(MONTH($A3530)=Reference!$C$4,1,0)+IF(MONTH($A3530)=Reference!$C$5,1,0))+(IF(MONTH($A3530)=Reference!$C$6,Reference!$C$13,0))),0)</f>
        <v>329</v>
      </c>
      <c r="C3530" s="11">
        <f ca="1">B3530*Reference!$C$7*(1-IF(MONTH($A3530)=Reference!$C$6,1,0)*Reference!$C$12)</f>
        <v>305970</v>
      </c>
      <c r="D3530" s="10">
        <f ca="1">ROUND(_xlfn.NORM.INV(RAND(),Reference!$D$8,0.1*Reference!$D$8)*(1+Reference!$D$11*(IF(MONTH($A3530)=Reference!$D$4,1,0)+IF(MONTH($A3530)=Reference!$D$5,1,0))+(IF(MONTH($A3530)=Reference!$D$6,Reference!$D$13,0))),0)</f>
        <v>505</v>
      </c>
      <c r="E3530" s="11">
        <f ca="1">D3530*Reference!$D$7*(1-IF(MONTH($A3530)=Reference!$D$6,1,0)*Reference!$D$12)</f>
        <v>378750</v>
      </c>
      <c r="M3530" s="20"/>
      <c r="N3530" s="20"/>
      <c r="O3530" s="19"/>
      <c r="P3530" s="10"/>
      <c r="Q3530" s="10"/>
      <c r="R3530" s="10"/>
      <c r="S3530" s="10"/>
      <c r="T3530" s="10"/>
      <c r="U3530" s="10"/>
      <c r="V3530" s="10"/>
      <c r="W3530" s="10"/>
      <c r="X3530" s="10"/>
      <c r="Y3530" s="10"/>
    </row>
    <row r="3531" spans="1:25" x14ac:dyDescent="0.25">
      <c r="A3531" s="9">
        <v>44069</v>
      </c>
      <c r="B3531" s="10">
        <f ca="1">ROUND(_xlfn.NORM.INV(RAND(),Reference!$C$8,0.1*Reference!$C$8)*(1+Reference!$C$11*(IF(MONTH($A3531)=Reference!$C$4,1,0)+IF(MONTH($A3531)=Reference!$C$5,1,0))+(IF(MONTH($A3531)=Reference!$C$6,Reference!$C$13,0))),0)</f>
        <v>331</v>
      </c>
      <c r="C3531" s="11">
        <f ca="1">B3531*Reference!$C$7*(1-IF(MONTH($A3531)=Reference!$C$6,1,0)*Reference!$C$12)</f>
        <v>307830</v>
      </c>
      <c r="D3531" s="10">
        <f ca="1">ROUND(_xlfn.NORM.INV(RAND(),Reference!$D$8,0.1*Reference!$D$8)*(1+Reference!$D$11*(IF(MONTH($A3531)=Reference!$D$4,1,0)+IF(MONTH($A3531)=Reference!$D$5,1,0))+(IF(MONTH($A3531)=Reference!$D$6,Reference!$D$13,0))),0)</f>
        <v>470</v>
      </c>
      <c r="E3531" s="11">
        <f ca="1">D3531*Reference!$D$7*(1-IF(MONTH($A3531)=Reference!$D$6,1,0)*Reference!$D$12)</f>
        <v>352500</v>
      </c>
      <c r="M3531" s="20"/>
      <c r="N3531" s="20"/>
      <c r="O3531" s="19"/>
      <c r="P3531" s="10"/>
      <c r="Q3531" s="10"/>
      <c r="R3531" s="10"/>
      <c r="S3531" s="10"/>
      <c r="T3531" s="10"/>
      <c r="U3531" s="10"/>
      <c r="V3531" s="10"/>
      <c r="W3531" s="10"/>
      <c r="X3531" s="10"/>
      <c r="Y3531" s="10"/>
    </row>
    <row r="3532" spans="1:25" x14ac:dyDescent="0.25">
      <c r="A3532" s="9">
        <v>44070</v>
      </c>
      <c r="B3532" s="10">
        <f ca="1">ROUND(_xlfn.NORM.INV(RAND(),Reference!$C$8,0.1*Reference!$C$8)*(1+Reference!$C$11*(IF(MONTH($A3532)=Reference!$C$4,1,0)+IF(MONTH($A3532)=Reference!$C$5,1,0))+(IF(MONTH($A3532)=Reference!$C$6,Reference!$C$13,0))),0)</f>
        <v>344</v>
      </c>
      <c r="C3532" s="11">
        <f ca="1">B3532*Reference!$C$7*(1-IF(MONTH($A3532)=Reference!$C$6,1,0)*Reference!$C$12)</f>
        <v>319920</v>
      </c>
      <c r="D3532" s="10">
        <f ca="1">ROUND(_xlfn.NORM.INV(RAND(),Reference!$D$8,0.1*Reference!$D$8)*(1+Reference!$D$11*(IF(MONTH($A3532)=Reference!$D$4,1,0)+IF(MONTH($A3532)=Reference!$D$5,1,0))+(IF(MONTH($A3532)=Reference!$D$6,Reference!$D$13,0))),0)</f>
        <v>514</v>
      </c>
      <c r="E3532" s="11">
        <f ca="1">D3532*Reference!$D$7*(1-IF(MONTH($A3532)=Reference!$D$6,1,0)*Reference!$D$12)</f>
        <v>385500</v>
      </c>
      <c r="M3532" s="20"/>
      <c r="N3532" s="20"/>
      <c r="O3532" s="19"/>
      <c r="P3532" s="10"/>
      <c r="Q3532" s="10"/>
      <c r="R3532" s="10"/>
      <c r="S3532" s="10"/>
      <c r="T3532" s="10"/>
      <c r="U3532" s="10"/>
      <c r="V3532" s="10"/>
      <c r="W3532" s="10"/>
      <c r="X3532" s="10"/>
      <c r="Y3532" s="10"/>
    </row>
    <row r="3533" spans="1:25" x14ac:dyDescent="0.25">
      <c r="A3533" s="9">
        <v>44071</v>
      </c>
      <c r="B3533" s="10">
        <f ca="1">ROUND(_xlfn.NORM.INV(RAND(),Reference!$C$8,0.1*Reference!$C$8)*(1+Reference!$C$11*(IF(MONTH($A3533)=Reference!$C$4,1,0)+IF(MONTH($A3533)=Reference!$C$5,1,0))+(IF(MONTH($A3533)=Reference!$C$6,Reference!$C$13,0))),0)</f>
        <v>339</v>
      </c>
      <c r="C3533" s="11">
        <f ca="1">B3533*Reference!$C$7*(1-IF(MONTH($A3533)=Reference!$C$6,1,0)*Reference!$C$12)</f>
        <v>315270</v>
      </c>
      <c r="D3533" s="10">
        <f ca="1">ROUND(_xlfn.NORM.INV(RAND(),Reference!$D$8,0.1*Reference!$D$8)*(1+Reference!$D$11*(IF(MONTH($A3533)=Reference!$D$4,1,0)+IF(MONTH($A3533)=Reference!$D$5,1,0))+(IF(MONTH($A3533)=Reference!$D$6,Reference!$D$13,0))),0)</f>
        <v>435</v>
      </c>
      <c r="E3533" s="11">
        <f ca="1">D3533*Reference!$D$7*(1-IF(MONTH($A3533)=Reference!$D$6,1,0)*Reference!$D$12)</f>
        <v>326250</v>
      </c>
      <c r="M3533" s="20"/>
      <c r="N3533" s="20"/>
      <c r="O3533" s="19"/>
      <c r="P3533" s="10"/>
      <c r="Q3533" s="10"/>
      <c r="R3533" s="10"/>
      <c r="S3533" s="10"/>
      <c r="T3533" s="10"/>
      <c r="U3533" s="10"/>
      <c r="V3533" s="10"/>
      <c r="W3533" s="10"/>
      <c r="X3533" s="10"/>
      <c r="Y3533" s="10"/>
    </row>
    <row r="3534" spans="1:25" x14ac:dyDescent="0.25">
      <c r="A3534" s="9">
        <v>44072</v>
      </c>
      <c r="B3534" s="10">
        <f ca="1">ROUND(_xlfn.NORM.INV(RAND(),Reference!$C$8,0.1*Reference!$C$8)*(1+Reference!$C$11*(IF(MONTH($A3534)=Reference!$C$4,1,0)+IF(MONTH($A3534)=Reference!$C$5,1,0))+(IF(MONTH($A3534)=Reference!$C$6,Reference!$C$13,0))),0)</f>
        <v>355</v>
      </c>
      <c r="C3534" s="11">
        <f ca="1">B3534*Reference!$C$7*(1-IF(MONTH($A3534)=Reference!$C$6,1,0)*Reference!$C$12)</f>
        <v>330150</v>
      </c>
      <c r="D3534" s="10">
        <f ca="1">ROUND(_xlfn.NORM.INV(RAND(),Reference!$D$8,0.1*Reference!$D$8)*(1+Reference!$D$11*(IF(MONTH($A3534)=Reference!$D$4,1,0)+IF(MONTH($A3534)=Reference!$D$5,1,0))+(IF(MONTH($A3534)=Reference!$D$6,Reference!$D$13,0))),0)</f>
        <v>474</v>
      </c>
      <c r="E3534" s="11">
        <f ca="1">D3534*Reference!$D$7*(1-IF(MONTH($A3534)=Reference!$D$6,1,0)*Reference!$D$12)</f>
        <v>355500</v>
      </c>
      <c r="M3534" s="20"/>
      <c r="N3534" s="20"/>
      <c r="O3534" s="19"/>
      <c r="P3534" s="10"/>
      <c r="Q3534" s="10"/>
      <c r="R3534" s="10"/>
      <c r="S3534" s="10"/>
      <c r="T3534" s="10"/>
      <c r="U3534" s="10"/>
      <c r="V3534" s="10"/>
      <c r="W3534" s="10"/>
      <c r="X3534" s="10"/>
      <c r="Y3534" s="10"/>
    </row>
    <row r="3535" spans="1:25" x14ac:dyDescent="0.25">
      <c r="A3535" s="9">
        <v>44073</v>
      </c>
      <c r="B3535" s="10">
        <f ca="1">ROUND(_xlfn.NORM.INV(RAND(),Reference!$C$8,0.1*Reference!$C$8)*(1+Reference!$C$11*(IF(MONTH($A3535)=Reference!$C$4,1,0)+IF(MONTH($A3535)=Reference!$C$5,1,0))+(IF(MONTH($A3535)=Reference!$C$6,Reference!$C$13,0))),0)</f>
        <v>396</v>
      </c>
      <c r="C3535" s="11">
        <f ca="1">B3535*Reference!$C$7*(1-IF(MONTH($A3535)=Reference!$C$6,1,0)*Reference!$C$12)</f>
        <v>368280</v>
      </c>
      <c r="D3535" s="10">
        <f ca="1">ROUND(_xlfn.NORM.INV(RAND(),Reference!$D$8,0.1*Reference!$D$8)*(1+Reference!$D$11*(IF(MONTH($A3535)=Reference!$D$4,1,0)+IF(MONTH($A3535)=Reference!$D$5,1,0))+(IF(MONTH($A3535)=Reference!$D$6,Reference!$D$13,0))),0)</f>
        <v>497</v>
      </c>
      <c r="E3535" s="11">
        <f ca="1">D3535*Reference!$D$7*(1-IF(MONTH($A3535)=Reference!$D$6,1,0)*Reference!$D$12)</f>
        <v>372750</v>
      </c>
      <c r="M3535" s="20"/>
      <c r="N3535" s="20"/>
      <c r="O3535" s="19"/>
      <c r="P3535" s="10"/>
      <c r="Q3535" s="10"/>
      <c r="R3535" s="10"/>
      <c r="S3535" s="10"/>
      <c r="T3535" s="10"/>
      <c r="U3535" s="10"/>
      <c r="V3535" s="10"/>
      <c r="W3535" s="10"/>
      <c r="X3535" s="10"/>
      <c r="Y3535" s="10"/>
    </row>
    <row r="3536" spans="1:25" x14ac:dyDescent="0.25">
      <c r="A3536" s="9">
        <v>44074</v>
      </c>
      <c r="B3536" s="10">
        <f ca="1">ROUND(_xlfn.NORM.INV(RAND(),Reference!$C$8,0.1*Reference!$C$8)*(1+Reference!$C$11*(IF(MONTH($A3536)=Reference!$C$4,1,0)+IF(MONTH($A3536)=Reference!$C$5,1,0))+(IF(MONTH($A3536)=Reference!$C$6,Reference!$C$13,0))),0)</f>
        <v>282</v>
      </c>
      <c r="C3536" s="11">
        <f ca="1">B3536*Reference!$C$7*(1-IF(MONTH($A3536)=Reference!$C$6,1,0)*Reference!$C$12)</f>
        <v>262260</v>
      </c>
      <c r="D3536" s="10">
        <f ca="1">ROUND(_xlfn.NORM.INV(RAND(),Reference!$D$8,0.1*Reference!$D$8)*(1+Reference!$D$11*(IF(MONTH($A3536)=Reference!$D$4,1,0)+IF(MONTH($A3536)=Reference!$D$5,1,0))+(IF(MONTH($A3536)=Reference!$D$6,Reference!$D$13,0))),0)</f>
        <v>523</v>
      </c>
      <c r="E3536" s="11">
        <f ca="1">D3536*Reference!$D$7*(1-IF(MONTH($A3536)=Reference!$D$6,1,0)*Reference!$D$12)</f>
        <v>392250</v>
      </c>
      <c r="M3536" s="20"/>
      <c r="N3536" s="20"/>
      <c r="O3536" s="19"/>
      <c r="P3536" s="10"/>
      <c r="Q3536" s="10"/>
      <c r="R3536" s="10"/>
      <c r="S3536" s="10"/>
      <c r="T3536" s="10"/>
      <c r="U3536" s="10"/>
      <c r="V3536" s="10"/>
      <c r="W3536" s="10"/>
      <c r="X3536" s="10"/>
      <c r="Y3536" s="10"/>
    </row>
    <row r="3537" spans="1:25" x14ac:dyDescent="0.25">
      <c r="A3537" s="9">
        <v>44075</v>
      </c>
      <c r="B3537" s="10">
        <f ca="1">ROUND(_xlfn.NORM.INV(RAND(),Reference!$C$8,0.1*Reference!$C$8)*(1+Reference!$C$11*(IF(MONTH($A3537)=Reference!$C$4,1,0)+IF(MONTH($A3537)=Reference!$C$5,1,0))+(IF(MONTH($A3537)=Reference!$C$6,Reference!$C$13,0))),0)</f>
        <v>358</v>
      </c>
      <c r="C3537" s="11">
        <f ca="1">B3537*Reference!$C$7*(1-IF(MONTH($A3537)=Reference!$C$6,1,0)*Reference!$C$12)</f>
        <v>332940</v>
      </c>
      <c r="D3537" s="10">
        <f ca="1">ROUND(_xlfn.NORM.INV(RAND(),Reference!$D$8,0.1*Reference!$D$8)*(1+Reference!$D$11*(IF(MONTH($A3537)=Reference!$D$4,1,0)+IF(MONTH($A3537)=Reference!$D$5,1,0))+(IF(MONTH($A3537)=Reference!$D$6,Reference!$D$13,0))),0)</f>
        <v>438</v>
      </c>
      <c r="E3537" s="11">
        <f ca="1">D3537*Reference!$D$7*(1-IF(MONTH($A3537)=Reference!$D$6,1,0)*Reference!$D$12)</f>
        <v>312075</v>
      </c>
      <c r="M3537" s="20"/>
      <c r="N3537" s="20"/>
      <c r="O3537" s="19"/>
      <c r="P3537" s="10"/>
      <c r="Q3537" s="10"/>
      <c r="R3537" s="10"/>
      <c r="S3537" s="10"/>
      <c r="T3537" s="10"/>
      <c r="U3537" s="10"/>
      <c r="V3537" s="10"/>
      <c r="W3537" s="10"/>
      <c r="X3537" s="10"/>
      <c r="Y3537" s="10"/>
    </row>
    <row r="3538" spans="1:25" x14ac:dyDescent="0.25">
      <c r="A3538" s="9">
        <v>44076</v>
      </c>
      <c r="B3538" s="10">
        <f ca="1">ROUND(_xlfn.NORM.INV(RAND(),Reference!$C$8,0.1*Reference!$C$8)*(1+Reference!$C$11*(IF(MONTH($A3538)=Reference!$C$4,1,0)+IF(MONTH($A3538)=Reference!$C$5,1,0))+(IF(MONTH($A3538)=Reference!$C$6,Reference!$C$13,0))),0)</f>
        <v>399</v>
      </c>
      <c r="C3538" s="11">
        <f ca="1">B3538*Reference!$C$7*(1-IF(MONTH($A3538)=Reference!$C$6,1,0)*Reference!$C$12)</f>
        <v>371070</v>
      </c>
      <c r="D3538" s="10">
        <f ca="1">ROUND(_xlfn.NORM.INV(RAND(),Reference!$D$8,0.1*Reference!$D$8)*(1+Reference!$D$11*(IF(MONTH($A3538)=Reference!$D$4,1,0)+IF(MONTH($A3538)=Reference!$D$5,1,0))+(IF(MONTH($A3538)=Reference!$D$6,Reference!$D$13,0))),0)</f>
        <v>539</v>
      </c>
      <c r="E3538" s="11">
        <f ca="1">D3538*Reference!$D$7*(1-IF(MONTH($A3538)=Reference!$D$6,1,0)*Reference!$D$12)</f>
        <v>384037.5</v>
      </c>
      <c r="M3538" s="20"/>
      <c r="N3538" s="20"/>
      <c r="O3538" s="19"/>
      <c r="P3538" s="10"/>
      <c r="Q3538" s="10"/>
      <c r="R3538" s="10"/>
      <c r="S3538" s="10"/>
      <c r="T3538" s="10"/>
      <c r="U3538" s="10"/>
      <c r="V3538" s="10"/>
      <c r="W3538" s="10"/>
      <c r="X3538" s="10"/>
      <c r="Y3538" s="10"/>
    </row>
    <row r="3539" spans="1:25" x14ac:dyDescent="0.25">
      <c r="A3539" s="9">
        <v>44077</v>
      </c>
      <c r="B3539" s="10">
        <f ca="1">ROUND(_xlfn.NORM.INV(RAND(),Reference!$C$8,0.1*Reference!$C$8)*(1+Reference!$C$11*(IF(MONTH($A3539)=Reference!$C$4,1,0)+IF(MONTH($A3539)=Reference!$C$5,1,0))+(IF(MONTH($A3539)=Reference!$C$6,Reference!$C$13,0))),0)</f>
        <v>378</v>
      </c>
      <c r="C3539" s="11">
        <f ca="1">B3539*Reference!$C$7*(1-IF(MONTH($A3539)=Reference!$C$6,1,0)*Reference!$C$12)</f>
        <v>351540</v>
      </c>
      <c r="D3539" s="10">
        <f ca="1">ROUND(_xlfn.NORM.INV(RAND(),Reference!$D$8,0.1*Reference!$D$8)*(1+Reference!$D$11*(IF(MONTH($A3539)=Reference!$D$4,1,0)+IF(MONTH($A3539)=Reference!$D$5,1,0))+(IF(MONTH($A3539)=Reference!$D$6,Reference!$D$13,0))),0)</f>
        <v>521</v>
      </c>
      <c r="E3539" s="11">
        <f ca="1">D3539*Reference!$D$7*(1-IF(MONTH($A3539)=Reference!$D$6,1,0)*Reference!$D$12)</f>
        <v>371212.5</v>
      </c>
      <c r="M3539" s="20"/>
      <c r="N3539" s="20"/>
      <c r="O3539" s="19"/>
      <c r="P3539" s="10"/>
      <c r="Q3539" s="10"/>
      <c r="R3539" s="10"/>
      <c r="S3539" s="10"/>
      <c r="T3539" s="10"/>
      <c r="U3539" s="10"/>
      <c r="V3539" s="10"/>
      <c r="W3539" s="10"/>
      <c r="X3539" s="10"/>
      <c r="Y3539" s="10"/>
    </row>
    <row r="3540" spans="1:25" x14ac:dyDescent="0.25">
      <c r="A3540" s="9">
        <v>44078</v>
      </c>
      <c r="B3540" s="10">
        <f ca="1">ROUND(_xlfn.NORM.INV(RAND(),Reference!$C$8,0.1*Reference!$C$8)*(1+Reference!$C$11*(IF(MONTH($A3540)=Reference!$C$4,1,0)+IF(MONTH($A3540)=Reference!$C$5,1,0))+(IF(MONTH($A3540)=Reference!$C$6,Reference!$C$13,0))),0)</f>
        <v>435</v>
      </c>
      <c r="C3540" s="11">
        <f ca="1">B3540*Reference!$C$7*(1-IF(MONTH($A3540)=Reference!$C$6,1,0)*Reference!$C$12)</f>
        <v>404550</v>
      </c>
      <c r="D3540" s="10">
        <f ca="1">ROUND(_xlfn.NORM.INV(RAND(),Reference!$D$8,0.1*Reference!$D$8)*(1+Reference!$D$11*(IF(MONTH($A3540)=Reference!$D$4,1,0)+IF(MONTH($A3540)=Reference!$D$5,1,0))+(IF(MONTH($A3540)=Reference!$D$6,Reference!$D$13,0))),0)</f>
        <v>516</v>
      </c>
      <c r="E3540" s="11">
        <f ca="1">D3540*Reference!$D$7*(1-IF(MONTH($A3540)=Reference!$D$6,1,0)*Reference!$D$12)</f>
        <v>367650</v>
      </c>
      <c r="M3540" s="20"/>
      <c r="N3540" s="20"/>
      <c r="O3540" s="19"/>
      <c r="P3540" s="10"/>
      <c r="Q3540" s="10"/>
      <c r="R3540" s="10"/>
      <c r="S3540" s="10"/>
      <c r="T3540" s="10"/>
      <c r="U3540" s="10"/>
      <c r="V3540" s="10"/>
      <c r="W3540" s="10"/>
      <c r="X3540" s="10"/>
      <c r="Y3540" s="10"/>
    </row>
    <row r="3541" spans="1:25" x14ac:dyDescent="0.25">
      <c r="A3541" s="9">
        <v>44079</v>
      </c>
      <c r="B3541" s="10">
        <f ca="1">ROUND(_xlfn.NORM.INV(RAND(),Reference!$C$8,0.1*Reference!$C$8)*(1+Reference!$C$11*(IF(MONTH($A3541)=Reference!$C$4,1,0)+IF(MONTH($A3541)=Reference!$C$5,1,0))+(IF(MONTH($A3541)=Reference!$C$6,Reference!$C$13,0))),0)</f>
        <v>356</v>
      </c>
      <c r="C3541" s="11">
        <f ca="1">B3541*Reference!$C$7*(1-IF(MONTH($A3541)=Reference!$C$6,1,0)*Reference!$C$12)</f>
        <v>331080</v>
      </c>
      <c r="D3541" s="10">
        <f ca="1">ROUND(_xlfn.NORM.INV(RAND(),Reference!$D$8,0.1*Reference!$D$8)*(1+Reference!$D$11*(IF(MONTH($A3541)=Reference!$D$4,1,0)+IF(MONTH($A3541)=Reference!$D$5,1,0))+(IF(MONTH($A3541)=Reference!$D$6,Reference!$D$13,0))),0)</f>
        <v>415</v>
      </c>
      <c r="E3541" s="11">
        <f ca="1">D3541*Reference!$D$7*(1-IF(MONTH($A3541)=Reference!$D$6,1,0)*Reference!$D$12)</f>
        <v>295687.5</v>
      </c>
      <c r="M3541" s="20"/>
      <c r="N3541" s="20"/>
      <c r="O3541" s="19"/>
      <c r="P3541" s="10"/>
      <c r="Q3541" s="10"/>
      <c r="R3541" s="10"/>
      <c r="S3541" s="10"/>
      <c r="T3541" s="10"/>
      <c r="U3541" s="10"/>
      <c r="V3541" s="10"/>
      <c r="W3541" s="10"/>
      <c r="X3541" s="10"/>
      <c r="Y3541" s="10"/>
    </row>
    <row r="3542" spans="1:25" x14ac:dyDescent="0.25">
      <c r="A3542" s="9">
        <v>44080</v>
      </c>
      <c r="B3542" s="10">
        <f ca="1">ROUND(_xlfn.NORM.INV(RAND(),Reference!$C$8,0.1*Reference!$C$8)*(1+Reference!$C$11*(IF(MONTH($A3542)=Reference!$C$4,1,0)+IF(MONTH($A3542)=Reference!$C$5,1,0))+(IF(MONTH($A3542)=Reference!$C$6,Reference!$C$13,0))),0)</f>
        <v>350</v>
      </c>
      <c r="C3542" s="11">
        <f ca="1">B3542*Reference!$C$7*(1-IF(MONTH($A3542)=Reference!$C$6,1,0)*Reference!$C$12)</f>
        <v>325500</v>
      </c>
      <c r="D3542" s="10">
        <f ca="1">ROUND(_xlfn.NORM.INV(RAND(),Reference!$D$8,0.1*Reference!$D$8)*(1+Reference!$D$11*(IF(MONTH($A3542)=Reference!$D$4,1,0)+IF(MONTH($A3542)=Reference!$D$5,1,0))+(IF(MONTH($A3542)=Reference!$D$6,Reference!$D$13,0))),0)</f>
        <v>578</v>
      </c>
      <c r="E3542" s="11">
        <f ca="1">D3542*Reference!$D$7*(1-IF(MONTH($A3542)=Reference!$D$6,1,0)*Reference!$D$12)</f>
        <v>411825</v>
      </c>
      <c r="M3542" s="20"/>
      <c r="N3542" s="20"/>
      <c r="O3542" s="19"/>
      <c r="P3542" s="10"/>
      <c r="Q3542" s="10"/>
      <c r="R3542" s="10"/>
      <c r="S3542" s="10"/>
      <c r="T3542" s="10"/>
      <c r="U3542" s="10"/>
      <c r="V3542" s="10"/>
      <c r="W3542" s="10"/>
      <c r="X3542" s="10"/>
      <c r="Y3542" s="10"/>
    </row>
    <row r="3543" spans="1:25" x14ac:dyDescent="0.25">
      <c r="A3543" s="9">
        <v>44081</v>
      </c>
      <c r="B3543" s="10">
        <f ca="1">ROUND(_xlfn.NORM.INV(RAND(),Reference!$C$8,0.1*Reference!$C$8)*(1+Reference!$C$11*(IF(MONTH($A3543)=Reference!$C$4,1,0)+IF(MONTH($A3543)=Reference!$C$5,1,0))+(IF(MONTH($A3543)=Reference!$C$6,Reference!$C$13,0))),0)</f>
        <v>410</v>
      </c>
      <c r="C3543" s="11">
        <f ca="1">B3543*Reference!$C$7*(1-IF(MONTH($A3543)=Reference!$C$6,1,0)*Reference!$C$12)</f>
        <v>381300</v>
      </c>
      <c r="D3543" s="10">
        <f ca="1">ROUND(_xlfn.NORM.INV(RAND(),Reference!$D$8,0.1*Reference!$D$8)*(1+Reference!$D$11*(IF(MONTH($A3543)=Reference!$D$4,1,0)+IF(MONTH($A3543)=Reference!$D$5,1,0))+(IF(MONTH($A3543)=Reference!$D$6,Reference!$D$13,0))),0)</f>
        <v>440</v>
      </c>
      <c r="E3543" s="11">
        <f ca="1">D3543*Reference!$D$7*(1-IF(MONTH($A3543)=Reference!$D$6,1,0)*Reference!$D$12)</f>
        <v>313500</v>
      </c>
      <c r="M3543" s="20"/>
      <c r="N3543" s="20"/>
      <c r="O3543" s="19"/>
      <c r="P3543" s="10"/>
      <c r="Q3543" s="10"/>
      <c r="R3543" s="10"/>
      <c r="S3543" s="10"/>
      <c r="T3543" s="10"/>
      <c r="U3543" s="10"/>
      <c r="V3543" s="10"/>
      <c r="W3543" s="10"/>
      <c r="X3543" s="10"/>
      <c r="Y3543" s="10"/>
    </row>
    <row r="3544" spans="1:25" x14ac:dyDescent="0.25">
      <c r="A3544" s="9">
        <v>44082</v>
      </c>
      <c r="B3544" s="10">
        <f ca="1">ROUND(_xlfn.NORM.INV(RAND(),Reference!$C$8,0.1*Reference!$C$8)*(1+Reference!$C$11*(IF(MONTH($A3544)=Reference!$C$4,1,0)+IF(MONTH($A3544)=Reference!$C$5,1,0))+(IF(MONTH($A3544)=Reference!$C$6,Reference!$C$13,0))),0)</f>
        <v>377</v>
      </c>
      <c r="C3544" s="11">
        <f ca="1">B3544*Reference!$C$7*(1-IF(MONTH($A3544)=Reference!$C$6,1,0)*Reference!$C$12)</f>
        <v>350610</v>
      </c>
      <c r="D3544" s="10">
        <f ca="1">ROUND(_xlfn.NORM.INV(RAND(),Reference!$D$8,0.1*Reference!$D$8)*(1+Reference!$D$11*(IF(MONTH($A3544)=Reference!$D$4,1,0)+IF(MONTH($A3544)=Reference!$D$5,1,0))+(IF(MONTH($A3544)=Reference!$D$6,Reference!$D$13,0))),0)</f>
        <v>469</v>
      </c>
      <c r="E3544" s="11">
        <f ca="1">D3544*Reference!$D$7*(1-IF(MONTH($A3544)=Reference!$D$6,1,0)*Reference!$D$12)</f>
        <v>334162.5</v>
      </c>
      <c r="M3544" s="20"/>
      <c r="N3544" s="20"/>
      <c r="O3544" s="19"/>
      <c r="P3544" s="10"/>
      <c r="Q3544" s="10"/>
      <c r="R3544" s="10"/>
      <c r="S3544" s="10"/>
      <c r="T3544" s="10"/>
      <c r="U3544" s="10"/>
      <c r="V3544" s="10"/>
      <c r="W3544" s="10"/>
      <c r="X3544" s="10"/>
      <c r="Y3544" s="10"/>
    </row>
    <row r="3545" spans="1:25" x14ac:dyDescent="0.25">
      <c r="A3545" s="9">
        <v>44083</v>
      </c>
      <c r="B3545" s="10">
        <f ca="1">ROUND(_xlfn.NORM.INV(RAND(),Reference!$C$8,0.1*Reference!$C$8)*(1+Reference!$C$11*(IF(MONTH($A3545)=Reference!$C$4,1,0)+IF(MONTH($A3545)=Reference!$C$5,1,0))+(IF(MONTH($A3545)=Reference!$C$6,Reference!$C$13,0))),0)</f>
        <v>293</v>
      </c>
      <c r="C3545" s="11">
        <f ca="1">B3545*Reference!$C$7*(1-IF(MONTH($A3545)=Reference!$C$6,1,0)*Reference!$C$12)</f>
        <v>272490</v>
      </c>
      <c r="D3545" s="10">
        <f ca="1">ROUND(_xlfn.NORM.INV(RAND(),Reference!$D$8,0.1*Reference!$D$8)*(1+Reference!$D$11*(IF(MONTH($A3545)=Reference!$D$4,1,0)+IF(MONTH($A3545)=Reference!$D$5,1,0))+(IF(MONTH($A3545)=Reference!$D$6,Reference!$D$13,0))),0)</f>
        <v>472</v>
      </c>
      <c r="E3545" s="11">
        <f ca="1">D3545*Reference!$D$7*(1-IF(MONTH($A3545)=Reference!$D$6,1,0)*Reference!$D$12)</f>
        <v>336300</v>
      </c>
      <c r="M3545" s="20"/>
      <c r="N3545" s="20"/>
      <c r="O3545" s="19"/>
      <c r="P3545" s="10"/>
      <c r="Q3545" s="10"/>
      <c r="R3545" s="10"/>
      <c r="S3545" s="10"/>
      <c r="T3545" s="10"/>
      <c r="U3545" s="10"/>
      <c r="V3545" s="10"/>
      <c r="W3545" s="10"/>
      <c r="X3545" s="10"/>
      <c r="Y3545" s="10"/>
    </row>
    <row r="3546" spans="1:25" x14ac:dyDescent="0.25">
      <c r="A3546" s="9">
        <v>44084</v>
      </c>
      <c r="B3546" s="10">
        <f ca="1">ROUND(_xlfn.NORM.INV(RAND(),Reference!$C$8,0.1*Reference!$C$8)*(1+Reference!$C$11*(IF(MONTH($A3546)=Reference!$C$4,1,0)+IF(MONTH($A3546)=Reference!$C$5,1,0))+(IF(MONTH($A3546)=Reference!$C$6,Reference!$C$13,0))),0)</f>
        <v>359</v>
      </c>
      <c r="C3546" s="11">
        <f ca="1">B3546*Reference!$C$7*(1-IF(MONTH($A3546)=Reference!$C$6,1,0)*Reference!$C$12)</f>
        <v>333870</v>
      </c>
      <c r="D3546" s="10">
        <f ca="1">ROUND(_xlfn.NORM.INV(RAND(),Reference!$D$8,0.1*Reference!$D$8)*(1+Reference!$D$11*(IF(MONTH($A3546)=Reference!$D$4,1,0)+IF(MONTH($A3546)=Reference!$D$5,1,0))+(IF(MONTH($A3546)=Reference!$D$6,Reference!$D$13,0))),0)</f>
        <v>459</v>
      </c>
      <c r="E3546" s="11">
        <f ca="1">D3546*Reference!$D$7*(1-IF(MONTH($A3546)=Reference!$D$6,1,0)*Reference!$D$12)</f>
        <v>327037.5</v>
      </c>
      <c r="M3546" s="20"/>
      <c r="N3546" s="20"/>
      <c r="O3546" s="19"/>
      <c r="P3546" s="10"/>
      <c r="Q3546" s="10"/>
      <c r="R3546" s="10"/>
      <c r="S3546" s="10"/>
      <c r="T3546" s="10"/>
      <c r="U3546" s="10"/>
      <c r="V3546" s="10"/>
      <c r="W3546" s="10"/>
      <c r="X3546" s="10"/>
      <c r="Y3546" s="10"/>
    </row>
    <row r="3547" spans="1:25" x14ac:dyDescent="0.25">
      <c r="A3547" s="9">
        <v>44085</v>
      </c>
      <c r="B3547" s="10">
        <f ca="1">ROUND(_xlfn.NORM.INV(RAND(),Reference!$C$8,0.1*Reference!$C$8)*(1+Reference!$C$11*(IF(MONTH($A3547)=Reference!$C$4,1,0)+IF(MONTH($A3547)=Reference!$C$5,1,0))+(IF(MONTH($A3547)=Reference!$C$6,Reference!$C$13,0))),0)</f>
        <v>422</v>
      </c>
      <c r="C3547" s="11">
        <f ca="1">B3547*Reference!$C$7*(1-IF(MONTH($A3547)=Reference!$C$6,1,0)*Reference!$C$12)</f>
        <v>392460</v>
      </c>
      <c r="D3547" s="10">
        <f ca="1">ROUND(_xlfn.NORM.INV(RAND(),Reference!$D$8,0.1*Reference!$D$8)*(1+Reference!$D$11*(IF(MONTH($A3547)=Reference!$D$4,1,0)+IF(MONTH($A3547)=Reference!$D$5,1,0))+(IF(MONTH($A3547)=Reference!$D$6,Reference!$D$13,0))),0)</f>
        <v>519</v>
      </c>
      <c r="E3547" s="11">
        <f ca="1">D3547*Reference!$D$7*(1-IF(MONTH($A3547)=Reference!$D$6,1,0)*Reference!$D$12)</f>
        <v>369787.5</v>
      </c>
      <c r="M3547" s="20"/>
      <c r="N3547" s="20"/>
      <c r="O3547" s="19"/>
      <c r="P3547" s="10"/>
      <c r="Q3547" s="10"/>
      <c r="R3547" s="10"/>
      <c r="S3547" s="10"/>
      <c r="T3547" s="10"/>
      <c r="U3547" s="10"/>
      <c r="V3547" s="10"/>
      <c r="W3547" s="10"/>
      <c r="X3547" s="10"/>
      <c r="Y3547" s="10"/>
    </row>
    <row r="3548" spans="1:25" x14ac:dyDescent="0.25">
      <c r="A3548" s="9">
        <v>44086</v>
      </c>
      <c r="B3548" s="10">
        <f ca="1">ROUND(_xlfn.NORM.INV(RAND(),Reference!$C$8,0.1*Reference!$C$8)*(1+Reference!$C$11*(IF(MONTH($A3548)=Reference!$C$4,1,0)+IF(MONTH($A3548)=Reference!$C$5,1,0))+(IF(MONTH($A3548)=Reference!$C$6,Reference!$C$13,0))),0)</f>
        <v>337</v>
      </c>
      <c r="C3548" s="11">
        <f ca="1">B3548*Reference!$C$7*(1-IF(MONTH($A3548)=Reference!$C$6,1,0)*Reference!$C$12)</f>
        <v>313410</v>
      </c>
      <c r="D3548" s="10">
        <f ca="1">ROUND(_xlfn.NORM.INV(RAND(),Reference!$D$8,0.1*Reference!$D$8)*(1+Reference!$D$11*(IF(MONTH($A3548)=Reference!$D$4,1,0)+IF(MONTH($A3548)=Reference!$D$5,1,0))+(IF(MONTH($A3548)=Reference!$D$6,Reference!$D$13,0))),0)</f>
        <v>448</v>
      </c>
      <c r="E3548" s="11">
        <f ca="1">D3548*Reference!$D$7*(1-IF(MONTH($A3548)=Reference!$D$6,1,0)*Reference!$D$12)</f>
        <v>319200</v>
      </c>
      <c r="M3548" s="20"/>
      <c r="N3548" s="20"/>
      <c r="O3548" s="19"/>
      <c r="P3548" s="10"/>
      <c r="Q3548" s="10"/>
      <c r="R3548" s="10"/>
      <c r="S3548" s="10"/>
      <c r="T3548" s="10"/>
      <c r="U3548" s="10"/>
      <c r="V3548" s="10"/>
      <c r="W3548" s="10"/>
      <c r="X3548" s="10"/>
      <c r="Y3548" s="10"/>
    </row>
    <row r="3549" spans="1:25" x14ac:dyDescent="0.25">
      <c r="A3549" s="9">
        <v>44087</v>
      </c>
      <c r="B3549" s="10">
        <f ca="1">ROUND(_xlfn.NORM.INV(RAND(),Reference!$C$8,0.1*Reference!$C$8)*(1+Reference!$C$11*(IF(MONTH($A3549)=Reference!$C$4,1,0)+IF(MONTH($A3549)=Reference!$C$5,1,0))+(IF(MONTH($A3549)=Reference!$C$6,Reference!$C$13,0))),0)</f>
        <v>318</v>
      </c>
      <c r="C3549" s="11">
        <f ca="1">B3549*Reference!$C$7*(1-IF(MONTH($A3549)=Reference!$C$6,1,0)*Reference!$C$12)</f>
        <v>295740</v>
      </c>
      <c r="D3549" s="10">
        <f ca="1">ROUND(_xlfn.NORM.INV(RAND(),Reference!$D$8,0.1*Reference!$D$8)*(1+Reference!$D$11*(IF(MONTH($A3549)=Reference!$D$4,1,0)+IF(MONTH($A3549)=Reference!$D$5,1,0))+(IF(MONTH($A3549)=Reference!$D$6,Reference!$D$13,0))),0)</f>
        <v>537</v>
      </c>
      <c r="E3549" s="11">
        <f ca="1">D3549*Reference!$D$7*(1-IF(MONTH($A3549)=Reference!$D$6,1,0)*Reference!$D$12)</f>
        <v>382612.5</v>
      </c>
      <c r="M3549" s="20"/>
      <c r="N3549" s="20"/>
      <c r="O3549" s="19"/>
      <c r="P3549" s="10"/>
      <c r="Q3549" s="10"/>
      <c r="R3549" s="10"/>
      <c r="S3549" s="10"/>
      <c r="T3549" s="10"/>
      <c r="U3549" s="10"/>
      <c r="V3549" s="10"/>
      <c r="W3549" s="10"/>
      <c r="X3549" s="10"/>
      <c r="Y3549" s="10"/>
    </row>
    <row r="3550" spans="1:25" x14ac:dyDescent="0.25">
      <c r="A3550" s="9">
        <v>44088</v>
      </c>
      <c r="B3550" s="10">
        <f ca="1">ROUND(_xlfn.NORM.INV(RAND(),Reference!$C$8,0.1*Reference!$C$8)*(1+Reference!$C$11*(IF(MONTH($A3550)=Reference!$C$4,1,0)+IF(MONTH($A3550)=Reference!$C$5,1,0))+(IF(MONTH($A3550)=Reference!$C$6,Reference!$C$13,0))),0)</f>
        <v>293</v>
      </c>
      <c r="C3550" s="11">
        <f ca="1">B3550*Reference!$C$7*(1-IF(MONTH($A3550)=Reference!$C$6,1,0)*Reference!$C$12)</f>
        <v>272490</v>
      </c>
      <c r="D3550" s="10">
        <f ca="1">ROUND(_xlfn.NORM.INV(RAND(),Reference!$D$8,0.1*Reference!$D$8)*(1+Reference!$D$11*(IF(MONTH($A3550)=Reference!$D$4,1,0)+IF(MONTH($A3550)=Reference!$D$5,1,0))+(IF(MONTH($A3550)=Reference!$D$6,Reference!$D$13,0))),0)</f>
        <v>406</v>
      </c>
      <c r="E3550" s="11">
        <f ca="1">D3550*Reference!$D$7*(1-IF(MONTH($A3550)=Reference!$D$6,1,0)*Reference!$D$12)</f>
        <v>289275</v>
      </c>
      <c r="M3550" s="20"/>
      <c r="N3550" s="20"/>
      <c r="O3550" s="19"/>
      <c r="P3550" s="10"/>
      <c r="Q3550" s="10"/>
      <c r="R3550" s="10"/>
      <c r="S3550" s="10"/>
      <c r="T3550" s="10"/>
      <c r="U3550" s="10"/>
      <c r="V3550" s="10"/>
      <c r="W3550" s="10"/>
      <c r="X3550" s="10"/>
      <c r="Y3550" s="10"/>
    </row>
    <row r="3551" spans="1:25" x14ac:dyDescent="0.25">
      <c r="A3551" s="9">
        <v>44089</v>
      </c>
      <c r="B3551" s="10">
        <f ca="1">ROUND(_xlfn.NORM.INV(RAND(),Reference!$C$8,0.1*Reference!$C$8)*(1+Reference!$C$11*(IF(MONTH($A3551)=Reference!$C$4,1,0)+IF(MONTH($A3551)=Reference!$C$5,1,0))+(IF(MONTH($A3551)=Reference!$C$6,Reference!$C$13,0))),0)</f>
        <v>378</v>
      </c>
      <c r="C3551" s="11">
        <f ca="1">B3551*Reference!$C$7*(1-IF(MONTH($A3551)=Reference!$C$6,1,0)*Reference!$C$12)</f>
        <v>351540</v>
      </c>
      <c r="D3551" s="10">
        <f ca="1">ROUND(_xlfn.NORM.INV(RAND(),Reference!$D$8,0.1*Reference!$D$8)*(1+Reference!$D$11*(IF(MONTH($A3551)=Reference!$D$4,1,0)+IF(MONTH($A3551)=Reference!$D$5,1,0))+(IF(MONTH($A3551)=Reference!$D$6,Reference!$D$13,0))),0)</f>
        <v>439</v>
      </c>
      <c r="E3551" s="11">
        <f ca="1">D3551*Reference!$D$7*(1-IF(MONTH($A3551)=Reference!$D$6,1,0)*Reference!$D$12)</f>
        <v>312787.5</v>
      </c>
      <c r="M3551" s="20"/>
      <c r="N3551" s="20"/>
      <c r="O3551" s="19"/>
      <c r="P3551" s="10"/>
      <c r="Q3551" s="10"/>
      <c r="R3551" s="10"/>
      <c r="S3551" s="10"/>
      <c r="T3551" s="10"/>
      <c r="U3551" s="10"/>
      <c r="V3551" s="10"/>
      <c r="W3551" s="10"/>
      <c r="X3551" s="10"/>
      <c r="Y3551" s="10"/>
    </row>
    <row r="3552" spans="1:25" x14ac:dyDescent="0.25">
      <c r="A3552" s="9">
        <v>44090</v>
      </c>
      <c r="B3552" s="10">
        <f ca="1">ROUND(_xlfn.NORM.INV(RAND(),Reference!$C$8,0.1*Reference!$C$8)*(1+Reference!$C$11*(IF(MONTH($A3552)=Reference!$C$4,1,0)+IF(MONTH($A3552)=Reference!$C$5,1,0))+(IF(MONTH($A3552)=Reference!$C$6,Reference!$C$13,0))),0)</f>
        <v>340</v>
      </c>
      <c r="C3552" s="11">
        <f ca="1">B3552*Reference!$C$7*(1-IF(MONTH($A3552)=Reference!$C$6,1,0)*Reference!$C$12)</f>
        <v>316200</v>
      </c>
      <c r="D3552" s="10">
        <f ca="1">ROUND(_xlfn.NORM.INV(RAND(),Reference!$D$8,0.1*Reference!$D$8)*(1+Reference!$D$11*(IF(MONTH($A3552)=Reference!$D$4,1,0)+IF(MONTH($A3552)=Reference!$D$5,1,0))+(IF(MONTH($A3552)=Reference!$D$6,Reference!$D$13,0))),0)</f>
        <v>505</v>
      </c>
      <c r="E3552" s="11">
        <f ca="1">D3552*Reference!$D$7*(1-IF(MONTH($A3552)=Reference!$D$6,1,0)*Reference!$D$12)</f>
        <v>359812.5</v>
      </c>
      <c r="M3552" s="20"/>
      <c r="N3552" s="20"/>
      <c r="O3552" s="19"/>
      <c r="P3552" s="10"/>
      <c r="Q3552" s="10"/>
      <c r="R3552" s="10"/>
      <c r="S3552" s="10"/>
      <c r="T3552" s="10"/>
      <c r="U3552" s="10"/>
      <c r="V3552" s="10"/>
      <c r="W3552" s="10"/>
      <c r="X3552" s="10"/>
      <c r="Y3552" s="10"/>
    </row>
    <row r="3553" spans="1:25" x14ac:dyDescent="0.25">
      <c r="A3553" s="9">
        <v>44091</v>
      </c>
      <c r="B3553" s="10">
        <f ca="1">ROUND(_xlfn.NORM.INV(RAND(),Reference!$C$8,0.1*Reference!$C$8)*(1+Reference!$C$11*(IF(MONTH($A3553)=Reference!$C$4,1,0)+IF(MONTH($A3553)=Reference!$C$5,1,0))+(IF(MONTH($A3553)=Reference!$C$6,Reference!$C$13,0))),0)</f>
        <v>389</v>
      </c>
      <c r="C3553" s="11">
        <f ca="1">B3553*Reference!$C$7*(1-IF(MONTH($A3553)=Reference!$C$6,1,0)*Reference!$C$12)</f>
        <v>361770</v>
      </c>
      <c r="D3553" s="10">
        <f ca="1">ROUND(_xlfn.NORM.INV(RAND(),Reference!$D$8,0.1*Reference!$D$8)*(1+Reference!$D$11*(IF(MONTH($A3553)=Reference!$D$4,1,0)+IF(MONTH($A3553)=Reference!$D$5,1,0))+(IF(MONTH($A3553)=Reference!$D$6,Reference!$D$13,0))),0)</f>
        <v>459</v>
      </c>
      <c r="E3553" s="11">
        <f ca="1">D3553*Reference!$D$7*(1-IF(MONTH($A3553)=Reference!$D$6,1,0)*Reference!$D$12)</f>
        <v>327037.5</v>
      </c>
      <c r="M3553" s="20"/>
      <c r="N3553" s="20"/>
      <c r="O3553" s="19"/>
      <c r="P3553" s="10"/>
      <c r="Q3553" s="10"/>
      <c r="R3553" s="10"/>
      <c r="S3553" s="10"/>
      <c r="T3553" s="10"/>
      <c r="U3553" s="10"/>
      <c r="V3553" s="10"/>
      <c r="W3553" s="10"/>
      <c r="X3553" s="10"/>
      <c r="Y3553" s="10"/>
    </row>
    <row r="3554" spans="1:25" x14ac:dyDescent="0.25">
      <c r="A3554" s="9">
        <v>44092</v>
      </c>
      <c r="B3554" s="10">
        <f ca="1">ROUND(_xlfn.NORM.INV(RAND(),Reference!$C$8,0.1*Reference!$C$8)*(1+Reference!$C$11*(IF(MONTH($A3554)=Reference!$C$4,1,0)+IF(MONTH($A3554)=Reference!$C$5,1,0))+(IF(MONTH($A3554)=Reference!$C$6,Reference!$C$13,0))),0)</f>
        <v>324</v>
      </c>
      <c r="C3554" s="11">
        <f ca="1">B3554*Reference!$C$7*(1-IF(MONTH($A3554)=Reference!$C$6,1,0)*Reference!$C$12)</f>
        <v>301320</v>
      </c>
      <c r="D3554" s="10">
        <f ca="1">ROUND(_xlfn.NORM.INV(RAND(),Reference!$D$8,0.1*Reference!$D$8)*(1+Reference!$D$11*(IF(MONTH($A3554)=Reference!$D$4,1,0)+IF(MONTH($A3554)=Reference!$D$5,1,0))+(IF(MONTH($A3554)=Reference!$D$6,Reference!$D$13,0))),0)</f>
        <v>569</v>
      </c>
      <c r="E3554" s="11">
        <f ca="1">D3554*Reference!$D$7*(1-IF(MONTH($A3554)=Reference!$D$6,1,0)*Reference!$D$12)</f>
        <v>405412.5</v>
      </c>
      <c r="M3554" s="20"/>
      <c r="N3554" s="20"/>
      <c r="O3554" s="19"/>
      <c r="P3554" s="10"/>
      <c r="Q3554" s="10"/>
      <c r="R3554" s="10"/>
      <c r="S3554" s="10"/>
      <c r="T3554" s="10"/>
      <c r="U3554" s="10"/>
      <c r="V3554" s="10"/>
      <c r="W3554" s="10"/>
      <c r="X3554" s="10"/>
      <c r="Y3554" s="10"/>
    </row>
    <row r="3555" spans="1:25" x14ac:dyDescent="0.25">
      <c r="A3555" s="9">
        <v>44093</v>
      </c>
      <c r="B3555" s="10">
        <f ca="1">ROUND(_xlfn.NORM.INV(RAND(),Reference!$C$8,0.1*Reference!$C$8)*(1+Reference!$C$11*(IF(MONTH($A3555)=Reference!$C$4,1,0)+IF(MONTH($A3555)=Reference!$C$5,1,0))+(IF(MONTH($A3555)=Reference!$C$6,Reference!$C$13,0))),0)</f>
        <v>389</v>
      </c>
      <c r="C3555" s="11">
        <f ca="1">B3555*Reference!$C$7*(1-IF(MONTH($A3555)=Reference!$C$6,1,0)*Reference!$C$12)</f>
        <v>361770</v>
      </c>
      <c r="D3555" s="10">
        <f ca="1">ROUND(_xlfn.NORM.INV(RAND(),Reference!$D$8,0.1*Reference!$D$8)*(1+Reference!$D$11*(IF(MONTH($A3555)=Reference!$D$4,1,0)+IF(MONTH($A3555)=Reference!$D$5,1,0))+(IF(MONTH($A3555)=Reference!$D$6,Reference!$D$13,0))),0)</f>
        <v>486</v>
      </c>
      <c r="E3555" s="11">
        <f ca="1">D3555*Reference!$D$7*(1-IF(MONTH($A3555)=Reference!$D$6,1,0)*Reference!$D$12)</f>
        <v>346275</v>
      </c>
      <c r="M3555" s="20"/>
      <c r="N3555" s="20"/>
      <c r="O3555" s="19"/>
      <c r="P3555" s="10"/>
      <c r="Q3555" s="10"/>
      <c r="R3555" s="10"/>
      <c r="S3555" s="10"/>
      <c r="T3555" s="10"/>
      <c r="U3555" s="10"/>
      <c r="V3555" s="10"/>
      <c r="W3555" s="10"/>
      <c r="X3555" s="10"/>
      <c r="Y3555" s="10"/>
    </row>
    <row r="3556" spans="1:25" x14ac:dyDescent="0.25">
      <c r="A3556" s="9">
        <v>44094</v>
      </c>
      <c r="B3556" s="10">
        <f ca="1">ROUND(_xlfn.NORM.INV(RAND(),Reference!$C$8,0.1*Reference!$C$8)*(1+Reference!$C$11*(IF(MONTH($A3556)=Reference!$C$4,1,0)+IF(MONTH($A3556)=Reference!$C$5,1,0))+(IF(MONTH($A3556)=Reference!$C$6,Reference!$C$13,0))),0)</f>
        <v>330</v>
      </c>
      <c r="C3556" s="11">
        <f ca="1">B3556*Reference!$C$7*(1-IF(MONTH($A3556)=Reference!$C$6,1,0)*Reference!$C$12)</f>
        <v>306900</v>
      </c>
      <c r="D3556" s="10">
        <f ca="1">ROUND(_xlfn.NORM.INV(RAND(),Reference!$D$8,0.1*Reference!$D$8)*(1+Reference!$D$11*(IF(MONTH($A3556)=Reference!$D$4,1,0)+IF(MONTH($A3556)=Reference!$D$5,1,0))+(IF(MONTH($A3556)=Reference!$D$6,Reference!$D$13,0))),0)</f>
        <v>519</v>
      </c>
      <c r="E3556" s="11">
        <f ca="1">D3556*Reference!$D$7*(1-IF(MONTH($A3556)=Reference!$D$6,1,0)*Reference!$D$12)</f>
        <v>369787.5</v>
      </c>
      <c r="M3556" s="20"/>
      <c r="N3556" s="20"/>
      <c r="O3556" s="19"/>
      <c r="P3556" s="10"/>
      <c r="Q3556" s="10"/>
      <c r="R3556" s="10"/>
      <c r="S3556" s="10"/>
      <c r="T3556" s="10"/>
      <c r="U3556" s="10"/>
      <c r="V3556" s="10"/>
      <c r="W3556" s="10"/>
      <c r="X3556" s="10"/>
      <c r="Y3556" s="10"/>
    </row>
    <row r="3557" spans="1:25" x14ac:dyDescent="0.25">
      <c r="A3557" s="9">
        <v>44095</v>
      </c>
      <c r="B3557" s="10">
        <f ca="1">ROUND(_xlfn.NORM.INV(RAND(),Reference!$C$8,0.1*Reference!$C$8)*(1+Reference!$C$11*(IF(MONTH($A3557)=Reference!$C$4,1,0)+IF(MONTH($A3557)=Reference!$C$5,1,0))+(IF(MONTH($A3557)=Reference!$C$6,Reference!$C$13,0))),0)</f>
        <v>336</v>
      </c>
      <c r="C3557" s="11">
        <f ca="1">B3557*Reference!$C$7*(1-IF(MONTH($A3557)=Reference!$C$6,1,0)*Reference!$C$12)</f>
        <v>312480</v>
      </c>
      <c r="D3557" s="10">
        <f ca="1">ROUND(_xlfn.NORM.INV(RAND(),Reference!$D$8,0.1*Reference!$D$8)*(1+Reference!$D$11*(IF(MONTH($A3557)=Reference!$D$4,1,0)+IF(MONTH($A3557)=Reference!$D$5,1,0))+(IF(MONTH($A3557)=Reference!$D$6,Reference!$D$13,0))),0)</f>
        <v>545</v>
      </c>
      <c r="E3557" s="11">
        <f ca="1">D3557*Reference!$D$7*(1-IF(MONTH($A3557)=Reference!$D$6,1,0)*Reference!$D$12)</f>
        <v>388312.5</v>
      </c>
      <c r="M3557" s="20"/>
      <c r="N3557" s="20"/>
      <c r="O3557" s="19"/>
      <c r="P3557" s="10"/>
      <c r="Q3557" s="10"/>
      <c r="R3557" s="10"/>
      <c r="S3557" s="10"/>
      <c r="T3557" s="10"/>
      <c r="U3557" s="10"/>
      <c r="V3557" s="10"/>
      <c r="W3557" s="10"/>
      <c r="X3557" s="10"/>
      <c r="Y3557" s="10"/>
    </row>
    <row r="3558" spans="1:25" x14ac:dyDescent="0.25">
      <c r="A3558" s="9">
        <v>44096</v>
      </c>
      <c r="B3558" s="10">
        <f ca="1">ROUND(_xlfn.NORM.INV(RAND(),Reference!$C$8,0.1*Reference!$C$8)*(1+Reference!$C$11*(IF(MONTH($A3558)=Reference!$C$4,1,0)+IF(MONTH($A3558)=Reference!$C$5,1,0))+(IF(MONTH($A3558)=Reference!$C$6,Reference!$C$13,0))),0)</f>
        <v>357</v>
      </c>
      <c r="C3558" s="11">
        <f ca="1">B3558*Reference!$C$7*(1-IF(MONTH($A3558)=Reference!$C$6,1,0)*Reference!$C$12)</f>
        <v>332010</v>
      </c>
      <c r="D3558" s="10">
        <f ca="1">ROUND(_xlfn.NORM.INV(RAND(),Reference!$D$8,0.1*Reference!$D$8)*(1+Reference!$D$11*(IF(MONTH($A3558)=Reference!$D$4,1,0)+IF(MONTH($A3558)=Reference!$D$5,1,0))+(IF(MONTH($A3558)=Reference!$D$6,Reference!$D$13,0))),0)</f>
        <v>501</v>
      </c>
      <c r="E3558" s="11">
        <f ca="1">D3558*Reference!$D$7*(1-IF(MONTH($A3558)=Reference!$D$6,1,0)*Reference!$D$12)</f>
        <v>356962.5</v>
      </c>
      <c r="M3558" s="20"/>
      <c r="N3558" s="20"/>
      <c r="O3558" s="19"/>
      <c r="P3558" s="10"/>
      <c r="Q3558" s="10"/>
      <c r="R3558" s="10"/>
      <c r="S3558" s="10"/>
      <c r="T3558" s="10"/>
      <c r="U3558" s="10"/>
      <c r="V3558" s="10"/>
      <c r="W3558" s="10"/>
      <c r="X3558" s="10"/>
      <c r="Y3558" s="10"/>
    </row>
    <row r="3559" spans="1:25" x14ac:dyDescent="0.25">
      <c r="A3559" s="9">
        <v>44097</v>
      </c>
      <c r="B3559" s="10">
        <f ca="1">ROUND(_xlfn.NORM.INV(RAND(),Reference!$C$8,0.1*Reference!$C$8)*(1+Reference!$C$11*(IF(MONTH($A3559)=Reference!$C$4,1,0)+IF(MONTH($A3559)=Reference!$C$5,1,0))+(IF(MONTH($A3559)=Reference!$C$6,Reference!$C$13,0))),0)</f>
        <v>387</v>
      </c>
      <c r="C3559" s="11">
        <f ca="1">B3559*Reference!$C$7*(1-IF(MONTH($A3559)=Reference!$C$6,1,0)*Reference!$C$12)</f>
        <v>359910</v>
      </c>
      <c r="D3559" s="10">
        <f ca="1">ROUND(_xlfn.NORM.INV(RAND(),Reference!$D$8,0.1*Reference!$D$8)*(1+Reference!$D$11*(IF(MONTH($A3559)=Reference!$D$4,1,0)+IF(MONTH($A3559)=Reference!$D$5,1,0))+(IF(MONTH($A3559)=Reference!$D$6,Reference!$D$13,0))),0)</f>
        <v>494</v>
      </c>
      <c r="E3559" s="11">
        <f ca="1">D3559*Reference!$D$7*(1-IF(MONTH($A3559)=Reference!$D$6,1,0)*Reference!$D$12)</f>
        <v>351975</v>
      </c>
      <c r="M3559" s="20"/>
      <c r="N3559" s="20"/>
      <c r="O3559" s="19"/>
      <c r="P3559" s="10"/>
      <c r="Q3559" s="10"/>
      <c r="R3559" s="10"/>
      <c r="S3559" s="10"/>
      <c r="T3559" s="10"/>
      <c r="U3559" s="10"/>
      <c r="V3559" s="10"/>
      <c r="W3559" s="10"/>
      <c r="X3559" s="10"/>
      <c r="Y3559" s="10"/>
    </row>
    <row r="3560" spans="1:25" x14ac:dyDescent="0.25">
      <c r="A3560" s="9">
        <v>44098</v>
      </c>
      <c r="B3560" s="10">
        <f ca="1">ROUND(_xlfn.NORM.INV(RAND(),Reference!$C$8,0.1*Reference!$C$8)*(1+Reference!$C$11*(IF(MONTH($A3560)=Reference!$C$4,1,0)+IF(MONTH($A3560)=Reference!$C$5,1,0))+(IF(MONTH($A3560)=Reference!$C$6,Reference!$C$13,0))),0)</f>
        <v>342</v>
      </c>
      <c r="C3560" s="11">
        <f ca="1">B3560*Reference!$C$7*(1-IF(MONTH($A3560)=Reference!$C$6,1,0)*Reference!$C$12)</f>
        <v>318060</v>
      </c>
      <c r="D3560" s="10">
        <f ca="1">ROUND(_xlfn.NORM.INV(RAND(),Reference!$D$8,0.1*Reference!$D$8)*(1+Reference!$D$11*(IF(MONTH($A3560)=Reference!$D$4,1,0)+IF(MONTH($A3560)=Reference!$D$5,1,0))+(IF(MONTH($A3560)=Reference!$D$6,Reference!$D$13,0))),0)</f>
        <v>439</v>
      </c>
      <c r="E3560" s="11">
        <f ca="1">D3560*Reference!$D$7*(1-IF(MONTH($A3560)=Reference!$D$6,1,0)*Reference!$D$12)</f>
        <v>312787.5</v>
      </c>
      <c r="M3560" s="20"/>
      <c r="N3560" s="20"/>
      <c r="O3560" s="19"/>
      <c r="P3560" s="10"/>
      <c r="Q3560" s="10"/>
      <c r="R3560" s="10"/>
      <c r="S3560" s="10"/>
      <c r="T3560" s="10"/>
      <c r="U3560" s="10"/>
      <c r="V3560" s="10"/>
      <c r="W3560" s="10"/>
      <c r="X3560" s="10"/>
      <c r="Y3560" s="10"/>
    </row>
    <row r="3561" spans="1:25" x14ac:dyDescent="0.25">
      <c r="A3561" s="9">
        <v>44099</v>
      </c>
      <c r="B3561" s="10">
        <f ca="1">ROUND(_xlfn.NORM.INV(RAND(),Reference!$C$8,0.1*Reference!$C$8)*(1+Reference!$C$11*(IF(MONTH($A3561)=Reference!$C$4,1,0)+IF(MONTH($A3561)=Reference!$C$5,1,0))+(IF(MONTH($A3561)=Reference!$C$6,Reference!$C$13,0))),0)</f>
        <v>369</v>
      </c>
      <c r="C3561" s="11">
        <f ca="1">B3561*Reference!$C$7*(1-IF(MONTH($A3561)=Reference!$C$6,1,0)*Reference!$C$12)</f>
        <v>343170</v>
      </c>
      <c r="D3561" s="10">
        <f ca="1">ROUND(_xlfn.NORM.INV(RAND(),Reference!$D$8,0.1*Reference!$D$8)*(1+Reference!$D$11*(IF(MONTH($A3561)=Reference!$D$4,1,0)+IF(MONTH($A3561)=Reference!$D$5,1,0))+(IF(MONTH($A3561)=Reference!$D$6,Reference!$D$13,0))),0)</f>
        <v>522</v>
      </c>
      <c r="E3561" s="11">
        <f ca="1">D3561*Reference!$D$7*(1-IF(MONTH($A3561)=Reference!$D$6,1,0)*Reference!$D$12)</f>
        <v>371925</v>
      </c>
      <c r="M3561" s="20"/>
      <c r="N3561" s="20"/>
      <c r="O3561" s="19"/>
      <c r="P3561" s="10"/>
      <c r="Q3561" s="10"/>
      <c r="R3561" s="10"/>
      <c r="S3561" s="10"/>
      <c r="T3561" s="10"/>
      <c r="U3561" s="10"/>
      <c r="V3561" s="10"/>
      <c r="W3561" s="10"/>
      <c r="X3561" s="10"/>
      <c r="Y3561" s="10"/>
    </row>
    <row r="3562" spans="1:25" x14ac:dyDescent="0.25">
      <c r="A3562" s="9">
        <v>44100</v>
      </c>
      <c r="B3562" s="10">
        <f ca="1">ROUND(_xlfn.NORM.INV(RAND(),Reference!$C$8,0.1*Reference!$C$8)*(1+Reference!$C$11*(IF(MONTH($A3562)=Reference!$C$4,1,0)+IF(MONTH($A3562)=Reference!$C$5,1,0))+(IF(MONTH($A3562)=Reference!$C$6,Reference!$C$13,0))),0)</f>
        <v>408</v>
      </c>
      <c r="C3562" s="11">
        <f ca="1">B3562*Reference!$C$7*(1-IF(MONTH($A3562)=Reference!$C$6,1,0)*Reference!$C$12)</f>
        <v>379440</v>
      </c>
      <c r="D3562" s="10">
        <f ca="1">ROUND(_xlfn.NORM.INV(RAND(),Reference!$D$8,0.1*Reference!$D$8)*(1+Reference!$D$11*(IF(MONTH($A3562)=Reference!$D$4,1,0)+IF(MONTH($A3562)=Reference!$D$5,1,0))+(IF(MONTH($A3562)=Reference!$D$6,Reference!$D$13,0))),0)</f>
        <v>476</v>
      </c>
      <c r="E3562" s="11">
        <f ca="1">D3562*Reference!$D$7*(1-IF(MONTH($A3562)=Reference!$D$6,1,0)*Reference!$D$12)</f>
        <v>339150</v>
      </c>
      <c r="M3562" s="20"/>
      <c r="N3562" s="20"/>
      <c r="O3562" s="19"/>
      <c r="P3562" s="10"/>
      <c r="Q3562" s="10"/>
      <c r="R3562" s="10"/>
      <c r="S3562" s="10"/>
      <c r="T3562" s="10"/>
      <c r="U3562" s="10"/>
      <c r="V3562" s="10"/>
      <c r="W3562" s="10"/>
      <c r="X3562" s="10"/>
      <c r="Y3562" s="10"/>
    </row>
    <row r="3563" spans="1:25" x14ac:dyDescent="0.25">
      <c r="A3563" s="9">
        <v>44101</v>
      </c>
      <c r="B3563" s="10">
        <f ca="1">ROUND(_xlfn.NORM.INV(RAND(),Reference!$C$8,0.1*Reference!$C$8)*(1+Reference!$C$11*(IF(MONTH($A3563)=Reference!$C$4,1,0)+IF(MONTH($A3563)=Reference!$C$5,1,0))+(IF(MONTH($A3563)=Reference!$C$6,Reference!$C$13,0))),0)</f>
        <v>360</v>
      </c>
      <c r="C3563" s="11">
        <f ca="1">B3563*Reference!$C$7*(1-IF(MONTH($A3563)=Reference!$C$6,1,0)*Reference!$C$12)</f>
        <v>334800</v>
      </c>
      <c r="D3563" s="10">
        <f ca="1">ROUND(_xlfn.NORM.INV(RAND(),Reference!$D$8,0.1*Reference!$D$8)*(1+Reference!$D$11*(IF(MONTH($A3563)=Reference!$D$4,1,0)+IF(MONTH($A3563)=Reference!$D$5,1,0))+(IF(MONTH($A3563)=Reference!$D$6,Reference!$D$13,0))),0)</f>
        <v>608</v>
      </c>
      <c r="E3563" s="11">
        <f ca="1">D3563*Reference!$D$7*(1-IF(MONTH($A3563)=Reference!$D$6,1,0)*Reference!$D$12)</f>
        <v>433200</v>
      </c>
      <c r="M3563" s="20"/>
      <c r="N3563" s="20"/>
      <c r="O3563" s="19"/>
      <c r="P3563" s="10"/>
      <c r="Q3563" s="10"/>
      <c r="R3563" s="10"/>
      <c r="S3563" s="10"/>
      <c r="T3563" s="10"/>
      <c r="U3563" s="10"/>
      <c r="V3563" s="10"/>
      <c r="W3563" s="10"/>
      <c r="X3563" s="10"/>
      <c r="Y3563" s="10"/>
    </row>
    <row r="3564" spans="1:25" x14ac:dyDescent="0.25">
      <c r="A3564" s="9">
        <v>44102</v>
      </c>
      <c r="B3564" s="10">
        <f ca="1">ROUND(_xlfn.NORM.INV(RAND(),Reference!$C$8,0.1*Reference!$C$8)*(1+Reference!$C$11*(IF(MONTH($A3564)=Reference!$C$4,1,0)+IF(MONTH($A3564)=Reference!$C$5,1,0))+(IF(MONTH($A3564)=Reference!$C$6,Reference!$C$13,0))),0)</f>
        <v>337</v>
      </c>
      <c r="C3564" s="11">
        <f ca="1">B3564*Reference!$C$7*(1-IF(MONTH($A3564)=Reference!$C$6,1,0)*Reference!$C$12)</f>
        <v>313410</v>
      </c>
      <c r="D3564" s="10">
        <f ca="1">ROUND(_xlfn.NORM.INV(RAND(),Reference!$D$8,0.1*Reference!$D$8)*(1+Reference!$D$11*(IF(MONTH($A3564)=Reference!$D$4,1,0)+IF(MONTH($A3564)=Reference!$D$5,1,0))+(IF(MONTH($A3564)=Reference!$D$6,Reference!$D$13,0))),0)</f>
        <v>537</v>
      </c>
      <c r="E3564" s="11">
        <f ca="1">D3564*Reference!$D$7*(1-IF(MONTH($A3564)=Reference!$D$6,1,0)*Reference!$D$12)</f>
        <v>382612.5</v>
      </c>
      <c r="M3564" s="20"/>
      <c r="N3564" s="20"/>
      <c r="O3564" s="19"/>
      <c r="P3564" s="10"/>
      <c r="Q3564" s="10"/>
      <c r="R3564" s="10"/>
      <c r="S3564" s="10"/>
      <c r="T3564" s="10"/>
      <c r="U3564" s="10"/>
      <c r="V3564" s="10"/>
      <c r="W3564" s="10"/>
      <c r="X3564" s="10"/>
      <c r="Y3564" s="10"/>
    </row>
    <row r="3565" spans="1:25" x14ac:dyDescent="0.25">
      <c r="A3565" s="9">
        <v>44103</v>
      </c>
      <c r="B3565" s="10">
        <f ca="1">ROUND(_xlfn.NORM.INV(RAND(),Reference!$C$8,0.1*Reference!$C$8)*(1+Reference!$C$11*(IF(MONTH($A3565)=Reference!$C$4,1,0)+IF(MONTH($A3565)=Reference!$C$5,1,0))+(IF(MONTH($A3565)=Reference!$C$6,Reference!$C$13,0))),0)</f>
        <v>357</v>
      </c>
      <c r="C3565" s="11">
        <f ca="1">B3565*Reference!$C$7*(1-IF(MONTH($A3565)=Reference!$C$6,1,0)*Reference!$C$12)</f>
        <v>332010</v>
      </c>
      <c r="D3565" s="10">
        <f ca="1">ROUND(_xlfn.NORM.INV(RAND(),Reference!$D$8,0.1*Reference!$D$8)*(1+Reference!$D$11*(IF(MONTH($A3565)=Reference!$D$4,1,0)+IF(MONTH($A3565)=Reference!$D$5,1,0))+(IF(MONTH($A3565)=Reference!$D$6,Reference!$D$13,0))),0)</f>
        <v>510</v>
      </c>
      <c r="E3565" s="11">
        <f ca="1">D3565*Reference!$D$7*(1-IF(MONTH($A3565)=Reference!$D$6,1,0)*Reference!$D$12)</f>
        <v>363375</v>
      </c>
      <c r="M3565" s="20"/>
      <c r="N3565" s="20"/>
      <c r="O3565" s="19"/>
      <c r="P3565" s="10"/>
      <c r="Q3565" s="10"/>
      <c r="R3565" s="10"/>
      <c r="S3565" s="10"/>
      <c r="T3565" s="10"/>
      <c r="U3565" s="10"/>
      <c r="V3565" s="10"/>
      <c r="W3565" s="10"/>
      <c r="X3565" s="10"/>
      <c r="Y3565" s="10"/>
    </row>
    <row r="3566" spans="1:25" x14ac:dyDescent="0.25">
      <c r="A3566" s="9">
        <v>44104</v>
      </c>
      <c r="B3566" s="10">
        <f ca="1">ROUND(_xlfn.NORM.INV(RAND(),Reference!$C$8,0.1*Reference!$C$8)*(1+Reference!$C$11*(IF(MONTH($A3566)=Reference!$C$4,1,0)+IF(MONTH($A3566)=Reference!$C$5,1,0))+(IF(MONTH($A3566)=Reference!$C$6,Reference!$C$13,0))),0)</f>
        <v>341</v>
      </c>
      <c r="C3566" s="11">
        <f ca="1">B3566*Reference!$C$7*(1-IF(MONTH($A3566)=Reference!$C$6,1,0)*Reference!$C$12)</f>
        <v>317130</v>
      </c>
      <c r="D3566" s="10">
        <f ca="1">ROUND(_xlfn.NORM.INV(RAND(),Reference!$D$8,0.1*Reference!$D$8)*(1+Reference!$D$11*(IF(MONTH($A3566)=Reference!$D$4,1,0)+IF(MONTH($A3566)=Reference!$D$5,1,0))+(IF(MONTH($A3566)=Reference!$D$6,Reference!$D$13,0))),0)</f>
        <v>583</v>
      </c>
      <c r="E3566" s="11">
        <f ca="1">D3566*Reference!$D$7*(1-IF(MONTH($A3566)=Reference!$D$6,1,0)*Reference!$D$12)</f>
        <v>415387.5</v>
      </c>
      <c r="M3566" s="20"/>
      <c r="N3566" s="20"/>
      <c r="O3566" s="19"/>
      <c r="P3566" s="10"/>
      <c r="Q3566" s="10"/>
      <c r="R3566" s="10"/>
      <c r="S3566" s="10"/>
      <c r="T3566" s="10"/>
      <c r="U3566" s="10"/>
      <c r="V3566" s="10"/>
      <c r="W3566" s="10"/>
      <c r="X3566" s="10"/>
      <c r="Y3566" s="10"/>
    </row>
    <row r="3567" spans="1:25" x14ac:dyDescent="0.25">
      <c r="A3567" s="9">
        <v>44105</v>
      </c>
      <c r="B3567" s="10">
        <f ca="1">ROUND(_xlfn.NORM.INV(RAND(),Reference!$C$8,0.1*Reference!$C$8)*(1+Reference!$C$11*(IF(MONTH($A3567)=Reference!$C$4,1,0)+IF(MONTH($A3567)=Reference!$C$5,1,0))+(IF(MONTH($A3567)=Reference!$C$6,Reference!$C$13,0))),0)</f>
        <v>407</v>
      </c>
      <c r="C3567" s="11">
        <f ca="1">B3567*Reference!$C$7*(1-IF(MONTH($A3567)=Reference!$C$6,1,0)*Reference!$C$12)</f>
        <v>378510</v>
      </c>
      <c r="D3567" s="10">
        <f ca="1">ROUND(_xlfn.NORM.INV(RAND(),Reference!$D$8,0.1*Reference!$D$8)*(1+Reference!$D$11*(IF(MONTH($A3567)=Reference!$D$4,1,0)+IF(MONTH($A3567)=Reference!$D$5,1,0))+(IF(MONTH($A3567)=Reference!$D$6,Reference!$D$13,0))),0)</f>
        <v>415</v>
      </c>
      <c r="E3567" s="11">
        <f ca="1">D3567*Reference!$D$7*(1-IF(MONTH($A3567)=Reference!$D$6,1,0)*Reference!$D$12)</f>
        <v>311250</v>
      </c>
      <c r="M3567" s="20"/>
      <c r="N3567" s="20"/>
      <c r="O3567" s="19"/>
      <c r="P3567" s="10"/>
      <c r="Q3567" s="10"/>
      <c r="R3567" s="10"/>
      <c r="S3567" s="10"/>
      <c r="T3567" s="10"/>
      <c r="U3567" s="10"/>
      <c r="V3567" s="10"/>
      <c r="W3567" s="10"/>
      <c r="X3567" s="10"/>
      <c r="Y3567" s="10"/>
    </row>
    <row r="3568" spans="1:25" x14ac:dyDescent="0.25">
      <c r="A3568" s="9">
        <v>44106</v>
      </c>
      <c r="B3568" s="10">
        <f ca="1">ROUND(_xlfn.NORM.INV(RAND(),Reference!$C$8,0.1*Reference!$C$8)*(1+Reference!$C$11*(IF(MONTH($A3568)=Reference!$C$4,1,0)+IF(MONTH($A3568)=Reference!$C$5,1,0))+(IF(MONTH($A3568)=Reference!$C$6,Reference!$C$13,0))),0)</f>
        <v>382</v>
      </c>
      <c r="C3568" s="11">
        <f ca="1">B3568*Reference!$C$7*(1-IF(MONTH($A3568)=Reference!$C$6,1,0)*Reference!$C$12)</f>
        <v>355260</v>
      </c>
      <c r="D3568" s="10">
        <f ca="1">ROUND(_xlfn.NORM.INV(RAND(),Reference!$D$8,0.1*Reference!$D$8)*(1+Reference!$D$11*(IF(MONTH($A3568)=Reference!$D$4,1,0)+IF(MONTH($A3568)=Reference!$D$5,1,0))+(IF(MONTH($A3568)=Reference!$D$6,Reference!$D$13,0))),0)</f>
        <v>423</v>
      </c>
      <c r="E3568" s="11">
        <f ca="1">D3568*Reference!$D$7*(1-IF(MONTH($A3568)=Reference!$D$6,1,0)*Reference!$D$12)</f>
        <v>317250</v>
      </c>
      <c r="M3568" s="20"/>
      <c r="N3568" s="20"/>
      <c r="O3568" s="19"/>
      <c r="P3568" s="10"/>
      <c r="Q3568" s="10"/>
      <c r="R3568" s="10"/>
      <c r="S3568" s="10"/>
      <c r="T3568" s="10"/>
      <c r="U3568" s="10"/>
      <c r="V3568" s="10"/>
      <c r="W3568" s="10"/>
      <c r="X3568" s="10"/>
      <c r="Y3568" s="10"/>
    </row>
    <row r="3569" spans="1:25" x14ac:dyDescent="0.25">
      <c r="A3569" s="9">
        <v>44107</v>
      </c>
      <c r="B3569" s="10">
        <f ca="1">ROUND(_xlfn.NORM.INV(RAND(),Reference!$C$8,0.1*Reference!$C$8)*(1+Reference!$C$11*(IF(MONTH($A3569)=Reference!$C$4,1,0)+IF(MONTH($A3569)=Reference!$C$5,1,0))+(IF(MONTH($A3569)=Reference!$C$6,Reference!$C$13,0))),0)</f>
        <v>334</v>
      </c>
      <c r="C3569" s="11">
        <f ca="1">B3569*Reference!$C$7*(1-IF(MONTH($A3569)=Reference!$C$6,1,0)*Reference!$C$12)</f>
        <v>310620</v>
      </c>
      <c r="D3569" s="10">
        <f ca="1">ROUND(_xlfn.NORM.INV(RAND(),Reference!$D$8,0.1*Reference!$D$8)*(1+Reference!$D$11*(IF(MONTH($A3569)=Reference!$D$4,1,0)+IF(MONTH($A3569)=Reference!$D$5,1,0))+(IF(MONTH($A3569)=Reference!$D$6,Reference!$D$13,0))),0)</f>
        <v>393</v>
      </c>
      <c r="E3569" s="11">
        <f ca="1">D3569*Reference!$D$7*(1-IF(MONTH($A3569)=Reference!$D$6,1,0)*Reference!$D$12)</f>
        <v>294750</v>
      </c>
      <c r="M3569" s="20"/>
      <c r="N3569" s="20"/>
      <c r="O3569" s="19"/>
      <c r="P3569" s="10"/>
      <c r="Q3569" s="10"/>
      <c r="R3569" s="10"/>
      <c r="S3569" s="10"/>
      <c r="T3569" s="10"/>
      <c r="U3569" s="10"/>
      <c r="V3569" s="10"/>
      <c r="W3569" s="10"/>
      <c r="X3569" s="10"/>
      <c r="Y3569" s="10"/>
    </row>
    <row r="3570" spans="1:25" x14ac:dyDescent="0.25">
      <c r="A3570" s="9">
        <v>44108</v>
      </c>
      <c r="B3570" s="10">
        <f ca="1">ROUND(_xlfn.NORM.INV(RAND(),Reference!$C$8,0.1*Reference!$C$8)*(1+Reference!$C$11*(IF(MONTH($A3570)=Reference!$C$4,1,0)+IF(MONTH($A3570)=Reference!$C$5,1,0))+(IF(MONTH($A3570)=Reference!$C$6,Reference!$C$13,0))),0)</f>
        <v>374</v>
      </c>
      <c r="C3570" s="11">
        <f ca="1">B3570*Reference!$C$7*(1-IF(MONTH($A3570)=Reference!$C$6,1,0)*Reference!$C$12)</f>
        <v>347820</v>
      </c>
      <c r="D3570" s="10">
        <f ca="1">ROUND(_xlfn.NORM.INV(RAND(),Reference!$D$8,0.1*Reference!$D$8)*(1+Reference!$D$11*(IF(MONTH($A3570)=Reference!$D$4,1,0)+IF(MONTH($A3570)=Reference!$D$5,1,0))+(IF(MONTH($A3570)=Reference!$D$6,Reference!$D$13,0))),0)</f>
        <v>498</v>
      </c>
      <c r="E3570" s="11">
        <f ca="1">D3570*Reference!$D$7*(1-IF(MONTH($A3570)=Reference!$D$6,1,0)*Reference!$D$12)</f>
        <v>373500</v>
      </c>
      <c r="M3570" s="20"/>
      <c r="N3570" s="20"/>
      <c r="O3570" s="19"/>
      <c r="P3570" s="10"/>
      <c r="Q3570" s="10"/>
      <c r="R3570" s="10"/>
      <c r="S3570" s="10"/>
      <c r="T3570" s="10"/>
      <c r="U3570" s="10"/>
      <c r="V3570" s="10"/>
      <c r="W3570" s="10"/>
      <c r="X3570" s="10"/>
      <c r="Y3570" s="10"/>
    </row>
    <row r="3571" spans="1:25" x14ac:dyDescent="0.25">
      <c r="A3571" s="9">
        <v>44109</v>
      </c>
      <c r="B3571" s="10">
        <f ca="1">ROUND(_xlfn.NORM.INV(RAND(),Reference!$C$8,0.1*Reference!$C$8)*(1+Reference!$C$11*(IF(MONTH($A3571)=Reference!$C$4,1,0)+IF(MONTH($A3571)=Reference!$C$5,1,0))+(IF(MONTH($A3571)=Reference!$C$6,Reference!$C$13,0))),0)</f>
        <v>371</v>
      </c>
      <c r="C3571" s="11">
        <f ca="1">B3571*Reference!$C$7*(1-IF(MONTH($A3571)=Reference!$C$6,1,0)*Reference!$C$12)</f>
        <v>345030</v>
      </c>
      <c r="D3571" s="10">
        <f ca="1">ROUND(_xlfn.NORM.INV(RAND(),Reference!$D$8,0.1*Reference!$D$8)*(1+Reference!$D$11*(IF(MONTH($A3571)=Reference!$D$4,1,0)+IF(MONTH($A3571)=Reference!$D$5,1,0))+(IF(MONTH($A3571)=Reference!$D$6,Reference!$D$13,0))),0)</f>
        <v>416</v>
      </c>
      <c r="E3571" s="11">
        <f ca="1">D3571*Reference!$D$7*(1-IF(MONTH($A3571)=Reference!$D$6,1,0)*Reference!$D$12)</f>
        <v>312000</v>
      </c>
      <c r="M3571" s="20"/>
      <c r="N3571" s="20"/>
      <c r="O3571" s="19"/>
      <c r="P3571" s="10"/>
      <c r="Q3571" s="10"/>
      <c r="R3571" s="10"/>
      <c r="S3571" s="10"/>
      <c r="T3571" s="10"/>
      <c r="U3571" s="10"/>
      <c r="V3571" s="10"/>
      <c r="W3571" s="10"/>
      <c r="X3571" s="10"/>
      <c r="Y3571" s="10"/>
    </row>
    <row r="3572" spans="1:25" x14ac:dyDescent="0.25">
      <c r="A3572" s="9">
        <v>44110</v>
      </c>
      <c r="B3572" s="10">
        <f ca="1">ROUND(_xlfn.NORM.INV(RAND(),Reference!$C$8,0.1*Reference!$C$8)*(1+Reference!$C$11*(IF(MONTH($A3572)=Reference!$C$4,1,0)+IF(MONTH($A3572)=Reference!$C$5,1,0))+(IF(MONTH($A3572)=Reference!$C$6,Reference!$C$13,0))),0)</f>
        <v>385</v>
      </c>
      <c r="C3572" s="11">
        <f ca="1">B3572*Reference!$C$7*(1-IF(MONTH($A3572)=Reference!$C$6,1,0)*Reference!$C$12)</f>
        <v>358050</v>
      </c>
      <c r="D3572" s="10">
        <f ca="1">ROUND(_xlfn.NORM.INV(RAND(),Reference!$D$8,0.1*Reference!$D$8)*(1+Reference!$D$11*(IF(MONTH($A3572)=Reference!$D$4,1,0)+IF(MONTH($A3572)=Reference!$D$5,1,0))+(IF(MONTH($A3572)=Reference!$D$6,Reference!$D$13,0))),0)</f>
        <v>494</v>
      </c>
      <c r="E3572" s="11">
        <f ca="1">D3572*Reference!$D$7*(1-IF(MONTH($A3572)=Reference!$D$6,1,0)*Reference!$D$12)</f>
        <v>370500</v>
      </c>
      <c r="M3572" s="20"/>
      <c r="N3572" s="20"/>
      <c r="O3572" s="19"/>
      <c r="P3572" s="10"/>
      <c r="Q3572" s="10"/>
      <c r="R3572" s="10"/>
      <c r="S3572" s="10"/>
      <c r="T3572" s="10"/>
      <c r="U3572" s="10"/>
      <c r="V3572" s="10"/>
      <c r="W3572" s="10"/>
      <c r="X3572" s="10"/>
      <c r="Y3572" s="10"/>
    </row>
    <row r="3573" spans="1:25" x14ac:dyDescent="0.25">
      <c r="A3573" s="9">
        <v>44111</v>
      </c>
      <c r="B3573" s="10">
        <f ca="1">ROUND(_xlfn.NORM.INV(RAND(),Reference!$C$8,0.1*Reference!$C$8)*(1+Reference!$C$11*(IF(MONTH($A3573)=Reference!$C$4,1,0)+IF(MONTH($A3573)=Reference!$C$5,1,0))+(IF(MONTH($A3573)=Reference!$C$6,Reference!$C$13,0))),0)</f>
        <v>353</v>
      </c>
      <c r="C3573" s="11">
        <f ca="1">B3573*Reference!$C$7*(1-IF(MONTH($A3573)=Reference!$C$6,1,0)*Reference!$C$12)</f>
        <v>328290</v>
      </c>
      <c r="D3573" s="10">
        <f ca="1">ROUND(_xlfn.NORM.INV(RAND(),Reference!$D$8,0.1*Reference!$D$8)*(1+Reference!$D$11*(IF(MONTH($A3573)=Reference!$D$4,1,0)+IF(MONTH($A3573)=Reference!$D$5,1,0))+(IF(MONTH($A3573)=Reference!$D$6,Reference!$D$13,0))),0)</f>
        <v>475</v>
      </c>
      <c r="E3573" s="11">
        <f ca="1">D3573*Reference!$D$7*(1-IF(MONTH($A3573)=Reference!$D$6,1,0)*Reference!$D$12)</f>
        <v>356250</v>
      </c>
      <c r="M3573" s="20"/>
      <c r="N3573" s="20"/>
      <c r="O3573" s="19"/>
      <c r="P3573" s="10"/>
      <c r="Q3573" s="10"/>
      <c r="R3573" s="10"/>
      <c r="S3573" s="10"/>
      <c r="T3573" s="10"/>
      <c r="U3573" s="10"/>
      <c r="V3573" s="10"/>
      <c r="W3573" s="10"/>
      <c r="X3573" s="10"/>
      <c r="Y3573" s="10"/>
    </row>
    <row r="3574" spans="1:25" x14ac:dyDescent="0.25">
      <c r="A3574" s="9">
        <v>44112</v>
      </c>
      <c r="B3574" s="10">
        <f ca="1">ROUND(_xlfn.NORM.INV(RAND(),Reference!$C$8,0.1*Reference!$C$8)*(1+Reference!$C$11*(IF(MONTH($A3574)=Reference!$C$4,1,0)+IF(MONTH($A3574)=Reference!$C$5,1,0))+(IF(MONTH($A3574)=Reference!$C$6,Reference!$C$13,0))),0)</f>
        <v>354</v>
      </c>
      <c r="C3574" s="11">
        <f ca="1">B3574*Reference!$C$7*(1-IF(MONTH($A3574)=Reference!$C$6,1,0)*Reference!$C$12)</f>
        <v>329220</v>
      </c>
      <c r="D3574" s="10">
        <f ca="1">ROUND(_xlfn.NORM.INV(RAND(),Reference!$D$8,0.1*Reference!$D$8)*(1+Reference!$D$11*(IF(MONTH($A3574)=Reference!$D$4,1,0)+IF(MONTH($A3574)=Reference!$D$5,1,0))+(IF(MONTH($A3574)=Reference!$D$6,Reference!$D$13,0))),0)</f>
        <v>451</v>
      </c>
      <c r="E3574" s="11">
        <f ca="1">D3574*Reference!$D$7*(1-IF(MONTH($A3574)=Reference!$D$6,1,0)*Reference!$D$12)</f>
        <v>338250</v>
      </c>
      <c r="M3574" s="20"/>
      <c r="N3574" s="20"/>
      <c r="O3574" s="19"/>
      <c r="P3574" s="10"/>
      <c r="Q3574" s="10"/>
      <c r="R3574" s="10"/>
      <c r="S3574" s="10"/>
      <c r="T3574" s="10"/>
      <c r="U3574" s="10"/>
      <c r="V3574" s="10"/>
      <c r="W3574" s="10"/>
      <c r="X3574" s="10"/>
      <c r="Y3574" s="10"/>
    </row>
    <row r="3575" spans="1:25" x14ac:dyDescent="0.25">
      <c r="A3575" s="9">
        <v>44113</v>
      </c>
      <c r="B3575" s="10">
        <f ca="1">ROUND(_xlfn.NORM.INV(RAND(),Reference!$C$8,0.1*Reference!$C$8)*(1+Reference!$C$11*(IF(MONTH($A3575)=Reference!$C$4,1,0)+IF(MONTH($A3575)=Reference!$C$5,1,0))+(IF(MONTH($A3575)=Reference!$C$6,Reference!$C$13,0))),0)</f>
        <v>341</v>
      </c>
      <c r="C3575" s="11">
        <f ca="1">B3575*Reference!$C$7*(1-IF(MONTH($A3575)=Reference!$C$6,1,0)*Reference!$C$12)</f>
        <v>317130</v>
      </c>
      <c r="D3575" s="10">
        <f ca="1">ROUND(_xlfn.NORM.INV(RAND(),Reference!$D$8,0.1*Reference!$D$8)*(1+Reference!$D$11*(IF(MONTH($A3575)=Reference!$D$4,1,0)+IF(MONTH($A3575)=Reference!$D$5,1,0))+(IF(MONTH($A3575)=Reference!$D$6,Reference!$D$13,0))),0)</f>
        <v>438</v>
      </c>
      <c r="E3575" s="11">
        <f ca="1">D3575*Reference!$D$7*(1-IF(MONTH($A3575)=Reference!$D$6,1,0)*Reference!$D$12)</f>
        <v>328500</v>
      </c>
      <c r="M3575" s="20"/>
      <c r="N3575" s="20"/>
      <c r="O3575" s="19"/>
      <c r="P3575" s="10"/>
      <c r="Q3575" s="10"/>
      <c r="R3575" s="10"/>
      <c r="S3575" s="10"/>
      <c r="T3575" s="10"/>
      <c r="U3575" s="10"/>
      <c r="V3575" s="10"/>
      <c r="W3575" s="10"/>
      <c r="X3575" s="10"/>
      <c r="Y3575" s="10"/>
    </row>
    <row r="3576" spans="1:25" x14ac:dyDescent="0.25">
      <c r="A3576" s="9">
        <v>44114</v>
      </c>
      <c r="B3576" s="10">
        <f ca="1">ROUND(_xlfn.NORM.INV(RAND(),Reference!$C$8,0.1*Reference!$C$8)*(1+Reference!$C$11*(IF(MONTH($A3576)=Reference!$C$4,1,0)+IF(MONTH($A3576)=Reference!$C$5,1,0))+(IF(MONTH($A3576)=Reference!$C$6,Reference!$C$13,0))),0)</f>
        <v>321</v>
      </c>
      <c r="C3576" s="11">
        <f ca="1">B3576*Reference!$C$7*(1-IF(MONTH($A3576)=Reference!$C$6,1,0)*Reference!$C$12)</f>
        <v>298530</v>
      </c>
      <c r="D3576" s="10">
        <f ca="1">ROUND(_xlfn.NORM.INV(RAND(),Reference!$D$8,0.1*Reference!$D$8)*(1+Reference!$D$11*(IF(MONTH($A3576)=Reference!$D$4,1,0)+IF(MONTH($A3576)=Reference!$D$5,1,0))+(IF(MONTH($A3576)=Reference!$D$6,Reference!$D$13,0))),0)</f>
        <v>440</v>
      </c>
      <c r="E3576" s="11">
        <f ca="1">D3576*Reference!$D$7*(1-IF(MONTH($A3576)=Reference!$D$6,1,0)*Reference!$D$12)</f>
        <v>330000</v>
      </c>
      <c r="M3576" s="20"/>
      <c r="N3576" s="20"/>
      <c r="O3576" s="19"/>
      <c r="P3576" s="10"/>
      <c r="Q3576" s="10"/>
      <c r="R3576" s="10"/>
      <c r="S3576" s="10"/>
      <c r="T3576" s="10"/>
      <c r="U3576" s="10"/>
      <c r="V3576" s="10"/>
      <c r="W3576" s="10"/>
      <c r="X3576" s="10"/>
      <c r="Y3576" s="10"/>
    </row>
    <row r="3577" spans="1:25" x14ac:dyDescent="0.25">
      <c r="A3577" s="9">
        <v>44115</v>
      </c>
      <c r="B3577" s="10">
        <f ca="1">ROUND(_xlfn.NORM.INV(RAND(),Reference!$C$8,0.1*Reference!$C$8)*(1+Reference!$C$11*(IF(MONTH($A3577)=Reference!$C$4,1,0)+IF(MONTH($A3577)=Reference!$C$5,1,0))+(IF(MONTH($A3577)=Reference!$C$6,Reference!$C$13,0))),0)</f>
        <v>376</v>
      </c>
      <c r="C3577" s="11">
        <f ca="1">B3577*Reference!$C$7*(1-IF(MONTH($A3577)=Reference!$C$6,1,0)*Reference!$C$12)</f>
        <v>349680</v>
      </c>
      <c r="D3577" s="10">
        <f ca="1">ROUND(_xlfn.NORM.INV(RAND(),Reference!$D$8,0.1*Reference!$D$8)*(1+Reference!$D$11*(IF(MONTH($A3577)=Reference!$D$4,1,0)+IF(MONTH($A3577)=Reference!$D$5,1,0))+(IF(MONTH($A3577)=Reference!$D$6,Reference!$D$13,0))),0)</f>
        <v>512</v>
      </c>
      <c r="E3577" s="11">
        <f ca="1">D3577*Reference!$D$7*(1-IF(MONTH($A3577)=Reference!$D$6,1,0)*Reference!$D$12)</f>
        <v>384000</v>
      </c>
      <c r="M3577" s="20"/>
      <c r="N3577" s="20"/>
      <c r="O3577" s="19"/>
      <c r="P3577" s="10"/>
      <c r="Q3577" s="10"/>
      <c r="R3577" s="10"/>
      <c r="S3577" s="10"/>
      <c r="T3577" s="10"/>
      <c r="U3577" s="10"/>
      <c r="V3577" s="10"/>
      <c r="W3577" s="10"/>
      <c r="X3577" s="10"/>
      <c r="Y3577" s="10"/>
    </row>
    <row r="3578" spans="1:25" x14ac:dyDescent="0.25">
      <c r="A3578" s="9">
        <v>44116</v>
      </c>
      <c r="B3578" s="10">
        <f ca="1">ROUND(_xlfn.NORM.INV(RAND(),Reference!$C$8,0.1*Reference!$C$8)*(1+Reference!$C$11*(IF(MONTH($A3578)=Reference!$C$4,1,0)+IF(MONTH($A3578)=Reference!$C$5,1,0))+(IF(MONTH($A3578)=Reference!$C$6,Reference!$C$13,0))),0)</f>
        <v>345</v>
      </c>
      <c r="C3578" s="11">
        <f ca="1">B3578*Reference!$C$7*(1-IF(MONTH($A3578)=Reference!$C$6,1,0)*Reference!$C$12)</f>
        <v>320850</v>
      </c>
      <c r="D3578" s="10">
        <f ca="1">ROUND(_xlfn.NORM.INV(RAND(),Reference!$D$8,0.1*Reference!$D$8)*(1+Reference!$D$11*(IF(MONTH($A3578)=Reference!$D$4,1,0)+IF(MONTH($A3578)=Reference!$D$5,1,0))+(IF(MONTH($A3578)=Reference!$D$6,Reference!$D$13,0))),0)</f>
        <v>469</v>
      </c>
      <c r="E3578" s="11">
        <f ca="1">D3578*Reference!$D$7*(1-IF(MONTH($A3578)=Reference!$D$6,1,0)*Reference!$D$12)</f>
        <v>351750</v>
      </c>
      <c r="M3578" s="20"/>
      <c r="N3578" s="20"/>
      <c r="O3578" s="19"/>
      <c r="P3578" s="10"/>
      <c r="Q3578" s="10"/>
      <c r="R3578" s="10"/>
      <c r="S3578" s="10"/>
      <c r="T3578" s="10"/>
      <c r="U3578" s="10"/>
      <c r="V3578" s="10"/>
      <c r="W3578" s="10"/>
      <c r="X3578" s="10"/>
      <c r="Y3578" s="10"/>
    </row>
    <row r="3579" spans="1:25" x14ac:dyDescent="0.25">
      <c r="A3579" s="9">
        <v>44117</v>
      </c>
      <c r="B3579" s="10">
        <f ca="1">ROUND(_xlfn.NORM.INV(RAND(),Reference!$C$8,0.1*Reference!$C$8)*(1+Reference!$C$11*(IF(MONTH($A3579)=Reference!$C$4,1,0)+IF(MONTH($A3579)=Reference!$C$5,1,0))+(IF(MONTH($A3579)=Reference!$C$6,Reference!$C$13,0))),0)</f>
        <v>345</v>
      </c>
      <c r="C3579" s="11">
        <f ca="1">B3579*Reference!$C$7*(1-IF(MONTH($A3579)=Reference!$C$6,1,0)*Reference!$C$12)</f>
        <v>320850</v>
      </c>
      <c r="D3579" s="10">
        <f ca="1">ROUND(_xlfn.NORM.INV(RAND(),Reference!$D$8,0.1*Reference!$D$8)*(1+Reference!$D$11*(IF(MONTH($A3579)=Reference!$D$4,1,0)+IF(MONTH($A3579)=Reference!$D$5,1,0))+(IF(MONTH($A3579)=Reference!$D$6,Reference!$D$13,0))),0)</f>
        <v>445</v>
      </c>
      <c r="E3579" s="11">
        <f ca="1">D3579*Reference!$D$7*(1-IF(MONTH($A3579)=Reference!$D$6,1,0)*Reference!$D$12)</f>
        <v>333750</v>
      </c>
      <c r="M3579" s="20"/>
      <c r="N3579" s="20"/>
      <c r="O3579" s="19"/>
      <c r="P3579" s="10"/>
      <c r="Q3579" s="10"/>
      <c r="R3579" s="10"/>
      <c r="S3579" s="10"/>
      <c r="T3579" s="10"/>
      <c r="U3579" s="10"/>
      <c r="V3579" s="10"/>
      <c r="W3579" s="10"/>
      <c r="X3579" s="10"/>
      <c r="Y3579" s="10"/>
    </row>
    <row r="3580" spans="1:25" x14ac:dyDescent="0.25">
      <c r="A3580" s="9">
        <v>44118</v>
      </c>
      <c r="B3580" s="10">
        <f ca="1">ROUND(_xlfn.NORM.INV(RAND(),Reference!$C$8,0.1*Reference!$C$8)*(1+Reference!$C$11*(IF(MONTH($A3580)=Reference!$C$4,1,0)+IF(MONTH($A3580)=Reference!$C$5,1,0))+(IF(MONTH($A3580)=Reference!$C$6,Reference!$C$13,0))),0)</f>
        <v>408</v>
      </c>
      <c r="C3580" s="11">
        <f ca="1">B3580*Reference!$C$7*(1-IF(MONTH($A3580)=Reference!$C$6,1,0)*Reference!$C$12)</f>
        <v>379440</v>
      </c>
      <c r="D3580" s="10">
        <f ca="1">ROUND(_xlfn.NORM.INV(RAND(),Reference!$D$8,0.1*Reference!$D$8)*(1+Reference!$D$11*(IF(MONTH($A3580)=Reference!$D$4,1,0)+IF(MONTH($A3580)=Reference!$D$5,1,0))+(IF(MONTH($A3580)=Reference!$D$6,Reference!$D$13,0))),0)</f>
        <v>443</v>
      </c>
      <c r="E3580" s="11">
        <f ca="1">D3580*Reference!$D$7*(1-IF(MONTH($A3580)=Reference!$D$6,1,0)*Reference!$D$12)</f>
        <v>332250</v>
      </c>
      <c r="M3580" s="20"/>
      <c r="N3580" s="20"/>
      <c r="O3580" s="19"/>
      <c r="P3580" s="10"/>
      <c r="Q3580" s="10"/>
      <c r="R3580" s="10"/>
      <c r="S3580" s="10"/>
      <c r="T3580" s="10"/>
      <c r="U3580" s="10"/>
      <c r="V3580" s="10"/>
      <c r="W3580" s="10"/>
      <c r="X3580" s="10"/>
      <c r="Y3580" s="10"/>
    </row>
    <row r="3581" spans="1:25" x14ac:dyDescent="0.25">
      <c r="A3581" s="9">
        <v>44119</v>
      </c>
      <c r="B3581" s="10">
        <f ca="1">ROUND(_xlfn.NORM.INV(RAND(),Reference!$C$8,0.1*Reference!$C$8)*(1+Reference!$C$11*(IF(MONTH($A3581)=Reference!$C$4,1,0)+IF(MONTH($A3581)=Reference!$C$5,1,0))+(IF(MONTH($A3581)=Reference!$C$6,Reference!$C$13,0))),0)</f>
        <v>303</v>
      </c>
      <c r="C3581" s="11">
        <f ca="1">B3581*Reference!$C$7*(1-IF(MONTH($A3581)=Reference!$C$6,1,0)*Reference!$C$12)</f>
        <v>281790</v>
      </c>
      <c r="D3581" s="10">
        <f ca="1">ROUND(_xlfn.NORM.INV(RAND(),Reference!$D$8,0.1*Reference!$D$8)*(1+Reference!$D$11*(IF(MONTH($A3581)=Reference!$D$4,1,0)+IF(MONTH($A3581)=Reference!$D$5,1,0))+(IF(MONTH($A3581)=Reference!$D$6,Reference!$D$13,0))),0)</f>
        <v>467</v>
      </c>
      <c r="E3581" s="11">
        <f ca="1">D3581*Reference!$D$7*(1-IF(MONTH($A3581)=Reference!$D$6,1,0)*Reference!$D$12)</f>
        <v>350250</v>
      </c>
      <c r="M3581" s="20"/>
      <c r="N3581" s="20"/>
      <c r="O3581" s="19"/>
      <c r="P3581" s="10"/>
      <c r="Q3581" s="10"/>
      <c r="R3581" s="10"/>
      <c r="S3581" s="10"/>
      <c r="T3581" s="10"/>
      <c r="U3581" s="10"/>
      <c r="V3581" s="10"/>
      <c r="W3581" s="10"/>
      <c r="X3581" s="10"/>
      <c r="Y3581" s="10"/>
    </row>
    <row r="3582" spans="1:25" x14ac:dyDescent="0.25">
      <c r="A3582" s="9">
        <v>44120</v>
      </c>
      <c r="B3582" s="10">
        <f ca="1">ROUND(_xlfn.NORM.INV(RAND(),Reference!$C$8,0.1*Reference!$C$8)*(1+Reference!$C$11*(IF(MONTH($A3582)=Reference!$C$4,1,0)+IF(MONTH($A3582)=Reference!$C$5,1,0))+(IF(MONTH($A3582)=Reference!$C$6,Reference!$C$13,0))),0)</f>
        <v>347</v>
      </c>
      <c r="C3582" s="11">
        <f ca="1">B3582*Reference!$C$7*(1-IF(MONTH($A3582)=Reference!$C$6,1,0)*Reference!$C$12)</f>
        <v>322710</v>
      </c>
      <c r="D3582" s="10">
        <f ca="1">ROUND(_xlfn.NORM.INV(RAND(),Reference!$D$8,0.1*Reference!$D$8)*(1+Reference!$D$11*(IF(MONTH($A3582)=Reference!$D$4,1,0)+IF(MONTH($A3582)=Reference!$D$5,1,0))+(IF(MONTH($A3582)=Reference!$D$6,Reference!$D$13,0))),0)</f>
        <v>499</v>
      </c>
      <c r="E3582" s="11">
        <f ca="1">D3582*Reference!$D$7*(1-IF(MONTH($A3582)=Reference!$D$6,1,0)*Reference!$D$12)</f>
        <v>374250</v>
      </c>
      <c r="M3582" s="20"/>
      <c r="N3582" s="20"/>
      <c r="O3582" s="19"/>
      <c r="P3582" s="10"/>
      <c r="Q3582" s="10"/>
      <c r="R3582" s="10"/>
      <c r="S3582" s="10"/>
      <c r="T3582" s="10"/>
      <c r="U3582" s="10"/>
      <c r="V3582" s="10"/>
      <c r="W3582" s="10"/>
      <c r="X3582" s="10"/>
      <c r="Y3582" s="10"/>
    </row>
    <row r="3583" spans="1:25" x14ac:dyDescent="0.25">
      <c r="A3583" s="9">
        <v>44121</v>
      </c>
      <c r="B3583" s="10">
        <f ca="1">ROUND(_xlfn.NORM.INV(RAND(),Reference!$C$8,0.1*Reference!$C$8)*(1+Reference!$C$11*(IF(MONTH($A3583)=Reference!$C$4,1,0)+IF(MONTH($A3583)=Reference!$C$5,1,0))+(IF(MONTH($A3583)=Reference!$C$6,Reference!$C$13,0))),0)</f>
        <v>400</v>
      </c>
      <c r="C3583" s="11">
        <f ca="1">B3583*Reference!$C$7*(1-IF(MONTH($A3583)=Reference!$C$6,1,0)*Reference!$C$12)</f>
        <v>372000</v>
      </c>
      <c r="D3583" s="10">
        <f ca="1">ROUND(_xlfn.NORM.INV(RAND(),Reference!$D$8,0.1*Reference!$D$8)*(1+Reference!$D$11*(IF(MONTH($A3583)=Reference!$D$4,1,0)+IF(MONTH($A3583)=Reference!$D$5,1,0))+(IF(MONTH($A3583)=Reference!$D$6,Reference!$D$13,0))),0)</f>
        <v>480</v>
      </c>
      <c r="E3583" s="11">
        <f ca="1">D3583*Reference!$D$7*(1-IF(MONTH($A3583)=Reference!$D$6,1,0)*Reference!$D$12)</f>
        <v>360000</v>
      </c>
      <c r="M3583" s="20"/>
      <c r="N3583" s="20"/>
      <c r="O3583" s="19"/>
      <c r="P3583" s="10"/>
      <c r="Q3583" s="10"/>
      <c r="R3583" s="10"/>
      <c r="S3583" s="10"/>
      <c r="T3583" s="10"/>
      <c r="U3583" s="10"/>
      <c r="V3583" s="10"/>
      <c r="W3583" s="10"/>
      <c r="X3583" s="10"/>
      <c r="Y3583" s="10"/>
    </row>
    <row r="3584" spans="1:25" x14ac:dyDescent="0.25">
      <c r="A3584" s="9">
        <v>44122</v>
      </c>
      <c r="B3584" s="10">
        <f ca="1">ROUND(_xlfn.NORM.INV(RAND(),Reference!$C$8,0.1*Reference!$C$8)*(1+Reference!$C$11*(IF(MONTH($A3584)=Reference!$C$4,1,0)+IF(MONTH($A3584)=Reference!$C$5,1,0))+(IF(MONTH($A3584)=Reference!$C$6,Reference!$C$13,0))),0)</f>
        <v>382</v>
      </c>
      <c r="C3584" s="11">
        <f ca="1">B3584*Reference!$C$7*(1-IF(MONTH($A3584)=Reference!$C$6,1,0)*Reference!$C$12)</f>
        <v>355260</v>
      </c>
      <c r="D3584" s="10">
        <f ca="1">ROUND(_xlfn.NORM.INV(RAND(),Reference!$D$8,0.1*Reference!$D$8)*(1+Reference!$D$11*(IF(MONTH($A3584)=Reference!$D$4,1,0)+IF(MONTH($A3584)=Reference!$D$5,1,0))+(IF(MONTH($A3584)=Reference!$D$6,Reference!$D$13,0))),0)</f>
        <v>445</v>
      </c>
      <c r="E3584" s="11">
        <f ca="1">D3584*Reference!$D$7*(1-IF(MONTH($A3584)=Reference!$D$6,1,0)*Reference!$D$12)</f>
        <v>333750</v>
      </c>
      <c r="M3584" s="20"/>
      <c r="N3584" s="20"/>
      <c r="O3584" s="19"/>
      <c r="P3584" s="10"/>
      <c r="Q3584" s="10"/>
      <c r="R3584" s="10"/>
      <c r="S3584" s="10"/>
      <c r="T3584" s="10"/>
      <c r="U3584" s="10"/>
      <c r="V3584" s="10"/>
      <c r="W3584" s="10"/>
      <c r="X3584" s="10"/>
      <c r="Y3584" s="10"/>
    </row>
    <row r="3585" spans="1:25" x14ac:dyDescent="0.25">
      <c r="A3585" s="9">
        <v>44123</v>
      </c>
      <c r="B3585" s="10">
        <f ca="1">ROUND(_xlfn.NORM.INV(RAND(),Reference!$C$8,0.1*Reference!$C$8)*(1+Reference!$C$11*(IF(MONTH($A3585)=Reference!$C$4,1,0)+IF(MONTH($A3585)=Reference!$C$5,1,0))+(IF(MONTH($A3585)=Reference!$C$6,Reference!$C$13,0))),0)</f>
        <v>388</v>
      </c>
      <c r="C3585" s="11">
        <f ca="1">B3585*Reference!$C$7*(1-IF(MONTH($A3585)=Reference!$C$6,1,0)*Reference!$C$12)</f>
        <v>360840</v>
      </c>
      <c r="D3585" s="10">
        <f ca="1">ROUND(_xlfn.NORM.INV(RAND(),Reference!$D$8,0.1*Reference!$D$8)*(1+Reference!$D$11*(IF(MONTH($A3585)=Reference!$D$4,1,0)+IF(MONTH($A3585)=Reference!$D$5,1,0))+(IF(MONTH($A3585)=Reference!$D$6,Reference!$D$13,0))),0)</f>
        <v>452</v>
      </c>
      <c r="E3585" s="11">
        <f ca="1">D3585*Reference!$D$7*(1-IF(MONTH($A3585)=Reference!$D$6,1,0)*Reference!$D$12)</f>
        <v>339000</v>
      </c>
      <c r="M3585" s="20"/>
      <c r="N3585" s="20"/>
      <c r="O3585" s="19"/>
      <c r="P3585" s="10"/>
      <c r="Q3585" s="10"/>
      <c r="R3585" s="10"/>
      <c r="S3585" s="10"/>
      <c r="T3585" s="10"/>
      <c r="U3585" s="10"/>
      <c r="V3585" s="10"/>
      <c r="W3585" s="10"/>
      <c r="X3585" s="10"/>
      <c r="Y3585" s="10"/>
    </row>
    <row r="3586" spans="1:25" x14ac:dyDescent="0.25">
      <c r="A3586" s="9">
        <v>44124</v>
      </c>
      <c r="B3586" s="10">
        <f ca="1">ROUND(_xlfn.NORM.INV(RAND(),Reference!$C$8,0.1*Reference!$C$8)*(1+Reference!$C$11*(IF(MONTH($A3586)=Reference!$C$4,1,0)+IF(MONTH($A3586)=Reference!$C$5,1,0))+(IF(MONTH($A3586)=Reference!$C$6,Reference!$C$13,0))),0)</f>
        <v>382</v>
      </c>
      <c r="C3586" s="11">
        <f ca="1">B3586*Reference!$C$7*(1-IF(MONTH($A3586)=Reference!$C$6,1,0)*Reference!$C$12)</f>
        <v>355260</v>
      </c>
      <c r="D3586" s="10">
        <f ca="1">ROUND(_xlfn.NORM.INV(RAND(),Reference!$D$8,0.1*Reference!$D$8)*(1+Reference!$D$11*(IF(MONTH($A3586)=Reference!$D$4,1,0)+IF(MONTH($A3586)=Reference!$D$5,1,0))+(IF(MONTH($A3586)=Reference!$D$6,Reference!$D$13,0))),0)</f>
        <v>372</v>
      </c>
      <c r="E3586" s="11">
        <f ca="1">D3586*Reference!$D$7*(1-IF(MONTH($A3586)=Reference!$D$6,1,0)*Reference!$D$12)</f>
        <v>279000</v>
      </c>
      <c r="M3586" s="20"/>
      <c r="N3586" s="20"/>
      <c r="O3586" s="19"/>
      <c r="P3586" s="10"/>
      <c r="Q3586" s="10"/>
      <c r="R3586" s="10"/>
      <c r="S3586" s="10"/>
      <c r="T3586" s="10"/>
      <c r="U3586" s="10"/>
      <c r="V3586" s="10"/>
      <c r="W3586" s="10"/>
      <c r="X3586" s="10"/>
      <c r="Y3586" s="10"/>
    </row>
    <row r="3587" spans="1:25" x14ac:dyDescent="0.25">
      <c r="A3587" s="9">
        <v>44125</v>
      </c>
      <c r="B3587" s="10">
        <f ca="1">ROUND(_xlfn.NORM.INV(RAND(),Reference!$C$8,0.1*Reference!$C$8)*(1+Reference!$C$11*(IF(MONTH($A3587)=Reference!$C$4,1,0)+IF(MONTH($A3587)=Reference!$C$5,1,0))+(IF(MONTH($A3587)=Reference!$C$6,Reference!$C$13,0))),0)</f>
        <v>305</v>
      </c>
      <c r="C3587" s="11">
        <f ca="1">B3587*Reference!$C$7*(1-IF(MONTH($A3587)=Reference!$C$6,1,0)*Reference!$C$12)</f>
        <v>283650</v>
      </c>
      <c r="D3587" s="10">
        <f ca="1">ROUND(_xlfn.NORM.INV(RAND(),Reference!$D$8,0.1*Reference!$D$8)*(1+Reference!$D$11*(IF(MONTH($A3587)=Reference!$D$4,1,0)+IF(MONTH($A3587)=Reference!$D$5,1,0))+(IF(MONTH($A3587)=Reference!$D$6,Reference!$D$13,0))),0)</f>
        <v>483</v>
      </c>
      <c r="E3587" s="11">
        <f ca="1">D3587*Reference!$D$7*(1-IF(MONTH($A3587)=Reference!$D$6,1,0)*Reference!$D$12)</f>
        <v>362250</v>
      </c>
      <c r="M3587" s="20"/>
      <c r="N3587" s="20"/>
      <c r="O3587" s="19"/>
      <c r="P3587" s="10"/>
      <c r="Q3587" s="10"/>
      <c r="R3587" s="10"/>
      <c r="S3587" s="10"/>
      <c r="T3587" s="10"/>
      <c r="U3587" s="10"/>
      <c r="V3587" s="10"/>
      <c r="W3587" s="10"/>
      <c r="X3587" s="10"/>
      <c r="Y3587" s="10"/>
    </row>
    <row r="3588" spans="1:25" x14ac:dyDescent="0.25">
      <c r="A3588" s="9">
        <v>44126</v>
      </c>
      <c r="B3588" s="10">
        <f ca="1">ROUND(_xlfn.NORM.INV(RAND(),Reference!$C$8,0.1*Reference!$C$8)*(1+Reference!$C$11*(IF(MONTH($A3588)=Reference!$C$4,1,0)+IF(MONTH($A3588)=Reference!$C$5,1,0))+(IF(MONTH($A3588)=Reference!$C$6,Reference!$C$13,0))),0)</f>
        <v>363</v>
      </c>
      <c r="C3588" s="11">
        <f ca="1">B3588*Reference!$C$7*(1-IF(MONTH($A3588)=Reference!$C$6,1,0)*Reference!$C$12)</f>
        <v>337590</v>
      </c>
      <c r="D3588" s="10">
        <f ca="1">ROUND(_xlfn.NORM.INV(RAND(),Reference!$D$8,0.1*Reference!$D$8)*(1+Reference!$D$11*(IF(MONTH($A3588)=Reference!$D$4,1,0)+IF(MONTH($A3588)=Reference!$D$5,1,0))+(IF(MONTH($A3588)=Reference!$D$6,Reference!$D$13,0))),0)</f>
        <v>452</v>
      </c>
      <c r="E3588" s="11">
        <f ca="1">D3588*Reference!$D$7*(1-IF(MONTH($A3588)=Reference!$D$6,1,0)*Reference!$D$12)</f>
        <v>339000</v>
      </c>
      <c r="M3588" s="20"/>
      <c r="N3588" s="20"/>
      <c r="O3588" s="19"/>
      <c r="P3588" s="10"/>
      <c r="Q3588" s="10"/>
      <c r="R3588" s="10"/>
      <c r="S3588" s="10"/>
      <c r="T3588" s="10"/>
      <c r="U3588" s="10"/>
      <c r="V3588" s="10"/>
      <c r="W3588" s="10"/>
      <c r="X3588" s="10"/>
      <c r="Y3588" s="10"/>
    </row>
    <row r="3589" spans="1:25" x14ac:dyDescent="0.25">
      <c r="A3589" s="9">
        <v>44127</v>
      </c>
      <c r="B3589" s="10">
        <f ca="1">ROUND(_xlfn.NORM.INV(RAND(),Reference!$C$8,0.1*Reference!$C$8)*(1+Reference!$C$11*(IF(MONTH($A3589)=Reference!$C$4,1,0)+IF(MONTH($A3589)=Reference!$C$5,1,0))+(IF(MONTH($A3589)=Reference!$C$6,Reference!$C$13,0))),0)</f>
        <v>343</v>
      </c>
      <c r="C3589" s="11">
        <f ca="1">B3589*Reference!$C$7*(1-IF(MONTH($A3589)=Reference!$C$6,1,0)*Reference!$C$12)</f>
        <v>318990</v>
      </c>
      <c r="D3589" s="10">
        <f ca="1">ROUND(_xlfn.NORM.INV(RAND(),Reference!$D$8,0.1*Reference!$D$8)*(1+Reference!$D$11*(IF(MONTH($A3589)=Reference!$D$4,1,0)+IF(MONTH($A3589)=Reference!$D$5,1,0))+(IF(MONTH($A3589)=Reference!$D$6,Reference!$D$13,0))),0)</f>
        <v>514</v>
      </c>
      <c r="E3589" s="11">
        <f ca="1">D3589*Reference!$D$7*(1-IF(MONTH($A3589)=Reference!$D$6,1,0)*Reference!$D$12)</f>
        <v>385500</v>
      </c>
      <c r="M3589" s="20"/>
      <c r="N3589" s="20"/>
      <c r="O3589" s="19"/>
      <c r="P3589" s="10"/>
      <c r="Q3589" s="10"/>
      <c r="R3589" s="10"/>
      <c r="S3589" s="10"/>
      <c r="T3589" s="10"/>
      <c r="U3589" s="10"/>
      <c r="V3589" s="10"/>
      <c r="W3589" s="10"/>
      <c r="X3589" s="10"/>
      <c r="Y3589" s="10"/>
    </row>
    <row r="3590" spans="1:25" x14ac:dyDescent="0.25">
      <c r="A3590" s="9">
        <v>44128</v>
      </c>
      <c r="B3590" s="10">
        <f ca="1">ROUND(_xlfn.NORM.INV(RAND(),Reference!$C$8,0.1*Reference!$C$8)*(1+Reference!$C$11*(IF(MONTH($A3590)=Reference!$C$4,1,0)+IF(MONTH($A3590)=Reference!$C$5,1,0))+(IF(MONTH($A3590)=Reference!$C$6,Reference!$C$13,0))),0)</f>
        <v>350</v>
      </c>
      <c r="C3590" s="11">
        <f ca="1">B3590*Reference!$C$7*(1-IF(MONTH($A3590)=Reference!$C$6,1,0)*Reference!$C$12)</f>
        <v>325500</v>
      </c>
      <c r="D3590" s="10">
        <f ca="1">ROUND(_xlfn.NORM.INV(RAND(),Reference!$D$8,0.1*Reference!$D$8)*(1+Reference!$D$11*(IF(MONTH($A3590)=Reference!$D$4,1,0)+IF(MONTH($A3590)=Reference!$D$5,1,0))+(IF(MONTH($A3590)=Reference!$D$6,Reference!$D$13,0))),0)</f>
        <v>428</v>
      </c>
      <c r="E3590" s="11">
        <f ca="1">D3590*Reference!$D$7*(1-IF(MONTH($A3590)=Reference!$D$6,1,0)*Reference!$D$12)</f>
        <v>321000</v>
      </c>
      <c r="M3590" s="20"/>
      <c r="N3590" s="20"/>
      <c r="O3590" s="19"/>
      <c r="P3590" s="10"/>
      <c r="Q3590" s="10"/>
      <c r="R3590" s="10"/>
      <c r="S3590" s="10"/>
      <c r="T3590" s="10"/>
      <c r="U3590" s="10"/>
      <c r="V3590" s="10"/>
      <c r="W3590" s="10"/>
      <c r="X3590" s="10"/>
      <c r="Y3590" s="10"/>
    </row>
    <row r="3591" spans="1:25" x14ac:dyDescent="0.25">
      <c r="A3591" s="9">
        <v>44129</v>
      </c>
      <c r="B3591" s="10">
        <f ca="1">ROUND(_xlfn.NORM.INV(RAND(),Reference!$C$8,0.1*Reference!$C$8)*(1+Reference!$C$11*(IF(MONTH($A3591)=Reference!$C$4,1,0)+IF(MONTH($A3591)=Reference!$C$5,1,0))+(IF(MONTH($A3591)=Reference!$C$6,Reference!$C$13,0))),0)</f>
        <v>399</v>
      </c>
      <c r="C3591" s="11">
        <f ca="1">B3591*Reference!$C$7*(1-IF(MONTH($A3591)=Reference!$C$6,1,0)*Reference!$C$12)</f>
        <v>371070</v>
      </c>
      <c r="D3591" s="10">
        <f ca="1">ROUND(_xlfn.NORM.INV(RAND(),Reference!$D$8,0.1*Reference!$D$8)*(1+Reference!$D$11*(IF(MONTH($A3591)=Reference!$D$4,1,0)+IF(MONTH($A3591)=Reference!$D$5,1,0))+(IF(MONTH($A3591)=Reference!$D$6,Reference!$D$13,0))),0)</f>
        <v>524</v>
      </c>
      <c r="E3591" s="11">
        <f ca="1">D3591*Reference!$D$7*(1-IF(MONTH($A3591)=Reference!$D$6,1,0)*Reference!$D$12)</f>
        <v>393000</v>
      </c>
      <c r="M3591" s="20"/>
      <c r="N3591" s="20"/>
      <c r="O3591" s="19"/>
      <c r="P3591" s="10"/>
      <c r="Q3591" s="10"/>
      <c r="R3591" s="10"/>
      <c r="S3591" s="10"/>
      <c r="T3591" s="10"/>
      <c r="U3591" s="10"/>
      <c r="V3591" s="10"/>
      <c r="W3591" s="10"/>
      <c r="X3591" s="10"/>
      <c r="Y3591" s="10"/>
    </row>
    <row r="3592" spans="1:25" x14ac:dyDescent="0.25">
      <c r="A3592" s="9">
        <v>44130</v>
      </c>
      <c r="B3592" s="10">
        <f ca="1">ROUND(_xlfn.NORM.INV(RAND(),Reference!$C$8,0.1*Reference!$C$8)*(1+Reference!$C$11*(IF(MONTH($A3592)=Reference!$C$4,1,0)+IF(MONTH($A3592)=Reference!$C$5,1,0))+(IF(MONTH($A3592)=Reference!$C$6,Reference!$C$13,0))),0)</f>
        <v>318</v>
      </c>
      <c r="C3592" s="11">
        <f ca="1">B3592*Reference!$C$7*(1-IF(MONTH($A3592)=Reference!$C$6,1,0)*Reference!$C$12)</f>
        <v>295740</v>
      </c>
      <c r="D3592" s="10">
        <f ca="1">ROUND(_xlfn.NORM.INV(RAND(),Reference!$D$8,0.1*Reference!$D$8)*(1+Reference!$D$11*(IF(MONTH($A3592)=Reference!$D$4,1,0)+IF(MONTH($A3592)=Reference!$D$5,1,0))+(IF(MONTH($A3592)=Reference!$D$6,Reference!$D$13,0))),0)</f>
        <v>402</v>
      </c>
      <c r="E3592" s="11">
        <f ca="1">D3592*Reference!$D$7*(1-IF(MONTH($A3592)=Reference!$D$6,1,0)*Reference!$D$12)</f>
        <v>301500</v>
      </c>
      <c r="M3592" s="20"/>
      <c r="N3592" s="20"/>
      <c r="O3592" s="19"/>
      <c r="P3592" s="10"/>
      <c r="Q3592" s="10"/>
      <c r="R3592" s="10"/>
      <c r="S3592" s="10"/>
      <c r="T3592" s="10"/>
      <c r="U3592" s="10"/>
      <c r="V3592" s="10"/>
      <c r="W3592" s="10"/>
      <c r="X3592" s="10"/>
      <c r="Y3592" s="10"/>
    </row>
    <row r="3593" spans="1:25" x14ac:dyDescent="0.25">
      <c r="A3593" s="9">
        <v>44131</v>
      </c>
      <c r="B3593" s="10">
        <f ca="1">ROUND(_xlfn.NORM.INV(RAND(),Reference!$C$8,0.1*Reference!$C$8)*(1+Reference!$C$11*(IF(MONTH($A3593)=Reference!$C$4,1,0)+IF(MONTH($A3593)=Reference!$C$5,1,0))+(IF(MONTH($A3593)=Reference!$C$6,Reference!$C$13,0))),0)</f>
        <v>329</v>
      </c>
      <c r="C3593" s="11">
        <f ca="1">B3593*Reference!$C$7*(1-IF(MONTH($A3593)=Reference!$C$6,1,0)*Reference!$C$12)</f>
        <v>305970</v>
      </c>
      <c r="D3593" s="10">
        <f ca="1">ROUND(_xlfn.NORM.INV(RAND(),Reference!$D$8,0.1*Reference!$D$8)*(1+Reference!$D$11*(IF(MONTH($A3593)=Reference!$D$4,1,0)+IF(MONTH($A3593)=Reference!$D$5,1,0))+(IF(MONTH($A3593)=Reference!$D$6,Reference!$D$13,0))),0)</f>
        <v>506</v>
      </c>
      <c r="E3593" s="11">
        <f ca="1">D3593*Reference!$D$7*(1-IF(MONTH($A3593)=Reference!$D$6,1,0)*Reference!$D$12)</f>
        <v>379500</v>
      </c>
      <c r="M3593" s="20"/>
      <c r="N3593" s="20"/>
      <c r="O3593" s="19"/>
      <c r="P3593" s="10"/>
      <c r="Q3593" s="10"/>
      <c r="R3593" s="10"/>
      <c r="S3593" s="10"/>
      <c r="T3593" s="10"/>
      <c r="U3593" s="10"/>
      <c r="V3593" s="10"/>
      <c r="W3593" s="10"/>
      <c r="X3593" s="10"/>
      <c r="Y3593" s="10"/>
    </row>
    <row r="3594" spans="1:25" x14ac:dyDescent="0.25">
      <c r="A3594" s="9">
        <v>44132</v>
      </c>
      <c r="B3594" s="10">
        <f ca="1">ROUND(_xlfn.NORM.INV(RAND(),Reference!$C$8,0.1*Reference!$C$8)*(1+Reference!$C$11*(IF(MONTH($A3594)=Reference!$C$4,1,0)+IF(MONTH($A3594)=Reference!$C$5,1,0))+(IF(MONTH($A3594)=Reference!$C$6,Reference!$C$13,0))),0)</f>
        <v>376</v>
      </c>
      <c r="C3594" s="11">
        <f ca="1">B3594*Reference!$C$7*(1-IF(MONTH($A3594)=Reference!$C$6,1,0)*Reference!$C$12)</f>
        <v>349680</v>
      </c>
      <c r="D3594" s="10">
        <f ca="1">ROUND(_xlfn.NORM.INV(RAND(),Reference!$D$8,0.1*Reference!$D$8)*(1+Reference!$D$11*(IF(MONTH($A3594)=Reference!$D$4,1,0)+IF(MONTH($A3594)=Reference!$D$5,1,0))+(IF(MONTH($A3594)=Reference!$D$6,Reference!$D$13,0))),0)</f>
        <v>501</v>
      </c>
      <c r="E3594" s="11">
        <f ca="1">D3594*Reference!$D$7*(1-IF(MONTH($A3594)=Reference!$D$6,1,0)*Reference!$D$12)</f>
        <v>375750</v>
      </c>
      <c r="M3594" s="20"/>
      <c r="N3594" s="20"/>
      <c r="O3594" s="19"/>
      <c r="P3594" s="10"/>
      <c r="Q3594" s="10"/>
      <c r="R3594" s="10"/>
      <c r="S3594" s="10"/>
      <c r="T3594" s="10"/>
      <c r="U3594" s="10"/>
      <c r="V3594" s="10"/>
      <c r="W3594" s="10"/>
      <c r="X3594" s="10"/>
      <c r="Y3594" s="10"/>
    </row>
    <row r="3595" spans="1:25" x14ac:dyDescent="0.25">
      <c r="A3595" s="9">
        <v>44133</v>
      </c>
      <c r="B3595" s="10">
        <f ca="1">ROUND(_xlfn.NORM.INV(RAND(),Reference!$C$8,0.1*Reference!$C$8)*(1+Reference!$C$11*(IF(MONTH($A3595)=Reference!$C$4,1,0)+IF(MONTH($A3595)=Reference!$C$5,1,0))+(IF(MONTH($A3595)=Reference!$C$6,Reference!$C$13,0))),0)</f>
        <v>368</v>
      </c>
      <c r="C3595" s="11">
        <f ca="1">B3595*Reference!$C$7*(1-IF(MONTH($A3595)=Reference!$C$6,1,0)*Reference!$C$12)</f>
        <v>342240</v>
      </c>
      <c r="D3595" s="10">
        <f ca="1">ROUND(_xlfn.NORM.INV(RAND(),Reference!$D$8,0.1*Reference!$D$8)*(1+Reference!$D$11*(IF(MONTH($A3595)=Reference!$D$4,1,0)+IF(MONTH($A3595)=Reference!$D$5,1,0))+(IF(MONTH($A3595)=Reference!$D$6,Reference!$D$13,0))),0)</f>
        <v>453</v>
      </c>
      <c r="E3595" s="11">
        <f ca="1">D3595*Reference!$D$7*(1-IF(MONTH($A3595)=Reference!$D$6,1,0)*Reference!$D$12)</f>
        <v>339750</v>
      </c>
      <c r="M3595" s="20"/>
      <c r="N3595" s="20"/>
      <c r="O3595" s="19"/>
      <c r="P3595" s="10"/>
      <c r="Q3595" s="10"/>
      <c r="R3595" s="10"/>
      <c r="S3595" s="10"/>
      <c r="T3595" s="10"/>
      <c r="U3595" s="10"/>
      <c r="V3595" s="10"/>
      <c r="W3595" s="10"/>
      <c r="X3595" s="10"/>
      <c r="Y3595" s="10"/>
    </row>
    <row r="3596" spans="1:25" x14ac:dyDescent="0.25">
      <c r="A3596" s="9">
        <v>44134</v>
      </c>
      <c r="B3596" s="10">
        <f ca="1">ROUND(_xlfn.NORM.INV(RAND(),Reference!$C$8,0.1*Reference!$C$8)*(1+Reference!$C$11*(IF(MONTH($A3596)=Reference!$C$4,1,0)+IF(MONTH($A3596)=Reference!$C$5,1,0))+(IF(MONTH($A3596)=Reference!$C$6,Reference!$C$13,0))),0)</f>
        <v>391</v>
      </c>
      <c r="C3596" s="11">
        <f ca="1">B3596*Reference!$C$7*(1-IF(MONTH($A3596)=Reference!$C$6,1,0)*Reference!$C$12)</f>
        <v>363630</v>
      </c>
      <c r="D3596" s="10">
        <f ca="1">ROUND(_xlfn.NORM.INV(RAND(),Reference!$D$8,0.1*Reference!$D$8)*(1+Reference!$D$11*(IF(MONTH($A3596)=Reference!$D$4,1,0)+IF(MONTH($A3596)=Reference!$D$5,1,0))+(IF(MONTH($A3596)=Reference!$D$6,Reference!$D$13,0))),0)</f>
        <v>470</v>
      </c>
      <c r="E3596" s="11">
        <f ca="1">D3596*Reference!$D$7*(1-IF(MONTH($A3596)=Reference!$D$6,1,0)*Reference!$D$12)</f>
        <v>352500</v>
      </c>
      <c r="M3596" s="20"/>
      <c r="N3596" s="20"/>
      <c r="O3596" s="19"/>
      <c r="P3596" s="10"/>
      <c r="Q3596" s="10"/>
      <c r="R3596" s="10"/>
      <c r="S3596" s="10"/>
      <c r="T3596" s="10"/>
      <c r="U3596" s="10"/>
      <c r="V3596" s="10"/>
      <c r="W3596" s="10"/>
      <c r="X3596" s="10"/>
      <c r="Y3596" s="10"/>
    </row>
    <row r="3597" spans="1:25" x14ac:dyDescent="0.25">
      <c r="A3597" s="9">
        <v>44135</v>
      </c>
      <c r="B3597" s="10">
        <f ca="1">ROUND(_xlfn.NORM.INV(RAND(),Reference!$C$8,0.1*Reference!$C$8)*(1+Reference!$C$11*(IF(MONTH($A3597)=Reference!$C$4,1,0)+IF(MONTH($A3597)=Reference!$C$5,1,0))+(IF(MONTH($A3597)=Reference!$C$6,Reference!$C$13,0))),0)</f>
        <v>368</v>
      </c>
      <c r="C3597" s="11">
        <f ca="1">B3597*Reference!$C$7*(1-IF(MONTH($A3597)=Reference!$C$6,1,0)*Reference!$C$12)</f>
        <v>342240</v>
      </c>
      <c r="D3597" s="10">
        <f ca="1">ROUND(_xlfn.NORM.INV(RAND(),Reference!$D$8,0.1*Reference!$D$8)*(1+Reference!$D$11*(IF(MONTH($A3597)=Reference!$D$4,1,0)+IF(MONTH($A3597)=Reference!$D$5,1,0))+(IF(MONTH($A3597)=Reference!$D$6,Reference!$D$13,0))),0)</f>
        <v>459</v>
      </c>
      <c r="E3597" s="11">
        <f ca="1">D3597*Reference!$D$7*(1-IF(MONTH($A3597)=Reference!$D$6,1,0)*Reference!$D$12)</f>
        <v>344250</v>
      </c>
      <c r="M3597" s="20"/>
      <c r="N3597" s="20"/>
      <c r="O3597" s="19"/>
      <c r="P3597" s="10"/>
      <c r="Q3597" s="10"/>
      <c r="R3597" s="10"/>
      <c r="S3597" s="10"/>
      <c r="T3597" s="10"/>
      <c r="U3597" s="10"/>
      <c r="V3597" s="10"/>
      <c r="W3597" s="10"/>
      <c r="X3597" s="10"/>
      <c r="Y3597" s="10"/>
    </row>
    <row r="3598" spans="1:25" x14ac:dyDescent="0.25">
      <c r="A3598" s="9">
        <v>44136</v>
      </c>
      <c r="B3598" s="10">
        <f ca="1">ROUND(_xlfn.NORM.INV(RAND(),Reference!$C$8,0.1*Reference!$C$8)*(1+Reference!$C$11*(IF(MONTH($A3598)=Reference!$C$4,1,0)+IF(MONTH($A3598)=Reference!$C$5,1,0))+(IF(MONTH($A3598)=Reference!$C$6,Reference!$C$13,0))),0)</f>
        <v>384</v>
      </c>
      <c r="C3598" s="11">
        <f ca="1">B3598*Reference!$C$7*(1-IF(MONTH($A3598)=Reference!$C$6,1,0)*Reference!$C$12)</f>
        <v>357120</v>
      </c>
      <c r="D3598" s="10">
        <f ca="1">ROUND(_xlfn.NORM.INV(RAND(),Reference!$D$8,0.1*Reference!$D$8)*(1+Reference!$D$11*(IF(MONTH($A3598)=Reference!$D$4,1,0)+IF(MONTH($A3598)=Reference!$D$5,1,0))+(IF(MONTH($A3598)=Reference!$D$6,Reference!$D$13,0))),0)</f>
        <v>395</v>
      </c>
      <c r="E3598" s="11">
        <f ca="1">D3598*Reference!$D$7*(1-IF(MONTH($A3598)=Reference!$D$6,1,0)*Reference!$D$12)</f>
        <v>296250</v>
      </c>
      <c r="M3598" s="20"/>
      <c r="N3598" s="20"/>
      <c r="O3598" s="19"/>
      <c r="P3598" s="10"/>
      <c r="Q3598" s="10"/>
      <c r="R3598" s="10"/>
      <c r="S3598" s="10"/>
      <c r="T3598" s="10"/>
      <c r="U3598" s="10"/>
      <c r="V3598" s="10"/>
      <c r="W3598" s="10"/>
      <c r="X3598" s="10"/>
      <c r="Y3598" s="10"/>
    </row>
    <row r="3599" spans="1:25" x14ac:dyDescent="0.25">
      <c r="A3599" s="9">
        <v>44137</v>
      </c>
      <c r="B3599" s="10">
        <f ca="1">ROUND(_xlfn.NORM.INV(RAND(),Reference!$C$8,0.1*Reference!$C$8)*(1+Reference!$C$11*(IF(MONTH($A3599)=Reference!$C$4,1,0)+IF(MONTH($A3599)=Reference!$C$5,1,0))+(IF(MONTH($A3599)=Reference!$C$6,Reference!$C$13,0))),0)</f>
        <v>324</v>
      </c>
      <c r="C3599" s="11">
        <f ca="1">B3599*Reference!$C$7*(1-IF(MONTH($A3599)=Reference!$C$6,1,0)*Reference!$C$12)</f>
        <v>301320</v>
      </c>
      <c r="D3599" s="10">
        <f ca="1">ROUND(_xlfn.NORM.INV(RAND(),Reference!$D$8,0.1*Reference!$D$8)*(1+Reference!$D$11*(IF(MONTH($A3599)=Reference!$D$4,1,0)+IF(MONTH($A3599)=Reference!$D$5,1,0))+(IF(MONTH($A3599)=Reference!$D$6,Reference!$D$13,0))),0)</f>
        <v>485</v>
      </c>
      <c r="E3599" s="11">
        <f ca="1">D3599*Reference!$D$7*(1-IF(MONTH($A3599)=Reference!$D$6,1,0)*Reference!$D$12)</f>
        <v>363750</v>
      </c>
      <c r="M3599" s="20"/>
      <c r="N3599" s="20"/>
      <c r="O3599" s="19"/>
      <c r="P3599" s="10"/>
      <c r="Q3599" s="10"/>
      <c r="R3599" s="10"/>
      <c r="S3599" s="10"/>
      <c r="T3599" s="10"/>
      <c r="U3599" s="10"/>
      <c r="V3599" s="10"/>
      <c r="W3599" s="10"/>
      <c r="X3599" s="10"/>
      <c r="Y3599" s="10"/>
    </row>
    <row r="3600" spans="1:25" x14ac:dyDescent="0.25">
      <c r="A3600" s="9">
        <v>44138</v>
      </c>
      <c r="B3600" s="10">
        <f ca="1">ROUND(_xlfn.NORM.INV(RAND(),Reference!$C$8,0.1*Reference!$C$8)*(1+Reference!$C$11*(IF(MONTH($A3600)=Reference!$C$4,1,0)+IF(MONTH($A3600)=Reference!$C$5,1,0))+(IF(MONTH($A3600)=Reference!$C$6,Reference!$C$13,0))),0)</f>
        <v>346</v>
      </c>
      <c r="C3600" s="11">
        <f ca="1">B3600*Reference!$C$7*(1-IF(MONTH($A3600)=Reference!$C$6,1,0)*Reference!$C$12)</f>
        <v>321780</v>
      </c>
      <c r="D3600" s="10">
        <f ca="1">ROUND(_xlfn.NORM.INV(RAND(),Reference!$D$8,0.1*Reference!$D$8)*(1+Reference!$D$11*(IF(MONTH($A3600)=Reference!$D$4,1,0)+IF(MONTH($A3600)=Reference!$D$5,1,0))+(IF(MONTH($A3600)=Reference!$D$6,Reference!$D$13,0))),0)</f>
        <v>461</v>
      </c>
      <c r="E3600" s="11">
        <f ca="1">D3600*Reference!$D$7*(1-IF(MONTH($A3600)=Reference!$D$6,1,0)*Reference!$D$12)</f>
        <v>345750</v>
      </c>
      <c r="M3600" s="20"/>
      <c r="N3600" s="20"/>
      <c r="O3600" s="19"/>
      <c r="P3600" s="10"/>
      <c r="Q3600" s="10"/>
      <c r="R3600" s="10"/>
      <c r="S3600" s="10"/>
      <c r="T3600" s="10"/>
      <c r="U3600" s="10"/>
      <c r="V3600" s="10"/>
      <c r="W3600" s="10"/>
      <c r="X3600" s="10"/>
      <c r="Y3600" s="10"/>
    </row>
    <row r="3601" spans="1:25" x14ac:dyDescent="0.25">
      <c r="A3601" s="9">
        <v>44139</v>
      </c>
      <c r="B3601" s="10">
        <f ca="1">ROUND(_xlfn.NORM.INV(RAND(),Reference!$C$8,0.1*Reference!$C$8)*(1+Reference!$C$11*(IF(MONTH($A3601)=Reference!$C$4,1,0)+IF(MONTH($A3601)=Reference!$C$5,1,0))+(IF(MONTH($A3601)=Reference!$C$6,Reference!$C$13,0))),0)</f>
        <v>410</v>
      </c>
      <c r="C3601" s="11">
        <f ca="1">B3601*Reference!$C$7*(1-IF(MONTH($A3601)=Reference!$C$6,1,0)*Reference!$C$12)</f>
        <v>381300</v>
      </c>
      <c r="D3601" s="10">
        <f ca="1">ROUND(_xlfn.NORM.INV(RAND(),Reference!$D$8,0.1*Reference!$D$8)*(1+Reference!$D$11*(IF(MONTH($A3601)=Reference!$D$4,1,0)+IF(MONTH($A3601)=Reference!$D$5,1,0))+(IF(MONTH($A3601)=Reference!$D$6,Reference!$D$13,0))),0)</f>
        <v>418</v>
      </c>
      <c r="E3601" s="11">
        <f ca="1">D3601*Reference!$D$7*(1-IF(MONTH($A3601)=Reference!$D$6,1,0)*Reference!$D$12)</f>
        <v>313500</v>
      </c>
      <c r="M3601" s="20"/>
      <c r="N3601" s="20"/>
      <c r="O3601" s="19"/>
      <c r="P3601" s="10"/>
      <c r="Q3601" s="10"/>
      <c r="R3601" s="10"/>
      <c r="S3601" s="10"/>
      <c r="T3601" s="10"/>
      <c r="U3601" s="10"/>
      <c r="V3601" s="10"/>
      <c r="W3601" s="10"/>
      <c r="X3601" s="10"/>
      <c r="Y3601" s="10"/>
    </row>
    <row r="3602" spans="1:25" x14ac:dyDescent="0.25">
      <c r="A3602" s="9">
        <v>44140</v>
      </c>
      <c r="B3602" s="10">
        <f ca="1">ROUND(_xlfn.NORM.INV(RAND(),Reference!$C$8,0.1*Reference!$C$8)*(1+Reference!$C$11*(IF(MONTH($A3602)=Reference!$C$4,1,0)+IF(MONTH($A3602)=Reference!$C$5,1,0))+(IF(MONTH($A3602)=Reference!$C$6,Reference!$C$13,0))),0)</f>
        <v>358</v>
      </c>
      <c r="C3602" s="11">
        <f ca="1">B3602*Reference!$C$7*(1-IF(MONTH($A3602)=Reference!$C$6,1,0)*Reference!$C$12)</f>
        <v>332940</v>
      </c>
      <c r="D3602" s="10">
        <f ca="1">ROUND(_xlfn.NORM.INV(RAND(),Reference!$D$8,0.1*Reference!$D$8)*(1+Reference!$D$11*(IF(MONTH($A3602)=Reference!$D$4,1,0)+IF(MONTH($A3602)=Reference!$D$5,1,0))+(IF(MONTH($A3602)=Reference!$D$6,Reference!$D$13,0))),0)</f>
        <v>480</v>
      </c>
      <c r="E3602" s="11">
        <f ca="1">D3602*Reference!$D$7*(1-IF(MONTH($A3602)=Reference!$D$6,1,0)*Reference!$D$12)</f>
        <v>360000</v>
      </c>
      <c r="M3602" s="20"/>
      <c r="N3602" s="20"/>
      <c r="O3602" s="19"/>
      <c r="P3602" s="10"/>
      <c r="Q3602" s="10"/>
      <c r="R3602" s="10"/>
      <c r="S3602" s="10"/>
      <c r="T3602" s="10"/>
      <c r="U3602" s="10"/>
      <c r="V3602" s="10"/>
      <c r="W3602" s="10"/>
      <c r="X3602" s="10"/>
      <c r="Y3602" s="10"/>
    </row>
    <row r="3603" spans="1:25" x14ac:dyDescent="0.25">
      <c r="A3603" s="9">
        <v>44141</v>
      </c>
      <c r="B3603" s="10">
        <f ca="1">ROUND(_xlfn.NORM.INV(RAND(),Reference!$C$8,0.1*Reference!$C$8)*(1+Reference!$C$11*(IF(MONTH($A3603)=Reference!$C$4,1,0)+IF(MONTH($A3603)=Reference!$C$5,1,0))+(IF(MONTH($A3603)=Reference!$C$6,Reference!$C$13,0))),0)</f>
        <v>305</v>
      </c>
      <c r="C3603" s="11">
        <f ca="1">B3603*Reference!$C$7*(1-IF(MONTH($A3603)=Reference!$C$6,1,0)*Reference!$C$12)</f>
        <v>283650</v>
      </c>
      <c r="D3603" s="10">
        <f ca="1">ROUND(_xlfn.NORM.INV(RAND(),Reference!$D$8,0.1*Reference!$D$8)*(1+Reference!$D$11*(IF(MONTH($A3603)=Reference!$D$4,1,0)+IF(MONTH($A3603)=Reference!$D$5,1,0))+(IF(MONTH($A3603)=Reference!$D$6,Reference!$D$13,0))),0)</f>
        <v>438</v>
      </c>
      <c r="E3603" s="11">
        <f ca="1">D3603*Reference!$D$7*(1-IF(MONTH($A3603)=Reference!$D$6,1,0)*Reference!$D$12)</f>
        <v>328500</v>
      </c>
      <c r="M3603" s="20"/>
      <c r="N3603" s="20"/>
      <c r="O3603" s="19"/>
      <c r="P3603" s="10"/>
      <c r="Q3603" s="10"/>
      <c r="R3603" s="10"/>
      <c r="S3603" s="10"/>
      <c r="T3603" s="10"/>
      <c r="U3603" s="10"/>
      <c r="V3603" s="10"/>
      <c r="W3603" s="10"/>
      <c r="X3603" s="10"/>
      <c r="Y3603" s="10"/>
    </row>
    <row r="3604" spans="1:25" x14ac:dyDescent="0.25">
      <c r="A3604" s="9">
        <v>44142</v>
      </c>
      <c r="B3604" s="10">
        <f ca="1">ROUND(_xlfn.NORM.INV(RAND(),Reference!$C$8,0.1*Reference!$C$8)*(1+Reference!$C$11*(IF(MONTH($A3604)=Reference!$C$4,1,0)+IF(MONTH($A3604)=Reference!$C$5,1,0))+(IF(MONTH($A3604)=Reference!$C$6,Reference!$C$13,0))),0)</f>
        <v>377</v>
      </c>
      <c r="C3604" s="11">
        <f ca="1">B3604*Reference!$C$7*(1-IF(MONTH($A3604)=Reference!$C$6,1,0)*Reference!$C$12)</f>
        <v>350610</v>
      </c>
      <c r="D3604" s="10">
        <f ca="1">ROUND(_xlfn.NORM.INV(RAND(),Reference!$D$8,0.1*Reference!$D$8)*(1+Reference!$D$11*(IF(MONTH($A3604)=Reference!$D$4,1,0)+IF(MONTH($A3604)=Reference!$D$5,1,0))+(IF(MONTH($A3604)=Reference!$D$6,Reference!$D$13,0))),0)</f>
        <v>480</v>
      </c>
      <c r="E3604" s="11">
        <f ca="1">D3604*Reference!$D$7*(1-IF(MONTH($A3604)=Reference!$D$6,1,0)*Reference!$D$12)</f>
        <v>360000</v>
      </c>
      <c r="M3604" s="20"/>
      <c r="N3604" s="20"/>
      <c r="O3604" s="19"/>
      <c r="P3604" s="10"/>
      <c r="Q3604" s="10"/>
      <c r="R3604" s="10"/>
      <c r="S3604" s="10"/>
      <c r="T3604" s="10"/>
      <c r="U3604" s="10"/>
      <c r="V3604" s="10"/>
      <c r="W3604" s="10"/>
      <c r="X3604" s="10"/>
      <c r="Y3604" s="10"/>
    </row>
    <row r="3605" spans="1:25" x14ac:dyDescent="0.25">
      <c r="A3605" s="9">
        <v>44143</v>
      </c>
      <c r="B3605" s="10">
        <f ca="1">ROUND(_xlfn.NORM.INV(RAND(),Reference!$C$8,0.1*Reference!$C$8)*(1+Reference!$C$11*(IF(MONTH($A3605)=Reference!$C$4,1,0)+IF(MONTH($A3605)=Reference!$C$5,1,0))+(IF(MONTH($A3605)=Reference!$C$6,Reference!$C$13,0))),0)</f>
        <v>384</v>
      </c>
      <c r="C3605" s="11">
        <f ca="1">B3605*Reference!$C$7*(1-IF(MONTH($A3605)=Reference!$C$6,1,0)*Reference!$C$12)</f>
        <v>357120</v>
      </c>
      <c r="D3605" s="10">
        <f ca="1">ROUND(_xlfn.NORM.INV(RAND(),Reference!$D$8,0.1*Reference!$D$8)*(1+Reference!$D$11*(IF(MONTH($A3605)=Reference!$D$4,1,0)+IF(MONTH($A3605)=Reference!$D$5,1,0))+(IF(MONTH($A3605)=Reference!$D$6,Reference!$D$13,0))),0)</f>
        <v>443</v>
      </c>
      <c r="E3605" s="11">
        <f ca="1">D3605*Reference!$D$7*(1-IF(MONTH($A3605)=Reference!$D$6,1,0)*Reference!$D$12)</f>
        <v>332250</v>
      </c>
      <c r="M3605" s="20"/>
      <c r="N3605" s="20"/>
      <c r="O3605" s="19"/>
      <c r="P3605" s="10"/>
      <c r="Q3605" s="10"/>
      <c r="R3605" s="10"/>
      <c r="S3605" s="10"/>
      <c r="T3605" s="10"/>
      <c r="U3605" s="10"/>
      <c r="V3605" s="10"/>
      <c r="W3605" s="10"/>
      <c r="X3605" s="10"/>
      <c r="Y3605" s="10"/>
    </row>
    <row r="3606" spans="1:25" x14ac:dyDescent="0.25">
      <c r="A3606" s="9">
        <v>44144</v>
      </c>
      <c r="B3606" s="10">
        <f ca="1">ROUND(_xlfn.NORM.INV(RAND(),Reference!$C$8,0.1*Reference!$C$8)*(1+Reference!$C$11*(IF(MONTH($A3606)=Reference!$C$4,1,0)+IF(MONTH($A3606)=Reference!$C$5,1,0))+(IF(MONTH($A3606)=Reference!$C$6,Reference!$C$13,0))),0)</f>
        <v>353</v>
      </c>
      <c r="C3606" s="11">
        <f ca="1">B3606*Reference!$C$7*(1-IF(MONTH($A3606)=Reference!$C$6,1,0)*Reference!$C$12)</f>
        <v>328290</v>
      </c>
      <c r="D3606" s="10">
        <f ca="1">ROUND(_xlfn.NORM.INV(RAND(),Reference!$D$8,0.1*Reference!$D$8)*(1+Reference!$D$11*(IF(MONTH($A3606)=Reference!$D$4,1,0)+IF(MONTH($A3606)=Reference!$D$5,1,0))+(IF(MONTH($A3606)=Reference!$D$6,Reference!$D$13,0))),0)</f>
        <v>423</v>
      </c>
      <c r="E3606" s="11">
        <f ca="1">D3606*Reference!$D$7*(1-IF(MONTH($A3606)=Reference!$D$6,1,0)*Reference!$D$12)</f>
        <v>317250</v>
      </c>
      <c r="M3606" s="20"/>
      <c r="N3606" s="20"/>
      <c r="O3606" s="19"/>
      <c r="P3606" s="10"/>
      <c r="Q3606" s="10"/>
      <c r="R3606" s="10"/>
      <c r="S3606" s="10"/>
      <c r="T3606" s="10"/>
      <c r="U3606" s="10"/>
      <c r="V3606" s="10"/>
      <c r="W3606" s="10"/>
      <c r="X3606" s="10"/>
      <c r="Y3606" s="10"/>
    </row>
    <row r="3607" spans="1:25" x14ac:dyDescent="0.25">
      <c r="A3607" s="9">
        <v>44145</v>
      </c>
      <c r="B3607" s="10">
        <f ca="1">ROUND(_xlfn.NORM.INV(RAND(),Reference!$C$8,0.1*Reference!$C$8)*(1+Reference!$C$11*(IF(MONTH($A3607)=Reference!$C$4,1,0)+IF(MONTH($A3607)=Reference!$C$5,1,0))+(IF(MONTH($A3607)=Reference!$C$6,Reference!$C$13,0))),0)</f>
        <v>348</v>
      </c>
      <c r="C3607" s="11">
        <f ca="1">B3607*Reference!$C$7*(1-IF(MONTH($A3607)=Reference!$C$6,1,0)*Reference!$C$12)</f>
        <v>323640</v>
      </c>
      <c r="D3607" s="10">
        <f ca="1">ROUND(_xlfn.NORM.INV(RAND(),Reference!$D$8,0.1*Reference!$D$8)*(1+Reference!$D$11*(IF(MONTH($A3607)=Reference!$D$4,1,0)+IF(MONTH($A3607)=Reference!$D$5,1,0))+(IF(MONTH($A3607)=Reference!$D$6,Reference!$D$13,0))),0)</f>
        <v>463</v>
      </c>
      <c r="E3607" s="11">
        <f ca="1">D3607*Reference!$D$7*(1-IF(MONTH($A3607)=Reference!$D$6,1,0)*Reference!$D$12)</f>
        <v>347250</v>
      </c>
      <c r="M3607" s="20"/>
      <c r="N3607" s="20"/>
      <c r="O3607" s="19"/>
      <c r="P3607" s="10"/>
      <c r="Q3607" s="10"/>
      <c r="R3607" s="10"/>
      <c r="S3607" s="10"/>
      <c r="T3607" s="10"/>
      <c r="U3607" s="10"/>
      <c r="V3607" s="10"/>
      <c r="W3607" s="10"/>
      <c r="X3607" s="10"/>
      <c r="Y3607" s="10"/>
    </row>
    <row r="3608" spans="1:25" x14ac:dyDescent="0.25">
      <c r="A3608" s="9">
        <v>44146</v>
      </c>
      <c r="B3608" s="10">
        <f ca="1">ROUND(_xlfn.NORM.INV(RAND(),Reference!$C$8,0.1*Reference!$C$8)*(1+Reference!$C$11*(IF(MONTH($A3608)=Reference!$C$4,1,0)+IF(MONTH($A3608)=Reference!$C$5,1,0))+(IF(MONTH($A3608)=Reference!$C$6,Reference!$C$13,0))),0)</f>
        <v>344</v>
      </c>
      <c r="C3608" s="11">
        <f ca="1">B3608*Reference!$C$7*(1-IF(MONTH($A3608)=Reference!$C$6,1,0)*Reference!$C$12)</f>
        <v>319920</v>
      </c>
      <c r="D3608" s="10">
        <f ca="1">ROUND(_xlfn.NORM.INV(RAND(),Reference!$D$8,0.1*Reference!$D$8)*(1+Reference!$D$11*(IF(MONTH($A3608)=Reference!$D$4,1,0)+IF(MONTH($A3608)=Reference!$D$5,1,0))+(IF(MONTH($A3608)=Reference!$D$6,Reference!$D$13,0))),0)</f>
        <v>475</v>
      </c>
      <c r="E3608" s="11">
        <f ca="1">D3608*Reference!$D$7*(1-IF(MONTH($A3608)=Reference!$D$6,1,0)*Reference!$D$12)</f>
        <v>356250</v>
      </c>
      <c r="M3608" s="20"/>
      <c r="N3608" s="20"/>
      <c r="O3608" s="19"/>
      <c r="P3608" s="10"/>
      <c r="Q3608" s="10"/>
      <c r="R3608" s="10"/>
      <c r="S3608" s="10"/>
      <c r="T3608" s="10"/>
      <c r="U3608" s="10"/>
      <c r="V3608" s="10"/>
      <c r="W3608" s="10"/>
      <c r="X3608" s="10"/>
      <c r="Y3608" s="10"/>
    </row>
    <row r="3609" spans="1:25" x14ac:dyDescent="0.25">
      <c r="A3609" s="9">
        <v>44147</v>
      </c>
      <c r="B3609" s="10">
        <f ca="1">ROUND(_xlfn.NORM.INV(RAND(),Reference!$C$8,0.1*Reference!$C$8)*(1+Reference!$C$11*(IF(MONTH($A3609)=Reference!$C$4,1,0)+IF(MONTH($A3609)=Reference!$C$5,1,0))+(IF(MONTH($A3609)=Reference!$C$6,Reference!$C$13,0))),0)</f>
        <v>330</v>
      </c>
      <c r="C3609" s="11">
        <f ca="1">B3609*Reference!$C$7*(1-IF(MONTH($A3609)=Reference!$C$6,1,0)*Reference!$C$12)</f>
        <v>306900</v>
      </c>
      <c r="D3609" s="10">
        <f ca="1">ROUND(_xlfn.NORM.INV(RAND(),Reference!$D$8,0.1*Reference!$D$8)*(1+Reference!$D$11*(IF(MONTH($A3609)=Reference!$D$4,1,0)+IF(MONTH($A3609)=Reference!$D$5,1,0))+(IF(MONTH($A3609)=Reference!$D$6,Reference!$D$13,0))),0)</f>
        <v>481</v>
      </c>
      <c r="E3609" s="11">
        <f ca="1">D3609*Reference!$D$7*(1-IF(MONTH($A3609)=Reference!$D$6,1,0)*Reference!$D$12)</f>
        <v>360750</v>
      </c>
      <c r="M3609" s="20"/>
      <c r="N3609" s="20"/>
      <c r="O3609" s="19"/>
      <c r="P3609" s="10"/>
      <c r="Q3609" s="10"/>
      <c r="R3609" s="10"/>
      <c r="S3609" s="10"/>
      <c r="T3609" s="10"/>
      <c r="U3609" s="10"/>
      <c r="V3609" s="10"/>
      <c r="W3609" s="10"/>
      <c r="X3609" s="10"/>
      <c r="Y3609" s="10"/>
    </row>
    <row r="3610" spans="1:25" x14ac:dyDescent="0.25">
      <c r="A3610" s="9">
        <v>44148</v>
      </c>
      <c r="B3610" s="10">
        <f ca="1">ROUND(_xlfn.NORM.INV(RAND(),Reference!$C$8,0.1*Reference!$C$8)*(1+Reference!$C$11*(IF(MONTH($A3610)=Reference!$C$4,1,0)+IF(MONTH($A3610)=Reference!$C$5,1,0))+(IF(MONTH($A3610)=Reference!$C$6,Reference!$C$13,0))),0)</f>
        <v>358</v>
      </c>
      <c r="C3610" s="11">
        <f ca="1">B3610*Reference!$C$7*(1-IF(MONTH($A3610)=Reference!$C$6,1,0)*Reference!$C$12)</f>
        <v>332940</v>
      </c>
      <c r="D3610" s="10">
        <f ca="1">ROUND(_xlfn.NORM.INV(RAND(),Reference!$D$8,0.1*Reference!$D$8)*(1+Reference!$D$11*(IF(MONTH($A3610)=Reference!$D$4,1,0)+IF(MONTH($A3610)=Reference!$D$5,1,0))+(IF(MONTH($A3610)=Reference!$D$6,Reference!$D$13,0))),0)</f>
        <v>458</v>
      </c>
      <c r="E3610" s="11">
        <f ca="1">D3610*Reference!$D$7*(1-IF(MONTH($A3610)=Reference!$D$6,1,0)*Reference!$D$12)</f>
        <v>343500</v>
      </c>
      <c r="M3610" s="20"/>
      <c r="N3610" s="20"/>
      <c r="O3610" s="19"/>
      <c r="P3610" s="10"/>
      <c r="Q3610" s="10"/>
      <c r="R3610" s="10"/>
      <c r="S3610" s="10"/>
      <c r="T3610" s="10"/>
      <c r="U3610" s="10"/>
      <c r="V3610" s="10"/>
      <c r="W3610" s="10"/>
      <c r="X3610" s="10"/>
      <c r="Y3610" s="10"/>
    </row>
    <row r="3611" spans="1:25" x14ac:dyDescent="0.25">
      <c r="A3611" s="9">
        <v>44149</v>
      </c>
      <c r="B3611" s="10">
        <f ca="1">ROUND(_xlfn.NORM.INV(RAND(),Reference!$C$8,0.1*Reference!$C$8)*(1+Reference!$C$11*(IF(MONTH($A3611)=Reference!$C$4,1,0)+IF(MONTH($A3611)=Reference!$C$5,1,0))+(IF(MONTH($A3611)=Reference!$C$6,Reference!$C$13,0))),0)</f>
        <v>454</v>
      </c>
      <c r="C3611" s="11">
        <f ca="1">B3611*Reference!$C$7*(1-IF(MONTH($A3611)=Reference!$C$6,1,0)*Reference!$C$12)</f>
        <v>422220</v>
      </c>
      <c r="D3611" s="10">
        <f ca="1">ROUND(_xlfn.NORM.INV(RAND(),Reference!$D$8,0.1*Reference!$D$8)*(1+Reference!$D$11*(IF(MONTH($A3611)=Reference!$D$4,1,0)+IF(MONTH($A3611)=Reference!$D$5,1,0))+(IF(MONTH($A3611)=Reference!$D$6,Reference!$D$13,0))),0)</f>
        <v>460</v>
      </c>
      <c r="E3611" s="11">
        <f ca="1">D3611*Reference!$D$7*(1-IF(MONTH($A3611)=Reference!$D$6,1,0)*Reference!$D$12)</f>
        <v>345000</v>
      </c>
      <c r="M3611" s="20"/>
      <c r="N3611" s="20"/>
      <c r="O3611" s="19"/>
      <c r="P3611" s="10"/>
      <c r="Q3611" s="10"/>
      <c r="R3611" s="10"/>
      <c r="S3611" s="10"/>
      <c r="T3611" s="10"/>
      <c r="U3611" s="10"/>
      <c r="V3611" s="10"/>
      <c r="W3611" s="10"/>
      <c r="X3611" s="10"/>
      <c r="Y3611" s="10"/>
    </row>
    <row r="3612" spans="1:25" x14ac:dyDescent="0.25">
      <c r="A3612" s="9">
        <v>44150</v>
      </c>
      <c r="B3612" s="10">
        <f ca="1">ROUND(_xlfn.NORM.INV(RAND(),Reference!$C$8,0.1*Reference!$C$8)*(1+Reference!$C$11*(IF(MONTH($A3612)=Reference!$C$4,1,0)+IF(MONTH($A3612)=Reference!$C$5,1,0))+(IF(MONTH($A3612)=Reference!$C$6,Reference!$C$13,0))),0)</f>
        <v>409</v>
      </c>
      <c r="C3612" s="11">
        <f ca="1">B3612*Reference!$C$7*(1-IF(MONTH($A3612)=Reference!$C$6,1,0)*Reference!$C$12)</f>
        <v>380370</v>
      </c>
      <c r="D3612" s="10">
        <f ca="1">ROUND(_xlfn.NORM.INV(RAND(),Reference!$D$8,0.1*Reference!$D$8)*(1+Reference!$D$11*(IF(MONTH($A3612)=Reference!$D$4,1,0)+IF(MONTH($A3612)=Reference!$D$5,1,0))+(IF(MONTH($A3612)=Reference!$D$6,Reference!$D$13,0))),0)</f>
        <v>384</v>
      </c>
      <c r="E3612" s="11">
        <f ca="1">D3612*Reference!$D$7*(1-IF(MONTH($A3612)=Reference!$D$6,1,0)*Reference!$D$12)</f>
        <v>288000</v>
      </c>
      <c r="M3612" s="20"/>
      <c r="N3612" s="20"/>
      <c r="O3612" s="19"/>
      <c r="P3612" s="10"/>
      <c r="Q3612" s="10"/>
      <c r="R3612" s="10"/>
      <c r="S3612" s="10"/>
      <c r="T3612" s="10"/>
      <c r="U3612" s="10"/>
      <c r="V3612" s="10"/>
      <c r="W3612" s="10"/>
      <c r="X3612" s="10"/>
      <c r="Y3612" s="10"/>
    </row>
    <row r="3613" spans="1:25" x14ac:dyDescent="0.25">
      <c r="A3613" s="9">
        <v>44151</v>
      </c>
      <c r="B3613" s="10">
        <f ca="1">ROUND(_xlfn.NORM.INV(RAND(),Reference!$C$8,0.1*Reference!$C$8)*(1+Reference!$C$11*(IF(MONTH($A3613)=Reference!$C$4,1,0)+IF(MONTH($A3613)=Reference!$C$5,1,0))+(IF(MONTH($A3613)=Reference!$C$6,Reference!$C$13,0))),0)</f>
        <v>342</v>
      </c>
      <c r="C3613" s="11">
        <f ca="1">B3613*Reference!$C$7*(1-IF(MONTH($A3613)=Reference!$C$6,1,0)*Reference!$C$12)</f>
        <v>318060</v>
      </c>
      <c r="D3613" s="10">
        <f ca="1">ROUND(_xlfn.NORM.INV(RAND(),Reference!$D$8,0.1*Reference!$D$8)*(1+Reference!$D$11*(IF(MONTH($A3613)=Reference!$D$4,1,0)+IF(MONTH($A3613)=Reference!$D$5,1,0))+(IF(MONTH($A3613)=Reference!$D$6,Reference!$D$13,0))),0)</f>
        <v>408</v>
      </c>
      <c r="E3613" s="11">
        <f ca="1">D3613*Reference!$D$7*(1-IF(MONTH($A3613)=Reference!$D$6,1,0)*Reference!$D$12)</f>
        <v>306000</v>
      </c>
      <c r="M3613" s="20"/>
      <c r="N3613" s="20"/>
      <c r="O3613" s="19"/>
      <c r="P3613" s="10"/>
      <c r="Q3613" s="10"/>
      <c r="R3613" s="10"/>
      <c r="S3613" s="10"/>
      <c r="T3613" s="10"/>
      <c r="U3613" s="10"/>
      <c r="V3613" s="10"/>
      <c r="W3613" s="10"/>
      <c r="X3613" s="10"/>
      <c r="Y3613" s="10"/>
    </row>
    <row r="3614" spans="1:25" x14ac:dyDescent="0.25">
      <c r="A3614" s="9">
        <v>44152</v>
      </c>
      <c r="B3614" s="10">
        <f ca="1">ROUND(_xlfn.NORM.INV(RAND(),Reference!$C$8,0.1*Reference!$C$8)*(1+Reference!$C$11*(IF(MONTH($A3614)=Reference!$C$4,1,0)+IF(MONTH($A3614)=Reference!$C$5,1,0))+(IF(MONTH($A3614)=Reference!$C$6,Reference!$C$13,0))),0)</f>
        <v>325</v>
      </c>
      <c r="C3614" s="11">
        <f ca="1">B3614*Reference!$C$7*(1-IF(MONTH($A3614)=Reference!$C$6,1,0)*Reference!$C$12)</f>
        <v>302250</v>
      </c>
      <c r="D3614" s="10">
        <f ca="1">ROUND(_xlfn.NORM.INV(RAND(),Reference!$D$8,0.1*Reference!$D$8)*(1+Reference!$D$11*(IF(MONTH($A3614)=Reference!$D$4,1,0)+IF(MONTH($A3614)=Reference!$D$5,1,0))+(IF(MONTH($A3614)=Reference!$D$6,Reference!$D$13,0))),0)</f>
        <v>406</v>
      </c>
      <c r="E3614" s="11">
        <f ca="1">D3614*Reference!$D$7*(1-IF(MONTH($A3614)=Reference!$D$6,1,0)*Reference!$D$12)</f>
        <v>304500</v>
      </c>
      <c r="M3614" s="20"/>
      <c r="N3614" s="20"/>
      <c r="O3614" s="19"/>
      <c r="P3614" s="10"/>
      <c r="Q3614" s="10"/>
      <c r="R3614" s="10"/>
      <c r="S3614" s="10"/>
      <c r="T3614" s="10"/>
      <c r="U3614" s="10"/>
      <c r="V3614" s="10"/>
      <c r="W3614" s="10"/>
      <c r="X3614" s="10"/>
      <c r="Y3614" s="10"/>
    </row>
    <row r="3615" spans="1:25" x14ac:dyDescent="0.25">
      <c r="A3615" s="9">
        <v>44153</v>
      </c>
      <c r="B3615" s="10">
        <f ca="1">ROUND(_xlfn.NORM.INV(RAND(),Reference!$C$8,0.1*Reference!$C$8)*(1+Reference!$C$11*(IF(MONTH($A3615)=Reference!$C$4,1,0)+IF(MONTH($A3615)=Reference!$C$5,1,0))+(IF(MONTH($A3615)=Reference!$C$6,Reference!$C$13,0))),0)</f>
        <v>361</v>
      </c>
      <c r="C3615" s="11">
        <f ca="1">B3615*Reference!$C$7*(1-IF(MONTH($A3615)=Reference!$C$6,1,0)*Reference!$C$12)</f>
        <v>335730</v>
      </c>
      <c r="D3615" s="10">
        <f ca="1">ROUND(_xlfn.NORM.INV(RAND(),Reference!$D$8,0.1*Reference!$D$8)*(1+Reference!$D$11*(IF(MONTH($A3615)=Reference!$D$4,1,0)+IF(MONTH($A3615)=Reference!$D$5,1,0))+(IF(MONTH($A3615)=Reference!$D$6,Reference!$D$13,0))),0)</f>
        <v>499</v>
      </c>
      <c r="E3615" s="11">
        <f ca="1">D3615*Reference!$D$7*(1-IF(MONTH($A3615)=Reference!$D$6,1,0)*Reference!$D$12)</f>
        <v>374250</v>
      </c>
      <c r="M3615" s="20"/>
      <c r="N3615" s="20"/>
      <c r="O3615" s="19"/>
      <c r="P3615" s="10"/>
      <c r="Q3615" s="10"/>
      <c r="R3615" s="10"/>
      <c r="S3615" s="10"/>
      <c r="T3615" s="10"/>
      <c r="U3615" s="10"/>
      <c r="V3615" s="10"/>
      <c r="W3615" s="10"/>
      <c r="X3615" s="10"/>
      <c r="Y3615" s="10"/>
    </row>
    <row r="3616" spans="1:25" x14ac:dyDescent="0.25">
      <c r="A3616" s="9">
        <v>44154</v>
      </c>
      <c r="B3616" s="10">
        <f ca="1">ROUND(_xlfn.NORM.INV(RAND(),Reference!$C$8,0.1*Reference!$C$8)*(1+Reference!$C$11*(IF(MONTH($A3616)=Reference!$C$4,1,0)+IF(MONTH($A3616)=Reference!$C$5,1,0))+(IF(MONTH($A3616)=Reference!$C$6,Reference!$C$13,0))),0)</f>
        <v>435</v>
      </c>
      <c r="C3616" s="11">
        <f ca="1">B3616*Reference!$C$7*(1-IF(MONTH($A3616)=Reference!$C$6,1,0)*Reference!$C$12)</f>
        <v>404550</v>
      </c>
      <c r="D3616" s="10">
        <f ca="1">ROUND(_xlfn.NORM.INV(RAND(),Reference!$D$8,0.1*Reference!$D$8)*(1+Reference!$D$11*(IF(MONTH($A3616)=Reference!$D$4,1,0)+IF(MONTH($A3616)=Reference!$D$5,1,0))+(IF(MONTH($A3616)=Reference!$D$6,Reference!$D$13,0))),0)</f>
        <v>448</v>
      </c>
      <c r="E3616" s="11">
        <f ca="1">D3616*Reference!$D$7*(1-IF(MONTH($A3616)=Reference!$D$6,1,0)*Reference!$D$12)</f>
        <v>336000</v>
      </c>
      <c r="M3616" s="20"/>
      <c r="N3616" s="20"/>
      <c r="O3616" s="19"/>
      <c r="P3616" s="10"/>
      <c r="Q3616" s="10"/>
      <c r="R3616" s="10"/>
      <c r="S3616" s="10"/>
      <c r="T3616" s="10"/>
      <c r="U3616" s="10"/>
      <c r="V3616" s="10"/>
      <c r="W3616" s="10"/>
      <c r="X3616" s="10"/>
      <c r="Y3616" s="10"/>
    </row>
    <row r="3617" spans="1:25" x14ac:dyDescent="0.25">
      <c r="A3617" s="9">
        <v>44155</v>
      </c>
      <c r="B3617" s="10">
        <f ca="1">ROUND(_xlfn.NORM.INV(RAND(),Reference!$C$8,0.1*Reference!$C$8)*(1+Reference!$C$11*(IF(MONTH($A3617)=Reference!$C$4,1,0)+IF(MONTH($A3617)=Reference!$C$5,1,0))+(IF(MONTH($A3617)=Reference!$C$6,Reference!$C$13,0))),0)</f>
        <v>335</v>
      </c>
      <c r="C3617" s="11">
        <f ca="1">B3617*Reference!$C$7*(1-IF(MONTH($A3617)=Reference!$C$6,1,0)*Reference!$C$12)</f>
        <v>311550</v>
      </c>
      <c r="D3617" s="10">
        <f ca="1">ROUND(_xlfn.NORM.INV(RAND(),Reference!$D$8,0.1*Reference!$D$8)*(1+Reference!$D$11*(IF(MONTH($A3617)=Reference!$D$4,1,0)+IF(MONTH($A3617)=Reference!$D$5,1,0))+(IF(MONTH($A3617)=Reference!$D$6,Reference!$D$13,0))),0)</f>
        <v>380</v>
      </c>
      <c r="E3617" s="11">
        <f ca="1">D3617*Reference!$D$7*(1-IF(MONTH($A3617)=Reference!$D$6,1,0)*Reference!$D$12)</f>
        <v>285000</v>
      </c>
      <c r="M3617" s="20"/>
      <c r="N3617" s="20"/>
      <c r="O3617" s="19"/>
      <c r="P3617" s="10"/>
      <c r="Q3617" s="10"/>
      <c r="R3617" s="10"/>
      <c r="S3617" s="10"/>
      <c r="T3617" s="10"/>
      <c r="U3617" s="10"/>
      <c r="V3617" s="10"/>
      <c r="W3617" s="10"/>
      <c r="X3617" s="10"/>
      <c r="Y3617" s="10"/>
    </row>
    <row r="3618" spans="1:25" x14ac:dyDescent="0.25">
      <c r="A3618" s="9">
        <v>44156</v>
      </c>
      <c r="B3618" s="10">
        <f ca="1">ROUND(_xlfn.NORM.INV(RAND(),Reference!$C$8,0.1*Reference!$C$8)*(1+Reference!$C$11*(IF(MONTH($A3618)=Reference!$C$4,1,0)+IF(MONTH($A3618)=Reference!$C$5,1,0))+(IF(MONTH($A3618)=Reference!$C$6,Reference!$C$13,0))),0)</f>
        <v>343</v>
      </c>
      <c r="C3618" s="11">
        <f ca="1">B3618*Reference!$C$7*(1-IF(MONTH($A3618)=Reference!$C$6,1,0)*Reference!$C$12)</f>
        <v>318990</v>
      </c>
      <c r="D3618" s="10">
        <f ca="1">ROUND(_xlfn.NORM.INV(RAND(),Reference!$D$8,0.1*Reference!$D$8)*(1+Reference!$D$11*(IF(MONTH($A3618)=Reference!$D$4,1,0)+IF(MONTH($A3618)=Reference!$D$5,1,0))+(IF(MONTH($A3618)=Reference!$D$6,Reference!$D$13,0))),0)</f>
        <v>470</v>
      </c>
      <c r="E3618" s="11">
        <f ca="1">D3618*Reference!$D$7*(1-IF(MONTH($A3618)=Reference!$D$6,1,0)*Reference!$D$12)</f>
        <v>352500</v>
      </c>
      <c r="M3618" s="20"/>
      <c r="N3618" s="20"/>
      <c r="O3618" s="19"/>
      <c r="P3618" s="10"/>
      <c r="Q3618" s="10"/>
      <c r="R3618" s="10"/>
      <c r="S3618" s="10"/>
      <c r="T3618" s="10"/>
      <c r="U3618" s="10"/>
      <c r="V3618" s="10"/>
      <c r="W3618" s="10"/>
      <c r="X3618" s="10"/>
      <c r="Y3618" s="10"/>
    </row>
    <row r="3619" spans="1:25" x14ac:dyDescent="0.25">
      <c r="A3619" s="9">
        <v>44157</v>
      </c>
      <c r="B3619" s="10">
        <f ca="1">ROUND(_xlfn.NORM.INV(RAND(),Reference!$C$8,0.1*Reference!$C$8)*(1+Reference!$C$11*(IF(MONTH($A3619)=Reference!$C$4,1,0)+IF(MONTH($A3619)=Reference!$C$5,1,0))+(IF(MONTH($A3619)=Reference!$C$6,Reference!$C$13,0))),0)</f>
        <v>297</v>
      </c>
      <c r="C3619" s="11">
        <f ca="1">B3619*Reference!$C$7*(1-IF(MONTH($A3619)=Reference!$C$6,1,0)*Reference!$C$12)</f>
        <v>276210</v>
      </c>
      <c r="D3619" s="10">
        <f ca="1">ROUND(_xlfn.NORM.INV(RAND(),Reference!$D$8,0.1*Reference!$D$8)*(1+Reference!$D$11*(IF(MONTH($A3619)=Reference!$D$4,1,0)+IF(MONTH($A3619)=Reference!$D$5,1,0))+(IF(MONTH($A3619)=Reference!$D$6,Reference!$D$13,0))),0)</f>
        <v>432</v>
      </c>
      <c r="E3619" s="11">
        <f ca="1">D3619*Reference!$D$7*(1-IF(MONTH($A3619)=Reference!$D$6,1,0)*Reference!$D$12)</f>
        <v>324000</v>
      </c>
      <c r="M3619" s="20"/>
      <c r="N3619" s="20"/>
      <c r="O3619" s="19"/>
      <c r="P3619" s="10"/>
      <c r="Q3619" s="10"/>
      <c r="R3619" s="10"/>
      <c r="S3619" s="10"/>
      <c r="T3619" s="10"/>
      <c r="U3619" s="10"/>
      <c r="V3619" s="10"/>
      <c r="W3619" s="10"/>
      <c r="X3619" s="10"/>
      <c r="Y3619" s="10"/>
    </row>
    <row r="3620" spans="1:25" x14ac:dyDescent="0.25">
      <c r="A3620" s="9">
        <v>44158</v>
      </c>
      <c r="B3620" s="10">
        <f ca="1">ROUND(_xlfn.NORM.INV(RAND(),Reference!$C$8,0.1*Reference!$C$8)*(1+Reference!$C$11*(IF(MONTH($A3620)=Reference!$C$4,1,0)+IF(MONTH($A3620)=Reference!$C$5,1,0))+(IF(MONTH($A3620)=Reference!$C$6,Reference!$C$13,0))),0)</f>
        <v>354</v>
      </c>
      <c r="C3620" s="11">
        <f ca="1">B3620*Reference!$C$7*(1-IF(MONTH($A3620)=Reference!$C$6,1,0)*Reference!$C$12)</f>
        <v>329220</v>
      </c>
      <c r="D3620" s="10">
        <f ca="1">ROUND(_xlfn.NORM.INV(RAND(),Reference!$D$8,0.1*Reference!$D$8)*(1+Reference!$D$11*(IF(MONTH($A3620)=Reference!$D$4,1,0)+IF(MONTH($A3620)=Reference!$D$5,1,0))+(IF(MONTH($A3620)=Reference!$D$6,Reference!$D$13,0))),0)</f>
        <v>385</v>
      </c>
      <c r="E3620" s="11">
        <f ca="1">D3620*Reference!$D$7*(1-IF(MONTH($A3620)=Reference!$D$6,1,0)*Reference!$D$12)</f>
        <v>288750</v>
      </c>
      <c r="M3620" s="20"/>
      <c r="N3620" s="20"/>
      <c r="O3620" s="19"/>
      <c r="P3620" s="10"/>
      <c r="Q3620" s="10"/>
      <c r="R3620" s="10"/>
      <c r="S3620" s="10"/>
      <c r="T3620" s="10"/>
      <c r="U3620" s="10"/>
      <c r="V3620" s="10"/>
      <c r="W3620" s="10"/>
      <c r="X3620" s="10"/>
      <c r="Y3620" s="10"/>
    </row>
    <row r="3621" spans="1:25" x14ac:dyDescent="0.25">
      <c r="A3621" s="9">
        <v>44159</v>
      </c>
      <c r="B3621" s="10">
        <f ca="1">ROUND(_xlfn.NORM.INV(RAND(),Reference!$C$8,0.1*Reference!$C$8)*(1+Reference!$C$11*(IF(MONTH($A3621)=Reference!$C$4,1,0)+IF(MONTH($A3621)=Reference!$C$5,1,0))+(IF(MONTH($A3621)=Reference!$C$6,Reference!$C$13,0))),0)</f>
        <v>444</v>
      </c>
      <c r="C3621" s="11">
        <f ca="1">B3621*Reference!$C$7*(1-IF(MONTH($A3621)=Reference!$C$6,1,0)*Reference!$C$12)</f>
        <v>412920</v>
      </c>
      <c r="D3621" s="10">
        <f ca="1">ROUND(_xlfn.NORM.INV(RAND(),Reference!$D$8,0.1*Reference!$D$8)*(1+Reference!$D$11*(IF(MONTH($A3621)=Reference!$D$4,1,0)+IF(MONTH($A3621)=Reference!$D$5,1,0))+(IF(MONTH($A3621)=Reference!$D$6,Reference!$D$13,0))),0)</f>
        <v>510</v>
      </c>
      <c r="E3621" s="11">
        <f ca="1">D3621*Reference!$D$7*(1-IF(MONTH($A3621)=Reference!$D$6,1,0)*Reference!$D$12)</f>
        <v>382500</v>
      </c>
      <c r="M3621" s="20"/>
      <c r="N3621" s="20"/>
      <c r="O3621" s="19"/>
      <c r="P3621" s="10"/>
      <c r="Q3621" s="10"/>
      <c r="R3621" s="10"/>
      <c r="S3621" s="10"/>
      <c r="T3621" s="10"/>
      <c r="U3621" s="10"/>
      <c r="V3621" s="10"/>
      <c r="W3621" s="10"/>
      <c r="X3621" s="10"/>
      <c r="Y3621" s="10"/>
    </row>
    <row r="3622" spans="1:25" x14ac:dyDescent="0.25">
      <c r="A3622" s="9">
        <v>44160</v>
      </c>
      <c r="B3622" s="10">
        <f ca="1">ROUND(_xlfn.NORM.INV(RAND(),Reference!$C$8,0.1*Reference!$C$8)*(1+Reference!$C$11*(IF(MONTH($A3622)=Reference!$C$4,1,0)+IF(MONTH($A3622)=Reference!$C$5,1,0))+(IF(MONTH($A3622)=Reference!$C$6,Reference!$C$13,0))),0)</f>
        <v>436</v>
      </c>
      <c r="C3622" s="11">
        <f ca="1">B3622*Reference!$C$7*(1-IF(MONTH($A3622)=Reference!$C$6,1,0)*Reference!$C$12)</f>
        <v>405480</v>
      </c>
      <c r="D3622" s="10">
        <f ca="1">ROUND(_xlfn.NORM.INV(RAND(),Reference!$D$8,0.1*Reference!$D$8)*(1+Reference!$D$11*(IF(MONTH($A3622)=Reference!$D$4,1,0)+IF(MONTH($A3622)=Reference!$D$5,1,0))+(IF(MONTH($A3622)=Reference!$D$6,Reference!$D$13,0))),0)</f>
        <v>394</v>
      </c>
      <c r="E3622" s="11">
        <f ca="1">D3622*Reference!$D$7*(1-IF(MONTH($A3622)=Reference!$D$6,1,0)*Reference!$D$12)</f>
        <v>295500</v>
      </c>
      <c r="M3622" s="20"/>
      <c r="N3622" s="20"/>
      <c r="O3622" s="19"/>
      <c r="P3622" s="10"/>
      <c r="Q3622" s="10"/>
      <c r="R3622" s="10"/>
      <c r="S3622" s="10"/>
      <c r="T3622" s="10"/>
      <c r="U3622" s="10"/>
      <c r="V3622" s="10"/>
      <c r="W3622" s="10"/>
      <c r="X3622" s="10"/>
      <c r="Y3622" s="10"/>
    </row>
    <row r="3623" spans="1:25" x14ac:dyDescent="0.25">
      <c r="A3623" s="9">
        <v>44161</v>
      </c>
      <c r="B3623" s="10">
        <f ca="1">ROUND(_xlfn.NORM.INV(RAND(),Reference!$C$8,0.1*Reference!$C$8)*(1+Reference!$C$11*(IF(MONTH($A3623)=Reference!$C$4,1,0)+IF(MONTH($A3623)=Reference!$C$5,1,0))+(IF(MONTH($A3623)=Reference!$C$6,Reference!$C$13,0))),0)</f>
        <v>390</v>
      </c>
      <c r="C3623" s="11">
        <f ca="1">B3623*Reference!$C$7*(1-IF(MONTH($A3623)=Reference!$C$6,1,0)*Reference!$C$12)</f>
        <v>362700</v>
      </c>
      <c r="D3623" s="10">
        <f ca="1">ROUND(_xlfn.NORM.INV(RAND(),Reference!$D$8,0.1*Reference!$D$8)*(1+Reference!$D$11*(IF(MONTH($A3623)=Reference!$D$4,1,0)+IF(MONTH($A3623)=Reference!$D$5,1,0))+(IF(MONTH($A3623)=Reference!$D$6,Reference!$D$13,0))),0)</f>
        <v>543</v>
      </c>
      <c r="E3623" s="11">
        <f ca="1">D3623*Reference!$D$7*(1-IF(MONTH($A3623)=Reference!$D$6,1,0)*Reference!$D$12)</f>
        <v>407250</v>
      </c>
      <c r="M3623" s="20"/>
      <c r="N3623" s="20"/>
      <c r="O3623" s="19"/>
      <c r="P3623" s="10"/>
      <c r="Q3623" s="10"/>
      <c r="R3623" s="10"/>
      <c r="S3623" s="10"/>
      <c r="T3623" s="10"/>
      <c r="U3623" s="10"/>
      <c r="V3623" s="10"/>
      <c r="W3623" s="10"/>
      <c r="X3623" s="10"/>
      <c r="Y3623" s="10"/>
    </row>
    <row r="3624" spans="1:25" x14ac:dyDescent="0.25">
      <c r="A3624" s="9">
        <v>44162</v>
      </c>
      <c r="B3624" s="10">
        <f ca="1">ROUND(_xlfn.NORM.INV(RAND(),Reference!$C$8,0.1*Reference!$C$8)*(1+Reference!$C$11*(IF(MONTH($A3624)=Reference!$C$4,1,0)+IF(MONTH($A3624)=Reference!$C$5,1,0))+(IF(MONTH($A3624)=Reference!$C$6,Reference!$C$13,0))),0)</f>
        <v>391</v>
      </c>
      <c r="C3624" s="11">
        <f ca="1">B3624*Reference!$C$7*(1-IF(MONTH($A3624)=Reference!$C$6,1,0)*Reference!$C$12)</f>
        <v>363630</v>
      </c>
      <c r="D3624" s="10">
        <f ca="1">ROUND(_xlfn.NORM.INV(RAND(),Reference!$D$8,0.1*Reference!$D$8)*(1+Reference!$D$11*(IF(MONTH($A3624)=Reference!$D$4,1,0)+IF(MONTH($A3624)=Reference!$D$5,1,0))+(IF(MONTH($A3624)=Reference!$D$6,Reference!$D$13,0))),0)</f>
        <v>467</v>
      </c>
      <c r="E3624" s="11">
        <f ca="1">D3624*Reference!$D$7*(1-IF(MONTH($A3624)=Reference!$D$6,1,0)*Reference!$D$12)</f>
        <v>350250</v>
      </c>
      <c r="M3624" s="20"/>
      <c r="N3624" s="20"/>
      <c r="O3624" s="19"/>
      <c r="P3624" s="10"/>
      <c r="Q3624" s="10"/>
      <c r="R3624" s="10"/>
      <c r="S3624" s="10"/>
      <c r="T3624" s="10"/>
      <c r="U3624" s="10"/>
      <c r="V3624" s="10"/>
      <c r="W3624" s="10"/>
      <c r="X3624" s="10"/>
      <c r="Y3624" s="10"/>
    </row>
    <row r="3625" spans="1:25" x14ac:dyDescent="0.25">
      <c r="A3625" s="9">
        <v>44163</v>
      </c>
      <c r="B3625" s="10">
        <f ca="1">ROUND(_xlfn.NORM.INV(RAND(),Reference!$C$8,0.1*Reference!$C$8)*(1+Reference!$C$11*(IF(MONTH($A3625)=Reference!$C$4,1,0)+IF(MONTH($A3625)=Reference!$C$5,1,0))+(IF(MONTH($A3625)=Reference!$C$6,Reference!$C$13,0))),0)</f>
        <v>308</v>
      </c>
      <c r="C3625" s="11">
        <f ca="1">B3625*Reference!$C$7*(1-IF(MONTH($A3625)=Reference!$C$6,1,0)*Reference!$C$12)</f>
        <v>286440</v>
      </c>
      <c r="D3625" s="10">
        <f ca="1">ROUND(_xlfn.NORM.INV(RAND(),Reference!$D$8,0.1*Reference!$D$8)*(1+Reference!$D$11*(IF(MONTH($A3625)=Reference!$D$4,1,0)+IF(MONTH($A3625)=Reference!$D$5,1,0))+(IF(MONTH($A3625)=Reference!$D$6,Reference!$D$13,0))),0)</f>
        <v>341</v>
      </c>
      <c r="E3625" s="11">
        <f ca="1">D3625*Reference!$D$7*(1-IF(MONTH($A3625)=Reference!$D$6,1,0)*Reference!$D$12)</f>
        <v>255750</v>
      </c>
      <c r="M3625" s="20"/>
      <c r="N3625" s="20"/>
      <c r="O3625" s="19"/>
      <c r="P3625" s="10"/>
      <c r="Q3625" s="10"/>
      <c r="R3625" s="10"/>
      <c r="S3625" s="10"/>
      <c r="T3625" s="10"/>
      <c r="U3625" s="10"/>
      <c r="V3625" s="10"/>
      <c r="W3625" s="10"/>
      <c r="X3625" s="10"/>
      <c r="Y3625" s="10"/>
    </row>
    <row r="3626" spans="1:25" x14ac:dyDescent="0.25">
      <c r="A3626" s="9">
        <v>44164</v>
      </c>
      <c r="B3626" s="10">
        <f ca="1">ROUND(_xlfn.NORM.INV(RAND(),Reference!$C$8,0.1*Reference!$C$8)*(1+Reference!$C$11*(IF(MONTH($A3626)=Reference!$C$4,1,0)+IF(MONTH($A3626)=Reference!$C$5,1,0))+(IF(MONTH($A3626)=Reference!$C$6,Reference!$C$13,0))),0)</f>
        <v>401</v>
      </c>
      <c r="C3626" s="11">
        <f ca="1">B3626*Reference!$C$7*(1-IF(MONTH($A3626)=Reference!$C$6,1,0)*Reference!$C$12)</f>
        <v>372930</v>
      </c>
      <c r="D3626" s="10">
        <f ca="1">ROUND(_xlfn.NORM.INV(RAND(),Reference!$D$8,0.1*Reference!$D$8)*(1+Reference!$D$11*(IF(MONTH($A3626)=Reference!$D$4,1,0)+IF(MONTH($A3626)=Reference!$D$5,1,0))+(IF(MONTH($A3626)=Reference!$D$6,Reference!$D$13,0))),0)</f>
        <v>386</v>
      </c>
      <c r="E3626" s="11">
        <f ca="1">D3626*Reference!$D$7*(1-IF(MONTH($A3626)=Reference!$D$6,1,0)*Reference!$D$12)</f>
        <v>289500</v>
      </c>
      <c r="M3626" s="20"/>
      <c r="N3626" s="20"/>
      <c r="O3626" s="19"/>
      <c r="P3626" s="10"/>
      <c r="Q3626" s="10"/>
      <c r="R3626" s="10"/>
      <c r="S3626" s="10"/>
      <c r="T3626" s="10"/>
      <c r="U3626" s="10"/>
      <c r="V3626" s="10"/>
      <c r="W3626" s="10"/>
      <c r="X3626" s="10"/>
      <c r="Y3626" s="10"/>
    </row>
    <row r="3627" spans="1:25" x14ac:dyDescent="0.25">
      <c r="A3627" s="9">
        <v>44165</v>
      </c>
      <c r="B3627" s="10">
        <f ca="1">ROUND(_xlfn.NORM.INV(RAND(),Reference!$C$8,0.1*Reference!$C$8)*(1+Reference!$C$11*(IF(MONTH($A3627)=Reference!$C$4,1,0)+IF(MONTH($A3627)=Reference!$C$5,1,0))+(IF(MONTH($A3627)=Reference!$C$6,Reference!$C$13,0))),0)</f>
        <v>377</v>
      </c>
      <c r="C3627" s="11">
        <f ca="1">B3627*Reference!$C$7*(1-IF(MONTH($A3627)=Reference!$C$6,1,0)*Reference!$C$12)</f>
        <v>350610</v>
      </c>
      <c r="D3627" s="10">
        <f ca="1">ROUND(_xlfn.NORM.INV(RAND(),Reference!$D$8,0.1*Reference!$D$8)*(1+Reference!$D$11*(IF(MONTH($A3627)=Reference!$D$4,1,0)+IF(MONTH($A3627)=Reference!$D$5,1,0))+(IF(MONTH($A3627)=Reference!$D$6,Reference!$D$13,0))),0)</f>
        <v>327</v>
      </c>
      <c r="E3627" s="11">
        <f ca="1">D3627*Reference!$D$7*(1-IF(MONTH($A3627)=Reference!$D$6,1,0)*Reference!$D$12)</f>
        <v>245250</v>
      </c>
      <c r="M3627" s="20"/>
      <c r="N3627" s="20"/>
      <c r="O3627" s="19"/>
      <c r="P3627" s="10"/>
      <c r="Q3627" s="10"/>
      <c r="R3627" s="10"/>
      <c r="S3627" s="10"/>
      <c r="T3627" s="10"/>
      <c r="U3627" s="10"/>
      <c r="V3627" s="10"/>
      <c r="W3627" s="10"/>
      <c r="X3627" s="10"/>
      <c r="Y3627" s="10"/>
    </row>
    <row r="3628" spans="1:25" x14ac:dyDescent="0.25">
      <c r="A3628" s="9">
        <v>44166</v>
      </c>
      <c r="B3628" s="10">
        <f ca="1">ROUND(_xlfn.NORM.INV(RAND(),Reference!$C$8,0.1*Reference!$C$8)*(1+Reference!$C$11*(IF(MONTH($A3628)=Reference!$C$4,1,0)+IF(MONTH($A3628)=Reference!$C$5,1,0))+(IF(MONTH($A3628)=Reference!$C$6,Reference!$C$13,0))),0)</f>
        <v>384</v>
      </c>
      <c r="C3628" s="11">
        <f ca="1">B3628*Reference!$C$7*(1-IF(MONTH($A3628)=Reference!$C$6,1,0)*Reference!$C$12)</f>
        <v>357120</v>
      </c>
      <c r="D3628" s="10">
        <f ca="1">ROUND(_xlfn.NORM.INV(RAND(),Reference!$D$8,0.1*Reference!$D$8)*(1+Reference!$D$11*(IF(MONTH($A3628)=Reference!$D$4,1,0)+IF(MONTH($A3628)=Reference!$D$5,1,0))+(IF(MONTH($A3628)=Reference!$D$6,Reference!$D$13,0))),0)</f>
        <v>511</v>
      </c>
      <c r="E3628" s="11">
        <f ca="1">D3628*Reference!$D$7*(1-IF(MONTH($A3628)=Reference!$D$6,1,0)*Reference!$D$12)</f>
        <v>383250</v>
      </c>
      <c r="M3628" s="20"/>
      <c r="N3628" s="20"/>
      <c r="O3628" s="19"/>
      <c r="P3628" s="10"/>
      <c r="Q3628" s="10"/>
      <c r="R3628" s="10"/>
      <c r="S3628" s="10"/>
      <c r="T3628" s="10"/>
      <c r="U3628" s="10"/>
      <c r="V3628" s="10"/>
      <c r="W3628" s="10"/>
      <c r="X3628" s="10"/>
      <c r="Y3628" s="10"/>
    </row>
    <row r="3629" spans="1:25" x14ac:dyDescent="0.25">
      <c r="A3629" s="9">
        <v>44167</v>
      </c>
      <c r="B3629" s="10">
        <f ca="1">ROUND(_xlfn.NORM.INV(RAND(),Reference!$C$8,0.1*Reference!$C$8)*(1+Reference!$C$11*(IF(MONTH($A3629)=Reference!$C$4,1,0)+IF(MONTH($A3629)=Reference!$C$5,1,0))+(IF(MONTH($A3629)=Reference!$C$6,Reference!$C$13,0))),0)</f>
        <v>400</v>
      </c>
      <c r="C3629" s="11">
        <f ca="1">B3629*Reference!$C$7*(1-IF(MONTH($A3629)=Reference!$C$6,1,0)*Reference!$C$12)</f>
        <v>372000</v>
      </c>
      <c r="D3629" s="10">
        <f ca="1">ROUND(_xlfn.NORM.INV(RAND(),Reference!$D$8,0.1*Reference!$D$8)*(1+Reference!$D$11*(IF(MONTH($A3629)=Reference!$D$4,1,0)+IF(MONTH($A3629)=Reference!$D$5,1,0))+(IF(MONTH($A3629)=Reference!$D$6,Reference!$D$13,0))),0)</f>
        <v>435</v>
      </c>
      <c r="E3629" s="11">
        <f ca="1">D3629*Reference!$D$7*(1-IF(MONTH($A3629)=Reference!$D$6,1,0)*Reference!$D$12)</f>
        <v>326250</v>
      </c>
      <c r="M3629" s="20"/>
      <c r="N3629" s="20"/>
      <c r="O3629" s="19"/>
      <c r="P3629" s="10"/>
      <c r="Q3629" s="10"/>
      <c r="R3629" s="10"/>
      <c r="S3629" s="10"/>
      <c r="T3629" s="10"/>
      <c r="U3629" s="10"/>
      <c r="V3629" s="10"/>
      <c r="W3629" s="10"/>
      <c r="X3629" s="10"/>
      <c r="Y3629" s="10"/>
    </row>
    <row r="3630" spans="1:25" x14ac:dyDescent="0.25">
      <c r="A3630" s="9">
        <v>44168</v>
      </c>
      <c r="B3630" s="10">
        <f ca="1">ROUND(_xlfn.NORM.INV(RAND(),Reference!$C$8,0.1*Reference!$C$8)*(1+Reference!$C$11*(IF(MONTH($A3630)=Reference!$C$4,1,0)+IF(MONTH($A3630)=Reference!$C$5,1,0))+(IF(MONTH($A3630)=Reference!$C$6,Reference!$C$13,0))),0)</f>
        <v>387</v>
      </c>
      <c r="C3630" s="11">
        <f ca="1">B3630*Reference!$C$7*(1-IF(MONTH($A3630)=Reference!$C$6,1,0)*Reference!$C$12)</f>
        <v>359910</v>
      </c>
      <c r="D3630" s="10">
        <f ca="1">ROUND(_xlfn.NORM.INV(RAND(),Reference!$D$8,0.1*Reference!$D$8)*(1+Reference!$D$11*(IF(MONTH($A3630)=Reference!$D$4,1,0)+IF(MONTH($A3630)=Reference!$D$5,1,0))+(IF(MONTH($A3630)=Reference!$D$6,Reference!$D$13,0))),0)</f>
        <v>435</v>
      </c>
      <c r="E3630" s="11">
        <f ca="1">D3630*Reference!$D$7*(1-IF(MONTH($A3630)=Reference!$D$6,1,0)*Reference!$D$12)</f>
        <v>326250</v>
      </c>
      <c r="M3630" s="20"/>
      <c r="N3630" s="20"/>
      <c r="O3630" s="19"/>
      <c r="P3630" s="10"/>
      <c r="Q3630" s="10"/>
      <c r="R3630" s="10"/>
      <c r="S3630" s="10"/>
      <c r="T3630" s="10"/>
      <c r="U3630" s="10"/>
      <c r="V3630" s="10"/>
      <c r="W3630" s="10"/>
      <c r="X3630" s="10"/>
      <c r="Y3630" s="10"/>
    </row>
    <row r="3631" spans="1:25" x14ac:dyDescent="0.25">
      <c r="A3631" s="9">
        <v>44169</v>
      </c>
      <c r="B3631" s="10">
        <f ca="1">ROUND(_xlfn.NORM.INV(RAND(),Reference!$C$8,0.1*Reference!$C$8)*(1+Reference!$C$11*(IF(MONTH($A3631)=Reference!$C$4,1,0)+IF(MONTH($A3631)=Reference!$C$5,1,0))+(IF(MONTH($A3631)=Reference!$C$6,Reference!$C$13,0))),0)</f>
        <v>311</v>
      </c>
      <c r="C3631" s="11">
        <f ca="1">B3631*Reference!$C$7*(1-IF(MONTH($A3631)=Reference!$C$6,1,0)*Reference!$C$12)</f>
        <v>289230</v>
      </c>
      <c r="D3631" s="10">
        <f ca="1">ROUND(_xlfn.NORM.INV(RAND(),Reference!$D$8,0.1*Reference!$D$8)*(1+Reference!$D$11*(IF(MONTH($A3631)=Reference!$D$4,1,0)+IF(MONTH($A3631)=Reference!$D$5,1,0))+(IF(MONTH($A3631)=Reference!$D$6,Reference!$D$13,0))),0)</f>
        <v>442</v>
      </c>
      <c r="E3631" s="11">
        <f ca="1">D3631*Reference!$D$7*(1-IF(MONTH($A3631)=Reference!$D$6,1,0)*Reference!$D$12)</f>
        <v>331500</v>
      </c>
      <c r="M3631" s="20"/>
      <c r="N3631" s="20"/>
      <c r="O3631" s="19"/>
      <c r="P3631" s="10"/>
      <c r="Q3631" s="10"/>
      <c r="R3631" s="10"/>
      <c r="S3631" s="10"/>
      <c r="T3631" s="10"/>
      <c r="U3631" s="10"/>
      <c r="V3631" s="10"/>
      <c r="W3631" s="10"/>
      <c r="X3631" s="10"/>
      <c r="Y3631" s="10"/>
    </row>
    <row r="3632" spans="1:25" x14ac:dyDescent="0.25">
      <c r="A3632" s="9">
        <v>44170</v>
      </c>
      <c r="B3632" s="10">
        <f ca="1">ROUND(_xlfn.NORM.INV(RAND(),Reference!$C$8,0.1*Reference!$C$8)*(1+Reference!$C$11*(IF(MONTH($A3632)=Reference!$C$4,1,0)+IF(MONTH($A3632)=Reference!$C$5,1,0))+(IF(MONTH($A3632)=Reference!$C$6,Reference!$C$13,0))),0)</f>
        <v>327</v>
      </c>
      <c r="C3632" s="11">
        <f ca="1">B3632*Reference!$C$7*(1-IF(MONTH($A3632)=Reference!$C$6,1,0)*Reference!$C$12)</f>
        <v>304110</v>
      </c>
      <c r="D3632" s="10">
        <f ca="1">ROUND(_xlfn.NORM.INV(RAND(),Reference!$D$8,0.1*Reference!$D$8)*(1+Reference!$D$11*(IF(MONTH($A3632)=Reference!$D$4,1,0)+IF(MONTH($A3632)=Reference!$D$5,1,0))+(IF(MONTH($A3632)=Reference!$D$6,Reference!$D$13,0))),0)</f>
        <v>427</v>
      </c>
      <c r="E3632" s="11">
        <f ca="1">D3632*Reference!$D$7*(1-IF(MONTH($A3632)=Reference!$D$6,1,0)*Reference!$D$12)</f>
        <v>320250</v>
      </c>
      <c r="M3632" s="20"/>
      <c r="N3632" s="20"/>
      <c r="O3632" s="19"/>
      <c r="P3632" s="10"/>
      <c r="Q3632" s="10"/>
      <c r="R3632" s="10"/>
      <c r="S3632" s="10"/>
      <c r="T3632" s="10"/>
      <c r="U3632" s="10"/>
      <c r="V3632" s="10"/>
      <c r="W3632" s="10"/>
      <c r="X3632" s="10"/>
      <c r="Y3632" s="10"/>
    </row>
    <row r="3633" spans="1:25" x14ac:dyDescent="0.25">
      <c r="A3633" s="9">
        <v>44171</v>
      </c>
      <c r="B3633" s="10">
        <f ca="1">ROUND(_xlfn.NORM.INV(RAND(),Reference!$C$8,0.1*Reference!$C$8)*(1+Reference!$C$11*(IF(MONTH($A3633)=Reference!$C$4,1,0)+IF(MONTH($A3633)=Reference!$C$5,1,0))+(IF(MONTH($A3633)=Reference!$C$6,Reference!$C$13,0))),0)</f>
        <v>403</v>
      </c>
      <c r="C3633" s="11">
        <f ca="1">B3633*Reference!$C$7*(1-IF(MONTH($A3633)=Reference!$C$6,1,0)*Reference!$C$12)</f>
        <v>374790</v>
      </c>
      <c r="D3633" s="10">
        <f ca="1">ROUND(_xlfn.NORM.INV(RAND(),Reference!$D$8,0.1*Reference!$D$8)*(1+Reference!$D$11*(IF(MONTH($A3633)=Reference!$D$4,1,0)+IF(MONTH($A3633)=Reference!$D$5,1,0))+(IF(MONTH($A3633)=Reference!$D$6,Reference!$D$13,0))),0)</f>
        <v>431</v>
      </c>
      <c r="E3633" s="11">
        <f ca="1">D3633*Reference!$D$7*(1-IF(MONTH($A3633)=Reference!$D$6,1,0)*Reference!$D$12)</f>
        <v>323250</v>
      </c>
      <c r="M3633" s="20"/>
      <c r="N3633" s="20"/>
      <c r="O3633" s="19"/>
      <c r="P3633" s="10"/>
      <c r="Q3633" s="10"/>
      <c r="R3633" s="10"/>
      <c r="S3633" s="10"/>
      <c r="T3633" s="10"/>
      <c r="U3633" s="10"/>
      <c r="V3633" s="10"/>
      <c r="W3633" s="10"/>
      <c r="X3633" s="10"/>
      <c r="Y3633" s="10"/>
    </row>
    <row r="3634" spans="1:25" x14ac:dyDescent="0.25">
      <c r="A3634" s="9">
        <v>44172</v>
      </c>
      <c r="B3634" s="10">
        <f ca="1">ROUND(_xlfn.NORM.INV(RAND(),Reference!$C$8,0.1*Reference!$C$8)*(1+Reference!$C$11*(IF(MONTH($A3634)=Reference!$C$4,1,0)+IF(MONTH($A3634)=Reference!$C$5,1,0))+(IF(MONTH($A3634)=Reference!$C$6,Reference!$C$13,0))),0)</f>
        <v>335</v>
      </c>
      <c r="C3634" s="11">
        <f ca="1">B3634*Reference!$C$7*(1-IF(MONTH($A3634)=Reference!$C$6,1,0)*Reference!$C$12)</f>
        <v>311550</v>
      </c>
      <c r="D3634" s="10">
        <f ca="1">ROUND(_xlfn.NORM.INV(RAND(),Reference!$D$8,0.1*Reference!$D$8)*(1+Reference!$D$11*(IF(MONTH($A3634)=Reference!$D$4,1,0)+IF(MONTH($A3634)=Reference!$D$5,1,0))+(IF(MONTH($A3634)=Reference!$D$6,Reference!$D$13,0))),0)</f>
        <v>446</v>
      </c>
      <c r="E3634" s="11">
        <f ca="1">D3634*Reference!$D$7*(1-IF(MONTH($A3634)=Reference!$D$6,1,0)*Reference!$D$12)</f>
        <v>334500</v>
      </c>
      <c r="M3634" s="20"/>
      <c r="N3634" s="20"/>
      <c r="O3634" s="19"/>
      <c r="P3634" s="10"/>
      <c r="Q3634" s="10"/>
      <c r="R3634" s="10"/>
      <c r="S3634" s="10"/>
      <c r="T3634" s="10"/>
      <c r="U3634" s="10"/>
      <c r="V3634" s="10"/>
      <c r="W3634" s="10"/>
      <c r="X3634" s="10"/>
      <c r="Y3634" s="10"/>
    </row>
    <row r="3635" spans="1:25" x14ac:dyDescent="0.25">
      <c r="A3635" s="9">
        <v>44173</v>
      </c>
      <c r="B3635" s="10">
        <f ca="1">ROUND(_xlfn.NORM.INV(RAND(),Reference!$C$8,0.1*Reference!$C$8)*(1+Reference!$C$11*(IF(MONTH($A3635)=Reference!$C$4,1,0)+IF(MONTH($A3635)=Reference!$C$5,1,0))+(IF(MONTH($A3635)=Reference!$C$6,Reference!$C$13,0))),0)</f>
        <v>386</v>
      </c>
      <c r="C3635" s="11">
        <f ca="1">B3635*Reference!$C$7*(1-IF(MONTH($A3635)=Reference!$C$6,1,0)*Reference!$C$12)</f>
        <v>358980</v>
      </c>
      <c r="D3635" s="10">
        <f ca="1">ROUND(_xlfn.NORM.INV(RAND(),Reference!$D$8,0.1*Reference!$D$8)*(1+Reference!$D$11*(IF(MONTH($A3635)=Reference!$D$4,1,0)+IF(MONTH($A3635)=Reference!$D$5,1,0))+(IF(MONTH($A3635)=Reference!$D$6,Reference!$D$13,0))),0)</f>
        <v>428</v>
      </c>
      <c r="E3635" s="11">
        <f ca="1">D3635*Reference!$D$7*(1-IF(MONTH($A3635)=Reference!$D$6,1,0)*Reference!$D$12)</f>
        <v>321000</v>
      </c>
      <c r="M3635" s="20"/>
      <c r="N3635" s="20"/>
      <c r="O3635" s="19"/>
      <c r="P3635" s="10"/>
      <c r="Q3635" s="10"/>
      <c r="R3635" s="10"/>
      <c r="S3635" s="10"/>
      <c r="T3635" s="10"/>
      <c r="U3635" s="10"/>
      <c r="V3635" s="10"/>
      <c r="W3635" s="10"/>
      <c r="X3635" s="10"/>
      <c r="Y3635" s="10"/>
    </row>
    <row r="3636" spans="1:25" x14ac:dyDescent="0.25">
      <c r="A3636" s="9">
        <v>44174</v>
      </c>
      <c r="B3636" s="10">
        <f ca="1">ROUND(_xlfn.NORM.INV(RAND(),Reference!$C$8,0.1*Reference!$C$8)*(1+Reference!$C$11*(IF(MONTH($A3636)=Reference!$C$4,1,0)+IF(MONTH($A3636)=Reference!$C$5,1,0))+(IF(MONTH($A3636)=Reference!$C$6,Reference!$C$13,0))),0)</f>
        <v>393</v>
      </c>
      <c r="C3636" s="11">
        <f ca="1">B3636*Reference!$C$7*(1-IF(MONTH($A3636)=Reference!$C$6,1,0)*Reference!$C$12)</f>
        <v>365490</v>
      </c>
      <c r="D3636" s="10">
        <f ca="1">ROUND(_xlfn.NORM.INV(RAND(),Reference!$D$8,0.1*Reference!$D$8)*(1+Reference!$D$11*(IF(MONTH($A3636)=Reference!$D$4,1,0)+IF(MONTH($A3636)=Reference!$D$5,1,0))+(IF(MONTH($A3636)=Reference!$D$6,Reference!$D$13,0))),0)</f>
        <v>536</v>
      </c>
      <c r="E3636" s="11">
        <f ca="1">D3636*Reference!$D$7*(1-IF(MONTH($A3636)=Reference!$D$6,1,0)*Reference!$D$12)</f>
        <v>402000</v>
      </c>
      <c r="M3636" s="20"/>
      <c r="N3636" s="20"/>
      <c r="O3636" s="19"/>
      <c r="P3636" s="10"/>
      <c r="Q3636" s="10"/>
      <c r="R3636" s="10"/>
      <c r="S3636" s="10"/>
      <c r="T3636" s="10"/>
      <c r="U3636" s="10"/>
      <c r="V3636" s="10"/>
      <c r="W3636" s="10"/>
      <c r="X3636" s="10"/>
      <c r="Y3636" s="10"/>
    </row>
    <row r="3637" spans="1:25" x14ac:dyDescent="0.25">
      <c r="A3637" s="9">
        <v>44175</v>
      </c>
      <c r="B3637" s="10">
        <f ca="1">ROUND(_xlfn.NORM.INV(RAND(),Reference!$C$8,0.1*Reference!$C$8)*(1+Reference!$C$11*(IF(MONTH($A3637)=Reference!$C$4,1,0)+IF(MONTH($A3637)=Reference!$C$5,1,0))+(IF(MONTH($A3637)=Reference!$C$6,Reference!$C$13,0))),0)</f>
        <v>337</v>
      </c>
      <c r="C3637" s="11">
        <f ca="1">B3637*Reference!$C$7*(1-IF(MONTH($A3637)=Reference!$C$6,1,0)*Reference!$C$12)</f>
        <v>313410</v>
      </c>
      <c r="D3637" s="10">
        <f ca="1">ROUND(_xlfn.NORM.INV(RAND(),Reference!$D$8,0.1*Reference!$D$8)*(1+Reference!$D$11*(IF(MONTH($A3637)=Reference!$D$4,1,0)+IF(MONTH($A3637)=Reference!$D$5,1,0))+(IF(MONTH($A3637)=Reference!$D$6,Reference!$D$13,0))),0)</f>
        <v>453</v>
      </c>
      <c r="E3637" s="11">
        <f ca="1">D3637*Reference!$D$7*(1-IF(MONTH($A3637)=Reference!$D$6,1,0)*Reference!$D$12)</f>
        <v>339750</v>
      </c>
      <c r="M3637" s="20"/>
      <c r="N3637" s="20"/>
      <c r="O3637" s="19"/>
      <c r="P3637" s="10"/>
      <c r="Q3637" s="10"/>
      <c r="R3637" s="10"/>
      <c r="S3637" s="10"/>
      <c r="T3637" s="10"/>
      <c r="U3637" s="10"/>
      <c r="V3637" s="10"/>
      <c r="W3637" s="10"/>
      <c r="X3637" s="10"/>
      <c r="Y3637" s="10"/>
    </row>
    <row r="3638" spans="1:25" x14ac:dyDescent="0.25">
      <c r="A3638" s="9">
        <v>44176</v>
      </c>
      <c r="B3638" s="10">
        <f ca="1">ROUND(_xlfn.NORM.INV(RAND(),Reference!$C$8,0.1*Reference!$C$8)*(1+Reference!$C$11*(IF(MONTH($A3638)=Reference!$C$4,1,0)+IF(MONTH($A3638)=Reference!$C$5,1,0))+(IF(MONTH($A3638)=Reference!$C$6,Reference!$C$13,0))),0)</f>
        <v>335</v>
      </c>
      <c r="C3638" s="11">
        <f ca="1">B3638*Reference!$C$7*(1-IF(MONTH($A3638)=Reference!$C$6,1,0)*Reference!$C$12)</f>
        <v>311550</v>
      </c>
      <c r="D3638" s="10">
        <f ca="1">ROUND(_xlfn.NORM.INV(RAND(),Reference!$D$8,0.1*Reference!$D$8)*(1+Reference!$D$11*(IF(MONTH($A3638)=Reference!$D$4,1,0)+IF(MONTH($A3638)=Reference!$D$5,1,0))+(IF(MONTH($A3638)=Reference!$D$6,Reference!$D$13,0))),0)</f>
        <v>404</v>
      </c>
      <c r="E3638" s="11">
        <f ca="1">D3638*Reference!$D$7*(1-IF(MONTH($A3638)=Reference!$D$6,1,0)*Reference!$D$12)</f>
        <v>303000</v>
      </c>
      <c r="M3638" s="20"/>
      <c r="N3638" s="20"/>
      <c r="O3638" s="19"/>
      <c r="P3638" s="10"/>
      <c r="Q3638" s="10"/>
      <c r="R3638" s="10"/>
      <c r="S3638" s="10"/>
      <c r="T3638" s="10"/>
      <c r="U3638" s="10"/>
      <c r="V3638" s="10"/>
      <c r="W3638" s="10"/>
      <c r="X3638" s="10"/>
      <c r="Y3638" s="10"/>
    </row>
    <row r="3639" spans="1:25" x14ac:dyDescent="0.25">
      <c r="A3639" s="9">
        <v>44177</v>
      </c>
      <c r="B3639" s="10">
        <f ca="1">ROUND(_xlfn.NORM.INV(RAND(),Reference!$C$8,0.1*Reference!$C$8)*(1+Reference!$C$11*(IF(MONTH($A3639)=Reference!$C$4,1,0)+IF(MONTH($A3639)=Reference!$C$5,1,0))+(IF(MONTH($A3639)=Reference!$C$6,Reference!$C$13,0))),0)</f>
        <v>312</v>
      </c>
      <c r="C3639" s="11">
        <f ca="1">B3639*Reference!$C$7*(1-IF(MONTH($A3639)=Reference!$C$6,1,0)*Reference!$C$12)</f>
        <v>290160</v>
      </c>
      <c r="D3639" s="10">
        <f ca="1">ROUND(_xlfn.NORM.INV(RAND(),Reference!$D$8,0.1*Reference!$D$8)*(1+Reference!$D$11*(IF(MONTH($A3639)=Reference!$D$4,1,0)+IF(MONTH($A3639)=Reference!$D$5,1,0))+(IF(MONTH($A3639)=Reference!$D$6,Reference!$D$13,0))),0)</f>
        <v>494</v>
      </c>
      <c r="E3639" s="11">
        <f ca="1">D3639*Reference!$D$7*(1-IF(MONTH($A3639)=Reference!$D$6,1,0)*Reference!$D$12)</f>
        <v>370500</v>
      </c>
      <c r="M3639" s="20"/>
      <c r="N3639" s="20"/>
      <c r="O3639" s="19"/>
      <c r="P3639" s="10"/>
      <c r="Q3639" s="10"/>
      <c r="R3639" s="10"/>
      <c r="S3639" s="10"/>
      <c r="T3639" s="10"/>
      <c r="U3639" s="10"/>
      <c r="V3639" s="10"/>
      <c r="W3639" s="10"/>
      <c r="X3639" s="10"/>
      <c r="Y3639" s="10"/>
    </row>
    <row r="3640" spans="1:25" x14ac:dyDescent="0.25">
      <c r="A3640" s="9">
        <v>44178</v>
      </c>
      <c r="B3640" s="10">
        <f ca="1">ROUND(_xlfn.NORM.INV(RAND(),Reference!$C$8,0.1*Reference!$C$8)*(1+Reference!$C$11*(IF(MONTH($A3640)=Reference!$C$4,1,0)+IF(MONTH($A3640)=Reference!$C$5,1,0))+(IF(MONTH($A3640)=Reference!$C$6,Reference!$C$13,0))),0)</f>
        <v>340</v>
      </c>
      <c r="C3640" s="11">
        <f ca="1">B3640*Reference!$C$7*(1-IF(MONTH($A3640)=Reference!$C$6,1,0)*Reference!$C$12)</f>
        <v>316200</v>
      </c>
      <c r="D3640" s="10">
        <f ca="1">ROUND(_xlfn.NORM.INV(RAND(),Reference!$D$8,0.1*Reference!$D$8)*(1+Reference!$D$11*(IF(MONTH($A3640)=Reference!$D$4,1,0)+IF(MONTH($A3640)=Reference!$D$5,1,0))+(IF(MONTH($A3640)=Reference!$D$6,Reference!$D$13,0))),0)</f>
        <v>512</v>
      </c>
      <c r="E3640" s="11">
        <f ca="1">D3640*Reference!$D$7*(1-IF(MONTH($A3640)=Reference!$D$6,1,0)*Reference!$D$12)</f>
        <v>384000</v>
      </c>
      <c r="M3640" s="20"/>
      <c r="N3640" s="20"/>
      <c r="O3640" s="19"/>
      <c r="P3640" s="10"/>
      <c r="Q3640" s="10"/>
      <c r="R3640" s="10"/>
      <c r="S3640" s="10"/>
      <c r="T3640" s="10"/>
      <c r="U3640" s="10"/>
      <c r="V3640" s="10"/>
      <c r="W3640" s="10"/>
      <c r="X3640" s="10"/>
      <c r="Y3640" s="10"/>
    </row>
    <row r="3641" spans="1:25" x14ac:dyDescent="0.25">
      <c r="A3641" s="9">
        <v>44179</v>
      </c>
      <c r="B3641" s="10">
        <f ca="1">ROUND(_xlfn.NORM.INV(RAND(),Reference!$C$8,0.1*Reference!$C$8)*(1+Reference!$C$11*(IF(MONTH($A3641)=Reference!$C$4,1,0)+IF(MONTH($A3641)=Reference!$C$5,1,0))+(IF(MONTH($A3641)=Reference!$C$6,Reference!$C$13,0))),0)</f>
        <v>350</v>
      </c>
      <c r="C3641" s="11">
        <f ca="1">B3641*Reference!$C$7*(1-IF(MONTH($A3641)=Reference!$C$6,1,0)*Reference!$C$12)</f>
        <v>325500</v>
      </c>
      <c r="D3641" s="10">
        <f ca="1">ROUND(_xlfn.NORM.INV(RAND(),Reference!$D$8,0.1*Reference!$D$8)*(1+Reference!$D$11*(IF(MONTH($A3641)=Reference!$D$4,1,0)+IF(MONTH($A3641)=Reference!$D$5,1,0))+(IF(MONTH($A3641)=Reference!$D$6,Reference!$D$13,0))),0)</f>
        <v>483</v>
      </c>
      <c r="E3641" s="11">
        <f ca="1">D3641*Reference!$D$7*(1-IF(MONTH($A3641)=Reference!$D$6,1,0)*Reference!$D$12)</f>
        <v>362250</v>
      </c>
      <c r="M3641" s="20"/>
      <c r="N3641" s="20"/>
      <c r="O3641" s="19"/>
      <c r="P3641" s="10"/>
      <c r="Q3641" s="10"/>
      <c r="R3641" s="10"/>
      <c r="S3641" s="10"/>
      <c r="T3641" s="10"/>
      <c r="U3641" s="10"/>
      <c r="V3641" s="10"/>
      <c r="W3641" s="10"/>
      <c r="X3641" s="10"/>
      <c r="Y3641" s="10"/>
    </row>
    <row r="3642" spans="1:25" x14ac:dyDescent="0.25">
      <c r="A3642" s="9">
        <v>44180</v>
      </c>
      <c r="B3642" s="10">
        <f ca="1">ROUND(_xlfn.NORM.INV(RAND(),Reference!$C$8,0.1*Reference!$C$8)*(1+Reference!$C$11*(IF(MONTH($A3642)=Reference!$C$4,1,0)+IF(MONTH($A3642)=Reference!$C$5,1,0))+(IF(MONTH($A3642)=Reference!$C$6,Reference!$C$13,0))),0)</f>
        <v>341</v>
      </c>
      <c r="C3642" s="11">
        <f ca="1">B3642*Reference!$C$7*(1-IF(MONTH($A3642)=Reference!$C$6,1,0)*Reference!$C$12)</f>
        <v>317130</v>
      </c>
      <c r="D3642" s="10">
        <f ca="1">ROUND(_xlfn.NORM.INV(RAND(),Reference!$D$8,0.1*Reference!$D$8)*(1+Reference!$D$11*(IF(MONTH($A3642)=Reference!$D$4,1,0)+IF(MONTH($A3642)=Reference!$D$5,1,0))+(IF(MONTH($A3642)=Reference!$D$6,Reference!$D$13,0))),0)</f>
        <v>351</v>
      </c>
      <c r="E3642" s="11">
        <f ca="1">D3642*Reference!$D$7*(1-IF(MONTH($A3642)=Reference!$D$6,1,0)*Reference!$D$12)</f>
        <v>263250</v>
      </c>
      <c r="M3642" s="20"/>
      <c r="N3642" s="20"/>
      <c r="O3642" s="19"/>
      <c r="P3642" s="10"/>
      <c r="Q3642" s="10"/>
      <c r="R3642" s="10"/>
      <c r="S3642" s="10"/>
      <c r="T3642" s="10"/>
      <c r="U3642" s="10"/>
      <c r="V3642" s="10"/>
      <c r="W3642" s="10"/>
      <c r="X3642" s="10"/>
      <c r="Y3642" s="10"/>
    </row>
    <row r="3643" spans="1:25" x14ac:dyDescent="0.25">
      <c r="A3643" s="9">
        <v>44181</v>
      </c>
      <c r="B3643" s="10">
        <f ca="1">ROUND(_xlfn.NORM.INV(RAND(),Reference!$C$8,0.1*Reference!$C$8)*(1+Reference!$C$11*(IF(MONTH($A3643)=Reference!$C$4,1,0)+IF(MONTH($A3643)=Reference!$C$5,1,0))+(IF(MONTH($A3643)=Reference!$C$6,Reference!$C$13,0))),0)</f>
        <v>435</v>
      </c>
      <c r="C3643" s="11">
        <f ca="1">B3643*Reference!$C$7*(1-IF(MONTH($A3643)=Reference!$C$6,1,0)*Reference!$C$12)</f>
        <v>404550</v>
      </c>
      <c r="D3643" s="10">
        <f ca="1">ROUND(_xlfn.NORM.INV(RAND(),Reference!$D$8,0.1*Reference!$D$8)*(1+Reference!$D$11*(IF(MONTH($A3643)=Reference!$D$4,1,0)+IF(MONTH($A3643)=Reference!$D$5,1,0))+(IF(MONTH($A3643)=Reference!$D$6,Reference!$D$13,0))),0)</f>
        <v>389</v>
      </c>
      <c r="E3643" s="11">
        <f ca="1">D3643*Reference!$D$7*(1-IF(MONTH($A3643)=Reference!$D$6,1,0)*Reference!$D$12)</f>
        <v>291750</v>
      </c>
      <c r="M3643" s="20"/>
      <c r="N3643" s="20"/>
      <c r="O3643" s="19"/>
      <c r="P3643" s="10"/>
      <c r="Q3643" s="10"/>
      <c r="R3643" s="10"/>
      <c r="S3643" s="10"/>
      <c r="T3643" s="10"/>
      <c r="U3643" s="10"/>
      <c r="V3643" s="10"/>
      <c r="W3643" s="10"/>
      <c r="X3643" s="10"/>
      <c r="Y3643" s="10"/>
    </row>
    <row r="3644" spans="1:25" x14ac:dyDescent="0.25">
      <c r="A3644" s="9">
        <v>44182</v>
      </c>
      <c r="B3644" s="10">
        <f ca="1">ROUND(_xlfn.NORM.INV(RAND(),Reference!$C$8,0.1*Reference!$C$8)*(1+Reference!$C$11*(IF(MONTH($A3644)=Reference!$C$4,1,0)+IF(MONTH($A3644)=Reference!$C$5,1,0))+(IF(MONTH($A3644)=Reference!$C$6,Reference!$C$13,0))),0)</f>
        <v>413</v>
      </c>
      <c r="C3644" s="11">
        <f ca="1">B3644*Reference!$C$7*(1-IF(MONTH($A3644)=Reference!$C$6,1,0)*Reference!$C$12)</f>
        <v>384090</v>
      </c>
      <c r="D3644" s="10">
        <f ca="1">ROUND(_xlfn.NORM.INV(RAND(),Reference!$D$8,0.1*Reference!$D$8)*(1+Reference!$D$11*(IF(MONTH($A3644)=Reference!$D$4,1,0)+IF(MONTH($A3644)=Reference!$D$5,1,0))+(IF(MONTH($A3644)=Reference!$D$6,Reference!$D$13,0))),0)</f>
        <v>411</v>
      </c>
      <c r="E3644" s="11">
        <f ca="1">D3644*Reference!$D$7*(1-IF(MONTH($A3644)=Reference!$D$6,1,0)*Reference!$D$12)</f>
        <v>308250</v>
      </c>
      <c r="M3644" s="20"/>
      <c r="N3644" s="20"/>
      <c r="O3644" s="19"/>
      <c r="P3644" s="10"/>
      <c r="Q3644" s="10"/>
      <c r="R3644" s="10"/>
      <c r="S3644" s="10"/>
      <c r="T3644" s="10"/>
      <c r="U3644" s="10"/>
      <c r="V3644" s="10"/>
      <c r="W3644" s="10"/>
      <c r="X3644" s="10"/>
      <c r="Y3644" s="10"/>
    </row>
    <row r="3645" spans="1:25" x14ac:dyDescent="0.25">
      <c r="A3645" s="9">
        <v>44183</v>
      </c>
      <c r="B3645" s="10">
        <f ca="1">ROUND(_xlfn.NORM.INV(RAND(),Reference!$C$8,0.1*Reference!$C$8)*(1+Reference!$C$11*(IF(MONTH($A3645)=Reference!$C$4,1,0)+IF(MONTH($A3645)=Reference!$C$5,1,0))+(IF(MONTH($A3645)=Reference!$C$6,Reference!$C$13,0))),0)</f>
        <v>380</v>
      </c>
      <c r="C3645" s="11">
        <f ca="1">B3645*Reference!$C$7*(1-IF(MONTH($A3645)=Reference!$C$6,1,0)*Reference!$C$12)</f>
        <v>353400</v>
      </c>
      <c r="D3645" s="10">
        <f ca="1">ROUND(_xlfn.NORM.INV(RAND(),Reference!$D$8,0.1*Reference!$D$8)*(1+Reference!$D$11*(IF(MONTH($A3645)=Reference!$D$4,1,0)+IF(MONTH($A3645)=Reference!$D$5,1,0))+(IF(MONTH($A3645)=Reference!$D$6,Reference!$D$13,0))),0)</f>
        <v>407</v>
      </c>
      <c r="E3645" s="11">
        <f ca="1">D3645*Reference!$D$7*(1-IF(MONTH($A3645)=Reference!$D$6,1,0)*Reference!$D$12)</f>
        <v>305250</v>
      </c>
      <c r="M3645" s="20"/>
      <c r="N3645" s="20"/>
      <c r="O3645" s="19"/>
      <c r="P3645" s="10"/>
      <c r="Q3645" s="10"/>
      <c r="R3645" s="10"/>
      <c r="S3645" s="10"/>
      <c r="T3645" s="10"/>
      <c r="U3645" s="10"/>
      <c r="V3645" s="10"/>
      <c r="W3645" s="10"/>
      <c r="X3645" s="10"/>
      <c r="Y3645" s="10"/>
    </row>
    <row r="3646" spans="1:25" x14ac:dyDescent="0.25">
      <c r="A3646" s="9">
        <v>44184</v>
      </c>
      <c r="B3646" s="10">
        <f ca="1">ROUND(_xlfn.NORM.INV(RAND(),Reference!$C$8,0.1*Reference!$C$8)*(1+Reference!$C$11*(IF(MONTH($A3646)=Reference!$C$4,1,0)+IF(MONTH($A3646)=Reference!$C$5,1,0))+(IF(MONTH($A3646)=Reference!$C$6,Reference!$C$13,0))),0)</f>
        <v>395</v>
      </c>
      <c r="C3646" s="11">
        <f ca="1">B3646*Reference!$C$7*(1-IF(MONTH($A3646)=Reference!$C$6,1,0)*Reference!$C$12)</f>
        <v>367350</v>
      </c>
      <c r="D3646" s="10">
        <f ca="1">ROUND(_xlfn.NORM.INV(RAND(),Reference!$D$8,0.1*Reference!$D$8)*(1+Reference!$D$11*(IF(MONTH($A3646)=Reference!$D$4,1,0)+IF(MONTH($A3646)=Reference!$D$5,1,0))+(IF(MONTH($A3646)=Reference!$D$6,Reference!$D$13,0))),0)</f>
        <v>370</v>
      </c>
      <c r="E3646" s="11">
        <f ca="1">D3646*Reference!$D$7*(1-IF(MONTH($A3646)=Reference!$D$6,1,0)*Reference!$D$12)</f>
        <v>277500</v>
      </c>
      <c r="M3646" s="20"/>
      <c r="N3646" s="20"/>
      <c r="O3646" s="19"/>
      <c r="P3646" s="10"/>
      <c r="Q3646" s="10"/>
      <c r="R3646" s="10"/>
      <c r="S3646" s="10"/>
      <c r="T3646" s="10"/>
      <c r="U3646" s="10"/>
      <c r="V3646" s="10"/>
      <c r="W3646" s="10"/>
      <c r="X3646" s="10"/>
      <c r="Y3646" s="10"/>
    </row>
    <row r="3647" spans="1:25" x14ac:dyDescent="0.25">
      <c r="A3647" s="9">
        <v>44185</v>
      </c>
      <c r="B3647" s="10">
        <f ca="1">ROUND(_xlfn.NORM.INV(RAND(),Reference!$C$8,0.1*Reference!$C$8)*(1+Reference!$C$11*(IF(MONTH($A3647)=Reference!$C$4,1,0)+IF(MONTH($A3647)=Reference!$C$5,1,0))+(IF(MONTH($A3647)=Reference!$C$6,Reference!$C$13,0))),0)</f>
        <v>378</v>
      </c>
      <c r="C3647" s="11">
        <f ca="1">B3647*Reference!$C$7*(1-IF(MONTH($A3647)=Reference!$C$6,1,0)*Reference!$C$12)</f>
        <v>351540</v>
      </c>
      <c r="D3647" s="10">
        <f ca="1">ROUND(_xlfn.NORM.INV(RAND(),Reference!$D$8,0.1*Reference!$D$8)*(1+Reference!$D$11*(IF(MONTH($A3647)=Reference!$D$4,1,0)+IF(MONTH($A3647)=Reference!$D$5,1,0))+(IF(MONTH($A3647)=Reference!$D$6,Reference!$D$13,0))),0)</f>
        <v>452</v>
      </c>
      <c r="E3647" s="11">
        <f ca="1">D3647*Reference!$D$7*(1-IF(MONTH($A3647)=Reference!$D$6,1,0)*Reference!$D$12)</f>
        <v>339000</v>
      </c>
      <c r="M3647" s="20"/>
      <c r="N3647" s="20"/>
      <c r="O3647" s="19"/>
      <c r="P3647" s="10"/>
      <c r="Q3647" s="10"/>
      <c r="R3647" s="10"/>
      <c r="S3647" s="10"/>
      <c r="T3647" s="10"/>
      <c r="U3647" s="10"/>
      <c r="V3647" s="10"/>
      <c r="W3647" s="10"/>
      <c r="X3647" s="10"/>
      <c r="Y3647" s="10"/>
    </row>
    <row r="3648" spans="1:25" x14ac:dyDescent="0.25">
      <c r="A3648" s="9">
        <v>44186</v>
      </c>
      <c r="B3648" s="10">
        <f ca="1">ROUND(_xlfn.NORM.INV(RAND(),Reference!$C$8,0.1*Reference!$C$8)*(1+Reference!$C$11*(IF(MONTH($A3648)=Reference!$C$4,1,0)+IF(MONTH($A3648)=Reference!$C$5,1,0))+(IF(MONTH($A3648)=Reference!$C$6,Reference!$C$13,0))),0)</f>
        <v>400</v>
      </c>
      <c r="C3648" s="11">
        <f ca="1">B3648*Reference!$C$7*(1-IF(MONTH($A3648)=Reference!$C$6,1,0)*Reference!$C$12)</f>
        <v>372000</v>
      </c>
      <c r="D3648" s="10">
        <f ca="1">ROUND(_xlfn.NORM.INV(RAND(),Reference!$D$8,0.1*Reference!$D$8)*(1+Reference!$D$11*(IF(MONTH($A3648)=Reference!$D$4,1,0)+IF(MONTH($A3648)=Reference!$D$5,1,0))+(IF(MONTH($A3648)=Reference!$D$6,Reference!$D$13,0))),0)</f>
        <v>351</v>
      </c>
      <c r="E3648" s="11">
        <f ca="1">D3648*Reference!$D$7*(1-IF(MONTH($A3648)=Reference!$D$6,1,0)*Reference!$D$12)</f>
        <v>263250</v>
      </c>
      <c r="M3648" s="20"/>
      <c r="N3648" s="20"/>
      <c r="O3648" s="19"/>
      <c r="P3648" s="10"/>
      <c r="Q3648" s="10"/>
      <c r="R3648" s="10"/>
      <c r="S3648" s="10"/>
      <c r="T3648" s="10"/>
      <c r="U3648" s="10"/>
      <c r="V3648" s="10"/>
      <c r="W3648" s="10"/>
      <c r="X3648" s="10"/>
      <c r="Y3648" s="10"/>
    </row>
    <row r="3649" spans="1:25" x14ac:dyDescent="0.25">
      <c r="A3649" s="9">
        <v>44187</v>
      </c>
      <c r="B3649" s="10">
        <f ca="1">ROUND(_xlfn.NORM.INV(RAND(),Reference!$C$8,0.1*Reference!$C$8)*(1+Reference!$C$11*(IF(MONTH($A3649)=Reference!$C$4,1,0)+IF(MONTH($A3649)=Reference!$C$5,1,0))+(IF(MONTH($A3649)=Reference!$C$6,Reference!$C$13,0))),0)</f>
        <v>309</v>
      </c>
      <c r="C3649" s="11">
        <f ca="1">B3649*Reference!$C$7*(1-IF(MONTH($A3649)=Reference!$C$6,1,0)*Reference!$C$12)</f>
        <v>287370</v>
      </c>
      <c r="D3649" s="10">
        <f ca="1">ROUND(_xlfn.NORM.INV(RAND(),Reference!$D$8,0.1*Reference!$D$8)*(1+Reference!$D$11*(IF(MONTH($A3649)=Reference!$D$4,1,0)+IF(MONTH($A3649)=Reference!$D$5,1,0))+(IF(MONTH($A3649)=Reference!$D$6,Reference!$D$13,0))),0)</f>
        <v>536</v>
      </c>
      <c r="E3649" s="11">
        <f ca="1">D3649*Reference!$D$7*(1-IF(MONTH($A3649)=Reference!$D$6,1,0)*Reference!$D$12)</f>
        <v>402000</v>
      </c>
      <c r="M3649" s="20"/>
      <c r="N3649" s="20"/>
      <c r="O3649" s="19"/>
      <c r="P3649" s="10"/>
      <c r="Q3649" s="10"/>
      <c r="R3649" s="10"/>
      <c r="S3649" s="10"/>
      <c r="T3649" s="10"/>
      <c r="U3649" s="10"/>
      <c r="V3649" s="10"/>
      <c r="W3649" s="10"/>
      <c r="X3649" s="10"/>
      <c r="Y3649" s="10"/>
    </row>
    <row r="3650" spans="1:25" x14ac:dyDescent="0.25">
      <c r="A3650" s="9">
        <v>44188</v>
      </c>
      <c r="B3650" s="10">
        <f ca="1">ROUND(_xlfn.NORM.INV(RAND(),Reference!$C$8,0.1*Reference!$C$8)*(1+Reference!$C$11*(IF(MONTH($A3650)=Reference!$C$4,1,0)+IF(MONTH($A3650)=Reference!$C$5,1,0))+(IF(MONTH($A3650)=Reference!$C$6,Reference!$C$13,0))),0)</f>
        <v>363</v>
      </c>
      <c r="C3650" s="11">
        <f ca="1">B3650*Reference!$C$7*(1-IF(MONTH($A3650)=Reference!$C$6,1,0)*Reference!$C$12)</f>
        <v>337590</v>
      </c>
      <c r="D3650" s="10">
        <f ca="1">ROUND(_xlfn.NORM.INV(RAND(),Reference!$D$8,0.1*Reference!$D$8)*(1+Reference!$D$11*(IF(MONTH($A3650)=Reference!$D$4,1,0)+IF(MONTH($A3650)=Reference!$D$5,1,0))+(IF(MONTH($A3650)=Reference!$D$6,Reference!$D$13,0))),0)</f>
        <v>447</v>
      </c>
      <c r="E3650" s="11">
        <f ca="1">D3650*Reference!$D$7*(1-IF(MONTH($A3650)=Reference!$D$6,1,0)*Reference!$D$12)</f>
        <v>335250</v>
      </c>
      <c r="M3650" s="20"/>
      <c r="N3650" s="20"/>
      <c r="O3650" s="19"/>
      <c r="P3650" s="10"/>
      <c r="Q3650" s="10"/>
      <c r="R3650" s="10"/>
      <c r="S3650" s="10"/>
      <c r="T3650" s="10"/>
      <c r="U3650" s="10"/>
      <c r="V3650" s="10"/>
      <c r="W3650" s="10"/>
      <c r="X3650" s="10"/>
      <c r="Y3650" s="10"/>
    </row>
    <row r="3651" spans="1:25" x14ac:dyDescent="0.25">
      <c r="A3651" s="9">
        <v>44189</v>
      </c>
      <c r="B3651" s="10">
        <f ca="1">ROUND(_xlfn.NORM.INV(RAND(),Reference!$C$8,0.1*Reference!$C$8)*(1+Reference!$C$11*(IF(MONTH($A3651)=Reference!$C$4,1,0)+IF(MONTH($A3651)=Reference!$C$5,1,0))+(IF(MONTH($A3651)=Reference!$C$6,Reference!$C$13,0))),0)</f>
        <v>355</v>
      </c>
      <c r="C3651" s="11">
        <f ca="1">B3651*Reference!$C$7*(1-IF(MONTH($A3651)=Reference!$C$6,1,0)*Reference!$C$12)</f>
        <v>330150</v>
      </c>
      <c r="D3651" s="10">
        <f ca="1">ROUND(_xlfn.NORM.INV(RAND(),Reference!$D$8,0.1*Reference!$D$8)*(1+Reference!$D$11*(IF(MONTH($A3651)=Reference!$D$4,1,0)+IF(MONTH($A3651)=Reference!$D$5,1,0))+(IF(MONTH($A3651)=Reference!$D$6,Reference!$D$13,0))),0)</f>
        <v>420</v>
      </c>
      <c r="E3651" s="11">
        <f ca="1">D3651*Reference!$D$7*(1-IF(MONTH($A3651)=Reference!$D$6,1,0)*Reference!$D$12)</f>
        <v>315000</v>
      </c>
      <c r="M3651" s="20"/>
      <c r="N3651" s="20"/>
      <c r="O3651" s="19"/>
      <c r="P3651" s="10"/>
      <c r="Q3651" s="10"/>
      <c r="R3651" s="10"/>
      <c r="S3651" s="10"/>
      <c r="T3651" s="10"/>
      <c r="U3651" s="10"/>
      <c r="V3651" s="10"/>
      <c r="W3651" s="10"/>
      <c r="X3651" s="10"/>
      <c r="Y3651" s="10"/>
    </row>
    <row r="3652" spans="1:25" x14ac:dyDescent="0.25">
      <c r="A3652" s="9">
        <v>44190</v>
      </c>
      <c r="B3652" s="10">
        <f ca="1">ROUND(_xlfn.NORM.INV(RAND(),Reference!$C$8,0.1*Reference!$C$8)*(1+Reference!$C$11*(IF(MONTH($A3652)=Reference!$C$4,1,0)+IF(MONTH($A3652)=Reference!$C$5,1,0))+(IF(MONTH($A3652)=Reference!$C$6,Reference!$C$13,0))),0)</f>
        <v>400</v>
      </c>
      <c r="C3652" s="11">
        <f ca="1">B3652*Reference!$C$7*(1-IF(MONTH($A3652)=Reference!$C$6,1,0)*Reference!$C$12)</f>
        <v>372000</v>
      </c>
      <c r="D3652" s="10">
        <f ca="1">ROUND(_xlfn.NORM.INV(RAND(),Reference!$D$8,0.1*Reference!$D$8)*(1+Reference!$D$11*(IF(MONTH($A3652)=Reference!$D$4,1,0)+IF(MONTH($A3652)=Reference!$D$5,1,0))+(IF(MONTH($A3652)=Reference!$D$6,Reference!$D$13,0))),0)</f>
        <v>444</v>
      </c>
      <c r="E3652" s="11">
        <f ca="1">D3652*Reference!$D$7*(1-IF(MONTH($A3652)=Reference!$D$6,1,0)*Reference!$D$12)</f>
        <v>333000</v>
      </c>
      <c r="M3652" s="20"/>
      <c r="N3652" s="20"/>
      <c r="O3652" s="19"/>
      <c r="P3652" s="10"/>
      <c r="Q3652" s="10"/>
      <c r="R3652" s="10"/>
      <c r="S3652" s="10"/>
      <c r="T3652" s="10"/>
      <c r="U3652" s="10"/>
      <c r="V3652" s="10"/>
      <c r="W3652" s="10"/>
      <c r="X3652" s="10"/>
      <c r="Y3652" s="10"/>
    </row>
    <row r="3653" spans="1:25" x14ac:dyDescent="0.25">
      <c r="A3653" s="9">
        <v>44191</v>
      </c>
      <c r="B3653" s="10">
        <f ca="1">ROUND(_xlfn.NORM.INV(RAND(),Reference!$C$8,0.1*Reference!$C$8)*(1+Reference!$C$11*(IF(MONTH($A3653)=Reference!$C$4,1,0)+IF(MONTH($A3653)=Reference!$C$5,1,0))+(IF(MONTH($A3653)=Reference!$C$6,Reference!$C$13,0))),0)</f>
        <v>361</v>
      </c>
      <c r="C3653" s="11">
        <f ca="1">B3653*Reference!$C$7*(1-IF(MONTH($A3653)=Reference!$C$6,1,0)*Reference!$C$12)</f>
        <v>335730</v>
      </c>
      <c r="D3653" s="10">
        <f ca="1">ROUND(_xlfn.NORM.INV(RAND(),Reference!$D$8,0.1*Reference!$D$8)*(1+Reference!$D$11*(IF(MONTH($A3653)=Reference!$D$4,1,0)+IF(MONTH($A3653)=Reference!$D$5,1,0))+(IF(MONTH($A3653)=Reference!$D$6,Reference!$D$13,0))),0)</f>
        <v>396</v>
      </c>
      <c r="E3653" s="11">
        <f ca="1">D3653*Reference!$D$7*(1-IF(MONTH($A3653)=Reference!$D$6,1,0)*Reference!$D$12)</f>
        <v>297000</v>
      </c>
      <c r="M3653" s="20"/>
      <c r="N3653" s="20"/>
      <c r="O3653" s="19"/>
      <c r="P3653" s="10"/>
      <c r="Q3653" s="10"/>
      <c r="R3653" s="10"/>
      <c r="S3653" s="10"/>
      <c r="T3653" s="10"/>
      <c r="U3653" s="10"/>
      <c r="V3653" s="10"/>
      <c r="W3653" s="10"/>
      <c r="X3653" s="10"/>
      <c r="Y3653" s="10"/>
    </row>
    <row r="3654" spans="1:25" x14ac:dyDescent="0.25">
      <c r="A3654" s="9">
        <v>44192</v>
      </c>
      <c r="B3654" s="10">
        <f ca="1">ROUND(_xlfn.NORM.INV(RAND(),Reference!$C$8,0.1*Reference!$C$8)*(1+Reference!$C$11*(IF(MONTH($A3654)=Reference!$C$4,1,0)+IF(MONTH($A3654)=Reference!$C$5,1,0))+(IF(MONTH($A3654)=Reference!$C$6,Reference!$C$13,0))),0)</f>
        <v>356</v>
      </c>
      <c r="C3654" s="11">
        <f ca="1">B3654*Reference!$C$7*(1-IF(MONTH($A3654)=Reference!$C$6,1,0)*Reference!$C$12)</f>
        <v>331080</v>
      </c>
      <c r="D3654" s="10">
        <f ca="1">ROUND(_xlfn.NORM.INV(RAND(),Reference!$D$8,0.1*Reference!$D$8)*(1+Reference!$D$11*(IF(MONTH($A3654)=Reference!$D$4,1,0)+IF(MONTH($A3654)=Reference!$D$5,1,0))+(IF(MONTH($A3654)=Reference!$D$6,Reference!$D$13,0))),0)</f>
        <v>438</v>
      </c>
      <c r="E3654" s="11">
        <f ca="1">D3654*Reference!$D$7*(1-IF(MONTH($A3654)=Reference!$D$6,1,0)*Reference!$D$12)</f>
        <v>328500</v>
      </c>
      <c r="M3654" s="20"/>
      <c r="N3654" s="20"/>
      <c r="O3654" s="19"/>
      <c r="P3654" s="10"/>
      <c r="Q3654" s="10"/>
      <c r="R3654" s="10"/>
      <c r="S3654" s="10"/>
      <c r="T3654" s="10"/>
      <c r="U3654" s="10"/>
      <c r="V3654" s="10"/>
      <c r="W3654" s="10"/>
      <c r="X3654" s="10"/>
      <c r="Y3654" s="10"/>
    </row>
    <row r="3655" spans="1:25" x14ac:dyDescent="0.25">
      <c r="A3655" s="9">
        <v>44193</v>
      </c>
      <c r="B3655" s="10">
        <f ca="1">ROUND(_xlfn.NORM.INV(RAND(),Reference!$C$8,0.1*Reference!$C$8)*(1+Reference!$C$11*(IF(MONTH($A3655)=Reference!$C$4,1,0)+IF(MONTH($A3655)=Reference!$C$5,1,0))+(IF(MONTH($A3655)=Reference!$C$6,Reference!$C$13,0))),0)</f>
        <v>376</v>
      </c>
      <c r="C3655" s="11">
        <f ca="1">B3655*Reference!$C$7*(1-IF(MONTH($A3655)=Reference!$C$6,1,0)*Reference!$C$12)</f>
        <v>349680</v>
      </c>
      <c r="D3655" s="10">
        <f ca="1">ROUND(_xlfn.NORM.INV(RAND(),Reference!$D$8,0.1*Reference!$D$8)*(1+Reference!$D$11*(IF(MONTH($A3655)=Reference!$D$4,1,0)+IF(MONTH($A3655)=Reference!$D$5,1,0))+(IF(MONTH($A3655)=Reference!$D$6,Reference!$D$13,0))),0)</f>
        <v>490</v>
      </c>
      <c r="E3655" s="11">
        <f ca="1">D3655*Reference!$D$7*(1-IF(MONTH($A3655)=Reference!$D$6,1,0)*Reference!$D$12)</f>
        <v>367500</v>
      </c>
      <c r="M3655" s="20"/>
      <c r="N3655" s="20"/>
      <c r="O3655" s="19"/>
      <c r="P3655" s="10"/>
      <c r="Q3655" s="10"/>
      <c r="R3655" s="10"/>
      <c r="S3655" s="10"/>
      <c r="T3655" s="10"/>
      <c r="U3655" s="10"/>
      <c r="V3655" s="10"/>
      <c r="W3655" s="10"/>
      <c r="X3655" s="10"/>
      <c r="Y3655" s="10"/>
    </row>
    <row r="3656" spans="1:25" x14ac:dyDescent="0.25">
      <c r="A3656" s="9">
        <v>44194</v>
      </c>
      <c r="B3656" s="10">
        <f ca="1">ROUND(_xlfn.NORM.INV(RAND(),Reference!$C$8,0.1*Reference!$C$8)*(1+Reference!$C$11*(IF(MONTH($A3656)=Reference!$C$4,1,0)+IF(MONTH($A3656)=Reference!$C$5,1,0))+(IF(MONTH($A3656)=Reference!$C$6,Reference!$C$13,0))),0)</f>
        <v>329</v>
      </c>
      <c r="C3656" s="11">
        <f ca="1">B3656*Reference!$C$7*(1-IF(MONTH($A3656)=Reference!$C$6,1,0)*Reference!$C$12)</f>
        <v>305970</v>
      </c>
      <c r="D3656" s="10">
        <f ca="1">ROUND(_xlfn.NORM.INV(RAND(),Reference!$D$8,0.1*Reference!$D$8)*(1+Reference!$D$11*(IF(MONTH($A3656)=Reference!$D$4,1,0)+IF(MONTH($A3656)=Reference!$D$5,1,0))+(IF(MONTH($A3656)=Reference!$D$6,Reference!$D$13,0))),0)</f>
        <v>517</v>
      </c>
      <c r="E3656" s="11">
        <f ca="1">D3656*Reference!$D$7*(1-IF(MONTH($A3656)=Reference!$D$6,1,0)*Reference!$D$12)</f>
        <v>387750</v>
      </c>
      <c r="M3656" s="20"/>
      <c r="N3656" s="20"/>
      <c r="O3656" s="19"/>
      <c r="P3656" s="10"/>
      <c r="Q3656" s="10"/>
      <c r="R3656" s="10"/>
      <c r="S3656" s="10"/>
      <c r="T3656" s="10"/>
      <c r="U3656" s="10"/>
      <c r="V3656" s="10"/>
      <c r="W3656" s="10"/>
      <c r="X3656" s="10"/>
      <c r="Y3656" s="10"/>
    </row>
    <row r="3657" spans="1:25" x14ac:dyDescent="0.25">
      <c r="A3657" s="9">
        <v>44195</v>
      </c>
      <c r="B3657" s="10">
        <f ca="1">ROUND(_xlfn.NORM.INV(RAND(),Reference!$C$8,0.1*Reference!$C$8)*(1+Reference!$C$11*(IF(MONTH($A3657)=Reference!$C$4,1,0)+IF(MONTH($A3657)=Reference!$C$5,1,0))+(IF(MONTH($A3657)=Reference!$C$6,Reference!$C$13,0))),0)</f>
        <v>426</v>
      </c>
      <c r="C3657" s="11">
        <f ca="1">B3657*Reference!$C$7*(1-IF(MONTH($A3657)=Reference!$C$6,1,0)*Reference!$C$12)</f>
        <v>396180</v>
      </c>
      <c r="D3657" s="10">
        <f ca="1">ROUND(_xlfn.NORM.INV(RAND(),Reference!$D$8,0.1*Reference!$D$8)*(1+Reference!$D$11*(IF(MONTH($A3657)=Reference!$D$4,1,0)+IF(MONTH($A3657)=Reference!$D$5,1,0))+(IF(MONTH($A3657)=Reference!$D$6,Reference!$D$13,0))),0)</f>
        <v>426</v>
      </c>
      <c r="E3657" s="11">
        <f ca="1">D3657*Reference!$D$7*(1-IF(MONTH($A3657)=Reference!$D$6,1,0)*Reference!$D$12)</f>
        <v>319500</v>
      </c>
      <c r="M3657" s="20"/>
      <c r="N3657" s="20"/>
      <c r="O3657" s="19"/>
      <c r="P3657" s="10"/>
      <c r="Q3657" s="10"/>
      <c r="R3657" s="10"/>
      <c r="S3657" s="10"/>
      <c r="T3657" s="10"/>
      <c r="U3657" s="10"/>
      <c r="V3657" s="10"/>
      <c r="W3657" s="10"/>
      <c r="X3657" s="10"/>
      <c r="Y3657" s="10"/>
    </row>
    <row r="3658" spans="1:25" x14ac:dyDescent="0.25">
      <c r="A3658" s="9">
        <v>44196</v>
      </c>
      <c r="B3658" s="10">
        <f ca="1">ROUND(_xlfn.NORM.INV(RAND(),Reference!$C$8,0.1*Reference!$C$8)*(1+Reference!$C$11*(IF(MONTH($A3658)=Reference!$C$4,1,0)+IF(MONTH($A3658)=Reference!$C$5,1,0))+(IF(MONTH($A3658)=Reference!$C$6,Reference!$C$13,0))),0)</f>
        <v>306</v>
      </c>
      <c r="C3658" s="11">
        <f ca="1">B3658*Reference!$C$7*(1-IF(MONTH($A3658)=Reference!$C$6,1,0)*Reference!$C$12)</f>
        <v>284580</v>
      </c>
      <c r="D3658" s="10">
        <f ca="1">ROUND(_xlfn.NORM.INV(RAND(),Reference!$D$8,0.1*Reference!$D$8)*(1+Reference!$D$11*(IF(MONTH($A3658)=Reference!$D$4,1,0)+IF(MONTH($A3658)=Reference!$D$5,1,0))+(IF(MONTH($A3658)=Reference!$D$6,Reference!$D$13,0))),0)</f>
        <v>536</v>
      </c>
      <c r="E3658" s="11">
        <f ca="1">D3658*Reference!$D$7*(1-IF(MONTH($A3658)=Reference!$D$6,1,0)*Reference!$D$12)</f>
        <v>402000</v>
      </c>
      <c r="M3658" s="20"/>
      <c r="N3658" s="20"/>
      <c r="O3658" s="19"/>
      <c r="P3658" s="10"/>
      <c r="Q3658" s="10"/>
      <c r="R3658" s="10"/>
      <c r="S3658" s="10"/>
      <c r="T3658" s="10"/>
      <c r="U3658" s="10"/>
      <c r="V3658" s="10"/>
      <c r="W3658" s="10"/>
      <c r="X3658" s="10"/>
      <c r="Y3658" s="10"/>
    </row>
  </sheetData>
  <mergeCells count="7">
    <mergeCell ref="A2:E2"/>
    <mergeCell ref="J4:K4"/>
    <mergeCell ref="A4:A5"/>
    <mergeCell ref="B4:C4"/>
    <mergeCell ref="D4:E4"/>
    <mergeCell ref="F4:G4"/>
    <mergeCell ref="H4:I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O125"/>
  <sheetViews>
    <sheetView workbookViewId="0">
      <selection activeCell="A12" sqref="A12"/>
    </sheetView>
  </sheetViews>
  <sheetFormatPr defaultRowHeight="15" x14ac:dyDescent="0.25"/>
  <cols>
    <col min="1" max="1" width="15.5703125" style="8" bestFit="1" customWidth="1"/>
    <col min="2" max="3" width="12.7109375" style="8" bestFit="1" customWidth="1"/>
    <col min="4" max="11" width="12" style="8" bestFit="1" customWidth="1"/>
    <col min="12" max="16384" width="9.140625" style="8"/>
  </cols>
  <sheetData>
    <row r="2" spans="1:15" ht="18.75" x14ac:dyDescent="0.3">
      <c r="A2" s="27" t="s">
        <v>21</v>
      </c>
      <c r="B2" s="27"/>
      <c r="C2" s="27"/>
      <c r="D2" s="27"/>
      <c r="E2" s="27"/>
      <c r="F2" s="21"/>
      <c r="G2" s="21"/>
      <c r="H2" s="21"/>
      <c r="I2" s="21"/>
      <c r="J2" s="21"/>
      <c r="K2" s="21"/>
    </row>
    <row r="3" spans="1:15" ht="6.95" customHeight="1" x14ac:dyDescent="0.25"/>
    <row r="4" spans="1:15" x14ac:dyDescent="0.25">
      <c r="A4" s="17" t="s">
        <v>0</v>
      </c>
      <c r="B4" s="28" t="str">
        <f>Reference!$C$3</f>
        <v>A</v>
      </c>
      <c r="C4" s="28"/>
      <c r="D4" s="28" t="str">
        <f>Reference!$D$3</f>
        <v>B</v>
      </c>
      <c r="E4" s="28"/>
      <c r="F4" s="28"/>
      <c r="G4" s="28"/>
      <c r="H4" s="28"/>
      <c r="I4" s="28"/>
      <c r="J4" s="28"/>
      <c r="K4" s="28"/>
    </row>
    <row r="5" spans="1:15" x14ac:dyDescent="0.25">
      <c r="A5" s="17" t="s">
        <v>14</v>
      </c>
      <c r="B5" s="18" t="s">
        <v>4</v>
      </c>
      <c r="C5" s="18" t="s">
        <v>5</v>
      </c>
      <c r="D5" s="18" t="s">
        <v>4</v>
      </c>
      <c r="E5" s="18" t="s">
        <v>5</v>
      </c>
      <c r="F5" s="18"/>
      <c r="G5" s="18"/>
      <c r="H5" s="18"/>
      <c r="I5" s="18"/>
      <c r="J5" s="18"/>
      <c r="K5" s="18"/>
    </row>
    <row r="6" spans="1:15" x14ac:dyDescent="0.25">
      <c r="A6" s="19" t="s">
        <v>37</v>
      </c>
    </row>
    <row r="7" spans="1:15" x14ac:dyDescent="0.25">
      <c r="A7" s="19" t="s">
        <v>38</v>
      </c>
      <c r="B7" s="8">
        <f ca="1">ROUND((_xlfn.NORM.INV(RAND(),Reference!$C$9,0.005))*(SUMIFS(Sales!$B$6:$B$3658,Sales!$A$6:$A$3658,"&gt;="&amp;VALUE($A6),Sales!$A$6:$A$3658,"&lt;"&amp;VALUE($A7)))*(IF(MONTH(VALUE($A6))=Reference!$C$6,0,1)),0)</f>
        <v>525</v>
      </c>
      <c r="D7" s="8">
        <f ca="1">ROUND((_xlfn.NORM.INV(RAND(),Reference!$D$9,0.005))*(SUMIFS(Sales!$D$6:$D$3658,Sales!$A$6:$A$3658,"&gt;="&amp;VALUE($A6),Sales!$A$6:$A$3658,"&lt;"&amp;VALUE($A7)))*(IF(MONTH(VALUE($A6))=Reference!$D$6,0,1)),0)</f>
        <v>1175</v>
      </c>
      <c r="O7" s="20"/>
    </row>
    <row r="8" spans="1:15" x14ac:dyDescent="0.25">
      <c r="A8" s="19" t="s">
        <v>39</v>
      </c>
      <c r="B8" s="8">
        <f ca="1">ROUND((_xlfn.NORM.INV(RAND(),Reference!$C$9,0.005))*(SUMIFS(Sales!$B$6:$B$3658,Sales!$A$6:$A$3658,"&gt;="&amp;VALUE($A7),Sales!$A$6:$A$3658,"&lt;"&amp;VALUE($A8)))*(IF(MONTH(VALUE($A7))=Reference!$C$6,0,1)),0)</f>
        <v>540</v>
      </c>
      <c r="C8" s="8">
        <f ca="1">MAX(0,ROUND((_xlfn.NORM.INV(RAND(),Reference!$C$10,0.005))*SUMIFS(Sales!$B$6:$B$3658,Sales!$A$6:$A$3658,"&gt;="&amp;VALUE($A6),Sales!$A$6:$A$3658,"&lt;"&amp;VALUE($A7)),0))</f>
        <v>725</v>
      </c>
      <c r="D8" s="8">
        <f ca="1">ROUND((_xlfn.NORM.INV(RAND(),Reference!$D$9,0.005))*(SUMIFS(Sales!$D$6:$D$3658,Sales!$A$6:$A$3658,"&gt;="&amp;VALUE($A7),Sales!$A$6:$A$3658,"&lt;"&amp;VALUE($A8)))*(IF(MONTH(VALUE($A7))=Reference!$D$6,0,1)),0)</f>
        <v>1068</v>
      </c>
      <c r="E8" s="8">
        <f ca="1">MAX(0,ROUND((_xlfn.NORM.INV(RAND(),Reference!$D$10,0.005))*SUMIFS(Sales!$D$6:$D$3658,Sales!$A$6:$A$3658,"&gt;="&amp;VALUE($A6),Sales!$A$6:$A$3658,"&lt;"&amp;VALUE($A7)),0))</f>
        <v>645</v>
      </c>
      <c r="O8" s="20"/>
    </row>
    <row r="9" spans="1:15" x14ac:dyDescent="0.25">
      <c r="A9" s="19" t="s">
        <v>40</v>
      </c>
      <c r="B9" s="8">
        <f ca="1">ROUND((_xlfn.NORM.INV(RAND(),Reference!$C$9,0.005))*(SUMIFS(Sales!$B$6:$B$3658,Sales!$A$6:$A$3658,"&gt;="&amp;VALUE($A8),Sales!$A$6:$A$3658,"&lt;"&amp;VALUE($A9)))*(IF(MONTH(VALUE($A8))=Reference!$C$6,0,1)),0)</f>
        <v>569</v>
      </c>
      <c r="C9" s="8">
        <f ca="1">MAX(0,ROUND((_xlfn.NORM.INV(RAND(),Reference!$C$10,0.005))*SUMIFS(Sales!$B$6:$B$3658,Sales!$A$6:$A$3658,"&gt;="&amp;VALUE($A7),Sales!$A$6:$A$3658,"&lt;"&amp;VALUE($A8)),0))</f>
        <v>680</v>
      </c>
      <c r="D9" s="8">
        <f ca="1">ROUND((_xlfn.NORM.INV(RAND(),Reference!$D$9,0.005))*(SUMIFS(Sales!$D$6:$D$3658,Sales!$A$6:$A$3658,"&gt;="&amp;VALUE($A8),Sales!$A$6:$A$3658,"&lt;"&amp;VALUE($A9)))*(IF(MONTH(VALUE($A8))=Reference!$D$6,0,1)),0)</f>
        <v>1114</v>
      </c>
      <c r="E9" s="8">
        <f ca="1">MAX(0,ROUND((_xlfn.NORM.INV(RAND(),Reference!$D$10,0.005))*SUMIFS(Sales!$D$6:$D$3658,Sales!$A$6:$A$3658,"&gt;="&amp;VALUE($A7),Sales!$A$6:$A$3658,"&lt;"&amp;VALUE($A8)),0))</f>
        <v>548</v>
      </c>
    </row>
    <row r="10" spans="1:15" x14ac:dyDescent="0.25">
      <c r="A10" s="19" t="s">
        <v>41</v>
      </c>
      <c r="B10" s="8">
        <f ca="1">ROUND((_xlfn.NORM.INV(RAND(),Reference!$C$9,0.005))*(SUMIFS(Sales!$B$6:$B$3658,Sales!$A$6:$A$3658,"&gt;="&amp;VALUE($A9),Sales!$A$6:$A$3658,"&lt;"&amp;VALUE($A10)))*(IF(MONTH(VALUE($A9))=Reference!$C$6,0,1)),0)</f>
        <v>826</v>
      </c>
      <c r="C10" s="8">
        <f ca="1">MAX(0,ROUND((_xlfn.NORM.INV(RAND(),Reference!$C$10,0.005))*SUMIFS(Sales!$B$6:$B$3658,Sales!$A$6:$A$3658,"&gt;="&amp;VALUE($A8),Sales!$A$6:$A$3658,"&lt;"&amp;VALUE($A9)),0))</f>
        <v>750</v>
      </c>
      <c r="D10" s="8">
        <f ca="1">ROUND((_xlfn.NORM.INV(RAND(),Reference!$D$9,0.005))*(SUMIFS(Sales!$D$6:$D$3658,Sales!$A$6:$A$3658,"&gt;="&amp;VALUE($A9),Sales!$A$6:$A$3658,"&lt;"&amp;VALUE($A10)))*(IF(MONTH(VALUE($A9))=Reference!$D$6,0,1)),0)</f>
        <v>1168</v>
      </c>
      <c r="E10" s="8">
        <f ca="1">MAX(0,ROUND((_xlfn.NORM.INV(RAND(),Reference!$D$10,0.005))*SUMIFS(Sales!$D$6:$D$3658,Sales!$A$6:$A$3658,"&gt;="&amp;VALUE($A8),Sales!$A$6:$A$3658,"&lt;"&amp;VALUE($A9)),0))</f>
        <v>688</v>
      </c>
    </row>
    <row r="11" spans="1:15" x14ac:dyDescent="0.25">
      <c r="A11" s="19" t="s">
        <v>42</v>
      </c>
      <c r="B11" s="8">
        <f ca="1">ROUND((_xlfn.NORM.INV(RAND(),Reference!$C$9,0.005))*(SUMIFS(Sales!$B$6:$B$3658,Sales!$A$6:$A$3658,"&gt;="&amp;VALUE($A10),Sales!$A$6:$A$3658,"&lt;"&amp;VALUE($A11)))*(IF(MONTH(VALUE($A10))=Reference!$C$6,0,1)),0)</f>
        <v>960</v>
      </c>
      <c r="C11" s="8">
        <f ca="1">MAX(0,ROUND((_xlfn.NORM.INV(RAND(),Reference!$C$10,0.005))*SUMIFS(Sales!$B$6:$B$3658,Sales!$A$6:$A$3658,"&gt;="&amp;VALUE($A9),Sales!$A$6:$A$3658,"&lt;"&amp;VALUE($A10)),0))</f>
        <v>964</v>
      </c>
      <c r="D11" s="8">
        <f ca="1">ROUND((_xlfn.NORM.INV(RAND(),Reference!$D$9,0.005))*(SUMIFS(Sales!$D$6:$D$3658,Sales!$A$6:$A$3658,"&gt;="&amp;VALUE($A10),Sales!$A$6:$A$3658,"&lt;"&amp;VALUE($A11)))*(IF(MONTH(VALUE($A10))=Reference!$D$6,0,1)),0)</f>
        <v>1077</v>
      </c>
      <c r="E11" s="8">
        <f ca="1">MAX(0,ROUND((_xlfn.NORM.INV(RAND(),Reference!$D$10,0.005))*SUMIFS(Sales!$D$6:$D$3658,Sales!$A$6:$A$3658,"&gt;="&amp;VALUE($A9),Sales!$A$6:$A$3658,"&lt;"&amp;VALUE($A10)),0))</f>
        <v>741</v>
      </c>
    </row>
    <row r="12" spans="1:15" x14ac:dyDescent="0.25">
      <c r="A12" s="19" t="s">
        <v>43</v>
      </c>
      <c r="B12" s="8">
        <f ca="1">ROUND((_xlfn.NORM.INV(RAND(),Reference!$C$9,0.005))*(SUMIFS(Sales!$B$6:$B$3658,Sales!$A$6:$A$3658,"&gt;="&amp;VALUE($A11),Sales!$A$6:$A$3658,"&lt;"&amp;VALUE($A12)))*(IF(MONTH(VALUE($A11))=Reference!$C$6,0,1)),0)</f>
        <v>0</v>
      </c>
      <c r="C12" s="8">
        <f ca="1">MAX(0,ROUND((_xlfn.NORM.INV(RAND(),Reference!$C$10,0.005))*SUMIFS(Sales!$B$6:$B$3658,Sales!$A$6:$A$3658,"&gt;="&amp;VALUE($A10),Sales!$A$6:$A$3658,"&lt;"&amp;VALUE($A11)),0))</f>
        <v>987</v>
      </c>
      <c r="D12" s="8">
        <f ca="1">ROUND((_xlfn.NORM.INV(RAND(),Reference!$D$9,0.005))*(SUMIFS(Sales!$D$6:$D$3658,Sales!$A$6:$A$3658,"&gt;="&amp;VALUE($A11),Sales!$A$6:$A$3658,"&lt;"&amp;VALUE($A12)))*(IF(MONTH(VALUE($A11))=Reference!$D$6,0,1)),0)</f>
        <v>1165</v>
      </c>
      <c r="E12" s="8">
        <f ca="1">MAX(0,ROUND((_xlfn.NORM.INV(RAND(),Reference!$D$10,0.005))*SUMIFS(Sales!$D$6:$D$3658,Sales!$A$6:$A$3658,"&gt;="&amp;VALUE($A10),Sales!$A$6:$A$3658,"&lt;"&amp;VALUE($A11)),0))</f>
        <v>887</v>
      </c>
    </row>
    <row r="13" spans="1:15" x14ac:dyDescent="0.25">
      <c r="A13" s="19" t="s">
        <v>44</v>
      </c>
      <c r="B13" s="8">
        <f ca="1">ROUND((_xlfn.NORM.INV(RAND(),Reference!$C$9,0.005))*(SUMIFS(Sales!$B$6:$B$3658,Sales!$A$6:$A$3658,"&gt;="&amp;VALUE($A12),Sales!$A$6:$A$3658,"&lt;"&amp;VALUE($A13)))*(IF(MONTH(VALUE($A12))=Reference!$C$6,0,1)),0)</f>
        <v>567</v>
      </c>
      <c r="C13" s="8">
        <f ca="1">MAX(0,ROUND((_xlfn.NORM.INV(RAND(),Reference!$C$10,0.005))*SUMIFS(Sales!$B$6:$B$3658,Sales!$A$6:$A$3658,"&gt;="&amp;VALUE($A11),Sales!$A$6:$A$3658,"&lt;"&amp;VALUE($A12)),0))</f>
        <v>867</v>
      </c>
      <c r="D13" s="8">
        <f ca="1">ROUND((_xlfn.NORM.INV(RAND(),Reference!$D$9,0.005))*(SUMIFS(Sales!$D$6:$D$3658,Sales!$A$6:$A$3658,"&gt;="&amp;VALUE($A12),Sales!$A$6:$A$3658,"&lt;"&amp;VALUE($A13)))*(IF(MONTH(VALUE($A12))=Reference!$D$6,0,1)),0)</f>
        <v>1282</v>
      </c>
      <c r="E13" s="8">
        <f ca="1">MAX(0,ROUND((_xlfn.NORM.INV(RAND(),Reference!$D$10,0.005))*SUMIFS(Sales!$D$6:$D$3658,Sales!$A$6:$A$3658,"&gt;="&amp;VALUE($A11),Sales!$A$6:$A$3658,"&lt;"&amp;VALUE($A12)),0))</f>
        <v>670</v>
      </c>
    </row>
    <row r="14" spans="1:15" x14ac:dyDescent="0.25">
      <c r="A14" s="19" t="s">
        <v>45</v>
      </c>
      <c r="B14" s="8">
        <f ca="1">ROUND((_xlfn.NORM.INV(RAND(),Reference!$C$9,0.005))*(SUMIFS(Sales!$B$6:$B$3658,Sales!$A$6:$A$3658,"&gt;="&amp;VALUE($A13),Sales!$A$6:$A$3658,"&lt;"&amp;VALUE($A14)))*(IF(MONTH(VALUE($A13))=Reference!$C$6,0,1)),0)</f>
        <v>625</v>
      </c>
      <c r="C14" s="8">
        <f ca="1">MAX(0,ROUND((_xlfn.NORM.INV(RAND(),Reference!$C$10,0.005))*SUMIFS(Sales!$B$6:$B$3658,Sales!$A$6:$A$3658,"&gt;="&amp;VALUE($A12),Sales!$A$6:$A$3658,"&lt;"&amp;VALUE($A13)),0))</f>
        <v>644</v>
      </c>
      <c r="D14" s="8">
        <f ca="1">ROUND((_xlfn.NORM.INV(RAND(),Reference!$D$9,0.005))*(SUMIFS(Sales!$D$6:$D$3658,Sales!$A$6:$A$3658,"&gt;="&amp;VALUE($A13),Sales!$A$6:$A$3658,"&lt;"&amp;VALUE($A14)))*(IF(MONTH(VALUE($A13))=Reference!$D$6,0,1)),0)</f>
        <v>1309</v>
      </c>
      <c r="E14" s="8">
        <f ca="1">MAX(0,ROUND((_xlfn.NORM.INV(RAND(),Reference!$D$10,0.005))*SUMIFS(Sales!$D$6:$D$3658,Sales!$A$6:$A$3658,"&gt;="&amp;VALUE($A12),Sales!$A$6:$A$3658,"&lt;"&amp;VALUE($A13)),0))</f>
        <v>727</v>
      </c>
    </row>
    <row r="15" spans="1:15" x14ac:dyDescent="0.25">
      <c r="A15" s="19" t="s">
        <v>46</v>
      </c>
      <c r="B15" s="8">
        <f ca="1">ROUND((_xlfn.NORM.INV(RAND(),Reference!$C$9,0.005))*(SUMIFS(Sales!$B$6:$B$3658,Sales!$A$6:$A$3658,"&gt;="&amp;VALUE($A14),Sales!$A$6:$A$3658,"&lt;"&amp;VALUE($A15)))*(IF(MONTH(VALUE($A14))=Reference!$C$6,0,1)),0)</f>
        <v>671</v>
      </c>
      <c r="C15" s="8">
        <f ca="1">MAX(0,ROUND((_xlfn.NORM.INV(RAND(),Reference!$C$10,0.005))*SUMIFS(Sales!$B$6:$B$3658,Sales!$A$6:$A$3658,"&gt;="&amp;VALUE($A13),Sales!$A$6:$A$3658,"&lt;"&amp;VALUE($A14)),0))</f>
        <v>671</v>
      </c>
      <c r="D15" s="8">
        <f ca="1">ROUND((_xlfn.NORM.INV(RAND(),Reference!$D$9,0.005))*(SUMIFS(Sales!$D$6:$D$3658,Sales!$A$6:$A$3658,"&gt;="&amp;VALUE($A14),Sales!$A$6:$A$3658,"&lt;"&amp;VALUE($A15)))*(IF(MONTH(VALUE($A14))=Reference!$D$6,0,1)),0)</f>
        <v>0</v>
      </c>
      <c r="E15" s="8">
        <f ca="1">MAX(0,ROUND((_xlfn.NORM.INV(RAND(),Reference!$D$10,0.005))*SUMIFS(Sales!$D$6:$D$3658,Sales!$A$6:$A$3658,"&gt;="&amp;VALUE($A13),Sales!$A$6:$A$3658,"&lt;"&amp;VALUE($A14)),0))</f>
        <v>728</v>
      </c>
    </row>
    <row r="16" spans="1:15" x14ac:dyDescent="0.25">
      <c r="A16" s="19" t="s">
        <v>47</v>
      </c>
      <c r="B16" s="8">
        <f ca="1">ROUND((_xlfn.NORM.INV(RAND(),Reference!$C$9,0.005))*(SUMIFS(Sales!$B$6:$B$3658,Sales!$A$6:$A$3658,"&gt;="&amp;VALUE($A15),Sales!$A$6:$A$3658,"&lt;"&amp;VALUE($A16)))*(IF(MONTH(VALUE($A15))=Reference!$C$6,0,1)),0)</f>
        <v>601</v>
      </c>
      <c r="C16" s="8">
        <f ca="1">MAX(0,ROUND((_xlfn.NORM.INV(RAND(),Reference!$C$10,0.005))*SUMIFS(Sales!$B$6:$B$3658,Sales!$A$6:$A$3658,"&gt;="&amp;VALUE($A14),Sales!$A$6:$A$3658,"&lt;"&amp;VALUE($A15)),0))</f>
        <v>586</v>
      </c>
      <c r="D16" s="8">
        <f ca="1">ROUND((_xlfn.NORM.INV(RAND(),Reference!$D$9,0.005))*(SUMIFS(Sales!$D$6:$D$3658,Sales!$A$6:$A$3658,"&gt;="&amp;VALUE($A15),Sales!$A$6:$A$3658,"&lt;"&amp;VALUE($A16)))*(IF(MONTH(VALUE($A15))=Reference!$D$6,0,1)),0)</f>
        <v>1144</v>
      </c>
      <c r="E16" s="8">
        <f ca="1">MAX(0,ROUND((_xlfn.NORM.INV(RAND(),Reference!$D$10,0.005))*SUMIFS(Sales!$D$6:$D$3658,Sales!$A$6:$A$3658,"&gt;="&amp;VALUE($A14),Sales!$A$6:$A$3658,"&lt;"&amp;VALUE($A15)),0))</f>
        <v>689</v>
      </c>
    </row>
    <row r="17" spans="1:5" x14ac:dyDescent="0.25">
      <c r="A17" s="19" t="s">
        <v>48</v>
      </c>
      <c r="B17" s="8">
        <f ca="1">ROUND((_xlfn.NORM.INV(RAND(),Reference!$C$9,0.005))*(SUMIFS(Sales!$B$6:$B$3658,Sales!$A$6:$A$3658,"&gt;="&amp;VALUE($A16),Sales!$A$6:$A$3658,"&lt;"&amp;VALUE($A17)))*(IF(MONTH(VALUE($A16))=Reference!$C$6,0,1)),0)</f>
        <v>695</v>
      </c>
      <c r="C17" s="8">
        <f ca="1">MAX(0,ROUND((_xlfn.NORM.INV(RAND(),Reference!$C$10,0.005))*SUMIFS(Sales!$B$6:$B$3658,Sales!$A$6:$A$3658,"&gt;="&amp;VALUE($A15),Sales!$A$6:$A$3658,"&lt;"&amp;VALUE($A16)),0))</f>
        <v>702</v>
      </c>
      <c r="D17" s="8">
        <f ca="1">ROUND((_xlfn.NORM.INV(RAND(),Reference!$D$9,0.005))*(SUMIFS(Sales!$D$6:$D$3658,Sales!$A$6:$A$3658,"&gt;="&amp;VALUE($A16),Sales!$A$6:$A$3658,"&lt;"&amp;VALUE($A17)))*(IF(MONTH(VALUE($A16))=Reference!$D$6,0,1)),0)</f>
        <v>1059</v>
      </c>
      <c r="E17" s="8">
        <f ca="1">MAX(0,ROUND((_xlfn.NORM.INV(RAND(),Reference!$D$10,0.005))*SUMIFS(Sales!$D$6:$D$3658,Sales!$A$6:$A$3658,"&gt;="&amp;VALUE($A15),Sales!$A$6:$A$3658,"&lt;"&amp;VALUE($A16)),0))</f>
        <v>725</v>
      </c>
    </row>
    <row r="18" spans="1:5" x14ac:dyDescent="0.25">
      <c r="A18" s="19" t="s">
        <v>49</v>
      </c>
      <c r="B18" s="8">
        <f ca="1">ROUND((_xlfn.NORM.INV(RAND(),Reference!$C$9,0.005))*(SUMIFS(Sales!$B$6:$B$3658,Sales!$A$6:$A$3658,"&gt;="&amp;VALUE($A17),Sales!$A$6:$A$3658,"&lt;"&amp;VALUE($A18)))*(IF(MONTH(VALUE($A17))=Reference!$C$6,0,1)),0)</f>
        <v>563</v>
      </c>
      <c r="C18" s="8">
        <f ca="1">MAX(0,ROUND((_xlfn.NORM.INV(RAND(),Reference!$C$10,0.005))*SUMIFS(Sales!$B$6:$B$3658,Sales!$A$6:$A$3658,"&gt;="&amp;VALUE($A16),Sales!$A$6:$A$3658,"&lt;"&amp;VALUE($A17)),0))</f>
        <v>723</v>
      </c>
      <c r="D18" s="8">
        <f ca="1">ROUND((_xlfn.NORM.INV(RAND(),Reference!$D$9,0.005))*(SUMIFS(Sales!$D$6:$D$3658,Sales!$A$6:$A$3658,"&gt;="&amp;VALUE($A17),Sales!$A$6:$A$3658,"&lt;"&amp;VALUE($A18)))*(IF(MONTH(VALUE($A17))=Reference!$D$6,0,1)),0)</f>
        <v>1176</v>
      </c>
      <c r="E18" s="8">
        <f ca="1">MAX(0,ROUND((_xlfn.NORM.INV(RAND(),Reference!$D$10,0.005))*SUMIFS(Sales!$D$6:$D$3658,Sales!$A$6:$A$3658,"&gt;="&amp;VALUE($A16),Sales!$A$6:$A$3658,"&lt;"&amp;VALUE($A17)),0))</f>
        <v>612</v>
      </c>
    </row>
    <row r="19" spans="1:5" x14ac:dyDescent="0.25">
      <c r="A19" s="19" t="s">
        <v>50</v>
      </c>
      <c r="B19" s="8">
        <f ca="1">ROUND((_xlfn.NORM.INV(RAND(),Reference!$C$9,0.005))*(SUMIFS(Sales!$B$6:$B$3658,Sales!$A$6:$A$3658,"&gt;="&amp;VALUE($A18),Sales!$A$6:$A$3658,"&lt;"&amp;VALUE($A19)))*(IF(MONTH(VALUE($A18))=Reference!$C$6,0,1)),0)</f>
        <v>533</v>
      </c>
      <c r="C19" s="8">
        <f ca="1">MAX(0,ROUND((_xlfn.NORM.INV(RAND(),Reference!$C$10,0.005))*SUMIFS(Sales!$B$6:$B$3658,Sales!$A$6:$A$3658,"&gt;="&amp;VALUE($A17),Sales!$A$6:$A$3658,"&lt;"&amp;VALUE($A18)),0))</f>
        <v>742</v>
      </c>
      <c r="D19" s="8">
        <f ca="1">ROUND((_xlfn.NORM.INV(RAND(),Reference!$D$9,0.005))*(SUMIFS(Sales!$D$6:$D$3658,Sales!$A$6:$A$3658,"&gt;="&amp;VALUE($A18),Sales!$A$6:$A$3658,"&lt;"&amp;VALUE($A19)))*(IF(MONTH(VALUE($A18))=Reference!$D$6,0,1)),0)</f>
        <v>1338</v>
      </c>
      <c r="E19" s="8">
        <f ca="1">MAX(0,ROUND((_xlfn.NORM.INV(RAND(),Reference!$D$10,0.005))*SUMIFS(Sales!$D$6:$D$3658,Sales!$A$6:$A$3658,"&gt;="&amp;VALUE($A17),Sales!$A$6:$A$3658,"&lt;"&amp;VALUE($A18)),0))</f>
        <v>693</v>
      </c>
    </row>
    <row r="20" spans="1:5" x14ac:dyDescent="0.25">
      <c r="A20" s="19" t="s">
        <v>51</v>
      </c>
      <c r="B20" s="8">
        <f ca="1">ROUND((_xlfn.NORM.INV(RAND(),Reference!$C$9,0.005))*(SUMIFS(Sales!$B$6:$B$3658,Sales!$A$6:$A$3658,"&gt;="&amp;VALUE($A19),Sales!$A$6:$A$3658,"&lt;"&amp;VALUE($A20)))*(IF(MONTH(VALUE($A19))=Reference!$C$6,0,1)),0)</f>
        <v>536</v>
      </c>
      <c r="C20" s="8">
        <f ca="1">MAX(0,ROUND((_xlfn.NORM.INV(RAND(),Reference!$C$10,0.005))*SUMIFS(Sales!$B$6:$B$3658,Sales!$A$6:$A$3658,"&gt;="&amp;VALUE($A18),Sales!$A$6:$A$3658,"&lt;"&amp;VALUE($A19)),0))</f>
        <v>627</v>
      </c>
      <c r="D20" s="8">
        <f ca="1">ROUND((_xlfn.NORM.INV(RAND(),Reference!$D$9,0.005))*(SUMIFS(Sales!$D$6:$D$3658,Sales!$A$6:$A$3658,"&gt;="&amp;VALUE($A19),Sales!$A$6:$A$3658,"&lt;"&amp;VALUE($A20)))*(IF(MONTH(VALUE($A19))=Reference!$D$6,0,1)),0)</f>
        <v>1031</v>
      </c>
      <c r="E20" s="8">
        <f ca="1">MAX(0,ROUND((_xlfn.NORM.INV(RAND(),Reference!$D$10,0.005))*SUMIFS(Sales!$D$6:$D$3658,Sales!$A$6:$A$3658,"&gt;="&amp;VALUE($A18),Sales!$A$6:$A$3658,"&lt;"&amp;VALUE($A19)),0))</f>
        <v>757</v>
      </c>
    </row>
    <row r="21" spans="1:5" x14ac:dyDescent="0.25">
      <c r="A21" s="19" t="s">
        <v>52</v>
      </c>
      <c r="B21" s="8">
        <f ca="1">ROUND((_xlfn.NORM.INV(RAND(),Reference!$C$9,0.005))*(SUMIFS(Sales!$B$6:$B$3658,Sales!$A$6:$A$3658,"&gt;="&amp;VALUE($A20),Sales!$A$6:$A$3658,"&lt;"&amp;VALUE($A21)))*(IF(MONTH(VALUE($A20))=Reference!$C$6,0,1)),0)</f>
        <v>561</v>
      </c>
      <c r="C21" s="8">
        <f ca="1">MAX(0,ROUND((_xlfn.NORM.INV(RAND(),Reference!$C$10,0.005))*SUMIFS(Sales!$B$6:$B$3658,Sales!$A$6:$A$3658,"&gt;="&amp;VALUE($A19),Sales!$A$6:$A$3658,"&lt;"&amp;VALUE($A20)),0))</f>
        <v>674</v>
      </c>
      <c r="D21" s="8">
        <f ca="1">ROUND((_xlfn.NORM.INV(RAND(),Reference!$D$9,0.005))*(SUMIFS(Sales!$D$6:$D$3658,Sales!$A$6:$A$3658,"&gt;="&amp;VALUE($A20),Sales!$A$6:$A$3658,"&lt;"&amp;VALUE($A21)))*(IF(MONTH(VALUE($A20))=Reference!$D$6,0,1)),0)</f>
        <v>1204</v>
      </c>
      <c r="E21" s="8">
        <f ca="1">MAX(0,ROUND((_xlfn.NORM.INV(RAND(),Reference!$D$10,0.005))*SUMIFS(Sales!$D$6:$D$3658,Sales!$A$6:$A$3658,"&gt;="&amp;VALUE($A19),Sales!$A$6:$A$3658,"&lt;"&amp;VALUE($A20)),0))</f>
        <v>679</v>
      </c>
    </row>
    <row r="22" spans="1:5" x14ac:dyDescent="0.25">
      <c r="A22" s="19" t="s">
        <v>53</v>
      </c>
      <c r="B22" s="8">
        <f ca="1">ROUND((_xlfn.NORM.INV(RAND(),Reference!$C$9,0.005))*(SUMIFS(Sales!$B$6:$B$3658,Sales!$A$6:$A$3658,"&gt;="&amp;VALUE($A21),Sales!$A$6:$A$3658,"&lt;"&amp;VALUE($A22)))*(IF(MONTH(VALUE($A21))=Reference!$C$6,0,1)),0)</f>
        <v>856</v>
      </c>
      <c r="C22" s="8">
        <f ca="1">MAX(0,ROUND((_xlfn.NORM.INV(RAND(),Reference!$C$10,0.005))*SUMIFS(Sales!$B$6:$B$3658,Sales!$A$6:$A$3658,"&gt;="&amp;VALUE($A20),Sales!$A$6:$A$3658,"&lt;"&amp;VALUE($A21)),0))</f>
        <v>636</v>
      </c>
      <c r="D22" s="8">
        <f ca="1">ROUND((_xlfn.NORM.INV(RAND(),Reference!$D$9,0.005))*(SUMIFS(Sales!$D$6:$D$3658,Sales!$A$6:$A$3658,"&gt;="&amp;VALUE($A21),Sales!$A$6:$A$3658,"&lt;"&amp;VALUE($A22)))*(IF(MONTH(VALUE($A21))=Reference!$D$6,0,1)),0)</f>
        <v>1127</v>
      </c>
      <c r="E22" s="8">
        <f ca="1">MAX(0,ROUND((_xlfn.NORM.INV(RAND(),Reference!$D$10,0.005))*SUMIFS(Sales!$D$6:$D$3658,Sales!$A$6:$A$3658,"&gt;="&amp;VALUE($A20),Sales!$A$6:$A$3658,"&lt;"&amp;VALUE($A21)),0))</f>
        <v>695</v>
      </c>
    </row>
    <row r="23" spans="1:5" x14ac:dyDescent="0.25">
      <c r="A23" s="19" t="s">
        <v>54</v>
      </c>
      <c r="B23" s="8">
        <f ca="1">ROUND((_xlfn.NORM.INV(RAND(),Reference!$C$9,0.005))*(SUMIFS(Sales!$B$6:$B$3658,Sales!$A$6:$A$3658,"&gt;="&amp;VALUE($A22),Sales!$A$6:$A$3658,"&lt;"&amp;VALUE($A23)))*(IF(MONTH(VALUE($A22))=Reference!$C$6,0,1)),0)</f>
        <v>923</v>
      </c>
      <c r="C23" s="8">
        <f ca="1">MAX(0,ROUND((_xlfn.NORM.INV(RAND(),Reference!$C$10,0.005))*SUMIFS(Sales!$B$6:$B$3658,Sales!$A$6:$A$3658,"&gt;="&amp;VALUE($A21),Sales!$A$6:$A$3658,"&lt;"&amp;VALUE($A22)),0))</f>
        <v>990</v>
      </c>
      <c r="D23" s="8">
        <f ca="1">ROUND((_xlfn.NORM.INV(RAND(),Reference!$D$9,0.005))*(SUMIFS(Sales!$D$6:$D$3658,Sales!$A$6:$A$3658,"&gt;="&amp;VALUE($A22),Sales!$A$6:$A$3658,"&lt;"&amp;VALUE($A23)))*(IF(MONTH(VALUE($A22))=Reference!$D$6,0,1)),0)</f>
        <v>1071</v>
      </c>
      <c r="E23" s="8">
        <f ca="1">MAX(0,ROUND((_xlfn.NORM.INV(RAND(),Reference!$D$10,0.005))*SUMIFS(Sales!$D$6:$D$3658,Sales!$A$6:$A$3658,"&gt;="&amp;VALUE($A21),Sales!$A$6:$A$3658,"&lt;"&amp;VALUE($A22)),0))</f>
        <v>726</v>
      </c>
    </row>
    <row r="24" spans="1:5" x14ac:dyDescent="0.25">
      <c r="A24" s="19" t="s">
        <v>55</v>
      </c>
      <c r="B24" s="8">
        <f ca="1">ROUND((_xlfn.NORM.INV(RAND(),Reference!$C$9,0.005))*(SUMIFS(Sales!$B$6:$B$3658,Sales!$A$6:$A$3658,"&gt;="&amp;VALUE($A23),Sales!$A$6:$A$3658,"&lt;"&amp;VALUE($A24)))*(IF(MONTH(VALUE($A23))=Reference!$C$6,0,1)),0)</f>
        <v>0</v>
      </c>
      <c r="C24" s="8">
        <f ca="1">MAX(0,ROUND((_xlfn.NORM.INV(RAND(),Reference!$C$10,0.005))*SUMIFS(Sales!$B$6:$B$3658,Sales!$A$6:$A$3658,"&gt;="&amp;VALUE($A22),Sales!$A$6:$A$3658,"&lt;"&amp;VALUE($A23)),0))</f>
        <v>1093</v>
      </c>
      <c r="D24" s="8">
        <f ca="1">ROUND((_xlfn.NORM.INV(RAND(),Reference!$D$9,0.005))*(SUMIFS(Sales!$D$6:$D$3658,Sales!$A$6:$A$3658,"&gt;="&amp;VALUE($A23),Sales!$A$6:$A$3658,"&lt;"&amp;VALUE($A24)))*(IF(MONTH(VALUE($A23))=Reference!$D$6,0,1)),0)</f>
        <v>1129</v>
      </c>
      <c r="E24" s="8">
        <f ca="1">MAX(0,ROUND((_xlfn.NORM.INV(RAND(),Reference!$D$10,0.005))*SUMIFS(Sales!$D$6:$D$3658,Sales!$A$6:$A$3658,"&gt;="&amp;VALUE($A22),Sales!$A$6:$A$3658,"&lt;"&amp;VALUE($A23)),0))</f>
        <v>604</v>
      </c>
    </row>
    <row r="25" spans="1:5" x14ac:dyDescent="0.25">
      <c r="A25" s="19" t="s">
        <v>56</v>
      </c>
      <c r="B25" s="8">
        <f ca="1">ROUND((_xlfn.NORM.INV(RAND(),Reference!$C$9,0.005))*(SUMIFS(Sales!$B$6:$B$3658,Sales!$A$6:$A$3658,"&gt;="&amp;VALUE($A24),Sales!$A$6:$A$3658,"&lt;"&amp;VALUE($A25)))*(IF(MONTH(VALUE($A24))=Reference!$C$6,0,1)),0)</f>
        <v>540</v>
      </c>
      <c r="C25" s="8">
        <f ca="1">MAX(0,ROUND((_xlfn.NORM.INV(RAND(),Reference!$C$10,0.005))*SUMIFS(Sales!$B$6:$B$3658,Sales!$A$6:$A$3658,"&gt;="&amp;VALUE($A23),Sales!$A$6:$A$3658,"&lt;"&amp;VALUE($A24)),0))</f>
        <v>806</v>
      </c>
      <c r="D25" s="8">
        <f ca="1">ROUND((_xlfn.NORM.INV(RAND(),Reference!$D$9,0.005))*(SUMIFS(Sales!$D$6:$D$3658,Sales!$A$6:$A$3658,"&gt;="&amp;VALUE($A24),Sales!$A$6:$A$3658,"&lt;"&amp;VALUE($A25)))*(IF(MONTH(VALUE($A24))=Reference!$D$6,0,1)),0)</f>
        <v>1255</v>
      </c>
      <c r="E25" s="8">
        <f ca="1">MAX(0,ROUND((_xlfn.NORM.INV(RAND(),Reference!$D$10,0.005))*SUMIFS(Sales!$D$6:$D$3658,Sales!$A$6:$A$3658,"&gt;="&amp;VALUE($A23),Sales!$A$6:$A$3658,"&lt;"&amp;VALUE($A24)),0))</f>
        <v>649</v>
      </c>
    </row>
    <row r="26" spans="1:5" x14ac:dyDescent="0.25">
      <c r="A26" s="19" t="s">
        <v>57</v>
      </c>
      <c r="B26" s="8">
        <f ca="1">ROUND((_xlfn.NORM.INV(RAND(),Reference!$C$9,0.005))*(SUMIFS(Sales!$B$6:$B$3658,Sales!$A$6:$A$3658,"&gt;="&amp;VALUE($A25),Sales!$A$6:$A$3658,"&lt;"&amp;VALUE($A26)))*(IF(MONTH(VALUE($A25))=Reference!$C$6,0,1)),0)</f>
        <v>600</v>
      </c>
      <c r="C26" s="8">
        <f ca="1">MAX(0,ROUND((_xlfn.NORM.INV(RAND(),Reference!$C$10,0.005))*SUMIFS(Sales!$B$6:$B$3658,Sales!$A$6:$A$3658,"&gt;="&amp;VALUE($A24),Sales!$A$6:$A$3658,"&lt;"&amp;VALUE($A25)),0))</f>
        <v>553</v>
      </c>
      <c r="D26" s="8">
        <f ca="1">ROUND((_xlfn.NORM.INV(RAND(),Reference!$D$9,0.005))*(SUMIFS(Sales!$D$6:$D$3658,Sales!$A$6:$A$3658,"&gt;="&amp;VALUE($A25),Sales!$A$6:$A$3658,"&lt;"&amp;VALUE($A26)))*(IF(MONTH(VALUE($A25))=Reference!$D$6,0,1)),0)</f>
        <v>1182</v>
      </c>
      <c r="E26" s="8">
        <f ca="1">MAX(0,ROUND((_xlfn.NORM.INV(RAND(),Reference!$D$10,0.005))*SUMIFS(Sales!$D$6:$D$3658,Sales!$A$6:$A$3658,"&gt;="&amp;VALUE($A24),Sales!$A$6:$A$3658,"&lt;"&amp;VALUE($A25)),0))</f>
        <v>737</v>
      </c>
    </row>
    <row r="27" spans="1:5" x14ac:dyDescent="0.25">
      <c r="A27" s="19" t="s">
        <v>58</v>
      </c>
      <c r="B27" s="8">
        <f ca="1">ROUND((_xlfn.NORM.INV(RAND(),Reference!$C$9,0.005))*(SUMIFS(Sales!$B$6:$B$3658,Sales!$A$6:$A$3658,"&gt;="&amp;VALUE($A26),Sales!$A$6:$A$3658,"&lt;"&amp;VALUE($A27)))*(IF(MONTH(VALUE($A26))=Reference!$C$6,0,1)),0)</f>
        <v>530</v>
      </c>
      <c r="C27" s="8">
        <f ca="1">MAX(0,ROUND((_xlfn.NORM.INV(RAND(),Reference!$C$10,0.005))*SUMIFS(Sales!$B$6:$B$3658,Sales!$A$6:$A$3658,"&gt;="&amp;VALUE($A25),Sales!$A$6:$A$3658,"&lt;"&amp;VALUE($A26)),0))</f>
        <v>737</v>
      </c>
      <c r="D27" s="8">
        <f ca="1">ROUND((_xlfn.NORM.INV(RAND(),Reference!$D$9,0.005))*(SUMIFS(Sales!$D$6:$D$3658,Sales!$A$6:$A$3658,"&gt;="&amp;VALUE($A26),Sales!$A$6:$A$3658,"&lt;"&amp;VALUE($A27)))*(IF(MONTH(VALUE($A26))=Reference!$D$6,0,1)),0)</f>
        <v>0</v>
      </c>
      <c r="E27" s="8">
        <f ca="1">MAX(0,ROUND((_xlfn.NORM.INV(RAND(),Reference!$D$10,0.005))*SUMIFS(Sales!$D$6:$D$3658,Sales!$A$6:$A$3658,"&gt;="&amp;VALUE($A25),Sales!$A$6:$A$3658,"&lt;"&amp;VALUE($A26)),0))</f>
        <v>628</v>
      </c>
    </row>
    <row r="28" spans="1:5" x14ac:dyDescent="0.25">
      <c r="A28" s="19" t="s">
        <v>59</v>
      </c>
      <c r="B28" s="8">
        <f ca="1">ROUND((_xlfn.NORM.INV(RAND(),Reference!$C$9,0.005))*(SUMIFS(Sales!$B$6:$B$3658,Sales!$A$6:$A$3658,"&gt;="&amp;VALUE($A27),Sales!$A$6:$A$3658,"&lt;"&amp;VALUE($A28)))*(IF(MONTH(VALUE($A27))=Reference!$C$6,0,1)),0)</f>
        <v>673</v>
      </c>
      <c r="C28" s="8">
        <f ca="1">MAX(0,ROUND((_xlfn.NORM.INV(RAND(),Reference!$C$10,0.005))*SUMIFS(Sales!$B$6:$B$3658,Sales!$A$6:$A$3658,"&gt;="&amp;VALUE($A26),Sales!$A$6:$A$3658,"&lt;"&amp;VALUE($A27)),0))</f>
        <v>742</v>
      </c>
      <c r="D28" s="8">
        <f ca="1">ROUND((_xlfn.NORM.INV(RAND(),Reference!$D$9,0.005))*(SUMIFS(Sales!$D$6:$D$3658,Sales!$A$6:$A$3658,"&gt;="&amp;VALUE($A27),Sales!$A$6:$A$3658,"&lt;"&amp;VALUE($A28)))*(IF(MONTH(VALUE($A27))=Reference!$D$6,0,1)),0)</f>
        <v>1188</v>
      </c>
      <c r="E28" s="8">
        <f ca="1">MAX(0,ROUND((_xlfn.NORM.INV(RAND(),Reference!$D$10,0.005))*SUMIFS(Sales!$D$6:$D$3658,Sales!$A$6:$A$3658,"&gt;="&amp;VALUE($A26),Sales!$A$6:$A$3658,"&lt;"&amp;VALUE($A27)),0))</f>
        <v>733</v>
      </c>
    </row>
    <row r="29" spans="1:5" x14ac:dyDescent="0.25">
      <c r="A29" s="19" t="s">
        <v>60</v>
      </c>
      <c r="B29" s="8">
        <f ca="1">ROUND((_xlfn.NORM.INV(RAND(),Reference!$C$9,0.005))*(SUMIFS(Sales!$B$6:$B$3658,Sales!$A$6:$A$3658,"&gt;="&amp;VALUE($A28),Sales!$A$6:$A$3658,"&lt;"&amp;VALUE($A29)))*(IF(MONTH(VALUE($A28))=Reference!$C$6,0,1)),0)</f>
        <v>569</v>
      </c>
      <c r="C29" s="8">
        <f ca="1">MAX(0,ROUND((_xlfn.NORM.INV(RAND(),Reference!$C$10,0.005))*SUMIFS(Sales!$B$6:$B$3658,Sales!$A$6:$A$3658,"&gt;="&amp;VALUE($A27),Sales!$A$6:$A$3658,"&lt;"&amp;VALUE($A28)),0))</f>
        <v>598</v>
      </c>
      <c r="D29" s="8">
        <f ca="1">ROUND((_xlfn.NORM.INV(RAND(),Reference!$D$9,0.005))*(SUMIFS(Sales!$D$6:$D$3658,Sales!$A$6:$A$3658,"&gt;="&amp;VALUE($A28),Sales!$A$6:$A$3658,"&lt;"&amp;VALUE($A29)))*(IF(MONTH(VALUE($A28))=Reference!$D$6,0,1)),0)</f>
        <v>1022</v>
      </c>
      <c r="E29" s="8">
        <f ca="1">MAX(0,ROUND((_xlfn.NORM.INV(RAND(),Reference!$D$10,0.005))*SUMIFS(Sales!$D$6:$D$3658,Sales!$A$6:$A$3658,"&gt;="&amp;VALUE($A27),Sales!$A$6:$A$3658,"&lt;"&amp;VALUE($A28)),0))</f>
        <v>659</v>
      </c>
    </row>
    <row r="30" spans="1:5" x14ac:dyDescent="0.25">
      <c r="A30" s="19" t="s">
        <v>61</v>
      </c>
      <c r="B30" s="8">
        <f ca="1">ROUND((_xlfn.NORM.INV(RAND(),Reference!$C$9,0.005))*(SUMIFS(Sales!$B$6:$B$3658,Sales!$A$6:$A$3658,"&gt;="&amp;VALUE($A29),Sales!$A$6:$A$3658,"&lt;"&amp;VALUE($A30)))*(IF(MONTH(VALUE($A29))=Reference!$C$6,0,1)),0)</f>
        <v>572</v>
      </c>
      <c r="C30" s="8">
        <f ca="1">MAX(0,ROUND((_xlfn.NORM.INV(RAND(),Reference!$C$10,0.005))*SUMIFS(Sales!$B$6:$B$3658,Sales!$A$6:$A$3658,"&gt;="&amp;VALUE($A28),Sales!$A$6:$A$3658,"&lt;"&amp;VALUE($A29)),0))</f>
        <v>648</v>
      </c>
      <c r="D30" s="8">
        <f ca="1">ROUND((_xlfn.NORM.INV(RAND(),Reference!$D$9,0.005))*(SUMIFS(Sales!$D$6:$D$3658,Sales!$A$6:$A$3658,"&gt;="&amp;VALUE($A29),Sales!$A$6:$A$3658,"&lt;"&amp;VALUE($A30)))*(IF(MONTH(VALUE($A29))=Reference!$D$6,0,1)),0)</f>
        <v>1101</v>
      </c>
      <c r="E30" s="8">
        <f ca="1">MAX(0,ROUND((_xlfn.NORM.INV(RAND(),Reference!$D$10,0.005))*SUMIFS(Sales!$D$6:$D$3658,Sales!$A$6:$A$3658,"&gt;="&amp;VALUE($A28),Sales!$A$6:$A$3658,"&lt;"&amp;VALUE($A29)),0))</f>
        <v>656</v>
      </c>
    </row>
    <row r="31" spans="1:5" x14ac:dyDescent="0.25">
      <c r="A31" s="19" t="s">
        <v>62</v>
      </c>
      <c r="B31" s="8">
        <f ca="1">ROUND((_xlfn.NORM.INV(RAND(),Reference!$C$9,0.005))*(SUMIFS(Sales!$B$6:$B$3658,Sales!$A$6:$A$3658,"&gt;="&amp;VALUE($A30),Sales!$A$6:$A$3658,"&lt;"&amp;VALUE($A31)))*(IF(MONTH(VALUE($A30))=Reference!$C$6,0,1)),0)</f>
        <v>448</v>
      </c>
      <c r="C31" s="8">
        <f ca="1">MAX(0,ROUND((_xlfn.NORM.INV(RAND(),Reference!$C$10,0.005))*SUMIFS(Sales!$B$6:$B$3658,Sales!$A$6:$A$3658,"&gt;="&amp;VALUE($A29),Sales!$A$6:$A$3658,"&lt;"&amp;VALUE($A30)),0))</f>
        <v>750</v>
      </c>
      <c r="D31" s="8">
        <f ca="1">ROUND((_xlfn.NORM.INV(RAND(),Reference!$D$9,0.005))*(SUMIFS(Sales!$D$6:$D$3658,Sales!$A$6:$A$3658,"&gt;="&amp;VALUE($A30),Sales!$A$6:$A$3658,"&lt;"&amp;VALUE($A31)))*(IF(MONTH(VALUE($A30))=Reference!$D$6,0,1)),0)</f>
        <v>1231</v>
      </c>
      <c r="E31" s="8">
        <f ca="1">MAX(0,ROUND((_xlfn.NORM.INV(RAND(),Reference!$D$10,0.005))*SUMIFS(Sales!$D$6:$D$3658,Sales!$A$6:$A$3658,"&gt;="&amp;VALUE($A29),Sales!$A$6:$A$3658,"&lt;"&amp;VALUE($A30)),0))</f>
        <v>712</v>
      </c>
    </row>
    <row r="32" spans="1:5" x14ac:dyDescent="0.25">
      <c r="A32" s="19" t="s">
        <v>63</v>
      </c>
      <c r="B32" s="8">
        <f ca="1">ROUND((_xlfn.NORM.INV(RAND(),Reference!$C$9,0.005))*(SUMIFS(Sales!$B$6:$B$3658,Sales!$A$6:$A$3658,"&gt;="&amp;VALUE($A31),Sales!$A$6:$A$3658,"&lt;"&amp;VALUE($A32)))*(IF(MONTH(VALUE($A31))=Reference!$C$6,0,1)),0)</f>
        <v>512</v>
      </c>
      <c r="C32" s="8">
        <f ca="1">MAX(0,ROUND((_xlfn.NORM.INV(RAND(),Reference!$C$10,0.005))*SUMIFS(Sales!$B$6:$B$3658,Sales!$A$6:$A$3658,"&gt;="&amp;VALUE($A30),Sales!$A$6:$A$3658,"&lt;"&amp;VALUE($A31)),0))</f>
        <v>671</v>
      </c>
      <c r="D32" s="8">
        <f ca="1">ROUND((_xlfn.NORM.INV(RAND(),Reference!$D$9,0.005))*(SUMIFS(Sales!$D$6:$D$3658,Sales!$A$6:$A$3658,"&gt;="&amp;VALUE($A31),Sales!$A$6:$A$3658,"&lt;"&amp;VALUE($A32)))*(IF(MONTH(VALUE($A31))=Reference!$D$6,0,1)),0)</f>
        <v>1105</v>
      </c>
      <c r="E32" s="8">
        <f ca="1">MAX(0,ROUND((_xlfn.NORM.INV(RAND(),Reference!$D$10,0.005))*SUMIFS(Sales!$D$6:$D$3658,Sales!$A$6:$A$3658,"&gt;="&amp;VALUE($A30),Sales!$A$6:$A$3658,"&lt;"&amp;VALUE($A31)),0))</f>
        <v>655</v>
      </c>
    </row>
    <row r="33" spans="1:5" x14ac:dyDescent="0.25">
      <c r="A33" s="19" t="s">
        <v>64</v>
      </c>
      <c r="B33" s="8">
        <f ca="1">ROUND((_xlfn.NORM.INV(RAND(),Reference!$C$9,0.005))*(SUMIFS(Sales!$B$6:$B$3658,Sales!$A$6:$A$3658,"&gt;="&amp;VALUE($A32),Sales!$A$6:$A$3658,"&lt;"&amp;VALUE($A33)))*(IF(MONTH(VALUE($A32))=Reference!$C$6,0,1)),0)</f>
        <v>658</v>
      </c>
      <c r="C33" s="8">
        <f ca="1">MAX(0,ROUND((_xlfn.NORM.INV(RAND(),Reference!$C$10,0.005))*SUMIFS(Sales!$B$6:$B$3658,Sales!$A$6:$A$3658,"&gt;="&amp;VALUE($A31),Sales!$A$6:$A$3658,"&lt;"&amp;VALUE($A32)),0))</f>
        <v>648</v>
      </c>
      <c r="D33" s="8">
        <f ca="1">ROUND((_xlfn.NORM.INV(RAND(),Reference!$D$9,0.005))*(SUMIFS(Sales!$D$6:$D$3658,Sales!$A$6:$A$3658,"&gt;="&amp;VALUE($A32),Sales!$A$6:$A$3658,"&lt;"&amp;VALUE($A33)))*(IF(MONTH(VALUE($A32))=Reference!$D$6,0,1)),0)</f>
        <v>1182</v>
      </c>
      <c r="E33" s="8">
        <f ca="1">MAX(0,ROUND((_xlfn.NORM.INV(RAND(),Reference!$D$10,0.005))*SUMIFS(Sales!$D$6:$D$3658,Sales!$A$6:$A$3658,"&gt;="&amp;VALUE($A31),Sales!$A$6:$A$3658,"&lt;"&amp;VALUE($A32)),0))</f>
        <v>593</v>
      </c>
    </row>
    <row r="34" spans="1:5" x14ac:dyDescent="0.25">
      <c r="A34" s="19" t="s">
        <v>65</v>
      </c>
      <c r="B34" s="8">
        <f ca="1">ROUND((_xlfn.NORM.INV(RAND(),Reference!$C$9,0.005))*(SUMIFS(Sales!$B$6:$B$3658,Sales!$A$6:$A$3658,"&gt;="&amp;VALUE($A33),Sales!$A$6:$A$3658,"&lt;"&amp;VALUE($A34)))*(IF(MONTH(VALUE($A33))=Reference!$C$6,0,1)),0)</f>
        <v>934</v>
      </c>
      <c r="C34" s="8">
        <f ca="1">MAX(0,ROUND((_xlfn.NORM.INV(RAND(),Reference!$C$10,0.005))*SUMIFS(Sales!$B$6:$B$3658,Sales!$A$6:$A$3658,"&gt;="&amp;VALUE($A32),Sales!$A$6:$A$3658,"&lt;"&amp;VALUE($A33)),0))</f>
        <v>703</v>
      </c>
      <c r="D34" s="8">
        <f ca="1">ROUND((_xlfn.NORM.INV(RAND(),Reference!$D$9,0.005))*(SUMIFS(Sales!$D$6:$D$3658,Sales!$A$6:$A$3658,"&gt;="&amp;VALUE($A33),Sales!$A$6:$A$3658,"&lt;"&amp;VALUE($A34)))*(IF(MONTH(VALUE($A33))=Reference!$D$6,0,1)),0)</f>
        <v>1186</v>
      </c>
      <c r="E34" s="8">
        <f ca="1">MAX(0,ROUND((_xlfn.NORM.INV(RAND(),Reference!$D$10,0.005))*SUMIFS(Sales!$D$6:$D$3658,Sales!$A$6:$A$3658,"&gt;="&amp;VALUE($A32),Sales!$A$6:$A$3658,"&lt;"&amp;VALUE($A33)),0))</f>
        <v>714</v>
      </c>
    </row>
    <row r="35" spans="1:5" x14ac:dyDescent="0.25">
      <c r="A35" s="19" t="s">
        <v>66</v>
      </c>
      <c r="B35" s="8">
        <f ca="1">ROUND((_xlfn.NORM.INV(RAND(),Reference!$C$9,0.005))*(SUMIFS(Sales!$B$6:$B$3658,Sales!$A$6:$A$3658,"&gt;="&amp;VALUE($A34),Sales!$A$6:$A$3658,"&lt;"&amp;VALUE($A35)))*(IF(MONTH(VALUE($A34))=Reference!$C$6,0,1)),0)</f>
        <v>854</v>
      </c>
      <c r="C35" s="8">
        <f ca="1">MAX(0,ROUND((_xlfn.NORM.INV(RAND(),Reference!$C$10,0.005))*SUMIFS(Sales!$B$6:$B$3658,Sales!$A$6:$A$3658,"&gt;="&amp;VALUE($A33),Sales!$A$6:$A$3658,"&lt;"&amp;VALUE($A34)),0))</f>
        <v>926</v>
      </c>
      <c r="D35" s="8">
        <f ca="1">ROUND((_xlfn.NORM.INV(RAND(),Reference!$D$9,0.005))*(SUMIFS(Sales!$D$6:$D$3658,Sales!$A$6:$A$3658,"&gt;="&amp;VALUE($A34),Sales!$A$6:$A$3658,"&lt;"&amp;VALUE($A35)))*(IF(MONTH(VALUE($A34))=Reference!$D$6,0,1)),0)</f>
        <v>1179</v>
      </c>
      <c r="E35" s="8">
        <f ca="1">MAX(0,ROUND((_xlfn.NORM.INV(RAND(),Reference!$D$10,0.005))*SUMIFS(Sales!$D$6:$D$3658,Sales!$A$6:$A$3658,"&gt;="&amp;VALUE($A33),Sales!$A$6:$A$3658,"&lt;"&amp;VALUE($A34)),0))</f>
        <v>703</v>
      </c>
    </row>
    <row r="36" spans="1:5" x14ac:dyDescent="0.25">
      <c r="A36" s="19" t="s">
        <v>67</v>
      </c>
      <c r="B36" s="8">
        <f ca="1">ROUND((_xlfn.NORM.INV(RAND(),Reference!$C$9,0.005))*(SUMIFS(Sales!$B$6:$B$3658,Sales!$A$6:$A$3658,"&gt;="&amp;VALUE($A35),Sales!$A$6:$A$3658,"&lt;"&amp;VALUE($A36)))*(IF(MONTH(VALUE($A35))=Reference!$C$6,0,1)),0)</f>
        <v>0</v>
      </c>
      <c r="C36" s="8">
        <f ca="1">MAX(0,ROUND((_xlfn.NORM.INV(RAND(),Reference!$C$10,0.005))*SUMIFS(Sales!$B$6:$B$3658,Sales!$A$6:$A$3658,"&gt;="&amp;VALUE($A34),Sales!$A$6:$A$3658,"&lt;"&amp;VALUE($A35)),0))</f>
        <v>1010</v>
      </c>
      <c r="D36" s="8">
        <f ca="1">ROUND((_xlfn.NORM.INV(RAND(),Reference!$D$9,0.005))*(SUMIFS(Sales!$D$6:$D$3658,Sales!$A$6:$A$3658,"&gt;="&amp;VALUE($A35),Sales!$A$6:$A$3658,"&lt;"&amp;VALUE($A36)))*(IF(MONTH(VALUE($A35))=Reference!$D$6,0,1)),0)</f>
        <v>1085</v>
      </c>
      <c r="E36" s="8">
        <f ca="1">MAX(0,ROUND((_xlfn.NORM.INV(RAND(),Reference!$D$10,0.005))*SUMIFS(Sales!$D$6:$D$3658,Sales!$A$6:$A$3658,"&gt;="&amp;VALUE($A34),Sales!$A$6:$A$3658,"&lt;"&amp;VALUE($A35)),0))</f>
        <v>636</v>
      </c>
    </row>
    <row r="37" spans="1:5" x14ac:dyDescent="0.25">
      <c r="A37" s="19" t="s">
        <v>68</v>
      </c>
      <c r="B37" s="8">
        <f ca="1">ROUND((_xlfn.NORM.INV(RAND(),Reference!$C$9,0.005))*(SUMIFS(Sales!$B$6:$B$3658,Sales!$A$6:$A$3658,"&gt;="&amp;VALUE($A36),Sales!$A$6:$A$3658,"&lt;"&amp;VALUE($A37)))*(IF(MONTH(VALUE($A36))=Reference!$C$6,0,1)),0)</f>
        <v>583</v>
      </c>
      <c r="C37" s="8">
        <f ca="1">MAX(0,ROUND((_xlfn.NORM.INV(RAND(),Reference!$C$10,0.005))*SUMIFS(Sales!$B$6:$B$3658,Sales!$A$6:$A$3658,"&gt;="&amp;VALUE($A35),Sales!$A$6:$A$3658,"&lt;"&amp;VALUE($A36)),0))</f>
        <v>821</v>
      </c>
      <c r="D37" s="8">
        <f ca="1">ROUND((_xlfn.NORM.INV(RAND(),Reference!$D$9,0.005))*(SUMIFS(Sales!$D$6:$D$3658,Sales!$A$6:$A$3658,"&gt;="&amp;VALUE($A36),Sales!$A$6:$A$3658,"&lt;"&amp;VALUE($A37)))*(IF(MONTH(VALUE($A36))=Reference!$D$6,0,1)),0)</f>
        <v>1389</v>
      </c>
      <c r="E37" s="8">
        <f ca="1">MAX(0,ROUND((_xlfn.NORM.INV(RAND(),Reference!$D$10,0.005))*SUMIFS(Sales!$D$6:$D$3658,Sales!$A$6:$A$3658,"&gt;="&amp;VALUE($A35),Sales!$A$6:$A$3658,"&lt;"&amp;VALUE($A36)),0))</f>
        <v>691</v>
      </c>
    </row>
    <row r="38" spans="1:5" x14ac:dyDescent="0.25">
      <c r="A38" s="19" t="s">
        <v>69</v>
      </c>
      <c r="B38" s="8">
        <f ca="1">ROUND((_xlfn.NORM.INV(RAND(),Reference!$C$9,0.005))*(SUMIFS(Sales!$B$6:$B$3658,Sales!$A$6:$A$3658,"&gt;="&amp;VALUE($A37),Sales!$A$6:$A$3658,"&lt;"&amp;VALUE($A38)))*(IF(MONTH(VALUE($A37))=Reference!$C$6,0,1)),0)</f>
        <v>520</v>
      </c>
      <c r="C38" s="8">
        <f ca="1">MAX(0,ROUND((_xlfn.NORM.INV(RAND(),Reference!$C$10,0.005))*SUMIFS(Sales!$B$6:$B$3658,Sales!$A$6:$A$3658,"&gt;="&amp;VALUE($A36),Sales!$A$6:$A$3658,"&lt;"&amp;VALUE($A37)),0))</f>
        <v>672</v>
      </c>
      <c r="D38" s="8">
        <f ca="1">ROUND((_xlfn.NORM.INV(RAND(),Reference!$D$9,0.005))*(SUMIFS(Sales!$D$6:$D$3658,Sales!$A$6:$A$3658,"&gt;="&amp;VALUE($A37),Sales!$A$6:$A$3658,"&lt;"&amp;VALUE($A38)))*(IF(MONTH(VALUE($A37))=Reference!$D$6,0,1)),0)</f>
        <v>1221</v>
      </c>
      <c r="E38" s="8">
        <f ca="1">MAX(0,ROUND((_xlfn.NORM.INV(RAND(),Reference!$D$10,0.005))*SUMIFS(Sales!$D$6:$D$3658,Sales!$A$6:$A$3658,"&gt;="&amp;VALUE($A36),Sales!$A$6:$A$3658,"&lt;"&amp;VALUE($A37)),0))</f>
        <v>677</v>
      </c>
    </row>
    <row r="39" spans="1:5" x14ac:dyDescent="0.25">
      <c r="A39" s="19" t="s">
        <v>70</v>
      </c>
      <c r="B39" s="8">
        <f ca="1">ROUND((_xlfn.NORM.INV(RAND(),Reference!$C$9,0.005))*(SUMIFS(Sales!$B$6:$B$3658,Sales!$A$6:$A$3658,"&gt;="&amp;VALUE($A38),Sales!$A$6:$A$3658,"&lt;"&amp;VALUE($A39)))*(IF(MONTH(VALUE($A38))=Reference!$C$6,0,1)),0)</f>
        <v>484</v>
      </c>
      <c r="C39" s="8">
        <f ca="1">MAX(0,ROUND((_xlfn.NORM.INV(RAND(),Reference!$C$10,0.005))*SUMIFS(Sales!$B$6:$B$3658,Sales!$A$6:$A$3658,"&gt;="&amp;VALUE($A37),Sales!$A$6:$A$3658,"&lt;"&amp;VALUE($A38)),0))</f>
        <v>614</v>
      </c>
      <c r="D39" s="8">
        <f ca="1">ROUND((_xlfn.NORM.INV(RAND(),Reference!$D$9,0.005))*(SUMIFS(Sales!$D$6:$D$3658,Sales!$A$6:$A$3658,"&gt;="&amp;VALUE($A38),Sales!$A$6:$A$3658,"&lt;"&amp;VALUE($A39)))*(IF(MONTH(VALUE($A38))=Reference!$D$6,0,1)),0)</f>
        <v>0</v>
      </c>
      <c r="E39" s="8">
        <f ca="1">MAX(0,ROUND((_xlfn.NORM.INV(RAND(),Reference!$D$10,0.005))*SUMIFS(Sales!$D$6:$D$3658,Sales!$A$6:$A$3658,"&gt;="&amp;VALUE($A37),Sales!$A$6:$A$3658,"&lt;"&amp;VALUE($A38)),0))</f>
        <v>909</v>
      </c>
    </row>
    <row r="40" spans="1:5" x14ac:dyDescent="0.25">
      <c r="A40" s="19" t="s">
        <v>71</v>
      </c>
      <c r="B40" s="8">
        <f ca="1">ROUND((_xlfn.NORM.INV(RAND(),Reference!$C$9,0.005))*(SUMIFS(Sales!$B$6:$B$3658,Sales!$A$6:$A$3658,"&gt;="&amp;VALUE($A39),Sales!$A$6:$A$3658,"&lt;"&amp;VALUE($A40)))*(IF(MONTH(VALUE($A39))=Reference!$C$6,0,1)),0)</f>
        <v>476</v>
      </c>
      <c r="C40" s="8">
        <f ca="1">MAX(0,ROUND((_xlfn.NORM.INV(RAND(),Reference!$C$10,0.005))*SUMIFS(Sales!$B$6:$B$3658,Sales!$A$6:$A$3658,"&gt;="&amp;VALUE($A38),Sales!$A$6:$A$3658,"&lt;"&amp;VALUE($A39)),0))</f>
        <v>718</v>
      </c>
      <c r="D40" s="8">
        <f ca="1">ROUND((_xlfn.NORM.INV(RAND(),Reference!$D$9,0.005))*(SUMIFS(Sales!$D$6:$D$3658,Sales!$A$6:$A$3658,"&gt;="&amp;VALUE($A39),Sales!$A$6:$A$3658,"&lt;"&amp;VALUE($A40)))*(IF(MONTH(VALUE($A39))=Reference!$D$6,0,1)),0)</f>
        <v>1192</v>
      </c>
      <c r="E40" s="8">
        <f ca="1">MAX(0,ROUND((_xlfn.NORM.INV(RAND(),Reference!$D$10,0.005))*SUMIFS(Sales!$D$6:$D$3658,Sales!$A$6:$A$3658,"&gt;="&amp;VALUE($A38),Sales!$A$6:$A$3658,"&lt;"&amp;VALUE($A39)),0))</f>
        <v>714</v>
      </c>
    </row>
    <row r="41" spans="1:5" x14ac:dyDescent="0.25">
      <c r="A41" s="19" t="s">
        <v>72</v>
      </c>
      <c r="B41" s="8">
        <f ca="1">ROUND((_xlfn.NORM.INV(RAND(),Reference!$C$9,0.005))*(SUMIFS(Sales!$B$6:$B$3658,Sales!$A$6:$A$3658,"&gt;="&amp;VALUE($A40),Sales!$A$6:$A$3658,"&lt;"&amp;VALUE($A41)))*(IF(MONTH(VALUE($A40))=Reference!$C$6,0,1)),0)</f>
        <v>550</v>
      </c>
      <c r="C41" s="8">
        <f ca="1">MAX(0,ROUND((_xlfn.NORM.INV(RAND(),Reference!$C$10,0.005))*SUMIFS(Sales!$B$6:$B$3658,Sales!$A$6:$A$3658,"&gt;="&amp;VALUE($A39),Sales!$A$6:$A$3658,"&lt;"&amp;VALUE($A40)),0))</f>
        <v>726</v>
      </c>
      <c r="D41" s="8">
        <f ca="1">ROUND((_xlfn.NORM.INV(RAND(),Reference!$D$9,0.005))*(SUMIFS(Sales!$D$6:$D$3658,Sales!$A$6:$A$3658,"&gt;="&amp;VALUE($A40),Sales!$A$6:$A$3658,"&lt;"&amp;VALUE($A41)))*(IF(MONTH(VALUE($A40))=Reference!$D$6,0,1)),0)</f>
        <v>967</v>
      </c>
      <c r="E41" s="8">
        <f ca="1">MAX(0,ROUND((_xlfn.NORM.INV(RAND(),Reference!$D$10,0.005))*SUMIFS(Sales!$D$6:$D$3658,Sales!$A$6:$A$3658,"&gt;="&amp;VALUE($A39),Sales!$A$6:$A$3658,"&lt;"&amp;VALUE($A40)),0))</f>
        <v>745</v>
      </c>
    </row>
    <row r="42" spans="1:5" x14ac:dyDescent="0.25">
      <c r="A42" s="19" t="s">
        <v>73</v>
      </c>
      <c r="B42" s="8">
        <f ca="1">ROUND((_xlfn.NORM.INV(RAND(),Reference!$C$9,0.005))*(SUMIFS(Sales!$B$6:$B$3658,Sales!$A$6:$A$3658,"&gt;="&amp;VALUE($A41),Sales!$A$6:$A$3658,"&lt;"&amp;VALUE($A42)))*(IF(MONTH(VALUE($A41))=Reference!$C$6,0,1)),0)</f>
        <v>559</v>
      </c>
      <c r="C42" s="8">
        <f ca="1">MAX(0,ROUND((_xlfn.NORM.INV(RAND(),Reference!$C$10,0.005))*SUMIFS(Sales!$B$6:$B$3658,Sales!$A$6:$A$3658,"&gt;="&amp;VALUE($A40),Sales!$A$6:$A$3658,"&lt;"&amp;VALUE($A41)),0))</f>
        <v>705</v>
      </c>
      <c r="D42" s="8">
        <f ca="1">ROUND((_xlfn.NORM.INV(RAND(),Reference!$D$9,0.005))*(SUMIFS(Sales!$D$6:$D$3658,Sales!$A$6:$A$3658,"&gt;="&amp;VALUE($A41),Sales!$A$6:$A$3658,"&lt;"&amp;VALUE($A42)))*(IF(MONTH(VALUE($A41))=Reference!$D$6,0,1)),0)</f>
        <v>1099</v>
      </c>
      <c r="E42" s="8">
        <f ca="1">MAX(0,ROUND((_xlfn.NORM.INV(RAND(),Reference!$D$10,0.005))*SUMIFS(Sales!$D$6:$D$3658,Sales!$A$6:$A$3658,"&gt;="&amp;VALUE($A40),Sales!$A$6:$A$3658,"&lt;"&amp;VALUE($A41)),0))</f>
        <v>624</v>
      </c>
    </row>
    <row r="43" spans="1:5" x14ac:dyDescent="0.25">
      <c r="A43" s="19" t="s">
        <v>74</v>
      </c>
      <c r="B43" s="8">
        <f ca="1">ROUND((_xlfn.NORM.INV(RAND(),Reference!$C$9,0.005))*(SUMIFS(Sales!$B$6:$B$3658,Sales!$A$6:$A$3658,"&gt;="&amp;VALUE($A42),Sales!$A$6:$A$3658,"&lt;"&amp;VALUE($A43)))*(IF(MONTH(VALUE($A42))=Reference!$C$6,0,1)),0)</f>
        <v>674</v>
      </c>
      <c r="C43" s="8">
        <f ca="1">MAX(0,ROUND((_xlfn.NORM.INV(RAND(),Reference!$C$10,0.005))*SUMIFS(Sales!$B$6:$B$3658,Sales!$A$6:$A$3658,"&gt;="&amp;VALUE($A41),Sales!$A$6:$A$3658,"&lt;"&amp;VALUE($A42)),0))</f>
        <v>689</v>
      </c>
      <c r="D43" s="8">
        <f ca="1">ROUND((_xlfn.NORM.INV(RAND(),Reference!$D$9,0.005))*(SUMIFS(Sales!$D$6:$D$3658,Sales!$A$6:$A$3658,"&gt;="&amp;VALUE($A42),Sales!$A$6:$A$3658,"&lt;"&amp;VALUE($A43)))*(IF(MONTH(VALUE($A42))=Reference!$D$6,0,1)),0)</f>
        <v>1289</v>
      </c>
      <c r="E43" s="8">
        <f ca="1">MAX(0,ROUND((_xlfn.NORM.INV(RAND(),Reference!$D$10,0.005))*SUMIFS(Sales!$D$6:$D$3658,Sales!$A$6:$A$3658,"&gt;="&amp;VALUE($A41),Sales!$A$6:$A$3658,"&lt;"&amp;VALUE($A42)),0))</f>
        <v>718</v>
      </c>
    </row>
    <row r="44" spans="1:5" x14ac:dyDescent="0.25">
      <c r="A44" s="19" t="s">
        <v>75</v>
      </c>
      <c r="B44" s="8">
        <f ca="1">ROUND((_xlfn.NORM.INV(RAND(),Reference!$C$9,0.005))*(SUMIFS(Sales!$B$6:$B$3658,Sales!$A$6:$A$3658,"&gt;="&amp;VALUE($A43),Sales!$A$6:$A$3658,"&lt;"&amp;VALUE($A44)))*(IF(MONTH(VALUE($A43))=Reference!$C$6,0,1)),0)</f>
        <v>496</v>
      </c>
      <c r="C44" s="8">
        <f ca="1">MAX(0,ROUND((_xlfn.NORM.INV(RAND(),Reference!$C$10,0.005))*SUMIFS(Sales!$B$6:$B$3658,Sales!$A$6:$A$3658,"&gt;="&amp;VALUE($A42),Sales!$A$6:$A$3658,"&lt;"&amp;VALUE($A43)),0))</f>
        <v>658</v>
      </c>
      <c r="D44" s="8">
        <f ca="1">ROUND((_xlfn.NORM.INV(RAND(),Reference!$D$9,0.005))*(SUMIFS(Sales!$D$6:$D$3658,Sales!$A$6:$A$3658,"&gt;="&amp;VALUE($A43),Sales!$A$6:$A$3658,"&lt;"&amp;VALUE($A44)))*(IF(MONTH(VALUE($A43))=Reference!$D$6,0,1)),0)</f>
        <v>1118</v>
      </c>
      <c r="E44" s="8">
        <f ca="1">MAX(0,ROUND((_xlfn.NORM.INV(RAND(),Reference!$D$10,0.005))*SUMIFS(Sales!$D$6:$D$3658,Sales!$A$6:$A$3658,"&gt;="&amp;VALUE($A42),Sales!$A$6:$A$3658,"&lt;"&amp;VALUE($A43)),0))</f>
        <v>718</v>
      </c>
    </row>
    <row r="45" spans="1:5" x14ac:dyDescent="0.25">
      <c r="A45" s="19" t="s">
        <v>76</v>
      </c>
      <c r="B45" s="8">
        <f ca="1">ROUND((_xlfn.NORM.INV(RAND(),Reference!$C$9,0.005))*(SUMIFS(Sales!$B$6:$B$3658,Sales!$A$6:$A$3658,"&gt;="&amp;VALUE($A44),Sales!$A$6:$A$3658,"&lt;"&amp;VALUE($A45)))*(IF(MONTH(VALUE($A44))=Reference!$C$6,0,1)),0)</f>
        <v>629</v>
      </c>
      <c r="C45" s="8">
        <f ca="1">MAX(0,ROUND((_xlfn.NORM.INV(RAND(),Reference!$C$10,0.005))*SUMIFS(Sales!$B$6:$B$3658,Sales!$A$6:$A$3658,"&gt;="&amp;VALUE($A43),Sales!$A$6:$A$3658,"&lt;"&amp;VALUE($A44)),0))</f>
        <v>663</v>
      </c>
      <c r="D45" s="8">
        <f ca="1">ROUND((_xlfn.NORM.INV(RAND(),Reference!$D$9,0.005))*(SUMIFS(Sales!$D$6:$D$3658,Sales!$A$6:$A$3658,"&gt;="&amp;VALUE($A44),Sales!$A$6:$A$3658,"&lt;"&amp;VALUE($A45)))*(IF(MONTH(VALUE($A44))=Reference!$D$6,0,1)),0)</f>
        <v>1235</v>
      </c>
      <c r="E45" s="8">
        <f ca="1">MAX(0,ROUND((_xlfn.NORM.INV(RAND(),Reference!$D$10,0.005))*SUMIFS(Sales!$D$6:$D$3658,Sales!$A$6:$A$3658,"&gt;="&amp;VALUE($A43),Sales!$A$6:$A$3658,"&lt;"&amp;VALUE($A44)),0))</f>
        <v>618</v>
      </c>
    </row>
    <row r="46" spans="1:5" x14ac:dyDescent="0.25">
      <c r="A46" s="19" t="s">
        <v>77</v>
      </c>
      <c r="B46" s="8">
        <f ca="1">ROUND((_xlfn.NORM.INV(RAND(),Reference!$C$9,0.005))*(SUMIFS(Sales!$B$6:$B$3658,Sales!$A$6:$A$3658,"&gt;="&amp;VALUE($A45),Sales!$A$6:$A$3658,"&lt;"&amp;VALUE($A46)))*(IF(MONTH(VALUE($A45))=Reference!$C$6,0,1)),0)</f>
        <v>794</v>
      </c>
      <c r="C46" s="8">
        <f ca="1">MAX(0,ROUND((_xlfn.NORM.INV(RAND(),Reference!$C$10,0.005))*SUMIFS(Sales!$B$6:$B$3658,Sales!$A$6:$A$3658,"&gt;="&amp;VALUE($A44),Sales!$A$6:$A$3658,"&lt;"&amp;VALUE($A45)),0))</f>
        <v>730</v>
      </c>
      <c r="D46" s="8">
        <f ca="1">ROUND((_xlfn.NORM.INV(RAND(),Reference!$D$9,0.005))*(SUMIFS(Sales!$D$6:$D$3658,Sales!$A$6:$A$3658,"&gt;="&amp;VALUE($A45),Sales!$A$6:$A$3658,"&lt;"&amp;VALUE($A46)))*(IF(MONTH(VALUE($A45))=Reference!$D$6,0,1)),0)</f>
        <v>1123</v>
      </c>
      <c r="E46" s="8">
        <f ca="1">MAX(0,ROUND((_xlfn.NORM.INV(RAND(),Reference!$D$10,0.005))*SUMIFS(Sales!$D$6:$D$3658,Sales!$A$6:$A$3658,"&gt;="&amp;VALUE($A44),Sales!$A$6:$A$3658,"&lt;"&amp;VALUE($A45)),0))</f>
        <v>563</v>
      </c>
    </row>
    <row r="47" spans="1:5" x14ac:dyDescent="0.25">
      <c r="A47" s="19" t="s">
        <v>78</v>
      </c>
      <c r="B47" s="8">
        <f ca="1">ROUND((_xlfn.NORM.INV(RAND(),Reference!$C$9,0.005))*(SUMIFS(Sales!$B$6:$B$3658,Sales!$A$6:$A$3658,"&gt;="&amp;VALUE($A46),Sales!$A$6:$A$3658,"&lt;"&amp;VALUE($A47)))*(IF(MONTH(VALUE($A46))=Reference!$C$6,0,1)),0)</f>
        <v>818</v>
      </c>
      <c r="C47" s="8">
        <f ca="1">MAX(0,ROUND((_xlfn.NORM.INV(RAND(),Reference!$C$10,0.005))*SUMIFS(Sales!$B$6:$B$3658,Sales!$A$6:$A$3658,"&gt;="&amp;VALUE($A45),Sales!$A$6:$A$3658,"&lt;"&amp;VALUE($A46)),0))</f>
        <v>1093</v>
      </c>
      <c r="D47" s="8">
        <f ca="1">ROUND((_xlfn.NORM.INV(RAND(),Reference!$D$9,0.005))*(SUMIFS(Sales!$D$6:$D$3658,Sales!$A$6:$A$3658,"&gt;="&amp;VALUE($A46),Sales!$A$6:$A$3658,"&lt;"&amp;VALUE($A47)))*(IF(MONTH(VALUE($A46))=Reference!$D$6,0,1)),0)</f>
        <v>1108</v>
      </c>
      <c r="E47" s="8">
        <f ca="1">MAX(0,ROUND((_xlfn.NORM.INV(RAND(),Reference!$D$10,0.005))*SUMIFS(Sales!$D$6:$D$3658,Sales!$A$6:$A$3658,"&gt;="&amp;VALUE($A45),Sales!$A$6:$A$3658,"&lt;"&amp;VALUE($A46)),0))</f>
        <v>694</v>
      </c>
    </row>
    <row r="48" spans="1:5" x14ac:dyDescent="0.25">
      <c r="A48" s="19" t="s">
        <v>79</v>
      </c>
      <c r="B48" s="8">
        <f ca="1">ROUND((_xlfn.NORM.INV(RAND(),Reference!$C$9,0.005))*(SUMIFS(Sales!$B$6:$B$3658,Sales!$A$6:$A$3658,"&gt;="&amp;VALUE($A47),Sales!$A$6:$A$3658,"&lt;"&amp;VALUE($A48)))*(IF(MONTH(VALUE($A47))=Reference!$C$6,0,1)),0)</f>
        <v>0</v>
      </c>
      <c r="C48" s="8">
        <f ca="1">MAX(0,ROUND((_xlfn.NORM.INV(RAND(),Reference!$C$10,0.005))*SUMIFS(Sales!$B$6:$B$3658,Sales!$A$6:$A$3658,"&gt;="&amp;VALUE($A46),Sales!$A$6:$A$3658,"&lt;"&amp;VALUE($A47)),0))</f>
        <v>930</v>
      </c>
      <c r="D48" s="8">
        <f ca="1">ROUND((_xlfn.NORM.INV(RAND(),Reference!$D$9,0.005))*(SUMIFS(Sales!$D$6:$D$3658,Sales!$A$6:$A$3658,"&gt;="&amp;VALUE($A47),Sales!$A$6:$A$3658,"&lt;"&amp;VALUE($A48)))*(IF(MONTH(VALUE($A47))=Reference!$D$6,0,1)),0)</f>
        <v>1126</v>
      </c>
      <c r="E48" s="8">
        <f ca="1">MAX(0,ROUND((_xlfn.NORM.INV(RAND(),Reference!$D$10,0.005))*SUMIFS(Sales!$D$6:$D$3658,Sales!$A$6:$A$3658,"&gt;="&amp;VALUE($A46),Sales!$A$6:$A$3658,"&lt;"&amp;VALUE($A47)),0))</f>
        <v>648</v>
      </c>
    </row>
    <row r="49" spans="1:5" x14ac:dyDescent="0.25">
      <c r="A49" s="19" t="s">
        <v>80</v>
      </c>
      <c r="B49" s="8">
        <f ca="1">ROUND((_xlfn.NORM.INV(RAND(),Reference!$C$9,0.005))*(SUMIFS(Sales!$B$6:$B$3658,Sales!$A$6:$A$3658,"&gt;="&amp;VALUE($A48),Sales!$A$6:$A$3658,"&lt;"&amp;VALUE($A49)))*(IF(MONTH(VALUE($A48))=Reference!$C$6,0,1)),0)</f>
        <v>692</v>
      </c>
      <c r="C49" s="8">
        <f ca="1">MAX(0,ROUND((_xlfn.NORM.INV(RAND(),Reference!$C$10,0.005))*SUMIFS(Sales!$B$6:$B$3658,Sales!$A$6:$A$3658,"&gt;="&amp;VALUE($A47),Sales!$A$6:$A$3658,"&lt;"&amp;VALUE($A48)),0))</f>
        <v>811</v>
      </c>
      <c r="D49" s="8">
        <f ca="1">ROUND((_xlfn.NORM.INV(RAND(),Reference!$D$9,0.005))*(SUMIFS(Sales!$D$6:$D$3658,Sales!$A$6:$A$3658,"&gt;="&amp;VALUE($A48),Sales!$A$6:$A$3658,"&lt;"&amp;VALUE($A49)))*(IF(MONTH(VALUE($A48))=Reference!$D$6,0,1)),0)</f>
        <v>1393</v>
      </c>
      <c r="E49" s="8">
        <f ca="1">MAX(0,ROUND((_xlfn.NORM.INV(RAND(),Reference!$D$10,0.005))*SUMIFS(Sales!$D$6:$D$3658,Sales!$A$6:$A$3658,"&gt;="&amp;VALUE($A47),Sales!$A$6:$A$3658,"&lt;"&amp;VALUE($A48)),0))</f>
        <v>703</v>
      </c>
    </row>
    <row r="50" spans="1:5" x14ac:dyDescent="0.25">
      <c r="A50" s="19" t="s">
        <v>81</v>
      </c>
      <c r="B50" s="8">
        <f ca="1">ROUND((_xlfn.NORM.INV(RAND(),Reference!$C$9,0.005))*(SUMIFS(Sales!$B$6:$B$3658,Sales!$A$6:$A$3658,"&gt;="&amp;VALUE($A49),Sales!$A$6:$A$3658,"&lt;"&amp;VALUE($A50)))*(IF(MONTH(VALUE($A49))=Reference!$C$6,0,1)),0)</f>
        <v>639</v>
      </c>
      <c r="C50" s="8">
        <f ca="1">MAX(0,ROUND((_xlfn.NORM.INV(RAND(),Reference!$C$10,0.005))*SUMIFS(Sales!$B$6:$B$3658,Sales!$A$6:$A$3658,"&gt;="&amp;VALUE($A48),Sales!$A$6:$A$3658,"&lt;"&amp;VALUE($A49)),0))</f>
        <v>673</v>
      </c>
      <c r="D50" s="8">
        <f ca="1">ROUND((_xlfn.NORM.INV(RAND(),Reference!$D$9,0.005))*(SUMIFS(Sales!$D$6:$D$3658,Sales!$A$6:$A$3658,"&gt;="&amp;VALUE($A49),Sales!$A$6:$A$3658,"&lt;"&amp;VALUE($A50)))*(IF(MONTH(VALUE($A49))=Reference!$D$6,0,1)),0)</f>
        <v>1305</v>
      </c>
      <c r="E50" s="8">
        <f ca="1">MAX(0,ROUND((_xlfn.NORM.INV(RAND(),Reference!$D$10,0.005))*SUMIFS(Sales!$D$6:$D$3658,Sales!$A$6:$A$3658,"&gt;="&amp;VALUE($A48),Sales!$A$6:$A$3658,"&lt;"&amp;VALUE($A49)),0))</f>
        <v>981</v>
      </c>
    </row>
    <row r="51" spans="1:5" x14ac:dyDescent="0.25">
      <c r="A51" s="19" t="s">
        <v>82</v>
      </c>
      <c r="B51" s="8">
        <f ca="1">ROUND((_xlfn.NORM.INV(RAND(),Reference!$C$9,0.005))*(SUMIFS(Sales!$B$6:$B$3658,Sales!$A$6:$A$3658,"&gt;="&amp;VALUE($A50),Sales!$A$6:$A$3658,"&lt;"&amp;VALUE($A51)))*(IF(MONTH(VALUE($A50))=Reference!$C$6,0,1)),0)</f>
        <v>608</v>
      </c>
      <c r="C51" s="8">
        <f ca="1">MAX(0,ROUND((_xlfn.NORM.INV(RAND(),Reference!$C$10,0.005))*SUMIFS(Sales!$B$6:$B$3658,Sales!$A$6:$A$3658,"&gt;="&amp;VALUE($A49),Sales!$A$6:$A$3658,"&lt;"&amp;VALUE($A50)),0))</f>
        <v>756</v>
      </c>
      <c r="D51" s="8">
        <f ca="1">ROUND((_xlfn.NORM.INV(RAND(),Reference!$D$9,0.005))*(SUMIFS(Sales!$D$6:$D$3658,Sales!$A$6:$A$3658,"&gt;="&amp;VALUE($A50),Sales!$A$6:$A$3658,"&lt;"&amp;VALUE($A51)))*(IF(MONTH(VALUE($A50))=Reference!$D$6,0,1)),0)</f>
        <v>0</v>
      </c>
      <c r="E51" s="8">
        <f ca="1">MAX(0,ROUND((_xlfn.NORM.INV(RAND(),Reference!$D$10,0.005))*SUMIFS(Sales!$D$6:$D$3658,Sales!$A$6:$A$3658,"&gt;="&amp;VALUE($A49),Sales!$A$6:$A$3658,"&lt;"&amp;VALUE($A50)),0))</f>
        <v>564</v>
      </c>
    </row>
    <row r="52" spans="1:5" x14ac:dyDescent="0.25">
      <c r="A52" s="19" t="s">
        <v>83</v>
      </c>
      <c r="B52" s="8">
        <f ca="1">ROUND((_xlfn.NORM.INV(RAND(),Reference!$C$9,0.005))*(SUMIFS(Sales!$B$6:$B$3658,Sales!$A$6:$A$3658,"&gt;="&amp;VALUE($A51),Sales!$A$6:$A$3658,"&lt;"&amp;VALUE($A52)))*(IF(MONTH(VALUE($A51))=Reference!$C$6,0,1)),0)</f>
        <v>617</v>
      </c>
      <c r="C52" s="8">
        <f ca="1">MAX(0,ROUND((_xlfn.NORM.INV(RAND(),Reference!$C$10,0.005))*SUMIFS(Sales!$B$6:$B$3658,Sales!$A$6:$A$3658,"&gt;="&amp;VALUE($A50),Sales!$A$6:$A$3658,"&lt;"&amp;VALUE($A51)),0))</f>
        <v>745</v>
      </c>
      <c r="D52" s="8">
        <f ca="1">ROUND((_xlfn.NORM.INV(RAND(),Reference!$D$9,0.005))*(SUMIFS(Sales!$D$6:$D$3658,Sales!$A$6:$A$3658,"&gt;="&amp;VALUE($A51),Sales!$A$6:$A$3658,"&lt;"&amp;VALUE($A52)))*(IF(MONTH(VALUE($A51))=Reference!$D$6,0,1)),0)</f>
        <v>1115</v>
      </c>
      <c r="E52" s="8">
        <f ca="1">MAX(0,ROUND((_xlfn.NORM.INV(RAND(),Reference!$D$10,0.005))*SUMIFS(Sales!$D$6:$D$3658,Sales!$A$6:$A$3658,"&gt;="&amp;VALUE($A50),Sales!$A$6:$A$3658,"&lt;"&amp;VALUE($A51)),0))</f>
        <v>680</v>
      </c>
    </row>
    <row r="53" spans="1:5" x14ac:dyDescent="0.25">
      <c r="A53" s="19" t="s">
        <v>84</v>
      </c>
      <c r="B53" s="8">
        <f ca="1">ROUND((_xlfn.NORM.INV(RAND(),Reference!$C$9,0.005))*(SUMIFS(Sales!$B$6:$B$3658,Sales!$A$6:$A$3658,"&gt;="&amp;VALUE($A52),Sales!$A$6:$A$3658,"&lt;"&amp;VALUE($A53)))*(IF(MONTH(VALUE($A52))=Reference!$C$6,0,1)),0)</f>
        <v>606</v>
      </c>
      <c r="C53" s="8">
        <f ca="1">MAX(0,ROUND((_xlfn.NORM.INV(RAND(),Reference!$C$10,0.005))*SUMIFS(Sales!$B$6:$B$3658,Sales!$A$6:$A$3658,"&gt;="&amp;VALUE($A51),Sales!$A$6:$A$3658,"&lt;"&amp;VALUE($A52)),0))</f>
        <v>639</v>
      </c>
      <c r="D53" s="8">
        <f ca="1">ROUND((_xlfn.NORM.INV(RAND(),Reference!$D$9,0.005))*(SUMIFS(Sales!$D$6:$D$3658,Sales!$A$6:$A$3658,"&gt;="&amp;VALUE($A52),Sales!$A$6:$A$3658,"&lt;"&amp;VALUE($A53)))*(IF(MONTH(VALUE($A52))=Reference!$D$6,0,1)),0)</f>
        <v>1232</v>
      </c>
      <c r="E53" s="8">
        <f ca="1">MAX(0,ROUND((_xlfn.NORM.INV(RAND(),Reference!$D$10,0.005))*SUMIFS(Sales!$D$6:$D$3658,Sales!$A$6:$A$3658,"&gt;="&amp;VALUE($A51),Sales!$A$6:$A$3658,"&lt;"&amp;VALUE($A52)),0))</f>
        <v>739</v>
      </c>
    </row>
    <row r="54" spans="1:5" x14ac:dyDescent="0.25">
      <c r="A54" s="19" t="s">
        <v>85</v>
      </c>
      <c r="B54" s="8">
        <f ca="1">ROUND((_xlfn.NORM.INV(RAND(),Reference!$C$9,0.005))*(SUMIFS(Sales!$B$6:$B$3658,Sales!$A$6:$A$3658,"&gt;="&amp;VALUE($A53),Sales!$A$6:$A$3658,"&lt;"&amp;VALUE($A54)))*(IF(MONTH(VALUE($A53))=Reference!$C$6,0,1)),0)</f>
        <v>587</v>
      </c>
      <c r="C54" s="8">
        <f ca="1">MAX(0,ROUND((_xlfn.NORM.INV(RAND(),Reference!$C$10,0.005))*SUMIFS(Sales!$B$6:$B$3658,Sales!$A$6:$A$3658,"&gt;="&amp;VALUE($A52),Sales!$A$6:$A$3658,"&lt;"&amp;VALUE($A53)),0))</f>
        <v>671</v>
      </c>
      <c r="D54" s="8">
        <f ca="1">ROUND((_xlfn.NORM.INV(RAND(),Reference!$D$9,0.005))*(SUMIFS(Sales!$D$6:$D$3658,Sales!$A$6:$A$3658,"&gt;="&amp;VALUE($A53),Sales!$A$6:$A$3658,"&lt;"&amp;VALUE($A54)))*(IF(MONTH(VALUE($A53))=Reference!$D$6,0,1)),0)</f>
        <v>1199</v>
      </c>
      <c r="E54" s="8">
        <f ca="1">MAX(0,ROUND((_xlfn.NORM.INV(RAND(),Reference!$D$10,0.005))*SUMIFS(Sales!$D$6:$D$3658,Sales!$A$6:$A$3658,"&gt;="&amp;VALUE($A52),Sales!$A$6:$A$3658,"&lt;"&amp;VALUE($A53)),0))</f>
        <v>585</v>
      </c>
    </row>
    <row r="55" spans="1:5" x14ac:dyDescent="0.25">
      <c r="A55" s="19" t="s">
        <v>86</v>
      </c>
      <c r="B55" s="8">
        <f ca="1">ROUND((_xlfn.NORM.INV(RAND(),Reference!$C$9,0.005))*(SUMIFS(Sales!$B$6:$B$3658,Sales!$A$6:$A$3658,"&gt;="&amp;VALUE($A54),Sales!$A$6:$A$3658,"&lt;"&amp;VALUE($A55)))*(IF(MONTH(VALUE($A54))=Reference!$C$6,0,1)),0)</f>
        <v>489</v>
      </c>
      <c r="C55" s="8">
        <f ca="1">MAX(0,ROUND((_xlfn.NORM.INV(RAND(),Reference!$C$10,0.005))*SUMIFS(Sales!$B$6:$B$3658,Sales!$A$6:$A$3658,"&gt;="&amp;VALUE($A53),Sales!$A$6:$A$3658,"&lt;"&amp;VALUE($A54)),0))</f>
        <v>644</v>
      </c>
      <c r="D55" s="8">
        <f ca="1">ROUND((_xlfn.NORM.INV(RAND(),Reference!$D$9,0.005))*(SUMIFS(Sales!$D$6:$D$3658,Sales!$A$6:$A$3658,"&gt;="&amp;VALUE($A54),Sales!$A$6:$A$3658,"&lt;"&amp;VALUE($A55)))*(IF(MONTH(VALUE($A54))=Reference!$D$6,0,1)),0)</f>
        <v>1113</v>
      </c>
      <c r="E55" s="8">
        <f ca="1">MAX(0,ROUND((_xlfn.NORM.INV(RAND(),Reference!$D$10,0.005))*SUMIFS(Sales!$D$6:$D$3658,Sales!$A$6:$A$3658,"&gt;="&amp;VALUE($A53),Sales!$A$6:$A$3658,"&lt;"&amp;VALUE($A54)),0))</f>
        <v>781</v>
      </c>
    </row>
    <row r="56" spans="1:5" x14ac:dyDescent="0.25">
      <c r="A56" s="19" t="s">
        <v>87</v>
      </c>
      <c r="B56" s="8">
        <f ca="1">ROUND((_xlfn.NORM.INV(RAND(),Reference!$C$9,0.005))*(SUMIFS(Sales!$B$6:$B$3658,Sales!$A$6:$A$3658,"&gt;="&amp;VALUE($A55),Sales!$A$6:$A$3658,"&lt;"&amp;VALUE($A56)))*(IF(MONTH(VALUE($A55))=Reference!$C$6,0,1)),0)</f>
        <v>570</v>
      </c>
      <c r="C56" s="8">
        <f ca="1">MAX(0,ROUND((_xlfn.NORM.INV(RAND(),Reference!$C$10,0.005))*SUMIFS(Sales!$B$6:$B$3658,Sales!$A$6:$A$3658,"&gt;="&amp;VALUE($A54),Sales!$A$6:$A$3658,"&lt;"&amp;VALUE($A55)),0))</f>
        <v>641</v>
      </c>
      <c r="D56" s="8">
        <f ca="1">ROUND((_xlfn.NORM.INV(RAND(),Reference!$D$9,0.005))*(SUMIFS(Sales!$D$6:$D$3658,Sales!$A$6:$A$3658,"&gt;="&amp;VALUE($A55),Sales!$A$6:$A$3658,"&lt;"&amp;VALUE($A56)))*(IF(MONTH(VALUE($A55))=Reference!$D$6,0,1)),0)</f>
        <v>1045</v>
      </c>
      <c r="E56" s="8">
        <f ca="1">MAX(0,ROUND((_xlfn.NORM.INV(RAND(),Reference!$D$10,0.005))*SUMIFS(Sales!$D$6:$D$3658,Sales!$A$6:$A$3658,"&gt;="&amp;VALUE($A54),Sales!$A$6:$A$3658,"&lt;"&amp;VALUE($A55)),0))</f>
        <v>673</v>
      </c>
    </row>
    <row r="57" spans="1:5" x14ac:dyDescent="0.25">
      <c r="A57" s="19" t="s">
        <v>88</v>
      </c>
      <c r="B57" s="8">
        <f ca="1">ROUND((_xlfn.NORM.INV(RAND(),Reference!$C$9,0.005))*(SUMIFS(Sales!$B$6:$B$3658,Sales!$A$6:$A$3658,"&gt;="&amp;VALUE($A56),Sales!$A$6:$A$3658,"&lt;"&amp;VALUE($A57)))*(IF(MONTH(VALUE($A56))=Reference!$C$6,0,1)),0)</f>
        <v>651</v>
      </c>
      <c r="C57" s="8">
        <f ca="1">MAX(0,ROUND((_xlfn.NORM.INV(RAND(),Reference!$C$10,0.005))*SUMIFS(Sales!$B$6:$B$3658,Sales!$A$6:$A$3658,"&gt;="&amp;VALUE($A55),Sales!$A$6:$A$3658,"&lt;"&amp;VALUE($A56)),0))</f>
        <v>701</v>
      </c>
      <c r="D57" s="8">
        <f ca="1">ROUND((_xlfn.NORM.INV(RAND(),Reference!$D$9,0.005))*(SUMIFS(Sales!$D$6:$D$3658,Sales!$A$6:$A$3658,"&gt;="&amp;VALUE($A56),Sales!$A$6:$A$3658,"&lt;"&amp;VALUE($A57)))*(IF(MONTH(VALUE($A56))=Reference!$D$6,0,1)),0)</f>
        <v>1133</v>
      </c>
      <c r="E57" s="8">
        <f ca="1">MAX(0,ROUND((_xlfn.NORM.INV(RAND(),Reference!$D$10,0.005))*SUMIFS(Sales!$D$6:$D$3658,Sales!$A$6:$A$3658,"&gt;="&amp;VALUE($A55),Sales!$A$6:$A$3658,"&lt;"&amp;VALUE($A56)),0))</f>
        <v>556</v>
      </c>
    </row>
    <row r="58" spans="1:5" x14ac:dyDescent="0.25">
      <c r="A58" s="19" t="s">
        <v>89</v>
      </c>
      <c r="B58" s="8">
        <f ca="1">ROUND((_xlfn.NORM.INV(RAND(),Reference!$C$9,0.005))*(SUMIFS(Sales!$B$6:$B$3658,Sales!$A$6:$A$3658,"&gt;="&amp;VALUE($A57),Sales!$A$6:$A$3658,"&lt;"&amp;VALUE($A58)))*(IF(MONTH(VALUE($A57))=Reference!$C$6,0,1)),0)</f>
        <v>898</v>
      </c>
      <c r="C58" s="8">
        <f ca="1">MAX(0,ROUND((_xlfn.NORM.INV(RAND(),Reference!$C$10,0.005))*SUMIFS(Sales!$B$6:$B$3658,Sales!$A$6:$A$3658,"&gt;="&amp;VALUE($A56),Sales!$A$6:$A$3658,"&lt;"&amp;VALUE($A57)),0))</f>
        <v>629</v>
      </c>
      <c r="D58" s="8">
        <f ca="1">ROUND((_xlfn.NORM.INV(RAND(),Reference!$D$9,0.005))*(SUMIFS(Sales!$D$6:$D$3658,Sales!$A$6:$A$3658,"&gt;="&amp;VALUE($A57),Sales!$A$6:$A$3658,"&lt;"&amp;VALUE($A58)))*(IF(MONTH(VALUE($A57))=Reference!$D$6,0,1)),0)</f>
        <v>1070</v>
      </c>
      <c r="E58" s="8">
        <f ca="1">MAX(0,ROUND((_xlfn.NORM.INV(RAND(),Reference!$D$10,0.005))*SUMIFS(Sales!$D$6:$D$3658,Sales!$A$6:$A$3658,"&gt;="&amp;VALUE($A56),Sales!$A$6:$A$3658,"&lt;"&amp;VALUE($A57)),0))</f>
        <v>540</v>
      </c>
    </row>
    <row r="59" spans="1:5" x14ac:dyDescent="0.25">
      <c r="A59" s="19" t="s">
        <v>90</v>
      </c>
      <c r="B59" s="8">
        <f ca="1">ROUND((_xlfn.NORM.INV(RAND(),Reference!$C$9,0.005))*(SUMIFS(Sales!$B$6:$B$3658,Sales!$A$6:$A$3658,"&gt;="&amp;VALUE($A58),Sales!$A$6:$A$3658,"&lt;"&amp;VALUE($A59)))*(IF(MONTH(VALUE($A58))=Reference!$C$6,0,1)),0)</f>
        <v>877</v>
      </c>
      <c r="C59" s="8">
        <f ca="1">MAX(0,ROUND((_xlfn.NORM.INV(RAND(),Reference!$C$10,0.005))*SUMIFS(Sales!$B$6:$B$3658,Sales!$A$6:$A$3658,"&gt;="&amp;VALUE($A57),Sales!$A$6:$A$3658,"&lt;"&amp;VALUE($A58)),0))</f>
        <v>1118</v>
      </c>
      <c r="D59" s="8">
        <f ca="1">ROUND((_xlfn.NORM.INV(RAND(),Reference!$D$9,0.005))*(SUMIFS(Sales!$D$6:$D$3658,Sales!$A$6:$A$3658,"&gt;="&amp;VALUE($A58),Sales!$A$6:$A$3658,"&lt;"&amp;VALUE($A59)))*(IF(MONTH(VALUE($A58))=Reference!$D$6,0,1)),0)</f>
        <v>1040</v>
      </c>
      <c r="E59" s="8">
        <f ca="1">MAX(0,ROUND((_xlfn.NORM.INV(RAND(),Reference!$D$10,0.005))*SUMIFS(Sales!$D$6:$D$3658,Sales!$A$6:$A$3658,"&gt;="&amp;VALUE($A57),Sales!$A$6:$A$3658,"&lt;"&amp;VALUE($A58)),0))</f>
        <v>727</v>
      </c>
    </row>
    <row r="60" spans="1:5" x14ac:dyDescent="0.25">
      <c r="A60" s="19" t="s">
        <v>91</v>
      </c>
      <c r="B60" s="8">
        <f ca="1">ROUND((_xlfn.NORM.INV(RAND(),Reference!$C$9,0.005))*(SUMIFS(Sales!$B$6:$B$3658,Sales!$A$6:$A$3658,"&gt;="&amp;VALUE($A59),Sales!$A$6:$A$3658,"&lt;"&amp;VALUE($A60)))*(IF(MONTH(VALUE($A59))=Reference!$C$6,0,1)),0)</f>
        <v>0</v>
      </c>
      <c r="C60" s="8">
        <f ca="1">MAX(0,ROUND((_xlfn.NORM.INV(RAND(),Reference!$C$10,0.005))*SUMIFS(Sales!$B$6:$B$3658,Sales!$A$6:$A$3658,"&gt;="&amp;VALUE($A58),Sales!$A$6:$A$3658,"&lt;"&amp;VALUE($A59)),0))</f>
        <v>1153</v>
      </c>
      <c r="D60" s="8">
        <f ca="1">ROUND((_xlfn.NORM.INV(RAND(),Reference!$D$9,0.005))*(SUMIFS(Sales!$D$6:$D$3658,Sales!$A$6:$A$3658,"&gt;="&amp;VALUE($A59),Sales!$A$6:$A$3658,"&lt;"&amp;VALUE($A60)))*(IF(MONTH(VALUE($A59))=Reference!$D$6,0,1)),0)</f>
        <v>1128</v>
      </c>
      <c r="E60" s="8">
        <f ca="1">MAX(0,ROUND((_xlfn.NORM.INV(RAND(),Reference!$D$10,0.005))*SUMIFS(Sales!$D$6:$D$3658,Sales!$A$6:$A$3658,"&gt;="&amp;VALUE($A58),Sales!$A$6:$A$3658,"&lt;"&amp;VALUE($A59)),0))</f>
        <v>638</v>
      </c>
    </row>
    <row r="61" spans="1:5" x14ac:dyDescent="0.25">
      <c r="A61" s="19" t="s">
        <v>92</v>
      </c>
      <c r="B61" s="8">
        <f ca="1">ROUND((_xlfn.NORM.INV(RAND(),Reference!$C$9,0.005))*(SUMIFS(Sales!$B$6:$B$3658,Sales!$A$6:$A$3658,"&gt;="&amp;VALUE($A60),Sales!$A$6:$A$3658,"&lt;"&amp;VALUE($A61)))*(IF(MONTH(VALUE($A60))=Reference!$C$6,0,1)),0)</f>
        <v>611</v>
      </c>
      <c r="C61" s="8">
        <f ca="1">MAX(0,ROUND((_xlfn.NORM.INV(RAND(),Reference!$C$10,0.005))*SUMIFS(Sales!$B$6:$B$3658,Sales!$A$6:$A$3658,"&gt;="&amp;VALUE($A59),Sales!$A$6:$A$3658,"&lt;"&amp;VALUE($A60)),0))</f>
        <v>871</v>
      </c>
      <c r="D61" s="8">
        <f ca="1">ROUND((_xlfn.NORM.INV(RAND(),Reference!$D$9,0.005))*(SUMIFS(Sales!$D$6:$D$3658,Sales!$A$6:$A$3658,"&gt;="&amp;VALUE($A60),Sales!$A$6:$A$3658,"&lt;"&amp;VALUE($A61)))*(IF(MONTH(VALUE($A60))=Reference!$D$6,0,1)),0)</f>
        <v>1213</v>
      </c>
      <c r="E61" s="8">
        <f ca="1">MAX(0,ROUND((_xlfn.NORM.INV(RAND(),Reference!$D$10,0.005))*SUMIFS(Sales!$D$6:$D$3658,Sales!$A$6:$A$3658,"&gt;="&amp;VALUE($A59),Sales!$A$6:$A$3658,"&lt;"&amp;VALUE($A60)),0))</f>
        <v>684</v>
      </c>
    </row>
    <row r="62" spans="1:5" x14ac:dyDescent="0.25">
      <c r="A62" s="19" t="s">
        <v>93</v>
      </c>
      <c r="B62" s="8">
        <f ca="1">ROUND((_xlfn.NORM.INV(RAND(),Reference!$C$9,0.005))*(SUMIFS(Sales!$B$6:$B$3658,Sales!$A$6:$A$3658,"&gt;="&amp;VALUE($A61),Sales!$A$6:$A$3658,"&lt;"&amp;VALUE($A62)))*(IF(MONTH(VALUE($A61))=Reference!$C$6,0,1)),0)</f>
        <v>634</v>
      </c>
      <c r="C62" s="8">
        <f ca="1">MAX(0,ROUND((_xlfn.NORM.INV(RAND(),Reference!$C$10,0.005))*SUMIFS(Sales!$B$6:$B$3658,Sales!$A$6:$A$3658,"&gt;="&amp;VALUE($A60),Sales!$A$6:$A$3658,"&lt;"&amp;VALUE($A61)),0))</f>
        <v>707</v>
      </c>
      <c r="D62" s="8">
        <f ca="1">ROUND((_xlfn.NORM.INV(RAND(),Reference!$D$9,0.005))*(SUMIFS(Sales!$D$6:$D$3658,Sales!$A$6:$A$3658,"&gt;="&amp;VALUE($A61),Sales!$A$6:$A$3658,"&lt;"&amp;VALUE($A62)))*(IF(MONTH(VALUE($A61))=Reference!$D$6,0,1)),0)</f>
        <v>1279</v>
      </c>
      <c r="E62" s="8">
        <f ca="1">MAX(0,ROUND((_xlfn.NORM.INV(RAND(),Reference!$D$10,0.005))*SUMIFS(Sales!$D$6:$D$3658,Sales!$A$6:$A$3658,"&gt;="&amp;VALUE($A60),Sales!$A$6:$A$3658,"&lt;"&amp;VALUE($A61)),0))</f>
        <v>902</v>
      </c>
    </row>
    <row r="63" spans="1:5" x14ac:dyDescent="0.25">
      <c r="A63" s="19" t="s">
        <v>94</v>
      </c>
      <c r="B63" s="8">
        <f ca="1">ROUND((_xlfn.NORM.INV(RAND(),Reference!$C$9,0.005))*(SUMIFS(Sales!$B$6:$B$3658,Sales!$A$6:$A$3658,"&gt;="&amp;VALUE($A62),Sales!$A$6:$A$3658,"&lt;"&amp;VALUE($A63)))*(IF(MONTH(VALUE($A62))=Reference!$C$6,0,1)),0)</f>
        <v>609</v>
      </c>
      <c r="C63" s="8">
        <f ca="1">MAX(0,ROUND((_xlfn.NORM.INV(RAND(),Reference!$C$10,0.005))*SUMIFS(Sales!$B$6:$B$3658,Sales!$A$6:$A$3658,"&gt;="&amp;VALUE($A61),Sales!$A$6:$A$3658,"&lt;"&amp;VALUE($A62)),0))</f>
        <v>766</v>
      </c>
      <c r="D63" s="8">
        <f ca="1">ROUND((_xlfn.NORM.INV(RAND(),Reference!$D$9,0.005))*(SUMIFS(Sales!$D$6:$D$3658,Sales!$A$6:$A$3658,"&gt;="&amp;VALUE($A62),Sales!$A$6:$A$3658,"&lt;"&amp;VALUE($A63)))*(IF(MONTH(VALUE($A62))=Reference!$D$6,0,1)),0)</f>
        <v>0</v>
      </c>
      <c r="E63" s="8">
        <f ca="1">MAX(0,ROUND((_xlfn.NORM.INV(RAND(),Reference!$D$10,0.005))*SUMIFS(Sales!$D$6:$D$3658,Sales!$A$6:$A$3658,"&gt;="&amp;VALUE($A61),Sales!$A$6:$A$3658,"&lt;"&amp;VALUE($A62)),0))</f>
        <v>605</v>
      </c>
    </row>
    <row r="64" spans="1:5" x14ac:dyDescent="0.25">
      <c r="A64" s="19" t="s">
        <v>95</v>
      </c>
      <c r="B64" s="8">
        <f ca="1">ROUND((_xlfn.NORM.INV(RAND(),Reference!$C$9,0.005))*(SUMIFS(Sales!$B$6:$B$3658,Sales!$A$6:$A$3658,"&gt;="&amp;VALUE($A63),Sales!$A$6:$A$3658,"&lt;"&amp;VALUE($A64)))*(IF(MONTH(VALUE($A63))=Reference!$C$6,0,1)),0)</f>
        <v>513</v>
      </c>
      <c r="C64" s="8">
        <f ca="1">MAX(0,ROUND((_xlfn.NORM.INV(RAND(),Reference!$C$10,0.005))*SUMIFS(Sales!$B$6:$B$3658,Sales!$A$6:$A$3658,"&gt;="&amp;VALUE($A62),Sales!$A$6:$A$3658,"&lt;"&amp;VALUE($A63)),0))</f>
        <v>711</v>
      </c>
      <c r="D64" s="8">
        <f ca="1">ROUND((_xlfn.NORM.INV(RAND(),Reference!$D$9,0.005))*(SUMIFS(Sales!$D$6:$D$3658,Sales!$A$6:$A$3658,"&gt;="&amp;VALUE($A63),Sales!$A$6:$A$3658,"&lt;"&amp;VALUE($A64)))*(IF(MONTH(VALUE($A63))=Reference!$D$6,0,1)),0)</f>
        <v>1230</v>
      </c>
      <c r="E64" s="8">
        <f ca="1">MAX(0,ROUND((_xlfn.NORM.INV(RAND(),Reference!$D$10,0.005))*SUMIFS(Sales!$D$6:$D$3658,Sales!$A$6:$A$3658,"&gt;="&amp;VALUE($A62),Sales!$A$6:$A$3658,"&lt;"&amp;VALUE($A63)),0))</f>
        <v>889</v>
      </c>
    </row>
    <row r="65" spans="1:5" x14ac:dyDescent="0.25">
      <c r="A65" s="19" t="s">
        <v>96</v>
      </c>
      <c r="B65" s="8">
        <f ca="1">ROUND((_xlfn.NORM.INV(RAND(),Reference!$C$9,0.005))*(SUMIFS(Sales!$B$6:$B$3658,Sales!$A$6:$A$3658,"&gt;="&amp;VALUE($A64),Sales!$A$6:$A$3658,"&lt;"&amp;VALUE($A65)))*(IF(MONTH(VALUE($A64))=Reference!$C$6,0,1)),0)</f>
        <v>562</v>
      </c>
      <c r="C65" s="8">
        <f ca="1">MAX(0,ROUND((_xlfn.NORM.INV(RAND(),Reference!$C$10,0.005))*SUMIFS(Sales!$B$6:$B$3658,Sales!$A$6:$A$3658,"&gt;="&amp;VALUE($A63),Sales!$A$6:$A$3658,"&lt;"&amp;VALUE($A64)),0))</f>
        <v>712</v>
      </c>
      <c r="D65" s="8">
        <f ca="1">ROUND((_xlfn.NORM.INV(RAND(),Reference!$D$9,0.005))*(SUMIFS(Sales!$D$6:$D$3658,Sales!$A$6:$A$3658,"&gt;="&amp;VALUE($A64),Sales!$A$6:$A$3658,"&lt;"&amp;VALUE($A65)))*(IF(MONTH(VALUE($A64))=Reference!$D$6,0,1)),0)</f>
        <v>1148</v>
      </c>
      <c r="E65" s="8">
        <f ca="1">MAX(0,ROUND((_xlfn.NORM.INV(RAND(),Reference!$D$10,0.005))*SUMIFS(Sales!$D$6:$D$3658,Sales!$A$6:$A$3658,"&gt;="&amp;VALUE($A63),Sales!$A$6:$A$3658,"&lt;"&amp;VALUE($A64)),0))</f>
        <v>770</v>
      </c>
    </row>
    <row r="66" spans="1:5" x14ac:dyDescent="0.25">
      <c r="A66" s="19" t="s">
        <v>97</v>
      </c>
      <c r="B66" s="8">
        <f ca="1">ROUND((_xlfn.NORM.INV(RAND(),Reference!$C$9,0.005))*(SUMIFS(Sales!$B$6:$B$3658,Sales!$A$6:$A$3658,"&gt;="&amp;VALUE($A65),Sales!$A$6:$A$3658,"&lt;"&amp;VALUE($A66)))*(IF(MONTH(VALUE($A65))=Reference!$C$6,0,1)),0)</f>
        <v>599</v>
      </c>
      <c r="C66" s="8">
        <f ca="1">MAX(0,ROUND((_xlfn.NORM.INV(RAND(),Reference!$C$10,0.005))*SUMIFS(Sales!$B$6:$B$3658,Sales!$A$6:$A$3658,"&gt;="&amp;VALUE($A64),Sales!$A$6:$A$3658,"&lt;"&amp;VALUE($A65)),0))</f>
        <v>657</v>
      </c>
      <c r="D66" s="8">
        <f ca="1">ROUND((_xlfn.NORM.INV(RAND(),Reference!$D$9,0.005))*(SUMIFS(Sales!$D$6:$D$3658,Sales!$A$6:$A$3658,"&gt;="&amp;VALUE($A65),Sales!$A$6:$A$3658,"&lt;"&amp;VALUE($A66)))*(IF(MONTH(VALUE($A65))=Reference!$D$6,0,1)),0)</f>
        <v>1160</v>
      </c>
      <c r="E66" s="8">
        <f ca="1">MAX(0,ROUND((_xlfn.NORM.INV(RAND(),Reference!$D$10,0.005))*SUMIFS(Sales!$D$6:$D$3658,Sales!$A$6:$A$3658,"&gt;="&amp;VALUE($A64),Sales!$A$6:$A$3658,"&lt;"&amp;VALUE($A65)),0))</f>
        <v>511</v>
      </c>
    </row>
    <row r="67" spans="1:5" x14ac:dyDescent="0.25">
      <c r="A67" s="19" t="s">
        <v>98</v>
      </c>
      <c r="B67" s="8">
        <f ca="1">ROUND((_xlfn.NORM.INV(RAND(),Reference!$C$9,0.005))*(SUMIFS(Sales!$B$6:$B$3658,Sales!$A$6:$A$3658,"&gt;="&amp;VALUE($A66),Sales!$A$6:$A$3658,"&lt;"&amp;VALUE($A67)))*(IF(MONTH(VALUE($A66))=Reference!$C$6,0,1)),0)</f>
        <v>525</v>
      </c>
      <c r="C67" s="8">
        <f ca="1">MAX(0,ROUND((_xlfn.NORM.INV(RAND(),Reference!$C$10,0.005))*SUMIFS(Sales!$B$6:$B$3658,Sales!$A$6:$A$3658,"&gt;="&amp;VALUE($A65),Sales!$A$6:$A$3658,"&lt;"&amp;VALUE($A66)),0))</f>
        <v>706</v>
      </c>
      <c r="D67" s="8">
        <f ca="1">ROUND((_xlfn.NORM.INV(RAND(),Reference!$D$9,0.005))*(SUMIFS(Sales!$D$6:$D$3658,Sales!$A$6:$A$3658,"&gt;="&amp;VALUE($A66),Sales!$A$6:$A$3658,"&lt;"&amp;VALUE($A67)))*(IF(MONTH(VALUE($A66))=Reference!$D$6,0,1)),0)</f>
        <v>1309</v>
      </c>
      <c r="E67" s="8">
        <f ca="1">MAX(0,ROUND((_xlfn.NORM.INV(RAND(),Reference!$D$10,0.005))*SUMIFS(Sales!$D$6:$D$3658,Sales!$A$6:$A$3658,"&gt;="&amp;VALUE($A65),Sales!$A$6:$A$3658,"&lt;"&amp;VALUE($A66)),0))</f>
        <v>861</v>
      </c>
    </row>
    <row r="68" spans="1:5" x14ac:dyDescent="0.25">
      <c r="A68" s="19" t="s">
        <v>99</v>
      </c>
      <c r="B68" s="8">
        <f ca="1">ROUND((_xlfn.NORM.INV(RAND(),Reference!$C$9,0.005))*(SUMIFS(Sales!$B$6:$B$3658,Sales!$A$6:$A$3658,"&gt;="&amp;VALUE($A67),Sales!$A$6:$A$3658,"&lt;"&amp;VALUE($A68)))*(IF(MONTH(VALUE($A67))=Reference!$C$6,0,1)),0)</f>
        <v>515</v>
      </c>
      <c r="C68" s="8">
        <f ca="1">MAX(0,ROUND((_xlfn.NORM.INV(RAND(),Reference!$C$10,0.005))*SUMIFS(Sales!$B$6:$B$3658,Sales!$A$6:$A$3658,"&gt;="&amp;VALUE($A66),Sales!$A$6:$A$3658,"&lt;"&amp;VALUE($A67)),0))</f>
        <v>689</v>
      </c>
      <c r="D68" s="8">
        <f ca="1">ROUND((_xlfn.NORM.INV(RAND(),Reference!$D$9,0.005))*(SUMIFS(Sales!$D$6:$D$3658,Sales!$A$6:$A$3658,"&gt;="&amp;VALUE($A67),Sales!$A$6:$A$3658,"&lt;"&amp;VALUE($A68)))*(IF(MONTH(VALUE($A67))=Reference!$D$6,0,1)),0)</f>
        <v>1070</v>
      </c>
      <c r="E68" s="8">
        <f ca="1">MAX(0,ROUND((_xlfn.NORM.INV(RAND(),Reference!$D$10,0.005))*SUMIFS(Sales!$D$6:$D$3658,Sales!$A$6:$A$3658,"&gt;="&amp;VALUE($A66),Sales!$A$6:$A$3658,"&lt;"&amp;VALUE($A67)),0))</f>
        <v>738</v>
      </c>
    </row>
    <row r="69" spans="1:5" x14ac:dyDescent="0.25">
      <c r="A69" s="19" t="s">
        <v>100</v>
      </c>
      <c r="B69" s="8">
        <f ca="1">ROUND((_xlfn.NORM.INV(RAND(),Reference!$C$9,0.005))*(SUMIFS(Sales!$B$6:$B$3658,Sales!$A$6:$A$3658,"&gt;="&amp;VALUE($A68),Sales!$A$6:$A$3658,"&lt;"&amp;VALUE($A69)))*(IF(MONTH(VALUE($A68))=Reference!$C$6,0,1)),0)</f>
        <v>604</v>
      </c>
      <c r="C69" s="8">
        <f ca="1">MAX(0,ROUND((_xlfn.NORM.INV(RAND(),Reference!$C$10,0.005))*SUMIFS(Sales!$B$6:$B$3658,Sales!$A$6:$A$3658,"&gt;="&amp;VALUE($A67),Sales!$A$6:$A$3658,"&lt;"&amp;VALUE($A68)),0))</f>
        <v>673</v>
      </c>
      <c r="D69" s="8">
        <f ca="1">ROUND((_xlfn.NORM.INV(RAND(),Reference!$D$9,0.005))*(SUMIFS(Sales!$D$6:$D$3658,Sales!$A$6:$A$3658,"&gt;="&amp;VALUE($A68),Sales!$A$6:$A$3658,"&lt;"&amp;VALUE($A69)))*(IF(MONTH(VALUE($A68))=Reference!$D$6,0,1)),0)</f>
        <v>1178</v>
      </c>
      <c r="E69" s="8">
        <f ca="1">MAX(0,ROUND((_xlfn.NORM.INV(RAND(),Reference!$D$10,0.005))*SUMIFS(Sales!$D$6:$D$3658,Sales!$A$6:$A$3658,"&gt;="&amp;VALUE($A67),Sales!$A$6:$A$3658,"&lt;"&amp;VALUE($A68)),0))</f>
        <v>648</v>
      </c>
    </row>
    <row r="70" spans="1:5" x14ac:dyDescent="0.25">
      <c r="A70" s="19" t="s">
        <v>101</v>
      </c>
      <c r="B70" s="8">
        <f ca="1">ROUND((_xlfn.NORM.INV(RAND(),Reference!$C$9,0.005))*(SUMIFS(Sales!$B$6:$B$3658,Sales!$A$6:$A$3658,"&gt;="&amp;VALUE($A69),Sales!$A$6:$A$3658,"&lt;"&amp;VALUE($A70)))*(IF(MONTH(VALUE($A69))=Reference!$C$6,0,1)),0)</f>
        <v>973</v>
      </c>
      <c r="C70" s="8">
        <f ca="1">MAX(0,ROUND((_xlfn.NORM.INV(RAND(),Reference!$C$10,0.005))*SUMIFS(Sales!$B$6:$B$3658,Sales!$A$6:$A$3658,"&gt;="&amp;VALUE($A68),Sales!$A$6:$A$3658,"&lt;"&amp;VALUE($A69)),0))</f>
        <v>696</v>
      </c>
      <c r="D70" s="8">
        <f ca="1">ROUND((_xlfn.NORM.INV(RAND(),Reference!$D$9,0.005))*(SUMIFS(Sales!$D$6:$D$3658,Sales!$A$6:$A$3658,"&gt;="&amp;VALUE($A69),Sales!$A$6:$A$3658,"&lt;"&amp;VALUE($A70)))*(IF(MONTH(VALUE($A69))=Reference!$D$6,0,1)),0)</f>
        <v>1178</v>
      </c>
      <c r="E70" s="8">
        <f ca="1">MAX(0,ROUND((_xlfn.NORM.INV(RAND(),Reference!$D$10,0.005))*SUMIFS(Sales!$D$6:$D$3658,Sales!$A$6:$A$3658,"&gt;="&amp;VALUE($A68),Sales!$A$6:$A$3658,"&lt;"&amp;VALUE($A69)),0))</f>
        <v>825</v>
      </c>
    </row>
    <row r="71" spans="1:5" x14ac:dyDescent="0.25">
      <c r="A71" s="19" t="s">
        <v>102</v>
      </c>
      <c r="B71" s="8">
        <f ca="1">ROUND((_xlfn.NORM.INV(RAND(),Reference!$C$9,0.005))*(SUMIFS(Sales!$B$6:$B$3658,Sales!$A$6:$A$3658,"&gt;="&amp;VALUE($A70),Sales!$A$6:$A$3658,"&lt;"&amp;VALUE($A71)))*(IF(MONTH(VALUE($A70))=Reference!$C$6,0,1)),0)</f>
        <v>796</v>
      </c>
      <c r="C71" s="8">
        <f ca="1">MAX(0,ROUND((_xlfn.NORM.INV(RAND(),Reference!$C$10,0.005))*SUMIFS(Sales!$B$6:$B$3658,Sales!$A$6:$A$3658,"&gt;="&amp;VALUE($A69),Sales!$A$6:$A$3658,"&lt;"&amp;VALUE($A70)),0))</f>
        <v>951</v>
      </c>
      <c r="D71" s="8">
        <f ca="1">ROUND((_xlfn.NORM.INV(RAND(),Reference!$D$9,0.005))*(SUMIFS(Sales!$D$6:$D$3658,Sales!$A$6:$A$3658,"&gt;="&amp;VALUE($A70),Sales!$A$6:$A$3658,"&lt;"&amp;VALUE($A71)))*(IF(MONTH(VALUE($A70))=Reference!$D$6,0,1)),0)</f>
        <v>1172</v>
      </c>
      <c r="E71" s="8">
        <f ca="1">MAX(0,ROUND((_xlfn.NORM.INV(RAND(),Reference!$D$10,0.005))*SUMIFS(Sales!$D$6:$D$3658,Sales!$A$6:$A$3658,"&gt;="&amp;VALUE($A69),Sales!$A$6:$A$3658,"&lt;"&amp;VALUE($A70)),0))</f>
        <v>705</v>
      </c>
    </row>
    <row r="72" spans="1:5" x14ac:dyDescent="0.25">
      <c r="A72" s="19" t="s">
        <v>103</v>
      </c>
      <c r="B72" s="8">
        <f ca="1">ROUND((_xlfn.NORM.INV(RAND(),Reference!$C$9,0.005))*(SUMIFS(Sales!$B$6:$B$3658,Sales!$A$6:$A$3658,"&gt;="&amp;VALUE($A71),Sales!$A$6:$A$3658,"&lt;"&amp;VALUE($A72)))*(IF(MONTH(VALUE($A71))=Reference!$C$6,0,1)),0)</f>
        <v>0</v>
      </c>
      <c r="C72" s="8">
        <f ca="1">MAX(0,ROUND((_xlfn.NORM.INV(RAND(),Reference!$C$10,0.005))*SUMIFS(Sales!$B$6:$B$3658,Sales!$A$6:$A$3658,"&gt;="&amp;VALUE($A70),Sales!$A$6:$A$3658,"&lt;"&amp;VALUE($A71)),0))</f>
        <v>976</v>
      </c>
      <c r="D72" s="8">
        <f ca="1">ROUND((_xlfn.NORM.INV(RAND(),Reference!$D$9,0.005))*(SUMIFS(Sales!$D$6:$D$3658,Sales!$A$6:$A$3658,"&gt;="&amp;VALUE($A71),Sales!$A$6:$A$3658,"&lt;"&amp;VALUE($A72)))*(IF(MONTH(VALUE($A71))=Reference!$D$6,0,1)),0)</f>
        <v>1051</v>
      </c>
      <c r="E72" s="8">
        <f ca="1">MAX(0,ROUND((_xlfn.NORM.INV(RAND(),Reference!$D$10,0.005))*SUMIFS(Sales!$D$6:$D$3658,Sales!$A$6:$A$3658,"&gt;="&amp;VALUE($A70),Sales!$A$6:$A$3658,"&lt;"&amp;VALUE($A71)),0))</f>
        <v>668</v>
      </c>
    </row>
    <row r="73" spans="1:5" x14ac:dyDescent="0.25">
      <c r="A73" s="19" t="s">
        <v>104</v>
      </c>
      <c r="B73" s="8">
        <f ca="1">ROUND((_xlfn.NORM.INV(RAND(),Reference!$C$9,0.005))*(SUMIFS(Sales!$B$6:$B$3658,Sales!$A$6:$A$3658,"&gt;="&amp;VALUE($A72),Sales!$A$6:$A$3658,"&lt;"&amp;VALUE($A73)))*(IF(MONTH(VALUE($A72))=Reference!$C$6,0,1)),0)</f>
        <v>524</v>
      </c>
      <c r="C73" s="8">
        <f ca="1">MAX(0,ROUND((_xlfn.NORM.INV(RAND(),Reference!$C$10,0.005))*SUMIFS(Sales!$B$6:$B$3658,Sales!$A$6:$A$3658,"&gt;="&amp;VALUE($A71),Sales!$A$6:$A$3658,"&lt;"&amp;VALUE($A72)),0))</f>
        <v>888</v>
      </c>
      <c r="D73" s="8">
        <f ca="1">ROUND((_xlfn.NORM.INV(RAND(),Reference!$D$9,0.005))*(SUMIFS(Sales!$D$6:$D$3658,Sales!$A$6:$A$3658,"&gt;="&amp;VALUE($A72),Sales!$A$6:$A$3658,"&lt;"&amp;VALUE($A73)))*(IF(MONTH(VALUE($A72))=Reference!$D$6,0,1)),0)</f>
        <v>1209</v>
      </c>
      <c r="E73" s="8">
        <f ca="1">MAX(0,ROUND((_xlfn.NORM.INV(RAND(),Reference!$D$10,0.005))*SUMIFS(Sales!$D$6:$D$3658,Sales!$A$6:$A$3658,"&gt;="&amp;VALUE($A71),Sales!$A$6:$A$3658,"&lt;"&amp;VALUE($A72)),0))</f>
        <v>658</v>
      </c>
    </row>
    <row r="74" spans="1:5" x14ac:dyDescent="0.25">
      <c r="A74" s="19" t="s">
        <v>105</v>
      </c>
      <c r="B74" s="8">
        <f ca="1">ROUND((_xlfn.NORM.INV(RAND(),Reference!$C$9,0.005))*(SUMIFS(Sales!$B$6:$B$3658,Sales!$A$6:$A$3658,"&gt;="&amp;VALUE($A73),Sales!$A$6:$A$3658,"&lt;"&amp;VALUE($A74)))*(IF(MONTH(VALUE($A73))=Reference!$C$6,0,1)),0)</f>
        <v>580</v>
      </c>
      <c r="C74" s="8">
        <f ca="1">MAX(0,ROUND((_xlfn.NORM.INV(RAND(),Reference!$C$10,0.005))*SUMIFS(Sales!$B$6:$B$3658,Sales!$A$6:$A$3658,"&gt;="&amp;VALUE($A72),Sales!$A$6:$A$3658,"&lt;"&amp;VALUE($A73)),0))</f>
        <v>661</v>
      </c>
      <c r="D74" s="8">
        <f ca="1">ROUND((_xlfn.NORM.INV(RAND(),Reference!$D$9,0.005))*(SUMIFS(Sales!$D$6:$D$3658,Sales!$A$6:$A$3658,"&gt;="&amp;VALUE($A73),Sales!$A$6:$A$3658,"&lt;"&amp;VALUE($A74)))*(IF(MONTH(VALUE($A73))=Reference!$D$6,0,1)),0)</f>
        <v>1337</v>
      </c>
      <c r="E74" s="8">
        <f ca="1">MAX(0,ROUND((_xlfn.NORM.INV(RAND(),Reference!$D$10,0.005))*SUMIFS(Sales!$D$6:$D$3658,Sales!$A$6:$A$3658,"&gt;="&amp;VALUE($A72),Sales!$A$6:$A$3658,"&lt;"&amp;VALUE($A73)),0))</f>
        <v>870</v>
      </c>
    </row>
    <row r="75" spans="1:5" x14ac:dyDescent="0.25">
      <c r="A75" s="19" t="s">
        <v>106</v>
      </c>
      <c r="B75" s="8">
        <f ca="1">ROUND((_xlfn.NORM.INV(RAND(),Reference!$C$9,0.005))*(SUMIFS(Sales!$B$6:$B$3658,Sales!$A$6:$A$3658,"&gt;="&amp;VALUE($A74),Sales!$A$6:$A$3658,"&lt;"&amp;VALUE($A75)))*(IF(MONTH(VALUE($A74))=Reference!$C$6,0,1)),0)</f>
        <v>466</v>
      </c>
      <c r="C75" s="8">
        <f ca="1">MAX(0,ROUND((_xlfn.NORM.INV(RAND(),Reference!$C$10,0.005))*SUMIFS(Sales!$B$6:$B$3658,Sales!$A$6:$A$3658,"&gt;="&amp;VALUE($A73),Sales!$A$6:$A$3658,"&lt;"&amp;VALUE($A74)),0))</f>
        <v>604</v>
      </c>
      <c r="D75" s="8">
        <f ca="1">ROUND((_xlfn.NORM.INV(RAND(),Reference!$D$9,0.005))*(SUMIFS(Sales!$D$6:$D$3658,Sales!$A$6:$A$3658,"&gt;="&amp;VALUE($A74),Sales!$A$6:$A$3658,"&lt;"&amp;VALUE($A75)))*(IF(MONTH(VALUE($A74))=Reference!$D$6,0,1)),0)</f>
        <v>0</v>
      </c>
      <c r="E75" s="8">
        <f ca="1">MAX(0,ROUND((_xlfn.NORM.INV(RAND(),Reference!$D$10,0.005))*SUMIFS(Sales!$D$6:$D$3658,Sales!$A$6:$A$3658,"&gt;="&amp;VALUE($A73),Sales!$A$6:$A$3658,"&lt;"&amp;VALUE($A74)),0))</f>
        <v>832</v>
      </c>
    </row>
    <row r="76" spans="1:5" x14ac:dyDescent="0.25">
      <c r="A76" s="19" t="s">
        <v>107</v>
      </c>
      <c r="B76" s="8">
        <f ca="1">ROUND((_xlfn.NORM.INV(RAND(),Reference!$C$9,0.005))*(SUMIFS(Sales!$B$6:$B$3658,Sales!$A$6:$A$3658,"&gt;="&amp;VALUE($A75),Sales!$A$6:$A$3658,"&lt;"&amp;VALUE($A76)))*(IF(MONTH(VALUE($A75))=Reference!$C$6,0,1)),0)</f>
        <v>590</v>
      </c>
      <c r="C76" s="8">
        <f ca="1">MAX(0,ROUND((_xlfn.NORM.INV(RAND(),Reference!$C$10,0.005))*SUMIFS(Sales!$B$6:$B$3658,Sales!$A$6:$A$3658,"&gt;="&amp;VALUE($A74),Sales!$A$6:$A$3658,"&lt;"&amp;VALUE($A75)),0))</f>
        <v>715</v>
      </c>
      <c r="D76" s="8">
        <f ca="1">ROUND((_xlfn.NORM.INV(RAND(),Reference!$D$9,0.005))*(SUMIFS(Sales!$D$6:$D$3658,Sales!$A$6:$A$3658,"&gt;="&amp;VALUE($A75),Sales!$A$6:$A$3658,"&lt;"&amp;VALUE($A76)))*(IF(MONTH(VALUE($A75))=Reference!$D$6,0,1)),0)</f>
        <v>1196</v>
      </c>
      <c r="E76" s="8">
        <f ca="1">MAX(0,ROUND((_xlfn.NORM.INV(RAND(),Reference!$D$10,0.005))*SUMIFS(Sales!$D$6:$D$3658,Sales!$A$6:$A$3658,"&gt;="&amp;VALUE($A74),Sales!$A$6:$A$3658,"&lt;"&amp;VALUE($A75)),0))</f>
        <v>676</v>
      </c>
    </row>
    <row r="77" spans="1:5" x14ac:dyDescent="0.25">
      <c r="A77" s="19" t="s">
        <v>108</v>
      </c>
      <c r="B77" s="8">
        <f ca="1">ROUND((_xlfn.NORM.INV(RAND(),Reference!$C$9,0.005))*(SUMIFS(Sales!$B$6:$B$3658,Sales!$A$6:$A$3658,"&gt;="&amp;VALUE($A76),Sales!$A$6:$A$3658,"&lt;"&amp;VALUE($A77)))*(IF(MONTH(VALUE($A76))=Reference!$C$6,0,1)),0)</f>
        <v>687</v>
      </c>
      <c r="C77" s="8">
        <f ca="1">MAX(0,ROUND((_xlfn.NORM.INV(RAND(),Reference!$C$10,0.005))*SUMIFS(Sales!$B$6:$B$3658,Sales!$A$6:$A$3658,"&gt;="&amp;VALUE($A75),Sales!$A$6:$A$3658,"&lt;"&amp;VALUE($A76)),0))</f>
        <v>631</v>
      </c>
      <c r="D77" s="8">
        <f ca="1">ROUND((_xlfn.NORM.INV(RAND(),Reference!$D$9,0.005))*(SUMIFS(Sales!$D$6:$D$3658,Sales!$A$6:$A$3658,"&gt;="&amp;VALUE($A76),Sales!$A$6:$A$3658,"&lt;"&amp;VALUE($A77)))*(IF(MONTH(VALUE($A76))=Reference!$D$6,0,1)),0)</f>
        <v>1222</v>
      </c>
      <c r="E77" s="8">
        <f ca="1">MAX(0,ROUND((_xlfn.NORM.INV(RAND(),Reference!$D$10,0.005))*SUMIFS(Sales!$D$6:$D$3658,Sales!$A$6:$A$3658,"&gt;="&amp;VALUE($A75),Sales!$A$6:$A$3658,"&lt;"&amp;VALUE($A76)),0))</f>
        <v>651</v>
      </c>
    </row>
    <row r="78" spans="1:5" x14ac:dyDescent="0.25">
      <c r="A78" s="19" t="s">
        <v>109</v>
      </c>
      <c r="B78" s="8">
        <f ca="1">ROUND((_xlfn.NORM.INV(RAND(),Reference!$C$9,0.005))*(SUMIFS(Sales!$B$6:$B$3658,Sales!$A$6:$A$3658,"&gt;="&amp;VALUE($A77),Sales!$A$6:$A$3658,"&lt;"&amp;VALUE($A78)))*(IF(MONTH(VALUE($A77))=Reference!$C$6,0,1)),0)</f>
        <v>560</v>
      </c>
      <c r="C78" s="8">
        <f ca="1">MAX(0,ROUND((_xlfn.NORM.INV(RAND(),Reference!$C$10,0.005))*SUMIFS(Sales!$B$6:$B$3658,Sales!$A$6:$A$3658,"&gt;="&amp;VALUE($A76),Sales!$A$6:$A$3658,"&lt;"&amp;VALUE($A77)),0))</f>
        <v>752</v>
      </c>
      <c r="D78" s="8">
        <f ca="1">ROUND((_xlfn.NORM.INV(RAND(),Reference!$D$9,0.005))*(SUMIFS(Sales!$D$6:$D$3658,Sales!$A$6:$A$3658,"&gt;="&amp;VALUE($A77),Sales!$A$6:$A$3658,"&lt;"&amp;VALUE($A78)))*(IF(MONTH(VALUE($A77))=Reference!$D$6,0,1)),0)</f>
        <v>1156</v>
      </c>
      <c r="E78" s="8">
        <f ca="1">MAX(0,ROUND((_xlfn.NORM.INV(RAND(),Reference!$D$10,0.005))*SUMIFS(Sales!$D$6:$D$3658,Sales!$A$6:$A$3658,"&gt;="&amp;VALUE($A76),Sales!$A$6:$A$3658,"&lt;"&amp;VALUE($A77)),0))</f>
        <v>681</v>
      </c>
    </row>
    <row r="79" spans="1:5" x14ac:dyDescent="0.25">
      <c r="A79" s="19" t="s">
        <v>110</v>
      </c>
      <c r="B79" s="8">
        <f ca="1">ROUND((_xlfn.NORM.INV(RAND(),Reference!$C$9,0.005))*(SUMIFS(Sales!$B$6:$B$3658,Sales!$A$6:$A$3658,"&gt;="&amp;VALUE($A78),Sales!$A$6:$A$3658,"&lt;"&amp;VALUE($A79)))*(IF(MONTH(VALUE($A78))=Reference!$C$6,0,1)),0)</f>
        <v>581</v>
      </c>
      <c r="C79" s="8">
        <f ca="1">MAX(0,ROUND((_xlfn.NORM.INV(RAND(),Reference!$C$10,0.005))*SUMIFS(Sales!$B$6:$B$3658,Sales!$A$6:$A$3658,"&gt;="&amp;VALUE($A77),Sales!$A$6:$A$3658,"&lt;"&amp;VALUE($A78)),0))</f>
        <v>834</v>
      </c>
      <c r="D79" s="8">
        <f ca="1">ROUND((_xlfn.NORM.INV(RAND(),Reference!$D$9,0.005))*(SUMIFS(Sales!$D$6:$D$3658,Sales!$A$6:$A$3658,"&gt;="&amp;VALUE($A78),Sales!$A$6:$A$3658,"&lt;"&amp;VALUE($A79)))*(IF(MONTH(VALUE($A78))=Reference!$D$6,0,1)),0)</f>
        <v>1240</v>
      </c>
      <c r="E79" s="8">
        <f ca="1">MAX(0,ROUND((_xlfn.NORM.INV(RAND(),Reference!$D$10,0.005))*SUMIFS(Sales!$D$6:$D$3658,Sales!$A$6:$A$3658,"&gt;="&amp;VALUE($A77),Sales!$A$6:$A$3658,"&lt;"&amp;VALUE($A78)),0))</f>
        <v>722</v>
      </c>
    </row>
    <row r="80" spans="1:5" x14ac:dyDescent="0.25">
      <c r="A80" s="19" t="s">
        <v>111</v>
      </c>
      <c r="B80" s="8">
        <f ca="1">ROUND((_xlfn.NORM.INV(RAND(),Reference!$C$9,0.005))*(SUMIFS(Sales!$B$6:$B$3658,Sales!$A$6:$A$3658,"&gt;="&amp;VALUE($A79),Sales!$A$6:$A$3658,"&lt;"&amp;VALUE($A80)))*(IF(MONTH(VALUE($A79))=Reference!$C$6,0,1)),0)</f>
        <v>544</v>
      </c>
      <c r="C80" s="8">
        <f ca="1">MAX(0,ROUND((_xlfn.NORM.INV(RAND(),Reference!$C$10,0.005))*SUMIFS(Sales!$B$6:$B$3658,Sales!$A$6:$A$3658,"&gt;="&amp;VALUE($A78),Sales!$A$6:$A$3658,"&lt;"&amp;VALUE($A79)),0))</f>
        <v>693</v>
      </c>
      <c r="D80" s="8">
        <f ca="1">ROUND((_xlfn.NORM.INV(RAND(),Reference!$D$9,0.005))*(SUMIFS(Sales!$D$6:$D$3658,Sales!$A$6:$A$3658,"&gt;="&amp;VALUE($A79),Sales!$A$6:$A$3658,"&lt;"&amp;VALUE($A80)))*(IF(MONTH(VALUE($A79))=Reference!$D$6,0,1)),0)</f>
        <v>1056</v>
      </c>
      <c r="E80" s="8">
        <f ca="1">MAX(0,ROUND((_xlfn.NORM.INV(RAND(),Reference!$D$10,0.005))*SUMIFS(Sales!$D$6:$D$3658,Sales!$A$6:$A$3658,"&gt;="&amp;VALUE($A78),Sales!$A$6:$A$3658,"&lt;"&amp;VALUE($A79)),0))</f>
        <v>640</v>
      </c>
    </row>
    <row r="81" spans="1:5" x14ac:dyDescent="0.25">
      <c r="A81" s="19" t="s">
        <v>112</v>
      </c>
      <c r="B81" s="8">
        <f ca="1">ROUND((_xlfn.NORM.INV(RAND(),Reference!$C$9,0.005))*(SUMIFS(Sales!$B$6:$B$3658,Sales!$A$6:$A$3658,"&gt;="&amp;VALUE($A80),Sales!$A$6:$A$3658,"&lt;"&amp;VALUE($A81)))*(IF(MONTH(VALUE($A80))=Reference!$C$6,0,1)),0)</f>
        <v>579</v>
      </c>
      <c r="C81" s="8">
        <f ca="1">MAX(0,ROUND((_xlfn.NORM.INV(RAND(),Reference!$C$10,0.005))*SUMIFS(Sales!$B$6:$B$3658,Sales!$A$6:$A$3658,"&gt;="&amp;VALUE($A79),Sales!$A$6:$A$3658,"&lt;"&amp;VALUE($A80)),0))</f>
        <v>622</v>
      </c>
      <c r="D81" s="8">
        <f ca="1">ROUND((_xlfn.NORM.INV(RAND(),Reference!$D$9,0.005))*(SUMIFS(Sales!$D$6:$D$3658,Sales!$A$6:$A$3658,"&gt;="&amp;VALUE($A80),Sales!$A$6:$A$3658,"&lt;"&amp;VALUE($A81)))*(IF(MONTH(VALUE($A80))=Reference!$D$6,0,1)),0)</f>
        <v>1118</v>
      </c>
      <c r="E81" s="8">
        <f ca="1">MAX(0,ROUND((_xlfn.NORM.INV(RAND(),Reference!$D$10,0.005))*SUMIFS(Sales!$D$6:$D$3658,Sales!$A$6:$A$3658,"&gt;="&amp;VALUE($A79),Sales!$A$6:$A$3658,"&lt;"&amp;VALUE($A80)),0))</f>
        <v>632</v>
      </c>
    </row>
    <row r="82" spans="1:5" x14ac:dyDescent="0.25">
      <c r="A82" s="19" t="s">
        <v>113</v>
      </c>
      <c r="B82" s="8">
        <f ca="1">ROUND((_xlfn.NORM.INV(RAND(),Reference!$C$9,0.005))*(SUMIFS(Sales!$B$6:$B$3658,Sales!$A$6:$A$3658,"&gt;="&amp;VALUE($A81),Sales!$A$6:$A$3658,"&lt;"&amp;VALUE($A82)))*(IF(MONTH(VALUE($A81))=Reference!$C$6,0,1)),0)</f>
        <v>692</v>
      </c>
      <c r="C82" s="8">
        <f ca="1">MAX(0,ROUND((_xlfn.NORM.INV(RAND(),Reference!$C$10,0.005))*SUMIFS(Sales!$B$6:$B$3658,Sales!$A$6:$A$3658,"&gt;="&amp;VALUE($A80),Sales!$A$6:$A$3658,"&lt;"&amp;VALUE($A81)),0))</f>
        <v>687</v>
      </c>
      <c r="D82" s="8">
        <f ca="1">ROUND((_xlfn.NORM.INV(RAND(),Reference!$D$9,0.005))*(SUMIFS(Sales!$D$6:$D$3658,Sales!$A$6:$A$3658,"&gt;="&amp;VALUE($A81),Sales!$A$6:$A$3658,"&lt;"&amp;VALUE($A82)))*(IF(MONTH(VALUE($A81))=Reference!$D$6,0,1)),0)</f>
        <v>1171</v>
      </c>
      <c r="E82" s="8">
        <f ca="1">MAX(0,ROUND((_xlfn.NORM.INV(RAND(),Reference!$D$10,0.005))*SUMIFS(Sales!$D$6:$D$3658,Sales!$A$6:$A$3658,"&gt;="&amp;VALUE($A80),Sales!$A$6:$A$3658,"&lt;"&amp;VALUE($A81)),0))</f>
        <v>775</v>
      </c>
    </row>
    <row r="83" spans="1:5" x14ac:dyDescent="0.25">
      <c r="A83" s="19" t="s">
        <v>114</v>
      </c>
      <c r="B83" s="8">
        <f ca="1">ROUND((_xlfn.NORM.INV(RAND(),Reference!$C$9,0.005))*(SUMIFS(Sales!$B$6:$B$3658,Sales!$A$6:$A$3658,"&gt;="&amp;VALUE($A82),Sales!$A$6:$A$3658,"&lt;"&amp;VALUE($A83)))*(IF(MONTH(VALUE($A82))=Reference!$C$6,0,1)),0)</f>
        <v>778</v>
      </c>
      <c r="C83" s="8">
        <f ca="1">MAX(0,ROUND((_xlfn.NORM.INV(RAND(),Reference!$C$10,0.005))*SUMIFS(Sales!$B$6:$B$3658,Sales!$A$6:$A$3658,"&gt;="&amp;VALUE($A81),Sales!$A$6:$A$3658,"&lt;"&amp;VALUE($A82)),0))</f>
        <v>934</v>
      </c>
      <c r="D83" s="8">
        <f ca="1">ROUND((_xlfn.NORM.INV(RAND(),Reference!$D$9,0.005))*(SUMIFS(Sales!$D$6:$D$3658,Sales!$A$6:$A$3658,"&gt;="&amp;VALUE($A82),Sales!$A$6:$A$3658,"&lt;"&amp;VALUE($A83)))*(IF(MONTH(VALUE($A82))=Reference!$D$6,0,1)),0)</f>
        <v>1061</v>
      </c>
      <c r="E83" s="8">
        <f ca="1">MAX(0,ROUND((_xlfn.NORM.INV(RAND(),Reference!$D$10,0.005))*SUMIFS(Sales!$D$6:$D$3658,Sales!$A$6:$A$3658,"&gt;="&amp;VALUE($A81),Sales!$A$6:$A$3658,"&lt;"&amp;VALUE($A82)),0))</f>
        <v>614</v>
      </c>
    </row>
    <row r="84" spans="1:5" x14ac:dyDescent="0.25">
      <c r="A84" s="19" t="s">
        <v>115</v>
      </c>
      <c r="B84" s="8">
        <f ca="1">ROUND((_xlfn.NORM.INV(RAND(),Reference!$C$9,0.005))*(SUMIFS(Sales!$B$6:$B$3658,Sales!$A$6:$A$3658,"&gt;="&amp;VALUE($A83),Sales!$A$6:$A$3658,"&lt;"&amp;VALUE($A84)))*(IF(MONTH(VALUE($A83))=Reference!$C$6,0,1)),0)</f>
        <v>0</v>
      </c>
      <c r="C84" s="8">
        <f ca="1">MAX(0,ROUND((_xlfn.NORM.INV(RAND(),Reference!$C$10,0.005))*SUMIFS(Sales!$B$6:$B$3658,Sales!$A$6:$A$3658,"&gt;="&amp;VALUE($A82),Sales!$A$6:$A$3658,"&lt;"&amp;VALUE($A83)),0))</f>
        <v>1114</v>
      </c>
      <c r="D84" s="8">
        <f ca="1">ROUND((_xlfn.NORM.INV(RAND(),Reference!$D$9,0.005))*(SUMIFS(Sales!$D$6:$D$3658,Sales!$A$6:$A$3658,"&gt;="&amp;VALUE($A83),Sales!$A$6:$A$3658,"&lt;"&amp;VALUE($A84)))*(IF(MONTH(VALUE($A83))=Reference!$D$6,0,1)),0)</f>
        <v>1260</v>
      </c>
      <c r="E84" s="8">
        <f ca="1">MAX(0,ROUND((_xlfn.NORM.INV(RAND(),Reference!$D$10,0.005))*SUMIFS(Sales!$D$6:$D$3658,Sales!$A$6:$A$3658,"&gt;="&amp;VALUE($A82),Sales!$A$6:$A$3658,"&lt;"&amp;VALUE($A83)),0))</f>
        <v>675</v>
      </c>
    </row>
    <row r="85" spans="1:5" x14ac:dyDescent="0.25">
      <c r="A85" s="19" t="s">
        <v>116</v>
      </c>
      <c r="B85" s="8">
        <f ca="1">ROUND((_xlfn.NORM.INV(RAND(),Reference!$C$9,0.005))*(SUMIFS(Sales!$B$6:$B$3658,Sales!$A$6:$A$3658,"&gt;="&amp;VALUE($A84),Sales!$A$6:$A$3658,"&lt;"&amp;VALUE($A85)))*(IF(MONTH(VALUE($A84))=Reference!$C$6,0,1)),0)</f>
        <v>549</v>
      </c>
      <c r="C85" s="8">
        <f ca="1">MAX(0,ROUND((_xlfn.NORM.INV(RAND(),Reference!$C$10,0.005))*SUMIFS(Sales!$B$6:$B$3658,Sales!$A$6:$A$3658,"&gt;="&amp;VALUE($A83),Sales!$A$6:$A$3658,"&lt;"&amp;VALUE($A84)),0))</f>
        <v>867</v>
      </c>
      <c r="D85" s="8">
        <f ca="1">ROUND((_xlfn.NORM.INV(RAND(),Reference!$D$9,0.005))*(SUMIFS(Sales!$D$6:$D$3658,Sales!$A$6:$A$3658,"&gt;="&amp;VALUE($A84),Sales!$A$6:$A$3658,"&lt;"&amp;VALUE($A85)))*(IF(MONTH(VALUE($A84))=Reference!$D$6,0,1)),0)</f>
        <v>1304</v>
      </c>
      <c r="E85" s="8">
        <f ca="1">MAX(0,ROUND((_xlfn.NORM.INV(RAND(),Reference!$D$10,0.005))*SUMIFS(Sales!$D$6:$D$3658,Sales!$A$6:$A$3658,"&gt;="&amp;VALUE($A83),Sales!$A$6:$A$3658,"&lt;"&amp;VALUE($A84)),0))</f>
        <v>640</v>
      </c>
    </row>
    <row r="86" spans="1:5" x14ac:dyDescent="0.25">
      <c r="A86" s="19" t="s">
        <v>117</v>
      </c>
      <c r="B86" s="8">
        <f ca="1">ROUND((_xlfn.NORM.INV(RAND(),Reference!$C$9,0.005))*(SUMIFS(Sales!$B$6:$B$3658,Sales!$A$6:$A$3658,"&gt;="&amp;VALUE($A85),Sales!$A$6:$A$3658,"&lt;"&amp;VALUE($A86)))*(IF(MONTH(VALUE($A85))=Reference!$C$6,0,1)),0)</f>
        <v>607</v>
      </c>
      <c r="C86" s="8">
        <f ca="1">MAX(0,ROUND((_xlfn.NORM.INV(RAND(),Reference!$C$10,0.005))*SUMIFS(Sales!$B$6:$B$3658,Sales!$A$6:$A$3658,"&gt;="&amp;VALUE($A84),Sales!$A$6:$A$3658,"&lt;"&amp;VALUE($A85)),0))</f>
        <v>723</v>
      </c>
      <c r="D86" s="8">
        <f ca="1">ROUND((_xlfn.NORM.INV(RAND(),Reference!$D$9,0.005))*(SUMIFS(Sales!$D$6:$D$3658,Sales!$A$6:$A$3658,"&gt;="&amp;VALUE($A85),Sales!$A$6:$A$3658,"&lt;"&amp;VALUE($A86)))*(IF(MONTH(VALUE($A85))=Reference!$D$6,0,1)),0)</f>
        <v>1200</v>
      </c>
      <c r="E86" s="8">
        <f ca="1">MAX(0,ROUND((_xlfn.NORM.INV(RAND(),Reference!$D$10,0.005))*SUMIFS(Sales!$D$6:$D$3658,Sales!$A$6:$A$3658,"&gt;="&amp;VALUE($A84),Sales!$A$6:$A$3658,"&lt;"&amp;VALUE($A85)),0))</f>
        <v>814</v>
      </c>
    </row>
    <row r="87" spans="1:5" x14ac:dyDescent="0.25">
      <c r="A87" s="19" t="s">
        <v>118</v>
      </c>
      <c r="B87" s="8">
        <f ca="1">ROUND((_xlfn.NORM.INV(RAND(),Reference!$C$9,0.005))*(SUMIFS(Sales!$B$6:$B$3658,Sales!$A$6:$A$3658,"&gt;="&amp;VALUE($A86),Sales!$A$6:$A$3658,"&lt;"&amp;VALUE($A87)))*(IF(MONTH(VALUE($A86))=Reference!$C$6,0,1)),0)</f>
        <v>522</v>
      </c>
      <c r="C87" s="8">
        <f ca="1">MAX(0,ROUND((_xlfn.NORM.INV(RAND(),Reference!$C$10,0.005))*SUMIFS(Sales!$B$6:$B$3658,Sales!$A$6:$A$3658,"&gt;="&amp;VALUE($A85),Sales!$A$6:$A$3658,"&lt;"&amp;VALUE($A86)),0))</f>
        <v>641</v>
      </c>
      <c r="D87" s="8">
        <f ca="1">ROUND((_xlfn.NORM.INV(RAND(),Reference!$D$9,0.005))*(SUMIFS(Sales!$D$6:$D$3658,Sales!$A$6:$A$3658,"&gt;="&amp;VALUE($A86),Sales!$A$6:$A$3658,"&lt;"&amp;VALUE($A87)))*(IF(MONTH(VALUE($A86))=Reference!$D$6,0,1)),0)</f>
        <v>0</v>
      </c>
      <c r="E87" s="8">
        <f ca="1">MAX(0,ROUND((_xlfn.NORM.INV(RAND(),Reference!$D$10,0.005))*SUMIFS(Sales!$D$6:$D$3658,Sales!$A$6:$A$3658,"&gt;="&amp;VALUE($A85),Sales!$A$6:$A$3658,"&lt;"&amp;VALUE($A86)),0))</f>
        <v>813</v>
      </c>
    </row>
    <row r="88" spans="1:5" x14ac:dyDescent="0.25">
      <c r="A88" s="19" t="s">
        <v>119</v>
      </c>
      <c r="B88" s="8">
        <f ca="1">ROUND((_xlfn.NORM.INV(RAND(),Reference!$C$9,0.005))*(SUMIFS(Sales!$B$6:$B$3658,Sales!$A$6:$A$3658,"&gt;="&amp;VALUE($A87),Sales!$A$6:$A$3658,"&lt;"&amp;VALUE($A88)))*(IF(MONTH(VALUE($A87))=Reference!$C$6,0,1)),0)</f>
        <v>521</v>
      </c>
      <c r="C88" s="8">
        <f ca="1">MAX(0,ROUND((_xlfn.NORM.INV(RAND(),Reference!$C$10,0.005))*SUMIFS(Sales!$B$6:$B$3658,Sales!$A$6:$A$3658,"&gt;="&amp;VALUE($A86),Sales!$A$6:$A$3658,"&lt;"&amp;VALUE($A87)),0))</f>
        <v>658</v>
      </c>
      <c r="D88" s="8">
        <f ca="1">ROUND((_xlfn.NORM.INV(RAND(),Reference!$D$9,0.005))*(SUMIFS(Sales!$D$6:$D$3658,Sales!$A$6:$A$3658,"&gt;="&amp;VALUE($A87),Sales!$A$6:$A$3658,"&lt;"&amp;VALUE($A88)))*(IF(MONTH(VALUE($A87))=Reference!$D$6,0,1)),0)</f>
        <v>1146</v>
      </c>
      <c r="E88" s="8">
        <f ca="1">MAX(0,ROUND((_xlfn.NORM.INV(RAND(),Reference!$D$10,0.005))*SUMIFS(Sales!$D$6:$D$3658,Sales!$A$6:$A$3658,"&gt;="&amp;VALUE($A86),Sales!$A$6:$A$3658,"&lt;"&amp;VALUE($A87)),0))</f>
        <v>786</v>
      </c>
    </row>
    <row r="89" spans="1:5" x14ac:dyDescent="0.25">
      <c r="A89" s="19" t="s">
        <v>120</v>
      </c>
      <c r="B89" s="8">
        <f ca="1">ROUND((_xlfn.NORM.INV(RAND(),Reference!$C$9,0.005))*(SUMIFS(Sales!$B$6:$B$3658,Sales!$A$6:$A$3658,"&gt;="&amp;VALUE($A88),Sales!$A$6:$A$3658,"&lt;"&amp;VALUE($A89)))*(IF(MONTH(VALUE($A88))=Reference!$C$6,0,1)),0)</f>
        <v>388</v>
      </c>
      <c r="C89" s="8">
        <f ca="1">MAX(0,ROUND((_xlfn.NORM.INV(RAND(),Reference!$C$10,0.005))*SUMIFS(Sales!$B$6:$B$3658,Sales!$A$6:$A$3658,"&gt;="&amp;VALUE($A87),Sales!$A$6:$A$3658,"&lt;"&amp;VALUE($A88)),0))</f>
        <v>707</v>
      </c>
      <c r="D89" s="8">
        <f ca="1">ROUND((_xlfn.NORM.INV(RAND(),Reference!$D$9,0.005))*(SUMIFS(Sales!$D$6:$D$3658,Sales!$A$6:$A$3658,"&gt;="&amp;VALUE($A88),Sales!$A$6:$A$3658,"&lt;"&amp;VALUE($A89)))*(IF(MONTH(VALUE($A88))=Reference!$D$6,0,1)),0)</f>
        <v>1023</v>
      </c>
      <c r="E89" s="8">
        <f ca="1">MAX(0,ROUND((_xlfn.NORM.INV(RAND(),Reference!$D$10,0.005))*SUMIFS(Sales!$D$6:$D$3658,Sales!$A$6:$A$3658,"&gt;="&amp;VALUE($A87),Sales!$A$6:$A$3658,"&lt;"&amp;VALUE($A88)),0))</f>
        <v>702</v>
      </c>
    </row>
    <row r="90" spans="1:5" x14ac:dyDescent="0.25">
      <c r="A90" s="19" t="s">
        <v>121</v>
      </c>
      <c r="B90" s="8">
        <f ca="1">ROUND((_xlfn.NORM.INV(RAND(),Reference!$C$9,0.005))*(SUMIFS(Sales!$B$6:$B$3658,Sales!$A$6:$A$3658,"&gt;="&amp;VALUE($A89),Sales!$A$6:$A$3658,"&lt;"&amp;VALUE($A90)))*(IF(MONTH(VALUE($A89))=Reference!$C$6,0,1)),0)</f>
        <v>562</v>
      </c>
      <c r="C90" s="8">
        <f ca="1">MAX(0,ROUND((_xlfn.NORM.INV(RAND(),Reference!$C$10,0.005))*SUMIFS(Sales!$B$6:$B$3658,Sales!$A$6:$A$3658,"&gt;="&amp;VALUE($A88),Sales!$A$6:$A$3658,"&lt;"&amp;VALUE($A89)),0))</f>
        <v>728</v>
      </c>
      <c r="D90" s="8">
        <f ca="1">ROUND((_xlfn.NORM.INV(RAND(),Reference!$D$9,0.005))*(SUMIFS(Sales!$D$6:$D$3658,Sales!$A$6:$A$3658,"&gt;="&amp;VALUE($A89),Sales!$A$6:$A$3658,"&lt;"&amp;VALUE($A90)))*(IF(MONTH(VALUE($A89))=Reference!$D$6,0,1)),0)</f>
        <v>1255</v>
      </c>
      <c r="E90" s="8">
        <f ca="1">MAX(0,ROUND((_xlfn.NORM.INV(RAND(),Reference!$D$10,0.005))*SUMIFS(Sales!$D$6:$D$3658,Sales!$A$6:$A$3658,"&gt;="&amp;VALUE($A88),Sales!$A$6:$A$3658,"&lt;"&amp;VALUE($A89)),0))</f>
        <v>700</v>
      </c>
    </row>
    <row r="91" spans="1:5" x14ac:dyDescent="0.25">
      <c r="A91" s="19" t="s">
        <v>122</v>
      </c>
      <c r="B91" s="8">
        <f ca="1">ROUND((_xlfn.NORM.INV(RAND(),Reference!$C$9,0.005))*(SUMIFS(Sales!$B$6:$B$3658,Sales!$A$6:$A$3658,"&gt;="&amp;VALUE($A90),Sales!$A$6:$A$3658,"&lt;"&amp;VALUE($A91)))*(IF(MONTH(VALUE($A90))=Reference!$C$6,0,1)),0)</f>
        <v>579</v>
      </c>
      <c r="C91" s="8">
        <f ca="1">MAX(0,ROUND((_xlfn.NORM.INV(RAND(),Reference!$C$10,0.005))*SUMIFS(Sales!$B$6:$B$3658,Sales!$A$6:$A$3658,"&gt;="&amp;VALUE($A89),Sales!$A$6:$A$3658,"&lt;"&amp;VALUE($A90)),0))</f>
        <v>759</v>
      </c>
      <c r="D91" s="8">
        <f ca="1">ROUND((_xlfn.NORM.INV(RAND(),Reference!$D$9,0.005))*(SUMIFS(Sales!$D$6:$D$3658,Sales!$A$6:$A$3658,"&gt;="&amp;VALUE($A90),Sales!$A$6:$A$3658,"&lt;"&amp;VALUE($A91)))*(IF(MONTH(VALUE($A90))=Reference!$D$6,0,1)),0)</f>
        <v>1132</v>
      </c>
      <c r="E91" s="8">
        <f ca="1">MAX(0,ROUND((_xlfn.NORM.INV(RAND(),Reference!$D$10,0.005))*SUMIFS(Sales!$D$6:$D$3658,Sales!$A$6:$A$3658,"&gt;="&amp;VALUE($A89),Sales!$A$6:$A$3658,"&lt;"&amp;VALUE($A90)),0))</f>
        <v>667</v>
      </c>
    </row>
    <row r="92" spans="1:5" x14ac:dyDescent="0.25">
      <c r="A92" s="19" t="s">
        <v>123</v>
      </c>
      <c r="B92" s="8">
        <f ca="1">ROUND((_xlfn.NORM.INV(RAND(),Reference!$C$9,0.005))*(SUMIFS(Sales!$B$6:$B$3658,Sales!$A$6:$A$3658,"&gt;="&amp;VALUE($A91),Sales!$A$6:$A$3658,"&lt;"&amp;VALUE($A92)))*(IF(MONTH(VALUE($A91))=Reference!$C$6,0,1)),0)</f>
        <v>594</v>
      </c>
      <c r="C92" s="8">
        <f ca="1">MAX(0,ROUND((_xlfn.NORM.INV(RAND(),Reference!$C$10,0.005))*SUMIFS(Sales!$B$6:$B$3658,Sales!$A$6:$A$3658,"&gt;="&amp;VALUE($A90),Sales!$A$6:$A$3658,"&lt;"&amp;VALUE($A91)),0))</f>
        <v>654</v>
      </c>
      <c r="D92" s="8">
        <f ca="1">ROUND((_xlfn.NORM.INV(RAND(),Reference!$D$9,0.005))*(SUMIFS(Sales!$D$6:$D$3658,Sales!$A$6:$A$3658,"&gt;="&amp;VALUE($A91),Sales!$A$6:$A$3658,"&lt;"&amp;VALUE($A92)))*(IF(MONTH(VALUE($A91))=Reference!$D$6,0,1)),0)</f>
        <v>970</v>
      </c>
      <c r="E92" s="8">
        <f ca="1">MAX(0,ROUND((_xlfn.NORM.INV(RAND(),Reference!$D$10,0.005))*SUMIFS(Sales!$D$6:$D$3658,Sales!$A$6:$A$3658,"&gt;="&amp;VALUE($A90),Sales!$A$6:$A$3658,"&lt;"&amp;VALUE($A91)),0))</f>
        <v>591</v>
      </c>
    </row>
    <row r="93" spans="1:5" x14ac:dyDescent="0.25">
      <c r="A93" s="19" t="s">
        <v>124</v>
      </c>
      <c r="B93" s="8">
        <f ca="1">ROUND((_xlfn.NORM.INV(RAND(),Reference!$C$9,0.005))*(SUMIFS(Sales!$B$6:$B$3658,Sales!$A$6:$A$3658,"&gt;="&amp;VALUE($A92),Sales!$A$6:$A$3658,"&lt;"&amp;VALUE($A93)))*(IF(MONTH(VALUE($A92))=Reference!$C$6,0,1)),0)</f>
        <v>638</v>
      </c>
      <c r="C93" s="8">
        <f ca="1">MAX(0,ROUND((_xlfn.NORM.INV(RAND(),Reference!$C$10,0.005))*SUMIFS(Sales!$B$6:$B$3658,Sales!$A$6:$A$3658,"&gt;="&amp;VALUE($A91),Sales!$A$6:$A$3658,"&lt;"&amp;VALUE($A92)),0))</f>
        <v>619</v>
      </c>
      <c r="D93" s="8">
        <f ca="1">ROUND((_xlfn.NORM.INV(RAND(),Reference!$D$9,0.005))*(SUMIFS(Sales!$D$6:$D$3658,Sales!$A$6:$A$3658,"&gt;="&amp;VALUE($A92),Sales!$A$6:$A$3658,"&lt;"&amp;VALUE($A93)))*(IF(MONTH(VALUE($A92))=Reference!$D$6,0,1)),0)</f>
        <v>1064</v>
      </c>
      <c r="E93" s="8">
        <f ca="1">MAX(0,ROUND((_xlfn.NORM.INV(RAND(),Reference!$D$10,0.005))*SUMIFS(Sales!$D$6:$D$3658,Sales!$A$6:$A$3658,"&gt;="&amp;VALUE($A91),Sales!$A$6:$A$3658,"&lt;"&amp;VALUE($A92)),0))</f>
        <v>642</v>
      </c>
    </row>
    <row r="94" spans="1:5" x14ac:dyDescent="0.25">
      <c r="A94" s="19" t="s">
        <v>125</v>
      </c>
      <c r="B94" s="8">
        <f ca="1">ROUND((_xlfn.NORM.INV(RAND(),Reference!$C$9,0.005))*(SUMIFS(Sales!$B$6:$B$3658,Sales!$A$6:$A$3658,"&gt;="&amp;VALUE($A93),Sales!$A$6:$A$3658,"&lt;"&amp;VALUE($A94)))*(IF(MONTH(VALUE($A93))=Reference!$C$6,0,1)),0)</f>
        <v>830</v>
      </c>
      <c r="C94" s="8">
        <f ca="1">MAX(0,ROUND((_xlfn.NORM.INV(RAND(),Reference!$C$10,0.005))*SUMIFS(Sales!$B$6:$B$3658,Sales!$A$6:$A$3658,"&gt;="&amp;VALUE($A92),Sales!$A$6:$A$3658,"&lt;"&amp;VALUE($A93)),0))</f>
        <v>737</v>
      </c>
      <c r="D94" s="8">
        <f ca="1">ROUND((_xlfn.NORM.INV(RAND(),Reference!$D$9,0.005))*(SUMIFS(Sales!$D$6:$D$3658,Sales!$A$6:$A$3658,"&gt;="&amp;VALUE($A93),Sales!$A$6:$A$3658,"&lt;"&amp;VALUE($A94)))*(IF(MONTH(VALUE($A93))=Reference!$D$6,0,1)),0)</f>
        <v>1123</v>
      </c>
      <c r="E94" s="8">
        <f ca="1">MAX(0,ROUND((_xlfn.NORM.INV(RAND(),Reference!$D$10,0.005))*SUMIFS(Sales!$D$6:$D$3658,Sales!$A$6:$A$3658,"&gt;="&amp;VALUE($A92),Sales!$A$6:$A$3658,"&lt;"&amp;VALUE($A93)),0))</f>
        <v>610</v>
      </c>
    </row>
    <row r="95" spans="1:5" x14ac:dyDescent="0.25">
      <c r="A95" s="19" t="s">
        <v>126</v>
      </c>
      <c r="B95" s="8">
        <f ca="1">ROUND((_xlfn.NORM.INV(RAND(),Reference!$C$9,0.005))*(SUMIFS(Sales!$B$6:$B$3658,Sales!$A$6:$A$3658,"&gt;="&amp;VALUE($A94),Sales!$A$6:$A$3658,"&lt;"&amp;VALUE($A95)))*(IF(MONTH(VALUE($A94))=Reference!$C$6,0,1)),0)</f>
        <v>882</v>
      </c>
      <c r="C95" s="8">
        <f ca="1">MAX(0,ROUND((_xlfn.NORM.INV(RAND(),Reference!$C$10,0.005))*SUMIFS(Sales!$B$6:$B$3658,Sales!$A$6:$A$3658,"&gt;="&amp;VALUE($A93),Sales!$A$6:$A$3658,"&lt;"&amp;VALUE($A94)),0))</f>
        <v>828</v>
      </c>
      <c r="D95" s="8">
        <f ca="1">ROUND((_xlfn.NORM.INV(RAND(),Reference!$D$9,0.005))*(SUMIFS(Sales!$D$6:$D$3658,Sales!$A$6:$A$3658,"&gt;="&amp;VALUE($A94),Sales!$A$6:$A$3658,"&lt;"&amp;VALUE($A95)))*(IF(MONTH(VALUE($A94))=Reference!$D$6,0,1)),0)</f>
        <v>1173</v>
      </c>
      <c r="E95" s="8">
        <f ca="1">MAX(0,ROUND((_xlfn.NORM.INV(RAND(),Reference!$D$10,0.005))*SUMIFS(Sales!$D$6:$D$3658,Sales!$A$6:$A$3658,"&gt;="&amp;VALUE($A93),Sales!$A$6:$A$3658,"&lt;"&amp;VALUE($A94)),0))</f>
        <v>674</v>
      </c>
    </row>
    <row r="96" spans="1:5" x14ac:dyDescent="0.25">
      <c r="A96" s="19" t="s">
        <v>127</v>
      </c>
      <c r="B96" s="8">
        <f ca="1">ROUND((_xlfn.NORM.INV(RAND(),Reference!$C$9,0.005))*(SUMIFS(Sales!$B$6:$B$3658,Sales!$A$6:$A$3658,"&gt;="&amp;VALUE($A95),Sales!$A$6:$A$3658,"&lt;"&amp;VALUE($A96)))*(IF(MONTH(VALUE($A95))=Reference!$C$6,0,1)),0)</f>
        <v>0</v>
      </c>
      <c r="C96" s="8">
        <f ca="1">MAX(0,ROUND((_xlfn.NORM.INV(RAND(),Reference!$C$10,0.005))*SUMIFS(Sales!$B$6:$B$3658,Sales!$A$6:$A$3658,"&gt;="&amp;VALUE($A94),Sales!$A$6:$A$3658,"&lt;"&amp;VALUE($A95)),0))</f>
        <v>1104</v>
      </c>
      <c r="D96" s="8">
        <f ca="1">ROUND((_xlfn.NORM.INV(RAND(),Reference!$D$9,0.005))*(SUMIFS(Sales!$D$6:$D$3658,Sales!$A$6:$A$3658,"&gt;="&amp;VALUE($A95),Sales!$A$6:$A$3658,"&lt;"&amp;VALUE($A96)))*(IF(MONTH(VALUE($A95))=Reference!$D$6,0,1)),0)</f>
        <v>1104</v>
      </c>
      <c r="E96" s="8">
        <f ca="1">MAX(0,ROUND((_xlfn.NORM.INV(RAND(),Reference!$D$10,0.005))*SUMIFS(Sales!$D$6:$D$3658,Sales!$A$6:$A$3658,"&gt;="&amp;VALUE($A94),Sales!$A$6:$A$3658,"&lt;"&amp;VALUE($A95)),0))</f>
        <v>623</v>
      </c>
    </row>
    <row r="97" spans="1:5" x14ac:dyDescent="0.25">
      <c r="A97" s="19" t="s">
        <v>128</v>
      </c>
      <c r="B97" s="8">
        <f ca="1">ROUND((_xlfn.NORM.INV(RAND(),Reference!$C$9,0.005))*(SUMIFS(Sales!$B$6:$B$3658,Sales!$A$6:$A$3658,"&gt;="&amp;VALUE($A96),Sales!$A$6:$A$3658,"&lt;"&amp;VALUE($A97)))*(IF(MONTH(VALUE($A96))=Reference!$C$6,0,1)),0)</f>
        <v>621</v>
      </c>
      <c r="C97" s="8">
        <f ca="1">MAX(0,ROUND((_xlfn.NORM.INV(RAND(),Reference!$C$10,0.005))*SUMIFS(Sales!$B$6:$B$3658,Sales!$A$6:$A$3658,"&gt;="&amp;VALUE($A95),Sales!$A$6:$A$3658,"&lt;"&amp;VALUE($A96)),0))</f>
        <v>833</v>
      </c>
      <c r="D97" s="8">
        <f ca="1">ROUND((_xlfn.NORM.INV(RAND(),Reference!$D$9,0.005))*(SUMIFS(Sales!$D$6:$D$3658,Sales!$A$6:$A$3658,"&gt;="&amp;VALUE($A96),Sales!$A$6:$A$3658,"&lt;"&amp;VALUE($A97)))*(IF(MONTH(VALUE($A96))=Reference!$D$6,0,1)),0)</f>
        <v>1318</v>
      </c>
      <c r="E97" s="8">
        <f ca="1">MAX(0,ROUND((_xlfn.NORM.INV(RAND(),Reference!$D$10,0.005))*SUMIFS(Sales!$D$6:$D$3658,Sales!$A$6:$A$3658,"&gt;="&amp;VALUE($A95),Sales!$A$6:$A$3658,"&lt;"&amp;VALUE($A96)),0))</f>
        <v>751</v>
      </c>
    </row>
    <row r="98" spans="1:5" x14ac:dyDescent="0.25">
      <c r="A98" s="19" t="s">
        <v>129</v>
      </c>
      <c r="B98" s="8">
        <f ca="1">ROUND((_xlfn.NORM.INV(RAND(),Reference!$C$9,0.005))*(SUMIFS(Sales!$B$6:$B$3658,Sales!$A$6:$A$3658,"&gt;="&amp;VALUE($A97),Sales!$A$6:$A$3658,"&lt;"&amp;VALUE($A98)))*(IF(MONTH(VALUE($A97))=Reference!$C$6,0,1)),0)</f>
        <v>617</v>
      </c>
      <c r="C98" s="8">
        <f ca="1">MAX(0,ROUND((_xlfn.NORM.INV(RAND(),Reference!$C$10,0.005))*SUMIFS(Sales!$B$6:$B$3658,Sales!$A$6:$A$3658,"&gt;="&amp;VALUE($A96),Sales!$A$6:$A$3658,"&lt;"&amp;VALUE($A97)),0))</f>
        <v>640</v>
      </c>
      <c r="D98" s="8">
        <f ca="1">ROUND((_xlfn.NORM.INV(RAND(),Reference!$D$9,0.005))*(SUMIFS(Sales!$D$6:$D$3658,Sales!$A$6:$A$3658,"&gt;="&amp;VALUE($A97),Sales!$A$6:$A$3658,"&lt;"&amp;VALUE($A98)))*(IF(MONTH(VALUE($A97))=Reference!$D$6,0,1)),0)</f>
        <v>1232</v>
      </c>
      <c r="E98" s="8">
        <f ca="1">MAX(0,ROUND((_xlfn.NORM.INV(RAND(),Reference!$D$10,0.005))*SUMIFS(Sales!$D$6:$D$3658,Sales!$A$6:$A$3658,"&gt;="&amp;VALUE($A96),Sales!$A$6:$A$3658,"&lt;"&amp;VALUE($A97)),0))</f>
        <v>895</v>
      </c>
    </row>
    <row r="99" spans="1:5" x14ac:dyDescent="0.25">
      <c r="A99" s="19" t="s">
        <v>130</v>
      </c>
      <c r="B99" s="8">
        <f ca="1">ROUND((_xlfn.NORM.INV(RAND(),Reference!$C$9,0.005))*(SUMIFS(Sales!$B$6:$B$3658,Sales!$A$6:$A$3658,"&gt;="&amp;VALUE($A98),Sales!$A$6:$A$3658,"&lt;"&amp;VALUE($A99)))*(IF(MONTH(VALUE($A98))=Reference!$C$6,0,1)),0)</f>
        <v>607</v>
      </c>
      <c r="C99" s="8">
        <f ca="1">MAX(0,ROUND((_xlfn.NORM.INV(RAND(),Reference!$C$10,0.005))*SUMIFS(Sales!$B$6:$B$3658,Sales!$A$6:$A$3658,"&gt;="&amp;VALUE($A97),Sales!$A$6:$A$3658,"&lt;"&amp;VALUE($A98)),0))</f>
        <v>792</v>
      </c>
      <c r="D99" s="8">
        <f ca="1">ROUND((_xlfn.NORM.INV(RAND(),Reference!$D$9,0.005))*(SUMIFS(Sales!$D$6:$D$3658,Sales!$A$6:$A$3658,"&gt;="&amp;VALUE($A98),Sales!$A$6:$A$3658,"&lt;"&amp;VALUE($A99)))*(IF(MONTH(VALUE($A98))=Reference!$D$6,0,1)),0)</f>
        <v>0</v>
      </c>
      <c r="E99" s="8">
        <f ca="1">MAX(0,ROUND((_xlfn.NORM.INV(RAND(),Reference!$D$10,0.005))*SUMIFS(Sales!$D$6:$D$3658,Sales!$A$6:$A$3658,"&gt;="&amp;VALUE($A97),Sales!$A$6:$A$3658,"&lt;"&amp;VALUE($A98)),0))</f>
        <v>729</v>
      </c>
    </row>
    <row r="100" spans="1:5" x14ac:dyDescent="0.25">
      <c r="A100" s="19" t="s">
        <v>131</v>
      </c>
      <c r="B100" s="8">
        <f ca="1">ROUND((_xlfn.NORM.INV(RAND(),Reference!$C$9,0.005))*(SUMIFS(Sales!$B$6:$B$3658,Sales!$A$6:$A$3658,"&gt;="&amp;VALUE($A99),Sales!$A$6:$A$3658,"&lt;"&amp;VALUE($A100)))*(IF(MONTH(VALUE($A99))=Reference!$C$6,0,1)),0)</f>
        <v>571</v>
      </c>
      <c r="C100" s="8">
        <f ca="1">MAX(0,ROUND((_xlfn.NORM.INV(RAND(),Reference!$C$10,0.005))*SUMIFS(Sales!$B$6:$B$3658,Sales!$A$6:$A$3658,"&gt;="&amp;VALUE($A98),Sales!$A$6:$A$3658,"&lt;"&amp;VALUE($A99)),0))</f>
        <v>611</v>
      </c>
      <c r="D100" s="8">
        <f ca="1">ROUND((_xlfn.NORM.INV(RAND(),Reference!$D$9,0.005))*(SUMIFS(Sales!$D$6:$D$3658,Sales!$A$6:$A$3658,"&gt;="&amp;VALUE($A99),Sales!$A$6:$A$3658,"&lt;"&amp;VALUE($A100)))*(IF(MONTH(VALUE($A99))=Reference!$D$6,0,1)),0)</f>
        <v>1195</v>
      </c>
      <c r="E100" s="8">
        <f ca="1">MAX(0,ROUND((_xlfn.NORM.INV(RAND(),Reference!$D$10,0.005))*SUMIFS(Sales!$D$6:$D$3658,Sales!$A$6:$A$3658,"&gt;="&amp;VALUE($A98),Sales!$A$6:$A$3658,"&lt;"&amp;VALUE($A99)),0))</f>
        <v>756</v>
      </c>
    </row>
    <row r="101" spans="1:5" x14ac:dyDescent="0.25">
      <c r="A101" s="19" t="s">
        <v>132</v>
      </c>
      <c r="B101" s="8">
        <f ca="1">ROUND((_xlfn.NORM.INV(RAND(),Reference!$C$9,0.005))*(SUMIFS(Sales!$B$6:$B$3658,Sales!$A$6:$A$3658,"&gt;="&amp;VALUE($A100),Sales!$A$6:$A$3658,"&lt;"&amp;VALUE($A101)))*(IF(MONTH(VALUE($A100))=Reference!$C$6,0,1)),0)</f>
        <v>561</v>
      </c>
      <c r="C101" s="8">
        <f ca="1">MAX(0,ROUND((_xlfn.NORM.INV(RAND(),Reference!$C$10,0.005))*SUMIFS(Sales!$B$6:$B$3658,Sales!$A$6:$A$3658,"&gt;="&amp;VALUE($A99),Sales!$A$6:$A$3658,"&lt;"&amp;VALUE($A100)),0))</f>
        <v>687</v>
      </c>
      <c r="D101" s="8">
        <f ca="1">ROUND((_xlfn.NORM.INV(RAND(),Reference!$D$9,0.005))*(SUMIFS(Sales!$D$6:$D$3658,Sales!$A$6:$A$3658,"&gt;="&amp;VALUE($A100),Sales!$A$6:$A$3658,"&lt;"&amp;VALUE($A101)))*(IF(MONTH(VALUE($A100))=Reference!$D$6,0,1)),0)</f>
        <v>1074</v>
      </c>
      <c r="E101" s="8">
        <f ca="1">MAX(0,ROUND((_xlfn.NORM.INV(RAND(),Reference!$D$10,0.005))*SUMIFS(Sales!$D$6:$D$3658,Sales!$A$6:$A$3658,"&gt;="&amp;VALUE($A99),Sales!$A$6:$A$3658,"&lt;"&amp;VALUE($A100)),0))</f>
        <v>794</v>
      </c>
    </row>
    <row r="102" spans="1:5" x14ac:dyDescent="0.25">
      <c r="A102" s="19" t="s">
        <v>133</v>
      </c>
      <c r="B102" s="8">
        <f ca="1">ROUND((_xlfn.NORM.INV(RAND(),Reference!$C$9,0.005))*(SUMIFS(Sales!$B$6:$B$3658,Sales!$A$6:$A$3658,"&gt;="&amp;VALUE($A101),Sales!$A$6:$A$3658,"&lt;"&amp;VALUE($A102)))*(IF(MONTH(VALUE($A101))=Reference!$C$6,0,1)),0)</f>
        <v>546</v>
      </c>
      <c r="C102" s="8">
        <f ca="1">MAX(0,ROUND((_xlfn.NORM.INV(RAND(),Reference!$C$10,0.005))*SUMIFS(Sales!$B$6:$B$3658,Sales!$A$6:$A$3658,"&gt;="&amp;VALUE($A100),Sales!$A$6:$A$3658,"&lt;"&amp;VALUE($A101)),0))</f>
        <v>609</v>
      </c>
      <c r="D102" s="8">
        <f ca="1">ROUND((_xlfn.NORM.INV(RAND(),Reference!$D$9,0.005))*(SUMIFS(Sales!$D$6:$D$3658,Sales!$A$6:$A$3658,"&gt;="&amp;VALUE($A101),Sales!$A$6:$A$3658,"&lt;"&amp;VALUE($A102)))*(IF(MONTH(VALUE($A101))=Reference!$D$6,0,1)),0)</f>
        <v>1287</v>
      </c>
      <c r="E102" s="8">
        <f ca="1">MAX(0,ROUND((_xlfn.NORM.INV(RAND(),Reference!$D$10,0.005))*SUMIFS(Sales!$D$6:$D$3658,Sales!$A$6:$A$3658,"&gt;="&amp;VALUE($A100),Sales!$A$6:$A$3658,"&lt;"&amp;VALUE($A101)),0))</f>
        <v>737</v>
      </c>
    </row>
    <row r="103" spans="1:5" x14ac:dyDescent="0.25">
      <c r="A103" s="19" t="s">
        <v>134</v>
      </c>
      <c r="B103" s="8">
        <f ca="1">ROUND((_xlfn.NORM.INV(RAND(),Reference!$C$9,0.005))*(SUMIFS(Sales!$B$6:$B$3658,Sales!$A$6:$A$3658,"&gt;="&amp;VALUE($A102),Sales!$A$6:$A$3658,"&lt;"&amp;VALUE($A103)))*(IF(MONTH(VALUE($A102))=Reference!$C$6,0,1)),0)</f>
        <v>649</v>
      </c>
      <c r="C103" s="8">
        <f ca="1">MAX(0,ROUND((_xlfn.NORM.INV(RAND(),Reference!$C$10,0.005))*SUMIFS(Sales!$B$6:$B$3658,Sales!$A$6:$A$3658,"&gt;="&amp;VALUE($A101),Sales!$A$6:$A$3658,"&lt;"&amp;VALUE($A102)),0))</f>
        <v>628</v>
      </c>
      <c r="D103" s="8">
        <f ca="1">ROUND((_xlfn.NORM.INV(RAND(),Reference!$D$9,0.005))*(SUMIFS(Sales!$D$6:$D$3658,Sales!$A$6:$A$3658,"&gt;="&amp;VALUE($A102),Sales!$A$6:$A$3658,"&lt;"&amp;VALUE($A103)))*(IF(MONTH(VALUE($A102))=Reference!$D$6,0,1)),0)</f>
        <v>1158</v>
      </c>
      <c r="E103" s="8">
        <f ca="1">MAX(0,ROUND((_xlfn.NORM.INV(RAND(),Reference!$D$10,0.005))*SUMIFS(Sales!$D$6:$D$3658,Sales!$A$6:$A$3658,"&gt;="&amp;VALUE($A101),Sales!$A$6:$A$3658,"&lt;"&amp;VALUE($A102)),0))</f>
        <v>753</v>
      </c>
    </row>
    <row r="104" spans="1:5" x14ac:dyDescent="0.25">
      <c r="A104" s="19" t="s">
        <v>135</v>
      </c>
      <c r="B104" s="8">
        <f ca="1">ROUND((_xlfn.NORM.INV(RAND(),Reference!$C$9,0.005))*(SUMIFS(Sales!$B$6:$B$3658,Sales!$A$6:$A$3658,"&gt;="&amp;VALUE($A103),Sales!$A$6:$A$3658,"&lt;"&amp;VALUE($A104)))*(IF(MONTH(VALUE($A103))=Reference!$C$6,0,1)),0)</f>
        <v>457</v>
      </c>
      <c r="C104" s="8">
        <f ca="1">MAX(0,ROUND((_xlfn.NORM.INV(RAND(),Reference!$C$10,0.005))*SUMIFS(Sales!$B$6:$B$3658,Sales!$A$6:$A$3658,"&gt;="&amp;VALUE($A102),Sales!$A$6:$A$3658,"&lt;"&amp;VALUE($A103)),0))</f>
        <v>704</v>
      </c>
      <c r="D104" s="8">
        <f ca="1">ROUND((_xlfn.NORM.INV(RAND(),Reference!$D$9,0.005))*(SUMIFS(Sales!$D$6:$D$3658,Sales!$A$6:$A$3658,"&gt;="&amp;VALUE($A103),Sales!$A$6:$A$3658,"&lt;"&amp;VALUE($A104)))*(IF(MONTH(VALUE($A103))=Reference!$D$6,0,1)),0)</f>
        <v>1061</v>
      </c>
      <c r="E104" s="8">
        <f ca="1">MAX(0,ROUND((_xlfn.NORM.INV(RAND(),Reference!$D$10,0.005))*SUMIFS(Sales!$D$6:$D$3658,Sales!$A$6:$A$3658,"&gt;="&amp;VALUE($A102),Sales!$A$6:$A$3658,"&lt;"&amp;VALUE($A103)),0))</f>
        <v>605</v>
      </c>
    </row>
    <row r="105" spans="1:5" x14ac:dyDescent="0.25">
      <c r="A105" s="19" t="s">
        <v>136</v>
      </c>
      <c r="B105" s="8">
        <f ca="1">ROUND((_xlfn.NORM.INV(RAND(),Reference!$C$9,0.005))*(SUMIFS(Sales!$B$6:$B$3658,Sales!$A$6:$A$3658,"&gt;="&amp;VALUE($A104),Sales!$A$6:$A$3658,"&lt;"&amp;VALUE($A105)))*(IF(MONTH(VALUE($A104))=Reference!$C$6,0,1)),0)</f>
        <v>618</v>
      </c>
      <c r="C105" s="8">
        <f ca="1">MAX(0,ROUND((_xlfn.NORM.INV(RAND(),Reference!$C$10,0.005))*SUMIFS(Sales!$B$6:$B$3658,Sales!$A$6:$A$3658,"&gt;="&amp;VALUE($A103),Sales!$A$6:$A$3658,"&lt;"&amp;VALUE($A104)),0))</f>
        <v>617</v>
      </c>
      <c r="D105" s="8">
        <f ca="1">ROUND((_xlfn.NORM.INV(RAND(),Reference!$D$9,0.005))*(SUMIFS(Sales!$D$6:$D$3658,Sales!$A$6:$A$3658,"&gt;="&amp;VALUE($A104),Sales!$A$6:$A$3658,"&lt;"&amp;VALUE($A105)))*(IF(MONTH(VALUE($A104))=Reference!$D$6,0,1)),0)</f>
        <v>1241</v>
      </c>
      <c r="E105" s="8">
        <f ca="1">MAX(0,ROUND((_xlfn.NORM.INV(RAND(),Reference!$D$10,0.005))*SUMIFS(Sales!$D$6:$D$3658,Sales!$A$6:$A$3658,"&gt;="&amp;VALUE($A103),Sales!$A$6:$A$3658,"&lt;"&amp;VALUE($A104)),0))</f>
        <v>554</v>
      </c>
    </row>
    <row r="106" spans="1:5" x14ac:dyDescent="0.25">
      <c r="A106" s="19" t="s">
        <v>137</v>
      </c>
      <c r="B106" s="8">
        <f ca="1">ROUND((_xlfn.NORM.INV(RAND(),Reference!$C$9,0.005))*(SUMIFS(Sales!$B$6:$B$3658,Sales!$A$6:$A$3658,"&gt;="&amp;VALUE($A105),Sales!$A$6:$A$3658,"&lt;"&amp;VALUE($A106)))*(IF(MONTH(VALUE($A105))=Reference!$C$6,0,1)),0)</f>
        <v>852</v>
      </c>
      <c r="C106" s="8">
        <f ca="1">MAX(0,ROUND((_xlfn.NORM.INV(RAND(),Reference!$C$10,0.005))*SUMIFS(Sales!$B$6:$B$3658,Sales!$A$6:$A$3658,"&gt;="&amp;VALUE($A104),Sales!$A$6:$A$3658,"&lt;"&amp;VALUE($A105)),0))</f>
        <v>654</v>
      </c>
      <c r="D106" s="8">
        <f ca="1">ROUND((_xlfn.NORM.INV(RAND(),Reference!$D$9,0.005))*(SUMIFS(Sales!$D$6:$D$3658,Sales!$A$6:$A$3658,"&gt;="&amp;VALUE($A105),Sales!$A$6:$A$3658,"&lt;"&amp;VALUE($A106)))*(IF(MONTH(VALUE($A105))=Reference!$D$6,0,1)),0)</f>
        <v>1095</v>
      </c>
      <c r="E106" s="8">
        <f ca="1">MAX(0,ROUND((_xlfn.NORM.INV(RAND(),Reference!$D$10,0.005))*SUMIFS(Sales!$D$6:$D$3658,Sales!$A$6:$A$3658,"&gt;="&amp;VALUE($A104),Sales!$A$6:$A$3658,"&lt;"&amp;VALUE($A105)),0))</f>
        <v>732</v>
      </c>
    </row>
    <row r="107" spans="1:5" x14ac:dyDescent="0.25">
      <c r="A107" s="19" t="s">
        <v>138</v>
      </c>
      <c r="B107" s="8">
        <f ca="1">ROUND((_xlfn.NORM.INV(RAND(),Reference!$C$9,0.005))*(SUMIFS(Sales!$B$6:$B$3658,Sales!$A$6:$A$3658,"&gt;="&amp;VALUE($A106),Sales!$A$6:$A$3658,"&lt;"&amp;VALUE($A107)))*(IF(MONTH(VALUE($A106))=Reference!$C$6,0,1)),0)</f>
        <v>844</v>
      </c>
      <c r="C107" s="8">
        <f ca="1">MAX(0,ROUND((_xlfn.NORM.INV(RAND(),Reference!$C$10,0.005))*SUMIFS(Sales!$B$6:$B$3658,Sales!$A$6:$A$3658,"&gt;="&amp;VALUE($A105),Sales!$A$6:$A$3658,"&lt;"&amp;VALUE($A106)),0))</f>
        <v>887</v>
      </c>
      <c r="D107" s="8">
        <f ca="1">ROUND((_xlfn.NORM.INV(RAND(),Reference!$D$9,0.005))*(SUMIFS(Sales!$D$6:$D$3658,Sales!$A$6:$A$3658,"&gt;="&amp;VALUE($A106),Sales!$A$6:$A$3658,"&lt;"&amp;VALUE($A107)))*(IF(MONTH(VALUE($A106))=Reference!$D$6,0,1)),0)</f>
        <v>1272</v>
      </c>
      <c r="E107" s="8">
        <f ca="1">MAX(0,ROUND((_xlfn.NORM.INV(RAND(),Reference!$D$10,0.005))*SUMIFS(Sales!$D$6:$D$3658,Sales!$A$6:$A$3658,"&gt;="&amp;VALUE($A105),Sales!$A$6:$A$3658,"&lt;"&amp;VALUE($A106)),0))</f>
        <v>647</v>
      </c>
    </row>
    <row r="108" spans="1:5" x14ac:dyDescent="0.25">
      <c r="A108" s="19" t="s">
        <v>139</v>
      </c>
      <c r="B108" s="8">
        <f ca="1">ROUND((_xlfn.NORM.INV(RAND(),Reference!$C$9,0.005))*(SUMIFS(Sales!$B$6:$B$3658,Sales!$A$6:$A$3658,"&gt;="&amp;VALUE($A107),Sales!$A$6:$A$3658,"&lt;"&amp;VALUE($A108)))*(IF(MONTH(VALUE($A107))=Reference!$C$6,0,1)),0)</f>
        <v>0</v>
      </c>
      <c r="C108" s="8">
        <f ca="1">MAX(0,ROUND((_xlfn.NORM.INV(RAND(),Reference!$C$10,0.005))*SUMIFS(Sales!$B$6:$B$3658,Sales!$A$6:$A$3658,"&gt;="&amp;VALUE($A106),Sales!$A$6:$A$3658,"&lt;"&amp;VALUE($A107)),0))</f>
        <v>911</v>
      </c>
      <c r="D108" s="8">
        <f ca="1">ROUND((_xlfn.NORM.INV(RAND(),Reference!$D$9,0.005))*(SUMIFS(Sales!$D$6:$D$3658,Sales!$A$6:$A$3658,"&gt;="&amp;VALUE($A107),Sales!$A$6:$A$3658,"&lt;"&amp;VALUE($A108)))*(IF(MONTH(VALUE($A107))=Reference!$D$6,0,1)),0)</f>
        <v>1205</v>
      </c>
      <c r="E108" s="8">
        <f ca="1">MAX(0,ROUND((_xlfn.NORM.INV(RAND(),Reference!$D$10,0.005))*SUMIFS(Sales!$D$6:$D$3658,Sales!$A$6:$A$3658,"&gt;="&amp;VALUE($A106),Sales!$A$6:$A$3658,"&lt;"&amp;VALUE($A107)),0))</f>
        <v>614</v>
      </c>
    </row>
    <row r="109" spans="1:5" x14ac:dyDescent="0.25">
      <c r="A109" s="19" t="s">
        <v>140</v>
      </c>
      <c r="B109" s="8">
        <f ca="1">ROUND((_xlfn.NORM.INV(RAND(),Reference!$C$9,0.005))*(SUMIFS(Sales!$B$6:$B$3658,Sales!$A$6:$A$3658,"&gt;="&amp;VALUE($A108),Sales!$A$6:$A$3658,"&lt;"&amp;VALUE($A109)))*(IF(MONTH(VALUE($A108))=Reference!$C$6,0,1)),0)</f>
        <v>603</v>
      </c>
      <c r="C109" s="8">
        <f ca="1">MAX(0,ROUND((_xlfn.NORM.INV(RAND(),Reference!$C$10,0.005))*SUMIFS(Sales!$B$6:$B$3658,Sales!$A$6:$A$3658,"&gt;="&amp;VALUE($A107),Sales!$A$6:$A$3658,"&lt;"&amp;VALUE($A108)),0))</f>
        <v>991</v>
      </c>
      <c r="D109" s="8">
        <f ca="1">ROUND((_xlfn.NORM.INV(RAND(),Reference!$D$9,0.005))*(SUMIFS(Sales!$D$6:$D$3658,Sales!$A$6:$A$3658,"&gt;="&amp;VALUE($A108),Sales!$A$6:$A$3658,"&lt;"&amp;VALUE($A109)))*(IF(MONTH(VALUE($A108))=Reference!$D$6,0,1)),0)</f>
        <v>1245</v>
      </c>
      <c r="E109" s="8">
        <f ca="1">MAX(0,ROUND((_xlfn.NORM.INV(RAND(),Reference!$D$10,0.005))*SUMIFS(Sales!$D$6:$D$3658,Sales!$A$6:$A$3658,"&gt;="&amp;VALUE($A107),Sales!$A$6:$A$3658,"&lt;"&amp;VALUE($A108)),0))</f>
        <v>570</v>
      </c>
    </row>
    <row r="110" spans="1:5" x14ac:dyDescent="0.25">
      <c r="A110" s="19" t="s">
        <v>141</v>
      </c>
      <c r="B110" s="8">
        <f ca="1">ROUND((_xlfn.NORM.INV(RAND(),Reference!$C$9,0.005))*(SUMIFS(Sales!$B$6:$B$3658,Sales!$A$6:$A$3658,"&gt;="&amp;VALUE($A109),Sales!$A$6:$A$3658,"&lt;"&amp;VALUE($A110)))*(IF(MONTH(VALUE($A109))=Reference!$C$6,0,1)),0)</f>
        <v>535</v>
      </c>
      <c r="C110" s="8">
        <f ca="1">MAX(0,ROUND((_xlfn.NORM.INV(RAND(),Reference!$C$10,0.005))*SUMIFS(Sales!$B$6:$B$3658,Sales!$A$6:$A$3658,"&gt;="&amp;VALUE($A108),Sales!$A$6:$A$3658,"&lt;"&amp;VALUE($A109)),0))</f>
        <v>739</v>
      </c>
      <c r="D110" s="8">
        <f ca="1">ROUND((_xlfn.NORM.INV(RAND(),Reference!$D$9,0.005))*(SUMIFS(Sales!$D$6:$D$3658,Sales!$A$6:$A$3658,"&gt;="&amp;VALUE($A109),Sales!$A$6:$A$3658,"&lt;"&amp;VALUE($A110)))*(IF(MONTH(VALUE($A109))=Reference!$D$6,0,1)),0)</f>
        <v>1430</v>
      </c>
      <c r="E110" s="8">
        <f ca="1">MAX(0,ROUND((_xlfn.NORM.INV(RAND(),Reference!$D$10,0.005))*SUMIFS(Sales!$D$6:$D$3658,Sales!$A$6:$A$3658,"&gt;="&amp;VALUE($A108),Sales!$A$6:$A$3658,"&lt;"&amp;VALUE($A109)),0))</f>
        <v>707</v>
      </c>
    </row>
    <row r="111" spans="1:5" x14ac:dyDescent="0.25">
      <c r="A111" s="19" t="s">
        <v>142</v>
      </c>
      <c r="B111" s="8">
        <f ca="1">ROUND((_xlfn.NORM.INV(RAND(),Reference!$C$9,0.005))*(SUMIFS(Sales!$B$6:$B$3658,Sales!$A$6:$A$3658,"&gt;="&amp;VALUE($A110),Sales!$A$6:$A$3658,"&lt;"&amp;VALUE($A111)))*(IF(MONTH(VALUE($A110))=Reference!$C$6,0,1)),0)</f>
        <v>520</v>
      </c>
      <c r="C111" s="8">
        <f ca="1">MAX(0,ROUND((_xlfn.NORM.INV(RAND(),Reference!$C$10,0.005))*SUMIFS(Sales!$B$6:$B$3658,Sales!$A$6:$A$3658,"&gt;="&amp;VALUE($A109),Sales!$A$6:$A$3658,"&lt;"&amp;VALUE($A110)),0))</f>
        <v>764</v>
      </c>
      <c r="D111" s="8">
        <f ca="1">ROUND((_xlfn.NORM.INV(RAND(),Reference!$D$9,0.005))*(SUMIFS(Sales!$D$6:$D$3658,Sales!$A$6:$A$3658,"&gt;="&amp;VALUE($A110),Sales!$A$6:$A$3658,"&lt;"&amp;VALUE($A111)))*(IF(MONTH(VALUE($A110))=Reference!$D$6,0,1)),0)</f>
        <v>0</v>
      </c>
      <c r="E111" s="8">
        <f ca="1">MAX(0,ROUND((_xlfn.NORM.INV(RAND(),Reference!$D$10,0.005))*SUMIFS(Sales!$D$6:$D$3658,Sales!$A$6:$A$3658,"&gt;="&amp;VALUE($A109),Sales!$A$6:$A$3658,"&lt;"&amp;VALUE($A110)),0))</f>
        <v>828</v>
      </c>
    </row>
    <row r="112" spans="1:5" x14ac:dyDescent="0.25">
      <c r="A112" s="19" t="s">
        <v>143</v>
      </c>
      <c r="B112" s="8">
        <f ca="1">ROUND((_xlfn.NORM.INV(RAND(),Reference!$C$9,0.005))*(SUMIFS(Sales!$B$6:$B$3658,Sales!$A$6:$A$3658,"&gt;="&amp;VALUE($A111),Sales!$A$6:$A$3658,"&lt;"&amp;VALUE($A112)))*(IF(MONTH(VALUE($A111))=Reference!$C$6,0,1)),0)</f>
        <v>657</v>
      </c>
      <c r="C112" s="8">
        <f ca="1">MAX(0,ROUND((_xlfn.NORM.INV(RAND(),Reference!$C$10,0.005))*SUMIFS(Sales!$B$6:$B$3658,Sales!$A$6:$A$3658,"&gt;="&amp;VALUE($A110),Sales!$A$6:$A$3658,"&lt;"&amp;VALUE($A111)),0))</f>
        <v>708</v>
      </c>
      <c r="D112" s="8">
        <f ca="1">ROUND((_xlfn.NORM.INV(RAND(),Reference!$D$9,0.005))*(SUMIFS(Sales!$D$6:$D$3658,Sales!$A$6:$A$3658,"&gt;="&amp;VALUE($A111),Sales!$A$6:$A$3658,"&lt;"&amp;VALUE($A112)))*(IF(MONTH(VALUE($A111))=Reference!$D$6,0,1)),0)</f>
        <v>1157</v>
      </c>
      <c r="E112" s="8">
        <f ca="1">MAX(0,ROUND((_xlfn.NORM.INV(RAND(),Reference!$D$10,0.005))*SUMIFS(Sales!$D$6:$D$3658,Sales!$A$6:$A$3658,"&gt;="&amp;VALUE($A110),Sales!$A$6:$A$3658,"&lt;"&amp;VALUE($A111)),0))</f>
        <v>718</v>
      </c>
    </row>
    <row r="113" spans="1:5" x14ac:dyDescent="0.25">
      <c r="A113" s="19" t="s">
        <v>144</v>
      </c>
      <c r="B113" s="8">
        <f ca="1">ROUND((_xlfn.NORM.INV(RAND(),Reference!$C$9,0.005))*(SUMIFS(Sales!$B$6:$B$3658,Sales!$A$6:$A$3658,"&gt;="&amp;VALUE($A112),Sales!$A$6:$A$3658,"&lt;"&amp;VALUE($A113)))*(IF(MONTH(VALUE($A112))=Reference!$C$6,0,1)),0)</f>
        <v>622</v>
      </c>
      <c r="C113" s="8">
        <f ca="1">MAX(0,ROUND((_xlfn.NORM.INV(RAND(),Reference!$C$10,0.005))*SUMIFS(Sales!$B$6:$B$3658,Sales!$A$6:$A$3658,"&gt;="&amp;VALUE($A111),Sales!$A$6:$A$3658,"&lt;"&amp;VALUE($A112)),0))</f>
        <v>673</v>
      </c>
      <c r="D113" s="8">
        <f ca="1">ROUND((_xlfn.NORM.INV(RAND(),Reference!$D$9,0.005))*(SUMIFS(Sales!$D$6:$D$3658,Sales!$A$6:$A$3658,"&gt;="&amp;VALUE($A112),Sales!$A$6:$A$3658,"&lt;"&amp;VALUE($A113)))*(IF(MONTH(VALUE($A112))=Reference!$D$6,0,1)),0)</f>
        <v>1082</v>
      </c>
      <c r="E113" s="8">
        <f ca="1">MAX(0,ROUND((_xlfn.NORM.INV(RAND(),Reference!$D$10,0.005))*SUMIFS(Sales!$D$6:$D$3658,Sales!$A$6:$A$3658,"&gt;="&amp;VALUE($A111),Sales!$A$6:$A$3658,"&lt;"&amp;VALUE($A112)),0))</f>
        <v>693</v>
      </c>
    </row>
    <row r="114" spans="1:5" x14ac:dyDescent="0.25">
      <c r="A114" s="19" t="s">
        <v>145</v>
      </c>
      <c r="B114" s="8">
        <f ca="1">ROUND((_xlfn.NORM.INV(RAND(),Reference!$C$9,0.005))*(SUMIFS(Sales!$B$6:$B$3658,Sales!$A$6:$A$3658,"&gt;="&amp;VALUE($A113),Sales!$A$6:$A$3658,"&lt;"&amp;VALUE($A114)))*(IF(MONTH(VALUE($A113))=Reference!$C$6,0,1)),0)</f>
        <v>548</v>
      </c>
      <c r="C114" s="8">
        <f ca="1">MAX(0,ROUND((_xlfn.NORM.INV(RAND(),Reference!$C$10,0.005))*SUMIFS(Sales!$B$6:$B$3658,Sales!$A$6:$A$3658,"&gt;="&amp;VALUE($A112),Sales!$A$6:$A$3658,"&lt;"&amp;VALUE($A113)),0))</f>
        <v>628</v>
      </c>
      <c r="D114" s="8">
        <f ca="1">ROUND((_xlfn.NORM.INV(RAND(),Reference!$D$9,0.005))*(SUMIFS(Sales!$D$6:$D$3658,Sales!$A$6:$A$3658,"&gt;="&amp;VALUE($A113),Sales!$A$6:$A$3658,"&lt;"&amp;VALUE($A114)))*(IF(MONTH(VALUE($A113))=Reference!$D$6,0,1)),0)</f>
        <v>1251</v>
      </c>
      <c r="E114" s="8">
        <f ca="1">MAX(0,ROUND((_xlfn.NORM.INV(RAND(),Reference!$D$10,0.005))*SUMIFS(Sales!$D$6:$D$3658,Sales!$A$6:$A$3658,"&gt;="&amp;VALUE($A112),Sales!$A$6:$A$3658,"&lt;"&amp;VALUE($A113)),0))</f>
        <v>695</v>
      </c>
    </row>
    <row r="115" spans="1:5" x14ac:dyDescent="0.25">
      <c r="A115" s="19" t="s">
        <v>146</v>
      </c>
      <c r="B115" s="8">
        <f ca="1">ROUND((_xlfn.NORM.INV(RAND(),Reference!$C$9,0.005))*(SUMIFS(Sales!$B$6:$B$3658,Sales!$A$6:$A$3658,"&gt;="&amp;VALUE($A114),Sales!$A$6:$A$3658,"&lt;"&amp;VALUE($A115)))*(IF(MONTH(VALUE($A114))=Reference!$C$6,0,1)),0)</f>
        <v>565</v>
      </c>
      <c r="C115" s="8">
        <f ca="1">MAX(0,ROUND((_xlfn.NORM.INV(RAND(),Reference!$C$10,0.005))*SUMIFS(Sales!$B$6:$B$3658,Sales!$A$6:$A$3658,"&gt;="&amp;VALUE($A113),Sales!$A$6:$A$3658,"&lt;"&amp;VALUE($A114)),0))</f>
        <v>689</v>
      </c>
      <c r="D115" s="8">
        <f ca="1">ROUND((_xlfn.NORM.INV(RAND(),Reference!$D$9,0.005))*(SUMIFS(Sales!$D$6:$D$3658,Sales!$A$6:$A$3658,"&gt;="&amp;VALUE($A114),Sales!$A$6:$A$3658,"&lt;"&amp;VALUE($A115)))*(IF(MONTH(VALUE($A114))=Reference!$D$6,0,1)),0)</f>
        <v>1224</v>
      </c>
      <c r="E115" s="8">
        <f ca="1">MAX(0,ROUND((_xlfn.NORM.INV(RAND(),Reference!$D$10,0.005))*SUMIFS(Sales!$D$6:$D$3658,Sales!$A$6:$A$3658,"&gt;="&amp;VALUE($A113),Sales!$A$6:$A$3658,"&lt;"&amp;VALUE($A114)),0))</f>
        <v>596</v>
      </c>
    </row>
    <row r="116" spans="1:5" x14ac:dyDescent="0.25">
      <c r="A116" s="19" t="s">
        <v>147</v>
      </c>
      <c r="B116" s="8">
        <f ca="1">ROUND((_xlfn.NORM.INV(RAND(),Reference!$C$9,0.005))*(SUMIFS(Sales!$B$6:$B$3658,Sales!$A$6:$A$3658,"&gt;="&amp;VALUE($A115),Sales!$A$6:$A$3658,"&lt;"&amp;VALUE($A116)))*(IF(MONTH(VALUE($A115))=Reference!$C$6,0,1)),0)</f>
        <v>602</v>
      </c>
      <c r="C116" s="8">
        <f ca="1">MAX(0,ROUND((_xlfn.NORM.INV(RAND(),Reference!$C$10,0.005))*SUMIFS(Sales!$B$6:$B$3658,Sales!$A$6:$A$3658,"&gt;="&amp;VALUE($A114),Sales!$A$6:$A$3658,"&lt;"&amp;VALUE($A115)),0))</f>
        <v>762</v>
      </c>
      <c r="D116" s="8">
        <f ca="1">ROUND((_xlfn.NORM.INV(RAND(),Reference!$D$9,0.005))*(SUMIFS(Sales!$D$6:$D$3658,Sales!$A$6:$A$3658,"&gt;="&amp;VALUE($A115),Sales!$A$6:$A$3658,"&lt;"&amp;VALUE($A116)))*(IF(MONTH(VALUE($A115))=Reference!$D$6,0,1)),0)</f>
        <v>1077</v>
      </c>
      <c r="E116" s="8">
        <f ca="1">MAX(0,ROUND((_xlfn.NORM.INV(RAND(),Reference!$D$10,0.005))*SUMIFS(Sales!$D$6:$D$3658,Sales!$A$6:$A$3658,"&gt;="&amp;VALUE($A114),Sales!$A$6:$A$3658,"&lt;"&amp;VALUE($A115)),0))</f>
        <v>641</v>
      </c>
    </row>
    <row r="117" spans="1:5" x14ac:dyDescent="0.25">
      <c r="A117" s="19" t="s">
        <v>148</v>
      </c>
      <c r="B117" s="8">
        <f ca="1">ROUND((_xlfn.NORM.INV(RAND(),Reference!$C$9,0.005))*(SUMIFS(Sales!$B$6:$B$3658,Sales!$A$6:$A$3658,"&gt;="&amp;VALUE($A116),Sales!$A$6:$A$3658,"&lt;"&amp;VALUE($A117)))*(IF(MONTH(VALUE($A116))=Reference!$C$6,0,1)),0)</f>
        <v>631</v>
      </c>
      <c r="C117" s="8">
        <f ca="1">MAX(0,ROUND((_xlfn.NORM.INV(RAND(),Reference!$C$10,0.005))*SUMIFS(Sales!$B$6:$B$3658,Sales!$A$6:$A$3658,"&gt;="&amp;VALUE($A115),Sales!$A$6:$A$3658,"&lt;"&amp;VALUE($A116)),0))</f>
        <v>672</v>
      </c>
      <c r="D117" s="8">
        <f ca="1">ROUND((_xlfn.NORM.INV(RAND(),Reference!$D$9,0.005))*(SUMIFS(Sales!$D$6:$D$3658,Sales!$A$6:$A$3658,"&gt;="&amp;VALUE($A116),Sales!$A$6:$A$3658,"&lt;"&amp;VALUE($A117)))*(IF(MONTH(VALUE($A116))=Reference!$D$6,0,1)),0)</f>
        <v>1149</v>
      </c>
      <c r="E117" s="8">
        <f ca="1">MAX(0,ROUND((_xlfn.NORM.INV(RAND(),Reference!$D$10,0.005))*SUMIFS(Sales!$D$6:$D$3658,Sales!$A$6:$A$3658,"&gt;="&amp;VALUE($A115),Sales!$A$6:$A$3658,"&lt;"&amp;VALUE($A116)),0))</f>
        <v>605</v>
      </c>
    </row>
    <row r="118" spans="1:5" x14ac:dyDescent="0.25">
      <c r="A118" s="19" t="s">
        <v>149</v>
      </c>
      <c r="B118" s="8">
        <f ca="1">ROUND((_xlfn.NORM.INV(RAND(),Reference!$C$9,0.005))*(SUMIFS(Sales!$B$6:$B$3658,Sales!$A$6:$A$3658,"&gt;="&amp;VALUE($A117),Sales!$A$6:$A$3658,"&lt;"&amp;VALUE($A118)))*(IF(MONTH(VALUE($A117))=Reference!$C$6,0,1)),0)</f>
        <v>847</v>
      </c>
      <c r="C118" s="8">
        <f ca="1">MAX(0,ROUND((_xlfn.NORM.INV(RAND(),Reference!$C$10,0.005))*SUMIFS(Sales!$B$6:$B$3658,Sales!$A$6:$A$3658,"&gt;="&amp;VALUE($A116),Sales!$A$6:$A$3658,"&lt;"&amp;VALUE($A117)),0))</f>
        <v>616</v>
      </c>
      <c r="D118" s="8">
        <f ca="1">ROUND((_xlfn.NORM.INV(RAND(),Reference!$D$9,0.005))*(SUMIFS(Sales!$D$6:$D$3658,Sales!$A$6:$A$3658,"&gt;="&amp;VALUE($A117),Sales!$A$6:$A$3658,"&lt;"&amp;VALUE($A118)))*(IF(MONTH(VALUE($A117))=Reference!$D$6,0,1)),0)</f>
        <v>1128</v>
      </c>
      <c r="E118" s="8">
        <f ca="1">MAX(0,ROUND((_xlfn.NORM.INV(RAND(),Reference!$D$10,0.005))*SUMIFS(Sales!$D$6:$D$3658,Sales!$A$6:$A$3658,"&gt;="&amp;VALUE($A116),Sales!$A$6:$A$3658,"&lt;"&amp;VALUE($A117)),0))</f>
        <v>684</v>
      </c>
    </row>
    <row r="119" spans="1:5" x14ac:dyDescent="0.25">
      <c r="A119" s="19" t="s">
        <v>150</v>
      </c>
      <c r="B119" s="8">
        <f ca="1">ROUND((_xlfn.NORM.INV(RAND(),Reference!$C$9,0.005))*(SUMIFS(Sales!$B$6:$B$3658,Sales!$A$6:$A$3658,"&gt;="&amp;VALUE($A118),Sales!$A$6:$A$3658,"&lt;"&amp;VALUE($A119)))*(IF(MONTH(VALUE($A118))=Reference!$C$6,0,1)),0)</f>
        <v>678</v>
      </c>
      <c r="C119" s="8">
        <f ca="1">MAX(0,ROUND((_xlfn.NORM.INV(RAND(),Reference!$C$10,0.005))*SUMIFS(Sales!$B$6:$B$3658,Sales!$A$6:$A$3658,"&gt;="&amp;VALUE($A117),Sales!$A$6:$A$3658,"&lt;"&amp;VALUE($A118)),0))</f>
        <v>1010</v>
      </c>
      <c r="D119" s="8">
        <f ca="1">ROUND((_xlfn.NORM.INV(RAND(),Reference!$D$9,0.005))*(SUMIFS(Sales!$D$6:$D$3658,Sales!$A$6:$A$3658,"&gt;="&amp;VALUE($A118),Sales!$A$6:$A$3658,"&lt;"&amp;VALUE($A119)))*(IF(MONTH(VALUE($A118))=Reference!$D$6,0,1)),0)</f>
        <v>1163</v>
      </c>
      <c r="E119" s="8">
        <f ca="1">MAX(0,ROUND((_xlfn.NORM.INV(RAND(),Reference!$D$10,0.005))*SUMIFS(Sales!$D$6:$D$3658,Sales!$A$6:$A$3658,"&gt;="&amp;VALUE($A117),Sales!$A$6:$A$3658,"&lt;"&amp;VALUE($A118)),0))</f>
        <v>617</v>
      </c>
    </row>
    <row r="120" spans="1:5" x14ac:dyDescent="0.25">
      <c r="A120" s="19" t="s">
        <v>151</v>
      </c>
      <c r="B120" s="8">
        <f ca="1">ROUND((_xlfn.NORM.INV(RAND(),Reference!$C$9,0.005))*(SUMIFS(Sales!$B$6:$B$3658,Sales!$A$6:$A$3658,"&gt;="&amp;VALUE($A119),Sales!$A$6:$A$3658,"&lt;"&amp;VALUE($A120)))*(IF(MONTH(VALUE($A119))=Reference!$C$6,0,1)),0)</f>
        <v>0</v>
      </c>
      <c r="C120" s="8">
        <f ca="1">MAX(0,ROUND((_xlfn.NORM.INV(RAND(),Reference!$C$10,0.005))*SUMIFS(Sales!$B$6:$B$3658,Sales!$A$6:$A$3658,"&gt;="&amp;VALUE($A118),Sales!$A$6:$A$3658,"&lt;"&amp;VALUE($A119)),0))</f>
        <v>984</v>
      </c>
      <c r="D120" s="8">
        <f ca="1">ROUND((_xlfn.NORM.INV(RAND(),Reference!$D$9,0.005))*(SUMIFS(Sales!$D$6:$D$3658,Sales!$A$6:$A$3658,"&gt;="&amp;VALUE($A119),Sales!$A$6:$A$3658,"&lt;"&amp;VALUE($A120)))*(IF(MONTH(VALUE($A119))=Reference!$D$6,0,1)),0)</f>
        <v>1166</v>
      </c>
      <c r="E120" s="8">
        <f ca="1">MAX(0,ROUND((_xlfn.NORM.INV(RAND(),Reference!$D$10,0.005))*SUMIFS(Sales!$D$6:$D$3658,Sales!$A$6:$A$3658,"&gt;="&amp;VALUE($A118),Sales!$A$6:$A$3658,"&lt;"&amp;VALUE($A119)),0))</f>
        <v>720</v>
      </c>
    </row>
    <row r="121" spans="1:5" x14ac:dyDescent="0.25">
      <c r="A121" s="19" t="s">
        <v>152</v>
      </c>
      <c r="B121" s="8">
        <f ca="1">ROUND((_xlfn.NORM.INV(RAND(),Reference!$C$9,0.005))*(SUMIFS(Sales!$B$6:$B$3658,Sales!$A$6:$A$3658,"&gt;="&amp;VALUE($A120),Sales!$A$6:$A$3658,"&lt;"&amp;VALUE($A121)))*(IF(MONTH(VALUE($A120))=Reference!$C$6,0,1)),0)</f>
        <v>580</v>
      </c>
      <c r="C121" s="8">
        <f ca="1">MAX(0,ROUND((_xlfn.NORM.INV(RAND(),Reference!$C$10,0.005))*SUMIFS(Sales!$B$6:$B$3658,Sales!$A$6:$A$3658,"&gt;="&amp;VALUE($A119),Sales!$A$6:$A$3658,"&lt;"&amp;VALUE($A120)),0))</f>
        <v>817</v>
      </c>
      <c r="D121" s="8">
        <f ca="1">ROUND((_xlfn.NORM.INV(RAND(),Reference!$D$9,0.005))*(SUMIFS(Sales!$D$6:$D$3658,Sales!$A$6:$A$3658,"&gt;="&amp;VALUE($A120),Sales!$A$6:$A$3658,"&lt;"&amp;VALUE($A121)))*(IF(MONTH(VALUE($A120))=Reference!$D$6,0,1)),0)</f>
        <v>1313</v>
      </c>
      <c r="E121" s="8">
        <f ca="1">MAX(0,ROUND((_xlfn.NORM.INV(RAND(),Reference!$D$10,0.005))*SUMIFS(Sales!$D$6:$D$3658,Sales!$A$6:$A$3658,"&gt;="&amp;VALUE($A119),Sales!$A$6:$A$3658,"&lt;"&amp;VALUE($A120)),0))</f>
        <v>541</v>
      </c>
    </row>
    <row r="122" spans="1:5" x14ac:dyDescent="0.25">
      <c r="A122" s="19" t="s">
        <v>153</v>
      </c>
      <c r="B122" s="8">
        <f ca="1">ROUND((_xlfn.NORM.INV(RAND(),Reference!$C$9,0.005))*(SUMIFS(Sales!$B$6:$B$3658,Sales!$A$6:$A$3658,"&gt;="&amp;VALUE($A121),Sales!$A$6:$A$3658,"&lt;"&amp;VALUE($A122)))*(IF(MONTH(VALUE($A121))=Reference!$C$6,0,1)),0)</f>
        <v>590</v>
      </c>
      <c r="C122" s="8">
        <f ca="1">MAX(0,ROUND((_xlfn.NORM.INV(RAND(),Reference!$C$10,0.005))*SUMIFS(Sales!$B$6:$B$3658,Sales!$A$6:$A$3658,"&gt;="&amp;VALUE($A120),Sales!$A$6:$A$3658,"&lt;"&amp;VALUE($A121)),0))</f>
        <v>728</v>
      </c>
      <c r="D122" s="8">
        <f ca="1">ROUND((_xlfn.NORM.INV(RAND(),Reference!$D$9,0.005))*(SUMIFS(Sales!$D$6:$D$3658,Sales!$A$6:$A$3658,"&gt;="&amp;VALUE($A121),Sales!$A$6:$A$3658,"&lt;"&amp;VALUE($A122)))*(IF(MONTH(VALUE($A121))=Reference!$D$6,0,1)),0)</f>
        <v>1293</v>
      </c>
      <c r="E122" s="8">
        <f ca="1">MAX(0,ROUND((_xlfn.NORM.INV(RAND(),Reference!$D$10,0.005))*SUMIFS(Sales!$D$6:$D$3658,Sales!$A$6:$A$3658,"&gt;="&amp;VALUE($A120),Sales!$A$6:$A$3658,"&lt;"&amp;VALUE($A121)),0))</f>
        <v>784</v>
      </c>
    </row>
    <row r="123" spans="1:5" x14ac:dyDescent="0.25">
      <c r="A123" s="19" t="s">
        <v>154</v>
      </c>
      <c r="B123" s="8">
        <f ca="1">ROUND((_xlfn.NORM.INV(RAND(),Reference!$C$9,0.005))*(SUMIFS(Sales!$B$6:$B$3658,Sales!$A$6:$A$3658,"&gt;="&amp;VALUE($A122),Sales!$A$6:$A$3658,"&lt;"&amp;VALUE($A123)))*(IF(MONTH(VALUE($A122))=Reference!$C$6,0,1)),0)</f>
        <v>644</v>
      </c>
      <c r="C123" s="8">
        <f ca="1">MAX(0,ROUND((_xlfn.NORM.INV(RAND(),Reference!$C$10,0.005))*SUMIFS(Sales!$B$6:$B$3658,Sales!$A$6:$A$3658,"&gt;="&amp;VALUE($A121),Sales!$A$6:$A$3658,"&lt;"&amp;VALUE($A122)),0))</f>
        <v>693</v>
      </c>
      <c r="D123" s="8">
        <f ca="1">ROUND((_xlfn.NORM.INV(RAND(),Reference!$D$9,0.005))*(SUMIFS(Sales!$D$6:$D$3658,Sales!$A$6:$A$3658,"&gt;="&amp;VALUE($A122),Sales!$A$6:$A$3658,"&lt;"&amp;VALUE($A123)))*(IF(MONTH(VALUE($A122))=Reference!$D$6,0,1)),0)</f>
        <v>0</v>
      </c>
      <c r="E123" s="8">
        <f ca="1">MAX(0,ROUND((_xlfn.NORM.INV(RAND(),Reference!$D$10,0.005))*SUMIFS(Sales!$D$6:$D$3658,Sales!$A$6:$A$3658,"&gt;="&amp;VALUE($A121),Sales!$A$6:$A$3658,"&lt;"&amp;VALUE($A122)),0))</f>
        <v>773</v>
      </c>
    </row>
    <row r="124" spans="1:5" x14ac:dyDescent="0.25">
      <c r="A124" s="19" t="s">
        <v>155</v>
      </c>
      <c r="B124" s="8">
        <f ca="1">ROUND((_xlfn.NORM.INV(RAND(),Reference!$C$9,0.005))*(SUMIFS(Sales!$B$6:$B$3658,Sales!$A$6:$A$3658,"&gt;="&amp;VALUE($A123),Sales!$A$6:$A$3658,"&lt;"&amp;VALUE($A124)))*(IF(MONTH(VALUE($A123))=Reference!$C$6,0,1)),0)</f>
        <v>663</v>
      </c>
      <c r="C124" s="8">
        <f ca="1">MAX(0,ROUND((_xlfn.NORM.INV(RAND(),Reference!$C$10,0.005))*SUMIFS(Sales!$B$6:$B$3658,Sales!$A$6:$A$3658,"&gt;="&amp;VALUE($A122),Sales!$A$6:$A$3658,"&lt;"&amp;VALUE($A123)),0))</f>
        <v>723</v>
      </c>
      <c r="D124" s="8">
        <f ca="1">ROUND((_xlfn.NORM.INV(RAND(),Reference!$D$9,0.005))*(SUMIFS(Sales!$D$6:$D$3658,Sales!$A$6:$A$3658,"&gt;="&amp;VALUE($A123),Sales!$A$6:$A$3658,"&lt;"&amp;VALUE($A124)))*(IF(MONTH(VALUE($A123))=Reference!$D$6,0,1)),0)</f>
        <v>1139</v>
      </c>
      <c r="E124" s="8">
        <f ca="1">MAX(0,ROUND((_xlfn.NORM.INV(RAND(),Reference!$D$10,0.005))*SUMIFS(Sales!$D$6:$D$3658,Sales!$A$6:$A$3658,"&gt;="&amp;VALUE($A122),Sales!$A$6:$A$3658,"&lt;"&amp;VALUE($A123)),0))</f>
        <v>746</v>
      </c>
    </row>
    <row r="125" spans="1:5" x14ac:dyDescent="0.25">
      <c r="A125" s="19" t="s">
        <v>156</v>
      </c>
      <c r="B125" s="8">
        <f ca="1">ROUND((_xlfn.NORM.INV(RAND(),Reference!$C$9,0.005))*(SUMIFS(Sales!$B$6:$B$3658,Sales!$A$6:$A$3658,"&gt;="&amp;VALUE($A124),Sales!$A$6:$A$3658,"&lt;"&amp;VALUE($A125)))*(IF(MONTH(VALUE($A124))=Reference!$C$6,0,1)),0)</f>
        <v>599</v>
      </c>
      <c r="C125" s="8">
        <f ca="1">MAX(0,ROUND((_xlfn.NORM.INV(RAND(),Reference!$C$10,0.005))*SUMIFS(Sales!$B$6:$B$3658,Sales!$A$6:$A$3658,"&gt;="&amp;VALUE($A123),Sales!$A$6:$A$3658,"&lt;"&amp;VALUE($A124)),0))</f>
        <v>696</v>
      </c>
      <c r="D125" s="8">
        <f ca="1">ROUND((_xlfn.NORM.INV(RAND(),Reference!$D$9,0.005))*(SUMIFS(Sales!$D$6:$D$3658,Sales!$A$6:$A$3658,"&gt;="&amp;VALUE($A124),Sales!$A$6:$A$3658,"&lt;"&amp;VALUE($A125)))*(IF(MONTH(VALUE($A124))=Reference!$D$6,0,1)),0)</f>
        <v>1187</v>
      </c>
      <c r="E125" s="8">
        <f ca="1">MAX(0,ROUND((_xlfn.NORM.INV(RAND(),Reference!$D$10,0.005))*SUMIFS(Sales!$D$6:$D$3658,Sales!$A$6:$A$3658,"&gt;="&amp;VALUE($A123),Sales!$A$6:$A$3658,"&lt;"&amp;VALUE($A124)),0))</f>
        <v>682</v>
      </c>
    </row>
  </sheetData>
  <mergeCells count="6">
    <mergeCell ref="A2:E2"/>
    <mergeCell ref="D4:E4"/>
    <mergeCell ref="F4:G4"/>
    <mergeCell ref="H4:I4"/>
    <mergeCell ref="J4:K4"/>
    <mergeCell ref="B4:C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15"/>
  <sheetViews>
    <sheetView workbookViewId="0">
      <selection activeCell="G10" sqref="G10"/>
    </sheetView>
  </sheetViews>
  <sheetFormatPr defaultRowHeight="15" x14ac:dyDescent="0.25"/>
  <cols>
    <col min="1" max="1" width="2.7109375" customWidth="1"/>
    <col min="2" max="2" width="22.28515625" bestFit="1" customWidth="1"/>
    <col min="3" max="6" width="11.85546875" customWidth="1"/>
    <col min="7" max="7" width="12.28515625" customWidth="1"/>
  </cols>
  <sheetData>
    <row r="1" spans="1:7" ht="15" customHeight="1" x14ac:dyDescent="0.3">
      <c r="A1" s="7"/>
      <c r="B1" s="29" t="s">
        <v>6</v>
      </c>
      <c r="C1" s="29"/>
      <c r="D1" s="29"/>
      <c r="E1" s="29"/>
      <c r="F1" s="29"/>
      <c r="G1" s="29"/>
    </row>
    <row r="2" spans="1:7" ht="6.95" customHeight="1" x14ac:dyDescent="0.25"/>
    <row r="3" spans="1:7" ht="15" customHeight="1" x14ac:dyDescent="0.25">
      <c r="B3" s="2"/>
      <c r="C3" s="3" t="s">
        <v>1</v>
      </c>
      <c r="D3" s="3" t="s">
        <v>2</v>
      </c>
      <c r="E3" s="3" t="s">
        <v>3</v>
      </c>
      <c r="F3" s="3" t="s">
        <v>7</v>
      </c>
      <c r="G3" s="3" t="s">
        <v>8</v>
      </c>
    </row>
    <row r="4" spans="1:7" x14ac:dyDescent="0.25">
      <c r="B4" s="1" t="s">
        <v>15</v>
      </c>
      <c r="C4" s="4">
        <f ca="1">RANDBETWEEN(1,12)</f>
        <v>4</v>
      </c>
      <c r="D4" s="4">
        <f t="shared" ref="D4:G4" ca="1" si="0">RANDBETWEEN(1,12)</f>
        <v>7</v>
      </c>
      <c r="E4" s="4">
        <f t="shared" ca="1" si="0"/>
        <v>8</v>
      </c>
      <c r="F4" s="4">
        <f t="shared" ca="1" si="0"/>
        <v>3</v>
      </c>
      <c r="G4" s="4">
        <f t="shared" ca="1" si="0"/>
        <v>11</v>
      </c>
    </row>
    <row r="5" spans="1:7" x14ac:dyDescent="0.25">
      <c r="B5" s="1" t="s">
        <v>15</v>
      </c>
      <c r="C5" s="4">
        <f ca="1">IF(MOD(C$4+1,12)=0,12,MOD(C$4+1,12))</f>
        <v>5</v>
      </c>
      <c r="D5" s="4">
        <f t="shared" ref="D5:G5" ca="1" si="1">IF(MOD(D$4+1,12)=0,12,MOD(D$4+1,12))</f>
        <v>8</v>
      </c>
      <c r="E5" s="4">
        <f t="shared" ca="1" si="1"/>
        <v>9</v>
      </c>
      <c r="F5" s="4">
        <f t="shared" ca="1" si="1"/>
        <v>4</v>
      </c>
      <c r="G5" s="4">
        <f t="shared" ca="1" si="1"/>
        <v>12</v>
      </c>
    </row>
    <row r="6" spans="1:7" x14ac:dyDescent="0.25">
      <c r="B6" s="1" t="s">
        <v>16</v>
      </c>
      <c r="C6" s="4">
        <f ca="1">IF(MOD(C$4+2,12)=0,12,MOD(C$4+2,12))</f>
        <v>6</v>
      </c>
      <c r="D6" s="4">
        <f t="shared" ref="D6:G6" ca="1" si="2">IF(MOD(D$4+2,12)=0,12,MOD(D$4+2,12))</f>
        <v>9</v>
      </c>
      <c r="E6" s="4">
        <f t="shared" ca="1" si="2"/>
        <v>10</v>
      </c>
      <c r="F6" s="4">
        <f t="shared" ca="1" si="2"/>
        <v>5</v>
      </c>
      <c r="G6" s="4">
        <f t="shared" ca="1" si="2"/>
        <v>1</v>
      </c>
    </row>
    <row r="7" spans="1:7" x14ac:dyDescent="0.25">
      <c r="B7" s="1" t="s">
        <v>11</v>
      </c>
      <c r="C7" s="5">
        <f ca="1">ROUND(RANDBETWEEN(30,1000),-1)</f>
        <v>930</v>
      </c>
      <c r="D7" s="5">
        <f t="shared" ref="D7:G7" ca="1" si="3">ROUND(RANDBETWEEN(30,1000),-1)</f>
        <v>750</v>
      </c>
      <c r="E7" s="5">
        <f t="shared" ca="1" si="3"/>
        <v>670</v>
      </c>
      <c r="F7" s="5">
        <f t="shared" ca="1" si="3"/>
        <v>390</v>
      </c>
      <c r="G7" s="5">
        <f t="shared" ca="1" si="3"/>
        <v>620</v>
      </c>
    </row>
    <row r="8" spans="1:7" x14ac:dyDescent="0.25">
      <c r="B8" s="1" t="s">
        <v>20</v>
      </c>
      <c r="C8" s="4">
        <f ca="1">ROUND(SUM($C$7:$G$7)/C7*100,-1)</f>
        <v>360</v>
      </c>
      <c r="D8" s="4">
        <f ca="1">ROUND(SUM($C$7:$G$7)/D7*100,-1)</f>
        <v>450</v>
      </c>
      <c r="E8" s="4">
        <f ca="1">ROUND(SUM($C$7:$G$7)/E7*100,-1)</f>
        <v>500</v>
      </c>
      <c r="F8" s="4">
        <f t="shared" ref="F8:G8" ca="1" si="4">ROUND(SUM($C$7:$G$7)/F7*100,-1)</f>
        <v>860</v>
      </c>
      <c r="G8" s="4">
        <f t="shared" ca="1" si="4"/>
        <v>540</v>
      </c>
    </row>
    <row r="9" spans="1:7" x14ac:dyDescent="0.25">
      <c r="B9" s="1" t="s">
        <v>9</v>
      </c>
      <c r="C9" s="6">
        <f ca="1">ROUND((_xlfn.RANK.EQ(C7,PriceRange,0)*C7/($C$7*_xlfn.RANK.EQ($C$7,PriceRange,0)+$D$7*_xlfn.RANK.EQ($D$7,PriceRange,0)+$E$7*_xlfn.RANK.EQ($E$7,PriceRange,0)+$F$7*_xlfn.RANK.EQ($F$7,PriceRange,0)+$G$7*_xlfn.RANK.EQ($G$7,PriceRange,0))/2),4)</f>
        <v>5.2400000000000002E-2</v>
      </c>
      <c r="D9" s="6">
        <f ca="1">ROUND((_xlfn.RANK.EQ(D7,PriceRange,0)*D7/($C$7*_xlfn.RANK.EQ($C$7,PriceRange,0)+$D$7*_xlfn.RANK.EQ($D$7,PriceRange,0)+$E$7*_xlfn.RANK.EQ($E$7,PriceRange,0)+$F$7*_xlfn.RANK.EQ($F$7,PriceRange,0)+$G$7*_xlfn.RANK.EQ($G$7,PriceRange,0))/2),4)</f>
        <v>8.4599999999999995E-2</v>
      </c>
      <c r="E9" s="6">
        <f ca="1">ROUND((_xlfn.RANK.EQ(E7,PriceRange,0)*E7/($C$7*_xlfn.RANK.EQ($C$7,PriceRange,0)+$D$7*_xlfn.RANK.EQ($D$7,PriceRange,0)+$E$7*_xlfn.RANK.EQ($E$7,PriceRange,0)+$F$7*_xlfn.RANK.EQ($F$7,PriceRange,0)+$G$7*_xlfn.RANK.EQ($G$7,PriceRange,0))/2),4)</f>
        <v>0.1133</v>
      </c>
      <c r="F9" s="6">
        <f ca="1">ROUND((_xlfn.RANK.EQ(F7,PriceRange,0)*F7/($C$7*_xlfn.RANK.EQ($C$7,PriceRange,0)+$D$7*_xlfn.RANK.EQ($D$7,PriceRange,0)+$E$7*_xlfn.RANK.EQ($E$7,PriceRange,0)+$F$7*_xlfn.RANK.EQ($F$7,PriceRange,0)+$G$7*_xlfn.RANK.EQ($G$7,PriceRange,0))/2),4)</f>
        <v>0.1099</v>
      </c>
      <c r="G9" s="6">
        <f ca="1">ROUND((_xlfn.RANK.EQ(G7,PriceRange,0)*G7/($C$7*_xlfn.RANK.EQ($C$7,PriceRange,0)+$D$7*_xlfn.RANK.EQ($D$7,PriceRange,0)+$E$7*_xlfn.RANK.EQ($E$7,PriceRange,0)+$F$7*_xlfn.RANK.EQ($F$7,PriceRange,0)+$G$7*_xlfn.RANK.EQ($G$7,PriceRange,0))/2),4)</f>
        <v>0.13980000000000001</v>
      </c>
    </row>
    <row r="10" spans="1:7" x14ac:dyDescent="0.25">
      <c r="B10" s="1" t="s">
        <v>10</v>
      </c>
      <c r="C10" s="6">
        <f ca="1">ROUND((_xlfn.RANK.EQ(C$8,SalesRange,0)*C$8/($C$8*_xlfn.RANK.EQ($C$8,SalesRange,0)+$D$8*_xlfn.RANK.EQ($D$8,SalesRange,0)+$E$8*_xlfn.RANK.EQ($E$8,SalesRange,0)+$F$8*_xlfn.RANK.EQ($F$8,SalesRange,0)+$G$8*_xlfn.RANK.EQ($D$8,SalesRange,0))*C$7/SUM(PriceRange)),4)</f>
        <v>6.1400000000000003E-2</v>
      </c>
      <c r="D10" s="6">
        <f ca="1">ROUND((_xlfn.RANK.EQ(D$8,SalesRange,0)*D$8/($C$8*_xlfn.RANK.EQ($C$8,SalesRange,0)+$D$8*_xlfn.RANK.EQ($D$8,SalesRange,0)+$E$8*_xlfn.RANK.EQ($E$8,SalesRange,0)+$F$8*_xlfn.RANK.EQ($F$8,SalesRange,0)+$G$8*_xlfn.RANK.EQ($D$8,SalesRange,0))*D$7/SUM(PriceRange)),4)</f>
        <v>4.9500000000000002E-2</v>
      </c>
      <c r="E10" s="6">
        <f ca="1">ROUND((_xlfn.RANK.EQ(E$8,SalesRange,0)*E$8/($C$8*_xlfn.RANK.EQ($C$8,SalesRange,0)+$D$8*_xlfn.RANK.EQ($D$8,SalesRange,0)+$E$8*_xlfn.RANK.EQ($E$8,SalesRange,0)+$F$8*_xlfn.RANK.EQ($F$8,SalesRange,0)+$G$8*_xlfn.RANK.EQ($D$8,SalesRange,0))*E$7/SUM(PriceRange)),4)</f>
        <v>3.6799999999999999E-2</v>
      </c>
      <c r="F10" s="6">
        <f ca="1">ROUND((_xlfn.RANK.EQ(F$8,SalesRange,0)*F$8/($C$8*_xlfn.RANK.EQ($C$8,SalesRange,0)+$D$8*_xlfn.RANK.EQ($D$8,SalesRange,0)+$E$8*_xlfn.RANK.EQ($E$8,SalesRange,0)+$F$8*_xlfn.RANK.EQ($F$8,SalesRange,0)+$G$8*_xlfn.RANK.EQ($D$8,SalesRange,0))*F$7/SUM(PriceRange)),4)</f>
        <v>1.23E-2</v>
      </c>
      <c r="G10" s="6">
        <f ca="1">ROUND((_xlfn.RANK.EQ(G$8,SalesRange,0)*G$8/($C$8*_xlfn.RANK.EQ($C$8,SalesRange,0)+$D$8*_xlfn.RANK.EQ($D$8,SalesRange,0)+$E$8*_xlfn.RANK.EQ($E$8,SalesRange,0)+$F$8*_xlfn.RANK.EQ($F$8,SalesRange,0)+$G$8*_xlfn.RANK.EQ($D$8,SalesRange,0))*G$7/SUM(PriceRange)),4)</f>
        <v>2.4500000000000001E-2</v>
      </c>
    </row>
    <row r="11" spans="1:7" x14ac:dyDescent="0.25">
      <c r="B11" s="1" t="s">
        <v>23</v>
      </c>
      <c r="C11" s="6">
        <f ca="1">MIN(CHOOSE(RANDBETWEEN(1,4),0.1,0.3,0.7,1.2),0.5)</f>
        <v>0.5</v>
      </c>
      <c r="D11" s="6">
        <f t="shared" ref="D11:G11" ca="1" si="5">CHOOSE(RANDBETWEEN(1,4),0.1,0.3,0.7,1.2)</f>
        <v>0.1</v>
      </c>
      <c r="E11" s="6">
        <f t="shared" ca="1" si="5"/>
        <v>0.7</v>
      </c>
      <c r="F11" s="6">
        <f t="shared" ca="1" si="5"/>
        <v>1.2</v>
      </c>
      <c r="G11" s="6">
        <f t="shared" ca="1" si="5"/>
        <v>0.3</v>
      </c>
    </row>
    <row r="12" spans="1:7" x14ac:dyDescent="0.25">
      <c r="B12" s="1" t="s">
        <v>24</v>
      </c>
      <c r="C12" s="6">
        <f ca="1">MIN(CHOOSE(RANDBETWEEN(1,3),C11*0.5,C11*0.75,C11*1.2),0.6)</f>
        <v>0.6</v>
      </c>
      <c r="D12" s="6">
        <f t="shared" ref="D12:G12" ca="1" si="6">MIN(CHOOSE(RANDBETWEEN(1,3),D11*0.5,D11*0.75,D11*1.2),0.6)</f>
        <v>0.05</v>
      </c>
      <c r="E12" s="6">
        <f t="shared" ca="1" si="6"/>
        <v>0.6</v>
      </c>
      <c r="F12" s="6">
        <f t="shared" ca="1" si="6"/>
        <v>0.6</v>
      </c>
      <c r="G12" s="6">
        <f t="shared" ca="1" si="6"/>
        <v>0.36</v>
      </c>
    </row>
    <row r="13" spans="1:7" x14ac:dyDescent="0.25">
      <c r="B13" s="1" t="s">
        <v>22</v>
      </c>
      <c r="C13" s="6">
        <f ca="1">CHOOSE(RANDBETWEEN(1,3),C11*0.5,C11*0.75,C11*1.2)</f>
        <v>0.25</v>
      </c>
      <c r="D13" s="6">
        <f t="shared" ref="D13:G13" ca="1" si="7">CHOOSE(RANDBETWEEN(1,3),D11*0.5,D11*0.75,D11*1.2)</f>
        <v>0.12</v>
      </c>
      <c r="E13" s="6">
        <f t="shared" ca="1" si="7"/>
        <v>0.52499999999999991</v>
      </c>
      <c r="F13" s="6">
        <f t="shared" ca="1" si="7"/>
        <v>0.89999999999999991</v>
      </c>
      <c r="G13" s="6">
        <f t="shared" ca="1" si="7"/>
        <v>0.15</v>
      </c>
    </row>
    <row r="14" spans="1:7" x14ac:dyDescent="0.25">
      <c r="B14" s="1" t="s">
        <v>17</v>
      </c>
      <c r="C14" s="4">
        <f ca="1">COUNTIF(PriceRange,C7)</f>
        <v>1</v>
      </c>
      <c r="D14" s="4">
        <f ca="1">COUNTIF(PriceRange,D7)</f>
        <v>1</v>
      </c>
      <c r="E14" s="4">
        <f ca="1">COUNTIF(PriceRange,E7)</f>
        <v>1</v>
      </c>
      <c r="F14" s="4">
        <f ca="1">COUNTIF(PriceRange,F7)</f>
        <v>1</v>
      </c>
      <c r="G14" s="4">
        <f ca="1">COUNTIF(PriceRange,G7)</f>
        <v>1</v>
      </c>
    </row>
    <row r="15" spans="1:7" x14ac:dyDescent="0.25">
      <c r="B15" s="1" t="s">
        <v>18</v>
      </c>
      <c r="C15" s="4">
        <f ca="1">IF(SUM(C14:G14)&gt;5,1,0)</f>
        <v>0</v>
      </c>
      <c r="D15" s="4"/>
      <c r="E15" s="4"/>
      <c r="F15" s="4"/>
      <c r="G15" s="4"/>
    </row>
  </sheetData>
  <mergeCells count="1">
    <mergeCell ref="B1:G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Title Page</vt:lpstr>
      <vt:lpstr>Solution</vt:lpstr>
      <vt:lpstr>Sales</vt:lpstr>
      <vt:lpstr>Warranties &amp; Returns</vt:lpstr>
      <vt:lpstr>Reference</vt:lpstr>
      <vt:lpstr>PriceRange</vt:lpstr>
      <vt:lpstr>SalesRange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2021-07-03T18:46:15Z</dcterms:created>
  <dcterms:modified xsi:type="dcterms:W3CDTF">2026-02-14T16:11:57Z</dcterms:modified>
</cp:coreProperties>
</file>