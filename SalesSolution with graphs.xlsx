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Data Analytics Projects\ACC 3000 Fall 2024\"/>
    </mc:Choice>
  </mc:AlternateContent>
  <xr:revisionPtr revIDLastSave="0" documentId="13_ncr:1_{B4D060FB-90E7-4528-9E69-99E0166045FA}" xr6:coauthVersionLast="36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olution" sheetId="7" r:id="rId1"/>
    <sheet name="Sales" sheetId="5" r:id="rId2"/>
    <sheet name="Warranties &amp; Returns" sheetId="6" r:id="rId3"/>
  </sheets>
  <definedNames>
    <definedName name="PriceRange">#REF!</definedName>
    <definedName name="SalesRange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125" i="5" l="1"/>
  <c r="W124" i="5"/>
  <c r="W123" i="5"/>
  <c r="W122" i="5"/>
  <c r="W121" i="5"/>
  <c r="W120" i="5"/>
  <c r="W119" i="5"/>
  <c r="W118" i="5"/>
  <c r="W117" i="5"/>
  <c r="W116" i="5"/>
  <c r="W115" i="5"/>
  <c r="W114" i="5"/>
  <c r="W113" i="5"/>
  <c r="W112" i="5"/>
  <c r="W111" i="5"/>
  <c r="W110" i="5"/>
  <c r="W109" i="5"/>
  <c r="W108" i="5"/>
  <c r="W107" i="5"/>
  <c r="W106" i="5"/>
  <c r="W105" i="5"/>
  <c r="W104" i="5"/>
  <c r="W103" i="5"/>
  <c r="W102" i="5"/>
  <c r="W101" i="5"/>
  <c r="W100" i="5"/>
  <c r="W99" i="5"/>
  <c r="W98" i="5"/>
  <c r="W97" i="5"/>
  <c r="W96" i="5"/>
  <c r="W95" i="5"/>
  <c r="W94" i="5"/>
  <c r="W93" i="5"/>
  <c r="W92" i="5"/>
  <c r="W91" i="5"/>
  <c r="W90" i="5"/>
  <c r="W89" i="5"/>
  <c r="W88" i="5"/>
  <c r="W87" i="5"/>
  <c r="W86" i="5"/>
  <c r="W85" i="5"/>
  <c r="W84" i="5"/>
  <c r="W83" i="5"/>
  <c r="W82" i="5"/>
  <c r="W81" i="5"/>
  <c r="W80" i="5"/>
  <c r="W79" i="5"/>
  <c r="W78" i="5"/>
  <c r="W77" i="5"/>
  <c r="W76" i="5"/>
  <c r="W75" i="5"/>
  <c r="W74" i="5"/>
  <c r="W73" i="5"/>
  <c r="W72" i="5"/>
  <c r="W71" i="5"/>
  <c r="W70" i="5"/>
  <c r="W69" i="5"/>
  <c r="W68" i="5"/>
  <c r="W67" i="5"/>
  <c r="W66" i="5"/>
  <c r="W65" i="5"/>
  <c r="W64" i="5"/>
  <c r="W63" i="5"/>
  <c r="W62" i="5"/>
  <c r="W61" i="5"/>
  <c r="W60" i="5"/>
  <c r="W59" i="5"/>
  <c r="W58" i="5"/>
  <c r="W57" i="5"/>
  <c r="W56" i="5"/>
  <c r="W55" i="5"/>
  <c r="W54" i="5"/>
  <c r="W53" i="5"/>
  <c r="W52" i="5"/>
  <c r="W51" i="5"/>
  <c r="W50" i="5"/>
  <c r="W49" i="5"/>
  <c r="W48" i="5"/>
  <c r="W47" i="5"/>
  <c r="W46" i="5"/>
  <c r="W45" i="5"/>
  <c r="W44" i="5"/>
  <c r="W43" i="5"/>
  <c r="W42" i="5"/>
  <c r="W41" i="5"/>
  <c r="W40" i="5"/>
  <c r="W39" i="5"/>
  <c r="W38" i="5"/>
  <c r="W37" i="5"/>
  <c r="W36" i="5"/>
  <c r="W35" i="5"/>
  <c r="W34" i="5"/>
  <c r="W33" i="5"/>
  <c r="W32" i="5"/>
  <c r="W31" i="5"/>
  <c r="W30" i="5"/>
  <c r="W29" i="5"/>
  <c r="W28" i="5"/>
  <c r="W27" i="5"/>
  <c r="W26" i="5"/>
  <c r="W25" i="5"/>
  <c r="W24" i="5"/>
  <c r="W23" i="5"/>
  <c r="W22" i="5"/>
  <c r="W21" i="5"/>
  <c r="W20" i="5"/>
  <c r="W19" i="5"/>
  <c r="W18" i="5"/>
  <c r="W17" i="5"/>
  <c r="W16" i="5"/>
  <c r="W15" i="5"/>
  <c r="W14" i="5"/>
  <c r="W13" i="5"/>
  <c r="W12" i="5"/>
  <c r="W11" i="5"/>
  <c r="W10" i="5"/>
  <c r="W9" i="5"/>
  <c r="W8" i="5"/>
  <c r="W7" i="5"/>
  <c r="W6" i="5"/>
  <c r="AG125" i="5"/>
  <c r="AF125" i="5"/>
  <c r="AE125" i="5"/>
  <c r="AD125" i="5"/>
  <c r="AC125" i="5"/>
  <c r="AG124" i="5"/>
  <c r="AF124" i="5"/>
  <c r="AE124" i="5"/>
  <c r="AD124" i="5"/>
  <c r="AC124" i="5"/>
  <c r="AG123" i="5"/>
  <c r="AF123" i="5"/>
  <c r="AE123" i="5"/>
  <c r="AD123" i="5"/>
  <c r="AC123" i="5"/>
  <c r="AG122" i="5"/>
  <c r="AF122" i="5"/>
  <c r="AE122" i="5"/>
  <c r="AD122" i="5"/>
  <c r="AC122" i="5"/>
  <c r="AG121" i="5"/>
  <c r="AF121" i="5"/>
  <c r="AE121" i="5"/>
  <c r="AD121" i="5"/>
  <c r="AC121" i="5"/>
  <c r="AG120" i="5"/>
  <c r="AF120" i="5"/>
  <c r="AE120" i="5"/>
  <c r="AD120" i="5"/>
  <c r="AC120" i="5"/>
  <c r="AG119" i="5"/>
  <c r="AF119" i="5"/>
  <c r="AE119" i="5"/>
  <c r="AD119" i="5"/>
  <c r="AC119" i="5"/>
  <c r="AG118" i="5"/>
  <c r="AF118" i="5"/>
  <c r="AE118" i="5"/>
  <c r="AD118" i="5"/>
  <c r="AC118" i="5"/>
  <c r="AG117" i="5"/>
  <c r="AF117" i="5"/>
  <c r="AE117" i="5"/>
  <c r="AD117" i="5"/>
  <c r="AC117" i="5"/>
  <c r="AG116" i="5"/>
  <c r="AF116" i="5"/>
  <c r="AE116" i="5"/>
  <c r="AD116" i="5"/>
  <c r="AC116" i="5"/>
  <c r="AG115" i="5"/>
  <c r="AF115" i="5"/>
  <c r="AE115" i="5"/>
  <c r="AD115" i="5"/>
  <c r="AC115" i="5"/>
  <c r="AG114" i="5"/>
  <c r="AF114" i="5"/>
  <c r="AE114" i="5"/>
  <c r="AD114" i="5"/>
  <c r="AC114" i="5"/>
  <c r="AG113" i="5"/>
  <c r="AF113" i="5"/>
  <c r="AE113" i="5"/>
  <c r="AD113" i="5"/>
  <c r="AC113" i="5"/>
  <c r="AG112" i="5"/>
  <c r="AF112" i="5"/>
  <c r="AE112" i="5"/>
  <c r="AD112" i="5"/>
  <c r="AC112" i="5"/>
  <c r="AG111" i="5"/>
  <c r="AF111" i="5"/>
  <c r="AE111" i="5"/>
  <c r="AD111" i="5"/>
  <c r="AC111" i="5"/>
  <c r="AG110" i="5"/>
  <c r="AF110" i="5"/>
  <c r="AE110" i="5"/>
  <c r="AD110" i="5"/>
  <c r="AC110" i="5"/>
  <c r="AG109" i="5"/>
  <c r="AF109" i="5"/>
  <c r="AE109" i="5"/>
  <c r="AD109" i="5"/>
  <c r="AC109" i="5"/>
  <c r="AG108" i="5"/>
  <c r="AF108" i="5"/>
  <c r="AE108" i="5"/>
  <c r="AD108" i="5"/>
  <c r="AC108" i="5"/>
  <c r="AG107" i="5"/>
  <c r="AF107" i="5"/>
  <c r="AE107" i="5"/>
  <c r="AD107" i="5"/>
  <c r="AC107" i="5"/>
  <c r="AG106" i="5"/>
  <c r="AF106" i="5"/>
  <c r="AE106" i="5"/>
  <c r="AD106" i="5"/>
  <c r="AC106" i="5"/>
  <c r="AG105" i="5"/>
  <c r="AF105" i="5"/>
  <c r="AE105" i="5"/>
  <c r="AD105" i="5"/>
  <c r="AC105" i="5"/>
  <c r="AG104" i="5"/>
  <c r="AF104" i="5"/>
  <c r="AE104" i="5"/>
  <c r="AD104" i="5"/>
  <c r="AC104" i="5"/>
  <c r="AG103" i="5"/>
  <c r="AF103" i="5"/>
  <c r="AE103" i="5"/>
  <c r="AD103" i="5"/>
  <c r="AC103" i="5"/>
  <c r="AG102" i="5"/>
  <c r="AF102" i="5"/>
  <c r="AE102" i="5"/>
  <c r="AD102" i="5"/>
  <c r="AC102" i="5"/>
  <c r="AG101" i="5"/>
  <c r="AF101" i="5"/>
  <c r="AE101" i="5"/>
  <c r="AD101" i="5"/>
  <c r="AC101" i="5"/>
  <c r="AG100" i="5"/>
  <c r="AF100" i="5"/>
  <c r="AE100" i="5"/>
  <c r="AD100" i="5"/>
  <c r="AC100" i="5"/>
  <c r="AG99" i="5"/>
  <c r="AF99" i="5"/>
  <c r="AE99" i="5"/>
  <c r="AD99" i="5"/>
  <c r="AC99" i="5"/>
  <c r="AG98" i="5"/>
  <c r="AF98" i="5"/>
  <c r="AE98" i="5"/>
  <c r="AD98" i="5"/>
  <c r="AC98" i="5"/>
  <c r="AG97" i="5"/>
  <c r="AF97" i="5"/>
  <c r="AE97" i="5"/>
  <c r="AD97" i="5"/>
  <c r="AC97" i="5"/>
  <c r="AG96" i="5"/>
  <c r="AF96" i="5"/>
  <c r="AE96" i="5"/>
  <c r="AD96" i="5"/>
  <c r="AC96" i="5"/>
  <c r="AG95" i="5"/>
  <c r="AF95" i="5"/>
  <c r="AE95" i="5"/>
  <c r="AD95" i="5"/>
  <c r="AC95" i="5"/>
  <c r="AG94" i="5"/>
  <c r="AF94" i="5"/>
  <c r="AE94" i="5"/>
  <c r="AD94" i="5"/>
  <c r="AC94" i="5"/>
  <c r="AG93" i="5"/>
  <c r="AF93" i="5"/>
  <c r="AE93" i="5"/>
  <c r="AD93" i="5"/>
  <c r="AC93" i="5"/>
  <c r="AG92" i="5"/>
  <c r="AF92" i="5"/>
  <c r="AE92" i="5"/>
  <c r="AD92" i="5"/>
  <c r="AC92" i="5"/>
  <c r="AG91" i="5"/>
  <c r="AF91" i="5"/>
  <c r="AE91" i="5"/>
  <c r="AD91" i="5"/>
  <c r="AC91" i="5"/>
  <c r="AG90" i="5"/>
  <c r="AF90" i="5"/>
  <c r="AE90" i="5"/>
  <c r="AD90" i="5"/>
  <c r="AC90" i="5"/>
  <c r="AG89" i="5"/>
  <c r="AF89" i="5"/>
  <c r="AE89" i="5"/>
  <c r="AD89" i="5"/>
  <c r="AC89" i="5"/>
  <c r="AG88" i="5"/>
  <c r="AF88" i="5"/>
  <c r="AE88" i="5"/>
  <c r="AD88" i="5"/>
  <c r="AC88" i="5"/>
  <c r="AG87" i="5"/>
  <c r="AF87" i="5"/>
  <c r="AE87" i="5"/>
  <c r="AD87" i="5"/>
  <c r="AC87" i="5"/>
  <c r="AG86" i="5"/>
  <c r="AF86" i="5"/>
  <c r="AE86" i="5"/>
  <c r="AD86" i="5"/>
  <c r="AC86" i="5"/>
  <c r="AG85" i="5"/>
  <c r="AF85" i="5"/>
  <c r="AE85" i="5"/>
  <c r="AD85" i="5"/>
  <c r="AC85" i="5"/>
  <c r="AG84" i="5"/>
  <c r="AF84" i="5"/>
  <c r="AE84" i="5"/>
  <c r="AD84" i="5"/>
  <c r="AC84" i="5"/>
  <c r="AG83" i="5"/>
  <c r="AF83" i="5"/>
  <c r="AE83" i="5"/>
  <c r="AD83" i="5"/>
  <c r="AC83" i="5"/>
  <c r="AG82" i="5"/>
  <c r="AF82" i="5"/>
  <c r="AE82" i="5"/>
  <c r="AD82" i="5"/>
  <c r="AC82" i="5"/>
  <c r="AG81" i="5"/>
  <c r="AF81" i="5"/>
  <c r="AE81" i="5"/>
  <c r="AD81" i="5"/>
  <c r="AC81" i="5"/>
  <c r="AG80" i="5"/>
  <c r="AF80" i="5"/>
  <c r="AE80" i="5"/>
  <c r="AD80" i="5"/>
  <c r="AC80" i="5"/>
  <c r="AG79" i="5"/>
  <c r="AF79" i="5"/>
  <c r="AE79" i="5"/>
  <c r="AD79" i="5"/>
  <c r="AC79" i="5"/>
  <c r="AG78" i="5"/>
  <c r="AF78" i="5"/>
  <c r="AE78" i="5"/>
  <c r="AD78" i="5"/>
  <c r="AC78" i="5"/>
  <c r="AG77" i="5"/>
  <c r="AF77" i="5"/>
  <c r="AE77" i="5"/>
  <c r="AD77" i="5"/>
  <c r="AC77" i="5"/>
  <c r="AG76" i="5"/>
  <c r="AF76" i="5"/>
  <c r="AE76" i="5"/>
  <c r="AD76" i="5"/>
  <c r="AC76" i="5"/>
  <c r="AG75" i="5"/>
  <c r="AF75" i="5"/>
  <c r="AE75" i="5"/>
  <c r="AD75" i="5"/>
  <c r="AC75" i="5"/>
  <c r="AG74" i="5"/>
  <c r="AF74" i="5"/>
  <c r="AE74" i="5"/>
  <c r="AD74" i="5"/>
  <c r="AC74" i="5"/>
  <c r="AG73" i="5"/>
  <c r="AF73" i="5"/>
  <c r="AE73" i="5"/>
  <c r="AD73" i="5"/>
  <c r="AC73" i="5"/>
  <c r="AG72" i="5"/>
  <c r="AF72" i="5"/>
  <c r="AE72" i="5"/>
  <c r="AD72" i="5"/>
  <c r="AC72" i="5"/>
  <c r="AG71" i="5"/>
  <c r="AF71" i="5"/>
  <c r="AE71" i="5"/>
  <c r="AD71" i="5"/>
  <c r="AC71" i="5"/>
  <c r="AG70" i="5"/>
  <c r="AF70" i="5"/>
  <c r="AE70" i="5"/>
  <c r="AD70" i="5"/>
  <c r="AC70" i="5"/>
  <c r="AG69" i="5"/>
  <c r="AF69" i="5"/>
  <c r="AE69" i="5"/>
  <c r="AD69" i="5"/>
  <c r="AC69" i="5"/>
  <c r="AG68" i="5"/>
  <c r="AF68" i="5"/>
  <c r="AE68" i="5"/>
  <c r="AD68" i="5"/>
  <c r="AC68" i="5"/>
  <c r="AG67" i="5"/>
  <c r="AF67" i="5"/>
  <c r="AE67" i="5"/>
  <c r="AD67" i="5"/>
  <c r="AC67" i="5"/>
  <c r="AG66" i="5"/>
  <c r="AF66" i="5"/>
  <c r="AE66" i="5"/>
  <c r="AD66" i="5"/>
  <c r="AC66" i="5"/>
  <c r="AG65" i="5"/>
  <c r="AF65" i="5"/>
  <c r="AE65" i="5"/>
  <c r="AD65" i="5"/>
  <c r="AC65" i="5"/>
  <c r="AG64" i="5"/>
  <c r="AF64" i="5"/>
  <c r="AE64" i="5"/>
  <c r="AD64" i="5"/>
  <c r="AC64" i="5"/>
  <c r="AG63" i="5"/>
  <c r="AF63" i="5"/>
  <c r="AE63" i="5"/>
  <c r="AD63" i="5"/>
  <c r="AC63" i="5"/>
  <c r="AG62" i="5"/>
  <c r="AF62" i="5"/>
  <c r="AE62" i="5"/>
  <c r="AD62" i="5"/>
  <c r="AC62" i="5"/>
  <c r="AG61" i="5"/>
  <c r="AF61" i="5"/>
  <c r="AE61" i="5"/>
  <c r="AD61" i="5"/>
  <c r="AC61" i="5"/>
  <c r="AG60" i="5"/>
  <c r="AF60" i="5"/>
  <c r="AE60" i="5"/>
  <c r="AD60" i="5"/>
  <c r="AC60" i="5"/>
  <c r="AG59" i="5"/>
  <c r="AF59" i="5"/>
  <c r="AE59" i="5"/>
  <c r="AD59" i="5"/>
  <c r="AC59" i="5"/>
  <c r="AG58" i="5"/>
  <c r="AF58" i="5"/>
  <c r="AE58" i="5"/>
  <c r="AD58" i="5"/>
  <c r="AC58" i="5"/>
  <c r="AG57" i="5"/>
  <c r="AF57" i="5"/>
  <c r="AE57" i="5"/>
  <c r="AD57" i="5"/>
  <c r="AC57" i="5"/>
  <c r="AG56" i="5"/>
  <c r="AF56" i="5"/>
  <c r="AE56" i="5"/>
  <c r="AD56" i="5"/>
  <c r="AC56" i="5"/>
  <c r="AG55" i="5"/>
  <c r="AF55" i="5"/>
  <c r="AE55" i="5"/>
  <c r="AD55" i="5"/>
  <c r="AC55" i="5"/>
  <c r="AG54" i="5"/>
  <c r="AF54" i="5"/>
  <c r="AE54" i="5"/>
  <c r="AD54" i="5"/>
  <c r="AC54" i="5"/>
  <c r="AG53" i="5"/>
  <c r="AF53" i="5"/>
  <c r="AE53" i="5"/>
  <c r="AD53" i="5"/>
  <c r="AC53" i="5"/>
  <c r="AG52" i="5"/>
  <c r="AF52" i="5"/>
  <c r="AE52" i="5"/>
  <c r="AD52" i="5"/>
  <c r="AC52" i="5"/>
  <c r="AG51" i="5"/>
  <c r="AF51" i="5"/>
  <c r="AE51" i="5"/>
  <c r="AD51" i="5"/>
  <c r="AC51" i="5"/>
  <c r="AG50" i="5"/>
  <c r="AF50" i="5"/>
  <c r="AE50" i="5"/>
  <c r="AD50" i="5"/>
  <c r="AC50" i="5"/>
  <c r="AG49" i="5"/>
  <c r="AF49" i="5"/>
  <c r="AE49" i="5"/>
  <c r="AD49" i="5"/>
  <c r="AC49" i="5"/>
  <c r="AG48" i="5"/>
  <c r="AF48" i="5"/>
  <c r="AE48" i="5"/>
  <c r="AD48" i="5"/>
  <c r="AC48" i="5"/>
  <c r="AG47" i="5"/>
  <c r="AF47" i="5"/>
  <c r="AE47" i="5"/>
  <c r="AD47" i="5"/>
  <c r="AC47" i="5"/>
  <c r="AG46" i="5"/>
  <c r="AF46" i="5"/>
  <c r="AE46" i="5"/>
  <c r="AD46" i="5"/>
  <c r="AC46" i="5"/>
  <c r="AG45" i="5"/>
  <c r="AF45" i="5"/>
  <c r="AE45" i="5"/>
  <c r="AD45" i="5"/>
  <c r="AC45" i="5"/>
  <c r="AG44" i="5"/>
  <c r="AF44" i="5"/>
  <c r="AE44" i="5"/>
  <c r="AD44" i="5"/>
  <c r="AC44" i="5"/>
  <c r="AG43" i="5"/>
  <c r="AF43" i="5"/>
  <c r="AE43" i="5"/>
  <c r="AD43" i="5"/>
  <c r="AC43" i="5"/>
  <c r="AG42" i="5"/>
  <c r="AF42" i="5"/>
  <c r="AE42" i="5"/>
  <c r="AD42" i="5"/>
  <c r="AC42" i="5"/>
  <c r="AG41" i="5"/>
  <c r="AF41" i="5"/>
  <c r="AE41" i="5"/>
  <c r="AD41" i="5"/>
  <c r="AC41" i="5"/>
  <c r="AG40" i="5"/>
  <c r="AF40" i="5"/>
  <c r="AE40" i="5"/>
  <c r="AD40" i="5"/>
  <c r="AC40" i="5"/>
  <c r="AG39" i="5"/>
  <c r="AF39" i="5"/>
  <c r="AE39" i="5"/>
  <c r="AD39" i="5"/>
  <c r="AC39" i="5"/>
  <c r="AG38" i="5"/>
  <c r="AF38" i="5"/>
  <c r="AE38" i="5"/>
  <c r="AD38" i="5"/>
  <c r="AC38" i="5"/>
  <c r="AG37" i="5"/>
  <c r="AF37" i="5"/>
  <c r="AE37" i="5"/>
  <c r="AD37" i="5"/>
  <c r="AC37" i="5"/>
  <c r="AG36" i="5"/>
  <c r="AF36" i="5"/>
  <c r="AE36" i="5"/>
  <c r="AD36" i="5"/>
  <c r="AC36" i="5"/>
  <c r="AG35" i="5"/>
  <c r="AF35" i="5"/>
  <c r="AE35" i="5"/>
  <c r="AD35" i="5"/>
  <c r="AC35" i="5"/>
  <c r="AG34" i="5"/>
  <c r="AF34" i="5"/>
  <c r="AE34" i="5"/>
  <c r="AD34" i="5"/>
  <c r="AC34" i="5"/>
  <c r="AG33" i="5"/>
  <c r="AF33" i="5"/>
  <c r="AE33" i="5"/>
  <c r="AD33" i="5"/>
  <c r="AC33" i="5"/>
  <c r="AG32" i="5"/>
  <c r="AF32" i="5"/>
  <c r="AE32" i="5"/>
  <c r="AD32" i="5"/>
  <c r="AC32" i="5"/>
  <c r="AG31" i="5"/>
  <c r="AF31" i="5"/>
  <c r="AE31" i="5"/>
  <c r="AD31" i="5"/>
  <c r="AC31" i="5"/>
  <c r="AG30" i="5"/>
  <c r="AF30" i="5"/>
  <c r="AE30" i="5"/>
  <c r="AD30" i="5"/>
  <c r="AC30" i="5"/>
  <c r="AG29" i="5"/>
  <c r="AF29" i="5"/>
  <c r="AE29" i="5"/>
  <c r="AD29" i="5"/>
  <c r="AC29" i="5"/>
  <c r="AG28" i="5"/>
  <c r="AF28" i="5"/>
  <c r="AE28" i="5"/>
  <c r="AD28" i="5"/>
  <c r="AC28" i="5"/>
  <c r="AG27" i="5"/>
  <c r="AF27" i="5"/>
  <c r="AE27" i="5"/>
  <c r="AD27" i="5"/>
  <c r="AC27" i="5"/>
  <c r="AG26" i="5"/>
  <c r="AF26" i="5"/>
  <c r="AE26" i="5"/>
  <c r="AD26" i="5"/>
  <c r="AC26" i="5"/>
  <c r="AG25" i="5"/>
  <c r="AF25" i="5"/>
  <c r="AE25" i="5"/>
  <c r="AD25" i="5"/>
  <c r="AC25" i="5"/>
  <c r="AG24" i="5"/>
  <c r="AF24" i="5"/>
  <c r="AE24" i="5"/>
  <c r="AD24" i="5"/>
  <c r="AC24" i="5"/>
  <c r="AG23" i="5"/>
  <c r="AF23" i="5"/>
  <c r="AE23" i="5"/>
  <c r="AD23" i="5"/>
  <c r="AC23" i="5"/>
  <c r="AG22" i="5"/>
  <c r="AF22" i="5"/>
  <c r="AE22" i="5"/>
  <c r="AD22" i="5"/>
  <c r="AC22" i="5"/>
  <c r="AG21" i="5"/>
  <c r="AF21" i="5"/>
  <c r="AE21" i="5"/>
  <c r="AD21" i="5"/>
  <c r="AC21" i="5"/>
  <c r="AG20" i="5"/>
  <c r="AF20" i="5"/>
  <c r="AE20" i="5"/>
  <c r="AD20" i="5"/>
  <c r="AC20" i="5"/>
  <c r="AG19" i="5"/>
  <c r="AF19" i="5"/>
  <c r="AE19" i="5"/>
  <c r="AD19" i="5"/>
  <c r="AC19" i="5"/>
  <c r="AG18" i="5"/>
  <c r="AF18" i="5"/>
  <c r="AE18" i="5"/>
  <c r="AD18" i="5"/>
  <c r="AC18" i="5"/>
  <c r="AG17" i="5"/>
  <c r="AF17" i="5"/>
  <c r="AE17" i="5"/>
  <c r="AD17" i="5"/>
  <c r="AC17" i="5"/>
  <c r="AG16" i="5"/>
  <c r="AF16" i="5"/>
  <c r="AE16" i="5"/>
  <c r="AD16" i="5"/>
  <c r="AC16" i="5"/>
  <c r="AG15" i="5"/>
  <c r="AF15" i="5"/>
  <c r="AE15" i="5"/>
  <c r="AD15" i="5"/>
  <c r="AC15" i="5"/>
  <c r="AG14" i="5"/>
  <c r="AF14" i="5"/>
  <c r="AE14" i="5"/>
  <c r="AD14" i="5"/>
  <c r="AC14" i="5"/>
  <c r="AG13" i="5"/>
  <c r="AF13" i="5"/>
  <c r="AE13" i="5"/>
  <c r="AD13" i="5"/>
  <c r="AC13" i="5"/>
  <c r="AG12" i="5"/>
  <c r="AF12" i="5"/>
  <c r="AE12" i="5"/>
  <c r="AD12" i="5"/>
  <c r="AC12" i="5"/>
  <c r="AG11" i="5"/>
  <c r="AF11" i="5"/>
  <c r="AE11" i="5"/>
  <c r="AD11" i="5"/>
  <c r="AC11" i="5"/>
  <c r="AG10" i="5"/>
  <c r="AF10" i="5"/>
  <c r="AE10" i="5"/>
  <c r="AD10" i="5"/>
  <c r="AC10" i="5"/>
  <c r="AG9" i="5"/>
  <c r="AF9" i="5"/>
  <c r="AE9" i="5"/>
  <c r="AD9" i="5"/>
  <c r="AC9" i="5"/>
  <c r="AG8" i="5"/>
  <c r="AF8" i="5"/>
  <c r="AE8" i="5"/>
  <c r="AD8" i="5"/>
  <c r="AC8" i="5"/>
  <c r="AG7" i="5"/>
  <c r="AF7" i="5"/>
  <c r="AE7" i="5"/>
  <c r="AD7" i="5"/>
  <c r="AC7" i="5"/>
  <c r="AG6" i="5"/>
  <c r="AF6" i="5"/>
  <c r="AE6" i="5"/>
  <c r="AD6" i="5"/>
  <c r="AC6" i="5"/>
  <c r="K7" i="5" l="1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6" i="5"/>
  <c r="H3658" i="5"/>
  <c r="G3658" i="5"/>
  <c r="H3657" i="5"/>
  <c r="G3657" i="5"/>
  <c r="H3656" i="5"/>
  <c r="G3656" i="5"/>
  <c r="H3655" i="5"/>
  <c r="G3655" i="5"/>
  <c r="H3654" i="5"/>
  <c r="G3654" i="5"/>
  <c r="H3653" i="5"/>
  <c r="G3653" i="5"/>
  <c r="H3652" i="5"/>
  <c r="G3652" i="5"/>
  <c r="H3651" i="5"/>
  <c r="G3651" i="5"/>
  <c r="H3650" i="5"/>
  <c r="G3650" i="5"/>
  <c r="H3649" i="5"/>
  <c r="G3649" i="5"/>
  <c r="H3648" i="5"/>
  <c r="G3648" i="5"/>
  <c r="H3647" i="5"/>
  <c r="G3647" i="5"/>
  <c r="H3646" i="5"/>
  <c r="G3646" i="5"/>
  <c r="H3645" i="5"/>
  <c r="G3645" i="5"/>
  <c r="H3644" i="5"/>
  <c r="G3644" i="5"/>
  <c r="H3643" i="5"/>
  <c r="G3643" i="5"/>
  <c r="H3642" i="5"/>
  <c r="G3642" i="5"/>
  <c r="H3641" i="5"/>
  <c r="G3641" i="5"/>
  <c r="H3640" i="5"/>
  <c r="G3640" i="5"/>
  <c r="H3639" i="5"/>
  <c r="G3639" i="5"/>
  <c r="H3638" i="5"/>
  <c r="I3638" i="5" s="1"/>
  <c r="G3638" i="5"/>
  <c r="H3637" i="5"/>
  <c r="I3637" i="5" s="1"/>
  <c r="G3637" i="5"/>
  <c r="H3636" i="5"/>
  <c r="G3636" i="5"/>
  <c r="H3635" i="5"/>
  <c r="G3635" i="5"/>
  <c r="H3634" i="5"/>
  <c r="G3634" i="5"/>
  <c r="H3633" i="5"/>
  <c r="G3633" i="5"/>
  <c r="H3632" i="5"/>
  <c r="G3632" i="5"/>
  <c r="H3631" i="5"/>
  <c r="G3631" i="5"/>
  <c r="H3630" i="5"/>
  <c r="G3630" i="5"/>
  <c r="H3629" i="5"/>
  <c r="G3629" i="5"/>
  <c r="H3628" i="5"/>
  <c r="G3628" i="5"/>
  <c r="H3627" i="5"/>
  <c r="I3627" i="5" s="1"/>
  <c r="G3627" i="5"/>
  <c r="H3626" i="5"/>
  <c r="G3626" i="5"/>
  <c r="H3625" i="5"/>
  <c r="G3625" i="5"/>
  <c r="H3624" i="5"/>
  <c r="G3624" i="5"/>
  <c r="H3623" i="5"/>
  <c r="G3623" i="5"/>
  <c r="H3622" i="5"/>
  <c r="G3622" i="5"/>
  <c r="H3621" i="5"/>
  <c r="G3621" i="5"/>
  <c r="H3620" i="5"/>
  <c r="G3620" i="5"/>
  <c r="H3619" i="5"/>
  <c r="G3619" i="5"/>
  <c r="H3618" i="5"/>
  <c r="G3618" i="5"/>
  <c r="H3617" i="5"/>
  <c r="I3617" i="5" s="1"/>
  <c r="G3617" i="5"/>
  <c r="H3616" i="5"/>
  <c r="G3616" i="5"/>
  <c r="H3615" i="5"/>
  <c r="I3615" i="5" s="1"/>
  <c r="G3615" i="5"/>
  <c r="H3614" i="5"/>
  <c r="G3614" i="5"/>
  <c r="H3613" i="5"/>
  <c r="G3613" i="5"/>
  <c r="H3612" i="5"/>
  <c r="G3612" i="5"/>
  <c r="H3611" i="5"/>
  <c r="G3611" i="5"/>
  <c r="H3610" i="5"/>
  <c r="G3610" i="5"/>
  <c r="H3609" i="5"/>
  <c r="G3609" i="5"/>
  <c r="H3608" i="5"/>
  <c r="G3608" i="5"/>
  <c r="H3607" i="5"/>
  <c r="G3607" i="5"/>
  <c r="H3606" i="5"/>
  <c r="G3606" i="5"/>
  <c r="H3605" i="5"/>
  <c r="I3605" i="5" s="1"/>
  <c r="G3605" i="5"/>
  <c r="H3604" i="5"/>
  <c r="G3604" i="5"/>
  <c r="H3603" i="5"/>
  <c r="G3603" i="5"/>
  <c r="H3602" i="5"/>
  <c r="G3602" i="5"/>
  <c r="H3601" i="5"/>
  <c r="G3601" i="5"/>
  <c r="H3600" i="5"/>
  <c r="G3600" i="5"/>
  <c r="H3599" i="5"/>
  <c r="G3599" i="5"/>
  <c r="H3598" i="5"/>
  <c r="G3598" i="5"/>
  <c r="H3597" i="5"/>
  <c r="G3597" i="5"/>
  <c r="H3596" i="5"/>
  <c r="G3596" i="5"/>
  <c r="H3595" i="5"/>
  <c r="G3595" i="5"/>
  <c r="H3594" i="5"/>
  <c r="G3594" i="5"/>
  <c r="H3593" i="5"/>
  <c r="G3593" i="5"/>
  <c r="H3592" i="5"/>
  <c r="G3592" i="5"/>
  <c r="H3591" i="5"/>
  <c r="G3591" i="5"/>
  <c r="H3590" i="5"/>
  <c r="G3590" i="5"/>
  <c r="H3589" i="5"/>
  <c r="G3589" i="5"/>
  <c r="H3588" i="5"/>
  <c r="G3588" i="5"/>
  <c r="H3587" i="5"/>
  <c r="G3587" i="5"/>
  <c r="H3586" i="5"/>
  <c r="G3586" i="5"/>
  <c r="H3585" i="5"/>
  <c r="G3585" i="5"/>
  <c r="H3584" i="5"/>
  <c r="G3584" i="5"/>
  <c r="H3583" i="5"/>
  <c r="G3583" i="5"/>
  <c r="H3582" i="5"/>
  <c r="G3582" i="5"/>
  <c r="H3581" i="5"/>
  <c r="G3581" i="5"/>
  <c r="H3580" i="5"/>
  <c r="G3580" i="5"/>
  <c r="H3579" i="5"/>
  <c r="G3579" i="5"/>
  <c r="H3578" i="5"/>
  <c r="G3578" i="5"/>
  <c r="H3577" i="5"/>
  <c r="G3577" i="5"/>
  <c r="H3576" i="5"/>
  <c r="G3576" i="5"/>
  <c r="H3575" i="5"/>
  <c r="G3575" i="5"/>
  <c r="H3574" i="5"/>
  <c r="G3574" i="5"/>
  <c r="H3573" i="5"/>
  <c r="G3573" i="5"/>
  <c r="H3572" i="5"/>
  <c r="G3572" i="5"/>
  <c r="H3571" i="5"/>
  <c r="G3571" i="5"/>
  <c r="H3570" i="5"/>
  <c r="G3570" i="5"/>
  <c r="H3569" i="5"/>
  <c r="G3569" i="5"/>
  <c r="H3568" i="5"/>
  <c r="G3568" i="5"/>
  <c r="H3567" i="5"/>
  <c r="G3567" i="5"/>
  <c r="H3566" i="5"/>
  <c r="G3566" i="5"/>
  <c r="H3565" i="5"/>
  <c r="G3565" i="5"/>
  <c r="H3564" i="5"/>
  <c r="G3564" i="5"/>
  <c r="H3563" i="5"/>
  <c r="G3563" i="5"/>
  <c r="H3562" i="5"/>
  <c r="G3562" i="5"/>
  <c r="H3561" i="5"/>
  <c r="G3561" i="5"/>
  <c r="H3560" i="5"/>
  <c r="G3560" i="5"/>
  <c r="H3559" i="5"/>
  <c r="G3559" i="5"/>
  <c r="H3558" i="5"/>
  <c r="G3558" i="5"/>
  <c r="H3557" i="5"/>
  <c r="G3557" i="5"/>
  <c r="H3556" i="5"/>
  <c r="G3556" i="5"/>
  <c r="H3555" i="5"/>
  <c r="G3555" i="5"/>
  <c r="H3554" i="5"/>
  <c r="G3554" i="5"/>
  <c r="H3553" i="5"/>
  <c r="G3553" i="5"/>
  <c r="H3552" i="5"/>
  <c r="G3552" i="5"/>
  <c r="H3551" i="5"/>
  <c r="G3551" i="5"/>
  <c r="H3550" i="5"/>
  <c r="G3550" i="5"/>
  <c r="H3549" i="5"/>
  <c r="G3549" i="5"/>
  <c r="H3548" i="5"/>
  <c r="G3548" i="5"/>
  <c r="H3547" i="5"/>
  <c r="G3547" i="5"/>
  <c r="H3546" i="5"/>
  <c r="G3546" i="5"/>
  <c r="H3545" i="5"/>
  <c r="G3545" i="5"/>
  <c r="H3544" i="5"/>
  <c r="G3544" i="5"/>
  <c r="H3543" i="5"/>
  <c r="G3543" i="5"/>
  <c r="H3542" i="5"/>
  <c r="G3542" i="5"/>
  <c r="H3541" i="5"/>
  <c r="G3541" i="5"/>
  <c r="H3540" i="5"/>
  <c r="G3540" i="5"/>
  <c r="H3539" i="5"/>
  <c r="G3539" i="5"/>
  <c r="H3538" i="5"/>
  <c r="G3538" i="5"/>
  <c r="H3537" i="5"/>
  <c r="G3537" i="5"/>
  <c r="H3536" i="5"/>
  <c r="G3536" i="5"/>
  <c r="H3535" i="5"/>
  <c r="G3535" i="5"/>
  <c r="H3534" i="5"/>
  <c r="G3534" i="5"/>
  <c r="H3533" i="5"/>
  <c r="G3533" i="5"/>
  <c r="H3532" i="5"/>
  <c r="G3532" i="5"/>
  <c r="H3531" i="5"/>
  <c r="G3531" i="5"/>
  <c r="H3530" i="5"/>
  <c r="G3530" i="5"/>
  <c r="I3530" i="5" s="1"/>
  <c r="H3529" i="5"/>
  <c r="G3529" i="5"/>
  <c r="H3528" i="5"/>
  <c r="G3528" i="5"/>
  <c r="H3527" i="5"/>
  <c r="G3527" i="5"/>
  <c r="H3526" i="5"/>
  <c r="G3526" i="5"/>
  <c r="H3525" i="5"/>
  <c r="G3525" i="5"/>
  <c r="H3524" i="5"/>
  <c r="G3524" i="5"/>
  <c r="H3523" i="5"/>
  <c r="G3523" i="5"/>
  <c r="H3522" i="5"/>
  <c r="G3522" i="5"/>
  <c r="H3521" i="5"/>
  <c r="G3521" i="5"/>
  <c r="H3520" i="5"/>
  <c r="G3520" i="5"/>
  <c r="H3519" i="5"/>
  <c r="G3519" i="5"/>
  <c r="H3518" i="5"/>
  <c r="G3518" i="5"/>
  <c r="H3517" i="5"/>
  <c r="G3517" i="5"/>
  <c r="H3516" i="5"/>
  <c r="G3516" i="5"/>
  <c r="H3515" i="5"/>
  <c r="G3515" i="5"/>
  <c r="H3514" i="5"/>
  <c r="G3514" i="5"/>
  <c r="H3513" i="5"/>
  <c r="G3513" i="5"/>
  <c r="H3512" i="5"/>
  <c r="G3512" i="5"/>
  <c r="H3511" i="5"/>
  <c r="G3511" i="5"/>
  <c r="H3510" i="5"/>
  <c r="G3510" i="5"/>
  <c r="H3509" i="5"/>
  <c r="G3509" i="5"/>
  <c r="H3508" i="5"/>
  <c r="G3508" i="5"/>
  <c r="H3507" i="5"/>
  <c r="G3507" i="5"/>
  <c r="H3506" i="5"/>
  <c r="G3506" i="5"/>
  <c r="H3505" i="5"/>
  <c r="G3505" i="5"/>
  <c r="H3504" i="5"/>
  <c r="G3504" i="5"/>
  <c r="H3503" i="5"/>
  <c r="G3503" i="5"/>
  <c r="H3502" i="5"/>
  <c r="G3502" i="5"/>
  <c r="H3501" i="5"/>
  <c r="G3501" i="5"/>
  <c r="H3500" i="5"/>
  <c r="G3500" i="5"/>
  <c r="H3499" i="5"/>
  <c r="G3499" i="5"/>
  <c r="H3498" i="5"/>
  <c r="G3498" i="5"/>
  <c r="H3497" i="5"/>
  <c r="G3497" i="5"/>
  <c r="H3496" i="5"/>
  <c r="G3496" i="5"/>
  <c r="H3495" i="5"/>
  <c r="G3495" i="5"/>
  <c r="H3494" i="5"/>
  <c r="G3494" i="5"/>
  <c r="H3493" i="5"/>
  <c r="G3493" i="5"/>
  <c r="H3492" i="5"/>
  <c r="G3492" i="5"/>
  <c r="H3491" i="5"/>
  <c r="G3491" i="5"/>
  <c r="H3490" i="5"/>
  <c r="G3490" i="5"/>
  <c r="H3489" i="5"/>
  <c r="G3489" i="5"/>
  <c r="H3488" i="5"/>
  <c r="G3488" i="5"/>
  <c r="H3487" i="5"/>
  <c r="G3487" i="5"/>
  <c r="H3486" i="5"/>
  <c r="G3486" i="5"/>
  <c r="H3485" i="5"/>
  <c r="G3485" i="5"/>
  <c r="H3484" i="5"/>
  <c r="G3484" i="5"/>
  <c r="H3483" i="5"/>
  <c r="G3483" i="5"/>
  <c r="H3482" i="5"/>
  <c r="G3482" i="5"/>
  <c r="H3481" i="5"/>
  <c r="G3481" i="5"/>
  <c r="H3480" i="5"/>
  <c r="G3480" i="5"/>
  <c r="H3479" i="5"/>
  <c r="G3479" i="5"/>
  <c r="H3478" i="5"/>
  <c r="G3478" i="5"/>
  <c r="H3477" i="5"/>
  <c r="G3477" i="5"/>
  <c r="H3476" i="5"/>
  <c r="G3476" i="5"/>
  <c r="H3475" i="5"/>
  <c r="G3475" i="5"/>
  <c r="H3474" i="5"/>
  <c r="G3474" i="5"/>
  <c r="H3473" i="5"/>
  <c r="G3473" i="5"/>
  <c r="H3472" i="5"/>
  <c r="G3472" i="5"/>
  <c r="H3471" i="5"/>
  <c r="G3471" i="5"/>
  <c r="H3470" i="5"/>
  <c r="G3470" i="5"/>
  <c r="H3469" i="5"/>
  <c r="G3469" i="5"/>
  <c r="H3468" i="5"/>
  <c r="G3468" i="5"/>
  <c r="H3467" i="5"/>
  <c r="G3467" i="5"/>
  <c r="H3466" i="5"/>
  <c r="G3466" i="5"/>
  <c r="H3465" i="5"/>
  <c r="G3465" i="5"/>
  <c r="H3464" i="5"/>
  <c r="G3464" i="5"/>
  <c r="H3463" i="5"/>
  <c r="G3463" i="5"/>
  <c r="H3462" i="5"/>
  <c r="G3462" i="5"/>
  <c r="H3461" i="5"/>
  <c r="G3461" i="5"/>
  <c r="H3460" i="5"/>
  <c r="G3460" i="5"/>
  <c r="H3459" i="5"/>
  <c r="G3459" i="5"/>
  <c r="H3458" i="5"/>
  <c r="G3458" i="5"/>
  <c r="H3457" i="5"/>
  <c r="G3457" i="5"/>
  <c r="H3456" i="5"/>
  <c r="G3456" i="5"/>
  <c r="H3455" i="5"/>
  <c r="G3455" i="5"/>
  <c r="H3454" i="5"/>
  <c r="G3454" i="5"/>
  <c r="H3453" i="5"/>
  <c r="G3453" i="5"/>
  <c r="H3452" i="5"/>
  <c r="G3452" i="5"/>
  <c r="H3451" i="5"/>
  <c r="G3451" i="5"/>
  <c r="H3450" i="5"/>
  <c r="G3450" i="5"/>
  <c r="H3449" i="5"/>
  <c r="G3449" i="5"/>
  <c r="H3448" i="5"/>
  <c r="I3448" i="5" s="1"/>
  <c r="G3448" i="5"/>
  <c r="H3447" i="5"/>
  <c r="I3447" i="5" s="1"/>
  <c r="G3447" i="5"/>
  <c r="H3446" i="5"/>
  <c r="G3446" i="5"/>
  <c r="H3445" i="5"/>
  <c r="G3445" i="5"/>
  <c r="H3444" i="5"/>
  <c r="G3444" i="5"/>
  <c r="H3443" i="5"/>
  <c r="G3443" i="5"/>
  <c r="H3442" i="5"/>
  <c r="G3442" i="5"/>
  <c r="H3441" i="5"/>
  <c r="G3441" i="5"/>
  <c r="H3440" i="5"/>
  <c r="G3440" i="5"/>
  <c r="H3439" i="5"/>
  <c r="G3439" i="5"/>
  <c r="H3438" i="5"/>
  <c r="G3438" i="5"/>
  <c r="H3437" i="5"/>
  <c r="G3437" i="5"/>
  <c r="H3436" i="5"/>
  <c r="G3436" i="5"/>
  <c r="H3435" i="5"/>
  <c r="G3435" i="5"/>
  <c r="H3434" i="5"/>
  <c r="G3434" i="5"/>
  <c r="H3433" i="5"/>
  <c r="G3433" i="5"/>
  <c r="H3432" i="5"/>
  <c r="G3432" i="5"/>
  <c r="H3431" i="5"/>
  <c r="G3431" i="5"/>
  <c r="H3430" i="5"/>
  <c r="G3430" i="5"/>
  <c r="H3429" i="5"/>
  <c r="G3429" i="5"/>
  <c r="H3428" i="5"/>
  <c r="G3428" i="5"/>
  <c r="H3427" i="5"/>
  <c r="G3427" i="5"/>
  <c r="H3426" i="5"/>
  <c r="G3426" i="5"/>
  <c r="H3425" i="5"/>
  <c r="G3425" i="5"/>
  <c r="H3424" i="5"/>
  <c r="G3424" i="5"/>
  <c r="H3423" i="5"/>
  <c r="G3423" i="5"/>
  <c r="H3422" i="5"/>
  <c r="G3422" i="5"/>
  <c r="H3421" i="5"/>
  <c r="G3421" i="5"/>
  <c r="H3420" i="5"/>
  <c r="G3420" i="5"/>
  <c r="H3419" i="5"/>
  <c r="G3419" i="5"/>
  <c r="H3418" i="5"/>
  <c r="G3418" i="5"/>
  <c r="H3417" i="5"/>
  <c r="G3417" i="5"/>
  <c r="H3416" i="5"/>
  <c r="G3416" i="5"/>
  <c r="H3415" i="5"/>
  <c r="G3415" i="5"/>
  <c r="H3414" i="5"/>
  <c r="G3414" i="5"/>
  <c r="H3413" i="5"/>
  <c r="G3413" i="5"/>
  <c r="H3412" i="5"/>
  <c r="G3412" i="5"/>
  <c r="H3411" i="5"/>
  <c r="G3411" i="5"/>
  <c r="H3410" i="5"/>
  <c r="G3410" i="5"/>
  <c r="H3409" i="5"/>
  <c r="G3409" i="5"/>
  <c r="H3408" i="5"/>
  <c r="G3408" i="5"/>
  <c r="H3407" i="5"/>
  <c r="G3407" i="5"/>
  <c r="H3406" i="5"/>
  <c r="G3406" i="5"/>
  <c r="H3405" i="5"/>
  <c r="G3405" i="5"/>
  <c r="H3404" i="5"/>
  <c r="G3404" i="5"/>
  <c r="H3403" i="5"/>
  <c r="G3403" i="5"/>
  <c r="H3402" i="5"/>
  <c r="G3402" i="5"/>
  <c r="H3401" i="5"/>
  <c r="G3401" i="5"/>
  <c r="H3400" i="5"/>
  <c r="G3400" i="5"/>
  <c r="H3399" i="5"/>
  <c r="G3399" i="5"/>
  <c r="H3398" i="5"/>
  <c r="G3398" i="5"/>
  <c r="H3397" i="5"/>
  <c r="I3397" i="5" s="1"/>
  <c r="G3397" i="5"/>
  <c r="H3396" i="5"/>
  <c r="G3396" i="5"/>
  <c r="H3395" i="5"/>
  <c r="G3395" i="5"/>
  <c r="H3394" i="5"/>
  <c r="G3394" i="5"/>
  <c r="H3393" i="5"/>
  <c r="G3393" i="5"/>
  <c r="H3392" i="5"/>
  <c r="G3392" i="5"/>
  <c r="H3391" i="5"/>
  <c r="G3391" i="5"/>
  <c r="H3390" i="5"/>
  <c r="G3390" i="5"/>
  <c r="H3389" i="5"/>
  <c r="G3389" i="5"/>
  <c r="H3388" i="5"/>
  <c r="G3388" i="5"/>
  <c r="H3387" i="5"/>
  <c r="G3387" i="5"/>
  <c r="H3386" i="5"/>
  <c r="G3386" i="5"/>
  <c r="H3385" i="5"/>
  <c r="G3385" i="5"/>
  <c r="H3384" i="5"/>
  <c r="G3384" i="5"/>
  <c r="H3383" i="5"/>
  <c r="G3383" i="5"/>
  <c r="I3383" i="5" s="1"/>
  <c r="H3382" i="5"/>
  <c r="G3382" i="5"/>
  <c r="H3381" i="5"/>
  <c r="G3381" i="5"/>
  <c r="H3380" i="5"/>
  <c r="G3380" i="5"/>
  <c r="H3379" i="5"/>
  <c r="G3379" i="5"/>
  <c r="H3378" i="5"/>
  <c r="G3378" i="5"/>
  <c r="H3377" i="5"/>
  <c r="G3377" i="5"/>
  <c r="H3376" i="5"/>
  <c r="G3376" i="5"/>
  <c r="H3375" i="5"/>
  <c r="G3375" i="5"/>
  <c r="H3374" i="5"/>
  <c r="G3374" i="5"/>
  <c r="H3373" i="5"/>
  <c r="G3373" i="5"/>
  <c r="H3372" i="5"/>
  <c r="G3372" i="5"/>
  <c r="H3371" i="5"/>
  <c r="G3371" i="5"/>
  <c r="H3370" i="5"/>
  <c r="G3370" i="5"/>
  <c r="H3369" i="5"/>
  <c r="G3369" i="5"/>
  <c r="H3368" i="5"/>
  <c r="G3368" i="5"/>
  <c r="H3367" i="5"/>
  <c r="G3367" i="5"/>
  <c r="H3366" i="5"/>
  <c r="G3366" i="5"/>
  <c r="H3365" i="5"/>
  <c r="G3365" i="5"/>
  <c r="H3364" i="5"/>
  <c r="G3364" i="5"/>
  <c r="H3363" i="5"/>
  <c r="G3363" i="5"/>
  <c r="H3362" i="5"/>
  <c r="G3362" i="5"/>
  <c r="H3361" i="5"/>
  <c r="G3361" i="5"/>
  <c r="H3360" i="5"/>
  <c r="G3360" i="5"/>
  <c r="H3359" i="5"/>
  <c r="G3359" i="5"/>
  <c r="H3358" i="5"/>
  <c r="G3358" i="5"/>
  <c r="H3357" i="5"/>
  <c r="G3357" i="5"/>
  <c r="H3356" i="5"/>
  <c r="G3356" i="5"/>
  <c r="H3355" i="5"/>
  <c r="G3355" i="5"/>
  <c r="H3354" i="5"/>
  <c r="G3354" i="5"/>
  <c r="H3353" i="5"/>
  <c r="G3353" i="5"/>
  <c r="H3352" i="5"/>
  <c r="G3352" i="5"/>
  <c r="H3351" i="5"/>
  <c r="G3351" i="5"/>
  <c r="H3350" i="5"/>
  <c r="G3350" i="5"/>
  <c r="H3349" i="5"/>
  <c r="G3349" i="5"/>
  <c r="H3348" i="5"/>
  <c r="G3348" i="5"/>
  <c r="H3347" i="5"/>
  <c r="G3347" i="5"/>
  <c r="H3346" i="5"/>
  <c r="G3346" i="5"/>
  <c r="I3346" i="5" s="1"/>
  <c r="H3345" i="5"/>
  <c r="G3345" i="5"/>
  <c r="H3344" i="5"/>
  <c r="G3344" i="5"/>
  <c r="H3343" i="5"/>
  <c r="G3343" i="5"/>
  <c r="H3342" i="5"/>
  <c r="G3342" i="5"/>
  <c r="H3341" i="5"/>
  <c r="G3341" i="5"/>
  <c r="H3340" i="5"/>
  <c r="G3340" i="5"/>
  <c r="H3339" i="5"/>
  <c r="G3339" i="5"/>
  <c r="H3338" i="5"/>
  <c r="G3338" i="5"/>
  <c r="H3337" i="5"/>
  <c r="G3337" i="5"/>
  <c r="H3336" i="5"/>
  <c r="G3336" i="5"/>
  <c r="H3335" i="5"/>
  <c r="G3335" i="5"/>
  <c r="H3334" i="5"/>
  <c r="G3334" i="5"/>
  <c r="H3333" i="5"/>
  <c r="G3333" i="5"/>
  <c r="H3332" i="5"/>
  <c r="G3332" i="5"/>
  <c r="H3331" i="5"/>
  <c r="G3331" i="5"/>
  <c r="H3330" i="5"/>
  <c r="G3330" i="5"/>
  <c r="H3329" i="5"/>
  <c r="G3329" i="5"/>
  <c r="H3328" i="5"/>
  <c r="G3328" i="5"/>
  <c r="H3327" i="5"/>
  <c r="G3327" i="5"/>
  <c r="H3326" i="5"/>
  <c r="G3326" i="5"/>
  <c r="H3325" i="5"/>
  <c r="G3325" i="5"/>
  <c r="H3324" i="5"/>
  <c r="G3324" i="5"/>
  <c r="H3323" i="5"/>
  <c r="G3323" i="5"/>
  <c r="H3322" i="5"/>
  <c r="G3322" i="5"/>
  <c r="H3321" i="5"/>
  <c r="G3321" i="5"/>
  <c r="H3320" i="5"/>
  <c r="G3320" i="5"/>
  <c r="H3319" i="5"/>
  <c r="G3319" i="5"/>
  <c r="H3318" i="5"/>
  <c r="G3318" i="5"/>
  <c r="H3317" i="5"/>
  <c r="G3317" i="5"/>
  <c r="H3316" i="5"/>
  <c r="G3316" i="5"/>
  <c r="H3315" i="5"/>
  <c r="G3315" i="5"/>
  <c r="H3314" i="5"/>
  <c r="G3314" i="5"/>
  <c r="H3313" i="5"/>
  <c r="G3313" i="5"/>
  <c r="H3312" i="5"/>
  <c r="G3312" i="5"/>
  <c r="H3311" i="5"/>
  <c r="G3311" i="5"/>
  <c r="H3310" i="5"/>
  <c r="G3310" i="5"/>
  <c r="I3310" i="5" s="1"/>
  <c r="H3309" i="5"/>
  <c r="G3309" i="5"/>
  <c r="H3308" i="5"/>
  <c r="G3308" i="5"/>
  <c r="H3307" i="5"/>
  <c r="G3307" i="5"/>
  <c r="H3306" i="5"/>
  <c r="G3306" i="5"/>
  <c r="H3305" i="5"/>
  <c r="G3305" i="5"/>
  <c r="H3304" i="5"/>
  <c r="G3304" i="5"/>
  <c r="I3304" i="5" s="1"/>
  <c r="H3303" i="5"/>
  <c r="G3303" i="5"/>
  <c r="H3302" i="5"/>
  <c r="G3302" i="5"/>
  <c r="H3301" i="5"/>
  <c r="G3301" i="5"/>
  <c r="H3300" i="5"/>
  <c r="G3300" i="5"/>
  <c r="H3299" i="5"/>
  <c r="G3299" i="5"/>
  <c r="H3298" i="5"/>
  <c r="G3298" i="5"/>
  <c r="H3297" i="5"/>
  <c r="G3297" i="5"/>
  <c r="H3296" i="5"/>
  <c r="G3296" i="5"/>
  <c r="H3295" i="5"/>
  <c r="G3295" i="5"/>
  <c r="H3294" i="5"/>
  <c r="G3294" i="5"/>
  <c r="H3293" i="5"/>
  <c r="G3293" i="5"/>
  <c r="H3292" i="5"/>
  <c r="G3292" i="5"/>
  <c r="H3291" i="5"/>
  <c r="G3291" i="5"/>
  <c r="H3290" i="5"/>
  <c r="G3290" i="5"/>
  <c r="H3289" i="5"/>
  <c r="G3289" i="5"/>
  <c r="H3288" i="5"/>
  <c r="G3288" i="5"/>
  <c r="H3287" i="5"/>
  <c r="G3287" i="5"/>
  <c r="H3286" i="5"/>
  <c r="G3286" i="5"/>
  <c r="I3286" i="5" s="1"/>
  <c r="H3285" i="5"/>
  <c r="G3285" i="5"/>
  <c r="H3284" i="5"/>
  <c r="G3284" i="5"/>
  <c r="H3283" i="5"/>
  <c r="G3283" i="5"/>
  <c r="H3282" i="5"/>
  <c r="G3282" i="5"/>
  <c r="H3281" i="5"/>
  <c r="G3281" i="5"/>
  <c r="H3280" i="5"/>
  <c r="G3280" i="5"/>
  <c r="I3280" i="5" s="1"/>
  <c r="H3279" i="5"/>
  <c r="G3279" i="5"/>
  <c r="H3278" i="5"/>
  <c r="G3278" i="5"/>
  <c r="H3277" i="5"/>
  <c r="G3277" i="5"/>
  <c r="H3276" i="5"/>
  <c r="G3276" i="5"/>
  <c r="H3275" i="5"/>
  <c r="G3275" i="5"/>
  <c r="H3274" i="5"/>
  <c r="G3274" i="5"/>
  <c r="H3273" i="5"/>
  <c r="G3273" i="5"/>
  <c r="H3272" i="5"/>
  <c r="G3272" i="5"/>
  <c r="H3271" i="5"/>
  <c r="G3271" i="5"/>
  <c r="H3270" i="5"/>
  <c r="G3270" i="5"/>
  <c r="H3269" i="5"/>
  <c r="G3269" i="5"/>
  <c r="H3268" i="5"/>
  <c r="G3268" i="5"/>
  <c r="H3267" i="5"/>
  <c r="G3267" i="5"/>
  <c r="H3266" i="5"/>
  <c r="G3266" i="5"/>
  <c r="H3265" i="5"/>
  <c r="G3265" i="5"/>
  <c r="H3264" i="5"/>
  <c r="G3264" i="5"/>
  <c r="H3263" i="5"/>
  <c r="G3263" i="5"/>
  <c r="H3262" i="5"/>
  <c r="G3262" i="5"/>
  <c r="H3261" i="5"/>
  <c r="G3261" i="5"/>
  <c r="H3260" i="5"/>
  <c r="G3260" i="5"/>
  <c r="H3259" i="5"/>
  <c r="G3259" i="5"/>
  <c r="H3258" i="5"/>
  <c r="G3258" i="5"/>
  <c r="H3257" i="5"/>
  <c r="G3257" i="5"/>
  <c r="H3256" i="5"/>
  <c r="G3256" i="5"/>
  <c r="H3255" i="5"/>
  <c r="G3255" i="5"/>
  <c r="H3254" i="5"/>
  <c r="G3254" i="5"/>
  <c r="H3253" i="5"/>
  <c r="G3253" i="5"/>
  <c r="H3252" i="5"/>
  <c r="G3252" i="5"/>
  <c r="H3251" i="5"/>
  <c r="G3251" i="5"/>
  <c r="H3250" i="5"/>
  <c r="G3250" i="5"/>
  <c r="H3249" i="5"/>
  <c r="G3249" i="5"/>
  <c r="H3248" i="5"/>
  <c r="G3248" i="5"/>
  <c r="H3247" i="5"/>
  <c r="G3247" i="5"/>
  <c r="H3246" i="5"/>
  <c r="G3246" i="5"/>
  <c r="H3245" i="5"/>
  <c r="G3245" i="5"/>
  <c r="H3244" i="5"/>
  <c r="G3244" i="5"/>
  <c r="H3243" i="5"/>
  <c r="G3243" i="5"/>
  <c r="H3242" i="5"/>
  <c r="G3242" i="5"/>
  <c r="H3241" i="5"/>
  <c r="G3241" i="5"/>
  <c r="H3240" i="5"/>
  <c r="G3240" i="5"/>
  <c r="H3239" i="5"/>
  <c r="G3239" i="5"/>
  <c r="H3238" i="5"/>
  <c r="G3238" i="5"/>
  <c r="H3237" i="5"/>
  <c r="G3237" i="5"/>
  <c r="H3236" i="5"/>
  <c r="G3236" i="5"/>
  <c r="H3235" i="5"/>
  <c r="G3235" i="5"/>
  <c r="H3234" i="5"/>
  <c r="G3234" i="5"/>
  <c r="H3233" i="5"/>
  <c r="G3233" i="5"/>
  <c r="H3232" i="5"/>
  <c r="G3232" i="5"/>
  <c r="H3231" i="5"/>
  <c r="G3231" i="5"/>
  <c r="H3230" i="5"/>
  <c r="G3230" i="5"/>
  <c r="H3229" i="5"/>
  <c r="G3229" i="5"/>
  <c r="H3228" i="5"/>
  <c r="G3228" i="5"/>
  <c r="H3227" i="5"/>
  <c r="G3227" i="5"/>
  <c r="I3227" i="5" s="1"/>
  <c r="H3226" i="5"/>
  <c r="G3226" i="5"/>
  <c r="H3225" i="5"/>
  <c r="G3225" i="5"/>
  <c r="H3224" i="5"/>
  <c r="G3224" i="5"/>
  <c r="H3223" i="5"/>
  <c r="G3223" i="5"/>
  <c r="H3222" i="5"/>
  <c r="G3222" i="5"/>
  <c r="H3221" i="5"/>
  <c r="G3221" i="5"/>
  <c r="H3220" i="5"/>
  <c r="G3220" i="5"/>
  <c r="H3219" i="5"/>
  <c r="G3219" i="5"/>
  <c r="H3218" i="5"/>
  <c r="G3218" i="5"/>
  <c r="H3217" i="5"/>
  <c r="G3217" i="5"/>
  <c r="H3216" i="5"/>
  <c r="G3216" i="5"/>
  <c r="H3215" i="5"/>
  <c r="G3215" i="5"/>
  <c r="H3214" i="5"/>
  <c r="G3214" i="5"/>
  <c r="H3213" i="5"/>
  <c r="G3213" i="5"/>
  <c r="H3212" i="5"/>
  <c r="G3212" i="5"/>
  <c r="H3211" i="5"/>
  <c r="G3211" i="5"/>
  <c r="H3210" i="5"/>
  <c r="G3210" i="5"/>
  <c r="H3209" i="5"/>
  <c r="G3209" i="5"/>
  <c r="H3208" i="5"/>
  <c r="G3208" i="5"/>
  <c r="I3208" i="5" s="1"/>
  <c r="H3207" i="5"/>
  <c r="G3207" i="5"/>
  <c r="H3206" i="5"/>
  <c r="G3206" i="5"/>
  <c r="H3205" i="5"/>
  <c r="G3205" i="5"/>
  <c r="H3204" i="5"/>
  <c r="G3204" i="5"/>
  <c r="H3203" i="5"/>
  <c r="G3203" i="5"/>
  <c r="H3202" i="5"/>
  <c r="G3202" i="5"/>
  <c r="H3201" i="5"/>
  <c r="G3201" i="5"/>
  <c r="H3200" i="5"/>
  <c r="G3200" i="5"/>
  <c r="H3199" i="5"/>
  <c r="G3199" i="5"/>
  <c r="H3198" i="5"/>
  <c r="G3198" i="5"/>
  <c r="H3197" i="5"/>
  <c r="G3197" i="5"/>
  <c r="H3196" i="5"/>
  <c r="G3196" i="5"/>
  <c r="H3195" i="5"/>
  <c r="G3195" i="5"/>
  <c r="H3194" i="5"/>
  <c r="G3194" i="5"/>
  <c r="H3193" i="5"/>
  <c r="G3193" i="5"/>
  <c r="H3192" i="5"/>
  <c r="G3192" i="5"/>
  <c r="H3191" i="5"/>
  <c r="G3191" i="5"/>
  <c r="H3190" i="5"/>
  <c r="G3190" i="5"/>
  <c r="H3189" i="5"/>
  <c r="G3189" i="5"/>
  <c r="H3188" i="5"/>
  <c r="G3188" i="5"/>
  <c r="H3187" i="5"/>
  <c r="G3187" i="5"/>
  <c r="H3186" i="5"/>
  <c r="G3186" i="5"/>
  <c r="H3185" i="5"/>
  <c r="G3185" i="5"/>
  <c r="H3184" i="5"/>
  <c r="G3184" i="5"/>
  <c r="H3183" i="5"/>
  <c r="G3183" i="5"/>
  <c r="H3182" i="5"/>
  <c r="G3182" i="5"/>
  <c r="H3181" i="5"/>
  <c r="G3181" i="5"/>
  <c r="H3180" i="5"/>
  <c r="G3180" i="5"/>
  <c r="H3179" i="5"/>
  <c r="G3179" i="5"/>
  <c r="H3178" i="5"/>
  <c r="G3178" i="5"/>
  <c r="H3177" i="5"/>
  <c r="G3177" i="5"/>
  <c r="H3176" i="5"/>
  <c r="G3176" i="5"/>
  <c r="H3175" i="5"/>
  <c r="G3175" i="5"/>
  <c r="H3174" i="5"/>
  <c r="G3174" i="5"/>
  <c r="H3173" i="5"/>
  <c r="G3173" i="5"/>
  <c r="H3172" i="5"/>
  <c r="G3172" i="5"/>
  <c r="H3171" i="5"/>
  <c r="G3171" i="5"/>
  <c r="H3170" i="5"/>
  <c r="G3170" i="5"/>
  <c r="H3169" i="5"/>
  <c r="G3169" i="5"/>
  <c r="H3168" i="5"/>
  <c r="G3168" i="5"/>
  <c r="H3167" i="5"/>
  <c r="G3167" i="5"/>
  <c r="H3166" i="5"/>
  <c r="G3166" i="5"/>
  <c r="H3165" i="5"/>
  <c r="G3165" i="5"/>
  <c r="H3164" i="5"/>
  <c r="G3164" i="5"/>
  <c r="H3163" i="5"/>
  <c r="G3163" i="5"/>
  <c r="H3162" i="5"/>
  <c r="G3162" i="5"/>
  <c r="H3161" i="5"/>
  <c r="G3161" i="5"/>
  <c r="H3160" i="5"/>
  <c r="G3160" i="5"/>
  <c r="H3159" i="5"/>
  <c r="G3159" i="5"/>
  <c r="H3158" i="5"/>
  <c r="G3158" i="5"/>
  <c r="H3157" i="5"/>
  <c r="G3157" i="5"/>
  <c r="H3156" i="5"/>
  <c r="G3156" i="5"/>
  <c r="H3155" i="5"/>
  <c r="G3155" i="5"/>
  <c r="H3154" i="5"/>
  <c r="G3154" i="5"/>
  <c r="H3153" i="5"/>
  <c r="G3153" i="5"/>
  <c r="H3152" i="5"/>
  <c r="G3152" i="5"/>
  <c r="H3151" i="5"/>
  <c r="G3151" i="5"/>
  <c r="H3150" i="5"/>
  <c r="G3150" i="5"/>
  <c r="H3149" i="5"/>
  <c r="G3149" i="5"/>
  <c r="H3148" i="5"/>
  <c r="G3148" i="5"/>
  <c r="I3148" i="5" s="1"/>
  <c r="H3147" i="5"/>
  <c r="G3147" i="5"/>
  <c r="H3146" i="5"/>
  <c r="G3146" i="5"/>
  <c r="H3145" i="5"/>
  <c r="G3145" i="5"/>
  <c r="H3144" i="5"/>
  <c r="G3144" i="5"/>
  <c r="H3143" i="5"/>
  <c r="G3143" i="5"/>
  <c r="H3142" i="5"/>
  <c r="G3142" i="5"/>
  <c r="H3141" i="5"/>
  <c r="G3141" i="5"/>
  <c r="H3140" i="5"/>
  <c r="G3140" i="5"/>
  <c r="H3139" i="5"/>
  <c r="G3139" i="5"/>
  <c r="H3138" i="5"/>
  <c r="G3138" i="5"/>
  <c r="H3137" i="5"/>
  <c r="G3137" i="5"/>
  <c r="H3136" i="5"/>
  <c r="G3136" i="5"/>
  <c r="H3135" i="5"/>
  <c r="G3135" i="5"/>
  <c r="H3134" i="5"/>
  <c r="G3134" i="5"/>
  <c r="I3134" i="5" s="1"/>
  <c r="H3133" i="5"/>
  <c r="G3133" i="5"/>
  <c r="H3132" i="5"/>
  <c r="G3132" i="5"/>
  <c r="H3131" i="5"/>
  <c r="G3131" i="5"/>
  <c r="H3130" i="5"/>
  <c r="G3130" i="5"/>
  <c r="H3129" i="5"/>
  <c r="G3129" i="5"/>
  <c r="H3128" i="5"/>
  <c r="G3128" i="5"/>
  <c r="H3127" i="5"/>
  <c r="G3127" i="5"/>
  <c r="H3126" i="5"/>
  <c r="G3126" i="5"/>
  <c r="H3125" i="5"/>
  <c r="G3125" i="5"/>
  <c r="H3124" i="5"/>
  <c r="G3124" i="5"/>
  <c r="I3124" i="5" s="1"/>
  <c r="H3123" i="5"/>
  <c r="G3123" i="5"/>
  <c r="H3122" i="5"/>
  <c r="G3122" i="5"/>
  <c r="H3121" i="5"/>
  <c r="G3121" i="5"/>
  <c r="H3120" i="5"/>
  <c r="G3120" i="5"/>
  <c r="H3119" i="5"/>
  <c r="G3119" i="5"/>
  <c r="H3118" i="5"/>
  <c r="G3118" i="5"/>
  <c r="H3117" i="5"/>
  <c r="G3117" i="5"/>
  <c r="H3116" i="5"/>
  <c r="G3116" i="5"/>
  <c r="H3115" i="5"/>
  <c r="G3115" i="5"/>
  <c r="H3114" i="5"/>
  <c r="G3114" i="5"/>
  <c r="H3113" i="5"/>
  <c r="G3113" i="5"/>
  <c r="H3112" i="5"/>
  <c r="G3112" i="5"/>
  <c r="I3112" i="5" s="1"/>
  <c r="H3111" i="5"/>
  <c r="G3111" i="5"/>
  <c r="H3110" i="5"/>
  <c r="G3110" i="5"/>
  <c r="H3109" i="5"/>
  <c r="G3109" i="5"/>
  <c r="H3108" i="5"/>
  <c r="G3108" i="5"/>
  <c r="H3107" i="5"/>
  <c r="G3107" i="5"/>
  <c r="H3106" i="5"/>
  <c r="G3106" i="5"/>
  <c r="H3105" i="5"/>
  <c r="G3105" i="5"/>
  <c r="H3104" i="5"/>
  <c r="G3104" i="5"/>
  <c r="H3103" i="5"/>
  <c r="G3103" i="5"/>
  <c r="H3102" i="5"/>
  <c r="G3102" i="5"/>
  <c r="H3101" i="5"/>
  <c r="G3101" i="5"/>
  <c r="H3100" i="5"/>
  <c r="G3100" i="5"/>
  <c r="H3099" i="5"/>
  <c r="G3099" i="5"/>
  <c r="H3098" i="5"/>
  <c r="G3098" i="5"/>
  <c r="H3097" i="5"/>
  <c r="G3097" i="5"/>
  <c r="H3096" i="5"/>
  <c r="G3096" i="5"/>
  <c r="H3095" i="5"/>
  <c r="G3095" i="5"/>
  <c r="H3094" i="5"/>
  <c r="G3094" i="5"/>
  <c r="H3093" i="5"/>
  <c r="G3093" i="5"/>
  <c r="H3092" i="5"/>
  <c r="G3092" i="5"/>
  <c r="H3091" i="5"/>
  <c r="G3091" i="5"/>
  <c r="H3090" i="5"/>
  <c r="G3090" i="5"/>
  <c r="H3089" i="5"/>
  <c r="G3089" i="5"/>
  <c r="H3088" i="5"/>
  <c r="G3088" i="5"/>
  <c r="I3088" i="5" s="1"/>
  <c r="H3087" i="5"/>
  <c r="G3087" i="5"/>
  <c r="H3086" i="5"/>
  <c r="G3086" i="5"/>
  <c r="H3085" i="5"/>
  <c r="G3085" i="5"/>
  <c r="H3084" i="5"/>
  <c r="G3084" i="5"/>
  <c r="H3083" i="5"/>
  <c r="G3083" i="5"/>
  <c r="H3082" i="5"/>
  <c r="G3082" i="5"/>
  <c r="H3081" i="5"/>
  <c r="G3081" i="5"/>
  <c r="H3080" i="5"/>
  <c r="G3080" i="5"/>
  <c r="H3079" i="5"/>
  <c r="G3079" i="5"/>
  <c r="H3078" i="5"/>
  <c r="G3078" i="5"/>
  <c r="H3077" i="5"/>
  <c r="I3077" i="5" s="1"/>
  <c r="G3077" i="5"/>
  <c r="H3076" i="5"/>
  <c r="G3076" i="5"/>
  <c r="H3075" i="5"/>
  <c r="G3075" i="5"/>
  <c r="H3074" i="5"/>
  <c r="G3074" i="5"/>
  <c r="H3073" i="5"/>
  <c r="G3073" i="5"/>
  <c r="H3072" i="5"/>
  <c r="G3072" i="5"/>
  <c r="H3071" i="5"/>
  <c r="G3071" i="5"/>
  <c r="H3070" i="5"/>
  <c r="G3070" i="5"/>
  <c r="H3069" i="5"/>
  <c r="G3069" i="5"/>
  <c r="H3068" i="5"/>
  <c r="G3068" i="5"/>
  <c r="H3067" i="5"/>
  <c r="G3067" i="5"/>
  <c r="H3066" i="5"/>
  <c r="G3066" i="5"/>
  <c r="H3065" i="5"/>
  <c r="G3065" i="5"/>
  <c r="H3064" i="5"/>
  <c r="G3064" i="5"/>
  <c r="I3064" i="5" s="1"/>
  <c r="H3063" i="5"/>
  <c r="G3063" i="5"/>
  <c r="H3062" i="5"/>
  <c r="G3062" i="5"/>
  <c r="H3061" i="5"/>
  <c r="G3061" i="5"/>
  <c r="H3060" i="5"/>
  <c r="G3060" i="5"/>
  <c r="H3059" i="5"/>
  <c r="G3059" i="5"/>
  <c r="H3058" i="5"/>
  <c r="G3058" i="5"/>
  <c r="H3057" i="5"/>
  <c r="G3057" i="5"/>
  <c r="H3056" i="5"/>
  <c r="G3056" i="5"/>
  <c r="H3055" i="5"/>
  <c r="G3055" i="5"/>
  <c r="H3054" i="5"/>
  <c r="G3054" i="5"/>
  <c r="H3053" i="5"/>
  <c r="G3053" i="5"/>
  <c r="H3052" i="5"/>
  <c r="G3052" i="5"/>
  <c r="H3051" i="5"/>
  <c r="G3051" i="5"/>
  <c r="H3050" i="5"/>
  <c r="G3050" i="5"/>
  <c r="H3049" i="5"/>
  <c r="G3049" i="5"/>
  <c r="H3048" i="5"/>
  <c r="G3048" i="5"/>
  <c r="H3047" i="5"/>
  <c r="G3047" i="5"/>
  <c r="H3046" i="5"/>
  <c r="G3046" i="5"/>
  <c r="H3045" i="5"/>
  <c r="G3045" i="5"/>
  <c r="H3044" i="5"/>
  <c r="G3044" i="5"/>
  <c r="H3043" i="5"/>
  <c r="G3043" i="5"/>
  <c r="H3042" i="5"/>
  <c r="G3042" i="5"/>
  <c r="H3041" i="5"/>
  <c r="G3041" i="5"/>
  <c r="H3040" i="5"/>
  <c r="G3040" i="5"/>
  <c r="H3039" i="5"/>
  <c r="G3039" i="5"/>
  <c r="H3038" i="5"/>
  <c r="G3038" i="5"/>
  <c r="H3037" i="5"/>
  <c r="G3037" i="5"/>
  <c r="H3036" i="5"/>
  <c r="G3036" i="5"/>
  <c r="H3035" i="5"/>
  <c r="G3035" i="5"/>
  <c r="H3034" i="5"/>
  <c r="G3034" i="5"/>
  <c r="H3033" i="5"/>
  <c r="G3033" i="5"/>
  <c r="H3032" i="5"/>
  <c r="G3032" i="5"/>
  <c r="H3031" i="5"/>
  <c r="G3031" i="5"/>
  <c r="H3030" i="5"/>
  <c r="G3030" i="5"/>
  <c r="H3029" i="5"/>
  <c r="G3029" i="5"/>
  <c r="H3028" i="5"/>
  <c r="G3028" i="5"/>
  <c r="H3027" i="5"/>
  <c r="G3027" i="5"/>
  <c r="H3026" i="5"/>
  <c r="G3026" i="5"/>
  <c r="H3025" i="5"/>
  <c r="G3025" i="5"/>
  <c r="H3024" i="5"/>
  <c r="G3024" i="5"/>
  <c r="H3023" i="5"/>
  <c r="G3023" i="5"/>
  <c r="H3022" i="5"/>
  <c r="G3022" i="5"/>
  <c r="H3021" i="5"/>
  <c r="G3021" i="5"/>
  <c r="H3020" i="5"/>
  <c r="G3020" i="5"/>
  <c r="H3019" i="5"/>
  <c r="G3019" i="5"/>
  <c r="H3018" i="5"/>
  <c r="G3018" i="5"/>
  <c r="H3017" i="5"/>
  <c r="I3017" i="5" s="1"/>
  <c r="G3017" i="5"/>
  <c r="H3016" i="5"/>
  <c r="G3016" i="5"/>
  <c r="I3016" i="5" s="1"/>
  <c r="H3015" i="5"/>
  <c r="G3015" i="5"/>
  <c r="H3014" i="5"/>
  <c r="G3014" i="5"/>
  <c r="H3013" i="5"/>
  <c r="G3013" i="5"/>
  <c r="H3012" i="5"/>
  <c r="G3012" i="5"/>
  <c r="H3011" i="5"/>
  <c r="G3011" i="5"/>
  <c r="H3010" i="5"/>
  <c r="G3010" i="5"/>
  <c r="H3009" i="5"/>
  <c r="G3009" i="5"/>
  <c r="H3008" i="5"/>
  <c r="G3008" i="5"/>
  <c r="H3007" i="5"/>
  <c r="G3007" i="5"/>
  <c r="H3006" i="5"/>
  <c r="G3006" i="5"/>
  <c r="H3005" i="5"/>
  <c r="I3005" i="5" s="1"/>
  <c r="G3005" i="5"/>
  <c r="H3004" i="5"/>
  <c r="G3004" i="5"/>
  <c r="I3004" i="5" s="1"/>
  <c r="H3003" i="5"/>
  <c r="G3003" i="5"/>
  <c r="H3002" i="5"/>
  <c r="G3002" i="5"/>
  <c r="H3001" i="5"/>
  <c r="G3001" i="5"/>
  <c r="H3000" i="5"/>
  <c r="G3000" i="5"/>
  <c r="H2999" i="5"/>
  <c r="G2999" i="5"/>
  <c r="H2998" i="5"/>
  <c r="G2998" i="5"/>
  <c r="H2997" i="5"/>
  <c r="G2997" i="5"/>
  <c r="H2996" i="5"/>
  <c r="G2996" i="5"/>
  <c r="H2995" i="5"/>
  <c r="G2995" i="5"/>
  <c r="H2994" i="5"/>
  <c r="G2994" i="5"/>
  <c r="H2993" i="5"/>
  <c r="G2993" i="5"/>
  <c r="H2992" i="5"/>
  <c r="G2992" i="5"/>
  <c r="I2992" i="5" s="1"/>
  <c r="H2991" i="5"/>
  <c r="G2991" i="5"/>
  <c r="H2990" i="5"/>
  <c r="G2990" i="5"/>
  <c r="H2989" i="5"/>
  <c r="G2989" i="5"/>
  <c r="H2988" i="5"/>
  <c r="G2988" i="5"/>
  <c r="H2987" i="5"/>
  <c r="G2987" i="5"/>
  <c r="H2986" i="5"/>
  <c r="G2986" i="5"/>
  <c r="I2986" i="5" s="1"/>
  <c r="H2985" i="5"/>
  <c r="G2985" i="5"/>
  <c r="H2984" i="5"/>
  <c r="G2984" i="5"/>
  <c r="H2983" i="5"/>
  <c r="G2983" i="5"/>
  <c r="H2982" i="5"/>
  <c r="G2982" i="5"/>
  <c r="H2981" i="5"/>
  <c r="G2981" i="5"/>
  <c r="H2980" i="5"/>
  <c r="G2980" i="5"/>
  <c r="I2980" i="5" s="1"/>
  <c r="H2979" i="5"/>
  <c r="G2979" i="5"/>
  <c r="H2978" i="5"/>
  <c r="G2978" i="5"/>
  <c r="H2977" i="5"/>
  <c r="G2977" i="5"/>
  <c r="H2976" i="5"/>
  <c r="G2976" i="5"/>
  <c r="H2975" i="5"/>
  <c r="G2975" i="5"/>
  <c r="H2974" i="5"/>
  <c r="G2974" i="5"/>
  <c r="I2974" i="5" s="1"/>
  <c r="H2973" i="5"/>
  <c r="G2973" i="5"/>
  <c r="H2972" i="5"/>
  <c r="G2972" i="5"/>
  <c r="H2971" i="5"/>
  <c r="G2971" i="5"/>
  <c r="H2970" i="5"/>
  <c r="G2970" i="5"/>
  <c r="H2969" i="5"/>
  <c r="G2969" i="5"/>
  <c r="H2968" i="5"/>
  <c r="G2968" i="5"/>
  <c r="I2968" i="5" s="1"/>
  <c r="H2967" i="5"/>
  <c r="G2967" i="5"/>
  <c r="H2966" i="5"/>
  <c r="G2966" i="5"/>
  <c r="H2965" i="5"/>
  <c r="G2965" i="5"/>
  <c r="H2964" i="5"/>
  <c r="G2964" i="5"/>
  <c r="H2963" i="5"/>
  <c r="G2963" i="5"/>
  <c r="H2962" i="5"/>
  <c r="G2962" i="5"/>
  <c r="I2962" i="5" s="1"/>
  <c r="H2961" i="5"/>
  <c r="G2961" i="5"/>
  <c r="H2960" i="5"/>
  <c r="G2960" i="5"/>
  <c r="H2959" i="5"/>
  <c r="G2959" i="5"/>
  <c r="H2958" i="5"/>
  <c r="G2958" i="5"/>
  <c r="H2957" i="5"/>
  <c r="I2957" i="5" s="1"/>
  <c r="G2957" i="5"/>
  <c r="H2956" i="5"/>
  <c r="G2956" i="5"/>
  <c r="I2956" i="5" s="1"/>
  <c r="H2955" i="5"/>
  <c r="G2955" i="5"/>
  <c r="H2954" i="5"/>
  <c r="G2954" i="5"/>
  <c r="H2953" i="5"/>
  <c r="G2953" i="5"/>
  <c r="H2952" i="5"/>
  <c r="G2952" i="5"/>
  <c r="H2951" i="5"/>
  <c r="G2951" i="5"/>
  <c r="H2950" i="5"/>
  <c r="G2950" i="5"/>
  <c r="I2950" i="5" s="1"/>
  <c r="H2949" i="5"/>
  <c r="G2949" i="5"/>
  <c r="H2948" i="5"/>
  <c r="G2948" i="5"/>
  <c r="H2947" i="5"/>
  <c r="G2947" i="5"/>
  <c r="H2946" i="5"/>
  <c r="G2946" i="5"/>
  <c r="H2945" i="5"/>
  <c r="I2945" i="5" s="1"/>
  <c r="G2945" i="5"/>
  <c r="H2944" i="5"/>
  <c r="G2944" i="5"/>
  <c r="I2944" i="5" s="1"/>
  <c r="H2943" i="5"/>
  <c r="G2943" i="5"/>
  <c r="H2942" i="5"/>
  <c r="G2942" i="5"/>
  <c r="H2941" i="5"/>
  <c r="G2941" i="5"/>
  <c r="H2940" i="5"/>
  <c r="G2940" i="5"/>
  <c r="H2939" i="5"/>
  <c r="G2939" i="5"/>
  <c r="H2938" i="5"/>
  <c r="G2938" i="5"/>
  <c r="I2938" i="5" s="1"/>
  <c r="H2937" i="5"/>
  <c r="G2937" i="5"/>
  <c r="H2936" i="5"/>
  <c r="G2936" i="5"/>
  <c r="H2935" i="5"/>
  <c r="G2935" i="5"/>
  <c r="H2934" i="5"/>
  <c r="G2934" i="5"/>
  <c r="H2933" i="5"/>
  <c r="G2933" i="5"/>
  <c r="H2932" i="5"/>
  <c r="G2932" i="5"/>
  <c r="I2932" i="5" s="1"/>
  <c r="H2931" i="5"/>
  <c r="G2931" i="5"/>
  <c r="H2930" i="5"/>
  <c r="G2930" i="5"/>
  <c r="H2929" i="5"/>
  <c r="G2929" i="5"/>
  <c r="H2928" i="5"/>
  <c r="G2928" i="5"/>
  <c r="H2927" i="5"/>
  <c r="G2927" i="5"/>
  <c r="H2926" i="5"/>
  <c r="G2926" i="5"/>
  <c r="I2926" i="5" s="1"/>
  <c r="H2925" i="5"/>
  <c r="G2925" i="5"/>
  <c r="H2924" i="5"/>
  <c r="G2924" i="5"/>
  <c r="H2923" i="5"/>
  <c r="G2923" i="5"/>
  <c r="H2922" i="5"/>
  <c r="G2922" i="5"/>
  <c r="H2921" i="5"/>
  <c r="G2921" i="5"/>
  <c r="H2920" i="5"/>
  <c r="G2920" i="5"/>
  <c r="I2920" i="5" s="1"/>
  <c r="H2919" i="5"/>
  <c r="G2919" i="5"/>
  <c r="H2918" i="5"/>
  <c r="G2918" i="5"/>
  <c r="H2917" i="5"/>
  <c r="G2917" i="5"/>
  <c r="H2916" i="5"/>
  <c r="G2916" i="5"/>
  <c r="H2915" i="5"/>
  <c r="G2915" i="5"/>
  <c r="H2914" i="5"/>
  <c r="G2914" i="5"/>
  <c r="I2914" i="5" s="1"/>
  <c r="H2913" i="5"/>
  <c r="G2913" i="5"/>
  <c r="H2912" i="5"/>
  <c r="G2912" i="5"/>
  <c r="H2911" i="5"/>
  <c r="G2911" i="5"/>
  <c r="H2910" i="5"/>
  <c r="G2910" i="5"/>
  <c r="H2909" i="5"/>
  <c r="G2909" i="5"/>
  <c r="H2908" i="5"/>
  <c r="G2908" i="5"/>
  <c r="I2908" i="5" s="1"/>
  <c r="H2907" i="5"/>
  <c r="G2907" i="5"/>
  <c r="H2906" i="5"/>
  <c r="G2906" i="5"/>
  <c r="H2905" i="5"/>
  <c r="G2905" i="5"/>
  <c r="H2904" i="5"/>
  <c r="G2904" i="5"/>
  <c r="H2903" i="5"/>
  <c r="G2903" i="5"/>
  <c r="H2902" i="5"/>
  <c r="G2902" i="5"/>
  <c r="I2902" i="5" s="1"/>
  <c r="H2901" i="5"/>
  <c r="G2901" i="5"/>
  <c r="H2900" i="5"/>
  <c r="G2900" i="5"/>
  <c r="H2899" i="5"/>
  <c r="G2899" i="5"/>
  <c r="H2898" i="5"/>
  <c r="G2898" i="5"/>
  <c r="H2897" i="5"/>
  <c r="I2897" i="5" s="1"/>
  <c r="G2897" i="5"/>
  <c r="H2896" i="5"/>
  <c r="G2896" i="5"/>
  <c r="I2896" i="5" s="1"/>
  <c r="H2895" i="5"/>
  <c r="G2895" i="5"/>
  <c r="H2894" i="5"/>
  <c r="G2894" i="5"/>
  <c r="H2893" i="5"/>
  <c r="G2893" i="5"/>
  <c r="H2892" i="5"/>
  <c r="G2892" i="5"/>
  <c r="H2891" i="5"/>
  <c r="G2891" i="5"/>
  <c r="H2890" i="5"/>
  <c r="G2890" i="5"/>
  <c r="I2890" i="5" s="1"/>
  <c r="H2889" i="5"/>
  <c r="G2889" i="5"/>
  <c r="H2888" i="5"/>
  <c r="G2888" i="5"/>
  <c r="H2887" i="5"/>
  <c r="G2887" i="5"/>
  <c r="H2886" i="5"/>
  <c r="G2886" i="5"/>
  <c r="H2885" i="5"/>
  <c r="I2885" i="5" s="1"/>
  <c r="G2885" i="5"/>
  <c r="H2884" i="5"/>
  <c r="G2884" i="5"/>
  <c r="I2884" i="5" s="1"/>
  <c r="H2883" i="5"/>
  <c r="G2883" i="5"/>
  <c r="H2882" i="5"/>
  <c r="G2882" i="5"/>
  <c r="I2882" i="5" s="1"/>
  <c r="H2881" i="5"/>
  <c r="G2881" i="5"/>
  <c r="H2880" i="5"/>
  <c r="G2880" i="5"/>
  <c r="H2879" i="5"/>
  <c r="G2879" i="5"/>
  <c r="H2878" i="5"/>
  <c r="G2878" i="5"/>
  <c r="I2878" i="5" s="1"/>
  <c r="H2877" i="5"/>
  <c r="I2877" i="5" s="1"/>
  <c r="G2877" i="5"/>
  <c r="H2876" i="5"/>
  <c r="G2876" i="5"/>
  <c r="H2875" i="5"/>
  <c r="G2875" i="5"/>
  <c r="H2874" i="5"/>
  <c r="G2874" i="5"/>
  <c r="H2873" i="5"/>
  <c r="G2873" i="5"/>
  <c r="H2872" i="5"/>
  <c r="G2872" i="5"/>
  <c r="H2871" i="5"/>
  <c r="G2871" i="5"/>
  <c r="H2870" i="5"/>
  <c r="G2870" i="5"/>
  <c r="H2869" i="5"/>
  <c r="G2869" i="5"/>
  <c r="H2868" i="5"/>
  <c r="G2868" i="5"/>
  <c r="H2867" i="5"/>
  <c r="G2867" i="5"/>
  <c r="H2866" i="5"/>
  <c r="G2866" i="5"/>
  <c r="H2865" i="5"/>
  <c r="G2865" i="5"/>
  <c r="H2864" i="5"/>
  <c r="G2864" i="5"/>
  <c r="H2863" i="5"/>
  <c r="G2863" i="5"/>
  <c r="H2862" i="5"/>
  <c r="G2862" i="5"/>
  <c r="H2861" i="5"/>
  <c r="G2861" i="5"/>
  <c r="H2860" i="5"/>
  <c r="G2860" i="5"/>
  <c r="H2859" i="5"/>
  <c r="G2859" i="5"/>
  <c r="H2858" i="5"/>
  <c r="G2858" i="5"/>
  <c r="H2857" i="5"/>
  <c r="G2857" i="5"/>
  <c r="H2856" i="5"/>
  <c r="G2856" i="5"/>
  <c r="H2855" i="5"/>
  <c r="G2855" i="5"/>
  <c r="H2854" i="5"/>
  <c r="G2854" i="5"/>
  <c r="H2853" i="5"/>
  <c r="G2853" i="5"/>
  <c r="H2852" i="5"/>
  <c r="G2852" i="5"/>
  <c r="H2851" i="5"/>
  <c r="G2851" i="5"/>
  <c r="H2850" i="5"/>
  <c r="G2850" i="5"/>
  <c r="H2849" i="5"/>
  <c r="G2849" i="5"/>
  <c r="H2848" i="5"/>
  <c r="G2848" i="5"/>
  <c r="H2847" i="5"/>
  <c r="G2847" i="5"/>
  <c r="H2846" i="5"/>
  <c r="G2846" i="5"/>
  <c r="H2845" i="5"/>
  <c r="G2845" i="5"/>
  <c r="H2844" i="5"/>
  <c r="G2844" i="5"/>
  <c r="H2843" i="5"/>
  <c r="G2843" i="5"/>
  <c r="H2842" i="5"/>
  <c r="G2842" i="5"/>
  <c r="H2841" i="5"/>
  <c r="G2841" i="5"/>
  <c r="H2840" i="5"/>
  <c r="G2840" i="5"/>
  <c r="H2839" i="5"/>
  <c r="G2839" i="5"/>
  <c r="H2838" i="5"/>
  <c r="G2838" i="5"/>
  <c r="H2837" i="5"/>
  <c r="G2837" i="5"/>
  <c r="H2836" i="5"/>
  <c r="G2836" i="5"/>
  <c r="H2835" i="5"/>
  <c r="G2835" i="5"/>
  <c r="H2834" i="5"/>
  <c r="G2834" i="5"/>
  <c r="H2833" i="5"/>
  <c r="G2833" i="5"/>
  <c r="H2832" i="5"/>
  <c r="G2832" i="5"/>
  <c r="H2831" i="5"/>
  <c r="G2831" i="5"/>
  <c r="H2830" i="5"/>
  <c r="G2830" i="5"/>
  <c r="H2829" i="5"/>
  <c r="G2829" i="5"/>
  <c r="H2828" i="5"/>
  <c r="G2828" i="5"/>
  <c r="H2827" i="5"/>
  <c r="G2827" i="5"/>
  <c r="H2826" i="5"/>
  <c r="G2826" i="5"/>
  <c r="H2825" i="5"/>
  <c r="G2825" i="5"/>
  <c r="H2824" i="5"/>
  <c r="G2824" i="5"/>
  <c r="H2823" i="5"/>
  <c r="G2823" i="5"/>
  <c r="H2822" i="5"/>
  <c r="G2822" i="5"/>
  <c r="H2821" i="5"/>
  <c r="G2821" i="5"/>
  <c r="H2820" i="5"/>
  <c r="G2820" i="5"/>
  <c r="H2819" i="5"/>
  <c r="G2819" i="5"/>
  <c r="H2818" i="5"/>
  <c r="G2818" i="5"/>
  <c r="H2817" i="5"/>
  <c r="G2817" i="5"/>
  <c r="H2816" i="5"/>
  <c r="G2816" i="5"/>
  <c r="H2815" i="5"/>
  <c r="G2815" i="5"/>
  <c r="H2814" i="5"/>
  <c r="G2814" i="5"/>
  <c r="H2813" i="5"/>
  <c r="G2813" i="5"/>
  <c r="H2812" i="5"/>
  <c r="G2812" i="5"/>
  <c r="H2811" i="5"/>
  <c r="G2811" i="5"/>
  <c r="H2810" i="5"/>
  <c r="G2810" i="5"/>
  <c r="H2809" i="5"/>
  <c r="G2809" i="5"/>
  <c r="H2808" i="5"/>
  <c r="G2808" i="5"/>
  <c r="H2807" i="5"/>
  <c r="G2807" i="5"/>
  <c r="H2806" i="5"/>
  <c r="G2806" i="5"/>
  <c r="H2805" i="5"/>
  <c r="G2805" i="5"/>
  <c r="H2804" i="5"/>
  <c r="G2804" i="5"/>
  <c r="H2803" i="5"/>
  <c r="G2803" i="5"/>
  <c r="H2802" i="5"/>
  <c r="G2802" i="5"/>
  <c r="H2801" i="5"/>
  <c r="G2801" i="5"/>
  <c r="H2800" i="5"/>
  <c r="G2800" i="5"/>
  <c r="H2799" i="5"/>
  <c r="G2799" i="5"/>
  <c r="H2798" i="5"/>
  <c r="G2798" i="5"/>
  <c r="H2797" i="5"/>
  <c r="G2797" i="5"/>
  <c r="H2796" i="5"/>
  <c r="G2796" i="5"/>
  <c r="H2795" i="5"/>
  <c r="G2795" i="5"/>
  <c r="H2794" i="5"/>
  <c r="G2794" i="5"/>
  <c r="H2793" i="5"/>
  <c r="G2793" i="5"/>
  <c r="H2792" i="5"/>
  <c r="G2792" i="5"/>
  <c r="H2791" i="5"/>
  <c r="G2791" i="5"/>
  <c r="H2790" i="5"/>
  <c r="G2790" i="5"/>
  <c r="H2789" i="5"/>
  <c r="G2789" i="5"/>
  <c r="H2788" i="5"/>
  <c r="G2788" i="5"/>
  <c r="H2787" i="5"/>
  <c r="G2787" i="5"/>
  <c r="H2786" i="5"/>
  <c r="G2786" i="5"/>
  <c r="H2785" i="5"/>
  <c r="G2785" i="5"/>
  <c r="H2784" i="5"/>
  <c r="G2784" i="5"/>
  <c r="H2783" i="5"/>
  <c r="G2783" i="5"/>
  <c r="H2782" i="5"/>
  <c r="G2782" i="5"/>
  <c r="H2781" i="5"/>
  <c r="G2781" i="5"/>
  <c r="H2780" i="5"/>
  <c r="G2780" i="5"/>
  <c r="H2779" i="5"/>
  <c r="G2779" i="5"/>
  <c r="H2778" i="5"/>
  <c r="G2778" i="5"/>
  <c r="H2777" i="5"/>
  <c r="G2777" i="5"/>
  <c r="H2776" i="5"/>
  <c r="G2776" i="5"/>
  <c r="H2775" i="5"/>
  <c r="G2775" i="5"/>
  <c r="H2774" i="5"/>
  <c r="G2774" i="5"/>
  <c r="H2773" i="5"/>
  <c r="G2773" i="5"/>
  <c r="H2772" i="5"/>
  <c r="G2772" i="5"/>
  <c r="H2771" i="5"/>
  <c r="G2771" i="5"/>
  <c r="H2770" i="5"/>
  <c r="G2770" i="5"/>
  <c r="H2769" i="5"/>
  <c r="G2769" i="5"/>
  <c r="H2768" i="5"/>
  <c r="G2768" i="5"/>
  <c r="H2767" i="5"/>
  <c r="G2767" i="5"/>
  <c r="H2766" i="5"/>
  <c r="G2766" i="5"/>
  <c r="H2765" i="5"/>
  <c r="G2765" i="5"/>
  <c r="H2764" i="5"/>
  <c r="G2764" i="5"/>
  <c r="H2763" i="5"/>
  <c r="G2763" i="5"/>
  <c r="H2762" i="5"/>
  <c r="G2762" i="5"/>
  <c r="H2761" i="5"/>
  <c r="G2761" i="5"/>
  <c r="H2760" i="5"/>
  <c r="G2760" i="5"/>
  <c r="H2759" i="5"/>
  <c r="G2759" i="5"/>
  <c r="H2758" i="5"/>
  <c r="G2758" i="5"/>
  <c r="H2757" i="5"/>
  <c r="G2757" i="5"/>
  <c r="H2756" i="5"/>
  <c r="G2756" i="5"/>
  <c r="H2755" i="5"/>
  <c r="G2755" i="5"/>
  <c r="H2754" i="5"/>
  <c r="G2754" i="5"/>
  <c r="H2753" i="5"/>
  <c r="G2753" i="5"/>
  <c r="H2752" i="5"/>
  <c r="G2752" i="5"/>
  <c r="H2751" i="5"/>
  <c r="G2751" i="5"/>
  <c r="H2750" i="5"/>
  <c r="G2750" i="5"/>
  <c r="H2749" i="5"/>
  <c r="G2749" i="5"/>
  <c r="H2748" i="5"/>
  <c r="G2748" i="5"/>
  <c r="H2747" i="5"/>
  <c r="G2747" i="5"/>
  <c r="H2746" i="5"/>
  <c r="G2746" i="5"/>
  <c r="H2745" i="5"/>
  <c r="G2745" i="5"/>
  <c r="H2744" i="5"/>
  <c r="G2744" i="5"/>
  <c r="H2743" i="5"/>
  <c r="G2743" i="5"/>
  <c r="H2742" i="5"/>
  <c r="G2742" i="5"/>
  <c r="H2741" i="5"/>
  <c r="G2741" i="5"/>
  <c r="H2740" i="5"/>
  <c r="G2740" i="5"/>
  <c r="H2739" i="5"/>
  <c r="G2739" i="5"/>
  <c r="H2738" i="5"/>
  <c r="G2738" i="5"/>
  <c r="H2737" i="5"/>
  <c r="G2737" i="5"/>
  <c r="H2736" i="5"/>
  <c r="G2736" i="5"/>
  <c r="H2735" i="5"/>
  <c r="G2735" i="5"/>
  <c r="H2734" i="5"/>
  <c r="G2734" i="5"/>
  <c r="H2733" i="5"/>
  <c r="G2733" i="5"/>
  <c r="H2732" i="5"/>
  <c r="G2732" i="5"/>
  <c r="H2731" i="5"/>
  <c r="G2731" i="5"/>
  <c r="H2730" i="5"/>
  <c r="G2730" i="5"/>
  <c r="H2729" i="5"/>
  <c r="G2729" i="5"/>
  <c r="H2728" i="5"/>
  <c r="G2728" i="5"/>
  <c r="H2727" i="5"/>
  <c r="G2727" i="5"/>
  <c r="H2726" i="5"/>
  <c r="G2726" i="5"/>
  <c r="H2725" i="5"/>
  <c r="G2725" i="5"/>
  <c r="H2724" i="5"/>
  <c r="G2724" i="5"/>
  <c r="H2723" i="5"/>
  <c r="G2723" i="5"/>
  <c r="H2722" i="5"/>
  <c r="G2722" i="5"/>
  <c r="H2721" i="5"/>
  <c r="G2721" i="5"/>
  <c r="H2720" i="5"/>
  <c r="G2720" i="5"/>
  <c r="H2719" i="5"/>
  <c r="G2719" i="5"/>
  <c r="H2718" i="5"/>
  <c r="G2718" i="5"/>
  <c r="H2717" i="5"/>
  <c r="G2717" i="5"/>
  <c r="H2716" i="5"/>
  <c r="G2716" i="5"/>
  <c r="H2715" i="5"/>
  <c r="I2715" i="5" s="1"/>
  <c r="G2715" i="5"/>
  <c r="H2714" i="5"/>
  <c r="G2714" i="5"/>
  <c r="H2713" i="5"/>
  <c r="G2713" i="5"/>
  <c r="H2712" i="5"/>
  <c r="G2712" i="5"/>
  <c r="H2711" i="5"/>
  <c r="G2711" i="5"/>
  <c r="H2710" i="5"/>
  <c r="G2710" i="5"/>
  <c r="H2709" i="5"/>
  <c r="G2709" i="5"/>
  <c r="H2708" i="5"/>
  <c r="G2708" i="5"/>
  <c r="H2707" i="5"/>
  <c r="G2707" i="5"/>
  <c r="H2706" i="5"/>
  <c r="G2706" i="5"/>
  <c r="H2705" i="5"/>
  <c r="G2705" i="5"/>
  <c r="H2704" i="5"/>
  <c r="G2704" i="5"/>
  <c r="H2703" i="5"/>
  <c r="G2703" i="5"/>
  <c r="H2702" i="5"/>
  <c r="G2702" i="5"/>
  <c r="H2701" i="5"/>
  <c r="G2701" i="5"/>
  <c r="H2700" i="5"/>
  <c r="G2700" i="5"/>
  <c r="H2699" i="5"/>
  <c r="G2699" i="5"/>
  <c r="H2698" i="5"/>
  <c r="G2698" i="5"/>
  <c r="H2697" i="5"/>
  <c r="G2697" i="5"/>
  <c r="H2696" i="5"/>
  <c r="G2696" i="5"/>
  <c r="H2695" i="5"/>
  <c r="G2695" i="5"/>
  <c r="H2694" i="5"/>
  <c r="G2694" i="5"/>
  <c r="H2693" i="5"/>
  <c r="G2693" i="5"/>
  <c r="H2692" i="5"/>
  <c r="G2692" i="5"/>
  <c r="H2691" i="5"/>
  <c r="G2691" i="5"/>
  <c r="H2690" i="5"/>
  <c r="G2690" i="5"/>
  <c r="H2689" i="5"/>
  <c r="G2689" i="5"/>
  <c r="H2688" i="5"/>
  <c r="G2688" i="5"/>
  <c r="H2687" i="5"/>
  <c r="G2687" i="5"/>
  <c r="H2686" i="5"/>
  <c r="G2686" i="5"/>
  <c r="H2685" i="5"/>
  <c r="G2685" i="5"/>
  <c r="H2684" i="5"/>
  <c r="G2684" i="5"/>
  <c r="H2683" i="5"/>
  <c r="G2683" i="5"/>
  <c r="H2682" i="5"/>
  <c r="G2682" i="5"/>
  <c r="H2681" i="5"/>
  <c r="G2681" i="5"/>
  <c r="H2680" i="5"/>
  <c r="G2680" i="5"/>
  <c r="H2679" i="5"/>
  <c r="G2679" i="5"/>
  <c r="H2678" i="5"/>
  <c r="G2678" i="5"/>
  <c r="H2677" i="5"/>
  <c r="G2677" i="5"/>
  <c r="H2676" i="5"/>
  <c r="G2676" i="5"/>
  <c r="H2675" i="5"/>
  <c r="G2675" i="5"/>
  <c r="H2674" i="5"/>
  <c r="G2674" i="5"/>
  <c r="H2673" i="5"/>
  <c r="G2673" i="5"/>
  <c r="H2672" i="5"/>
  <c r="G2672" i="5"/>
  <c r="H2671" i="5"/>
  <c r="G2671" i="5"/>
  <c r="H2670" i="5"/>
  <c r="G2670" i="5"/>
  <c r="H2669" i="5"/>
  <c r="G2669" i="5"/>
  <c r="H2668" i="5"/>
  <c r="G2668" i="5"/>
  <c r="H2667" i="5"/>
  <c r="I2667" i="5" s="1"/>
  <c r="G2667" i="5"/>
  <c r="H2666" i="5"/>
  <c r="G2666" i="5"/>
  <c r="H2665" i="5"/>
  <c r="G2665" i="5"/>
  <c r="H2664" i="5"/>
  <c r="G2664" i="5"/>
  <c r="H2663" i="5"/>
  <c r="G2663" i="5"/>
  <c r="H2662" i="5"/>
  <c r="G2662" i="5"/>
  <c r="H2661" i="5"/>
  <c r="G2661" i="5"/>
  <c r="H2660" i="5"/>
  <c r="G2660" i="5"/>
  <c r="H2659" i="5"/>
  <c r="G2659" i="5"/>
  <c r="H2658" i="5"/>
  <c r="G2658" i="5"/>
  <c r="H2657" i="5"/>
  <c r="G2657" i="5"/>
  <c r="H2656" i="5"/>
  <c r="G2656" i="5"/>
  <c r="H2655" i="5"/>
  <c r="I2655" i="5" s="1"/>
  <c r="G2655" i="5"/>
  <c r="H2654" i="5"/>
  <c r="G2654" i="5"/>
  <c r="H2653" i="5"/>
  <c r="G2653" i="5"/>
  <c r="H2652" i="5"/>
  <c r="G2652" i="5"/>
  <c r="H2651" i="5"/>
  <c r="G2651" i="5"/>
  <c r="H2650" i="5"/>
  <c r="G2650" i="5"/>
  <c r="H2649" i="5"/>
  <c r="G2649" i="5"/>
  <c r="H2648" i="5"/>
  <c r="G2648" i="5"/>
  <c r="H2647" i="5"/>
  <c r="G2647" i="5"/>
  <c r="H2646" i="5"/>
  <c r="G2646" i="5"/>
  <c r="H2645" i="5"/>
  <c r="G2645" i="5"/>
  <c r="H2644" i="5"/>
  <c r="G2644" i="5"/>
  <c r="H2643" i="5"/>
  <c r="G2643" i="5"/>
  <c r="H2642" i="5"/>
  <c r="G2642" i="5"/>
  <c r="H2641" i="5"/>
  <c r="G2641" i="5"/>
  <c r="H2640" i="5"/>
  <c r="G2640" i="5"/>
  <c r="H2639" i="5"/>
  <c r="G2639" i="5"/>
  <c r="H2638" i="5"/>
  <c r="G2638" i="5"/>
  <c r="H2637" i="5"/>
  <c r="G2637" i="5"/>
  <c r="H2636" i="5"/>
  <c r="G2636" i="5"/>
  <c r="H2635" i="5"/>
  <c r="G2635" i="5"/>
  <c r="H2634" i="5"/>
  <c r="G2634" i="5"/>
  <c r="H2633" i="5"/>
  <c r="G2633" i="5"/>
  <c r="H2632" i="5"/>
  <c r="G2632" i="5"/>
  <c r="H2631" i="5"/>
  <c r="G2631" i="5"/>
  <c r="H2630" i="5"/>
  <c r="G2630" i="5"/>
  <c r="H2629" i="5"/>
  <c r="G2629" i="5"/>
  <c r="H2628" i="5"/>
  <c r="G2628" i="5"/>
  <c r="H2627" i="5"/>
  <c r="G2627" i="5"/>
  <c r="H2626" i="5"/>
  <c r="G2626" i="5"/>
  <c r="H2625" i="5"/>
  <c r="G2625" i="5"/>
  <c r="H2624" i="5"/>
  <c r="G2624" i="5"/>
  <c r="H2623" i="5"/>
  <c r="G2623" i="5"/>
  <c r="H2622" i="5"/>
  <c r="G2622" i="5"/>
  <c r="H2621" i="5"/>
  <c r="G2621" i="5"/>
  <c r="H2620" i="5"/>
  <c r="G2620" i="5"/>
  <c r="H2619" i="5"/>
  <c r="G2619" i="5"/>
  <c r="H2618" i="5"/>
  <c r="G2618" i="5"/>
  <c r="H2617" i="5"/>
  <c r="G2617" i="5"/>
  <c r="H2616" i="5"/>
  <c r="G2616" i="5"/>
  <c r="H2615" i="5"/>
  <c r="G2615" i="5"/>
  <c r="H2614" i="5"/>
  <c r="G2614" i="5"/>
  <c r="H2613" i="5"/>
  <c r="G2613" i="5"/>
  <c r="H2612" i="5"/>
  <c r="G2612" i="5"/>
  <c r="H2611" i="5"/>
  <c r="G2611" i="5"/>
  <c r="H2610" i="5"/>
  <c r="G2610" i="5"/>
  <c r="H2609" i="5"/>
  <c r="G2609" i="5"/>
  <c r="H2608" i="5"/>
  <c r="G2608" i="5"/>
  <c r="H2607" i="5"/>
  <c r="I2607" i="5" s="1"/>
  <c r="G2607" i="5"/>
  <c r="H2606" i="5"/>
  <c r="G2606" i="5"/>
  <c r="H2605" i="5"/>
  <c r="G2605" i="5"/>
  <c r="H2604" i="5"/>
  <c r="G2604" i="5"/>
  <c r="H2603" i="5"/>
  <c r="G2603" i="5"/>
  <c r="H2602" i="5"/>
  <c r="G2602" i="5"/>
  <c r="H2601" i="5"/>
  <c r="G2601" i="5"/>
  <c r="H2600" i="5"/>
  <c r="G2600" i="5"/>
  <c r="H2599" i="5"/>
  <c r="G2599" i="5"/>
  <c r="H2598" i="5"/>
  <c r="G2598" i="5"/>
  <c r="H2597" i="5"/>
  <c r="G2597" i="5"/>
  <c r="H2596" i="5"/>
  <c r="G2596" i="5"/>
  <c r="H2595" i="5"/>
  <c r="I2595" i="5" s="1"/>
  <c r="G2595" i="5"/>
  <c r="H2594" i="5"/>
  <c r="G2594" i="5"/>
  <c r="H2593" i="5"/>
  <c r="G2593" i="5"/>
  <c r="H2592" i="5"/>
  <c r="G2592" i="5"/>
  <c r="H2591" i="5"/>
  <c r="G2591" i="5"/>
  <c r="H2590" i="5"/>
  <c r="G2590" i="5"/>
  <c r="H2589" i="5"/>
  <c r="G2589" i="5"/>
  <c r="H2588" i="5"/>
  <c r="G2588" i="5"/>
  <c r="H2587" i="5"/>
  <c r="G2587" i="5"/>
  <c r="H2586" i="5"/>
  <c r="G2586" i="5"/>
  <c r="H2585" i="5"/>
  <c r="G2585" i="5"/>
  <c r="H2584" i="5"/>
  <c r="G2584" i="5"/>
  <c r="H2583" i="5"/>
  <c r="G2583" i="5"/>
  <c r="H2582" i="5"/>
  <c r="G2582" i="5"/>
  <c r="H2581" i="5"/>
  <c r="G2581" i="5"/>
  <c r="H2580" i="5"/>
  <c r="G2580" i="5"/>
  <c r="H2579" i="5"/>
  <c r="G2579" i="5"/>
  <c r="H2578" i="5"/>
  <c r="G2578" i="5"/>
  <c r="H2577" i="5"/>
  <c r="G2577" i="5"/>
  <c r="H2576" i="5"/>
  <c r="G2576" i="5"/>
  <c r="H2575" i="5"/>
  <c r="G2575" i="5"/>
  <c r="H2574" i="5"/>
  <c r="G2574" i="5"/>
  <c r="H2573" i="5"/>
  <c r="G2573" i="5"/>
  <c r="H2572" i="5"/>
  <c r="G2572" i="5"/>
  <c r="H2571" i="5"/>
  <c r="G2571" i="5"/>
  <c r="H2570" i="5"/>
  <c r="G2570" i="5"/>
  <c r="H2569" i="5"/>
  <c r="G2569" i="5"/>
  <c r="H2568" i="5"/>
  <c r="G2568" i="5"/>
  <c r="H2567" i="5"/>
  <c r="G2567" i="5"/>
  <c r="H2566" i="5"/>
  <c r="G2566" i="5"/>
  <c r="H2565" i="5"/>
  <c r="G2565" i="5"/>
  <c r="H2564" i="5"/>
  <c r="G2564" i="5"/>
  <c r="H2563" i="5"/>
  <c r="G2563" i="5"/>
  <c r="H2562" i="5"/>
  <c r="G2562" i="5"/>
  <c r="H2561" i="5"/>
  <c r="G2561" i="5"/>
  <c r="H2560" i="5"/>
  <c r="G2560" i="5"/>
  <c r="H2559" i="5"/>
  <c r="G2559" i="5"/>
  <c r="H2558" i="5"/>
  <c r="G2558" i="5"/>
  <c r="H2557" i="5"/>
  <c r="G2557" i="5"/>
  <c r="H2556" i="5"/>
  <c r="G2556" i="5"/>
  <c r="H2555" i="5"/>
  <c r="G2555" i="5"/>
  <c r="H2554" i="5"/>
  <c r="G2554" i="5"/>
  <c r="H2553" i="5"/>
  <c r="G2553" i="5"/>
  <c r="H2552" i="5"/>
  <c r="G2552" i="5"/>
  <c r="H2551" i="5"/>
  <c r="G2551" i="5"/>
  <c r="H2550" i="5"/>
  <c r="G2550" i="5"/>
  <c r="H2549" i="5"/>
  <c r="G2549" i="5"/>
  <c r="H2548" i="5"/>
  <c r="G2548" i="5"/>
  <c r="H2547" i="5"/>
  <c r="G2547" i="5"/>
  <c r="H2546" i="5"/>
  <c r="G2546" i="5"/>
  <c r="H2545" i="5"/>
  <c r="G2545" i="5"/>
  <c r="H2544" i="5"/>
  <c r="G2544" i="5"/>
  <c r="H2543" i="5"/>
  <c r="G2543" i="5"/>
  <c r="H2542" i="5"/>
  <c r="G2542" i="5"/>
  <c r="H2541" i="5"/>
  <c r="G2541" i="5"/>
  <c r="H2540" i="5"/>
  <c r="G2540" i="5"/>
  <c r="H2539" i="5"/>
  <c r="G2539" i="5"/>
  <c r="H2538" i="5"/>
  <c r="G2538" i="5"/>
  <c r="H2537" i="5"/>
  <c r="G2537" i="5"/>
  <c r="H2536" i="5"/>
  <c r="G2536" i="5"/>
  <c r="H2535" i="5"/>
  <c r="I2535" i="5" s="1"/>
  <c r="G2535" i="5"/>
  <c r="H2534" i="5"/>
  <c r="G2534" i="5"/>
  <c r="H2533" i="5"/>
  <c r="G2533" i="5"/>
  <c r="H2532" i="5"/>
  <c r="G2532" i="5"/>
  <c r="H2531" i="5"/>
  <c r="G2531" i="5"/>
  <c r="H2530" i="5"/>
  <c r="G2530" i="5"/>
  <c r="H2529" i="5"/>
  <c r="G2529" i="5"/>
  <c r="H2528" i="5"/>
  <c r="G2528" i="5"/>
  <c r="H2527" i="5"/>
  <c r="G2527" i="5"/>
  <c r="H2526" i="5"/>
  <c r="G2526" i="5"/>
  <c r="H2525" i="5"/>
  <c r="G2525" i="5"/>
  <c r="H2524" i="5"/>
  <c r="G2524" i="5"/>
  <c r="H2523" i="5"/>
  <c r="G2523" i="5"/>
  <c r="H2522" i="5"/>
  <c r="G2522" i="5"/>
  <c r="H2521" i="5"/>
  <c r="G2521" i="5"/>
  <c r="H2520" i="5"/>
  <c r="G2520" i="5"/>
  <c r="H2519" i="5"/>
  <c r="G2519" i="5"/>
  <c r="H2518" i="5"/>
  <c r="G2518" i="5"/>
  <c r="H2517" i="5"/>
  <c r="G2517" i="5"/>
  <c r="H2516" i="5"/>
  <c r="G2516" i="5"/>
  <c r="H2515" i="5"/>
  <c r="G2515" i="5"/>
  <c r="H2514" i="5"/>
  <c r="G2514" i="5"/>
  <c r="H2513" i="5"/>
  <c r="G2513" i="5"/>
  <c r="H2512" i="5"/>
  <c r="G2512" i="5"/>
  <c r="H2511" i="5"/>
  <c r="G2511" i="5"/>
  <c r="H2510" i="5"/>
  <c r="G2510" i="5"/>
  <c r="H2509" i="5"/>
  <c r="G2509" i="5"/>
  <c r="H2508" i="5"/>
  <c r="G2508" i="5"/>
  <c r="H2507" i="5"/>
  <c r="G2507" i="5"/>
  <c r="H2506" i="5"/>
  <c r="G2506" i="5"/>
  <c r="H2505" i="5"/>
  <c r="G2505" i="5"/>
  <c r="H2504" i="5"/>
  <c r="G2504" i="5"/>
  <c r="H2503" i="5"/>
  <c r="G2503" i="5"/>
  <c r="H2502" i="5"/>
  <c r="G2502" i="5"/>
  <c r="H2501" i="5"/>
  <c r="G2501" i="5"/>
  <c r="H2500" i="5"/>
  <c r="G2500" i="5"/>
  <c r="H2499" i="5"/>
  <c r="G2499" i="5"/>
  <c r="H2498" i="5"/>
  <c r="G2498" i="5"/>
  <c r="H2497" i="5"/>
  <c r="G2497" i="5"/>
  <c r="H2496" i="5"/>
  <c r="G2496" i="5"/>
  <c r="H2495" i="5"/>
  <c r="G2495" i="5"/>
  <c r="H2494" i="5"/>
  <c r="G2494" i="5"/>
  <c r="H2493" i="5"/>
  <c r="G2493" i="5"/>
  <c r="H2492" i="5"/>
  <c r="G2492" i="5"/>
  <c r="H2491" i="5"/>
  <c r="G2491" i="5"/>
  <c r="H2490" i="5"/>
  <c r="G2490" i="5"/>
  <c r="H2489" i="5"/>
  <c r="G2489" i="5"/>
  <c r="H2488" i="5"/>
  <c r="G2488" i="5"/>
  <c r="H2487" i="5"/>
  <c r="G2487" i="5"/>
  <c r="H2486" i="5"/>
  <c r="G2486" i="5"/>
  <c r="H2485" i="5"/>
  <c r="G2485" i="5"/>
  <c r="H2484" i="5"/>
  <c r="G2484" i="5"/>
  <c r="H2483" i="5"/>
  <c r="G2483" i="5"/>
  <c r="H2482" i="5"/>
  <c r="G2482" i="5"/>
  <c r="H2481" i="5"/>
  <c r="G2481" i="5"/>
  <c r="H2480" i="5"/>
  <c r="G2480" i="5"/>
  <c r="H2479" i="5"/>
  <c r="G2479" i="5"/>
  <c r="H2478" i="5"/>
  <c r="G2478" i="5"/>
  <c r="H2477" i="5"/>
  <c r="G2477" i="5"/>
  <c r="H2476" i="5"/>
  <c r="G2476" i="5"/>
  <c r="H2475" i="5"/>
  <c r="G2475" i="5"/>
  <c r="H2474" i="5"/>
  <c r="G2474" i="5"/>
  <c r="H2473" i="5"/>
  <c r="G2473" i="5"/>
  <c r="H2472" i="5"/>
  <c r="G2472" i="5"/>
  <c r="H2471" i="5"/>
  <c r="G2471" i="5"/>
  <c r="H2470" i="5"/>
  <c r="G2470" i="5"/>
  <c r="H2469" i="5"/>
  <c r="G2469" i="5"/>
  <c r="H2468" i="5"/>
  <c r="G2468" i="5"/>
  <c r="H2467" i="5"/>
  <c r="G2467" i="5"/>
  <c r="H2466" i="5"/>
  <c r="G2466" i="5"/>
  <c r="H2465" i="5"/>
  <c r="G2465" i="5"/>
  <c r="H2464" i="5"/>
  <c r="G2464" i="5"/>
  <c r="H2463" i="5"/>
  <c r="G2463" i="5"/>
  <c r="H2462" i="5"/>
  <c r="G2462" i="5"/>
  <c r="H2461" i="5"/>
  <c r="G2461" i="5"/>
  <c r="H2460" i="5"/>
  <c r="G2460" i="5"/>
  <c r="H2459" i="5"/>
  <c r="G2459" i="5"/>
  <c r="H2458" i="5"/>
  <c r="G2458" i="5"/>
  <c r="H2457" i="5"/>
  <c r="G2457" i="5"/>
  <c r="H2456" i="5"/>
  <c r="G2456" i="5"/>
  <c r="H2455" i="5"/>
  <c r="G2455" i="5"/>
  <c r="H2454" i="5"/>
  <c r="G2454" i="5"/>
  <c r="H2453" i="5"/>
  <c r="G2453" i="5"/>
  <c r="H2452" i="5"/>
  <c r="G2452" i="5"/>
  <c r="H2451" i="5"/>
  <c r="G2451" i="5"/>
  <c r="H2450" i="5"/>
  <c r="G2450" i="5"/>
  <c r="H2449" i="5"/>
  <c r="G2449" i="5"/>
  <c r="H2448" i="5"/>
  <c r="G2448" i="5"/>
  <c r="H2447" i="5"/>
  <c r="G2447" i="5"/>
  <c r="H2446" i="5"/>
  <c r="G2446" i="5"/>
  <c r="H2445" i="5"/>
  <c r="G2445" i="5"/>
  <c r="H2444" i="5"/>
  <c r="G2444" i="5"/>
  <c r="H2443" i="5"/>
  <c r="G2443" i="5"/>
  <c r="H2442" i="5"/>
  <c r="G2442" i="5"/>
  <c r="H2441" i="5"/>
  <c r="G2441" i="5"/>
  <c r="H2440" i="5"/>
  <c r="G2440" i="5"/>
  <c r="H2439" i="5"/>
  <c r="G2439" i="5"/>
  <c r="H2438" i="5"/>
  <c r="G2438" i="5"/>
  <c r="H2437" i="5"/>
  <c r="G2437" i="5"/>
  <c r="H2436" i="5"/>
  <c r="G2436" i="5"/>
  <c r="H2435" i="5"/>
  <c r="G2435" i="5"/>
  <c r="H2434" i="5"/>
  <c r="G2434" i="5"/>
  <c r="H2433" i="5"/>
  <c r="G2433" i="5"/>
  <c r="H2432" i="5"/>
  <c r="G2432" i="5"/>
  <c r="H2431" i="5"/>
  <c r="G2431" i="5"/>
  <c r="H2430" i="5"/>
  <c r="G2430" i="5"/>
  <c r="H2429" i="5"/>
  <c r="G2429" i="5"/>
  <c r="H2428" i="5"/>
  <c r="G2428" i="5"/>
  <c r="H2427" i="5"/>
  <c r="I2427" i="5" s="1"/>
  <c r="G2427" i="5"/>
  <c r="H2426" i="5"/>
  <c r="G2426" i="5"/>
  <c r="H2425" i="5"/>
  <c r="G2425" i="5"/>
  <c r="H2424" i="5"/>
  <c r="G2424" i="5"/>
  <c r="H2423" i="5"/>
  <c r="G2423" i="5"/>
  <c r="H2422" i="5"/>
  <c r="G2422" i="5"/>
  <c r="H2421" i="5"/>
  <c r="G2421" i="5"/>
  <c r="H2420" i="5"/>
  <c r="G2420" i="5"/>
  <c r="H2419" i="5"/>
  <c r="G2419" i="5"/>
  <c r="H2418" i="5"/>
  <c r="G2418" i="5"/>
  <c r="H2417" i="5"/>
  <c r="G2417" i="5"/>
  <c r="H2416" i="5"/>
  <c r="G2416" i="5"/>
  <c r="H2415" i="5"/>
  <c r="I2415" i="5" s="1"/>
  <c r="G2415" i="5"/>
  <c r="H2414" i="5"/>
  <c r="G2414" i="5"/>
  <c r="H2413" i="5"/>
  <c r="G2413" i="5"/>
  <c r="H2412" i="5"/>
  <c r="G2412" i="5"/>
  <c r="H2411" i="5"/>
  <c r="G2411" i="5"/>
  <c r="H2410" i="5"/>
  <c r="G2410" i="5"/>
  <c r="H2409" i="5"/>
  <c r="G2409" i="5"/>
  <c r="H2408" i="5"/>
  <c r="G2408" i="5"/>
  <c r="H2407" i="5"/>
  <c r="G2407" i="5"/>
  <c r="H2406" i="5"/>
  <c r="G2406" i="5"/>
  <c r="H2405" i="5"/>
  <c r="G2405" i="5"/>
  <c r="H2404" i="5"/>
  <c r="G2404" i="5"/>
  <c r="H2403" i="5"/>
  <c r="G2403" i="5"/>
  <c r="H2402" i="5"/>
  <c r="G2402" i="5"/>
  <c r="H2401" i="5"/>
  <c r="G2401" i="5"/>
  <c r="H2400" i="5"/>
  <c r="G2400" i="5"/>
  <c r="H2399" i="5"/>
  <c r="G2399" i="5"/>
  <c r="H2398" i="5"/>
  <c r="G2398" i="5"/>
  <c r="H2397" i="5"/>
  <c r="I2397" i="5" s="1"/>
  <c r="G2397" i="5"/>
  <c r="H2396" i="5"/>
  <c r="G2396" i="5"/>
  <c r="H2395" i="5"/>
  <c r="G2395" i="5"/>
  <c r="H2394" i="5"/>
  <c r="G2394" i="5"/>
  <c r="H2393" i="5"/>
  <c r="G2393" i="5"/>
  <c r="H2392" i="5"/>
  <c r="G2392" i="5"/>
  <c r="H2391" i="5"/>
  <c r="G2391" i="5"/>
  <c r="H2390" i="5"/>
  <c r="G2390" i="5"/>
  <c r="H2389" i="5"/>
  <c r="G2389" i="5"/>
  <c r="H2388" i="5"/>
  <c r="G2388" i="5"/>
  <c r="H2387" i="5"/>
  <c r="G2387" i="5"/>
  <c r="H2386" i="5"/>
  <c r="G2386" i="5"/>
  <c r="H2385" i="5"/>
  <c r="I2385" i="5" s="1"/>
  <c r="G2385" i="5"/>
  <c r="H2384" i="5"/>
  <c r="G2384" i="5"/>
  <c r="H2383" i="5"/>
  <c r="G2383" i="5"/>
  <c r="H2382" i="5"/>
  <c r="G2382" i="5"/>
  <c r="H2381" i="5"/>
  <c r="G2381" i="5"/>
  <c r="H2380" i="5"/>
  <c r="G2380" i="5"/>
  <c r="H2379" i="5"/>
  <c r="G2379" i="5"/>
  <c r="H2378" i="5"/>
  <c r="G2378" i="5"/>
  <c r="H2377" i="5"/>
  <c r="G2377" i="5"/>
  <c r="H2376" i="5"/>
  <c r="G2376" i="5"/>
  <c r="H2375" i="5"/>
  <c r="G2375" i="5"/>
  <c r="H2374" i="5"/>
  <c r="G2374" i="5"/>
  <c r="H2373" i="5"/>
  <c r="G2373" i="5"/>
  <c r="H2372" i="5"/>
  <c r="G2372" i="5"/>
  <c r="H2371" i="5"/>
  <c r="G2371" i="5"/>
  <c r="H2370" i="5"/>
  <c r="G2370" i="5"/>
  <c r="H2369" i="5"/>
  <c r="G2369" i="5"/>
  <c r="H2368" i="5"/>
  <c r="G2368" i="5"/>
  <c r="H2367" i="5"/>
  <c r="I2367" i="5" s="1"/>
  <c r="G2367" i="5"/>
  <c r="H2366" i="5"/>
  <c r="G2366" i="5"/>
  <c r="H2365" i="5"/>
  <c r="G2365" i="5"/>
  <c r="H2364" i="5"/>
  <c r="G2364" i="5"/>
  <c r="H2363" i="5"/>
  <c r="G2363" i="5"/>
  <c r="H2362" i="5"/>
  <c r="G2362" i="5"/>
  <c r="H2361" i="5"/>
  <c r="G2361" i="5"/>
  <c r="H2360" i="5"/>
  <c r="G2360" i="5"/>
  <c r="H2359" i="5"/>
  <c r="G2359" i="5"/>
  <c r="H2358" i="5"/>
  <c r="G2358" i="5"/>
  <c r="H2357" i="5"/>
  <c r="G2357" i="5"/>
  <c r="H2356" i="5"/>
  <c r="G2356" i="5"/>
  <c r="H2355" i="5"/>
  <c r="I2355" i="5" s="1"/>
  <c r="G2355" i="5"/>
  <c r="H2354" i="5"/>
  <c r="G2354" i="5"/>
  <c r="H2353" i="5"/>
  <c r="G2353" i="5"/>
  <c r="H2352" i="5"/>
  <c r="G2352" i="5"/>
  <c r="H2351" i="5"/>
  <c r="G2351" i="5"/>
  <c r="H2350" i="5"/>
  <c r="G2350" i="5"/>
  <c r="H2349" i="5"/>
  <c r="G2349" i="5"/>
  <c r="H2348" i="5"/>
  <c r="G2348" i="5"/>
  <c r="H2347" i="5"/>
  <c r="G2347" i="5"/>
  <c r="H2346" i="5"/>
  <c r="G2346" i="5"/>
  <c r="H2345" i="5"/>
  <c r="G2345" i="5"/>
  <c r="H2344" i="5"/>
  <c r="G2344" i="5"/>
  <c r="H2343" i="5"/>
  <c r="G2343" i="5"/>
  <c r="H2342" i="5"/>
  <c r="G2342" i="5"/>
  <c r="H2341" i="5"/>
  <c r="G2341" i="5"/>
  <c r="H2340" i="5"/>
  <c r="G2340" i="5"/>
  <c r="H2339" i="5"/>
  <c r="G2339" i="5"/>
  <c r="H2338" i="5"/>
  <c r="G2338" i="5"/>
  <c r="H2337" i="5"/>
  <c r="I2337" i="5" s="1"/>
  <c r="G2337" i="5"/>
  <c r="H2336" i="5"/>
  <c r="G2336" i="5"/>
  <c r="H2335" i="5"/>
  <c r="G2335" i="5"/>
  <c r="H2334" i="5"/>
  <c r="G2334" i="5"/>
  <c r="H2333" i="5"/>
  <c r="G2333" i="5"/>
  <c r="H2332" i="5"/>
  <c r="G2332" i="5"/>
  <c r="H2331" i="5"/>
  <c r="G2331" i="5"/>
  <c r="H2330" i="5"/>
  <c r="G2330" i="5"/>
  <c r="H2329" i="5"/>
  <c r="G2329" i="5"/>
  <c r="H2328" i="5"/>
  <c r="G2328" i="5"/>
  <c r="H2327" i="5"/>
  <c r="G2327" i="5"/>
  <c r="H2326" i="5"/>
  <c r="G2326" i="5"/>
  <c r="H2325" i="5"/>
  <c r="I2325" i="5" s="1"/>
  <c r="G2325" i="5"/>
  <c r="H2324" i="5"/>
  <c r="G2324" i="5"/>
  <c r="H2323" i="5"/>
  <c r="G2323" i="5"/>
  <c r="H2322" i="5"/>
  <c r="G2322" i="5"/>
  <c r="H2321" i="5"/>
  <c r="G2321" i="5"/>
  <c r="H2320" i="5"/>
  <c r="G2320" i="5"/>
  <c r="H2319" i="5"/>
  <c r="G2319" i="5"/>
  <c r="H2318" i="5"/>
  <c r="G2318" i="5"/>
  <c r="H2317" i="5"/>
  <c r="G2317" i="5"/>
  <c r="H2316" i="5"/>
  <c r="G2316" i="5"/>
  <c r="H2315" i="5"/>
  <c r="G2315" i="5"/>
  <c r="H2314" i="5"/>
  <c r="G2314" i="5"/>
  <c r="H2313" i="5"/>
  <c r="G2313" i="5"/>
  <c r="H2312" i="5"/>
  <c r="G2312" i="5"/>
  <c r="H2311" i="5"/>
  <c r="G2311" i="5"/>
  <c r="H2310" i="5"/>
  <c r="G2310" i="5"/>
  <c r="H2309" i="5"/>
  <c r="G2309" i="5"/>
  <c r="H2308" i="5"/>
  <c r="G2308" i="5"/>
  <c r="H2307" i="5"/>
  <c r="G2307" i="5"/>
  <c r="H2306" i="5"/>
  <c r="G2306" i="5"/>
  <c r="H2305" i="5"/>
  <c r="G2305" i="5"/>
  <c r="H2304" i="5"/>
  <c r="G2304" i="5"/>
  <c r="H2303" i="5"/>
  <c r="G2303" i="5"/>
  <c r="H2302" i="5"/>
  <c r="G2302" i="5"/>
  <c r="H2301" i="5"/>
  <c r="G2301" i="5"/>
  <c r="H2300" i="5"/>
  <c r="G2300" i="5"/>
  <c r="H2299" i="5"/>
  <c r="G2299" i="5"/>
  <c r="H2298" i="5"/>
  <c r="G2298" i="5"/>
  <c r="H2297" i="5"/>
  <c r="G2297" i="5"/>
  <c r="H2296" i="5"/>
  <c r="G2296" i="5"/>
  <c r="H2295" i="5"/>
  <c r="I2295" i="5" s="1"/>
  <c r="G2295" i="5"/>
  <c r="H2294" i="5"/>
  <c r="G2294" i="5"/>
  <c r="H2293" i="5"/>
  <c r="G2293" i="5"/>
  <c r="H2292" i="5"/>
  <c r="G2292" i="5"/>
  <c r="H2291" i="5"/>
  <c r="G2291" i="5"/>
  <c r="H2290" i="5"/>
  <c r="G2290" i="5"/>
  <c r="H2289" i="5"/>
  <c r="G2289" i="5"/>
  <c r="H2288" i="5"/>
  <c r="G2288" i="5"/>
  <c r="H2287" i="5"/>
  <c r="G2287" i="5"/>
  <c r="H2286" i="5"/>
  <c r="G2286" i="5"/>
  <c r="H2285" i="5"/>
  <c r="G2285" i="5"/>
  <c r="H2284" i="5"/>
  <c r="G2284" i="5"/>
  <c r="H2283" i="5"/>
  <c r="G2283" i="5"/>
  <c r="H2282" i="5"/>
  <c r="G2282" i="5"/>
  <c r="H2281" i="5"/>
  <c r="G2281" i="5"/>
  <c r="H2280" i="5"/>
  <c r="G2280" i="5"/>
  <c r="H2279" i="5"/>
  <c r="G2279" i="5"/>
  <c r="H2278" i="5"/>
  <c r="G2278" i="5"/>
  <c r="H2277" i="5"/>
  <c r="I2277" i="5" s="1"/>
  <c r="G2277" i="5"/>
  <c r="H2276" i="5"/>
  <c r="G2276" i="5"/>
  <c r="H2275" i="5"/>
  <c r="G2275" i="5"/>
  <c r="H2274" i="5"/>
  <c r="G2274" i="5"/>
  <c r="H2273" i="5"/>
  <c r="G2273" i="5"/>
  <c r="H2272" i="5"/>
  <c r="G2272" i="5"/>
  <c r="H2271" i="5"/>
  <c r="G2271" i="5"/>
  <c r="H2270" i="5"/>
  <c r="G2270" i="5"/>
  <c r="H2269" i="5"/>
  <c r="G2269" i="5"/>
  <c r="H2268" i="5"/>
  <c r="G2268" i="5"/>
  <c r="H2267" i="5"/>
  <c r="G2267" i="5"/>
  <c r="H2266" i="5"/>
  <c r="G2266" i="5"/>
  <c r="H2265" i="5"/>
  <c r="I2265" i="5" s="1"/>
  <c r="G2265" i="5"/>
  <c r="H2264" i="5"/>
  <c r="G2264" i="5"/>
  <c r="H2263" i="5"/>
  <c r="G2263" i="5"/>
  <c r="H2262" i="5"/>
  <c r="G2262" i="5"/>
  <c r="H2261" i="5"/>
  <c r="G2261" i="5"/>
  <c r="H2260" i="5"/>
  <c r="G2260" i="5"/>
  <c r="H2259" i="5"/>
  <c r="G2259" i="5"/>
  <c r="H2258" i="5"/>
  <c r="G2258" i="5"/>
  <c r="H2257" i="5"/>
  <c r="G2257" i="5"/>
  <c r="H2256" i="5"/>
  <c r="G2256" i="5"/>
  <c r="H2255" i="5"/>
  <c r="G2255" i="5"/>
  <c r="H2254" i="5"/>
  <c r="G2254" i="5"/>
  <c r="H2253" i="5"/>
  <c r="G2253" i="5"/>
  <c r="H2252" i="5"/>
  <c r="G2252" i="5"/>
  <c r="H2251" i="5"/>
  <c r="G2251" i="5"/>
  <c r="H2250" i="5"/>
  <c r="G2250" i="5"/>
  <c r="H2249" i="5"/>
  <c r="G2249" i="5"/>
  <c r="H2248" i="5"/>
  <c r="G2248" i="5"/>
  <c r="H2247" i="5"/>
  <c r="G2247" i="5"/>
  <c r="H2246" i="5"/>
  <c r="G2246" i="5"/>
  <c r="H2245" i="5"/>
  <c r="G2245" i="5"/>
  <c r="H2244" i="5"/>
  <c r="G2244" i="5"/>
  <c r="H2243" i="5"/>
  <c r="G2243" i="5"/>
  <c r="H2242" i="5"/>
  <c r="G2242" i="5"/>
  <c r="H2241" i="5"/>
  <c r="G2241" i="5"/>
  <c r="H2240" i="5"/>
  <c r="G2240" i="5"/>
  <c r="H2239" i="5"/>
  <c r="G2239" i="5"/>
  <c r="H2238" i="5"/>
  <c r="G2238" i="5"/>
  <c r="H2237" i="5"/>
  <c r="G2237" i="5"/>
  <c r="H2236" i="5"/>
  <c r="G2236" i="5"/>
  <c r="H2235" i="5"/>
  <c r="G2235" i="5"/>
  <c r="H2234" i="5"/>
  <c r="G2234" i="5"/>
  <c r="H2233" i="5"/>
  <c r="G2233" i="5"/>
  <c r="H2232" i="5"/>
  <c r="G2232" i="5"/>
  <c r="H2231" i="5"/>
  <c r="G2231" i="5"/>
  <c r="H2230" i="5"/>
  <c r="G2230" i="5"/>
  <c r="H2229" i="5"/>
  <c r="G2229" i="5"/>
  <c r="H2228" i="5"/>
  <c r="G2228" i="5"/>
  <c r="H2227" i="5"/>
  <c r="G2227" i="5"/>
  <c r="H2226" i="5"/>
  <c r="G2226" i="5"/>
  <c r="H2225" i="5"/>
  <c r="G2225" i="5"/>
  <c r="H2224" i="5"/>
  <c r="G2224" i="5"/>
  <c r="H2223" i="5"/>
  <c r="G2223" i="5"/>
  <c r="H2222" i="5"/>
  <c r="G2222" i="5"/>
  <c r="H2221" i="5"/>
  <c r="G2221" i="5"/>
  <c r="H2220" i="5"/>
  <c r="G2220" i="5"/>
  <c r="H2219" i="5"/>
  <c r="G2219" i="5"/>
  <c r="H2218" i="5"/>
  <c r="G2218" i="5"/>
  <c r="H2217" i="5"/>
  <c r="I2217" i="5" s="1"/>
  <c r="G2217" i="5"/>
  <c r="H2216" i="5"/>
  <c r="G2216" i="5"/>
  <c r="H2215" i="5"/>
  <c r="G2215" i="5"/>
  <c r="H2214" i="5"/>
  <c r="G2214" i="5"/>
  <c r="H2213" i="5"/>
  <c r="G2213" i="5"/>
  <c r="H2212" i="5"/>
  <c r="G2212" i="5"/>
  <c r="H2211" i="5"/>
  <c r="G2211" i="5"/>
  <c r="H2210" i="5"/>
  <c r="G2210" i="5"/>
  <c r="H2209" i="5"/>
  <c r="G2209" i="5"/>
  <c r="H2208" i="5"/>
  <c r="G2208" i="5"/>
  <c r="H2207" i="5"/>
  <c r="G2207" i="5"/>
  <c r="H2206" i="5"/>
  <c r="G2206" i="5"/>
  <c r="H2205" i="5"/>
  <c r="I2205" i="5" s="1"/>
  <c r="G2205" i="5"/>
  <c r="H2204" i="5"/>
  <c r="G2204" i="5"/>
  <c r="H2203" i="5"/>
  <c r="G2203" i="5"/>
  <c r="H2202" i="5"/>
  <c r="G2202" i="5"/>
  <c r="H2201" i="5"/>
  <c r="G2201" i="5"/>
  <c r="H2200" i="5"/>
  <c r="G2200" i="5"/>
  <c r="H2199" i="5"/>
  <c r="G2199" i="5"/>
  <c r="H2198" i="5"/>
  <c r="G2198" i="5"/>
  <c r="H2197" i="5"/>
  <c r="G2197" i="5"/>
  <c r="H2196" i="5"/>
  <c r="G2196" i="5"/>
  <c r="H2195" i="5"/>
  <c r="G2195" i="5"/>
  <c r="H2194" i="5"/>
  <c r="G2194" i="5"/>
  <c r="H2193" i="5"/>
  <c r="G2193" i="5"/>
  <c r="H2192" i="5"/>
  <c r="G2192" i="5"/>
  <c r="H2191" i="5"/>
  <c r="G2191" i="5"/>
  <c r="H2190" i="5"/>
  <c r="G2190" i="5"/>
  <c r="H2189" i="5"/>
  <c r="G2189" i="5"/>
  <c r="H2188" i="5"/>
  <c r="G2188" i="5"/>
  <c r="H2187" i="5"/>
  <c r="G2187" i="5"/>
  <c r="H2186" i="5"/>
  <c r="G2186" i="5"/>
  <c r="H2185" i="5"/>
  <c r="G2185" i="5"/>
  <c r="H2184" i="5"/>
  <c r="G2184" i="5"/>
  <c r="H2183" i="5"/>
  <c r="G2183" i="5"/>
  <c r="H2182" i="5"/>
  <c r="G2182" i="5"/>
  <c r="H2181" i="5"/>
  <c r="G2181" i="5"/>
  <c r="H2180" i="5"/>
  <c r="G2180" i="5"/>
  <c r="H2179" i="5"/>
  <c r="G2179" i="5"/>
  <c r="H2178" i="5"/>
  <c r="G2178" i="5"/>
  <c r="H2177" i="5"/>
  <c r="G2177" i="5"/>
  <c r="H2176" i="5"/>
  <c r="G2176" i="5"/>
  <c r="H2175" i="5"/>
  <c r="G2175" i="5"/>
  <c r="H2174" i="5"/>
  <c r="G2174" i="5"/>
  <c r="H2173" i="5"/>
  <c r="G2173" i="5"/>
  <c r="H2172" i="5"/>
  <c r="G2172" i="5"/>
  <c r="H2171" i="5"/>
  <c r="G2171" i="5"/>
  <c r="H2170" i="5"/>
  <c r="G2170" i="5"/>
  <c r="H2169" i="5"/>
  <c r="G2169" i="5"/>
  <c r="H2168" i="5"/>
  <c r="G2168" i="5"/>
  <c r="H2167" i="5"/>
  <c r="G2167" i="5"/>
  <c r="H2166" i="5"/>
  <c r="G2166" i="5"/>
  <c r="H2165" i="5"/>
  <c r="G2165" i="5"/>
  <c r="H2164" i="5"/>
  <c r="G2164" i="5"/>
  <c r="H2163" i="5"/>
  <c r="G2163" i="5"/>
  <c r="H2162" i="5"/>
  <c r="G2162" i="5"/>
  <c r="H2161" i="5"/>
  <c r="G2161" i="5"/>
  <c r="H2160" i="5"/>
  <c r="G2160" i="5"/>
  <c r="H2159" i="5"/>
  <c r="G2159" i="5"/>
  <c r="H2158" i="5"/>
  <c r="G2158" i="5"/>
  <c r="H2157" i="5"/>
  <c r="G2157" i="5"/>
  <c r="H2156" i="5"/>
  <c r="G2156" i="5"/>
  <c r="H2155" i="5"/>
  <c r="G2155" i="5"/>
  <c r="H2154" i="5"/>
  <c r="G2154" i="5"/>
  <c r="H2153" i="5"/>
  <c r="G2153" i="5"/>
  <c r="H2152" i="5"/>
  <c r="G2152" i="5"/>
  <c r="H2151" i="5"/>
  <c r="G2151" i="5"/>
  <c r="H2150" i="5"/>
  <c r="G2150" i="5"/>
  <c r="H2149" i="5"/>
  <c r="G2149" i="5"/>
  <c r="H2148" i="5"/>
  <c r="G2148" i="5"/>
  <c r="H2147" i="5"/>
  <c r="G2147" i="5"/>
  <c r="H2146" i="5"/>
  <c r="G2146" i="5"/>
  <c r="H2145" i="5"/>
  <c r="G2145" i="5"/>
  <c r="H2144" i="5"/>
  <c r="G2144" i="5"/>
  <c r="H2143" i="5"/>
  <c r="G2143" i="5"/>
  <c r="H2142" i="5"/>
  <c r="G2142" i="5"/>
  <c r="H2141" i="5"/>
  <c r="G2141" i="5"/>
  <c r="H2140" i="5"/>
  <c r="G2140" i="5"/>
  <c r="H2139" i="5"/>
  <c r="G2139" i="5"/>
  <c r="H2138" i="5"/>
  <c r="G2138" i="5"/>
  <c r="H2137" i="5"/>
  <c r="G2137" i="5"/>
  <c r="H2136" i="5"/>
  <c r="G2136" i="5"/>
  <c r="H2135" i="5"/>
  <c r="G2135" i="5"/>
  <c r="H2134" i="5"/>
  <c r="G2134" i="5"/>
  <c r="H2133" i="5"/>
  <c r="G2133" i="5"/>
  <c r="H2132" i="5"/>
  <c r="G2132" i="5"/>
  <c r="H2131" i="5"/>
  <c r="G2131" i="5"/>
  <c r="H2130" i="5"/>
  <c r="G2130" i="5"/>
  <c r="H2129" i="5"/>
  <c r="G2129" i="5"/>
  <c r="H2128" i="5"/>
  <c r="G2128" i="5"/>
  <c r="H2127" i="5"/>
  <c r="G2127" i="5"/>
  <c r="H2126" i="5"/>
  <c r="G2126" i="5"/>
  <c r="H2125" i="5"/>
  <c r="G2125" i="5"/>
  <c r="H2124" i="5"/>
  <c r="G2124" i="5"/>
  <c r="H2123" i="5"/>
  <c r="G2123" i="5"/>
  <c r="H2122" i="5"/>
  <c r="G2122" i="5"/>
  <c r="H2121" i="5"/>
  <c r="G2121" i="5"/>
  <c r="H2120" i="5"/>
  <c r="G2120" i="5"/>
  <c r="H2119" i="5"/>
  <c r="G2119" i="5"/>
  <c r="H2118" i="5"/>
  <c r="G2118" i="5"/>
  <c r="H2117" i="5"/>
  <c r="G2117" i="5"/>
  <c r="H2116" i="5"/>
  <c r="G2116" i="5"/>
  <c r="H2115" i="5"/>
  <c r="G2115" i="5"/>
  <c r="H2114" i="5"/>
  <c r="G2114" i="5"/>
  <c r="H2113" i="5"/>
  <c r="G2113" i="5"/>
  <c r="H2112" i="5"/>
  <c r="G2112" i="5"/>
  <c r="H2111" i="5"/>
  <c r="G2111" i="5"/>
  <c r="H2110" i="5"/>
  <c r="G2110" i="5"/>
  <c r="H2109" i="5"/>
  <c r="G2109" i="5"/>
  <c r="H2108" i="5"/>
  <c r="G2108" i="5"/>
  <c r="H2107" i="5"/>
  <c r="G2107" i="5"/>
  <c r="H2106" i="5"/>
  <c r="G2106" i="5"/>
  <c r="H2105" i="5"/>
  <c r="G2105" i="5"/>
  <c r="H2104" i="5"/>
  <c r="G2104" i="5"/>
  <c r="H2103" i="5"/>
  <c r="G2103" i="5"/>
  <c r="H2102" i="5"/>
  <c r="G2102" i="5"/>
  <c r="H2101" i="5"/>
  <c r="G2101" i="5"/>
  <c r="H2100" i="5"/>
  <c r="G2100" i="5"/>
  <c r="H2099" i="5"/>
  <c r="G2099" i="5"/>
  <c r="H2098" i="5"/>
  <c r="G2098" i="5"/>
  <c r="H2097" i="5"/>
  <c r="G2097" i="5"/>
  <c r="H2096" i="5"/>
  <c r="G2096" i="5"/>
  <c r="H2095" i="5"/>
  <c r="G2095" i="5"/>
  <c r="H2094" i="5"/>
  <c r="G2094" i="5"/>
  <c r="H2093" i="5"/>
  <c r="G2093" i="5"/>
  <c r="H2092" i="5"/>
  <c r="G2092" i="5"/>
  <c r="H2091" i="5"/>
  <c r="G2091" i="5"/>
  <c r="H2090" i="5"/>
  <c r="G2090" i="5"/>
  <c r="H2089" i="5"/>
  <c r="G2089" i="5"/>
  <c r="H2088" i="5"/>
  <c r="G2088" i="5"/>
  <c r="H2087" i="5"/>
  <c r="G2087" i="5"/>
  <c r="H2086" i="5"/>
  <c r="G2086" i="5"/>
  <c r="H2085" i="5"/>
  <c r="G2085" i="5"/>
  <c r="H2084" i="5"/>
  <c r="G2084" i="5"/>
  <c r="H2083" i="5"/>
  <c r="G2083" i="5"/>
  <c r="H2082" i="5"/>
  <c r="G2082" i="5"/>
  <c r="H2081" i="5"/>
  <c r="G2081" i="5"/>
  <c r="H2080" i="5"/>
  <c r="G2080" i="5"/>
  <c r="H2079" i="5"/>
  <c r="G2079" i="5"/>
  <c r="H2078" i="5"/>
  <c r="G2078" i="5"/>
  <c r="H2077" i="5"/>
  <c r="G2077" i="5"/>
  <c r="H2076" i="5"/>
  <c r="G2076" i="5"/>
  <c r="H2075" i="5"/>
  <c r="G2075" i="5"/>
  <c r="H2074" i="5"/>
  <c r="G2074" i="5"/>
  <c r="H2073" i="5"/>
  <c r="G2073" i="5"/>
  <c r="H2072" i="5"/>
  <c r="G2072" i="5"/>
  <c r="H2071" i="5"/>
  <c r="G2071" i="5"/>
  <c r="H2070" i="5"/>
  <c r="G2070" i="5"/>
  <c r="H2069" i="5"/>
  <c r="G2069" i="5"/>
  <c r="H2068" i="5"/>
  <c r="G2068" i="5"/>
  <c r="H2067" i="5"/>
  <c r="G2067" i="5"/>
  <c r="H2066" i="5"/>
  <c r="G2066" i="5"/>
  <c r="H2065" i="5"/>
  <c r="G2065" i="5"/>
  <c r="H2064" i="5"/>
  <c r="G2064" i="5"/>
  <c r="H2063" i="5"/>
  <c r="G2063" i="5"/>
  <c r="H2062" i="5"/>
  <c r="G2062" i="5"/>
  <c r="H2061" i="5"/>
  <c r="G2061" i="5"/>
  <c r="H2060" i="5"/>
  <c r="G2060" i="5"/>
  <c r="H2059" i="5"/>
  <c r="G2059" i="5"/>
  <c r="H2058" i="5"/>
  <c r="G2058" i="5"/>
  <c r="H2057" i="5"/>
  <c r="G2057" i="5"/>
  <c r="H2056" i="5"/>
  <c r="G2056" i="5"/>
  <c r="H2055" i="5"/>
  <c r="G2055" i="5"/>
  <c r="H2054" i="5"/>
  <c r="G2054" i="5"/>
  <c r="H2053" i="5"/>
  <c r="G2053" i="5"/>
  <c r="H2052" i="5"/>
  <c r="G2052" i="5"/>
  <c r="H2051" i="5"/>
  <c r="G2051" i="5"/>
  <c r="H2050" i="5"/>
  <c r="G2050" i="5"/>
  <c r="H2049" i="5"/>
  <c r="G2049" i="5"/>
  <c r="H2048" i="5"/>
  <c r="G2048" i="5"/>
  <c r="H2047" i="5"/>
  <c r="G2047" i="5"/>
  <c r="H2046" i="5"/>
  <c r="G2046" i="5"/>
  <c r="H2045" i="5"/>
  <c r="G2045" i="5"/>
  <c r="H2044" i="5"/>
  <c r="G2044" i="5"/>
  <c r="H2043" i="5"/>
  <c r="G2043" i="5"/>
  <c r="H2042" i="5"/>
  <c r="G2042" i="5"/>
  <c r="H2041" i="5"/>
  <c r="G2041" i="5"/>
  <c r="H2040" i="5"/>
  <c r="G2040" i="5"/>
  <c r="H2039" i="5"/>
  <c r="G2039" i="5"/>
  <c r="H2038" i="5"/>
  <c r="G2038" i="5"/>
  <c r="H2037" i="5"/>
  <c r="G2037" i="5"/>
  <c r="H2036" i="5"/>
  <c r="G2036" i="5"/>
  <c r="H2035" i="5"/>
  <c r="G2035" i="5"/>
  <c r="H2034" i="5"/>
  <c r="G2034" i="5"/>
  <c r="H2033" i="5"/>
  <c r="G2033" i="5"/>
  <c r="H2032" i="5"/>
  <c r="G2032" i="5"/>
  <c r="H2031" i="5"/>
  <c r="G2031" i="5"/>
  <c r="H2030" i="5"/>
  <c r="G2030" i="5"/>
  <c r="H2029" i="5"/>
  <c r="G2029" i="5"/>
  <c r="H2028" i="5"/>
  <c r="G2028" i="5"/>
  <c r="H2027" i="5"/>
  <c r="G2027" i="5"/>
  <c r="H2026" i="5"/>
  <c r="G2026" i="5"/>
  <c r="H2025" i="5"/>
  <c r="G2025" i="5"/>
  <c r="H2024" i="5"/>
  <c r="G2024" i="5"/>
  <c r="H2023" i="5"/>
  <c r="G2023" i="5"/>
  <c r="H2022" i="5"/>
  <c r="G2022" i="5"/>
  <c r="H2021" i="5"/>
  <c r="G2021" i="5"/>
  <c r="H2020" i="5"/>
  <c r="G2020" i="5"/>
  <c r="H2019" i="5"/>
  <c r="G2019" i="5"/>
  <c r="H2018" i="5"/>
  <c r="G2018" i="5"/>
  <c r="H2017" i="5"/>
  <c r="G2017" i="5"/>
  <c r="H2016" i="5"/>
  <c r="G2016" i="5"/>
  <c r="H2015" i="5"/>
  <c r="G2015" i="5"/>
  <c r="H2014" i="5"/>
  <c r="G2014" i="5"/>
  <c r="H2013" i="5"/>
  <c r="G2013" i="5"/>
  <c r="H2012" i="5"/>
  <c r="G2012" i="5"/>
  <c r="H2011" i="5"/>
  <c r="G2011" i="5"/>
  <c r="H2010" i="5"/>
  <c r="G2010" i="5"/>
  <c r="H2009" i="5"/>
  <c r="G2009" i="5"/>
  <c r="H2008" i="5"/>
  <c r="G2008" i="5"/>
  <c r="H2007" i="5"/>
  <c r="G2007" i="5"/>
  <c r="H2006" i="5"/>
  <c r="G2006" i="5"/>
  <c r="H2005" i="5"/>
  <c r="G2005" i="5"/>
  <c r="H2004" i="5"/>
  <c r="G2004" i="5"/>
  <c r="H2003" i="5"/>
  <c r="G2003" i="5"/>
  <c r="H2002" i="5"/>
  <c r="G2002" i="5"/>
  <c r="H2001" i="5"/>
  <c r="G2001" i="5"/>
  <c r="H2000" i="5"/>
  <c r="G2000" i="5"/>
  <c r="H1999" i="5"/>
  <c r="G1999" i="5"/>
  <c r="H1998" i="5"/>
  <c r="G1998" i="5"/>
  <c r="H1997" i="5"/>
  <c r="G1997" i="5"/>
  <c r="H1996" i="5"/>
  <c r="G1996" i="5"/>
  <c r="H1995" i="5"/>
  <c r="G1995" i="5"/>
  <c r="H1994" i="5"/>
  <c r="G1994" i="5"/>
  <c r="H1993" i="5"/>
  <c r="G1993" i="5"/>
  <c r="H1992" i="5"/>
  <c r="G1992" i="5"/>
  <c r="H1991" i="5"/>
  <c r="G1991" i="5"/>
  <c r="H1990" i="5"/>
  <c r="G1990" i="5"/>
  <c r="H1989" i="5"/>
  <c r="G1989" i="5"/>
  <c r="H1988" i="5"/>
  <c r="G1988" i="5"/>
  <c r="H1987" i="5"/>
  <c r="G1987" i="5"/>
  <c r="H1986" i="5"/>
  <c r="G1986" i="5"/>
  <c r="H1985" i="5"/>
  <c r="G1985" i="5"/>
  <c r="H1984" i="5"/>
  <c r="G1984" i="5"/>
  <c r="H1983" i="5"/>
  <c r="G1983" i="5"/>
  <c r="H1982" i="5"/>
  <c r="G1982" i="5"/>
  <c r="H1981" i="5"/>
  <c r="G1981" i="5"/>
  <c r="H1980" i="5"/>
  <c r="G1980" i="5"/>
  <c r="H1979" i="5"/>
  <c r="G1979" i="5"/>
  <c r="H1978" i="5"/>
  <c r="G1978" i="5"/>
  <c r="H1977" i="5"/>
  <c r="G1977" i="5"/>
  <c r="H1976" i="5"/>
  <c r="G1976" i="5"/>
  <c r="H1975" i="5"/>
  <c r="G1975" i="5"/>
  <c r="H1974" i="5"/>
  <c r="G1974" i="5"/>
  <c r="H1973" i="5"/>
  <c r="G1973" i="5"/>
  <c r="H1972" i="5"/>
  <c r="G1972" i="5"/>
  <c r="H1971" i="5"/>
  <c r="G1971" i="5"/>
  <c r="H1970" i="5"/>
  <c r="G1970" i="5"/>
  <c r="H1969" i="5"/>
  <c r="G1969" i="5"/>
  <c r="H1968" i="5"/>
  <c r="G1968" i="5"/>
  <c r="H1967" i="5"/>
  <c r="G1967" i="5"/>
  <c r="H1966" i="5"/>
  <c r="G1966" i="5"/>
  <c r="H1965" i="5"/>
  <c r="G1965" i="5"/>
  <c r="H1964" i="5"/>
  <c r="G1964" i="5"/>
  <c r="H1963" i="5"/>
  <c r="G1963" i="5"/>
  <c r="H1962" i="5"/>
  <c r="G1962" i="5"/>
  <c r="H1961" i="5"/>
  <c r="G1961" i="5"/>
  <c r="H1960" i="5"/>
  <c r="G1960" i="5"/>
  <c r="H1959" i="5"/>
  <c r="G1959" i="5"/>
  <c r="H1958" i="5"/>
  <c r="G1958" i="5"/>
  <c r="H1957" i="5"/>
  <c r="G1957" i="5"/>
  <c r="H1956" i="5"/>
  <c r="G1956" i="5"/>
  <c r="H1955" i="5"/>
  <c r="G1955" i="5"/>
  <c r="H1954" i="5"/>
  <c r="G1954" i="5"/>
  <c r="H1953" i="5"/>
  <c r="G1953" i="5"/>
  <c r="H1952" i="5"/>
  <c r="G1952" i="5"/>
  <c r="H1951" i="5"/>
  <c r="G1951" i="5"/>
  <c r="H1950" i="5"/>
  <c r="G1950" i="5"/>
  <c r="H1949" i="5"/>
  <c r="G1949" i="5"/>
  <c r="H1948" i="5"/>
  <c r="G1948" i="5"/>
  <c r="H1947" i="5"/>
  <c r="G1947" i="5"/>
  <c r="H1946" i="5"/>
  <c r="G1946" i="5"/>
  <c r="H1945" i="5"/>
  <c r="G1945" i="5"/>
  <c r="H1944" i="5"/>
  <c r="G1944" i="5"/>
  <c r="H1943" i="5"/>
  <c r="G1943" i="5"/>
  <c r="H1942" i="5"/>
  <c r="G1942" i="5"/>
  <c r="H1941" i="5"/>
  <c r="G1941" i="5"/>
  <c r="H1940" i="5"/>
  <c r="G1940" i="5"/>
  <c r="H1939" i="5"/>
  <c r="G1939" i="5"/>
  <c r="H1938" i="5"/>
  <c r="G1938" i="5"/>
  <c r="H1937" i="5"/>
  <c r="G1937" i="5"/>
  <c r="H1936" i="5"/>
  <c r="G1936" i="5"/>
  <c r="H1935" i="5"/>
  <c r="G1935" i="5"/>
  <c r="H1934" i="5"/>
  <c r="G1934" i="5"/>
  <c r="H1933" i="5"/>
  <c r="G1933" i="5"/>
  <c r="H1932" i="5"/>
  <c r="G1932" i="5"/>
  <c r="H1931" i="5"/>
  <c r="G1931" i="5"/>
  <c r="H1930" i="5"/>
  <c r="G1930" i="5"/>
  <c r="H1929" i="5"/>
  <c r="G1929" i="5"/>
  <c r="H1928" i="5"/>
  <c r="G1928" i="5"/>
  <c r="H1927" i="5"/>
  <c r="G1927" i="5"/>
  <c r="H1926" i="5"/>
  <c r="G1926" i="5"/>
  <c r="H1925" i="5"/>
  <c r="G1925" i="5"/>
  <c r="H1924" i="5"/>
  <c r="G1924" i="5"/>
  <c r="H1923" i="5"/>
  <c r="G1923" i="5"/>
  <c r="H1922" i="5"/>
  <c r="G1922" i="5"/>
  <c r="H1921" i="5"/>
  <c r="G1921" i="5"/>
  <c r="H1920" i="5"/>
  <c r="G1920" i="5"/>
  <c r="H1919" i="5"/>
  <c r="G1919" i="5"/>
  <c r="H1918" i="5"/>
  <c r="G1918" i="5"/>
  <c r="H1917" i="5"/>
  <c r="G1917" i="5"/>
  <c r="H1916" i="5"/>
  <c r="G1916" i="5"/>
  <c r="H1915" i="5"/>
  <c r="G1915" i="5"/>
  <c r="H1914" i="5"/>
  <c r="G1914" i="5"/>
  <c r="H1913" i="5"/>
  <c r="G1913" i="5"/>
  <c r="H1912" i="5"/>
  <c r="G1912" i="5"/>
  <c r="H1911" i="5"/>
  <c r="G1911" i="5"/>
  <c r="H1910" i="5"/>
  <c r="G1910" i="5"/>
  <c r="H1909" i="5"/>
  <c r="G1909" i="5"/>
  <c r="H1908" i="5"/>
  <c r="G1908" i="5"/>
  <c r="H1907" i="5"/>
  <c r="G1907" i="5"/>
  <c r="H1906" i="5"/>
  <c r="G1906" i="5"/>
  <c r="H1905" i="5"/>
  <c r="G1905" i="5"/>
  <c r="H1904" i="5"/>
  <c r="G1904" i="5"/>
  <c r="H1903" i="5"/>
  <c r="G1903" i="5"/>
  <c r="H1902" i="5"/>
  <c r="G1902" i="5"/>
  <c r="H1901" i="5"/>
  <c r="G1901" i="5"/>
  <c r="H1900" i="5"/>
  <c r="G1900" i="5"/>
  <c r="H1899" i="5"/>
  <c r="G1899" i="5"/>
  <c r="H1898" i="5"/>
  <c r="G1898" i="5"/>
  <c r="H1897" i="5"/>
  <c r="G1897" i="5"/>
  <c r="H1896" i="5"/>
  <c r="G1896" i="5"/>
  <c r="H1895" i="5"/>
  <c r="G1895" i="5"/>
  <c r="H1894" i="5"/>
  <c r="G1894" i="5"/>
  <c r="H1893" i="5"/>
  <c r="G1893" i="5"/>
  <c r="H1892" i="5"/>
  <c r="G1892" i="5"/>
  <c r="H1891" i="5"/>
  <c r="G1891" i="5"/>
  <c r="H1890" i="5"/>
  <c r="G1890" i="5"/>
  <c r="H1889" i="5"/>
  <c r="G1889" i="5"/>
  <c r="H1888" i="5"/>
  <c r="G1888" i="5"/>
  <c r="H1887" i="5"/>
  <c r="G1887" i="5"/>
  <c r="H1886" i="5"/>
  <c r="G1886" i="5"/>
  <c r="H1885" i="5"/>
  <c r="G1885" i="5"/>
  <c r="H1884" i="5"/>
  <c r="G1884" i="5"/>
  <c r="H1883" i="5"/>
  <c r="G1883" i="5"/>
  <c r="H1882" i="5"/>
  <c r="G1882" i="5"/>
  <c r="H1881" i="5"/>
  <c r="G1881" i="5"/>
  <c r="H1880" i="5"/>
  <c r="G1880" i="5"/>
  <c r="H1879" i="5"/>
  <c r="G1879" i="5"/>
  <c r="H1878" i="5"/>
  <c r="G1878" i="5"/>
  <c r="H1877" i="5"/>
  <c r="G1877" i="5"/>
  <c r="H1876" i="5"/>
  <c r="G1876" i="5"/>
  <c r="H1875" i="5"/>
  <c r="G1875" i="5"/>
  <c r="H1874" i="5"/>
  <c r="G1874" i="5"/>
  <c r="H1873" i="5"/>
  <c r="G1873" i="5"/>
  <c r="H1872" i="5"/>
  <c r="G1872" i="5"/>
  <c r="H1871" i="5"/>
  <c r="G1871" i="5"/>
  <c r="H1870" i="5"/>
  <c r="G1870" i="5"/>
  <c r="H1869" i="5"/>
  <c r="G1869" i="5"/>
  <c r="H1868" i="5"/>
  <c r="G1868" i="5"/>
  <c r="H1867" i="5"/>
  <c r="G1867" i="5"/>
  <c r="H1866" i="5"/>
  <c r="G1866" i="5"/>
  <c r="H1865" i="5"/>
  <c r="G1865" i="5"/>
  <c r="H1864" i="5"/>
  <c r="G1864" i="5"/>
  <c r="H1863" i="5"/>
  <c r="G1863" i="5"/>
  <c r="H1862" i="5"/>
  <c r="G1862" i="5"/>
  <c r="H1861" i="5"/>
  <c r="G1861" i="5"/>
  <c r="H1860" i="5"/>
  <c r="G1860" i="5"/>
  <c r="H1859" i="5"/>
  <c r="G1859" i="5"/>
  <c r="H1858" i="5"/>
  <c r="G1858" i="5"/>
  <c r="H1857" i="5"/>
  <c r="G1857" i="5"/>
  <c r="H1856" i="5"/>
  <c r="G1856" i="5"/>
  <c r="H1855" i="5"/>
  <c r="G1855" i="5"/>
  <c r="H1854" i="5"/>
  <c r="G1854" i="5"/>
  <c r="H1853" i="5"/>
  <c r="G1853" i="5"/>
  <c r="H1852" i="5"/>
  <c r="G1852" i="5"/>
  <c r="H1851" i="5"/>
  <c r="G1851" i="5"/>
  <c r="H1850" i="5"/>
  <c r="G1850" i="5"/>
  <c r="H1849" i="5"/>
  <c r="G1849" i="5"/>
  <c r="H1848" i="5"/>
  <c r="G1848" i="5"/>
  <c r="H1847" i="5"/>
  <c r="G1847" i="5"/>
  <c r="H1846" i="5"/>
  <c r="G1846" i="5"/>
  <c r="I1846" i="5" s="1"/>
  <c r="H1845" i="5"/>
  <c r="G1845" i="5"/>
  <c r="H1844" i="5"/>
  <c r="G1844" i="5"/>
  <c r="H1843" i="5"/>
  <c r="G1843" i="5"/>
  <c r="H1842" i="5"/>
  <c r="G1842" i="5"/>
  <c r="H1841" i="5"/>
  <c r="G1841" i="5"/>
  <c r="H1840" i="5"/>
  <c r="G1840" i="5"/>
  <c r="H1839" i="5"/>
  <c r="G1839" i="5"/>
  <c r="H1838" i="5"/>
  <c r="G1838" i="5"/>
  <c r="H1837" i="5"/>
  <c r="G1837" i="5"/>
  <c r="H1836" i="5"/>
  <c r="G1836" i="5"/>
  <c r="H1835" i="5"/>
  <c r="G1835" i="5"/>
  <c r="H1834" i="5"/>
  <c r="G1834" i="5"/>
  <c r="H1833" i="5"/>
  <c r="G1833" i="5"/>
  <c r="H1832" i="5"/>
  <c r="G1832" i="5"/>
  <c r="H1831" i="5"/>
  <c r="G1831" i="5"/>
  <c r="H1830" i="5"/>
  <c r="G1830" i="5"/>
  <c r="H1829" i="5"/>
  <c r="G1829" i="5"/>
  <c r="H1828" i="5"/>
  <c r="G1828" i="5"/>
  <c r="H1827" i="5"/>
  <c r="G1827" i="5"/>
  <c r="H1826" i="5"/>
  <c r="G1826" i="5"/>
  <c r="H1825" i="5"/>
  <c r="G1825" i="5"/>
  <c r="H1824" i="5"/>
  <c r="G1824" i="5"/>
  <c r="H1823" i="5"/>
  <c r="G1823" i="5"/>
  <c r="H1822" i="5"/>
  <c r="G1822" i="5"/>
  <c r="I1822" i="5" s="1"/>
  <c r="H1821" i="5"/>
  <c r="G1821" i="5"/>
  <c r="H1820" i="5"/>
  <c r="G1820" i="5"/>
  <c r="H1819" i="5"/>
  <c r="G1819" i="5"/>
  <c r="H1818" i="5"/>
  <c r="G1818" i="5"/>
  <c r="H1817" i="5"/>
  <c r="G1817" i="5"/>
  <c r="H1816" i="5"/>
  <c r="G1816" i="5"/>
  <c r="H1815" i="5"/>
  <c r="G1815" i="5"/>
  <c r="H1814" i="5"/>
  <c r="G1814" i="5"/>
  <c r="H1813" i="5"/>
  <c r="G1813" i="5"/>
  <c r="H1812" i="5"/>
  <c r="G1812" i="5"/>
  <c r="H1811" i="5"/>
  <c r="G1811" i="5"/>
  <c r="H1810" i="5"/>
  <c r="G1810" i="5"/>
  <c r="H1809" i="5"/>
  <c r="G1809" i="5"/>
  <c r="H1808" i="5"/>
  <c r="G1808" i="5"/>
  <c r="H1807" i="5"/>
  <c r="G1807" i="5"/>
  <c r="H1806" i="5"/>
  <c r="G1806" i="5"/>
  <c r="H1805" i="5"/>
  <c r="G1805" i="5"/>
  <c r="H1804" i="5"/>
  <c r="G1804" i="5"/>
  <c r="H1803" i="5"/>
  <c r="G1803" i="5"/>
  <c r="H1802" i="5"/>
  <c r="G1802" i="5"/>
  <c r="H1801" i="5"/>
  <c r="G1801" i="5"/>
  <c r="H1800" i="5"/>
  <c r="G1800" i="5"/>
  <c r="H1799" i="5"/>
  <c r="G1799" i="5"/>
  <c r="H1798" i="5"/>
  <c r="G1798" i="5"/>
  <c r="H1797" i="5"/>
  <c r="G1797" i="5"/>
  <c r="H1796" i="5"/>
  <c r="G1796" i="5"/>
  <c r="H1795" i="5"/>
  <c r="G1795" i="5"/>
  <c r="H1794" i="5"/>
  <c r="G1794" i="5"/>
  <c r="H1793" i="5"/>
  <c r="G1793" i="5"/>
  <c r="H1792" i="5"/>
  <c r="G1792" i="5"/>
  <c r="H1791" i="5"/>
  <c r="G1791" i="5"/>
  <c r="H1790" i="5"/>
  <c r="G1790" i="5"/>
  <c r="H1789" i="5"/>
  <c r="G1789" i="5"/>
  <c r="H1788" i="5"/>
  <c r="G1788" i="5"/>
  <c r="H1787" i="5"/>
  <c r="G1787" i="5"/>
  <c r="H1786" i="5"/>
  <c r="G1786" i="5"/>
  <c r="H1785" i="5"/>
  <c r="G1785" i="5"/>
  <c r="H1784" i="5"/>
  <c r="G1784" i="5"/>
  <c r="H1783" i="5"/>
  <c r="G1783" i="5"/>
  <c r="H1782" i="5"/>
  <c r="G1782" i="5"/>
  <c r="H1781" i="5"/>
  <c r="G1781" i="5"/>
  <c r="H1780" i="5"/>
  <c r="G1780" i="5"/>
  <c r="H1779" i="5"/>
  <c r="G1779" i="5"/>
  <c r="H1778" i="5"/>
  <c r="G1778" i="5"/>
  <c r="H1777" i="5"/>
  <c r="G1777" i="5"/>
  <c r="H1776" i="5"/>
  <c r="G1776" i="5"/>
  <c r="H1775" i="5"/>
  <c r="G1775" i="5"/>
  <c r="H1774" i="5"/>
  <c r="G1774" i="5"/>
  <c r="H1773" i="5"/>
  <c r="G1773" i="5"/>
  <c r="H1772" i="5"/>
  <c r="G1772" i="5"/>
  <c r="H1771" i="5"/>
  <c r="G1771" i="5"/>
  <c r="H1770" i="5"/>
  <c r="G1770" i="5"/>
  <c r="H1769" i="5"/>
  <c r="G1769" i="5"/>
  <c r="H1768" i="5"/>
  <c r="G1768" i="5"/>
  <c r="H1767" i="5"/>
  <c r="G1767" i="5"/>
  <c r="H1766" i="5"/>
  <c r="G1766" i="5"/>
  <c r="H1765" i="5"/>
  <c r="G1765" i="5"/>
  <c r="H1764" i="5"/>
  <c r="G1764" i="5"/>
  <c r="H1763" i="5"/>
  <c r="G1763" i="5"/>
  <c r="H1762" i="5"/>
  <c r="G1762" i="5"/>
  <c r="H1761" i="5"/>
  <c r="G1761" i="5"/>
  <c r="H1760" i="5"/>
  <c r="G1760" i="5"/>
  <c r="H1759" i="5"/>
  <c r="G1759" i="5"/>
  <c r="H1758" i="5"/>
  <c r="G1758" i="5"/>
  <c r="H1757" i="5"/>
  <c r="G1757" i="5"/>
  <c r="H1756" i="5"/>
  <c r="G1756" i="5"/>
  <c r="H1755" i="5"/>
  <c r="G1755" i="5"/>
  <c r="H1754" i="5"/>
  <c r="G1754" i="5"/>
  <c r="H1753" i="5"/>
  <c r="G1753" i="5"/>
  <c r="H1752" i="5"/>
  <c r="G1752" i="5"/>
  <c r="H1751" i="5"/>
  <c r="G1751" i="5"/>
  <c r="H1750" i="5"/>
  <c r="G1750" i="5"/>
  <c r="H1749" i="5"/>
  <c r="G1749" i="5"/>
  <c r="H1748" i="5"/>
  <c r="G1748" i="5"/>
  <c r="H1747" i="5"/>
  <c r="G1747" i="5"/>
  <c r="H1746" i="5"/>
  <c r="G1746" i="5"/>
  <c r="H1745" i="5"/>
  <c r="G1745" i="5"/>
  <c r="H1744" i="5"/>
  <c r="G1744" i="5"/>
  <c r="H1743" i="5"/>
  <c r="G1743" i="5"/>
  <c r="H1742" i="5"/>
  <c r="G1742" i="5"/>
  <c r="H1741" i="5"/>
  <c r="G1741" i="5"/>
  <c r="H1740" i="5"/>
  <c r="G1740" i="5"/>
  <c r="H1739" i="5"/>
  <c r="G1739" i="5"/>
  <c r="H1738" i="5"/>
  <c r="G1738" i="5"/>
  <c r="H1737" i="5"/>
  <c r="G1737" i="5"/>
  <c r="H1736" i="5"/>
  <c r="G1736" i="5"/>
  <c r="H1735" i="5"/>
  <c r="G1735" i="5"/>
  <c r="H1734" i="5"/>
  <c r="G1734" i="5"/>
  <c r="H1733" i="5"/>
  <c r="G1733" i="5"/>
  <c r="H1732" i="5"/>
  <c r="G1732" i="5"/>
  <c r="H1731" i="5"/>
  <c r="G1731" i="5"/>
  <c r="H1730" i="5"/>
  <c r="G1730" i="5"/>
  <c r="H1729" i="5"/>
  <c r="G1729" i="5"/>
  <c r="H1728" i="5"/>
  <c r="G1728" i="5"/>
  <c r="H1727" i="5"/>
  <c r="G1727" i="5"/>
  <c r="H1726" i="5"/>
  <c r="G1726" i="5"/>
  <c r="H1725" i="5"/>
  <c r="G1725" i="5"/>
  <c r="H1724" i="5"/>
  <c r="G1724" i="5"/>
  <c r="H1723" i="5"/>
  <c r="G1723" i="5"/>
  <c r="H1722" i="5"/>
  <c r="G1722" i="5"/>
  <c r="H1721" i="5"/>
  <c r="G1721" i="5"/>
  <c r="H1720" i="5"/>
  <c r="G1720" i="5"/>
  <c r="H1719" i="5"/>
  <c r="G1719" i="5"/>
  <c r="H1718" i="5"/>
  <c r="G1718" i="5"/>
  <c r="H1717" i="5"/>
  <c r="G1717" i="5"/>
  <c r="H1716" i="5"/>
  <c r="G1716" i="5"/>
  <c r="H1715" i="5"/>
  <c r="G1715" i="5"/>
  <c r="H1714" i="5"/>
  <c r="G1714" i="5"/>
  <c r="H1713" i="5"/>
  <c r="G1713" i="5"/>
  <c r="H1712" i="5"/>
  <c r="G1712" i="5"/>
  <c r="H1711" i="5"/>
  <c r="G1711" i="5"/>
  <c r="H1710" i="5"/>
  <c r="G1710" i="5"/>
  <c r="H1709" i="5"/>
  <c r="G1709" i="5"/>
  <c r="H1708" i="5"/>
  <c r="G1708" i="5"/>
  <c r="H1707" i="5"/>
  <c r="G1707" i="5"/>
  <c r="H1706" i="5"/>
  <c r="G1706" i="5"/>
  <c r="H1705" i="5"/>
  <c r="G1705" i="5"/>
  <c r="H1704" i="5"/>
  <c r="G1704" i="5"/>
  <c r="H1703" i="5"/>
  <c r="G1703" i="5"/>
  <c r="H1702" i="5"/>
  <c r="G1702" i="5"/>
  <c r="H1701" i="5"/>
  <c r="G1701" i="5"/>
  <c r="H1700" i="5"/>
  <c r="G1700" i="5"/>
  <c r="H1699" i="5"/>
  <c r="G1699" i="5"/>
  <c r="H1698" i="5"/>
  <c r="G1698" i="5"/>
  <c r="H1697" i="5"/>
  <c r="G1697" i="5"/>
  <c r="H1696" i="5"/>
  <c r="G1696" i="5"/>
  <c r="H1695" i="5"/>
  <c r="G1695" i="5"/>
  <c r="H1694" i="5"/>
  <c r="G1694" i="5"/>
  <c r="H1693" i="5"/>
  <c r="G1693" i="5"/>
  <c r="H1692" i="5"/>
  <c r="G1692" i="5"/>
  <c r="H1691" i="5"/>
  <c r="G1691" i="5"/>
  <c r="H1690" i="5"/>
  <c r="G1690" i="5"/>
  <c r="H1689" i="5"/>
  <c r="G1689" i="5"/>
  <c r="H1688" i="5"/>
  <c r="G1688" i="5"/>
  <c r="H1687" i="5"/>
  <c r="G1687" i="5"/>
  <c r="H1686" i="5"/>
  <c r="G1686" i="5"/>
  <c r="H1685" i="5"/>
  <c r="G1685" i="5"/>
  <c r="H1684" i="5"/>
  <c r="G1684" i="5"/>
  <c r="H1683" i="5"/>
  <c r="G1683" i="5"/>
  <c r="H1682" i="5"/>
  <c r="G1682" i="5"/>
  <c r="H1681" i="5"/>
  <c r="G1681" i="5"/>
  <c r="H1680" i="5"/>
  <c r="G1680" i="5"/>
  <c r="H1679" i="5"/>
  <c r="G1679" i="5"/>
  <c r="H1678" i="5"/>
  <c r="G1678" i="5"/>
  <c r="H1677" i="5"/>
  <c r="G1677" i="5"/>
  <c r="H1676" i="5"/>
  <c r="G1676" i="5"/>
  <c r="H1675" i="5"/>
  <c r="G1675" i="5"/>
  <c r="H1674" i="5"/>
  <c r="G1674" i="5"/>
  <c r="H1673" i="5"/>
  <c r="G1673" i="5"/>
  <c r="H1672" i="5"/>
  <c r="G1672" i="5"/>
  <c r="H1671" i="5"/>
  <c r="G1671" i="5"/>
  <c r="H1670" i="5"/>
  <c r="G1670" i="5"/>
  <c r="H1669" i="5"/>
  <c r="G1669" i="5"/>
  <c r="H1668" i="5"/>
  <c r="G1668" i="5"/>
  <c r="H1667" i="5"/>
  <c r="G1667" i="5"/>
  <c r="H1666" i="5"/>
  <c r="G1666" i="5"/>
  <c r="H1665" i="5"/>
  <c r="G1665" i="5"/>
  <c r="H1664" i="5"/>
  <c r="G1664" i="5"/>
  <c r="H1663" i="5"/>
  <c r="G1663" i="5"/>
  <c r="H1662" i="5"/>
  <c r="G1662" i="5"/>
  <c r="H1661" i="5"/>
  <c r="G1661" i="5"/>
  <c r="H1660" i="5"/>
  <c r="G1660" i="5"/>
  <c r="H1659" i="5"/>
  <c r="G1659" i="5"/>
  <c r="H1658" i="5"/>
  <c r="G1658" i="5"/>
  <c r="H1657" i="5"/>
  <c r="G1657" i="5"/>
  <c r="H1656" i="5"/>
  <c r="G1656" i="5"/>
  <c r="H1655" i="5"/>
  <c r="G1655" i="5"/>
  <c r="H1654" i="5"/>
  <c r="G1654" i="5"/>
  <c r="H1653" i="5"/>
  <c r="G1653" i="5"/>
  <c r="H1652" i="5"/>
  <c r="G1652" i="5"/>
  <c r="H1651" i="5"/>
  <c r="G1651" i="5"/>
  <c r="H1650" i="5"/>
  <c r="G1650" i="5"/>
  <c r="H1649" i="5"/>
  <c r="G1649" i="5"/>
  <c r="H1648" i="5"/>
  <c r="G1648" i="5"/>
  <c r="H1647" i="5"/>
  <c r="G1647" i="5"/>
  <c r="H1646" i="5"/>
  <c r="G1646" i="5"/>
  <c r="H1645" i="5"/>
  <c r="G1645" i="5"/>
  <c r="H1644" i="5"/>
  <c r="G1644" i="5"/>
  <c r="H1643" i="5"/>
  <c r="G1643" i="5"/>
  <c r="H1642" i="5"/>
  <c r="G1642" i="5"/>
  <c r="H1641" i="5"/>
  <c r="G1641" i="5"/>
  <c r="H1640" i="5"/>
  <c r="G1640" i="5"/>
  <c r="H1639" i="5"/>
  <c r="G1639" i="5"/>
  <c r="H1638" i="5"/>
  <c r="G1638" i="5"/>
  <c r="H1637" i="5"/>
  <c r="G1637" i="5"/>
  <c r="H1636" i="5"/>
  <c r="G1636" i="5"/>
  <c r="H1635" i="5"/>
  <c r="G1635" i="5"/>
  <c r="H1634" i="5"/>
  <c r="G1634" i="5"/>
  <c r="H1633" i="5"/>
  <c r="G1633" i="5"/>
  <c r="H1632" i="5"/>
  <c r="G1632" i="5"/>
  <c r="H1631" i="5"/>
  <c r="G1631" i="5"/>
  <c r="H1630" i="5"/>
  <c r="G1630" i="5"/>
  <c r="H1629" i="5"/>
  <c r="G1629" i="5"/>
  <c r="H1628" i="5"/>
  <c r="G1628" i="5"/>
  <c r="H1627" i="5"/>
  <c r="G1627" i="5"/>
  <c r="H1626" i="5"/>
  <c r="G1626" i="5"/>
  <c r="H1625" i="5"/>
  <c r="G1625" i="5"/>
  <c r="H1624" i="5"/>
  <c r="G1624" i="5"/>
  <c r="H1623" i="5"/>
  <c r="G1623" i="5"/>
  <c r="H1622" i="5"/>
  <c r="G1622" i="5"/>
  <c r="H1621" i="5"/>
  <c r="G1621" i="5"/>
  <c r="H1620" i="5"/>
  <c r="G1620" i="5"/>
  <c r="H1619" i="5"/>
  <c r="G1619" i="5"/>
  <c r="H1618" i="5"/>
  <c r="G1618" i="5"/>
  <c r="H1617" i="5"/>
  <c r="G1617" i="5"/>
  <c r="H1616" i="5"/>
  <c r="G1616" i="5"/>
  <c r="H1615" i="5"/>
  <c r="G1615" i="5"/>
  <c r="H1614" i="5"/>
  <c r="G1614" i="5"/>
  <c r="H1613" i="5"/>
  <c r="G1613" i="5"/>
  <c r="H1612" i="5"/>
  <c r="G1612" i="5"/>
  <c r="H1611" i="5"/>
  <c r="G1611" i="5"/>
  <c r="H1610" i="5"/>
  <c r="G1610" i="5"/>
  <c r="H1609" i="5"/>
  <c r="G1609" i="5"/>
  <c r="H1608" i="5"/>
  <c r="G1608" i="5"/>
  <c r="H1607" i="5"/>
  <c r="G1607" i="5"/>
  <c r="H1606" i="5"/>
  <c r="G1606" i="5"/>
  <c r="H1605" i="5"/>
  <c r="G1605" i="5"/>
  <c r="H1604" i="5"/>
  <c r="G1604" i="5"/>
  <c r="H1603" i="5"/>
  <c r="G1603" i="5"/>
  <c r="H1602" i="5"/>
  <c r="G1602" i="5"/>
  <c r="H1601" i="5"/>
  <c r="G1601" i="5"/>
  <c r="H1600" i="5"/>
  <c r="G1600" i="5"/>
  <c r="H1599" i="5"/>
  <c r="G1599" i="5"/>
  <c r="H1598" i="5"/>
  <c r="G1598" i="5"/>
  <c r="H1597" i="5"/>
  <c r="G1597" i="5"/>
  <c r="H1596" i="5"/>
  <c r="G1596" i="5"/>
  <c r="H1595" i="5"/>
  <c r="G1595" i="5"/>
  <c r="H1594" i="5"/>
  <c r="G1594" i="5"/>
  <c r="H1593" i="5"/>
  <c r="G1593" i="5"/>
  <c r="H1592" i="5"/>
  <c r="G1592" i="5"/>
  <c r="H1591" i="5"/>
  <c r="G1591" i="5"/>
  <c r="H1590" i="5"/>
  <c r="G1590" i="5"/>
  <c r="H1589" i="5"/>
  <c r="G1589" i="5"/>
  <c r="H1588" i="5"/>
  <c r="G1588" i="5"/>
  <c r="H1587" i="5"/>
  <c r="G1587" i="5"/>
  <c r="H1586" i="5"/>
  <c r="G1586" i="5"/>
  <c r="H1585" i="5"/>
  <c r="G1585" i="5"/>
  <c r="H1584" i="5"/>
  <c r="G1584" i="5"/>
  <c r="H1583" i="5"/>
  <c r="G1583" i="5"/>
  <c r="H1582" i="5"/>
  <c r="G1582" i="5"/>
  <c r="H1581" i="5"/>
  <c r="G1581" i="5"/>
  <c r="H1580" i="5"/>
  <c r="G1580" i="5"/>
  <c r="H1579" i="5"/>
  <c r="G1579" i="5"/>
  <c r="H1578" i="5"/>
  <c r="G1578" i="5"/>
  <c r="H1577" i="5"/>
  <c r="G1577" i="5"/>
  <c r="H1576" i="5"/>
  <c r="G1576" i="5"/>
  <c r="H1575" i="5"/>
  <c r="G1575" i="5"/>
  <c r="H1574" i="5"/>
  <c r="G1574" i="5"/>
  <c r="H1573" i="5"/>
  <c r="G1573" i="5"/>
  <c r="H1572" i="5"/>
  <c r="G1572" i="5"/>
  <c r="H1571" i="5"/>
  <c r="G1571" i="5"/>
  <c r="H1570" i="5"/>
  <c r="G1570" i="5"/>
  <c r="H1569" i="5"/>
  <c r="G1569" i="5"/>
  <c r="H1568" i="5"/>
  <c r="G1568" i="5"/>
  <c r="H1567" i="5"/>
  <c r="G1567" i="5"/>
  <c r="H1566" i="5"/>
  <c r="G1566" i="5"/>
  <c r="H1565" i="5"/>
  <c r="G1565" i="5"/>
  <c r="H1564" i="5"/>
  <c r="G1564" i="5"/>
  <c r="H1563" i="5"/>
  <c r="G1563" i="5"/>
  <c r="H1562" i="5"/>
  <c r="G1562" i="5"/>
  <c r="H1561" i="5"/>
  <c r="G1561" i="5"/>
  <c r="H1560" i="5"/>
  <c r="G1560" i="5"/>
  <c r="H1559" i="5"/>
  <c r="G1559" i="5"/>
  <c r="H1558" i="5"/>
  <c r="G1558" i="5"/>
  <c r="H1557" i="5"/>
  <c r="G1557" i="5"/>
  <c r="H1556" i="5"/>
  <c r="G1556" i="5"/>
  <c r="H1555" i="5"/>
  <c r="G1555" i="5"/>
  <c r="H1554" i="5"/>
  <c r="G1554" i="5"/>
  <c r="H1553" i="5"/>
  <c r="G1553" i="5"/>
  <c r="H1552" i="5"/>
  <c r="G1552" i="5"/>
  <c r="H1551" i="5"/>
  <c r="G1551" i="5"/>
  <c r="H1550" i="5"/>
  <c r="G1550" i="5"/>
  <c r="H1549" i="5"/>
  <c r="G1549" i="5"/>
  <c r="H1548" i="5"/>
  <c r="G1548" i="5"/>
  <c r="H1547" i="5"/>
  <c r="G1547" i="5"/>
  <c r="H1546" i="5"/>
  <c r="G1546" i="5"/>
  <c r="H1545" i="5"/>
  <c r="G1545" i="5"/>
  <c r="H1544" i="5"/>
  <c r="G1544" i="5"/>
  <c r="H1543" i="5"/>
  <c r="G1543" i="5"/>
  <c r="H1542" i="5"/>
  <c r="G1542" i="5"/>
  <c r="H1541" i="5"/>
  <c r="G1541" i="5"/>
  <c r="H1540" i="5"/>
  <c r="G1540" i="5"/>
  <c r="H1539" i="5"/>
  <c r="G1539" i="5"/>
  <c r="H1538" i="5"/>
  <c r="G1538" i="5"/>
  <c r="H1537" i="5"/>
  <c r="G1537" i="5"/>
  <c r="H1536" i="5"/>
  <c r="G1536" i="5"/>
  <c r="H1535" i="5"/>
  <c r="G1535" i="5"/>
  <c r="H1534" i="5"/>
  <c r="G1534" i="5"/>
  <c r="H1533" i="5"/>
  <c r="G1533" i="5"/>
  <c r="H1532" i="5"/>
  <c r="G1532" i="5"/>
  <c r="H1531" i="5"/>
  <c r="G1531" i="5"/>
  <c r="H1530" i="5"/>
  <c r="G1530" i="5"/>
  <c r="H1529" i="5"/>
  <c r="G1529" i="5"/>
  <c r="H1528" i="5"/>
  <c r="G1528" i="5"/>
  <c r="H1527" i="5"/>
  <c r="G1527" i="5"/>
  <c r="H1526" i="5"/>
  <c r="G1526" i="5"/>
  <c r="H1525" i="5"/>
  <c r="G1525" i="5"/>
  <c r="H1524" i="5"/>
  <c r="G1524" i="5"/>
  <c r="H1523" i="5"/>
  <c r="G1523" i="5"/>
  <c r="H1522" i="5"/>
  <c r="G1522" i="5"/>
  <c r="H1521" i="5"/>
  <c r="G1521" i="5"/>
  <c r="H1520" i="5"/>
  <c r="G1520" i="5"/>
  <c r="H1519" i="5"/>
  <c r="G1519" i="5"/>
  <c r="H1518" i="5"/>
  <c r="G1518" i="5"/>
  <c r="H1517" i="5"/>
  <c r="G1517" i="5"/>
  <c r="H1516" i="5"/>
  <c r="G1516" i="5"/>
  <c r="H1515" i="5"/>
  <c r="G1515" i="5"/>
  <c r="H1514" i="5"/>
  <c r="G1514" i="5"/>
  <c r="H1513" i="5"/>
  <c r="G1513" i="5"/>
  <c r="H1512" i="5"/>
  <c r="G1512" i="5"/>
  <c r="H1511" i="5"/>
  <c r="G1511" i="5"/>
  <c r="H1510" i="5"/>
  <c r="G1510" i="5"/>
  <c r="H1509" i="5"/>
  <c r="G1509" i="5"/>
  <c r="H1508" i="5"/>
  <c r="G1508" i="5"/>
  <c r="H1507" i="5"/>
  <c r="G1507" i="5"/>
  <c r="H1506" i="5"/>
  <c r="G1506" i="5"/>
  <c r="H1505" i="5"/>
  <c r="G1505" i="5"/>
  <c r="H1504" i="5"/>
  <c r="G1504" i="5"/>
  <c r="H1503" i="5"/>
  <c r="G1503" i="5"/>
  <c r="H1502" i="5"/>
  <c r="G1502" i="5"/>
  <c r="H1501" i="5"/>
  <c r="G1501" i="5"/>
  <c r="H1500" i="5"/>
  <c r="G1500" i="5"/>
  <c r="H1499" i="5"/>
  <c r="G1499" i="5"/>
  <c r="H1498" i="5"/>
  <c r="G1498" i="5"/>
  <c r="H1497" i="5"/>
  <c r="G1497" i="5"/>
  <c r="H1496" i="5"/>
  <c r="G1496" i="5"/>
  <c r="H1495" i="5"/>
  <c r="G1495" i="5"/>
  <c r="H1494" i="5"/>
  <c r="G1494" i="5"/>
  <c r="H1493" i="5"/>
  <c r="G1493" i="5"/>
  <c r="H1492" i="5"/>
  <c r="G1492" i="5"/>
  <c r="H1491" i="5"/>
  <c r="G1491" i="5"/>
  <c r="H1490" i="5"/>
  <c r="G1490" i="5"/>
  <c r="H1489" i="5"/>
  <c r="G1489" i="5"/>
  <c r="H1488" i="5"/>
  <c r="G1488" i="5"/>
  <c r="H1487" i="5"/>
  <c r="G1487" i="5"/>
  <c r="H1486" i="5"/>
  <c r="G1486" i="5"/>
  <c r="H1485" i="5"/>
  <c r="G1485" i="5"/>
  <c r="H1484" i="5"/>
  <c r="G1484" i="5"/>
  <c r="H1483" i="5"/>
  <c r="G1483" i="5"/>
  <c r="H1482" i="5"/>
  <c r="G1482" i="5"/>
  <c r="H1481" i="5"/>
  <c r="G1481" i="5"/>
  <c r="H1480" i="5"/>
  <c r="G1480" i="5"/>
  <c r="H1479" i="5"/>
  <c r="G1479" i="5"/>
  <c r="H1478" i="5"/>
  <c r="G1478" i="5"/>
  <c r="H1477" i="5"/>
  <c r="G1477" i="5"/>
  <c r="H1476" i="5"/>
  <c r="G1476" i="5"/>
  <c r="H1475" i="5"/>
  <c r="G1475" i="5"/>
  <c r="H1474" i="5"/>
  <c r="G1474" i="5"/>
  <c r="H1473" i="5"/>
  <c r="G1473" i="5"/>
  <c r="H1472" i="5"/>
  <c r="G1472" i="5"/>
  <c r="H1471" i="5"/>
  <c r="G1471" i="5"/>
  <c r="H1470" i="5"/>
  <c r="G1470" i="5"/>
  <c r="H1469" i="5"/>
  <c r="G1469" i="5"/>
  <c r="H1468" i="5"/>
  <c r="G1468" i="5"/>
  <c r="H1467" i="5"/>
  <c r="G1467" i="5"/>
  <c r="H1466" i="5"/>
  <c r="G1466" i="5"/>
  <c r="H1465" i="5"/>
  <c r="G1465" i="5"/>
  <c r="H1464" i="5"/>
  <c r="G1464" i="5"/>
  <c r="H1463" i="5"/>
  <c r="G1463" i="5"/>
  <c r="H1462" i="5"/>
  <c r="G1462" i="5"/>
  <c r="H1461" i="5"/>
  <c r="G1461" i="5"/>
  <c r="H1460" i="5"/>
  <c r="G1460" i="5"/>
  <c r="H1459" i="5"/>
  <c r="G1459" i="5"/>
  <c r="H1458" i="5"/>
  <c r="G1458" i="5"/>
  <c r="H1457" i="5"/>
  <c r="G1457" i="5"/>
  <c r="H1456" i="5"/>
  <c r="G1456" i="5"/>
  <c r="H1455" i="5"/>
  <c r="G1455" i="5"/>
  <c r="H1454" i="5"/>
  <c r="G1454" i="5"/>
  <c r="H1453" i="5"/>
  <c r="G1453" i="5"/>
  <c r="H1452" i="5"/>
  <c r="G1452" i="5"/>
  <c r="H1451" i="5"/>
  <c r="G1451" i="5"/>
  <c r="H1450" i="5"/>
  <c r="G1450" i="5"/>
  <c r="H1449" i="5"/>
  <c r="G1449" i="5"/>
  <c r="H1448" i="5"/>
  <c r="G1448" i="5"/>
  <c r="H1447" i="5"/>
  <c r="G1447" i="5"/>
  <c r="H1446" i="5"/>
  <c r="G1446" i="5"/>
  <c r="H1445" i="5"/>
  <c r="G1445" i="5"/>
  <c r="H1444" i="5"/>
  <c r="G1444" i="5"/>
  <c r="H1443" i="5"/>
  <c r="G1443" i="5"/>
  <c r="H1442" i="5"/>
  <c r="G1442" i="5"/>
  <c r="H1441" i="5"/>
  <c r="G1441" i="5"/>
  <c r="H1440" i="5"/>
  <c r="G1440" i="5"/>
  <c r="H1439" i="5"/>
  <c r="G1439" i="5"/>
  <c r="H1438" i="5"/>
  <c r="G1438" i="5"/>
  <c r="H1437" i="5"/>
  <c r="G1437" i="5"/>
  <c r="H1436" i="5"/>
  <c r="G1436" i="5"/>
  <c r="H1435" i="5"/>
  <c r="G1435" i="5"/>
  <c r="H1434" i="5"/>
  <c r="G1434" i="5"/>
  <c r="H1433" i="5"/>
  <c r="G1433" i="5"/>
  <c r="H1432" i="5"/>
  <c r="G1432" i="5"/>
  <c r="H1431" i="5"/>
  <c r="G1431" i="5"/>
  <c r="H1430" i="5"/>
  <c r="G1430" i="5"/>
  <c r="H1429" i="5"/>
  <c r="G1429" i="5"/>
  <c r="H1428" i="5"/>
  <c r="G1428" i="5"/>
  <c r="H1427" i="5"/>
  <c r="G1427" i="5"/>
  <c r="H1426" i="5"/>
  <c r="G1426" i="5"/>
  <c r="H1425" i="5"/>
  <c r="G1425" i="5"/>
  <c r="H1424" i="5"/>
  <c r="G1424" i="5"/>
  <c r="H1423" i="5"/>
  <c r="G1423" i="5"/>
  <c r="H1422" i="5"/>
  <c r="G1422" i="5"/>
  <c r="H1421" i="5"/>
  <c r="G1421" i="5"/>
  <c r="H1420" i="5"/>
  <c r="G1420" i="5"/>
  <c r="H1419" i="5"/>
  <c r="G1419" i="5"/>
  <c r="H1418" i="5"/>
  <c r="G1418" i="5"/>
  <c r="H1417" i="5"/>
  <c r="G1417" i="5"/>
  <c r="H1416" i="5"/>
  <c r="G1416" i="5"/>
  <c r="H1415" i="5"/>
  <c r="G1415" i="5"/>
  <c r="H1414" i="5"/>
  <c r="G1414" i="5"/>
  <c r="H1413" i="5"/>
  <c r="G1413" i="5"/>
  <c r="H1412" i="5"/>
  <c r="G1412" i="5"/>
  <c r="H1411" i="5"/>
  <c r="G1411" i="5"/>
  <c r="H1410" i="5"/>
  <c r="G1410" i="5"/>
  <c r="H1409" i="5"/>
  <c r="G1409" i="5"/>
  <c r="H1408" i="5"/>
  <c r="G1408" i="5"/>
  <c r="H1407" i="5"/>
  <c r="G1407" i="5"/>
  <c r="H1406" i="5"/>
  <c r="G1406" i="5"/>
  <c r="H1405" i="5"/>
  <c r="G1405" i="5"/>
  <c r="H1404" i="5"/>
  <c r="G1404" i="5"/>
  <c r="H1403" i="5"/>
  <c r="G1403" i="5"/>
  <c r="H1402" i="5"/>
  <c r="G1402" i="5"/>
  <c r="H1401" i="5"/>
  <c r="G1401" i="5"/>
  <c r="H1400" i="5"/>
  <c r="G1400" i="5"/>
  <c r="H1399" i="5"/>
  <c r="G1399" i="5"/>
  <c r="H1398" i="5"/>
  <c r="G1398" i="5"/>
  <c r="H1397" i="5"/>
  <c r="G1397" i="5"/>
  <c r="H1396" i="5"/>
  <c r="G1396" i="5"/>
  <c r="H1395" i="5"/>
  <c r="G1395" i="5"/>
  <c r="H1394" i="5"/>
  <c r="G1394" i="5"/>
  <c r="H1393" i="5"/>
  <c r="G1393" i="5"/>
  <c r="H1392" i="5"/>
  <c r="G1392" i="5"/>
  <c r="H1391" i="5"/>
  <c r="G1391" i="5"/>
  <c r="H1390" i="5"/>
  <c r="G1390" i="5"/>
  <c r="H1389" i="5"/>
  <c r="G1389" i="5"/>
  <c r="H1388" i="5"/>
  <c r="G1388" i="5"/>
  <c r="H1387" i="5"/>
  <c r="G1387" i="5"/>
  <c r="H1386" i="5"/>
  <c r="G1386" i="5"/>
  <c r="H1385" i="5"/>
  <c r="G1385" i="5"/>
  <c r="H1384" i="5"/>
  <c r="G1384" i="5"/>
  <c r="H1383" i="5"/>
  <c r="G1383" i="5"/>
  <c r="H1382" i="5"/>
  <c r="G1382" i="5"/>
  <c r="H1381" i="5"/>
  <c r="G1381" i="5"/>
  <c r="H1380" i="5"/>
  <c r="G1380" i="5"/>
  <c r="H1379" i="5"/>
  <c r="G1379" i="5"/>
  <c r="H1378" i="5"/>
  <c r="G1378" i="5"/>
  <c r="H1377" i="5"/>
  <c r="G1377" i="5"/>
  <c r="H1376" i="5"/>
  <c r="G1376" i="5"/>
  <c r="H1375" i="5"/>
  <c r="G1375" i="5"/>
  <c r="H1374" i="5"/>
  <c r="G1374" i="5"/>
  <c r="H1373" i="5"/>
  <c r="G1373" i="5"/>
  <c r="H1372" i="5"/>
  <c r="G1372" i="5"/>
  <c r="H1371" i="5"/>
  <c r="G1371" i="5"/>
  <c r="H1370" i="5"/>
  <c r="G1370" i="5"/>
  <c r="H1369" i="5"/>
  <c r="G1369" i="5"/>
  <c r="H1368" i="5"/>
  <c r="G1368" i="5"/>
  <c r="H1367" i="5"/>
  <c r="G1367" i="5"/>
  <c r="H1366" i="5"/>
  <c r="G1366" i="5"/>
  <c r="H1365" i="5"/>
  <c r="G1365" i="5"/>
  <c r="H1364" i="5"/>
  <c r="G1364" i="5"/>
  <c r="H1363" i="5"/>
  <c r="G1363" i="5"/>
  <c r="H1362" i="5"/>
  <c r="G1362" i="5"/>
  <c r="H1361" i="5"/>
  <c r="G1361" i="5"/>
  <c r="H1360" i="5"/>
  <c r="G1360" i="5"/>
  <c r="H1359" i="5"/>
  <c r="G1359" i="5"/>
  <c r="H1358" i="5"/>
  <c r="G1358" i="5"/>
  <c r="H1357" i="5"/>
  <c r="G1357" i="5"/>
  <c r="H1356" i="5"/>
  <c r="G1356" i="5"/>
  <c r="H1355" i="5"/>
  <c r="G1355" i="5"/>
  <c r="H1354" i="5"/>
  <c r="G1354" i="5"/>
  <c r="H1353" i="5"/>
  <c r="G1353" i="5"/>
  <c r="H1352" i="5"/>
  <c r="G1352" i="5"/>
  <c r="H1351" i="5"/>
  <c r="G1351" i="5"/>
  <c r="H1350" i="5"/>
  <c r="G1350" i="5"/>
  <c r="H1349" i="5"/>
  <c r="G1349" i="5"/>
  <c r="H1348" i="5"/>
  <c r="G1348" i="5"/>
  <c r="H1347" i="5"/>
  <c r="G1347" i="5"/>
  <c r="H1346" i="5"/>
  <c r="G1346" i="5"/>
  <c r="H1345" i="5"/>
  <c r="G1345" i="5"/>
  <c r="H1344" i="5"/>
  <c r="G1344" i="5"/>
  <c r="H1343" i="5"/>
  <c r="G1343" i="5"/>
  <c r="H1342" i="5"/>
  <c r="G1342" i="5"/>
  <c r="H1341" i="5"/>
  <c r="G1341" i="5"/>
  <c r="H1340" i="5"/>
  <c r="G1340" i="5"/>
  <c r="H1339" i="5"/>
  <c r="G1339" i="5"/>
  <c r="H1338" i="5"/>
  <c r="G1338" i="5"/>
  <c r="H1337" i="5"/>
  <c r="G1337" i="5"/>
  <c r="H1336" i="5"/>
  <c r="G1336" i="5"/>
  <c r="H1335" i="5"/>
  <c r="G1335" i="5"/>
  <c r="H1334" i="5"/>
  <c r="G1334" i="5"/>
  <c r="H1333" i="5"/>
  <c r="G1333" i="5"/>
  <c r="H1332" i="5"/>
  <c r="G1332" i="5"/>
  <c r="H1331" i="5"/>
  <c r="G1331" i="5"/>
  <c r="H1330" i="5"/>
  <c r="G1330" i="5"/>
  <c r="H1329" i="5"/>
  <c r="G1329" i="5"/>
  <c r="H1328" i="5"/>
  <c r="G1328" i="5"/>
  <c r="H1327" i="5"/>
  <c r="G1327" i="5"/>
  <c r="H1326" i="5"/>
  <c r="G1326" i="5"/>
  <c r="H1325" i="5"/>
  <c r="G1325" i="5"/>
  <c r="H1324" i="5"/>
  <c r="G1324" i="5"/>
  <c r="H1323" i="5"/>
  <c r="G1323" i="5"/>
  <c r="H1322" i="5"/>
  <c r="G1322" i="5"/>
  <c r="H1321" i="5"/>
  <c r="G1321" i="5"/>
  <c r="H1320" i="5"/>
  <c r="G1320" i="5"/>
  <c r="H1319" i="5"/>
  <c r="G1319" i="5"/>
  <c r="H1318" i="5"/>
  <c r="G1318" i="5"/>
  <c r="H1317" i="5"/>
  <c r="G1317" i="5"/>
  <c r="H1316" i="5"/>
  <c r="G1316" i="5"/>
  <c r="H1315" i="5"/>
  <c r="G1315" i="5"/>
  <c r="H1314" i="5"/>
  <c r="G1314" i="5"/>
  <c r="H1313" i="5"/>
  <c r="G1313" i="5"/>
  <c r="H1312" i="5"/>
  <c r="G1312" i="5"/>
  <c r="H1311" i="5"/>
  <c r="G1311" i="5"/>
  <c r="H1310" i="5"/>
  <c r="G1310" i="5"/>
  <c r="H1309" i="5"/>
  <c r="G1309" i="5"/>
  <c r="H1308" i="5"/>
  <c r="G1308" i="5"/>
  <c r="H1307" i="5"/>
  <c r="G1307" i="5"/>
  <c r="H1306" i="5"/>
  <c r="G1306" i="5"/>
  <c r="H1305" i="5"/>
  <c r="G1305" i="5"/>
  <c r="H1304" i="5"/>
  <c r="G1304" i="5"/>
  <c r="H1303" i="5"/>
  <c r="G1303" i="5"/>
  <c r="H1302" i="5"/>
  <c r="G1302" i="5"/>
  <c r="H1301" i="5"/>
  <c r="G1301" i="5"/>
  <c r="H1300" i="5"/>
  <c r="G1300" i="5"/>
  <c r="H1299" i="5"/>
  <c r="G1299" i="5"/>
  <c r="H1298" i="5"/>
  <c r="G1298" i="5"/>
  <c r="H1297" i="5"/>
  <c r="G1297" i="5"/>
  <c r="H1296" i="5"/>
  <c r="G1296" i="5"/>
  <c r="H1295" i="5"/>
  <c r="G1295" i="5"/>
  <c r="H1294" i="5"/>
  <c r="G1294" i="5"/>
  <c r="H1293" i="5"/>
  <c r="G1293" i="5"/>
  <c r="H1292" i="5"/>
  <c r="G1292" i="5"/>
  <c r="H1291" i="5"/>
  <c r="G1291" i="5"/>
  <c r="H1290" i="5"/>
  <c r="G1290" i="5"/>
  <c r="H1289" i="5"/>
  <c r="G1289" i="5"/>
  <c r="H1288" i="5"/>
  <c r="G1288" i="5"/>
  <c r="H1287" i="5"/>
  <c r="G1287" i="5"/>
  <c r="H1286" i="5"/>
  <c r="G1286" i="5"/>
  <c r="H1285" i="5"/>
  <c r="G1285" i="5"/>
  <c r="H1284" i="5"/>
  <c r="G1284" i="5"/>
  <c r="H1283" i="5"/>
  <c r="G1283" i="5"/>
  <c r="H1282" i="5"/>
  <c r="G1282" i="5"/>
  <c r="H1281" i="5"/>
  <c r="G1281" i="5"/>
  <c r="H1280" i="5"/>
  <c r="G1280" i="5"/>
  <c r="H1279" i="5"/>
  <c r="G1279" i="5"/>
  <c r="H1278" i="5"/>
  <c r="G1278" i="5"/>
  <c r="H1277" i="5"/>
  <c r="G1277" i="5"/>
  <c r="H1276" i="5"/>
  <c r="G1276" i="5"/>
  <c r="H1275" i="5"/>
  <c r="G1275" i="5"/>
  <c r="H1274" i="5"/>
  <c r="G1274" i="5"/>
  <c r="H1273" i="5"/>
  <c r="G1273" i="5"/>
  <c r="H1272" i="5"/>
  <c r="G1272" i="5"/>
  <c r="H1271" i="5"/>
  <c r="G1271" i="5"/>
  <c r="H1270" i="5"/>
  <c r="G1270" i="5"/>
  <c r="H1269" i="5"/>
  <c r="G1269" i="5"/>
  <c r="H1268" i="5"/>
  <c r="G1268" i="5"/>
  <c r="H1267" i="5"/>
  <c r="G1267" i="5"/>
  <c r="H1266" i="5"/>
  <c r="G1266" i="5"/>
  <c r="H1265" i="5"/>
  <c r="G1265" i="5"/>
  <c r="H1264" i="5"/>
  <c r="G1264" i="5"/>
  <c r="H1263" i="5"/>
  <c r="G1263" i="5"/>
  <c r="H1262" i="5"/>
  <c r="G1262" i="5"/>
  <c r="H1261" i="5"/>
  <c r="G1261" i="5"/>
  <c r="H1260" i="5"/>
  <c r="G1260" i="5"/>
  <c r="H1259" i="5"/>
  <c r="G1259" i="5"/>
  <c r="H1258" i="5"/>
  <c r="G1258" i="5"/>
  <c r="H1257" i="5"/>
  <c r="G1257" i="5"/>
  <c r="H1256" i="5"/>
  <c r="G1256" i="5"/>
  <c r="H1255" i="5"/>
  <c r="G1255" i="5"/>
  <c r="H1254" i="5"/>
  <c r="G1254" i="5"/>
  <c r="H1253" i="5"/>
  <c r="G1253" i="5"/>
  <c r="H1252" i="5"/>
  <c r="G1252" i="5"/>
  <c r="H1251" i="5"/>
  <c r="G1251" i="5"/>
  <c r="H1250" i="5"/>
  <c r="G1250" i="5"/>
  <c r="H1249" i="5"/>
  <c r="G1249" i="5"/>
  <c r="H1248" i="5"/>
  <c r="G1248" i="5"/>
  <c r="H1247" i="5"/>
  <c r="G1247" i="5"/>
  <c r="H1246" i="5"/>
  <c r="G1246" i="5"/>
  <c r="H1245" i="5"/>
  <c r="G1245" i="5"/>
  <c r="H1244" i="5"/>
  <c r="G1244" i="5"/>
  <c r="H1243" i="5"/>
  <c r="G1243" i="5"/>
  <c r="H1242" i="5"/>
  <c r="G1242" i="5"/>
  <c r="H1241" i="5"/>
  <c r="G1241" i="5"/>
  <c r="H1240" i="5"/>
  <c r="G1240" i="5"/>
  <c r="H1239" i="5"/>
  <c r="G1239" i="5"/>
  <c r="H1238" i="5"/>
  <c r="G1238" i="5"/>
  <c r="H1237" i="5"/>
  <c r="G1237" i="5"/>
  <c r="H1236" i="5"/>
  <c r="G1236" i="5"/>
  <c r="H1235" i="5"/>
  <c r="G1235" i="5"/>
  <c r="H1234" i="5"/>
  <c r="G1234" i="5"/>
  <c r="H1233" i="5"/>
  <c r="G1233" i="5"/>
  <c r="H1232" i="5"/>
  <c r="G1232" i="5"/>
  <c r="H1231" i="5"/>
  <c r="G1231" i="5"/>
  <c r="H1230" i="5"/>
  <c r="G1230" i="5"/>
  <c r="H1229" i="5"/>
  <c r="G1229" i="5"/>
  <c r="H1228" i="5"/>
  <c r="G1228" i="5"/>
  <c r="H1227" i="5"/>
  <c r="G1227" i="5"/>
  <c r="H1226" i="5"/>
  <c r="G1226" i="5"/>
  <c r="H1225" i="5"/>
  <c r="G1225" i="5"/>
  <c r="H1224" i="5"/>
  <c r="G1224" i="5"/>
  <c r="H1223" i="5"/>
  <c r="G1223" i="5"/>
  <c r="H1222" i="5"/>
  <c r="G1222" i="5"/>
  <c r="H1221" i="5"/>
  <c r="G1221" i="5"/>
  <c r="H1220" i="5"/>
  <c r="G1220" i="5"/>
  <c r="H1219" i="5"/>
  <c r="G1219" i="5"/>
  <c r="H1218" i="5"/>
  <c r="G1218" i="5"/>
  <c r="H1217" i="5"/>
  <c r="G1217" i="5"/>
  <c r="H1216" i="5"/>
  <c r="G1216" i="5"/>
  <c r="H1215" i="5"/>
  <c r="G1215" i="5"/>
  <c r="H1214" i="5"/>
  <c r="G1214" i="5"/>
  <c r="H1213" i="5"/>
  <c r="G1213" i="5"/>
  <c r="H1212" i="5"/>
  <c r="G1212" i="5"/>
  <c r="H1211" i="5"/>
  <c r="G1211" i="5"/>
  <c r="H1210" i="5"/>
  <c r="G1210" i="5"/>
  <c r="H1209" i="5"/>
  <c r="G1209" i="5"/>
  <c r="H1208" i="5"/>
  <c r="G1208" i="5"/>
  <c r="H1207" i="5"/>
  <c r="G1207" i="5"/>
  <c r="H1206" i="5"/>
  <c r="G1206" i="5"/>
  <c r="H1205" i="5"/>
  <c r="G1205" i="5"/>
  <c r="H1204" i="5"/>
  <c r="G1204" i="5"/>
  <c r="H1203" i="5"/>
  <c r="G1203" i="5"/>
  <c r="H1202" i="5"/>
  <c r="G1202" i="5"/>
  <c r="H1201" i="5"/>
  <c r="G1201" i="5"/>
  <c r="H1200" i="5"/>
  <c r="G1200" i="5"/>
  <c r="H1199" i="5"/>
  <c r="G1199" i="5"/>
  <c r="H1198" i="5"/>
  <c r="G1198" i="5"/>
  <c r="H1197" i="5"/>
  <c r="G1197" i="5"/>
  <c r="H1196" i="5"/>
  <c r="G1196" i="5"/>
  <c r="H1195" i="5"/>
  <c r="G1195" i="5"/>
  <c r="H1194" i="5"/>
  <c r="G1194" i="5"/>
  <c r="H1193" i="5"/>
  <c r="G1193" i="5"/>
  <c r="H1192" i="5"/>
  <c r="G1192" i="5"/>
  <c r="H1191" i="5"/>
  <c r="G1191" i="5"/>
  <c r="H1190" i="5"/>
  <c r="G1190" i="5"/>
  <c r="H1189" i="5"/>
  <c r="G1189" i="5"/>
  <c r="H1188" i="5"/>
  <c r="G1188" i="5"/>
  <c r="H1187" i="5"/>
  <c r="G1187" i="5"/>
  <c r="H1186" i="5"/>
  <c r="G1186" i="5"/>
  <c r="H1185" i="5"/>
  <c r="G1185" i="5"/>
  <c r="H1184" i="5"/>
  <c r="G1184" i="5"/>
  <c r="H1183" i="5"/>
  <c r="G1183" i="5"/>
  <c r="H1182" i="5"/>
  <c r="G1182" i="5"/>
  <c r="H1181" i="5"/>
  <c r="G1181" i="5"/>
  <c r="H1180" i="5"/>
  <c r="G1180" i="5"/>
  <c r="H1179" i="5"/>
  <c r="G1179" i="5"/>
  <c r="H1178" i="5"/>
  <c r="G1178" i="5"/>
  <c r="H1177" i="5"/>
  <c r="G1177" i="5"/>
  <c r="H1176" i="5"/>
  <c r="G1176" i="5"/>
  <c r="H1175" i="5"/>
  <c r="G1175" i="5"/>
  <c r="H1174" i="5"/>
  <c r="G1174" i="5"/>
  <c r="H1173" i="5"/>
  <c r="G1173" i="5"/>
  <c r="H1172" i="5"/>
  <c r="G1172" i="5"/>
  <c r="H1171" i="5"/>
  <c r="G1171" i="5"/>
  <c r="H1170" i="5"/>
  <c r="G1170" i="5"/>
  <c r="H1169" i="5"/>
  <c r="G1169" i="5"/>
  <c r="H1168" i="5"/>
  <c r="G1168" i="5"/>
  <c r="H1167" i="5"/>
  <c r="G1167" i="5"/>
  <c r="H1166" i="5"/>
  <c r="G1166" i="5"/>
  <c r="H1165" i="5"/>
  <c r="G1165" i="5"/>
  <c r="H1164" i="5"/>
  <c r="G1164" i="5"/>
  <c r="H1163" i="5"/>
  <c r="G1163" i="5"/>
  <c r="H1162" i="5"/>
  <c r="G1162" i="5"/>
  <c r="H1161" i="5"/>
  <c r="G1161" i="5"/>
  <c r="H1160" i="5"/>
  <c r="G1160" i="5"/>
  <c r="H1159" i="5"/>
  <c r="G1159" i="5"/>
  <c r="H1158" i="5"/>
  <c r="G1158" i="5"/>
  <c r="H1157" i="5"/>
  <c r="G1157" i="5"/>
  <c r="H1156" i="5"/>
  <c r="G1156" i="5"/>
  <c r="H1155" i="5"/>
  <c r="G1155" i="5"/>
  <c r="H1154" i="5"/>
  <c r="G1154" i="5"/>
  <c r="H1153" i="5"/>
  <c r="G1153" i="5"/>
  <c r="H1152" i="5"/>
  <c r="G1152" i="5"/>
  <c r="H1151" i="5"/>
  <c r="G1151" i="5"/>
  <c r="H1150" i="5"/>
  <c r="G1150" i="5"/>
  <c r="H1149" i="5"/>
  <c r="G1149" i="5"/>
  <c r="H1148" i="5"/>
  <c r="G1148" i="5"/>
  <c r="H1147" i="5"/>
  <c r="G1147" i="5"/>
  <c r="H1146" i="5"/>
  <c r="G1146" i="5"/>
  <c r="H1145" i="5"/>
  <c r="G1145" i="5"/>
  <c r="H1144" i="5"/>
  <c r="G1144" i="5"/>
  <c r="H1143" i="5"/>
  <c r="G1143" i="5"/>
  <c r="H1142" i="5"/>
  <c r="G1142" i="5"/>
  <c r="H1141" i="5"/>
  <c r="G1141" i="5"/>
  <c r="H1140" i="5"/>
  <c r="G1140" i="5"/>
  <c r="H1139" i="5"/>
  <c r="G1139" i="5"/>
  <c r="H1138" i="5"/>
  <c r="G1138" i="5"/>
  <c r="H1137" i="5"/>
  <c r="G1137" i="5"/>
  <c r="H1136" i="5"/>
  <c r="G1136" i="5"/>
  <c r="H1135" i="5"/>
  <c r="G1135" i="5"/>
  <c r="H1134" i="5"/>
  <c r="G1134" i="5"/>
  <c r="H1133" i="5"/>
  <c r="G1133" i="5"/>
  <c r="H1132" i="5"/>
  <c r="G1132" i="5"/>
  <c r="H1131" i="5"/>
  <c r="G1131" i="5"/>
  <c r="H1130" i="5"/>
  <c r="G1130" i="5"/>
  <c r="H1129" i="5"/>
  <c r="G1129" i="5"/>
  <c r="H1128" i="5"/>
  <c r="G1128" i="5"/>
  <c r="H1127" i="5"/>
  <c r="G1127" i="5"/>
  <c r="H1126" i="5"/>
  <c r="G1126" i="5"/>
  <c r="H1125" i="5"/>
  <c r="G1125" i="5"/>
  <c r="H1124" i="5"/>
  <c r="G1124" i="5"/>
  <c r="H1123" i="5"/>
  <c r="G1123" i="5"/>
  <c r="H1122" i="5"/>
  <c r="G1122" i="5"/>
  <c r="H1121" i="5"/>
  <c r="G1121" i="5"/>
  <c r="H1120" i="5"/>
  <c r="G1120" i="5"/>
  <c r="H1119" i="5"/>
  <c r="G1119" i="5"/>
  <c r="H1118" i="5"/>
  <c r="G1118" i="5"/>
  <c r="H1117" i="5"/>
  <c r="G1117" i="5"/>
  <c r="H1116" i="5"/>
  <c r="G1116" i="5"/>
  <c r="H1115" i="5"/>
  <c r="G1115" i="5"/>
  <c r="H1114" i="5"/>
  <c r="G1114" i="5"/>
  <c r="H1113" i="5"/>
  <c r="G1113" i="5"/>
  <c r="H1112" i="5"/>
  <c r="G1112" i="5"/>
  <c r="H1111" i="5"/>
  <c r="G1111" i="5"/>
  <c r="H1110" i="5"/>
  <c r="G1110" i="5"/>
  <c r="H1109" i="5"/>
  <c r="G1109" i="5"/>
  <c r="H1108" i="5"/>
  <c r="G1108" i="5"/>
  <c r="H1107" i="5"/>
  <c r="G1107" i="5"/>
  <c r="H1106" i="5"/>
  <c r="G1106" i="5"/>
  <c r="H1105" i="5"/>
  <c r="G1105" i="5"/>
  <c r="H1104" i="5"/>
  <c r="G1104" i="5"/>
  <c r="H1103" i="5"/>
  <c r="G1103" i="5"/>
  <c r="H1102" i="5"/>
  <c r="G1102" i="5"/>
  <c r="H1101" i="5"/>
  <c r="G1101" i="5"/>
  <c r="H1100" i="5"/>
  <c r="G1100" i="5"/>
  <c r="H1099" i="5"/>
  <c r="G1099" i="5"/>
  <c r="H1098" i="5"/>
  <c r="G1098" i="5"/>
  <c r="H1097" i="5"/>
  <c r="G1097" i="5"/>
  <c r="H1096" i="5"/>
  <c r="G1096" i="5"/>
  <c r="H1095" i="5"/>
  <c r="G1095" i="5"/>
  <c r="H1094" i="5"/>
  <c r="G1094" i="5"/>
  <c r="H1093" i="5"/>
  <c r="G1093" i="5"/>
  <c r="H1092" i="5"/>
  <c r="G1092" i="5"/>
  <c r="H1091" i="5"/>
  <c r="G1091" i="5"/>
  <c r="H1090" i="5"/>
  <c r="G1090" i="5"/>
  <c r="H1089" i="5"/>
  <c r="G1089" i="5"/>
  <c r="H1088" i="5"/>
  <c r="G1088" i="5"/>
  <c r="H1087" i="5"/>
  <c r="G1087" i="5"/>
  <c r="H1086" i="5"/>
  <c r="G1086" i="5"/>
  <c r="H1085" i="5"/>
  <c r="G1085" i="5"/>
  <c r="H1084" i="5"/>
  <c r="G1084" i="5"/>
  <c r="H1083" i="5"/>
  <c r="G1083" i="5"/>
  <c r="H1082" i="5"/>
  <c r="G1082" i="5"/>
  <c r="H1081" i="5"/>
  <c r="G1081" i="5"/>
  <c r="H1080" i="5"/>
  <c r="G1080" i="5"/>
  <c r="H1079" i="5"/>
  <c r="G1079" i="5"/>
  <c r="H1078" i="5"/>
  <c r="G1078" i="5"/>
  <c r="H1077" i="5"/>
  <c r="G1077" i="5"/>
  <c r="H1076" i="5"/>
  <c r="G1076" i="5"/>
  <c r="H1075" i="5"/>
  <c r="G1075" i="5"/>
  <c r="H1074" i="5"/>
  <c r="G1074" i="5"/>
  <c r="H1073" i="5"/>
  <c r="G1073" i="5"/>
  <c r="H1072" i="5"/>
  <c r="G1072" i="5"/>
  <c r="H1071" i="5"/>
  <c r="G1071" i="5"/>
  <c r="H1070" i="5"/>
  <c r="G1070" i="5"/>
  <c r="H1069" i="5"/>
  <c r="G1069" i="5"/>
  <c r="H1068" i="5"/>
  <c r="G1068" i="5"/>
  <c r="H1067" i="5"/>
  <c r="G1067" i="5"/>
  <c r="H1066" i="5"/>
  <c r="G1066" i="5"/>
  <c r="H1065" i="5"/>
  <c r="G1065" i="5"/>
  <c r="H1064" i="5"/>
  <c r="G1064" i="5"/>
  <c r="H1063" i="5"/>
  <c r="G1063" i="5"/>
  <c r="H1062" i="5"/>
  <c r="G1062" i="5"/>
  <c r="H1061" i="5"/>
  <c r="G1061" i="5"/>
  <c r="H1060" i="5"/>
  <c r="G1060" i="5"/>
  <c r="H1059" i="5"/>
  <c r="G1059" i="5"/>
  <c r="H1058" i="5"/>
  <c r="G1058" i="5"/>
  <c r="H1057" i="5"/>
  <c r="G1057" i="5"/>
  <c r="H1056" i="5"/>
  <c r="G1056" i="5"/>
  <c r="H1055" i="5"/>
  <c r="G1055" i="5"/>
  <c r="H1054" i="5"/>
  <c r="G1054" i="5"/>
  <c r="H1053" i="5"/>
  <c r="G1053" i="5"/>
  <c r="H1052" i="5"/>
  <c r="G1052" i="5"/>
  <c r="H1051" i="5"/>
  <c r="G1051" i="5"/>
  <c r="H1050" i="5"/>
  <c r="G1050" i="5"/>
  <c r="H1049" i="5"/>
  <c r="G1049" i="5"/>
  <c r="H1048" i="5"/>
  <c r="G1048" i="5"/>
  <c r="H1047" i="5"/>
  <c r="G1047" i="5"/>
  <c r="H1046" i="5"/>
  <c r="G1046" i="5"/>
  <c r="H1045" i="5"/>
  <c r="G1045" i="5"/>
  <c r="H1044" i="5"/>
  <c r="G1044" i="5"/>
  <c r="H1043" i="5"/>
  <c r="G1043" i="5"/>
  <c r="H1042" i="5"/>
  <c r="G1042" i="5"/>
  <c r="H1041" i="5"/>
  <c r="G1041" i="5"/>
  <c r="H1040" i="5"/>
  <c r="G1040" i="5"/>
  <c r="H1039" i="5"/>
  <c r="G1039" i="5"/>
  <c r="H1038" i="5"/>
  <c r="G1038" i="5"/>
  <c r="H1037" i="5"/>
  <c r="G1037" i="5"/>
  <c r="H1036" i="5"/>
  <c r="G1036" i="5"/>
  <c r="H1035" i="5"/>
  <c r="G1035" i="5"/>
  <c r="H1034" i="5"/>
  <c r="G1034" i="5"/>
  <c r="H1033" i="5"/>
  <c r="G1033" i="5"/>
  <c r="H1032" i="5"/>
  <c r="G1032" i="5"/>
  <c r="H1031" i="5"/>
  <c r="G1031" i="5"/>
  <c r="H1030" i="5"/>
  <c r="G1030" i="5"/>
  <c r="H1029" i="5"/>
  <c r="G1029" i="5"/>
  <c r="H1028" i="5"/>
  <c r="G1028" i="5"/>
  <c r="H1027" i="5"/>
  <c r="G1027" i="5"/>
  <c r="H1026" i="5"/>
  <c r="G1026" i="5"/>
  <c r="H1025" i="5"/>
  <c r="G1025" i="5"/>
  <c r="H1024" i="5"/>
  <c r="G1024" i="5"/>
  <c r="H1023" i="5"/>
  <c r="G1023" i="5"/>
  <c r="H1022" i="5"/>
  <c r="G1022" i="5"/>
  <c r="H1021" i="5"/>
  <c r="G1021" i="5"/>
  <c r="H1020" i="5"/>
  <c r="G1020" i="5"/>
  <c r="H1019" i="5"/>
  <c r="G1019" i="5"/>
  <c r="H1018" i="5"/>
  <c r="G1018" i="5"/>
  <c r="H1017" i="5"/>
  <c r="G1017" i="5"/>
  <c r="H1016" i="5"/>
  <c r="G1016" i="5"/>
  <c r="H1015" i="5"/>
  <c r="G1015" i="5"/>
  <c r="H1014" i="5"/>
  <c r="G1014" i="5"/>
  <c r="H1013" i="5"/>
  <c r="G1013" i="5"/>
  <c r="H1012" i="5"/>
  <c r="G1012" i="5"/>
  <c r="H1011" i="5"/>
  <c r="G1011" i="5"/>
  <c r="H1010" i="5"/>
  <c r="G1010" i="5"/>
  <c r="H1009" i="5"/>
  <c r="G1009" i="5"/>
  <c r="H1008" i="5"/>
  <c r="G1008" i="5"/>
  <c r="H1007" i="5"/>
  <c r="G1007" i="5"/>
  <c r="H1006" i="5"/>
  <c r="G1006" i="5"/>
  <c r="H1005" i="5"/>
  <c r="G1005" i="5"/>
  <c r="H1004" i="5"/>
  <c r="G1004" i="5"/>
  <c r="H1003" i="5"/>
  <c r="G1003" i="5"/>
  <c r="H1002" i="5"/>
  <c r="G1002" i="5"/>
  <c r="H1001" i="5"/>
  <c r="G1001" i="5"/>
  <c r="H1000" i="5"/>
  <c r="G1000" i="5"/>
  <c r="H999" i="5"/>
  <c r="G999" i="5"/>
  <c r="H998" i="5"/>
  <c r="G998" i="5"/>
  <c r="H997" i="5"/>
  <c r="G997" i="5"/>
  <c r="H996" i="5"/>
  <c r="G996" i="5"/>
  <c r="H995" i="5"/>
  <c r="G995" i="5"/>
  <c r="H994" i="5"/>
  <c r="G994" i="5"/>
  <c r="H993" i="5"/>
  <c r="G993" i="5"/>
  <c r="H992" i="5"/>
  <c r="G992" i="5"/>
  <c r="H991" i="5"/>
  <c r="G991" i="5"/>
  <c r="H990" i="5"/>
  <c r="G990" i="5"/>
  <c r="H989" i="5"/>
  <c r="G989" i="5"/>
  <c r="H988" i="5"/>
  <c r="G988" i="5"/>
  <c r="H987" i="5"/>
  <c r="G987" i="5"/>
  <c r="H986" i="5"/>
  <c r="G986" i="5"/>
  <c r="H985" i="5"/>
  <c r="G985" i="5"/>
  <c r="H984" i="5"/>
  <c r="G984" i="5"/>
  <c r="H983" i="5"/>
  <c r="G983" i="5"/>
  <c r="H982" i="5"/>
  <c r="G982" i="5"/>
  <c r="H981" i="5"/>
  <c r="G981" i="5"/>
  <c r="H980" i="5"/>
  <c r="G980" i="5"/>
  <c r="H979" i="5"/>
  <c r="G979" i="5"/>
  <c r="H978" i="5"/>
  <c r="G978" i="5"/>
  <c r="H977" i="5"/>
  <c r="G977" i="5"/>
  <c r="H976" i="5"/>
  <c r="G976" i="5"/>
  <c r="H975" i="5"/>
  <c r="G975" i="5"/>
  <c r="H974" i="5"/>
  <c r="G974" i="5"/>
  <c r="H973" i="5"/>
  <c r="G973" i="5"/>
  <c r="H972" i="5"/>
  <c r="G972" i="5"/>
  <c r="H971" i="5"/>
  <c r="G971" i="5"/>
  <c r="H970" i="5"/>
  <c r="G970" i="5"/>
  <c r="H969" i="5"/>
  <c r="G969" i="5"/>
  <c r="H968" i="5"/>
  <c r="G968" i="5"/>
  <c r="H967" i="5"/>
  <c r="G967" i="5"/>
  <c r="H966" i="5"/>
  <c r="G966" i="5"/>
  <c r="H965" i="5"/>
  <c r="G965" i="5"/>
  <c r="H964" i="5"/>
  <c r="G964" i="5"/>
  <c r="H963" i="5"/>
  <c r="G963" i="5"/>
  <c r="H962" i="5"/>
  <c r="G962" i="5"/>
  <c r="H961" i="5"/>
  <c r="G961" i="5"/>
  <c r="H960" i="5"/>
  <c r="G960" i="5"/>
  <c r="H959" i="5"/>
  <c r="G959" i="5"/>
  <c r="H958" i="5"/>
  <c r="G958" i="5"/>
  <c r="H957" i="5"/>
  <c r="G957" i="5"/>
  <c r="H956" i="5"/>
  <c r="G956" i="5"/>
  <c r="H955" i="5"/>
  <c r="G955" i="5"/>
  <c r="H954" i="5"/>
  <c r="G954" i="5"/>
  <c r="H953" i="5"/>
  <c r="G953" i="5"/>
  <c r="H952" i="5"/>
  <c r="G952" i="5"/>
  <c r="H951" i="5"/>
  <c r="G951" i="5"/>
  <c r="H950" i="5"/>
  <c r="G950" i="5"/>
  <c r="H949" i="5"/>
  <c r="G949" i="5"/>
  <c r="H948" i="5"/>
  <c r="G948" i="5"/>
  <c r="H947" i="5"/>
  <c r="G947" i="5"/>
  <c r="H946" i="5"/>
  <c r="G946" i="5"/>
  <c r="H945" i="5"/>
  <c r="G945" i="5"/>
  <c r="H944" i="5"/>
  <c r="G944" i="5"/>
  <c r="H943" i="5"/>
  <c r="G943" i="5"/>
  <c r="H942" i="5"/>
  <c r="G942" i="5"/>
  <c r="H941" i="5"/>
  <c r="G941" i="5"/>
  <c r="H940" i="5"/>
  <c r="G940" i="5"/>
  <c r="H939" i="5"/>
  <c r="G939" i="5"/>
  <c r="H938" i="5"/>
  <c r="G938" i="5"/>
  <c r="H937" i="5"/>
  <c r="G937" i="5"/>
  <c r="H936" i="5"/>
  <c r="G936" i="5"/>
  <c r="H935" i="5"/>
  <c r="G935" i="5"/>
  <c r="H934" i="5"/>
  <c r="G934" i="5"/>
  <c r="H933" i="5"/>
  <c r="G933" i="5"/>
  <c r="H932" i="5"/>
  <c r="G932" i="5"/>
  <c r="H931" i="5"/>
  <c r="G931" i="5"/>
  <c r="H930" i="5"/>
  <c r="G930" i="5"/>
  <c r="H929" i="5"/>
  <c r="G929" i="5"/>
  <c r="H928" i="5"/>
  <c r="G928" i="5"/>
  <c r="H927" i="5"/>
  <c r="G927" i="5"/>
  <c r="H926" i="5"/>
  <c r="G926" i="5"/>
  <c r="H925" i="5"/>
  <c r="G925" i="5"/>
  <c r="H924" i="5"/>
  <c r="G924" i="5"/>
  <c r="H923" i="5"/>
  <c r="G923" i="5"/>
  <c r="H922" i="5"/>
  <c r="G922" i="5"/>
  <c r="H921" i="5"/>
  <c r="G921" i="5"/>
  <c r="H920" i="5"/>
  <c r="G920" i="5"/>
  <c r="H919" i="5"/>
  <c r="G919" i="5"/>
  <c r="H918" i="5"/>
  <c r="G918" i="5"/>
  <c r="H917" i="5"/>
  <c r="G917" i="5"/>
  <c r="H916" i="5"/>
  <c r="G916" i="5"/>
  <c r="H915" i="5"/>
  <c r="G915" i="5"/>
  <c r="H914" i="5"/>
  <c r="G914" i="5"/>
  <c r="H913" i="5"/>
  <c r="G913" i="5"/>
  <c r="H912" i="5"/>
  <c r="G912" i="5"/>
  <c r="H911" i="5"/>
  <c r="G911" i="5"/>
  <c r="H910" i="5"/>
  <c r="G910" i="5"/>
  <c r="H909" i="5"/>
  <c r="G909" i="5"/>
  <c r="H908" i="5"/>
  <c r="G908" i="5"/>
  <c r="H907" i="5"/>
  <c r="G907" i="5"/>
  <c r="H906" i="5"/>
  <c r="G906" i="5"/>
  <c r="H905" i="5"/>
  <c r="G905" i="5"/>
  <c r="H904" i="5"/>
  <c r="G904" i="5"/>
  <c r="H903" i="5"/>
  <c r="G903" i="5"/>
  <c r="H902" i="5"/>
  <c r="G902" i="5"/>
  <c r="H901" i="5"/>
  <c r="G901" i="5"/>
  <c r="H900" i="5"/>
  <c r="G900" i="5"/>
  <c r="H899" i="5"/>
  <c r="G899" i="5"/>
  <c r="H898" i="5"/>
  <c r="G898" i="5"/>
  <c r="H897" i="5"/>
  <c r="G897" i="5"/>
  <c r="H896" i="5"/>
  <c r="G896" i="5"/>
  <c r="H895" i="5"/>
  <c r="G895" i="5"/>
  <c r="H894" i="5"/>
  <c r="G894" i="5"/>
  <c r="H893" i="5"/>
  <c r="G893" i="5"/>
  <c r="H892" i="5"/>
  <c r="G892" i="5"/>
  <c r="H891" i="5"/>
  <c r="G891" i="5"/>
  <c r="H890" i="5"/>
  <c r="G890" i="5"/>
  <c r="H889" i="5"/>
  <c r="G889" i="5"/>
  <c r="H888" i="5"/>
  <c r="G888" i="5"/>
  <c r="H887" i="5"/>
  <c r="G887" i="5"/>
  <c r="H886" i="5"/>
  <c r="G886" i="5"/>
  <c r="H885" i="5"/>
  <c r="G885" i="5"/>
  <c r="H884" i="5"/>
  <c r="G884" i="5"/>
  <c r="H883" i="5"/>
  <c r="G883" i="5"/>
  <c r="H882" i="5"/>
  <c r="G882" i="5"/>
  <c r="H881" i="5"/>
  <c r="G881" i="5"/>
  <c r="H880" i="5"/>
  <c r="G880" i="5"/>
  <c r="H879" i="5"/>
  <c r="G879" i="5"/>
  <c r="H878" i="5"/>
  <c r="G878" i="5"/>
  <c r="H877" i="5"/>
  <c r="G877" i="5"/>
  <c r="H876" i="5"/>
  <c r="G876" i="5"/>
  <c r="H875" i="5"/>
  <c r="G875" i="5"/>
  <c r="H874" i="5"/>
  <c r="G874" i="5"/>
  <c r="H873" i="5"/>
  <c r="G873" i="5"/>
  <c r="H872" i="5"/>
  <c r="G872" i="5"/>
  <c r="H871" i="5"/>
  <c r="G871" i="5"/>
  <c r="H870" i="5"/>
  <c r="G870" i="5"/>
  <c r="H869" i="5"/>
  <c r="G869" i="5"/>
  <c r="H868" i="5"/>
  <c r="G868" i="5"/>
  <c r="H867" i="5"/>
  <c r="G867" i="5"/>
  <c r="H866" i="5"/>
  <c r="G866" i="5"/>
  <c r="H865" i="5"/>
  <c r="G865" i="5"/>
  <c r="H864" i="5"/>
  <c r="G864" i="5"/>
  <c r="H863" i="5"/>
  <c r="G863" i="5"/>
  <c r="H862" i="5"/>
  <c r="G862" i="5"/>
  <c r="H861" i="5"/>
  <c r="G861" i="5"/>
  <c r="H860" i="5"/>
  <c r="G860" i="5"/>
  <c r="H859" i="5"/>
  <c r="G859" i="5"/>
  <c r="H858" i="5"/>
  <c r="G858" i="5"/>
  <c r="H857" i="5"/>
  <c r="G857" i="5"/>
  <c r="H856" i="5"/>
  <c r="G856" i="5"/>
  <c r="H855" i="5"/>
  <c r="G855" i="5"/>
  <c r="H854" i="5"/>
  <c r="G854" i="5"/>
  <c r="H853" i="5"/>
  <c r="G853" i="5"/>
  <c r="H852" i="5"/>
  <c r="G852" i="5"/>
  <c r="H851" i="5"/>
  <c r="G851" i="5"/>
  <c r="H850" i="5"/>
  <c r="G850" i="5"/>
  <c r="H849" i="5"/>
  <c r="G849" i="5"/>
  <c r="H848" i="5"/>
  <c r="G848" i="5"/>
  <c r="H847" i="5"/>
  <c r="G847" i="5"/>
  <c r="H846" i="5"/>
  <c r="G846" i="5"/>
  <c r="H845" i="5"/>
  <c r="G845" i="5"/>
  <c r="H844" i="5"/>
  <c r="G844" i="5"/>
  <c r="H843" i="5"/>
  <c r="G843" i="5"/>
  <c r="H842" i="5"/>
  <c r="G842" i="5"/>
  <c r="H841" i="5"/>
  <c r="G841" i="5"/>
  <c r="H840" i="5"/>
  <c r="G840" i="5"/>
  <c r="H839" i="5"/>
  <c r="G839" i="5"/>
  <c r="H838" i="5"/>
  <c r="G838" i="5"/>
  <c r="H837" i="5"/>
  <c r="G837" i="5"/>
  <c r="H836" i="5"/>
  <c r="G836" i="5"/>
  <c r="H835" i="5"/>
  <c r="G835" i="5"/>
  <c r="H834" i="5"/>
  <c r="G834" i="5"/>
  <c r="H833" i="5"/>
  <c r="G833" i="5"/>
  <c r="H832" i="5"/>
  <c r="G832" i="5"/>
  <c r="H831" i="5"/>
  <c r="G831" i="5"/>
  <c r="H830" i="5"/>
  <c r="G830" i="5"/>
  <c r="H829" i="5"/>
  <c r="G829" i="5"/>
  <c r="H828" i="5"/>
  <c r="G828" i="5"/>
  <c r="H827" i="5"/>
  <c r="G827" i="5"/>
  <c r="H826" i="5"/>
  <c r="G826" i="5"/>
  <c r="H825" i="5"/>
  <c r="G825" i="5"/>
  <c r="H824" i="5"/>
  <c r="G824" i="5"/>
  <c r="H823" i="5"/>
  <c r="G823" i="5"/>
  <c r="H822" i="5"/>
  <c r="G822" i="5"/>
  <c r="H821" i="5"/>
  <c r="G821" i="5"/>
  <c r="H820" i="5"/>
  <c r="G820" i="5"/>
  <c r="H819" i="5"/>
  <c r="G819" i="5"/>
  <c r="H818" i="5"/>
  <c r="G818" i="5"/>
  <c r="H817" i="5"/>
  <c r="G817" i="5"/>
  <c r="H816" i="5"/>
  <c r="G816" i="5"/>
  <c r="H815" i="5"/>
  <c r="G815" i="5"/>
  <c r="H814" i="5"/>
  <c r="G814" i="5"/>
  <c r="H813" i="5"/>
  <c r="G813" i="5"/>
  <c r="H812" i="5"/>
  <c r="G812" i="5"/>
  <c r="H811" i="5"/>
  <c r="G811" i="5"/>
  <c r="H810" i="5"/>
  <c r="G810" i="5"/>
  <c r="H809" i="5"/>
  <c r="G809" i="5"/>
  <c r="H808" i="5"/>
  <c r="G808" i="5"/>
  <c r="H807" i="5"/>
  <c r="G807" i="5"/>
  <c r="H806" i="5"/>
  <c r="G806" i="5"/>
  <c r="H805" i="5"/>
  <c r="G805" i="5"/>
  <c r="H804" i="5"/>
  <c r="G804" i="5"/>
  <c r="H803" i="5"/>
  <c r="G803" i="5"/>
  <c r="H802" i="5"/>
  <c r="G802" i="5"/>
  <c r="H801" i="5"/>
  <c r="G801" i="5"/>
  <c r="H800" i="5"/>
  <c r="G800" i="5"/>
  <c r="H799" i="5"/>
  <c r="G799" i="5"/>
  <c r="H798" i="5"/>
  <c r="G798" i="5"/>
  <c r="H797" i="5"/>
  <c r="G797" i="5"/>
  <c r="H796" i="5"/>
  <c r="G796" i="5"/>
  <c r="H795" i="5"/>
  <c r="G795" i="5"/>
  <c r="H794" i="5"/>
  <c r="G794" i="5"/>
  <c r="H793" i="5"/>
  <c r="G793" i="5"/>
  <c r="H792" i="5"/>
  <c r="G792" i="5"/>
  <c r="H791" i="5"/>
  <c r="G791" i="5"/>
  <c r="H790" i="5"/>
  <c r="G790" i="5"/>
  <c r="H789" i="5"/>
  <c r="G789" i="5"/>
  <c r="H788" i="5"/>
  <c r="G788" i="5"/>
  <c r="H787" i="5"/>
  <c r="G787" i="5"/>
  <c r="H786" i="5"/>
  <c r="G786" i="5"/>
  <c r="H785" i="5"/>
  <c r="G785" i="5"/>
  <c r="H784" i="5"/>
  <c r="G784" i="5"/>
  <c r="H783" i="5"/>
  <c r="G783" i="5"/>
  <c r="H782" i="5"/>
  <c r="G782" i="5"/>
  <c r="H781" i="5"/>
  <c r="G781" i="5"/>
  <c r="H780" i="5"/>
  <c r="G780" i="5"/>
  <c r="H779" i="5"/>
  <c r="G779" i="5"/>
  <c r="H778" i="5"/>
  <c r="G778" i="5"/>
  <c r="H777" i="5"/>
  <c r="G777" i="5"/>
  <c r="H776" i="5"/>
  <c r="G776" i="5"/>
  <c r="H775" i="5"/>
  <c r="G775" i="5"/>
  <c r="H774" i="5"/>
  <c r="G774" i="5"/>
  <c r="H773" i="5"/>
  <c r="G773" i="5"/>
  <c r="H772" i="5"/>
  <c r="G772" i="5"/>
  <c r="H771" i="5"/>
  <c r="G771" i="5"/>
  <c r="H770" i="5"/>
  <c r="G770" i="5"/>
  <c r="H769" i="5"/>
  <c r="G769" i="5"/>
  <c r="H768" i="5"/>
  <c r="G768" i="5"/>
  <c r="H767" i="5"/>
  <c r="G767" i="5"/>
  <c r="H766" i="5"/>
  <c r="G766" i="5"/>
  <c r="H765" i="5"/>
  <c r="G765" i="5"/>
  <c r="H764" i="5"/>
  <c r="G764" i="5"/>
  <c r="H763" i="5"/>
  <c r="G763" i="5"/>
  <c r="H762" i="5"/>
  <c r="G762" i="5"/>
  <c r="H761" i="5"/>
  <c r="G761" i="5"/>
  <c r="H760" i="5"/>
  <c r="G760" i="5"/>
  <c r="H759" i="5"/>
  <c r="G759" i="5"/>
  <c r="H758" i="5"/>
  <c r="G758" i="5"/>
  <c r="H757" i="5"/>
  <c r="G757" i="5"/>
  <c r="H756" i="5"/>
  <c r="G756" i="5"/>
  <c r="H755" i="5"/>
  <c r="G755" i="5"/>
  <c r="H754" i="5"/>
  <c r="G754" i="5"/>
  <c r="H753" i="5"/>
  <c r="G753" i="5"/>
  <c r="H752" i="5"/>
  <c r="G752" i="5"/>
  <c r="H751" i="5"/>
  <c r="G751" i="5"/>
  <c r="H750" i="5"/>
  <c r="G750" i="5"/>
  <c r="H749" i="5"/>
  <c r="G749" i="5"/>
  <c r="H748" i="5"/>
  <c r="G748" i="5"/>
  <c r="H747" i="5"/>
  <c r="G747" i="5"/>
  <c r="H746" i="5"/>
  <c r="G746" i="5"/>
  <c r="H745" i="5"/>
  <c r="G745" i="5"/>
  <c r="H744" i="5"/>
  <c r="G744" i="5"/>
  <c r="H743" i="5"/>
  <c r="G743" i="5"/>
  <c r="H742" i="5"/>
  <c r="G742" i="5"/>
  <c r="H741" i="5"/>
  <c r="G741" i="5"/>
  <c r="H740" i="5"/>
  <c r="G740" i="5"/>
  <c r="H739" i="5"/>
  <c r="G739" i="5"/>
  <c r="H738" i="5"/>
  <c r="G738" i="5"/>
  <c r="H737" i="5"/>
  <c r="G737" i="5"/>
  <c r="H736" i="5"/>
  <c r="G736" i="5"/>
  <c r="H735" i="5"/>
  <c r="G735" i="5"/>
  <c r="H734" i="5"/>
  <c r="G734" i="5"/>
  <c r="H733" i="5"/>
  <c r="G733" i="5"/>
  <c r="H732" i="5"/>
  <c r="G732" i="5"/>
  <c r="H731" i="5"/>
  <c r="G731" i="5"/>
  <c r="H730" i="5"/>
  <c r="G730" i="5"/>
  <c r="H729" i="5"/>
  <c r="G729" i="5"/>
  <c r="H728" i="5"/>
  <c r="G728" i="5"/>
  <c r="H727" i="5"/>
  <c r="G727" i="5"/>
  <c r="H726" i="5"/>
  <c r="G726" i="5"/>
  <c r="H725" i="5"/>
  <c r="G725" i="5"/>
  <c r="H724" i="5"/>
  <c r="G724" i="5"/>
  <c r="H723" i="5"/>
  <c r="G723" i="5"/>
  <c r="H722" i="5"/>
  <c r="G722" i="5"/>
  <c r="H721" i="5"/>
  <c r="G721" i="5"/>
  <c r="H720" i="5"/>
  <c r="G720" i="5"/>
  <c r="H719" i="5"/>
  <c r="G719" i="5"/>
  <c r="H718" i="5"/>
  <c r="G718" i="5"/>
  <c r="H717" i="5"/>
  <c r="G717" i="5"/>
  <c r="H716" i="5"/>
  <c r="G716" i="5"/>
  <c r="H715" i="5"/>
  <c r="G715" i="5"/>
  <c r="H714" i="5"/>
  <c r="G714" i="5"/>
  <c r="H713" i="5"/>
  <c r="G713" i="5"/>
  <c r="H712" i="5"/>
  <c r="G712" i="5"/>
  <c r="H711" i="5"/>
  <c r="G711" i="5"/>
  <c r="H710" i="5"/>
  <c r="G710" i="5"/>
  <c r="H709" i="5"/>
  <c r="G709" i="5"/>
  <c r="H708" i="5"/>
  <c r="G708" i="5"/>
  <c r="H707" i="5"/>
  <c r="G707" i="5"/>
  <c r="H706" i="5"/>
  <c r="G706" i="5"/>
  <c r="H705" i="5"/>
  <c r="G705" i="5"/>
  <c r="H704" i="5"/>
  <c r="G704" i="5"/>
  <c r="H703" i="5"/>
  <c r="G703" i="5"/>
  <c r="H702" i="5"/>
  <c r="G702" i="5"/>
  <c r="H701" i="5"/>
  <c r="G701" i="5"/>
  <c r="H700" i="5"/>
  <c r="G700" i="5"/>
  <c r="H699" i="5"/>
  <c r="G699" i="5"/>
  <c r="H698" i="5"/>
  <c r="G698" i="5"/>
  <c r="H697" i="5"/>
  <c r="G697" i="5"/>
  <c r="H696" i="5"/>
  <c r="G696" i="5"/>
  <c r="H695" i="5"/>
  <c r="G695" i="5"/>
  <c r="H694" i="5"/>
  <c r="G694" i="5"/>
  <c r="H693" i="5"/>
  <c r="G693" i="5"/>
  <c r="H692" i="5"/>
  <c r="G692" i="5"/>
  <c r="H691" i="5"/>
  <c r="G691" i="5"/>
  <c r="H690" i="5"/>
  <c r="G690" i="5"/>
  <c r="H689" i="5"/>
  <c r="G689" i="5"/>
  <c r="H688" i="5"/>
  <c r="G688" i="5"/>
  <c r="H687" i="5"/>
  <c r="G687" i="5"/>
  <c r="H686" i="5"/>
  <c r="G686" i="5"/>
  <c r="H685" i="5"/>
  <c r="G685" i="5"/>
  <c r="H684" i="5"/>
  <c r="G684" i="5"/>
  <c r="H683" i="5"/>
  <c r="G683" i="5"/>
  <c r="H682" i="5"/>
  <c r="G682" i="5"/>
  <c r="H681" i="5"/>
  <c r="G681" i="5"/>
  <c r="H680" i="5"/>
  <c r="G680" i="5"/>
  <c r="H679" i="5"/>
  <c r="G679" i="5"/>
  <c r="H678" i="5"/>
  <c r="G678" i="5"/>
  <c r="H677" i="5"/>
  <c r="G677" i="5"/>
  <c r="H676" i="5"/>
  <c r="G676" i="5"/>
  <c r="H675" i="5"/>
  <c r="G675" i="5"/>
  <c r="H674" i="5"/>
  <c r="G674" i="5"/>
  <c r="H673" i="5"/>
  <c r="G673" i="5"/>
  <c r="H672" i="5"/>
  <c r="G672" i="5"/>
  <c r="H671" i="5"/>
  <c r="G671" i="5"/>
  <c r="H670" i="5"/>
  <c r="G670" i="5"/>
  <c r="H669" i="5"/>
  <c r="G669" i="5"/>
  <c r="H668" i="5"/>
  <c r="G668" i="5"/>
  <c r="H667" i="5"/>
  <c r="G667" i="5"/>
  <c r="H666" i="5"/>
  <c r="G666" i="5"/>
  <c r="H665" i="5"/>
  <c r="G665" i="5"/>
  <c r="H664" i="5"/>
  <c r="G664" i="5"/>
  <c r="H663" i="5"/>
  <c r="G663" i="5"/>
  <c r="H662" i="5"/>
  <c r="G662" i="5"/>
  <c r="H661" i="5"/>
  <c r="G661" i="5"/>
  <c r="H660" i="5"/>
  <c r="G660" i="5"/>
  <c r="H659" i="5"/>
  <c r="G659" i="5"/>
  <c r="H658" i="5"/>
  <c r="G658" i="5"/>
  <c r="H657" i="5"/>
  <c r="G657" i="5"/>
  <c r="H656" i="5"/>
  <c r="G656" i="5"/>
  <c r="H655" i="5"/>
  <c r="G655" i="5"/>
  <c r="H654" i="5"/>
  <c r="G654" i="5"/>
  <c r="H653" i="5"/>
  <c r="G653" i="5"/>
  <c r="H652" i="5"/>
  <c r="G652" i="5"/>
  <c r="H651" i="5"/>
  <c r="G651" i="5"/>
  <c r="H650" i="5"/>
  <c r="G650" i="5"/>
  <c r="H649" i="5"/>
  <c r="G649" i="5"/>
  <c r="H648" i="5"/>
  <c r="G648" i="5"/>
  <c r="H647" i="5"/>
  <c r="G647" i="5"/>
  <c r="H646" i="5"/>
  <c r="G646" i="5"/>
  <c r="H645" i="5"/>
  <c r="G645" i="5"/>
  <c r="H644" i="5"/>
  <c r="G644" i="5"/>
  <c r="H643" i="5"/>
  <c r="G643" i="5"/>
  <c r="H642" i="5"/>
  <c r="G642" i="5"/>
  <c r="H641" i="5"/>
  <c r="G641" i="5"/>
  <c r="H640" i="5"/>
  <c r="G640" i="5"/>
  <c r="H639" i="5"/>
  <c r="G639" i="5"/>
  <c r="H638" i="5"/>
  <c r="G638" i="5"/>
  <c r="H637" i="5"/>
  <c r="G637" i="5"/>
  <c r="H636" i="5"/>
  <c r="G636" i="5"/>
  <c r="H635" i="5"/>
  <c r="G635" i="5"/>
  <c r="H634" i="5"/>
  <c r="G634" i="5"/>
  <c r="H633" i="5"/>
  <c r="G633" i="5"/>
  <c r="H632" i="5"/>
  <c r="G632" i="5"/>
  <c r="H631" i="5"/>
  <c r="G631" i="5"/>
  <c r="H630" i="5"/>
  <c r="G630" i="5"/>
  <c r="H629" i="5"/>
  <c r="G629" i="5"/>
  <c r="H628" i="5"/>
  <c r="G628" i="5"/>
  <c r="H627" i="5"/>
  <c r="G627" i="5"/>
  <c r="H626" i="5"/>
  <c r="G626" i="5"/>
  <c r="H625" i="5"/>
  <c r="G625" i="5"/>
  <c r="H624" i="5"/>
  <c r="G624" i="5"/>
  <c r="H623" i="5"/>
  <c r="G623" i="5"/>
  <c r="H622" i="5"/>
  <c r="G622" i="5"/>
  <c r="H621" i="5"/>
  <c r="G621" i="5"/>
  <c r="H620" i="5"/>
  <c r="G620" i="5"/>
  <c r="H619" i="5"/>
  <c r="G619" i="5"/>
  <c r="H618" i="5"/>
  <c r="G618" i="5"/>
  <c r="H617" i="5"/>
  <c r="G617" i="5"/>
  <c r="H616" i="5"/>
  <c r="G616" i="5"/>
  <c r="H615" i="5"/>
  <c r="G615" i="5"/>
  <c r="H614" i="5"/>
  <c r="G614" i="5"/>
  <c r="H613" i="5"/>
  <c r="G613" i="5"/>
  <c r="H612" i="5"/>
  <c r="G612" i="5"/>
  <c r="H611" i="5"/>
  <c r="G611" i="5"/>
  <c r="H610" i="5"/>
  <c r="G610" i="5"/>
  <c r="H609" i="5"/>
  <c r="G609" i="5"/>
  <c r="H608" i="5"/>
  <c r="G608" i="5"/>
  <c r="H607" i="5"/>
  <c r="G607" i="5"/>
  <c r="H606" i="5"/>
  <c r="G606" i="5"/>
  <c r="H605" i="5"/>
  <c r="G605" i="5"/>
  <c r="H604" i="5"/>
  <c r="G604" i="5"/>
  <c r="H603" i="5"/>
  <c r="G603" i="5"/>
  <c r="H602" i="5"/>
  <c r="G602" i="5"/>
  <c r="H601" i="5"/>
  <c r="G601" i="5"/>
  <c r="H600" i="5"/>
  <c r="G600" i="5"/>
  <c r="H599" i="5"/>
  <c r="G599" i="5"/>
  <c r="H598" i="5"/>
  <c r="G598" i="5"/>
  <c r="H597" i="5"/>
  <c r="G597" i="5"/>
  <c r="H596" i="5"/>
  <c r="G596" i="5"/>
  <c r="H595" i="5"/>
  <c r="G595" i="5"/>
  <c r="H594" i="5"/>
  <c r="G594" i="5"/>
  <c r="H593" i="5"/>
  <c r="G593" i="5"/>
  <c r="H592" i="5"/>
  <c r="G592" i="5"/>
  <c r="H591" i="5"/>
  <c r="G591" i="5"/>
  <c r="H590" i="5"/>
  <c r="G590" i="5"/>
  <c r="H589" i="5"/>
  <c r="G589" i="5"/>
  <c r="H588" i="5"/>
  <c r="G588" i="5"/>
  <c r="H587" i="5"/>
  <c r="G587" i="5"/>
  <c r="H586" i="5"/>
  <c r="G586" i="5"/>
  <c r="H585" i="5"/>
  <c r="G585" i="5"/>
  <c r="H584" i="5"/>
  <c r="G584" i="5"/>
  <c r="H583" i="5"/>
  <c r="G583" i="5"/>
  <c r="H582" i="5"/>
  <c r="G582" i="5"/>
  <c r="H581" i="5"/>
  <c r="G581" i="5"/>
  <c r="H580" i="5"/>
  <c r="G580" i="5"/>
  <c r="H579" i="5"/>
  <c r="G579" i="5"/>
  <c r="H578" i="5"/>
  <c r="G578" i="5"/>
  <c r="H577" i="5"/>
  <c r="G577" i="5"/>
  <c r="H576" i="5"/>
  <c r="G576" i="5"/>
  <c r="H575" i="5"/>
  <c r="G575" i="5"/>
  <c r="H574" i="5"/>
  <c r="G574" i="5"/>
  <c r="H573" i="5"/>
  <c r="G573" i="5"/>
  <c r="H572" i="5"/>
  <c r="G572" i="5"/>
  <c r="H571" i="5"/>
  <c r="G571" i="5"/>
  <c r="H570" i="5"/>
  <c r="G570" i="5"/>
  <c r="H569" i="5"/>
  <c r="G569" i="5"/>
  <c r="H568" i="5"/>
  <c r="G568" i="5"/>
  <c r="H567" i="5"/>
  <c r="G567" i="5"/>
  <c r="H566" i="5"/>
  <c r="G566" i="5"/>
  <c r="H565" i="5"/>
  <c r="G565" i="5"/>
  <c r="H564" i="5"/>
  <c r="G564" i="5"/>
  <c r="H563" i="5"/>
  <c r="G563" i="5"/>
  <c r="H562" i="5"/>
  <c r="G562" i="5"/>
  <c r="H561" i="5"/>
  <c r="G561" i="5"/>
  <c r="H560" i="5"/>
  <c r="G560" i="5"/>
  <c r="H559" i="5"/>
  <c r="G559" i="5"/>
  <c r="H558" i="5"/>
  <c r="G558" i="5"/>
  <c r="H557" i="5"/>
  <c r="G557" i="5"/>
  <c r="H556" i="5"/>
  <c r="G556" i="5"/>
  <c r="H555" i="5"/>
  <c r="G555" i="5"/>
  <c r="H554" i="5"/>
  <c r="G554" i="5"/>
  <c r="H553" i="5"/>
  <c r="G553" i="5"/>
  <c r="H552" i="5"/>
  <c r="G552" i="5"/>
  <c r="H551" i="5"/>
  <c r="G551" i="5"/>
  <c r="H550" i="5"/>
  <c r="G550" i="5"/>
  <c r="H549" i="5"/>
  <c r="G549" i="5"/>
  <c r="H548" i="5"/>
  <c r="G548" i="5"/>
  <c r="H547" i="5"/>
  <c r="G547" i="5"/>
  <c r="H546" i="5"/>
  <c r="G546" i="5"/>
  <c r="H545" i="5"/>
  <c r="G545" i="5"/>
  <c r="H544" i="5"/>
  <c r="G544" i="5"/>
  <c r="H543" i="5"/>
  <c r="G543" i="5"/>
  <c r="H542" i="5"/>
  <c r="G542" i="5"/>
  <c r="H541" i="5"/>
  <c r="G541" i="5"/>
  <c r="H540" i="5"/>
  <c r="G540" i="5"/>
  <c r="H539" i="5"/>
  <c r="G539" i="5"/>
  <c r="H538" i="5"/>
  <c r="G538" i="5"/>
  <c r="H537" i="5"/>
  <c r="G537" i="5"/>
  <c r="H536" i="5"/>
  <c r="G536" i="5"/>
  <c r="H535" i="5"/>
  <c r="G535" i="5"/>
  <c r="H534" i="5"/>
  <c r="G534" i="5"/>
  <c r="H533" i="5"/>
  <c r="G533" i="5"/>
  <c r="H532" i="5"/>
  <c r="G532" i="5"/>
  <c r="H531" i="5"/>
  <c r="G531" i="5"/>
  <c r="H530" i="5"/>
  <c r="G530" i="5"/>
  <c r="H529" i="5"/>
  <c r="G529" i="5"/>
  <c r="H528" i="5"/>
  <c r="G528" i="5"/>
  <c r="H527" i="5"/>
  <c r="G527" i="5"/>
  <c r="H526" i="5"/>
  <c r="G526" i="5"/>
  <c r="H525" i="5"/>
  <c r="G525" i="5"/>
  <c r="H524" i="5"/>
  <c r="G524" i="5"/>
  <c r="H523" i="5"/>
  <c r="G523" i="5"/>
  <c r="H522" i="5"/>
  <c r="G522" i="5"/>
  <c r="H521" i="5"/>
  <c r="G521" i="5"/>
  <c r="H520" i="5"/>
  <c r="G520" i="5"/>
  <c r="H519" i="5"/>
  <c r="G519" i="5"/>
  <c r="H518" i="5"/>
  <c r="G518" i="5"/>
  <c r="H517" i="5"/>
  <c r="G517" i="5"/>
  <c r="H516" i="5"/>
  <c r="G516" i="5"/>
  <c r="H515" i="5"/>
  <c r="G515" i="5"/>
  <c r="H514" i="5"/>
  <c r="G514" i="5"/>
  <c r="H513" i="5"/>
  <c r="G513" i="5"/>
  <c r="H512" i="5"/>
  <c r="G512" i="5"/>
  <c r="H511" i="5"/>
  <c r="G511" i="5"/>
  <c r="H510" i="5"/>
  <c r="G510" i="5"/>
  <c r="H509" i="5"/>
  <c r="G509" i="5"/>
  <c r="H508" i="5"/>
  <c r="G508" i="5"/>
  <c r="H507" i="5"/>
  <c r="G507" i="5"/>
  <c r="H506" i="5"/>
  <c r="G506" i="5"/>
  <c r="H505" i="5"/>
  <c r="G505" i="5"/>
  <c r="H504" i="5"/>
  <c r="G504" i="5"/>
  <c r="H503" i="5"/>
  <c r="G503" i="5"/>
  <c r="H502" i="5"/>
  <c r="G502" i="5"/>
  <c r="H501" i="5"/>
  <c r="G501" i="5"/>
  <c r="H500" i="5"/>
  <c r="G500" i="5"/>
  <c r="H499" i="5"/>
  <c r="G499" i="5"/>
  <c r="H498" i="5"/>
  <c r="G498" i="5"/>
  <c r="H497" i="5"/>
  <c r="G497" i="5"/>
  <c r="H496" i="5"/>
  <c r="G496" i="5"/>
  <c r="H495" i="5"/>
  <c r="G495" i="5"/>
  <c r="H494" i="5"/>
  <c r="G494" i="5"/>
  <c r="H493" i="5"/>
  <c r="G493" i="5"/>
  <c r="H492" i="5"/>
  <c r="G492" i="5"/>
  <c r="H491" i="5"/>
  <c r="G491" i="5"/>
  <c r="H490" i="5"/>
  <c r="G490" i="5"/>
  <c r="H489" i="5"/>
  <c r="G489" i="5"/>
  <c r="H488" i="5"/>
  <c r="G488" i="5"/>
  <c r="H487" i="5"/>
  <c r="G487" i="5"/>
  <c r="H486" i="5"/>
  <c r="G486" i="5"/>
  <c r="H485" i="5"/>
  <c r="G485" i="5"/>
  <c r="H484" i="5"/>
  <c r="G484" i="5"/>
  <c r="H483" i="5"/>
  <c r="G483" i="5"/>
  <c r="H482" i="5"/>
  <c r="G482" i="5"/>
  <c r="H481" i="5"/>
  <c r="G481" i="5"/>
  <c r="H480" i="5"/>
  <c r="G480" i="5"/>
  <c r="H479" i="5"/>
  <c r="G479" i="5"/>
  <c r="H478" i="5"/>
  <c r="G478" i="5"/>
  <c r="H477" i="5"/>
  <c r="G477" i="5"/>
  <c r="H476" i="5"/>
  <c r="G476" i="5"/>
  <c r="H475" i="5"/>
  <c r="G475" i="5"/>
  <c r="H474" i="5"/>
  <c r="G474" i="5"/>
  <c r="H473" i="5"/>
  <c r="G473" i="5"/>
  <c r="H472" i="5"/>
  <c r="G472" i="5"/>
  <c r="H471" i="5"/>
  <c r="G471" i="5"/>
  <c r="H470" i="5"/>
  <c r="G470" i="5"/>
  <c r="H469" i="5"/>
  <c r="G469" i="5"/>
  <c r="H468" i="5"/>
  <c r="G468" i="5"/>
  <c r="H467" i="5"/>
  <c r="G467" i="5"/>
  <c r="H466" i="5"/>
  <c r="G466" i="5"/>
  <c r="H465" i="5"/>
  <c r="G465" i="5"/>
  <c r="H464" i="5"/>
  <c r="G464" i="5"/>
  <c r="H463" i="5"/>
  <c r="G463" i="5"/>
  <c r="H462" i="5"/>
  <c r="G462" i="5"/>
  <c r="H461" i="5"/>
  <c r="G461" i="5"/>
  <c r="H460" i="5"/>
  <c r="G460" i="5"/>
  <c r="H459" i="5"/>
  <c r="G459" i="5"/>
  <c r="H458" i="5"/>
  <c r="G458" i="5"/>
  <c r="H457" i="5"/>
  <c r="G457" i="5"/>
  <c r="H456" i="5"/>
  <c r="G456" i="5"/>
  <c r="H455" i="5"/>
  <c r="G455" i="5"/>
  <c r="H454" i="5"/>
  <c r="G454" i="5"/>
  <c r="H453" i="5"/>
  <c r="G453" i="5"/>
  <c r="H452" i="5"/>
  <c r="G452" i="5"/>
  <c r="H451" i="5"/>
  <c r="G451" i="5"/>
  <c r="H450" i="5"/>
  <c r="G450" i="5"/>
  <c r="H449" i="5"/>
  <c r="G449" i="5"/>
  <c r="H448" i="5"/>
  <c r="G448" i="5"/>
  <c r="H447" i="5"/>
  <c r="G447" i="5"/>
  <c r="H446" i="5"/>
  <c r="G446" i="5"/>
  <c r="H445" i="5"/>
  <c r="G445" i="5"/>
  <c r="H444" i="5"/>
  <c r="G444" i="5"/>
  <c r="H443" i="5"/>
  <c r="G443" i="5"/>
  <c r="H442" i="5"/>
  <c r="G442" i="5"/>
  <c r="H441" i="5"/>
  <c r="G441" i="5"/>
  <c r="H440" i="5"/>
  <c r="G440" i="5"/>
  <c r="H439" i="5"/>
  <c r="G439" i="5"/>
  <c r="H438" i="5"/>
  <c r="G438" i="5"/>
  <c r="H437" i="5"/>
  <c r="G437" i="5"/>
  <c r="H436" i="5"/>
  <c r="G436" i="5"/>
  <c r="H435" i="5"/>
  <c r="G435" i="5"/>
  <c r="H434" i="5"/>
  <c r="G434" i="5"/>
  <c r="H433" i="5"/>
  <c r="G433" i="5"/>
  <c r="H432" i="5"/>
  <c r="G432" i="5"/>
  <c r="H431" i="5"/>
  <c r="G431" i="5"/>
  <c r="H430" i="5"/>
  <c r="G430" i="5"/>
  <c r="H429" i="5"/>
  <c r="G429" i="5"/>
  <c r="H428" i="5"/>
  <c r="G428" i="5"/>
  <c r="H427" i="5"/>
  <c r="G427" i="5"/>
  <c r="H426" i="5"/>
  <c r="G426" i="5"/>
  <c r="H425" i="5"/>
  <c r="G425" i="5"/>
  <c r="H424" i="5"/>
  <c r="G424" i="5"/>
  <c r="H423" i="5"/>
  <c r="G423" i="5"/>
  <c r="H422" i="5"/>
  <c r="G422" i="5"/>
  <c r="H421" i="5"/>
  <c r="G421" i="5"/>
  <c r="H420" i="5"/>
  <c r="G420" i="5"/>
  <c r="H419" i="5"/>
  <c r="G419" i="5"/>
  <c r="H418" i="5"/>
  <c r="G418" i="5"/>
  <c r="H417" i="5"/>
  <c r="G417" i="5"/>
  <c r="H416" i="5"/>
  <c r="G416" i="5"/>
  <c r="H415" i="5"/>
  <c r="G415" i="5"/>
  <c r="H414" i="5"/>
  <c r="G414" i="5"/>
  <c r="H413" i="5"/>
  <c r="G413" i="5"/>
  <c r="H412" i="5"/>
  <c r="G412" i="5"/>
  <c r="H411" i="5"/>
  <c r="G411" i="5"/>
  <c r="H410" i="5"/>
  <c r="G410" i="5"/>
  <c r="H409" i="5"/>
  <c r="G409" i="5"/>
  <c r="H408" i="5"/>
  <c r="G408" i="5"/>
  <c r="H407" i="5"/>
  <c r="G407" i="5"/>
  <c r="H406" i="5"/>
  <c r="G406" i="5"/>
  <c r="H405" i="5"/>
  <c r="G405" i="5"/>
  <c r="H404" i="5"/>
  <c r="G404" i="5"/>
  <c r="H403" i="5"/>
  <c r="G403" i="5"/>
  <c r="H402" i="5"/>
  <c r="G402" i="5"/>
  <c r="H401" i="5"/>
  <c r="G401" i="5"/>
  <c r="H400" i="5"/>
  <c r="G400" i="5"/>
  <c r="H399" i="5"/>
  <c r="G399" i="5"/>
  <c r="H398" i="5"/>
  <c r="G398" i="5"/>
  <c r="H397" i="5"/>
  <c r="G397" i="5"/>
  <c r="H396" i="5"/>
  <c r="G396" i="5"/>
  <c r="H395" i="5"/>
  <c r="G395" i="5"/>
  <c r="H394" i="5"/>
  <c r="G394" i="5"/>
  <c r="H393" i="5"/>
  <c r="G393" i="5"/>
  <c r="H392" i="5"/>
  <c r="G392" i="5"/>
  <c r="H391" i="5"/>
  <c r="G391" i="5"/>
  <c r="H390" i="5"/>
  <c r="G390" i="5"/>
  <c r="H389" i="5"/>
  <c r="G389" i="5"/>
  <c r="H388" i="5"/>
  <c r="G388" i="5"/>
  <c r="H387" i="5"/>
  <c r="G387" i="5"/>
  <c r="H386" i="5"/>
  <c r="G386" i="5"/>
  <c r="H385" i="5"/>
  <c r="G385" i="5"/>
  <c r="H384" i="5"/>
  <c r="G384" i="5"/>
  <c r="H383" i="5"/>
  <c r="G383" i="5"/>
  <c r="H382" i="5"/>
  <c r="G382" i="5"/>
  <c r="H381" i="5"/>
  <c r="G381" i="5"/>
  <c r="H380" i="5"/>
  <c r="G380" i="5"/>
  <c r="H379" i="5"/>
  <c r="G379" i="5"/>
  <c r="H378" i="5"/>
  <c r="G378" i="5"/>
  <c r="H377" i="5"/>
  <c r="G377" i="5"/>
  <c r="H376" i="5"/>
  <c r="G376" i="5"/>
  <c r="H375" i="5"/>
  <c r="G375" i="5"/>
  <c r="H374" i="5"/>
  <c r="G374" i="5"/>
  <c r="H373" i="5"/>
  <c r="G373" i="5"/>
  <c r="H372" i="5"/>
  <c r="G372" i="5"/>
  <c r="H371" i="5"/>
  <c r="G371" i="5"/>
  <c r="H370" i="5"/>
  <c r="G370" i="5"/>
  <c r="H369" i="5"/>
  <c r="G369" i="5"/>
  <c r="H368" i="5"/>
  <c r="G368" i="5"/>
  <c r="H367" i="5"/>
  <c r="G367" i="5"/>
  <c r="H366" i="5"/>
  <c r="G366" i="5"/>
  <c r="H365" i="5"/>
  <c r="G365" i="5"/>
  <c r="H364" i="5"/>
  <c r="G364" i="5"/>
  <c r="H363" i="5"/>
  <c r="G363" i="5"/>
  <c r="H362" i="5"/>
  <c r="G362" i="5"/>
  <c r="H361" i="5"/>
  <c r="G361" i="5"/>
  <c r="H360" i="5"/>
  <c r="G360" i="5"/>
  <c r="H359" i="5"/>
  <c r="G359" i="5"/>
  <c r="H358" i="5"/>
  <c r="G358" i="5"/>
  <c r="H357" i="5"/>
  <c r="G357" i="5"/>
  <c r="H356" i="5"/>
  <c r="G356" i="5"/>
  <c r="H355" i="5"/>
  <c r="G355" i="5"/>
  <c r="H354" i="5"/>
  <c r="G354" i="5"/>
  <c r="H353" i="5"/>
  <c r="G353" i="5"/>
  <c r="H352" i="5"/>
  <c r="G352" i="5"/>
  <c r="H351" i="5"/>
  <c r="G351" i="5"/>
  <c r="H350" i="5"/>
  <c r="G350" i="5"/>
  <c r="H349" i="5"/>
  <c r="G349" i="5"/>
  <c r="H348" i="5"/>
  <c r="G348" i="5"/>
  <c r="H347" i="5"/>
  <c r="G347" i="5"/>
  <c r="H346" i="5"/>
  <c r="G346" i="5"/>
  <c r="H345" i="5"/>
  <c r="G345" i="5"/>
  <c r="H344" i="5"/>
  <c r="G344" i="5"/>
  <c r="H343" i="5"/>
  <c r="G343" i="5"/>
  <c r="H342" i="5"/>
  <c r="G342" i="5"/>
  <c r="H341" i="5"/>
  <c r="G341" i="5"/>
  <c r="H340" i="5"/>
  <c r="G340" i="5"/>
  <c r="H339" i="5"/>
  <c r="G339" i="5"/>
  <c r="H338" i="5"/>
  <c r="G338" i="5"/>
  <c r="H337" i="5"/>
  <c r="G337" i="5"/>
  <c r="H336" i="5"/>
  <c r="G336" i="5"/>
  <c r="H335" i="5"/>
  <c r="G335" i="5"/>
  <c r="H334" i="5"/>
  <c r="G334" i="5"/>
  <c r="H333" i="5"/>
  <c r="G333" i="5"/>
  <c r="H332" i="5"/>
  <c r="G332" i="5"/>
  <c r="H331" i="5"/>
  <c r="G331" i="5"/>
  <c r="H330" i="5"/>
  <c r="G330" i="5"/>
  <c r="H329" i="5"/>
  <c r="G329" i="5"/>
  <c r="H328" i="5"/>
  <c r="G328" i="5"/>
  <c r="H327" i="5"/>
  <c r="G327" i="5"/>
  <c r="H326" i="5"/>
  <c r="G326" i="5"/>
  <c r="H325" i="5"/>
  <c r="G325" i="5"/>
  <c r="H324" i="5"/>
  <c r="G324" i="5"/>
  <c r="H323" i="5"/>
  <c r="G323" i="5"/>
  <c r="H322" i="5"/>
  <c r="G322" i="5"/>
  <c r="H321" i="5"/>
  <c r="G321" i="5"/>
  <c r="H320" i="5"/>
  <c r="G320" i="5"/>
  <c r="H319" i="5"/>
  <c r="G319" i="5"/>
  <c r="H318" i="5"/>
  <c r="G318" i="5"/>
  <c r="H317" i="5"/>
  <c r="G317" i="5"/>
  <c r="H316" i="5"/>
  <c r="G316" i="5"/>
  <c r="H315" i="5"/>
  <c r="G315" i="5"/>
  <c r="H314" i="5"/>
  <c r="G314" i="5"/>
  <c r="H313" i="5"/>
  <c r="G313" i="5"/>
  <c r="H312" i="5"/>
  <c r="G312" i="5"/>
  <c r="H311" i="5"/>
  <c r="G311" i="5"/>
  <c r="H310" i="5"/>
  <c r="G310" i="5"/>
  <c r="H309" i="5"/>
  <c r="G309" i="5"/>
  <c r="H308" i="5"/>
  <c r="G308" i="5"/>
  <c r="H307" i="5"/>
  <c r="G307" i="5"/>
  <c r="H306" i="5"/>
  <c r="G306" i="5"/>
  <c r="H305" i="5"/>
  <c r="G305" i="5"/>
  <c r="H304" i="5"/>
  <c r="G304" i="5"/>
  <c r="H303" i="5"/>
  <c r="G303" i="5"/>
  <c r="H302" i="5"/>
  <c r="G302" i="5"/>
  <c r="H301" i="5"/>
  <c r="G301" i="5"/>
  <c r="H300" i="5"/>
  <c r="G300" i="5"/>
  <c r="H299" i="5"/>
  <c r="G299" i="5"/>
  <c r="H298" i="5"/>
  <c r="G298" i="5"/>
  <c r="H297" i="5"/>
  <c r="G297" i="5"/>
  <c r="H296" i="5"/>
  <c r="G296" i="5"/>
  <c r="H295" i="5"/>
  <c r="G295" i="5"/>
  <c r="H294" i="5"/>
  <c r="G294" i="5"/>
  <c r="H293" i="5"/>
  <c r="G293" i="5"/>
  <c r="H292" i="5"/>
  <c r="G292" i="5"/>
  <c r="H291" i="5"/>
  <c r="G291" i="5"/>
  <c r="H290" i="5"/>
  <c r="G290" i="5"/>
  <c r="H289" i="5"/>
  <c r="G289" i="5"/>
  <c r="H288" i="5"/>
  <c r="G288" i="5"/>
  <c r="H287" i="5"/>
  <c r="G287" i="5"/>
  <c r="H286" i="5"/>
  <c r="G286" i="5"/>
  <c r="H285" i="5"/>
  <c r="G285" i="5"/>
  <c r="H284" i="5"/>
  <c r="G284" i="5"/>
  <c r="H283" i="5"/>
  <c r="G283" i="5"/>
  <c r="H282" i="5"/>
  <c r="G282" i="5"/>
  <c r="H281" i="5"/>
  <c r="G281" i="5"/>
  <c r="H280" i="5"/>
  <c r="G280" i="5"/>
  <c r="H279" i="5"/>
  <c r="G279" i="5"/>
  <c r="H278" i="5"/>
  <c r="G278" i="5"/>
  <c r="H277" i="5"/>
  <c r="G277" i="5"/>
  <c r="H276" i="5"/>
  <c r="G276" i="5"/>
  <c r="H275" i="5"/>
  <c r="G275" i="5"/>
  <c r="H274" i="5"/>
  <c r="G274" i="5"/>
  <c r="H273" i="5"/>
  <c r="G273" i="5"/>
  <c r="H272" i="5"/>
  <c r="G272" i="5"/>
  <c r="H271" i="5"/>
  <c r="G271" i="5"/>
  <c r="H270" i="5"/>
  <c r="G270" i="5"/>
  <c r="H269" i="5"/>
  <c r="G269" i="5"/>
  <c r="H268" i="5"/>
  <c r="G268" i="5"/>
  <c r="H267" i="5"/>
  <c r="G267" i="5"/>
  <c r="H266" i="5"/>
  <c r="G266" i="5"/>
  <c r="H265" i="5"/>
  <c r="G265" i="5"/>
  <c r="H264" i="5"/>
  <c r="G264" i="5"/>
  <c r="H263" i="5"/>
  <c r="G263" i="5"/>
  <c r="H262" i="5"/>
  <c r="G262" i="5"/>
  <c r="H261" i="5"/>
  <c r="G261" i="5"/>
  <c r="H260" i="5"/>
  <c r="G260" i="5"/>
  <c r="H259" i="5"/>
  <c r="G259" i="5"/>
  <c r="H258" i="5"/>
  <c r="G258" i="5"/>
  <c r="H257" i="5"/>
  <c r="G257" i="5"/>
  <c r="H256" i="5"/>
  <c r="G256" i="5"/>
  <c r="H255" i="5"/>
  <c r="G255" i="5"/>
  <c r="H254" i="5"/>
  <c r="G254" i="5"/>
  <c r="H253" i="5"/>
  <c r="G253" i="5"/>
  <c r="H252" i="5"/>
  <c r="G252" i="5"/>
  <c r="H251" i="5"/>
  <c r="G251" i="5"/>
  <c r="H250" i="5"/>
  <c r="G250" i="5"/>
  <c r="H249" i="5"/>
  <c r="G249" i="5"/>
  <c r="H248" i="5"/>
  <c r="G248" i="5"/>
  <c r="H247" i="5"/>
  <c r="G247" i="5"/>
  <c r="H246" i="5"/>
  <c r="G246" i="5"/>
  <c r="H245" i="5"/>
  <c r="G245" i="5"/>
  <c r="H244" i="5"/>
  <c r="G244" i="5"/>
  <c r="H243" i="5"/>
  <c r="G243" i="5"/>
  <c r="H242" i="5"/>
  <c r="G242" i="5"/>
  <c r="H241" i="5"/>
  <c r="G241" i="5"/>
  <c r="H240" i="5"/>
  <c r="G240" i="5"/>
  <c r="H239" i="5"/>
  <c r="G239" i="5"/>
  <c r="H238" i="5"/>
  <c r="G238" i="5"/>
  <c r="H237" i="5"/>
  <c r="G237" i="5"/>
  <c r="H236" i="5"/>
  <c r="G236" i="5"/>
  <c r="H235" i="5"/>
  <c r="G235" i="5"/>
  <c r="H234" i="5"/>
  <c r="G234" i="5"/>
  <c r="H233" i="5"/>
  <c r="G233" i="5"/>
  <c r="H232" i="5"/>
  <c r="G232" i="5"/>
  <c r="H231" i="5"/>
  <c r="G231" i="5"/>
  <c r="H230" i="5"/>
  <c r="G230" i="5"/>
  <c r="H229" i="5"/>
  <c r="G229" i="5"/>
  <c r="H228" i="5"/>
  <c r="G228" i="5"/>
  <c r="H227" i="5"/>
  <c r="G227" i="5"/>
  <c r="H226" i="5"/>
  <c r="G226" i="5"/>
  <c r="H225" i="5"/>
  <c r="G225" i="5"/>
  <c r="H224" i="5"/>
  <c r="G224" i="5"/>
  <c r="H223" i="5"/>
  <c r="G223" i="5"/>
  <c r="H222" i="5"/>
  <c r="G222" i="5"/>
  <c r="H221" i="5"/>
  <c r="G221" i="5"/>
  <c r="H220" i="5"/>
  <c r="G220" i="5"/>
  <c r="H219" i="5"/>
  <c r="G219" i="5"/>
  <c r="H218" i="5"/>
  <c r="G218" i="5"/>
  <c r="H217" i="5"/>
  <c r="G217" i="5"/>
  <c r="H216" i="5"/>
  <c r="G216" i="5"/>
  <c r="H215" i="5"/>
  <c r="G215" i="5"/>
  <c r="H214" i="5"/>
  <c r="G214" i="5"/>
  <c r="H213" i="5"/>
  <c r="G213" i="5"/>
  <c r="H212" i="5"/>
  <c r="G212" i="5"/>
  <c r="H211" i="5"/>
  <c r="G211" i="5"/>
  <c r="H210" i="5"/>
  <c r="G210" i="5"/>
  <c r="H209" i="5"/>
  <c r="G209" i="5"/>
  <c r="H208" i="5"/>
  <c r="G208" i="5"/>
  <c r="H207" i="5"/>
  <c r="G207" i="5"/>
  <c r="H206" i="5"/>
  <c r="G206" i="5"/>
  <c r="H205" i="5"/>
  <c r="G205" i="5"/>
  <c r="H204" i="5"/>
  <c r="G204" i="5"/>
  <c r="H203" i="5"/>
  <c r="G203" i="5"/>
  <c r="H202" i="5"/>
  <c r="G202" i="5"/>
  <c r="H201" i="5"/>
  <c r="G201" i="5"/>
  <c r="H200" i="5"/>
  <c r="G200" i="5"/>
  <c r="H199" i="5"/>
  <c r="G199" i="5"/>
  <c r="H198" i="5"/>
  <c r="G198" i="5"/>
  <c r="H197" i="5"/>
  <c r="G197" i="5"/>
  <c r="H196" i="5"/>
  <c r="G196" i="5"/>
  <c r="H195" i="5"/>
  <c r="G195" i="5"/>
  <c r="H194" i="5"/>
  <c r="G194" i="5"/>
  <c r="H193" i="5"/>
  <c r="G193" i="5"/>
  <c r="H192" i="5"/>
  <c r="G192" i="5"/>
  <c r="H191" i="5"/>
  <c r="G191" i="5"/>
  <c r="H190" i="5"/>
  <c r="G190" i="5"/>
  <c r="H189" i="5"/>
  <c r="G189" i="5"/>
  <c r="H188" i="5"/>
  <c r="G188" i="5"/>
  <c r="H187" i="5"/>
  <c r="G187" i="5"/>
  <c r="H186" i="5"/>
  <c r="G186" i="5"/>
  <c r="H185" i="5"/>
  <c r="G185" i="5"/>
  <c r="H184" i="5"/>
  <c r="G184" i="5"/>
  <c r="H183" i="5"/>
  <c r="G183" i="5"/>
  <c r="H182" i="5"/>
  <c r="G182" i="5"/>
  <c r="H181" i="5"/>
  <c r="G181" i="5"/>
  <c r="H180" i="5"/>
  <c r="G180" i="5"/>
  <c r="H179" i="5"/>
  <c r="G179" i="5"/>
  <c r="H178" i="5"/>
  <c r="G178" i="5"/>
  <c r="H177" i="5"/>
  <c r="G177" i="5"/>
  <c r="H176" i="5"/>
  <c r="G176" i="5"/>
  <c r="H175" i="5"/>
  <c r="G175" i="5"/>
  <c r="H174" i="5"/>
  <c r="G174" i="5"/>
  <c r="H173" i="5"/>
  <c r="G173" i="5"/>
  <c r="H172" i="5"/>
  <c r="G172" i="5"/>
  <c r="H171" i="5"/>
  <c r="G171" i="5"/>
  <c r="H170" i="5"/>
  <c r="G170" i="5"/>
  <c r="H169" i="5"/>
  <c r="G169" i="5"/>
  <c r="H168" i="5"/>
  <c r="G168" i="5"/>
  <c r="H167" i="5"/>
  <c r="G167" i="5"/>
  <c r="H166" i="5"/>
  <c r="G166" i="5"/>
  <c r="H165" i="5"/>
  <c r="G165" i="5"/>
  <c r="H164" i="5"/>
  <c r="G164" i="5"/>
  <c r="H163" i="5"/>
  <c r="G163" i="5"/>
  <c r="H162" i="5"/>
  <c r="G162" i="5"/>
  <c r="H161" i="5"/>
  <c r="G161" i="5"/>
  <c r="H160" i="5"/>
  <c r="G160" i="5"/>
  <c r="H159" i="5"/>
  <c r="G159" i="5"/>
  <c r="H158" i="5"/>
  <c r="G158" i="5"/>
  <c r="H157" i="5"/>
  <c r="G157" i="5"/>
  <c r="H156" i="5"/>
  <c r="G156" i="5"/>
  <c r="H155" i="5"/>
  <c r="G155" i="5"/>
  <c r="H154" i="5"/>
  <c r="G154" i="5"/>
  <c r="H153" i="5"/>
  <c r="G153" i="5"/>
  <c r="H152" i="5"/>
  <c r="G152" i="5"/>
  <c r="H151" i="5"/>
  <c r="G151" i="5"/>
  <c r="H150" i="5"/>
  <c r="G150" i="5"/>
  <c r="H149" i="5"/>
  <c r="G149" i="5"/>
  <c r="H148" i="5"/>
  <c r="G148" i="5"/>
  <c r="H147" i="5"/>
  <c r="G147" i="5"/>
  <c r="H146" i="5"/>
  <c r="G146" i="5"/>
  <c r="H145" i="5"/>
  <c r="G145" i="5"/>
  <c r="H144" i="5"/>
  <c r="G144" i="5"/>
  <c r="H143" i="5"/>
  <c r="G143" i="5"/>
  <c r="H142" i="5"/>
  <c r="G142" i="5"/>
  <c r="H141" i="5"/>
  <c r="G141" i="5"/>
  <c r="H140" i="5"/>
  <c r="G140" i="5"/>
  <c r="H139" i="5"/>
  <c r="G139" i="5"/>
  <c r="H138" i="5"/>
  <c r="G138" i="5"/>
  <c r="H137" i="5"/>
  <c r="G137" i="5"/>
  <c r="H136" i="5"/>
  <c r="G136" i="5"/>
  <c r="H135" i="5"/>
  <c r="G135" i="5"/>
  <c r="H134" i="5"/>
  <c r="G134" i="5"/>
  <c r="H133" i="5"/>
  <c r="G133" i="5"/>
  <c r="H132" i="5"/>
  <c r="G132" i="5"/>
  <c r="H131" i="5"/>
  <c r="G131" i="5"/>
  <c r="H130" i="5"/>
  <c r="G130" i="5"/>
  <c r="H129" i="5"/>
  <c r="G129" i="5"/>
  <c r="H128" i="5"/>
  <c r="G128" i="5"/>
  <c r="H127" i="5"/>
  <c r="G127" i="5"/>
  <c r="H126" i="5"/>
  <c r="G126" i="5"/>
  <c r="H125" i="5"/>
  <c r="G125" i="5"/>
  <c r="H124" i="5"/>
  <c r="G124" i="5"/>
  <c r="H123" i="5"/>
  <c r="G123" i="5"/>
  <c r="H122" i="5"/>
  <c r="G122" i="5"/>
  <c r="H121" i="5"/>
  <c r="G121" i="5"/>
  <c r="H120" i="5"/>
  <c r="G120" i="5"/>
  <c r="H119" i="5"/>
  <c r="G119" i="5"/>
  <c r="H118" i="5"/>
  <c r="G118" i="5"/>
  <c r="H117" i="5"/>
  <c r="G117" i="5"/>
  <c r="H116" i="5"/>
  <c r="G116" i="5"/>
  <c r="H115" i="5"/>
  <c r="G115" i="5"/>
  <c r="H114" i="5"/>
  <c r="G114" i="5"/>
  <c r="H113" i="5"/>
  <c r="G113" i="5"/>
  <c r="H112" i="5"/>
  <c r="G112" i="5"/>
  <c r="H111" i="5"/>
  <c r="G111" i="5"/>
  <c r="H110" i="5"/>
  <c r="G110" i="5"/>
  <c r="H109" i="5"/>
  <c r="G109" i="5"/>
  <c r="H108" i="5"/>
  <c r="G108" i="5"/>
  <c r="H107" i="5"/>
  <c r="G107" i="5"/>
  <c r="H106" i="5"/>
  <c r="G106" i="5"/>
  <c r="H105" i="5"/>
  <c r="G105" i="5"/>
  <c r="H104" i="5"/>
  <c r="G104" i="5"/>
  <c r="H103" i="5"/>
  <c r="G103" i="5"/>
  <c r="H102" i="5"/>
  <c r="G102" i="5"/>
  <c r="H101" i="5"/>
  <c r="G101" i="5"/>
  <c r="H100" i="5"/>
  <c r="G100" i="5"/>
  <c r="H99" i="5"/>
  <c r="G99" i="5"/>
  <c r="H98" i="5"/>
  <c r="G98" i="5"/>
  <c r="H97" i="5"/>
  <c r="G97" i="5"/>
  <c r="H96" i="5"/>
  <c r="G96" i="5"/>
  <c r="H95" i="5"/>
  <c r="G95" i="5"/>
  <c r="H94" i="5"/>
  <c r="G94" i="5"/>
  <c r="H93" i="5"/>
  <c r="G93" i="5"/>
  <c r="H92" i="5"/>
  <c r="G92" i="5"/>
  <c r="H91" i="5"/>
  <c r="G91" i="5"/>
  <c r="H90" i="5"/>
  <c r="G90" i="5"/>
  <c r="H89" i="5"/>
  <c r="G89" i="5"/>
  <c r="H88" i="5"/>
  <c r="G88" i="5"/>
  <c r="H87" i="5"/>
  <c r="G87" i="5"/>
  <c r="H86" i="5"/>
  <c r="G86" i="5"/>
  <c r="H85" i="5"/>
  <c r="G85" i="5"/>
  <c r="H84" i="5"/>
  <c r="G84" i="5"/>
  <c r="H83" i="5"/>
  <c r="G83" i="5"/>
  <c r="H82" i="5"/>
  <c r="G82" i="5"/>
  <c r="H81" i="5"/>
  <c r="G81" i="5"/>
  <c r="H80" i="5"/>
  <c r="G80" i="5"/>
  <c r="H79" i="5"/>
  <c r="G79" i="5"/>
  <c r="H78" i="5"/>
  <c r="G78" i="5"/>
  <c r="H77" i="5"/>
  <c r="G77" i="5"/>
  <c r="H76" i="5"/>
  <c r="G76" i="5"/>
  <c r="H75" i="5"/>
  <c r="G75" i="5"/>
  <c r="H74" i="5"/>
  <c r="G74" i="5"/>
  <c r="H73" i="5"/>
  <c r="G73" i="5"/>
  <c r="H72" i="5"/>
  <c r="G72" i="5"/>
  <c r="H71" i="5"/>
  <c r="G71" i="5"/>
  <c r="H70" i="5"/>
  <c r="G70" i="5"/>
  <c r="H69" i="5"/>
  <c r="G69" i="5"/>
  <c r="H68" i="5"/>
  <c r="G68" i="5"/>
  <c r="H67" i="5"/>
  <c r="G67" i="5"/>
  <c r="H66" i="5"/>
  <c r="G66" i="5"/>
  <c r="H65" i="5"/>
  <c r="G65" i="5"/>
  <c r="H64" i="5"/>
  <c r="G64" i="5"/>
  <c r="H63" i="5"/>
  <c r="G63" i="5"/>
  <c r="H62" i="5"/>
  <c r="G62" i="5"/>
  <c r="H61" i="5"/>
  <c r="G61" i="5"/>
  <c r="H60" i="5"/>
  <c r="G60" i="5"/>
  <c r="H59" i="5"/>
  <c r="G59" i="5"/>
  <c r="H58" i="5"/>
  <c r="G58" i="5"/>
  <c r="H57" i="5"/>
  <c r="G57" i="5"/>
  <c r="H56" i="5"/>
  <c r="G56" i="5"/>
  <c r="H55" i="5"/>
  <c r="G55" i="5"/>
  <c r="H54" i="5"/>
  <c r="G54" i="5"/>
  <c r="H53" i="5"/>
  <c r="G53" i="5"/>
  <c r="H52" i="5"/>
  <c r="G52" i="5"/>
  <c r="H51" i="5"/>
  <c r="G51" i="5"/>
  <c r="H50" i="5"/>
  <c r="G50" i="5"/>
  <c r="H49" i="5"/>
  <c r="G49" i="5"/>
  <c r="H48" i="5"/>
  <c r="G48" i="5"/>
  <c r="H47" i="5"/>
  <c r="G47" i="5"/>
  <c r="H46" i="5"/>
  <c r="G46" i="5"/>
  <c r="H45" i="5"/>
  <c r="G45" i="5"/>
  <c r="H44" i="5"/>
  <c r="G44" i="5"/>
  <c r="H43" i="5"/>
  <c r="G43" i="5"/>
  <c r="H42" i="5"/>
  <c r="G42" i="5"/>
  <c r="H41" i="5"/>
  <c r="G41" i="5"/>
  <c r="H40" i="5"/>
  <c r="G40" i="5"/>
  <c r="H39" i="5"/>
  <c r="G39" i="5"/>
  <c r="H38" i="5"/>
  <c r="G38" i="5"/>
  <c r="H37" i="5"/>
  <c r="G37" i="5"/>
  <c r="H36" i="5"/>
  <c r="G36" i="5"/>
  <c r="H35" i="5"/>
  <c r="G35" i="5"/>
  <c r="H34" i="5"/>
  <c r="G34" i="5"/>
  <c r="H33" i="5"/>
  <c r="G33" i="5"/>
  <c r="H32" i="5"/>
  <c r="G32" i="5"/>
  <c r="H31" i="5"/>
  <c r="G31" i="5"/>
  <c r="H30" i="5"/>
  <c r="G30" i="5"/>
  <c r="H29" i="5"/>
  <c r="G29" i="5"/>
  <c r="H28" i="5"/>
  <c r="G28" i="5"/>
  <c r="H27" i="5"/>
  <c r="G27" i="5"/>
  <c r="H26" i="5"/>
  <c r="G26" i="5"/>
  <c r="H25" i="5"/>
  <c r="G25" i="5"/>
  <c r="H24" i="5"/>
  <c r="G24" i="5"/>
  <c r="H23" i="5"/>
  <c r="G23" i="5"/>
  <c r="H22" i="5"/>
  <c r="G22" i="5"/>
  <c r="H21" i="5"/>
  <c r="G21" i="5"/>
  <c r="H20" i="5"/>
  <c r="G20" i="5"/>
  <c r="H19" i="5"/>
  <c r="G19" i="5"/>
  <c r="H18" i="5"/>
  <c r="G18" i="5"/>
  <c r="H17" i="5"/>
  <c r="G17" i="5"/>
  <c r="H16" i="5"/>
  <c r="G16" i="5"/>
  <c r="H15" i="5"/>
  <c r="G15" i="5"/>
  <c r="H14" i="5"/>
  <c r="G14" i="5"/>
  <c r="H13" i="5"/>
  <c r="G13" i="5"/>
  <c r="H12" i="5"/>
  <c r="G12" i="5"/>
  <c r="H11" i="5"/>
  <c r="G11" i="5"/>
  <c r="H10" i="5"/>
  <c r="G10" i="5"/>
  <c r="H9" i="5"/>
  <c r="G9" i="5"/>
  <c r="H8" i="5"/>
  <c r="G8" i="5"/>
  <c r="H7" i="5"/>
  <c r="G7" i="5"/>
  <c r="H6" i="5"/>
  <c r="G6" i="5"/>
  <c r="I2289" i="5" l="1"/>
  <c r="I2969" i="5"/>
  <c r="I3629" i="5"/>
  <c r="I3649" i="5"/>
  <c r="I2331" i="5"/>
  <c r="I2361" i="5"/>
  <c r="I2421" i="5"/>
  <c r="I2451" i="5"/>
  <c r="I2691" i="5"/>
  <c r="I2751" i="5"/>
  <c r="I2921" i="5"/>
  <c r="I2981" i="5"/>
  <c r="I3412" i="5"/>
  <c r="I2313" i="5"/>
  <c r="I2343" i="5"/>
  <c r="I2373" i="5"/>
  <c r="I2403" i="5"/>
  <c r="I2463" i="5"/>
  <c r="I2703" i="5"/>
  <c r="I2883" i="5"/>
  <c r="I2933" i="5"/>
  <c r="I2993" i="5"/>
  <c r="I3413" i="5"/>
  <c r="I3423" i="5"/>
  <c r="I3603" i="5"/>
  <c r="I3653" i="5"/>
  <c r="I3614" i="5"/>
  <c r="I3275" i="5"/>
  <c r="I2349" i="5"/>
  <c r="I2379" i="5"/>
  <c r="I2409" i="5"/>
  <c r="I2439" i="5"/>
  <c r="I2559" i="5"/>
  <c r="I2619" i="5"/>
  <c r="I2679" i="5"/>
  <c r="I2739" i="5"/>
  <c r="I2909" i="5"/>
  <c r="I3029" i="5"/>
  <c r="I3169" i="5"/>
  <c r="I3609" i="5"/>
  <c r="I3639" i="5"/>
  <c r="I3650" i="5"/>
  <c r="I3641" i="5"/>
  <c r="I3626" i="5"/>
  <c r="I3487" i="5"/>
  <c r="I2319" i="5"/>
  <c r="I2391" i="5"/>
  <c r="I3416" i="5"/>
  <c r="I2631" i="5"/>
  <c r="I1621" i="5"/>
  <c r="I1657" i="5"/>
  <c r="I1669" i="5"/>
  <c r="I1681" i="5"/>
  <c r="I3193" i="5"/>
  <c r="I2847" i="5"/>
  <c r="I180" i="5"/>
  <c r="I2781" i="5"/>
  <c r="I514" i="5"/>
  <c r="I586" i="5"/>
  <c r="I598" i="5"/>
  <c r="I610" i="5"/>
  <c r="I1705" i="5"/>
  <c r="I1717" i="5"/>
  <c r="I1729" i="5"/>
  <c r="I1753" i="5"/>
  <c r="I1849" i="5"/>
  <c r="I3097" i="5"/>
  <c r="I2433" i="5"/>
  <c r="I2553" i="5"/>
  <c r="I2577" i="5"/>
  <c r="I2613" i="5"/>
  <c r="I2661" i="5"/>
  <c r="I2673" i="5"/>
  <c r="I2685" i="5"/>
  <c r="I2697" i="5"/>
  <c r="I3333" i="5"/>
  <c r="I3264" i="5"/>
  <c r="I3288" i="5"/>
  <c r="I3336" i="5"/>
  <c r="I3348" i="5"/>
  <c r="I2870" i="5"/>
  <c r="I399" i="5"/>
  <c r="I747" i="5"/>
  <c r="I819" i="5"/>
  <c r="I951" i="5"/>
  <c r="I975" i="5"/>
  <c r="I2811" i="5"/>
  <c r="I3067" i="5"/>
  <c r="I2709" i="5"/>
  <c r="I227" i="5"/>
  <c r="I263" i="5"/>
  <c r="I299" i="5"/>
  <c r="I407" i="5"/>
  <c r="I431" i="5"/>
  <c r="I1439" i="5"/>
  <c r="I1511" i="5"/>
  <c r="I396" i="5"/>
  <c r="I937" i="5"/>
  <c r="I362" i="5"/>
  <c r="I3098" i="5"/>
  <c r="I3566" i="5"/>
  <c r="I1023" i="5"/>
  <c r="I3160" i="5"/>
  <c r="I2152" i="5"/>
  <c r="I2176" i="5"/>
  <c r="I2188" i="5"/>
  <c r="I162" i="5"/>
  <c r="I174" i="5"/>
  <c r="I270" i="5"/>
  <c r="I282" i="5"/>
  <c r="I306" i="5"/>
  <c r="I318" i="5"/>
  <c r="I342" i="5"/>
  <c r="I354" i="5"/>
  <c r="I378" i="5"/>
  <c r="I390" i="5"/>
  <c r="I582" i="5"/>
  <c r="I606" i="5"/>
  <c r="I1470" i="5"/>
  <c r="I1099" i="5"/>
  <c r="I3223" i="5"/>
  <c r="I3621" i="5"/>
  <c r="I324" i="5"/>
  <c r="I1523" i="5"/>
  <c r="I1535" i="5"/>
  <c r="I1547" i="5"/>
  <c r="I2891" i="5"/>
  <c r="I2903" i="5"/>
  <c r="I2915" i="5"/>
  <c r="I2927" i="5"/>
  <c r="I2939" i="5"/>
  <c r="I2951" i="5"/>
  <c r="I2963" i="5"/>
  <c r="I2987" i="5"/>
  <c r="I3011" i="5"/>
  <c r="I3047" i="5"/>
  <c r="I3071" i="5"/>
  <c r="I3191" i="5"/>
  <c r="I3215" i="5"/>
  <c r="I973" i="5"/>
  <c r="I997" i="5"/>
  <c r="I2208" i="5"/>
  <c r="I2280" i="5"/>
  <c r="I2616" i="5"/>
  <c r="I2628" i="5"/>
  <c r="I2652" i="5"/>
  <c r="I2664" i="5"/>
  <c r="I2676" i="5"/>
  <c r="I2688" i="5"/>
  <c r="I2700" i="5"/>
  <c r="I2712" i="5"/>
  <c r="I578" i="5"/>
  <c r="I604" i="5"/>
  <c r="I520" i="5"/>
  <c r="I2837" i="5"/>
  <c r="I462" i="5"/>
  <c r="I737" i="5"/>
  <c r="I616" i="5"/>
  <c r="I705" i="5"/>
  <c r="I717" i="5"/>
  <c r="I3608" i="5"/>
  <c r="I3620" i="5"/>
  <c r="I3632" i="5"/>
  <c r="I3644" i="5"/>
  <c r="I14" i="5"/>
  <c r="I592" i="5"/>
  <c r="I3633" i="5"/>
  <c r="I3502" i="5"/>
  <c r="I3550" i="5"/>
  <c r="I3598" i="5"/>
  <c r="I923" i="5"/>
  <c r="I1079" i="5"/>
  <c r="I1307" i="5"/>
  <c r="I793" i="5"/>
  <c r="I1033" i="5"/>
  <c r="I1057" i="5"/>
  <c r="I1081" i="5"/>
  <c r="I3311" i="5"/>
  <c r="I3359" i="5"/>
  <c r="I3419" i="5"/>
  <c r="I3611" i="5"/>
  <c r="I3623" i="5"/>
  <c r="I3635" i="5"/>
  <c r="I3647" i="5"/>
  <c r="I639" i="5"/>
  <c r="I675" i="5"/>
  <c r="I1777" i="5"/>
  <c r="I1083" i="5"/>
  <c r="I3218" i="5"/>
  <c r="I3602" i="5"/>
  <c r="I316" i="5"/>
  <c r="I628" i="5"/>
  <c r="I280" i="5"/>
  <c r="I1397" i="5"/>
  <c r="I2873" i="5"/>
  <c r="I2477" i="5"/>
  <c r="I1541" i="5"/>
  <c r="I1111" i="5"/>
  <c r="I2574" i="5"/>
  <c r="I2610" i="5"/>
  <c r="I2622" i="5"/>
  <c r="I2658" i="5"/>
  <c r="I2670" i="5"/>
  <c r="I2682" i="5"/>
  <c r="I2694" i="5"/>
  <c r="I2706" i="5"/>
  <c r="I3234" i="5"/>
  <c r="I3246" i="5"/>
  <c r="I3294" i="5"/>
  <c r="I500" i="5"/>
  <c r="I536" i="5"/>
  <c r="I740" i="5"/>
  <c r="I1040" i="5"/>
  <c r="I175" i="5"/>
  <c r="I498" i="5"/>
  <c r="I20" i="5"/>
  <c r="I178" i="5"/>
  <c r="I1400" i="5"/>
  <c r="I1627" i="5"/>
  <c r="I1651" i="5"/>
  <c r="I1663" i="5"/>
  <c r="I1687" i="5"/>
  <c r="I1699" i="5"/>
  <c r="I1711" i="5"/>
  <c r="I1723" i="5"/>
  <c r="I3031" i="5"/>
  <c r="I3175" i="5"/>
  <c r="I17" i="5"/>
  <c r="I233" i="5"/>
  <c r="I139" i="5"/>
  <c r="I1517" i="5"/>
  <c r="I262" i="5"/>
  <c r="I286" i="5"/>
  <c r="I334" i="5"/>
  <c r="I358" i="5"/>
  <c r="I370" i="5"/>
  <c r="I394" i="5"/>
  <c r="I837" i="5"/>
  <c r="I861" i="5"/>
  <c r="I885" i="5"/>
  <c r="I909" i="5"/>
  <c r="I933" i="5"/>
  <c r="I945" i="5"/>
  <c r="I969" i="5"/>
  <c r="I3259" i="5"/>
  <c r="I3451" i="5"/>
  <c r="I3631" i="5"/>
  <c r="I3643" i="5"/>
  <c r="I3655" i="5"/>
  <c r="I3224" i="5"/>
  <c r="I3248" i="5"/>
  <c r="I3272" i="5"/>
  <c r="I3284" i="5"/>
  <c r="I3296" i="5"/>
  <c r="I3320" i="5"/>
  <c r="I352" i="5"/>
  <c r="I391" i="5"/>
  <c r="I1486" i="5"/>
  <c r="I3021" i="5"/>
  <c r="I413" i="5"/>
  <c r="I204" i="5"/>
  <c r="I216" i="5"/>
  <c r="I575" i="5"/>
  <c r="I587" i="5"/>
  <c r="I743" i="5"/>
  <c r="I3645" i="5"/>
  <c r="I305" i="5"/>
  <c r="I128" i="5"/>
  <c r="I420" i="5"/>
  <c r="I432" i="5"/>
  <c r="I1403" i="5"/>
  <c r="I2194" i="5"/>
  <c r="I2218" i="5"/>
  <c r="I2242" i="5"/>
  <c r="I2578" i="5"/>
  <c r="I2590" i="5"/>
  <c r="I2602" i="5"/>
  <c r="I125" i="5"/>
  <c r="I269" i="5"/>
  <c r="I1529" i="5"/>
  <c r="I1451" i="5"/>
  <c r="I1463" i="5"/>
  <c r="I1051" i="5"/>
  <c r="I935" i="5"/>
  <c r="I1395" i="5"/>
  <c r="I427" i="5"/>
  <c r="I570" i="5"/>
  <c r="I750" i="5"/>
  <c r="I905" i="5"/>
  <c r="I1107" i="5"/>
  <c r="I2557" i="5"/>
  <c r="I2581" i="5"/>
  <c r="I2605" i="5"/>
  <c r="I3455" i="5"/>
  <c r="I833" i="5"/>
  <c r="I762" i="5"/>
  <c r="I1025" i="5"/>
  <c r="I1096" i="5"/>
  <c r="I94" i="5"/>
  <c r="I142" i="5"/>
  <c r="I416" i="5"/>
  <c r="I619" i="5"/>
  <c r="I631" i="5"/>
  <c r="I667" i="5"/>
  <c r="I679" i="5"/>
  <c r="I715" i="5"/>
  <c r="I834" i="5"/>
  <c r="I858" i="5"/>
  <c r="I882" i="5"/>
  <c r="I906" i="5"/>
  <c r="I930" i="5"/>
  <c r="I1108" i="5"/>
  <c r="I3229" i="5"/>
  <c r="I3241" i="5"/>
  <c r="I3253" i="5"/>
  <c r="I3313" i="5"/>
  <c r="I3325" i="5"/>
  <c r="I3349" i="5"/>
  <c r="I200" i="5"/>
  <c r="I236" i="5"/>
  <c r="I272" i="5"/>
  <c r="I308" i="5"/>
  <c r="I977" i="5"/>
  <c r="I1084" i="5"/>
  <c r="I82" i="5"/>
  <c r="I118" i="5"/>
  <c r="I130" i="5"/>
  <c r="I166" i="5"/>
  <c r="I464" i="5"/>
  <c r="I488" i="5"/>
  <c r="I811" i="5"/>
  <c r="I823" i="5"/>
  <c r="I990" i="5"/>
  <c r="I1480" i="5"/>
  <c r="I2499" i="5"/>
  <c r="I2643" i="5"/>
  <c r="I3230" i="5"/>
  <c r="I3242" i="5"/>
  <c r="I3266" i="5"/>
  <c r="I3290" i="5"/>
  <c r="I3302" i="5"/>
  <c r="I3326" i="5"/>
  <c r="I3409" i="5"/>
  <c r="I3421" i="5"/>
  <c r="I3612" i="5"/>
  <c r="I3624" i="5"/>
  <c r="I3636" i="5"/>
  <c r="I310" i="5"/>
  <c r="I979" i="5"/>
  <c r="I1003" i="5"/>
  <c r="I1015" i="5"/>
  <c r="I1816" i="5"/>
  <c r="I1840" i="5"/>
  <c r="I36" i="5"/>
  <c r="I72" i="5"/>
  <c r="I108" i="5"/>
  <c r="I168" i="5"/>
  <c r="I191" i="5"/>
  <c r="I406" i="5"/>
  <c r="I430" i="5"/>
  <c r="I765" i="5"/>
  <c r="I836" i="5"/>
  <c r="I908" i="5"/>
  <c r="I1445" i="5"/>
  <c r="I1457" i="5"/>
  <c r="I2200" i="5"/>
  <c r="I2212" i="5"/>
  <c r="I2224" i="5"/>
  <c r="I2236" i="5"/>
  <c r="I2248" i="5"/>
  <c r="I2584" i="5"/>
  <c r="I3351" i="5"/>
  <c r="I944" i="5"/>
  <c r="I968" i="5"/>
  <c r="I980" i="5"/>
  <c r="I1016" i="5"/>
  <c r="I1087" i="5"/>
  <c r="I2801" i="5"/>
  <c r="I2154" i="5"/>
  <c r="I146" i="5"/>
  <c r="I170" i="5"/>
  <c r="I228" i="5"/>
  <c r="I240" i="5"/>
  <c r="I252" i="5"/>
  <c r="I360" i="5"/>
  <c r="I993" i="5"/>
  <c r="I1005" i="5"/>
  <c r="I2226" i="5"/>
  <c r="I2250" i="5"/>
  <c r="I3496" i="5"/>
  <c r="I3544" i="5"/>
  <c r="I803" i="5"/>
  <c r="I3126" i="5"/>
  <c r="I3138" i="5"/>
  <c r="I3162" i="5"/>
  <c r="I3174" i="5"/>
  <c r="I3198" i="5"/>
  <c r="I792" i="5"/>
  <c r="I911" i="5"/>
  <c r="I1101" i="5"/>
  <c r="I1293" i="5"/>
  <c r="I1317" i="5"/>
  <c r="I1329" i="5"/>
  <c r="I1341" i="5"/>
  <c r="I1448" i="5"/>
  <c r="I1460" i="5"/>
  <c r="I2551" i="5"/>
  <c r="I2575" i="5"/>
  <c r="I2587" i="5"/>
  <c r="I2599" i="5"/>
  <c r="I1401" i="5"/>
  <c r="I721" i="5"/>
  <c r="I888" i="5"/>
  <c r="I1043" i="5"/>
  <c r="I219" i="5"/>
  <c r="I327" i="5"/>
  <c r="I805" i="5"/>
  <c r="I829" i="5"/>
  <c r="I913" i="5"/>
  <c r="I948" i="5"/>
  <c r="I972" i="5"/>
  <c r="I996" i="5"/>
  <c r="I2637" i="5"/>
  <c r="I3415" i="5"/>
  <c r="I3606" i="5"/>
  <c r="I3630" i="5"/>
  <c r="I3642" i="5"/>
  <c r="I564" i="5"/>
  <c r="I230" i="5"/>
  <c r="I100" i="5"/>
  <c r="I410" i="5"/>
  <c r="I673" i="5"/>
  <c r="I2721" i="5"/>
  <c r="I2733" i="5"/>
  <c r="I2745" i="5"/>
  <c r="I2757" i="5"/>
  <c r="I2841" i="5"/>
  <c r="I2865" i="5"/>
  <c r="I983" i="5"/>
  <c r="I183" i="5"/>
  <c r="I517" i="5"/>
  <c r="I613" i="5"/>
  <c r="I697" i="5"/>
  <c r="I1102" i="5"/>
  <c r="I388" i="5"/>
  <c r="I699" i="5"/>
  <c r="I723" i="5"/>
  <c r="I1080" i="5"/>
  <c r="I2170" i="5"/>
  <c r="I302" i="5"/>
  <c r="I76" i="5"/>
  <c r="I172" i="5"/>
  <c r="I661" i="5"/>
  <c r="I864" i="5"/>
  <c r="I197" i="5"/>
  <c r="I424" i="5"/>
  <c r="I1475" i="5"/>
  <c r="I1847" i="5"/>
  <c r="I2998" i="5"/>
  <c r="I3010" i="5"/>
  <c r="I3022" i="5"/>
  <c r="I3058" i="5"/>
  <c r="I3154" i="5"/>
  <c r="I1078" i="5"/>
  <c r="I3656" i="5"/>
  <c r="I194" i="5"/>
  <c r="I768" i="5"/>
  <c r="I947" i="5"/>
  <c r="I136" i="5"/>
  <c r="I589" i="5"/>
  <c r="I649" i="5"/>
  <c r="I709" i="5"/>
  <c r="I840" i="5"/>
  <c r="I712" i="5"/>
  <c r="I843" i="5"/>
  <c r="I867" i="5"/>
  <c r="I891" i="5"/>
  <c r="I915" i="5"/>
  <c r="I927" i="5"/>
  <c r="I1105" i="5"/>
  <c r="I3453" i="5"/>
  <c r="I147" i="5"/>
  <c r="I1019" i="5"/>
  <c r="I733" i="5"/>
  <c r="I828" i="5"/>
  <c r="I924" i="5"/>
  <c r="I808" i="5"/>
  <c r="I999" i="5"/>
  <c r="I971" i="5"/>
  <c r="I601" i="5"/>
  <c r="I685" i="5"/>
  <c r="I1071" i="5"/>
  <c r="I3156" i="5"/>
  <c r="I3168" i="5"/>
  <c r="I3216" i="5"/>
  <c r="I3263" i="5"/>
  <c r="I3371" i="5"/>
  <c r="I3443" i="5"/>
  <c r="I344" i="5"/>
  <c r="I1449" i="5"/>
  <c r="I56" i="5"/>
  <c r="I68" i="5"/>
  <c r="I341" i="5"/>
  <c r="I12" i="5"/>
  <c r="I92" i="5"/>
  <c r="I42" i="5"/>
  <c r="I164" i="5"/>
  <c r="I214" i="5"/>
  <c r="I255" i="5"/>
  <c r="I276" i="5"/>
  <c r="I288" i="5"/>
  <c r="I1011" i="5"/>
  <c r="I1064" i="5"/>
  <c r="I1067" i="5"/>
  <c r="I1070" i="5"/>
  <c r="I1073" i="5"/>
  <c r="I53" i="5"/>
  <c r="I65" i="5"/>
  <c r="I89" i="5"/>
  <c r="I39" i="5"/>
  <c r="I48" i="5"/>
  <c r="I161" i="5"/>
  <c r="I208" i="5"/>
  <c r="I10" i="5"/>
  <c r="I28" i="5"/>
  <c r="I75" i="5"/>
  <c r="I84" i="5"/>
  <c r="I865" i="5"/>
  <c r="I868" i="5"/>
  <c r="I889" i="5"/>
  <c r="I928" i="5"/>
  <c r="I1355" i="5"/>
  <c r="I50" i="5"/>
  <c r="I62" i="5"/>
  <c r="I335" i="5"/>
  <c r="I6" i="5"/>
  <c r="I202" i="5"/>
  <c r="I7" i="5"/>
  <c r="I22" i="5"/>
  <c r="I34" i="5"/>
  <c r="I78" i="5"/>
  <c r="I58" i="5"/>
  <c r="I64" i="5"/>
  <c r="I70" i="5"/>
  <c r="I111" i="5"/>
  <c r="I114" i="5"/>
  <c r="I132" i="5"/>
  <c r="I144" i="5"/>
  <c r="I418" i="5"/>
  <c r="I510" i="5"/>
  <c r="I546" i="5"/>
  <c r="I558" i="5"/>
  <c r="I1009" i="5"/>
  <c r="I234" i="5"/>
  <c r="I246" i="5"/>
  <c r="I382" i="5"/>
  <c r="I474" i="5"/>
  <c r="I572" i="5"/>
  <c r="I596" i="5"/>
  <c r="I695" i="5"/>
  <c r="I1240" i="5"/>
  <c r="I1246" i="5"/>
  <c r="I1252" i="5"/>
  <c r="I1258" i="5"/>
  <c r="I1264" i="5"/>
  <c r="I1270" i="5"/>
  <c r="I1276" i="5"/>
  <c r="I1407" i="5"/>
  <c r="I103" i="5"/>
  <c r="I106" i="5"/>
  <c r="I226" i="5"/>
  <c r="I238" i="5"/>
  <c r="I244" i="5"/>
  <c r="I250" i="5"/>
  <c r="I274" i="5"/>
  <c r="I291" i="5"/>
  <c r="I312" i="5"/>
  <c r="I371" i="5"/>
  <c r="I377" i="5"/>
  <c r="I380" i="5"/>
  <c r="I812" i="5"/>
  <c r="I815" i="5"/>
  <c r="I943" i="5"/>
  <c r="I949" i="5"/>
  <c r="I955" i="5"/>
  <c r="I967" i="5"/>
  <c r="I985" i="5"/>
  <c r="I1035" i="5"/>
  <c r="I1038" i="5"/>
  <c r="I1041" i="5"/>
  <c r="I1047" i="5"/>
  <c r="I1100" i="5"/>
  <c r="I1103" i="5"/>
  <c r="I1112" i="5"/>
  <c r="I1115" i="5"/>
  <c r="I1118" i="5"/>
  <c r="I1121" i="5"/>
  <c r="I1124" i="5"/>
  <c r="I1127" i="5"/>
  <c r="I1130" i="5"/>
  <c r="I1133" i="5"/>
  <c r="I1136" i="5"/>
  <c r="I1139" i="5"/>
  <c r="I1142" i="5"/>
  <c r="I1145" i="5"/>
  <c r="I1148" i="5"/>
  <c r="I1151" i="5"/>
  <c r="I1154" i="5"/>
  <c r="I1157" i="5"/>
  <c r="I1160" i="5"/>
  <c r="I1163" i="5"/>
  <c r="I1166" i="5"/>
  <c r="I1169" i="5"/>
  <c r="I1172" i="5"/>
  <c r="I1175" i="5"/>
  <c r="I1178" i="5"/>
  <c r="I1181" i="5"/>
  <c r="I1184" i="5"/>
  <c r="I1187" i="5"/>
  <c r="I1190" i="5"/>
  <c r="I1193" i="5"/>
  <c r="I1196" i="5"/>
  <c r="I1199" i="5"/>
  <c r="I1202" i="5"/>
  <c r="I1205" i="5"/>
  <c r="I1208" i="5"/>
  <c r="I1211" i="5"/>
  <c r="I1214" i="5"/>
  <c r="I1217" i="5"/>
  <c r="I1220" i="5"/>
  <c r="I1223" i="5"/>
  <c r="I1226" i="5"/>
  <c r="I1229" i="5"/>
  <c r="I1235" i="5"/>
  <c r="I1241" i="5"/>
  <c r="I1247" i="5"/>
  <c r="I1253" i="5"/>
  <c r="I1259" i="5"/>
  <c r="I1265" i="5"/>
  <c r="I1271" i="5"/>
  <c r="I1277" i="5"/>
  <c r="I1283" i="5"/>
  <c r="I1349" i="5"/>
  <c r="I1352" i="5"/>
  <c r="I1396" i="5"/>
  <c r="I1408" i="5"/>
  <c r="I1417" i="5"/>
  <c r="I1420" i="5"/>
  <c r="I1423" i="5"/>
  <c r="I1432" i="5"/>
  <c r="I1435" i="5"/>
  <c r="I348" i="5"/>
  <c r="I753" i="5"/>
  <c r="I795" i="5"/>
  <c r="I807" i="5"/>
  <c r="I845" i="5"/>
  <c r="I848" i="5"/>
  <c r="I851" i="5"/>
  <c r="I857" i="5"/>
  <c r="I860" i="5"/>
  <c r="I881" i="5"/>
  <c r="I884" i="5"/>
  <c r="I1039" i="5"/>
  <c r="I1045" i="5"/>
  <c r="I1059" i="5"/>
  <c r="I1230" i="5"/>
  <c r="I1236" i="5"/>
  <c r="I1242" i="5"/>
  <c r="I1248" i="5"/>
  <c r="I1254" i="5"/>
  <c r="I1260" i="5"/>
  <c r="I1266" i="5"/>
  <c r="I1272" i="5"/>
  <c r="I1278" i="5"/>
  <c r="I1347" i="5"/>
  <c r="I1361" i="5"/>
  <c r="I1364" i="5"/>
  <c r="I1367" i="5"/>
  <c r="I1385" i="5"/>
  <c r="I1388" i="5"/>
  <c r="I1391" i="5"/>
  <c r="I1436" i="5"/>
  <c r="I1444" i="5"/>
  <c r="I1447" i="5"/>
  <c r="I1453" i="5"/>
  <c r="I198" i="5"/>
  <c r="I210" i="5"/>
  <c r="I298" i="5"/>
  <c r="I319" i="5"/>
  <c r="I322" i="5"/>
  <c r="I346" i="5"/>
  <c r="I363" i="5"/>
  <c r="I384" i="5"/>
  <c r="I414" i="5"/>
  <c r="I426" i="5"/>
  <c r="I438" i="5"/>
  <c r="I467" i="5"/>
  <c r="I470" i="5"/>
  <c r="I476" i="5"/>
  <c r="I757" i="5"/>
  <c r="I903" i="5"/>
  <c r="I1063" i="5"/>
  <c r="I1075" i="5"/>
  <c r="I1371" i="5"/>
  <c r="I1579" i="5"/>
  <c r="I1615" i="5"/>
  <c r="I1633" i="5"/>
  <c r="I1675" i="5"/>
  <c r="I1693" i="5"/>
  <c r="I1735" i="5"/>
  <c r="I1741" i="5"/>
  <c r="I1747" i="5"/>
  <c r="I1759" i="5"/>
  <c r="I1765" i="5"/>
  <c r="I2158" i="5"/>
  <c r="I2164" i="5"/>
  <c r="I2853" i="5"/>
  <c r="I3036" i="5"/>
  <c r="I3042" i="5"/>
  <c r="I3072" i="5"/>
  <c r="I3078" i="5"/>
  <c r="I3084" i="5"/>
  <c r="I3090" i="5"/>
  <c r="I3096" i="5"/>
  <c r="I3143" i="5"/>
  <c r="I3155" i="5"/>
  <c r="I3161" i="5"/>
  <c r="I3170" i="5"/>
  <c r="I3176" i="5"/>
  <c r="I3200" i="5"/>
  <c r="I3206" i="5"/>
  <c r="I3212" i="5"/>
  <c r="I3217" i="5"/>
  <c r="I3238" i="5"/>
  <c r="I3267" i="5"/>
  <c r="I3273" i="5"/>
  <c r="I3297" i="5"/>
  <c r="I3303" i="5"/>
  <c r="I3312" i="5"/>
  <c r="I3324" i="5"/>
  <c r="I3335" i="5"/>
  <c r="I3341" i="5"/>
  <c r="I3347" i="5"/>
  <c r="I3350" i="5"/>
  <c r="I3353" i="5"/>
  <c r="I3356" i="5"/>
  <c r="I3373" i="5"/>
  <c r="I3376" i="5"/>
  <c r="I3379" i="5"/>
  <c r="I3385" i="5"/>
  <c r="I3388" i="5"/>
  <c r="I3391" i="5"/>
  <c r="I3429" i="5"/>
  <c r="I3435" i="5"/>
  <c r="I3461" i="5"/>
  <c r="I3464" i="5"/>
  <c r="I3467" i="5"/>
  <c r="I3485" i="5"/>
  <c r="I3488" i="5"/>
  <c r="I3494" i="5"/>
  <c r="I3542" i="5"/>
  <c r="I3578" i="5"/>
  <c r="I3590" i="5"/>
  <c r="I1455" i="5"/>
  <c r="I1461" i="5"/>
  <c r="I1485" i="5"/>
  <c r="I1497" i="5"/>
  <c r="I1503" i="5"/>
  <c r="I1509" i="5"/>
  <c r="I1512" i="5"/>
  <c r="I1515" i="5"/>
  <c r="I1524" i="5"/>
  <c r="I1527" i="5"/>
  <c r="I1542" i="5"/>
  <c r="I1553" i="5"/>
  <c r="I1559" i="5"/>
  <c r="I1565" i="5"/>
  <c r="I1571" i="5"/>
  <c r="I1577" i="5"/>
  <c r="I1583" i="5"/>
  <c r="I1589" i="5"/>
  <c r="I1595" i="5"/>
  <c r="I1601" i="5"/>
  <c r="I1607" i="5"/>
  <c r="I1613" i="5"/>
  <c r="I1619" i="5"/>
  <c r="I1625" i="5"/>
  <c r="I1631" i="5"/>
  <c r="I1637" i="5"/>
  <c r="I1643" i="5"/>
  <c r="I1649" i="5"/>
  <c r="I1655" i="5"/>
  <c r="I1661" i="5"/>
  <c r="I1667" i="5"/>
  <c r="I1673" i="5"/>
  <c r="I1679" i="5"/>
  <c r="I1685" i="5"/>
  <c r="I1691" i="5"/>
  <c r="I1697" i="5"/>
  <c r="I1703" i="5"/>
  <c r="I1709" i="5"/>
  <c r="I1781" i="5"/>
  <c r="I1787" i="5"/>
  <c r="I1805" i="5"/>
  <c r="I1811" i="5"/>
  <c r="I1829" i="5"/>
  <c r="I1835" i="5"/>
  <c r="I1853" i="5"/>
  <c r="I2144" i="5"/>
  <c r="I2147" i="5"/>
  <c r="I2156" i="5"/>
  <c r="I2159" i="5"/>
  <c r="I2162" i="5"/>
  <c r="I2168" i="5"/>
  <c r="I2171" i="5"/>
  <c r="I2174" i="5"/>
  <c r="I2444" i="5"/>
  <c r="I2767" i="5"/>
  <c r="I2785" i="5"/>
  <c r="I2791" i="5"/>
  <c r="I2794" i="5"/>
  <c r="I2797" i="5"/>
  <c r="I2803" i="5"/>
  <c r="I2815" i="5"/>
  <c r="I2827" i="5"/>
  <c r="I2830" i="5"/>
  <c r="I2833" i="5"/>
  <c r="I2839" i="5"/>
  <c r="I2851" i="5"/>
  <c r="I3028" i="5"/>
  <c r="I3265" i="5"/>
  <c r="I3289" i="5"/>
  <c r="I3322" i="5"/>
  <c r="I3389" i="5"/>
  <c r="I3392" i="5"/>
  <c r="I3395" i="5"/>
  <c r="I3407" i="5"/>
  <c r="I3433" i="5"/>
  <c r="I3445" i="5"/>
  <c r="I3459" i="5"/>
  <c r="I3489" i="5"/>
  <c r="I3579" i="5"/>
  <c r="I3585" i="5"/>
  <c r="I3588" i="5"/>
  <c r="I2480" i="5"/>
  <c r="I2489" i="5"/>
  <c r="I2492" i="5"/>
  <c r="I2495" i="5"/>
  <c r="I2501" i="5"/>
  <c r="I2504" i="5"/>
  <c r="I2525" i="5"/>
  <c r="I2528" i="5"/>
  <c r="I2621" i="5"/>
  <c r="I2624" i="5"/>
  <c r="I2630" i="5"/>
  <c r="I2633" i="5"/>
  <c r="I2636" i="5"/>
  <c r="I2642" i="5"/>
  <c r="I2645" i="5"/>
  <c r="I2648" i="5"/>
  <c r="I2654" i="5"/>
  <c r="I2660" i="5"/>
  <c r="I2666" i="5"/>
  <c r="I2672" i="5"/>
  <c r="I2678" i="5"/>
  <c r="I2684" i="5"/>
  <c r="I2690" i="5"/>
  <c r="I2693" i="5"/>
  <c r="I2696" i="5"/>
  <c r="I2699" i="5"/>
  <c r="I2702" i="5"/>
  <c r="I2705" i="5"/>
  <c r="I2708" i="5"/>
  <c r="I2711" i="5"/>
  <c r="I2714" i="5"/>
  <c r="I2735" i="5"/>
  <c r="I3043" i="5"/>
  <c r="I3049" i="5"/>
  <c r="I3073" i="5"/>
  <c r="I3079" i="5"/>
  <c r="I3091" i="5"/>
  <c r="I3233" i="5"/>
  <c r="I3239" i="5"/>
  <c r="I3357" i="5"/>
  <c r="I3648" i="5"/>
  <c r="I3651" i="5"/>
  <c r="I3654" i="5"/>
  <c r="I1456" i="5"/>
  <c r="I1459" i="5"/>
  <c r="I1471" i="5"/>
  <c r="I1507" i="5"/>
  <c r="I1557" i="5"/>
  <c r="I1563" i="5"/>
  <c r="I1569" i="5"/>
  <c r="I1575" i="5"/>
  <c r="I1581" i="5"/>
  <c r="I1587" i="5"/>
  <c r="I1593" i="5"/>
  <c r="I1599" i="5"/>
  <c r="I1605" i="5"/>
  <c r="I1611" i="5"/>
  <c r="I1617" i="5"/>
  <c r="I1623" i="5"/>
  <c r="I1629" i="5"/>
  <c r="I1635" i="5"/>
  <c r="I1641" i="5"/>
  <c r="I1647" i="5"/>
  <c r="I1653" i="5"/>
  <c r="I1659" i="5"/>
  <c r="I1665" i="5"/>
  <c r="I1671" i="5"/>
  <c r="I1677" i="5"/>
  <c r="I1683" i="5"/>
  <c r="I1689" i="5"/>
  <c r="I1695" i="5"/>
  <c r="I1701" i="5"/>
  <c r="I1707" i="5"/>
  <c r="I1713" i="5"/>
  <c r="I1719" i="5"/>
  <c r="I1725" i="5"/>
  <c r="I1731" i="5"/>
  <c r="I1737" i="5"/>
  <c r="I1743" i="5"/>
  <c r="I1749" i="5"/>
  <c r="I1755" i="5"/>
  <c r="I1761" i="5"/>
  <c r="I1767" i="5"/>
  <c r="I1773" i="5"/>
  <c r="I1779" i="5"/>
  <c r="I1785" i="5"/>
  <c r="I1809" i="5"/>
  <c r="I1821" i="5"/>
  <c r="I1833" i="5"/>
  <c r="I2547" i="5"/>
  <c r="I2571" i="5"/>
  <c r="I2759" i="5"/>
  <c r="I2762" i="5"/>
  <c r="I2771" i="5"/>
  <c r="I2774" i="5"/>
  <c r="I2777" i="5"/>
  <c r="I2783" i="5"/>
  <c r="I2786" i="5"/>
  <c r="I2789" i="5"/>
  <c r="I2813" i="5"/>
  <c r="I2819" i="5"/>
  <c r="I2822" i="5"/>
  <c r="I2825" i="5"/>
  <c r="I2861" i="5"/>
  <c r="I3103" i="5"/>
  <c r="I3133" i="5"/>
  <c r="I3139" i="5"/>
  <c r="I3163" i="5"/>
  <c r="I3184" i="5"/>
  <c r="I3305" i="5"/>
  <c r="I3337" i="5"/>
  <c r="I3375" i="5"/>
  <c r="I3381" i="5"/>
  <c r="I3425" i="5"/>
  <c r="I3431" i="5"/>
  <c r="I3457" i="5"/>
  <c r="I3460" i="5"/>
  <c r="I3463" i="5"/>
  <c r="I3472" i="5"/>
  <c r="I3475" i="5"/>
  <c r="I3481" i="5"/>
  <c r="I3523" i="5"/>
  <c r="I3526" i="5"/>
  <c r="I3535" i="5"/>
  <c r="I3538" i="5"/>
  <c r="I3583" i="5"/>
  <c r="I1490" i="5"/>
  <c r="I1502" i="5"/>
  <c r="I2457" i="5"/>
  <c r="I3053" i="5"/>
  <c r="I3083" i="5"/>
  <c r="I3089" i="5"/>
  <c r="I3355" i="5"/>
  <c r="I3361" i="5"/>
  <c r="I3399" i="5"/>
  <c r="I3417" i="5"/>
  <c r="I3449" i="5"/>
  <c r="I3452" i="5"/>
  <c r="I15" i="5"/>
  <c r="I18" i="5"/>
  <c r="I24" i="5"/>
  <c r="I87" i="5"/>
  <c r="I90" i="5"/>
  <c r="I96" i="5"/>
  <c r="I154" i="5"/>
  <c r="I192" i="5"/>
  <c r="I408" i="5"/>
  <c r="I120" i="5"/>
  <c r="I167" i="5"/>
  <c r="I190" i="5"/>
  <c r="I264" i="5"/>
  <c r="I51" i="5"/>
  <c r="I54" i="5"/>
  <c r="I60" i="5"/>
  <c r="I300" i="5"/>
  <c r="I29" i="5"/>
  <c r="I32" i="5"/>
  <c r="I40" i="5"/>
  <c r="I46" i="5"/>
  <c r="I98" i="5"/>
  <c r="I101" i="5"/>
  <c r="I156" i="5"/>
  <c r="I203" i="5"/>
  <c r="I336" i="5"/>
  <c r="I26" i="5"/>
  <c r="I372" i="5"/>
  <c r="I112" i="5"/>
  <c r="I134" i="5"/>
  <c r="I151" i="5"/>
  <c r="I206" i="5"/>
  <c r="I86" i="5"/>
  <c r="I122" i="5"/>
  <c r="I150" i="5"/>
  <c r="I155" i="5"/>
  <c r="I158" i="5"/>
  <c r="I186" i="5"/>
  <c r="I222" i="5"/>
  <c r="I258" i="5"/>
  <c r="I266" i="5"/>
  <c r="I294" i="5"/>
  <c r="I330" i="5"/>
  <c r="I338" i="5"/>
  <c r="I366" i="5"/>
  <c r="I374" i="5"/>
  <c r="I402" i="5"/>
  <c r="I239" i="5"/>
  <c r="I275" i="5"/>
  <c r="I311" i="5"/>
  <c r="I347" i="5"/>
  <c r="I383" i="5"/>
  <c r="I419" i="5"/>
  <c r="I534" i="5"/>
  <c r="I123" i="5"/>
  <c r="I159" i="5"/>
  <c r="I176" i="5"/>
  <c r="I184" i="5"/>
  <c r="I195" i="5"/>
  <c r="I209" i="5"/>
  <c r="I220" i="5"/>
  <c r="I231" i="5"/>
  <c r="I242" i="5"/>
  <c r="I245" i="5"/>
  <c r="I248" i="5"/>
  <c r="I256" i="5"/>
  <c r="I259" i="5"/>
  <c r="I267" i="5"/>
  <c r="I278" i="5"/>
  <c r="I281" i="5"/>
  <c r="I284" i="5"/>
  <c r="I292" i="5"/>
  <c r="I295" i="5"/>
  <c r="I303" i="5"/>
  <c r="I314" i="5"/>
  <c r="I317" i="5"/>
  <c r="I320" i="5"/>
  <c r="I328" i="5"/>
  <c r="I331" i="5"/>
  <c r="I339" i="5"/>
  <c r="I350" i="5"/>
  <c r="I353" i="5"/>
  <c r="I356" i="5"/>
  <c r="I364" i="5"/>
  <c r="I367" i="5"/>
  <c r="I375" i="5"/>
  <c r="I386" i="5"/>
  <c r="I389" i="5"/>
  <c r="I392" i="5"/>
  <c r="I400" i="5"/>
  <c r="I403" i="5"/>
  <c r="I411" i="5"/>
  <c r="I422" i="5"/>
  <c r="I425" i="5"/>
  <c r="I428" i="5"/>
  <c r="I1343" i="5"/>
  <c r="I140" i="5"/>
  <c r="I148" i="5"/>
  <c r="I173" i="5"/>
  <c r="I143" i="5"/>
  <c r="I179" i="5"/>
  <c r="I215" i="5"/>
  <c r="I251" i="5"/>
  <c r="I287" i="5"/>
  <c r="I323" i="5"/>
  <c r="I359" i="5"/>
  <c r="I395" i="5"/>
  <c r="I1027" i="5"/>
  <c r="I104" i="5"/>
  <c r="I115" i="5"/>
  <c r="I126" i="5"/>
  <c r="I137" i="5"/>
  <c r="I212" i="5"/>
  <c r="I8" i="5"/>
  <c r="I16" i="5"/>
  <c r="I27" i="5"/>
  <c r="I30" i="5"/>
  <c r="I38" i="5"/>
  <c r="I41" i="5"/>
  <c r="I44" i="5"/>
  <c r="I52" i="5"/>
  <c r="I55" i="5"/>
  <c r="I63" i="5"/>
  <c r="I66" i="5"/>
  <c r="I74" i="5"/>
  <c r="I77" i="5"/>
  <c r="I80" i="5"/>
  <c r="I88" i="5"/>
  <c r="I99" i="5"/>
  <c r="I102" i="5"/>
  <c r="I110" i="5"/>
  <c r="I113" i="5"/>
  <c r="I116" i="5"/>
  <c r="I124" i="5"/>
  <c r="I127" i="5"/>
  <c r="I135" i="5"/>
  <c r="I138" i="5"/>
  <c r="I149" i="5"/>
  <c r="I152" i="5"/>
  <c r="I160" i="5"/>
  <c r="I163" i="5"/>
  <c r="I171" i="5"/>
  <c r="I182" i="5"/>
  <c r="I185" i="5"/>
  <c r="I188" i="5"/>
  <c r="I196" i="5"/>
  <c r="I207" i="5"/>
  <c r="I218" i="5"/>
  <c r="I221" i="5"/>
  <c r="I224" i="5"/>
  <c r="I232" i="5"/>
  <c r="I243" i="5"/>
  <c r="I254" i="5"/>
  <c r="I257" i="5"/>
  <c r="I260" i="5"/>
  <c r="I268" i="5"/>
  <c r="I271" i="5"/>
  <c r="I279" i="5"/>
  <c r="I290" i="5"/>
  <c r="I293" i="5"/>
  <c r="I296" i="5"/>
  <c r="I304" i="5"/>
  <c r="I307" i="5"/>
  <c r="I315" i="5"/>
  <c r="I326" i="5"/>
  <c r="I329" i="5"/>
  <c r="I332" i="5"/>
  <c r="I340" i="5"/>
  <c r="I343" i="5"/>
  <c r="I351" i="5"/>
  <c r="I365" i="5"/>
  <c r="I368" i="5"/>
  <c r="I376" i="5"/>
  <c r="I379" i="5"/>
  <c r="I387" i="5"/>
  <c r="I398" i="5"/>
  <c r="I401" i="5"/>
  <c r="I404" i="5"/>
  <c r="I412" i="5"/>
  <c r="I423" i="5"/>
  <c r="I435" i="5"/>
  <c r="I450" i="5"/>
  <c r="I456" i="5"/>
  <c r="I590" i="5"/>
  <c r="I611" i="5"/>
  <c r="I614" i="5"/>
  <c r="I620" i="5"/>
  <c r="I623" i="5"/>
  <c r="I632" i="5"/>
  <c r="I638" i="5"/>
  <c r="I644" i="5"/>
  <c r="I647" i="5"/>
  <c r="I650" i="5"/>
  <c r="I653" i="5"/>
  <c r="I656" i="5"/>
  <c r="I659" i="5"/>
  <c r="I680" i="5"/>
  <c r="I683" i="5"/>
  <c r="I704" i="5"/>
  <c r="I710" i="5"/>
  <c r="I769" i="5"/>
  <c r="I772" i="5"/>
  <c r="I775" i="5"/>
  <c r="I816" i="5"/>
  <c r="I855" i="5"/>
  <c r="I879" i="5"/>
  <c r="I916" i="5"/>
  <c r="I925" i="5"/>
  <c r="I939" i="5"/>
  <c r="I953" i="5"/>
  <c r="I956" i="5"/>
  <c r="I959" i="5"/>
  <c r="I991" i="5"/>
  <c r="I1014" i="5"/>
  <c r="I1017" i="5"/>
  <c r="I1020" i="5"/>
  <c r="I1026" i="5"/>
  <c r="I1048" i="5"/>
  <c r="I1062" i="5"/>
  <c r="I1074" i="5"/>
  <c r="I1085" i="5"/>
  <c r="I1088" i="5"/>
  <c r="I1091" i="5"/>
  <c r="I1285" i="5"/>
  <c r="I1288" i="5"/>
  <c r="I1297" i="5"/>
  <c r="I1300" i="5"/>
  <c r="I1303" i="5"/>
  <c r="I1309" i="5"/>
  <c r="I1312" i="5"/>
  <c r="I1315" i="5"/>
  <c r="I1333" i="5"/>
  <c r="I1336" i="5"/>
  <c r="I1365" i="5"/>
  <c r="I1389" i="5"/>
  <c r="I1409" i="5"/>
  <c r="I1412" i="5"/>
  <c r="I1415" i="5"/>
  <c r="I1421" i="5"/>
  <c r="I1424" i="5"/>
  <c r="I1427" i="5"/>
  <c r="I1433" i="5"/>
  <c r="I1466" i="5"/>
  <c r="I1472" i="5"/>
  <c r="I1489" i="5"/>
  <c r="I1495" i="5"/>
  <c r="I1521" i="5"/>
  <c r="I1533" i="5"/>
  <c r="I1539" i="5"/>
  <c r="I1548" i="5"/>
  <c r="I1551" i="5"/>
  <c r="I1836" i="5"/>
  <c r="I1839" i="5"/>
  <c r="I1842" i="5"/>
  <c r="I2254" i="5"/>
  <c r="I2260" i="5"/>
  <c r="I436" i="5"/>
  <c r="I439" i="5"/>
  <c r="I442" i="5"/>
  <c r="I445" i="5"/>
  <c r="I448" i="5"/>
  <c r="I486" i="5"/>
  <c r="I492" i="5"/>
  <c r="I503" i="5"/>
  <c r="I506" i="5"/>
  <c r="I512" i="5"/>
  <c r="I524" i="5"/>
  <c r="I550" i="5"/>
  <c r="I553" i="5"/>
  <c r="I556" i="5"/>
  <c r="I588" i="5"/>
  <c r="I594" i="5"/>
  <c r="I612" i="5"/>
  <c r="I618" i="5"/>
  <c r="I621" i="5"/>
  <c r="I633" i="5"/>
  <c r="I648" i="5"/>
  <c r="I657" i="5"/>
  <c r="I660" i="5"/>
  <c r="I663" i="5"/>
  <c r="I678" i="5"/>
  <c r="I681" i="5"/>
  <c r="I690" i="5"/>
  <c r="I693" i="5"/>
  <c r="I735" i="5"/>
  <c r="I761" i="5"/>
  <c r="I764" i="5"/>
  <c r="I773" i="5"/>
  <c r="I776" i="5"/>
  <c r="I779" i="5"/>
  <c r="I785" i="5"/>
  <c r="I788" i="5"/>
  <c r="I791" i="5"/>
  <c r="I817" i="5"/>
  <c r="I847" i="5"/>
  <c r="I900" i="5"/>
  <c r="I940" i="5"/>
  <c r="I954" i="5"/>
  <c r="I963" i="5"/>
  <c r="I989" i="5"/>
  <c r="I1001" i="5"/>
  <c r="I1004" i="5"/>
  <c r="I1007" i="5"/>
  <c r="I1021" i="5"/>
  <c r="I1069" i="5"/>
  <c r="I1072" i="5"/>
  <c r="I1086" i="5"/>
  <c r="I1095" i="5"/>
  <c r="I1289" i="5"/>
  <c r="I1292" i="5"/>
  <c r="I1295" i="5"/>
  <c r="I1313" i="5"/>
  <c r="I1316" i="5"/>
  <c r="I1319" i="5"/>
  <c r="I1331" i="5"/>
  <c r="I1337" i="5"/>
  <c r="I1340" i="5"/>
  <c r="I1360" i="5"/>
  <c r="I1369" i="5"/>
  <c r="I1372" i="5"/>
  <c r="I1375" i="5"/>
  <c r="I1381" i="5"/>
  <c r="I1384" i="5"/>
  <c r="I1387" i="5"/>
  <c r="I1413" i="5"/>
  <c r="I1419" i="5"/>
  <c r="I1425" i="5"/>
  <c r="I1431" i="5"/>
  <c r="I1443" i="5"/>
  <c r="I1481" i="5"/>
  <c r="I1487" i="5"/>
  <c r="I1493" i="5"/>
  <c r="I1499" i="5"/>
  <c r="I1519" i="5"/>
  <c r="I1525" i="5"/>
  <c r="I1531" i="5"/>
  <c r="I1543" i="5"/>
  <c r="I625" i="5"/>
  <c r="I643" i="5"/>
  <c r="I741" i="5"/>
  <c r="I783" i="5"/>
  <c r="I841" i="5"/>
  <c r="I877" i="5"/>
  <c r="I895" i="5"/>
  <c r="I929" i="5"/>
  <c r="I932" i="5"/>
  <c r="I961" i="5"/>
  <c r="I981" i="5"/>
  <c r="I984" i="5"/>
  <c r="I987" i="5"/>
  <c r="I1299" i="5"/>
  <c r="I1311" i="5"/>
  <c r="I1379" i="5"/>
  <c r="I1399" i="5"/>
  <c r="I1467" i="5"/>
  <c r="I1476" i="5"/>
  <c r="I1479" i="5"/>
  <c r="I1488" i="5"/>
  <c r="I1491" i="5"/>
  <c r="I1505" i="5"/>
  <c r="I1526" i="5"/>
  <c r="I1538" i="5"/>
  <c r="I1555" i="5"/>
  <c r="I1561" i="5"/>
  <c r="I1567" i="5"/>
  <c r="I1573" i="5"/>
  <c r="I1585" i="5"/>
  <c r="I1591" i="5"/>
  <c r="I1597" i="5"/>
  <c r="I1603" i="5"/>
  <c r="I1609" i="5"/>
  <c r="I1639" i="5"/>
  <c r="I1645" i="5"/>
  <c r="I1771" i="5"/>
  <c r="I434" i="5"/>
  <c r="I437" i="5"/>
  <c r="I440" i="5"/>
  <c r="I452" i="5"/>
  <c r="I478" i="5"/>
  <c r="I481" i="5"/>
  <c r="I484" i="5"/>
  <c r="I522" i="5"/>
  <c r="I528" i="5"/>
  <c r="I539" i="5"/>
  <c r="I542" i="5"/>
  <c r="I548" i="5"/>
  <c r="I560" i="5"/>
  <c r="I1234" i="5"/>
  <c r="I739" i="5"/>
  <c r="I745" i="5"/>
  <c r="I1715" i="5"/>
  <c r="I1721" i="5"/>
  <c r="I1727" i="5"/>
  <c r="I1733" i="5"/>
  <c r="I1739" i="5"/>
  <c r="I1745" i="5"/>
  <c r="I1751" i="5"/>
  <c r="I1757" i="5"/>
  <c r="I1763" i="5"/>
  <c r="I1769" i="5"/>
  <c r="I1775" i="5"/>
  <c r="I2469" i="5"/>
  <c r="I2475" i="5"/>
  <c r="I1788" i="5"/>
  <c r="I1791" i="5"/>
  <c r="I1794" i="5"/>
  <c r="I1841" i="5"/>
  <c r="I1928" i="5"/>
  <c r="I1934" i="5"/>
  <c r="I1940" i="5"/>
  <c r="I1946" i="5"/>
  <c r="I1952" i="5"/>
  <c r="I1958" i="5"/>
  <c r="I1964" i="5"/>
  <c r="I1970" i="5"/>
  <c r="I1976" i="5"/>
  <c r="I1982" i="5"/>
  <c r="I1988" i="5"/>
  <c r="I1994" i="5"/>
  <c r="I2000" i="5"/>
  <c r="I2006" i="5"/>
  <c r="I2012" i="5"/>
  <c r="I2018" i="5"/>
  <c r="I2024" i="5"/>
  <c r="I2030" i="5"/>
  <c r="I2036" i="5"/>
  <c r="I2042" i="5"/>
  <c r="I2048" i="5"/>
  <c r="I2054" i="5"/>
  <c r="I2060" i="5"/>
  <c r="I2066" i="5"/>
  <c r="I2072" i="5"/>
  <c r="I2078" i="5"/>
  <c r="I2090" i="5"/>
  <c r="I2096" i="5"/>
  <c r="I2102" i="5"/>
  <c r="I2108" i="5"/>
  <c r="I2114" i="5"/>
  <c r="I2120" i="5"/>
  <c r="I2126" i="5"/>
  <c r="I2132" i="5"/>
  <c r="I2182" i="5"/>
  <c r="I2253" i="5"/>
  <c r="I2256" i="5"/>
  <c r="I2262" i="5"/>
  <c r="I2298" i="5"/>
  <c r="I2805" i="5"/>
  <c r="I3518" i="5"/>
  <c r="I3295" i="5"/>
  <c r="I1783" i="5"/>
  <c r="I1789" i="5"/>
  <c r="I1795" i="5"/>
  <c r="I1801" i="5"/>
  <c r="I1825" i="5"/>
  <c r="I1857" i="5"/>
  <c r="I2145" i="5"/>
  <c r="I2169" i="5"/>
  <c r="I2192" i="5"/>
  <c r="I2195" i="5"/>
  <c r="I2198" i="5"/>
  <c r="I2204" i="5"/>
  <c r="I2207" i="5"/>
  <c r="I2210" i="5"/>
  <c r="I2216" i="5"/>
  <c r="I2219" i="5"/>
  <c r="I2222" i="5"/>
  <c r="I2228" i="5"/>
  <c r="I2231" i="5"/>
  <c r="I2234" i="5"/>
  <c r="I2240" i="5"/>
  <c r="I2243" i="5"/>
  <c r="I2246" i="5"/>
  <c r="I2266" i="5"/>
  <c r="I2272" i="5"/>
  <c r="I2284" i="5"/>
  <c r="I2290" i="5"/>
  <c r="I2293" i="5"/>
  <c r="I2296" i="5"/>
  <c r="I2299" i="5"/>
  <c r="I2302" i="5"/>
  <c r="I2308" i="5"/>
  <c r="I2311" i="5"/>
  <c r="I2314" i="5"/>
  <c r="I2317" i="5"/>
  <c r="I2323" i="5"/>
  <c r="I2326" i="5"/>
  <c r="I2329" i="5"/>
  <c r="I2332" i="5"/>
  <c r="I2335" i="5"/>
  <c r="I2338" i="5"/>
  <c r="I2341" i="5"/>
  <c r="I2344" i="5"/>
  <c r="I2347" i="5"/>
  <c r="I2350" i="5"/>
  <c r="I2353" i="5"/>
  <c r="I2356" i="5"/>
  <c r="I2359" i="5"/>
  <c r="I2362" i="5"/>
  <c r="I2365" i="5"/>
  <c r="I2368" i="5"/>
  <c r="I2371" i="5"/>
  <c r="I2374" i="5"/>
  <c r="I2377" i="5"/>
  <c r="I2380" i="5"/>
  <c r="I2383" i="5"/>
  <c r="I2386" i="5"/>
  <c r="I2389" i="5"/>
  <c r="I2392" i="5"/>
  <c r="I2395" i="5"/>
  <c r="I2398" i="5"/>
  <c r="I2401" i="5"/>
  <c r="I2404" i="5"/>
  <c r="I2407" i="5"/>
  <c r="I2410" i="5"/>
  <c r="I2413" i="5"/>
  <c r="I2416" i="5"/>
  <c r="I2419" i="5"/>
  <c r="I2422" i="5"/>
  <c r="I2425" i="5"/>
  <c r="I2428" i="5"/>
  <c r="I2431" i="5"/>
  <c r="I2437" i="5"/>
  <c r="I2443" i="5"/>
  <c r="I2449" i="5"/>
  <c r="I2455" i="5"/>
  <c r="I2461" i="5"/>
  <c r="I2481" i="5"/>
  <c r="I2487" i="5"/>
  <c r="I2505" i="5"/>
  <c r="I2511" i="5"/>
  <c r="I2523" i="5"/>
  <c r="I2549" i="5"/>
  <c r="I1790" i="5"/>
  <c r="I1796" i="5"/>
  <c r="I1799" i="5"/>
  <c r="I1814" i="5"/>
  <c r="I1820" i="5"/>
  <c r="I1823" i="5"/>
  <c r="I1954" i="5"/>
  <c r="I1960" i="5"/>
  <c r="I1966" i="5"/>
  <c r="I1972" i="5"/>
  <c r="I1978" i="5"/>
  <c r="I1984" i="5"/>
  <c r="I1990" i="5"/>
  <c r="I1996" i="5"/>
  <c r="I2002" i="5"/>
  <c r="I2008" i="5"/>
  <c r="I2014" i="5"/>
  <c r="I2020" i="5"/>
  <c r="I2026" i="5"/>
  <c r="I2032" i="5"/>
  <c r="I2038" i="5"/>
  <c r="I2044" i="5"/>
  <c r="I2050" i="5"/>
  <c r="I2056" i="5"/>
  <c r="I2062" i="5"/>
  <c r="I2068" i="5"/>
  <c r="I2080" i="5"/>
  <c r="I2086" i="5"/>
  <c r="I2092" i="5"/>
  <c r="I2098" i="5"/>
  <c r="I2104" i="5"/>
  <c r="I2110" i="5"/>
  <c r="I2116" i="5"/>
  <c r="I2122" i="5"/>
  <c r="I2128" i="5"/>
  <c r="I2134" i="5"/>
  <c r="I2140" i="5"/>
  <c r="I2181" i="5"/>
  <c r="I2541" i="5"/>
  <c r="I3127" i="5"/>
  <c r="I3287" i="5"/>
  <c r="I3387" i="5"/>
  <c r="I3469" i="5"/>
  <c r="I2241" i="5"/>
  <c r="I2264" i="5"/>
  <c r="I2267" i="5"/>
  <c r="I2270" i="5"/>
  <c r="I2276" i="5"/>
  <c r="I2285" i="5"/>
  <c r="I2288" i="5"/>
  <c r="I2291" i="5"/>
  <c r="I2294" i="5"/>
  <c r="I2297" i="5"/>
  <c r="I2300" i="5"/>
  <c r="I2303" i="5"/>
  <c r="I2306" i="5"/>
  <c r="I2309" i="5"/>
  <c r="I2312" i="5"/>
  <c r="I2315" i="5"/>
  <c r="I2318" i="5"/>
  <c r="I2321" i="5"/>
  <c r="I2327" i="5"/>
  <c r="I2333" i="5"/>
  <c r="I2339" i="5"/>
  <c r="I2345" i="5"/>
  <c r="I2351" i="5"/>
  <c r="I2357" i="5"/>
  <c r="I2363" i="5"/>
  <c r="I2369" i="5"/>
  <c r="I2375" i="5"/>
  <c r="I2381" i="5"/>
  <c r="I2387" i="5"/>
  <c r="I2393" i="5"/>
  <c r="I2399" i="5"/>
  <c r="I2405" i="5"/>
  <c r="I2411" i="5"/>
  <c r="I2417" i="5"/>
  <c r="I2423" i="5"/>
  <c r="I2429" i="5"/>
  <c r="I2432" i="5"/>
  <c r="I2453" i="5"/>
  <c r="I2456" i="5"/>
  <c r="I2479" i="5"/>
  <c r="I2485" i="5"/>
  <c r="I2503" i="5"/>
  <c r="I2509" i="5"/>
  <c r="I2515" i="5"/>
  <c r="I2521" i="5"/>
  <c r="I2527" i="5"/>
  <c r="I2533" i="5"/>
  <c r="I3323" i="5"/>
  <c r="I3411" i="5"/>
  <c r="I2593" i="5"/>
  <c r="I2596" i="5"/>
  <c r="I2646" i="5"/>
  <c r="I2854" i="5"/>
  <c r="I2860" i="5"/>
  <c r="I2886" i="5"/>
  <c r="I2892" i="5"/>
  <c r="I2898" i="5"/>
  <c r="I2904" i="5"/>
  <c r="I2910" i="5"/>
  <c r="I2916" i="5"/>
  <c r="I2922" i="5"/>
  <c r="I2928" i="5"/>
  <c r="I2934" i="5"/>
  <c r="I2940" i="5"/>
  <c r="I2946" i="5"/>
  <c r="I2952" i="5"/>
  <c r="I2958" i="5"/>
  <c r="I2964" i="5"/>
  <c r="I2970" i="5"/>
  <c r="I2976" i="5"/>
  <c r="I2982" i="5"/>
  <c r="I2988" i="5"/>
  <c r="I2994" i="5"/>
  <c r="I3000" i="5"/>
  <c r="I3006" i="5"/>
  <c r="I3012" i="5"/>
  <c r="I3018" i="5"/>
  <c r="I3056" i="5"/>
  <c r="I3062" i="5"/>
  <c r="I3105" i="5"/>
  <c r="I3111" i="5"/>
  <c r="I3117" i="5"/>
  <c r="I3132" i="5"/>
  <c r="I3177" i="5"/>
  <c r="I3183" i="5"/>
  <c r="I3189" i="5"/>
  <c r="I3192" i="5"/>
  <c r="I3197" i="5"/>
  <c r="I3203" i="5"/>
  <c r="I3209" i="5"/>
  <c r="I3232" i="5"/>
  <c r="I3240" i="5"/>
  <c r="I3257" i="5"/>
  <c r="I3271" i="5"/>
  <c r="I3291" i="5"/>
  <c r="I3319" i="5"/>
  <c r="I3327" i="5"/>
  <c r="I3344" i="5"/>
  <c r="I3365" i="5"/>
  <c r="I3368" i="5"/>
  <c r="I3405" i="5"/>
  <c r="I3436" i="5"/>
  <c r="I3439" i="5"/>
  <c r="I3471" i="5"/>
  <c r="I3476" i="5"/>
  <c r="I3479" i="5"/>
  <c r="I3511" i="5"/>
  <c r="I3514" i="5"/>
  <c r="I3552" i="5"/>
  <c r="I3573" i="5"/>
  <c r="I3576" i="5"/>
  <c r="I3596" i="5"/>
  <c r="I2552" i="5"/>
  <c r="I2555" i="5"/>
  <c r="I2561" i="5"/>
  <c r="I2564" i="5"/>
  <c r="I2567" i="5"/>
  <c r="I2573" i="5"/>
  <c r="I2576" i="5"/>
  <c r="I2582" i="5"/>
  <c r="I2597" i="5"/>
  <c r="I2600" i="5"/>
  <c r="I2606" i="5"/>
  <c r="I2620" i="5"/>
  <c r="I2623" i="5"/>
  <c r="I2626" i="5"/>
  <c r="I2629" i="5"/>
  <c r="I2644" i="5"/>
  <c r="I2647" i="5"/>
  <c r="I2650" i="5"/>
  <c r="I2674" i="5"/>
  <c r="I2680" i="5"/>
  <c r="I2686" i="5"/>
  <c r="I2689" i="5"/>
  <c r="I2692" i="5"/>
  <c r="I2695" i="5"/>
  <c r="I2698" i="5"/>
  <c r="I2704" i="5"/>
  <c r="I2707" i="5"/>
  <c r="I2710" i="5"/>
  <c r="I2713" i="5"/>
  <c r="I2716" i="5"/>
  <c r="I2719" i="5"/>
  <c r="I2725" i="5"/>
  <c r="I2731" i="5"/>
  <c r="I2737" i="5"/>
  <c r="I2743" i="5"/>
  <c r="I2763" i="5"/>
  <c r="I2769" i="5"/>
  <c r="I2787" i="5"/>
  <c r="I2793" i="5"/>
  <c r="I2863" i="5"/>
  <c r="I2869" i="5"/>
  <c r="I2875" i="5"/>
  <c r="I3095" i="5"/>
  <c r="I3109" i="5"/>
  <c r="I3115" i="5"/>
  <c r="I3121" i="5"/>
  <c r="I3135" i="5"/>
  <c r="I3167" i="5"/>
  <c r="I3181" i="5"/>
  <c r="I3187" i="5"/>
  <c r="I3195" i="5"/>
  <c r="I3201" i="5"/>
  <c r="I3207" i="5"/>
  <c r="I3213" i="5"/>
  <c r="I3249" i="5"/>
  <c r="I3255" i="5"/>
  <c r="I3281" i="5"/>
  <c r="I3309" i="5"/>
  <c r="I3317" i="5"/>
  <c r="I3331" i="5"/>
  <c r="I3363" i="5"/>
  <c r="I3369" i="5"/>
  <c r="I3400" i="5"/>
  <c r="I3403" i="5"/>
  <c r="I3437" i="5"/>
  <c r="I3440" i="5"/>
  <c r="I3483" i="5"/>
  <c r="I3506" i="5"/>
  <c r="I3559" i="5"/>
  <c r="I3562" i="5"/>
  <c r="I3571" i="5"/>
  <c r="I3574" i="5"/>
  <c r="I3586" i="5"/>
  <c r="I2849" i="5"/>
  <c r="I2855" i="5"/>
  <c r="I2887" i="5"/>
  <c r="I3019" i="5"/>
  <c r="I3045" i="5"/>
  <c r="I3051" i="5"/>
  <c r="I3057" i="5"/>
  <c r="I3063" i="5"/>
  <c r="I3141" i="5"/>
  <c r="I3147" i="5"/>
  <c r="I3256" i="5"/>
  <c r="I3301" i="5"/>
  <c r="I3339" i="5"/>
  <c r="I3345" i="5"/>
  <c r="I3377" i="5"/>
  <c r="I3380" i="5"/>
  <c r="I3393" i="5"/>
  <c r="I3424" i="5"/>
  <c r="I3427" i="5"/>
  <c r="I3492" i="5"/>
  <c r="I3533" i="5"/>
  <c r="I3536" i="5"/>
  <c r="I3657" i="5"/>
  <c r="I2580" i="5"/>
  <c r="I2583" i="5"/>
  <c r="I2601" i="5"/>
  <c r="I2604" i="5"/>
  <c r="I2627" i="5"/>
  <c r="I2639" i="5"/>
  <c r="I2717" i="5"/>
  <c r="I2738" i="5"/>
  <c r="I2741" i="5"/>
  <c r="I2761" i="5"/>
  <c r="I2829" i="5"/>
  <c r="I2856" i="5"/>
  <c r="I3037" i="5"/>
  <c r="I3107" i="5"/>
  <c r="I3113" i="5"/>
  <c r="I3119" i="5"/>
  <c r="I3125" i="5"/>
  <c r="I3179" i="5"/>
  <c r="I3185" i="5"/>
  <c r="I3199" i="5"/>
  <c r="I3205" i="5"/>
  <c r="I3219" i="5"/>
  <c r="I3247" i="5"/>
  <c r="I3279" i="5"/>
  <c r="I3285" i="5"/>
  <c r="I3315" i="5"/>
  <c r="I3321" i="5"/>
  <c r="I3364" i="5"/>
  <c r="I3367" i="5"/>
  <c r="I3401" i="5"/>
  <c r="I3404" i="5"/>
  <c r="I3441" i="5"/>
  <c r="I3504" i="5"/>
  <c r="I3595" i="5"/>
  <c r="I2868" i="5"/>
  <c r="I2874" i="5"/>
  <c r="I2975" i="5"/>
  <c r="I2999" i="5"/>
  <c r="I3023" i="5"/>
  <c r="I3032" i="5"/>
  <c r="I3038" i="5"/>
  <c r="I3055" i="5"/>
  <c r="I3085" i="5"/>
  <c r="I3099" i="5"/>
  <c r="I3131" i="5"/>
  <c r="I3145" i="5"/>
  <c r="I3151" i="5"/>
  <c r="I3157" i="5"/>
  <c r="I3225" i="5"/>
  <c r="I3231" i="5"/>
  <c r="I3343" i="5"/>
  <c r="I3428" i="5"/>
  <c r="I3465" i="5"/>
  <c r="I3473" i="5"/>
  <c r="I3484" i="5"/>
  <c r="I3490" i="5"/>
  <c r="I3525" i="5"/>
  <c r="I3528" i="5"/>
  <c r="I3584" i="5"/>
  <c r="I584" i="5"/>
  <c r="I627" i="5"/>
  <c r="I707" i="5"/>
  <c r="I759" i="5"/>
  <c r="I771" i="5"/>
  <c r="I831" i="5"/>
  <c r="I863" i="5"/>
  <c r="I883" i="5"/>
  <c r="I1492" i="5"/>
  <c r="I1498" i="5"/>
  <c r="I1556" i="5"/>
  <c r="I1562" i="5"/>
  <c r="I1568" i="5"/>
  <c r="I1574" i="5"/>
  <c r="I1580" i="5"/>
  <c r="I1586" i="5"/>
  <c r="I1592" i="5"/>
  <c r="I1598" i="5"/>
  <c r="I1604" i="5"/>
  <c r="I1610" i="5"/>
  <c r="I1616" i="5"/>
  <c r="I1622" i="5"/>
  <c r="I1628" i="5"/>
  <c r="I1634" i="5"/>
  <c r="I1640" i="5"/>
  <c r="I1646" i="5"/>
  <c r="I1652" i="5"/>
  <c r="I1658" i="5"/>
  <c r="I1664" i="5"/>
  <c r="I1670" i="5"/>
  <c r="I1676" i="5"/>
  <c r="I1682" i="5"/>
  <c r="I1688" i="5"/>
  <c r="I1694" i="5"/>
  <c r="I1700" i="5"/>
  <c r="I1706" i="5"/>
  <c r="I1712" i="5"/>
  <c r="I1718" i="5"/>
  <c r="I1724" i="5"/>
  <c r="I1730" i="5"/>
  <c r="I1736" i="5"/>
  <c r="I1742" i="5"/>
  <c r="I1748" i="5"/>
  <c r="I1754" i="5"/>
  <c r="I1760" i="5"/>
  <c r="I1766" i="5"/>
  <c r="I1772" i="5"/>
  <c r="I1778" i="5"/>
  <c r="I1784" i="5"/>
  <c r="I49" i="5"/>
  <c r="I85" i="5"/>
  <c r="I97" i="5"/>
  <c r="I109" i="5"/>
  <c r="I121" i="5"/>
  <c r="I133" i="5"/>
  <c r="I145" i="5"/>
  <c r="I157" i="5"/>
  <c r="I169" i="5"/>
  <c r="I181" i="5"/>
  <c r="I193" i="5"/>
  <c r="I205" i="5"/>
  <c r="I217" i="5"/>
  <c r="I229" i="5"/>
  <c r="I241" i="5"/>
  <c r="I253" i="5"/>
  <c r="I265" i="5"/>
  <c r="I277" i="5"/>
  <c r="I289" i="5"/>
  <c r="I301" i="5"/>
  <c r="I313" i="5"/>
  <c r="I325" i="5"/>
  <c r="I337" i="5"/>
  <c r="I349" i="5"/>
  <c r="I361" i="5"/>
  <c r="I373" i="5"/>
  <c r="I385" i="5"/>
  <c r="I397" i="5"/>
  <c r="I409" i="5"/>
  <c r="I421" i="5"/>
  <c r="I433" i="5"/>
  <c r="I443" i="5"/>
  <c r="I446" i="5"/>
  <c r="I454" i="5"/>
  <c r="I457" i="5"/>
  <c r="I460" i="5"/>
  <c r="I468" i="5"/>
  <c r="I479" i="5"/>
  <c r="I482" i="5"/>
  <c r="I490" i="5"/>
  <c r="I493" i="5"/>
  <c r="I496" i="5"/>
  <c r="I504" i="5"/>
  <c r="I515" i="5"/>
  <c r="I518" i="5"/>
  <c r="I526" i="5"/>
  <c r="I529" i="5"/>
  <c r="I532" i="5"/>
  <c r="I540" i="5"/>
  <c r="I551" i="5"/>
  <c r="I554" i="5"/>
  <c r="I562" i="5"/>
  <c r="I565" i="5"/>
  <c r="I568" i="5"/>
  <c r="I576" i="5"/>
  <c r="I599" i="5"/>
  <c r="I602" i="5"/>
  <c r="I608" i="5"/>
  <c r="I645" i="5"/>
  <c r="I651" i="5"/>
  <c r="I665" i="5"/>
  <c r="I668" i="5"/>
  <c r="I671" i="5"/>
  <c r="I691" i="5"/>
  <c r="I711" i="5"/>
  <c r="I716" i="5"/>
  <c r="I719" i="5"/>
  <c r="I722" i="5"/>
  <c r="I725" i="5"/>
  <c r="I728" i="5"/>
  <c r="I731" i="5"/>
  <c r="I751" i="5"/>
  <c r="I763" i="5"/>
  <c r="I780" i="5"/>
  <c r="I797" i="5"/>
  <c r="I800" i="5"/>
  <c r="I809" i="5"/>
  <c r="I835" i="5"/>
  <c r="I852" i="5"/>
  <c r="I869" i="5"/>
  <c r="I872" i="5"/>
  <c r="I875" i="5"/>
  <c r="I887" i="5"/>
  <c r="I892" i="5"/>
  <c r="I901" i="5"/>
  <c r="I907" i="5"/>
  <c r="I912" i="5"/>
  <c r="I917" i="5"/>
  <c r="I920" i="5"/>
  <c r="I931" i="5"/>
  <c r="I936" i="5"/>
  <c r="I941" i="5"/>
  <c r="I957" i="5"/>
  <c r="I960" i="5"/>
  <c r="I965" i="5"/>
  <c r="I978" i="5"/>
  <c r="I1002" i="5"/>
  <c r="I1012" i="5"/>
  <c r="I1028" i="5"/>
  <c r="I1031" i="5"/>
  <c r="I1044" i="5"/>
  <c r="I1049" i="5"/>
  <c r="I1065" i="5"/>
  <c r="I1068" i="5"/>
  <c r="I1093" i="5"/>
  <c r="I1110" i="5"/>
  <c r="I1335" i="5"/>
  <c r="I1437" i="5"/>
  <c r="I1484" i="5"/>
  <c r="I1528" i="5"/>
  <c r="I1534" i="5"/>
  <c r="I1545" i="5"/>
  <c r="I1824" i="5"/>
  <c r="I1827" i="5"/>
  <c r="I1830" i="5"/>
  <c r="I1850" i="5"/>
  <c r="I1856" i="5"/>
  <c r="I1862" i="5"/>
  <c r="I1868" i="5"/>
  <c r="I1874" i="5"/>
  <c r="I1880" i="5"/>
  <c r="I1886" i="5"/>
  <c r="I1892" i="5"/>
  <c r="I1898" i="5"/>
  <c r="I1904" i="5"/>
  <c r="I1910" i="5"/>
  <c r="I1916" i="5"/>
  <c r="I1922" i="5"/>
  <c r="I2286" i="5"/>
  <c r="I2625" i="5"/>
  <c r="I3120" i="5"/>
  <c r="I3194" i="5"/>
  <c r="I3293" i="5"/>
  <c r="I11" i="5"/>
  <c r="I23" i="5"/>
  <c r="I35" i="5"/>
  <c r="I83" i="5"/>
  <c r="I107" i="5"/>
  <c r="I119" i="5"/>
  <c r="I13" i="5"/>
  <c r="I25" i="5"/>
  <c r="I73" i="5"/>
  <c r="I47" i="5"/>
  <c r="I59" i="5"/>
  <c r="I9" i="5"/>
  <c r="I21" i="5"/>
  <c r="I33" i="5"/>
  <c r="I45" i="5"/>
  <c r="I57" i="5"/>
  <c r="I69" i="5"/>
  <c r="I81" i="5"/>
  <c r="I93" i="5"/>
  <c r="I105" i="5"/>
  <c r="I117" i="5"/>
  <c r="I129" i="5"/>
  <c r="I141" i="5"/>
  <c r="I153" i="5"/>
  <c r="I165" i="5"/>
  <c r="I177" i="5"/>
  <c r="I189" i="5"/>
  <c r="I201" i="5"/>
  <c r="I213" i="5"/>
  <c r="I225" i="5"/>
  <c r="I237" i="5"/>
  <c r="I249" i="5"/>
  <c r="I261" i="5"/>
  <c r="I273" i="5"/>
  <c r="I285" i="5"/>
  <c r="I297" i="5"/>
  <c r="I309" i="5"/>
  <c r="I321" i="5"/>
  <c r="I333" i="5"/>
  <c r="I345" i="5"/>
  <c r="I357" i="5"/>
  <c r="I369" i="5"/>
  <c r="I381" i="5"/>
  <c r="I393" i="5"/>
  <c r="I405" i="5"/>
  <c r="I417" i="5"/>
  <c r="I429" i="5"/>
  <c r="I444" i="5"/>
  <c r="I455" i="5"/>
  <c r="I458" i="5"/>
  <c r="I466" i="5"/>
  <c r="I469" i="5"/>
  <c r="I472" i="5"/>
  <c r="I480" i="5"/>
  <c r="I491" i="5"/>
  <c r="I494" i="5"/>
  <c r="I502" i="5"/>
  <c r="I505" i="5"/>
  <c r="I508" i="5"/>
  <c r="I516" i="5"/>
  <c r="I527" i="5"/>
  <c r="I530" i="5"/>
  <c r="I538" i="5"/>
  <c r="I541" i="5"/>
  <c r="I544" i="5"/>
  <c r="I552" i="5"/>
  <c r="I563" i="5"/>
  <c r="I566" i="5"/>
  <c r="I574" i="5"/>
  <c r="I577" i="5"/>
  <c r="I580" i="5"/>
  <c r="I600" i="5"/>
  <c r="I637" i="5"/>
  <c r="I640" i="5"/>
  <c r="I655" i="5"/>
  <c r="I669" i="5"/>
  <c r="I692" i="5"/>
  <c r="I700" i="5"/>
  <c r="I703" i="5"/>
  <c r="I720" i="5"/>
  <c r="I729" i="5"/>
  <c r="I732" i="5"/>
  <c r="I752" i="5"/>
  <c r="I755" i="5"/>
  <c r="I767" i="5"/>
  <c r="I781" i="5"/>
  <c r="I787" i="5"/>
  <c r="I798" i="5"/>
  <c r="I801" i="5"/>
  <c r="I804" i="5"/>
  <c r="I821" i="5"/>
  <c r="I824" i="5"/>
  <c r="I827" i="5"/>
  <c r="I839" i="5"/>
  <c r="I844" i="5"/>
  <c r="I853" i="5"/>
  <c r="I859" i="5"/>
  <c r="I876" i="5"/>
  <c r="I893" i="5"/>
  <c r="I896" i="5"/>
  <c r="I899" i="5"/>
  <c r="I918" i="5"/>
  <c r="I942" i="5"/>
  <c r="I966" i="5"/>
  <c r="I976" i="5"/>
  <c r="I992" i="5"/>
  <c r="I995" i="5"/>
  <c r="I1008" i="5"/>
  <c r="I1013" i="5"/>
  <c r="I1029" i="5"/>
  <c r="I1032" i="5"/>
  <c r="I1037" i="5"/>
  <c r="I1050" i="5"/>
  <c r="I1094" i="5"/>
  <c r="I1473" i="5"/>
  <c r="I1520" i="5"/>
  <c r="I1804" i="5"/>
  <c r="I1810" i="5"/>
  <c r="I37" i="5"/>
  <c r="I61" i="5"/>
  <c r="I71" i="5"/>
  <c r="I95" i="5"/>
  <c r="I131" i="5"/>
  <c r="I19" i="5"/>
  <c r="I31" i="5"/>
  <c r="I43" i="5"/>
  <c r="I67" i="5"/>
  <c r="I79" i="5"/>
  <c r="I91" i="5"/>
  <c r="I187" i="5"/>
  <c r="I199" i="5"/>
  <c r="I211" i="5"/>
  <c r="I223" i="5"/>
  <c r="I235" i="5"/>
  <c r="I247" i="5"/>
  <c r="I283" i="5"/>
  <c r="I355" i="5"/>
  <c r="I415" i="5"/>
  <c r="I635" i="5"/>
  <c r="I687" i="5"/>
  <c r="I727" i="5"/>
  <c r="I799" i="5"/>
  <c r="I871" i="5"/>
  <c r="I919" i="5"/>
  <c r="I1506" i="5"/>
  <c r="I1052" i="5"/>
  <c r="I1055" i="5"/>
  <c r="I1076" i="5"/>
  <c r="I1089" i="5"/>
  <c r="I1092" i="5"/>
  <c r="I1097" i="5"/>
  <c r="I1113" i="5"/>
  <c r="I1116" i="5"/>
  <c r="I1119" i="5"/>
  <c r="I1122" i="5"/>
  <c r="I1125" i="5"/>
  <c r="I1128" i="5"/>
  <c r="I1131" i="5"/>
  <c r="I1134" i="5"/>
  <c r="I1137" i="5"/>
  <c r="I1140" i="5"/>
  <c r="I1143" i="5"/>
  <c r="I1146" i="5"/>
  <c r="I1149" i="5"/>
  <c r="I1152" i="5"/>
  <c r="I1155" i="5"/>
  <c r="I1158" i="5"/>
  <c r="I1161" i="5"/>
  <c r="I1164" i="5"/>
  <c r="I1167" i="5"/>
  <c r="I1170" i="5"/>
  <c r="I1173" i="5"/>
  <c r="I1176" i="5"/>
  <c r="I1179" i="5"/>
  <c r="I1182" i="5"/>
  <c r="I1185" i="5"/>
  <c r="I1188" i="5"/>
  <c r="I1191" i="5"/>
  <c r="I1194" i="5"/>
  <c r="I1197" i="5"/>
  <c r="I1200" i="5"/>
  <c r="I1203" i="5"/>
  <c r="I1206" i="5"/>
  <c r="I1209" i="5"/>
  <c r="I1212" i="5"/>
  <c r="I1215" i="5"/>
  <c r="I1218" i="5"/>
  <c r="I1221" i="5"/>
  <c r="I1224" i="5"/>
  <c r="I1227" i="5"/>
  <c r="I1233" i="5"/>
  <c r="I1239" i="5"/>
  <c r="I1245" i="5"/>
  <c r="I1251" i="5"/>
  <c r="I1257" i="5"/>
  <c r="I1263" i="5"/>
  <c r="I1269" i="5"/>
  <c r="I1275" i="5"/>
  <c r="I1281" i="5"/>
  <c r="I1287" i="5"/>
  <c r="I1301" i="5"/>
  <c r="I1304" i="5"/>
  <c r="I1321" i="5"/>
  <c r="I1324" i="5"/>
  <c r="I1327" i="5"/>
  <c r="I1353" i="5"/>
  <c r="I1359" i="5"/>
  <c r="I1373" i="5"/>
  <c r="I1376" i="5"/>
  <c r="I1393" i="5"/>
  <c r="I1429" i="5"/>
  <c r="I1465" i="5"/>
  <c r="I1468" i="5"/>
  <c r="I1474" i="5"/>
  <c r="I1482" i="5"/>
  <c r="I1496" i="5"/>
  <c r="I1501" i="5"/>
  <c r="I1504" i="5"/>
  <c r="I1510" i="5"/>
  <c r="I1518" i="5"/>
  <c r="I1532" i="5"/>
  <c r="I1537" i="5"/>
  <c r="I1540" i="5"/>
  <c r="I1546" i="5"/>
  <c r="I1554" i="5"/>
  <c r="I1560" i="5"/>
  <c r="I1566" i="5"/>
  <c r="I1572" i="5"/>
  <c r="I1578" i="5"/>
  <c r="I1584" i="5"/>
  <c r="I1590" i="5"/>
  <c r="I1596" i="5"/>
  <c r="I1602" i="5"/>
  <c r="I1608" i="5"/>
  <c r="I1614" i="5"/>
  <c r="I1620" i="5"/>
  <c r="I1626" i="5"/>
  <c r="I1632" i="5"/>
  <c r="I1638" i="5"/>
  <c r="I1644" i="5"/>
  <c r="I1650" i="5"/>
  <c r="I1656" i="5"/>
  <c r="I1662" i="5"/>
  <c r="I1668" i="5"/>
  <c r="I1674" i="5"/>
  <c r="I1680" i="5"/>
  <c r="I1686" i="5"/>
  <c r="I1692" i="5"/>
  <c r="I1698" i="5"/>
  <c r="I1704" i="5"/>
  <c r="I1710" i="5"/>
  <c r="I1716" i="5"/>
  <c r="I1722" i="5"/>
  <c r="I1728" i="5"/>
  <c r="I1734" i="5"/>
  <c r="I1740" i="5"/>
  <c r="I1746" i="5"/>
  <c r="I1752" i="5"/>
  <c r="I1758" i="5"/>
  <c r="I1764" i="5"/>
  <c r="I1770" i="5"/>
  <c r="I1776" i="5"/>
  <c r="I1782" i="5"/>
  <c r="I1793" i="5"/>
  <c r="I1802" i="5"/>
  <c r="I1808" i="5"/>
  <c r="I1813" i="5"/>
  <c r="I1819" i="5"/>
  <c r="I1828" i="5"/>
  <c r="I1834" i="5"/>
  <c r="I1845" i="5"/>
  <c r="I1848" i="5"/>
  <c r="I1851" i="5"/>
  <c r="I1854" i="5"/>
  <c r="I1860" i="5"/>
  <c r="I1866" i="5"/>
  <c r="I1872" i="5"/>
  <c r="I1878" i="5"/>
  <c r="I1884" i="5"/>
  <c r="I1890" i="5"/>
  <c r="I1896" i="5"/>
  <c r="I1902" i="5"/>
  <c r="I1908" i="5"/>
  <c r="I1914" i="5"/>
  <c r="I1920" i="5"/>
  <c r="I1926" i="5"/>
  <c r="I1932" i="5"/>
  <c r="I1938" i="5"/>
  <c r="I1944" i="5"/>
  <c r="I1950" i="5"/>
  <c r="I1956" i="5"/>
  <c r="I1962" i="5"/>
  <c r="I1968" i="5"/>
  <c r="I1974" i="5"/>
  <c r="I1980" i="5"/>
  <c r="I1986" i="5"/>
  <c r="I1992" i="5"/>
  <c r="I1998" i="5"/>
  <c r="I2004" i="5"/>
  <c r="I2010" i="5"/>
  <c r="I2016" i="5"/>
  <c r="I2022" i="5"/>
  <c r="I2028" i="5"/>
  <c r="I2034" i="5"/>
  <c r="I2040" i="5"/>
  <c r="I2046" i="5"/>
  <c r="I2052" i="5"/>
  <c r="I2058" i="5"/>
  <c r="I2064" i="5"/>
  <c r="I2070" i="5"/>
  <c r="I2076" i="5"/>
  <c r="I2082" i="5"/>
  <c r="I2088" i="5"/>
  <c r="I2094" i="5"/>
  <c r="I2100" i="5"/>
  <c r="I2106" i="5"/>
  <c r="I2112" i="5"/>
  <c r="I2118" i="5"/>
  <c r="I2124" i="5"/>
  <c r="I2130" i="5"/>
  <c r="I2136" i="5"/>
  <c r="I2142" i="5"/>
  <c r="I2889" i="5"/>
  <c r="I3092" i="5"/>
  <c r="I3106" i="5"/>
  <c r="I3164" i="5"/>
  <c r="I3178" i="5"/>
  <c r="I3237" i="5"/>
  <c r="I3245" i="5"/>
  <c r="I3251" i="5"/>
  <c r="I3277" i="5"/>
  <c r="I3299" i="5"/>
  <c r="I3329" i="5"/>
  <c r="I3554" i="5"/>
  <c r="I1053" i="5"/>
  <c r="I1056" i="5"/>
  <c r="I1061" i="5"/>
  <c r="I1077" i="5"/>
  <c r="I1082" i="5"/>
  <c r="I1090" i="5"/>
  <c r="I1098" i="5"/>
  <c r="I1106" i="5"/>
  <c r="I1114" i="5"/>
  <c r="I1117" i="5"/>
  <c r="I1120" i="5"/>
  <c r="I1123" i="5"/>
  <c r="I1126" i="5"/>
  <c r="I1129" i="5"/>
  <c r="I1132" i="5"/>
  <c r="I1135" i="5"/>
  <c r="I1138" i="5"/>
  <c r="I1141" i="5"/>
  <c r="I1144" i="5"/>
  <c r="I1147" i="5"/>
  <c r="I1150" i="5"/>
  <c r="I1153" i="5"/>
  <c r="I1156" i="5"/>
  <c r="I1159" i="5"/>
  <c r="I1162" i="5"/>
  <c r="I1165" i="5"/>
  <c r="I1168" i="5"/>
  <c r="I1171" i="5"/>
  <c r="I1174" i="5"/>
  <c r="I1177" i="5"/>
  <c r="I1180" i="5"/>
  <c r="I1183" i="5"/>
  <c r="I1186" i="5"/>
  <c r="I1189" i="5"/>
  <c r="I1192" i="5"/>
  <c r="I1195" i="5"/>
  <c r="I1198" i="5"/>
  <c r="I1201" i="5"/>
  <c r="I1204" i="5"/>
  <c r="I1207" i="5"/>
  <c r="I1210" i="5"/>
  <c r="I1213" i="5"/>
  <c r="I1216" i="5"/>
  <c r="I1219" i="5"/>
  <c r="I1222" i="5"/>
  <c r="I1225" i="5"/>
  <c r="I1228" i="5"/>
  <c r="I1231" i="5"/>
  <c r="I1237" i="5"/>
  <c r="I1243" i="5"/>
  <c r="I1249" i="5"/>
  <c r="I1255" i="5"/>
  <c r="I1261" i="5"/>
  <c r="I1267" i="5"/>
  <c r="I1273" i="5"/>
  <c r="I1279" i="5"/>
  <c r="I1305" i="5"/>
  <c r="I1325" i="5"/>
  <c r="I1328" i="5"/>
  <c r="I1345" i="5"/>
  <c r="I1348" i="5"/>
  <c r="I1377" i="5"/>
  <c r="I1383" i="5"/>
  <c r="I1405" i="5"/>
  <c r="I1441" i="5"/>
  <c r="I1458" i="5"/>
  <c r="I1477" i="5"/>
  <c r="I1494" i="5"/>
  <c r="I1508" i="5"/>
  <c r="I1513" i="5"/>
  <c r="I1516" i="5"/>
  <c r="I1522" i="5"/>
  <c r="I1530" i="5"/>
  <c r="I1544" i="5"/>
  <c r="I1549" i="5"/>
  <c r="I1552" i="5"/>
  <c r="I1558" i="5"/>
  <c r="I1564" i="5"/>
  <c r="I1570" i="5"/>
  <c r="I1576" i="5"/>
  <c r="I1582" i="5"/>
  <c r="I1588" i="5"/>
  <c r="I1594" i="5"/>
  <c r="I1600" i="5"/>
  <c r="I1606" i="5"/>
  <c r="I1612" i="5"/>
  <c r="I1618" i="5"/>
  <c r="I1624" i="5"/>
  <c r="I1630" i="5"/>
  <c r="I1636" i="5"/>
  <c r="I1642" i="5"/>
  <c r="I1648" i="5"/>
  <c r="I1654" i="5"/>
  <c r="I1660" i="5"/>
  <c r="I1666" i="5"/>
  <c r="I1672" i="5"/>
  <c r="I1678" i="5"/>
  <c r="I1684" i="5"/>
  <c r="I1690" i="5"/>
  <c r="I1696" i="5"/>
  <c r="I1702" i="5"/>
  <c r="I1708" i="5"/>
  <c r="I1714" i="5"/>
  <c r="I1720" i="5"/>
  <c r="I1726" i="5"/>
  <c r="I1732" i="5"/>
  <c r="I1738" i="5"/>
  <c r="I1744" i="5"/>
  <c r="I1750" i="5"/>
  <c r="I1756" i="5"/>
  <c r="I1762" i="5"/>
  <c r="I1768" i="5"/>
  <c r="I1774" i="5"/>
  <c r="I1780" i="5"/>
  <c r="I1786" i="5"/>
  <c r="I1797" i="5"/>
  <c r="I1800" i="5"/>
  <c r="I1803" i="5"/>
  <c r="I1806" i="5"/>
  <c r="I1817" i="5"/>
  <c r="I1826" i="5"/>
  <c r="I1832" i="5"/>
  <c r="I1837" i="5"/>
  <c r="I1852" i="5"/>
  <c r="I1858" i="5"/>
  <c r="I1864" i="5"/>
  <c r="I1870" i="5"/>
  <c r="I1876" i="5"/>
  <c r="I1882" i="5"/>
  <c r="I1888" i="5"/>
  <c r="I1894" i="5"/>
  <c r="I1900" i="5"/>
  <c r="I1906" i="5"/>
  <c r="I1912" i="5"/>
  <c r="I1918" i="5"/>
  <c r="I1924" i="5"/>
  <c r="I2214" i="5"/>
  <c r="I2817" i="5"/>
  <c r="I2864" i="5"/>
  <c r="I3069" i="5"/>
  <c r="I3075" i="5"/>
  <c r="I3153" i="5"/>
  <c r="I3221" i="5"/>
  <c r="I3261" i="5"/>
  <c r="I3269" i="5"/>
  <c r="I3306" i="5"/>
  <c r="I3314" i="5"/>
  <c r="I3338" i="5"/>
  <c r="I1104" i="5"/>
  <c r="I1109" i="5"/>
  <c r="I1232" i="5"/>
  <c r="I1238" i="5"/>
  <c r="I1244" i="5"/>
  <c r="I1250" i="5"/>
  <c r="I1256" i="5"/>
  <c r="I1262" i="5"/>
  <c r="I1268" i="5"/>
  <c r="I1274" i="5"/>
  <c r="I1280" i="5"/>
  <c r="I1323" i="5"/>
  <c r="I1357" i="5"/>
  <c r="I1411" i="5"/>
  <c r="I1469" i="5"/>
  <c r="I1478" i="5"/>
  <c r="I1483" i="5"/>
  <c r="I1500" i="5"/>
  <c r="I1514" i="5"/>
  <c r="I1536" i="5"/>
  <c r="I1550" i="5"/>
  <c r="I1792" i="5"/>
  <c r="I1798" i="5"/>
  <c r="I1812" i="5"/>
  <c r="I1815" i="5"/>
  <c r="I1818" i="5"/>
  <c r="I1838" i="5"/>
  <c r="I1844" i="5"/>
  <c r="I2850" i="5"/>
  <c r="I3020" i="5"/>
  <c r="I3026" i="5"/>
  <c r="I3046" i="5"/>
  <c r="I3052" i="5"/>
  <c r="I3128" i="5"/>
  <c r="I3142" i="5"/>
  <c r="I1930" i="5"/>
  <c r="I1936" i="5"/>
  <c r="I1942" i="5"/>
  <c r="I1948" i="5"/>
  <c r="I2074" i="5"/>
  <c r="I2157" i="5"/>
  <c r="I2166" i="5"/>
  <c r="I2180" i="5"/>
  <c r="I2183" i="5"/>
  <c r="I2186" i="5"/>
  <c r="I2206" i="5"/>
  <c r="I2229" i="5"/>
  <c r="I2238" i="5"/>
  <c r="I2252" i="5"/>
  <c r="I2255" i="5"/>
  <c r="I2258" i="5"/>
  <c r="I2278" i="5"/>
  <c r="I2301" i="5"/>
  <c r="I2307" i="5"/>
  <c r="I2310" i="5"/>
  <c r="I2430" i="5"/>
  <c r="I2441" i="5"/>
  <c r="I2467" i="5"/>
  <c r="I2473" i="5"/>
  <c r="I2493" i="5"/>
  <c r="I2513" i="5"/>
  <c r="I2516" i="5"/>
  <c r="I2539" i="5"/>
  <c r="I2545" i="5"/>
  <c r="I2565" i="5"/>
  <c r="I2585" i="5"/>
  <c r="I2588" i="5"/>
  <c r="I2591" i="5"/>
  <c r="I2594" i="5"/>
  <c r="I2608" i="5"/>
  <c r="I2611" i="5"/>
  <c r="I2614" i="5"/>
  <c r="I2617" i="5"/>
  <c r="I2634" i="5"/>
  <c r="I2640" i="5"/>
  <c r="I2649" i="5"/>
  <c r="I2723" i="5"/>
  <c r="I2726" i="5"/>
  <c r="I2729" i="5"/>
  <c r="I2749" i="5"/>
  <c r="I2755" i="5"/>
  <c r="I2775" i="5"/>
  <c r="I2795" i="5"/>
  <c r="I2798" i="5"/>
  <c r="I2806" i="5"/>
  <c r="I2809" i="5"/>
  <c r="I2823" i="5"/>
  <c r="I2831" i="5"/>
  <c r="I2834" i="5"/>
  <c r="I2842" i="5"/>
  <c r="I2845" i="5"/>
  <c r="I2859" i="5"/>
  <c r="I2862" i="5"/>
  <c r="I2867" i="5"/>
  <c r="I2876" i="5"/>
  <c r="I2881" i="5"/>
  <c r="I2895" i="5"/>
  <c r="I2901" i="5"/>
  <c r="I2907" i="5"/>
  <c r="I2913" i="5"/>
  <c r="I2919" i="5"/>
  <c r="I2925" i="5"/>
  <c r="I2931" i="5"/>
  <c r="I2937" i="5"/>
  <c r="I2943" i="5"/>
  <c r="I2949" i="5"/>
  <c r="I2955" i="5"/>
  <c r="I2961" i="5"/>
  <c r="I2967" i="5"/>
  <c r="I2973" i="5"/>
  <c r="I2979" i="5"/>
  <c r="I2985" i="5"/>
  <c r="I2991" i="5"/>
  <c r="I2997" i="5"/>
  <c r="I3003" i="5"/>
  <c r="I3009" i="5"/>
  <c r="I3015" i="5"/>
  <c r="I3024" i="5"/>
  <c r="I3030" i="5"/>
  <c r="I3035" i="5"/>
  <c r="I3041" i="5"/>
  <c r="I3044" i="5"/>
  <c r="I3050" i="5"/>
  <c r="I3061" i="5"/>
  <c r="I3070" i="5"/>
  <c r="I3076" i="5"/>
  <c r="I3081" i="5"/>
  <c r="I3087" i="5"/>
  <c r="I3101" i="5"/>
  <c r="I3104" i="5"/>
  <c r="I3118" i="5"/>
  <c r="I3123" i="5"/>
  <c r="I3137" i="5"/>
  <c r="I3140" i="5"/>
  <c r="I3159" i="5"/>
  <c r="I3173" i="5"/>
  <c r="I3190" i="5"/>
  <c r="I3211" i="5"/>
  <c r="I3214" i="5"/>
  <c r="I3222" i="5"/>
  <c r="I3262" i="5"/>
  <c r="I3283" i="5"/>
  <c r="I3334" i="5"/>
  <c r="I3531" i="5"/>
  <c r="I3534" i="5"/>
  <c r="I3537" i="5"/>
  <c r="I3540" i="5"/>
  <c r="I2146" i="5"/>
  <c r="I2172" i="5"/>
  <c r="I2178" i="5"/>
  <c r="I2287" i="5"/>
  <c r="I3082" i="5"/>
  <c r="I3093" i="5"/>
  <c r="I3102" i="5"/>
  <c r="I3110" i="5"/>
  <c r="I3129" i="5"/>
  <c r="I3146" i="5"/>
  <c r="I3165" i="5"/>
  <c r="I3182" i="5"/>
  <c r="I3235" i="5"/>
  <c r="I3243" i="5"/>
  <c r="I3254" i="5"/>
  <c r="I3270" i="5"/>
  <c r="I3278" i="5"/>
  <c r="I3307" i="5"/>
  <c r="I3332" i="5"/>
  <c r="I3477" i="5"/>
  <c r="I3520" i="5"/>
  <c r="I2084" i="5"/>
  <c r="I2138" i="5"/>
  <c r="I2184" i="5"/>
  <c r="I2190" i="5"/>
  <c r="I2230" i="5"/>
  <c r="I2279" i="5"/>
  <c r="I2282" i="5"/>
  <c r="I2305" i="5"/>
  <c r="I2445" i="5"/>
  <c r="I2465" i="5"/>
  <c r="I2468" i="5"/>
  <c r="I2491" i="5"/>
  <c r="I2497" i="5"/>
  <c r="I2517" i="5"/>
  <c r="I2537" i="5"/>
  <c r="I2540" i="5"/>
  <c r="I2563" i="5"/>
  <c r="I2569" i="5"/>
  <c r="I2586" i="5"/>
  <c r="I2589" i="5"/>
  <c r="I2592" i="5"/>
  <c r="I2609" i="5"/>
  <c r="I2612" i="5"/>
  <c r="I2618" i="5"/>
  <c r="I2632" i="5"/>
  <c r="I2635" i="5"/>
  <c r="I2638" i="5"/>
  <c r="I2641" i="5"/>
  <c r="I2727" i="5"/>
  <c r="I2747" i="5"/>
  <c r="I2750" i="5"/>
  <c r="I2753" i="5"/>
  <c r="I2773" i="5"/>
  <c r="I2779" i="5"/>
  <c r="I2799" i="5"/>
  <c r="I2807" i="5"/>
  <c r="I2810" i="5"/>
  <c r="I2818" i="5"/>
  <c r="I2821" i="5"/>
  <c r="I2835" i="5"/>
  <c r="I2843" i="5"/>
  <c r="I2846" i="5"/>
  <c r="I2852" i="5"/>
  <c r="I2857" i="5"/>
  <c r="I2871" i="5"/>
  <c r="I2879" i="5"/>
  <c r="I2888" i="5"/>
  <c r="I2893" i="5"/>
  <c r="I2899" i="5"/>
  <c r="I2905" i="5"/>
  <c r="I2911" i="5"/>
  <c r="I2917" i="5"/>
  <c r="I2923" i="5"/>
  <c r="I2929" i="5"/>
  <c r="I2935" i="5"/>
  <c r="I2941" i="5"/>
  <c r="I2947" i="5"/>
  <c r="I2953" i="5"/>
  <c r="I2959" i="5"/>
  <c r="I2965" i="5"/>
  <c r="I2971" i="5"/>
  <c r="I2977" i="5"/>
  <c r="I2983" i="5"/>
  <c r="I2989" i="5"/>
  <c r="I2995" i="5"/>
  <c r="I3001" i="5"/>
  <c r="I3007" i="5"/>
  <c r="I3013" i="5"/>
  <c r="I3033" i="5"/>
  <c r="I3048" i="5"/>
  <c r="I3054" i="5"/>
  <c r="I3059" i="5"/>
  <c r="I3065" i="5"/>
  <c r="I3068" i="5"/>
  <c r="I3074" i="5"/>
  <c r="I3094" i="5"/>
  <c r="I3108" i="5"/>
  <c r="I3116" i="5"/>
  <c r="I3130" i="5"/>
  <c r="I3144" i="5"/>
  <c r="I3149" i="5"/>
  <c r="I3152" i="5"/>
  <c r="I3166" i="5"/>
  <c r="I3171" i="5"/>
  <c r="I3180" i="5"/>
  <c r="I3188" i="5"/>
  <c r="I3196" i="5"/>
  <c r="I3204" i="5"/>
  <c r="I3220" i="5"/>
  <c r="I3228" i="5"/>
  <c r="I3236" i="5"/>
  <c r="I3244" i="5"/>
  <c r="I3252" i="5"/>
  <c r="I3260" i="5"/>
  <c r="I3268" i="5"/>
  <c r="I3276" i="5"/>
  <c r="I3292" i="5"/>
  <c r="I3300" i="5"/>
  <c r="I3308" i="5"/>
  <c r="I3318" i="5"/>
  <c r="I3330" i="5"/>
  <c r="I3342" i="5"/>
  <c r="I3354" i="5"/>
  <c r="I2150" i="5"/>
  <c r="I2193" i="5"/>
  <c r="I2202" i="5"/>
  <c r="I2274" i="5"/>
  <c r="I2320" i="5"/>
  <c r="I2446" i="5"/>
  <c r="I2483" i="5"/>
  <c r="I2529" i="5"/>
  <c r="I2598" i="5"/>
  <c r="I2656" i="5"/>
  <c r="I2662" i="5"/>
  <c r="I2668" i="5"/>
  <c r="I2701" i="5"/>
  <c r="I2765" i="5"/>
  <c r="I2858" i="5"/>
  <c r="I2866" i="5"/>
  <c r="I2872" i="5"/>
  <c r="I2880" i="5"/>
  <c r="I2894" i="5"/>
  <c r="I2900" i="5"/>
  <c r="I2906" i="5"/>
  <c r="I2912" i="5"/>
  <c r="I2918" i="5"/>
  <c r="I2924" i="5"/>
  <c r="I2930" i="5"/>
  <c r="I2936" i="5"/>
  <c r="I2942" i="5"/>
  <c r="I2948" i="5"/>
  <c r="I2954" i="5"/>
  <c r="I2960" i="5"/>
  <c r="I2966" i="5"/>
  <c r="I2972" i="5"/>
  <c r="I2978" i="5"/>
  <c r="I2984" i="5"/>
  <c r="I2990" i="5"/>
  <c r="I2996" i="5"/>
  <c r="I3002" i="5"/>
  <c r="I3008" i="5"/>
  <c r="I3014" i="5"/>
  <c r="I3025" i="5"/>
  <c r="I3034" i="5"/>
  <c r="I3040" i="5"/>
  <c r="I3060" i="5"/>
  <c r="I3066" i="5"/>
  <c r="I3080" i="5"/>
  <c r="I3086" i="5"/>
  <c r="I3100" i="5"/>
  <c r="I3114" i="5"/>
  <c r="I3122" i="5"/>
  <c r="I3136" i="5"/>
  <c r="I3150" i="5"/>
  <c r="I3158" i="5"/>
  <c r="I3172" i="5"/>
  <c r="I3186" i="5"/>
  <c r="I3202" i="5"/>
  <c r="I3210" i="5"/>
  <c r="I3226" i="5"/>
  <c r="I3250" i="5"/>
  <c r="I3258" i="5"/>
  <c r="I3274" i="5"/>
  <c r="I3282" i="5"/>
  <c r="I3298" i="5"/>
  <c r="I3316" i="5"/>
  <c r="I3328" i="5"/>
  <c r="I3340" i="5"/>
  <c r="I3352" i="5"/>
  <c r="I3568" i="5"/>
  <c r="I3501" i="5"/>
  <c r="I3509" i="5"/>
  <c r="I3512" i="5"/>
  <c r="I3532" i="5"/>
  <c r="I3549" i="5"/>
  <c r="I3557" i="5"/>
  <c r="I3560" i="5"/>
  <c r="I3580" i="5"/>
  <c r="I3591" i="5"/>
  <c r="I3594" i="5"/>
  <c r="I3597" i="5"/>
  <c r="I3600" i="5"/>
  <c r="I3592" i="5"/>
  <c r="I3618" i="5"/>
  <c r="I3499" i="5"/>
  <c r="I3507" i="5"/>
  <c r="I3510" i="5"/>
  <c r="I3513" i="5"/>
  <c r="I3516" i="5"/>
  <c r="I3547" i="5"/>
  <c r="I3555" i="5"/>
  <c r="I3558" i="5"/>
  <c r="I3561" i="5"/>
  <c r="I3564" i="5"/>
  <c r="I3508" i="5"/>
  <c r="I3556" i="5"/>
  <c r="I441" i="5"/>
  <c r="I453" i="5"/>
  <c r="I465" i="5"/>
  <c r="I477" i="5"/>
  <c r="I489" i="5"/>
  <c r="I501" i="5"/>
  <c r="I513" i="5"/>
  <c r="I525" i="5"/>
  <c r="I537" i="5"/>
  <c r="I549" i="5"/>
  <c r="I561" i="5"/>
  <c r="I573" i="5"/>
  <c r="I585" i="5"/>
  <c r="I597" i="5"/>
  <c r="I609" i="5"/>
  <c r="I626" i="5"/>
  <c r="I636" i="5"/>
  <c r="I641" i="5"/>
  <c r="I666" i="5"/>
  <c r="I688" i="5"/>
  <c r="I698" i="5"/>
  <c r="I708" i="5"/>
  <c r="I713" i="5"/>
  <c r="I738" i="5"/>
  <c r="I760" i="5"/>
  <c r="I786" i="5"/>
  <c r="I796" i="5"/>
  <c r="I822" i="5"/>
  <c r="I832" i="5"/>
  <c r="I964" i="5"/>
  <c r="I1000" i="5"/>
  <c r="I1036" i="5"/>
  <c r="I451" i="5"/>
  <c r="I463" i="5"/>
  <c r="I475" i="5"/>
  <c r="I487" i="5"/>
  <c r="I499" i="5"/>
  <c r="I511" i="5"/>
  <c r="I523" i="5"/>
  <c r="I535" i="5"/>
  <c r="I547" i="5"/>
  <c r="I559" i="5"/>
  <c r="I571" i="5"/>
  <c r="I583" i="5"/>
  <c r="I595" i="5"/>
  <c r="I607" i="5"/>
  <c r="I624" i="5"/>
  <c r="I629" i="5"/>
  <c r="I654" i="5"/>
  <c r="I676" i="5"/>
  <c r="I686" i="5"/>
  <c r="I696" i="5"/>
  <c r="I701" i="5"/>
  <c r="I726" i="5"/>
  <c r="I748" i="5"/>
  <c r="I758" i="5"/>
  <c r="I789" i="5"/>
  <c r="I825" i="5"/>
  <c r="I856" i="5"/>
  <c r="I880" i="5"/>
  <c r="I904" i="5"/>
  <c r="I449" i="5"/>
  <c r="I461" i="5"/>
  <c r="I473" i="5"/>
  <c r="I485" i="5"/>
  <c r="I497" i="5"/>
  <c r="I509" i="5"/>
  <c r="I521" i="5"/>
  <c r="I533" i="5"/>
  <c r="I545" i="5"/>
  <c r="I557" i="5"/>
  <c r="I569" i="5"/>
  <c r="I581" i="5"/>
  <c r="I593" i="5"/>
  <c r="I605" i="5"/>
  <c r="I617" i="5"/>
  <c r="I642" i="5"/>
  <c r="I664" i="5"/>
  <c r="I674" i="5"/>
  <c r="I684" i="5"/>
  <c r="I689" i="5"/>
  <c r="I714" i="5"/>
  <c r="I736" i="5"/>
  <c r="I746" i="5"/>
  <c r="I756" i="5"/>
  <c r="I774" i="5"/>
  <c r="I784" i="5"/>
  <c r="I810" i="5"/>
  <c r="I820" i="5"/>
  <c r="I846" i="5"/>
  <c r="I849" i="5"/>
  <c r="I870" i="5"/>
  <c r="I873" i="5"/>
  <c r="I894" i="5"/>
  <c r="I897" i="5"/>
  <c r="I921" i="5"/>
  <c r="I952" i="5"/>
  <c r="I988" i="5"/>
  <c r="I1024" i="5"/>
  <c r="I1060" i="5"/>
  <c r="I447" i="5"/>
  <c r="I459" i="5"/>
  <c r="I471" i="5"/>
  <c r="I483" i="5"/>
  <c r="I495" i="5"/>
  <c r="I507" i="5"/>
  <c r="I519" i="5"/>
  <c r="I531" i="5"/>
  <c r="I543" i="5"/>
  <c r="I555" i="5"/>
  <c r="I567" i="5"/>
  <c r="I579" i="5"/>
  <c r="I591" i="5"/>
  <c r="I603" i="5"/>
  <c r="I615" i="5"/>
  <c r="I630" i="5"/>
  <c r="I652" i="5"/>
  <c r="I662" i="5"/>
  <c r="I672" i="5"/>
  <c r="I677" i="5"/>
  <c r="I702" i="5"/>
  <c r="I724" i="5"/>
  <c r="I734" i="5"/>
  <c r="I744" i="5"/>
  <c r="I749" i="5"/>
  <c r="I777" i="5"/>
  <c r="I813" i="5"/>
  <c r="I770" i="5"/>
  <c r="I782" i="5"/>
  <c r="I794" i="5"/>
  <c r="I806" i="5"/>
  <c r="I818" i="5"/>
  <c r="I830" i="5"/>
  <c r="I842" i="5"/>
  <c r="I854" i="5"/>
  <c r="I866" i="5"/>
  <c r="I878" i="5"/>
  <c r="I890" i="5"/>
  <c r="I902" i="5"/>
  <c r="I914" i="5"/>
  <c r="I926" i="5"/>
  <c r="I938" i="5"/>
  <c r="I950" i="5"/>
  <c r="I962" i="5"/>
  <c r="I974" i="5"/>
  <c r="I986" i="5"/>
  <c r="I998" i="5"/>
  <c r="I1010" i="5"/>
  <c r="I1022" i="5"/>
  <c r="I1034" i="5"/>
  <c r="I1046" i="5"/>
  <c r="I1058" i="5"/>
  <c r="I1339" i="5"/>
  <c r="I1351" i="5"/>
  <c r="I622" i="5"/>
  <c r="I634" i="5"/>
  <c r="I646" i="5"/>
  <c r="I658" i="5"/>
  <c r="I670" i="5"/>
  <c r="I682" i="5"/>
  <c r="I694" i="5"/>
  <c r="I706" i="5"/>
  <c r="I718" i="5"/>
  <c r="I730" i="5"/>
  <c r="I742" i="5"/>
  <c r="I754" i="5"/>
  <c r="I766" i="5"/>
  <c r="I778" i="5"/>
  <c r="I790" i="5"/>
  <c r="I802" i="5"/>
  <c r="I814" i="5"/>
  <c r="I826" i="5"/>
  <c r="I838" i="5"/>
  <c r="I850" i="5"/>
  <c r="I862" i="5"/>
  <c r="I874" i="5"/>
  <c r="I886" i="5"/>
  <c r="I898" i="5"/>
  <c r="I910" i="5"/>
  <c r="I922" i="5"/>
  <c r="I934" i="5"/>
  <c r="I946" i="5"/>
  <c r="I958" i="5"/>
  <c r="I970" i="5"/>
  <c r="I982" i="5"/>
  <c r="I994" i="5"/>
  <c r="I1006" i="5"/>
  <c r="I1018" i="5"/>
  <c r="I1030" i="5"/>
  <c r="I1042" i="5"/>
  <c r="I1054" i="5"/>
  <c r="I1066" i="5"/>
  <c r="I1291" i="5"/>
  <c r="I1363" i="5"/>
  <c r="I1290" i="5"/>
  <c r="I1302" i="5"/>
  <c r="I1314" i="5"/>
  <c r="I1326" i="5"/>
  <c r="I1338" i="5"/>
  <c r="I1350" i="5"/>
  <c r="I1362" i="5"/>
  <c r="I1374" i="5"/>
  <c r="I1386" i="5"/>
  <c r="I1398" i="5"/>
  <c r="I1410" i="5"/>
  <c r="I1422" i="5"/>
  <c r="I1434" i="5"/>
  <c r="I1446" i="5"/>
  <c r="I1807" i="5"/>
  <c r="I1286" i="5"/>
  <c r="I1298" i="5"/>
  <c r="I1310" i="5"/>
  <c r="I1322" i="5"/>
  <c r="I1334" i="5"/>
  <c r="I1346" i="5"/>
  <c r="I1358" i="5"/>
  <c r="I1370" i="5"/>
  <c r="I1382" i="5"/>
  <c r="I1394" i="5"/>
  <c r="I1406" i="5"/>
  <c r="I1418" i="5"/>
  <c r="I1430" i="5"/>
  <c r="I1442" i="5"/>
  <c r="I1454" i="5"/>
  <c r="I1831" i="5"/>
  <c r="I1284" i="5"/>
  <c r="I1296" i="5"/>
  <c r="I1308" i="5"/>
  <c r="I1320" i="5"/>
  <c r="I1332" i="5"/>
  <c r="I1344" i="5"/>
  <c r="I1356" i="5"/>
  <c r="I1368" i="5"/>
  <c r="I1380" i="5"/>
  <c r="I1392" i="5"/>
  <c r="I1404" i="5"/>
  <c r="I1416" i="5"/>
  <c r="I1428" i="5"/>
  <c r="I1440" i="5"/>
  <c r="I1452" i="5"/>
  <c r="I1464" i="5"/>
  <c r="I1843" i="5"/>
  <c r="I1282" i="5"/>
  <c r="I1294" i="5"/>
  <c r="I1306" i="5"/>
  <c r="I1318" i="5"/>
  <c r="I1330" i="5"/>
  <c r="I1342" i="5"/>
  <c r="I1354" i="5"/>
  <c r="I1366" i="5"/>
  <c r="I1378" i="5"/>
  <c r="I1390" i="5"/>
  <c r="I1402" i="5"/>
  <c r="I1414" i="5"/>
  <c r="I1426" i="5"/>
  <c r="I1438" i="5"/>
  <c r="I1450" i="5"/>
  <c r="I1462" i="5"/>
  <c r="I1855" i="5"/>
  <c r="I1859" i="5"/>
  <c r="I1865" i="5"/>
  <c r="I1871" i="5"/>
  <c r="I1877" i="5"/>
  <c r="I1883" i="5"/>
  <c r="I1889" i="5"/>
  <c r="I1895" i="5"/>
  <c r="I1901" i="5"/>
  <c r="I1907" i="5"/>
  <c r="I1913" i="5"/>
  <c r="I1919" i="5"/>
  <c r="I1925" i="5"/>
  <c r="I1931" i="5"/>
  <c r="I1937" i="5"/>
  <c r="I1943" i="5"/>
  <c r="I1949" i="5"/>
  <c r="I1955" i="5"/>
  <c r="I1961" i="5"/>
  <c r="I1967" i="5"/>
  <c r="I1973" i="5"/>
  <c r="I1979" i="5"/>
  <c r="I1985" i="5"/>
  <c r="I1991" i="5"/>
  <c r="I1997" i="5"/>
  <c r="I2003" i="5"/>
  <c r="I2009" i="5"/>
  <c r="I2015" i="5"/>
  <c r="I2021" i="5"/>
  <c r="I2027" i="5"/>
  <c r="I2033" i="5"/>
  <c r="I2039" i="5"/>
  <c r="I2045" i="5"/>
  <c r="I2051" i="5"/>
  <c r="I2057" i="5"/>
  <c r="I2063" i="5"/>
  <c r="I2069" i="5"/>
  <c r="I2075" i="5"/>
  <c r="I2081" i="5"/>
  <c r="I2087" i="5"/>
  <c r="I2093" i="5"/>
  <c r="I2099" i="5"/>
  <c r="I2105" i="5"/>
  <c r="I2111" i="5"/>
  <c r="I2117" i="5"/>
  <c r="I2123" i="5"/>
  <c r="I2129" i="5"/>
  <c r="I2135" i="5"/>
  <c r="I2141" i="5"/>
  <c r="I2196" i="5"/>
  <c r="I2268" i="5"/>
  <c r="I1863" i="5"/>
  <c r="I1869" i="5"/>
  <c r="I1875" i="5"/>
  <c r="I1881" i="5"/>
  <c r="I1887" i="5"/>
  <c r="I1893" i="5"/>
  <c r="I1899" i="5"/>
  <c r="I1905" i="5"/>
  <c r="I1911" i="5"/>
  <c r="I1917" i="5"/>
  <c r="I1923" i="5"/>
  <c r="I1929" i="5"/>
  <c r="I1935" i="5"/>
  <c r="I1941" i="5"/>
  <c r="I1947" i="5"/>
  <c r="I1953" i="5"/>
  <c r="I1959" i="5"/>
  <c r="I1965" i="5"/>
  <c r="I1971" i="5"/>
  <c r="I1977" i="5"/>
  <c r="I1983" i="5"/>
  <c r="I1989" i="5"/>
  <c r="I1995" i="5"/>
  <c r="I2001" i="5"/>
  <c r="I2007" i="5"/>
  <c r="I2013" i="5"/>
  <c r="I2019" i="5"/>
  <c r="I2025" i="5"/>
  <c r="I2031" i="5"/>
  <c r="I2037" i="5"/>
  <c r="I2043" i="5"/>
  <c r="I2049" i="5"/>
  <c r="I2055" i="5"/>
  <c r="I2061" i="5"/>
  <c r="I2067" i="5"/>
  <c r="I2073" i="5"/>
  <c r="I2079" i="5"/>
  <c r="I2085" i="5"/>
  <c r="I2091" i="5"/>
  <c r="I2097" i="5"/>
  <c r="I2103" i="5"/>
  <c r="I2109" i="5"/>
  <c r="I2115" i="5"/>
  <c r="I2121" i="5"/>
  <c r="I2127" i="5"/>
  <c r="I2133" i="5"/>
  <c r="I2139" i="5"/>
  <c r="I2148" i="5"/>
  <c r="I2220" i="5"/>
  <c r="I2292" i="5"/>
  <c r="I2160" i="5"/>
  <c r="I2232" i="5"/>
  <c r="I2304" i="5"/>
  <c r="I1861" i="5"/>
  <c r="I1867" i="5"/>
  <c r="I1873" i="5"/>
  <c r="I1879" i="5"/>
  <c r="I1885" i="5"/>
  <c r="I1891" i="5"/>
  <c r="I1897" i="5"/>
  <c r="I1903" i="5"/>
  <c r="I1909" i="5"/>
  <c r="I1915" i="5"/>
  <c r="I1921" i="5"/>
  <c r="I1927" i="5"/>
  <c r="I1933" i="5"/>
  <c r="I1939" i="5"/>
  <c r="I1945" i="5"/>
  <c r="I1951" i="5"/>
  <c r="I1957" i="5"/>
  <c r="I1963" i="5"/>
  <c r="I1969" i="5"/>
  <c r="I1975" i="5"/>
  <c r="I1981" i="5"/>
  <c r="I1987" i="5"/>
  <c r="I1993" i="5"/>
  <c r="I1999" i="5"/>
  <c r="I2005" i="5"/>
  <c r="I2011" i="5"/>
  <c r="I2017" i="5"/>
  <c r="I2023" i="5"/>
  <c r="I2029" i="5"/>
  <c r="I2035" i="5"/>
  <c r="I2041" i="5"/>
  <c r="I2047" i="5"/>
  <c r="I2053" i="5"/>
  <c r="I2059" i="5"/>
  <c r="I2065" i="5"/>
  <c r="I2071" i="5"/>
  <c r="I2077" i="5"/>
  <c r="I2083" i="5"/>
  <c r="I2089" i="5"/>
  <c r="I2095" i="5"/>
  <c r="I2101" i="5"/>
  <c r="I2107" i="5"/>
  <c r="I2113" i="5"/>
  <c r="I2119" i="5"/>
  <c r="I2125" i="5"/>
  <c r="I2131" i="5"/>
  <c r="I2137" i="5"/>
  <c r="I2244" i="5"/>
  <c r="I2316" i="5"/>
  <c r="I2143" i="5"/>
  <c r="I2155" i="5"/>
  <c r="I2167" i="5"/>
  <c r="I2179" i="5"/>
  <c r="I2191" i="5"/>
  <c r="I2203" i="5"/>
  <c r="I2215" i="5"/>
  <c r="I2227" i="5"/>
  <c r="I2239" i="5"/>
  <c r="I2251" i="5"/>
  <c r="I2263" i="5"/>
  <c r="I2275" i="5"/>
  <c r="I2324" i="5"/>
  <c r="I2330" i="5"/>
  <c r="I2336" i="5"/>
  <c r="I2342" i="5"/>
  <c r="I2348" i="5"/>
  <c r="I2354" i="5"/>
  <c r="I2360" i="5"/>
  <c r="I2366" i="5"/>
  <c r="I2372" i="5"/>
  <c r="I2378" i="5"/>
  <c r="I2384" i="5"/>
  <c r="I2390" i="5"/>
  <c r="I2396" i="5"/>
  <c r="I2402" i="5"/>
  <c r="I2408" i="5"/>
  <c r="I2414" i="5"/>
  <c r="I2420" i="5"/>
  <c r="I2426" i="5"/>
  <c r="I2435" i="5"/>
  <c r="I2507" i="5"/>
  <c r="I2579" i="5"/>
  <c r="I2153" i="5"/>
  <c r="I2165" i="5"/>
  <c r="I2177" i="5"/>
  <c r="I2189" i="5"/>
  <c r="I2201" i="5"/>
  <c r="I2213" i="5"/>
  <c r="I2225" i="5"/>
  <c r="I2237" i="5"/>
  <c r="I2249" i="5"/>
  <c r="I2261" i="5"/>
  <c r="I2273" i="5"/>
  <c r="I2447" i="5"/>
  <c r="I2519" i="5"/>
  <c r="I2151" i="5"/>
  <c r="I2163" i="5"/>
  <c r="I2175" i="5"/>
  <c r="I2187" i="5"/>
  <c r="I2199" i="5"/>
  <c r="I2211" i="5"/>
  <c r="I2223" i="5"/>
  <c r="I2235" i="5"/>
  <c r="I2247" i="5"/>
  <c r="I2259" i="5"/>
  <c r="I2271" i="5"/>
  <c r="I2283" i="5"/>
  <c r="I2322" i="5"/>
  <c r="I2328" i="5"/>
  <c r="I2334" i="5"/>
  <c r="I2340" i="5"/>
  <c r="I2346" i="5"/>
  <c r="I2352" i="5"/>
  <c r="I2358" i="5"/>
  <c r="I2364" i="5"/>
  <c r="I2370" i="5"/>
  <c r="I2376" i="5"/>
  <c r="I2382" i="5"/>
  <c r="I2388" i="5"/>
  <c r="I2394" i="5"/>
  <c r="I2400" i="5"/>
  <c r="I2406" i="5"/>
  <c r="I2412" i="5"/>
  <c r="I2418" i="5"/>
  <c r="I2424" i="5"/>
  <c r="I2459" i="5"/>
  <c r="I2531" i="5"/>
  <c r="I2603" i="5"/>
  <c r="I2149" i="5"/>
  <c r="I2161" i="5"/>
  <c r="I2173" i="5"/>
  <c r="I2185" i="5"/>
  <c r="I2197" i="5"/>
  <c r="I2209" i="5"/>
  <c r="I2221" i="5"/>
  <c r="I2233" i="5"/>
  <c r="I2245" i="5"/>
  <c r="I2257" i="5"/>
  <c r="I2269" i="5"/>
  <c r="I2281" i="5"/>
  <c r="I2471" i="5"/>
  <c r="I2543" i="5"/>
  <c r="I2615" i="5"/>
  <c r="I2434" i="5"/>
  <c r="I2458" i="5"/>
  <c r="I2470" i="5"/>
  <c r="I2482" i="5"/>
  <c r="I2494" i="5"/>
  <c r="I2506" i="5"/>
  <c r="I2518" i="5"/>
  <c r="I2530" i="5"/>
  <c r="I2542" i="5"/>
  <c r="I2554" i="5"/>
  <c r="I2566" i="5"/>
  <c r="I2653" i="5"/>
  <c r="I2659" i="5"/>
  <c r="I2665" i="5"/>
  <c r="I2671" i="5"/>
  <c r="I2677" i="5"/>
  <c r="I2683" i="5"/>
  <c r="I2442" i="5"/>
  <c r="I2454" i="5"/>
  <c r="I2466" i="5"/>
  <c r="I2478" i="5"/>
  <c r="I2490" i="5"/>
  <c r="I2502" i="5"/>
  <c r="I2514" i="5"/>
  <c r="I2526" i="5"/>
  <c r="I2538" i="5"/>
  <c r="I2550" i="5"/>
  <c r="I2562" i="5"/>
  <c r="I2651" i="5"/>
  <c r="I2657" i="5"/>
  <c r="I2663" i="5"/>
  <c r="I2669" i="5"/>
  <c r="I2675" i="5"/>
  <c r="I2681" i="5"/>
  <c r="I2687" i="5"/>
  <c r="I2440" i="5"/>
  <c r="I2452" i="5"/>
  <c r="I2464" i="5"/>
  <c r="I2476" i="5"/>
  <c r="I2488" i="5"/>
  <c r="I2500" i="5"/>
  <c r="I2512" i="5"/>
  <c r="I2524" i="5"/>
  <c r="I2536" i="5"/>
  <c r="I2548" i="5"/>
  <c r="I2560" i="5"/>
  <c r="I2572" i="5"/>
  <c r="I2438" i="5"/>
  <c r="I2450" i="5"/>
  <c r="I2462" i="5"/>
  <c r="I2474" i="5"/>
  <c r="I2486" i="5"/>
  <c r="I2498" i="5"/>
  <c r="I2510" i="5"/>
  <c r="I2522" i="5"/>
  <c r="I2534" i="5"/>
  <c r="I2546" i="5"/>
  <c r="I2558" i="5"/>
  <c r="I2570" i="5"/>
  <c r="I2436" i="5"/>
  <c r="I2448" i="5"/>
  <c r="I2460" i="5"/>
  <c r="I2472" i="5"/>
  <c r="I2484" i="5"/>
  <c r="I2496" i="5"/>
  <c r="I2508" i="5"/>
  <c r="I2520" i="5"/>
  <c r="I2532" i="5"/>
  <c r="I2544" i="5"/>
  <c r="I2556" i="5"/>
  <c r="I2568" i="5"/>
  <c r="I2728" i="5"/>
  <c r="I2740" i="5"/>
  <c r="I2752" i="5"/>
  <c r="I2764" i="5"/>
  <c r="I2776" i="5"/>
  <c r="I2788" i="5"/>
  <c r="I2800" i="5"/>
  <c r="I2812" i="5"/>
  <c r="I2824" i="5"/>
  <c r="I2836" i="5"/>
  <c r="I2848" i="5"/>
  <c r="I2724" i="5"/>
  <c r="I2736" i="5"/>
  <c r="I2748" i="5"/>
  <c r="I2760" i="5"/>
  <c r="I2772" i="5"/>
  <c r="I2784" i="5"/>
  <c r="I2796" i="5"/>
  <c r="I2808" i="5"/>
  <c r="I2820" i="5"/>
  <c r="I2832" i="5"/>
  <c r="I2844" i="5"/>
  <c r="I2722" i="5"/>
  <c r="I2734" i="5"/>
  <c r="I2746" i="5"/>
  <c r="I2758" i="5"/>
  <c r="I2770" i="5"/>
  <c r="I2782" i="5"/>
  <c r="I2720" i="5"/>
  <c r="I2732" i="5"/>
  <c r="I2744" i="5"/>
  <c r="I2756" i="5"/>
  <c r="I2768" i="5"/>
  <c r="I2780" i="5"/>
  <c r="I2792" i="5"/>
  <c r="I2804" i="5"/>
  <c r="I2816" i="5"/>
  <c r="I2828" i="5"/>
  <c r="I2840" i="5"/>
  <c r="I3027" i="5"/>
  <c r="I2718" i="5"/>
  <c r="I2730" i="5"/>
  <c r="I2742" i="5"/>
  <c r="I2754" i="5"/>
  <c r="I2766" i="5"/>
  <c r="I2778" i="5"/>
  <c r="I2790" i="5"/>
  <c r="I2802" i="5"/>
  <c r="I2814" i="5"/>
  <c r="I2826" i="5"/>
  <c r="I2838" i="5"/>
  <c r="I3039" i="5"/>
  <c r="I3366" i="5"/>
  <c r="I3378" i="5"/>
  <c r="I3390" i="5"/>
  <c r="I3402" i="5"/>
  <c r="I3414" i="5"/>
  <c r="I3426" i="5"/>
  <c r="I3438" i="5"/>
  <c r="I3450" i="5"/>
  <c r="I3462" i="5"/>
  <c r="I3474" i="5"/>
  <c r="I3486" i="5"/>
  <c r="I3582" i="5"/>
  <c r="I3362" i="5"/>
  <c r="I3374" i="5"/>
  <c r="I3386" i="5"/>
  <c r="I3398" i="5"/>
  <c r="I3410" i="5"/>
  <c r="I3422" i="5"/>
  <c r="I3434" i="5"/>
  <c r="I3446" i="5"/>
  <c r="I3458" i="5"/>
  <c r="I3470" i="5"/>
  <c r="I3482" i="5"/>
  <c r="I3497" i="5"/>
  <c r="I3500" i="5"/>
  <c r="I3521" i="5"/>
  <c r="I3524" i="5"/>
  <c r="I3545" i="5"/>
  <c r="I3548" i="5"/>
  <c r="I3569" i="5"/>
  <c r="I3572" i="5"/>
  <c r="I3360" i="5"/>
  <c r="I3372" i="5"/>
  <c r="I3384" i="5"/>
  <c r="I3396" i="5"/>
  <c r="I3408" i="5"/>
  <c r="I3420" i="5"/>
  <c r="I3432" i="5"/>
  <c r="I3444" i="5"/>
  <c r="I3456" i="5"/>
  <c r="I3468" i="5"/>
  <c r="I3480" i="5"/>
  <c r="I3358" i="5"/>
  <c r="I3370" i="5"/>
  <c r="I3382" i="5"/>
  <c r="I3394" i="5"/>
  <c r="I3406" i="5"/>
  <c r="I3418" i="5"/>
  <c r="I3430" i="5"/>
  <c r="I3442" i="5"/>
  <c r="I3454" i="5"/>
  <c r="I3466" i="5"/>
  <c r="I3478" i="5"/>
  <c r="I3495" i="5"/>
  <c r="I3498" i="5"/>
  <c r="I3519" i="5"/>
  <c r="I3522" i="5"/>
  <c r="I3543" i="5"/>
  <c r="I3546" i="5"/>
  <c r="I3567" i="5"/>
  <c r="I3570" i="5"/>
  <c r="I3581" i="5"/>
  <c r="I3593" i="5"/>
  <c r="I3493" i="5"/>
  <c r="I3505" i="5"/>
  <c r="I3517" i="5"/>
  <c r="I3529" i="5"/>
  <c r="I3541" i="5"/>
  <c r="I3553" i="5"/>
  <c r="I3565" i="5"/>
  <c r="I3577" i="5"/>
  <c r="I3589" i="5"/>
  <c r="I3601" i="5"/>
  <c r="I3491" i="5"/>
  <c r="I3503" i="5"/>
  <c r="I3515" i="5"/>
  <c r="I3527" i="5"/>
  <c r="I3539" i="5"/>
  <c r="I3551" i="5"/>
  <c r="I3563" i="5"/>
  <c r="I3575" i="5"/>
  <c r="I3587" i="5"/>
  <c r="I3599" i="5"/>
  <c r="I3604" i="5"/>
  <c r="I3607" i="5"/>
  <c r="I3610" i="5"/>
  <c r="I3613" i="5"/>
  <c r="I3616" i="5"/>
  <c r="I3619" i="5"/>
  <c r="I3622" i="5"/>
  <c r="I3625" i="5"/>
  <c r="I3628" i="5"/>
  <c r="I3634" i="5"/>
  <c r="I3640" i="5"/>
  <c r="I3646" i="5"/>
  <c r="I3652" i="5"/>
  <c r="I3658" i="5"/>
  <c r="O31" i="5" l="1"/>
  <c r="AA31" i="5" s="1"/>
  <c r="P63" i="5"/>
  <c r="N122" i="5"/>
  <c r="M81" i="5"/>
  <c r="O82" i="5"/>
  <c r="M14" i="5"/>
  <c r="P87" i="5"/>
  <c r="M33" i="5"/>
  <c r="P33" i="5"/>
  <c r="N44" i="5"/>
  <c r="M20" i="5"/>
  <c r="N63" i="5"/>
  <c r="M99" i="5"/>
  <c r="N111" i="5"/>
  <c r="M44" i="5"/>
  <c r="N56" i="5"/>
  <c r="O68" i="5"/>
  <c r="M93" i="5"/>
  <c r="N105" i="5"/>
  <c r="P105" i="5"/>
  <c r="P24" i="5"/>
  <c r="O50" i="5"/>
  <c r="M112" i="5"/>
  <c r="M76" i="5"/>
  <c r="M40" i="5"/>
  <c r="N124" i="5"/>
  <c r="N88" i="5"/>
  <c r="N52" i="5"/>
  <c r="O119" i="5"/>
  <c r="O92" i="5"/>
  <c r="O65" i="5"/>
  <c r="O38" i="5"/>
  <c r="O11" i="5"/>
  <c r="M85" i="5"/>
  <c r="M37" i="5"/>
  <c r="N109" i="5"/>
  <c r="N61" i="5"/>
  <c r="P108" i="5"/>
  <c r="P54" i="5"/>
  <c r="M120" i="5"/>
  <c r="M48" i="5"/>
  <c r="N96" i="5"/>
  <c r="O125" i="5"/>
  <c r="O71" i="5"/>
  <c r="O17" i="5"/>
  <c r="M71" i="5"/>
  <c r="N119" i="5"/>
  <c r="N47" i="5"/>
  <c r="O6" i="5"/>
  <c r="N9" i="5"/>
  <c r="N14" i="5"/>
  <c r="N19" i="5"/>
  <c r="O112" i="5"/>
  <c r="O85" i="5"/>
  <c r="O58" i="5"/>
  <c r="M38" i="5"/>
  <c r="N104" i="5"/>
  <c r="N10" i="5"/>
  <c r="P96" i="5"/>
  <c r="N38" i="5"/>
  <c r="N87" i="5"/>
  <c r="M106" i="5"/>
  <c r="M70" i="5"/>
  <c r="M34" i="5"/>
  <c r="N118" i="5"/>
  <c r="N82" i="5"/>
  <c r="N46" i="5"/>
  <c r="M121" i="5"/>
  <c r="M73" i="5"/>
  <c r="M31" i="5"/>
  <c r="N103" i="5"/>
  <c r="N49" i="5"/>
  <c r="P99" i="5"/>
  <c r="P45" i="5"/>
  <c r="M108" i="5"/>
  <c r="M36" i="5"/>
  <c r="N84" i="5"/>
  <c r="O116" i="5"/>
  <c r="O62" i="5"/>
  <c r="O8" i="5"/>
  <c r="M59" i="5"/>
  <c r="N107" i="5"/>
  <c r="N34" i="5"/>
  <c r="Q34" i="5" s="1"/>
  <c r="O28" i="5"/>
  <c r="O7" i="5"/>
  <c r="O16" i="5"/>
  <c r="O25" i="5"/>
  <c r="O34" i="5"/>
  <c r="O43" i="5"/>
  <c r="O52" i="5"/>
  <c r="O61" i="5"/>
  <c r="O70" i="5"/>
  <c r="O79" i="5"/>
  <c r="O88" i="5"/>
  <c r="O97" i="5"/>
  <c r="O106" i="5"/>
  <c r="P7" i="5"/>
  <c r="P16" i="5"/>
  <c r="P25" i="5"/>
  <c r="P34" i="5"/>
  <c r="P43" i="5"/>
  <c r="P52" i="5"/>
  <c r="P61" i="5"/>
  <c r="P70" i="5"/>
  <c r="P79" i="5"/>
  <c r="P88" i="5"/>
  <c r="P97" i="5"/>
  <c r="P106" i="5"/>
  <c r="P115" i="5"/>
  <c r="P124" i="5"/>
  <c r="N32" i="5"/>
  <c r="O15" i="5"/>
  <c r="O24" i="5"/>
  <c r="O33" i="5"/>
  <c r="O42" i="5"/>
  <c r="O51" i="5"/>
  <c r="O60" i="5"/>
  <c r="O69" i="5"/>
  <c r="O78" i="5"/>
  <c r="O87" i="5"/>
  <c r="O96" i="5"/>
  <c r="O105" i="5"/>
  <c r="O114" i="5"/>
  <c r="O123" i="5"/>
  <c r="N27" i="5"/>
  <c r="P14" i="5"/>
  <c r="P23" i="5"/>
  <c r="P32" i="5"/>
  <c r="P41" i="5"/>
  <c r="P50" i="5"/>
  <c r="P59" i="5"/>
  <c r="P68" i="5"/>
  <c r="R68" i="5" s="1"/>
  <c r="P77" i="5"/>
  <c r="P86" i="5"/>
  <c r="P95" i="5"/>
  <c r="P104" i="5"/>
  <c r="P113" i="5"/>
  <c r="P122" i="5"/>
  <c r="N24" i="5"/>
  <c r="P21" i="5"/>
  <c r="P48" i="5"/>
  <c r="P75" i="5"/>
  <c r="P102" i="5"/>
  <c r="N16" i="5"/>
  <c r="N65" i="5"/>
  <c r="N101" i="5"/>
  <c r="M17" i="5"/>
  <c r="M53" i="5"/>
  <c r="M89" i="5"/>
  <c r="M125" i="5"/>
  <c r="N42" i="5"/>
  <c r="N78" i="5"/>
  <c r="N114" i="5"/>
  <c r="M30" i="5"/>
  <c r="M66" i="5"/>
  <c r="M102" i="5"/>
  <c r="N55" i="5"/>
  <c r="N91" i="5"/>
  <c r="M7" i="5"/>
  <c r="M43" i="5"/>
  <c r="M79" i="5"/>
  <c r="M115" i="5"/>
  <c r="N13" i="5"/>
  <c r="P10" i="5"/>
  <c r="P19" i="5"/>
  <c r="P28" i="5"/>
  <c r="P37" i="5"/>
  <c r="P46" i="5"/>
  <c r="P55" i="5"/>
  <c r="P64" i="5"/>
  <c r="P73" i="5"/>
  <c r="P82" i="5"/>
  <c r="P91" i="5"/>
  <c r="P100" i="5"/>
  <c r="P109" i="5"/>
  <c r="P118" i="5"/>
  <c r="N8" i="5"/>
  <c r="O9" i="5"/>
  <c r="O18" i="5"/>
  <c r="O27" i="5"/>
  <c r="O36" i="5"/>
  <c r="O45" i="5"/>
  <c r="O54" i="5"/>
  <c r="O63" i="5"/>
  <c r="O72" i="5"/>
  <c r="O81" i="5"/>
  <c r="O90" i="5"/>
  <c r="O99" i="5"/>
  <c r="O108" i="5"/>
  <c r="O117" i="5"/>
  <c r="P8" i="5"/>
  <c r="R8" i="5" s="1"/>
  <c r="P17" i="5"/>
  <c r="P26" i="5"/>
  <c r="P35" i="5"/>
  <c r="P44" i="5"/>
  <c r="P53" i="5"/>
  <c r="P62" i="5"/>
  <c r="P71" i="5"/>
  <c r="P80" i="5"/>
  <c r="P89" i="5"/>
  <c r="P98" i="5"/>
  <c r="P107" i="5"/>
  <c r="P116" i="5"/>
  <c r="P125" i="5"/>
  <c r="N36" i="5"/>
  <c r="Q36" i="5" s="1"/>
  <c r="P30" i="5"/>
  <c r="P57" i="5"/>
  <c r="P84" i="5"/>
  <c r="P111" i="5"/>
  <c r="N41" i="5"/>
  <c r="Q41" i="5" s="1"/>
  <c r="N77" i="5"/>
  <c r="N113" i="5"/>
  <c r="M29" i="5"/>
  <c r="M65" i="5"/>
  <c r="M101" i="5"/>
  <c r="N54" i="5"/>
  <c r="N90" i="5"/>
  <c r="N6" i="5"/>
  <c r="M42" i="5"/>
  <c r="M78" i="5"/>
  <c r="M114" i="5"/>
  <c r="N25" i="5"/>
  <c r="P13" i="5"/>
  <c r="P22" i="5"/>
  <c r="P31" i="5"/>
  <c r="R31" i="5" s="1"/>
  <c r="P40" i="5"/>
  <c r="P49" i="5"/>
  <c r="P58" i="5"/>
  <c r="P67" i="5"/>
  <c r="P76" i="5"/>
  <c r="P85" i="5"/>
  <c r="R85" i="5" s="1"/>
  <c r="P94" i="5"/>
  <c r="P103" i="5"/>
  <c r="P112" i="5"/>
  <c r="R112" i="5" s="1"/>
  <c r="P121" i="5"/>
  <c r="N20" i="5"/>
  <c r="O12" i="5"/>
  <c r="O21" i="5"/>
  <c r="O30" i="5"/>
  <c r="O39" i="5"/>
  <c r="O48" i="5"/>
  <c r="O57" i="5"/>
  <c r="O66" i="5"/>
  <c r="O75" i="5"/>
  <c r="O84" i="5"/>
  <c r="O93" i="5"/>
  <c r="O102" i="5"/>
  <c r="O111" i="5"/>
  <c r="O120" i="5"/>
  <c r="N15" i="5"/>
  <c r="P11" i="5"/>
  <c r="R11" i="5" s="1"/>
  <c r="P20" i="5"/>
  <c r="P29" i="5"/>
  <c r="P38" i="5"/>
  <c r="R38" i="5" s="1"/>
  <c r="P47" i="5"/>
  <c r="P56" i="5"/>
  <c r="P65" i="5"/>
  <c r="P74" i="5"/>
  <c r="P83" i="5"/>
  <c r="P92" i="5"/>
  <c r="R92" i="5" s="1"/>
  <c r="P101" i="5"/>
  <c r="P110" i="5"/>
  <c r="P119" i="5"/>
  <c r="R119" i="5" s="1"/>
  <c r="N12" i="5"/>
  <c r="P12" i="5"/>
  <c r="P39" i="5"/>
  <c r="P66" i="5"/>
  <c r="P93" i="5"/>
  <c r="P120" i="5"/>
  <c r="R120" i="5" s="1"/>
  <c r="N53" i="5"/>
  <c r="Q53" i="5" s="1"/>
  <c r="N89" i="5"/>
  <c r="Q89" i="5" s="1"/>
  <c r="N125" i="5"/>
  <c r="M41" i="5"/>
  <c r="M77" i="5"/>
  <c r="M113" i="5"/>
  <c r="N17" i="5"/>
  <c r="N66" i="5"/>
  <c r="N102" i="5"/>
  <c r="M18" i="5"/>
  <c r="M54" i="5"/>
  <c r="M90" i="5"/>
  <c r="M6" i="5"/>
  <c r="N43" i="5"/>
  <c r="N79" i="5"/>
  <c r="Q79" i="5" s="1"/>
  <c r="N115" i="5"/>
  <c r="P6" i="5"/>
  <c r="R6" i="5" s="1"/>
  <c r="N86" i="5"/>
  <c r="N50" i="5"/>
  <c r="N81" i="5"/>
  <c r="Q81" i="5" s="1"/>
  <c r="M68" i="5"/>
  <c r="N68" i="5"/>
  <c r="M87" i="5"/>
  <c r="M63" i="5"/>
  <c r="N75" i="5"/>
  <c r="M116" i="5"/>
  <c r="M8" i="5"/>
  <c r="O122" i="5"/>
  <c r="O41" i="5"/>
  <c r="M57" i="5"/>
  <c r="N69" i="5"/>
  <c r="Q69" i="5" s="1"/>
  <c r="P78" i="5"/>
  <c r="R78" i="5" s="1"/>
  <c r="O104" i="5"/>
  <c r="O23" i="5"/>
  <c r="M100" i="5"/>
  <c r="M64" i="5"/>
  <c r="M28" i="5"/>
  <c r="N112" i="5"/>
  <c r="N76" i="5"/>
  <c r="N40" i="5"/>
  <c r="O110" i="5"/>
  <c r="O83" i="5"/>
  <c r="O56" i="5"/>
  <c r="O29" i="5"/>
  <c r="M109" i="5"/>
  <c r="M67" i="5"/>
  <c r="M25" i="5"/>
  <c r="N97" i="5"/>
  <c r="N37" i="5"/>
  <c r="P90" i="5"/>
  <c r="P36" i="5"/>
  <c r="M96" i="5"/>
  <c r="M24" i="5"/>
  <c r="N72" i="5"/>
  <c r="Q72" i="5" s="1"/>
  <c r="O107" i="5"/>
  <c r="O53" i="5"/>
  <c r="M119" i="5"/>
  <c r="M47" i="5"/>
  <c r="N95" i="5"/>
  <c r="O124" i="5"/>
  <c r="O103" i="5"/>
  <c r="O76" i="5"/>
  <c r="O49" i="5"/>
  <c r="O22" i="5"/>
  <c r="M74" i="5"/>
  <c r="O113" i="5"/>
  <c r="M26" i="5"/>
  <c r="N7" i="5"/>
  <c r="O86" i="5"/>
  <c r="N45" i="5"/>
  <c r="M32" i="5"/>
  <c r="O32" i="5"/>
  <c r="N23" i="5"/>
  <c r="M51" i="5"/>
  <c r="O59" i="5"/>
  <c r="M45" i="5"/>
  <c r="N57" i="5"/>
  <c r="P69" i="5"/>
  <c r="M98" i="5"/>
  <c r="N110" i="5"/>
  <c r="M39" i="5"/>
  <c r="N51" i="5"/>
  <c r="Q51" i="5" s="1"/>
  <c r="M94" i="5"/>
  <c r="M58" i="5"/>
  <c r="M22" i="5"/>
  <c r="N106" i="5"/>
  <c r="N70" i="5"/>
  <c r="N29" i="5"/>
  <c r="M103" i="5"/>
  <c r="M61" i="5"/>
  <c r="M19" i="5"/>
  <c r="N85" i="5"/>
  <c r="Q85" i="5" s="1"/>
  <c r="N22" i="5"/>
  <c r="P81" i="5"/>
  <c r="P27" i="5"/>
  <c r="M84" i="5"/>
  <c r="M12" i="5"/>
  <c r="N60" i="5"/>
  <c r="O98" i="5"/>
  <c r="O44" i="5"/>
  <c r="M107" i="5"/>
  <c r="M35" i="5"/>
  <c r="N83" i="5"/>
  <c r="O121" i="5"/>
  <c r="O100" i="5"/>
  <c r="O73" i="5"/>
  <c r="O46" i="5"/>
  <c r="O19" i="5"/>
  <c r="N117" i="5"/>
  <c r="M123" i="5"/>
  <c r="N93" i="5"/>
  <c r="Q93" i="5" s="1"/>
  <c r="M75" i="5"/>
  <c r="O109" i="5"/>
  <c r="M122" i="5"/>
  <c r="M86" i="5"/>
  <c r="M50" i="5"/>
  <c r="M105" i="5"/>
  <c r="P114" i="5"/>
  <c r="N116" i="5"/>
  <c r="M92" i="5"/>
  <c r="M15" i="5"/>
  <c r="M27" i="5"/>
  <c r="N39" i="5"/>
  <c r="M80" i="5"/>
  <c r="N92" i="5"/>
  <c r="O95" i="5"/>
  <c r="O14" i="5"/>
  <c r="M21" i="5"/>
  <c r="N28" i="5"/>
  <c r="P51" i="5"/>
  <c r="O77" i="5"/>
  <c r="M124" i="5"/>
  <c r="M88" i="5"/>
  <c r="M52" i="5"/>
  <c r="M16" i="5"/>
  <c r="N100" i="5"/>
  <c r="Q100" i="5" s="1"/>
  <c r="N64" i="5"/>
  <c r="N11" i="5"/>
  <c r="O101" i="5"/>
  <c r="O74" i="5"/>
  <c r="O47" i="5"/>
  <c r="O20" i="5"/>
  <c r="M97" i="5"/>
  <c r="M55" i="5"/>
  <c r="M13" i="5"/>
  <c r="N73" i="5"/>
  <c r="P72" i="5"/>
  <c r="P18" i="5"/>
  <c r="M72" i="5"/>
  <c r="N120" i="5"/>
  <c r="N48" i="5"/>
  <c r="Q48" i="5" s="1"/>
  <c r="O89" i="5"/>
  <c r="O35" i="5"/>
  <c r="M95" i="5"/>
  <c r="M23" i="5"/>
  <c r="N71" i="5"/>
  <c r="N30" i="5"/>
  <c r="Q30" i="5" s="1"/>
  <c r="N33" i="5"/>
  <c r="O118" i="5"/>
  <c r="O94" i="5"/>
  <c r="O67" i="5"/>
  <c r="O40" i="5"/>
  <c r="O13" i="5"/>
  <c r="M104" i="5"/>
  <c r="P15" i="5"/>
  <c r="R15" i="5" s="1"/>
  <c r="O55" i="5"/>
  <c r="M110" i="5"/>
  <c r="N98" i="5"/>
  <c r="N62" i="5"/>
  <c r="M69" i="5"/>
  <c r="N80" i="5"/>
  <c r="M56" i="5"/>
  <c r="P60" i="5"/>
  <c r="R60" i="5" s="1"/>
  <c r="N99" i="5"/>
  <c r="Q99" i="5" s="1"/>
  <c r="M117" i="5"/>
  <c r="M9" i="5"/>
  <c r="P123" i="5"/>
  <c r="R123" i="5" s="1"/>
  <c r="P42" i="5"/>
  <c r="M62" i="5"/>
  <c r="N74" i="5"/>
  <c r="M111" i="5"/>
  <c r="N123" i="5"/>
  <c r="M118" i="5"/>
  <c r="M82" i="5"/>
  <c r="M46" i="5"/>
  <c r="M10" i="5"/>
  <c r="N94" i="5"/>
  <c r="N58" i="5"/>
  <c r="M91" i="5"/>
  <c r="M49" i="5"/>
  <c r="N121" i="5"/>
  <c r="Q121" i="5" s="1"/>
  <c r="N67" i="5"/>
  <c r="Q67" i="5" s="1"/>
  <c r="P117" i="5"/>
  <c r="P9" i="5"/>
  <c r="R9" i="5" s="1"/>
  <c r="M60" i="5"/>
  <c r="N108" i="5"/>
  <c r="Q108" i="5" s="1"/>
  <c r="N35" i="5"/>
  <c r="O80" i="5"/>
  <c r="O26" i="5"/>
  <c r="M83" i="5"/>
  <c r="M11" i="5"/>
  <c r="N59" i="5"/>
  <c r="Q59" i="5" s="1"/>
  <c r="N18" i="5"/>
  <c r="N21" i="5"/>
  <c r="Q21" i="5" s="1"/>
  <c r="N26" i="5"/>
  <c r="N31" i="5"/>
  <c r="Q31" i="5" s="1"/>
  <c r="O115" i="5"/>
  <c r="O91" i="5"/>
  <c r="O64" i="5"/>
  <c r="O37" i="5"/>
  <c r="O10" i="5"/>
  <c r="Q38" i="5" l="1"/>
  <c r="Q120" i="5"/>
  <c r="R51" i="5"/>
  <c r="Q117" i="5"/>
  <c r="Q37" i="5"/>
  <c r="Q102" i="5"/>
  <c r="Q29" i="5"/>
  <c r="Q66" i="5"/>
  <c r="R65" i="5"/>
  <c r="Q70" i="5"/>
  <c r="Q71" i="5"/>
  <c r="Q20" i="5"/>
  <c r="Q106" i="5"/>
  <c r="R17" i="5"/>
  <c r="R82" i="5"/>
  <c r="Q14" i="5"/>
  <c r="R50" i="5"/>
  <c r="Q40" i="5"/>
  <c r="R58" i="5"/>
  <c r="R84" i="5"/>
  <c r="R42" i="5"/>
  <c r="Q33" i="5"/>
  <c r="R69" i="5"/>
  <c r="Q112" i="5"/>
  <c r="R66" i="5"/>
  <c r="R97" i="5"/>
  <c r="R125" i="5"/>
  <c r="Q94" i="5"/>
  <c r="Q125" i="5"/>
  <c r="Q58" i="5"/>
  <c r="Q7" i="5"/>
  <c r="R103" i="5"/>
  <c r="R106" i="5"/>
  <c r="Q92" i="5"/>
  <c r="R88" i="5"/>
  <c r="Q35" i="5"/>
  <c r="R18" i="5"/>
  <c r="R72" i="5"/>
  <c r="Q39" i="5"/>
  <c r="R36" i="5"/>
  <c r="R70" i="5"/>
  <c r="R90" i="5"/>
  <c r="Q123" i="5"/>
  <c r="Q28" i="5"/>
  <c r="R117" i="5"/>
  <c r="Q62" i="5"/>
  <c r="Q25" i="5"/>
  <c r="Q97" i="5"/>
  <c r="R27" i="5"/>
  <c r="R81" i="5"/>
  <c r="Q22" i="5"/>
  <c r="Q26" i="5"/>
  <c r="R56" i="5"/>
  <c r="R105" i="5"/>
  <c r="R52" i="5"/>
  <c r="R91" i="5"/>
  <c r="R53" i="5"/>
  <c r="R34" i="5"/>
  <c r="R39" i="5"/>
  <c r="R73" i="5"/>
  <c r="R25" i="5"/>
  <c r="Q116" i="5"/>
  <c r="R16" i="5"/>
  <c r="R7" i="5"/>
  <c r="Q73" i="5"/>
  <c r="R110" i="5"/>
  <c r="Q57" i="5"/>
  <c r="Q18" i="5"/>
  <c r="Q76" i="5"/>
  <c r="Q74" i="5"/>
  <c r="R83" i="5"/>
  <c r="Q113" i="5"/>
  <c r="Q77" i="5"/>
  <c r="R35" i="5"/>
  <c r="Q65" i="5"/>
  <c r="Q96" i="5"/>
  <c r="R28" i="5"/>
  <c r="R111" i="5"/>
  <c r="Q44" i="5"/>
  <c r="R116" i="5"/>
  <c r="Q68" i="5"/>
  <c r="R79" i="5"/>
  <c r="Q80" i="5"/>
  <c r="R62" i="5"/>
  <c r="Q98" i="5"/>
  <c r="Q60" i="5"/>
  <c r="Q115" i="5"/>
  <c r="R44" i="5"/>
  <c r="Q101" i="5"/>
  <c r="Q46" i="5"/>
  <c r="Q105" i="5"/>
  <c r="R93" i="5"/>
  <c r="Q82" i="5"/>
  <c r="Q95" i="5"/>
  <c r="Q43" i="5"/>
  <c r="R26" i="5"/>
  <c r="R64" i="5"/>
  <c r="Q16" i="5"/>
  <c r="Q118" i="5"/>
  <c r="Q110" i="5"/>
  <c r="R55" i="5"/>
  <c r="Q91" i="5"/>
  <c r="R102" i="5"/>
  <c r="Q56" i="5"/>
  <c r="R114" i="5"/>
  <c r="R12" i="5"/>
  <c r="R46" i="5"/>
  <c r="Q55" i="5"/>
  <c r="R75" i="5"/>
  <c r="R54" i="5"/>
  <c r="Q12" i="5"/>
  <c r="R37" i="5"/>
  <c r="R48" i="5"/>
  <c r="Q107" i="5"/>
  <c r="R108" i="5"/>
  <c r="R21" i="5"/>
  <c r="Q61" i="5"/>
  <c r="R19" i="5"/>
  <c r="Q24" i="5"/>
  <c r="Q109" i="5"/>
  <c r="Q111" i="5"/>
  <c r="Q11" i="5"/>
  <c r="R101" i="5"/>
  <c r="R10" i="5"/>
  <c r="R122" i="5"/>
  <c r="Q13" i="5"/>
  <c r="B8" i="7"/>
  <c r="R113" i="5"/>
  <c r="Q87" i="5"/>
  <c r="Q9" i="5"/>
  <c r="Q63" i="5"/>
  <c r="Q23" i="5"/>
  <c r="R121" i="5"/>
  <c r="R104" i="5"/>
  <c r="Q84" i="5"/>
  <c r="R74" i="5"/>
  <c r="R95" i="5"/>
  <c r="Q32" i="5"/>
  <c r="R57" i="5"/>
  <c r="R86" i="5"/>
  <c r="R124" i="5"/>
  <c r="R96" i="5"/>
  <c r="Q75" i="5"/>
  <c r="Q17" i="5"/>
  <c r="R94" i="5"/>
  <c r="R30" i="5"/>
  <c r="Q114" i="5"/>
  <c r="R77" i="5"/>
  <c r="R115" i="5"/>
  <c r="R45" i="5"/>
  <c r="Q10" i="5"/>
  <c r="R33" i="5"/>
  <c r="R47" i="5"/>
  <c r="Q78" i="5"/>
  <c r="R99" i="5"/>
  <c r="Q104" i="5"/>
  <c r="R76" i="5"/>
  <c r="Q42" i="5"/>
  <c r="R59" i="5"/>
  <c r="Q49" i="5"/>
  <c r="Q52" i="5"/>
  <c r="R29" i="5"/>
  <c r="R67" i="5"/>
  <c r="Q103" i="5"/>
  <c r="Q88" i="5"/>
  <c r="R87" i="5"/>
  <c r="R20" i="5"/>
  <c r="R107" i="5"/>
  <c r="R41" i="5"/>
  <c r="Q124" i="5"/>
  <c r="Q45" i="5"/>
  <c r="R49" i="5"/>
  <c r="R98" i="5"/>
  <c r="R32" i="5"/>
  <c r="Q83" i="5"/>
  <c r="Q15" i="5"/>
  <c r="R40" i="5"/>
  <c r="R89" i="5"/>
  <c r="Q8" i="5"/>
  <c r="R23" i="5"/>
  <c r="R61" i="5"/>
  <c r="Q19" i="5"/>
  <c r="B7" i="7"/>
  <c r="Q47" i="5"/>
  <c r="Q6" i="5"/>
  <c r="R80" i="5"/>
  <c r="R118" i="5"/>
  <c r="R14" i="5"/>
  <c r="Q119" i="5"/>
  <c r="Q122" i="5"/>
  <c r="Q50" i="5"/>
  <c r="R22" i="5"/>
  <c r="Q90" i="5"/>
  <c r="R71" i="5"/>
  <c r="R109" i="5"/>
  <c r="Q27" i="5"/>
  <c r="R43" i="5"/>
  <c r="R63" i="5"/>
  <c r="Q64" i="5"/>
  <c r="Q86" i="5"/>
  <c r="R13" i="5"/>
  <c r="Q54" i="5"/>
  <c r="R100" i="5"/>
  <c r="R24" i="5"/>
  <c r="Z31" i="5"/>
  <c r="X11" i="5"/>
  <c r="Y11" i="5"/>
  <c r="X72" i="5"/>
  <c r="Y72" i="5"/>
  <c r="X22" i="5"/>
  <c r="Y22" i="5"/>
  <c r="AA39" i="5"/>
  <c r="Z39" i="5"/>
  <c r="X114" i="5"/>
  <c r="Y114" i="5"/>
  <c r="Y115" i="5"/>
  <c r="X115" i="5"/>
  <c r="AA114" i="5"/>
  <c r="Z114" i="5"/>
  <c r="Z60" i="5"/>
  <c r="AA60" i="5"/>
  <c r="AA97" i="5"/>
  <c r="Z97" i="5"/>
  <c r="Z43" i="5"/>
  <c r="AA43" i="5"/>
  <c r="X36" i="5"/>
  <c r="Y36" i="5"/>
  <c r="Y31" i="5"/>
  <c r="X31" i="5"/>
  <c r="Y106" i="5"/>
  <c r="X106" i="5"/>
  <c r="Z85" i="5"/>
  <c r="AA85" i="5"/>
  <c r="Z71" i="5"/>
  <c r="AA71" i="5"/>
  <c r="AA38" i="5"/>
  <c r="Z38" i="5"/>
  <c r="X20" i="5"/>
  <c r="Y20" i="5"/>
  <c r="X14" i="5"/>
  <c r="Y14" i="5"/>
  <c r="AA10" i="5"/>
  <c r="Z10" i="5"/>
  <c r="X60" i="5"/>
  <c r="Y60" i="5"/>
  <c r="AA13" i="5"/>
  <c r="Z13" i="5"/>
  <c r="Z95" i="5"/>
  <c r="AA95" i="5"/>
  <c r="X105" i="5"/>
  <c r="Y105" i="5"/>
  <c r="AA32" i="5"/>
  <c r="Z32" i="5"/>
  <c r="AA53" i="5"/>
  <c r="Z53" i="5"/>
  <c r="Z93" i="5"/>
  <c r="AA93" i="5"/>
  <c r="AA18" i="5"/>
  <c r="Z18" i="5"/>
  <c r="X83" i="5"/>
  <c r="Y83" i="5"/>
  <c r="Y62" i="5"/>
  <c r="X62" i="5"/>
  <c r="AA40" i="5"/>
  <c r="Z40" i="5"/>
  <c r="X95" i="5"/>
  <c r="Y95" i="5"/>
  <c r="Y97" i="5"/>
  <c r="X97" i="5"/>
  <c r="AA77" i="5"/>
  <c r="Z77" i="5"/>
  <c r="X15" i="5"/>
  <c r="Y15" i="5"/>
  <c r="X50" i="5"/>
  <c r="Y50" i="5"/>
  <c r="Y123" i="5"/>
  <c r="X123" i="5"/>
  <c r="AA121" i="5"/>
  <c r="Z121" i="5"/>
  <c r="X58" i="5"/>
  <c r="Y58" i="5"/>
  <c r="Y39" i="5"/>
  <c r="X39" i="5"/>
  <c r="X32" i="5"/>
  <c r="Y32" i="5"/>
  <c r="X26" i="5"/>
  <c r="Y26" i="5"/>
  <c r="Z103" i="5"/>
  <c r="AA103" i="5"/>
  <c r="Z107" i="5"/>
  <c r="AA107" i="5"/>
  <c r="Z56" i="5"/>
  <c r="AA56" i="5"/>
  <c r="X28" i="5"/>
  <c r="Y28" i="5"/>
  <c r="Y113" i="5"/>
  <c r="X113" i="5"/>
  <c r="Z84" i="5"/>
  <c r="AA84" i="5"/>
  <c r="AA30" i="5"/>
  <c r="Z30" i="5"/>
  <c r="Y78" i="5"/>
  <c r="X78" i="5"/>
  <c r="Y29" i="5"/>
  <c r="X29" i="5"/>
  <c r="Z117" i="5"/>
  <c r="AA117" i="5"/>
  <c r="Z63" i="5"/>
  <c r="AA63" i="5"/>
  <c r="AA9" i="5"/>
  <c r="Z9" i="5"/>
  <c r="Y79" i="5"/>
  <c r="X79" i="5"/>
  <c r="X30" i="5"/>
  <c r="Y30" i="5"/>
  <c r="Z105" i="5"/>
  <c r="AA105" i="5"/>
  <c r="AA51" i="5"/>
  <c r="Z51" i="5"/>
  <c r="Z88" i="5"/>
  <c r="AA88" i="5"/>
  <c r="AA34" i="5"/>
  <c r="Z34" i="5"/>
  <c r="X59" i="5"/>
  <c r="Y59" i="5"/>
  <c r="X108" i="5"/>
  <c r="Y108" i="5"/>
  <c r="Y73" i="5"/>
  <c r="X73" i="5"/>
  <c r="AA112" i="5"/>
  <c r="Z112" i="5"/>
  <c r="AA125" i="5"/>
  <c r="Z125" i="5"/>
  <c r="Z65" i="5"/>
  <c r="AA65" i="5"/>
  <c r="X40" i="5"/>
  <c r="Y40" i="5"/>
  <c r="Z82" i="5"/>
  <c r="AA82" i="5"/>
  <c r="X56" i="5"/>
  <c r="Y56" i="5"/>
  <c r="X110" i="5"/>
  <c r="Y110" i="5"/>
  <c r="Z67" i="5"/>
  <c r="AA67" i="5"/>
  <c r="AA35" i="5"/>
  <c r="Z35" i="5"/>
  <c r="AA20" i="5"/>
  <c r="Z20" i="5"/>
  <c r="X80" i="5"/>
  <c r="Y80" i="5"/>
  <c r="X86" i="5"/>
  <c r="Y86" i="5"/>
  <c r="X12" i="5"/>
  <c r="Y12" i="5"/>
  <c r="X19" i="5"/>
  <c r="B19" i="7" s="1"/>
  <c r="Y19" i="5"/>
  <c r="B24" i="7" s="1"/>
  <c r="X94" i="5"/>
  <c r="Y94" i="5"/>
  <c r="X45" i="5"/>
  <c r="Y45" i="5"/>
  <c r="Z113" i="5"/>
  <c r="B20" i="7" s="1"/>
  <c r="AA113" i="5"/>
  <c r="B25" i="7" s="1"/>
  <c r="Z124" i="5"/>
  <c r="AA124" i="5"/>
  <c r="Z83" i="5"/>
  <c r="AA83" i="5"/>
  <c r="Y64" i="5"/>
  <c r="X64" i="5"/>
  <c r="X57" i="5"/>
  <c r="Y57" i="5"/>
  <c r="X68" i="5"/>
  <c r="Y68" i="5"/>
  <c r="Y6" i="5"/>
  <c r="X6" i="5"/>
  <c r="X77" i="5"/>
  <c r="Y77" i="5"/>
  <c r="AA75" i="5"/>
  <c r="Z75" i="5"/>
  <c r="AA21" i="5"/>
  <c r="Z21" i="5"/>
  <c r="X42" i="5"/>
  <c r="Y42" i="5"/>
  <c r="Z108" i="5"/>
  <c r="AA108" i="5"/>
  <c r="Z54" i="5"/>
  <c r="AA54" i="5"/>
  <c r="Y43" i="5"/>
  <c r="X43" i="5"/>
  <c r="Z96" i="5"/>
  <c r="AA96" i="5"/>
  <c r="AA42" i="5"/>
  <c r="Z42" i="5"/>
  <c r="Z79" i="5"/>
  <c r="AA79" i="5"/>
  <c r="AA25" i="5"/>
  <c r="Z25" i="5"/>
  <c r="AA8" i="5"/>
  <c r="Z8" i="5"/>
  <c r="Y121" i="5"/>
  <c r="X121" i="5"/>
  <c r="Z92" i="5"/>
  <c r="AA92" i="5"/>
  <c r="Y76" i="5"/>
  <c r="X76" i="5"/>
  <c r="X93" i="5"/>
  <c r="Y93" i="5"/>
  <c r="X81" i="5"/>
  <c r="Y81" i="5"/>
  <c r="Y124" i="5"/>
  <c r="X124" i="5"/>
  <c r="AA100" i="5"/>
  <c r="Z100" i="5"/>
  <c r="X116" i="5"/>
  <c r="Y116" i="5"/>
  <c r="Z72" i="5"/>
  <c r="AA72" i="5"/>
  <c r="X17" i="5"/>
  <c r="Y17" i="5"/>
  <c r="Z64" i="5"/>
  <c r="AA64" i="5"/>
  <c r="X10" i="5"/>
  <c r="Y10" i="5"/>
  <c r="Z91" i="5"/>
  <c r="AA91" i="5"/>
  <c r="Z80" i="5"/>
  <c r="AA80" i="5"/>
  <c r="X46" i="5"/>
  <c r="Y46" i="5"/>
  <c r="Z55" i="5"/>
  <c r="AA55" i="5"/>
  <c r="Z94" i="5"/>
  <c r="AA94" i="5"/>
  <c r="Z89" i="5"/>
  <c r="AA89" i="5"/>
  <c r="Z47" i="5"/>
  <c r="AA47" i="5"/>
  <c r="X16" i="5"/>
  <c r="Y16" i="5"/>
  <c r="X92" i="5"/>
  <c r="Y92" i="5"/>
  <c r="Y122" i="5"/>
  <c r="X122" i="5"/>
  <c r="AA19" i="5"/>
  <c r="Z19" i="5"/>
  <c r="Y35" i="5"/>
  <c r="X35" i="5"/>
  <c r="X84" i="5"/>
  <c r="Y84" i="5"/>
  <c r="Y61" i="5"/>
  <c r="X61" i="5"/>
  <c r="Z59" i="5"/>
  <c r="AA59" i="5"/>
  <c r="Y74" i="5"/>
  <c r="X74" i="5"/>
  <c r="X24" i="5"/>
  <c r="Y24" i="5"/>
  <c r="X25" i="5"/>
  <c r="Y25" i="5"/>
  <c r="Z110" i="5"/>
  <c r="AA110" i="5"/>
  <c r="X100" i="5"/>
  <c r="Y100" i="5"/>
  <c r="AA41" i="5"/>
  <c r="Z41" i="5"/>
  <c r="Y63" i="5"/>
  <c r="X63" i="5"/>
  <c r="X90" i="5"/>
  <c r="Y90" i="5"/>
  <c r="Y41" i="5"/>
  <c r="X41" i="5"/>
  <c r="Z120" i="5"/>
  <c r="AA120" i="5"/>
  <c r="Z66" i="5"/>
  <c r="AA66" i="5"/>
  <c r="AA12" i="5"/>
  <c r="Z12" i="5"/>
  <c r="Z99" i="5"/>
  <c r="AA99" i="5"/>
  <c r="Z45" i="5"/>
  <c r="AA45" i="5"/>
  <c r="X7" i="5"/>
  <c r="Y7" i="5"/>
  <c r="Y125" i="5"/>
  <c r="X125" i="5"/>
  <c r="Z87" i="5"/>
  <c r="AA87" i="5"/>
  <c r="AA33" i="5"/>
  <c r="Z33" i="5"/>
  <c r="Z70" i="5"/>
  <c r="AA70" i="5"/>
  <c r="AA16" i="5"/>
  <c r="Z16" i="5"/>
  <c r="Z62" i="5"/>
  <c r="AA62" i="5"/>
  <c r="X48" i="5"/>
  <c r="Y48" i="5"/>
  <c r="Y37" i="5"/>
  <c r="X37" i="5"/>
  <c r="Z119" i="5"/>
  <c r="AA119" i="5"/>
  <c r="Y112" i="5"/>
  <c r="X112" i="5"/>
  <c r="Z68" i="5"/>
  <c r="AA68" i="5"/>
  <c r="Y99" i="5"/>
  <c r="X99" i="5"/>
  <c r="Y33" i="5"/>
  <c r="X33" i="5"/>
  <c r="Y91" i="5"/>
  <c r="X91" i="5"/>
  <c r="Y55" i="5"/>
  <c r="X55" i="5"/>
  <c r="AA76" i="5"/>
  <c r="Z76" i="5"/>
  <c r="AA29" i="5"/>
  <c r="Z29" i="5"/>
  <c r="AA37" i="5"/>
  <c r="Z37" i="5"/>
  <c r="AA26" i="5"/>
  <c r="Z26" i="5"/>
  <c r="Z115" i="5"/>
  <c r="AA115" i="5"/>
  <c r="X82" i="5"/>
  <c r="Y82" i="5"/>
  <c r="X111" i="5"/>
  <c r="Y111" i="5"/>
  <c r="X9" i="5"/>
  <c r="Y9" i="5"/>
  <c r="AA118" i="5"/>
  <c r="Z118" i="5"/>
  <c r="AA74" i="5"/>
  <c r="Z74" i="5"/>
  <c r="X52" i="5"/>
  <c r="Y52" i="5"/>
  <c r="X21" i="5"/>
  <c r="Y21" i="5"/>
  <c r="Z109" i="5"/>
  <c r="AA109" i="5"/>
  <c r="Z46" i="5"/>
  <c r="AA46" i="5"/>
  <c r="X107" i="5"/>
  <c r="Y107" i="5"/>
  <c r="Y103" i="5"/>
  <c r="X103" i="5"/>
  <c r="X51" i="5"/>
  <c r="Y51" i="5"/>
  <c r="AA86" i="5"/>
  <c r="Z86" i="5"/>
  <c r="AA22" i="5"/>
  <c r="Z22" i="5"/>
  <c r="X47" i="5"/>
  <c r="Y47" i="5"/>
  <c r="X96" i="5"/>
  <c r="Y96" i="5"/>
  <c r="Y67" i="5"/>
  <c r="X67" i="5"/>
  <c r="AA23" i="5"/>
  <c r="Z23" i="5"/>
  <c r="Z122" i="5"/>
  <c r="AA122" i="5"/>
  <c r="X54" i="5"/>
  <c r="Y54" i="5"/>
  <c r="Z111" i="5"/>
  <c r="AA111" i="5"/>
  <c r="Z57" i="5"/>
  <c r="AA57" i="5"/>
  <c r="Z90" i="5"/>
  <c r="AA90" i="5"/>
  <c r="AA36" i="5"/>
  <c r="Z36" i="5"/>
  <c r="X89" i="5"/>
  <c r="Y89" i="5"/>
  <c r="AA78" i="5"/>
  <c r="Z78" i="5"/>
  <c r="AA24" i="5"/>
  <c r="Z24" i="5"/>
  <c r="Z61" i="5"/>
  <c r="AA61" i="5"/>
  <c r="AA7" i="5"/>
  <c r="Z7" i="5"/>
  <c r="Z116" i="5"/>
  <c r="AA116" i="5"/>
  <c r="X34" i="5"/>
  <c r="Y34" i="5"/>
  <c r="X38" i="5"/>
  <c r="Y38" i="5"/>
  <c r="X71" i="5"/>
  <c r="Y71" i="5"/>
  <c r="X120" i="5"/>
  <c r="Y120" i="5"/>
  <c r="Y85" i="5"/>
  <c r="X85" i="5"/>
  <c r="Z50" i="5"/>
  <c r="AA50" i="5"/>
  <c r="X23" i="5"/>
  <c r="Y23" i="5"/>
  <c r="Z98" i="5"/>
  <c r="AA98" i="5"/>
  <c r="Y65" i="5"/>
  <c r="X65" i="5"/>
  <c r="Y66" i="5"/>
  <c r="X66" i="5"/>
  <c r="Y49" i="5"/>
  <c r="X49" i="5"/>
  <c r="Y118" i="5"/>
  <c r="X118" i="5"/>
  <c r="X117" i="5"/>
  <c r="Y117" i="5"/>
  <c r="X69" i="5"/>
  <c r="Y69" i="5"/>
  <c r="X104" i="5"/>
  <c r="Y104" i="5"/>
  <c r="X13" i="5"/>
  <c r="Y13" i="5"/>
  <c r="AA101" i="5"/>
  <c r="Z101" i="5"/>
  <c r="X88" i="5"/>
  <c r="Y88" i="5"/>
  <c r="AA14" i="5"/>
  <c r="Z14" i="5"/>
  <c r="X27" i="5"/>
  <c r="Y27" i="5"/>
  <c r="X75" i="5"/>
  <c r="Y75" i="5"/>
  <c r="AA73" i="5"/>
  <c r="Z73" i="5"/>
  <c r="Z44" i="5"/>
  <c r="AA44" i="5"/>
  <c r="X98" i="5"/>
  <c r="Y98" i="5"/>
  <c r="AA49" i="5"/>
  <c r="Z49" i="5"/>
  <c r="Y119" i="5"/>
  <c r="X119" i="5"/>
  <c r="Y109" i="5"/>
  <c r="X109" i="5"/>
  <c r="Z104" i="5"/>
  <c r="AA104" i="5"/>
  <c r="X8" i="5"/>
  <c r="Y8" i="5"/>
  <c r="X87" i="5"/>
  <c r="Y87" i="5"/>
  <c r="X18" i="5"/>
  <c r="Y18" i="5"/>
  <c r="Z102" i="5"/>
  <c r="AA102" i="5"/>
  <c r="Z48" i="5"/>
  <c r="AA48" i="5"/>
  <c r="X101" i="5"/>
  <c r="Y101" i="5"/>
  <c r="Z81" i="5"/>
  <c r="AA81" i="5"/>
  <c r="AA27" i="5"/>
  <c r="Z27" i="5"/>
  <c r="X102" i="5"/>
  <c r="Y102" i="5"/>
  <c r="X53" i="5"/>
  <c r="Y53" i="5"/>
  <c r="Z123" i="5"/>
  <c r="AA123" i="5"/>
  <c r="Z69" i="5"/>
  <c r="AA69" i="5"/>
  <c r="AA15" i="5"/>
  <c r="Z15" i="5"/>
  <c r="Z106" i="5"/>
  <c r="AA106" i="5"/>
  <c r="Z52" i="5"/>
  <c r="AA52" i="5"/>
  <c r="AA28" i="5"/>
  <c r="Z28" i="5"/>
  <c r="X70" i="5"/>
  <c r="Y70" i="5"/>
  <c r="Z58" i="5"/>
  <c r="AA58" i="5"/>
  <c r="AA6" i="5"/>
  <c r="Z6" i="5"/>
  <c r="AA17" i="5"/>
  <c r="Z17" i="5"/>
  <c r="AA11" i="5"/>
  <c r="Z11" i="5"/>
  <c r="X44" i="5"/>
  <c r="Y44" i="5"/>
  <c r="S40" i="5" l="1"/>
  <c r="U40" i="5" s="1"/>
  <c r="S61" i="5"/>
  <c r="U61" i="5" s="1"/>
  <c r="T51" i="5"/>
  <c r="V51" i="5" s="1"/>
  <c r="S38" i="5"/>
  <c r="U38" i="5" s="1"/>
  <c r="T29" i="5"/>
  <c r="V29" i="5" s="1"/>
  <c r="S25" i="5"/>
  <c r="U25" i="5" s="1"/>
  <c r="S121" i="5"/>
  <c r="U121" i="5" s="1"/>
  <c r="S117" i="5"/>
  <c r="U117" i="5" s="1"/>
  <c r="S72" i="5"/>
  <c r="U72" i="5" s="1"/>
  <c r="T27" i="5"/>
  <c r="V27" i="5" s="1"/>
  <c r="T53" i="5"/>
  <c r="V53" i="5" s="1"/>
  <c r="T62" i="5"/>
  <c r="V62" i="5" s="1"/>
  <c r="S59" i="5"/>
  <c r="U59" i="5" s="1"/>
  <c r="T124" i="5"/>
  <c r="V124" i="5" s="1"/>
  <c r="T69" i="5"/>
  <c r="V69" i="5" s="1"/>
  <c r="S80" i="5"/>
  <c r="U80" i="5" s="1"/>
  <c r="T9" i="5"/>
  <c r="V9" i="5" s="1"/>
  <c r="S112" i="5"/>
  <c r="U112" i="5" s="1"/>
  <c r="S106" i="5"/>
  <c r="U106" i="5" s="1"/>
  <c r="S100" i="5"/>
  <c r="U100" i="5" s="1"/>
  <c r="T86" i="5"/>
  <c r="V86" i="5" s="1"/>
  <c r="S84" i="5"/>
  <c r="U84" i="5" s="1"/>
  <c r="S22" i="5"/>
  <c r="U22" i="5" s="1"/>
  <c r="S105" i="5"/>
  <c r="U105" i="5" s="1"/>
  <c r="T73" i="5"/>
  <c r="V73" i="5" s="1"/>
  <c r="S110" i="5"/>
  <c r="U110" i="5" s="1"/>
  <c r="S54" i="5"/>
  <c r="U54" i="5" s="1"/>
  <c r="S39" i="5"/>
  <c r="U39" i="5" s="1"/>
  <c r="S124" i="5"/>
  <c r="U124" i="5" s="1"/>
  <c r="S31" i="5"/>
  <c r="U31" i="5" s="1"/>
  <c r="T33" i="5"/>
  <c r="V33" i="5" s="1"/>
  <c r="T57" i="5"/>
  <c r="V57" i="5" s="1"/>
  <c r="T122" i="5"/>
  <c r="V122" i="5" s="1"/>
  <c r="T21" i="5"/>
  <c r="V21" i="5" s="1"/>
  <c r="S51" i="5"/>
  <c r="U51" i="5" s="1"/>
  <c r="S116" i="5"/>
  <c r="U116" i="5" s="1"/>
  <c r="T13" i="5"/>
  <c r="V13" i="5" s="1"/>
  <c r="S73" i="5"/>
  <c r="U73" i="5" s="1"/>
  <c r="S120" i="5"/>
  <c r="U120" i="5" s="1"/>
  <c r="S18" i="5"/>
  <c r="U18" i="5" s="1"/>
  <c r="T103" i="5"/>
  <c r="V103" i="5" s="1"/>
  <c r="T104" i="5"/>
  <c r="V104" i="5" s="1"/>
  <c r="T54" i="5"/>
  <c r="V54" i="5" s="1"/>
  <c r="S14" i="5"/>
  <c r="U14" i="5" s="1"/>
  <c r="S46" i="5"/>
  <c r="U46" i="5" s="1"/>
  <c r="S89" i="5"/>
  <c r="U89" i="5" s="1"/>
  <c r="T79" i="5"/>
  <c r="V79" i="5" s="1"/>
  <c r="S10" i="5"/>
  <c r="U10" i="5" s="1"/>
  <c r="T65" i="5"/>
  <c r="V65" i="5" s="1"/>
  <c r="T111" i="5"/>
  <c r="V111" i="5" s="1"/>
  <c r="T10" i="5"/>
  <c r="V10" i="5" s="1"/>
  <c r="T28" i="5"/>
  <c r="V28" i="5" s="1"/>
  <c r="S34" i="5"/>
  <c r="U34" i="5" s="1"/>
  <c r="S118" i="5"/>
  <c r="U118" i="5" s="1"/>
  <c r="S86" i="5"/>
  <c r="U86" i="5" s="1"/>
  <c r="S71" i="5"/>
  <c r="U71" i="5" s="1"/>
  <c r="T41" i="5"/>
  <c r="V41" i="5" s="1"/>
  <c r="T45" i="5"/>
  <c r="V45" i="5" s="1"/>
  <c r="S66" i="5"/>
  <c r="U66" i="5" s="1"/>
  <c r="T121" i="5"/>
  <c r="V121" i="5" s="1"/>
  <c r="S77" i="5"/>
  <c r="U77" i="5" s="1"/>
  <c r="T119" i="5"/>
  <c r="V119" i="5" s="1"/>
  <c r="T75" i="5"/>
  <c r="V75" i="5" s="1"/>
  <c r="T16" i="5"/>
  <c r="V16" i="5" s="1"/>
  <c r="S76" i="5"/>
  <c r="U76" i="5" s="1"/>
  <c r="S53" i="5"/>
  <c r="U53" i="5" s="1"/>
  <c r="T70" i="5"/>
  <c r="V70" i="5" s="1"/>
  <c r="T107" i="5"/>
  <c r="V107" i="5" s="1"/>
  <c r="S26" i="5"/>
  <c r="U26" i="5" s="1"/>
  <c r="S104" i="5"/>
  <c r="U104" i="5" s="1"/>
  <c r="T115" i="5"/>
  <c r="V115" i="5" s="1"/>
  <c r="T83" i="5"/>
  <c r="V83" i="5" s="1"/>
  <c r="T101" i="5"/>
  <c r="V101" i="5" s="1"/>
  <c r="S55" i="5"/>
  <c r="U55" i="5" s="1"/>
  <c r="S16" i="5"/>
  <c r="U16" i="5" s="1"/>
  <c r="S101" i="5"/>
  <c r="U101" i="5" s="1"/>
  <c r="S47" i="5"/>
  <c r="U47" i="5" s="1"/>
  <c r="T32" i="5"/>
  <c r="V32" i="5" s="1"/>
  <c r="T58" i="5"/>
  <c r="V58" i="5" s="1"/>
  <c r="T99" i="5"/>
  <c r="V99" i="5" s="1"/>
  <c r="T77" i="5"/>
  <c r="V77" i="5" s="1"/>
  <c r="S37" i="5"/>
  <c r="U37" i="5" s="1"/>
  <c r="T36" i="5"/>
  <c r="V36" i="5" s="1"/>
  <c r="S69" i="5"/>
  <c r="U69" i="5" s="1"/>
  <c r="T46" i="5"/>
  <c r="V46" i="5" s="1"/>
  <c r="T64" i="5"/>
  <c r="V64" i="5" s="1"/>
  <c r="T82" i="5"/>
  <c r="V82" i="5" s="1"/>
  <c r="S108" i="5"/>
  <c r="U108" i="5" s="1"/>
  <c r="T98" i="5"/>
  <c r="V98" i="5" s="1"/>
  <c r="T20" i="5"/>
  <c r="V20" i="5" s="1"/>
  <c r="T106" i="5"/>
  <c r="V106" i="5" s="1"/>
  <c r="S114" i="5"/>
  <c r="U114" i="5" s="1"/>
  <c r="S123" i="5"/>
  <c r="U123" i="5" s="1"/>
  <c r="S23" i="5"/>
  <c r="U23" i="5" s="1"/>
  <c r="S11" i="5"/>
  <c r="U11" i="5" s="1"/>
  <c r="T8" i="5"/>
  <c r="V8" i="5" s="1"/>
  <c r="T26" i="5"/>
  <c r="V26" i="5" s="1"/>
  <c r="T44" i="5"/>
  <c r="V44" i="5" s="1"/>
  <c r="S19" i="5"/>
  <c r="U19" i="5" s="1"/>
  <c r="B12" i="7"/>
  <c r="T49" i="5"/>
  <c r="V49" i="5" s="1"/>
  <c r="S68" i="5"/>
  <c r="U68" i="5" s="1"/>
  <c r="S52" i="5"/>
  <c r="U52" i="5" s="1"/>
  <c r="T68" i="5"/>
  <c r="V68" i="5" s="1"/>
  <c r="T30" i="5"/>
  <c r="V30" i="5" s="1"/>
  <c r="T6" i="5"/>
  <c r="V6" i="5" s="1"/>
  <c r="S111" i="5"/>
  <c r="U111" i="5" s="1"/>
  <c r="S57" i="5"/>
  <c r="U57" i="5" s="1"/>
  <c r="T12" i="5"/>
  <c r="V12" i="5" s="1"/>
  <c r="T66" i="5"/>
  <c r="V66" i="5" s="1"/>
  <c r="T120" i="5"/>
  <c r="V120" i="5" s="1"/>
  <c r="T11" i="5"/>
  <c r="V11" i="5" s="1"/>
  <c r="S78" i="5"/>
  <c r="U78" i="5" s="1"/>
  <c r="S35" i="5"/>
  <c r="U35" i="5" s="1"/>
  <c r="S109" i="5"/>
  <c r="U109" i="5" s="1"/>
  <c r="S85" i="5"/>
  <c r="U85" i="5" s="1"/>
  <c r="S43" i="5"/>
  <c r="U43" i="5" s="1"/>
  <c r="S115" i="5"/>
  <c r="U115" i="5" s="1"/>
  <c r="T34" i="5"/>
  <c r="V34" i="5" s="1"/>
  <c r="S64" i="5"/>
  <c r="U64" i="5" s="1"/>
  <c r="S122" i="5"/>
  <c r="U122" i="5" s="1"/>
  <c r="T61" i="5"/>
  <c r="V61" i="5" s="1"/>
  <c r="S7" i="5"/>
  <c r="U7" i="5" s="1"/>
  <c r="S49" i="5"/>
  <c r="U49" i="5" s="1"/>
  <c r="S36" i="5"/>
  <c r="U36" i="5" s="1"/>
  <c r="T94" i="5"/>
  <c r="V94" i="5" s="1"/>
  <c r="T91" i="5"/>
  <c r="V91" i="5" s="1"/>
  <c r="S95" i="5"/>
  <c r="U95" i="5" s="1"/>
  <c r="T63" i="5"/>
  <c r="V63" i="5" s="1"/>
  <c r="S119" i="5"/>
  <c r="U119" i="5" s="1"/>
  <c r="T23" i="5"/>
  <c r="V23" i="5" s="1"/>
  <c r="T97" i="5"/>
  <c r="V97" i="5" s="1"/>
  <c r="T56" i="5"/>
  <c r="V56" i="5" s="1"/>
  <c r="S63" i="5"/>
  <c r="U63" i="5" s="1"/>
  <c r="T81" i="5"/>
  <c r="V81" i="5" s="1"/>
  <c r="S60" i="5"/>
  <c r="U60" i="5" s="1"/>
  <c r="S8" i="5"/>
  <c r="U8" i="5" s="1"/>
  <c r="S92" i="5"/>
  <c r="U92" i="5" s="1"/>
  <c r="T59" i="5"/>
  <c r="V59" i="5" s="1"/>
  <c r="T85" i="5"/>
  <c r="V85" i="5" s="1"/>
  <c r="S17" i="5"/>
  <c r="U17" i="5" s="1"/>
  <c r="S32" i="5"/>
  <c r="U32" i="5" s="1"/>
  <c r="S9" i="5"/>
  <c r="U9" i="5" s="1"/>
  <c r="S24" i="5"/>
  <c r="U24" i="5" s="1"/>
  <c r="T108" i="5"/>
  <c r="V108" i="5" s="1"/>
  <c r="T114" i="5"/>
  <c r="V114" i="5" s="1"/>
  <c r="T89" i="5"/>
  <c r="V89" i="5" s="1"/>
  <c r="T18" i="5"/>
  <c r="V18" i="5" s="1"/>
  <c r="S42" i="5"/>
  <c r="U42" i="5" s="1"/>
  <c r="T47" i="5"/>
  <c r="V47" i="5" s="1"/>
  <c r="S75" i="5"/>
  <c r="U75" i="5" s="1"/>
  <c r="T95" i="5"/>
  <c r="V95" i="5" s="1"/>
  <c r="S87" i="5"/>
  <c r="U87" i="5" s="1"/>
  <c r="S107" i="5"/>
  <c r="U107" i="5" s="1"/>
  <c r="S79" i="5"/>
  <c r="U79" i="5" s="1"/>
  <c r="S33" i="5"/>
  <c r="U33" i="5" s="1"/>
  <c r="T43" i="5"/>
  <c r="V43" i="5" s="1"/>
  <c r="T52" i="5"/>
  <c r="V52" i="5" s="1"/>
  <c r="T40" i="5"/>
  <c r="V40" i="5" s="1"/>
  <c r="T60" i="5"/>
  <c r="V60" i="5" s="1"/>
  <c r="T87" i="5"/>
  <c r="V87" i="5" s="1"/>
  <c r="T125" i="5"/>
  <c r="V125" i="5" s="1"/>
  <c r="S29" i="5"/>
  <c r="U29" i="5" s="1"/>
  <c r="S97" i="5"/>
  <c r="U97" i="5" s="1"/>
  <c r="T84" i="5"/>
  <c r="V84" i="5" s="1"/>
  <c r="T19" i="5"/>
  <c r="V19" i="5" s="1"/>
  <c r="S56" i="5"/>
  <c r="U56" i="5" s="1"/>
  <c r="S96" i="5"/>
  <c r="U96" i="5" s="1"/>
  <c r="S98" i="5"/>
  <c r="U98" i="5" s="1"/>
  <c r="S99" i="5"/>
  <c r="U99" i="5" s="1"/>
  <c r="S88" i="5"/>
  <c r="U88" i="5" s="1"/>
  <c r="T112" i="5"/>
  <c r="V112" i="5" s="1"/>
  <c r="T113" i="5"/>
  <c r="V113" i="5" s="1"/>
  <c r="B13" i="7"/>
  <c r="S113" i="5"/>
  <c r="U113" i="5" s="1"/>
  <c r="T48" i="5"/>
  <c r="V48" i="5" s="1"/>
  <c r="S82" i="5"/>
  <c r="U82" i="5" s="1"/>
  <c r="S94" i="5"/>
  <c r="U94" i="5" s="1"/>
  <c r="S15" i="5"/>
  <c r="U15" i="5" s="1"/>
  <c r="T109" i="5"/>
  <c r="V109" i="5" s="1"/>
  <c r="T118" i="5"/>
  <c r="V118" i="5" s="1"/>
  <c r="S45" i="5"/>
  <c r="U45" i="5" s="1"/>
  <c r="S103" i="5"/>
  <c r="U103" i="5" s="1"/>
  <c r="T76" i="5"/>
  <c r="V76" i="5" s="1"/>
  <c r="S28" i="5"/>
  <c r="U28" i="5" s="1"/>
  <c r="S74" i="5"/>
  <c r="U74" i="5" s="1"/>
  <c r="T74" i="5"/>
  <c r="V74" i="5" s="1"/>
  <c r="T110" i="5"/>
  <c r="V110" i="5" s="1"/>
  <c r="T102" i="5"/>
  <c r="V102" i="5" s="1"/>
  <c r="T7" i="5"/>
  <c r="V7" i="5" s="1"/>
  <c r="T100" i="5"/>
  <c r="V100" i="5" s="1"/>
  <c r="T71" i="5"/>
  <c r="V71" i="5" s="1"/>
  <c r="T80" i="5"/>
  <c r="V80" i="5" s="1"/>
  <c r="S83" i="5"/>
  <c r="U83" i="5" s="1"/>
  <c r="T117" i="5"/>
  <c r="V117" i="5" s="1"/>
  <c r="T88" i="5"/>
  <c r="V88" i="5" s="1"/>
  <c r="T38" i="5"/>
  <c r="V38" i="5" s="1"/>
  <c r="S102" i="5"/>
  <c r="U102" i="5" s="1"/>
  <c r="T37" i="5"/>
  <c r="V37" i="5" s="1"/>
  <c r="S91" i="5"/>
  <c r="U91" i="5" s="1"/>
  <c r="T35" i="5"/>
  <c r="V35" i="5" s="1"/>
  <c r="T105" i="5"/>
  <c r="V105" i="5" s="1"/>
  <c r="T14" i="5"/>
  <c r="V14" i="5" s="1"/>
  <c r="S90" i="5"/>
  <c r="U90" i="5" s="1"/>
  <c r="S6" i="5"/>
  <c r="U6" i="5" s="1"/>
  <c r="S93" i="5"/>
  <c r="U93" i="5" s="1"/>
  <c r="T50" i="5"/>
  <c r="V50" i="5" s="1"/>
  <c r="S70" i="5"/>
  <c r="U70" i="5" s="1"/>
  <c r="T123" i="5"/>
  <c r="V123" i="5" s="1"/>
  <c r="T90" i="5"/>
  <c r="V90" i="5" s="1"/>
  <c r="S13" i="5"/>
  <c r="U13" i="5" s="1"/>
  <c r="T55" i="5"/>
  <c r="V55" i="5" s="1"/>
  <c r="T93" i="5"/>
  <c r="V93" i="5" s="1"/>
  <c r="S27" i="5"/>
  <c r="U27" i="5" s="1"/>
  <c r="T24" i="5"/>
  <c r="V24" i="5" s="1"/>
  <c r="T22" i="5"/>
  <c r="V22" i="5" s="1"/>
  <c r="T31" i="5"/>
  <c r="V31" i="5" s="1"/>
  <c r="T72" i="5"/>
  <c r="V72" i="5" s="1"/>
  <c r="T116" i="5"/>
  <c r="V116" i="5" s="1"/>
  <c r="S67" i="5"/>
  <c r="U67" i="5" s="1"/>
  <c r="S41" i="5"/>
  <c r="U41" i="5" s="1"/>
  <c r="T15" i="5"/>
  <c r="V15" i="5" s="1"/>
  <c r="S12" i="5"/>
  <c r="U12" i="5" s="1"/>
  <c r="T17" i="5"/>
  <c r="V17" i="5" s="1"/>
  <c r="S125" i="5"/>
  <c r="U125" i="5" s="1"/>
  <c r="S81" i="5"/>
  <c r="U81" i="5" s="1"/>
  <c r="S48" i="5"/>
  <c r="U48" i="5" s="1"/>
  <c r="T42" i="5"/>
  <c r="V42" i="5" s="1"/>
  <c r="S44" i="5"/>
  <c r="U44" i="5" s="1"/>
  <c r="S20" i="5"/>
  <c r="U20" i="5" s="1"/>
  <c r="T39" i="5"/>
  <c r="V39" i="5" s="1"/>
  <c r="T25" i="5"/>
  <c r="V25" i="5" s="1"/>
  <c r="T96" i="5"/>
  <c r="V96" i="5" s="1"/>
  <c r="S50" i="5"/>
  <c r="U50" i="5" s="1"/>
  <c r="S21" i="5"/>
  <c r="U21" i="5" s="1"/>
  <c r="S30" i="5"/>
  <c r="U30" i="5" s="1"/>
  <c r="T67" i="5"/>
  <c r="V67" i="5" s="1"/>
  <c r="S62" i="5"/>
  <c r="U62" i="5" s="1"/>
  <c r="T92" i="5"/>
  <c r="V92" i="5" s="1"/>
  <c r="T78" i="5"/>
  <c r="V78" i="5" s="1"/>
  <c r="S65" i="5"/>
  <c r="U65" i="5" s="1"/>
  <c r="S58" i="5"/>
  <c r="U58" i="5" s="1"/>
  <c r="V127" i="5" l="1"/>
  <c r="V128" i="5" s="1"/>
  <c r="B15" i="7" s="1"/>
  <c r="U127" i="5"/>
  <c r="U128" i="5" s="1"/>
  <c r="B14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<sst xmlns="http://schemas.openxmlformats.org/spreadsheetml/2006/main" count="192" uniqueCount="182">
  <si>
    <t>Product</t>
  </si>
  <si>
    <t>A</t>
  </si>
  <si>
    <t>B</t>
  </si>
  <si>
    <t>Return</t>
  </si>
  <si>
    <t>Warranty</t>
  </si>
  <si>
    <t>Date</t>
  </si>
  <si>
    <t>Sales Data</t>
  </si>
  <si>
    <t>Type</t>
  </si>
  <si>
    <t>Total Sales</t>
  </si>
  <si>
    <t>Return &amp; Warranty Claims</t>
  </si>
  <si>
    <t>Units Sold</t>
  </si>
  <si>
    <t>Last Name</t>
  </si>
  <si>
    <t>First Name</t>
  </si>
  <si>
    <t>ID</t>
  </si>
  <si>
    <t>a. create a monthly aggregation of sales data</t>
  </si>
  <si>
    <t xml:space="preserve">b. calculate average monthly price </t>
  </si>
  <si>
    <t>which month is the discount month for product A?</t>
  </si>
  <si>
    <t>which month is the discount month for product B?</t>
  </si>
  <si>
    <t>c. percentage returns by month</t>
  </si>
  <si>
    <t>d. percentage warrantry exercised by month</t>
  </si>
  <si>
    <t xml:space="preserve">input product A monthly sales in February 2012 </t>
  </si>
  <si>
    <t xml:space="preserve">input product B montly sales in December 2019 </t>
  </si>
  <si>
    <t>what was product A average price in February 2012?</t>
  </si>
  <si>
    <t>what was product B average price in December 2019?</t>
  </si>
  <si>
    <t xml:space="preserve">input product A percentage warranty exercises for sales in February 2012 </t>
  </si>
  <si>
    <t xml:space="preserve">input product B percentage warranty exercises for sales in December 2019 </t>
  </si>
  <si>
    <t xml:space="preserve">input product A percentage returns for sales in February 2012 </t>
  </si>
  <si>
    <t xml:space="preserve">input product B percentage returns for sales in December 2019 </t>
  </si>
  <si>
    <t>January 2011</t>
  </si>
  <si>
    <t>February 2011</t>
  </si>
  <si>
    <t>March 2011</t>
  </si>
  <si>
    <t>April 2011</t>
  </si>
  <si>
    <t>May 2011</t>
  </si>
  <si>
    <t>June 2011</t>
  </si>
  <si>
    <t>July 2011</t>
  </si>
  <si>
    <t>August 2011</t>
  </si>
  <si>
    <t>September 2011</t>
  </si>
  <si>
    <t>October 2011</t>
  </si>
  <si>
    <t>November 2011</t>
  </si>
  <si>
    <t>December 2011</t>
  </si>
  <si>
    <t>January 2012</t>
  </si>
  <si>
    <t>February 2012</t>
  </si>
  <si>
    <t>March 2012</t>
  </si>
  <si>
    <t>April 2012</t>
  </si>
  <si>
    <t>May 2012</t>
  </si>
  <si>
    <t>June 2012</t>
  </si>
  <si>
    <t>July 2012</t>
  </si>
  <si>
    <t>August 2012</t>
  </si>
  <si>
    <t>September 2012</t>
  </si>
  <si>
    <t>October 2012</t>
  </si>
  <si>
    <t>November 2012</t>
  </si>
  <si>
    <t>December 2012</t>
  </si>
  <si>
    <t>January 2013</t>
  </si>
  <si>
    <t>February 2013</t>
  </si>
  <si>
    <t>March 2013</t>
  </si>
  <si>
    <t>April 2013</t>
  </si>
  <si>
    <t>May 2013</t>
  </si>
  <si>
    <t>June 2013</t>
  </si>
  <si>
    <t>July 2013</t>
  </si>
  <si>
    <t>August 2013</t>
  </si>
  <si>
    <t>September 2013</t>
  </si>
  <si>
    <t>October 2013</t>
  </si>
  <si>
    <t>November 2013</t>
  </si>
  <si>
    <t>December 2013</t>
  </si>
  <si>
    <t>January 2014</t>
  </si>
  <si>
    <t>February 2014</t>
  </si>
  <si>
    <t>March 2014</t>
  </si>
  <si>
    <t>April 2014</t>
  </si>
  <si>
    <t>May 2014</t>
  </si>
  <si>
    <t>June 2014</t>
  </si>
  <si>
    <t>July 2014</t>
  </si>
  <si>
    <t>August 2014</t>
  </si>
  <si>
    <t>September 2014</t>
  </si>
  <si>
    <t>October 2014</t>
  </si>
  <si>
    <t>November 2014</t>
  </si>
  <si>
    <t>December 2014</t>
  </si>
  <si>
    <t>January 2015</t>
  </si>
  <si>
    <t>February 2015</t>
  </si>
  <si>
    <t>March 2015</t>
  </si>
  <si>
    <t>April 2015</t>
  </si>
  <si>
    <t>May 2015</t>
  </si>
  <si>
    <t>June 2015</t>
  </si>
  <si>
    <t>July 2015</t>
  </si>
  <si>
    <t>August 2015</t>
  </si>
  <si>
    <t>September 2015</t>
  </si>
  <si>
    <t>October 2015</t>
  </si>
  <si>
    <t>November 2015</t>
  </si>
  <si>
    <t>December 2015</t>
  </si>
  <si>
    <t>January 2016</t>
  </si>
  <si>
    <t>February 2016</t>
  </si>
  <si>
    <t>March 2016</t>
  </si>
  <si>
    <t>April 2016</t>
  </si>
  <si>
    <t>May 2016</t>
  </si>
  <si>
    <t>June 2016</t>
  </si>
  <si>
    <t>July 2016</t>
  </si>
  <si>
    <t>August 2016</t>
  </si>
  <si>
    <t>September 2016</t>
  </si>
  <si>
    <t>October 2016</t>
  </si>
  <si>
    <t>November 2016</t>
  </si>
  <si>
    <t>December 2016</t>
  </si>
  <si>
    <t>January 2017</t>
  </si>
  <si>
    <t>February 2017</t>
  </si>
  <si>
    <t>March 2017</t>
  </si>
  <si>
    <t>April 2017</t>
  </si>
  <si>
    <t>May 2017</t>
  </si>
  <si>
    <t>June 2017</t>
  </si>
  <si>
    <t>July 2017</t>
  </si>
  <si>
    <t>August 2017</t>
  </si>
  <si>
    <t>September 2017</t>
  </si>
  <si>
    <t>October 2017</t>
  </si>
  <si>
    <t>November 2017</t>
  </si>
  <si>
    <t>December 2017</t>
  </si>
  <si>
    <t>January 2018</t>
  </si>
  <si>
    <t>February 2018</t>
  </si>
  <si>
    <t>March 2018</t>
  </si>
  <si>
    <t>April 2018</t>
  </si>
  <si>
    <t>May 2018</t>
  </si>
  <si>
    <t>June 2018</t>
  </si>
  <si>
    <t>July 2018</t>
  </si>
  <si>
    <t>August 2018</t>
  </si>
  <si>
    <t>September 2018</t>
  </si>
  <si>
    <t>October 2018</t>
  </si>
  <si>
    <t>November 2018</t>
  </si>
  <si>
    <t>December 2018</t>
  </si>
  <si>
    <t>January 2019</t>
  </si>
  <si>
    <t>February 2019</t>
  </si>
  <si>
    <t>March 2019</t>
  </si>
  <si>
    <t>April 2019</t>
  </si>
  <si>
    <t>May 2019</t>
  </si>
  <si>
    <t>June 2019</t>
  </si>
  <si>
    <t>July 2019</t>
  </si>
  <si>
    <t>August 2019</t>
  </si>
  <si>
    <t>September 2019</t>
  </si>
  <si>
    <t>October 2019</t>
  </si>
  <si>
    <t>November 2019</t>
  </si>
  <si>
    <t>December 2019</t>
  </si>
  <si>
    <t>January 2020</t>
  </si>
  <si>
    <t>February 2020</t>
  </si>
  <si>
    <t>March 2020</t>
  </si>
  <si>
    <t>April 2020</t>
  </si>
  <si>
    <t>May 2020</t>
  </si>
  <si>
    <t>June 2020</t>
  </si>
  <si>
    <t>July 2020</t>
  </si>
  <si>
    <t>August 2020</t>
  </si>
  <si>
    <t>September 2020</t>
  </si>
  <si>
    <t>October 2020</t>
  </si>
  <si>
    <t>November 2020</t>
  </si>
  <si>
    <t>December 2020</t>
  </si>
  <si>
    <t>year</t>
  </si>
  <si>
    <t>month</t>
  </si>
  <si>
    <t>Month</t>
  </si>
  <si>
    <t>Q_A</t>
  </si>
  <si>
    <t>R_A</t>
  </si>
  <si>
    <t>Q_B</t>
  </si>
  <si>
    <t>R_B</t>
  </si>
  <si>
    <t>price_A</t>
  </si>
  <si>
    <t>price_B</t>
  </si>
  <si>
    <t>discount_month_A</t>
  </si>
  <si>
    <t>discount_month_B</t>
  </si>
  <si>
    <t>work1</t>
  </si>
  <si>
    <t>work2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</si>
  <si>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</si>
  <si>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</si>
  <si>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</si>
  <si>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</si>
  <si>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</si>
  <si>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</si>
  <si>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</si>
  <si>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</si>
  <si>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</si>
  <si>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</si>
  <si>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</si>
  <si>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</si>
  <si>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GRAPHS</t>
  </si>
  <si>
    <t>Quantity (A)</t>
  </si>
  <si>
    <t>Revenue (A)</t>
  </si>
  <si>
    <t>Quantity (B)</t>
  </si>
  <si>
    <t>Revenue (B)</t>
  </si>
  <si>
    <t>Return A</t>
  </si>
  <si>
    <t>Warranty A</t>
  </si>
  <si>
    <t>Return B</t>
  </si>
  <si>
    <t>Warranty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</si>
</sst>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5" formatCode="_(* #,##0_);_(* \(#,##0\);_(* &quot;-&quot;??_);_(@_)"/>
    <numFmt numFmtId="167" formatCode="_(&quot;$&quot;* #,##0_);_(&quot;$&quot;* \(#,##0\);_(&quot;$&quot;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Fill="1"/>
    <xf numFmtId="14" fontId="0" fillId="0" borderId="0" xfId="0" applyNumberFormat="1" applyFill="1"/>
    <xf numFmtId="1" fontId="0" fillId="0" borderId="0" xfId="0" applyNumberFormat="1" applyFill="1"/>
    <xf numFmtId="44" fontId="0" fillId="0" borderId="0" xfId="1" applyFont="1" applyFill="1"/>
    <xf numFmtId="0" fontId="4" fillId="0" borderId="0" xfId="0" applyFont="1" applyFill="1" applyBorder="1" applyAlignment="1"/>
    <xf numFmtId="1" fontId="4" fillId="0" borderId="0" xfId="0" applyNumberFormat="1" applyFont="1" applyFill="1" applyBorder="1" applyAlignment="1"/>
    <xf numFmtId="1" fontId="3" fillId="0" borderId="0" xfId="0" applyNumberFormat="1" applyFont="1" applyFill="1" applyAlignment="1"/>
    <xf numFmtId="44" fontId="3" fillId="0" borderId="0" xfId="1" applyFont="1" applyFill="1" applyAlignment="1"/>
    <xf numFmtId="0" fontId="2" fillId="0" borderId="0" xfId="0" applyFont="1" applyFill="1"/>
    <xf numFmtId="0" fontId="3" fillId="0" borderId="0" xfId="0" applyFont="1" applyFill="1"/>
    <xf numFmtId="0" fontId="5" fillId="0" borderId="0" xfId="0" applyFont="1" applyFill="1"/>
    <xf numFmtId="0" fontId="0" fillId="0" borderId="0" xfId="0" applyNumberFormat="1" applyFill="1"/>
    <xf numFmtId="0" fontId="4" fillId="0" borderId="0" xfId="0" applyFont="1" applyFill="1" applyBorder="1" applyAlignment="1">
      <alignment horizontal="center"/>
    </xf>
    <xf numFmtId="0" fontId="0" fillId="2" borderId="0" xfId="0" applyFill="1"/>
    <xf numFmtId="0" fontId="6" fillId="0" borderId="0" xfId="0" applyFont="1"/>
    <xf numFmtId="0" fontId="2" fillId="0" borderId="0" xfId="0" applyFont="1" applyFill="1" applyAlignment="1">
      <alignment horizontal="center" vertical="center"/>
    </xf>
    <xf numFmtId="10" fontId="0" fillId="0" borderId="0" xfId="0" applyNumberFormat="1" applyFill="1"/>
    <xf numFmtId="10" fontId="0" fillId="0" borderId="0" xfId="2" applyNumberFormat="1" applyFont="1" applyFill="1"/>
    <xf numFmtId="10" fontId="0" fillId="2" borderId="0" xfId="0" applyNumberFormat="1" applyFill="1"/>
    <xf numFmtId="0" fontId="4" fillId="0" borderId="1" xfId="0" applyFont="1" applyFill="1" applyBorder="1" applyAlignment="1">
      <alignment horizontal="center"/>
    </xf>
    <xf numFmtId="0" fontId="2" fillId="0" borderId="0" xfId="0" applyFont="1" applyFill="1" applyAlignment="1">
      <alignment horizontal="center" vertical="center"/>
    </xf>
    <xf numFmtId="165" fontId="0" fillId="0" borderId="0" xfId="3" applyNumberFormat="1" applyFont="1" applyFill="1"/>
    <xf numFmtId="167" fontId="0" fillId="0" borderId="0" xfId="1" applyNumberFormat="1" applyFont="1" applyFill="1"/>
  </cellXfs>
  <cellStyles count="4">
    <cellStyle name="Comma" xfId="3" builtinId="3"/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Sales!$AE$5</c:f>
              <c:strCache>
                <c:ptCount val="1"/>
                <c:pt idx="0">
                  <c:v>Revenue (A)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Sales!$AC$6:$AC$125</c:f>
              <c:strCache>
                <c:ptCount val="120"/>
                <c:pt idx="0">
                  <c:v>January 2011</c:v>
                </c:pt>
                <c:pt idx="1">
                  <c:v>February 2011</c:v>
                </c:pt>
                <c:pt idx="2">
                  <c:v>March 2011</c:v>
                </c:pt>
                <c:pt idx="3">
                  <c:v>April 2011</c:v>
                </c:pt>
                <c:pt idx="4">
                  <c:v>May 2011</c:v>
                </c:pt>
                <c:pt idx="5">
                  <c:v>June 2011</c:v>
                </c:pt>
                <c:pt idx="6">
                  <c:v>July 2011</c:v>
                </c:pt>
                <c:pt idx="7">
                  <c:v>August 2011</c:v>
                </c:pt>
                <c:pt idx="8">
                  <c:v>September 2011</c:v>
                </c:pt>
                <c:pt idx="9">
                  <c:v>October 2011</c:v>
                </c:pt>
                <c:pt idx="10">
                  <c:v>November 2011</c:v>
                </c:pt>
                <c:pt idx="11">
                  <c:v>December 2011</c:v>
                </c:pt>
                <c:pt idx="12">
                  <c:v>January 2012</c:v>
                </c:pt>
                <c:pt idx="13">
                  <c:v>February 2012</c:v>
                </c:pt>
                <c:pt idx="14">
                  <c:v>March 2012</c:v>
                </c:pt>
                <c:pt idx="15">
                  <c:v>April 2012</c:v>
                </c:pt>
                <c:pt idx="16">
                  <c:v>May 2012</c:v>
                </c:pt>
                <c:pt idx="17">
                  <c:v>June 2012</c:v>
                </c:pt>
                <c:pt idx="18">
                  <c:v>July 2012</c:v>
                </c:pt>
                <c:pt idx="19">
                  <c:v>August 2012</c:v>
                </c:pt>
                <c:pt idx="20">
                  <c:v>September 2012</c:v>
                </c:pt>
                <c:pt idx="21">
                  <c:v>October 2012</c:v>
                </c:pt>
                <c:pt idx="22">
                  <c:v>November 2012</c:v>
                </c:pt>
                <c:pt idx="23">
                  <c:v>December 2012</c:v>
                </c:pt>
                <c:pt idx="24">
                  <c:v>January 2013</c:v>
                </c:pt>
                <c:pt idx="25">
                  <c:v>February 2013</c:v>
                </c:pt>
                <c:pt idx="26">
                  <c:v>March 2013</c:v>
                </c:pt>
                <c:pt idx="27">
                  <c:v>April 2013</c:v>
                </c:pt>
                <c:pt idx="28">
                  <c:v>May 2013</c:v>
                </c:pt>
                <c:pt idx="29">
                  <c:v>June 2013</c:v>
                </c:pt>
                <c:pt idx="30">
                  <c:v>July 2013</c:v>
                </c:pt>
                <c:pt idx="31">
                  <c:v>August 2013</c:v>
                </c:pt>
                <c:pt idx="32">
                  <c:v>September 2013</c:v>
                </c:pt>
                <c:pt idx="33">
                  <c:v>October 2013</c:v>
                </c:pt>
                <c:pt idx="34">
                  <c:v>November 2013</c:v>
                </c:pt>
                <c:pt idx="35">
                  <c:v>December 2013</c:v>
                </c:pt>
                <c:pt idx="36">
                  <c:v>January 2014</c:v>
                </c:pt>
                <c:pt idx="37">
                  <c:v>February 2014</c:v>
                </c:pt>
                <c:pt idx="38">
                  <c:v>March 2014</c:v>
                </c:pt>
                <c:pt idx="39">
                  <c:v>April 2014</c:v>
                </c:pt>
                <c:pt idx="40">
                  <c:v>May 2014</c:v>
                </c:pt>
                <c:pt idx="41">
                  <c:v>June 2014</c:v>
                </c:pt>
                <c:pt idx="42">
                  <c:v>July 2014</c:v>
                </c:pt>
                <c:pt idx="43">
                  <c:v>August 2014</c:v>
                </c:pt>
                <c:pt idx="44">
                  <c:v>September 2014</c:v>
                </c:pt>
                <c:pt idx="45">
                  <c:v>October 2014</c:v>
                </c:pt>
                <c:pt idx="46">
                  <c:v>November 2014</c:v>
                </c:pt>
                <c:pt idx="47">
                  <c:v>December 2014</c:v>
                </c:pt>
                <c:pt idx="48">
                  <c:v>January 2015</c:v>
                </c:pt>
                <c:pt idx="49">
                  <c:v>February 2015</c:v>
                </c:pt>
                <c:pt idx="50">
                  <c:v>March 2015</c:v>
                </c:pt>
                <c:pt idx="51">
                  <c:v>April 2015</c:v>
                </c:pt>
                <c:pt idx="52">
                  <c:v>May 2015</c:v>
                </c:pt>
                <c:pt idx="53">
                  <c:v>June 2015</c:v>
                </c:pt>
                <c:pt idx="54">
                  <c:v>July 2015</c:v>
                </c:pt>
                <c:pt idx="55">
                  <c:v>August 2015</c:v>
                </c:pt>
                <c:pt idx="56">
                  <c:v>September 2015</c:v>
                </c:pt>
                <c:pt idx="57">
                  <c:v>October 2015</c:v>
                </c:pt>
                <c:pt idx="58">
                  <c:v>November 2015</c:v>
                </c:pt>
                <c:pt idx="59">
                  <c:v>December 2015</c:v>
                </c:pt>
                <c:pt idx="60">
                  <c:v>January 2016</c:v>
                </c:pt>
                <c:pt idx="61">
                  <c:v>February 2016</c:v>
                </c:pt>
                <c:pt idx="62">
                  <c:v>March 2016</c:v>
                </c:pt>
                <c:pt idx="63">
                  <c:v>April 2016</c:v>
                </c:pt>
                <c:pt idx="64">
                  <c:v>May 2016</c:v>
                </c:pt>
                <c:pt idx="65">
                  <c:v>June 2016</c:v>
                </c:pt>
                <c:pt idx="66">
                  <c:v>July 2016</c:v>
                </c:pt>
                <c:pt idx="67">
                  <c:v>August 2016</c:v>
                </c:pt>
                <c:pt idx="68">
                  <c:v>September 2016</c:v>
                </c:pt>
                <c:pt idx="69">
                  <c:v>October 2016</c:v>
                </c:pt>
                <c:pt idx="70">
                  <c:v>November 2016</c:v>
                </c:pt>
                <c:pt idx="71">
                  <c:v>December 2016</c:v>
                </c:pt>
                <c:pt idx="72">
                  <c:v>January 2017</c:v>
                </c:pt>
                <c:pt idx="73">
                  <c:v>February 2017</c:v>
                </c:pt>
                <c:pt idx="74">
                  <c:v>March 2017</c:v>
                </c:pt>
                <c:pt idx="75">
                  <c:v>April 2017</c:v>
                </c:pt>
                <c:pt idx="76">
                  <c:v>May 2017</c:v>
                </c:pt>
                <c:pt idx="77">
                  <c:v>June 2017</c:v>
                </c:pt>
                <c:pt idx="78">
                  <c:v>July 2017</c:v>
                </c:pt>
                <c:pt idx="79">
                  <c:v>August 2017</c:v>
                </c:pt>
                <c:pt idx="80">
                  <c:v>September 2017</c:v>
                </c:pt>
                <c:pt idx="81">
                  <c:v>October 2017</c:v>
                </c:pt>
                <c:pt idx="82">
                  <c:v>November 2017</c:v>
                </c:pt>
                <c:pt idx="83">
                  <c:v>December 2017</c:v>
                </c:pt>
                <c:pt idx="84">
                  <c:v>January 2018</c:v>
                </c:pt>
                <c:pt idx="85">
                  <c:v>February 2018</c:v>
                </c:pt>
                <c:pt idx="86">
                  <c:v>March 2018</c:v>
                </c:pt>
                <c:pt idx="87">
                  <c:v>April 2018</c:v>
                </c:pt>
                <c:pt idx="88">
                  <c:v>May 2018</c:v>
                </c:pt>
                <c:pt idx="89">
                  <c:v>June 2018</c:v>
                </c:pt>
                <c:pt idx="90">
                  <c:v>July 2018</c:v>
                </c:pt>
                <c:pt idx="91">
                  <c:v>August 2018</c:v>
                </c:pt>
                <c:pt idx="92">
                  <c:v>September 2018</c:v>
                </c:pt>
                <c:pt idx="93">
                  <c:v>October 2018</c:v>
                </c:pt>
                <c:pt idx="94">
                  <c:v>November 2018</c:v>
                </c:pt>
                <c:pt idx="95">
                  <c:v>December 2018</c:v>
                </c:pt>
                <c:pt idx="96">
                  <c:v>January 2019</c:v>
                </c:pt>
                <c:pt idx="97">
                  <c:v>February 2019</c:v>
                </c:pt>
                <c:pt idx="98">
                  <c:v>March 2019</c:v>
                </c:pt>
                <c:pt idx="99">
                  <c:v>April 2019</c:v>
                </c:pt>
                <c:pt idx="100">
                  <c:v>May 2019</c:v>
                </c:pt>
                <c:pt idx="101">
                  <c:v>June 2019</c:v>
                </c:pt>
                <c:pt idx="102">
                  <c:v>July 2019</c:v>
                </c:pt>
                <c:pt idx="103">
                  <c:v>August 2019</c:v>
                </c:pt>
                <c:pt idx="104">
                  <c:v>September 2019</c:v>
                </c:pt>
                <c:pt idx="105">
                  <c:v>October 2019</c:v>
                </c:pt>
                <c:pt idx="106">
                  <c:v>November 2019</c:v>
                </c:pt>
                <c:pt idx="107">
                  <c:v>December 2019</c:v>
                </c:pt>
                <c:pt idx="108">
                  <c:v>January 2020</c:v>
                </c:pt>
                <c:pt idx="109">
                  <c:v>February 2020</c:v>
                </c:pt>
                <c:pt idx="110">
                  <c:v>March 2020</c:v>
                </c:pt>
                <c:pt idx="111">
                  <c:v>April 2020</c:v>
                </c:pt>
                <c:pt idx="112">
                  <c:v>May 2020</c:v>
                </c:pt>
                <c:pt idx="113">
                  <c:v>June 2020</c:v>
                </c:pt>
                <c:pt idx="114">
                  <c:v>July 2020</c:v>
                </c:pt>
                <c:pt idx="115">
                  <c:v>August 2020</c:v>
                </c:pt>
                <c:pt idx="116">
                  <c:v>September 2020</c:v>
                </c:pt>
                <c:pt idx="117">
                  <c:v>October 2020</c:v>
                </c:pt>
                <c:pt idx="118">
                  <c:v>November 2020</c:v>
                </c:pt>
                <c:pt idx="119">
                  <c:v>December 2020</c:v>
                </c:pt>
              </c:strCache>
            </c:strRef>
          </c:cat>
          <c:val>
            <c:numRef>
              <c:f>Sales!$AE$6:$AE$125</c:f>
              <c:numCache>
                <c:formatCode>_("$"* #,##0_);_("$"* \(#,##0\);_("$"* "-"??_);_(@_)</c:formatCode>
                <c:ptCount val="120"/>
                <c:pt idx="0">
                  <c:v>6876100</c:v>
                </c:pt>
                <c:pt idx="1">
                  <c:v>6102010</c:v>
                </c:pt>
                <c:pt idx="2">
                  <c:v>6822050</c:v>
                </c:pt>
                <c:pt idx="3">
                  <c:v>6718180</c:v>
                </c:pt>
                <c:pt idx="4">
                  <c:v>6540520</c:v>
                </c:pt>
                <c:pt idx="5">
                  <c:v>6528770</c:v>
                </c:pt>
                <c:pt idx="6">
                  <c:v>6702200</c:v>
                </c:pt>
                <c:pt idx="7">
                  <c:v>10243650</c:v>
                </c:pt>
                <c:pt idx="8">
                  <c:v>10039200</c:v>
                </c:pt>
                <c:pt idx="9">
                  <c:v>5229043.75</c:v>
                </c:pt>
                <c:pt idx="10">
                  <c:v>6622770</c:v>
                </c:pt>
                <c:pt idx="11">
                  <c:v>6684340</c:v>
                </c:pt>
                <c:pt idx="12">
                  <c:v>6659900</c:v>
                </c:pt>
                <c:pt idx="13">
                  <c:v>6693270</c:v>
                </c:pt>
                <c:pt idx="14">
                  <c:v>6947540</c:v>
                </c:pt>
                <c:pt idx="15">
                  <c:v>6662250</c:v>
                </c:pt>
                <c:pt idx="16">
                  <c:v>6766120</c:v>
                </c:pt>
                <c:pt idx="17">
                  <c:v>6744500</c:v>
                </c:pt>
                <c:pt idx="18">
                  <c:v>7149170</c:v>
                </c:pt>
                <c:pt idx="19">
                  <c:v>10068810</c:v>
                </c:pt>
                <c:pt idx="20">
                  <c:v>9916060</c:v>
                </c:pt>
                <c:pt idx="21">
                  <c:v>5351537.5</c:v>
                </c:pt>
                <c:pt idx="22">
                  <c:v>6269330</c:v>
                </c:pt>
                <c:pt idx="23">
                  <c:v>6900540</c:v>
                </c:pt>
                <c:pt idx="24">
                  <c:v>6888320</c:v>
                </c:pt>
                <c:pt idx="25">
                  <c:v>6241600</c:v>
                </c:pt>
                <c:pt idx="26">
                  <c:v>6954120</c:v>
                </c:pt>
                <c:pt idx="27">
                  <c:v>6602560</c:v>
                </c:pt>
                <c:pt idx="28">
                  <c:v>6752960</c:v>
                </c:pt>
                <c:pt idx="29">
                  <c:v>6392470</c:v>
                </c:pt>
                <c:pt idx="30">
                  <c:v>6851660</c:v>
                </c:pt>
                <c:pt idx="31">
                  <c:v>10488990</c:v>
                </c:pt>
                <c:pt idx="32">
                  <c:v>9862950</c:v>
                </c:pt>
                <c:pt idx="33">
                  <c:v>5283387.5</c:v>
                </c:pt>
                <c:pt idx="34">
                  <c:v>6560260</c:v>
                </c:pt>
                <c:pt idx="35">
                  <c:v>7027910</c:v>
                </c:pt>
                <c:pt idx="36">
                  <c:v>6989370</c:v>
                </c:pt>
                <c:pt idx="37">
                  <c:v>6134440</c:v>
                </c:pt>
                <c:pt idx="38">
                  <c:v>6689040</c:v>
                </c:pt>
                <c:pt idx="39">
                  <c:v>6652380</c:v>
                </c:pt>
                <c:pt idx="40">
                  <c:v>6613840</c:v>
                </c:pt>
                <c:pt idx="41">
                  <c:v>6711130</c:v>
                </c:pt>
                <c:pt idx="42">
                  <c:v>6827220</c:v>
                </c:pt>
                <c:pt idx="43">
                  <c:v>10025570</c:v>
                </c:pt>
                <c:pt idx="44">
                  <c:v>9917940</c:v>
                </c:pt>
                <c:pt idx="45">
                  <c:v>5511337.5</c:v>
                </c:pt>
                <c:pt idx="46">
                  <c:v>6742620</c:v>
                </c:pt>
                <c:pt idx="47">
                  <c:v>7102640</c:v>
                </c:pt>
                <c:pt idx="48">
                  <c:v>6963520</c:v>
                </c:pt>
                <c:pt idx="49">
                  <c:v>6222800</c:v>
                </c:pt>
                <c:pt idx="50">
                  <c:v>6695620</c:v>
                </c:pt>
                <c:pt idx="51">
                  <c:v>6614310</c:v>
                </c:pt>
                <c:pt idx="52">
                  <c:v>6734160</c:v>
                </c:pt>
                <c:pt idx="53">
                  <c:v>6624180</c:v>
                </c:pt>
                <c:pt idx="54">
                  <c:v>6849780</c:v>
                </c:pt>
                <c:pt idx="55">
                  <c:v>10159990</c:v>
                </c:pt>
                <c:pt idx="56">
                  <c:v>10122860</c:v>
                </c:pt>
                <c:pt idx="57">
                  <c:v>5293962.5</c:v>
                </c:pt>
                <c:pt idx="58">
                  <c:v>6402810</c:v>
                </c:pt>
                <c:pt idx="59">
                  <c:v>6971980</c:v>
                </c:pt>
                <c:pt idx="60">
                  <c:v>6772700</c:v>
                </c:pt>
                <c:pt idx="61">
                  <c:v>6298940</c:v>
                </c:pt>
                <c:pt idx="62">
                  <c:v>6851190</c:v>
                </c:pt>
                <c:pt idx="63">
                  <c:v>6502920</c:v>
                </c:pt>
                <c:pt idx="64">
                  <c:v>6830980</c:v>
                </c:pt>
                <c:pt idx="65">
                  <c:v>6566370</c:v>
                </c:pt>
                <c:pt idx="66">
                  <c:v>6933440</c:v>
                </c:pt>
                <c:pt idx="67">
                  <c:v>10383240</c:v>
                </c:pt>
                <c:pt idx="68">
                  <c:v>9816890</c:v>
                </c:pt>
                <c:pt idx="69">
                  <c:v>5441131.25</c:v>
                </c:pt>
                <c:pt idx="70">
                  <c:v>6566840</c:v>
                </c:pt>
                <c:pt idx="71">
                  <c:v>6873280</c:v>
                </c:pt>
                <c:pt idx="72">
                  <c:v>7051410</c:v>
                </c:pt>
                <c:pt idx="73">
                  <c:v>5881580</c:v>
                </c:pt>
                <c:pt idx="74">
                  <c:v>6668360</c:v>
                </c:pt>
                <c:pt idx="75">
                  <c:v>6517960</c:v>
                </c:pt>
                <c:pt idx="76">
                  <c:v>6731340</c:v>
                </c:pt>
                <c:pt idx="77">
                  <c:v>6418320</c:v>
                </c:pt>
                <c:pt idx="78">
                  <c:v>6818290</c:v>
                </c:pt>
                <c:pt idx="79">
                  <c:v>10558080</c:v>
                </c:pt>
                <c:pt idx="80">
                  <c:v>10087140</c:v>
                </c:pt>
                <c:pt idx="81">
                  <c:v>5346543.75</c:v>
                </c:pt>
                <c:pt idx="82">
                  <c:v>6716300</c:v>
                </c:pt>
                <c:pt idx="83">
                  <c:v>7042010</c:v>
                </c:pt>
                <c:pt idx="84">
                  <c:v>6752490</c:v>
                </c:pt>
                <c:pt idx="85">
                  <c:v>6327140</c:v>
                </c:pt>
                <c:pt idx="86">
                  <c:v>6891140</c:v>
                </c:pt>
                <c:pt idx="87">
                  <c:v>6687160</c:v>
                </c:pt>
                <c:pt idx="88">
                  <c:v>6908060</c:v>
                </c:pt>
                <c:pt idx="89">
                  <c:v>6628880</c:v>
                </c:pt>
                <c:pt idx="90">
                  <c:v>6892550</c:v>
                </c:pt>
                <c:pt idx="91">
                  <c:v>10188190</c:v>
                </c:pt>
                <c:pt idx="92">
                  <c:v>10005360</c:v>
                </c:pt>
                <c:pt idx="93">
                  <c:v>5271931.25</c:v>
                </c:pt>
                <c:pt idx="94">
                  <c:v>6632640</c:v>
                </c:pt>
                <c:pt idx="95">
                  <c:v>6662720</c:v>
                </c:pt>
                <c:pt idx="96">
                  <c:v>6845550</c:v>
                </c:pt>
                <c:pt idx="97">
                  <c:v>6035740</c:v>
                </c:pt>
                <c:pt idx="98">
                  <c:v>6756720</c:v>
                </c:pt>
                <c:pt idx="99">
                  <c:v>6572480</c:v>
                </c:pt>
                <c:pt idx="100">
                  <c:v>6831450</c:v>
                </c:pt>
                <c:pt idx="101">
                  <c:v>6493990</c:v>
                </c:pt>
                <c:pt idx="102">
                  <c:v>6923570</c:v>
                </c:pt>
                <c:pt idx="103">
                  <c:v>10450450</c:v>
                </c:pt>
                <c:pt idx="104">
                  <c:v>9914650</c:v>
                </c:pt>
                <c:pt idx="105">
                  <c:v>5492537.5</c:v>
                </c:pt>
                <c:pt idx="106">
                  <c:v>6493520</c:v>
                </c:pt>
                <c:pt idx="107">
                  <c:v>6817350</c:v>
                </c:pt>
                <c:pt idx="108">
                  <c:v>6666010</c:v>
                </c:pt>
                <c:pt idx="109">
                  <c:v>6210110</c:v>
                </c:pt>
                <c:pt idx="110">
                  <c:v>6936260</c:v>
                </c:pt>
                <c:pt idx="111">
                  <c:v>6726170</c:v>
                </c:pt>
                <c:pt idx="112">
                  <c:v>7050470</c:v>
                </c:pt>
                <c:pt idx="113">
                  <c:v>6938610</c:v>
                </c:pt>
                <c:pt idx="114">
                  <c:v>6806070</c:v>
                </c:pt>
                <c:pt idx="115">
                  <c:v>10407210</c:v>
                </c:pt>
                <c:pt idx="116">
                  <c:v>9763310</c:v>
                </c:pt>
                <c:pt idx="117">
                  <c:v>5354475</c:v>
                </c:pt>
                <c:pt idx="118">
                  <c:v>6689040</c:v>
                </c:pt>
                <c:pt idx="119">
                  <c:v>6835680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2D-4380-9017-144B29AA72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4752240"/>
        <c:axId val="20000880"/>
      </c:lineChart>
      <c:lineChart>
        <c:grouping val="standard"/>
        <c:varyColors val="0"/>
        <c:ser>
          <c:idx val="0"/>
          <c:order val="0"/>
          <c:tx>
            <c:strRef>
              <c:f>Sales!$AD$5</c:f>
              <c:strCache>
                <c:ptCount val="1"/>
                <c:pt idx="0">
                  <c:v>Quantity (A)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Sales!$AC$6:$AC$125</c:f>
              <c:strCache>
                <c:ptCount val="120"/>
                <c:pt idx="0">
                  <c:v>January 2011</c:v>
                </c:pt>
                <c:pt idx="1">
                  <c:v>February 2011</c:v>
                </c:pt>
                <c:pt idx="2">
                  <c:v>March 2011</c:v>
                </c:pt>
                <c:pt idx="3">
                  <c:v>April 2011</c:v>
                </c:pt>
                <c:pt idx="4">
                  <c:v>May 2011</c:v>
                </c:pt>
                <c:pt idx="5">
                  <c:v>June 2011</c:v>
                </c:pt>
                <c:pt idx="6">
                  <c:v>July 2011</c:v>
                </c:pt>
                <c:pt idx="7">
                  <c:v>August 2011</c:v>
                </c:pt>
                <c:pt idx="8">
                  <c:v>September 2011</c:v>
                </c:pt>
                <c:pt idx="9">
                  <c:v>October 2011</c:v>
                </c:pt>
                <c:pt idx="10">
                  <c:v>November 2011</c:v>
                </c:pt>
                <c:pt idx="11">
                  <c:v>December 2011</c:v>
                </c:pt>
                <c:pt idx="12">
                  <c:v>January 2012</c:v>
                </c:pt>
                <c:pt idx="13">
                  <c:v>February 2012</c:v>
                </c:pt>
                <c:pt idx="14">
                  <c:v>March 2012</c:v>
                </c:pt>
                <c:pt idx="15">
                  <c:v>April 2012</c:v>
                </c:pt>
                <c:pt idx="16">
                  <c:v>May 2012</c:v>
                </c:pt>
                <c:pt idx="17">
                  <c:v>June 2012</c:v>
                </c:pt>
                <c:pt idx="18">
                  <c:v>July 2012</c:v>
                </c:pt>
                <c:pt idx="19">
                  <c:v>August 2012</c:v>
                </c:pt>
                <c:pt idx="20">
                  <c:v>September 2012</c:v>
                </c:pt>
                <c:pt idx="21">
                  <c:v>October 2012</c:v>
                </c:pt>
                <c:pt idx="22">
                  <c:v>November 2012</c:v>
                </c:pt>
                <c:pt idx="23">
                  <c:v>December 2012</c:v>
                </c:pt>
                <c:pt idx="24">
                  <c:v>January 2013</c:v>
                </c:pt>
                <c:pt idx="25">
                  <c:v>February 2013</c:v>
                </c:pt>
                <c:pt idx="26">
                  <c:v>March 2013</c:v>
                </c:pt>
                <c:pt idx="27">
                  <c:v>April 2013</c:v>
                </c:pt>
                <c:pt idx="28">
                  <c:v>May 2013</c:v>
                </c:pt>
                <c:pt idx="29">
                  <c:v>June 2013</c:v>
                </c:pt>
                <c:pt idx="30">
                  <c:v>July 2013</c:v>
                </c:pt>
                <c:pt idx="31">
                  <c:v>August 2013</c:v>
                </c:pt>
                <c:pt idx="32">
                  <c:v>September 2013</c:v>
                </c:pt>
                <c:pt idx="33">
                  <c:v>October 2013</c:v>
                </c:pt>
                <c:pt idx="34">
                  <c:v>November 2013</c:v>
                </c:pt>
                <c:pt idx="35">
                  <c:v>December 2013</c:v>
                </c:pt>
                <c:pt idx="36">
                  <c:v>January 2014</c:v>
                </c:pt>
                <c:pt idx="37">
                  <c:v>February 2014</c:v>
                </c:pt>
                <c:pt idx="38">
                  <c:v>March 2014</c:v>
                </c:pt>
                <c:pt idx="39">
                  <c:v>April 2014</c:v>
                </c:pt>
                <c:pt idx="40">
                  <c:v>May 2014</c:v>
                </c:pt>
                <c:pt idx="41">
                  <c:v>June 2014</c:v>
                </c:pt>
                <c:pt idx="42">
                  <c:v>July 2014</c:v>
                </c:pt>
                <c:pt idx="43">
                  <c:v>August 2014</c:v>
                </c:pt>
                <c:pt idx="44">
                  <c:v>September 2014</c:v>
                </c:pt>
                <c:pt idx="45">
                  <c:v>October 2014</c:v>
                </c:pt>
                <c:pt idx="46">
                  <c:v>November 2014</c:v>
                </c:pt>
                <c:pt idx="47">
                  <c:v>December 2014</c:v>
                </c:pt>
                <c:pt idx="48">
                  <c:v>January 2015</c:v>
                </c:pt>
                <c:pt idx="49">
                  <c:v>February 2015</c:v>
                </c:pt>
                <c:pt idx="50">
                  <c:v>March 2015</c:v>
                </c:pt>
                <c:pt idx="51">
                  <c:v>April 2015</c:v>
                </c:pt>
                <c:pt idx="52">
                  <c:v>May 2015</c:v>
                </c:pt>
                <c:pt idx="53">
                  <c:v>June 2015</c:v>
                </c:pt>
                <c:pt idx="54">
                  <c:v>July 2015</c:v>
                </c:pt>
                <c:pt idx="55">
                  <c:v>August 2015</c:v>
                </c:pt>
                <c:pt idx="56">
                  <c:v>September 2015</c:v>
                </c:pt>
                <c:pt idx="57">
                  <c:v>October 2015</c:v>
                </c:pt>
                <c:pt idx="58">
                  <c:v>November 2015</c:v>
                </c:pt>
                <c:pt idx="59">
                  <c:v>December 2015</c:v>
                </c:pt>
                <c:pt idx="60">
                  <c:v>January 2016</c:v>
                </c:pt>
                <c:pt idx="61">
                  <c:v>February 2016</c:v>
                </c:pt>
                <c:pt idx="62">
                  <c:v>March 2016</c:v>
                </c:pt>
                <c:pt idx="63">
                  <c:v>April 2016</c:v>
                </c:pt>
                <c:pt idx="64">
                  <c:v>May 2016</c:v>
                </c:pt>
                <c:pt idx="65">
                  <c:v>June 2016</c:v>
                </c:pt>
                <c:pt idx="66">
                  <c:v>July 2016</c:v>
                </c:pt>
                <c:pt idx="67">
                  <c:v>August 2016</c:v>
                </c:pt>
                <c:pt idx="68">
                  <c:v>September 2016</c:v>
                </c:pt>
                <c:pt idx="69">
                  <c:v>October 2016</c:v>
                </c:pt>
                <c:pt idx="70">
                  <c:v>November 2016</c:v>
                </c:pt>
                <c:pt idx="71">
                  <c:v>December 2016</c:v>
                </c:pt>
                <c:pt idx="72">
                  <c:v>January 2017</c:v>
                </c:pt>
                <c:pt idx="73">
                  <c:v>February 2017</c:v>
                </c:pt>
                <c:pt idx="74">
                  <c:v>March 2017</c:v>
                </c:pt>
                <c:pt idx="75">
                  <c:v>April 2017</c:v>
                </c:pt>
                <c:pt idx="76">
                  <c:v>May 2017</c:v>
                </c:pt>
                <c:pt idx="77">
                  <c:v>June 2017</c:v>
                </c:pt>
                <c:pt idx="78">
                  <c:v>July 2017</c:v>
                </c:pt>
                <c:pt idx="79">
                  <c:v>August 2017</c:v>
                </c:pt>
                <c:pt idx="80">
                  <c:v>September 2017</c:v>
                </c:pt>
                <c:pt idx="81">
                  <c:v>October 2017</c:v>
                </c:pt>
                <c:pt idx="82">
                  <c:v>November 2017</c:v>
                </c:pt>
                <c:pt idx="83">
                  <c:v>December 2017</c:v>
                </c:pt>
                <c:pt idx="84">
                  <c:v>January 2018</c:v>
                </c:pt>
                <c:pt idx="85">
                  <c:v>February 2018</c:v>
                </c:pt>
                <c:pt idx="86">
                  <c:v>March 2018</c:v>
                </c:pt>
                <c:pt idx="87">
                  <c:v>April 2018</c:v>
                </c:pt>
                <c:pt idx="88">
                  <c:v>May 2018</c:v>
                </c:pt>
                <c:pt idx="89">
                  <c:v>June 2018</c:v>
                </c:pt>
                <c:pt idx="90">
                  <c:v>July 2018</c:v>
                </c:pt>
                <c:pt idx="91">
                  <c:v>August 2018</c:v>
                </c:pt>
                <c:pt idx="92">
                  <c:v>September 2018</c:v>
                </c:pt>
                <c:pt idx="93">
                  <c:v>October 2018</c:v>
                </c:pt>
                <c:pt idx="94">
                  <c:v>November 2018</c:v>
                </c:pt>
                <c:pt idx="95">
                  <c:v>December 2018</c:v>
                </c:pt>
                <c:pt idx="96">
                  <c:v>January 2019</c:v>
                </c:pt>
                <c:pt idx="97">
                  <c:v>February 2019</c:v>
                </c:pt>
                <c:pt idx="98">
                  <c:v>March 2019</c:v>
                </c:pt>
                <c:pt idx="99">
                  <c:v>April 2019</c:v>
                </c:pt>
                <c:pt idx="100">
                  <c:v>May 2019</c:v>
                </c:pt>
                <c:pt idx="101">
                  <c:v>June 2019</c:v>
                </c:pt>
                <c:pt idx="102">
                  <c:v>July 2019</c:v>
                </c:pt>
                <c:pt idx="103">
                  <c:v>August 2019</c:v>
                </c:pt>
                <c:pt idx="104">
                  <c:v>September 2019</c:v>
                </c:pt>
                <c:pt idx="105">
                  <c:v>October 2019</c:v>
                </c:pt>
                <c:pt idx="106">
                  <c:v>November 2019</c:v>
                </c:pt>
                <c:pt idx="107">
                  <c:v>December 2019</c:v>
                </c:pt>
                <c:pt idx="108">
                  <c:v>January 2020</c:v>
                </c:pt>
                <c:pt idx="109">
                  <c:v>February 2020</c:v>
                </c:pt>
                <c:pt idx="110">
                  <c:v>March 2020</c:v>
                </c:pt>
                <c:pt idx="111">
                  <c:v>April 2020</c:v>
                </c:pt>
                <c:pt idx="112">
                  <c:v>May 2020</c:v>
                </c:pt>
                <c:pt idx="113">
                  <c:v>June 2020</c:v>
                </c:pt>
                <c:pt idx="114">
                  <c:v>July 2020</c:v>
                </c:pt>
                <c:pt idx="115">
                  <c:v>August 2020</c:v>
                </c:pt>
                <c:pt idx="116">
                  <c:v>September 2020</c:v>
                </c:pt>
                <c:pt idx="117">
                  <c:v>October 2020</c:v>
                </c:pt>
                <c:pt idx="118">
                  <c:v>November 2020</c:v>
                </c:pt>
                <c:pt idx="119">
                  <c:v>December 2020</c:v>
                </c:pt>
              </c:strCache>
            </c:strRef>
          </c:cat>
          <c:val>
            <c:numRef>
              <c:f>Sales!$AD$6:$AD$125</c:f>
              <c:numCache>
                <c:formatCode>_(* #,##0_);_(* \(#,##0\);_(* "-"??_);_(@_)</c:formatCode>
                <c:ptCount val="120"/>
                <c:pt idx="0">
                  <c:v>14630</c:v>
                </c:pt>
                <c:pt idx="1">
                  <c:v>12983</c:v>
                </c:pt>
                <c:pt idx="2">
                  <c:v>14515</c:v>
                </c:pt>
                <c:pt idx="3">
                  <c:v>14294</c:v>
                </c:pt>
                <c:pt idx="4">
                  <c:v>13916</c:v>
                </c:pt>
                <c:pt idx="5">
                  <c:v>13891</c:v>
                </c:pt>
                <c:pt idx="6">
                  <c:v>14260</c:v>
                </c:pt>
                <c:pt idx="7">
                  <c:v>21795</c:v>
                </c:pt>
                <c:pt idx="8">
                  <c:v>21360</c:v>
                </c:pt>
                <c:pt idx="9">
                  <c:v>17801</c:v>
                </c:pt>
                <c:pt idx="10">
                  <c:v>14091</c:v>
                </c:pt>
                <c:pt idx="11">
                  <c:v>14222</c:v>
                </c:pt>
                <c:pt idx="12">
                  <c:v>14170</c:v>
                </c:pt>
                <c:pt idx="13">
                  <c:v>14241</c:v>
                </c:pt>
                <c:pt idx="14">
                  <c:v>14782</c:v>
                </c:pt>
                <c:pt idx="15">
                  <c:v>14175</c:v>
                </c:pt>
                <c:pt idx="16">
                  <c:v>14396</c:v>
                </c:pt>
                <c:pt idx="17">
                  <c:v>14350</c:v>
                </c:pt>
                <c:pt idx="18">
                  <c:v>15211</c:v>
                </c:pt>
                <c:pt idx="19">
                  <c:v>21423</c:v>
                </c:pt>
                <c:pt idx="20">
                  <c:v>21098</c:v>
                </c:pt>
                <c:pt idx="21">
                  <c:v>18218</c:v>
                </c:pt>
                <c:pt idx="22">
                  <c:v>13339</c:v>
                </c:pt>
                <c:pt idx="23">
                  <c:v>14682</c:v>
                </c:pt>
                <c:pt idx="24">
                  <c:v>14656</c:v>
                </c:pt>
                <c:pt idx="25">
                  <c:v>13280</c:v>
                </c:pt>
                <c:pt idx="26">
                  <c:v>14796</c:v>
                </c:pt>
                <c:pt idx="27">
                  <c:v>14048</c:v>
                </c:pt>
                <c:pt idx="28">
                  <c:v>14368</c:v>
                </c:pt>
                <c:pt idx="29">
                  <c:v>13601</c:v>
                </c:pt>
                <c:pt idx="30">
                  <c:v>14578</c:v>
                </c:pt>
                <c:pt idx="31">
                  <c:v>22317</c:v>
                </c:pt>
                <c:pt idx="32">
                  <c:v>20985</c:v>
                </c:pt>
                <c:pt idx="33">
                  <c:v>17986</c:v>
                </c:pt>
                <c:pt idx="34">
                  <c:v>13958</c:v>
                </c:pt>
                <c:pt idx="35">
                  <c:v>14953</c:v>
                </c:pt>
                <c:pt idx="36">
                  <c:v>14871</c:v>
                </c:pt>
                <c:pt idx="37">
                  <c:v>13052</c:v>
                </c:pt>
                <c:pt idx="38">
                  <c:v>14232</c:v>
                </c:pt>
                <c:pt idx="39">
                  <c:v>14154</c:v>
                </c:pt>
                <c:pt idx="40">
                  <c:v>14072</c:v>
                </c:pt>
                <c:pt idx="41">
                  <c:v>14279</c:v>
                </c:pt>
                <c:pt idx="42">
                  <c:v>14526</c:v>
                </c:pt>
                <c:pt idx="43">
                  <c:v>21331</c:v>
                </c:pt>
                <c:pt idx="44">
                  <c:v>21102</c:v>
                </c:pt>
                <c:pt idx="45">
                  <c:v>18762</c:v>
                </c:pt>
                <c:pt idx="46">
                  <c:v>14346</c:v>
                </c:pt>
                <c:pt idx="47">
                  <c:v>15112</c:v>
                </c:pt>
                <c:pt idx="48">
                  <c:v>14816</c:v>
                </c:pt>
                <c:pt idx="49">
                  <c:v>13240</c:v>
                </c:pt>
                <c:pt idx="50">
                  <c:v>14246</c:v>
                </c:pt>
                <c:pt idx="51">
                  <c:v>14073</c:v>
                </c:pt>
                <c:pt idx="52">
                  <c:v>14328</c:v>
                </c:pt>
                <c:pt idx="53">
                  <c:v>14094</c:v>
                </c:pt>
                <c:pt idx="54">
                  <c:v>14574</c:v>
                </c:pt>
                <c:pt idx="55">
                  <c:v>21617</c:v>
                </c:pt>
                <c:pt idx="56">
                  <c:v>21538</c:v>
                </c:pt>
                <c:pt idx="57">
                  <c:v>18022</c:v>
                </c:pt>
                <c:pt idx="58">
                  <c:v>13623</c:v>
                </c:pt>
                <c:pt idx="59">
                  <c:v>14834</c:v>
                </c:pt>
                <c:pt idx="60">
                  <c:v>14410</c:v>
                </c:pt>
                <c:pt idx="61">
                  <c:v>13402</c:v>
                </c:pt>
                <c:pt idx="62">
                  <c:v>14577</c:v>
                </c:pt>
                <c:pt idx="63">
                  <c:v>13836</c:v>
                </c:pt>
                <c:pt idx="64">
                  <c:v>14534</c:v>
                </c:pt>
                <c:pt idx="65">
                  <c:v>13971</c:v>
                </c:pt>
                <c:pt idx="66">
                  <c:v>14752</c:v>
                </c:pt>
                <c:pt idx="67">
                  <c:v>22092</c:v>
                </c:pt>
                <c:pt idx="68">
                  <c:v>20887</c:v>
                </c:pt>
                <c:pt idx="69">
                  <c:v>18523</c:v>
                </c:pt>
                <c:pt idx="70">
                  <c:v>13972</c:v>
                </c:pt>
                <c:pt idx="71">
                  <c:v>14624</c:v>
                </c:pt>
                <c:pt idx="72">
                  <c:v>15003</c:v>
                </c:pt>
                <c:pt idx="73">
                  <c:v>12514</c:v>
                </c:pt>
                <c:pt idx="74">
                  <c:v>14188</c:v>
                </c:pt>
                <c:pt idx="75">
                  <c:v>13868</c:v>
                </c:pt>
                <c:pt idx="76">
                  <c:v>14322</c:v>
                </c:pt>
                <c:pt idx="77">
                  <c:v>13656</c:v>
                </c:pt>
                <c:pt idx="78">
                  <c:v>14507</c:v>
                </c:pt>
                <c:pt idx="79">
                  <c:v>22464</c:v>
                </c:pt>
                <c:pt idx="80">
                  <c:v>21462</c:v>
                </c:pt>
                <c:pt idx="81">
                  <c:v>18201</c:v>
                </c:pt>
                <c:pt idx="82">
                  <c:v>14290</c:v>
                </c:pt>
                <c:pt idx="83">
                  <c:v>14983</c:v>
                </c:pt>
                <c:pt idx="84">
                  <c:v>14367</c:v>
                </c:pt>
                <c:pt idx="85">
                  <c:v>13462</c:v>
                </c:pt>
                <c:pt idx="86">
                  <c:v>14662</c:v>
                </c:pt>
                <c:pt idx="87">
                  <c:v>14228</c:v>
                </c:pt>
                <c:pt idx="88">
                  <c:v>14698</c:v>
                </c:pt>
                <c:pt idx="89">
                  <c:v>14104</c:v>
                </c:pt>
                <c:pt idx="90">
                  <c:v>14665</c:v>
                </c:pt>
                <c:pt idx="91">
                  <c:v>21677</c:v>
                </c:pt>
                <c:pt idx="92">
                  <c:v>21288</c:v>
                </c:pt>
                <c:pt idx="93">
                  <c:v>17947</c:v>
                </c:pt>
                <c:pt idx="94">
                  <c:v>14112</c:v>
                </c:pt>
                <c:pt idx="95">
                  <c:v>14176</c:v>
                </c:pt>
                <c:pt idx="96">
                  <c:v>14565</c:v>
                </c:pt>
                <c:pt idx="97">
                  <c:v>12842</c:v>
                </c:pt>
                <c:pt idx="98">
                  <c:v>14376</c:v>
                </c:pt>
                <c:pt idx="99">
                  <c:v>13984</c:v>
                </c:pt>
                <c:pt idx="100">
                  <c:v>14535</c:v>
                </c:pt>
                <c:pt idx="101">
                  <c:v>13817</c:v>
                </c:pt>
                <c:pt idx="102">
                  <c:v>14731</c:v>
                </c:pt>
                <c:pt idx="103">
                  <c:v>22235</c:v>
                </c:pt>
                <c:pt idx="104">
                  <c:v>21095</c:v>
                </c:pt>
                <c:pt idx="105">
                  <c:v>18698</c:v>
                </c:pt>
                <c:pt idx="106">
                  <c:v>13816</c:v>
                </c:pt>
                <c:pt idx="107">
                  <c:v>14505</c:v>
                </c:pt>
                <c:pt idx="108">
                  <c:v>14183</c:v>
                </c:pt>
                <c:pt idx="109">
                  <c:v>13213</c:v>
                </c:pt>
                <c:pt idx="110">
                  <c:v>14758</c:v>
                </c:pt>
                <c:pt idx="111">
                  <c:v>14311</c:v>
                </c:pt>
                <c:pt idx="112">
                  <c:v>15001</c:v>
                </c:pt>
                <c:pt idx="113">
                  <c:v>14763</c:v>
                </c:pt>
                <c:pt idx="114">
                  <c:v>14481</c:v>
                </c:pt>
                <c:pt idx="115">
                  <c:v>22143</c:v>
                </c:pt>
                <c:pt idx="116">
                  <c:v>20773</c:v>
                </c:pt>
                <c:pt idx="117">
                  <c:v>18228</c:v>
                </c:pt>
                <c:pt idx="118">
                  <c:v>14232</c:v>
                </c:pt>
                <c:pt idx="119">
                  <c:v>14544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2D-4380-9017-144B29AA72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73168"/>
        <c:axId val="127475888"/>
      </c:lineChart>
      <c:dateAx>
        <c:axId val="151475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0880"/>
        <c:crosses val="autoZero"/>
        <c:auto val="0"/>
        <c:lblOffset val="100"/>
        <c:baseTimeUnit val="days"/>
        <c:minorUnit val="3"/>
      </c:dateAx>
      <c:valAx>
        <c:axId val="2000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752240"/>
        <c:crosses val="autoZero"/>
        <c:crossBetween val="between"/>
      </c:valAx>
      <c:valAx>
        <c:axId val="127475888"/>
        <c:scaling>
          <c:orientation val="minMax"/>
        </c:scaling>
        <c:delete val="0"/>
        <c:axPos val="r"/>
        <c:numFmt formatCode="_(* #,##0_);_(* \(#,##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3168"/>
        <c:crosses val="max"/>
        <c:crossBetween val="between"/>
      </c:valAx>
      <c:catAx>
        <c:axId val="190731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7475888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B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1"/>
          <c:tx>
            <c:strRef>
              <c:f>Sales!$AG$5</c:f>
              <c:strCache>
                <c:ptCount val="1"/>
                <c:pt idx="0">
                  <c:v>Revenue (B)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Sales!$AC$6:$AC$125</c:f>
              <c:strCache>
                <c:ptCount val="120"/>
                <c:pt idx="0">
                  <c:v>January 2011</c:v>
                </c:pt>
                <c:pt idx="1">
                  <c:v>February 2011</c:v>
                </c:pt>
                <c:pt idx="2">
                  <c:v>March 2011</c:v>
                </c:pt>
                <c:pt idx="3">
                  <c:v>April 2011</c:v>
                </c:pt>
                <c:pt idx="4">
                  <c:v>May 2011</c:v>
                </c:pt>
                <c:pt idx="5">
                  <c:v>June 2011</c:v>
                </c:pt>
                <c:pt idx="6">
                  <c:v>July 2011</c:v>
                </c:pt>
                <c:pt idx="7">
                  <c:v>August 2011</c:v>
                </c:pt>
                <c:pt idx="8">
                  <c:v>September 2011</c:v>
                </c:pt>
                <c:pt idx="9">
                  <c:v>October 2011</c:v>
                </c:pt>
                <c:pt idx="10">
                  <c:v>November 2011</c:v>
                </c:pt>
                <c:pt idx="11">
                  <c:v>December 2011</c:v>
                </c:pt>
                <c:pt idx="12">
                  <c:v>January 2012</c:v>
                </c:pt>
                <c:pt idx="13">
                  <c:v>February 2012</c:v>
                </c:pt>
                <c:pt idx="14">
                  <c:v>March 2012</c:v>
                </c:pt>
                <c:pt idx="15">
                  <c:v>April 2012</c:v>
                </c:pt>
                <c:pt idx="16">
                  <c:v>May 2012</c:v>
                </c:pt>
                <c:pt idx="17">
                  <c:v>June 2012</c:v>
                </c:pt>
                <c:pt idx="18">
                  <c:v>July 2012</c:v>
                </c:pt>
                <c:pt idx="19">
                  <c:v>August 2012</c:v>
                </c:pt>
                <c:pt idx="20">
                  <c:v>September 2012</c:v>
                </c:pt>
                <c:pt idx="21">
                  <c:v>October 2012</c:v>
                </c:pt>
                <c:pt idx="22">
                  <c:v>November 2012</c:v>
                </c:pt>
                <c:pt idx="23">
                  <c:v>December 2012</c:v>
                </c:pt>
                <c:pt idx="24">
                  <c:v>January 2013</c:v>
                </c:pt>
                <c:pt idx="25">
                  <c:v>February 2013</c:v>
                </c:pt>
                <c:pt idx="26">
                  <c:v>March 2013</c:v>
                </c:pt>
                <c:pt idx="27">
                  <c:v>April 2013</c:v>
                </c:pt>
                <c:pt idx="28">
                  <c:v>May 2013</c:v>
                </c:pt>
                <c:pt idx="29">
                  <c:v>June 2013</c:v>
                </c:pt>
                <c:pt idx="30">
                  <c:v>July 2013</c:v>
                </c:pt>
                <c:pt idx="31">
                  <c:v>August 2013</c:v>
                </c:pt>
                <c:pt idx="32">
                  <c:v>September 2013</c:v>
                </c:pt>
                <c:pt idx="33">
                  <c:v>October 2013</c:v>
                </c:pt>
                <c:pt idx="34">
                  <c:v>November 2013</c:v>
                </c:pt>
                <c:pt idx="35">
                  <c:v>December 2013</c:v>
                </c:pt>
                <c:pt idx="36">
                  <c:v>January 2014</c:v>
                </c:pt>
                <c:pt idx="37">
                  <c:v>February 2014</c:v>
                </c:pt>
                <c:pt idx="38">
                  <c:v>March 2014</c:v>
                </c:pt>
                <c:pt idx="39">
                  <c:v>April 2014</c:v>
                </c:pt>
                <c:pt idx="40">
                  <c:v>May 2014</c:v>
                </c:pt>
                <c:pt idx="41">
                  <c:v>June 2014</c:v>
                </c:pt>
                <c:pt idx="42">
                  <c:v>July 2014</c:v>
                </c:pt>
                <c:pt idx="43">
                  <c:v>August 2014</c:v>
                </c:pt>
                <c:pt idx="44">
                  <c:v>September 2014</c:v>
                </c:pt>
                <c:pt idx="45">
                  <c:v>October 2014</c:v>
                </c:pt>
                <c:pt idx="46">
                  <c:v>November 2014</c:v>
                </c:pt>
                <c:pt idx="47">
                  <c:v>December 2014</c:v>
                </c:pt>
                <c:pt idx="48">
                  <c:v>January 2015</c:v>
                </c:pt>
                <c:pt idx="49">
                  <c:v>February 2015</c:v>
                </c:pt>
                <c:pt idx="50">
                  <c:v>March 2015</c:v>
                </c:pt>
                <c:pt idx="51">
                  <c:v>April 2015</c:v>
                </c:pt>
                <c:pt idx="52">
                  <c:v>May 2015</c:v>
                </c:pt>
                <c:pt idx="53">
                  <c:v>June 2015</c:v>
                </c:pt>
                <c:pt idx="54">
                  <c:v>July 2015</c:v>
                </c:pt>
                <c:pt idx="55">
                  <c:v>August 2015</c:v>
                </c:pt>
                <c:pt idx="56">
                  <c:v>September 2015</c:v>
                </c:pt>
                <c:pt idx="57">
                  <c:v>October 2015</c:v>
                </c:pt>
                <c:pt idx="58">
                  <c:v>November 2015</c:v>
                </c:pt>
                <c:pt idx="59">
                  <c:v>December 2015</c:v>
                </c:pt>
                <c:pt idx="60">
                  <c:v>January 2016</c:v>
                </c:pt>
                <c:pt idx="61">
                  <c:v>February 2016</c:v>
                </c:pt>
                <c:pt idx="62">
                  <c:v>March 2016</c:v>
                </c:pt>
                <c:pt idx="63">
                  <c:v>April 2016</c:v>
                </c:pt>
                <c:pt idx="64">
                  <c:v>May 2016</c:v>
                </c:pt>
                <c:pt idx="65">
                  <c:v>June 2016</c:v>
                </c:pt>
                <c:pt idx="66">
                  <c:v>July 2016</c:v>
                </c:pt>
                <c:pt idx="67">
                  <c:v>August 2016</c:v>
                </c:pt>
                <c:pt idx="68">
                  <c:v>September 2016</c:v>
                </c:pt>
                <c:pt idx="69">
                  <c:v>October 2016</c:v>
                </c:pt>
                <c:pt idx="70">
                  <c:v>November 2016</c:v>
                </c:pt>
                <c:pt idx="71">
                  <c:v>December 2016</c:v>
                </c:pt>
                <c:pt idx="72">
                  <c:v>January 2017</c:v>
                </c:pt>
                <c:pt idx="73">
                  <c:v>February 2017</c:v>
                </c:pt>
                <c:pt idx="74">
                  <c:v>March 2017</c:v>
                </c:pt>
                <c:pt idx="75">
                  <c:v>April 2017</c:v>
                </c:pt>
                <c:pt idx="76">
                  <c:v>May 2017</c:v>
                </c:pt>
                <c:pt idx="77">
                  <c:v>June 2017</c:v>
                </c:pt>
                <c:pt idx="78">
                  <c:v>July 2017</c:v>
                </c:pt>
                <c:pt idx="79">
                  <c:v>August 2017</c:v>
                </c:pt>
                <c:pt idx="80">
                  <c:v>September 2017</c:v>
                </c:pt>
                <c:pt idx="81">
                  <c:v>October 2017</c:v>
                </c:pt>
                <c:pt idx="82">
                  <c:v>November 2017</c:v>
                </c:pt>
                <c:pt idx="83">
                  <c:v>December 2017</c:v>
                </c:pt>
                <c:pt idx="84">
                  <c:v>January 2018</c:v>
                </c:pt>
                <c:pt idx="85">
                  <c:v>February 2018</c:v>
                </c:pt>
                <c:pt idx="86">
                  <c:v>March 2018</c:v>
                </c:pt>
                <c:pt idx="87">
                  <c:v>April 2018</c:v>
                </c:pt>
                <c:pt idx="88">
                  <c:v>May 2018</c:v>
                </c:pt>
                <c:pt idx="89">
                  <c:v>June 2018</c:v>
                </c:pt>
                <c:pt idx="90">
                  <c:v>July 2018</c:v>
                </c:pt>
                <c:pt idx="91">
                  <c:v>August 2018</c:v>
                </c:pt>
                <c:pt idx="92">
                  <c:v>September 2018</c:v>
                </c:pt>
                <c:pt idx="93">
                  <c:v>October 2018</c:v>
                </c:pt>
                <c:pt idx="94">
                  <c:v>November 2018</c:v>
                </c:pt>
                <c:pt idx="95">
                  <c:v>December 2018</c:v>
                </c:pt>
                <c:pt idx="96">
                  <c:v>January 2019</c:v>
                </c:pt>
                <c:pt idx="97">
                  <c:v>February 2019</c:v>
                </c:pt>
                <c:pt idx="98">
                  <c:v>March 2019</c:v>
                </c:pt>
                <c:pt idx="99">
                  <c:v>April 2019</c:v>
                </c:pt>
                <c:pt idx="100">
                  <c:v>May 2019</c:v>
                </c:pt>
                <c:pt idx="101">
                  <c:v>June 2019</c:v>
                </c:pt>
                <c:pt idx="102">
                  <c:v>July 2019</c:v>
                </c:pt>
                <c:pt idx="103">
                  <c:v>August 2019</c:v>
                </c:pt>
                <c:pt idx="104">
                  <c:v>September 2019</c:v>
                </c:pt>
                <c:pt idx="105">
                  <c:v>October 2019</c:v>
                </c:pt>
                <c:pt idx="106">
                  <c:v>November 2019</c:v>
                </c:pt>
                <c:pt idx="107">
                  <c:v>December 2019</c:v>
                </c:pt>
                <c:pt idx="108">
                  <c:v>January 2020</c:v>
                </c:pt>
                <c:pt idx="109">
                  <c:v>February 2020</c:v>
                </c:pt>
                <c:pt idx="110">
                  <c:v>March 2020</c:v>
                </c:pt>
                <c:pt idx="111">
                  <c:v>April 2020</c:v>
                </c:pt>
                <c:pt idx="112">
                  <c:v>May 2020</c:v>
                </c:pt>
                <c:pt idx="113">
                  <c:v>June 2020</c:v>
                </c:pt>
                <c:pt idx="114">
                  <c:v>July 2020</c:v>
                </c:pt>
                <c:pt idx="115">
                  <c:v>August 2020</c:v>
                </c:pt>
                <c:pt idx="116">
                  <c:v>September 2020</c:v>
                </c:pt>
                <c:pt idx="117">
                  <c:v>October 2020</c:v>
                </c:pt>
                <c:pt idx="118">
                  <c:v>November 2020</c:v>
                </c:pt>
                <c:pt idx="119">
                  <c:v>December 2020</c:v>
                </c:pt>
              </c:strCache>
            </c:strRef>
          </c:cat>
          <c:val>
            <c:numRef>
              <c:f>Sales!$AG$6:$AG$125</c:f>
              <c:numCache>
                <c:formatCode>_("$"* #,##0_);_("$"* \(#,##0\);_("$"* "-"??_);_(@_)</c:formatCode>
                <c:ptCount val="120"/>
                <c:pt idx="0">
                  <c:v>6689720</c:v>
                </c:pt>
                <c:pt idx="1">
                  <c:v>6145870</c:v>
                </c:pt>
                <c:pt idx="2">
                  <c:v>6879520</c:v>
                </c:pt>
                <c:pt idx="3">
                  <c:v>14307270</c:v>
                </c:pt>
                <c:pt idx="4">
                  <c:v>15135090</c:v>
                </c:pt>
                <c:pt idx="5">
                  <c:v>6259020</c:v>
                </c:pt>
                <c:pt idx="6">
                  <c:v>6658330</c:v>
                </c:pt>
                <c:pt idx="7">
                  <c:v>6819660</c:v>
                </c:pt>
                <c:pt idx="8">
                  <c:v>6406480</c:v>
                </c:pt>
                <c:pt idx="9">
                  <c:v>6874410</c:v>
                </c:pt>
                <c:pt idx="10">
                  <c:v>6657600</c:v>
                </c:pt>
                <c:pt idx="11">
                  <c:v>7017490</c:v>
                </c:pt>
                <c:pt idx="12">
                  <c:v>6636430</c:v>
                </c:pt>
                <c:pt idx="13">
                  <c:v>6307930</c:v>
                </c:pt>
                <c:pt idx="14">
                  <c:v>6721840</c:v>
                </c:pt>
                <c:pt idx="15">
                  <c:v>14118200</c:v>
                </c:pt>
                <c:pt idx="16">
                  <c:v>14816810</c:v>
                </c:pt>
                <c:pt idx="17">
                  <c:v>6549560</c:v>
                </c:pt>
                <c:pt idx="18">
                  <c:v>7013840</c:v>
                </c:pt>
                <c:pt idx="19">
                  <c:v>6654680</c:v>
                </c:pt>
                <c:pt idx="20">
                  <c:v>6583870</c:v>
                </c:pt>
                <c:pt idx="21">
                  <c:v>6524010</c:v>
                </c:pt>
                <c:pt idx="22">
                  <c:v>6754690</c:v>
                </c:pt>
                <c:pt idx="23">
                  <c:v>7072970</c:v>
                </c:pt>
                <c:pt idx="24">
                  <c:v>6999970</c:v>
                </c:pt>
                <c:pt idx="25">
                  <c:v>6077250</c:v>
                </c:pt>
                <c:pt idx="26">
                  <c:v>6783160</c:v>
                </c:pt>
                <c:pt idx="27">
                  <c:v>14421880</c:v>
                </c:pt>
                <c:pt idx="28">
                  <c:v>15237290</c:v>
                </c:pt>
                <c:pt idx="29">
                  <c:v>6413488</c:v>
                </c:pt>
                <c:pt idx="30">
                  <c:v>7010190</c:v>
                </c:pt>
                <c:pt idx="31">
                  <c:v>6741550</c:v>
                </c:pt>
                <c:pt idx="32">
                  <c:v>6710160</c:v>
                </c:pt>
                <c:pt idx="33">
                  <c:v>6814550</c:v>
                </c:pt>
                <c:pt idx="34">
                  <c:v>6744470</c:v>
                </c:pt>
                <c:pt idx="35">
                  <c:v>6810170</c:v>
                </c:pt>
                <c:pt idx="36">
                  <c:v>6698480</c:v>
                </c:pt>
                <c:pt idx="37">
                  <c:v>6086740</c:v>
                </c:pt>
                <c:pt idx="38">
                  <c:v>6702130</c:v>
                </c:pt>
                <c:pt idx="39">
                  <c:v>14548170</c:v>
                </c:pt>
                <c:pt idx="40">
                  <c:v>14774470</c:v>
                </c:pt>
                <c:pt idx="41">
                  <c:v>6308660</c:v>
                </c:pt>
                <c:pt idx="42">
                  <c:v>6678770</c:v>
                </c:pt>
                <c:pt idx="43">
                  <c:v>6800680</c:v>
                </c:pt>
                <c:pt idx="44">
                  <c:v>6613800</c:v>
                </c:pt>
                <c:pt idx="45">
                  <c:v>6807980</c:v>
                </c:pt>
                <c:pt idx="46">
                  <c:v>6436410</c:v>
                </c:pt>
                <c:pt idx="47">
                  <c:v>6708700</c:v>
                </c:pt>
                <c:pt idx="48">
                  <c:v>6723300</c:v>
                </c:pt>
                <c:pt idx="49">
                  <c:v>6070680</c:v>
                </c:pt>
                <c:pt idx="50">
                  <c:v>6891930</c:v>
                </c:pt>
                <c:pt idx="51">
                  <c:v>14638690</c:v>
                </c:pt>
                <c:pt idx="52">
                  <c:v>14634310</c:v>
                </c:pt>
                <c:pt idx="53">
                  <c:v>6580512</c:v>
                </c:pt>
                <c:pt idx="54">
                  <c:v>6805060</c:v>
                </c:pt>
                <c:pt idx="55">
                  <c:v>6794840</c:v>
                </c:pt>
                <c:pt idx="56">
                  <c:v>6531310</c:v>
                </c:pt>
                <c:pt idx="57">
                  <c:v>6542990</c:v>
                </c:pt>
                <c:pt idx="58">
                  <c:v>6453200</c:v>
                </c:pt>
                <c:pt idx="59">
                  <c:v>6948870</c:v>
                </c:pt>
                <c:pt idx="60">
                  <c:v>6858350</c:v>
                </c:pt>
                <c:pt idx="61">
                  <c:v>6271430</c:v>
                </c:pt>
                <c:pt idx="62">
                  <c:v>6781700</c:v>
                </c:pt>
                <c:pt idx="63">
                  <c:v>14283910</c:v>
                </c:pt>
                <c:pt idx="64">
                  <c:v>15603020</c:v>
                </c:pt>
                <c:pt idx="65">
                  <c:v>6480064</c:v>
                </c:pt>
                <c:pt idx="66">
                  <c:v>6833530</c:v>
                </c:pt>
                <c:pt idx="67">
                  <c:v>6774400</c:v>
                </c:pt>
                <c:pt idx="68">
                  <c:v>6594090</c:v>
                </c:pt>
                <c:pt idx="69">
                  <c:v>6704320</c:v>
                </c:pt>
                <c:pt idx="70">
                  <c:v>6469990</c:v>
                </c:pt>
                <c:pt idx="71">
                  <c:v>6776590</c:v>
                </c:pt>
                <c:pt idx="72">
                  <c:v>7106550</c:v>
                </c:pt>
                <c:pt idx="73">
                  <c:v>6031990</c:v>
                </c:pt>
                <c:pt idx="74">
                  <c:v>6787540</c:v>
                </c:pt>
                <c:pt idx="75">
                  <c:v>14602920</c:v>
                </c:pt>
                <c:pt idx="76">
                  <c:v>14499990</c:v>
                </c:pt>
                <c:pt idx="77">
                  <c:v>6535544</c:v>
                </c:pt>
                <c:pt idx="78">
                  <c:v>6826230</c:v>
                </c:pt>
                <c:pt idx="79">
                  <c:v>6962010</c:v>
                </c:pt>
                <c:pt idx="80">
                  <c:v>6693370</c:v>
                </c:pt>
                <c:pt idx="81">
                  <c:v>6780970</c:v>
                </c:pt>
                <c:pt idx="82">
                  <c:v>6518900</c:v>
                </c:pt>
                <c:pt idx="83">
                  <c:v>6925510</c:v>
                </c:pt>
                <c:pt idx="84">
                  <c:v>6873680</c:v>
                </c:pt>
                <c:pt idx="85">
                  <c:v>6004250</c:v>
                </c:pt>
                <c:pt idx="86">
                  <c:v>6736440</c:v>
                </c:pt>
                <c:pt idx="87">
                  <c:v>14398520</c:v>
                </c:pt>
                <c:pt idx="88">
                  <c:v>15183270</c:v>
                </c:pt>
                <c:pt idx="89">
                  <c:v>6261064</c:v>
                </c:pt>
                <c:pt idx="90">
                  <c:v>6795570</c:v>
                </c:pt>
                <c:pt idx="91">
                  <c:v>6821850</c:v>
                </c:pt>
                <c:pt idx="92">
                  <c:v>6627670</c:v>
                </c:pt>
                <c:pt idx="93">
                  <c:v>6878060</c:v>
                </c:pt>
                <c:pt idx="94">
                  <c:v>6574380</c:v>
                </c:pt>
                <c:pt idx="95">
                  <c:v>6682420</c:v>
                </c:pt>
                <c:pt idx="96">
                  <c:v>6836450</c:v>
                </c:pt>
                <c:pt idx="97">
                  <c:v>6172150</c:v>
                </c:pt>
                <c:pt idx="98">
                  <c:v>6770750</c:v>
                </c:pt>
                <c:pt idx="99">
                  <c:v>14429180</c:v>
                </c:pt>
                <c:pt idx="100">
                  <c:v>15098590</c:v>
                </c:pt>
                <c:pt idx="101">
                  <c:v>6317712</c:v>
                </c:pt>
                <c:pt idx="102">
                  <c:v>6783160</c:v>
                </c:pt>
                <c:pt idx="103">
                  <c:v>6780970</c:v>
                </c:pt>
                <c:pt idx="104">
                  <c:v>6624020</c:v>
                </c:pt>
                <c:pt idx="105">
                  <c:v>6654680</c:v>
                </c:pt>
                <c:pt idx="106">
                  <c:v>6477290</c:v>
                </c:pt>
                <c:pt idx="107">
                  <c:v>6892660</c:v>
                </c:pt>
                <c:pt idx="108">
                  <c:v>6834260</c:v>
                </c:pt>
                <c:pt idx="109">
                  <c:v>6291140</c:v>
                </c:pt>
                <c:pt idx="110">
                  <c:v>6861270</c:v>
                </c:pt>
                <c:pt idx="111">
                  <c:v>14556930</c:v>
                </c:pt>
                <c:pt idx="112">
                  <c:v>15312480</c:v>
                </c:pt>
                <c:pt idx="113">
                  <c:v>6466340</c:v>
                </c:pt>
                <c:pt idx="114">
                  <c:v>6916020</c:v>
                </c:pt>
                <c:pt idx="115">
                  <c:v>6608690</c:v>
                </c:pt>
                <c:pt idx="116">
                  <c:v>6685340</c:v>
                </c:pt>
                <c:pt idx="117">
                  <c:v>6926240</c:v>
                </c:pt>
                <c:pt idx="118">
                  <c:v>6417430</c:v>
                </c:pt>
                <c:pt idx="119">
                  <c:v>6826230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52-49CC-B799-0110F14ADF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4752240"/>
        <c:axId val="20000880"/>
      </c:lineChart>
      <c:lineChart>
        <c:grouping val="standard"/>
        <c:varyColors val="0"/>
        <c:ser>
          <c:idx val="2"/>
          <c:order val="0"/>
          <c:tx>
            <c:strRef>
              <c:f>Sales!$AF$5</c:f>
              <c:strCache>
                <c:ptCount val="1"/>
                <c:pt idx="0">
                  <c:v>Quantity (B)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Sales!$AC$6:$AC$125</c:f>
              <c:strCache>
                <c:ptCount val="120"/>
                <c:pt idx="0">
                  <c:v>January 2011</c:v>
                </c:pt>
                <c:pt idx="1">
                  <c:v>February 2011</c:v>
                </c:pt>
                <c:pt idx="2">
                  <c:v>March 2011</c:v>
                </c:pt>
                <c:pt idx="3">
                  <c:v>April 2011</c:v>
                </c:pt>
                <c:pt idx="4">
                  <c:v>May 2011</c:v>
                </c:pt>
                <c:pt idx="5">
                  <c:v>June 2011</c:v>
                </c:pt>
                <c:pt idx="6">
                  <c:v>July 2011</c:v>
                </c:pt>
                <c:pt idx="7">
                  <c:v>August 2011</c:v>
                </c:pt>
                <c:pt idx="8">
                  <c:v>September 2011</c:v>
                </c:pt>
                <c:pt idx="9">
                  <c:v>October 2011</c:v>
                </c:pt>
                <c:pt idx="10">
                  <c:v>November 2011</c:v>
                </c:pt>
                <c:pt idx="11">
                  <c:v>December 2011</c:v>
                </c:pt>
                <c:pt idx="12">
                  <c:v>January 2012</c:v>
                </c:pt>
                <c:pt idx="13">
                  <c:v>February 2012</c:v>
                </c:pt>
                <c:pt idx="14">
                  <c:v>March 2012</c:v>
                </c:pt>
                <c:pt idx="15">
                  <c:v>April 2012</c:v>
                </c:pt>
                <c:pt idx="16">
                  <c:v>May 2012</c:v>
                </c:pt>
                <c:pt idx="17">
                  <c:v>June 2012</c:v>
                </c:pt>
                <c:pt idx="18">
                  <c:v>July 2012</c:v>
                </c:pt>
                <c:pt idx="19">
                  <c:v>August 2012</c:v>
                </c:pt>
                <c:pt idx="20">
                  <c:v>September 2012</c:v>
                </c:pt>
                <c:pt idx="21">
                  <c:v>October 2012</c:v>
                </c:pt>
                <c:pt idx="22">
                  <c:v>November 2012</c:v>
                </c:pt>
                <c:pt idx="23">
                  <c:v>December 2012</c:v>
                </c:pt>
                <c:pt idx="24">
                  <c:v>January 2013</c:v>
                </c:pt>
                <c:pt idx="25">
                  <c:v>February 2013</c:v>
                </c:pt>
                <c:pt idx="26">
                  <c:v>March 2013</c:v>
                </c:pt>
                <c:pt idx="27">
                  <c:v>April 2013</c:v>
                </c:pt>
                <c:pt idx="28">
                  <c:v>May 2013</c:v>
                </c:pt>
                <c:pt idx="29">
                  <c:v>June 2013</c:v>
                </c:pt>
                <c:pt idx="30">
                  <c:v>July 2013</c:v>
                </c:pt>
                <c:pt idx="31">
                  <c:v>August 2013</c:v>
                </c:pt>
                <c:pt idx="32">
                  <c:v>September 2013</c:v>
                </c:pt>
                <c:pt idx="33">
                  <c:v>October 2013</c:v>
                </c:pt>
                <c:pt idx="34">
                  <c:v>November 2013</c:v>
                </c:pt>
                <c:pt idx="35">
                  <c:v>December 2013</c:v>
                </c:pt>
                <c:pt idx="36">
                  <c:v>January 2014</c:v>
                </c:pt>
                <c:pt idx="37">
                  <c:v>February 2014</c:v>
                </c:pt>
                <c:pt idx="38">
                  <c:v>March 2014</c:v>
                </c:pt>
                <c:pt idx="39">
                  <c:v>April 2014</c:v>
                </c:pt>
                <c:pt idx="40">
                  <c:v>May 2014</c:v>
                </c:pt>
                <c:pt idx="41">
                  <c:v>June 2014</c:v>
                </c:pt>
                <c:pt idx="42">
                  <c:v>July 2014</c:v>
                </c:pt>
                <c:pt idx="43">
                  <c:v>August 2014</c:v>
                </c:pt>
                <c:pt idx="44">
                  <c:v>September 2014</c:v>
                </c:pt>
                <c:pt idx="45">
                  <c:v>October 2014</c:v>
                </c:pt>
                <c:pt idx="46">
                  <c:v>November 2014</c:v>
                </c:pt>
                <c:pt idx="47">
                  <c:v>December 2014</c:v>
                </c:pt>
                <c:pt idx="48">
                  <c:v>January 2015</c:v>
                </c:pt>
                <c:pt idx="49">
                  <c:v>February 2015</c:v>
                </c:pt>
                <c:pt idx="50">
                  <c:v>March 2015</c:v>
                </c:pt>
                <c:pt idx="51">
                  <c:v>April 2015</c:v>
                </c:pt>
                <c:pt idx="52">
                  <c:v>May 2015</c:v>
                </c:pt>
                <c:pt idx="53">
                  <c:v>June 2015</c:v>
                </c:pt>
                <c:pt idx="54">
                  <c:v>July 2015</c:v>
                </c:pt>
                <c:pt idx="55">
                  <c:v>August 2015</c:v>
                </c:pt>
                <c:pt idx="56">
                  <c:v>September 2015</c:v>
                </c:pt>
                <c:pt idx="57">
                  <c:v>October 2015</c:v>
                </c:pt>
                <c:pt idx="58">
                  <c:v>November 2015</c:v>
                </c:pt>
                <c:pt idx="59">
                  <c:v>December 2015</c:v>
                </c:pt>
                <c:pt idx="60">
                  <c:v>January 2016</c:v>
                </c:pt>
                <c:pt idx="61">
                  <c:v>February 2016</c:v>
                </c:pt>
                <c:pt idx="62">
                  <c:v>March 2016</c:v>
                </c:pt>
                <c:pt idx="63">
                  <c:v>April 2016</c:v>
                </c:pt>
                <c:pt idx="64">
                  <c:v>May 2016</c:v>
                </c:pt>
                <c:pt idx="65">
                  <c:v>June 2016</c:v>
                </c:pt>
                <c:pt idx="66">
                  <c:v>July 2016</c:v>
                </c:pt>
                <c:pt idx="67">
                  <c:v>August 2016</c:v>
                </c:pt>
                <c:pt idx="68">
                  <c:v>September 2016</c:v>
                </c:pt>
                <c:pt idx="69">
                  <c:v>October 2016</c:v>
                </c:pt>
                <c:pt idx="70">
                  <c:v>November 2016</c:v>
                </c:pt>
                <c:pt idx="71">
                  <c:v>December 2016</c:v>
                </c:pt>
                <c:pt idx="72">
                  <c:v>January 2017</c:v>
                </c:pt>
                <c:pt idx="73">
                  <c:v>February 2017</c:v>
                </c:pt>
                <c:pt idx="74">
                  <c:v>March 2017</c:v>
                </c:pt>
                <c:pt idx="75">
                  <c:v>April 2017</c:v>
                </c:pt>
                <c:pt idx="76">
                  <c:v>May 2017</c:v>
                </c:pt>
                <c:pt idx="77">
                  <c:v>June 2017</c:v>
                </c:pt>
                <c:pt idx="78">
                  <c:v>July 2017</c:v>
                </c:pt>
                <c:pt idx="79">
                  <c:v>August 2017</c:v>
                </c:pt>
                <c:pt idx="80">
                  <c:v>September 2017</c:v>
                </c:pt>
                <c:pt idx="81">
                  <c:v>October 2017</c:v>
                </c:pt>
                <c:pt idx="82">
                  <c:v>November 2017</c:v>
                </c:pt>
                <c:pt idx="83">
                  <c:v>December 2017</c:v>
                </c:pt>
                <c:pt idx="84">
                  <c:v>January 2018</c:v>
                </c:pt>
                <c:pt idx="85">
                  <c:v>February 2018</c:v>
                </c:pt>
                <c:pt idx="86">
                  <c:v>March 2018</c:v>
                </c:pt>
                <c:pt idx="87">
                  <c:v>April 2018</c:v>
                </c:pt>
                <c:pt idx="88">
                  <c:v>May 2018</c:v>
                </c:pt>
                <c:pt idx="89">
                  <c:v>June 2018</c:v>
                </c:pt>
                <c:pt idx="90">
                  <c:v>July 2018</c:v>
                </c:pt>
                <c:pt idx="91">
                  <c:v>August 2018</c:v>
                </c:pt>
                <c:pt idx="92">
                  <c:v>September 2018</c:v>
                </c:pt>
                <c:pt idx="93">
                  <c:v>October 2018</c:v>
                </c:pt>
                <c:pt idx="94">
                  <c:v>November 2018</c:v>
                </c:pt>
                <c:pt idx="95">
                  <c:v>December 2018</c:v>
                </c:pt>
                <c:pt idx="96">
                  <c:v>January 2019</c:v>
                </c:pt>
                <c:pt idx="97">
                  <c:v>February 2019</c:v>
                </c:pt>
                <c:pt idx="98">
                  <c:v>March 2019</c:v>
                </c:pt>
                <c:pt idx="99">
                  <c:v>April 2019</c:v>
                </c:pt>
                <c:pt idx="100">
                  <c:v>May 2019</c:v>
                </c:pt>
                <c:pt idx="101">
                  <c:v>June 2019</c:v>
                </c:pt>
                <c:pt idx="102">
                  <c:v>July 2019</c:v>
                </c:pt>
                <c:pt idx="103">
                  <c:v>August 2019</c:v>
                </c:pt>
                <c:pt idx="104">
                  <c:v>September 2019</c:v>
                </c:pt>
                <c:pt idx="105">
                  <c:v>October 2019</c:v>
                </c:pt>
                <c:pt idx="106">
                  <c:v>November 2019</c:v>
                </c:pt>
                <c:pt idx="107">
                  <c:v>December 2019</c:v>
                </c:pt>
                <c:pt idx="108">
                  <c:v>January 2020</c:v>
                </c:pt>
                <c:pt idx="109">
                  <c:v>February 2020</c:v>
                </c:pt>
                <c:pt idx="110">
                  <c:v>March 2020</c:v>
                </c:pt>
                <c:pt idx="111">
                  <c:v>April 2020</c:v>
                </c:pt>
                <c:pt idx="112">
                  <c:v>May 2020</c:v>
                </c:pt>
                <c:pt idx="113">
                  <c:v>June 2020</c:v>
                </c:pt>
                <c:pt idx="114">
                  <c:v>July 2020</c:v>
                </c:pt>
                <c:pt idx="115">
                  <c:v>August 2020</c:v>
                </c:pt>
                <c:pt idx="116">
                  <c:v>September 2020</c:v>
                </c:pt>
                <c:pt idx="117">
                  <c:v>October 2020</c:v>
                </c:pt>
                <c:pt idx="118">
                  <c:v>November 2020</c:v>
                </c:pt>
                <c:pt idx="119">
                  <c:v>December 2020</c:v>
                </c:pt>
              </c:strCache>
            </c:strRef>
          </c:cat>
          <c:val>
            <c:numRef>
              <c:f>Sales!$AF$6:$AF$125</c:f>
              <c:numCache>
                <c:formatCode>_(* #,##0_);_(* \(#,##0\);_(* "-"??_);_(@_)</c:formatCode>
                <c:ptCount val="120"/>
                <c:pt idx="0">
                  <c:v>9164</c:v>
                </c:pt>
                <c:pt idx="1">
                  <c:v>8419</c:v>
                </c:pt>
                <c:pt idx="2">
                  <c:v>9424</c:v>
                </c:pt>
                <c:pt idx="3">
                  <c:v>19599</c:v>
                </c:pt>
                <c:pt idx="4">
                  <c:v>20733</c:v>
                </c:pt>
                <c:pt idx="5">
                  <c:v>21435</c:v>
                </c:pt>
                <c:pt idx="6">
                  <c:v>9121</c:v>
                </c:pt>
                <c:pt idx="7">
                  <c:v>9342</c:v>
                </c:pt>
                <c:pt idx="8">
                  <c:v>8776</c:v>
                </c:pt>
                <c:pt idx="9">
                  <c:v>9417</c:v>
                </c:pt>
                <c:pt idx="10">
                  <c:v>9120</c:v>
                </c:pt>
                <c:pt idx="11">
                  <c:v>9613</c:v>
                </c:pt>
                <c:pt idx="12">
                  <c:v>9091</c:v>
                </c:pt>
                <c:pt idx="13">
                  <c:v>8641</c:v>
                </c:pt>
                <c:pt idx="14">
                  <c:v>9208</c:v>
                </c:pt>
                <c:pt idx="15">
                  <c:v>19340</c:v>
                </c:pt>
                <c:pt idx="16">
                  <c:v>20297</c:v>
                </c:pt>
                <c:pt idx="17">
                  <c:v>22430</c:v>
                </c:pt>
                <c:pt idx="18">
                  <c:v>9608</c:v>
                </c:pt>
                <c:pt idx="19">
                  <c:v>9116</c:v>
                </c:pt>
                <c:pt idx="20">
                  <c:v>9019</c:v>
                </c:pt>
                <c:pt idx="21">
                  <c:v>8937</c:v>
                </c:pt>
                <c:pt idx="22">
                  <c:v>9253</c:v>
                </c:pt>
                <c:pt idx="23">
                  <c:v>9689</c:v>
                </c:pt>
                <c:pt idx="24">
                  <c:v>9589</c:v>
                </c:pt>
                <c:pt idx="25">
                  <c:v>8325</c:v>
                </c:pt>
                <c:pt idx="26">
                  <c:v>9292</c:v>
                </c:pt>
                <c:pt idx="27">
                  <c:v>19756</c:v>
                </c:pt>
                <c:pt idx="28">
                  <c:v>20873</c:v>
                </c:pt>
                <c:pt idx="29">
                  <c:v>21964</c:v>
                </c:pt>
                <c:pt idx="30">
                  <c:v>9603</c:v>
                </c:pt>
                <c:pt idx="31">
                  <c:v>9235</c:v>
                </c:pt>
                <c:pt idx="32">
                  <c:v>9192</c:v>
                </c:pt>
                <c:pt idx="33">
                  <c:v>9335</c:v>
                </c:pt>
                <c:pt idx="34">
                  <c:v>9239</c:v>
                </c:pt>
                <c:pt idx="35">
                  <c:v>9329</c:v>
                </c:pt>
                <c:pt idx="36">
                  <c:v>9176</c:v>
                </c:pt>
                <c:pt idx="37">
                  <c:v>8338</c:v>
                </c:pt>
                <c:pt idx="38">
                  <c:v>9181</c:v>
                </c:pt>
                <c:pt idx="39">
                  <c:v>19929</c:v>
                </c:pt>
                <c:pt idx="40">
                  <c:v>20239</c:v>
                </c:pt>
                <c:pt idx="41">
                  <c:v>21605</c:v>
                </c:pt>
                <c:pt idx="42">
                  <c:v>9149</c:v>
                </c:pt>
                <c:pt idx="43">
                  <c:v>9316</c:v>
                </c:pt>
                <c:pt idx="44">
                  <c:v>9060</c:v>
                </c:pt>
                <c:pt idx="45">
                  <c:v>9326</c:v>
                </c:pt>
                <c:pt idx="46">
                  <c:v>8817</c:v>
                </c:pt>
                <c:pt idx="47">
                  <c:v>9190</c:v>
                </c:pt>
                <c:pt idx="48">
                  <c:v>9210</c:v>
                </c:pt>
                <c:pt idx="49">
                  <c:v>8316</c:v>
                </c:pt>
                <c:pt idx="50">
                  <c:v>9441</c:v>
                </c:pt>
                <c:pt idx="51">
                  <c:v>20053</c:v>
                </c:pt>
                <c:pt idx="52">
                  <c:v>20047</c:v>
                </c:pt>
                <c:pt idx="53">
                  <c:v>22536</c:v>
                </c:pt>
                <c:pt idx="54">
                  <c:v>9322</c:v>
                </c:pt>
                <c:pt idx="55">
                  <c:v>9308</c:v>
                </c:pt>
                <c:pt idx="56">
                  <c:v>8947</c:v>
                </c:pt>
                <c:pt idx="57">
                  <c:v>8963</c:v>
                </c:pt>
                <c:pt idx="58">
                  <c:v>8840</c:v>
                </c:pt>
                <c:pt idx="59">
                  <c:v>9519</c:v>
                </c:pt>
                <c:pt idx="60">
                  <c:v>9395</c:v>
                </c:pt>
                <c:pt idx="61">
                  <c:v>8591</c:v>
                </c:pt>
                <c:pt idx="62">
                  <c:v>9290</c:v>
                </c:pt>
                <c:pt idx="63">
                  <c:v>19567</c:v>
                </c:pt>
                <c:pt idx="64">
                  <c:v>21374</c:v>
                </c:pt>
                <c:pt idx="65">
                  <c:v>22192</c:v>
                </c:pt>
                <c:pt idx="66">
                  <c:v>9361</c:v>
                </c:pt>
                <c:pt idx="67">
                  <c:v>9280</c:v>
                </c:pt>
                <c:pt idx="68">
                  <c:v>9033</c:v>
                </c:pt>
                <c:pt idx="69">
                  <c:v>9184</c:v>
                </c:pt>
                <c:pt idx="70">
                  <c:v>8863</c:v>
                </c:pt>
                <c:pt idx="71">
                  <c:v>9283</c:v>
                </c:pt>
                <c:pt idx="72">
                  <c:v>9735</c:v>
                </c:pt>
                <c:pt idx="73">
                  <c:v>8263</c:v>
                </c:pt>
                <c:pt idx="74">
                  <c:v>9298</c:v>
                </c:pt>
                <c:pt idx="75">
                  <c:v>20004</c:v>
                </c:pt>
                <c:pt idx="76">
                  <c:v>19863</c:v>
                </c:pt>
                <c:pt idx="77">
                  <c:v>22382</c:v>
                </c:pt>
                <c:pt idx="78">
                  <c:v>9351</c:v>
                </c:pt>
                <c:pt idx="79">
                  <c:v>9537</c:v>
                </c:pt>
                <c:pt idx="80">
                  <c:v>9169</c:v>
                </c:pt>
                <c:pt idx="81">
                  <c:v>9289</c:v>
                </c:pt>
                <c:pt idx="82">
                  <c:v>8930</c:v>
                </c:pt>
                <c:pt idx="83">
                  <c:v>9487</c:v>
                </c:pt>
                <c:pt idx="84">
                  <c:v>9416</c:v>
                </c:pt>
                <c:pt idx="85">
                  <c:v>8225</c:v>
                </c:pt>
                <c:pt idx="86">
                  <c:v>9228</c:v>
                </c:pt>
                <c:pt idx="87">
                  <c:v>19724</c:v>
                </c:pt>
                <c:pt idx="88">
                  <c:v>20799</c:v>
                </c:pt>
                <c:pt idx="89">
                  <c:v>21442</c:v>
                </c:pt>
                <c:pt idx="90">
                  <c:v>9309</c:v>
                </c:pt>
                <c:pt idx="91">
                  <c:v>9345</c:v>
                </c:pt>
                <c:pt idx="92">
                  <c:v>9079</c:v>
                </c:pt>
                <c:pt idx="93">
                  <c:v>9422</c:v>
                </c:pt>
                <c:pt idx="94">
                  <c:v>9006</c:v>
                </c:pt>
                <c:pt idx="95">
                  <c:v>9154</c:v>
                </c:pt>
                <c:pt idx="96">
                  <c:v>9365</c:v>
                </c:pt>
                <c:pt idx="97">
                  <c:v>8455</c:v>
                </c:pt>
                <c:pt idx="98">
                  <c:v>9275</c:v>
                </c:pt>
                <c:pt idx="99">
                  <c:v>19766</c:v>
                </c:pt>
                <c:pt idx="100">
                  <c:v>20683</c:v>
                </c:pt>
                <c:pt idx="101">
                  <c:v>21636</c:v>
                </c:pt>
                <c:pt idx="102">
                  <c:v>9292</c:v>
                </c:pt>
                <c:pt idx="103">
                  <c:v>9289</c:v>
                </c:pt>
                <c:pt idx="104">
                  <c:v>9074</c:v>
                </c:pt>
                <c:pt idx="105">
                  <c:v>9116</c:v>
                </c:pt>
                <c:pt idx="106">
                  <c:v>8873</c:v>
                </c:pt>
                <c:pt idx="107">
                  <c:v>9442</c:v>
                </c:pt>
                <c:pt idx="108">
                  <c:v>9362</c:v>
                </c:pt>
                <c:pt idx="109">
                  <c:v>8618</c:v>
                </c:pt>
                <c:pt idx="110">
                  <c:v>9399</c:v>
                </c:pt>
                <c:pt idx="111">
                  <c:v>19941</c:v>
                </c:pt>
                <c:pt idx="112">
                  <c:v>20976</c:v>
                </c:pt>
                <c:pt idx="113">
                  <c:v>22145</c:v>
                </c:pt>
                <c:pt idx="114">
                  <c:v>9474</c:v>
                </c:pt>
                <c:pt idx="115">
                  <c:v>9053</c:v>
                </c:pt>
                <c:pt idx="116">
                  <c:v>9158</c:v>
                </c:pt>
                <c:pt idx="117">
                  <c:v>9488</c:v>
                </c:pt>
                <c:pt idx="118">
                  <c:v>8791</c:v>
                </c:pt>
                <c:pt idx="119">
                  <c:v>9351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852-49CC-B799-0110F14ADF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73168"/>
        <c:axId val="127475888"/>
      </c:lineChart>
      <c:catAx>
        <c:axId val="151475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0880"/>
        <c:crosses val="autoZero"/>
        <c:auto val="1"/>
        <c:lblAlgn val="ctr"/>
        <c:lblOffset val="100"/>
        <c:noMultiLvlLbl val="0"/>
      </c:catAx>
      <c:valAx>
        <c:axId val="2000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752240"/>
        <c:crosses val="autoZero"/>
        <c:crossBetween val="between"/>
      </c:valAx>
      <c:valAx>
        <c:axId val="127475888"/>
        <c:scaling>
          <c:orientation val="minMax"/>
        </c:scaling>
        <c:delete val="0"/>
        <c:axPos val="r"/>
        <c:numFmt formatCode="_(* #,##0_);_(* \(#,##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3168"/>
        <c:crosses val="max"/>
        <c:crossBetween val="between"/>
      </c:valAx>
      <c:catAx>
        <c:axId val="190731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74758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Series - Products</a:t>
            </a:r>
            <a:r>
              <a:rPr lang="en-US" baseline="0"/>
              <a:t> A &amp; B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Sales!$AE$5</c:f>
              <c:strCache>
                <c:ptCount val="1"/>
                <c:pt idx="0">
                  <c:v>Revenue (A)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Sales!$AC$6:$AC$125</c:f>
              <c:strCache>
                <c:ptCount val="120"/>
                <c:pt idx="0">
                  <c:v>January 2011</c:v>
                </c:pt>
                <c:pt idx="1">
                  <c:v>February 2011</c:v>
                </c:pt>
                <c:pt idx="2">
                  <c:v>March 2011</c:v>
                </c:pt>
                <c:pt idx="3">
                  <c:v>April 2011</c:v>
                </c:pt>
                <c:pt idx="4">
                  <c:v>May 2011</c:v>
                </c:pt>
                <c:pt idx="5">
                  <c:v>June 2011</c:v>
                </c:pt>
                <c:pt idx="6">
                  <c:v>July 2011</c:v>
                </c:pt>
                <c:pt idx="7">
                  <c:v>August 2011</c:v>
                </c:pt>
                <c:pt idx="8">
                  <c:v>September 2011</c:v>
                </c:pt>
                <c:pt idx="9">
                  <c:v>October 2011</c:v>
                </c:pt>
                <c:pt idx="10">
                  <c:v>November 2011</c:v>
                </c:pt>
                <c:pt idx="11">
                  <c:v>December 2011</c:v>
                </c:pt>
                <c:pt idx="12">
                  <c:v>January 2012</c:v>
                </c:pt>
                <c:pt idx="13">
                  <c:v>February 2012</c:v>
                </c:pt>
                <c:pt idx="14">
                  <c:v>March 2012</c:v>
                </c:pt>
                <c:pt idx="15">
                  <c:v>April 2012</c:v>
                </c:pt>
                <c:pt idx="16">
                  <c:v>May 2012</c:v>
                </c:pt>
                <c:pt idx="17">
                  <c:v>June 2012</c:v>
                </c:pt>
                <c:pt idx="18">
                  <c:v>July 2012</c:v>
                </c:pt>
                <c:pt idx="19">
                  <c:v>August 2012</c:v>
                </c:pt>
                <c:pt idx="20">
                  <c:v>September 2012</c:v>
                </c:pt>
                <c:pt idx="21">
                  <c:v>October 2012</c:v>
                </c:pt>
                <c:pt idx="22">
                  <c:v>November 2012</c:v>
                </c:pt>
                <c:pt idx="23">
                  <c:v>December 2012</c:v>
                </c:pt>
                <c:pt idx="24">
                  <c:v>January 2013</c:v>
                </c:pt>
                <c:pt idx="25">
                  <c:v>February 2013</c:v>
                </c:pt>
                <c:pt idx="26">
                  <c:v>March 2013</c:v>
                </c:pt>
                <c:pt idx="27">
                  <c:v>April 2013</c:v>
                </c:pt>
                <c:pt idx="28">
                  <c:v>May 2013</c:v>
                </c:pt>
                <c:pt idx="29">
                  <c:v>June 2013</c:v>
                </c:pt>
                <c:pt idx="30">
                  <c:v>July 2013</c:v>
                </c:pt>
                <c:pt idx="31">
                  <c:v>August 2013</c:v>
                </c:pt>
                <c:pt idx="32">
                  <c:v>September 2013</c:v>
                </c:pt>
                <c:pt idx="33">
                  <c:v>October 2013</c:v>
                </c:pt>
                <c:pt idx="34">
                  <c:v>November 2013</c:v>
                </c:pt>
                <c:pt idx="35">
                  <c:v>December 2013</c:v>
                </c:pt>
                <c:pt idx="36">
                  <c:v>January 2014</c:v>
                </c:pt>
                <c:pt idx="37">
                  <c:v>February 2014</c:v>
                </c:pt>
                <c:pt idx="38">
                  <c:v>March 2014</c:v>
                </c:pt>
                <c:pt idx="39">
                  <c:v>April 2014</c:v>
                </c:pt>
                <c:pt idx="40">
                  <c:v>May 2014</c:v>
                </c:pt>
                <c:pt idx="41">
                  <c:v>June 2014</c:v>
                </c:pt>
                <c:pt idx="42">
                  <c:v>July 2014</c:v>
                </c:pt>
                <c:pt idx="43">
                  <c:v>August 2014</c:v>
                </c:pt>
                <c:pt idx="44">
                  <c:v>September 2014</c:v>
                </c:pt>
                <c:pt idx="45">
                  <c:v>October 2014</c:v>
                </c:pt>
                <c:pt idx="46">
                  <c:v>November 2014</c:v>
                </c:pt>
                <c:pt idx="47">
                  <c:v>December 2014</c:v>
                </c:pt>
                <c:pt idx="48">
                  <c:v>January 2015</c:v>
                </c:pt>
                <c:pt idx="49">
                  <c:v>February 2015</c:v>
                </c:pt>
                <c:pt idx="50">
                  <c:v>March 2015</c:v>
                </c:pt>
                <c:pt idx="51">
                  <c:v>April 2015</c:v>
                </c:pt>
                <c:pt idx="52">
                  <c:v>May 2015</c:v>
                </c:pt>
                <c:pt idx="53">
                  <c:v>June 2015</c:v>
                </c:pt>
                <c:pt idx="54">
                  <c:v>July 2015</c:v>
                </c:pt>
                <c:pt idx="55">
                  <c:v>August 2015</c:v>
                </c:pt>
                <c:pt idx="56">
                  <c:v>September 2015</c:v>
                </c:pt>
                <c:pt idx="57">
                  <c:v>October 2015</c:v>
                </c:pt>
                <c:pt idx="58">
                  <c:v>November 2015</c:v>
                </c:pt>
                <c:pt idx="59">
                  <c:v>December 2015</c:v>
                </c:pt>
                <c:pt idx="60">
                  <c:v>January 2016</c:v>
                </c:pt>
                <c:pt idx="61">
                  <c:v>February 2016</c:v>
                </c:pt>
                <c:pt idx="62">
                  <c:v>March 2016</c:v>
                </c:pt>
                <c:pt idx="63">
                  <c:v>April 2016</c:v>
                </c:pt>
                <c:pt idx="64">
                  <c:v>May 2016</c:v>
                </c:pt>
                <c:pt idx="65">
                  <c:v>June 2016</c:v>
                </c:pt>
                <c:pt idx="66">
                  <c:v>July 2016</c:v>
                </c:pt>
                <c:pt idx="67">
                  <c:v>August 2016</c:v>
                </c:pt>
                <c:pt idx="68">
                  <c:v>September 2016</c:v>
                </c:pt>
                <c:pt idx="69">
                  <c:v>October 2016</c:v>
                </c:pt>
                <c:pt idx="70">
                  <c:v>November 2016</c:v>
                </c:pt>
                <c:pt idx="71">
                  <c:v>December 2016</c:v>
                </c:pt>
                <c:pt idx="72">
                  <c:v>January 2017</c:v>
                </c:pt>
                <c:pt idx="73">
                  <c:v>February 2017</c:v>
                </c:pt>
                <c:pt idx="74">
                  <c:v>March 2017</c:v>
                </c:pt>
                <c:pt idx="75">
                  <c:v>April 2017</c:v>
                </c:pt>
                <c:pt idx="76">
                  <c:v>May 2017</c:v>
                </c:pt>
                <c:pt idx="77">
                  <c:v>June 2017</c:v>
                </c:pt>
                <c:pt idx="78">
                  <c:v>July 2017</c:v>
                </c:pt>
                <c:pt idx="79">
                  <c:v>August 2017</c:v>
                </c:pt>
                <c:pt idx="80">
                  <c:v>September 2017</c:v>
                </c:pt>
                <c:pt idx="81">
                  <c:v>October 2017</c:v>
                </c:pt>
                <c:pt idx="82">
                  <c:v>November 2017</c:v>
                </c:pt>
                <c:pt idx="83">
                  <c:v>December 2017</c:v>
                </c:pt>
                <c:pt idx="84">
                  <c:v>January 2018</c:v>
                </c:pt>
                <c:pt idx="85">
                  <c:v>February 2018</c:v>
                </c:pt>
                <c:pt idx="86">
                  <c:v>March 2018</c:v>
                </c:pt>
                <c:pt idx="87">
                  <c:v>April 2018</c:v>
                </c:pt>
                <c:pt idx="88">
                  <c:v>May 2018</c:v>
                </c:pt>
                <c:pt idx="89">
                  <c:v>June 2018</c:v>
                </c:pt>
                <c:pt idx="90">
                  <c:v>July 2018</c:v>
                </c:pt>
                <c:pt idx="91">
                  <c:v>August 2018</c:v>
                </c:pt>
                <c:pt idx="92">
                  <c:v>September 2018</c:v>
                </c:pt>
                <c:pt idx="93">
                  <c:v>October 2018</c:v>
                </c:pt>
                <c:pt idx="94">
                  <c:v>November 2018</c:v>
                </c:pt>
                <c:pt idx="95">
                  <c:v>December 2018</c:v>
                </c:pt>
                <c:pt idx="96">
                  <c:v>January 2019</c:v>
                </c:pt>
                <c:pt idx="97">
                  <c:v>February 2019</c:v>
                </c:pt>
                <c:pt idx="98">
                  <c:v>March 2019</c:v>
                </c:pt>
                <c:pt idx="99">
                  <c:v>April 2019</c:v>
                </c:pt>
                <c:pt idx="100">
                  <c:v>May 2019</c:v>
                </c:pt>
                <c:pt idx="101">
                  <c:v>June 2019</c:v>
                </c:pt>
                <c:pt idx="102">
                  <c:v>July 2019</c:v>
                </c:pt>
                <c:pt idx="103">
                  <c:v>August 2019</c:v>
                </c:pt>
                <c:pt idx="104">
                  <c:v>September 2019</c:v>
                </c:pt>
                <c:pt idx="105">
                  <c:v>October 2019</c:v>
                </c:pt>
                <c:pt idx="106">
                  <c:v>November 2019</c:v>
                </c:pt>
                <c:pt idx="107">
                  <c:v>December 2019</c:v>
                </c:pt>
                <c:pt idx="108">
                  <c:v>January 2020</c:v>
                </c:pt>
                <c:pt idx="109">
                  <c:v>February 2020</c:v>
                </c:pt>
                <c:pt idx="110">
                  <c:v>March 2020</c:v>
                </c:pt>
                <c:pt idx="111">
                  <c:v>April 2020</c:v>
                </c:pt>
                <c:pt idx="112">
                  <c:v>May 2020</c:v>
                </c:pt>
                <c:pt idx="113">
                  <c:v>June 2020</c:v>
                </c:pt>
                <c:pt idx="114">
                  <c:v>July 2020</c:v>
                </c:pt>
                <c:pt idx="115">
                  <c:v>August 2020</c:v>
                </c:pt>
                <c:pt idx="116">
                  <c:v>September 2020</c:v>
                </c:pt>
                <c:pt idx="117">
                  <c:v>October 2020</c:v>
                </c:pt>
                <c:pt idx="118">
                  <c:v>November 2020</c:v>
                </c:pt>
                <c:pt idx="119">
                  <c:v>December 2020</c:v>
                </c:pt>
              </c:strCache>
            </c:strRef>
          </c:cat>
          <c:val>
            <c:numRef>
              <c:f>Sales!$AE$6:$AE$125</c:f>
              <c:numCache>
                <c:formatCode>_("$"* #,##0_);_("$"* \(#,##0\);_("$"* "-"??_);_(@_)</c:formatCode>
                <c:ptCount val="120"/>
                <c:pt idx="0">
                  <c:v>6876100</c:v>
                </c:pt>
                <c:pt idx="1">
                  <c:v>6102010</c:v>
                </c:pt>
                <c:pt idx="2">
                  <c:v>6822050</c:v>
                </c:pt>
                <c:pt idx="3">
                  <c:v>6718180</c:v>
                </c:pt>
                <c:pt idx="4">
                  <c:v>6540520</c:v>
                </c:pt>
                <c:pt idx="5">
                  <c:v>6528770</c:v>
                </c:pt>
                <c:pt idx="6">
                  <c:v>6702200</c:v>
                </c:pt>
                <c:pt idx="7">
                  <c:v>10243650</c:v>
                </c:pt>
                <c:pt idx="8">
                  <c:v>10039200</c:v>
                </c:pt>
                <c:pt idx="9">
                  <c:v>5229043.75</c:v>
                </c:pt>
                <c:pt idx="10">
                  <c:v>6622770</c:v>
                </c:pt>
                <c:pt idx="11">
                  <c:v>6684340</c:v>
                </c:pt>
                <c:pt idx="12">
                  <c:v>6659900</c:v>
                </c:pt>
                <c:pt idx="13">
                  <c:v>6693270</c:v>
                </c:pt>
                <c:pt idx="14">
                  <c:v>6947540</c:v>
                </c:pt>
                <c:pt idx="15">
                  <c:v>6662250</c:v>
                </c:pt>
                <c:pt idx="16">
                  <c:v>6766120</c:v>
                </c:pt>
                <c:pt idx="17">
                  <c:v>6744500</c:v>
                </c:pt>
                <c:pt idx="18">
                  <c:v>7149170</c:v>
                </c:pt>
                <c:pt idx="19">
                  <c:v>10068810</c:v>
                </c:pt>
                <c:pt idx="20">
                  <c:v>9916060</c:v>
                </c:pt>
                <c:pt idx="21">
                  <c:v>5351537.5</c:v>
                </c:pt>
                <c:pt idx="22">
                  <c:v>6269330</c:v>
                </c:pt>
                <c:pt idx="23">
                  <c:v>6900540</c:v>
                </c:pt>
                <c:pt idx="24">
                  <c:v>6888320</c:v>
                </c:pt>
                <c:pt idx="25">
                  <c:v>6241600</c:v>
                </c:pt>
                <c:pt idx="26">
                  <c:v>6954120</c:v>
                </c:pt>
                <c:pt idx="27">
                  <c:v>6602560</c:v>
                </c:pt>
                <c:pt idx="28">
                  <c:v>6752960</c:v>
                </c:pt>
                <c:pt idx="29">
                  <c:v>6392470</c:v>
                </c:pt>
                <c:pt idx="30">
                  <c:v>6851660</c:v>
                </c:pt>
                <c:pt idx="31">
                  <c:v>10488990</c:v>
                </c:pt>
                <c:pt idx="32">
                  <c:v>9862950</c:v>
                </c:pt>
                <c:pt idx="33">
                  <c:v>5283387.5</c:v>
                </c:pt>
                <c:pt idx="34">
                  <c:v>6560260</c:v>
                </c:pt>
                <c:pt idx="35">
                  <c:v>7027910</c:v>
                </c:pt>
                <c:pt idx="36">
                  <c:v>6989370</c:v>
                </c:pt>
                <c:pt idx="37">
                  <c:v>6134440</c:v>
                </c:pt>
                <c:pt idx="38">
                  <c:v>6689040</c:v>
                </c:pt>
                <c:pt idx="39">
                  <c:v>6652380</c:v>
                </c:pt>
                <c:pt idx="40">
                  <c:v>6613840</c:v>
                </c:pt>
                <c:pt idx="41">
                  <c:v>6711130</c:v>
                </c:pt>
                <c:pt idx="42">
                  <c:v>6827220</c:v>
                </c:pt>
                <c:pt idx="43">
                  <c:v>10025570</c:v>
                </c:pt>
                <c:pt idx="44">
                  <c:v>9917940</c:v>
                </c:pt>
                <c:pt idx="45">
                  <c:v>5511337.5</c:v>
                </c:pt>
                <c:pt idx="46">
                  <c:v>6742620</c:v>
                </c:pt>
                <c:pt idx="47">
                  <c:v>7102640</c:v>
                </c:pt>
                <c:pt idx="48">
                  <c:v>6963520</c:v>
                </c:pt>
                <c:pt idx="49">
                  <c:v>6222800</c:v>
                </c:pt>
                <c:pt idx="50">
                  <c:v>6695620</c:v>
                </c:pt>
                <c:pt idx="51">
                  <c:v>6614310</c:v>
                </c:pt>
                <c:pt idx="52">
                  <c:v>6734160</c:v>
                </c:pt>
                <c:pt idx="53">
                  <c:v>6624180</c:v>
                </c:pt>
                <c:pt idx="54">
                  <c:v>6849780</c:v>
                </c:pt>
                <c:pt idx="55">
                  <c:v>10159990</c:v>
                </c:pt>
                <c:pt idx="56">
                  <c:v>10122860</c:v>
                </c:pt>
                <c:pt idx="57">
                  <c:v>5293962.5</c:v>
                </c:pt>
                <c:pt idx="58">
                  <c:v>6402810</c:v>
                </c:pt>
                <c:pt idx="59">
                  <c:v>6971980</c:v>
                </c:pt>
                <c:pt idx="60">
                  <c:v>6772700</c:v>
                </c:pt>
                <c:pt idx="61">
                  <c:v>6298940</c:v>
                </c:pt>
                <c:pt idx="62">
                  <c:v>6851190</c:v>
                </c:pt>
                <c:pt idx="63">
                  <c:v>6502920</c:v>
                </c:pt>
                <c:pt idx="64">
                  <c:v>6830980</c:v>
                </c:pt>
                <c:pt idx="65">
                  <c:v>6566370</c:v>
                </c:pt>
                <c:pt idx="66">
                  <c:v>6933440</c:v>
                </c:pt>
                <c:pt idx="67">
                  <c:v>10383240</c:v>
                </c:pt>
                <c:pt idx="68">
                  <c:v>9816890</c:v>
                </c:pt>
                <c:pt idx="69">
                  <c:v>5441131.25</c:v>
                </c:pt>
                <c:pt idx="70">
                  <c:v>6566840</c:v>
                </c:pt>
                <c:pt idx="71">
                  <c:v>6873280</c:v>
                </c:pt>
                <c:pt idx="72">
                  <c:v>7051410</c:v>
                </c:pt>
                <c:pt idx="73">
                  <c:v>5881580</c:v>
                </c:pt>
                <c:pt idx="74">
                  <c:v>6668360</c:v>
                </c:pt>
                <c:pt idx="75">
                  <c:v>6517960</c:v>
                </c:pt>
                <c:pt idx="76">
                  <c:v>6731340</c:v>
                </c:pt>
                <c:pt idx="77">
                  <c:v>6418320</c:v>
                </c:pt>
                <c:pt idx="78">
                  <c:v>6818290</c:v>
                </c:pt>
                <c:pt idx="79">
                  <c:v>10558080</c:v>
                </c:pt>
                <c:pt idx="80">
                  <c:v>10087140</c:v>
                </c:pt>
                <c:pt idx="81">
                  <c:v>5346543.75</c:v>
                </c:pt>
                <c:pt idx="82">
                  <c:v>6716300</c:v>
                </c:pt>
                <c:pt idx="83">
                  <c:v>7042010</c:v>
                </c:pt>
                <c:pt idx="84">
                  <c:v>6752490</c:v>
                </c:pt>
                <c:pt idx="85">
                  <c:v>6327140</c:v>
                </c:pt>
                <c:pt idx="86">
                  <c:v>6891140</c:v>
                </c:pt>
                <c:pt idx="87">
                  <c:v>6687160</c:v>
                </c:pt>
                <c:pt idx="88">
                  <c:v>6908060</c:v>
                </c:pt>
                <c:pt idx="89">
                  <c:v>6628880</c:v>
                </c:pt>
                <c:pt idx="90">
                  <c:v>6892550</c:v>
                </c:pt>
                <c:pt idx="91">
                  <c:v>10188190</c:v>
                </c:pt>
                <c:pt idx="92">
                  <c:v>10005360</c:v>
                </c:pt>
                <c:pt idx="93">
                  <c:v>5271931.25</c:v>
                </c:pt>
                <c:pt idx="94">
                  <c:v>6632640</c:v>
                </c:pt>
                <c:pt idx="95">
                  <c:v>6662720</c:v>
                </c:pt>
                <c:pt idx="96">
                  <c:v>6845550</c:v>
                </c:pt>
                <c:pt idx="97">
                  <c:v>6035740</c:v>
                </c:pt>
                <c:pt idx="98">
                  <c:v>6756720</c:v>
                </c:pt>
                <c:pt idx="99">
                  <c:v>6572480</c:v>
                </c:pt>
                <c:pt idx="100">
                  <c:v>6831450</c:v>
                </c:pt>
                <c:pt idx="101">
                  <c:v>6493990</c:v>
                </c:pt>
                <c:pt idx="102">
                  <c:v>6923570</c:v>
                </c:pt>
                <c:pt idx="103">
                  <c:v>10450450</c:v>
                </c:pt>
                <c:pt idx="104">
                  <c:v>9914650</c:v>
                </c:pt>
                <c:pt idx="105">
                  <c:v>5492537.5</c:v>
                </c:pt>
                <c:pt idx="106">
                  <c:v>6493520</c:v>
                </c:pt>
                <c:pt idx="107">
                  <c:v>6817350</c:v>
                </c:pt>
                <c:pt idx="108">
                  <c:v>6666010</c:v>
                </c:pt>
                <c:pt idx="109">
                  <c:v>6210110</c:v>
                </c:pt>
                <c:pt idx="110">
                  <c:v>6936260</c:v>
                </c:pt>
                <c:pt idx="111">
                  <c:v>6726170</c:v>
                </c:pt>
                <c:pt idx="112">
                  <c:v>7050470</c:v>
                </c:pt>
                <c:pt idx="113">
                  <c:v>6938610</c:v>
                </c:pt>
                <c:pt idx="114">
                  <c:v>6806070</c:v>
                </c:pt>
                <c:pt idx="115">
                  <c:v>10407210</c:v>
                </c:pt>
                <c:pt idx="116">
                  <c:v>9763310</c:v>
                </c:pt>
                <c:pt idx="117">
                  <c:v>5354475</c:v>
                </c:pt>
                <c:pt idx="118">
                  <c:v>6689040</c:v>
                </c:pt>
                <c:pt idx="119">
                  <c:v>6835680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2E-4531-93D4-A5B358B0DDB4}"/>
            </c:ext>
          </c:extLst>
        </c:ser>
        <c:ser>
          <c:idx val="3"/>
          <c:order val="3"/>
          <c:tx>
            <c:strRef>
              <c:f>Sales!$AG$5</c:f>
              <c:strCache>
                <c:ptCount val="1"/>
                <c:pt idx="0">
                  <c:v>Revenue (B)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Sales!$AC$6:$AC$125</c:f>
              <c:strCache>
                <c:ptCount val="120"/>
                <c:pt idx="0">
                  <c:v>January 2011</c:v>
                </c:pt>
                <c:pt idx="1">
                  <c:v>February 2011</c:v>
                </c:pt>
                <c:pt idx="2">
                  <c:v>March 2011</c:v>
                </c:pt>
                <c:pt idx="3">
                  <c:v>April 2011</c:v>
                </c:pt>
                <c:pt idx="4">
                  <c:v>May 2011</c:v>
                </c:pt>
                <c:pt idx="5">
                  <c:v>June 2011</c:v>
                </c:pt>
                <c:pt idx="6">
                  <c:v>July 2011</c:v>
                </c:pt>
                <c:pt idx="7">
                  <c:v>August 2011</c:v>
                </c:pt>
                <c:pt idx="8">
                  <c:v>September 2011</c:v>
                </c:pt>
                <c:pt idx="9">
                  <c:v>October 2011</c:v>
                </c:pt>
                <c:pt idx="10">
                  <c:v>November 2011</c:v>
                </c:pt>
                <c:pt idx="11">
                  <c:v>December 2011</c:v>
                </c:pt>
                <c:pt idx="12">
                  <c:v>January 2012</c:v>
                </c:pt>
                <c:pt idx="13">
                  <c:v>February 2012</c:v>
                </c:pt>
                <c:pt idx="14">
                  <c:v>March 2012</c:v>
                </c:pt>
                <c:pt idx="15">
                  <c:v>April 2012</c:v>
                </c:pt>
                <c:pt idx="16">
                  <c:v>May 2012</c:v>
                </c:pt>
                <c:pt idx="17">
                  <c:v>June 2012</c:v>
                </c:pt>
                <c:pt idx="18">
                  <c:v>July 2012</c:v>
                </c:pt>
                <c:pt idx="19">
                  <c:v>August 2012</c:v>
                </c:pt>
                <c:pt idx="20">
                  <c:v>September 2012</c:v>
                </c:pt>
                <c:pt idx="21">
                  <c:v>October 2012</c:v>
                </c:pt>
                <c:pt idx="22">
                  <c:v>November 2012</c:v>
                </c:pt>
                <c:pt idx="23">
                  <c:v>December 2012</c:v>
                </c:pt>
                <c:pt idx="24">
                  <c:v>January 2013</c:v>
                </c:pt>
                <c:pt idx="25">
                  <c:v>February 2013</c:v>
                </c:pt>
                <c:pt idx="26">
                  <c:v>March 2013</c:v>
                </c:pt>
                <c:pt idx="27">
                  <c:v>April 2013</c:v>
                </c:pt>
                <c:pt idx="28">
                  <c:v>May 2013</c:v>
                </c:pt>
                <c:pt idx="29">
                  <c:v>June 2013</c:v>
                </c:pt>
                <c:pt idx="30">
                  <c:v>July 2013</c:v>
                </c:pt>
                <c:pt idx="31">
                  <c:v>August 2013</c:v>
                </c:pt>
                <c:pt idx="32">
                  <c:v>September 2013</c:v>
                </c:pt>
                <c:pt idx="33">
                  <c:v>October 2013</c:v>
                </c:pt>
                <c:pt idx="34">
                  <c:v>November 2013</c:v>
                </c:pt>
                <c:pt idx="35">
                  <c:v>December 2013</c:v>
                </c:pt>
                <c:pt idx="36">
                  <c:v>January 2014</c:v>
                </c:pt>
                <c:pt idx="37">
                  <c:v>February 2014</c:v>
                </c:pt>
                <c:pt idx="38">
                  <c:v>March 2014</c:v>
                </c:pt>
                <c:pt idx="39">
                  <c:v>April 2014</c:v>
                </c:pt>
                <c:pt idx="40">
                  <c:v>May 2014</c:v>
                </c:pt>
                <c:pt idx="41">
                  <c:v>June 2014</c:v>
                </c:pt>
                <c:pt idx="42">
                  <c:v>July 2014</c:v>
                </c:pt>
                <c:pt idx="43">
                  <c:v>August 2014</c:v>
                </c:pt>
                <c:pt idx="44">
                  <c:v>September 2014</c:v>
                </c:pt>
                <c:pt idx="45">
                  <c:v>October 2014</c:v>
                </c:pt>
                <c:pt idx="46">
                  <c:v>November 2014</c:v>
                </c:pt>
                <c:pt idx="47">
                  <c:v>December 2014</c:v>
                </c:pt>
                <c:pt idx="48">
                  <c:v>January 2015</c:v>
                </c:pt>
                <c:pt idx="49">
                  <c:v>February 2015</c:v>
                </c:pt>
                <c:pt idx="50">
                  <c:v>March 2015</c:v>
                </c:pt>
                <c:pt idx="51">
                  <c:v>April 2015</c:v>
                </c:pt>
                <c:pt idx="52">
                  <c:v>May 2015</c:v>
                </c:pt>
                <c:pt idx="53">
                  <c:v>June 2015</c:v>
                </c:pt>
                <c:pt idx="54">
                  <c:v>July 2015</c:v>
                </c:pt>
                <c:pt idx="55">
                  <c:v>August 2015</c:v>
                </c:pt>
                <c:pt idx="56">
                  <c:v>September 2015</c:v>
                </c:pt>
                <c:pt idx="57">
                  <c:v>October 2015</c:v>
                </c:pt>
                <c:pt idx="58">
                  <c:v>November 2015</c:v>
                </c:pt>
                <c:pt idx="59">
                  <c:v>December 2015</c:v>
                </c:pt>
                <c:pt idx="60">
                  <c:v>January 2016</c:v>
                </c:pt>
                <c:pt idx="61">
                  <c:v>February 2016</c:v>
                </c:pt>
                <c:pt idx="62">
                  <c:v>March 2016</c:v>
                </c:pt>
                <c:pt idx="63">
                  <c:v>April 2016</c:v>
                </c:pt>
                <c:pt idx="64">
                  <c:v>May 2016</c:v>
                </c:pt>
                <c:pt idx="65">
                  <c:v>June 2016</c:v>
                </c:pt>
                <c:pt idx="66">
                  <c:v>July 2016</c:v>
                </c:pt>
                <c:pt idx="67">
                  <c:v>August 2016</c:v>
                </c:pt>
                <c:pt idx="68">
                  <c:v>September 2016</c:v>
                </c:pt>
                <c:pt idx="69">
                  <c:v>October 2016</c:v>
                </c:pt>
                <c:pt idx="70">
                  <c:v>November 2016</c:v>
                </c:pt>
                <c:pt idx="71">
                  <c:v>December 2016</c:v>
                </c:pt>
                <c:pt idx="72">
                  <c:v>January 2017</c:v>
                </c:pt>
                <c:pt idx="73">
                  <c:v>February 2017</c:v>
                </c:pt>
                <c:pt idx="74">
                  <c:v>March 2017</c:v>
                </c:pt>
                <c:pt idx="75">
                  <c:v>April 2017</c:v>
                </c:pt>
                <c:pt idx="76">
                  <c:v>May 2017</c:v>
                </c:pt>
                <c:pt idx="77">
                  <c:v>June 2017</c:v>
                </c:pt>
                <c:pt idx="78">
                  <c:v>July 2017</c:v>
                </c:pt>
                <c:pt idx="79">
                  <c:v>August 2017</c:v>
                </c:pt>
                <c:pt idx="80">
                  <c:v>September 2017</c:v>
                </c:pt>
                <c:pt idx="81">
                  <c:v>October 2017</c:v>
                </c:pt>
                <c:pt idx="82">
                  <c:v>November 2017</c:v>
                </c:pt>
                <c:pt idx="83">
                  <c:v>December 2017</c:v>
                </c:pt>
                <c:pt idx="84">
                  <c:v>January 2018</c:v>
                </c:pt>
                <c:pt idx="85">
                  <c:v>February 2018</c:v>
                </c:pt>
                <c:pt idx="86">
                  <c:v>March 2018</c:v>
                </c:pt>
                <c:pt idx="87">
                  <c:v>April 2018</c:v>
                </c:pt>
                <c:pt idx="88">
                  <c:v>May 2018</c:v>
                </c:pt>
                <c:pt idx="89">
                  <c:v>June 2018</c:v>
                </c:pt>
                <c:pt idx="90">
                  <c:v>July 2018</c:v>
                </c:pt>
                <c:pt idx="91">
                  <c:v>August 2018</c:v>
                </c:pt>
                <c:pt idx="92">
                  <c:v>September 2018</c:v>
                </c:pt>
                <c:pt idx="93">
                  <c:v>October 2018</c:v>
                </c:pt>
                <c:pt idx="94">
                  <c:v>November 2018</c:v>
                </c:pt>
                <c:pt idx="95">
                  <c:v>December 2018</c:v>
                </c:pt>
                <c:pt idx="96">
                  <c:v>January 2019</c:v>
                </c:pt>
                <c:pt idx="97">
                  <c:v>February 2019</c:v>
                </c:pt>
                <c:pt idx="98">
                  <c:v>March 2019</c:v>
                </c:pt>
                <c:pt idx="99">
                  <c:v>April 2019</c:v>
                </c:pt>
                <c:pt idx="100">
                  <c:v>May 2019</c:v>
                </c:pt>
                <c:pt idx="101">
                  <c:v>June 2019</c:v>
                </c:pt>
                <c:pt idx="102">
                  <c:v>July 2019</c:v>
                </c:pt>
                <c:pt idx="103">
                  <c:v>August 2019</c:v>
                </c:pt>
                <c:pt idx="104">
                  <c:v>September 2019</c:v>
                </c:pt>
                <c:pt idx="105">
                  <c:v>October 2019</c:v>
                </c:pt>
                <c:pt idx="106">
                  <c:v>November 2019</c:v>
                </c:pt>
                <c:pt idx="107">
                  <c:v>December 2019</c:v>
                </c:pt>
                <c:pt idx="108">
                  <c:v>January 2020</c:v>
                </c:pt>
                <c:pt idx="109">
                  <c:v>February 2020</c:v>
                </c:pt>
                <c:pt idx="110">
                  <c:v>March 2020</c:v>
                </c:pt>
                <c:pt idx="111">
                  <c:v>April 2020</c:v>
                </c:pt>
                <c:pt idx="112">
                  <c:v>May 2020</c:v>
                </c:pt>
                <c:pt idx="113">
                  <c:v>June 2020</c:v>
                </c:pt>
                <c:pt idx="114">
                  <c:v>July 2020</c:v>
                </c:pt>
                <c:pt idx="115">
                  <c:v>August 2020</c:v>
                </c:pt>
                <c:pt idx="116">
                  <c:v>September 2020</c:v>
                </c:pt>
                <c:pt idx="117">
                  <c:v>October 2020</c:v>
                </c:pt>
                <c:pt idx="118">
                  <c:v>November 2020</c:v>
                </c:pt>
                <c:pt idx="119">
                  <c:v>December 2020</c:v>
                </c:pt>
              </c:strCache>
            </c:strRef>
          </c:cat>
          <c:val>
            <c:numRef>
              <c:f>Sales!$AG$6:$AG$125</c:f>
              <c:numCache>
                <c:formatCode>_("$"* #,##0_);_("$"* \(#,##0\);_("$"* "-"??_);_(@_)</c:formatCode>
                <c:ptCount val="120"/>
                <c:pt idx="0">
                  <c:v>6689720</c:v>
                </c:pt>
                <c:pt idx="1">
                  <c:v>6145870</c:v>
                </c:pt>
                <c:pt idx="2">
                  <c:v>6879520</c:v>
                </c:pt>
                <c:pt idx="3">
                  <c:v>14307270</c:v>
                </c:pt>
                <c:pt idx="4">
                  <c:v>15135090</c:v>
                </c:pt>
                <c:pt idx="5">
                  <c:v>6259020</c:v>
                </c:pt>
                <c:pt idx="6">
                  <c:v>6658330</c:v>
                </c:pt>
                <c:pt idx="7">
                  <c:v>6819660</c:v>
                </c:pt>
                <c:pt idx="8">
                  <c:v>6406480</c:v>
                </c:pt>
                <c:pt idx="9">
                  <c:v>6874410</c:v>
                </c:pt>
                <c:pt idx="10">
                  <c:v>6657600</c:v>
                </c:pt>
                <c:pt idx="11">
                  <c:v>7017490</c:v>
                </c:pt>
                <c:pt idx="12">
                  <c:v>6636430</c:v>
                </c:pt>
                <c:pt idx="13">
                  <c:v>6307930</c:v>
                </c:pt>
                <c:pt idx="14">
                  <c:v>6721840</c:v>
                </c:pt>
                <c:pt idx="15">
                  <c:v>14118200</c:v>
                </c:pt>
                <c:pt idx="16">
                  <c:v>14816810</c:v>
                </c:pt>
                <c:pt idx="17">
                  <c:v>6549560</c:v>
                </c:pt>
                <c:pt idx="18">
                  <c:v>7013840</c:v>
                </c:pt>
                <c:pt idx="19">
                  <c:v>6654680</c:v>
                </c:pt>
                <c:pt idx="20">
                  <c:v>6583870</c:v>
                </c:pt>
                <c:pt idx="21">
                  <c:v>6524010</c:v>
                </c:pt>
                <c:pt idx="22">
                  <c:v>6754690</c:v>
                </c:pt>
                <c:pt idx="23">
                  <c:v>7072970</c:v>
                </c:pt>
                <c:pt idx="24">
                  <c:v>6999970</c:v>
                </c:pt>
                <c:pt idx="25">
                  <c:v>6077250</c:v>
                </c:pt>
                <c:pt idx="26">
                  <c:v>6783160</c:v>
                </c:pt>
                <c:pt idx="27">
                  <c:v>14421880</c:v>
                </c:pt>
                <c:pt idx="28">
                  <c:v>15237290</c:v>
                </c:pt>
                <c:pt idx="29">
                  <c:v>6413488</c:v>
                </c:pt>
                <c:pt idx="30">
                  <c:v>7010190</c:v>
                </c:pt>
                <c:pt idx="31">
                  <c:v>6741550</c:v>
                </c:pt>
                <c:pt idx="32">
                  <c:v>6710160</c:v>
                </c:pt>
                <c:pt idx="33">
                  <c:v>6814550</c:v>
                </c:pt>
                <c:pt idx="34">
                  <c:v>6744470</c:v>
                </c:pt>
                <c:pt idx="35">
                  <c:v>6810170</c:v>
                </c:pt>
                <c:pt idx="36">
                  <c:v>6698480</c:v>
                </c:pt>
                <c:pt idx="37">
                  <c:v>6086740</c:v>
                </c:pt>
                <c:pt idx="38">
                  <c:v>6702130</c:v>
                </c:pt>
                <c:pt idx="39">
                  <c:v>14548170</c:v>
                </c:pt>
                <c:pt idx="40">
                  <c:v>14774470</c:v>
                </c:pt>
                <c:pt idx="41">
                  <c:v>6308660</c:v>
                </c:pt>
                <c:pt idx="42">
                  <c:v>6678770</c:v>
                </c:pt>
                <c:pt idx="43">
                  <c:v>6800680</c:v>
                </c:pt>
                <c:pt idx="44">
                  <c:v>6613800</c:v>
                </c:pt>
                <c:pt idx="45">
                  <c:v>6807980</c:v>
                </c:pt>
                <c:pt idx="46">
                  <c:v>6436410</c:v>
                </c:pt>
                <c:pt idx="47">
                  <c:v>6708700</c:v>
                </c:pt>
                <c:pt idx="48">
                  <c:v>6723300</c:v>
                </c:pt>
                <c:pt idx="49">
                  <c:v>6070680</c:v>
                </c:pt>
                <c:pt idx="50">
                  <c:v>6891930</c:v>
                </c:pt>
                <c:pt idx="51">
                  <c:v>14638690</c:v>
                </c:pt>
                <c:pt idx="52">
                  <c:v>14634310</c:v>
                </c:pt>
                <c:pt idx="53">
                  <c:v>6580512</c:v>
                </c:pt>
                <c:pt idx="54">
                  <c:v>6805060</c:v>
                </c:pt>
                <c:pt idx="55">
                  <c:v>6794840</c:v>
                </c:pt>
                <c:pt idx="56">
                  <c:v>6531310</c:v>
                </c:pt>
                <c:pt idx="57">
                  <c:v>6542990</c:v>
                </c:pt>
                <c:pt idx="58">
                  <c:v>6453200</c:v>
                </c:pt>
                <c:pt idx="59">
                  <c:v>6948870</c:v>
                </c:pt>
                <c:pt idx="60">
                  <c:v>6858350</c:v>
                </c:pt>
                <c:pt idx="61">
                  <c:v>6271430</c:v>
                </c:pt>
                <c:pt idx="62">
                  <c:v>6781700</c:v>
                </c:pt>
                <c:pt idx="63">
                  <c:v>14283910</c:v>
                </c:pt>
                <c:pt idx="64">
                  <c:v>15603020</c:v>
                </c:pt>
                <c:pt idx="65">
                  <c:v>6480064</c:v>
                </c:pt>
                <c:pt idx="66">
                  <c:v>6833530</c:v>
                </c:pt>
                <c:pt idx="67">
                  <c:v>6774400</c:v>
                </c:pt>
                <c:pt idx="68">
                  <c:v>6594090</c:v>
                </c:pt>
                <c:pt idx="69">
                  <c:v>6704320</c:v>
                </c:pt>
                <c:pt idx="70">
                  <c:v>6469990</c:v>
                </c:pt>
                <c:pt idx="71">
                  <c:v>6776590</c:v>
                </c:pt>
                <c:pt idx="72">
                  <c:v>7106550</c:v>
                </c:pt>
                <c:pt idx="73">
                  <c:v>6031990</c:v>
                </c:pt>
                <c:pt idx="74">
                  <c:v>6787540</c:v>
                </c:pt>
                <c:pt idx="75">
                  <c:v>14602920</c:v>
                </c:pt>
                <c:pt idx="76">
                  <c:v>14499990</c:v>
                </c:pt>
                <c:pt idx="77">
                  <c:v>6535544</c:v>
                </c:pt>
                <c:pt idx="78">
                  <c:v>6826230</c:v>
                </c:pt>
                <c:pt idx="79">
                  <c:v>6962010</c:v>
                </c:pt>
                <c:pt idx="80">
                  <c:v>6693370</c:v>
                </c:pt>
                <c:pt idx="81">
                  <c:v>6780970</c:v>
                </c:pt>
                <c:pt idx="82">
                  <c:v>6518900</c:v>
                </c:pt>
                <c:pt idx="83">
                  <c:v>6925510</c:v>
                </c:pt>
                <c:pt idx="84">
                  <c:v>6873680</c:v>
                </c:pt>
                <c:pt idx="85">
                  <c:v>6004250</c:v>
                </c:pt>
                <c:pt idx="86">
                  <c:v>6736440</c:v>
                </c:pt>
                <c:pt idx="87">
                  <c:v>14398520</c:v>
                </c:pt>
                <c:pt idx="88">
                  <c:v>15183270</c:v>
                </c:pt>
                <c:pt idx="89">
                  <c:v>6261064</c:v>
                </c:pt>
                <c:pt idx="90">
                  <c:v>6795570</c:v>
                </c:pt>
                <c:pt idx="91">
                  <c:v>6821850</c:v>
                </c:pt>
                <c:pt idx="92">
                  <c:v>6627670</c:v>
                </c:pt>
                <c:pt idx="93">
                  <c:v>6878060</c:v>
                </c:pt>
                <c:pt idx="94">
                  <c:v>6574380</c:v>
                </c:pt>
                <c:pt idx="95">
                  <c:v>6682420</c:v>
                </c:pt>
                <c:pt idx="96">
                  <c:v>6836450</c:v>
                </c:pt>
                <c:pt idx="97">
                  <c:v>6172150</c:v>
                </c:pt>
                <c:pt idx="98">
                  <c:v>6770750</c:v>
                </c:pt>
                <c:pt idx="99">
                  <c:v>14429180</c:v>
                </c:pt>
                <c:pt idx="100">
                  <c:v>15098590</c:v>
                </c:pt>
                <c:pt idx="101">
                  <c:v>6317712</c:v>
                </c:pt>
                <c:pt idx="102">
                  <c:v>6783160</c:v>
                </c:pt>
                <c:pt idx="103">
                  <c:v>6780970</c:v>
                </c:pt>
                <c:pt idx="104">
                  <c:v>6624020</c:v>
                </c:pt>
                <c:pt idx="105">
                  <c:v>6654680</c:v>
                </c:pt>
                <c:pt idx="106">
                  <c:v>6477290</c:v>
                </c:pt>
                <c:pt idx="107">
                  <c:v>6892660</c:v>
                </c:pt>
                <c:pt idx="108">
                  <c:v>6834260</c:v>
                </c:pt>
                <c:pt idx="109">
                  <c:v>6291140</c:v>
                </c:pt>
                <c:pt idx="110">
                  <c:v>6861270</c:v>
                </c:pt>
                <c:pt idx="111">
                  <c:v>14556930</c:v>
                </c:pt>
                <c:pt idx="112">
                  <c:v>15312480</c:v>
                </c:pt>
                <c:pt idx="113">
                  <c:v>6466340</c:v>
                </c:pt>
                <c:pt idx="114">
                  <c:v>6916020</c:v>
                </c:pt>
                <c:pt idx="115">
                  <c:v>6608690</c:v>
                </c:pt>
                <c:pt idx="116">
                  <c:v>6685340</c:v>
                </c:pt>
                <c:pt idx="117">
                  <c:v>6926240</c:v>
                </c:pt>
                <c:pt idx="118">
                  <c:v>6417430</c:v>
                </c:pt>
                <c:pt idx="119">
                  <c:v>6826230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2E-4531-93D4-A5B358B0DD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913600"/>
        <c:axId val="130081424"/>
      </c:lineChart>
      <c:lineChart>
        <c:grouping val="standard"/>
        <c:varyColors val="0"/>
        <c:ser>
          <c:idx val="0"/>
          <c:order val="0"/>
          <c:tx>
            <c:strRef>
              <c:f>Sales!$AD$5</c:f>
              <c:strCache>
                <c:ptCount val="1"/>
                <c:pt idx="0">
                  <c:v>Quantity (A)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Sales!$AC$6:$AC$125</c:f>
              <c:strCache>
                <c:ptCount val="120"/>
                <c:pt idx="0">
                  <c:v>January 2011</c:v>
                </c:pt>
                <c:pt idx="1">
                  <c:v>February 2011</c:v>
                </c:pt>
                <c:pt idx="2">
                  <c:v>March 2011</c:v>
                </c:pt>
                <c:pt idx="3">
                  <c:v>April 2011</c:v>
                </c:pt>
                <c:pt idx="4">
                  <c:v>May 2011</c:v>
                </c:pt>
                <c:pt idx="5">
                  <c:v>June 2011</c:v>
                </c:pt>
                <c:pt idx="6">
                  <c:v>July 2011</c:v>
                </c:pt>
                <c:pt idx="7">
                  <c:v>August 2011</c:v>
                </c:pt>
                <c:pt idx="8">
                  <c:v>September 2011</c:v>
                </c:pt>
                <c:pt idx="9">
                  <c:v>October 2011</c:v>
                </c:pt>
                <c:pt idx="10">
                  <c:v>November 2011</c:v>
                </c:pt>
                <c:pt idx="11">
                  <c:v>December 2011</c:v>
                </c:pt>
                <c:pt idx="12">
                  <c:v>January 2012</c:v>
                </c:pt>
                <c:pt idx="13">
                  <c:v>February 2012</c:v>
                </c:pt>
                <c:pt idx="14">
                  <c:v>March 2012</c:v>
                </c:pt>
                <c:pt idx="15">
                  <c:v>April 2012</c:v>
                </c:pt>
                <c:pt idx="16">
                  <c:v>May 2012</c:v>
                </c:pt>
                <c:pt idx="17">
                  <c:v>June 2012</c:v>
                </c:pt>
                <c:pt idx="18">
                  <c:v>July 2012</c:v>
                </c:pt>
                <c:pt idx="19">
                  <c:v>August 2012</c:v>
                </c:pt>
                <c:pt idx="20">
                  <c:v>September 2012</c:v>
                </c:pt>
                <c:pt idx="21">
                  <c:v>October 2012</c:v>
                </c:pt>
                <c:pt idx="22">
                  <c:v>November 2012</c:v>
                </c:pt>
                <c:pt idx="23">
                  <c:v>December 2012</c:v>
                </c:pt>
                <c:pt idx="24">
                  <c:v>January 2013</c:v>
                </c:pt>
                <c:pt idx="25">
                  <c:v>February 2013</c:v>
                </c:pt>
                <c:pt idx="26">
                  <c:v>March 2013</c:v>
                </c:pt>
                <c:pt idx="27">
                  <c:v>April 2013</c:v>
                </c:pt>
                <c:pt idx="28">
                  <c:v>May 2013</c:v>
                </c:pt>
                <c:pt idx="29">
                  <c:v>June 2013</c:v>
                </c:pt>
                <c:pt idx="30">
                  <c:v>July 2013</c:v>
                </c:pt>
                <c:pt idx="31">
                  <c:v>August 2013</c:v>
                </c:pt>
                <c:pt idx="32">
                  <c:v>September 2013</c:v>
                </c:pt>
                <c:pt idx="33">
                  <c:v>October 2013</c:v>
                </c:pt>
                <c:pt idx="34">
                  <c:v>November 2013</c:v>
                </c:pt>
                <c:pt idx="35">
                  <c:v>December 2013</c:v>
                </c:pt>
                <c:pt idx="36">
                  <c:v>January 2014</c:v>
                </c:pt>
                <c:pt idx="37">
                  <c:v>February 2014</c:v>
                </c:pt>
                <c:pt idx="38">
                  <c:v>March 2014</c:v>
                </c:pt>
                <c:pt idx="39">
                  <c:v>April 2014</c:v>
                </c:pt>
                <c:pt idx="40">
                  <c:v>May 2014</c:v>
                </c:pt>
                <c:pt idx="41">
                  <c:v>June 2014</c:v>
                </c:pt>
                <c:pt idx="42">
                  <c:v>July 2014</c:v>
                </c:pt>
                <c:pt idx="43">
                  <c:v>August 2014</c:v>
                </c:pt>
                <c:pt idx="44">
                  <c:v>September 2014</c:v>
                </c:pt>
                <c:pt idx="45">
                  <c:v>October 2014</c:v>
                </c:pt>
                <c:pt idx="46">
                  <c:v>November 2014</c:v>
                </c:pt>
                <c:pt idx="47">
                  <c:v>December 2014</c:v>
                </c:pt>
                <c:pt idx="48">
                  <c:v>January 2015</c:v>
                </c:pt>
                <c:pt idx="49">
                  <c:v>February 2015</c:v>
                </c:pt>
                <c:pt idx="50">
                  <c:v>March 2015</c:v>
                </c:pt>
                <c:pt idx="51">
                  <c:v>April 2015</c:v>
                </c:pt>
                <c:pt idx="52">
                  <c:v>May 2015</c:v>
                </c:pt>
                <c:pt idx="53">
                  <c:v>June 2015</c:v>
                </c:pt>
                <c:pt idx="54">
                  <c:v>July 2015</c:v>
                </c:pt>
                <c:pt idx="55">
                  <c:v>August 2015</c:v>
                </c:pt>
                <c:pt idx="56">
                  <c:v>September 2015</c:v>
                </c:pt>
                <c:pt idx="57">
                  <c:v>October 2015</c:v>
                </c:pt>
                <c:pt idx="58">
                  <c:v>November 2015</c:v>
                </c:pt>
                <c:pt idx="59">
                  <c:v>December 2015</c:v>
                </c:pt>
                <c:pt idx="60">
                  <c:v>January 2016</c:v>
                </c:pt>
                <c:pt idx="61">
                  <c:v>February 2016</c:v>
                </c:pt>
                <c:pt idx="62">
                  <c:v>March 2016</c:v>
                </c:pt>
                <c:pt idx="63">
                  <c:v>April 2016</c:v>
                </c:pt>
                <c:pt idx="64">
                  <c:v>May 2016</c:v>
                </c:pt>
                <c:pt idx="65">
                  <c:v>June 2016</c:v>
                </c:pt>
                <c:pt idx="66">
                  <c:v>July 2016</c:v>
                </c:pt>
                <c:pt idx="67">
                  <c:v>August 2016</c:v>
                </c:pt>
                <c:pt idx="68">
                  <c:v>September 2016</c:v>
                </c:pt>
                <c:pt idx="69">
                  <c:v>October 2016</c:v>
                </c:pt>
                <c:pt idx="70">
                  <c:v>November 2016</c:v>
                </c:pt>
                <c:pt idx="71">
                  <c:v>December 2016</c:v>
                </c:pt>
                <c:pt idx="72">
                  <c:v>January 2017</c:v>
                </c:pt>
                <c:pt idx="73">
                  <c:v>February 2017</c:v>
                </c:pt>
                <c:pt idx="74">
                  <c:v>March 2017</c:v>
                </c:pt>
                <c:pt idx="75">
                  <c:v>April 2017</c:v>
                </c:pt>
                <c:pt idx="76">
                  <c:v>May 2017</c:v>
                </c:pt>
                <c:pt idx="77">
                  <c:v>June 2017</c:v>
                </c:pt>
                <c:pt idx="78">
                  <c:v>July 2017</c:v>
                </c:pt>
                <c:pt idx="79">
                  <c:v>August 2017</c:v>
                </c:pt>
                <c:pt idx="80">
                  <c:v>September 2017</c:v>
                </c:pt>
                <c:pt idx="81">
                  <c:v>October 2017</c:v>
                </c:pt>
                <c:pt idx="82">
                  <c:v>November 2017</c:v>
                </c:pt>
                <c:pt idx="83">
                  <c:v>December 2017</c:v>
                </c:pt>
                <c:pt idx="84">
                  <c:v>January 2018</c:v>
                </c:pt>
                <c:pt idx="85">
                  <c:v>February 2018</c:v>
                </c:pt>
                <c:pt idx="86">
                  <c:v>March 2018</c:v>
                </c:pt>
                <c:pt idx="87">
                  <c:v>April 2018</c:v>
                </c:pt>
                <c:pt idx="88">
                  <c:v>May 2018</c:v>
                </c:pt>
                <c:pt idx="89">
                  <c:v>June 2018</c:v>
                </c:pt>
                <c:pt idx="90">
                  <c:v>July 2018</c:v>
                </c:pt>
                <c:pt idx="91">
                  <c:v>August 2018</c:v>
                </c:pt>
                <c:pt idx="92">
                  <c:v>September 2018</c:v>
                </c:pt>
                <c:pt idx="93">
                  <c:v>October 2018</c:v>
                </c:pt>
                <c:pt idx="94">
                  <c:v>November 2018</c:v>
                </c:pt>
                <c:pt idx="95">
                  <c:v>December 2018</c:v>
                </c:pt>
                <c:pt idx="96">
                  <c:v>January 2019</c:v>
                </c:pt>
                <c:pt idx="97">
                  <c:v>February 2019</c:v>
                </c:pt>
                <c:pt idx="98">
                  <c:v>March 2019</c:v>
                </c:pt>
                <c:pt idx="99">
                  <c:v>April 2019</c:v>
                </c:pt>
                <c:pt idx="100">
                  <c:v>May 2019</c:v>
                </c:pt>
                <c:pt idx="101">
                  <c:v>June 2019</c:v>
                </c:pt>
                <c:pt idx="102">
                  <c:v>July 2019</c:v>
                </c:pt>
                <c:pt idx="103">
                  <c:v>August 2019</c:v>
                </c:pt>
                <c:pt idx="104">
                  <c:v>September 2019</c:v>
                </c:pt>
                <c:pt idx="105">
                  <c:v>October 2019</c:v>
                </c:pt>
                <c:pt idx="106">
                  <c:v>November 2019</c:v>
                </c:pt>
                <c:pt idx="107">
                  <c:v>December 2019</c:v>
                </c:pt>
                <c:pt idx="108">
                  <c:v>January 2020</c:v>
                </c:pt>
                <c:pt idx="109">
                  <c:v>February 2020</c:v>
                </c:pt>
                <c:pt idx="110">
                  <c:v>March 2020</c:v>
                </c:pt>
                <c:pt idx="111">
                  <c:v>April 2020</c:v>
                </c:pt>
                <c:pt idx="112">
                  <c:v>May 2020</c:v>
                </c:pt>
                <c:pt idx="113">
                  <c:v>June 2020</c:v>
                </c:pt>
                <c:pt idx="114">
                  <c:v>July 2020</c:v>
                </c:pt>
                <c:pt idx="115">
                  <c:v>August 2020</c:v>
                </c:pt>
                <c:pt idx="116">
                  <c:v>September 2020</c:v>
                </c:pt>
                <c:pt idx="117">
                  <c:v>October 2020</c:v>
                </c:pt>
                <c:pt idx="118">
                  <c:v>November 2020</c:v>
                </c:pt>
                <c:pt idx="119">
                  <c:v>December 2020</c:v>
                </c:pt>
              </c:strCache>
            </c:strRef>
          </c:cat>
          <c:val>
            <c:numRef>
              <c:f>Sales!$AD$6:$AD$125</c:f>
              <c:numCache>
                <c:formatCode>_(* #,##0_);_(* \(#,##0\);_(* "-"??_);_(@_)</c:formatCode>
                <c:ptCount val="120"/>
                <c:pt idx="0">
                  <c:v>14630</c:v>
                </c:pt>
                <c:pt idx="1">
                  <c:v>12983</c:v>
                </c:pt>
                <c:pt idx="2">
                  <c:v>14515</c:v>
                </c:pt>
                <c:pt idx="3">
                  <c:v>14294</c:v>
                </c:pt>
                <c:pt idx="4">
                  <c:v>13916</c:v>
                </c:pt>
                <c:pt idx="5">
                  <c:v>13891</c:v>
                </c:pt>
                <c:pt idx="6">
                  <c:v>14260</c:v>
                </c:pt>
                <c:pt idx="7">
                  <c:v>21795</c:v>
                </c:pt>
                <c:pt idx="8">
                  <c:v>21360</c:v>
                </c:pt>
                <c:pt idx="9">
                  <c:v>17801</c:v>
                </c:pt>
                <c:pt idx="10">
                  <c:v>14091</c:v>
                </c:pt>
                <c:pt idx="11">
                  <c:v>14222</c:v>
                </c:pt>
                <c:pt idx="12">
                  <c:v>14170</c:v>
                </c:pt>
                <c:pt idx="13">
                  <c:v>14241</c:v>
                </c:pt>
                <c:pt idx="14">
                  <c:v>14782</c:v>
                </c:pt>
                <c:pt idx="15">
                  <c:v>14175</c:v>
                </c:pt>
                <c:pt idx="16">
                  <c:v>14396</c:v>
                </c:pt>
                <c:pt idx="17">
                  <c:v>14350</c:v>
                </c:pt>
                <c:pt idx="18">
                  <c:v>15211</c:v>
                </c:pt>
                <c:pt idx="19">
                  <c:v>21423</c:v>
                </c:pt>
                <c:pt idx="20">
                  <c:v>21098</c:v>
                </c:pt>
                <c:pt idx="21">
                  <c:v>18218</c:v>
                </c:pt>
                <c:pt idx="22">
                  <c:v>13339</c:v>
                </c:pt>
                <c:pt idx="23">
                  <c:v>14682</c:v>
                </c:pt>
                <c:pt idx="24">
                  <c:v>14656</c:v>
                </c:pt>
                <c:pt idx="25">
                  <c:v>13280</c:v>
                </c:pt>
                <c:pt idx="26">
                  <c:v>14796</c:v>
                </c:pt>
                <c:pt idx="27">
                  <c:v>14048</c:v>
                </c:pt>
                <c:pt idx="28">
                  <c:v>14368</c:v>
                </c:pt>
                <c:pt idx="29">
                  <c:v>13601</c:v>
                </c:pt>
                <c:pt idx="30">
                  <c:v>14578</c:v>
                </c:pt>
                <c:pt idx="31">
                  <c:v>22317</c:v>
                </c:pt>
                <c:pt idx="32">
                  <c:v>20985</c:v>
                </c:pt>
                <c:pt idx="33">
                  <c:v>17986</c:v>
                </c:pt>
                <c:pt idx="34">
                  <c:v>13958</c:v>
                </c:pt>
                <c:pt idx="35">
                  <c:v>14953</c:v>
                </c:pt>
                <c:pt idx="36">
                  <c:v>14871</c:v>
                </c:pt>
                <c:pt idx="37">
                  <c:v>13052</c:v>
                </c:pt>
                <c:pt idx="38">
                  <c:v>14232</c:v>
                </c:pt>
                <c:pt idx="39">
                  <c:v>14154</c:v>
                </c:pt>
                <c:pt idx="40">
                  <c:v>14072</c:v>
                </c:pt>
                <c:pt idx="41">
                  <c:v>14279</c:v>
                </c:pt>
                <c:pt idx="42">
                  <c:v>14526</c:v>
                </c:pt>
                <c:pt idx="43">
                  <c:v>21331</c:v>
                </c:pt>
                <c:pt idx="44">
                  <c:v>21102</c:v>
                </c:pt>
                <c:pt idx="45">
                  <c:v>18762</c:v>
                </c:pt>
                <c:pt idx="46">
                  <c:v>14346</c:v>
                </c:pt>
                <c:pt idx="47">
                  <c:v>15112</c:v>
                </c:pt>
                <c:pt idx="48">
                  <c:v>14816</c:v>
                </c:pt>
                <c:pt idx="49">
                  <c:v>13240</c:v>
                </c:pt>
                <c:pt idx="50">
                  <c:v>14246</c:v>
                </c:pt>
                <c:pt idx="51">
                  <c:v>14073</c:v>
                </c:pt>
                <c:pt idx="52">
                  <c:v>14328</c:v>
                </c:pt>
                <c:pt idx="53">
                  <c:v>14094</c:v>
                </c:pt>
                <c:pt idx="54">
                  <c:v>14574</c:v>
                </c:pt>
                <c:pt idx="55">
                  <c:v>21617</c:v>
                </c:pt>
                <c:pt idx="56">
                  <c:v>21538</c:v>
                </c:pt>
                <c:pt idx="57">
                  <c:v>18022</c:v>
                </c:pt>
                <c:pt idx="58">
                  <c:v>13623</c:v>
                </c:pt>
                <c:pt idx="59">
                  <c:v>14834</c:v>
                </c:pt>
                <c:pt idx="60">
                  <c:v>14410</c:v>
                </c:pt>
                <c:pt idx="61">
                  <c:v>13402</c:v>
                </c:pt>
                <c:pt idx="62">
                  <c:v>14577</c:v>
                </c:pt>
                <c:pt idx="63">
                  <c:v>13836</c:v>
                </c:pt>
                <c:pt idx="64">
                  <c:v>14534</c:v>
                </c:pt>
                <c:pt idx="65">
                  <c:v>13971</c:v>
                </c:pt>
                <c:pt idx="66">
                  <c:v>14752</c:v>
                </c:pt>
                <c:pt idx="67">
                  <c:v>22092</c:v>
                </c:pt>
                <c:pt idx="68">
                  <c:v>20887</c:v>
                </c:pt>
                <c:pt idx="69">
                  <c:v>18523</c:v>
                </c:pt>
                <c:pt idx="70">
                  <c:v>13972</c:v>
                </c:pt>
                <c:pt idx="71">
                  <c:v>14624</c:v>
                </c:pt>
                <c:pt idx="72">
                  <c:v>15003</c:v>
                </c:pt>
                <c:pt idx="73">
                  <c:v>12514</c:v>
                </c:pt>
                <c:pt idx="74">
                  <c:v>14188</c:v>
                </c:pt>
                <c:pt idx="75">
                  <c:v>13868</c:v>
                </c:pt>
                <c:pt idx="76">
                  <c:v>14322</c:v>
                </c:pt>
                <c:pt idx="77">
                  <c:v>13656</c:v>
                </c:pt>
                <c:pt idx="78">
                  <c:v>14507</c:v>
                </c:pt>
                <c:pt idx="79">
                  <c:v>22464</c:v>
                </c:pt>
                <c:pt idx="80">
                  <c:v>21462</c:v>
                </c:pt>
                <c:pt idx="81">
                  <c:v>18201</c:v>
                </c:pt>
                <c:pt idx="82">
                  <c:v>14290</c:v>
                </c:pt>
                <c:pt idx="83">
                  <c:v>14983</c:v>
                </c:pt>
                <c:pt idx="84">
                  <c:v>14367</c:v>
                </c:pt>
                <c:pt idx="85">
                  <c:v>13462</c:v>
                </c:pt>
                <c:pt idx="86">
                  <c:v>14662</c:v>
                </c:pt>
                <c:pt idx="87">
                  <c:v>14228</c:v>
                </c:pt>
                <c:pt idx="88">
                  <c:v>14698</c:v>
                </c:pt>
                <c:pt idx="89">
                  <c:v>14104</c:v>
                </c:pt>
                <c:pt idx="90">
                  <c:v>14665</c:v>
                </c:pt>
                <c:pt idx="91">
                  <c:v>21677</c:v>
                </c:pt>
                <c:pt idx="92">
                  <c:v>21288</c:v>
                </c:pt>
                <c:pt idx="93">
                  <c:v>17947</c:v>
                </c:pt>
                <c:pt idx="94">
                  <c:v>14112</c:v>
                </c:pt>
                <c:pt idx="95">
                  <c:v>14176</c:v>
                </c:pt>
                <c:pt idx="96">
                  <c:v>14565</c:v>
                </c:pt>
                <c:pt idx="97">
                  <c:v>12842</c:v>
                </c:pt>
                <c:pt idx="98">
                  <c:v>14376</c:v>
                </c:pt>
                <c:pt idx="99">
                  <c:v>13984</c:v>
                </c:pt>
                <c:pt idx="100">
                  <c:v>14535</c:v>
                </c:pt>
                <c:pt idx="101">
                  <c:v>13817</c:v>
                </c:pt>
                <c:pt idx="102">
                  <c:v>14731</c:v>
                </c:pt>
                <c:pt idx="103">
                  <c:v>22235</c:v>
                </c:pt>
                <c:pt idx="104">
                  <c:v>21095</c:v>
                </c:pt>
                <c:pt idx="105">
                  <c:v>18698</c:v>
                </c:pt>
                <c:pt idx="106">
                  <c:v>13816</c:v>
                </c:pt>
                <c:pt idx="107">
                  <c:v>14505</c:v>
                </c:pt>
                <c:pt idx="108">
                  <c:v>14183</c:v>
                </c:pt>
                <c:pt idx="109">
                  <c:v>13213</c:v>
                </c:pt>
                <c:pt idx="110">
                  <c:v>14758</c:v>
                </c:pt>
                <c:pt idx="111">
                  <c:v>14311</c:v>
                </c:pt>
                <c:pt idx="112">
                  <c:v>15001</c:v>
                </c:pt>
                <c:pt idx="113">
                  <c:v>14763</c:v>
                </c:pt>
                <c:pt idx="114">
                  <c:v>14481</c:v>
                </c:pt>
                <c:pt idx="115">
                  <c:v>22143</c:v>
                </c:pt>
                <c:pt idx="116">
                  <c:v>20773</c:v>
                </c:pt>
                <c:pt idx="117">
                  <c:v>18228</c:v>
                </c:pt>
                <c:pt idx="118">
                  <c:v>14232</c:v>
                </c:pt>
                <c:pt idx="119">
                  <c:v>14544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2E-4531-93D4-A5B358B0DDB4}"/>
            </c:ext>
          </c:extLst>
        </c:ser>
        <c:ser>
          <c:idx val="2"/>
          <c:order val="2"/>
          <c:tx>
            <c:strRef>
              <c:f>Sales!$AF$5</c:f>
              <c:strCache>
                <c:ptCount val="1"/>
                <c:pt idx="0">
                  <c:v>Quantity (B)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Sales!$AC$6:$AC$125</c:f>
              <c:strCache>
                <c:ptCount val="120"/>
                <c:pt idx="0">
                  <c:v>January 2011</c:v>
                </c:pt>
                <c:pt idx="1">
                  <c:v>February 2011</c:v>
                </c:pt>
                <c:pt idx="2">
                  <c:v>March 2011</c:v>
                </c:pt>
                <c:pt idx="3">
                  <c:v>April 2011</c:v>
                </c:pt>
                <c:pt idx="4">
                  <c:v>May 2011</c:v>
                </c:pt>
                <c:pt idx="5">
                  <c:v>June 2011</c:v>
                </c:pt>
                <c:pt idx="6">
                  <c:v>July 2011</c:v>
                </c:pt>
                <c:pt idx="7">
                  <c:v>August 2011</c:v>
                </c:pt>
                <c:pt idx="8">
                  <c:v>September 2011</c:v>
                </c:pt>
                <c:pt idx="9">
                  <c:v>October 2011</c:v>
                </c:pt>
                <c:pt idx="10">
                  <c:v>November 2011</c:v>
                </c:pt>
                <c:pt idx="11">
                  <c:v>December 2011</c:v>
                </c:pt>
                <c:pt idx="12">
                  <c:v>January 2012</c:v>
                </c:pt>
                <c:pt idx="13">
                  <c:v>February 2012</c:v>
                </c:pt>
                <c:pt idx="14">
                  <c:v>March 2012</c:v>
                </c:pt>
                <c:pt idx="15">
                  <c:v>April 2012</c:v>
                </c:pt>
                <c:pt idx="16">
                  <c:v>May 2012</c:v>
                </c:pt>
                <c:pt idx="17">
                  <c:v>June 2012</c:v>
                </c:pt>
                <c:pt idx="18">
                  <c:v>July 2012</c:v>
                </c:pt>
                <c:pt idx="19">
                  <c:v>August 2012</c:v>
                </c:pt>
                <c:pt idx="20">
                  <c:v>September 2012</c:v>
                </c:pt>
                <c:pt idx="21">
                  <c:v>October 2012</c:v>
                </c:pt>
                <c:pt idx="22">
                  <c:v>November 2012</c:v>
                </c:pt>
                <c:pt idx="23">
                  <c:v>December 2012</c:v>
                </c:pt>
                <c:pt idx="24">
                  <c:v>January 2013</c:v>
                </c:pt>
                <c:pt idx="25">
                  <c:v>February 2013</c:v>
                </c:pt>
                <c:pt idx="26">
                  <c:v>March 2013</c:v>
                </c:pt>
                <c:pt idx="27">
                  <c:v>April 2013</c:v>
                </c:pt>
                <c:pt idx="28">
                  <c:v>May 2013</c:v>
                </c:pt>
                <c:pt idx="29">
                  <c:v>June 2013</c:v>
                </c:pt>
                <c:pt idx="30">
                  <c:v>July 2013</c:v>
                </c:pt>
                <c:pt idx="31">
                  <c:v>August 2013</c:v>
                </c:pt>
                <c:pt idx="32">
                  <c:v>September 2013</c:v>
                </c:pt>
                <c:pt idx="33">
                  <c:v>October 2013</c:v>
                </c:pt>
                <c:pt idx="34">
                  <c:v>November 2013</c:v>
                </c:pt>
                <c:pt idx="35">
                  <c:v>December 2013</c:v>
                </c:pt>
                <c:pt idx="36">
                  <c:v>January 2014</c:v>
                </c:pt>
                <c:pt idx="37">
                  <c:v>February 2014</c:v>
                </c:pt>
                <c:pt idx="38">
                  <c:v>March 2014</c:v>
                </c:pt>
                <c:pt idx="39">
                  <c:v>April 2014</c:v>
                </c:pt>
                <c:pt idx="40">
                  <c:v>May 2014</c:v>
                </c:pt>
                <c:pt idx="41">
                  <c:v>June 2014</c:v>
                </c:pt>
                <c:pt idx="42">
                  <c:v>July 2014</c:v>
                </c:pt>
                <c:pt idx="43">
                  <c:v>August 2014</c:v>
                </c:pt>
                <c:pt idx="44">
                  <c:v>September 2014</c:v>
                </c:pt>
                <c:pt idx="45">
                  <c:v>October 2014</c:v>
                </c:pt>
                <c:pt idx="46">
                  <c:v>November 2014</c:v>
                </c:pt>
                <c:pt idx="47">
                  <c:v>December 2014</c:v>
                </c:pt>
                <c:pt idx="48">
                  <c:v>January 2015</c:v>
                </c:pt>
                <c:pt idx="49">
                  <c:v>February 2015</c:v>
                </c:pt>
                <c:pt idx="50">
                  <c:v>March 2015</c:v>
                </c:pt>
                <c:pt idx="51">
                  <c:v>April 2015</c:v>
                </c:pt>
                <c:pt idx="52">
                  <c:v>May 2015</c:v>
                </c:pt>
                <c:pt idx="53">
                  <c:v>June 2015</c:v>
                </c:pt>
                <c:pt idx="54">
                  <c:v>July 2015</c:v>
                </c:pt>
                <c:pt idx="55">
                  <c:v>August 2015</c:v>
                </c:pt>
                <c:pt idx="56">
                  <c:v>September 2015</c:v>
                </c:pt>
                <c:pt idx="57">
                  <c:v>October 2015</c:v>
                </c:pt>
                <c:pt idx="58">
                  <c:v>November 2015</c:v>
                </c:pt>
                <c:pt idx="59">
                  <c:v>December 2015</c:v>
                </c:pt>
                <c:pt idx="60">
                  <c:v>January 2016</c:v>
                </c:pt>
                <c:pt idx="61">
                  <c:v>February 2016</c:v>
                </c:pt>
                <c:pt idx="62">
                  <c:v>March 2016</c:v>
                </c:pt>
                <c:pt idx="63">
                  <c:v>April 2016</c:v>
                </c:pt>
                <c:pt idx="64">
                  <c:v>May 2016</c:v>
                </c:pt>
                <c:pt idx="65">
                  <c:v>June 2016</c:v>
                </c:pt>
                <c:pt idx="66">
                  <c:v>July 2016</c:v>
                </c:pt>
                <c:pt idx="67">
                  <c:v>August 2016</c:v>
                </c:pt>
                <c:pt idx="68">
                  <c:v>September 2016</c:v>
                </c:pt>
                <c:pt idx="69">
                  <c:v>October 2016</c:v>
                </c:pt>
                <c:pt idx="70">
                  <c:v>November 2016</c:v>
                </c:pt>
                <c:pt idx="71">
                  <c:v>December 2016</c:v>
                </c:pt>
                <c:pt idx="72">
                  <c:v>January 2017</c:v>
                </c:pt>
                <c:pt idx="73">
                  <c:v>February 2017</c:v>
                </c:pt>
                <c:pt idx="74">
                  <c:v>March 2017</c:v>
                </c:pt>
                <c:pt idx="75">
                  <c:v>April 2017</c:v>
                </c:pt>
                <c:pt idx="76">
                  <c:v>May 2017</c:v>
                </c:pt>
                <c:pt idx="77">
                  <c:v>June 2017</c:v>
                </c:pt>
                <c:pt idx="78">
                  <c:v>July 2017</c:v>
                </c:pt>
                <c:pt idx="79">
                  <c:v>August 2017</c:v>
                </c:pt>
                <c:pt idx="80">
                  <c:v>September 2017</c:v>
                </c:pt>
                <c:pt idx="81">
                  <c:v>October 2017</c:v>
                </c:pt>
                <c:pt idx="82">
                  <c:v>November 2017</c:v>
                </c:pt>
                <c:pt idx="83">
                  <c:v>December 2017</c:v>
                </c:pt>
                <c:pt idx="84">
                  <c:v>January 2018</c:v>
                </c:pt>
                <c:pt idx="85">
                  <c:v>February 2018</c:v>
                </c:pt>
                <c:pt idx="86">
                  <c:v>March 2018</c:v>
                </c:pt>
                <c:pt idx="87">
                  <c:v>April 2018</c:v>
                </c:pt>
                <c:pt idx="88">
                  <c:v>May 2018</c:v>
                </c:pt>
                <c:pt idx="89">
                  <c:v>June 2018</c:v>
                </c:pt>
                <c:pt idx="90">
                  <c:v>July 2018</c:v>
                </c:pt>
                <c:pt idx="91">
                  <c:v>August 2018</c:v>
                </c:pt>
                <c:pt idx="92">
                  <c:v>September 2018</c:v>
                </c:pt>
                <c:pt idx="93">
                  <c:v>October 2018</c:v>
                </c:pt>
                <c:pt idx="94">
                  <c:v>November 2018</c:v>
                </c:pt>
                <c:pt idx="95">
                  <c:v>December 2018</c:v>
                </c:pt>
                <c:pt idx="96">
                  <c:v>January 2019</c:v>
                </c:pt>
                <c:pt idx="97">
                  <c:v>February 2019</c:v>
                </c:pt>
                <c:pt idx="98">
                  <c:v>March 2019</c:v>
                </c:pt>
                <c:pt idx="99">
                  <c:v>April 2019</c:v>
                </c:pt>
                <c:pt idx="100">
                  <c:v>May 2019</c:v>
                </c:pt>
                <c:pt idx="101">
                  <c:v>June 2019</c:v>
                </c:pt>
                <c:pt idx="102">
                  <c:v>July 2019</c:v>
                </c:pt>
                <c:pt idx="103">
                  <c:v>August 2019</c:v>
                </c:pt>
                <c:pt idx="104">
                  <c:v>September 2019</c:v>
                </c:pt>
                <c:pt idx="105">
                  <c:v>October 2019</c:v>
                </c:pt>
                <c:pt idx="106">
                  <c:v>November 2019</c:v>
                </c:pt>
                <c:pt idx="107">
                  <c:v>December 2019</c:v>
                </c:pt>
                <c:pt idx="108">
                  <c:v>January 2020</c:v>
                </c:pt>
                <c:pt idx="109">
                  <c:v>February 2020</c:v>
                </c:pt>
                <c:pt idx="110">
                  <c:v>March 2020</c:v>
                </c:pt>
                <c:pt idx="111">
                  <c:v>April 2020</c:v>
                </c:pt>
                <c:pt idx="112">
                  <c:v>May 2020</c:v>
                </c:pt>
                <c:pt idx="113">
                  <c:v>June 2020</c:v>
                </c:pt>
                <c:pt idx="114">
                  <c:v>July 2020</c:v>
                </c:pt>
                <c:pt idx="115">
                  <c:v>August 2020</c:v>
                </c:pt>
                <c:pt idx="116">
                  <c:v>September 2020</c:v>
                </c:pt>
                <c:pt idx="117">
                  <c:v>October 2020</c:v>
                </c:pt>
                <c:pt idx="118">
                  <c:v>November 2020</c:v>
                </c:pt>
                <c:pt idx="119">
                  <c:v>December 2020</c:v>
                </c:pt>
              </c:strCache>
            </c:strRef>
          </c:cat>
          <c:val>
            <c:numRef>
              <c:f>Sales!$AF$6:$AF$125</c:f>
              <c:numCache>
                <c:formatCode>_(* #,##0_);_(* \(#,##0\);_(* "-"??_);_(@_)</c:formatCode>
                <c:ptCount val="120"/>
                <c:pt idx="0">
                  <c:v>9164</c:v>
                </c:pt>
                <c:pt idx="1">
                  <c:v>8419</c:v>
                </c:pt>
                <c:pt idx="2">
                  <c:v>9424</c:v>
                </c:pt>
                <c:pt idx="3">
                  <c:v>19599</c:v>
                </c:pt>
                <c:pt idx="4">
                  <c:v>20733</c:v>
                </c:pt>
                <c:pt idx="5">
                  <c:v>21435</c:v>
                </c:pt>
                <c:pt idx="6">
                  <c:v>9121</c:v>
                </c:pt>
                <c:pt idx="7">
                  <c:v>9342</c:v>
                </c:pt>
                <c:pt idx="8">
                  <c:v>8776</c:v>
                </c:pt>
                <c:pt idx="9">
                  <c:v>9417</c:v>
                </c:pt>
                <c:pt idx="10">
                  <c:v>9120</c:v>
                </c:pt>
                <c:pt idx="11">
                  <c:v>9613</c:v>
                </c:pt>
                <c:pt idx="12">
                  <c:v>9091</c:v>
                </c:pt>
                <c:pt idx="13">
                  <c:v>8641</c:v>
                </c:pt>
                <c:pt idx="14">
                  <c:v>9208</c:v>
                </c:pt>
                <c:pt idx="15">
                  <c:v>19340</c:v>
                </c:pt>
                <c:pt idx="16">
                  <c:v>20297</c:v>
                </c:pt>
                <c:pt idx="17">
                  <c:v>22430</c:v>
                </c:pt>
                <c:pt idx="18">
                  <c:v>9608</c:v>
                </c:pt>
                <c:pt idx="19">
                  <c:v>9116</c:v>
                </c:pt>
                <c:pt idx="20">
                  <c:v>9019</c:v>
                </c:pt>
                <c:pt idx="21">
                  <c:v>8937</c:v>
                </c:pt>
                <c:pt idx="22">
                  <c:v>9253</c:v>
                </c:pt>
                <c:pt idx="23">
                  <c:v>9689</c:v>
                </c:pt>
                <c:pt idx="24">
                  <c:v>9589</c:v>
                </c:pt>
                <c:pt idx="25">
                  <c:v>8325</c:v>
                </c:pt>
                <c:pt idx="26">
                  <c:v>9292</c:v>
                </c:pt>
                <c:pt idx="27">
                  <c:v>19756</c:v>
                </c:pt>
                <c:pt idx="28">
                  <c:v>20873</c:v>
                </c:pt>
                <c:pt idx="29">
                  <c:v>21964</c:v>
                </c:pt>
                <c:pt idx="30">
                  <c:v>9603</c:v>
                </c:pt>
                <c:pt idx="31">
                  <c:v>9235</c:v>
                </c:pt>
                <c:pt idx="32">
                  <c:v>9192</c:v>
                </c:pt>
                <c:pt idx="33">
                  <c:v>9335</c:v>
                </c:pt>
                <c:pt idx="34">
                  <c:v>9239</c:v>
                </c:pt>
                <c:pt idx="35">
                  <c:v>9329</c:v>
                </c:pt>
                <c:pt idx="36">
                  <c:v>9176</c:v>
                </c:pt>
                <c:pt idx="37">
                  <c:v>8338</c:v>
                </c:pt>
                <c:pt idx="38">
                  <c:v>9181</c:v>
                </c:pt>
                <c:pt idx="39">
                  <c:v>19929</c:v>
                </c:pt>
                <c:pt idx="40">
                  <c:v>20239</c:v>
                </c:pt>
                <c:pt idx="41">
                  <c:v>21605</c:v>
                </c:pt>
                <c:pt idx="42">
                  <c:v>9149</c:v>
                </c:pt>
                <c:pt idx="43">
                  <c:v>9316</c:v>
                </c:pt>
                <c:pt idx="44">
                  <c:v>9060</c:v>
                </c:pt>
                <c:pt idx="45">
                  <c:v>9326</c:v>
                </c:pt>
                <c:pt idx="46">
                  <c:v>8817</c:v>
                </c:pt>
                <c:pt idx="47">
                  <c:v>9190</c:v>
                </c:pt>
                <c:pt idx="48">
                  <c:v>9210</c:v>
                </c:pt>
                <c:pt idx="49">
                  <c:v>8316</c:v>
                </c:pt>
                <c:pt idx="50">
                  <c:v>9441</c:v>
                </c:pt>
                <c:pt idx="51">
                  <c:v>20053</c:v>
                </c:pt>
                <c:pt idx="52">
                  <c:v>20047</c:v>
                </c:pt>
                <c:pt idx="53">
                  <c:v>22536</c:v>
                </c:pt>
                <c:pt idx="54">
                  <c:v>9322</c:v>
                </c:pt>
                <c:pt idx="55">
                  <c:v>9308</c:v>
                </c:pt>
                <c:pt idx="56">
                  <c:v>8947</c:v>
                </c:pt>
                <c:pt idx="57">
                  <c:v>8963</c:v>
                </c:pt>
                <c:pt idx="58">
                  <c:v>8840</c:v>
                </c:pt>
                <c:pt idx="59">
                  <c:v>9519</c:v>
                </c:pt>
                <c:pt idx="60">
                  <c:v>9395</c:v>
                </c:pt>
                <c:pt idx="61">
                  <c:v>8591</c:v>
                </c:pt>
                <c:pt idx="62">
                  <c:v>9290</c:v>
                </c:pt>
                <c:pt idx="63">
                  <c:v>19567</c:v>
                </c:pt>
                <c:pt idx="64">
                  <c:v>21374</c:v>
                </c:pt>
                <c:pt idx="65">
                  <c:v>22192</c:v>
                </c:pt>
                <c:pt idx="66">
                  <c:v>9361</c:v>
                </c:pt>
                <c:pt idx="67">
                  <c:v>9280</c:v>
                </c:pt>
                <c:pt idx="68">
                  <c:v>9033</c:v>
                </c:pt>
                <c:pt idx="69">
                  <c:v>9184</c:v>
                </c:pt>
                <c:pt idx="70">
                  <c:v>8863</c:v>
                </c:pt>
                <c:pt idx="71">
                  <c:v>9283</c:v>
                </c:pt>
                <c:pt idx="72">
                  <c:v>9735</c:v>
                </c:pt>
                <c:pt idx="73">
                  <c:v>8263</c:v>
                </c:pt>
                <c:pt idx="74">
                  <c:v>9298</c:v>
                </c:pt>
                <c:pt idx="75">
                  <c:v>20004</c:v>
                </c:pt>
                <c:pt idx="76">
                  <c:v>19863</c:v>
                </c:pt>
                <c:pt idx="77">
                  <c:v>22382</c:v>
                </c:pt>
                <c:pt idx="78">
                  <c:v>9351</c:v>
                </c:pt>
                <c:pt idx="79">
                  <c:v>9537</c:v>
                </c:pt>
                <c:pt idx="80">
                  <c:v>9169</c:v>
                </c:pt>
                <c:pt idx="81">
                  <c:v>9289</c:v>
                </c:pt>
                <c:pt idx="82">
                  <c:v>8930</c:v>
                </c:pt>
                <c:pt idx="83">
                  <c:v>9487</c:v>
                </c:pt>
                <c:pt idx="84">
                  <c:v>9416</c:v>
                </c:pt>
                <c:pt idx="85">
                  <c:v>8225</c:v>
                </c:pt>
                <c:pt idx="86">
                  <c:v>9228</c:v>
                </c:pt>
                <c:pt idx="87">
                  <c:v>19724</c:v>
                </c:pt>
                <c:pt idx="88">
                  <c:v>20799</c:v>
                </c:pt>
                <c:pt idx="89">
                  <c:v>21442</c:v>
                </c:pt>
                <c:pt idx="90">
                  <c:v>9309</c:v>
                </c:pt>
                <c:pt idx="91">
                  <c:v>9345</c:v>
                </c:pt>
                <c:pt idx="92">
                  <c:v>9079</c:v>
                </c:pt>
                <c:pt idx="93">
                  <c:v>9422</c:v>
                </c:pt>
                <c:pt idx="94">
                  <c:v>9006</c:v>
                </c:pt>
                <c:pt idx="95">
                  <c:v>9154</c:v>
                </c:pt>
                <c:pt idx="96">
                  <c:v>9365</c:v>
                </c:pt>
                <c:pt idx="97">
                  <c:v>8455</c:v>
                </c:pt>
                <c:pt idx="98">
                  <c:v>9275</c:v>
                </c:pt>
                <c:pt idx="99">
                  <c:v>19766</c:v>
                </c:pt>
                <c:pt idx="100">
                  <c:v>20683</c:v>
                </c:pt>
                <c:pt idx="101">
                  <c:v>21636</c:v>
                </c:pt>
                <c:pt idx="102">
                  <c:v>9292</c:v>
                </c:pt>
                <c:pt idx="103">
                  <c:v>9289</c:v>
                </c:pt>
                <c:pt idx="104">
                  <c:v>9074</c:v>
                </c:pt>
                <c:pt idx="105">
                  <c:v>9116</c:v>
                </c:pt>
                <c:pt idx="106">
                  <c:v>8873</c:v>
                </c:pt>
                <c:pt idx="107">
                  <c:v>9442</c:v>
                </c:pt>
                <c:pt idx="108">
                  <c:v>9362</c:v>
                </c:pt>
                <c:pt idx="109">
                  <c:v>8618</c:v>
                </c:pt>
                <c:pt idx="110">
                  <c:v>9399</c:v>
                </c:pt>
                <c:pt idx="111">
                  <c:v>19941</c:v>
                </c:pt>
                <c:pt idx="112">
                  <c:v>20976</c:v>
                </c:pt>
                <c:pt idx="113">
                  <c:v>22145</c:v>
                </c:pt>
                <c:pt idx="114">
                  <c:v>9474</c:v>
                </c:pt>
                <c:pt idx="115">
                  <c:v>9053</c:v>
                </c:pt>
                <c:pt idx="116">
                  <c:v>9158</c:v>
                </c:pt>
                <c:pt idx="117">
                  <c:v>9488</c:v>
                </c:pt>
                <c:pt idx="118">
                  <c:v>8791</c:v>
                </c:pt>
                <c:pt idx="119">
                  <c:v>9351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2E-4531-93D4-A5B358B0DD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869200"/>
        <c:axId val="147521680"/>
      </c:lineChart>
      <c:catAx>
        <c:axId val="144913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81424"/>
        <c:crosses val="autoZero"/>
        <c:auto val="1"/>
        <c:lblAlgn val="ctr"/>
        <c:lblOffset val="100"/>
        <c:noMultiLvlLbl val="0"/>
      </c:catAx>
      <c:valAx>
        <c:axId val="13008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13600"/>
        <c:crosses val="autoZero"/>
        <c:crossBetween val="between"/>
      </c:valAx>
      <c:valAx>
        <c:axId val="147521680"/>
        <c:scaling>
          <c:orientation val="minMax"/>
        </c:scaling>
        <c:delete val="0"/>
        <c:axPos val="r"/>
        <c:numFmt formatCode="_(* #,##0_);_(* \(#,##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69200"/>
        <c:crosses val="max"/>
        <c:crossBetween val="between"/>
      </c:valAx>
      <c:catAx>
        <c:axId val="1448692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752168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 returns - Products A &amp; 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Sales!$X$5</c:f>
              <c:strCache>
                <c:ptCount val="1"/>
                <c:pt idx="0">
                  <c:v>Return 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Sales!$W$6:$W$125</c:f>
              <c:strCache>
                <c:ptCount val="120"/>
                <c:pt idx="0">
                  <c:v>January 2011</c:v>
                </c:pt>
                <c:pt idx="1">
                  <c:v>February 2011</c:v>
                </c:pt>
                <c:pt idx="2">
                  <c:v>March 2011</c:v>
                </c:pt>
                <c:pt idx="3">
                  <c:v>April 2011</c:v>
                </c:pt>
                <c:pt idx="4">
                  <c:v>May 2011</c:v>
                </c:pt>
                <c:pt idx="5">
                  <c:v>June 2011</c:v>
                </c:pt>
                <c:pt idx="6">
                  <c:v>July 2011</c:v>
                </c:pt>
                <c:pt idx="7">
                  <c:v>August 2011</c:v>
                </c:pt>
                <c:pt idx="8">
                  <c:v>September 2011</c:v>
                </c:pt>
                <c:pt idx="9">
                  <c:v>October 2011</c:v>
                </c:pt>
                <c:pt idx="10">
                  <c:v>November 2011</c:v>
                </c:pt>
                <c:pt idx="11">
                  <c:v>December 2011</c:v>
                </c:pt>
                <c:pt idx="12">
                  <c:v>January 2012</c:v>
                </c:pt>
                <c:pt idx="13">
                  <c:v>February 2012</c:v>
                </c:pt>
                <c:pt idx="14">
                  <c:v>March 2012</c:v>
                </c:pt>
                <c:pt idx="15">
                  <c:v>April 2012</c:v>
                </c:pt>
                <c:pt idx="16">
                  <c:v>May 2012</c:v>
                </c:pt>
                <c:pt idx="17">
                  <c:v>June 2012</c:v>
                </c:pt>
                <c:pt idx="18">
                  <c:v>July 2012</c:v>
                </c:pt>
                <c:pt idx="19">
                  <c:v>August 2012</c:v>
                </c:pt>
                <c:pt idx="20">
                  <c:v>September 2012</c:v>
                </c:pt>
                <c:pt idx="21">
                  <c:v>October 2012</c:v>
                </c:pt>
                <c:pt idx="22">
                  <c:v>November 2012</c:v>
                </c:pt>
                <c:pt idx="23">
                  <c:v>December 2012</c:v>
                </c:pt>
                <c:pt idx="24">
                  <c:v>January 2013</c:v>
                </c:pt>
                <c:pt idx="25">
                  <c:v>February 2013</c:v>
                </c:pt>
                <c:pt idx="26">
                  <c:v>March 2013</c:v>
                </c:pt>
                <c:pt idx="27">
                  <c:v>April 2013</c:v>
                </c:pt>
                <c:pt idx="28">
                  <c:v>May 2013</c:v>
                </c:pt>
                <c:pt idx="29">
                  <c:v>June 2013</c:v>
                </c:pt>
                <c:pt idx="30">
                  <c:v>July 2013</c:v>
                </c:pt>
                <c:pt idx="31">
                  <c:v>August 2013</c:v>
                </c:pt>
                <c:pt idx="32">
                  <c:v>September 2013</c:v>
                </c:pt>
                <c:pt idx="33">
                  <c:v>October 2013</c:v>
                </c:pt>
                <c:pt idx="34">
                  <c:v>November 2013</c:v>
                </c:pt>
                <c:pt idx="35">
                  <c:v>December 2013</c:v>
                </c:pt>
                <c:pt idx="36">
                  <c:v>January 2014</c:v>
                </c:pt>
                <c:pt idx="37">
                  <c:v>February 2014</c:v>
                </c:pt>
                <c:pt idx="38">
                  <c:v>March 2014</c:v>
                </c:pt>
                <c:pt idx="39">
                  <c:v>April 2014</c:v>
                </c:pt>
                <c:pt idx="40">
                  <c:v>May 2014</c:v>
                </c:pt>
                <c:pt idx="41">
                  <c:v>June 2014</c:v>
                </c:pt>
                <c:pt idx="42">
                  <c:v>July 2014</c:v>
                </c:pt>
                <c:pt idx="43">
                  <c:v>August 2014</c:v>
                </c:pt>
                <c:pt idx="44">
                  <c:v>September 2014</c:v>
                </c:pt>
                <c:pt idx="45">
                  <c:v>October 2014</c:v>
                </c:pt>
                <c:pt idx="46">
                  <c:v>November 2014</c:v>
                </c:pt>
                <c:pt idx="47">
                  <c:v>December 2014</c:v>
                </c:pt>
                <c:pt idx="48">
                  <c:v>January 2015</c:v>
                </c:pt>
                <c:pt idx="49">
                  <c:v>February 2015</c:v>
                </c:pt>
                <c:pt idx="50">
                  <c:v>March 2015</c:v>
                </c:pt>
                <c:pt idx="51">
                  <c:v>April 2015</c:v>
                </c:pt>
                <c:pt idx="52">
                  <c:v>May 2015</c:v>
                </c:pt>
                <c:pt idx="53">
                  <c:v>June 2015</c:v>
                </c:pt>
                <c:pt idx="54">
                  <c:v>July 2015</c:v>
                </c:pt>
                <c:pt idx="55">
                  <c:v>August 2015</c:v>
                </c:pt>
                <c:pt idx="56">
                  <c:v>September 2015</c:v>
                </c:pt>
                <c:pt idx="57">
                  <c:v>October 2015</c:v>
                </c:pt>
                <c:pt idx="58">
                  <c:v>November 2015</c:v>
                </c:pt>
                <c:pt idx="59">
                  <c:v>December 2015</c:v>
                </c:pt>
                <c:pt idx="60">
                  <c:v>January 2016</c:v>
                </c:pt>
                <c:pt idx="61">
                  <c:v>February 2016</c:v>
                </c:pt>
                <c:pt idx="62">
                  <c:v>March 2016</c:v>
                </c:pt>
                <c:pt idx="63">
                  <c:v>April 2016</c:v>
                </c:pt>
                <c:pt idx="64">
                  <c:v>May 2016</c:v>
                </c:pt>
                <c:pt idx="65">
                  <c:v>June 2016</c:v>
                </c:pt>
                <c:pt idx="66">
                  <c:v>July 2016</c:v>
                </c:pt>
                <c:pt idx="67">
                  <c:v>August 2016</c:v>
                </c:pt>
                <c:pt idx="68">
                  <c:v>September 2016</c:v>
                </c:pt>
                <c:pt idx="69">
                  <c:v>October 2016</c:v>
                </c:pt>
                <c:pt idx="70">
                  <c:v>November 2016</c:v>
                </c:pt>
                <c:pt idx="71">
                  <c:v>December 2016</c:v>
                </c:pt>
                <c:pt idx="72">
                  <c:v>January 2017</c:v>
                </c:pt>
                <c:pt idx="73">
                  <c:v>February 2017</c:v>
                </c:pt>
                <c:pt idx="74">
                  <c:v>March 2017</c:v>
                </c:pt>
                <c:pt idx="75">
                  <c:v>April 2017</c:v>
                </c:pt>
                <c:pt idx="76">
                  <c:v>May 2017</c:v>
                </c:pt>
                <c:pt idx="77">
                  <c:v>June 2017</c:v>
                </c:pt>
                <c:pt idx="78">
                  <c:v>July 2017</c:v>
                </c:pt>
                <c:pt idx="79">
                  <c:v>August 2017</c:v>
                </c:pt>
                <c:pt idx="80">
                  <c:v>September 2017</c:v>
                </c:pt>
                <c:pt idx="81">
                  <c:v>October 2017</c:v>
                </c:pt>
                <c:pt idx="82">
                  <c:v>November 2017</c:v>
                </c:pt>
                <c:pt idx="83">
                  <c:v>December 2017</c:v>
                </c:pt>
                <c:pt idx="84">
                  <c:v>January 2018</c:v>
                </c:pt>
                <c:pt idx="85">
                  <c:v>February 2018</c:v>
                </c:pt>
                <c:pt idx="86">
                  <c:v>March 2018</c:v>
                </c:pt>
                <c:pt idx="87">
                  <c:v>April 2018</c:v>
                </c:pt>
                <c:pt idx="88">
                  <c:v>May 2018</c:v>
                </c:pt>
                <c:pt idx="89">
                  <c:v>June 2018</c:v>
                </c:pt>
                <c:pt idx="90">
                  <c:v>July 2018</c:v>
                </c:pt>
                <c:pt idx="91">
                  <c:v>August 2018</c:v>
                </c:pt>
                <c:pt idx="92">
                  <c:v>September 2018</c:v>
                </c:pt>
                <c:pt idx="93">
                  <c:v>October 2018</c:v>
                </c:pt>
                <c:pt idx="94">
                  <c:v>November 2018</c:v>
                </c:pt>
                <c:pt idx="95">
                  <c:v>December 2018</c:v>
                </c:pt>
                <c:pt idx="96">
                  <c:v>January 2019</c:v>
                </c:pt>
                <c:pt idx="97">
                  <c:v>February 2019</c:v>
                </c:pt>
                <c:pt idx="98">
                  <c:v>March 2019</c:v>
                </c:pt>
                <c:pt idx="99">
                  <c:v>April 2019</c:v>
                </c:pt>
                <c:pt idx="100">
                  <c:v>May 2019</c:v>
                </c:pt>
                <c:pt idx="101">
                  <c:v>June 2019</c:v>
                </c:pt>
                <c:pt idx="102">
                  <c:v>July 2019</c:v>
                </c:pt>
                <c:pt idx="103">
                  <c:v>August 2019</c:v>
                </c:pt>
                <c:pt idx="104">
                  <c:v>September 2019</c:v>
                </c:pt>
                <c:pt idx="105">
                  <c:v>October 2019</c:v>
                </c:pt>
                <c:pt idx="106">
                  <c:v>November 2019</c:v>
                </c:pt>
                <c:pt idx="107">
                  <c:v>December 2019</c:v>
                </c:pt>
                <c:pt idx="108">
                  <c:v>January 2020</c:v>
                </c:pt>
                <c:pt idx="109">
                  <c:v>February 2020</c:v>
                </c:pt>
                <c:pt idx="110">
                  <c:v>March 2020</c:v>
                </c:pt>
                <c:pt idx="111">
                  <c:v>April 2020</c:v>
                </c:pt>
                <c:pt idx="112">
                  <c:v>May 2020</c:v>
                </c:pt>
                <c:pt idx="113">
                  <c:v>June 2020</c:v>
                </c:pt>
                <c:pt idx="114">
                  <c:v>July 2020</c:v>
                </c:pt>
                <c:pt idx="115">
                  <c:v>August 2020</c:v>
                </c:pt>
                <c:pt idx="116">
                  <c:v>September 2020</c:v>
                </c:pt>
                <c:pt idx="117">
                  <c:v>October 2020</c:v>
                </c:pt>
                <c:pt idx="118">
                  <c:v>November 2020</c:v>
                </c:pt>
                <c:pt idx="119">
                  <c:v>December 2020</c:v>
                </c:pt>
              </c:strCache>
            </c:strRef>
          </c:cat>
          <c:val>
            <c:numRef>
              <c:f>Sales!$X$6:$X$125</c:f>
              <c:numCache>
                <c:formatCode>0.00%</c:formatCode>
                <c:ptCount val="120"/>
                <c:pt idx="0">
                  <c:v>7.9972658920027348E-2</c:v>
                </c:pt>
                <c:pt idx="1">
                  <c:v>8.8885465608873143E-2</c:v>
                </c:pt>
                <c:pt idx="2">
                  <c:v>8.384429900103342E-2</c:v>
                </c:pt>
                <c:pt idx="3">
                  <c:v>8.9687980971036793E-2</c:v>
                </c:pt>
                <c:pt idx="4">
                  <c:v>8.4291463064098876E-2</c:v>
                </c:pt>
                <c:pt idx="5">
                  <c:v>8.3579295947016047E-2</c:v>
                </c:pt>
                <c:pt idx="6">
                  <c:v>7.8821879382889204E-2</c:v>
                </c:pt>
                <c:pt idx="7">
                  <c:v>9.3324156916724021E-2</c:v>
                </c:pt>
                <c:pt idx="8">
                  <c:v>8.2490636704119852E-2</c:v>
                </c:pt>
                <c:pt idx="9">
                  <c:v>0</c:v>
                </c:pt>
                <c:pt idx="10">
                  <c:v>8.3031722375984676E-2</c:v>
                </c:pt>
                <c:pt idx="11">
                  <c:v>8.5993531148924204E-2</c:v>
                </c:pt>
                <c:pt idx="12">
                  <c:v>7.8969654199012002E-2</c:v>
                </c:pt>
                <c:pt idx="13">
                  <c:v>8.4825503826978441E-2</c:v>
                </c:pt>
                <c:pt idx="14">
                  <c:v>8.3885807062643758E-2</c:v>
                </c:pt>
                <c:pt idx="15">
                  <c:v>8.0352733686067018E-2</c:v>
                </c:pt>
                <c:pt idx="16">
                  <c:v>8.1342039455404275E-2</c:v>
                </c:pt>
                <c:pt idx="17">
                  <c:v>8.4738675958188153E-2</c:v>
                </c:pt>
                <c:pt idx="18">
                  <c:v>8.5924659785681409E-2</c:v>
                </c:pt>
                <c:pt idx="19">
                  <c:v>7.9353965364328052E-2</c:v>
                </c:pt>
                <c:pt idx="20">
                  <c:v>8.384681012418238E-2</c:v>
                </c:pt>
                <c:pt idx="21">
                  <c:v>0</c:v>
                </c:pt>
                <c:pt idx="22">
                  <c:v>7.6842342004648026E-2</c:v>
                </c:pt>
                <c:pt idx="23">
                  <c:v>8.4320937202016069E-2</c:v>
                </c:pt>
                <c:pt idx="24">
                  <c:v>8.2355349344978165E-2</c:v>
                </c:pt>
                <c:pt idx="25">
                  <c:v>8.6295180722891565E-2</c:v>
                </c:pt>
                <c:pt idx="26">
                  <c:v>7.9886455798864553E-2</c:v>
                </c:pt>
                <c:pt idx="27">
                  <c:v>8.9834851936218679E-2</c:v>
                </c:pt>
                <c:pt idx="28">
                  <c:v>8.1222160356347439E-2</c:v>
                </c:pt>
                <c:pt idx="29">
                  <c:v>8.1096978163370345E-2</c:v>
                </c:pt>
                <c:pt idx="30">
                  <c:v>8.7391960488407194E-2</c:v>
                </c:pt>
                <c:pt idx="31">
                  <c:v>8.7287717883228033E-2</c:v>
                </c:pt>
                <c:pt idx="32">
                  <c:v>8.5299023111746489E-2</c:v>
                </c:pt>
                <c:pt idx="33">
                  <c:v>0</c:v>
                </c:pt>
                <c:pt idx="34">
                  <c:v>8.016907866456513E-2</c:v>
                </c:pt>
                <c:pt idx="35">
                  <c:v>7.9716444860563104E-2</c:v>
                </c:pt>
                <c:pt idx="36">
                  <c:v>8.9570304619729674E-2</c:v>
                </c:pt>
                <c:pt idx="37">
                  <c:v>7.8915108795586886E-2</c:v>
                </c:pt>
                <c:pt idx="38">
                  <c:v>8.5511523327712197E-2</c:v>
                </c:pt>
                <c:pt idx="39">
                  <c:v>8.0966511233573554E-2</c:v>
                </c:pt>
                <c:pt idx="40">
                  <c:v>8.1651506537805577E-2</c:v>
                </c:pt>
                <c:pt idx="41">
                  <c:v>8.4529728972617124E-2</c:v>
                </c:pt>
                <c:pt idx="42">
                  <c:v>8.0614071320391029E-2</c:v>
                </c:pt>
                <c:pt idx="43">
                  <c:v>7.664900848530308E-2</c:v>
                </c:pt>
                <c:pt idx="44">
                  <c:v>9.1081414083973078E-2</c:v>
                </c:pt>
                <c:pt idx="45">
                  <c:v>0</c:v>
                </c:pt>
                <c:pt idx="46">
                  <c:v>8.2252892792416002E-2</c:v>
                </c:pt>
                <c:pt idx="47">
                  <c:v>8.2451032292218104E-2</c:v>
                </c:pt>
                <c:pt idx="48">
                  <c:v>8.3355831533477323E-2</c:v>
                </c:pt>
                <c:pt idx="49">
                  <c:v>7.8776435045317214E-2</c:v>
                </c:pt>
                <c:pt idx="50">
                  <c:v>8.40235855678787E-2</c:v>
                </c:pt>
                <c:pt idx="51">
                  <c:v>8.9675264691252754E-2</c:v>
                </c:pt>
                <c:pt idx="52">
                  <c:v>7.8936348408710222E-2</c:v>
                </c:pt>
                <c:pt idx="53">
                  <c:v>8.4574996452391082E-2</c:v>
                </c:pt>
                <c:pt idx="54">
                  <c:v>8.069164265129683E-2</c:v>
                </c:pt>
                <c:pt idx="55">
                  <c:v>9.1455798676967195E-2</c:v>
                </c:pt>
                <c:pt idx="56">
                  <c:v>8.10195932769988E-2</c:v>
                </c:pt>
                <c:pt idx="57">
                  <c:v>0</c:v>
                </c:pt>
                <c:pt idx="58">
                  <c:v>8.9040593114585634E-2</c:v>
                </c:pt>
                <c:pt idx="59">
                  <c:v>8.1232304166104899E-2</c:v>
                </c:pt>
                <c:pt idx="60">
                  <c:v>8.2442748091603055E-2</c:v>
                </c:pt>
                <c:pt idx="61">
                  <c:v>7.9465751380390984E-2</c:v>
                </c:pt>
                <c:pt idx="62">
                  <c:v>8.1498250668861905E-2</c:v>
                </c:pt>
                <c:pt idx="63">
                  <c:v>7.4443480774790405E-2</c:v>
                </c:pt>
                <c:pt idx="64">
                  <c:v>8.5730012384752988E-2</c:v>
                </c:pt>
                <c:pt idx="65">
                  <c:v>9.333619640684275E-2</c:v>
                </c:pt>
                <c:pt idx="66">
                  <c:v>7.5311822125813443E-2</c:v>
                </c:pt>
                <c:pt idx="67">
                  <c:v>8.0617418069889549E-2</c:v>
                </c:pt>
                <c:pt idx="68">
                  <c:v>8.5172595394264375E-2</c:v>
                </c:pt>
                <c:pt idx="69">
                  <c:v>0</c:v>
                </c:pt>
                <c:pt idx="70">
                  <c:v>7.9802462066991126E-2</c:v>
                </c:pt>
                <c:pt idx="71">
                  <c:v>8.3492888402625823E-2</c:v>
                </c:pt>
                <c:pt idx="72">
                  <c:v>7.7984403119376128E-2</c:v>
                </c:pt>
                <c:pt idx="73">
                  <c:v>8.6862713760588142E-2</c:v>
                </c:pt>
                <c:pt idx="74">
                  <c:v>7.7389343106850861E-2</c:v>
                </c:pt>
                <c:pt idx="75">
                  <c:v>8.1698875108162677E-2</c:v>
                </c:pt>
                <c:pt idx="76">
                  <c:v>7.3174137690266719E-2</c:v>
                </c:pt>
                <c:pt idx="77">
                  <c:v>8.6628588166373754E-2</c:v>
                </c:pt>
                <c:pt idx="78">
                  <c:v>7.7066243882263741E-2</c:v>
                </c:pt>
                <c:pt idx="79">
                  <c:v>8.0395299145299151E-2</c:v>
                </c:pt>
                <c:pt idx="80">
                  <c:v>9.0392321312086479E-2</c:v>
                </c:pt>
                <c:pt idx="81">
                  <c:v>0</c:v>
                </c:pt>
                <c:pt idx="82">
                  <c:v>8.7123862841147662E-2</c:v>
                </c:pt>
                <c:pt idx="83">
                  <c:v>8.8700527264232804E-2</c:v>
                </c:pt>
                <c:pt idx="84">
                  <c:v>7.9487714902206449E-2</c:v>
                </c:pt>
                <c:pt idx="85">
                  <c:v>7.3614618927351064E-2</c:v>
                </c:pt>
                <c:pt idx="86">
                  <c:v>7.9729914063565679E-2</c:v>
                </c:pt>
                <c:pt idx="87">
                  <c:v>7.8296317121169523E-2</c:v>
                </c:pt>
                <c:pt idx="88">
                  <c:v>8.212001632875221E-2</c:v>
                </c:pt>
                <c:pt idx="89">
                  <c:v>8.4160521837776517E-2</c:v>
                </c:pt>
                <c:pt idx="90">
                  <c:v>8.0259120354585753E-2</c:v>
                </c:pt>
                <c:pt idx="91">
                  <c:v>8.2483738524703601E-2</c:v>
                </c:pt>
                <c:pt idx="92">
                  <c:v>7.9340473506200673E-2</c:v>
                </c:pt>
                <c:pt idx="93">
                  <c:v>0</c:v>
                </c:pt>
                <c:pt idx="94">
                  <c:v>8.9781746031746032E-2</c:v>
                </c:pt>
                <c:pt idx="95">
                  <c:v>8.1687358916478561E-2</c:v>
                </c:pt>
                <c:pt idx="96">
                  <c:v>7.9231033299004466E-2</c:v>
                </c:pt>
                <c:pt idx="97">
                  <c:v>7.9660489020401806E-2</c:v>
                </c:pt>
                <c:pt idx="98">
                  <c:v>8.1594323873121863E-2</c:v>
                </c:pt>
                <c:pt idx="99">
                  <c:v>7.7302631578947373E-2</c:v>
                </c:pt>
                <c:pt idx="100">
                  <c:v>8.7788097695218434E-2</c:v>
                </c:pt>
                <c:pt idx="101">
                  <c:v>8.2217558080625322E-2</c:v>
                </c:pt>
                <c:pt idx="102">
                  <c:v>8.6416400787455022E-2</c:v>
                </c:pt>
                <c:pt idx="103">
                  <c:v>8.724983134697549E-2</c:v>
                </c:pt>
                <c:pt idx="104">
                  <c:v>8.3052856127044328E-2</c:v>
                </c:pt>
                <c:pt idx="105">
                  <c:v>0</c:v>
                </c:pt>
                <c:pt idx="106">
                  <c:v>8.5770121598147078E-2</c:v>
                </c:pt>
                <c:pt idx="107">
                  <c:v>8.7211306446053086E-2</c:v>
                </c:pt>
                <c:pt idx="108">
                  <c:v>8.0236903334978502E-2</c:v>
                </c:pt>
                <c:pt idx="109">
                  <c:v>7.7499432377204275E-2</c:v>
                </c:pt>
                <c:pt idx="110">
                  <c:v>8.3209106925057591E-2</c:v>
                </c:pt>
                <c:pt idx="111">
                  <c:v>8.5458738033680384E-2</c:v>
                </c:pt>
                <c:pt idx="112">
                  <c:v>8.7260849276714889E-2</c:v>
                </c:pt>
                <c:pt idx="113">
                  <c:v>8.4738874212558421E-2</c:v>
                </c:pt>
                <c:pt idx="114">
                  <c:v>8.6665285546578277E-2</c:v>
                </c:pt>
                <c:pt idx="115">
                  <c:v>8.3954297069051165E-2</c:v>
                </c:pt>
                <c:pt idx="116">
                  <c:v>8.0248399364559769E-2</c:v>
                </c:pt>
                <c:pt idx="117">
                  <c:v>0</c:v>
                </c:pt>
                <c:pt idx="118">
                  <c:v>7.9539066891512092E-2</c:v>
                </c:pt>
                <c:pt idx="1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6D-4879-B2E5-C57A60491787}"/>
            </c:ext>
          </c:extLst>
        </c:ser>
        <c:ser>
          <c:idx val="2"/>
          <c:order val="1"/>
          <c:tx>
            <c:strRef>
              <c:f>Sales!$Z$5</c:f>
              <c:strCache>
                <c:ptCount val="1"/>
                <c:pt idx="0">
                  <c:v>Return 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Sales!$W$6:$W$125</c:f>
              <c:strCache>
                <c:ptCount val="120"/>
                <c:pt idx="0">
                  <c:v>January 2011</c:v>
                </c:pt>
                <c:pt idx="1">
                  <c:v>February 2011</c:v>
                </c:pt>
                <c:pt idx="2">
                  <c:v>March 2011</c:v>
                </c:pt>
                <c:pt idx="3">
                  <c:v>April 2011</c:v>
                </c:pt>
                <c:pt idx="4">
                  <c:v>May 2011</c:v>
                </c:pt>
                <c:pt idx="5">
                  <c:v>June 2011</c:v>
                </c:pt>
                <c:pt idx="6">
                  <c:v>July 2011</c:v>
                </c:pt>
                <c:pt idx="7">
                  <c:v>August 2011</c:v>
                </c:pt>
                <c:pt idx="8">
                  <c:v>September 2011</c:v>
                </c:pt>
                <c:pt idx="9">
                  <c:v>October 2011</c:v>
                </c:pt>
                <c:pt idx="10">
                  <c:v>November 2011</c:v>
                </c:pt>
                <c:pt idx="11">
                  <c:v>December 2011</c:v>
                </c:pt>
                <c:pt idx="12">
                  <c:v>January 2012</c:v>
                </c:pt>
                <c:pt idx="13">
                  <c:v>February 2012</c:v>
                </c:pt>
                <c:pt idx="14">
                  <c:v>March 2012</c:v>
                </c:pt>
                <c:pt idx="15">
                  <c:v>April 2012</c:v>
                </c:pt>
                <c:pt idx="16">
                  <c:v>May 2012</c:v>
                </c:pt>
                <c:pt idx="17">
                  <c:v>June 2012</c:v>
                </c:pt>
                <c:pt idx="18">
                  <c:v>July 2012</c:v>
                </c:pt>
                <c:pt idx="19">
                  <c:v>August 2012</c:v>
                </c:pt>
                <c:pt idx="20">
                  <c:v>September 2012</c:v>
                </c:pt>
                <c:pt idx="21">
                  <c:v>October 2012</c:v>
                </c:pt>
                <c:pt idx="22">
                  <c:v>November 2012</c:v>
                </c:pt>
                <c:pt idx="23">
                  <c:v>December 2012</c:v>
                </c:pt>
                <c:pt idx="24">
                  <c:v>January 2013</c:v>
                </c:pt>
                <c:pt idx="25">
                  <c:v>February 2013</c:v>
                </c:pt>
                <c:pt idx="26">
                  <c:v>March 2013</c:v>
                </c:pt>
                <c:pt idx="27">
                  <c:v>April 2013</c:v>
                </c:pt>
                <c:pt idx="28">
                  <c:v>May 2013</c:v>
                </c:pt>
                <c:pt idx="29">
                  <c:v>June 2013</c:v>
                </c:pt>
                <c:pt idx="30">
                  <c:v>July 2013</c:v>
                </c:pt>
                <c:pt idx="31">
                  <c:v>August 2013</c:v>
                </c:pt>
                <c:pt idx="32">
                  <c:v>September 2013</c:v>
                </c:pt>
                <c:pt idx="33">
                  <c:v>October 2013</c:v>
                </c:pt>
                <c:pt idx="34">
                  <c:v>November 2013</c:v>
                </c:pt>
                <c:pt idx="35">
                  <c:v>December 2013</c:v>
                </c:pt>
                <c:pt idx="36">
                  <c:v>January 2014</c:v>
                </c:pt>
                <c:pt idx="37">
                  <c:v>February 2014</c:v>
                </c:pt>
                <c:pt idx="38">
                  <c:v>March 2014</c:v>
                </c:pt>
                <c:pt idx="39">
                  <c:v>April 2014</c:v>
                </c:pt>
                <c:pt idx="40">
                  <c:v>May 2014</c:v>
                </c:pt>
                <c:pt idx="41">
                  <c:v>June 2014</c:v>
                </c:pt>
                <c:pt idx="42">
                  <c:v>July 2014</c:v>
                </c:pt>
                <c:pt idx="43">
                  <c:v>August 2014</c:v>
                </c:pt>
                <c:pt idx="44">
                  <c:v>September 2014</c:v>
                </c:pt>
                <c:pt idx="45">
                  <c:v>October 2014</c:v>
                </c:pt>
                <c:pt idx="46">
                  <c:v>November 2014</c:v>
                </c:pt>
                <c:pt idx="47">
                  <c:v>December 2014</c:v>
                </c:pt>
                <c:pt idx="48">
                  <c:v>January 2015</c:v>
                </c:pt>
                <c:pt idx="49">
                  <c:v>February 2015</c:v>
                </c:pt>
                <c:pt idx="50">
                  <c:v>March 2015</c:v>
                </c:pt>
                <c:pt idx="51">
                  <c:v>April 2015</c:v>
                </c:pt>
                <c:pt idx="52">
                  <c:v>May 2015</c:v>
                </c:pt>
                <c:pt idx="53">
                  <c:v>June 2015</c:v>
                </c:pt>
                <c:pt idx="54">
                  <c:v>July 2015</c:v>
                </c:pt>
                <c:pt idx="55">
                  <c:v>August 2015</c:v>
                </c:pt>
                <c:pt idx="56">
                  <c:v>September 2015</c:v>
                </c:pt>
                <c:pt idx="57">
                  <c:v>October 2015</c:v>
                </c:pt>
                <c:pt idx="58">
                  <c:v>November 2015</c:v>
                </c:pt>
                <c:pt idx="59">
                  <c:v>December 2015</c:v>
                </c:pt>
                <c:pt idx="60">
                  <c:v>January 2016</c:v>
                </c:pt>
                <c:pt idx="61">
                  <c:v>February 2016</c:v>
                </c:pt>
                <c:pt idx="62">
                  <c:v>March 2016</c:v>
                </c:pt>
                <c:pt idx="63">
                  <c:v>April 2016</c:v>
                </c:pt>
                <c:pt idx="64">
                  <c:v>May 2016</c:v>
                </c:pt>
                <c:pt idx="65">
                  <c:v>June 2016</c:v>
                </c:pt>
                <c:pt idx="66">
                  <c:v>July 2016</c:v>
                </c:pt>
                <c:pt idx="67">
                  <c:v>August 2016</c:v>
                </c:pt>
                <c:pt idx="68">
                  <c:v>September 2016</c:v>
                </c:pt>
                <c:pt idx="69">
                  <c:v>October 2016</c:v>
                </c:pt>
                <c:pt idx="70">
                  <c:v>November 2016</c:v>
                </c:pt>
                <c:pt idx="71">
                  <c:v>December 2016</c:v>
                </c:pt>
                <c:pt idx="72">
                  <c:v>January 2017</c:v>
                </c:pt>
                <c:pt idx="73">
                  <c:v>February 2017</c:v>
                </c:pt>
                <c:pt idx="74">
                  <c:v>March 2017</c:v>
                </c:pt>
                <c:pt idx="75">
                  <c:v>April 2017</c:v>
                </c:pt>
                <c:pt idx="76">
                  <c:v>May 2017</c:v>
                </c:pt>
                <c:pt idx="77">
                  <c:v>June 2017</c:v>
                </c:pt>
                <c:pt idx="78">
                  <c:v>July 2017</c:v>
                </c:pt>
                <c:pt idx="79">
                  <c:v>August 2017</c:v>
                </c:pt>
                <c:pt idx="80">
                  <c:v>September 2017</c:v>
                </c:pt>
                <c:pt idx="81">
                  <c:v>October 2017</c:v>
                </c:pt>
                <c:pt idx="82">
                  <c:v>November 2017</c:v>
                </c:pt>
                <c:pt idx="83">
                  <c:v>December 2017</c:v>
                </c:pt>
                <c:pt idx="84">
                  <c:v>January 2018</c:v>
                </c:pt>
                <c:pt idx="85">
                  <c:v>February 2018</c:v>
                </c:pt>
                <c:pt idx="86">
                  <c:v>March 2018</c:v>
                </c:pt>
                <c:pt idx="87">
                  <c:v>April 2018</c:v>
                </c:pt>
                <c:pt idx="88">
                  <c:v>May 2018</c:v>
                </c:pt>
                <c:pt idx="89">
                  <c:v>June 2018</c:v>
                </c:pt>
                <c:pt idx="90">
                  <c:v>July 2018</c:v>
                </c:pt>
                <c:pt idx="91">
                  <c:v>August 2018</c:v>
                </c:pt>
                <c:pt idx="92">
                  <c:v>September 2018</c:v>
                </c:pt>
                <c:pt idx="93">
                  <c:v>October 2018</c:v>
                </c:pt>
                <c:pt idx="94">
                  <c:v>November 2018</c:v>
                </c:pt>
                <c:pt idx="95">
                  <c:v>December 2018</c:v>
                </c:pt>
                <c:pt idx="96">
                  <c:v>January 2019</c:v>
                </c:pt>
                <c:pt idx="97">
                  <c:v>February 2019</c:v>
                </c:pt>
                <c:pt idx="98">
                  <c:v>March 2019</c:v>
                </c:pt>
                <c:pt idx="99">
                  <c:v>April 2019</c:v>
                </c:pt>
                <c:pt idx="100">
                  <c:v>May 2019</c:v>
                </c:pt>
                <c:pt idx="101">
                  <c:v>June 2019</c:v>
                </c:pt>
                <c:pt idx="102">
                  <c:v>July 2019</c:v>
                </c:pt>
                <c:pt idx="103">
                  <c:v>August 2019</c:v>
                </c:pt>
                <c:pt idx="104">
                  <c:v>September 2019</c:v>
                </c:pt>
                <c:pt idx="105">
                  <c:v>October 2019</c:v>
                </c:pt>
                <c:pt idx="106">
                  <c:v>November 2019</c:v>
                </c:pt>
                <c:pt idx="107">
                  <c:v>December 2019</c:v>
                </c:pt>
                <c:pt idx="108">
                  <c:v>January 2020</c:v>
                </c:pt>
                <c:pt idx="109">
                  <c:v>February 2020</c:v>
                </c:pt>
                <c:pt idx="110">
                  <c:v>March 2020</c:v>
                </c:pt>
                <c:pt idx="111">
                  <c:v>April 2020</c:v>
                </c:pt>
                <c:pt idx="112">
                  <c:v>May 2020</c:v>
                </c:pt>
                <c:pt idx="113">
                  <c:v>June 2020</c:v>
                </c:pt>
                <c:pt idx="114">
                  <c:v>July 2020</c:v>
                </c:pt>
                <c:pt idx="115">
                  <c:v>August 2020</c:v>
                </c:pt>
                <c:pt idx="116">
                  <c:v>September 2020</c:v>
                </c:pt>
                <c:pt idx="117">
                  <c:v>October 2020</c:v>
                </c:pt>
                <c:pt idx="118">
                  <c:v>November 2020</c:v>
                </c:pt>
                <c:pt idx="119">
                  <c:v>December 2020</c:v>
                </c:pt>
              </c:strCache>
            </c:strRef>
          </c:cat>
          <c:val>
            <c:numRef>
              <c:f>Sales!$Z$6:$Z$125</c:f>
              <c:numCache>
                <c:formatCode>0.00%</c:formatCode>
                <c:ptCount val="120"/>
                <c:pt idx="0">
                  <c:v>6.2745525971191624E-2</c:v>
                </c:pt>
                <c:pt idx="1">
                  <c:v>6.1289939422734294E-2</c:v>
                </c:pt>
                <c:pt idx="2">
                  <c:v>6.51528013582343E-2</c:v>
                </c:pt>
                <c:pt idx="3">
                  <c:v>6.4697178427470789E-2</c:v>
                </c:pt>
                <c:pt idx="4">
                  <c:v>6.2364346693676749E-2</c:v>
                </c:pt>
                <c:pt idx="5">
                  <c:v>0</c:v>
                </c:pt>
                <c:pt idx="6">
                  <c:v>6.8194276943317617E-2</c:v>
                </c:pt>
                <c:pt idx="7">
                  <c:v>6.5617640762149432E-2</c:v>
                </c:pt>
                <c:pt idx="8">
                  <c:v>6.6545123062898809E-2</c:v>
                </c:pt>
                <c:pt idx="9">
                  <c:v>6.4139322501858345E-2</c:v>
                </c:pt>
                <c:pt idx="10">
                  <c:v>5.5701754385964912E-2</c:v>
                </c:pt>
                <c:pt idx="11">
                  <c:v>6.2831582232393629E-2</c:v>
                </c:pt>
                <c:pt idx="12">
                  <c:v>7.1499285007149929E-2</c:v>
                </c:pt>
                <c:pt idx="13">
                  <c:v>6.8626316398564979E-2</c:v>
                </c:pt>
                <c:pt idx="14">
                  <c:v>5.7232841007819286E-2</c:v>
                </c:pt>
                <c:pt idx="15">
                  <c:v>6.0392967942088933E-2</c:v>
                </c:pt>
                <c:pt idx="16">
                  <c:v>6.4689362960043351E-2</c:v>
                </c:pt>
                <c:pt idx="17">
                  <c:v>0</c:v>
                </c:pt>
                <c:pt idx="18">
                  <c:v>6.203164029975021E-2</c:v>
                </c:pt>
                <c:pt idx="19">
                  <c:v>6.3734093900833705E-2</c:v>
                </c:pt>
                <c:pt idx="20">
                  <c:v>7.1293935026056104E-2</c:v>
                </c:pt>
                <c:pt idx="21">
                  <c:v>6.1653798813919657E-2</c:v>
                </c:pt>
                <c:pt idx="22">
                  <c:v>5.1226629201340107E-2</c:v>
                </c:pt>
                <c:pt idx="23">
                  <c:v>7.2143668077200948E-2</c:v>
                </c:pt>
                <c:pt idx="24">
                  <c:v>6.6430284701220144E-2</c:v>
                </c:pt>
                <c:pt idx="25">
                  <c:v>6.3783783783783785E-2</c:v>
                </c:pt>
                <c:pt idx="26">
                  <c:v>6.7907877744296172E-2</c:v>
                </c:pt>
                <c:pt idx="27">
                  <c:v>6.3828710265235872E-2</c:v>
                </c:pt>
                <c:pt idx="28">
                  <c:v>7.0665452977530782E-2</c:v>
                </c:pt>
                <c:pt idx="29">
                  <c:v>0</c:v>
                </c:pt>
                <c:pt idx="30">
                  <c:v>6.6229303342705409E-2</c:v>
                </c:pt>
                <c:pt idx="31">
                  <c:v>6.6702761234434221E-2</c:v>
                </c:pt>
                <c:pt idx="32">
                  <c:v>6.8973020017406447E-2</c:v>
                </c:pt>
                <c:pt idx="33">
                  <c:v>6.6952329941081953E-2</c:v>
                </c:pt>
                <c:pt idx="34">
                  <c:v>5.7257278926290726E-2</c:v>
                </c:pt>
                <c:pt idx="35">
                  <c:v>7.0211169471540352E-2</c:v>
                </c:pt>
                <c:pt idx="36">
                  <c:v>5.8413251961639059E-2</c:v>
                </c:pt>
                <c:pt idx="37">
                  <c:v>5.9966418805468935E-2</c:v>
                </c:pt>
                <c:pt idx="38">
                  <c:v>6.491667574338307E-2</c:v>
                </c:pt>
                <c:pt idx="39">
                  <c:v>5.8256811681469213E-2</c:v>
                </c:pt>
                <c:pt idx="40">
                  <c:v>6.4627698996986019E-2</c:v>
                </c:pt>
                <c:pt idx="41">
                  <c:v>0</c:v>
                </c:pt>
                <c:pt idx="42">
                  <c:v>6.4925128429336537E-2</c:v>
                </c:pt>
                <c:pt idx="43">
                  <c:v>6.6981537140403613E-2</c:v>
                </c:pt>
                <c:pt idx="44">
                  <c:v>6.3796909492273735E-2</c:v>
                </c:pt>
                <c:pt idx="45">
                  <c:v>6.7767531631996572E-2</c:v>
                </c:pt>
                <c:pt idx="46">
                  <c:v>7.1566292389701719E-2</c:v>
                </c:pt>
                <c:pt idx="47">
                  <c:v>6.409140369967356E-2</c:v>
                </c:pt>
                <c:pt idx="48">
                  <c:v>7.394136807817589E-2</c:v>
                </c:pt>
                <c:pt idx="49">
                  <c:v>6.5776815776815781E-2</c:v>
                </c:pt>
                <c:pt idx="50">
                  <c:v>6.6942061222328139E-2</c:v>
                </c:pt>
                <c:pt idx="51">
                  <c:v>5.4904503066872785E-2</c:v>
                </c:pt>
                <c:pt idx="52">
                  <c:v>6.9586471791290461E-2</c:v>
                </c:pt>
                <c:pt idx="53">
                  <c:v>0</c:v>
                </c:pt>
                <c:pt idx="54">
                  <c:v>6.8011156404205103E-2</c:v>
                </c:pt>
                <c:pt idx="55">
                  <c:v>6.9402664374731415E-2</c:v>
                </c:pt>
                <c:pt idx="56">
                  <c:v>6.3373197719906113E-2</c:v>
                </c:pt>
                <c:pt idx="57">
                  <c:v>7.3412919781323221E-2</c:v>
                </c:pt>
                <c:pt idx="58">
                  <c:v>6.097285067873303E-2</c:v>
                </c:pt>
                <c:pt idx="59">
                  <c:v>5.6413488811849981E-2</c:v>
                </c:pt>
                <c:pt idx="60">
                  <c:v>6.8440659925492281E-2</c:v>
                </c:pt>
                <c:pt idx="61">
                  <c:v>6.0412059131649404E-2</c:v>
                </c:pt>
                <c:pt idx="62">
                  <c:v>6.3078579117330461E-2</c:v>
                </c:pt>
                <c:pt idx="63">
                  <c:v>6.20943425154597E-2</c:v>
                </c:pt>
                <c:pt idx="64">
                  <c:v>6.802657434265931E-2</c:v>
                </c:pt>
                <c:pt idx="65">
                  <c:v>0</c:v>
                </c:pt>
                <c:pt idx="66">
                  <c:v>6.2813801944236733E-2</c:v>
                </c:pt>
                <c:pt idx="67">
                  <c:v>6.7672413793103445E-2</c:v>
                </c:pt>
                <c:pt idx="68">
                  <c:v>6.8083693125207567E-2</c:v>
                </c:pt>
                <c:pt idx="69">
                  <c:v>6.1302264808362372E-2</c:v>
                </c:pt>
                <c:pt idx="70">
                  <c:v>6.5553424348414754E-2</c:v>
                </c:pt>
                <c:pt idx="71">
                  <c:v>6.958957233652914E-2</c:v>
                </c:pt>
                <c:pt idx="72">
                  <c:v>6.3174114021571651E-2</c:v>
                </c:pt>
                <c:pt idx="73">
                  <c:v>6.5230545806607768E-2</c:v>
                </c:pt>
                <c:pt idx="74">
                  <c:v>5.7861905786190576E-2</c:v>
                </c:pt>
                <c:pt idx="75">
                  <c:v>6.4087182563487305E-2</c:v>
                </c:pt>
                <c:pt idx="76">
                  <c:v>6.8620047324170569E-2</c:v>
                </c:pt>
                <c:pt idx="77">
                  <c:v>0</c:v>
                </c:pt>
                <c:pt idx="78">
                  <c:v>7.0366805689231093E-2</c:v>
                </c:pt>
                <c:pt idx="79">
                  <c:v>6.0815770158330715E-2</c:v>
                </c:pt>
                <c:pt idx="80">
                  <c:v>6.5656014832588067E-2</c:v>
                </c:pt>
                <c:pt idx="81">
                  <c:v>5.9209818064377223E-2</c:v>
                </c:pt>
                <c:pt idx="82">
                  <c:v>5.823068309070549E-2</c:v>
                </c:pt>
                <c:pt idx="83">
                  <c:v>6.3560661958469489E-2</c:v>
                </c:pt>
                <c:pt idx="84">
                  <c:v>5.2570093457943924E-2</c:v>
                </c:pt>
                <c:pt idx="85">
                  <c:v>6.2613981762917936E-2</c:v>
                </c:pt>
                <c:pt idx="86">
                  <c:v>6.8270481144343309E-2</c:v>
                </c:pt>
                <c:pt idx="87">
                  <c:v>6.4591360778746706E-2</c:v>
                </c:pt>
                <c:pt idx="88">
                  <c:v>6.3079955767104193E-2</c:v>
                </c:pt>
                <c:pt idx="89">
                  <c:v>0</c:v>
                </c:pt>
                <c:pt idx="90">
                  <c:v>6.1445912557739825E-2</c:v>
                </c:pt>
                <c:pt idx="91">
                  <c:v>6.0139111824505084E-2</c:v>
                </c:pt>
                <c:pt idx="92">
                  <c:v>5.4741711642251348E-2</c:v>
                </c:pt>
                <c:pt idx="93">
                  <c:v>5.8586287412438973E-2</c:v>
                </c:pt>
                <c:pt idx="94">
                  <c:v>6.5067732622695981E-2</c:v>
                </c:pt>
                <c:pt idx="95">
                  <c:v>6.1503168013982958E-2</c:v>
                </c:pt>
                <c:pt idx="96">
                  <c:v>6.7912439935931657E-2</c:v>
                </c:pt>
                <c:pt idx="97">
                  <c:v>6.0910703725606148E-2</c:v>
                </c:pt>
                <c:pt idx="98">
                  <c:v>6.5983827493261454E-2</c:v>
                </c:pt>
                <c:pt idx="99">
                  <c:v>6.5971870889406051E-2</c:v>
                </c:pt>
                <c:pt idx="100">
                  <c:v>6.0387758062176666E-2</c:v>
                </c:pt>
                <c:pt idx="101">
                  <c:v>0</c:v>
                </c:pt>
                <c:pt idx="102">
                  <c:v>5.2948773138183386E-2</c:v>
                </c:pt>
                <c:pt idx="103">
                  <c:v>5.9425126493702227E-2</c:v>
                </c:pt>
                <c:pt idx="104">
                  <c:v>6.6563808684152528E-2</c:v>
                </c:pt>
                <c:pt idx="105">
                  <c:v>7.1083808688021055E-2</c:v>
                </c:pt>
                <c:pt idx="106">
                  <c:v>6.3563619970697621E-2</c:v>
                </c:pt>
                <c:pt idx="107">
                  <c:v>6.46049565769964E-2</c:v>
                </c:pt>
                <c:pt idx="108">
                  <c:v>6.1311685537278358E-2</c:v>
                </c:pt>
                <c:pt idx="109">
                  <c:v>6.5212346252030637E-2</c:v>
                </c:pt>
                <c:pt idx="110">
                  <c:v>6.415576125119693E-2</c:v>
                </c:pt>
                <c:pt idx="111">
                  <c:v>6.6094980191565122E-2</c:v>
                </c:pt>
                <c:pt idx="112">
                  <c:v>6.0068649885583525E-2</c:v>
                </c:pt>
                <c:pt idx="113">
                  <c:v>0</c:v>
                </c:pt>
                <c:pt idx="114">
                  <c:v>6.2697910069664339E-2</c:v>
                </c:pt>
                <c:pt idx="115">
                  <c:v>5.7549983430906879E-2</c:v>
                </c:pt>
                <c:pt idx="116">
                  <c:v>5.8091286307053944E-2</c:v>
                </c:pt>
                <c:pt idx="117">
                  <c:v>6.2710792580101177E-2</c:v>
                </c:pt>
                <c:pt idx="118">
                  <c:v>6.3474007507678301E-2</c:v>
                </c:pt>
                <c:pt idx="1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6D-4879-B2E5-C57A604917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932496"/>
        <c:axId val="1459436192"/>
      </c:lineChart>
      <c:catAx>
        <c:axId val="142932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436192"/>
        <c:crosses val="autoZero"/>
        <c:auto val="1"/>
        <c:lblAlgn val="ctr"/>
        <c:lblOffset val="100"/>
        <c:noMultiLvlLbl val="0"/>
      </c:catAx>
      <c:valAx>
        <c:axId val="145943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932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Percentage Warranty on Products A&amp;B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Sales!$Y$5</c:f>
              <c:strCache>
                <c:ptCount val="1"/>
                <c:pt idx="0">
                  <c:v>Warranty 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Sales!$W$6:$W$125</c:f>
              <c:strCache>
                <c:ptCount val="120"/>
                <c:pt idx="0">
                  <c:v>January 2011</c:v>
                </c:pt>
                <c:pt idx="1">
                  <c:v>February 2011</c:v>
                </c:pt>
                <c:pt idx="2">
                  <c:v>March 2011</c:v>
                </c:pt>
                <c:pt idx="3">
                  <c:v>April 2011</c:v>
                </c:pt>
                <c:pt idx="4">
                  <c:v>May 2011</c:v>
                </c:pt>
                <c:pt idx="5">
                  <c:v>June 2011</c:v>
                </c:pt>
                <c:pt idx="6">
                  <c:v>July 2011</c:v>
                </c:pt>
                <c:pt idx="7">
                  <c:v>August 2011</c:v>
                </c:pt>
                <c:pt idx="8">
                  <c:v>September 2011</c:v>
                </c:pt>
                <c:pt idx="9">
                  <c:v>October 2011</c:v>
                </c:pt>
                <c:pt idx="10">
                  <c:v>November 2011</c:v>
                </c:pt>
                <c:pt idx="11">
                  <c:v>December 2011</c:v>
                </c:pt>
                <c:pt idx="12">
                  <c:v>January 2012</c:v>
                </c:pt>
                <c:pt idx="13">
                  <c:v>February 2012</c:v>
                </c:pt>
                <c:pt idx="14">
                  <c:v>March 2012</c:v>
                </c:pt>
                <c:pt idx="15">
                  <c:v>April 2012</c:v>
                </c:pt>
                <c:pt idx="16">
                  <c:v>May 2012</c:v>
                </c:pt>
                <c:pt idx="17">
                  <c:v>June 2012</c:v>
                </c:pt>
                <c:pt idx="18">
                  <c:v>July 2012</c:v>
                </c:pt>
                <c:pt idx="19">
                  <c:v>August 2012</c:v>
                </c:pt>
                <c:pt idx="20">
                  <c:v>September 2012</c:v>
                </c:pt>
                <c:pt idx="21">
                  <c:v>October 2012</c:v>
                </c:pt>
                <c:pt idx="22">
                  <c:v>November 2012</c:v>
                </c:pt>
                <c:pt idx="23">
                  <c:v>December 2012</c:v>
                </c:pt>
                <c:pt idx="24">
                  <c:v>January 2013</c:v>
                </c:pt>
                <c:pt idx="25">
                  <c:v>February 2013</c:v>
                </c:pt>
                <c:pt idx="26">
                  <c:v>March 2013</c:v>
                </c:pt>
                <c:pt idx="27">
                  <c:v>April 2013</c:v>
                </c:pt>
                <c:pt idx="28">
                  <c:v>May 2013</c:v>
                </c:pt>
                <c:pt idx="29">
                  <c:v>June 2013</c:v>
                </c:pt>
                <c:pt idx="30">
                  <c:v>July 2013</c:v>
                </c:pt>
                <c:pt idx="31">
                  <c:v>August 2013</c:v>
                </c:pt>
                <c:pt idx="32">
                  <c:v>September 2013</c:v>
                </c:pt>
                <c:pt idx="33">
                  <c:v>October 2013</c:v>
                </c:pt>
                <c:pt idx="34">
                  <c:v>November 2013</c:v>
                </c:pt>
                <c:pt idx="35">
                  <c:v>December 2013</c:v>
                </c:pt>
                <c:pt idx="36">
                  <c:v>January 2014</c:v>
                </c:pt>
                <c:pt idx="37">
                  <c:v>February 2014</c:v>
                </c:pt>
                <c:pt idx="38">
                  <c:v>March 2014</c:v>
                </c:pt>
                <c:pt idx="39">
                  <c:v>April 2014</c:v>
                </c:pt>
                <c:pt idx="40">
                  <c:v>May 2014</c:v>
                </c:pt>
                <c:pt idx="41">
                  <c:v>June 2014</c:v>
                </c:pt>
                <c:pt idx="42">
                  <c:v>July 2014</c:v>
                </c:pt>
                <c:pt idx="43">
                  <c:v>August 2014</c:v>
                </c:pt>
                <c:pt idx="44">
                  <c:v>September 2014</c:v>
                </c:pt>
                <c:pt idx="45">
                  <c:v>October 2014</c:v>
                </c:pt>
                <c:pt idx="46">
                  <c:v>November 2014</c:v>
                </c:pt>
                <c:pt idx="47">
                  <c:v>December 2014</c:v>
                </c:pt>
                <c:pt idx="48">
                  <c:v>January 2015</c:v>
                </c:pt>
                <c:pt idx="49">
                  <c:v>February 2015</c:v>
                </c:pt>
                <c:pt idx="50">
                  <c:v>March 2015</c:v>
                </c:pt>
                <c:pt idx="51">
                  <c:v>April 2015</c:v>
                </c:pt>
                <c:pt idx="52">
                  <c:v>May 2015</c:v>
                </c:pt>
                <c:pt idx="53">
                  <c:v>June 2015</c:v>
                </c:pt>
                <c:pt idx="54">
                  <c:v>July 2015</c:v>
                </c:pt>
                <c:pt idx="55">
                  <c:v>August 2015</c:v>
                </c:pt>
                <c:pt idx="56">
                  <c:v>September 2015</c:v>
                </c:pt>
                <c:pt idx="57">
                  <c:v>October 2015</c:v>
                </c:pt>
                <c:pt idx="58">
                  <c:v>November 2015</c:v>
                </c:pt>
                <c:pt idx="59">
                  <c:v>December 2015</c:v>
                </c:pt>
                <c:pt idx="60">
                  <c:v>January 2016</c:v>
                </c:pt>
                <c:pt idx="61">
                  <c:v>February 2016</c:v>
                </c:pt>
                <c:pt idx="62">
                  <c:v>March 2016</c:v>
                </c:pt>
                <c:pt idx="63">
                  <c:v>April 2016</c:v>
                </c:pt>
                <c:pt idx="64">
                  <c:v>May 2016</c:v>
                </c:pt>
                <c:pt idx="65">
                  <c:v>June 2016</c:v>
                </c:pt>
                <c:pt idx="66">
                  <c:v>July 2016</c:v>
                </c:pt>
                <c:pt idx="67">
                  <c:v>August 2016</c:v>
                </c:pt>
                <c:pt idx="68">
                  <c:v>September 2016</c:v>
                </c:pt>
                <c:pt idx="69">
                  <c:v>October 2016</c:v>
                </c:pt>
                <c:pt idx="70">
                  <c:v>November 2016</c:v>
                </c:pt>
                <c:pt idx="71">
                  <c:v>December 2016</c:v>
                </c:pt>
                <c:pt idx="72">
                  <c:v>January 2017</c:v>
                </c:pt>
                <c:pt idx="73">
                  <c:v>February 2017</c:v>
                </c:pt>
                <c:pt idx="74">
                  <c:v>March 2017</c:v>
                </c:pt>
                <c:pt idx="75">
                  <c:v>April 2017</c:v>
                </c:pt>
                <c:pt idx="76">
                  <c:v>May 2017</c:v>
                </c:pt>
                <c:pt idx="77">
                  <c:v>June 2017</c:v>
                </c:pt>
                <c:pt idx="78">
                  <c:v>July 2017</c:v>
                </c:pt>
                <c:pt idx="79">
                  <c:v>August 2017</c:v>
                </c:pt>
                <c:pt idx="80">
                  <c:v>September 2017</c:v>
                </c:pt>
                <c:pt idx="81">
                  <c:v>October 2017</c:v>
                </c:pt>
                <c:pt idx="82">
                  <c:v>November 2017</c:v>
                </c:pt>
                <c:pt idx="83">
                  <c:v>December 2017</c:v>
                </c:pt>
                <c:pt idx="84">
                  <c:v>January 2018</c:v>
                </c:pt>
                <c:pt idx="85">
                  <c:v>February 2018</c:v>
                </c:pt>
                <c:pt idx="86">
                  <c:v>March 2018</c:v>
                </c:pt>
                <c:pt idx="87">
                  <c:v>April 2018</c:v>
                </c:pt>
                <c:pt idx="88">
                  <c:v>May 2018</c:v>
                </c:pt>
                <c:pt idx="89">
                  <c:v>June 2018</c:v>
                </c:pt>
                <c:pt idx="90">
                  <c:v>July 2018</c:v>
                </c:pt>
                <c:pt idx="91">
                  <c:v>August 2018</c:v>
                </c:pt>
                <c:pt idx="92">
                  <c:v>September 2018</c:v>
                </c:pt>
                <c:pt idx="93">
                  <c:v>October 2018</c:v>
                </c:pt>
                <c:pt idx="94">
                  <c:v>November 2018</c:v>
                </c:pt>
                <c:pt idx="95">
                  <c:v>December 2018</c:v>
                </c:pt>
                <c:pt idx="96">
                  <c:v>January 2019</c:v>
                </c:pt>
                <c:pt idx="97">
                  <c:v>February 2019</c:v>
                </c:pt>
                <c:pt idx="98">
                  <c:v>March 2019</c:v>
                </c:pt>
                <c:pt idx="99">
                  <c:v>April 2019</c:v>
                </c:pt>
                <c:pt idx="100">
                  <c:v>May 2019</c:v>
                </c:pt>
                <c:pt idx="101">
                  <c:v>June 2019</c:v>
                </c:pt>
                <c:pt idx="102">
                  <c:v>July 2019</c:v>
                </c:pt>
                <c:pt idx="103">
                  <c:v>August 2019</c:v>
                </c:pt>
                <c:pt idx="104">
                  <c:v>September 2019</c:v>
                </c:pt>
                <c:pt idx="105">
                  <c:v>October 2019</c:v>
                </c:pt>
                <c:pt idx="106">
                  <c:v>November 2019</c:v>
                </c:pt>
                <c:pt idx="107">
                  <c:v>December 2019</c:v>
                </c:pt>
                <c:pt idx="108">
                  <c:v>January 2020</c:v>
                </c:pt>
                <c:pt idx="109">
                  <c:v>February 2020</c:v>
                </c:pt>
                <c:pt idx="110">
                  <c:v>March 2020</c:v>
                </c:pt>
                <c:pt idx="111">
                  <c:v>April 2020</c:v>
                </c:pt>
                <c:pt idx="112">
                  <c:v>May 2020</c:v>
                </c:pt>
                <c:pt idx="113">
                  <c:v>June 2020</c:v>
                </c:pt>
                <c:pt idx="114">
                  <c:v>July 2020</c:v>
                </c:pt>
                <c:pt idx="115">
                  <c:v>August 2020</c:v>
                </c:pt>
                <c:pt idx="116">
                  <c:v>September 2020</c:v>
                </c:pt>
                <c:pt idx="117">
                  <c:v>October 2020</c:v>
                </c:pt>
                <c:pt idx="118">
                  <c:v>November 2020</c:v>
                </c:pt>
                <c:pt idx="119">
                  <c:v>December 2020</c:v>
                </c:pt>
              </c:strCache>
            </c:strRef>
          </c:cat>
          <c:val>
            <c:numRef>
              <c:f>Sales!$Y$6:$Y$125</c:f>
              <c:numCache>
                <c:formatCode>0.00%</c:formatCode>
                <c:ptCount val="120"/>
                <c:pt idx="0">
                  <c:v>4.3814080656185916E-2</c:v>
                </c:pt>
                <c:pt idx="1">
                  <c:v>4.6445351613648621E-2</c:v>
                </c:pt>
                <c:pt idx="2">
                  <c:v>3.4653806407164998E-2</c:v>
                </c:pt>
                <c:pt idx="3">
                  <c:v>3.6798656779068142E-2</c:v>
                </c:pt>
                <c:pt idx="4">
                  <c:v>4.5127910319057198E-2</c:v>
                </c:pt>
                <c:pt idx="5">
                  <c:v>3.772226621553524E-2</c:v>
                </c:pt>
                <c:pt idx="6">
                  <c:v>4.5932678821879382E-2</c:v>
                </c:pt>
                <c:pt idx="7">
                  <c:v>4.5606790548290893E-2</c:v>
                </c:pt>
                <c:pt idx="8">
                  <c:v>4.190074906367041E-2</c:v>
                </c:pt>
                <c:pt idx="9">
                  <c:v>2.7863603168361329E-2</c:v>
                </c:pt>
                <c:pt idx="10">
                  <c:v>3.3496558086722021E-2</c:v>
                </c:pt>
                <c:pt idx="11">
                  <c:v>4.0711573618337785E-2</c:v>
                </c:pt>
                <c:pt idx="12">
                  <c:v>3.5426958362738181E-2</c:v>
                </c:pt>
                <c:pt idx="13">
                  <c:v>4.065725721508321E-2</c:v>
                </c:pt>
                <c:pt idx="14">
                  <c:v>4.6475443106480857E-2</c:v>
                </c:pt>
                <c:pt idx="15">
                  <c:v>3.760141093474427E-2</c:v>
                </c:pt>
                <c:pt idx="16">
                  <c:v>3.7232564601278134E-2</c:v>
                </c:pt>
                <c:pt idx="17">
                  <c:v>3.9372822299651569E-2</c:v>
                </c:pt>
                <c:pt idx="18">
                  <c:v>3.2082045887844322E-2</c:v>
                </c:pt>
                <c:pt idx="19">
                  <c:v>3.7763151752789055E-2</c:v>
                </c:pt>
                <c:pt idx="20">
                  <c:v>3.1140392454261069E-2</c:v>
                </c:pt>
                <c:pt idx="21">
                  <c:v>4.0344714019101988E-2</c:v>
                </c:pt>
                <c:pt idx="22">
                  <c:v>4.010795411949921E-2</c:v>
                </c:pt>
                <c:pt idx="23">
                  <c:v>3.6234845388911592E-2</c:v>
                </c:pt>
                <c:pt idx="24">
                  <c:v>4.400927947598253E-2</c:v>
                </c:pt>
                <c:pt idx="25">
                  <c:v>4.5256024096385544E-2</c:v>
                </c:pt>
                <c:pt idx="26">
                  <c:v>4.0078399567450664E-2</c:v>
                </c:pt>
                <c:pt idx="27">
                  <c:v>4.5558086560364468E-2</c:v>
                </c:pt>
                <c:pt idx="28">
                  <c:v>4.2733853006681512E-2</c:v>
                </c:pt>
                <c:pt idx="29">
                  <c:v>4.8378795676788475E-2</c:v>
                </c:pt>
                <c:pt idx="30">
                  <c:v>3.2171765674303743E-2</c:v>
                </c:pt>
                <c:pt idx="31">
                  <c:v>4.3554241161446433E-2</c:v>
                </c:pt>
                <c:pt idx="32">
                  <c:v>3.8789611627352873E-2</c:v>
                </c:pt>
                <c:pt idx="33">
                  <c:v>3.3303680640498164E-2</c:v>
                </c:pt>
                <c:pt idx="34">
                  <c:v>4.5851841237999715E-2</c:v>
                </c:pt>
                <c:pt idx="35">
                  <c:v>3.9523841369624828E-2</c:v>
                </c:pt>
                <c:pt idx="36">
                  <c:v>4.0010759195750117E-2</c:v>
                </c:pt>
                <c:pt idx="37">
                  <c:v>3.8231688630095004E-2</c:v>
                </c:pt>
                <c:pt idx="38">
                  <c:v>4.4688026981450253E-2</c:v>
                </c:pt>
                <c:pt idx="39">
                  <c:v>3.4689840327822526E-2</c:v>
                </c:pt>
                <c:pt idx="40">
                  <c:v>3.8160886867538373E-2</c:v>
                </c:pt>
                <c:pt idx="41">
                  <c:v>5.0913929546887039E-2</c:v>
                </c:pt>
                <c:pt idx="42">
                  <c:v>5.1493873055211345E-2</c:v>
                </c:pt>
                <c:pt idx="43">
                  <c:v>4.5051802540902915E-2</c:v>
                </c:pt>
                <c:pt idx="44">
                  <c:v>4.7294095346412664E-2</c:v>
                </c:pt>
                <c:pt idx="45">
                  <c:v>4.9834772412322779E-2</c:v>
                </c:pt>
                <c:pt idx="46">
                  <c:v>3.7432036804684231E-2</c:v>
                </c:pt>
                <c:pt idx="47">
                  <c:v>4.0629962943356274E-2</c:v>
                </c:pt>
                <c:pt idx="48">
                  <c:v>3.6312095032397407E-2</c:v>
                </c:pt>
                <c:pt idx="49">
                  <c:v>4.2145015105740181E-2</c:v>
                </c:pt>
                <c:pt idx="50">
                  <c:v>3.4325424680612102E-2</c:v>
                </c:pt>
                <c:pt idx="51">
                  <c:v>4.5619270944361544E-2</c:v>
                </c:pt>
                <c:pt idx="52">
                  <c:v>4.2085427135678394E-2</c:v>
                </c:pt>
                <c:pt idx="53">
                  <c:v>4.1861785156804311E-2</c:v>
                </c:pt>
                <c:pt idx="54">
                  <c:v>3.4101825168107586E-2</c:v>
                </c:pt>
                <c:pt idx="55">
                  <c:v>3.4833695702456403E-2</c:v>
                </c:pt>
                <c:pt idx="56">
                  <c:v>3.5286470424366237E-2</c:v>
                </c:pt>
                <c:pt idx="57">
                  <c:v>4.2337143491288427E-2</c:v>
                </c:pt>
                <c:pt idx="58">
                  <c:v>4.2795272700579902E-2</c:v>
                </c:pt>
                <c:pt idx="59">
                  <c:v>4.273965215046515E-2</c:v>
                </c:pt>
                <c:pt idx="60">
                  <c:v>3.0117973629424012E-2</c:v>
                </c:pt>
                <c:pt idx="61">
                  <c:v>4.2605581256528878E-2</c:v>
                </c:pt>
                <c:pt idx="62">
                  <c:v>4.109213143993963E-2</c:v>
                </c:pt>
                <c:pt idx="63">
                  <c:v>4.958080370049147E-2</c:v>
                </c:pt>
                <c:pt idx="64">
                  <c:v>4.0869684876840513E-2</c:v>
                </c:pt>
                <c:pt idx="65">
                  <c:v>4.2588218452508771E-2</c:v>
                </c:pt>
                <c:pt idx="66">
                  <c:v>3.884219088937093E-2</c:v>
                </c:pt>
                <c:pt idx="67">
                  <c:v>3.6121673003802278E-2</c:v>
                </c:pt>
                <c:pt idx="68">
                  <c:v>4.7158519653372914E-2</c:v>
                </c:pt>
                <c:pt idx="69">
                  <c:v>3.5793338012201047E-2</c:v>
                </c:pt>
                <c:pt idx="70">
                  <c:v>3.6859433152018325E-2</c:v>
                </c:pt>
                <c:pt idx="71">
                  <c:v>3.8224835886214441E-2</c:v>
                </c:pt>
                <c:pt idx="72">
                  <c:v>4.4257815103645938E-2</c:v>
                </c:pt>
                <c:pt idx="73">
                  <c:v>4.5309253635927763E-2</c:v>
                </c:pt>
                <c:pt idx="74">
                  <c:v>4.1795883845503243E-2</c:v>
                </c:pt>
                <c:pt idx="75">
                  <c:v>4.2976636861840209E-2</c:v>
                </c:pt>
                <c:pt idx="76">
                  <c:v>3.9240329562910209E-2</c:v>
                </c:pt>
                <c:pt idx="77">
                  <c:v>3.1854130052724076E-2</c:v>
                </c:pt>
                <c:pt idx="78">
                  <c:v>4.8872957882401598E-2</c:v>
                </c:pt>
                <c:pt idx="79">
                  <c:v>3.9841524216524218E-2</c:v>
                </c:pt>
                <c:pt idx="80">
                  <c:v>3.7088808125990122E-2</c:v>
                </c:pt>
                <c:pt idx="81">
                  <c:v>3.7470468655568377E-2</c:v>
                </c:pt>
                <c:pt idx="82">
                  <c:v>4.4366689993002098E-2</c:v>
                </c:pt>
                <c:pt idx="83">
                  <c:v>4.0045384769405327E-2</c:v>
                </c:pt>
                <c:pt idx="84">
                  <c:v>4.4755342103431475E-2</c:v>
                </c:pt>
                <c:pt idx="85">
                  <c:v>3.2907443173376912E-2</c:v>
                </c:pt>
                <c:pt idx="86">
                  <c:v>3.6079661710544261E-2</c:v>
                </c:pt>
                <c:pt idx="87">
                  <c:v>3.0714084903008153E-2</c:v>
                </c:pt>
                <c:pt idx="88">
                  <c:v>4.4291740372839845E-2</c:v>
                </c:pt>
                <c:pt idx="89">
                  <c:v>2.616279069767442E-2</c:v>
                </c:pt>
                <c:pt idx="90">
                  <c:v>4.1391067166723493E-2</c:v>
                </c:pt>
                <c:pt idx="91">
                  <c:v>3.7643585366978823E-2</c:v>
                </c:pt>
                <c:pt idx="92">
                  <c:v>3.5043216835776027E-2</c:v>
                </c:pt>
                <c:pt idx="93">
                  <c:v>4.256978882264445E-2</c:v>
                </c:pt>
                <c:pt idx="94">
                  <c:v>4.2162698412698416E-2</c:v>
                </c:pt>
                <c:pt idx="95">
                  <c:v>4.0420428893905194E-2</c:v>
                </c:pt>
                <c:pt idx="96">
                  <c:v>3.2612427051150014E-2</c:v>
                </c:pt>
                <c:pt idx="97">
                  <c:v>4.5164304625447751E-2</c:v>
                </c:pt>
                <c:pt idx="98">
                  <c:v>3.54062326099054E-2</c:v>
                </c:pt>
                <c:pt idx="99">
                  <c:v>2.459954233409611E-2</c:v>
                </c:pt>
                <c:pt idx="100">
                  <c:v>4.2655658754729965E-2</c:v>
                </c:pt>
                <c:pt idx="101">
                  <c:v>3.8648042266772813E-2</c:v>
                </c:pt>
                <c:pt idx="102">
                  <c:v>4.1001968637567034E-2</c:v>
                </c:pt>
                <c:pt idx="103">
                  <c:v>3.8048122329660448E-2</c:v>
                </c:pt>
                <c:pt idx="104">
                  <c:v>3.4652761317847829E-2</c:v>
                </c:pt>
                <c:pt idx="105">
                  <c:v>3.577922772489036E-2</c:v>
                </c:pt>
                <c:pt idx="106">
                  <c:v>4.1111754487550667E-2</c:v>
                </c:pt>
                <c:pt idx="107">
                  <c:v>5.3016201309893138E-2</c:v>
                </c:pt>
                <c:pt idx="108">
                  <c:v>3.5041951632235772E-2</c:v>
                </c:pt>
                <c:pt idx="109">
                  <c:v>3.6857640202830548E-2</c:v>
                </c:pt>
                <c:pt idx="110">
                  <c:v>3.3473370375389618E-2</c:v>
                </c:pt>
                <c:pt idx="111">
                  <c:v>3.8501851722451262E-2</c:v>
                </c:pt>
                <c:pt idx="112">
                  <c:v>4.1263915738950739E-2</c:v>
                </c:pt>
                <c:pt idx="113">
                  <c:v>3.6984352773826459E-2</c:v>
                </c:pt>
                <c:pt idx="114">
                  <c:v>3.273254609488295E-2</c:v>
                </c:pt>
                <c:pt idx="115">
                  <c:v>3.0077225308223817E-2</c:v>
                </c:pt>
                <c:pt idx="116">
                  <c:v>3.6585952919655322E-2</c:v>
                </c:pt>
                <c:pt idx="117">
                  <c:v>4.2955892034233049E-2</c:v>
                </c:pt>
                <c:pt idx="118">
                  <c:v>0</c:v>
                </c:pt>
                <c:pt idx="1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8A-4788-9807-E966E02522A8}"/>
            </c:ext>
          </c:extLst>
        </c:ser>
        <c:ser>
          <c:idx val="3"/>
          <c:order val="1"/>
          <c:tx>
            <c:strRef>
              <c:f>Sales!$AA$5</c:f>
              <c:strCache>
                <c:ptCount val="1"/>
                <c:pt idx="0">
                  <c:v>Warranty B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Sales!$W$6:$W$125</c:f>
              <c:strCache>
                <c:ptCount val="120"/>
                <c:pt idx="0">
                  <c:v>January 2011</c:v>
                </c:pt>
                <c:pt idx="1">
                  <c:v>February 2011</c:v>
                </c:pt>
                <c:pt idx="2">
                  <c:v>March 2011</c:v>
                </c:pt>
                <c:pt idx="3">
                  <c:v>April 2011</c:v>
                </c:pt>
                <c:pt idx="4">
                  <c:v>May 2011</c:v>
                </c:pt>
                <c:pt idx="5">
                  <c:v>June 2011</c:v>
                </c:pt>
                <c:pt idx="6">
                  <c:v>July 2011</c:v>
                </c:pt>
                <c:pt idx="7">
                  <c:v>August 2011</c:v>
                </c:pt>
                <c:pt idx="8">
                  <c:v>September 2011</c:v>
                </c:pt>
                <c:pt idx="9">
                  <c:v>October 2011</c:v>
                </c:pt>
                <c:pt idx="10">
                  <c:v>November 2011</c:v>
                </c:pt>
                <c:pt idx="11">
                  <c:v>December 2011</c:v>
                </c:pt>
                <c:pt idx="12">
                  <c:v>January 2012</c:v>
                </c:pt>
                <c:pt idx="13">
                  <c:v>February 2012</c:v>
                </c:pt>
                <c:pt idx="14">
                  <c:v>March 2012</c:v>
                </c:pt>
                <c:pt idx="15">
                  <c:v>April 2012</c:v>
                </c:pt>
                <c:pt idx="16">
                  <c:v>May 2012</c:v>
                </c:pt>
                <c:pt idx="17">
                  <c:v>June 2012</c:v>
                </c:pt>
                <c:pt idx="18">
                  <c:v>July 2012</c:v>
                </c:pt>
                <c:pt idx="19">
                  <c:v>August 2012</c:v>
                </c:pt>
                <c:pt idx="20">
                  <c:v>September 2012</c:v>
                </c:pt>
                <c:pt idx="21">
                  <c:v>October 2012</c:v>
                </c:pt>
                <c:pt idx="22">
                  <c:v>November 2012</c:v>
                </c:pt>
                <c:pt idx="23">
                  <c:v>December 2012</c:v>
                </c:pt>
                <c:pt idx="24">
                  <c:v>January 2013</c:v>
                </c:pt>
                <c:pt idx="25">
                  <c:v>February 2013</c:v>
                </c:pt>
                <c:pt idx="26">
                  <c:v>March 2013</c:v>
                </c:pt>
                <c:pt idx="27">
                  <c:v>April 2013</c:v>
                </c:pt>
                <c:pt idx="28">
                  <c:v>May 2013</c:v>
                </c:pt>
                <c:pt idx="29">
                  <c:v>June 2013</c:v>
                </c:pt>
                <c:pt idx="30">
                  <c:v>July 2013</c:v>
                </c:pt>
                <c:pt idx="31">
                  <c:v>August 2013</c:v>
                </c:pt>
                <c:pt idx="32">
                  <c:v>September 2013</c:v>
                </c:pt>
                <c:pt idx="33">
                  <c:v>October 2013</c:v>
                </c:pt>
                <c:pt idx="34">
                  <c:v>November 2013</c:v>
                </c:pt>
                <c:pt idx="35">
                  <c:v>December 2013</c:v>
                </c:pt>
                <c:pt idx="36">
                  <c:v>January 2014</c:v>
                </c:pt>
                <c:pt idx="37">
                  <c:v>February 2014</c:v>
                </c:pt>
                <c:pt idx="38">
                  <c:v>March 2014</c:v>
                </c:pt>
                <c:pt idx="39">
                  <c:v>April 2014</c:v>
                </c:pt>
                <c:pt idx="40">
                  <c:v>May 2014</c:v>
                </c:pt>
                <c:pt idx="41">
                  <c:v>June 2014</c:v>
                </c:pt>
                <c:pt idx="42">
                  <c:v>July 2014</c:v>
                </c:pt>
                <c:pt idx="43">
                  <c:v>August 2014</c:v>
                </c:pt>
                <c:pt idx="44">
                  <c:v>September 2014</c:v>
                </c:pt>
                <c:pt idx="45">
                  <c:v>October 2014</c:v>
                </c:pt>
                <c:pt idx="46">
                  <c:v>November 2014</c:v>
                </c:pt>
                <c:pt idx="47">
                  <c:v>December 2014</c:v>
                </c:pt>
                <c:pt idx="48">
                  <c:v>January 2015</c:v>
                </c:pt>
                <c:pt idx="49">
                  <c:v>February 2015</c:v>
                </c:pt>
                <c:pt idx="50">
                  <c:v>March 2015</c:v>
                </c:pt>
                <c:pt idx="51">
                  <c:v>April 2015</c:v>
                </c:pt>
                <c:pt idx="52">
                  <c:v>May 2015</c:v>
                </c:pt>
                <c:pt idx="53">
                  <c:v>June 2015</c:v>
                </c:pt>
                <c:pt idx="54">
                  <c:v>July 2015</c:v>
                </c:pt>
                <c:pt idx="55">
                  <c:v>August 2015</c:v>
                </c:pt>
                <c:pt idx="56">
                  <c:v>September 2015</c:v>
                </c:pt>
                <c:pt idx="57">
                  <c:v>October 2015</c:v>
                </c:pt>
                <c:pt idx="58">
                  <c:v>November 2015</c:v>
                </c:pt>
                <c:pt idx="59">
                  <c:v>December 2015</c:v>
                </c:pt>
                <c:pt idx="60">
                  <c:v>January 2016</c:v>
                </c:pt>
                <c:pt idx="61">
                  <c:v>February 2016</c:v>
                </c:pt>
                <c:pt idx="62">
                  <c:v>March 2016</c:v>
                </c:pt>
                <c:pt idx="63">
                  <c:v>April 2016</c:v>
                </c:pt>
                <c:pt idx="64">
                  <c:v>May 2016</c:v>
                </c:pt>
                <c:pt idx="65">
                  <c:v>June 2016</c:v>
                </c:pt>
                <c:pt idx="66">
                  <c:v>July 2016</c:v>
                </c:pt>
                <c:pt idx="67">
                  <c:v>August 2016</c:v>
                </c:pt>
                <c:pt idx="68">
                  <c:v>September 2016</c:v>
                </c:pt>
                <c:pt idx="69">
                  <c:v>October 2016</c:v>
                </c:pt>
                <c:pt idx="70">
                  <c:v>November 2016</c:v>
                </c:pt>
                <c:pt idx="71">
                  <c:v>December 2016</c:v>
                </c:pt>
                <c:pt idx="72">
                  <c:v>January 2017</c:v>
                </c:pt>
                <c:pt idx="73">
                  <c:v>February 2017</c:v>
                </c:pt>
                <c:pt idx="74">
                  <c:v>March 2017</c:v>
                </c:pt>
                <c:pt idx="75">
                  <c:v>April 2017</c:v>
                </c:pt>
                <c:pt idx="76">
                  <c:v>May 2017</c:v>
                </c:pt>
                <c:pt idx="77">
                  <c:v>June 2017</c:v>
                </c:pt>
                <c:pt idx="78">
                  <c:v>July 2017</c:v>
                </c:pt>
                <c:pt idx="79">
                  <c:v>August 2017</c:v>
                </c:pt>
                <c:pt idx="80">
                  <c:v>September 2017</c:v>
                </c:pt>
                <c:pt idx="81">
                  <c:v>October 2017</c:v>
                </c:pt>
                <c:pt idx="82">
                  <c:v>November 2017</c:v>
                </c:pt>
                <c:pt idx="83">
                  <c:v>December 2017</c:v>
                </c:pt>
                <c:pt idx="84">
                  <c:v>January 2018</c:v>
                </c:pt>
                <c:pt idx="85">
                  <c:v>February 2018</c:v>
                </c:pt>
                <c:pt idx="86">
                  <c:v>March 2018</c:v>
                </c:pt>
                <c:pt idx="87">
                  <c:v>April 2018</c:v>
                </c:pt>
                <c:pt idx="88">
                  <c:v>May 2018</c:v>
                </c:pt>
                <c:pt idx="89">
                  <c:v>June 2018</c:v>
                </c:pt>
                <c:pt idx="90">
                  <c:v>July 2018</c:v>
                </c:pt>
                <c:pt idx="91">
                  <c:v>August 2018</c:v>
                </c:pt>
                <c:pt idx="92">
                  <c:v>September 2018</c:v>
                </c:pt>
                <c:pt idx="93">
                  <c:v>October 2018</c:v>
                </c:pt>
                <c:pt idx="94">
                  <c:v>November 2018</c:v>
                </c:pt>
                <c:pt idx="95">
                  <c:v>December 2018</c:v>
                </c:pt>
                <c:pt idx="96">
                  <c:v>January 2019</c:v>
                </c:pt>
                <c:pt idx="97">
                  <c:v>February 2019</c:v>
                </c:pt>
                <c:pt idx="98">
                  <c:v>March 2019</c:v>
                </c:pt>
                <c:pt idx="99">
                  <c:v>April 2019</c:v>
                </c:pt>
                <c:pt idx="100">
                  <c:v>May 2019</c:v>
                </c:pt>
                <c:pt idx="101">
                  <c:v>June 2019</c:v>
                </c:pt>
                <c:pt idx="102">
                  <c:v>July 2019</c:v>
                </c:pt>
                <c:pt idx="103">
                  <c:v>August 2019</c:v>
                </c:pt>
                <c:pt idx="104">
                  <c:v>September 2019</c:v>
                </c:pt>
                <c:pt idx="105">
                  <c:v>October 2019</c:v>
                </c:pt>
                <c:pt idx="106">
                  <c:v>November 2019</c:v>
                </c:pt>
                <c:pt idx="107">
                  <c:v>December 2019</c:v>
                </c:pt>
                <c:pt idx="108">
                  <c:v>January 2020</c:v>
                </c:pt>
                <c:pt idx="109">
                  <c:v>February 2020</c:v>
                </c:pt>
                <c:pt idx="110">
                  <c:v>March 2020</c:v>
                </c:pt>
                <c:pt idx="111">
                  <c:v>April 2020</c:v>
                </c:pt>
                <c:pt idx="112">
                  <c:v>May 2020</c:v>
                </c:pt>
                <c:pt idx="113">
                  <c:v>June 2020</c:v>
                </c:pt>
                <c:pt idx="114">
                  <c:v>July 2020</c:v>
                </c:pt>
                <c:pt idx="115">
                  <c:v>August 2020</c:v>
                </c:pt>
                <c:pt idx="116">
                  <c:v>September 2020</c:v>
                </c:pt>
                <c:pt idx="117">
                  <c:v>October 2020</c:v>
                </c:pt>
                <c:pt idx="118">
                  <c:v>November 2020</c:v>
                </c:pt>
                <c:pt idx="119">
                  <c:v>December 2020</c:v>
                </c:pt>
              </c:strCache>
            </c:strRef>
          </c:cat>
          <c:val>
            <c:numRef>
              <c:f>Sales!$AA$6:$AA$125</c:f>
              <c:numCache>
                <c:formatCode>0.00%</c:formatCode>
                <c:ptCount val="120"/>
                <c:pt idx="0">
                  <c:v>4.8232213007420338E-2</c:v>
                </c:pt>
                <c:pt idx="1">
                  <c:v>5.0599833709466684E-2</c:v>
                </c:pt>
                <c:pt idx="2">
                  <c:v>4.721986417657046E-2</c:v>
                </c:pt>
                <c:pt idx="3">
                  <c:v>4.8880044900250011E-2</c:v>
                </c:pt>
                <c:pt idx="4">
                  <c:v>4.8473448126175663E-2</c:v>
                </c:pt>
                <c:pt idx="5">
                  <c:v>5.3044086773967811E-2</c:v>
                </c:pt>
                <c:pt idx="6">
                  <c:v>4.8898147132989803E-2</c:v>
                </c:pt>
                <c:pt idx="7">
                  <c:v>4.8276600299721688E-2</c:v>
                </c:pt>
                <c:pt idx="8">
                  <c:v>4.4895168641750229E-2</c:v>
                </c:pt>
                <c:pt idx="9">
                  <c:v>5.0228310502283102E-2</c:v>
                </c:pt>
                <c:pt idx="10">
                  <c:v>5.1096491228070175E-2</c:v>
                </c:pt>
                <c:pt idx="11">
                  <c:v>6.5016123998751688E-2</c:v>
                </c:pt>
                <c:pt idx="12">
                  <c:v>3.8059619403805964E-2</c:v>
                </c:pt>
                <c:pt idx="13">
                  <c:v>5.1614396481888668E-2</c:v>
                </c:pt>
                <c:pt idx="14">
                  <c:v>5.5495221546481323E-2</c:v>
                </c:pt>
                <c:pt idx="15">
                  <c:v>4.8241985522233716E-2</c:v>
                </c:pt>
                <c:pt idx="16">
                  <c:v>4.8135192392964481E-2</c:v>
                </c:pt>
                <c:pt idx="17">
                  <c:v>4.8238965670976373E-2</c:v>
                </c:pt>
                <c:pt idx="18">
                  <c:v>4.9333888426311409E-2</c:v>
                </c:pt>
                <c:pt idx="19">
                  <c:v>4.8595875383940328E-2</c:v>
                </c:pt>
                <c:pt idx="20">
                  <c:v>4.3796429759396828E-2</c:v>
                </c:pt>
                <c:pt idx="21">
                  <c:v>5.1807094103166612E-2</c:v>
                </c:pt>
                <c:pt idx="22">
                  <c:v>4.5822976332000435E-2</c:v>
                </c:pt>
                <c:pt idx="23">
                  <c:v>4.6238001857776857E-2</c:v>
                </c:pt>
                <c:pt idx="24">
                  <c:v>4.4634477004901453E-2</c:v>
                </c:pt>
                <c:pt idx="25">
                  <c:v>4.6726726726726724E-2</c:v>
                </c:pt>
                <c:pt idx="26">
                  <c:v>4.6276366767111492E-2</c:v>
                </c:pt>
                <c:pt idx="27">
                  <c:v>5.3553350880745088E-2</c:v>
                </c:pt>
                <c:pt idx="28">
                  <c:v>4.9202318785033297E-2</c:v>
                </c:pt>
                <c:pt idx="29">
                  <c:v>5.1720997996721911E-2</c:v>
                </c:pt>
                <c:pt idx="30">
                  <c:v>6.17515359783401E-2</c:v>
                </c:pt>
                <c:pt idx="31">
                  <c:v>4.7428262046561989E-2</c:v>
                </c:pt>
                <c:pt idx="32">
                  <c:v>4.3733681462140996E-2</c:v>
                </c:pt>
                <c:pt idx="33">
                  <c:v>4.6705945366898767E-2</c:v>
                </c:pt>
                <c:pt idx="34">
                  <c:v>5.0871306418443556E-2</c:v>
                </c:pt>
                <c:pt idx="35">
                  <c:v>4.9630185443241506E-2</c:v>
                </c:pt>
                <c:pt idx="36">
                  <c:v>5.3182214472537057E-2</c:v>
                </c:pt>
                <c:pt idx="37">
                  <c:v>5.0011993283761096E-2</c:v>
                </c:pt>
                <c:pt idx="38">
                  <c:v>4.9341030388846532E-2</c:v>
                </c:pt>
                <c:pt idx="39">
                  <c:v>4.9475638516734408E-2</c:v>
                </c:pt>
                <c:pt idx="40">
                  <c:v>5.7710361183852955E-2</c:v>
                </c:pt>
                <c:pt idx="41">
                  <c:v>5.3552418421661654E-2</c:v>
                </c:pt>
                <c:pt idx="42">
                  <c:v>5.1043829926767953E-2</c:v>
                </c:pt>
                <c:pt idx="43">
                  <c:v>4.9806784027479602E-2</c:v>
                </c:pt>
                <c:pt idx="44">
                  <c:v>4.7571743929359825E-2</c:v>
                </c:pt>
                <c:pt idx="45">
                  <c:v>5.6937593823718637E-2</c:v>
                </c:pt>
                <c:pt idx="46">
                  <c:v>4.8996257230350462E-2</c:v>
                </c:pt>
                <c:pt idx="47">
                  <c:v>5.484221980413493E-2</c:v>
                </c:pt>
                <c:pt idx="48">
                  <c:v>4.7339847991313792E-2</c:v>
                </c:pt>
                <c:pt idx="49">
                  <c:v>4.6416546416546418E-2</c:v>
                </c:pt>
                <c:pt idx="50">
                  <c:v>4.6817074462451008E-2</c:v>
                </c:pt>
                <c:pt idx="51">
                  <c:v>5.635067072258515E-2</c:v>
                </c:pt>
                <c:pt idx="52">
                  <c:v>4.953359604928418E-2</c:v>
                </c:pt>
                <c:pt idx="53">
                  <c:v>5.1340078097266595E-2</c:v>
                </c:pt>
                <c:pt idx="54">
                  <c:v>3.8081956661660588E-2</c:v>
                </c:pt>
                <c:pt idx="55">
                  <c:v>4.8238074774387622E-2</c:v>
                </c:pt>
                <c:pt idx="56">
                  <c:v>5.700234715547111E-2</c:v>
                </c:pt>
                <c:pt idx="57">
                  <c:v>4.4404775186879394E-2</c:v>
                </c:pt>
                <c:pt idx="58">
                  <c:v>4.5248868778280542E-2</c:v>
                </c:pt>
                <c:pt idx="59">
                  <c:v>5.1791154533039188E-2</c:v>
                </c:pt>
                <c:pt idx="60">
                  <c:v>4.4065992549228314E-2</c:v>
                </c:pt>
                <c:pt idx="61">
                  <c:v>5.261319986031894E-2</c:v>
                </c:pt>
                <c:pt idx="62">
                  <c:v>5.0161463939720131E-2</c:v>
                </c:pt>
                <c:pt idx="63">
                  <c:v>5.4428374303674552E-2</c:v>
                </c:pt>
                <c:pt idx="64">
                  <c:v>4.4540095443061666E-2</c:v>
                </c:pt>
                <c:pt idx="65">
                  <c:v>5.0648882480173033E-2</c:v>
                </c:pt>
                <c:pt idx="66">
                  <c:v>5.2558487341096034E-2</c:v>
                </c:pt>
                <c:pt idx="67">
                  <c:v>5.7219827586206896E-2</c:v>
                </c:pt>
                <c:pt idx="68">
                  <c:v>4.42820768294033E-2</c:v>
                </c:pt>
                <c:pt idx="69">
                  <c:v>4.6820557491289196E-2</c:v>
                </c:pt>
                <c:pt idx="70">
                  <c:v>4.5244273947873177E-2</c:v>
                </c:pt>
                <c:pt idx="71">
                  <c:v>4.4705375417429707E-2</c:v>
                </c:pt>
                <c:pt idx="72">
                  <c:v>4.6944016435541858E-2</c:v>
                </c:pt>
                <c:pt idx="73">
                  <c:v>4.9618782524506841E-2</c:v>
                </c:pt>
                <c:pt idx="74">
                  <c:v>4.7537104753710473E-2</c:v>
                </c:pt>
                <c:pt idx="75">
                  <c:v>4.5290941811637675E-2</c:v>
                </c:pt>
                <c:pt idx="76">
                  <c:v>5.0495896893721998E-2</c:v>
                </c:pt>
                <c:pt idx="77">
                  <c:v>5.1738003753015814E-2</c:v>
                </c:pt>
                <c:pt idx="78">
                  <c:v>5.0582825366270984E-2</c:v>
                </c:pt>
                <c:pt idx="79">
                  <c:v>5.5782740903848167E-2</c:v>
                </c:pt>
                <c:pt idx="80">
                  <c:v>4.591558512378667E-2</c:v>
                </c:pt>
                <c:pt idx="81">
                  <c:v>5.6410808483152115E-2</c:v>
                </c:pt>
                <c:pt idx="82">
                  <c:v>5.8566629339305711E-2</c:v>
                </c:pt>
                <c:pt idx="83">
                  <c:v>5.5233477390112785E-2</c:v>
                </c:pt>
                <c:pt idx="84">
                  <c:v>4.6835174171622772E-2</c:v>
                </c:pt>
                <c:pt idx="85">
                  <c:v>4.1945288753799395E-2</c:v>
                </c:pt>
                <c:pt idx="86">
                  <c:v>4.7355873428695273E-2</c:v>
                </c:pt>
                <c:pt idx="87">
                  <c:v>4.8823767998377614E-2</c:v>
                </c:pt>
                <c:pt idx="88">
                  <c:v>4.5146401269291793E-2</c:v>
                </c:pt>
                <c:pt idx="89">
                  <c:v>4.8922675123589214E-2</c:v>
                </c:pt>
                <c:pt idx="90">
                  <c:v>5.1455580620904502E-2</c:v>
                </c:pt>
                <c:pt idx="91">
                  <c:v>5.0401284109149277E-2</c:v>
                </c:pt>
                <c:pt idx="92">
                  <c:v>4.5930168520762198E-2</c:v>
                </c:pt>
                <c:pt idx="93">
                  <c:v>4.7972829547866698E-2</c:v>
                </c:pt>
                <c:pt idx="94">
                  <c:v>4.3970686209193872E-2</c:v>
                </c:pt>
                <c:pt idx="95">
                  <c:v>4.7410967882892723E-2</c:v>
                </c:pt>
                <c:pt idx="96">
                  <c:v>6.0651361452215696E-2</c:v>
                </c:pt>
                <c:pt idx="97">
                  <c:v>4.1868716735659374E-2</c:v>
                </c:pt>
                <c:pt idx="98">
                  <c:v>4.6145552560646903E-2</c:v>
                </c:pt>
                <c:pt idx="99">
                  <c:v>4.5482141050288374E-2</c:v>
                </c:pt>
                <c:pt idx="100">
                  <c:v>4.950925881158439E-2</c:v>
                </c:pt>
                <c:pt idx="101">
                  <c:v>4.765206137918284E-2</c:v>
                </c:pt>
                <c:pt idx="102">
                  <c:v>5.0365906155832973E-2</c:v>
                </c:pt>
                <c:pt idx="103">
                  <c:v>4.9520938744751858E-2</c:v>
                </c:pt>
                <c:pt idx="104">
                  <c:v>4.9041216662993166E-2</c:v>
                </c:pt>
                <c:pt idx="105">
                  <c:v>4.6292233435717423E-2</c:v>
                </c:pt>
                <c:pt idx="106">
                  <c:v>5.5674518201284794E-2</c:v>
                </c:pt>
                <c:pt idx="107">
                  <c:v>3.75979665325143E-2</c:v>
                </c:pt>
                <c:pt idx="108">
                  <c:v>4.6250801110873742E-2</c:v>
                </c:pt>
                <c:pt idx="109">
                  <c:v>4.3745648642376421E-2</c:v>
                </c:pt>
                <c:pt idx="110">
                  <c:v>4.7771039472284282E-2</c:v>
                </c:pt>
                <c:pt idx="111">
                  <c:v>4.2826337696203802E-2</c:v>
                </c:pt>
                <c:pt idx="112">
                  <c:v>5.434782608695652E-2</c:v>
                </c:pt>
                <c:pt idx="113">
                  <c:v>5.2427184466019419E-2</c:v>
                </c:pt>
                <c:pt idx="114">
                  <c:v>4.69706565336711E-2</c:v>
                </c:pt>
                <c:pt idx="115">
                  <c:v>4.5620236385728485E-2</c:v>
                </c:pt>
                <c:pt idx="116">
                  <c:v>4.8700589648394847E-2</c:v>
                </c:pt>
                <c:pt idx="117">
                  <c:v>5.1538785834738615E-2</c:v>
                </c:pt>
                <c:pt idx="118">
                  <c:v>0</c:v>
                </c:pt>
                <c:pt idx="1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B8A-4788-9807-E966E02522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932496"/>
        <c:axId val="1459436192"/>
      </c:lineChart>
      <c:catAx>
        <c:axId val="142932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436192"/>
        <c:crosses val="autoZero"/>
        <c:auto val="1"/>
        <c:lblAlgn val="ctr"/>
        <c:lblOffset val="100"/>
        <c:noMultiLvlLbl val="0"/>
      </c:catAx>
      <c:valAx>
        <c:axId val="145943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932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38100</xdr:colOff>
      <xdr:row>3</xdr:row>
      <xdr:rowOff>23812</xdr:rowOff>
    </xdr:from>
    <xdr:to>
      <xdr:col>45</xdr:col>
      <xdr:colOff>571500</xdr:colOff>
      <xdr:row>24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325563-56AC-4129-83F6-7DD015383C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34</xdr:col>
      <xdr:colOff>257175</xdr:colOff>
      <xdr:row>26</xdr:row>
      <xdr:rowOff>142875</xdr:rowOff>
    </xdr:from>
    <xdr:to>
      <xdr:col>46</xdr:col>
      <xdr:colOff>180975</xdr:colOff>
      <xdr:row>48</xdr:row>
      <xdr:rowOff>61913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DC9CEE7-C80C-4864-ADD1-1DD7B931CE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257175</xdr:colOff>
      <xdr:row>49</xdr:row>
      <xdr:rowOff>185736</xdr:rowOff>
    </xdr:from>
    <xdr:to>
      <xdr:col>46</xdr:col>
      <xdr:colOff>581025</xdr:colOff>
      <xdr:row>71</xdr:row>
      <xdr:rowOff>19049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C34941D-E937-4BF6-8137-9D076BAA47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542925</xdr:colOff>
      <xdr:row>72</xdr:row>
      <xdr:rowOff>119061</xdr:rowOff>
    </xdr:from>
    <xdr:to>
      <xdr:col>46</xdr:col>
      <xdr:colOff>561975</xdr:colOff>
      <xdr:row>91</xdr:row>
      <xdr:rowOff>66674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0BD5720-B3AA-4FB1-8B95-607EF81146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34</xdr:col>
      <xdr:colOff>361950</xdr:colOff>
      <xdr:row>92</xdr:row>
      <xdr:rowOff>142875</xdr:rowOff>
    </xdr:from>
    <xdr:to>
      <xdr:col>46</xdr:col>
      <xdr:colOff>381000</xdr:colOff>
      <xdr:row>111</xdr:row>
      <xdr:rowOff>90488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6A9CE0B-C6AD-4EE3-A29E-F916C3E2DF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workbookViewId="0">
      <selection activeCell="B4" sqref="B4"/>
    </sheetView>
  </sheetViews>
  <sheetFormatPr defaultRowHeight="15" x14ac:dyDescent="0.25"/>
  <cols>
    <col min="1" max="1" width="68.42578125" bestFit="1" customWidth="1"/>
    <col min="2" max="2" width="22.7109375" customWidth="1"/>
  </cols>
  <sheetData>
    <row r="1" spans="1:2" x14ac:dyDescent="0.25">
      <c r="A1" s="15" t="s">
        <v>11</v>
      </c>
      <c r="B1" s="14"/>
    </row>
    <row r="2" spans="1:2" x14ac:dyDescent="0.25">
      <c r="A2" s="15" t="s">
        <v>12</v>
      </c>
      <c r="B2" s="14"/>
    </row>
    <row r="3" spans="1:2" x14ac:dyDescent="0.25">
      <c r="A3" s="15" t="s">
        <v>13</v>
      </c>
      <c r="B3" s="14"/>
    </row>
    <row r="6" spans="1:2" x14ac:dyDescent="0.25">
      <c r="A6" s="15" t="s">
        <v>14</v>
      </c>
    </row>
    <row r="7" spans="1:2" x14ac:dyDescent="0.25">
      <c r="A7" t="s">
        <v>20</v>
      </c>
      <c r="B7" s="14">
        <f>+Sales!N19</f>
        <v>6693270</v>
      </c>
    </row>
    <row r="8" spans="1:2" x14ac:dyDescent="0.25">
      <c r="A8" t="s">
        <v>21</v>
      </c>
      <c r="B8" s="14">
        <f>+Sales!P113</f>
        <v>6892660</v>
      </c>
    </row>
    <row r="9" spans="1:2" x14ac:dyDescent="0.25">
      <c r="B9" s="1"/>
    </row>
    <row r="11" spans="1:2" x14ac:dyDescent="0.25">
      <c r="A11" s="15" t="s">
        <v>15</v>
      </c>
    </row>
    <row r="12" spans="1:2" x14ac:dyDescent="0.25">
      <c r="A12" t="s">
        <v>22</v>
      </c>
      <c r="B12" s="14">
        <f>+Sales!Q19</f>
        <v>470</v>
      </c>
    </row>
    <row r="13" spans="1:2" x14ac:dyDescent="0.25">
      <c r="A13" t="s">
        <v>23</v>
      </c>
      <c r="B13" s="14">
        <f>+Sales!R113</f>
        <v>730</v>
      </c>
    </row>
    <row r="14" spans="1:2" x14ac:dyDescent="0.25">
      <c r="A14" t="s">
        <v>16</v>
      </c>
      <c r="B14" s="14" t="str">
        <f>+Sales!U128</f>
        <v>October</v>
      </c>
    </row>
    <row r="15" spans="1:2" x14ac:dyDescent="0.25">
      <c r="A15" t="s">
        <v>17</v>
      </c>
      <c r="B15" s="14" t="str">
        <f>+Sales!V128</f>
        <v>June</v>
      </c>
    </row>
    <row r="16" spans="1:2" x14ac:dyDescent="0.25">
      <c r="B16" s="1"/>
    </row>
    <row r="18" spans="1:2" x14ac:dyDescent="0.25">
      <c r="A18" s="15" t="s">
        <v>18</v>
      </c>
    </row>
    <row r="19" spans="1:2" x14ac:dyDescent="0.25">
      <c r="A19" t="s">
        <v>26</v>
      </c>
      <c r="B19" s="19">
        <f>+Sales!X19</f>
        <v>8.4825503826978441E-2</v>
      </c>
    </row>
    <row r="20" spans="1:2" x14ac:dyDescent="0.25">
      <c r="A20" t="s">
        <v>27</v>
      </c>
      <c r="B20" s="19">
        <f>+Sales!Z113</f>
        <v>6.46049565769964E-2</v>
      </c>
    </row>
    <row r="21" spans="1:2" x14ac:dyDescent="0.25">
      <c r="B21" s="17"/>
    </row>
    <row r="23" spans="1:2" x14ac:dyDescent="0.25">
      <c r="A23" s="15" t="s">
        <v>19</v>
      </c>
    </row>
    <row r="24" spans="1:2" x14ac:dyDescent="0.25">
      <c r="A24" t="s">
        <v>24</v>
      </c>
      <c r="B24" s="19">
        <f>+Sales!Y19</f>
        <v>4.065725721508321E-2</v>
      </c>
    </row>
    <row r="25" spans="1:2" x14ac:dyDescent="0.25">
      <c r="A25" t="s">
        <v>25</v>
      </c>
      <c r="B25" s="19">
        <f>+Sales!AA113</f>
        <v>3.75979665325143E-2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AG3662"/>
  <sheetViews>
    <sheetView tabSelected="1" topLeftCell="Z68" workbookViewId="0">
      <selection activeCell="AL72" sqref="AL72"/>
    </sheetView>
  </sheetViews>
  <sheetFormatPr defaultRowHeight="15" x14ac:dyDescent="0.25"/>
  <cols>
    <col min="1" max="1" width="10.7109375" style="2" bestFit="1" customWidth="1"/>
    <col min="2" max="2" width="10.7109375" style="3" customWidth="1"/>
    <col min="3" max="3" width="12.5703125" style="4" bestFit="1" customWidth="1"/>
    <col min="4" max="4" width="10.7109375" style="3" bestFit="1" customWidth="1"/>
    <col min="5" max="5" width="12.5703125" style="4" bestFit="1" customWidth="1"/>
    <col min="6" max="6" width="10.7109375" style="3" bestFit="1" customWidth="1"/>
    <col min="7" max="7" width="9.140625" style="1"/>
    <col min="8" max="8" width="10.42578125" style="1" bestFit="1" customWidth="1"/>
    <col min="9" max="10" width="12.5703125" style="1" customWidth="1"/>
    <col min="11" max="11" width="15.42578125" style="1" bestFit="1" customWidth="1"/>
    <col min="12" max="29" width="9.140625" style="1"/>
    <col min="30" max="30" width="12.140625" style="1" bestFit="1" customWidth="1"/>
    <col min="31" max="31" width="14.28515625" style="1" bestFit="1" customWidth="1"/>
    <col min="32" max="32" width="9.140625" style="1"/>
    <col min="33" max="33" width="13.28515625" style="1" customWidth="1"/>
    <col min="34" max="16384" width="9.140625" style="1"/>
  </cols>
  <sheetData>
    <row r="1" spans="1:33" ht="15" customHeight="1" x14ac:dyDescent="0.25"/>
    <row r="2" spans="1:33" ht="18.75" x14ac:dyDescent="0.3">
      <c r="A2" s="20" t="s">
        <v>6</v>
      </c>
      <c r="B2" s="20"/>
      <c r="C2" s="20"/>
      <c r="D2" s="20"/>
      <c r="E2" s="20"/>
      <c r="F2" s="13"/>
    </row>
    <row r="3" spans="1:33" ht="6.95" customHeight="1" x14ac:dyDescent="0.3">
      <c r="A3" s="5"/>
      <c r="B3" s="6"/>
    </row>
    <row r="4" spans="1:33" x14ac:dyDescent="0.25">
      <c r="A4" s="21" t="s">
        <v>5</v>
      </c>
      <c r="B4" s="21" t="s">
        <v>1</v>
      </c>
      <c r="C4" s="21"/>
      <c r="D4" s="21" t="s">
        <v>2</v>
      </c>
      <c r="E4" s="21"/>
      <c r="F4" s="16"/>
      <c r="Y4" s="17"/>
      <c r="AC4" s="1" t="s">
        <v>173</v>
      </c>
    </row>
    <row r="5" spans="1:33" x14ac:dyDescent="0.25">
      <c r="A5" s="21"/>
      <c r="B5" s="7" t="s">
        <v>10</v>
      </c>
      <c r="C5" s="8" t="s">
        <v>8</v>
      </c>
      <c r="D5" s="7" t="s">
        <v>10</v>
      </c>
      <c r="E5" s="8" t="s">
        <v>8</v>
      </c>
      <c r="F5" s="7"/>
      <c r="G5" s="1" t="s">
        <v>148</v>
      </c>
      <c r="H5" s="1" t="s">
        <v>149</v>
      </c>
      <c r="I5" s="3" t="s">
        <v>149</v>
      </c>
      <c r="J5" s="3"/>
      <c r="K5" s="1" t="s">
        <v>150</v>
      </c>
      <c r="L5" s="1" t="s">
        <v>150</v>
      </c>
      <c r="M5" s="1" t="s">
        <v>151</v>
      </c>
      <c r="N5" s="1" t="s">
        <v>152</v>
      </c>
      <c r="O5" s="1" t="s">
        <v>153</v>
      </c>
      <c r="P5" s="1" t="s">
        <v>154</v>
      </c>
      <c r="Q5" s="1" t="s">
        <v>155</v>
      </c>
      <c r="R5" s="1" t="s">
        <v>156</v>
      </c>
      <c r="S5" s="1" t="s">
        <v>157</v>
      </c>
      <c r="T5" s="1" t="s">
        <v>158</v>
      </c>
      <c r="U5" s="1" t="s">
        <v>159</v>
      </c>
      <c r="V5" s="1" t="s">
        <v>160</v>
      </c>
      <c r="W5" s="1" t="s">
        <v>150</v>
      </c>
      <c r="X5" s="1" t="s">
        <v>178</v>
      </c>
      <c r="Y5" s="17" t="s">
        <v>179</v>
      </c>
      <c r="Z5" s="1" t="s">
        <v>180</v>
      </c>
      <c r="AA5" s="17" t="s">
        <v>181</v>
      </c>
      <c r="AC5" s="17" t="s">
        <v>150</v>
      </c>
      <c r="AD5" s="1" t="s">
        <v>174</v>
      </c>
      <c r="AE5" s="17" t="s">
        <v>175</v>
      </c>
      <c r="AF5" s="1" t="s">
        <v>176</v>
      </c>
      <c r="AG5" s="17" t="s">
        <v>177</v>
      </c>
    </row>
    <row r="6" spans="1:33" x14ac:dyDescent="0.25">
      <c r="A6" s="2">
        <v>40544</v>
      </c>
      <c r="B6" s="3">
        <v>425</v>
      </c>
      <c r="C6" s="4">
        <v>199750</v>
      </c>
      <c r="D6" s="3">
        <v>322</v>
      </c>
      <c r="E6" s="4">
        <v>235060</v>
      </c>
      <c r="G6" s="12">
        <f t="shared" ref="G6:G69" si="0">+YEAR(A6)</f>
        <v>2011</v>
      </c>
      <c r="H6" s="12">
        <f t="shared" ref="H6:H69" si="1">+MONTH(A6)</f>
        <v>1</v>
      </c>
      <c r="I6" s="11">
        <f>+H6+(G6-2011)*12</f>
        <v>1</v>
      </c>
      <c r="J6" s="11"/>
      <c r="K6" s="1" t="str">
        <f>+'Warranties &amp; Returns'!A6</f>
        <v>January 2011</v>
      </c>
      <c r="L6" s="1">
        <v>1</v>
      </c>
      <c r="M6" s="1">
        <f t="shared" ref="M6:M37" si="2">+SUMIF($I$6:$I$3658,$L6,B$6:B$3658)</f>
        <v>14630</v>
      </c>
      <c r="N6" s="1">
        <f t="shared" ref="N6:N37" si="3">+SUMIF($I$6:$I$3658,$L6,C$6:C$3658)</f>
        <v>6876100</v>
      </c>
      <c r="O6" s="1">
        <f t="shared" ref="O6:O37" si="4">+SUMIF($I$6:$I$3658,$L6,D$6:D$3658)</f>
        <v>9164</v>
      </c>
      <c r="P6" s="1">
        <f t="shared" ref="P6:P37" si="5">+SUMIF($I$6:$I$3658,$L6,E$6:E$3658)</f>
        <v>6689720</v>
      </c>
      <c r="Q6" s="1">
        <f t="shared" ref="Q6:Q37" si="6">+N6/M6</f>
        <v>470</v>
      </c>
      <c r="R6" s="1">
        <f t="shared" ref="R6:R37" si="7">+P6/O6</f>
        <v>730</v>
      </c>
      <c r="S6" s="1">
        <f t="shared" ref="S6:S37" si="8">+IF(Q6&lt;AVERAGE(Q$6:Q$125),1,0)</f>
        <v>0</v>
      </c>
      <c r="T6" s="1">
        <f t="shared" ref="T6:T37" si="9">+IF(R6&lt;AVERAGE(R$6:R$125),1,0)</f>
        <v>0</v>
      </c>
      <c r="U6" s="1">
        <f t="shared" ref="U6:U37" si="10">+S6*L6</f>
        <v>0</v>
      </c>
      <c r="V6" s="1">
        <f t="shared" ref="V6:V37" si="11">+T6*L6</f>
        <v>0</v>
      </c>
      <c r="W6" s="17" t="str">
        <f>+AC6</f>
        <v>January 2011</v>
      </c>
      <c r="X6" s="18">
        <f>+'Warranties &amp; Returns'!B7/Sales!M6</f>
        <v>7.9972658920027348E-2</v>
      </c>
      <c r="Y6" s="18">
        <f>+'Warranties &amp; Returns'!C8/Sales!M6</f>
        <v>4.3814080656185916E-2</v>
      </c>
      <c r="Z6" s="18">
        <f>+'Warranties &amp; Returns'!D7/Sales!O6</f>
        <v>6.2745525971191624E-2</v>
      </c>
      <c r="AA6" s="18">
        <f>+'Warranties &amp; Returns'!E8/Sales!O6</f>
        <v>4.8232213007420338E-2</v>
      </c>
      <c r="AB6" s="18"/>
      <c r="AC6" s="18" t="str">
        <f>+K6</f>
        <v>January 2011</v>
      </c>
      <c r="AD6" s="22">
        <f>+M6</f>
        <v>14630</v>
      </c>
      <c r="AE6" s="23">
        <f>+N6</f>
        <v>6876100</v>
      </c>
      <c r="AF6" s="22">
        <f>+O6</f>
        <v>9164</v>
      </c>
      <c r="AG6" s="23">
        <f>+P6</f>
        <v>6689720</v>
      </c>
    </row>
    <row r="7" spans="1:33" x14ac:dyDescent="0.25">
      <c r="A7" s="2">
        <v>40545</v>
      </c>
      <c r="B7" s="3">
        <v>434</v>
      </c>
      <c r="C7" s="4">
        <v>203980</v>
      </c>
      <c r="D7" s="3">
        <v>329</v>
      </c>
      <c r="E7" s="4">
        <v>240170</v>
      </c>
      <c r="G7" s="12">
        <f t="shared" si="0"/>
        <v>2011</v>
      </c>
      <c r="H7" s="12">
        <f t="shared" si="1"/>
        <v>1</v>
      </c>
      <c r="I7" s="11">
        <f t="shared" ref="I7:I70" si="12">+H7+(G7-2011)*12</f>
        <v>1</v>
      </c>
      <c r="J7" s="11"/>
      <c r="K7" s="1" t="str">
        <f>+'Warranties &amp; Returns'!A7</f>
        <v>February 2011</v>
      </c>
      <c r="L7" s="1">
        <v>2</v>
      </c>
      <c r="M7" s="1">
        <f t="shared" si="2"/>
        <v>12983</v>
      </c>
      <c r="N7" s="1">
        <f t="shared" si="3"/>
        <v>6102010</v>
      </c>
      <c r="O7" s="1">
        <f t="shared" si="4"/>
        <v>8419</v>
      </c>
      <c r="P7" s="1">
        <f t="shared" si="5"/>
        <v>6145870</v>
      </c>
      <c r="Q7" s="1">
        <f t="shared" si="6"/>
        <v>470</v>
      </c>
      <c r="R7" s="1">
        <f t="shared" si="7"/>
        <v>730</v>
      </c>
      <c r="S7" s="1">
        <f t="shared" si="8"/>
        <v>0</v>
      </c>
      <c r="T7" s="1">
        <f t="shared" si="9"/>
        <v>0</v>
      </c>
      <c r="U7" s="1">
        <f t="shared" si="10"/>
        <v>0</v>
      </c>
      <c r="V7" s="1">
        <f t="shared" si="11"/>
        <v>0</v>
      </c>
      <c r="W7" s="17" t="str">
        <f t="shared" ref="W7:W70" si="13">+AC7</f>
        <v>February 2011</v>
      </c>
      <c r="X7" s="18">
        <f>+'Warranties &amp; Returns'!B8/Sales!M7</f>
        <v>8.8885465608873143E-2</v>
      </c>
      <c r="Y7" s="18">
        <f>+'Warranties &amp; Returns'!C9/Sales!M7</f>
        <v>4.6445351613648621E-2</v>
      </c>
      <c r="Z7" s="18">
        <f>+'Warranties &amp; Returns'!D8/Sales!O7</f>
        <v>6.1289939422734294E-2</v>
      </c>
      <c r="AA7" s="18">
        <f>+'Warranties &amp; Returns'!E9/Sales!O7</f>
        <v>5.0599833709466684E-2</v>
      </c>
      <c r="AB7" s="18"/>
      <c r="AC7" s="18" t="str">
        <f t="shared" ref="AC7:AC70" si="14">+K7</f>
        <v>February 2011</v>
      </c>
      <c r="AD7" s="22">
        <f t="shared" ref="AD7:AD70" si="15">+M7</f>
        <v>12983</v>
      </c>
      <c r="AE7" s="23">
        <f t="shared" ref="AE7:AE70" si="16">+N7</f>
        <v>6102010</v>
      </c>
      <c r="AF7" s="22">
        <f t="shared" ref="AF7:AF70" si="17">+O7</f>
        <v>8419</v>
      </c>
      <c r="AG7" s="23">
        <f t="shared" ref="AG7:AG70" si="18">+P7</f>
        <v>6145870</v>
      </c>
    </row>
    <row r="8" spans="1:33" x14ac:dyDescent="0.25">
      <c r="A8" s="2">
        <v>40546</v>
      </c>
      <c r="B8" s="3">
        <v>491</v>
      </c>
      <c r="C8" s="4">
        <v>230770</v>
      </c>
      <c r="D8" s="3">
        <v>310</v>
      </c>
      <c r="E8" s="4">
        <v>226300</v>
      </c>
      <c r="G8" s="12">
        <f t="shared" si="0"/>
        <v>2011</v>
      </c>
      <c r="H8" s="12">
        <f t="shared" si="1"/>
        <v>1</v>
      </c>
      <c r="I8" s="11">
        <f t="shared" si="12"/>
        <v>1</v>
      </c>
      <c r="J8" s="11"/>
      <c r="K8" s="1" t="str">
        <f>+'Warranties &amp; Returns'!A8</f>
        <v>March 2011</v>
      </c>
      <c r="L8" s="1">
        <v>3</v>
      </c>
      <c r="M8" s="1">
        <f t="shared" si="2"/>
        <v>14515</v>
      </c>
      <c r="N8" s="1">
        <f t="shared" si="3"/>
        <v>6822050</v>
      </c>
      <c r="O8" s="1">
        <f t="shared" si="4"/>
        <v>9424</v>
      </c>
      <c r="P8" s="1">
        <f t="shared" si="5"/>
        <v>6879520</v>
      </c>
      <c r="Q8" s="1">
        <f t="shared" si="6"/>
        <v>470</v>
      </c>
      <c r="R8" s="1">
        <f t="shared" si="7"/>
        <v>730</v>
      </c>
      <c r="S8" s="1">
        <f t="shared" si="8"/>
        <v>0</v>
      </c>
      <c r="T8" s="1">
        <f t="shared" si="9"/>
        <v>0</v>
      </c>
      <c r="U8" s="1">
        <f t="shared" si="10"/>
        <v>0</v>
      </c>
      <c r="V8" s="1">
        <f t="shared" si="11"/>
        <v>0</v>
      </c>
      <c r="W8" s="17" t="str">
        <f t="shared" si="13"/>
        <v>March 2011</v>
      </c>
      <c r="X8" s="18">
        <f>+'Warranties &amp; Returns'!B9/Sales!M8</f>
        <v>8.384429900103342E-2</v>
      </c>
      <c r="Y8" s="18">
        <f>+'Warranties &amp; Returns'!C10/Sales!M8</f>
        <v>3.4653806407164998E-2</v>
      </c>
      <c r="Z8" s="18">
        <f>+'Warranties &amp; Returns'!D9/Sales!O8</f>
        <v>6.51528013582343E-2</v>
      </c>
      <c r="AA8" s="18">
        <f>+'Warranties &amp; Returns'!E10/Sales!O8</f>
        <v>4.721986417657046E-2</v>
      </c>
      <c r="AB8" s="18"/>
      <c r="AC8" s="18" t="str">
        <f t="shared" si="14"/>
        <v>March 2011</v>
      </c>
      <c r="AD8" s="22">
        <f t="shared" si="15"/>
        <v>14515</v>
      </c>
      <c r="AE8" s="23">
        <f t="shared" si="16"/>
        <v>6822050</v>
      </c>
      <c r="AF8" s="22">
        <f t="shared" si="17"/>
        <v>9424</v>
      </c>
      <c r="AG8" s="23">
        <f t="shared" si="18"/>
        <v>6879520</v>
      </c>
    </row>
    <row r="9" spans="1:33" x14ac:dyDescent="0.25">
      <c r="A9" s="2">
        <v>40547</v>
      </c>
      <c r="B9" s="3">
        <v>435</v>
      </c>
      <c r="C9" s="4">
        <v>204450</v>
      </c>
      <c r="D9" s="3">
        <v>303</v>
      </c>
      <c r="E9" s="4">
        <v>221190</v>
      </c>
      <c r="G9" s="12">
        <f t="shared" si="0"/>
        <v>2011</v>
      </c>
      <c r="H9" s="12">
        <f t="shared" si="1"/>
        <v>1</v>
      </c>
      <c r="I9" s="11">
        <f t="shared" si="12"/>
        <v>1</v>
      </c>
      <c r="J9" s="11"/>
      <c r="K9" s="1" t="str">
        <f>+'Warranties &amp; Returns'!A9</f>
        <v>April 2011</v>
      </c>
      <c r="L9" s="1">
        <v>4</v>
      </c>
      <c r="M9" s="1">
        <f t="shared" si="2"/>
        <v>14294</v>
      </c>
      <c r="N9" s="1">
        <f t="shared" si="3"/>
        <v>6718180</v>
      </c>
      <c r="O9" s="1">
        <f t="shared" si="4"/>
        <v>19599</v>
      </c>
      <c r="P9" s="1">
        <f t="shared" si="5"/>
        <v>14307270</v>
      </c>
      <c r="Q9" s="1">
        <f t="shared" si="6"/>
        <v>470</v>
      </c>
      <c r="R9" s="1">
        <f t="shared" si="7"/>
        <v>730</v>
      </c>
      <c r="S9" s="1">
        <f t="shared" si="8"/>
        <v>0</v>
      </c>
      <c r="T9" s="1">
        <f t="shared" si="9"/>
        <v>0</v>
      </c>
      <c r="U9" s="1">
        <f t="shared" si="10"/>
        <v>0</v>
      </c>
      <c r="V9" s="1">
        <f t="shared" si="11"/>
        <v>0</v>
      </c>
      <c r="W9" s="17" t="str">
        <f t="shared" si="13"/>
        <v>April 2011</v>
      </c>
      <c r="X9" s="18">
        <f>+'Warranties &amp; Returns'!B10/Sales!M9</f>
        <v>8.9687980971036793E-2</v>
      </c>
      <c r="Y9" s="18">
        <f>+'Warranties &amp; Returns'!C11/Sales!M9</f>
        <v>3.6798656779068142E-2</v>
      </c>
      <c r="Z9" s="18">
        <f>+'Warranties &amp; Returns'!D10/Sales!O9</f>
        <v>6.4697178427470789E-2</v>
      </c>
      <c r="AA9" s="18">
        <f>+'Warranties &amp; Returns'!E11/Sales!O9</f>
        <v>4.8880044900250011E-2</v>
      </c>
      <c r="AB9" s="18"/>
      <c r="AC9" s="18" t="str">
        <f t="shared" si="14"/>
        <v>April 2011</v>
      </c>
      <c r="AD9" s="22">
        <f t="shared" si="15"/>
        <v>14294</v>
      </c>
      <c r="AE9" s="23">
        <f t="shared" si="16"/>
        <v>6718180</v>
      </c>
      <c r="AF9" s="22">
        <f t="shared" si="17"/>
        <v>19599</v>
      </c>
      <c r="AG9" s="23">
        <f t="shared" si="18"/>
        <v>14307270</v>
      </c>
    </row>
    <row r="10" spans="1:33" x14ac:dyDescent="0.25">
      <c r="A10" s="2">
        <v>40548</v>
      </c>
      <c r="B10" s="3">
        <v>519</v>
      </c>
      <c r="C10" s="4">
        <v>243930</v>
      </c>
      <c r="D10" s="3">
        <v>238</v>
      </c>
      <c r="E10" s="4">
        <v>173740</v>
      </c>
      <c r="G10" s="12">
        <f t="shared" si="0"/>
        <v>2011</v>
      </c>
      <c r="H10" s="12">
        <f t="shared" si="1"/>
        <v>1</v>
      </c>
      <c r="I10" s="11">
        <f t="shared" si="12"/>
        <v>1</v>
      </c>
      <c r="J10" s="11"/>
      <c r="K10" s="1" t="str">
        <f>+'Warranties &amp; Returns'!A10</f>
        <v>May 2011</v>
      </c>
      <c r="L10" s="1">
        <v>5</v>
      </c>
      <c r="M10" s="1">
        <f t="shared" si="2"/>
        <v>13916</v>
      </c>
      <c r="N10" s="1">
        <f t="shared" si="3"/>
        <v>6540520</v>
      </c>
      <c r="O10" s="1">
        <f t="shared" si="4"/>
        <v>20733</v>
      </c>
      <c r="P10" s="1">
        <f t="shared" si="5"/>
        <v>15135090</v>
      </c>
      <c r="Q10" s="1">
        <f t="shared" si="6"/>
        <v>470</v>
      </c>
      <c r="R10" s="1">
        <f t="shared" si="7"/>
        <v>730</v>
      </c>
      <c r="S10" s="1">
        <f t="shared" si="8"/>
        <v>0</v>
      </c>
      <c r="T10" s="1">
        <f t="shared" si="9"/>
        <v>0</v>
      </c>
      <c r="U10" s="1">
        <f t="shared" si="10"/>
        <v>0</v>
      </c>
      <c r="V10" s="1">
        <f t="shared" si="11"/>
        <v>0</v>
      </c>
      <c r="W10" s="17" t="str">
        <f t="shared" si="13"/>
        <v>May 2011</v>
      </c>
      <c r="X10" s="18">
        <f>+'Warranties &amp; Returns'!B11/Sales!M10</f>
        <v>8.4291463064098876E-2</v>
      </c>
      <c r="Y10" s="18">
        <f>+'Warranties &amp; Returns'!C12/Sales!M10</f>
        <v>4.5127910319057198E-2</v>
      </c>
      <c r="Z10" s="18">
        <f>+'Warranties &amp; Returns'!D11/Sales!O10</f>
        <v>6.2364346693676749E-2</v>
      </c>
      <c r="AA10" s="18">
        <f>+'Warranties &amp; Returns'!E12/Sales!O10</f>
        <v>4.8473448126175663E-2</v>
      </c>
      <c r="AB10" s="18"/>
      <c r="AC10" s="18" t="str">
        <f t="shared" si="14"/>
        <v>May 2011</v>
      </c>
      <c r="AD10" s="22">
        <f t="shared" si="15"/>
        <v>13916</v>
      </c>
      <c r="AE10" s="23">
        <f t="shared" si="16"/>
        <v>6540520</v>
      </c>
      <c r="AF10" s="22">
        <f t="shared" si="17"/>
        <v>20733</v>
      </c>
      <c r="AG10" s="23">
        <f t="shared" si="18"/>
        <v>15135090</v>
      </c>
    </row>
    <row r="11" spans="1:33" x14ac:dyDescent="0.25">
      <c r="A11" s="2">
        <v>40549</v>
      </c>
      <c r="B11" s="3">
        <v>433</v>
      </c>
      <c r="C11" s="4">
        <v>203510</v>
      </c>
      <c r="D11" s="3">
        <v>313</v>
      </c>
      <c r="E11" s="4">
        <v>228490</v>
      </c>
      <c r="G11" s="12">
        <f t="shared" si="0"/>
        <v>2011</v>
      </c>
      <c r="H11" s="12">
        <f t="shared" si="1"/>
        <v>1</v>
      </c>
      <c r="I11" s="11">
        <f t="shared" si="12"/>
        <v>1</v>
      </c>
      <c r="J11" s="11"/>
      <c r="K11" s="1" t="str">
        <f>+'Warranties &amp; Returns'!A11</f>
        <v>June 2011</v>
      </c>
      <c r="L11" s="1">
        <v>6</v>
      </c>
      <c r="M11" s="1">
        <f t="shared" si="2"/>
        <v>13891</v>
      </c>
      <c r="N11" s="1">
        <f t="shared" si="3"/>
        <v>6528770</v>
      </c>
      <c r="O11" s="1">
        <f t="shared" si="4"/>
        <v>21435</v>
      </c>
      <c r="P11" s="1">
        <f t="shared" si="5"/>
        <v>6259020</v>
      </c>
      <c r="Q11" s="1">
        <f t="shared" si="6"/>
        <v>470</v>
      </c>
      <c r="R11" s="1">
        <f t="shared" si="7"/>
        <v>292</v>
      </c>
      <c r="S11" s="1">
        <f t="shared" si="8"/>
        <v>0</v>
      </c>
      <c r="T11" s="1">
        <f t="shared" si="9"/>
        <v>1</v>
      </c>
      <c r="U11" s="1">
        <f t="shared" si="10"/>
        <v>0</v>
      </c>
      <c r="V11" s="1">
        <f t="shared" si="11"/>
        <v>6</v>
      </c>
      <c r="W11" s="17" t="str">
        <f t="shared" si="13"/>
        <v>June 2011</v>
      </c>
      <c r="X11" s="18">
        <f>+'Warranties &amp; Returns'!B12/Sales!M11</f>
        <v>8.3579295947016047E-2</v>
      </c>
      <c r="Y11" s="18">
        <f>+'Warranties &amp; Returns'!C13/Sales!M11</f>
        <v>3.772226621553524E-2</v>
      </c>
      <c r="Z11" s="18">
        <f>+'Warranties &amp; Returns'!D12/Sales!O11</f>
        <v>0</v>
      </c>
      <c r="AA11" s="18">
        <f>+'Warranties &amp; Returns'!E13/Sales!O11</f>
        <v>5.3044086773967811E-2</v>
      </c>
      <c r="AB11" s="18"/>
      <c r="AC11" s="18" t="str">
        <f t="shared" si="14"/>
        <v>June 2011</v>
      </c>
      <c r="AD11" s="22">
        <f t="shared" si="15"/>
        <v>13891</v>
      </c>
      <c r="AE11" s="23">
        <f t="shared" si="16"/>
        <v>6528770</v>
      </c>
      <c r="AF11" s="22">
        <f t="shared" si="17"/>
        <v>21435</v>
      </c>
      <c r="AG11" s="23">
        <f t="shared" si="18"/>
        <v>6259020</v>
      </c>
    </row>
    <row r="12" spans="1:33" x14ac:dyDescent="0.25">
      <c r="A12" s="2">
        <v>40550</v>
      </c>
      <c r="B12" s="3">
        <v>507</v>
      </c>
      <c r="C12" s="4">
        <v>238290</v>
      </c>
      <c r="D12" s="3">
        <v>286</v>
      </c>
      <c r="E12" s="4">
        <v>208780</v>
      </c>
      <c r="G12" s="12">
        <f t="shared" si="0"/>
        <v>2011</v>
      </c>
      <c r="H12" s="12">
        <f t="shared" si="1"/>
        <v>1</v>
      </c>
      <c r="I12" s="11">
        <f t="shared" si="12"/>
        <v>1</v>
      </c>
      <c r="J12" s="11"/>
      <c r="K12" s="1" t="str">
        <f>+'Warranties &amp; Returns'!A12</f>
        <v>July 2011</v>
      </c>
      <c r="L12" s="1">
        <v>7</v>
      </c>
      <c r="M12" s="1">
        <f t="shared" si="2"/>
        <v>14260</v>
      </c>
      <c r="N12" s="1">
        <f t="shared" si="3"/>
        <v>6702200</v>
      </c>
      <c r="O12" s="1">
        <f t="shared" si="4"/>
        <v>9121</v>
      </c>
      <c r="P12" s="1">
        <f t="shared" si="5"/>
        <v>6658330</v>
      </c>
      <c r="Q12" s="1">
        <f t="shared" si="6"/>
        <v>470</v>
      </c>
      <c r="R12" s="1">
        <f t="shared" si="7"/>
        <v>730</v>
      </c>
      <c r="S12" s="1">
        <f t="shared" si="8"/>
        <v>0</v>
      </c>
      <c r="T12" s="1">
        <f t="shared" si="9"/>
        <v>0</v>
      </c>
      <c r="U12" s="1">
        <f t="shared" si="10"/>
        <v>0</v>
      </c>
      <c r="V12" s="1">
        <f t="shared" si="11"/>
        <v>0</v>
      </c>
      <c r="W12" s="17" t="str">
        <f t="shared" si="13"/>
        <v>July 2011</v>
      </c>
      <c r="X12" s="18">
        <f>+'Warranties &amp; Returns'!B13/Sales!M12</f>
        <v>7.8821879382889204E-2</v>
      </c>
      <c r="Y12" s="18">
        <f>+'Warranties &amp; Returns'!C14/Sales!M12</f>
        <v>4.5932678821879382E-2</v>
      </c>
      <c r="Z12" s="18">
        <f>+'Warranties &amp; Returns'!D13/Sales!O12</f>
        <v>6.8194276943317617E-2</v>
      </c>
      <c r="AA12" s="18">
        <f>+'Warranties &amp; Returns'!E14/Sales!O12</f>
        <v>4.8898147132989803E-2</v>
      </c>
      <c r="AB12" s="18"/>
      <c r="AC12" s="18" t="str">
        <f t="shared" si="14"/>
        <v>July 2011</v>
      </c>
      <c r="AD12" s="22">
        <f t="shared" si="15"/>
        <v>14260</v>
      </c>
      <c r="AE12" s="23">
        <f t="shared" si="16"/>
        <v>6702200</v>
      </c>
      <c r="AF12" s="22">
        <f t="shared" si="17"/>
        <v>9121</v>
      </c>
      <c r="AG12" s="23">
        <f t="shared" si="18"/>
        <v>6658330</v>
      </c>
    </row>
    <row r="13" spans="1:33" x14ac:dyDescent="0.25">
      <c r="A13" s="2">
        <v>40551</v>
      </c>
      <c r="B13" s="3">
        <v>491</v>
      </c>
      <c r="C13" s="4">
        <v>230770</v>
      </c>
      <c r="D13" s="3">
        <v>303</v>
      </c>
      <c r="E13" s="4">
        <v>221190</v>
      </c>
      <c r="G13" s="12">
        <f t="shared" si="0"/>
        <v>2011</v>
      </c>
      <c r="H13" s="12">
        <f t="shared" si="1"/>
        <v>1</v>
      </c>
      <c r="I13" s="11">
        <f t="shared" si="12"/>
        <v>1</v>
      </c>
      <c r="J13" s="11"/>
      <c r="K13" s="1" t="str">
        <f>+'Warranties &amp; Returns'!A13</f>
        <v>August 2011</v>
      </c>
      <c r="L13" s="1">
        <v>8</v>
      </c>
      <c r="M13" s="1">
        <f t="shared" si="2"/>
        <v>21795</v>
      </c>
      <c r="N13" s="1">
        <f t="shared" si="3"/>
        <v>10243650</v>
      </c>
      <c r="O13" s="1">
        <f t="shared" si="4"/>
        <v>9342</v>
      </c>
      <c r="P13" s="1">
        <f t="shared" si="5"/>
        <v>6819660</v>
      </c>
      <c r="Q13" s="1">
        <f t="shared" si="6"/>
        <v>470</v>
      </c>
      <c r="R13" s="1">
        <f t="shared" si="7"/>
        <v>730</v>
      </c>
      <c r="S13" s="1">
        <f t="shared" si="8"/>
        <v>0</v>
      </c>
      <c r="T13" s="1">
        <f t="shared" si="9"/>
        <v>0</v>
      </c>
      <c r="U13" s="1">
        <f t="shared" si="10"/>
        <v>0</v>
      </c>
      <c r="V13" s="1">
        <f t="shared" si="11"/>
        <v>0</v>
      </c>
      <c r="W13" s="17" t="str">
        <f t="shared" si="13"/>
        <v>August 2011</v>
      </c>
      <c r="X13" s="18">
        <f>+'Warranties &amp; Returns'!B14/Sales!M13</f>
        <v>9.3324156916724021E-2</v>
      </c>
      <c r="Y13" s="18">
        <f>+'Warranties &amp; Returns'!C15/Sales!M13</f>
        <v>4.5606790548290893E-2</v>
      </c>
      <c r="Z13" s="18">
        <f>+'Warranties &amp; Returns'!D14/Sales!O13</f>
        <v>6.5617640762149432E-2</v>
      </c>
      <c r="AA13" s="18">
        <f>+'Warranties &amp; Returns'!E15/Sales!O13</f>
        <v>4.8276600299721688E-2</v>
      </c>
      <c r="AB13" s="18"/>
      <c r="AC13" s="18" t="str">
        <f t="shared" si="14"/>
        <v>August 2011</v>
      </c>
      <c r="AD13" s="22">
        <f t="shared" si="15"/>
        <v>21795</v>
      </c>
      <c r="AE13" s="23">
        <f t="shared" si="16"/>
        <v>10243650</v>
      </c>
      <c r="AF13" s="22">
        <f t="shared" si="17"/>
        <v>9342</v>
      </c>
      <c r="AG13" s="23">
        <f t="shared" si="18"/>
        <v>6819660</v>
      </c>
    </row>
    <row r="14" spans="1:33" x14ac:dyDescent="0.25">
      <c r="A14" s="2">
        <v>40552</v>
      </c>
      <c r="B14" s="3">
        <v>468</v>
      </c>
      <c r="C14" s="4">
        <v>219960</v>
      </c>
      <c r="D14" s="3">
        <v>321</v>
      </c>
      <c r="E14" s="4">
        <v>234330</v>
      </c>
      <c r="G14" s="12">
        <f t="shared" si="0"/>
        <v>2011</v>
      </c>
      <c r="H14" s="12">
        <f t="shared" si="1"/>
        <v>1</v>
      </c>
      <c r="I14" s="11">
        <f t="shared" si="12"/>
        <v>1</v>
      </c>
      <c r="J14" s="11"/>
      <c r="K14" s="1" t="str">
        <f>+'Warranties &amp; Returns'!A14</f>
        <v>September 2011</v>
      </c>
      <c r="L14" s="1">
        <v>9</v>
      </c>
      <c r="M14" s="1">
        <f t="shared" si="2"/>
        <v>21360</v>
      </c>
      <c r="N14" s="1">
        <f t="shared" si="3"/>
        <v>10039200</v>
      </c>
      <c r="O14" s="1">
        <f t="shared" si="4"/>
        <v>8776</v>
      </c>
      <c r="P14" s="1">
        <f t="shared" si="5"/>
        <v>6406480</v>
      </c>
      <c r="Q14" s="1">
        <f t="shared" si="6"/>
        <v>470</v>
      </c>
      <c r="R14" s="1">
        <f t="shared" si="7"/>
        <v>730</v>
      </c>
      <c r="S14" s="1">
        <f t="shared" si="8"/>
        <v>0</v>
      </c>
      <c r="T14" s="1">
        <f t="shared" si="9"/>
        <v>0</v>
      </c>
      <c r="U14" s="1">
        <f t="shared" si="10"/>
        <v>0</v>
      </c>
      <c r="V14" s="1">
        <f t="shared" si="11"/>
        <v>0</v>
      </c>
      <c r="W14" s="17" t="str">
        <f t="shared" si="13"/>
        <v>September 2011</v>
      </c>
      <c r="X14" s="18">
        <f>+'Warranties &amp; Returns'!B15/Sales!M14</f>
        <v>8.2490636704119852E-2</v>
      </c>
      <c r="Y14" s="18">
        <f>+'Warranties &amp; Returns'!C16/Sales!M14</f>
        <v>4.190074906367041E-2</v>
      </c>
      <c r="Z14" s="18">
        <f>+'Warranties &amp; Returns'!D15/Sales!O14</f>
        <v>6.6545123062898809E-2</v>
      </c>
      <c r="AA14" s="18">
        <f>+'Warranties &amp; Returns'!E16/Sales!O14</f>
        <v>4.4895168641750229E-2</v>
      </c>
      <c r="AB14" s="18"/>
      <c r="AC14" s="18" t="str">
        <f t="shared" si="14"/>
        <v>September 2011</v>
      </c>
      <c r="AD14" s="22">
        <f t="shared" si="15"/>
        <v>21360</v>
      </c>
      <c r="AE14" s="23">
        <f t="shared" si="16"/>
        <v>10039200</v>
      </c>
      <c r="AF14" s="22">
        <f t="shared" si="17"/>
        <v>8776</v>
      </c>
      <c r="AG14" s="23">
        <f t="shared" si="18"/>
        <v>6406480</v>
      </c>
    </row>
    <row r="15" spans="1:33" x14ac:dyDescent="0.25">
      <c r="A15" s="2">
        <v>40553</v>
      </c>
      <c r="B15" s="3">
        <v>518</v>
      </c>
      <c r="C15" s="4">
        <v>243460</v>
      </c>
      <c r="D15" s="3">
        <v>307</v>
      </c>
      <c r="E15" s="4">
        <v>224110</v>
      </c>
      <c r="G15" s="12">
        <f t="shared" si="0"/>
        <v>2011</v>
      </c>
      <c r="H15" s="12">
        <f t="shared" si="1"/>
        <v>1</v>
      </c>
      <c r="I15" s="11">
        <f t="shared" si="12"/>
        <v>1</v>
      </c>
      <c r="J15" s="11"/>
      <c r="K15" s="1" t="str">
        <f>+'Warranties &amp; Returns'!A15</f>
        <v>October 2011</v>
      </c>
      <c r="L15" s="1">
        <v>10</v>
      </c>
      <c r="M15" s="1">
        <f t="shared" si="2"/>
        <v>17801</v>
      </c>
      <c r="N15" s="1">
        <f t="shared" si="3"/>
        <v>5229043.75</v>
      </c>
      <c r="O15" s="1">
        <f t="shared" si="4"/>
        <v>9417</v>
      </c>
      <c r="P15" s="1">
        <f t="shared" si="5"/>
        <v>6874410</v>
      </c>
      <c r="Q15" s="1">
        <f t="shared" si="6"/>
        <v>293.75</v>
      </c>
      <c r="R15" s="1">
        <f t="shared" si="7"/>
        <v>730</v>
      </c>
      <c r="S15" s="1">
        <f t="shared" si="8"/>
        <v>1</v>
      </c>
      <c r="T15" s="1">
        <f t="shared" si="9"/>
        <v>0</v>
      </c>
      <c r="U15" s="1">
        <f t="shared" si="10"/>
        <v>10</v>
      </c>
      <c r="V15" s="1">
        <f t="shared" si="11"/>
        <v>0</v>
      </c>
      <c r="W15" s="17" t="str">
        <f t="shared" si="13"/>
        <v>October 2011</v>
      </c>
      <c r="X15" s="18">
        <f>+'Warranties &amp; Returns'!B16/Sales!M15</f>
        <v>0</v>
      </c>
      <c r="Y15" s="18">
        <f>+'Warranties &amp; Returns'!C17/Sales!M15</f>
        <v>2.7863603168361329E-2</v>
      </c>
      <c r="Z15" s="18">
        <f>+'Warranties &amp; Returns'!D16/Sales!O15</f>
        <v>6.4139322501858345E-2</v>
      </c>
      <c r="AA15" s="18">
        <f>+'Warranties &amp; Returns'!E17/Sales!O15</f>
        <v>5.0228310502283102E-2</v>
      </c>
      <c r="AB15" s="18"/>
      <c r="AC15" s="18" t="str">
        <f t="shared" si="14"/>
        <v>October 2011</v>
      </c>
      <c r="AD15" s="22">
        <f t="shared" si="15"/>
        <v>17801</v>
      </c>
      <c r="AE15" s="23">
        <f t="shared" si="16"/>
        <v>5229043.75</v>
      </c>
      <c r="AF15" s="22">
        <f t="shared" si="17"/>
        <v>9417</v>
      </c>
      <c r="AG15" s="23">
        <f t="shared" si="18"/>
        <v>6874410</v>
      </c>
    </row>
    <row r="16" spans="1:33" x14ac:dyDescent="0.25">
      <c r="A16" s="2">
        <v>40554</v>
      </c>
      <c r="B16" s="3">
        <v>497</v>
      </c>
      <c r="C16" s="4">
        <v>233590</v>
      </c>
      <c r="D16" s="3">
        <v>281</v>
      </c>
      <c r="E16" s="4">
        <v>205130</v>
      </c>
      <c r="G16" s="12">
        <f t="shared" si="0"/>
        <v>2011</v>
      </c>
      <c r="H16" s="12">
        <f t="shared" si="1"/>
        <v>1</v>
      </c>
      <c r="I16" s="11">
        <f t="shared" si="12"/>
        <v>1</v>
      </c>
      <c r="J16" s="11"/>
      <c r="K16" s="1" t="str">
        <f>+'Warranties &amp; Returns'!A16</f>
        <v>November 2011</v>
      </c>
      <c r="L16" s="1">
        <v>11</v>
      </c>
      <c r="M16" s="1">
        <f t="shared" si="2"/>
        <v>14091</v>
      </c>
      <c r="N16" s="1">
        <f t="shared" si="3"/>
        <v>6622770</v>
      </c>
      <c r="O16" s="1">
        <f t="shared" si="4"/>
        <v>9120</v>
      </c>
      <c r="P16" s="1">
        <f t="shared" si="5"/>
        <v>6657600</v>
      </c>
      <c r="Q16" s="1">
        <f t="shared" si="6"/>
        <v>470</v>
      </c>
      <c r="R16" s="1">
        <f t="shared" si="7"/>
        <v>730</v>
      </c>
      <c r="S16" s="1">
        <f t="shared" si="8"/>
        <v>0</v>
      </c>
      <c r="T16" s="1">
        <f t="shared" si="9"/>
        <v>0</v>
      </c>
      <c r="U16" s="1">
        <f t="shared" si="10"/>
        <v>0</v>
      </c>
      <c r="V16" s="1">
        <f t="shared" si="11"/>
        <v>0</v>
      </c>
      <c r="W16" s="17" t="str">
        <f t="shared" si="13"/>
        <v>November 2011</v>
      </c>
      <c r="X16" s="18">
        <f>+'Warranties &amp; Returns'!B17/Sales!M16</f>
        <v>8.3031722375984676E-2</v>
      </c>
      <c r="Y16" s="18">
        <f>+'Warranties &amp; Returns'!C18/Sales!M16</f>
        <v>3.3496558086722021E-2</v>
      </c>
      <c r="Z16" s="18">
        <f>+'Warranties &amp; Returns'!D17/Sales!O16</f>
        <v>5.5701754385964912E-2</v>
      </c>
      <c r="AA16" s="18">
        <f>+'Warranties &amp; Returns'!E18/Sales!O16</f>
        <v>5.1096491228070175E-2</v>
      </c>
      <c r="AB16" s="18"/>
      <c r="AC16" s="18" t="str">
        <f t="shared" si="14"/>
        <v>November 2011</v>
      </c>
      <c r="AD16" s="22">
        <f t="shared" si="15"/>
        <v>14091</v>
      </c>
      <c r="AE16" s="23">
        <f t="shared" si="16"/>
        <v>6622770</v>
      </c>
      <c r="AF16" s="22">
        <f t="shared" si="17"/>
        <v>9120</v>
      </c>
      <c r="AG16" s="23">
        <f t="shared" si="18"/>
        <v>6657600</v>
      </c>
    </row>
    <row r="17" spans="1:33" x14ac:dyDescent="0.25">
      <c r="A17" s="2">
        <v>40555</v>
      </c>
      <c r="B17" s="3">
        <v>443</v>
      </c>
      <c r="C17" s="4">
        <v>208210</v>
      </c>
      <c r="D17" s="3">
        <v>297</v>
      </c>
      <c r="E17" s="4">
        <v>216810</v>
      </c>
      <c r="G17" s="12">
        <f t="shared" si="0"/>
        <v>2011</v>
      </c>
      <c r="H17" s="12">
        <f t="shared" si="1"/>
        <v>1</v>
      </c>
      <c r="I17" s="11">
        <f t="shared" si="12"/>
        <v>1</v>
      </c>
      <c r="J17" s="11"/>
      <c r="K17" s="1" t="str">
        <f>+'Warranties &amp; Returns'!A17</f>
        <v>December 2011</v>
      </c>
      <c r="L17" s="1">
        <v>12</v>
      </c>
      <c r="M17" s="1">
        <f t="shared" si="2"/>
        <v>14222</v>
      </c>
      <c r="N17" s="1">
        <f t="shared" si="3"/>
        <v>6684340</v>
      </c>
      <c r="O17" s="1">
        <f t="shared" si="4"/>
        <v>9613</v>
      </c>
      <c r="P17" s="1">
        <f t="shared" si="5"/>
        <v>7017490</v>
      </c>
      <c r="Q17" s="1">
        <f t="shared" si="6"/>
        <v>470</v>
      </c>
      <c r="R17" s="1">
        <f t="shared" si="7"/>
        <v>730</v>
      </c>
      <c r="S17" s="1">
        <f t="shared" si="8"/>
        <v>0</v>
      </c>
      <c r="T17" s="1">
        <f t="shared" si="9"/>
        <v>0</v>
      </c>
      <c r="U17" s="1">
        <f t="shared" si="10"/>
        <v>0</v>
      </c>
      <c r="V17" s="1">
        <f t="shared" si="11"/>
        <v>0</v>
      </c>
      <c r="W17" s="17" t="str">
        <f t="shared" si="13"/>
        <v>December 2011</v>
      </c>
      <c r="X17" s="18">
        <f>+'Warranties &amp; Returns'!B18/Sales!M17</f>
        <v>8.5993531148924204E-2</v>
      </c>
      <c r="Y17" s="18">
        <f>+'Warranties &amp; Returns'!C19/Sales!M17</f>
        <v>4.0711573618337785E-2</v>
      </c>
      <c r="Z17" s="18">
        <f>+'Warranties &amp; Returns'!D18/Sales!O17</f>
        <v>6.2831582232393629E-2</v>
      </c>
      <c r="AA17" s="18">
        <f>+'Warranties &amp; Returns'!E19/Sales!O17</f>
        <v>6.5016123998751688E-2</v>
      </c>
      <c r="AB17" s="18"/>
      <c r="AC17" s="18" t="str">
        <f t="shared" si="14"/>
        <v>December 2011</v>
      </c>
      <c r="AD17" s="22">
        <f t="shared" si="15"/>
        <v>14222</v>
      </c>
      <c r="AE17" s="23">
        <f t="shared" si="16"/>
        <v>6684340</v>
      </c>
      <c r="AF17" s="22">
        <f t="shared" si="17"/>
        <v>9613</v>
      </c>
      <c r="AG17" s="23">
        <f t="shared" si="18"/>
        <v>7017490</v>
      </c>
    </row>
    <row r="18" spans="1:33" x14ac:dyDescent="0.25">
      <c r="A18" s="2">
        <v>40556</v>
      </c>
      <c r="B18" s="3">
        <v>523</v>
      </c>
      <c r="C18" s="4">
        <v>245810</v>
      </c>
      <c r="D18" s="3">
        <v>281</v>
      </c>
      <c r="E18" s="4">
        <v>205130</v>
      </c>
      <c r="G18" s="12">
        <f t="shared" si="0"/>
        <v>2011</v>
      </c>
      <c r="H18" s="12">
        <f t="shared" si="1"/>
        <v>1</v>
      </c>
      <c r="I18" s="11">
        <f t="shared" si="12"/>
        <v>1</v>
      </c>
      <c r="J18" s="11"/>
      <c r="K18" s="1" t="str">
        <f>+'Warranties &amp; Returns'!A18</f>
        <v>January 2012</v>
      </c>
      <c r="L18" s="1">
        <v>13</v>
      </c>
      <c r="M18" s="1">
        <f t="shared" si="2"/>
        <v>14170</v>
      </c>
      <c r="N18" s="1">
        <f t="shared" si="3"/>
        <v>6659900</v>
      </c>
      <c r="O18" s="1">
        <f t="shared" si="4"/>
        <v>9091</v>
      </c>
      <c r="P18" s="1">
        <f t="shared" si="5"/>
        <v>6636430</v>
      </c>
      <c r="Q18" s="1">
        <f t="shared" si="6"/>
        <v>470</v>
      </c>
      <c r="R18" s="1">
        <f t="shared" si="7"/>
        <v>730</v>
      </c>
      <c r="S18" s="1">
        <f t="shared" si="8"/>
        <v>0</v>
      </c>
      <c r="T18" s="1">
        <f t="shared" si="9"/>
        <v>0</v>
      </c>
      <c r="U18" s="1">
        <f t="shared" si="10"/>
        <v>0</v>
      </c>
      <c r="V18" s="1">
        <f t="shared" si="11"/>
        <v>0</v>
      </c>
      <c r="W18" s="17" t="str">
        <f t="shared" si="13"/>
        <v>January 2012</v>
      </c>
      <c r="X18" s="18">
        <f>+'Warranties &amp; Returns'!B19/Sales!M18</f>
        <v>7.8969654199012002E-2</v>
      </c>
      <c r="Y18" s="18">
        <f>+'Warranties &amp; Returns'!C20/Sales!M18</f>
        <v>3.5426958362738181E-2</v>
      </c>
      <c r="Z18" s="18">
        <f>+'Warranties &amp; Returns'!D19/Sales!O18</f>
        <v>7.1499285007149929E-2</v>
      </c>
      <c r="AA18" s="18">
        <f>+'Warranties &amp; Returns'!E20/Sales!O18</f>
        <v>3.8059619403805964E-2</v>
      </c>
      <c r="AB18" s="18"/>
      <c r="AC18" s="18" t="str">
        <f t="shared" si="14"/>
        <v>January 2012</v>
      </c>
      <c r="AD18" s="22">
        <f t="shared" si="15"/>
        <v>14170</v>
      </c>
      <c r="AE18" s="23">
        <f t="shared" si="16"/>
        <v>6659900</v>
      </c>
      <c r="AF18" s="22">
        <f t="shared" si="17"/>
        <v>9091</v>
      </c>
      <c r="AG18" s="23">
        <f t="shared" si="18"/>
        <v>6636430</v>
      </c>
    </row>
    <row r="19" spans="1:33" x14ac:dyDescent="0.25">
      <c r="A19" s="2">
        <v>40557</v>
      </c>
      <c r="B19" s="3">
        <v>495</v>
      </c>
      <c r="C19" s="4">
        <v>232650</v>
      </c>
      <c r="D19" s="3">
        <v>349</v>
      </c>
      <c r="E19" s="4">
        <v>254770</v>
      </c>
      <c r="G19" s="12">
        <f t="shared" si="0"/>
        <v>2011</v>
      </c>
      <c r="H19" s="12">
        <f t="shared" si="1"/>
        <v>1</v>
      </c>
      <c r="I19" s="11">
        <f t="shared" si="12"/>
        <v>1</v>
      </c>
      <c r="J19" s="11"/>
      <c r="K19" s="1" t="str">
        <f>+'Warranties &amp; Returns'!A19</f>
        <v>February 2012</v>
      </c>
      <c r="L19" s="1">
        <v>14</v>
      </c>
      <c r="M19" s="1">
        <f t="shared" si="2"/>
        <v>14241</v>
      </c>
      <c r="N19" s="1">
        <f t="shared" si="3"/>
        <v>6693270</v>
      </c>
      <c r="O19" s="1">
        <f t="shared" si="4"/>
        <v>8641</v>
      </c>
      <c r="P19" s="1">
        <f t="shared" si="5"/>
        <v>6307930</v>
      </c>
      <c r="Q19" s="1">
        <f t="shared" si="6"/>
        <v>470</v>
      </c>
      <c r="R19" s="1">
        <f t="shared" si="7"/>
        <v>730</v>
      </c>
      <c r="S19" s="1">
        <f t="shared" si="8"/>
        <v>0</v>
      </c>
      <c r="T19" s="1">
        <f t="shared" si="9"/>
        <v>0</v>
      </c>
      <c r="U19" s="1">
        <f t="shared" si="10"/>
        <v>0</v>
      </c>
      <c r="V19" s="1">
        <f t="shared" si="11"/>
        <v>0</v>
      </c>
      <c r="W19" s="17" t="str">
        <f t="shared" si="13"/>
        <v>February 2012</v>
      </c>
      <c r="X19" s="18">
        <f>+'Warranties &amp; Returns'!B20/Sales!M19</f>
        <v>8.4825503826978441E-2</v>
      </c>
      <c r="Y19" s="18">
        <f>+'Warranties &amp; Returns'!C21/Sales!M19</f>
        <v>4.065725721508321E-2</v>
      </c>
      <c r="Z19" s="18">
        <f>+'Warranties &amp; Returns'!D20/Sales!O19</f>
        <v>6.8626316398564979E-2</v>
      </c>
      <c r="AA19" s="18">
        <f>+'Warranties &amp; Returns'!E21/Sales!O19</f>
        <v>5.1614396481888668E-2</v>
      </c>
      <c r="AB19" s="18"/>
      <c r="AC19" s="18" t="str">
        <f t="shared" si="14"/>
        <v>February 2012</v>
      </c>
      <c r="AD19" s="22">
        <f t="shared" si="15"/>
        <v>14241</v>
      </c>
      <c r="AE19" s="23">
        <f t="shared" si="16"/>
        <v>6693270</v>
      </c>
      <c r="AF19" s="22">
        <f t="shared" si="17"/>
        <v>8641</v>
      </c>
      <c r="AG19" s="23">
        <f t="shared" si="18"/>
        <v>6307930</v>
      </c>
    </row>
    <row r="20" spans="1:33" x14ac:dyDescent="0.25">
      <c r="A20" s="2">
        <v>40558</v>
      </c>
      <c r="B20" s="3">
        <v>520</v>
      </c>
      <c r="C20" s="4">
        <v>244400</v>
      </c>
      <c r="D20" s="3">
        <v>323</v>
      </c>
      <c r="E20" s="4">
        <v>235790</v>
      </c>
      <c r="G20" s="12">
        <f t="shared" si="0"/>
        <v>2011</v>
      </c>
      <c r="H20" s="12">
        <f t="shared" si="1"/>
        <v>1</v>
      </c>
      <c r="I20" s="11">
        <f t="shared" si="12"/>
        <v>1</v>
      </c>
      <c r="J20" s="11"/>
      <c r="K20" s="1" t="str">
        <f>+'Warranties &amp; Returns'!A20</f>
        <v>March 2012</v>
      </c>
      <c r="L20" s="1">
        <v>15</v>
      </c>
      <c r="M20" s="1">
        <f t="shared" si="2"/>
        <v>14782</v>
      </c>
      <c r="N20" s="1">
        <f t="shared" si="3"/>
        <v>6947540</v>
      </c>
      <c r="O20" s="1">
        <f t="shared" si="4"/>
        <v>9208</v>
      </c>
      <c r="P20" s="1">
        <f t="shared" si="5"/>
        <v>6721840</v>
      </c>
      <c r="Q20" s="1">
        <f t="shared" si="6"/>
        <v>470</v>
      </c>
      <c r="R20" s="1">
        <f t="shared" si="7"/>
        <v>730</v>
      </c>
      <c r="S20" s="1">
        <f t="shared" si="8"/>
        <v>0</v>
      </c>
      <c r="T20" s="1">
        <f t="shared" si="9"/>
        <v>0</v>
      </c>
      <c r="U20" s="1">
        <f t="shared" si="10"/>
        <v>0</v>
      </c>
      <c r="V20" s="1">
        <f t="shared" si="11"/>
        <v>0</v>
      </c>
      <c r="W20" s="17" t="str">
        <f t="shared" si="13"/>
        <v>March 2012</v>
      </c>
      <c r="X20" s="18">
        <f>+'Warranties &amp; Returns'!B21/Sales!M20</f>
        <v>8.3885807062643758E-2</v>
      </c>
      <c r="Y20" s="18">
        <f>+'Warranties &amp; Returns'!C22/Sales!M20</f>
        <v>4.6475443106480857E-2</v>
      </c>
      <c r="Z20" s="18">
        <f>+'Warranties &amp; Returns'!D21/Sales!O20</f>
        <v>5.7232841007819286E-2</v>
      </c>
      <c r="AA20" s="18">
        <f>+'Warranties &amp; Returns'!E22/Sales!O20</f>
        <v>5.5495221546481323E-2</v>
      </c>
      <c r="AB20" s="18"/>
      <c r="AC20" s="18" t="str">
        <f t="shared" si="14"/>
        <v>March 2012</v>
      </c>
      <c r="AD20" s="22">
        <f t="shared" si="15"/>
        <v>14782</v>
      </c>
      <c r="AE20" s="23">
        <f t="shared" si="16"/>
        <v>6947540</v>
      </c>
      <c r="AF20" s="22">
        <f t="shared" si="17"/>
        <v>9208</v>
      </c>
      <c r="AG20" s="23">
        <f t="shared" si="18"/>
        <v>6721840</v>
      </c>
    </row>
    <row r="21" spans="1:33" x14ac:dyDescent="0.25">
      <c r="A21" s="2">
        <v>40559</v>
      </c>
      <c r="B21" s="3">
        <v>418</v>
      </c>
      <c r="C21" s="4">
        <v>196460</v>
      </c>
      <c r="D21" s="3">
        <v>261</v>
      </c>
      <c r="E21" s="4">
        <v>190530</v>
      </c>
      <c r="G21" s="12">
        <f t="shared" si="0"/>
        <v>2011</v>
      </c>
      <c r="H21" s="12">
        <f t="shared" si="1"/>
        <v>1</v>
      </c>
      <c r="I21" s="11">
        <f t="shared" si="12"/>
        <v>1</v>
      </c>
      <c r="J21" s="11"/>
      <c r="K21" s="1" t="str">
        <f>+'Warranties &amp; Returns'!A21</f>
        <v>April 2012</v>
      </c>
      <c r="L21" s="1">
        <v>16</v>
      </c>
      <c r="M21" s="1">
        <f t="shared" si="2"/>
        <v>14175</v>
      </c>
      <c r="N21" s="1">
        <f t="shared" si="3"/>
        <v>6662250</v>
      </c>
      <c r="O21" s="1">
        <f t="shared" si="4"/>
        <v>19340</v>
      </c>
      <c r="P21" s="1">
        <f t="shared" si="5"/>
        <v>14118200</v>
      </c>
      <c r="Q21" s="1">
        <f t="shared" si="6"/>
        <v>470</v>
      </c>
      <c r="R21" s="1">
        <f t="shared" si="7"/>
        <v>730</v>
      </c>
      <c r="S21" s="1">
        <f t="shared" si="8"/>
        <v>0</v>
      </c>
      <c r="T21" s="1">
        <f t="shared" si="9"/>
        <v>0</v>
      </c>
      <c r="U21" s="1">
        <f t="shared" si="10"/>
        <v>0</v>
      </c>
      <c r="V21" s="1">
        <f t="shared" si="11"/>
        <v>0</v>
      </c>
      <c r="W21" s="17" t="str">
        <f t="shared" si="13"/>
        <v>April 2012</v>
      </c>
      <c r="X21" s="18">
        <f>+'Warranties &amp; Returns'!B22/Sales!M21</f>
        <v>8.0352733686067018E-2</v>
      </c>
      <c r="Y21" s="18">
        <f>+'Warranties &amp; Returns'!C23/Sales!M21</f>
        <v>3.760141093474427E-2</v>
      </c>
      <c r="Z21" s="18">
        <f>+'Warranties &amp; Returns'!D22/Sales!O21</f>
        <v>6.0392967942088933E-2</v>
      </c>
      <c r="AA21" s="18">
        <f>+'Warranties &amp; Returns'!E23/Sales!O21</f>
        <v>4.8241985522233716E-2</v>
      </c>
      <c r="AB21" s="18"/>
      <c r="AC21" s="18" t="str">
        <f t="shared" si="14"/>
        <v>April 2012</v>
      </c>
      <c r="AD21" s="22">
        <f t="shared" si="15"/>
        <v>14175</v>
      </c>
      <c r="AE21" s="23">
        <f t="shared" si="16"/>
        <v>6662250</v>
      </c>
      <c r="AF21" s="22">
        <f t="shared" si="17"/>
        <v>19340</v>
      </c>
      <c r="AG21" s="23">
        <f t="shared" si="18"/>
        <v>14118200</v>
      </c>
    </row>
    <row r="22" spans="1:33" x14ac:dyDescent="0.25">
      <c r="A22" s="2">
        <v>40560</v>
      </c>
      <c r="B22" s="3">
        <v>435</v>
      </c>
      <c r="C22" s="4">
        <v>204450</v>
      </c>
      <c r="D22" s="3">
        <v>278</v>
      </c>
      <c r="E22" s="4">
        <v>202940</v>
      </c>
      <c r="G22" s="12">
        <f t="shared" si="0"/>
        <v>2011</v>
      </c>
      <c r="H22" s="12">
        <f t="shared" si="1"/>
        <v>1</v>
      </c>
      <c r="I22" s="11">
        <f t="shared" si="12"/>
        <v>1</v>
      </c>
      <c r="J22" s="11"/>
      <c r="K22" s="1" t="str">
        <f>+'Warranties &amp; Returns'!A22</f>
        <v>May 2012</v>
      </c>
      <c r="L22" s="1">
        <v>17</v>
      </c>
      <c r="M22" s="1">
        <f t="shared" si="2"/>
        <v>14396</v>
      </c>
      <c r="N22" s="1">
        <f t="shared" si="3"/>
        <v>6766120</v>
      </c>
      <c r="O22" s="1">
        <f t="shared" si="4"/>
        <v>20297</v>
      </c>
      <c r="P22" s="1">
        <f t="shared" si="5"/>
        <v>14816810</v>
      </c>
      <c r="Q22" s="1">
        <f t="shared" si="6"/>
        <v>470</v>
      </c>
      <c r="R22" s="1">
        <f t="shared" si="7"/>
        <v>730</v>
      </c>
      <c r="S22" s="1">
        <f t="shared" si="8"/>
        <v>0</v>
      </c>
      <c r="T22" s="1">
        <f t="shared" si="9"/>
        <v>0</v>
      </c>
      <c r="U22" s="1">
        <f t="shared" si="10"/>
        <v>0</v>
      </c>
      <c r="V22" s="1">
        <f t="shared" si="11"/>
        <v>0</v>
      </c>
      <c r="W22" s="17" t="str">
        <f t="shared" si="13"/>
        <v>May 2012</v>
      </c>
      <c r="X22" s="18">
        <f>+'Warranties &amp; Returns'!B23/Sales!M22</f>
        <v>8.1342039455404275E-2</v>
      </c>
      <c r="Y22" s="18">
        <f>+'Warranties &amp; Returns'!C24/Sales!M22</f>
        <v>3.7232564601278134E-2</v>
      </c>
      <c r="Z22" s="18">
        <f>+'Warranties &amp; Returns'!D23/Sales!O22</f>
        <v>6.4689362960043351E-2</v>
      </c>
      <c r="AA22" s="18">
        <f>+'Warranties &amp; Returns'!E24/Sales!O22</f>
        <v>4.8135192392964481E-2</v>
      </c>
      <c r="AB22" s="18"/>
      <c r="AC22" s="18" t="str">
        <f t="shared" si="14"/>
        <v>May 2012</v>
      </c>
      <c r="AD22" s="22">
        <f t="shared" si="15"/>
        <v>14396</v>
      </c>
      <c r="AE22" s="23">
        <f t="shared" si="16"/>
        <v>6766120</v>
      </c>
      <c r="AF22" s="22">
        <f t="shared" si="17"/>
        <v>20297</v>
      </c>
      <c r="AG22" s="23">
        <f t="shared" si="18"/>
        <v>14816810</v>
      </c>
    </row>
    <row r="23" spans="1:33" x14ac:dyDescent="0.25">
      <c r="A23" s="2">
        <v>40561</v>
      </c>
      <c r="B23" s="3">
        <v>473</v>
      </c>
      <c r="C23" s="4">
        <v>222310</v>
      </c>
      <c r="D23" s="3">
        <v>328</v>
      </c>
      <c r="E23" s="4">
        <v>239440</v>
      </c>
      <c r="G23" s="12">
        <f t="shared" si="0"/>
        <v>2011</v>
      </c>
      <c r="H23" s="12">
        <f t="shared" si="1"/>
        <v>1</v>
      </c>
      <c r="I23" s="11">
        <f t="shared" si="12"/>
        <v>1</v>
      </c>
      <c r="J23" s="11"/>
      <c r="K23" s="1" t="str">
        <f>+'Warranties &amp; Returns'!A23</f>
        <v>June 2012</v>
      </c>
      <c r="L23" s="1">
        <v>18</v>
      </c>
      <c r="M23" s="1">
        <f t="shared" si="2"/>
        <v>14350</v>
      </c>
      <c r="N23" s="1">
        <f t="shared" si="3"/>
        <v>6744500</v>
      </c>
      <c r="O23" s="1">
        <f t="shared" si="4"/>
        <v>22430</v>
      </c>
      <c r="P23" s="1">
        <f t="shared" si="5"/>
        <v>6549560</v>
      </c>
      <c r="Q23" s="1">
        <f t="shared" si="6"/>
        <v>470</v>
      </c>
      <c r="R23" s="1">
        <f t="shared" si="7"/>
        <v>292</v>
      </c>
      <c r="S23" s="1">
        <f t="shared" si="8"/>
        <v>0</v>
      </c>
      <c r="T23" s="1">
        <f t="shared" si="9"/>
        <v>1</v>
      </c>
      <c r="U23" s="1">
        <f t="shared" si="10"/>
        <v>0</v>
      </c>
      <c r="V23" s="1">
        <f t="shared" si="11"/>
        <v>18</v>
      </c>
      <c r="W23" s="17" t="str">
        <f t="shared" si="13"/>
        <v>June 2012</v>
      </c>
      <c r="X23" s="18">
        <f>+'Warranties &amp; Returns'!B24/Sales!M23</f>
        <v>8.4738675958188153E-2</v>
      </c>
      <c r="Y23" s="18">
        <f>+'Warranties &amp; Returns'!C25/Sales!M23</f>
        <v>3.9372822299651569E-2</v>
      </c>
      <c r="Z23" s="18">
        <f>+'Warranties &amp; Returns'!D24/Sales!O23</f>
        <v>0</v>
      </c>
      <c r="AA23" s="18">
        <f>+'Warranties &amp; Returns'!E25/Sales!O23</f>
        <v>4.8238965670976373E-2</v>
      </c>
      <c r="AB23" s="18"/>
      <c r="AC23" s="18" t="str">
        <f t="shared" si="14"/>
        <v>June 2012</v>
      </c>
      <c r="AD23" s="22">
        <f t="shared" si="15"/>
        <v>14350</v>
      </c>
      <c r="AE23" s="23">
        <f t="shared" si="16"/>
        <v>6744500</v>
      </c>
      <c r="AF23" s="22">
        <f t="shared" si="17"/>
        <v>22430</v>
      </c>
      <c r="AG23" s="23">
        <f t="shared" si="18"/>
        <v>6549560</v>
      </c>
    </row>
    <row r="24" spans="1:33" x14ac:dyDescent="0.25">
      <c r="A24" s="2">
        <v>40562</v>
      </c>
      <c r="B24" s="3">
        <v>378</v>
      </c>
      <c r="C24" s="4">
        <v>177660</v>
      </c>
      <c r="D24" s="3">
        <v>259</v>
      </c>
      <c r="E24" s="4">
        <v>189070</v>
      </c>
      <c r="G24" s="12">
        <f t="shared" si="0"/>
        <v>2011</v>
      </c>
      <c r="H24" s="12">
        <f t="shared" si="1"/>
        <v>1</v>
      </c>
      <c r="I24" s="11">
        <f t="shared" si="12"/>
        <v>1</v>
      </c>
      <c r="J24" s="11"/>
      <c r="K24" s="1" t="str">
        <f>+'Warranties &amp; Returns'!A24</f>
        <v>July 2012</v>
      </c>
      <c r="L24" s="1">
        <v>19</v>
      </c>
      <c r="M24" s="1">
        <f t="shared" si="2"/>
        <v>15211</v>
      </c>
      <c r="N24" s="1">
        <f t="shared" si="3"/>
        <v>7149170</v>
      </c>
      <c r="O24" s="1">
        <f t="shared" si="4"/>
        <v>9608</v>
      </c>
      <c r="P24" s="1">
        <f t="shared" si="5"/>
        <v>7013840</v>
      </c>
      <c r="Q24" s="1">
        <f t="shared" si="6"/>
        <v>470</v>
      </c>
      <c r="R24" s="1">
        <f t="shared" si="7"/>
        <v>730</v>
      </c>
      <c r="S24" s="1">
        <f t="shared" si="8"/>
        <v>0</v>
      </c>
      <c r="T24" s="1">
        <f t="shared" si="9"/>
        <v>0</v>
      </c>
      <c r="U24" s="1">
        <f t="shared" si="10"/>
        <v>0</v>
      </c>
      <c r="V24" s="1">
        <f t="shared" si="11"/>
        <v>0</v>
      </c>
      <c r="W24" s="17" t="str">
        <f t="shared" si="13"/>
        <v>July 2012</v>
      </c>
      <c r="X24" s="18">
        <f>+'Warranties &amp; Returns'!B25/Sales!M24</f>
        <v>8.5924659785681409E-2</v>
      </c>
      <c r="Y24" s="18">
        <f>+'Warranties &amp; Returns'!C26/Sales!M24</f>
        <v>3.2082045887844322E-2</v>
      </c>
      <c r="Z24" s="18">
        <f>+'Warranties &amp; Returns'!D25/Sales!O24</f>
        <v>6.203164029975021E-2</v>
      </c>
      <c r="AA24" s="18">
        <f>+'Warranties &amp; Returns'!E26/Sales!O24</f>
        <v>4.9333888426311409E-2</v>
      </c>
      <c r="AB24" s="18"/>
      <c r="AC24" s="18" t="str">
        <f t="shared" si="14"/>
        <v>July 2012</v>
      </c>
      <c r="AD24" s="22">
        <f t="shared" si="15"/>
        <v>15211</v>
      </c>
      <c r="AE24" s="23">
        <f t="shared" si="16"/>
        <v>7149170</v>
      </c>
      <c r="AF24" s="22">
        <f t="shared" si="17"/>
        <v>9608</v>
      </c>
      <c r="AG24" s="23">
        <f t="shared" si="18"/>
        <v>7013840</v>
      </c>
    </row>
    <row r="25" spans="1:33" x14ac:dyDescent="0.25">
      <c r="A25" s="2">
        <v>40563</v>
      </c>
      <c r="B25" s="3">
        <v>444</v>
      </c>
      <c r="C25" s="4">
        <v>208680</v>
      </c>
      <c r="D25" s="3">
        <v>249</v>
      </c>
      <c r="E25" s="4">
        <v>181770</v>
      </c>
      <c r="G25" s="12">
        <f t="shared" si="0"/>
        <v>2011</v>
      </c>
      <c r="H25" s="12">
        <f t="shared" si="1"/>
        <v>1</v>
      </c>
      <c r="I25" s="11">
        <f t="shared" si="12"/>
        <v>1</v>
      </c>
      <c r="J25" s="11"/>
      <c r="K25" s="1" t="str">
        <f>+'Warranties &amp; Returns'!A25</f>
        <v>August 2012</v>
      </c>
      <c r="L25" s="1">
        <v>20</v>
      </c>
      <c r="M25" s="1">
        <f t="shared" si="2"/>
        <v>21423</v>
      </c>
      <c r="N25" s="1">
        <f t="shared" si="3"/>
        <v>10068810</v>
      </c>
      <c r="O25" s="1">
        <f t="shared" si="4"/>
        <v>9116</v>
      </c>
      <c r="P25" s="1">
        <f t="shared" si="5"/>
        <v>6654680</v>
      </c>
      <c r="Q25" s="1">
        <f t="shared" si="6"/>
        <v>470</v>
      </c>
      <c r="R25" s="1">
        <f t="shared" si="7"/>
        <v>730</v>
      </c>
      <c r="S25" s="1">
        <f t="shared" si="8"/>
        <v>0</v>
      </c>
      <c r="T25" s="1">
        <f t="shared" si="9"/>
        <v>0</v>
      </c>
      <c r="U25" s="1">
        <f t="shared" si="10"/>
        <v>0</v>
      </c>
      <c r="V25" s="1">
        <f t="shared" si="11"/>
        <v>0</v>
      </c>
      <c r="W25" s="17" t="str">
        <f t="shared" si="13"/>
        <v>August 2012</v>
      </c>
      <c r="X25" s="18">
        <f>+'Warranties &amp; Returns'!B26/Sales!M25</f>
        <v>7.9353965364328052E-2</v>
      </c>
      <c r="Y25" s="18">
        <f>+'Warranties &amp; Returns'!C27/Sales!M25</f>
        <v>3.7763151752789055E-2</v>
      </c>
      <c r="Z25" s="18">
        <f>+'Warranties &amp; Returns'!D26/Sales!O25</f>
        <v>6.3734093900833705E-2</v>
      </c>
      <c r="AA25" s="18">
        <f>+'Warranties &amp; Returns'!E27/Sales!O25</f>
        <v>4.8595875383940328E-2</v>
      </c>
      <c r="AB25" s="18"/>
      <c r="AC25" s="18" t="str">
        <f t="shared" si="14"/>
        <v>August 2012</v>
      </c>
      <c r="AD25" s="22">
        <f t="shared" si="15"/>
        <v>21423</v>
      </c>
      <c r="AE25" s="23">
        <f t="shared" si="16"/>
        <v>10068810</v>
      </c>
      <c r="AF25" s="22">
        <f t="shared" si="17"/>
        <v>9116</v>
      </c>
      <c r="AG25" s="23">
        <f t="shared" si="18"/>
        <v>6654680</v>
      </c>
    </row>
    <row r="26" spans="1:33" x14ac:dyDescent="0.25">
      <c r="A26" s="2">
        <v>40564</v>
      </c>
      <c r="B26" s="3">
        <v>556</v>
      </c>
      <c r="C26" s="4">
        <v>261320</v>
      </c>
      <c r="D26" s="3">
        <v>331</v>
      </c>
      <c r="E26" s="4">
        <v>241630</v>
      </c>
      <c r="G26" s="12">
        <f t="shared" si="0"/>
        <v>2011</v>
      </c>
      <c r="H26" s="12">
        <f t="shared" si="1"/>
        <v>1</v>
      </c>
      <c r="I26" s="11">
        <f t="shared" si="12"/>
        <v>1</v>
      </c>
      <c r="J26" s="11"/>
      <c r="K26" s="1" t="str">
        <f>+'Warranties &amp; Returns'!A26</f>
        <v>September 2012</v>
      </c>
      <c r="L26" s="1">
        <v>21</v>
      </c>
      <c r="M26" s="1">
        <f t="shared" si="2"/>
        <v>21098</v>
      </c>
      <c r="N26" s="1">
        <f t="shared" si="3"/>
        <v>9916060</v>
      </c>
      <c r="O26" s="1">
        <f t="shared" si="4"/>
        <v>9019</v>
      </c>
      <c r="P26" s="1">
        <f t="shared" si="5"/>
        <v>6583870</v>
      </c>
      <c r="Q26" s="1">
        <f t="shared" si="6"/>
        <v>470</v>
      </c>
      <c r="R26" s="1">
        <f t="shared" si="7"/>
        <v>730</v>
      </c>
      <c r="S26" s="1">
        <f t="shared" si="8"/>
        <v>0</v>
      </c>
      <c r="T26" s="1">
        <f t="shared" si="9"/>
        <v>0</v>
      </c>
      <c r="U26" s="1">
        <f t="shared" si="10"/>
        <v>0</v>
      </c>
      <c r="V26" s="1">
        <f t="shared" si="11"/>
        <v>0</v>
      </c>
      <c r="W26" s="17" t="str">
        <f t="shared" si="13"/>
        <v>September 2012</v>
      </c>
      <c r="X26" s="18">
        <f>+'Warranties &amp; Returns'!B27/Sales!M26</f>
        <v>8.384681012418238E-2</v>
      </c>
      <c r="Y26" s="18">
        <f>+'Warranties &amp; Returns'!C28/Sales!M26</f>
        <v>3.1140392454261069E-2</v>
      </c>
      <c r="Z26" s="18">
        <f>+'Warranties &amp; Returns'!D27/Sales!O26</f>
        <v>7.1293935026056104E-2</v>
      </c>
      <c r="AA26" s="18">
        <f>+'Warranties &amp; Returns'!E28/Sales!O26</f>
        <v>4.3796429759396828E-2</v>
      </c>
      <c r="AB26" s="18"/>
      <c r="AC26" s="18" t="str">
        <f t="shared" si="14"/>
        <v>September 2012</v>
      </c>
      <c r="AD26" s="22">
        <f t="shared" si="15"/>
        <v>21098</v>
      </c>
      <c r="AE26" s="23">
        <f t="shared" si="16"/>
        <v>9916060</v>
      </c>
      <c r="AF26" s="22">
        <f t="shared" si="17"/>
        <v>9019</v>
      </c>
      <c r="AG26" s="23">
        <f t="shared" si="18"/>
        <v>6583870</v>
      </c>
    </row>
    <row r="27" spans="1:33" x14ac:dyDescent="0.25">
      <c r="A27" s="2">
        <v>40565</v>
      </c>
      <c r="B27" s="3">
        <v>517</v>
      </c>
      <c r="C27" s="4">
        <v>242990</v>
      </c>
      <c r="D27" s="3">
        <v>291</v>
      </c>
      <c r="E27" s="4">
        <v>212430</v>
      </c>
      <c r="G27" s="12">
        <f t="shared" si="0"/>
        <v>2011</v>
      </c>
      <c r="H27" s="12">
        <f t="shared" si="1"/>
        <v>1</v>
      </c>
      <c r="I27" s="11">
        <f t="shared" si="12"/>
        <v>1</v>
      </c>
      <c r="J27" s="11"/>
      <c r="K27" s="1" t="str">
        <f>+'Warranties &amp; Returns'!A27</f>
        <v>October 2012</v>
      </c>
      <c r="L27" s="1">
        <v>22</v>
      </c>
      <c r="M27" s="1">
        <f t="shared" si="2"/>
        <v>18218</v>
      </c>
      <c r="N27" s="1">
        <f t="shared" si="3"/>
        <v>5351537.5</v>
      </c>
      <c r="O27" s="1">
        <f t="shared" si="4"/>
        <v>8937</v>
      </c>
      <c r="P27" s="1">
        <f t="shared" si="5"/>
        <v>6524010</v>
      </c>
      <c r="Q27" s="1">
        <f t="shared" si="6"/>
        <v>293.75</v>
      </c>
      <c r="R27" s="1">
        <f t="shared" si="7"/>
        <v>730</v>
      </c>
      <c r="S27" s="1">
        <f t="shared" si="8"/>
        <v>1</v>
      </c>
      <c r="T27" s="1">
        <f t="shared" si="9"/>
        <v>0</v>
      </c>
      <c r="U27" s="1">
        <f t="shared" si="10"/>
        <v>22</v>
      </c>
      <c r="V27" s="1">
        <f t="shared" si="11"/>
        <v>0</v>
      </c>
      <c r="W27" s="17" t="str">
        <f t="shared" si="13"/>
        <v>October 2012</v>
      </c>
      <c r="X27" s="18">
        <f>+'Warranties &amp; Returns'!B28/Sales!M27</f>
        <v>0</v>
      </c>
      <c r="Y27" s="18">
        <f>+'Warranties &amp; Returns'!C29/Sales!M27</f>
        <v>4.0344714019101988E-2</v>
      </c>
      <c r="Z27" s="18">
        <f>+'Warranties &amp; Returns'!D28/Sales!O27</f>
        <v>6.1653798813919657E-2</v>
      </c>
      <c r="AA27" s="18">
        <f>+'Warranties &amp; Returns'!E29/Sales!O27</f>
        <v>5.1807094103166612E-2</v>
      </c>
      <c r="AB27" s="18"/>
      <c r="AC27" s="18" t="str">
        <f t="shared" si="14"/>
        <v>October 2012</v>
      </c>
      <c r="AD27" s="22">
        <f t="shared" si="15"/>
        <v>18218</v>
      </c>
      <c r="AE27" s="23">
        <f t="shared" si="16"/>
        <v>5351537.5</v>
      </c>
      <c r="AF27" s="22">
        <f t="shared" si="17"/>
        <v>8937</v>
      </c>
      <c r="AG27" s="23">
        <f t="shared" si="18"/>
        <v>6524010</v>
      </c>
    </row>
    <row r="28" spans="1:33" x14ac:dyDescent="0.25">
      <c r="A28" s="2">
        <v>40566</v>
      </c>
      <c r="B28" s="3">
        <v>459</v>
      </c>
      <c r="C28" s="4">
        <v>215730</v>
      </c>
      <c r="D28" s="3">
        <v>276</v>
      </c>
      <c r="E28" s="4">
        <v>201480</v>
      </c>
      <c r="G28" s="12">
        <f t="shared" si="0"/>
        <v>2011</v>
      </c>
      <c r="H28" s="12">
        <f t="shared" si="1"/>
        <v>1</v>
      </c>
      <c r="I28" s="11">
        <f t="shared" si="12"/>
        <v>1</v>
      </c>
      <c r="J28" s="11"/>
      <c r="K28" s="1" t="str">
        <f>+'Warranties &amp; Returns'!A28</f>
        <v>November 2012</v>
      </c>
      <c r="L28" s="1">
        <v>23</v>
      </c>
      <c r="M28" s="1">
        <f t="shared" si="2"/>
        <v>13339</v>
      </c>
      <c r="N28" s="1">
        <f t="shared" si="3"/>
        <v>6269330</v>
      </c>
      <c r="O28" s="1">
        <f t="shared" si="4"/>
        <v>9253</v>
      </c>
      <c r="P28" s="1">
        <f t="shared" si="5"/>
        <v>6754690</v>
      </c>
      <c r="Q28" s="1">
        <f t="shared" si="6"/>
        <v>470</v>
      </c>
      <c r="R28" s="1">
        <f t="shared" si="7"/>
        <v>730</v>
      </c>
      <c r="S28" s="1">
        <f t="shared" si="8"/>
        <v>0</v>
      </c>
      <c r="T28" s="1">
        <f t="shared" si="9"/>
        <v>0</v>
      </c>
      <c r="U28" s="1">
        <f t="shared" si="10"/>
        <v>0</v>
      </c>
      <c r="V28" s="1">
        <f t="shared" si="11"/>
        <v>0</v>
      </c>
      <c r="W28" s="17" t="str">
        <f t="shared" si="13"/>
        <v>November 2012</v>
      </c>
      <c r="X28" s="18">
        <f>+'Warranties &amp; Returns'!B29/Sales!M28</f>
        <v>7.6842342004648026E-2</v>
      </c>
      <c r="Y28" s="18">
        <f>+'Warranties &amp; Returns'!C30/Sales!M28</f>
        <v>4.010795411949921E-2</v>
      </c>
      <c r="Z28" s="18">
        <f>+'Warranties &amp; Returns'!D29/Sales!O28</f>
        <v>5.1226629201340107E-2</v>
      </c>
      <c r="AA28" s="18">
        <f>+'Warranties &amp; Returns'!E30/Sales!O28</f>
        <v>4.5822976332000435E-2</v>
      </c>
      <c r="AB28" s="18"/>
      <c r="AC28" s="18" t="str">
        <f t="shared" si="14"/>
        <v>November 2012</v>
      </c>
      <c r="AD28" s="22">
        <f t="shared" si="15"/>
        <v>13339</v>
      </c>
      <c r="AE28" s="23">
        <f t="shared" si="16"/>
        <v>6269330</v>
      </c>
      <c r="AF28" s="22">
        <f t="shared" si="17"/>
        <v>9253</v>
      </c>
      <c r="AG28" s="23">
        <f t="shared" si="18"/>
        <v>6754690</v>
      </c>
    </row>
    <row r="29" spans="1:33" x14ac:dyDescent="0.25">
      <c r="A29" s="2">
        <v>40567</v>
      </c>
      <c r="B29" s="3">
        <v>515</v>
      </c>
      <c r="C29" s="4">
        <v>242050</v>
      </c>
      <c r="D29" s="3">
        <v>299</v>
      </c>
      <c r="E29" s="4">
        <v>218270</v>
      </c>
      <c r="G29" s="12">
        <f t="shared" si="0"/>
        <v>2011</v>
      </c>
      <c r="H29" s="12">
        <f t="shared" si="1"/>
        <v>1</v>
      </c>
      <c r="I29" s="11">
        <f t="shared" si="12"/>
        <v>1</v>
      </c>
      <c r="J29" s="11"/>
      <c r="K29" s="1" t="str">
        <f>+'Warranties &amp; Returns'!A29</f>
        <v>December 2012</v>
      </c>
      <c r="L29" s="1">
        <v>24</v>
      </c>
      <c r="M29" s="1">
        <f t="shared" si="2"/>
        <v>14682</v>
      </c>
      <c r="N29" s="1">
        <f t="shared" si="3"/>
        <v>6900540</v>
      </c>
      <c r="O29" s="1">
        <f t="shared" si="4"/>
        <v>9689</v>
      </c>
      <c r="P29" s="1">
        <f t="shared" si="5"/>
        <v>7072970</v>
      </c>
      <c r="Q29" s="1">
        <f t="shared" si="6"/>
        <v>470</v>
      </c>
      <c r="R29" s="1">
        <f t="shared" si="7"/>
        <v>730</v>
      </c>
      <c r="S29" s="1">
        <f t="shared" si="8"/>
        <v>0</v>
      </c>
      <c r="T29" s="1">
        <f t="shared" si="9"/>
        <v>0</v>
      </c>
      <c r="U29" s="1">
        <f t="shared" si="10"/>
        <v>0</v>
      </c>
      <c r="V29" s="1">
        <f t="shared" si="11"/>
        <v>0</v>
      </c>
      <c r="W29" s="17" t="str">
        <f t="shared" si="13"/>
        <v>December 2012</v>
      </c>
      <c r="X29" s="18">
        <f>+'Warranties &amp; Returns'!B30/Sales!M29</f>
        <v>8.4320937202016069E-2</v>
      </c>
      <c r="Y29" s="18">
        <f>+'Warranties &amp; Returns'!C31/Sales!M29</f>
        <v>3.6234845388911592E-2</v>
      </c>
      <c r="Z29" s="18">
        <f>+'Warranties &amp; Returns'!D30/Sales!O29</f>
        <v>7.2143668077200948E-2</v>
      </c>
      <c r="AA29" s="18">
        <f>+'Warranties &amp; Returns'!E31/Sales!O29</f>
        <v>4.6238001857776857E-2</v>
      </c>
      <c r="AB29" s="18"/>
      <c r="AC29" s="18" t="str">
        <f t="shared" si="14"/>
        <v>December 2012</v>
      </c>
      <c r="AD29" s="22">
        <f t="shared" si="15"/>
        <v>14682</v>
      </c>
      <c r="AE29" s="23">
        <f t="shared" si="16"/>
        <v>6900540</v>
      </c>
      <c r="AF29" s="22">
        <f t="shared" si="17"/>
        <v>9689</v>
      </c>
      <c r="AG29" s="23">
        <f t="shared" si="18"/>
        <v>7072970</v>
      </c>
    </row>
    <row r="30" spans="1:33" x14ac:dyDescent="0.25">
      <c r="A30" s="2">
        <v>40568</v>
      </c>
      <c r="B30" s="3">
        <v>535</v>
      </c>
      <c r="C30" s="4">
        <v>251450</v>
      </c>
      <c r="D30" s="3">
        <v>314</v>
      </c>
      <c r="E30" s="4">
        <v>229220</v>
      </c>
      <c r="G30" s="12">
        <f t="shared" si="0"/>
        <v>2011</v>
      </c>
      <c r="H30" s="12">
        <f t="shared" si="1"/>
        <v>1</v>
      </c>
      <c r="I30" s="11">
        <f t="shared" si="12"/>
        <v>1</v>
      </c>
      <c r="J30" s="11"/>
      <c r="K30" s="1" t="str">
        <f>+'Warranties &amp; Returns'!A30</f>
        <v>January 2013</v>
      </c>
      <c r="L30" s="1">
        <v>25</v>
      </c>
      <c r="M30" s="1">
        <f t="shared" si="2"/>
        <v>14656</v>
      </c>
      <c r="N30" s="1">
        <f t="shared" si="3"/>
        <v>6888320</v>
      </c>
      <c r="O30" s="1">
        <f t="shared" si="4"/>
        <v>9589</v>
      </c>
      <c r="P30" s="1">
        <f t="shared" si="5"/>
        <v>6999970</v>
      </c>
      <c r="Q30" s="1">
        <f t="shared" si="6"/>
        <v>470</v>
      </c>
      <c r="R30" s="1">
        <f t="shared" si="7"/>
        <v>730</v>
      </c>
      <c r="S30" s="1">
        <f t="shared" si="8"/>
        <v>0</v>
      </c>
      <c r="T30" s="1">
        <f t="shared" si="9"/>
        <v>0</v>
      </c>
      <c r="U30" s="1">
        <f t="shared" si="10"/>
        <v>0</v>
      </c>
      <c r="V30" s="1">
        <f t="shared" si="11"/>
        <v>0</v>
      </c>
      <c r="W30" s="17" t="str">
        <f t="shared" si="13"/>
        <v>January 2013</v>
      </c>
      <c r="X30" s="18">
        <f>+'Warranties &amp; Returns'!B31/Sales!M30</f>
        <v>8.2355349344978165E-2</v>
      </c>
      <c r="Y30" s="18">
        <f>+'Warranties &amp; Returns'!C32/Sales!M30</f>
        <v>4.400927947598253E-2</v>
      </c>
      <c r="Z30" s="18">
        <f>+'Warranties &amp; Returns'!D31/Sales!O30</f>
        <v>6.6430284701220144E-2</v>
      </c>
      <c r="AA30" s="18">
        <f>+'Warranties &amp; Returns'!E32/Sales!O30</f>
        <v>4.4634477004901453E-2</v>
      </c>
      <c r="AB30" s="18"/>
      <c r="AC30" s="18" t="str">
        <f t="shared" si="14"/>
        <v>January 2013</v>
      </c>
      <c r="AD30" s="22">
        <f t="shared" si="15"/>
        <v>14656</v>
      </c>
      <c r="AE30" s="23">
        <f t="shared" si="16"/>
        <v>6888320</v>
      </c>
      <c r="AF30" s="22">
        <f t="shared" si="17"/>
        <v>9589</v>
      </c>
      <c r="AG30" s="23">
        <f t="shared" si="18"/>
        <v>6999970</v>
      </c>
    </row>
    <row r="31" spans="1:33" x14ac:dyDescent="0.25">
      <c r="A31" s="2">
        <v>40569</v>
      </c>
      <c r="B31" s="3">
        <v>461</v>
      </c>
      <c r="C31" s="4">
        <v>216670</v>
      </c>
      <c r="D31" s="3">
        <v>271</v>
      </c>
      <c r="E31" s="4">
        <v>197830</v>
      </c>
      <c r="G31" s="12">
        <f t="shared" si="0"/>
        <v>2011</v>
      </c>
      <c r="H31" s="12">
        <f t="shared" si="1"/>
        <v>1</v>
      </c>
      <c r="I31" s="11">
        <f t="shared" si="12"/>
        <v>1</v>
      </c>
      <c r="J31" s="11"/>
      <c r="K31" s="1" t="str">
        <f>+'Warranties &amp; Returns'!A31</f>
        <v>February 2013</v>
      </c>
      <c r="L31" s="1">
        <v>26</v>
      </c>
      <c r="M31" s="1">
        <f t="shared" si="2"/>
        <v>13280</v>
      </c>
      <c r="N31" s="1">
        <f t="shared" si="3"/>
        <v>6241600</v>
      </c>
      <c r="O31" s="1">
        <f t="shared" si="4"/>
        <v>8325</v>
      </c>
      <c r="P31" s="1">
        <f t="shared" si="5"/>
        <v>6077250</v>
      </c>
      <c r="Q31" s="1">
        <f t="shared" si="6"/>
        <v>470</v>
      </c>
      <c r="R31" s="1">
        <f t="shared" si="7"/>
        <v>730</v>
      </c>
      <c r="S31" s="1">
        <f t="shared" si="8"/>
        <v>0</v>
      </c>
      <c r="T31" s="1">
        <f t="shared" si="9"/>
        <v>0</v>
      </c>
      <c r="U31" s="1">
        <f t="shared" si="10"/>
        <v>0</v>
      </c>
      <c r="V31" s="1">
        <f t="shared" si="11"/>
        <v>0</v>
      </c>
      <c r="W31" s="17" t="str">
        <f t="shared" si="13"/>
        <v>February 2013</v>
      </c>
      <c r="X31" s="18">
        <f>+'Warranties &amp; Returns'!B32/Sales!M31</f>
        <v>8.6295180722891565E-2</v>
      </c>
      <c r="Y31" s="18">
        <f>+'Warranties &amp; Returns'!C33/Sales!M31</f>
        <v>4.5256024096385544E-2</v>
      </c>
      <c r="Z31" s="18">
        <f>+'Warranties &amp; Returns'!D32/Sales!O31</f>
        <v>6.3783783783783785E-2</v>
      </c>
      <c r="AA31" s="18">
        <f>+'Warranties &amp; Returns'!E33/Sales!O31</f>
        <v>4.6726726726726724E-2</v>
      </c>
      <c r="AB31" s="18"/>
      <c r="AC31" s="18" t="str">
        <f t="shared" si="14"/>
        <v>February 2013</v>
      </c>
      <c r="AD31" s="22">
        <f t="shared" si="15"/>
        <v>13280</v>
      </c>
      <c r="AE31" s="23">
        <f t="shared" si="16"/>
        <v>6241600</v>
      </c>
      <c r="AF31" s="22">
        <f t="shared" si="17"/>
        <v>8325</v>
      </c>
      <c r="AG31" s="23">
        <f t="shared" si="18"/>
        <v>6077250</v>
      </c>
    </row>
    <row r="32" spans="1:33" x14ac:dyDescent="0.25">
      <c r="A32" s="2">
        <v>40570</v>
      </c>
      <c r="B32" s="3">
        <v>436</v>
      </c>
      <c r="C32" s="4">
        <v>204920</v>
      </c>
      <c r="D32" s="3">
        <v>287</v>
      </c>
      <c r="E32" s="4">
        <v>209510</v>
      </c>
      <c r="G32" s="12">
        <f t="shared" si="0"/>
        <v>2011</v>
      </c>
      <c r="H32" s="12">
        <f t="shared" si="1"/>
        <v>1</v>
      </c>
      <c r="I32" s="11">
        <f t="shared" si="12"/>
        <v>1</v>
      </c>
      <c r="J32" s="11"/>
      <c r="K32" s="1" t="str">
        <f>+'Warranties &amp; Returns'!A32</f>
        <v>March 2013</v>
      </c>
      <c r="L32" s="1">
        <v>27</v>
      </c>
      <c r="M32" s="1">
        <f t="shared" si="2"/>
        <v>14796</v>
      </c>
      <c r="N32" s="1">
        <f t="shared" si="3"/>
        <v>6954120</v>
      </c>
      <c r="O32" s="1">
        <f t="shared" si="4"/>
        <v>9292</v>
      </c>
      <c r="P32" s="1">
        <f t="shared" si="5"/>
        <v>6783160</v>
      </c>
      <c r="Q32" s="1">
        <f t="shared" si="6"/>
        <v>470</v>
      </c>
      <c r="R32" s="1">
        <f t="shared" si="7"/>
        <v>730</v>
      </c>
      <c r="S32" s="1">
        <f t="shared" si="8"/>
        <v>0</v>
      </c>
      <c r="T32" s="1">
        <f t="shared" si="9"/>
        <v>0</v>
      </c>
      <c r="U32" s="1">
        <f t="shared" si="10"/>
        <v>0</v>
      </c>
      <c r="V32" s="1">
        <f t="shared" si="11"/>
        <v>0</v>
      </c>
      <c r="W32" s="17" t="str">
        <f t="shared" si="13"/>
        <v>March 2013</v>
      </c>
      <c r="X32" s="18">
        <f>+'Warranties &amp; Returns'!B33/Sales!M32</f>
        <v>7.9886455798864553E-2</v>
      </c>
      <c r="Y32" s="18">
        <f>+'Warranties &amp; Returns'!C34/Sales!M32</f>
        <v>4.0078399567450664E-2</v>
      </c>
      <c r="Z32" s="18">
        <f>+'Warranties &amp; Returns'!D33/Sales!O32</f>
        <v>6.7907877744296172E-2</v>
      </c>
      <c r="AA32" s="18">
        <f>+'Warranties &amp; Returns'!E34/Sales!O32</f>
        <v>4.6276366767111492E-2</v>
      </c>
      <c r="AB32" s="18"/>
      <c r="AC32" s="18" t="str">
        <f t="shared" si="14"/>
        <v>March 2013</v>
      </c>
      <c r="AD32" s="22">
        <f t="shared" si="15"/>
        <v>14796</v>
      </c>
      <c r="AE32" s="23">
        <f t="shared" si="16"/>
        <v>6954120</v>
      </c>
      <c r="AF32" s="22">
        <f t="shared" si="17"/>
        <v>9292</v>
      </c>
      <c r="AG32" s="23">
        <f t="shared" si="18"/>
        <v>6783160</v>
      </c>
    </row>
    <row r="33" spans="1:33" x14ac:dyDescent="0.25">
      <c r="A33" s="2">
        <v>40571</v>
      </c>
      <c r="B33" s="3">
        <v>503</v>
      </c>
      <c r="C33" s="4">
        <v>236410</v>
      </c>
      <c r="D33" s="3">
        <v>308</v>
      </c>
      <c r="E33" s="4">
        <v>224840</v>
      </c>
      <c r="G33" s="12">
        <f t="shared" si="0"/>
        <v>2011</v>
      </c>
      <c r="H33" s="12">
        <f t="shared" si="1"/>
        <v>1</v>
      </c>
      <c r="I33" s="11">
        <f t="shared" si="12"/>
        <v>1</v>
      </c>
      <c r="J33" s="11"/>
      <c r="K33" s="1" t="str">
        <f>+'Warranties &amp; Returns'!A33</f>
        <v>April 2013</v>
      </c>
      <c r="L33" s="1">
        <v>28</v>
      </c>
      <c r="M33" s="1">
        <f t="shared" si="2"/>
        <v>14048</v>
      </c>
      <c r="N33" s="1">
        <f t="shared" si="3"/>
        <v>6602560</v>
      </c>
      <c r="O33" s="1">
        <f t="shared" si="4"/>
        <v>19756</v>
      </c>
      <c r="P33" s="1">
        <f t="shared" si="5"/>
        <v>14421880</v>
      </c>
      <c r="Q33" s="1">
        <f t="shared" si="6"/>
        <v>470</v>
      </c>
      <c r="R33" s="1">
        <f t="shared" si="7"/>
        <v>730</v>
      </c>
      <c r="S33" s="1">
        <f t="shared" si="8"/>
        <v>0</v>
      </c>
      <c r="T33" s="1">
        <f t="shared" si="9"/>
        <v>0</v>
      </c>
      <c r="U33" s="1">
        <f t="shared" si="10"/>
        <v>0</v>
      </c>
      <c r="V33" s="1">
        <f t="shared" si="11"/>
        <v>0</v>
      </c>
      <c r="W33" s="17" t="str">
        <f t="shared" si="13"/>
        <v>April 2013</v>
      </c>
      <c r="X33" s="18">
        <f>+'Warranties &amp; Returns'!B34/Sales!M33</f>
        <v>8.9834851936218679E-2</v>
      </c>
      <c r="Y33" s="18">
        <f>+'Warranties &amp; Returns'!C35/Sales!M33</f>
        <v>4.5558086560364468E-2</v>
      </c>
      <c r="Z33" s="18">
        <f>+'Warranties &amp; Returns'!D34/Sales!O33</f>
        <v>6.3828710265235872E-2</v>
      </c>
      <c r="AA33" s="18">
        <f>+'Warranties &amp; Returns'!E35/Sales!O33</f>
        <v>5.3553350880745088E-2</v>
      </c>
      <c r="AB33" s="18"/>
      <c r="AC33" s="18" t="str">
        <f t="shared" si="14"/>
        <v>April 2013</v>
      </c>
      <c r="AD33" s="22">
        <f t="shared" si="15"/>
        <v>14048</v>
      </c>
      <c r="AE33" s="23">
        <f t="shared" si="16"/>
        <v>6602560</v>
      </c>
      <c r="AF33" s="22">
        <f t="shared" si="17"/>
        <v>19756</v>
      </c>
      <c r="AG33" s="23">
        <f t="shared" si="18"/>
        <v>14421880</v>
      </c>
    </row>
    <row r="34" spans="1:33" x14ac:dyDescent="0.25">
      <c r="A34" s="2">
        <v>40572</v>
      </c>
      <c r="B34" s="3">
        <v>472</v>
      </c>
      <c r="C34" s="4">
        <v>221840</v>
      </c>
      <c r="D34" s="3">
        <v>279</v>
      </c>
      <c r="E34" s="4">
        <v>203670</v>
      </c>
      <c r="G34" s="12">
        <f t="shared" si="0"/>
        <v>2011</v>
      </c>
      <c r="H34" s="12">
        <f t="shared" si="1"/>
        <v>1</v>
      </c>
      <c r="I34" s="11">
        <f t="shared" si="12"/>
        <v>1</v>
      </c>
      <c r="J34" s="11"/>
      <c r="K34" s="1" t="str">
        <f>+'Warranties &amp; Returns'!A34</f>
        <v>May 2013</v>
      </c>
      <c r="L34" s="1">
        <v>29</v>
      </c>
      <c r="M34" s="1">
        <f t="shared" si="2"/>
        <v>14368</v>
      </c>
      <c r="N34" s="1">
        <f t="shared" si="3"/>
        <v>6752960</v>
      </c>
      <c r="O34" s="1">
        <f t="shared" si="4"/>
        <v>20873</v>
      </c>
      <c r="P34" s="1">
        <f t="shared" si="5"/>
        <v>15237290</v>
      </c>
      <c r="Q34" s="1">
        <f t="shared" si="6"/>
        <v>470</v>
      </c>
      <c r="R34" s="1">
        <f t="shared" si="7"/>
        <v>730</v>
      </c>
      <c r="S34" s="1">
        <f t="shared" si="8"/>
        <v>0</v>
      </c>
      <c r="T34" s="1">
        <f t="shared" si="9"/>
        <v>0</v>
      </c>
      <c r="U34" s="1">
        <f t="shared" si="10"/>
        <v>0</v>
      </c>
      <c r="V34" s="1">
        <f t="shared" si="11"/>
        <v>0</v>
      </c>
      <c r="W34" s="17" t="str">
        <f t="shared" si="13"/>
        <v>May 2013</v>
      </c>
      <c r="X34" s="18">
        <f>+'Warranties &amp; Returns'!B35/Sales!M34</f>
        <v>8.1222160356347439E-2</v>
      </c>
      <c r="Y34" s="18">
        <f>+'Warranties &amp; Returns'!C36/Sales!M34</f>
        <v>4.2733853006681512E-2</v>
      </c>
      <c r="Z34" s="18">
        <f>+'Warranties &amp; Returns'!D35/Sales!O34</f>
        <v>7.0665452977530782E-2</v>
      </c>
      <c r="AA34" s="18">
        <f>+'Warranties &amp; Returns'!E36/Sales!O34</f>
        <v>4.9202318785033297E-2</v>
      </c>
      <c r="AB34" s="18"/>
      <c r="AC34" s="18" t="str">
        <f t="shared" si="14"/>
        <v>May 2013</v>
      </c>
      <c r="AD34" s="22">
        <f t="shared" si="15"/>
        <v>14368</v>
      </c>
      <c r="AE34" s="23">
        <f t="shared" si="16"/>
        <v>6752960</v>
      </c>
      <c r="AF34" s="22">
        <f t="shared" si="17"/>
        <v>20873</v>
      </c>
      <c r="AG34" s="23">
        <f t="shared" si="18"/>
        <v>15237290</v>
      </c>
    </row>
    <row r="35" spans="1:33" x14ac:dyDescent="0.25">
      <c r="A35" s="2">
        <v>40573</v>
      </c>
      <c r="B35" s="3">
        <v>396</v>
      </c>
      <c r="C35" s="4">
        <v>186120</v>
      </c>
      <c r="D35" s="3">
        <v>266</v>
      </c>
      <c r="E35" s="4">
        <v>194180</v>
      </c>
      <c r="G35" s="12">
        <f t="shared" si="0"/>
        <v>2011</v>
      </c>
      <c r="H35" s="12">
        <f t="shared" si="1"/>
        <v>1</v>
      </c>
      <c r="I35" s="11">
        <f t="shared" si="12"/>
        <v>1</v>
      </c>
      <c r="J35" s="11"/>
      <c r="K35" s="1" t="str">
        <f>+'Warranties &amp; Returns'!A35</f>
        <v>June 2013</v>
      </c>
      <c r="L35" s="1">
        <v>30</v>
      </c>
      <c r="M35" s="1">
        <f t="shared" si="2"/>
        <v>13601</v>
      </c>
      <c r="N35" s="1">
        <f t="shared" si="3"/>
        <v>6392470</v>
      </c>
      <c r="O35" s="1">
        <f t="shared" si="4"/>
        <v>21964</v>
      </c>
      <c r="P35" s="1">
        <f t="shared" si="5"/>
        <v>6413488</v>
      </c>
      <c r="Q35" s="1">
        <f t="shared" si="6"/>
        <v>470</v>
      </c>
      <c r="R35" s="1">
        <f t="shared" si="7"/>
        <v>292</v>
      </c>
      <c r="S35" s="1">
        <f t="shared" si="8"/>
        <v>0</v>
      </c>
      <c r="T35" s="1">
        <f t="shared" si="9"/>
        <v>1</v>
      </c>
      <c r="U35" s="1">
        <f t="shared" si="10"/>
        <v>0</v>
      </c>
      <c r="V35" s="1">
        <f t="shared" si="11"/>
        <v>30</v>
      </c>
      <c r="W35" s="17" t="str">
        <f t="shared" si="13"/>
        <v>June 2013</v>
      </c>
      <c r="X35" s="18">
        <f>+'Warranties &amp; Returns'!B36/Sales!M35</f>
        <v>8.1096978163370345E-2</v>
      </c>
      <c r="Y35" s="18">
        <f>+'Warranties &amp; Returns'!C37/Sales!M35</f>
        <v>4.8378795676788475E-2</v>
      </c>
      <c r="Z35" s="18">
        <f>+'Warranties &amp; Returns'!D36/Sales!O35</f>
        <v>0</v>
      </c>
      <c r="AA35" s="18">
        <f>+'Warranties &amp; Returns'!E37/Sales!O35</f>
        <v>5.1720997996721911E-2</v>
      </c>
      <c r="AB35" s="18"/>
      <c r="AC35" s="18" t="str">
        <f t="shared" si="14"/>
        <v>June 2013</v>
      </c>
      <c r="AD35" s="22">
        <f t="shared" si="15"/>
        <v>13601</v>
      </c>
      <c r="AE35" s="23">
        <f t="shared" si="16"/>
        <v>6392470</v>
      </c>
      <c r="AF35" s="22">
        <f t="shared" si="17"/>
        <v>21964</v>
      </c>
      <c r="AG35" s="23">
        <f t="shared" si="18"/>
        <v>6413488</v>
      </c>
    </row>
    <row r="36" spans="1:33" x14ac:dyDescent="0.25">
      <c r="A36" s="2">
        <v>40574</v>
      </c>
      <c r="B36" s="3">
        <v>433</v>
      </c>
      <c r="C36" s="4">
        <v>203510</v>
      </c>
      <c r="D36" s="3">
        <v>304</v>
      </c>
      <c r="E36" s="4">
        <v>221920</v>
      </c>
      <c r="G36" s="12">
        <f t="shared" si="0"/>
        <v>2011</v>
      </c>
      <c r="H36" s="12">
        <f t="shared" si="1"/>
        <v>1</v>
      </c>
      <c r="I36" s="11">
        <f t="shared" si="12"/>
        <v>1</v>
      </c>
      <c r="J36" s="11"/>
      <c r="K36" s="1" t="str">
        <f>+'Warranties &amp; Returns'!A36</f>
        <v>July 2013</v>
      </c>
      <c r="L36" s="1">
        <v>31</v>
      </c>
      <c r="M36" s="1">
        <f t="shared" si="2"/>
        <v>14578</v>
      </c>
      <c r="N36" s="1">
        <f t="shared" si="3"/>
        <v>6851660</v>
      </c>
      <c r="O36" s="1">
        <f t="shared" si="4"/>
        <v>9603</v>
      </c>
      <c r="P36" s="1">
        <f t="shared" si="5"/>
        <v>7010190</v>
      </c>
      <c r="Q36" s="1">
        <f t="shared" si="6"/>
        <v>470</v>
      </c>
      <c r="R36" s="1">
        <f t="shared" si="7"/>
        <v>730</v>
      </c>
      <c r="S36" s="1">
        <f t="shared" si="8"/>
        <v>0</v>
      </c>
      <c r="T36" s="1">
        <f t="shared" si="9"/>
        <v>0</v>
      </c>
      <c r="U36" s="1">
        <f t="shared" si="10"/>
        <v>0</v>
      </c>
      <c r="V36" s="1">
        <f t="shared" si="11"/>
        <v>0</v>
      </c>
      <c r="W36" s="17" t="str">
        <f t="shared" si="13"/>
        <v>July 2013</v>
      </c>
      <c r="X36" s="18">
        <f>+'Warranties &amp; Returns'!B37/Sales!M36</f>
        <v>8.7391960488407194E-2</v>
      </c>
      <c r="Y36" s="18">
        <f>+'Warranties &amp; Returns'!C38/Sales!M36</f>
        <v>3.2171765674303743E-2</v>
      </c>
      <c r="Z36" s="18">
        <f>+'Warranties &amp; Returns'!D37/Sales!O36</f>
        <v>6.6229303342705409E-2</v>
      </c>
      <c r="AA36" s="18">
        <f>+'Warranties &amp; Returns'!E38/Sales!O36</f>
        <v>6.17515359783401E-2</v>
      </c>
      <c r="AB36" s="18"/>
      <c r="AC36" s="18" t="str">
        <f t="shared" si="14"/>
        <v>July 2013</v>
      </c>
      <c r="AD36" s="22">
        <f t="shared" si="15"/>
        <v>14578</v>
      </c>
      <c r="AE36" s="23">
        <f t="shared" si="16"/>
        <v>6851660</v>
      </c>
      <c r="AF36" s="22">
        <f t="shared" si="17"/>
        <v>9603</v>
      </c>
      <c r="AG36" s="23">
        <f t="shared" si="18"/>
        <v>7010190</v>
      </c>
    </row>
    <row r="37" spans="1:33" x14ac:dyDescent="0.25">
      <c r="A37" s="2">
        <v>40575</v>
      </c>
      <c r="B37" s="3">
        <v>511</v>
      </c>
      <c r="C37" s="4">
        <v>240170</v>
      </c>
      <c r="D37" s="3">
        <v>337</v>
      </c>
      <c r="E37" s="4">
        <v>246010</v>
      </c>
      <c r="G37" s="12">
        <f t="shared" si="0"/>
        <v>2011</v>
      </c>
      <c r="H37" s="12">
        <f t="shared" si="1"/>
        <v>2</v>
      </c>
      <c r="I37" s="11">
        <f t="shared" si="12"/>
        <v>2</v>
      </c>
      <c r="J37" s="11"/>
      <c r="K37" s="1" t="str">
        <f>+'Warranties &amp; Returns'!A37</f>
        <v>August 2013</v>
      </c>
      <c r="L37" s="1">
        <v>32</v>
      </c>
      <c r="M37" s="1">
        <f t="shared" si="2"/>
        <v>22317</v>
      </c>
      <c r="N37" s="1">
        <f t="shared" si="3"/>
        <v>10488990</v>
      </c>
      <c r="O37" s="1">
        <f t="shared" si="4"/>
        <v>9235</v>
      </c>
      <c r="P37" s="1">
        <f t="shared" si="5"/>
        <v>6741550</v>
      </c>
      <c r="Q37" s="1">
        <f t="shared" si="6"/>
        <v>470</v>
      </c>
      <c r="R37" s="1">
        <f t="shared" si="7"/>
        <v>730</v>
      </c>
      <c r="S37" s="1">
        <f t="shared" si="8"/>
        <v>0</v>
      </c>
      <c r="T37" s="1">
        <f t="shared" si="9"/>
        <v>0</v>
      </c>
      <c r="U37" s="1">
        <f t="shared" si="10"/>
        <v>0</v>
      </c>
      <c r="V37" s="1">
        <f t="shared" si="11"/>
        <v>0</v>
      </c>
      <c r="W37" s="17" t="str">
        <f t="shared" si="13"/>
        <v>August 2013</v>
      </c>
      <c r="X37" s="18">
        <f>+'Warranties &amp; Returns'!B38/Sales!M37</f>
        <v>8.7287717883228033E-2</v>
      </c>
      <c r="Y37" s="18">
        <f>+'Warranties &amp; Returns'!C39/Sales!M37</f>
        <v>4.3554241161446433E-2</v>
      </c>
      <c r="Z37" s="18">
        <f>+'Warranties &amp; Returns'!D38/Sales!O37</f>
        <v>6.6702761234434221E-2</v>
      </c>
      <c r="AA37" s="18">
        <f>+'Warranties &amp; Returns'!E39/Sales!O37</f>
        <v>4.7428262046561989E-2</v>
      </c>
      <c r="AB37" s="18"/>
      <c r="AC37" s="18" t="str">
        <f t="shared" si="14"/>
        <v>August 2013</v>
      </c>
      <c r="AD37" s="22">
        <f t="shared" si="15"/>
        <v>22317</v>
      </c>
      <c r="AE37" s="23">
        <f t="shared" si="16"/>
        <v>10488990</v>
      </c>
      <c r="AF37" s="22">
        <f t="shared" si="17"/>
        <v>9235</v>
      </c>
      <c r="AG37" s="23">
        <f t="shared" si="18"/>
        <v>6741550</v>
      </c>
    </row>
    <row r="38" spans="1:33" x14ac:dyDescent="0.25">
      <c r="A38" s="2">
        <v>40576</v>
      </c>
      <c r="B38" s="3">
        <v>442</v>
      </c>
      <c r="C38" s="4">
        <v>207740</v>
      </c>
      <c r="D38" s="3">
        <v>337</v>
      </c>
      <c r="E38" s="4">
        <v>246010</v>
      </c>
      <c r="G38" s="12">
        <f t="shared" si="0"/>
        <v>2011</v>
      </c>
      <c r="H38" s="12">
        <f t="shared" si="1"/>
        <v>2</v>
      </c>
      <c r="I38" s="11">
        <f t="shared" si="12"/>
        <v>2</v>
      </c>
      <c r="J38" s="11"/>
      <c r="K38" s="1" t="str">
        <f>+'Warranties &amp; Returns'!A38</f>
        <v>September 2013</v>
      </c>
      <c r="L38" s="1">
        <v>33</v>
      </c>
      <c r="M38" s="1">
        <f t="shared" ref="M38:M69" si="19">+SUMIF($I$6:$I$3658,$L38,B$6:B$3658)</f>
        <v>20985</v>
      </c>
      <c r="N38" s="1">
        <f t="shared" ref="N38:N69" si="20">+SUMIF($I$6:$I$3658,$L38,C$6:C$3658)</f>
        <v>9862950</v>
      </c>
      <c r="O38" s="1">
        <f t="shared" ref="O38:O69" si="21">+SUMIF($I$6:$I$3658,$L38,D$6:D$3658)</f>
        <v>9192</v>
      </c>
      <c r="P38" s="1">
        <f t="shared" ref="P38:P69" si="22">+SUMIF($I$6:$I$3658,$L38,E$6:E$3658)</f>
        <v>6710160</v>
      </c>
      <c r="Q38" s="1">
        <f t="shared" ref="Q38:Q69" si="23">+N38/M38</f>
        <v>470</v>
      </c>
      <c r="R38" s="1">
        <f t="shared" ref="R38:R69" si="24">+P38/O38</f>
        <v>730</v>
      </c>
      <c r="S38" s="1">
        <f t="shared" ref="S38:S69" si="25">+IF(Q38&lt;AVERAGE(Q$6:Q$125),1,0)</f>
        <v>0</v>
      </c>
      <c r="T38" s="1">
        <f t="shared" ref="T38:T69" si="26">+IF(R38&lt;AVERAGE(R$6:R$125),1,0)</f>
        <v>0</v>
      </c>
      <c r="U38" s="1">
        <f t="shared" ref="U38:U69" si="27">+S38*L38</f>
        <v>0</v>
      </c>
      <c r="V38" s="1">
        <f t="shared" ref="V38:V69" si="28">+T38*L38</f>
        <v>0</v>
      </c>
      <c r="W38" s="17" t="str">
        <f t="shared" si="13"/>
        <v>September 2013</v>
      </c>
      <c r="X38" s="18">
        <f>+'Warranties &amp; Returns'!B39/Sales!M38</f>
        <v>8.5299023111746489E-2</v>
      </c>
      <c r="Y38" s="18">
        <f>+'Warranties &amp; Returns'!C40/Sales!M38</f>
        <v>3.8789611627352873E-2</v>
      </c>
      <c r="Z38" s="18">
        <f>+'Warranties &amp; Returns'!D39/Sales!O38</f>
        <v>6.8973020017406447E-2</v>
      </c>
      <c r="AA38" s="18">
        <f>+'Warranties &amp; Returns'!E40/Sales!O38</f>
        <v>4.3733681462140996E-2</v>
      </c>
      <c r="AB38" s="18"/>
      <c r="AC38" s="18" t="str">
        <f t="shared" si="14"/>
        <v>September 2013</v>
      </c>
      <c r="AD38" s="22">
        <f t="shared" si="15"/>
        <v>20985</v>
      </c>
      <c r="AE38" s="23">
        <f t="shared" si="16"/>
        <v>9862950</v>
      </c>
      <c r="AF38" s="22">
        <f t="shared" si="17"/>
        <v>9192</v>
      </c>
      <c r="AG38" s="23">
        <f t="shared" si="18"/>
        <v>6710160</v>
      </c>
    </row>
    <row r="39" spans="1:33" x14ac:dyDescent="0.25">
      <c r="A39" s="2">
        <v>40577</v>
      </c>
      <c r="B39" s="3">
        <v>437</v>
      </c>
      <c r="C39" s="4">
        <v>205390</v>
      </c>
      <c r="D39" s="3">
        <v>312</v>
      </c>
      <c r="E39" s="4">
        <v>227760</v>
      </c>
      <c r="G39" s="12">
        <f t="shared" si="0"/>
        <v>2011</v>
      </c>
      <c r="H39" s="12">
        <f t="shared" si="1"/>
        <v>2</v>
      </c>
      <c r="I39" s="11">
        <f t="shared" si="12"/>
        <v>2</v>
      </c>
      <c r="J39" s="11"/>
      <c r="K39" s="1" t="str">
        <f>+'Warranties &amp; Returns'!A39</f>
        <v>October 2013</v>
      </c>
      <c r="L39" s="1">
        <v>34</v>
      </c>
      <c r="M39" s="1">
        <f t="shared" si="19"/>
        <v>17986</v>
      </c>
      <c r="N39" s="1">
        <f t="shared" si="20"/>
        <v>5283387.5</v>
      </c>
      <c r="O39" s="1">
        <f t="shared" si="21"/>
        <v>9335</v>
      </c>
      <c r="P39" s="1">
        <f t="shared" si="22"/>
        <v>6814550</v>
      </c>
      <c r="Q39" s="1">
        <f t="shared" si="23"/>
        <v>293.75</v>
      </c>
      <c r="R39" s="1">
        <f t="shared" si="24"/>
        <v>730</v>
      </c>
      <c r="S39" s="1">
        <f t="shared" si="25"/>
        <v>1</v>
      </c>
      <c r="T39" s="1">
        <f t="shared" si="26"/>
        <v>0</v>
      </c>
      <c r="U39" s="1">
        <f t="shared" si="27"/>
        <v>34</v>
      </c>
      <c r="V39" s="1">
        <f t="shared" si="28"/>
        <v>0</v>
      </c>
      <c r="W39" s="17" t="str">
        <f t="shared" si="13"/>
        <v>October 2013</v>
      </c>
      <c r="X39" s="18">
        <f>+'Warranties &amp; Returns'!B40/Sales!M39</f>
        <v>0</v>
      </c>
      <c r="Y39" s="18">
        <f>+'Warranties &amp; Returns'!C41/Sales!M39</f>
        <v>3.3303680640498164E-2</v>
      </c>
      <c r="Z39" s="18">
        <f>+'Warranties &amp; Returns'!D40/Sales!O39</f>
        <v>6.6952329941081953E-2</v>
      </c>
      <c r="AA39" s="18">
        <f>+'Warranties &amp; Returns'!E41/Sales!O39</f>
        <v>4.6705945366898767E-2</v>
      </c>
      <c r="AB39" s="18"/>
      <c r="AC39" s="18" t="str">
        <f t="shared" si="14"/>
        <v>October 2013</v>
      </c>
      <c r="AD39" s="22">
        <f t="shared" si="15"/>
        <v>17986</v>
      </c>
      <c r="AE39" s="23">
        <f t="shared" si="16"/>
        <v>5283387.5</v>
      </c>
      <c r="AF39" s="22">
        <f t="shared" si="17"/>
        <v>9335</v>
      </c>
      <c r="AG39" s="23">
        <f t="shared" si="18"/>
        <v>6814550</v>
      </c>
    </row>
    <row r="40" spans="1:33" x14ac:dyDescent="0.25">
      <c r="A40" s="2">
        <v>40578</v>
      </c>
      <c r="B40" s="3">
        <v>445</v>
      </c>
      <c r="C40" s="4">
        <v>209150</v>
      </c>
      <c r="D40" s="3">
        <v>270</v>
      </c>
      <c r="E40" s="4">
        <v>197100</v>
      </c>
      <c r="G40" s="12">
        <f t="shared" si="0"/>
        <v>2011</v>
      </c>
      <c r="H40" s="12">
        <f t="shared" si="1"/>
        <v>2</v>
      </c>
      <c r="I40" s="11">
        <f t="shared" si="12"/>
        <v>2</v>
      </c>
      <c r="J40" s="11"/>
      <c r="K40" s="1" t="str">
        <f>+'Warranties &amp; Returns'!A40</f>
        <v>November 2013</v>
      </c>
      <c r="L40" s="1">
        <v>35</v>
      </c>
      <c r="M40" s="1">
        <f t="shared" si="19"/>
        <v>13958</v>
      </c>
      <c r="N40" s="1">
        <f t="shared" si="20"/>
        <v>6560260</v>
      </c>
      <c r="O40" s="1">
        <f t="shared" si="21"/>
        <v>9239</v>
      </c>
      <c r="P40" s="1">
        <f t="shared" si="22"/>
        <v>6744470</v>
      </c>
      <c r="Q40" s="1">
        <f t="shared" si="23"/>
        <v>470</v>
      </c>
      <c r="R40" s="1">
        <f t="shared" si="24"/>
        <v>730</v>
      </c>
      <c r="S40" s="1">
        <f t="shared" si="25"/>
        <v>0</v>
      </c>
      <c r="T40" s="1">
        <f t="shared" si="26"/>
        <v>0</v>
      </c>
      <c r="U40" s="1">
        <f t="shared" si="27"/>
        <v>0</v>
      </c>
      <c r="V40" s="1">
        <f t="shared" si="28"/>
        <v>0</v>
      </c>
      <c r="W40" s="17" t="str">
        <f t="shared" si="13"/>
        <v>November 2013</v>
      </c>
      <c r="X40" s="18">
        <f>+'Warranties &amp; Returns'!B41/Sales!M40</f>
        <v>8.016907866456513E-2</v>
      </c>
      <c r="Y40" s="18">
        <f>+'Warranties &amp; Returns'!C42/Sales!M40</f>
        <v>4.5851841237999715E-2</v>
      </c>
      <c r="Z40" s="18">
        <f>+'Warranties &amp; Returns'!D41/Sales!O40</f>
        <v>5.7257278926290726E-2</v>
      </c>
      <c r="AA40" s="18">
        <f>+'Warranties &amp; Returns'!E42/Sales!O40</f>
        <v>5.0871306418443556E-2</v>
      </c>
      <c r="AB40" s="18"/>
      <c r="AC40" s="18" t="str">
        <f t="shared" si="14"/>
        <v>November 2013</v>
      </c>
      <c r="AD40" s="22">
        <f t="shared" si="15"/>
        <v>13958</v>
      </c>
      <c r="AE40" s="23">
        <f t="shared" si="16"/>
        <v>6560260</v>
      </c>
      <c r="AF40" s="22">
        <f t="shared" si="17"/>
        <v>9239</v>
      </c>
      <c r="AG40" s="23">
        <f t="shared" si="18"/>
        <v>6744470</v>
      </c>
    </row>
    <row r="41" spans="1:33" x14ac:dyDescent="0.25">
      <c r="A41" s="2">
        <v>40579</v>
      </c>
      <c r="B41" s="3">
        <v>457</v>
      </c>
      <c r="C41" s="4">
        <v>214790</v>
      </c>
      <c r="D41" s="3">
        <v>265</v>
      </c>
      <c r="E41" s="4">
        <v>193450</v>
      </c>
      <c r="G41" s="12">
        <f t="shared" si="0"/>
        <v>2011</v>
      </c>
      <c r="H41" s="12">
        <f t="shared" si="1"/>
        <v>2</v>
      </c>
      <c r="I41" s="11">
        <f t="shared" si="12"/>
        <v>2</v>
      </c>
      <c r="J41" s="11"/>
      <c r="K41" s="1" t="str">
        <f>+'Warranties &amp; Returns'!A41</f>
        <v>December 2013</v>
      </c>
      <c r="L41" s="1">
        <v>36</v>
      </c>
      <c r="M41" s="1">
        <f t="shared" si="19"/>
        <v>14953</v>
      </c>
      <c r="N41" s="1">
        <f t="shared" si="20"/>
        <v>7027910</v>
      </c>
      <c r="O41" s="1">
        <f t="shared" si="21"/>
        <v>9329</v>
      </c>
      <c r="P41" s="1">
        <f t="shared" si="22"/>
        <v>6810170</v>
      </c>
      <c r="Q41" s="1">
        <f t="shared" si="23"/>
        <v>470</v>
      </c>
      <c r="R41" s="1">
        <f t="shared" si="24"/>
        <v>730</v>
      </c>
      <c r="S41" s="1">
        <f t="shared" si="25"/>
        <v>0</v>
      </c>
      <c r="T41" s="1">
        <f t="shared" si="26"/>
        <v>0</v>
      </c>
      <c r="U41" s="1">
        <f t="shared" si="27"/>
        <v>0</v>
      </c>
      <c r="V41" s="1">
        <f t="shared" si="28"/>
        <v>0</v>
      </c>
      <c r="W41" s="17" t="str">
        <f t="shared" si="13"/>
        <v>December 2013</v>
      </c>
      <c r="X41" s="18">
        <f>+'Warranties &amp; Returns'!B42/Sales!M41</f>
        <v>7.9716444860563104E-2</v>
      </c>
      <c r="Y41" s="18">
        <f>+'Warranties &amp; Returns'!C43/Sales!M41</f>
        <v>3.9523841369624828E-2</v>
      </c>
      <c r="Z41" s="18">
        <f>+'Warranties &amp; Returns'!D42/Sales!O41</f>
        <v>7.0211169471540352E-2</v>
      </c>
      <c r="AA41" s="18">
        <f>+'Warranties &amp; Returns'!E43/Sales!O41</f>
        <v>4.9630185443241506E-2</v>
      </c>
      <c r="AB41" s="18"/>
      <c r="AC41" s="18" t="str">
        <f t="shared" si="14"/>
        <v>December 2013</v>
      </c>
      <c r="AD41" s="22">
        <f t="shared" si="15"/>
        <v>14953</v>
      </c>
      <c r="AE41" s="23">
        <f t="shared" si="16"/>
        <v>7027910</v>
      </c>
      <c r="AF41" s="22">
        <f t="shared" si="17"/>
        <v>9329</v>
      </c>
      <c r="AG41" s="23">
        <f t="shared" si="18"/>
        <v>6810170</v>
      </c>
    </row>
    <row r="42" spans="1:33" x14ac:dyDescent="0.25">
      <c r="A42" s="2">
        <v>40580</v>
      </c>
      <c r="B42" s="3">
        <v>433</v>
      </c>
      <c r="C42" s="4">
        <v>203510</v>
      </c>
      <c r="D42" s="3">
        <v>275</v>
      </c>
      <c r="E42" s="4">
        <v>200750</v>
      </c>
      <c r="G42" s="12">
        <f t="shared" si="0"/>
        <v>2011</v>
      </c>
      <c r="H42" s="12">
        <f t="shared" si="1"/>
        <v>2</v>
      </c>
      <c r="I42" s="11">
        <f t="shared" si="12"/>
        <v>2</v>
      </c>
      <c r="J42" s="11"/>
      <c r="K42" s="1" t="str">
        <f>+'Warranties &amp; Returns'!A42</f>
        <v>January 2014</v>
      </c>
      <c r="L42" s="1">
        <v>37</v>
      </c>
      <c r="M42" s="1">
        <f t="shared" si="19"/>
        <v>14871</v>
      </c>
      <c r="N42" s="1">
        <f t="shared" si="20"/>
        <v>6989370</v>
      </c>
      <c r="O42" s="1">
        <f t="shared" si="21"/>
        <v>9176</v>
      </c>
      <c r="P42" s="1">
        <f t="shared" si="22"/>
        <v>6698480</v>
      </c>
      <c r="Q42" s="1">
        <f t="shared" si="23"/>
        <v>470</v>
      </c>
      <c r="R42" s="1">
        <f t="shared" si="24"/>
        <v>730</v>
      </c>
      <c r="S42" s="1">
        <f t="shared" si="25"/>
        <v>0</v>
      </c>
      <c r="T42" s="1">
        <f t="shared" si="26"/>
        <v>0</v>
      </c>
      <c r="U42" s="1">
        <f t="shared" si="27"/>
        <v>0</v>
      </c>
      <c r="V42" s="1">
        <f t="shared" si="28"/>
        <v>0</v>
      </c>
      <c r="W42" s="17" t="str">
        <f t="shared" si="13"/>
        <v>January 2014</v>
      </c>
      <c r="X42" s="18">
        <f>+'Warranties &amp; Returns'!B43/Sales!M42</f>
        <v>8.9570304619729674E-2</v>
      </c>
      <c r="Y42" s="18">
        <f>+'Warranties &amp; Returns'!C44/Sales!M42</f>
        <v>4.0010759195750117E-2</v>
      </c>
      <c r="Z42" s="18">
        <f>+'Warranties &amp; Returns'!D43/Sales!O42</f>
        <v>5.8413251961639059E-2</v>
      </c>
      <c r="AA42" s="18">
        <f>+'Warranties &amp; Returns'!E44/Sales!O42</f>
        <v>5.3182214472537057E-2</v>
      </c>
      <c r="AB42" s="18"/>
      <c r="AC42" s="18" t="str">
        <f t="shared" si="14"/>
        <v>January 2014</v>
      </c>
      <c r="AD42" s="22">
        <f t="shared" si="15"/>
        <v>14871</v>
      </c>
      <c r="AE42" s="23">
        <f t="shared" si="16"/>
        <v>6989370</v>
      </c>
      <c r="AF42" s="22">
        <f t="shared" si="17"/>
        <v>9176</v>
      </c>
      <c r="AG42" s="23">
        <f t="shared" si="18"/>
        <v>6698480</v>
      </c>
    </row>
    <row r="43" spans="1:33" x14ac:dyDescent="0.25">
      <c r="A43" s="2">
        <v>40581</v>
      </c>
      <c r="B43" s="3">
        <v>479</v>
      </c>
      <c r="C43" s="4">
        <v>225130</v>
      </c>
      <c r="D43" s="3">
        <v>340</v>
      </c>
      <c r="E43" s="4">
        <v>248200</v>
      </c>
      <c r="G43" s="12">
        <f t="shared" si="0"/>
        <v>2011</v>
      </c>
      <c r="H43" s="12">
        <f t="shared" si="1"/>
        <v>2</v>
      </c>
      <c r="I43" s="11">
        <f t="shared" si="12"/>
        <v>2</v>
      </c>
      <c r="J43" s="11"/>
      <c r="K43" s="1" t="str">
        <f>+'Warranties &amp; Returns'!A43</f>
        <v>February 2014</v>
      </c>
      <c r="L43" s="1">
        <v>38</v>
      </c>
      <c r="M43" s="1">
        <f t="shared" si="19"/>
        <v>13052</v>
      </c>
      <c r="N43" s="1">
        <f t="shared" si="20"/>
        <v>6134440</v>
      </c>
      <c r="O43" s="1">
        <f t="shared" si="21"/>
        <v>8338</v>
      </c>
      <c r="P43" s="1">
        <f t="shared" si="22"/>
        <v>6086740</v>
      </c>
      <c r="Q43" s="1">
        <f t="shared" si="23"/>
        <v>470</v>
      </c>
      <c r="R43" s="1">
        <f t="shared" si="24"/>
        <v>730</v>
      </c>
      <c r="S43" s="1">
        <f t="shared" si="25"/>
        <v>0</v>
      </c>
      <c r="T43" s="1">
        <f t="shared" si="26"/>
        <v>0</v>
      </c>
      <c r="U43" s="1">
        <f t="shared" si="27"/>
        <v>0</v>
      </c>
      <c r="V43" s="1">
        <f t="shared" si="28"/>
        <v>0</v>
      </c>
      <c r="W43" s="17" t="str">
        <f t="shared" si="13"/>
        <v>February 2014</v>
      </c>
      <c r="X43" s="18">
        <f>+'Warranties &amp; Returns'!B44/Sales!M43</f>
        <v>7.8915108795586886E-2</v>
      </c>
      <c r="Y43" s="18">
        <f>+'Warranties &amp; Returns'!C45/Sales!M43</f>
        <v>3.8231688630095004E-2</v>
      </c>
      <c r="Z43" s="18">
        <f>+'Warranties &amp; Returns'!D44/Sales!O43</f>
        <v>5.9966418805468935E-2</v>
      </c>
      <c r="AA43" s="18">
        <f>+'Warranties &amp; Returns'!E45/Sales!O43</f>
        <v>5.0011993283761096E-2</v>
      </c>
      <c r="AB43" s="18"/>
      <c r="AC43" s="18" t="str">
        <f t="shared" si="14"/>
        <v>February 2014</v>
      </c>
      <c r="AD43" s="22">
        <f t="shared" si="15"/>
        <v>13052</v>
      </c>
      <c r="AE43" s="23">
        <f t="shared" si="16"/>
        <v>6134440</v>
      </c>
      <c r="AF43" s="22">
        <f t="shared" si="17"/>
        <v>8338</v>
      </c>
      <c r="AG43" s="23">
        <f t="shared" si="18"/>
        <v>6086740</v>
      </c>
    </row>
    <row r="44" spans="1:33" x14ac:dyDescent="0.25">
      <c r="A44" s="2">
        <v>40582</v>
      </c>
      <c r="B44" s="3">
        <v>436</v>
      </c>
      <c r="C44" s="4">
        <v>204920</v>
      </c>
      <c r="D44" s="3">
        <v>277</v>
      </c>
      <c r="E44" s="4">
        <v>202210</v>
      </c>
      <c r="G44" s="12">
        <f t="shared" si="0"/>
        <v>2011</v>
      </c>
      <c r="H44" s="12">
        <f t="shared" si="1"/>
        <v>2</v>
      </c>
      <c r="I44" s="11">
        <f t="shared" si="12"/>
        <v>2</v>
      </c>
      <c r="J44" s="11"/>
      <c r="K44" s="1" t="str">
        <f>+'Warranties &amp; Returns'!A44</f>
        <v>March 2014</v>
      </c>
      <c r="L44" s="1">
        <v>39</v>
      </c>
      <c r="M44" s="1">
        <f t="shared" si="19"/>
        <v>14232</v>
      </c>
      <c r="N44" s="1">
        <f t="shared" si="20"/>
        <v>6689040</v>
      </c>
      <c r="O44" s="1">
        <f t="shared" si="21"/>
        <v>9181</v>
      </c>
      <c r="P44" s="1">
        <f t="shared" si="22"/>
        <v>6702130</v>
      </c>
      <c r="Q44" s="1">
        <f t="shared" si="23"/>
        <v>470</v>
      </c>
      <c r="R44" s="1">
        <f t="shared" si="24"/>
        <v>730</v>
      </c>
      <c r="S44" s="1">
        <f t="shared" si="25"/>
        <v>0</v>
      </c>
      <c r="T44" s="1">
        <f t="shared" si="26"/>
        <v>0</v>
      </c>
      <c r="U44" s="1">
        <f t="shared" si="27"/>
        <v>0</v>
      </c>
      <c r="V44" s="1">
        <f t="shared" si="28"/>
        <v>0</v>
      </c>
      <c r="W44" s="17" t="str">
        <f t="shared" si="13"/>
        <v>March 2014</v>
      </c>
      <c r="X44" s="18">
        <f>+'Warranties &amp; Returns'!B45/Sales!M44</f>
        <v>8.5511523327712197E-2</v>
      </c>
      <c r="Y44" s="18">
        <f>+'Warranties &amp; Returns'!C46/Sales!M44</f>
        <v>4.4688026981450253E-2</v>
      </c>
      <c r="Z44" s="18">
        <f>+'Warranties &amp; Returns'!D45/Sales!O44</f>
        <v>6.491667574338307E-2</v>
      </c>
      <c r="AA44" s="18">
        <f>+'Warranties &amp; Returns'!E46/Sales!O44</f>
        <v>4.9341030388846532E-2</v>
      </c>
      <c r="AB44" s="18"/>
      <c r="AC44" s="18" t="str">
        <f t="shared" si="14"/>
        <v>March 2014</v>
      </c>
      <c r="AD44" s="22">
        <f t="shared" si="15"/>
        <v>14232</v>
      </c>
      <c r="AE44" s="23">
        <f t="shared" si="16"/>
        <v>6689040</v>
      </c>
      <c r="AF44" s="22">
        <f t="shared" si="17"/>
        <v>9181</v>
      </c>
      <c r="AG44" s="23">
        <f t="shared" si="18"/>
        <v>6702130</v>
      </c>
    </row>
    <row r="45" spans="1:33" x14ac:dyDescent="0.25">
      <c r="A45" s="2">
        <v>40583</v>
      </c>
      <c r="B45" s="3">
        <v>482</v>
      </c>
      <c r="C45" s="4">
        <v>226540</v>
      </c>
      <c r="D45" s="3">
        <v>317</v>
      </c>
      <c r="E45" s="4">
        <v>231410</v>
      </c>
      <c r="G45" s="12">
        <f t="shared" si="0"/>
        <v>2011</v>
      </c>
      <c r="H45" s="12">
        <f t="shared" si="1"/>
        <v>2</v>
      </c>
      <c r="I45" s="11">
        <f t="shared" si="12"/>
        <v>2</v>
      </c>
      <c r="J45" s="11"/>
      <c r="K45" s="1" t="str">
        <f>+'Warranties &amp; Returns'!A45</f>
        <v>April 2014</v>
      </c>
      <c r="L45" s="1">
        <v>40</v>
      </c>
      <c r="M45" s="1">
        <f t="shared" si="19"/>
        <v>14154</v>
      </c>
      <c r="N45" s="1">
        <f t="shared" si="20"/>
        <v>6652380</v>
      </c>
      <c r="O45" s="1">
        <f t="shared" si="21"/>
        <v>19929</v>
      </c>
      <c r="P45" s="1">
        <f t="shared" si="22"/>
        <v>14548170</v>
      </c>
      <c r="Q45" s="1">
        <f t="shared" si="23"/>
        <v>470</v>
      </c>
      <c r="R45" s="1">
        <f t="shared" si="24"/>
        <v>730</v>
      </c>
      <c r="S45" s="1">
        <f t="shared" si="25"/>
        <v>0</v>
      </c>
      <c r="T45" s="1">
        <f t="shared" si="26"/>
        <v>0</v>
      </c>
      <c r="U45" s="1">
        <f t="shared" si="27"/>
        <v>0</v>
      </c>
      <c r="V45" s="1">
        <f t="shared" si="28"/>
        <v>0</v>
      </c>
      <c r="W45" s="17" t="str">
        <f t="shared" si="13"/>
        <v>April 2014</v>
      </c>
      <c r="X45" s="18">
        <f>+'Warranties &amp; Returns'!B46/Sales!M45</f>
        <v>8.0966511233573554E-2</v>
      </c>
      <c r="Y45" s="18">
        <f>+'Warranties &amp; Returns'!C47/Sales!M45</f>
        <v>3.4689840327822526E-2</v>
      </c>
      <c r="Z45" s="18">
        <f>+'Warranties &amp; Returns'!D46/Sales!O45</f>
        <v>5.8256811681469213E-2</v>
      </c>
      <c r="AA45" s="18">
        <f>+'Warranties &amp; Returns'!E47/Sales!O45</f>
        <v>4.9475638516734408E-2</v>
      </c>
      <c r="AB45" s="18"/>
      <c r="AC45" s="18" t="str">
        <f t="shared" si="14"/>
        <v>April 2014</v>
      </c>
      <c r="AD45" s="22">
        <f t="shared" si="15"/>
        <v>14154</v>
      </c>
      <c r="AE45" s="23">
        <f t="shared" si="16"/>
        <v>6652380</v>
      </c>
      <c r="AF45" s="22">
        <f t="shared" si="17"/>
        <v>19929</v>
      </c>
      <c r="AG45" s="23">
        <f t="shared" si="18"/>
        <v>14548170</v>
      </c>
    </row>
    <row r="46" spans="1:33" x14ac:dyDescent="0.25">
      <c r="A46" s="2">
        <v>40584</v>
      </c>
      <c r="B46" s="3">
        <v>432</v>
      </c>
      <c r="C46" s="4">
        <v>203040</v>
      </c>
      <c r="D46" s="3">
        <v>314</v>
      </c>
      <c r="E46" s="4">
        <v>229220</v>
      </c>
      <c r="G46" s="12">
        <f t="shared" si="0"/>
        <v>2011</v>
      </c>
      <c r="H46" s="12">
        <f t="shared" si="1"/>
        <v>2</v>
      </c>
      <c r="I46" s="11">
        <f t="shared" si="12"/>
        <v>2</v>
      </c>
      <c r="J46" s="11"/>
      <c r="K46" s="1" t="str">
        <f>+'Warranties &amp; Returns'!A46</f>
        <v>May 2014</v>
      </c>
      <c r="L46" s="1">
        <v>41</v>
      </c>
      <c r="M46" s="1">
        <f t="shared" si="19"/>
        <v>14072</v>
      </c>
      <c r="N46" s="1">
        <f t="shared" si="20"/>
        <v>6613840</v>
      </c>
      <c r="O46" s="1">
        <f t="shared" si="21"/>
        <v>20239</v>
      </c>
      <c r="P46" s="1">
        <f t="shared" si="22"/>
        <v>14774470</v>
      </c>
      <c r="Q46" s="1">
        <f t="shared" si="23"/>
        <v>470</v>
      </c>
      <c r="R46" s="1">
        <f t="shared" si="24"/>
        <v>730</v>
      </c>
      <c r="S46" s="1">
        <f t="shared" si="25"/>
        <v>0</v>
      </c>
      <c r="T46" s="1">
        <f t="shared" si="26"/>
        <v>0</v>
      </c>
      <c r="U46" s="1">
        <f t="shared" si="27"/>
        <v>0</v>
      </c>
      <c r="V46" s="1">
        <f t="shared" si="28"/>
        <v>0</v>
      </c>
      <c r="W46" s="17" t="str">
        <f t="shared" si="13"/>
        <v>May 2014</v>
      </c>
      <c r="X46" s="18">
        <f>+'Warranties &amp; Returns'!B47/Sales!M46</f>
        <v>8.1651506537805577E-2</v>
      </c>
      <c r="Y46" s="18">
        <f>+'Warranties &amp; Returns'!C48/Sales!M46</f>
        <v>3.8160886867538373E-2</v>
      </c>
      <c r="Z46" s="18">
        <f>+'Warranties &amp; Returns'!D47/Sales!O46</f>
        <v>6.4627698996986019E-2</v>
      </c>
      <c r="AA46" s="18">
        <f>+'Warranties &amp; Returns'!E48/Sales!O46</f>
        <v>5.7710361183852955E-2</v>
      </c>
      <c r="AB46" s="18"/>
      <c r="AC46" s="18" t="str">
        <f t="shared" si="14"/>
        <v>May 2014</v>
      </c>
      <c r="AD46" s="22">
        <f t="shared" si="15"/>
        <v>14072</v>
      </c>
      <c r="AE46" s="23">
        <f t="shared" si="16"/>
        <v>6613840</v>
      </c>
      <c r="AF46" s="22">
        <f t="shared" si="17"/>
        <v>20239</v>
      </c>
      <c r="AG46" s="23">
        <f t="shared" si="18"/>
        <v>14774470</v>
      </c>
    </row>
    <row r="47" spans="1:33" x14ac:dyDescent="0.25">
      <c r="A47" s="2">
        <v>40585</v>
      </c>
      <c r="B47" s="3">
        <v>427</v>
      </c>
      <c r="C47" s="4">
        <v>200690</v>
      </c>
      <c r="D47" s="3">
        <v>324</v>
      </c>
      <c r="E47" s="4">
        <v>236520</v>
      </c>
      <c r="G47" s="12">
        <f t="shared" si="0"/>
        <v>2011</v>
      </c>
      <c r="H47" s="12">
        <f t="shared" si="1"/>
        <v>2</v>
      </c>
      <c r="I47" s="11">
        <f t="shared" si="12"/>
        <v>2</v>
      </c>
      <c r="J47" s="11"/>
      <c r="K47" s="1" t="str">
        <f>+'Warranties &amp; Returns'!A47</f>
        <v>June 2014</v>
      </c>
      <c r="L47" s="1">
        <v>42</v>
      </c>
      <c r="M47" s="1">
        <f t="shared" si="19"/>
        <v>14279</v>
      </c>
      <c r="N47" s="1">
        <f t="shared" si="20"/>
        <v>6711130</v>
      </c>
      <c r="O47" s="1">
        <f t="shared" si="21"/>
        <v>21605</v>
      </c>
      <c r="P47" s="1">
        <f t="shared" si="22"/>
        <v>6308660</v>
      </c>
      <c r="Q47" s="1">
        <f t="shared" si="23"/>
        <v>470</v>
      </c>
      <c r="R47" s="1">
        <f t="shared" si="24"/>
        <v>292</v>
      </c>
      <c r="S47" s="1">
        <f t="shared" si="25"/>
        <v>0</v>
      </c>
      <c r="T47" s="1">
        <f t="shared" si="26"/>
        <v>1</v>
      </c>
      <c r="U47" s="1">
        <f t="shared" si="27"/>
        <v>0</v>
      </c>
      <c r="V47" s="1">
        <f t="shared" si="28"/>
        <v>42</v>
      </c>
      <c r="W47" s="17" t="str">
        <f t="shared" si="13"/>
        <v>June 2014</v>
      </c>
      <c r="X47" s="18">
        <f>+'Warranties &amp; Returns'!B48/Sales!M47</f>
        <v>8.4529728972617124E-2</v>
      </c>
      <c r="Y47" s="18">
        <f>+'Warranties &amp; Returns'!C49/Sales!M47</f>
        <v>5.0913929546887039E-2</v>
      </c>
      <c r="Z47" s="18">
        <f>+'Warranties &amp; Returns'!D48/Sales!O47</f>
        <v>0</v>
      </c>
      <c r="AA47" s="18">
        <f>+'Warranties &amp; Returns'!E49/Sales!O47</f>
        <v>5.3552418421661654E-2</v>
      </c>
      <c r="AB47" s="18"/>
      <c r="AC47" s="18" t="str">
        <f t="shared" si="14"/>
        <v>June 2014</v>
      </c>
      <c r="AD47" s="22">
        <f t="shared" si="15"/>
        <v>14279</v>
      </c>
      <c r="AE47" s="23">
        <f t="shared" si="16"/>
        <v>6711130</v>
      </c>
      <c r="AF47" s="22">
        <f t="shared" si="17"/>
        <v>21605</v>
      </c>
      <c r="AG47" s="23">
        <f t="shared" si="18"/>
        <v>6308660</v>
      </c>
    </row>
    <row r="48" spans="1:33" x14ac:dyDescent="0.25">
      <c r="A48" s="2">
        <v>40586</v>
      </c>
      <c r="B48" s="3">
        <v>476</v>
      </c>
      <c r="C48" s="4">
        <v>223720</v>
      </c>
      <c r="D48" s="3">
        <v>309</v>
      </c>
      <c r="E48" s="4">
        <v>225570</v>
      </c>
      <c r="G48" s="12">
        <f t="shared" si="0"/>
        <v>2011</v>
      </c>
      <c r="H48" s="12">
        <f t="shared" si="1"/>
        <v>2</v>
      </c>
      <c r="I48" s="11">
        <f t="shared" si="12"/>
        <v>2</v>
      </c>
      <c r="J48" s="11"/>
      <c r="K48" s="1" t="str">
        <f>+'Warranties &amp; Returns'!A48</f>
        <v>July 2014</v>
      </c>
      <c r="L48" s="1">
        <v>43</v>
      </c>
      <c r="M48" s="1">
        <f t="shared" si="19"/>
        <v>14526</v>
      </c>
      <c r="N48" s="1">
        <f t="shared" si="20"/>
        <v>6827220</v>
      </c>
      <c r="O48" s="1">
        <f t="shared" si="21"/>
        <v>9149</v>
      </c>
      <c r="P48" s="1">
        <f t="shared" si="22"/>
        <v>6678770</v>
      </c>
      <c r="Q48" s="1">
        <f t="shared" si="23"/>
        <v>470</v>
      </c>
      <c r="R48" s="1">
        <f t="shared" si="24"/>
        <v>730</v>
      </c>
      <c r="S48" s="1">
        <f t="shared" si="25"/>
        <v>0</v>
      </c>
      <c r="T48" s="1">
        <f t="shared" si="26"/>
        <v>0</v>
      </c>
      <c r="U48" s="1">
        <f t="shared" si="27"/>
        <v>0</v>
      </c>
      <c r="V48" s="1">
        <f t="shared" si="28"/>
        <v>0</v>
      </c>
      <c r="W48" s="17" t="str">
        <f t="shared" si="13"/>
        <v>July 2014</v>
      </c>
      <c r="X48" s="18">
        <f>+'Warranties &amp; Returns'!B49/Sales!M48</f>
        <v>8.0614071320391029E-2</v>
      </c>
      <c r="Y48" s="18">
        <f>+'Warranties &amp; Returns'!C50/Sales!M48</f>
        <v>5.1493873055211345E-2</v>
      </c>
      <c r="Z48" s="18">
        <f>+'Warranties &amp; Returns'!D49/Sales!O48</f>
        <v>6.4925128429336537E-2</v>
      </c>
      <c r="AA48" s="18">
        <f>+'Warranties &amp; Returns'!E50/Sales!O48</f>
        <v>5.1043829926767953E-2</v>
      </c>
      <c r="AB48" s="18"/>
      <c r="AC48" s="18" t="str">
        <f t="shared" si="14"/>
        <v>July 2014</v>
      </c>
      <c r="AD48" s="22">
        <f t="shared" si="15"/>
        <v>14526</v>
      </c>
      <c r="AE48" s="23">
        <f t="shared" si="16"/>
        <v>6827220</v>
      </c>
      <c r="AF48" s="22">
        <f t="shared" si="17"/>
        <v>9149</v>
      </c>
      <c r="AG48" s="23">
        <f t="shared" si="18"/>
        <v>6678770</v>
      </c>
    </row>
    <row r="49" spans="1:33" x14ac:dyDescent="0.25">
      <c r="A49" s="2">
        <v>40587</v>
      </c>
      <c r="B49" s="3">
        <v>425</v>
      </c>
      <c r="C49" s="4">
        <v>199750</v>
      </c>
      <c r="D49" s="3">
        <v>277</v>
      </c>
      <c r="E49" s="4">
        <v>202210</v>
      </c>
      <c r="G49" s="12">
        <f t="shared" si="0"/>
        <v>2011</v>
      </c>
      <c r="H49" s="12">
        <f t="shared" si="1"/>
        <v>2</v>
      </c>
      <c r="I49" s="11">
        <f t="shared" si="12"/>
        <v>2</v>
      </c>
      <c r="J49" s="11"/>
      <c r="K49" s="1" t="str">
        <f>+'Warranties &amp; Returns'!A49</f>
        <v>August 2014</v>
      </c>
      <c r="L49" s="1">
        <v>44</v>
      </c>
      <c r="M49" s="1">
        <f t="shared" si="19"/>
        <v>21331</v>
      </c>
      <c r="N49" s="1">
        <f t="shared" si="20"/>
        <v>10025570</v>
      </c>
      <c r="O49" s="1">
        <f t="shared" si="21"/>
        <v>9316</v>
      </c>
      <c r="P49" s="1">
        <f t="shared" si="22"/>
        <v>6800680</v>
      </c>
      <c r="Q49" s="1">
        <f t="shared" si="23"/>
        <v>470</v>
      </c>
      <c r="R49" s="1">
        <f t="shared" si="24"/>
        <v>730</v>
      </c>
      <c r="S49" s="1">
        <f t="shared" si="25"/>
        <v>0</v>
      </c>
      <c r="T49" s="1">
        <f t="shared" si="26"/>
        <v>0</v>
      </c>
      <c r="U49" s="1">
        <f t="shared" si="27"/>
        <v>0</v>
      </c>
      <c r="V49" s="1">
        <f t="shared" si="28"/>
        <v>0</v>
      </c>
      <c r="W49" s="17" t="str">
        <f t="shared" si="13"/>
        <v>August 2014</v>
      </c>
      <c r="X49" s="18">
        <f>+'Warranties &amp; Returns'!B50/Sales!M49</f>
        <v>7.664900848530308E-2</v>
      </c>
      <c r="Y49" s="18">
        <f>+'Warranties &amp; Returns'!C51/Sales!M49</f>
        <v>4.5051802540902915E-2</v>
      </c>
      <c r="Z49" s="18">
        <f>+'Warranties &amp; Returns'!D50/Sales!O49</f>
        <v>6.6981537140403613E-2</v>
      </c>
      <c r="AA49" s="18">
        <f>+'Warranties &amp; Returns'!E51/Sales!O49</f>
        <v>4.9806784027479602E-2</v>
      </c>
      <c r="AB49" s="18"/>
      <c r="AC49" s="18" t="str">
        <f t="shared" si="14"/>
        <v>August 2014</v>
      </c>
      <c r="AD49" s="22">
        <f t="shared" si="15"/>
        <v>21331</v>
      </c>
      <c r="AE49" s="23">
        <f t="shared" si="16"/>
        <v>10025570</v>
      </c>
      <c r="AF49" s="22">
        <f t="shared" si="17"/>
        <v>9316</v>
      </c>
      <c r="AG49" s="23">
        <f t="shared" si="18"/>
        <v>6800680</v>
      </c>
    </row>
    <row r="50" spans="1:33" x14ac:dyDescent="0.25">
      <c r="A50" s="2">
        <v>40588</v>
      </c>
      <c r="B50" s="3">
        <v>458</v>
      </c>
      <c r="C50" s="4">
        <v>215260</v>
      </c>
      <c r="D50" s="3">
        <v>278</v>
      </c>
      <c r="E50" s="4">
        <v>202940</v>
      </c>
      <c r="G50" s="12">
        <f t="shared" si="0"/>
        <v>2011</v>
      </c>
      <c r="H50" s="12">
        <f t="shared" si="1"/>
        <v>2</v>
      </c>
      <c r="I50" s="11">
        <f t="shared" si="12"/>
        <v>2</v>
      </c>
      <c r="J50" s="11"/>
      <c r="K50" s="1" t="str">
        <f>+'Warranties &amp; Returns'!A50</f>
        <v>September 2014</v>
      </c>
      <c r="L50" s="1">
        <v>45</v>
      </c>
      <c r="M50" s="1">
        <f t="shared" si="19"/>
        <v>21102</v>
      </c>
      <c r="N50" s="1">
        <f t="shared" si="20"/>
        <v>9917940</v>
      </c>
      <c r="O50" s="1">
        <f t="shared" si="21"/>
        <v>9060</v>
      </c>
      <c r="P50" s="1">
        <f t="shared" si="22"/>
        <v>6613800</v>
      </c>
      <c r="Q50" s="1">
        <f t="shared" si="23"/>
        <v>470</v>
      </c>
      <c r="R50" s="1">
        <f t="shared" si="24"/>
        <v>730</v>
      </c>
      <c r="S50" s="1">
        <f t="shared" si="25"/>
        <v>0</v>
      </c>
      <c r="T50" s="1">
        <f t="shared" si="26"/>
        <v>0</v>
      </c>
      <c r="U50" s="1">
        <f t="shared" si="27"/>
        <v>0</v>
      </c>
      <c r="V50" s="1">
        <f t="shared" si="28"/>
        <v>0</v>
      </c>
      <c r="W50" s="17" t="str">
        <f t="shared" si="13"/>
        <v>September 2014</v>
      </c>
      <c r="X50" s="18">
        <f>+'Warranties &amp; Returns'!B51/Sales!M50</f>
        <v>9.1081414083973078E-2</v>
      </c>
      <c r="Y50" s="18">
        <f>+'Warranties &amp; Returns'!C52/Sales!M50</f>
        <v>4.7294095346412664E-2</v>
      </c>
      <c r="Z50" s="18">
        <f>+'Warranties &amp; Returns'!D51/Sales!O50</f>
        <v>6.3796909492273735E-2</v>
      </c>
      <c r="AA50" s="18">
        <f>+'Warranties &amp; Returns'!E52/Sales!O50</f>
        <v>4.7571743929359825E-2</v>
      </c>
      <c r="AB50" s="18"/>
      <c r="AC50" s="18" t="str">
        <f t="shared" si="14"/>
        <v>September 2014</v>
      </c>
      <c r="AD50" s="22">
        <f t="shared" si="15"/>
        <v>21102</v>
      </c>
      <c r="AE50" s="23">
        <f t="shared" si="16"/>
        <v>9917940</v>
      </c>
      <c r="AF50" s="22">
        <f t="shared" si="17"/>
        <v>9060</v>
      </c>
      <c r="AG50" s="23">
        <f t="shared" si="18"/>
        <v>6613800</v>
      </c>
    </row>
    <row r="51" spans="1:33" x14ac:dyDescent="0.25">
      <c r="A51" s="2">
        <v>40589</v>
      </c>
      <c r="B51" s="3">
        <v>461</v>
      </c>
      <c r="C51" s="4">
        <v>216670</v>
      </c>
      <c r="D51" s="3">
        <v>345</v>
      </c>
      <c r="E51" s="4">
        <v>251850</v>
      </c>
      <c r="G51" s="12">
        <f t="shared" si="0"/>
        <v>2011</v>
      </c>
      <c r="H51" s="12">
        <f t="shared" si="1"/>
        <v>2</v>
      </c>
      <c r="I51" s="11">
        <f t="shared" si="12"/>
        <v>2</v>
      </c>
      <c r="J51" s="11"/>
      <c r="K51" s="1" t="str">
        <f>+'Warranties &amp; Returns'!A51</f>
        <v>October 2014</v>
      </c>
      <c r="L51" s="1">
        <v>46</v>
      </c>
      <c r="M51" s="1">
        <f t="shared" si="19"/>
        <v>18762</v>
      </c>
      <c r="N51" s="1">
        <f t="shared" si="20"/>
        <v>5511337.5</v>
      </c>
      <c r="O51" s="1">
        <f t="shared" si="21"/>
        <v>9326</v>
      </c>
      <c r="P51" s="1">
        <f t="shared" si="22"/>
        <v>6807980</v>
      </c>
      <c r="Q51" s="1">
        <f t="shared" si="23"/>
        <v>293.75</v>
      </c>
      <c r="R51" s="1">
        <f t="shared" si="24"/>
        <v>730</v>
      </c>
      <c r="S51" s="1">
        <f t="shared" si="25"/>
        <v>1</v>
      </c>
      <c r="T51" s="1">
        <f t="shared" si="26"/>
        <v>0</v>
      </c>
      <c r="U51" s="1">
        <f t="shared" si="27"/>
        <v>46</v>
      </c>
      <c r="V51" s="1">
        <f t="shared" si="28"/>
        <v>0</v>
      </c>
      <c r="W51" s="17" t="str">
        <f t="shared" si="13"/>
        <v>October 2014</v>
      </c>
      <c r="X51" s="18">
        <f>+'Warranties &amp; Returns'!B52/Sales!M51</f>
        <v>0</v>
      </c>
      <c r="Y51" s="18">
        <f>+'Warranties &amp; Returns'!C53/Sales!M51</f>
        <v>4.9834772412322779E-2</v>
      </c>
      <c r="Z51" s="18">
        <f>+'Warranties &amp; Returns'!D52/Sales!O51</f>
        <v>6.7767531631996572E-2</v>
      </c>
      <c r="AA51" s="18">
        <f>+'Warranties &amp; Returns'!E53/Sales!O51</f>
        <v>5.6937593823718637E-2</v>
      </c>
      <c r="AB51" s="18"/>
      <c r="AC51" s="18" t="str">
        <f t="shared" si="14"/>
        <v>October 2014</v>
      </c>
      <c r="AD51" s="22">
        <f t="shared" si="15"/>
        <v>18762</v>
      </c>
      <c r="AE51" s="23">
        <f t="shared" si="16"/>
        <v>5511337.5</v>
      </c>
      <c r="AF51" s="22">
        <f t="shared" si="17"/>
        <v>9326</v>
      </c>
      <c r="AG51" s="23">
        <f t="shared" si="18"/>
        <v>6807980</v>
      </c>
    </row>
    <row r="52" spans="1:33" x14ac:dyDescent="0.25">
      <c r="A52" s="2">
        <v>40590</v>
      </c>
      <c r="B52" s="3">
        <v>532</v>
      </c>
      <c r="C52" s="4">
        <v>250040</v>
      </c>
      <c r="D52" s="3">
        <v>285</v>
      </c>
      <c r="E52" s="4">
        <v>208050</v>
      </c>
      <c r="G52" s="12">
        <f t="shared" si="0"/>
        <v>2011</v>
      </c>
      <c r="H52" s="12">
        <f t="shared" si="1"/>
        <v>2</v>
      </c>
      <c r="I52" s="11">
        <f t="shared" si="12"/>
        <v>2</v>
      </c>
      <c r="J52" s="11"/>
      <c r="K52" s="1" t="str">
        <f>+'Warranties &amp; Returns'!A52</f>
        <v>November 2014</v>
      </c>
      <c r="L52" s="1">
        <v>47</v>
      </c>
      <c r="M52" s="1">
        <f t="shared" si="19"/>
        <v>14346</v>
      </c>
      <c r="N52" s="1">
        <f t="shared" si="20"/>
        <v>6742620</v>
      </c>
      <c r="O52" s="1">
        <f t="shared" si="21"/>
        <v>8817</v>
      </c>
      <c r="P52" s="1">
        <f t="shared" si="22"/>
        <v>6436410</v>
      </c>
      <c r="Q52" s="1">
        <f t="shared" si="23"/>
        <v>470</v>
      </c>
      <c r="R52" s="1">
        <f t="shared" si="24"/>
        <v>730</v>
      </c>
      <c r="S52" s="1">
        <f t="shared" si="25"/>
        <v>0</v>
      </c>
      <c r="T52" s="1">
        <f t="shared" si="26"/>
        <v>0</v>
      </c>
      <c r="U52" s="1">
        <f t="shared" si="27"/>
        <v>0</v>
      </c>
      <c r="V52" s="1">
        <f t="shared" si="28"/>
        <v>0</v>
      </c>
      <c r="W52" s="17" t="str">
        <f t="shared" si="13"/>
        <v>November 2014</v>
      </c>
      <c r="X52" s="18">
        <f>+'Warranties &amp; Returns'!B53/Sales!M52</f>
        <v>8.2252892792416002E-2</v>
      </c>
      <c r="Y52" s="18">
        <f>+'Warranties &amp; Returns'!C54/Sales!M52</f>
        <v>3.7432036804684231E-2</v>
      </c>
      <c r="Z52" s="18">
        <f>+'Warranties &amp; Returns'!D53/Sales!O52</f>
        <v>7.1566292389701719E-2</v>
      </c>
      <c r="AA52" s="18">
        <f>+'Warranties &amp; Returns'!E54/Sales!O52</f>
        <v>4.8996257230350462E-2</v>
      </c>
      <c r="AB52" s="18"/>
      <c r="AC52" s="18" t="str">
        <f t="shared" si="14"/>
        <v>November 2014</v>
      </c>
      <c r="AD52" s="22">
        <f t="shared" si="15"/>
        <v>14346</v>
      </c>
      <c r="AE52" s="23">
        <f t="shared" si="16"/>
        <v>6742620</v>
      </c>
      <c r="AF52" s="22">
        <f t="shared" si="17"/>
        <v>8817</v>
      </c>
      <c r="AG52" s="23">
        <f t="shared" si="18"/>
        <v>6436410</v>
      </c>
    </row>
    <row r="53" spans="1:33" x14ac:dyDescent="0.25">
      <c r="A53" s="2">
        <v>40591</v>
      </c>
      <c r="B53" s="3">
        <v>443</v>
      </c>
      <c r="C53" s="4">
        <v>208210</v>
      </c>
      <c r="D53" s="3">
        <v>310</v>
      </c>
      <c r="E53" s="4">
        <v>226300</v>
      </c>
      <c r="G53" s="12">
        <f t="shared" si="0"/>
        <v>2011</v>
      </c>
      <c r="H53" s="12">
        <f t="shared" si="1"/>
        <v>2</v>
      </c>
      <c r="I53" s="11">
        <f t="shared" si="12"/>
        <v>2</v>
      </c>
      <c r="J53" s="11"/>
      <c r="K53" s="1" t="str">
        <f>+'Warranties &amp; Returns'!A53</f>
        <v>December 2014</v>
      </c>
      <c r="L53" s="1">
        <v>48</v>
      </c>
      <c r="M53" s="1">
        <f t="shared" si="19"/>
        <v>15112</v>
      </c>
      <c r="N53" s="1">
        <f t="shared" si="20"/>
        <v>7102640</v>
      </c>
      <c r="O53" s="1">
        <f t="shared" si="21"/>
        <v>9190</v>
      </c>
      <c r="P53" s="1">
        <f t="shared" si="22"/>
        <v>6708700</v>
      </c>
      <c r="Q53" s="1">
        <f t="shared" si="23"/>
        <v>470</v>
      </c>
      <c r="R53" s="1">
        <f t="shared" si="24"/>
        <v>730</v>
      </c>
      <c r="S53" s="1">
        <f t="shared" si="25"/>
        <v>0</v>
      </c>
      <c r="T53" s="1">
        <f t="shared" si="26"/>
        <v>0</v>
      </c>
      <c r="U53" s="1">
        <f t="shared" si="27"/>
        <v>0</v>
      </c>
      <c r="V53" s="1">
        <f t="shared" si="28"/>
        <v>0</v>
      </c>
      <c r="W53" s="17" t="str">
        <f t="shared" si="13"/>
        <v>December 2014</v>
      </c>
      <c r="X53" s="18">
        <f>+'Warranties &amp; Returns'!B54/Sales!M53</f>
        <v>8.2451032292218104E-2</v>
      </c>
      <c r="Y53" s="18">
        <f>+'Warranties &amp; Returns'!C55/Sales!M53</f>
        <v>4.0629962943356274E-2</v>
      </c>
      <c r="Z53" s="18">
        <f>+'Warranties &amp; Returns'!D54/Sales!O53</f>
        <v>6.409140369967356E-2</v>
      </c>
      <c r="AA53" s="18">
        <f>+'Warranties &amp; Returns'!E55/Sales!O53</f>
        <v>5.484221980413493E-2</v>
      </c>
      <c r="AB53" s="18"/>
      <c r="AC53" s="18" t="str">
        <f t="shared" si="14"/>
        <v>December 2014</v>
      </c>
      <c r="AD53" s="22">
        <f t="shared" si="15"/>
        <v>15112</v>
      </c>
      <c r="AE53" s="23">
        <f t="shared" si="16"/>
        <v>7102640</v>
      </c>
      <c r="AF53" s="22">
        <f t="shared" si="17"/>
        <v>9190</v>
      </c>
      <c r="AG53" s="23">
        <f t="shared" si="18"/>
        <v>6708700</v>
      </c>
    </row>
    <row r="54" spans="1:33" x14ac:dyDescent="0.25">
      <c r="A54" s="2">
        <v>40592</v>
      </c>
      <c r="B54" s="3">
        <v>492</v>
      </c>
      <c r="C54" s="4">
        <v>231240</v>
      </c>
      <c r="D54" s="3">
        <v>291</v>
      </c>
      <c r="E54" s="4">
        <v>212430</v>
      </c>
      <c r="G54" s="12">
        <f t="shared" si="0"/>
        <v>2011</v>
      </c>
      <c r="H54" s="12">
        <f t="shared" si="1"/>
        <v>2</v>
      </c>
      <c r="I54" s="11">
        <f t="shared" si="12"/>
        <v>2</v>
      </c>
      <c r="J54" s="11"/>
      <c r="K54" s="1" t="str">
        <f>+'Warranties &amp; Returns'!A54</f>
        <v>January 2015</v>
      </c>
      <c r="L54" s="1">
        <v>49</v>
      </c>
      <c r="M54" s="1">
        <f t="shared" si="19"/>
        <v>14816</v>
      </c>
      <c r="N54" s="1">
        <f t="shared" si="20"/>
        <v>6963520</v>
      </c>
      <c r="O54" s="1">
        <f t="shared" si="21"/>
        <v>9210</v>
      </c>
      <c r="P54" s="1">
        <f t="shared" si="22"/>
        <v>6723300</v>
      </c>
      <c r="Q54" s="1">
        <f t="shared" si="23"/>
        <v>470</v>
      </c>
      <c r="R54" s="1">
        <f t="shared" si="24"/>
        <v>730</v>
      </c>
      <c r="S54" s="1">
        <f t="shared" si="25"/>
        <v>0</v>
      </c>
      <c r="T54" s="1">
        <f t="shared" si="26"/>
        <v>0</v>
      </c>
      <c r="U54" s="1">
        <f t="shared" si="27"/>
        <v>0</v>
      </c>
      <c r="V54" s="1">
        <f t="shared" si="28"/>
        <v>0</v>
      </c>
      <c r="W54" s="17" t="str">
        <f t="shared" si="13"/>
        <v>January 2015</v>
      </c>
      <c r="X54" s="18">
        <f>+'Warranties &amp; Returns'!B55/Sales!M54</f>
        <v>8.3355831533477323E-2</v>
      </c>
      <c r="Y54" s="18">
        <f>+'Warranties &amp; Returns'!C56/Sales!M54</f>
        <v>3.6312095032397407E-2</v>
      </c>
      <c r="Z54" s="18">
        <f>+'Warranties &amp; Returns'!D55/Sales!O54</f>
        <v>7.394136807817589E-2</v>
      </c>
      <c r="AA54" s="18">
        <f>+'Warranties &amp; Returns'!E56/Sales!O54</f>
        <v>4.7339847991313792E-2</v>
      </c>
      <c r="AB54" s="18"/>
      <c r="AC54" s="18" t="str">
        <f t="shared" si="14"/>
        <v>January 2015</v>
      </c>
      <c r="AD54" s="22">
        <f t="shared" si="15"/>
        <v>14816</v>
      </c>
      <c r="AE54" s="23">
        <f t="shared" si="16"/>
        <v>6963520</v>
      </c>
      <c r="AF54" s="22">
        <f t="shared" si="17"/>
        <v>9210</v>
      </c>
      <c r="AG54" s="23">
        <f t="shared" si="18"/>
        <v>6723300</v>
      </c>
    </row>
    <row r="55" spans="1:33" x14ac:dyDescent="0.25">
      <c r="A55" s="2">
        <v>40593</v>
      </c>
      <c r="B55" s="3">
        <v>439</v>
      </c>
      <c r="C55" s="4">
        <v>206330</v>
      </c>
      <c r="D55" s="3">
        <v>297</v>
      </c>
      <c r="E55" s="4">
        <v>216810</v>
      </c>
      <c r="G55" s="12">
        <f t="shared" si="0"/>
        <v>2011</v>
      </c>
      <c r="H55" s="12">
        <f t="shared" si="1"/>
        <v>2</v>
      </c>
      <c r="I55" s="11">
        <f t="shared" si="12"/>
        <v>2</v>
      </c>
      <c r="J55" s="11"/>
      <c r="K55" s="1" t="str">
        <f>+'Warranties &amp; Returns'!A55</f>
        <v>February 2015</v>
      </c>
      <c r="L55" s="1">
        <v>50</v>
      </c>
      <c r="M55" s="1">
        <f t="shared" si="19"/>
        <v>13240</v>
      </c>
      <c r="N55" s="1">
        <f t="shared" si="20"/>
        <v>6222800</v>
      </c>
      <c r="O55" s="1">
        <f t="shared" si="21"/>
        <v>8316</v>
      </c>
      <c r="P55" s="1">
        <f t="shared" si="22"/>
        <v>6070680</v>
      </c>
      <c r="Q55" s="1">
        <f t="shared" si="23"/>
        <v>470</v>
      </c>
      <c r="R55" s="1">
        <f t="shared" si="24"/>
        <v>730</v>
      </c>
      <c r="S55" s="1">
        <f t="shared" si="25"/>
        <v>0</v>
      </c>
      <c r="T55" s="1">
        <f t="shared" si="26"/>
        <v>0</v>
      </c>
      <c r="U55" s="1">
        <f t="shared" si="27"/>
        <v>0</v>
      </c>
      <c r="V55" s="1">
        <f t="shared" si="28"/>
        <v>0</v>
      </c>
      <c r="W55" s="17" t="str">
        <f t="shared" si="13"/>
        <v>February 2015</v>
      </c>
      <c r="X55" s="18">
        <f>+'Warranties &amp; Returns'!B56/Sales!M55</f>
        <v>7.8776435045317214E-2</v>
      </c>
      <c r="Y55" s="18">
        <f>+'Warranties &amp; Returns'!C57/Sales!M55</f>
        <v>4.2145015105740181E-2</v>
      </c>
      <c r="Z55" s="18">
        <f>+'Warranties &amp; Returns'!D56/Sales!O55</f>
        <v>6.5776815776815781E-2</v>
      </c>
      <c r="AA55" s="18">
        <f>+'Warranties &amp; Returns'!E57/Sales!O55</f>
        <v>4.6416546416546418E-2</v>
      </c>
      <c r="AB55" s="18"/>
      <c r="AC55" s="18" t="str">
        <f t="shared" si="14"/>
        <v>February 2015</v>
      </c>
      <c r="AD55" s="22">
        <f t="shared" si="15"/>
        <v>13240</v>
      </c>
      <c r="AE55" s="23">
        <f t="shared" si="16"/>
        <v>6222800</v>
      </c>
      <c r="AF55" s="22">
        <f t="shared" si="17"/>
        <v>8316</v>
      </c>
      <c r="AG55" s="23">
        <f t="shared" si="18"/>
        <v>6070680</v>
      </c>
    </row>
    <row r="56" spans="1:33" x14ac:dyDescent="0.25">
      <c r="A56" s="2">
        <v>40594</v>
      </c>
      <c r="B56" s="3">
        <v>382</v>
      </c>
      <c r="C56" s="4">
        <v>179540</v>
      </c>
      <c r="D56" s="3">
        <v>294</v>
      </c>
      <c r="E56" s="4">
        <v>214620</v>
      </c>
      <c r="G56" s="12">
        <f t="shared" si="0"/>
        <v>2011</v>
      </c>
      <c r="H56" s="12">
        <f t="shared" si="1"/>
        <v>2</v>
      </c>
      <c r="I56" s="11">
        <f t="shared" si="12"/>
        <v>2</v>
      </c>
      <c r="J56" s="11"/>
      <c r="K56" s="1" t="str">
        <f>+'Warranties &amp; Returns'!A56</f>
        <v>March 2015</v>
      </c>
      <c r="L56" s="1">
        <v>51</v>
      </c>
      <c r="M56" s="1">
        <f t="shared" si="19"/>
        <v>14246</v>
      </c>
      <c r="N56" s="1">
        <f t="shared" si="20"/>
        <v>6695620</v>
      </c>
      <c r="O56" s="1">
        <f t="shared" si="21"/>
        <v>9441</v>
      </c>
      <c r="P56" s="1">
        <f t="shared" si="22"/>
        <v>6891930</v>
      </c>
      <c r="Q56" s="1">
        <f t="shared" si="23"/>
        <v>470</v>
      </c>
      <c r="R56" s="1">
        <f t="shared" si="24"/>
        <v>730</v>
      </c>
      <c r="S56" s="1">
        <f t="shared" si="25"/>
        <v>0</v>
      </c>
      <c r="T56" s="1">
        <f t="shared" si="26"/>
        <v>0</v>
      </c>
      <c r="U56" s="1">
        <f t="shared" si="27"/>
        <v>0</v>
      </c>
      <c r="V56" s="1">
        <f t="shared" si="28"/>
        <v>0</v>
      </c>
      <c r="W56" s="17" t="str">
        <f t="shared" si="13"/>
        <v>March 2015</v>
      </c>
      <c r="X56" s="18">
        <f>+'Warranties &amp; Returns'!B57/Sales!M56</f>
        <v>8.40235855678787E-2</v>
      </c>
      <c r="Y56" s="18">
        <f>+'Warranties &amp; Returns'!C58/Sales!M56</f>
        <v>3.4325424680612102E-2</v>
      </c>
      <c r="Z56" s="18">
        <f>+'Warranties &amp; Returns'!D57/Sales!O56</f>
        <v>6.6942061222328139E-2</v>
      </c>
      <c r="AA56" s="18">
        <f>+'Warranties &amp; Returns'!E58/Sales!O56</f>
        <v>4.6817074462451008E-2</v>
      </c>
      <c r="AB56" s="18"/>
      <c r="AC56" s="18" t="str">
        <f t="shared" si="14"/>
        <v>March 2015</v>
      </c>
      <c r="AD56" s="22">
        <f t="shared" si="15"/>
        <v>14246</v>
      </c>
      <c r="AE56" s="23">
        <f t="shared" si="16"/>
        <v>6695620</v>
      </c>
      <c r="AF56" s="22">
        <f t="shared" si="17"/>
        <v>9441</v>
      </c>
      <c r="AG56" s="23">
        <f t="shared" si="18"/>
        <v>6891930</v>
      </c>
    </row>
    <row r="57" spans="1:33" x14ac:dyDescent="0.25">
      <c r="A57" s="2">
        <v>40595</v>
      </c>
      <c r="B57" s="3">
        <v>487</v>
      </c>
      <c r="C57" s="4">
        <v>228890</v>
      </c>
      <c r="D57" s="3">
        <v>306</v>
      </c>
      <c r="E57" s="4">
        <v>223380</v>
      </c>
      <c r="G57" s="12">
        <f t="shared" si="0"/>
        <v>2011</v>
      </c>
      <c r="H57" s="12">
        <f t="shared" si="1"/>
        <v>2</v>
      </c>
      <c r="I57" s="11">
        <f t="shared" si="12"/>
        <v>2</v>
      </c>
      <c r="J57" s="11"/>
      <c r="K57" s="1" t="str">
        <f>+'Warranties &amp; Returns'!A57</f>
        <v>April 2015</v>
      </c>
      <c r="L57" s="1">
        <v>52</v>
      </c>
      <c r="M57" s="1">
        <f t="shared" si="19"/>
        <v>14073</v>
      </c>
      <c r="N57" s="1">
        <f t="shared" si="20"/>
        <v>6614310</v>
      </c>
      <c r="O57" s="1">
        <f t="shared" si="21"/>
        <v>20053</v>
      </c>
      <c r="P57" s="1">
        <f t="shared" si="22"/>
        <v>14638690</v>
      </c>
      <c r="Q57" s="1">
        <f t="shared" si="23"/>
        <v>470</v>
      </c>
      <c r="R57" s="1">
        <f t="shared" si="24"/>
        <v>730</v>
      </c>
      <c r="S57" s="1">
        <f t="shared" si="25"/>
        <v>0</v>
      </c>
      <c r="T57" s="1">
        <f t="shared" si="26"/>
        <v>0</v>
      </c>
      <c r="U57" s="1">
        <f t="shared" si="27"/>
        <v>0</v>
      </c>
      <c r="V57" s="1">
        <f t="shared" si="28"/>
        <v>0</v>
      </c>
      <c r="W57" s="17" t="str">
        <f t="shared" si="13"/>
        <v>April 2015</v>
      </c>
      <c r="X57" s="18">
        <f>+'Warranties &amp; Returns'!B58/Sales!M57</f>
        <v>8.9675264691252754E-2</v>
      </c>
      <c r="Y57" s="18">
        <f>+'Warranties &amp; Returns'!C59/Sales!M57</f>
        <v>4.5619270944361544E-2</v>
      </c>
      <c r="Z57" s="18">
        <f>+'Warranties &amp; Returns'!D58/Sales!O57</f>
        <v>5.4904503066872785E-2</v>
      </c>
      <c r="AA57" s="18">
        <f>+'Warranties &amp; Returns'!E59/Sales!O57</f>
        <v>5.635067072258515E-2</v>
      </c>
      <c r="AB57" s="18"/>
      <c r="AC57" s="18" t="str">
        <f t="shared" si="14"/>
        <v>April 2015</v>
      </c>
      <c r="AD57" s="22">
        <f t="shared" si="15"/>
        <v>14073</v>
      </c>
      <c r="AE57" s="23">
        <f t="shared" si="16"/>
        <v>6614310</v>
      </c>
      <c r="AF57" s="22">
        <f t="shared" si="17"/>
        <v>20053</v>
      </c>
      <c r="AG57" s="23">
        <f t="shared" si="18"/>
        <v>14638690</v>
      </c>
    </row>
    <row r="58" spans="1:33" x14ac:dyDescent="0.25">
      <c r="A58" s="2">
        <v>40596</v>
      </c>
      <c r="B58" s="3">
        <v>474</v>
      </c>
      <c r="C58" s="4">
        <v>222780</v>
      </c>
      <c r="D58" s="3">
        <v>307</v>
      </c>
      <c r="E58" s="4">
        <v>224110</v>
      </c>
      <c r="G58" s="12">
        <f t="shared" si="0"/>
        <v>2011</v>
      </c>
      <c r="H58" s="12">
        <f t="shared" si="1"/>
        <v>2</v>
      </c>
      <c r="I58" s="11">
        <f t="shared" si="12"/>
        <v>2</v>
      </c>
      <c r="J58" s="11"/>
      <c r="K58" s="1" t="str">
        <f>+'Warranties &amp; Returns'!A58</f>
        <v>May 2015</v>
      </c>
      <c r="L58" s="1">
        <v>53</v>
      </c>
      <c r="M58" s="1">
        <f t="shared" si="19"/>
        <v>14328</v>
      </c>
      <c r="N58" s="1">
        <f t="shared" si="20"/>
        <v>6734160</v>
      </c>
      <c r="O58" s="1">
        <f t="shared" si="21"/>
        <v>20047</v>
      </c>
      <c r="P58" s="1">
        <f t="shared" si="22"/>
        <v>14634310</v>
      </c>
      <c r="Q58" s="1">
        <f t="shared" si="23"/>
        <v>470</v>
      </c>
      <c r="R58" s="1">
        <f t="shared" si="24"/>
        <v>730</v>
      </c>
      <c r="S58" s="1">
        <f t="shared" si="25"/>
        <v>0</v>
      </c>
      <c r="T58" s="1">
        <f t="shared" si="26"/>
        <v>0</v>
      </c>
      <c r="U58" s="1">
        <f t="shared" si="27"/>
        <v>0</v>
      </c>
      <c r="V58" s="1">
        <f t="shared" si="28"/>
        <v>0</v>
      </c>
      <c r="W58" s="17" t="str">
        <f t="shared" si="13"/>
        <v>May 2015</v>
      </c>
      <c r="X58" s="18">
        <f>+'Warranties &amp; Returns'!B59/Sales!M58</f>
        <v>7.8936348408710222E-2</v>
      </c>
      <c r="Y58" s="18">
        <f>+'Warranties &amp; Returns'!C60/Sales!M58</f>
        <v>4.2085427135678394E-2</v>
      </c>
      <c r="Z58" s="18">
        <f>+'Warranties &amp; Returns'!D59/Sales!O58</f>
        <v>6.9586471791290461E-2</v>
      </c>
      <c r="AA58" s="18">
        <f>+'Warranties &amp; Returns'!E60/Sales!O58</f>
        <v>4.953359604928418E-2</v>
      </c>
      <c r="AB58" s="18"/>
      <c r="AC58" s="18" t="str">
        <f t="shared" si="14"/>
        <v>May 2015</v>
      </c>
      <c r="AD58" s="22">
        <f t="shared" si="15"/>
        <v>14328</v>
      </c>
      <c r="AE58" s="23">
        <f t="shared" si="16"/>
        <v>6734160</v>
      </c>
      <c r="AF58" s="22">
        <f t="shared" si="17"/>
        <v>20047</v>
      </c>
      <c r="AG58" s="23">
        <f t="shared" si="18"/>
        <v>14634310</v>
      </c>
    </row>
    <row r="59" spans="1:33" x14ac:dyDescent="0.25">
      <c r="A59" s="2">
        <v>40597</v>
      </c>
      <c r="B59" s="3">
        <v>507</v>
      </c>
      <c r="C59" s="4">
        <v>238290</v>
      </c>
      <c r="D59" s="3">
        <v>279</v>
      </c>
      <c r="E59" s="4">
        <v>203670</v>
      </c>
      <c r="G59" s="12">
        <f t="shared" si="0"/>
        <v>2011</v>
      </c>
      <c r="H59" s="12">
        <f t="shared" si="1"/>
        <v>2</v>
      </c>
      <c r="I59" s="11">
        <f t="shared" si="12"/>
        <v>2</v>
      </c>
      <c r="J59" s="11"/>
      <c r="K59" s="1" t="str">
        <f>+'Warranties &amp; Returns'!A59</f>
        <v>June 2015</v>
      </c>
      <c r="L59" s="1">
        <v>54</v>
      </c>
      <c r="M59" s="1">
        <f t="shared" si="19"/>
        <v>14094</v>
      </c>
      <c r="N59" s="1">
        <f t="shared" si="20"/>
        <v>6624180</v>
      </c>
      <c r="O59" s="1">
        <f t="shared" si="21"/>
        <v>22536</v>
      </c>
      <c r="P59" s="1">
        <f t="shared" si="22"/>
        <v>6580512</v>
      </c>
      <c r="Q59" s="1">
        <f t="shared" si="23"/>
        <v>470</v>
      </c>
      <c r="R59" s="1">
        <f t="shared" si="24"/>
        <v>292</v>
      </c>
      <c r="S59" s="1">
        <f t="shared" si="25"/>
        <v>0</v>
      </c>
      <c r="T59" s="1">
        <f t="shared" si="26"/>
        <v>1</v>
      </c>
      <c r="U59" s="1">
        <f t="shared" si="27"/>
        <v>0</v>
      </c>
      <c r="V59" s="1">
        <f t="shared" si="28"/>
        <v>54</v>
      </c>
      <c r="W59" s="17" t="str">
        <f t="shared" si="13"/>
        <v>June 2015</v>
      </c>
      <c r="X59" s="18">
        <f>+'Warranties &amp; Returns'!B60/Sales!M59</f>
        <v>8.4574996452391082E-2</v>
      </c>
      <c r="Y59" s="18">
        <f>+'Warranties &amp; Returns'!C61/Sales!M59</f>
        <v>4.1861785156804311E-2</v>
      </c>
      <c r="Z59" s="18">
        <f>+'Warranties &amp; Returns'!D60/Sales!O59</f>
        <v>0</v>
      </c>
      <c r="AA59" s="18">
        <f>+'Warranties &amp; Returns'!E61/Sales!O59</f>
        <v>5.1340078097266595E-2</v>
      </c>
      <c r="AB59" s="18"/>
      <c r="AC59" s="18" t="str">
        <f t="shared" si="14"/>
        <v>June 2015</v>
      </c>
      <c r="AD59" s="22">
        <f t="shared" si="15"/>
        <v>14094</v>
      </c>
      <c r="AE59" s="23">
        <f t="shared" si="16"/>
        <v>6624180</v>
      </c>
      <c r="AF59" s="22">
        <f t="shared" si="17"/>
        <v>22536</v>
      </c>
      <c r="AG59" s="23">
        <f t="shared" si="18"/>
        <v>6580512</v>
      </c>
    </row>
    <row r="60" spans="1:33" x14ac:dyDescent="0.25">
      <c r="A60" s="2">
        <v>40598</v>
      </c>
      <c r="B60" s="3">
        <v>491</v>
      </c>
      <c r="C60" s="4">
        <v>230770</v>
      </c>
      <c r="D60" s="3">
        <v>271</v>
      </c>
      <c r="E60" s="4">
        <v>197830</v>
      </c>
      <c r="G60" s="12">
        <f t="shared" si="0"/>
        <v>2011</v>
      </c>
      <c r="H60" s="12">
        <f t="shared" si="1"/>
        <v>2</v>
      </c>
      <c r="I60" s="11">
        <f t="shared" si="12"/>
        <v>2</v>
      </c>
      <c r="J60" s="11"/>
      <c r="K60" s="1" t="str">
        <f>+'Warranties &amp; Returns'!A60</f>
        <v>July 2015</v>
      </c>
      <c r="L60" s="1">
        <v>55</v>
      </c>
      <c r="M60" s="1">
        <f t="shared" si="19"/>
        <v>14574</v>
      </c>
      <c r="N60" s="1">
        <f t="shared" si="20"/>
        <v>6849780</v>
      </c>
      <c r="O60" s="1">
        <f t="shared" si="21"/>
        <v>9322</v>
      </c>
      <c r="P60" s="1">
        <f t="shared" si="22"/>
        <v>6805060</v>
      </c>
      <c r="Q60" s="1">
        <f t="shared" si="23"/>
        <v>470</v>
      </c>
      <c r="R60" s="1">
        <f t="shared" si="24"/>
        <v>730</v>
      </c>
      <c r="S60" s="1">
        <f t="shared" si="25"/>
        <v>0</v>
      </c>
      <c r="T60" s="1">
        <f t="shared" si="26"/>
        <v>0</v>
      </c>
      <c r="U60" s="1">
        <f t="shared" si="27"/>
        <v>0</v>
      </c>
      <c r="V60" s="1">
        <f t="shared" si="28"/>
        <v>0</v>
      </c>
      <c r="W60" s="17" t="str">
        <f t="shared" si="13"/>
        <v>July 2015</v>
      </c>
      <c r="X60" s="18">
        <f>+'Warranties &amp; Returns'!B61/Sales!M60</f>
        <v>8.069164265129683E-2</v>
      </c>
      <c r="Y60" s="18">
        <f>+'Warranties &amp; Returns'!C62/Sales!M60</f>
        <v>3.4101825168107586E-2</v>
      </c>
      <c r="Z60" s="18">
        <f>+'Warranties &amp; Returns'!D61/Sales!O60</f>
        <v>6.8011156404205103E-2</v>
      </c>
      <c r="AA60" s="18">
        <f>+'Warranties &amp; Returns'!E62/Sales!O60</f>
        <v>3.8081956661660588E-2</v>
      </c>
      <c r="AB60" s="18"/>
      <c r="AC60" s="18" t="str">
        <f t="shared" si="14"/>
        <v>July 2015</v>
      </c>
      <c r="AD60" s="22">
        <f t="shared" si="15"/>
        <v>14574</v>
      </c>
      <c r="AE60" s="23">
        <f t="shared" si="16"/>
        <v>6849780</v>
      </c>
      <c r="AF60" s="22">
        <f t="shared" si="17"/>
        <v>9322</v>
      </c>
      <c r="AG60" s="23">
        <f t="shared" si="18"/>
        <v>6805060</v>
      </c>
    </row>
    <row r="61" spans="1:33" x14ac:dyDescent="0.25">
      <c r="A61" s="2">
        <v>40599</v>
      </c>
      <c r="B61" s="3">
        <v>481</v>
      </c>
      <c r="C61" s="4">
        <v>226070</v>
      </c>
      <c r="D61" s="3">
        <v>246</v>
      </c>
      <c r="E61" s="4">
        <v>179580</v>
      </c>
      <c r="G61" s="12">
        <f t="shared" si="0"/>
        <v>2011</v>
      </c>
      <c r="H61" s="12">
        <f t="shared" si="1"/>
        <v>2</v>
      </c>
      <c r="I61" s="11">
        <f t="shared" si="12"/>
        <v>2</v>
      </c>
      <c r="J61" s="11"/>
      <c r="K61" s="1" t="str">
        <f>+'Warranties &amp; Returns'!A61</f>
        <v>August 2015</v>
      </c>
      <c r="L61" s="1">
        <v>56</v>
      </c>
      <c r="M61" s="1">
        <f t="shared" si="19"/>
        <v>21617</v>
      </c>
      <c r="N61" s="1">
        <f t="shared" si="20"/>
        <v>10159990</v>
      </c>
      <c r="O61" s="1">
        <f t="shared" si="21"/>
        <v>9308</v>
      </c>
      <c r="P61" s="1">
        <f t="shared" si="22"/>
        <v>6794840</v>
      </c>
      <c r="Q61" s="1">
        <f t="shared" si="23"/>
        <v>470</v>
      </c>
      <c r="R61" s="1">
        <f t="shared" si="24"/>
        <v>730</v>
      </c>
      <c r="S61" s="1">
        <f t="shared" si="25"/>
        <v>0</v>
      </c>
      <c r="T61" s="1">
        <f t="shared" si="26"/>
        <v>0</v>
      </c>
      <c r="U61" s="1">
        <f t="shared" si="27"/>
        <v>0</v>
      </c>
      <c r="V61" s="1">
        <f t="shared" si="28"/>
        <v>0</v>
      </c>
      <c r="W61" s="17" t="str">
        <f t="shared" si="13"/>
        <v>August 2015</v>
      </c>
      <c r="X61" s="18">
        <f>+'Warranties &amp; Returns'!B62/Sales!M61</f>
        <v>9.1455798676967195E-2</v>
      </c>
      <c r="Y61" s="18">
        <f>+'Warranties &amp; Returns'!C63/Sales!M61</f>
        <v>3.4833695702456403E-2</v>
      </c>
      <c r="Z61" s="18">
        <f>+'Warranties &amp; Returns'!D62/Sales!O61</f>
        <v>6.9402664374731415E-2</v>
      </c>
      <c r="AA61" s="18">
        <f>+'Warranties &amp; Returns'!E63/Sales!O61</f>
        <v>4.8238074774387622E-2</v>
      </c>
      <c r="AB61" s="18"/>
      <c r="AC61" s="18" t="str">
        <f t="shared" si="14"/>
        <v>August 2015</v>
      </c>
      <c r="AD61" s="22">
        <f t="shared" si="15"/>
        <v>21617</v>
      </c>
      <c r="AE61" s="23">
        <f t="shared" si="16"/>
        <v>10159990</v>
      </c>
      <c r="AF61" s="22">
        <f t="shared" si="17"/>
        <v>9308</v>
      </c>
      <c r="AG61" s="23">
        <f t="shared" si="18"/>
        <v>6794840</v>
      </c>
    </row>
    <row r="62" spans="1:33" x14ac:dyDescent="0.25">
      <c r="A62" s="2">
        <v>40600</v>
      </c>
      <c r="B62" s="3">
        <v>455</v>
      </c>
      <c r="C62" s="4">
        <v>213850</v>
      </c>
      <c r="D62" s="3">
        <v>298</v>
      </c>
      <c r="E62" s="4">
        <v>217540</v>
      </c>
      <c r="G62" s="12">
        <f t="shared" si="0"/>
        <v>2011</v>
      </c>
      <c r="H62" s="12">
        <f t="shared" si="1"/>
        <v>2</v>
      </c>
      <c r="I62" s="11">
        <f t="shared" si="12"/>
        <v>2</v>
      </c>
      <c r="J62" s="11"/>
      <c r="K62" s="1" t="str">
        <f>+'Warranties &amp; Returns'!A62</f>
        <v>September 2015</v>
      </c>
      <c r="L62" s="1">
        <v>57</v>
      </c>
      <c r="M62" s="1">
        <f t="shared" si="19"/>
        <v>21538</v>
      </c>
      <c r="N62" s="1">
        <f t="shared" si="20"/>
        <v>10122860</v>
      </c>
      <c r="O62" s="1">
        <f t="shared" si="21"/>
        <v>8947</v>
      </c>
      <c r="P62" s="1">
        <f t="shared" si="22"/>
        <v>6531310</v>
      </c>
      <c r="Q62" s="1">
        <f t="shared" si="23"/>
        <v>470</v>
      </c>
      <c r="R62" s="1">
        <f t="shared" si="24"/>
        <v>730</v>
      </c>
      <c r="S62" s="1">
        <f t="shared" si="25"/>
        <v>0</v>
      </c>
      <c r="T62" s="1">
        <f t="shared" si="26"/>
        <v>0</v>
      </c>
      <c r="U62" s="1">
        <f t="shared" si="27"/>
        <v>0</v>
      </c>
      <c r="V62" s="1">
        <f t="shared" si="28"/>
        <v>0</v>
      </c>
      <c r="W62" s="17" t="str">
        <f t="shared" si="13"/>
        <v>September 2015</v>
      </c>
      <c r="X62" s="18">
        <f>+'Warranties &amp; Returns'!B63/Sales!M62</f>
        <v>8.10195932769988E-2</v>
      </c>
      <c r="Y62" s="18">
        <f>+'Warranties &amp; Returns'!C64/Sales!M62</f>
        <v>3.5286470424366237E-2</v>
      </c>
      <c r="Z62" s="18">
        <f>+'Warranties &amp; Returns'!D63/Sales!O62</f>
        <v>6.3373197719906113E-2</v>
      </c>
      <c r="AA62" s="18">
        <f>+'Warranties &amp; Returns'!E64/Sales!O62</f>
        <v>5.700234715547111E-2</v>
      </c>
      <c r="AB62" s="18"/>
      <c r="AC62" s="18" t="str">
        <f t="shared" si="14"/>
        <v>September 2015</v>
      </c>
      <c r="AD62" s="22">
        <f t="shared" si="15"/>
        <v>21538</v>
      </c>
      <c r="AE62" s="23">
        <f t="shared" si="16"/>
        <v>10122860</v>
      </c>
      <c r="AF62" s="22">
        <f t="shared" si="17"/>
        <v>8947</v>
      </c>
      <c r="AG62" s="23">
        <f t="shared" si="18"/>
        <v>6531310</v>
      </c>
    </row>
    <row r="63" spans="1:33" x14ac:dyDescent="0.25">
      <c r="A63" s="2">
        <v>40601</v>
      </c>
      <c r="B63" s="3">
        <v>480</v>
      </c>
      <c r="C63" s="4">
        <v>225600</v>
      </c>
      <c r="D63" s="3">
        <v>352</v>
      </c>
      <c r="E63" s="4">
        <v>256960</v>
      </c>
      <c r="G63" s="12">
        <f t="shared" si="0"/>
        <v>2011</v>
      </c>
      <c r="H63" s="12">
        <f t="shared" si="1"/>
        <v>2</v>
      </c>
      <c r="I63" s="11">
        <f t="shared" si="12"/>
        <v>2</v>
      </c>
      <c r="J63" s="11"/>
      <c r="K63" s="1" t="str">
        <f>+'Warranties &amp; Returns'!A63</f>
        <v>October 2015</v>
      </c>
      <c r="L63" s="1">
        <v>58</v>
      </c>
      <c r="M63" s="1">
        <f t="shared" si="19"/>
        <v>18022</v>
      </c>
      <c r="N63" s="1">
        <f t="shared" si="20"/>
        <v>5293962.5</v>
      </c>
      <c r="O63" s="1">
        <f t="shared" si="21"/>
        <v>8963</v>
      </c>
      <c r="P63" s="1">
        <f t="shared" si="22"/>
        <v>6542990</v>
      </c>
      <c r="Q63" s="1">
        <f t="shared" si="23"/>
        <v>293.75</v>
      </c>
      <c r="R63" s="1">
        <f t="shared" si="24"/>
        <v>730</v>
      </c>
      <c r="S63" s="1">
        <f t="shared" si="25"/>
        <v>1</v>
      </c>
      <c r="T63" s="1">
        <f t="shared" si="26"/>
        <v>0</v>
      </c>
      <c r="U63" s="1">
        <f t="shared" si="27"/>
        <v>58</v>
      </c>
      <c r="V63" s="1">
        <f t="shared" si="28"/>
        <v>0</v>
      </c>
      <c r="W63" s="17" t="str">
        <f t="shared" si="13"/>
        <v>October 2015</v>
      </c>
      <c r="X63" s="18">
        <f>+'Warranties &amp; Returns'!B64/Sales!M63</f>
        <v>0</v>
      </c>
      <c r="Y63" s="18">
        <f>+'Warranties &amp; Returns'!C65/Sales!M63</f>
        <v>4.2337143491288427E-2</v>
      </c>
      <c r="Z63" s="18">
        <f>+'Warranties &amp; Returns'!D64/Sales!O63</f>
        <v>7.3412919781323221E-2</v>
      </c>
      <c r="AA63" s="18">
        <f>+'Warranties &amp; Returns'!E65/Sales!O63</f>
        <v>4.4404775186879394E-2</v>
      </c>
      <c r="AB63" s="18"/>
      <c r="AC63" s="18" t="str">
        <f t="shared" si="14"/>
        <v>October 2015</v>
      </c>
      <c r="AD63" s="22">
        <f t="shared" si="15"/>
        <v>18022</v>
      </c>
      <c r="AE63" s="23">
        <f t="shared" si="16"/>
        <v>5293962.5</v>
      </c>
      <c r="AF63" s="22">
        <f t="shared" si="17"/>
        <v>8963</v>
      </c>
      <c r="AG63" s="23">
        <f t="shared" si="18"/>
        <v>6542990</v>
      </c>
    </row>
    <row r="64" spans="1:33" x14ac:dyDescent="0.25">
      <c r="A64" s="2">
        <v>40602</v>
      </c>
      <c r="B64" s="3">
        <v>519</v>
      </c>
      <c r="C64" s="4">
        <v>243930</v>
      </c>
      <c r="D64" s="3">
        <v>306</v>
      </c>
      <c r="E64" s="4">
        <v>223380</v>
      </c>
      <c r="G64" s="12">
        <f t="shared" si="0"/>
        <v>2011</v>
      </c>
      <c r="H64" s="12">
        <f t="shared" si="1"/>
        <v>2</v>
      </c>
      <c r="I64" s="11">
        <f t="shared" si="12"/>
        <v>2</v>
      </c>
      <c r="J64" s="11"/>
      <c r="K64" s="1" t="str">
        <f>+'Warranties &amp; Returns'!A64</f>
        <v>November 2015</v>
      </c>
      <c r="L64" s="1">
        <v>59</v>
      </c>
      <c r="M64" s="1">
        <f t="shared" si="19"/>
        <v>13623</v>
      </c>
      <c r="N64" s="1">
        <f t="shared" si="20"/>
        <v>6402810</v>
      </c>
      <c r="O64" s="1">
        <f t="shared" si="21"/>
        <v>8840</v>
      </c>
      <c r="P64" s="1">
        <f t="shared" si="22"/>
        <v>6453200</v>
      </c>
      <c r="Q64" s="1">
        <f t="shared" si="23"/>
        <v>470</v>
      </c>
      <c r="R64" s="1">
        <f t="shared" si="24"/>
        <v>730</v>
      </c>
      <c r="S64" s="1">
        <f t="shared" si="25"/>
        <v>0</v>
      </c>
      <c r="T64" s="1">
        <f t="shared" si="26"/>
        <v>0</v>
      </c>
      <c r="U64" s="1">
        <f t="shared" si="27"/>
        <v>0</v>
      </c>
      <c r="V64" s="1">
        <f t="shared" si="28"/>
        <v>0</v>
      </c>
      <c r="W64" s="17" t="str">
        <f t="shared" si="13"/>
        <v>November 2015</v>
      </c>
      <c r="X64" s="18">
        <f>+'Warranties &amp; Returns'!B65/Sales!M64</f>
        <v>8.9040593114585634E-2</v>
      </c>
      <c r="Y64" s="18">
        <f>+'Warranties &amp; Returns'!C66/Sales!M64</f>
        <v>4.2795272700579902E-2</v>
      </c>
      <c r="Z64" s="18">
        <f>+'Warranties &amp; Returns'!D65/Sales!O64</f>
        <v>6.097285067873303E-2</v>
      </c>
      <c r="AA64" s="18">
        <f>+'Warranties &amp; Returns'!E66/Sales!O64</f>
        <v>4.5248868778280542E-2</v>
      </c>
      <c r="AB64" s="18"/>
      <c r="AC64" s="18" t="str">
        <f t="shared" si="14"/>
        <v>November 2015</v>
      </c>
      <c r="AD64" s="22">
        <f t="shared" si="15"/>
        <v>13623</v>
      </c>
      <c r="AE64" s="23">
        <f t="shared" si="16"/>
        <v>6402810</v>
      </c>
      <c r="AF64" s="22">
        <f t="shared" si="17"/>
        <v>8840</v>
      </c>
      <c r="AG64" s="23">
        <f t="shared" si="18"/>
        <v>6453200</v>
      </c>
    </row>
    <row r="65" spans="1:33" x14ac:dyDescent="0.25">
      <c r="A65" s="2">
        <v>40603</v>
      </c>
      <c r="B65" s="3">
        <v>412</v>
      </c>
      <c r="C65" s="4">
        <v>193640</v>
      </c>
      <c r="D65" s="3">
        <v>368</v>
      </c>
      <c r="E65" s="4">
        <v>268640</v>
      </c>
      <c r="G65" s="12">
        <f t="shared" si="0"/>
        <v>2011</v>
      </c>
      <c r="H65" s="12">
        <f t="shared" si="1"/>
        <v>3</v>
      </c>
      <c r="I65" s="11">
        <f t="shared" si="12"/>
        <v>3</v>
      </c>
      <c r="J65" s="11"/>
      <c r="K65" s="1" t="str">
        <f>+'Warranties &amp; Returns'!A65</f>
        <v>December 2015</v>
      </c>
      <c r="L65" s="1">
        <v>60</v>
      </c>
      <c r="M65" s="1">
        <f t="shared" si="19"/>
        <v>14834</v>
      </c>
      <c r="N65" s="1">
        <f t="shared" si="20"/>
        <v>6971980</v>
      </c>
      <c r="O65" s="1">
        <f t="shared" si="21"/>
        <v>9519</v>
      </c>
      <c r="P65" s="1">
        <f t="shared" si="22"/>
        <v>6948870</v>
      </c>
      <c r="Q65" s="1">
        <f t="shared" si="23"/>
        <v>470</v>
      </c>
      <c r="R65" s="1">
        <f t="shared" si="24"/>
        <v>730</v>
      </c>
      <c r="S65" s="1">
        <f t="shared" si="25"/>
        <v>0</v>
      </c>
      <c r="T65" s="1">
        <f t="shared" si="26"/>
        <v>0</v>
      </c>
      <c r="U65" s="1">
        <f t="shared" si="27"/>
        <v>0</v>
      </c>
      <c r="V65" s="1">
        <f t="shared" si="28"/>
        <v>0</v>
      </c>
      <c r="W65" s="17" t="str">
        <f t="shared" si="13"/>
        <v>December 2015</v>
      </c>
      <c r="X65" s="18">
        <f>+'Warranties &amp; Returns'!B66/Sales!M65</f>
        <v>8.1232304166104899E-2</v>
      </c>
      <c r="Y65" s="18">
        <f>+'Warranties &amp; Returns'!C67/Sales!M65</f>
        <v>4.273965215046515E-2</v>
      </c>
      <c r="Z65" s="18">
        <f>+'Warranties &amp; Returns'!D66/Sales!O65</f>
        <v>5.6413488811849981E-2</v>
      </c>
      <c r="AA65" s="18">
        <f>+'Warranties &amp; Returns'!E67/Sales!O65</f>
        <v>5.1791154533039188E-2</v>
      </c>
      <c r="AB65" s="18"/>
      <c r="AC65" s="18" t="str">
        <f t="shared" si="14"/>
        <v>December 2015</v>
      </c>
      <c r="AD65" s="22">
        <f t="shared" si="15"/>
        <v>14834</v>
      </c>
      <c r="AE65" s="23">
        <f t="shared" si="16"/>
        <v>6971980</v>
      </c>
      <c r="AF65" s="22">
        <f t="shared" si="17"/>
        <v>9519</v>
      </c>
      <c r="AG65" s="23">
        <f t="shared" si="18"/>
        <v>6948870</v>
      </c>
    </row>
    <row r="66" spans="1:33" x14ac:dyDescent="0.25">
      <c r="A66" s="2">
        <v>40604</v>
      </c>
      <c r="B66" s="3">
        <v>452</v>
      </c>
      <c r="C66" s="4">
        <v>212440</v>
      </c>
      <c r="D66" s="3">
        <v>259</v>
      </c>
      <c r="E66" s="4">
        <v>189070</v>
      </c>
      <c r="G66" s="12">
        <f t="shared" si="0"/>
        <v>2011</v>
      </c>
      <c r="H66" s="12">
        <f t="shared" si="1"/>
        <v>3</v>
      </c>
      <c r="I66" s="11">
        <f t="shared" si="12"/>
        <v>3</v>
      </c>
      <c r="J66" s="11"/>
      <c r="K66" s="1" t="str">
        <f>+'Warranties &amp; Returns'!A66</f>
        <v>January 2016</v>
      </c>
      <c r="L66" s="1">
        <v>61</v>
      </c>
      <c r="M66" s="1">
        <f t="shared" si="19"/>
        <v>14410</v>
      </c>
      <c r="N66" s="1">
        <f t="shared" si="20"/>
        <v>6772700</v>
      </c>
      <c r="O66" s="1">
        <f t="shared" si="21"/>
        <v>9395</v>
      </c>
      <c r="P66" s="1">
        <f t="shared" si="22"/>
        <v>6858350</v>
      </c>
      <c r="Q66" s="1">
        <f t="shared" si="23"/>
        <v>470</v>
      </c>
      <c r="R66" s="1">
        <f t="shared" si="24"/>
        <v>730</v>
      </c>
      <c r="S66" s="1">
        <f t="shared" si="25"/>
        <v>0</v>
      </c>
      <c r="T66" s="1">
        <f t="shared" si="26"/>
        <v>0</v>
      </c>
      <c r="U66" s="1">
        <f t="shared" si="27"/>
        <v>0</v>
      </c>
      <c r="V66" s="1">
        <f t="shared" si="28"/>
        <v>0</v>
      </c>
      <c r="W66" s="17" t="str">
        <f t="shared" si="13"/>
        <v>January 2016</v>
      </c>
      <c r="X66" s="18">
        <f>+'Warranties &amp; Returns'!B67/Sales!M66</f>
        <v>8.2442748091603055E-2</v>
      </c>
      <c r="Y66" s="18">
        <f>+'Warranties &amp; Returns'!C68/Sales!M66</f>
        <v>3.0117973629424012E-2</v>
      </c>
      <c r="Z66" s="18">
        <f>+'Warranties &amp; Returns'!D67/Sales!O66</f>
        <v>6.8440659925492281E-2</v>
      </c>
      <c r="AA66" s="18">
        <f>+'Warranties &amp; Returns'!E68/Sales!O66</f>
        <v>4.4065992549228314E-2</v>
      </c>
      <c r="AB66" s="18"/>
      <c r="AC66" s="18" t="str">
        <f t="shared" si="14"/>
        <v>January 2016</v>
      </c>
      <c r="AD66" s="22">
        <f t="shared" si="15"/>
        <v>14410</v>
      </c>
      <c r="AE66" s="23">
        <f t="shared" si="16"/>
        <v>6772700</v>
      </c>
      <c r="AF66" s="22">
        <f t="shared" si="17"/>
        <v>9395</v>
      </c>
      <c r="AG66" s="23">
        <f t="shared" si="18"/>
        <v>6858350</v>
      </c>
    </row>
    <row r="67" spans="1:33" x14ac:dyDescent="0.25">
      <c r="A67" s="2">
        <v>40605</v>
      </c>
      <c r="B67" s="3">
        <v>429</v>
      </c>
      <c r="C67" s="4">
        <v>201630</v>
      </c>
      <c r="D67" s="3">
        <v>265</v>
      </c>
      <c r="E67" s="4">
        <v>193450</v>
      </c>
      <c r="G67" s="12">
        <f t="shared" si="0"/>
        <v>2011</v>
      </c>
      <c r="H67" s="12">
        <f t="shared" si="1"/>
        <v>3</v>
      </c>
      <c r="I67" s="11">
        <f t="shared" si="12"/>
        <v>3</v>
      </c>
      <c r="J67" s="11"/>
      <c r="K67" s="1" t="str">
        <f>+'Warranties &amp; Returns'!A67</f>
        <v>February 2016</v>
      </c>
      <c r="L67" s="1">
        <v>62</v>
      </c>
      <c r="M67" s="1">
        <f t="shared" si="19"/>
        <v>13402</v>
      </c>
      <c r="N67" s="1">
        <f t="shared" si="20"/>
        <v>6298940</v>
      </c>
      <c r="O67" s="1">
        <f t="shared" si="21"/>
        <v>8591</v>
      </c>
      <c r="P67" s="1">
        <f t="shared" si="22"/>
        <v>6271430</v>
      </c>
      <c r="Q67" s="1">
        <f t="shared" si="23"/>
        <v>470</v>
      </c>
      <c r="R67" s="1">
        <f t="shared" si="24"/>
        <v>730</v>
      </c>
      <c r="S67" s="1">
        <f t="shared" si="25"/>
        <v>0</v>
      </c>
      <c r="T67" s="1">
        <f t="shared" si="26"/>
        <v>0</v>
      </c>
      <c r="U67" s="1">
        <f t="shared" si="27"/>
        <v>0</v>
      </c>
      <c r="V67" s="1">
        <f t="shared" si="28"/>
        <v>0</v>
      </c>
      <c r="W67" s="17" t="str">
        <f t="shared" si="13"/>
        <v>February 2016</v>
      </c>
      <c r="X67" s="18">
        <f>+'Warranties &amp; Returns'!B68/Sales!M67</f>
        <v>7.9465751380390984E-2</v>
      </c>
      <c r="Y67" s="18">
        <f>+'Warranties &amp; Returns'!C69/Sales!M67</f>
        <v>4.2605581256528878E-2</v>
      </c>
      <c r="Z67" s="18">
        <f>+'Warranties &amp; Returns'!D68/Sales!O67</f>
        <v>6.0412059131649404E-2</v>
      </c>
      <c r="AA67" s="18">
        <f>+'Warranties &amp; Returns'!E69/Sales!O67</f>
        <v>5.261319986031894E-2</v>
      </c>
      <c r="AB67" s="18"/>
      <c r="AC67" s="18" t="str">
        <f t="shared" si="14"/>
        <v>February 2016</v>
      </c>
      <c r="AD67" s="22">
        <f t="shared" si="15"/>
        <v>13402</v>
      </c>
      <c r="AE67" s="23">
        <f t="shared" si="16"/>
        <v>6298940</v>
      </c>
      <c r="AF67" s="22">
        <f t="shared" si="17"/>
        <v>8591</v>
      </c>
      <c r="AG67" s="23">
        <f t="shared" si="18"/>
        <v>6271430</v>
      </c>
    </row>
    <row r="68" spans="1:33" x14ac:dyDescent="0.25">
      <c r="A68" s="2">
        <v>40606</v>
      </c>
      <c r="B68" s="3">
        <v>388</v>
      </c>
      <c r="C68" s="4">
        <v>182360</v>
      </c>
      <c r="D68" s="3">
        <v>327</v>
      </c>
      <c r="E68" s="4">
        <v>238710</v>
      </c>
      <c r="G68" s="12">
        <f t="shared" si="0"/>
        <v>2011</v>
      </c>
      <c r="H68" s="12">
        <f t="shared" si="1"/>
        <v>3</v>
      </c>
      <c r="I68" s="11">
        <f t="shared" si="12"/>
        <v>3</v>
      </c>
      <c r="J68" s="11"/>
      <c r="K68" s="1" t="str">
        <f>+'Warranties &amp; Returns'!A68</f>
        <v>March 2016</v>
      </c>
      <c r="L68" s="1">
        <v>63</v>
      </c>
      <c r="M68" s="1">
        <f t="shared" si="19"/>
        <v>14577</v>
      </c>
      <c r="N68" s="1">
        <f t="shared" si="20"/>
        <v>6851190</v>
      </c>
      <c r="O68" s="1">
        <f t="shared" si="21"/>
        <v>9290</v>
      </c>
      <c r="P68" s="1">
        <f t="shared" si="22"/>
        <v>6781700</v>
      </c>
      <c r="Q68" s="1">
        <f t="shared" si="23"/>
        <v>470</v>
      </c>
      <c r="R68" s="1">
        <f t="shared" si="24"/>
        <v>730</v>
      </c>
      <c r="S68" s="1">
        <f t="shared" si="25"/>
        <v>0</v>
      </c>
      <c r="T68" s="1">
        <f t="shared" si="26"/>
        <v>0</v>
      </c>
      <c r="U68" s="1">
        <f t="shared" si="27"/>
        <v>0</v>
      </c>
      <c r="V68" s="1">
        <f t="shared" si="28"/>
        <v>0</v>
      </c>
      <c r="W68" s="17" t="str">
        <f t="shared" si="13"/>
        <v>March 2016</v>
      </c>
      <c r="X68" s="18">
        <f>+'Warranties &amp; Returns'!B69/Sales!M68</f>
        <v>8.1498250668861905E-2</v>
      </c>
      <c r="Y68" s="18">
        <f>+'Warranties &amp; Returns'!C70/Sales!M68</f>
        <v>4.109213143993963E-2</v>
      </c>
      <c r="Z68" s="18">
        <f>+'Warranties &amp; Returns'!D69/Sales!O68</f>
        <v>6.3078579117330461E-2</v>
      </c>
      <c r="AA68" s="18">
        <f>+'Warranties &amp; Returns'!E70/Sales!O68</f>
        <v>5.0161463939720131E-2</v>
      </c>
      <c r="AB68" s="18"/>
      <c r="AC68" s="18" t="str">
        <f t="shared" si="14"/>
        <v>March 2016</v>
      </c>
      <c r="AD68" s="22">
        <f t="shared" si="15"/>
        <v>14577</v>
      </c>
      <c r="AE68" s="23">
        <f t="shared" si="16"/>
        <v>6851190</v>
      </c>
      <c r="AF68" s="22">
        <f t="shared" si="17"/>
        <v>9290</v>
      </c>
      <c r="AG68" s="23">
        <f t="shared" si="18"/>
        <v>6781700</v>
      </c>
    </row>
    <row r="69" spans="1:33" x14ac:dyDescent="0.25">
      <c r="A69" s="2">
        <v>40607</v>
      </c>
      <c r="B69" s="3">
        <v>475</v>
      </c>
      <c r="C69" s="4">
        <v>223250</v>
      </c>
      <c r="D69" s="3">
        <v>302</v>
      </c>
      <c r="E69" s="4">
        <v>220460</v>
      </c>
      <c r="G69" s="12">
        <f t="shared" si="0"/>
        <v>2011</v>
      </c>
      <c r="H69" s="12">
        <f t="shared" si="1"/>
        <v>3</v>
      </c>
      <c r="I69" s="11">
        <f t="shared" si="12"/>
        <v>3</v>
      </c>
      <c r="J69" s="11"/>
      <c r="K69" s="1" t="str">
        <f>+'Warranties &amp; Returns'!A69</f>
        <v>April 2016</v>
      </c>
      <c r="L69" s="1">
        <v>64</v>
      </c>
      <c r="M69" s="1">
        <f t="shared" si="19"/>
        <v>13836</v>
      </c>
      <c r="N69" s="1">
        <f t="shared" si="20"/>
        <v>6502920</v>
      </c>
      <c r="O69" s="1">
        <f t="shared" si="21"/>
        <v>19567</v>
      </c>
      <c r="P69" s="1">
        <f t="shared" si="22"/>
        <v>14283910</v>
      </c>
      <c r="Q69" s="1">
        <f t="shared" si="23"/>
        <v>470</v>
      </c>
      <c r="R69" s="1">
        <f t="shared" si="24"/>
        <v>730</v>
      </c>
      <c r="S69" s="1">
        <f t="shared" si="25"/>
        <v>0</v>
      </c>
      <c r="T69" s="1">
        <f t="shared" si="26"/>
        <v>0</v>
      </c>
      <c r="U69" s="1">
        <f t="shared" si="27"/>
        <v>0</v>
      </c>
      <c r="V69" s="1">
        <f t="shared" si="28"/>
        <v>0</v>
      </c>
      <c r="W69" s="17" t="str">
        <f t="shared" si="13"/>
        <v>April 2016</v>
      </c>
      <c r="X69" s="18">
        <f>+'Warranties &amp; Returns'!B70/Sales!M69</f>
        <v>7.4443480774790405E-2</v>
      </c>
      <c r="Y69" s="18">
        <f>+'Warranties &amp; Returns'!C71/Sales!M69</f>
        <v>4.958080370049147E-2</v>
      </c>
      <c r="Z69" s="18">
        <f>+'Warranties &amp; Returns'!D70/Sales!O69</f>
        <v>6.20943425154597E-2</v>
      </c>
      <c r="AA69" s="18">
        <f>+'Warranties &amp; Returns'!E71/Sales!O69</f>
        <v>5.4428374303674552E-2</v>
      </c>
      <c r="AB69" s="18"/>
      <c r="AC69" s="18" t="str">
        <f t="shared" si="14"/>
        <v>April 2016</v>
      </c>
      <c r="AD69" s="22">
        <f t="shared" si="15"/>
        <v>13836</v>
      </c>
      <c r="AE69" s="23">
        <f t="shared" si="16"/>
        <v>6502920</v>
      </c>
      <c r="AF69" s="22">
        <f t="shared" si="17"/>
        <v>19567</v>
      </c>
      <c r="AG69" s="23">
        <f t="shared" si="18"/>
        <v>14283910</v>
      </c>
    </row>
    <row r="70" spans="1:33" x14ac:dyDescent="0.25">
      <c r="A70" s="2">
        <v>40608</v>
      </c>
      <c r="B70" s="3">
        <v>504</v>
      </c>
      <c r="C70" s="4">
        <v>236880</v>
      </c>
      <c r="D70" s="3">
        <v>309</v>
      </c>
      <c r="E70" s="4">
        <v>225570</v>
      </c>
      <c r="G70" s="12">
        <f t="shared" ref="G70:G133" si="29">+YEAR(A70)</f>
        <v>2011</v>
      </c>
      <c r="H70" s="12">
        <f t="shared" ref="H70:H133" si="30">+MONTH(A70)</f>
        <v>3</v>
      </c>
      <c r="I70" s="11">
        <f t="shared" si="12"/>
        <v>3</v>
      </c>
      <c r="J70" s="11"/>
      <c r="K70" s="1" t="str">
        <f>+'Warranties &amp; Returns'!A70</f>
        <v>May 2016</v>
      </c>
      <c r="L70" s="1">
        <v>65</v>
      </c>
      <c r="M70" s="1">
        <f t="shared" ref="M70:M101" si="31">+SUMIF($I$6:$I$3658,$L70,B$6:B$3658)</f>
        <v>14534</v>
      </c>
      <c r="N70" s="1">
        <f t="shared" ref="N70:N101" si="32">+SUMIF($I$6:$I$3658,$L70,C$6:C$3658)</f>
        <v>6830980</v>
      </c>
      <c r="O70" s="1">
        <f t="shared" ref="O70:O101" si="33">+SUMIF($I$6:$I$3658,$L70,D$6:D$3658)</f>
        <v>21374</v>
      </c>
      <c r="P70" s="1">
        <f t="shared" ref="P70:P101" si="34">+SUMIF($I$6:$I$3658,$L70,E$6:E$3658)</f>
        <v>15603020</v>
      </c>
      <c r="Q70" s="1">
        <f t="shared" ref="Q70:Q101" si="35">+N70/M70</f>
        <v>470</v>
      </c>
      <c r="R70" s="1">
        <f t="shared" ref="R70:R101" si="36">+P70/O70</f>
        <v>730</v>
      </c>
      <c r="S70" s="1">
        <f t="shared" ref="S70:S101" si="37">+IF(Q70&lt;AVERAGE(Q$6:Q$125),1,0)</f>
        <v>0</v>
      </c>
      <c r="T70" s="1">
        <f t="shared" ref="T70:T101" si="38">+IF(R70&lt;AVERAGE(R$6:R$125),1,0)</f>
        <v>0</v>
      </c>
      <c r="U70" s="1">
        <f t="shared" ref="U70:U101" si="39">+S70*L70</f>
        <v>0</v>
      </c>
      <c r="V70" s="1">
        <f t="shared" ref="V70:V101" si="40">+T70*L70</f>
        <v>0</v>
      </c>
      <c r="W70" s="17" t="str">
        <f t="shared" si="13"/>
        <v>May 2016</v>
      </c>
      <c r="X70" s="18">
        <f>+'Warranties &amp; Returns'!B71/Sales!M70</f>
        <v>8.5730012384752988E-2</v>
      </c>
      <c r="Y70" s="18">
        <f>+'Warranties &amp; Returns'!C72/Sales!M70</f>
        <v>4.0869684876840513E-2</v>
      </c>
      <c r="Z70" s="18">
        <f>+'Warranties &amp; Returns'!D71/Sales!O70</f>
        <v>6.802657434265931E-2</v>
      </c>
      <c r="AA70" s="18">
        <f>+'Warranties &amp; Returns'!E72/Sales!O70</f>
        <v>4.4540095443061666E-2</v>
      </c>
      <c r="AB70" s="18"/>
      <c r="AC70" s="18" t="str">
        <f t="shared" si="14"/>
        <v>May 2016</v>
      </c>
      <c r="AD70" s="22">
        <f t="shared" si="15"/>
        <v>14534</v>
      </c>
      <c r="AE70" s="23">
        <f t="shared" si="16"/>
        <v>6830980</v>
      </c>
      <c r="AF70" s="22">
        <f t="shared" si="17"/>
        <v>21374</v>
      </c>
      <c r="AG70" s="23">
        <f t="shared" si="18"/>
        <v>15603020</v>
      </c>
    </row>
    <row r="71" spans="1:33" x14ac:dyDescent="0.25">
      <c r="A71" s="2">
        <v>40609</v>
      </c>
      <c r="B71" s="3">
        <v>380</v>
      </c>
      <c r="C71" s="4">
        <v>178600</v>
      </c>
      <c r="D71" s="3">
        <v>306</v>
      </c>
      <c r="E71" s="4">
        <v>223380</v>
      </c>
      <c r="G71" s="12">
        <f t="shared" si="29"/>
        <v>2011</v>
      </c>
      <c r="H71" s="12">
        <f t="shared" si="30"/>
        <v>3</v>
      </c>
      <c r="I71" s="11">
        <f t="shared" ref="I71:I134" si="41">+H71+(G71-2011)*12</f>
        <v>3</v>
      </c>
      <c r="J71" s="11"/>
      <c r="K71" s="1" t="str">
        <f>+'Warranties &amp; Returns'!A71</f>
        <v>June 2016</v>
      </c>
      <c r="L71" s="1">
        <v>66</v>
      </c>
      <c r="M71" s="1">
        <f t="shared" si="31"/>
        <v>13971</v>
      </c>
      <c r="N71" s="1">
        <f t="shared" si="32"/>
        <v>6566370</v>
      </c>
      <c r="O71" s="1">
        <f t="shared" si="33"/>
        <v>22192</v>
      </c>
      <c r="P71" s="1">
        <f t="shared" si="34"/>
        <v>6480064</v>
      </c>
      <c r="Q71" s="1">
        <f t="shared" si="35"/>
        <v>470</v>
      </c>
      <c r="R71" s="1">
        <f t="shared" si="36"/>
        <v>292</v>
      </c>
      <c r="S71" s="1">
        <f t="shared" si="37"/>
        <v>0</v>
      </c>
      <c r="T71" s="1">
        <f t="shared" si="38"/>
        <v>1</v>
      </c>
      <c r="U71" s="1">
        <f t="shared" si="39"/>
        <v>0</v>
      </c>
      <c r="V71" s="1">
        <f t="shared" si="40"/>
        <v>66</v>
      </c>
      <c r="W71" s="17" t="str">
        <f t="shared" ref="W71:W125" si="42">+AC71</f>
        <v>June 2016</v>
      </c>
      <c r="X71" s="18">
        <f>+'Warranties &amp; Returns'!B72/Sales!M71</f>
        <v>9.333619640684275E-2</v>
      </c>
      <c r="Y71" s="18">
        <f>+'Warranties &amp; Returns'!C73/Sales!M71</f>
        <v>4.2588218452508771E-2</v>
      </c>
      <c r="Z71" s="18">
        <f>+'Warranties &amp; Returns'!D72/Sales!O71</f>
        <v>0</v>
      </c>
      <c r="AA71" s="18">
        <f>+'Warranties &amp; Returns'!E73/Sales!O71</f>
        <v>5.0648882480173033E-2</v>
      </c>
      <c r="AB71" s="18"/>
      <c r="AC71" s="18" t="str">
        <f t="shared" ref="AC71:AC125" si="43">+K71</f>
        <v>June 2016</v>
      </c>
      <c r="AD71" s="22">
        <f t="shared" ref="AD71:AD125" si="44">+M71</f>
        <v>13971</v>
      </c>
      <c r="AE71" s="23">
        <f t="shared" ref="AE71:AE125" si="45">+N71</f>
        <v>6566370</v>
      </c>
      <c r="AF71" s="22">
        <f t="shared" ref="AF71:AF125" si="46">+O71</f>
        <v>22192</v>
      </c>
      <c r="AG71" s="23">
        <f t="shared" ref="AG71:AG125" si="47">+P71</f>
        <v>6480064</v>
      </c>
    </row>
    <row r="72" spans="1:33" x14ac:dyDescent="0.25">
      <c r="A72" s="2">
        <v>40610</v>
      </c>
      <c r="B72" s="3">
        <v>406</v>
      </c>
      <c r="C72" s="4">
        <v>190820</v>
      </c>
      <c r="D72" s="3">
        <v>275</v>
      </c>
      <c r="E72" s="4">
        <v>200750</v>
      </c>
      <c r="G72" s="12">
        <f t="shared" si="29"/>
        <v>2011</v>
      </c>
      <c r="H72" s="12">
        <f t="shared" si="30"/>
        <v>3</v>
      </c>
      <c r="I72" s="11">
        <f t="shared" si="41"/>
        <v>3</v>
      </c>
      <c r="J72" s="11"/>
      <c r="K72" s="1" t="str">
        <f>+'Warranties &amp; Returns'!A72</f>
        <v>July 2016</v>
      </c>
      <c r="L72" s="1">
        <v>67</v>
      </c>
      <c r="M72" s="1">
        <f t="shared" si="31"/>
        <v>14752</v>
      </c>
      <c r="N72" s="1">
        <f t="shared" si="32"/>
        <v>6933440</v>
      </c>
      <c r="O72" s="1">
        <f t="shared" si="33"/>
        <v>9361</v>
      </c>
      <c r="P72" s="1">
        <f t="shared" si="34"/>
        <v>6833530</v>
      </c>
      <c r="Q72" s="1">
        <f t="shared" si="35"/>
        <v>470</v>
      </c>
      <c r="R72" s="1">
        <f t="shared" si="36"/>
        <v>730</v>
      </c>
      <c r="S72" s="1">
        <f t="shared" si="37"/>
        <v>0</v>
      </c>
      <c r="T72" s="1">
        <f t="shared" si="38"/>
        <v>0</v>
      </c>
      <c r="U72" s="1">
        <f t="shared" si="39"/>
        <v>0</v>
      </c>
      <c r="V72" s="1">
        <f t="shared" si="40"/>
        <v>0</v>
      </c>
      <c r="W72" s="17" t="str">
        <f t="shared" si="42"/>
        <v>July 2016</v>
      </c>
      <c r="X72" s="18">
        <f>+'Warranties &amp; Returns'!B73/Sales!M72</f>
        <v>7.5311822125813443E-2</v>
      </c>
      <c r="Y72" s="18">
        <f>+'Warranties &amp; Returns'!C74/Sales!M72</f>
        <v>3.884219088937093E-2</v>
      </c>
      <c r="Z72" s="18">
        <f>+'Warranties &amp; Returns'!D73/Sales!O72</f>
        <v>6.2813801944236733E-2</v>
      </c>
      <c r="AA72" s="18">
        <f>+'Warranties &amp; Returns'!E74/Sales!O72</f>
        <v>5.2558487341096034E-2</v>
      </c>
      <c r="AB72" s="18"/>
      <c r="AC72" s="18" t="str">
        <f t="shared" si="43"/>
        <v>July 2016</v>
      </c>
      <c r="AD72" s="22">
        <f t="shared" si="44"/>
        <v>14752</v>
      </c>
      <c r="AE72" s="23">
        <f t="shared" si="45"/>
        <v>6933440</v>
      </c>
      <c r="AF72" s="22">
        <f t="shared" si="46"/>
        <v>9361</v>
      </c>
      <c r="AG72" s="23">
        <f t="shared" si="47"/>
        <v>6833530</v>
      </c>
    </row>
    <row r="73" spans="1:33" x14ac:dyDescent="0.25">
      <c r="A73" s="2">
        <v>40611</v>
      </c>
      <c r="B73" s="3">
        <v>519</v>
      </c>
      <c r="C73" s="4">
        <v>243930</v>
      </c>
      <c r="D73" s="3">
        <v>358</v>
      </c>
      <c r="E73" s="4">
        <v>261340</v>
      </c>
      <c r="G73" s="12">
        <f t="shared" si="29"/>
        <v>2011</v>
      </c>
      <c r="H73" s="12">
        <f t="shared" si="30"/>
        <v>3</v>
      </c>
      <c r="I73" s="11">
        <f t="shared" si="41"/>
        <v>3</v>
      </c>
      <c r="J73" s="11"/>
      <c r="K73" s="1" t="str">
        <f>+'Warranties &amp; Returns'!A73</f>
        <v>August 2016</v>
      </c>
      <c r="L73" s="1">
        <v>68</v>
      </c>
      <c r="M73" s="1">
        <f t="shared" si="31"/>
        <v>22092</v>
      </c>
      <c r="N73" s="1">
        <f t="shared" si="32"/>
        <v>10383240</v>
      </c>
      <c r="O73" s="1">
        <f t="shared" si="33"/>
        <v>9280</v>
      </c>
      <c r="P73" s="1">
        <f t="shared" si="34"/>
        <v>6774400</v>
      </c>
      <c r="Q73" s="1">
        <f t="shared" si="35"/>
        <v>470</v>
      </c>
      <c r="R73" s="1">
        <f t="shared" si="36"/>
        <v>730</v>
      </c>
      <c r="S73" s="1">
        <f t="shared" si="37"/>
        <v>0</v>
      </c>
      <c r="T73" s="1">
        <f t="shared" si="38"/>
        <v>0</v>
      </c>
      <c r="U73" s="1">
        <f t="shared" si="39"/>
        <v>0</v>
      </c>
      <c r="V73" s="1">
        <f t="shared" si="40"/>
        <v>0</v>
      </c>
      <c r="W73" s="17" t="str">
        <f t="shared" si="42"/>
        <v>August 2016</v>
      </c>
      <c r="X73" s="18">
        <f>+'Warranties &amp; Returns'!B74/Sales!M73</f>
        <v>8.0617418069889549E-2</v>
      </c>
      <c r="Y73" s="18">
        <f>+'Warranties &amp; Returns'!C75/Sales!M73</f>
        <v>3.6121673003802278E-2</v>
      </c>
      <c r="Z73" s="18">
        <f>+'Warranties &amp; Returns'!D74/Sales!O73</f>
        <v>6.7672413793103445E-2</v>
      </c>
      <c r="AA73" s="18">
        <f>+'Warranties &amp; Returns'!E75/Sales!O73</f>
        <v>5.7219827586206896E-2</v>
      </c>
      <c r="AB73" s="18"/>
      <c r="AC73" s="18" t="str">
        <f t="shared" si="43"/>
        <v>August 2016</v>
      </c>
      <c r="AD73" s="22">
        <f t="shared" si="44"/>
        <v>22092</v>
      </c>
      <c r="AE73" s="23">
        <f t="shared" si="45"/>
        <v>10383240</v>
      </c>
      <c r="AF73" s="22">
        <f t="shared" si="46"/>
        <v>9280</v>
      </c>
      <c r="AG73" s="23">
        <f t="shared" si="47"/>
        <v>6774400</v>
      </c>
    </row>
    <row r="74" spans="1:33" x14ac:dyDescent="0.25">
      <c r="A74" s="2">
        <v>40612</v>
      </c>
      <c r="B74" s="3">
        <v>518</v>
      </c>
      <c r="C74" s="4">
        <v>243460</v>
      </c>
      <c r="D74" s="3">
        <v>299</v>
      </c>
      <c r="E74" s="4">
        <v>218270</v>
      </c>
      <c r="G74" s="12">
        <f t="shared" si="29"/>
        <v>2011</v>
      </c>
      <c r="H74" s="12">
        <f t="shared" si="30"/>
        <v>3</v>
      </c>
      <c r="I74" s="11">
        <f t="shared" si="41"/>
        <v>3</v>
      </c>
      <c r="J74" s="11"/>
      <c r="K74" s="1" t="str">
        <f>+'Warranties &amp; Returns'!A74</f>
        <v>September 2016</v>
      </c>
      <c r="L74" s="1">
        <v>69</v>
      </c>
      <c r="M74" s="1">
        <f t="shared" si="31"/>
        <v>20887</v>
      </c>
      <c r="N74" s="1">
        <f t="shared" si="32"/>
        <v>9816890</v>
      </c>
      <c r="O74" s="1">
        <f t="shared" si="33"/>
        <v>9033</v>
      </c>
      <c r="P74" s="1">
        <f t="shared" si="34"/>
        <v>6594090</v>
      </c>
      <c r="Q74" s="1">
        <f t="shared" si="35"/>
        <v>470</v>
      </c>
      <c r="R74" s="1">
        <f t="shared" si="36"/>
        <v>730</v>
      </c>
      <c r="S74" s="1">
        <f t="shared" si="37"/>
        <v>0</v>
      </c>
      <c r="T74" s="1">
        <f t="shared" si="38"/>
        <v>0</v>
      </c>
      <c r="U74" s="1">
        <f t="shared" si="39"/>
        <v>0</v>
      </c>
      <c r="V74" s="1">
        <f t="shared" si="40"/>
        <v>0</v>
      </c>
      <c r="W74" s="17" t="str">
        <f t="shared" si="42"/>
        <v>September 2016</v>
      </c>
      <c r="X74" s="18">
        <f>+'Warranties &amp; Returns'!B75/Sales!M74</f>
        <v>8.5172595394264375E-2</v>
      </c>
      <c r="Y74" s="18">
        <f>+'Warranties &amp; Returns'!C76/Sales!M74</f>
        <v>4.7158519653372914E-2</v>
      </c>
      <c r="Z74" s="18">
        <f>+'Warranties &amp; Returns'!D75/Sales!O74</f>
        <v>6.8083693125207567E-2</v>
      </c>
      <c r="AA74" s="18">
        <f>+'Warranties &amp; Returns'!E76/Sales!O74</f>
        <v>4.42820768294033E-2</v>
      </c>
      <c r="AB74" s="18"/>
      <c r="AC74" s="18" t="str">
        <f t="shared" si="43"/>
        <v>September 2016</v>
      </c>
      <c r="AD74" s="22">
        <f t="shared" si="44"/>
        <v>20887</v>
      </c>
      <c r="AE74" s="23">
        <f t="shared" si="45"/>
        <v>9816890</v>
      </c>
      <c r="AF74" s="22">
        <f t="shared" si="46"/>
        <v>9033</v>
      </c>
      <c r="AG74" s="23">
        <f t="shared" si="47"/>
        <v>6594090</v>
      </c>
    </row>
    <row r="75" spans="1:33" x14ac:dyDescent="0.25">
      <c r="A75" s="2">
        <v>40613</v>
      </c>
      <c r="B75" s="3">
        <v>443</v>
      </c>
      <c r="C75" s="4">
        <v>208210</v>
      </c>
      <c r="D75" s="3">
        <v>296</v>
      </c>
      <c r="E75" s="4">
        <v>216080</v>
      </c>
      <c r="G75" s="12">
        <f t="shared" si="29"/>
        <v>2011</v>
      </c>
      <c r="H75" s="12">
        <f t="shared" si="30"/>
        <v>3</v>
      </c>
      <c r="I75" s="11">
        <f t="shared" si="41"/>
        <v>3</v>
      </c>
      <c r="J75" s="11"/>
      <c r="K75" s="1" t="str">
        <f>+'Warranties &amp; Returns'!A75</f>
        <v>October 2016</v>
      </c>
      <c r="L75" s="1">
        <v>70</v>
      </c>
      <c r="M75" s="1">
        <f t="shared" si="31"/>
        <v>18523</v>
      </c>
      <c r="N75" s="1">
        <f t="shared" si="32"/>
        <v>5441131.25</v>
      </c>
      <c r="O75" s="1">
        <f t="shared" si="33"/>
        <v>9184</v>
      </c>
      <c r="P75" s="1">
        <f t="shared" si="34"/>
        <v>6704320</v>
      </c>
      <c r="Q75" s="1">
        <f t="shared" si="35"/>
        <v>293.75</v>
      </c>
      <c r="R75" s="1">
        <f t="shared" si="36"/>
        <v>730</v>
      </c>
      <c r="S75" s="1">
        <f t="shared" si="37"/>
        <v>1</v>
      </c>
      <c r="T75" s="1">
        <f t="shared" si="38"/>
        <v>0</v>
      </c>
      <c r="U75" s="1">
        <f t="shared" si="39"/>
        <v>70</v>
      </c>
      <c r="V75" s="1">
        <f t="shared" si="40"/>
        <v>0</v>
      </c>
      <c r="W75" s="17" t="str">
        <f t="shared" si="42"/>
        <v>October 2016</v>
      </c>
      <c r="X75" s="18">
        <f>+'Warranties &amp; Returns'!B76/Sales!M75</f>
        <v>0</v>
      </c>
      <c r="Y75" s="18">
        <f>+'Warranties &amp; Returns'!C77/Sales!M75</f>
        <v>3.5793338012201047E-2</v>
      </c>
      <c r="Z75" s="18">
        <f>+'Warranties &amp; Returns'!D76/Sales!O75</f>
        <v>6.1302264808362372E-2</v>
      </c>
      <c r="AA75" s="18">
        <f>+'Warranties &amp; Returns'!E77/Sales!O75</f>
        <v>4.6820557491289196E-2</v>
      </c>
      <c r="AB75" s="18"/>
      <c r="AC75" s="18" t="str">
        <f t="shared" si="43"/>
        <v>October 2016</v>
      </c>
      <c r="AD75" s="22">
        <f t="shared" si="44"/>
        <v>18523</v>
      </c>
      <c r="AE75" s="23">
        <f t="shared" si="45"/>
        <v>5441131.25</v>
      </c>
      <c r="AF75" s="22">
        <f t="shared" si="46"/>
        <v>9184</v>
      </c>
      <c r="AG75" s="23">
        <f t="shared" si="47"/>
        <v>6704320</v>
      </c>
    </row>
    <row r="76" spans="1:33" x14ac:dyDescent="0.25">
      <c r="A76" s="2">
        <v>40614</v>
      </c>
      <c r="B76" s="3">
        <v>539</v>
      </c>
      <c r="C76" s="4">
        <v>253330</v>
      </c>
      <c r="D76" s="3">
        <v>302</v>
      </c>
      <c r="E76" s="4">
        <v>220460</v>
      </c>
      <c r="G76" s="12">
        <f t="shared" si="29"/>
        <v>2011</v>
      </c>
      <c r="H76" s="12">
        <f t="shared" si="30"/>
        <v>3</v>
      </c>
      <c r="I76" s="11">
        <f t="shared" si="41"/>
        <v>3</v>
      </c>
      <c r="J76" s="11"/>
      <c r="K76" s="1" t="str">
        <f>+'Warranties &amp; Returns'!A76</f>
        <v>November 2016</v>
      </c>
      <c r="L76" s="1">
        <v>71</v>
      </c>
      <c r="M76" s="1">
        <f t="shared" si="31"/>
        <v>13972</v>
      </c>
      <c r="N76" s="1">
        <f t="shared" si="32"/>
        <v>6566840</v>
      </c>
      <c r="O76" s="1">
        <f t="shared" si="33"/>
        <v>8863</v>
      </c>
      <c r="P76" s="1">
        <f t="shared" si="34"/>
        <v>6469990</v>
      </c>
      <c r="Q76" s="1">
        <f t="shared" si="35"/>
        <v>470</v>
      </c>
      <c r="R76" s="1">
        <f t="shared" si="36"/>
        <v>730</v>
      </c>
      <c r="S76" s="1">
        <f t="shared" si="37"/>
        <v>0</v>
      </c>
      <c r="T76" s="1">
        <f t="shared" si="38"/>
        <v>0</v>
      </c>
      <c r="U76" s="1">
        <f t="shared" si="39"/>
        <v>0</v>
      </c>
      <c r="V76" s="1">
        <f t="shared" si="40"/>
        <v>0</v>
      </c>
      <c r="W76" s="17" t="str">
        <f t="shared" si="42"/>
        <v>November 2016</v>
      </c>
      <c r="X76" s="18">
        <f>+'Warranties &amp; Returns'!B77/Sales!M76</f>
        <v>7.9802462066991126E-2</v>
      </c>
      <c r="Y76" s="18">
        <f>+'Warranties &amp; Returns'!C78/Sales!M76</f>
        <v>3.6859433152018325E-2</v>
      </c>
      <c r="Z76" s="18">
        <f>+'Warranties &amp; Returns'!D77/Sales!O76</f>
        <v>6.5553424348414754E-2</v>
      </c>
      <c r="AA76" s="18">
        <f>+'Warranties &amp; Returns'!E78/Sales!O76</f>
        <v>4.5244273947873177E-2</v>
      </c>
      <c r="AB76" s="18"/>
      <c r="AC76" s="18" t="str">
        <f t="shared" si="43"/>
        <v>November 2016</v>
      </c>
      <c r="AD76" s="22">
        <f t="shared" si="44"/>
        <v>13972</v>
      </c>
      <c r="AE76" s="23">
        <f t="shared" si="45"/>
        <v>6566840</v>
      </c>
      <c r="AF76" s="22">
        <f t="shared" si="46"/>
        <v>8863</v>
      </c>
      <c r="AG76" s="23">
        <f t="shared" si="47"/>
        <v>6469990</v>
      </c>
    </row>
    <row r="77" spans="1:33" x14ac:dyDescent="0.25">
      <c r="A77" s="2">
        <v>40615</v>
      </c>
      <c r="B77" s="3">
        <v>553</v>
      </c>
      <c r="C77" s="4">
        <v>259910</v>
      </c>
      <c r="D77" s="3">
        <v>293</v>
      </c>
      <c r="E77" s="4">
        <v>213890</v>
      </c>
      <c r="G77" s="12">
        <f t="shared" si="29"/>
        <v>2011</v>
      </c>
      <c r="H77" s="12">
        <f t="shared" si="30"/>
        <v>3</v>
      </c>
      <c r="I77" s="11">
        <f t="shared" si="41"/>
        <v>3</v>
      </c>
      <c r="J77" s="11"/>
      <c r="K77" s="1" t="str">
        <f>+'Warranties &amp; Returns'!A77</f>
        <v>December 2016</v>
      </c>
      <c r="L77" s="1">
        <v>72</v>
      </c>
      <c r="M77" s="1">
        <f t="shared" si="31"/>
        <v>14624</v>
      </c>
      <c r="N77" s="1">
        <f t="shared" si="32"/>
        <v>6873280</v>
      </c>
      <c r="O77" s="1">
        <f t="shared" si="33"/>
        <v>9283</v>
      </c>
      <c r="P77" s="1">
        <f t="shared" si="34"/>
        <v>6776590</v>
      </c>
      <c r="Q77" s="1">
        <f t="shared" si="35"/>
        <v>470</v>
      </c>
      <c r="R77" s="1">
        <f t="shared" si="36"/>
        <v>730</v>
      </c>
      <c r="S77" s="1">
        <f t="shared" si="37"/>
        <v>0</v>
      </c>
      <c r="T77" s="1">
        <f t="shared" si="38"/>
        <v>0</v>
      </c>
      <c r="U77" s="1">
        <f t="shared" si="39"/>
        <v>0</v>
      </c>
      <c r="V77" s="1">
        <f t="shared" si="40"/>
        <v>0</v>
      </c>
      <c r="W77" s="17" t="str">
        <f t="shared" si="42"/>
        <v>December 2016</v>
      </c>
      <c r="X77" s="18">
        <f>+'Warranties &amp; Returns'!B78/Sales!M77</f>
        <v>8.3492888402625823E-2</v>
      </c>
      <c r="Y77" s="18">
        <f>+'Warranties &amp; Returns'!C79/Sales!M77</f>
        <v>3.8224835886214441E-2</v>
      </c>
      <c r="Z77" s="18">
        <f>+'Warranties &amp; Returns'!D78/Sales!O77</f>
        <v>6.958957233652914E-2</v>
      </c>
      <c r="AA77" s="18">
        <f>+'Warranties &amp; Returns'!E79/Sales!O77</f>
        <v>4.4705375417429707E-2</v>
      </c>
      <c r="AB77" s="18"/>
      <c r="AC77" s="18" t="str">
        <f t="shared" si="43"/>
        <v>December 2016</v>
      </c>
      <c r="AD77" s="22">
        <f t="shared" si="44"/>
        <v>14624</v>
      </c>
      <c r="AE77" s="23">
        <f t="shared" si="45"/>
        <v>6873280</v>
      </c>
      <c r="AF77" s="22">
        <f t="shared" si="46"/>
        <v>9283</v>
      </c>
      <c r="AG77" s="23">
        <f t="shared" si="47"/>
        <v>6776590</v>
      </c>
    </row>
    <row r="78" spans="1:33" x14ac:dyDescent="0.25">
      <c r="A78" s="2">
        <v>40616</v>
      </c>
      <c r="B78" s="3">
        <v>500</v>
      </c>
      <c r="C78" s="4">
        <v>235000</v>
      </c>
      <c r="D78" s="3">
        <v>348</v>
      </c>
      <c r="E78" s="4">
        <v>254040</v>
      </c>
      <c r="G78" s="12">
        <f t="shared" si="29"/>
        <v>2011</v>
      </c>
      <c r="H78" s="12">
        <f t="shared" si="30"/>
        <v>3</v>
      </c>
      <c r="I78" s="11">
        <f t="shared" si="41"/>
        <v>3</v>
      </c>
      <c r="J78" s="11"/>
      <c r="K78" s="1" t="str">
        <f>+'Warranties &amp; Returns'!A78</f>
        <v>January 2017</v>
      </c>
      <c r="L78" s="1">
        <v>73</v>
      </c>
      <c r="M78" s="1">
        <f t="shared" si="31"/>
        <v>15003</v>
      </c>
      <c r="N78" s="1">
        <f t="shared" si="32"/>
        <v>7051410</v>
      </c>
      <c r="O78" s="1">
        <f t="shared" si="33"/>
        <v>9735</v>
      </c>
      <c r="P78" s="1">
        <f t="shared" si="34"/>
        <v>7106550</v>
      </c>
      <c r="Q78" s="1">
        <f t="shared" si="35"/>
        <v>470</v>
      </c>
      <c r="R78" s="1">
        <f t="shared" si="36"/>
        <v>730</v>
      </c>
      <c r="S78" s="1">
        <f t="shared" si="37"/>
        <v>0</v>
      </c>
      <c r="T78" s="1">
        <f t="shared" si="38"/>
        <v>0</v>
      </c>
      <c r="U78" s="1">
        <f t="shared" si="39"/>
        <v>0</v>
      </c>
      <c r="V78" s="1">
        <f t="shared" si="40"/>
        <v>0</v>
      </c>
      <c r="W78" s="17" t="str">
        <f t="shared" si="42"/>
        <v>January 2017</v>
      </c>
      <c r="X78" s="18">
        <f>+'Warranties &amp; Returns'!B79/Sales!M78</f>
        <v>7.7984403119376128E-2</v>
      </c>
      <c r="Y78" s="18">
        <f>+'Warranties &amp; Returns'!C80/Sales!M78</f>
        <v>4.4257815103645938E-2</v>
      </c>
      <c r="Z78" s="18">
        <f>+'Warranties &amp; Returns'!D79/Sales!O78</f>
        <v>6.3174114021571651E-2</v>
      </c>
      <c r="AA78" s="18">
        <f>+'Warranties &amp; Returns'!E80/Sales!O78</f>
        <v>4.6944016435541858E-2</v>
      </c>
      <c r="AB78" s="18"/>
      <c r="AC78" s="18" t="str">
        <f t="shared" si="43"/>
        <v>January 2017</v>
      </c>
      <c r="AD78" s="22">
        <f t="shared" si="44"/>
        <v>15003</v>
      </c>
      <c r="AE78" s="23">
        <f t="shared" si="45"/>
        <v>7051410</v>
      </c>
      <c r="AF78" s="22">
        <f t="shared" si="46"/>
        <v>9735</v>
      </c>
      <c r="AG78" s="23">
        <f t="shared" si="47"/>
        <v>7106550</v>
      </c>
    </row>
    <row r="79" spans="1:33" x14ac:dyDescent="0.25">
      <c r="A79" s="2">
        <v>40617</v>
      </c>
      <c r="B79" s="3">
        <v>431</v>
      </c>
      <c r="C79" s="4">
        <v>202570</v>
      </c>
      <c r="D79" s="3">
        <v>284</v>
      </c>
      <c r="E79" s="4">
        <v>207320</v>
      </c>
      <c r="G79" s="12">
        <f t="shared" si="29"/>
        <v>2011</v>
      </c>
      <c r="H79" s="12">
        <f t="shared" si="30"/>
        <v>3</v>
      </c>
      <c r="I79" s="11">
        <f t="shared" si="41"/>
        <v>3</v>
      </c>
      <c r="J79" s="11"/>
      <c r="K79" s="1" t="str">
        <f>+'Warranties &amp; Returns'!A79</f>
        <v>February 2017</v>
      </c>
      <c r="L79" s="1">
        <v>74</v>
      </c>
      <c r="M79" s="1">
        <f t="shared" si="31"/>
        <v>12514</v>
      </c>
      <c r="N79" s="1">
        <f t="shared" si="32"/>
        <v>5881580</v>
      </c>
      <c r="O79" s="1">
        <f t="shared" si="33"/>
        <v>8263</v>
      </c>
      <c r="P79" s="1">
        <f t="shared" si="34"/>
        <v>6031990</v>
      </c>
      <c r="Q79" s="1">
        <f t="shared" si="35"/>
        <v>470</v>
      </c>
      <c r="R79" s="1">
        <f t="shared" si="36"/>
        <v>730</v>
      </c>
      <c r="S79" s="1">
        <f t="shared" si="37"/>
        <v>0</v>
      </c>
      <c r="T79" s="1">
        <f t="shared" si="38"/>
        <v>0</v>
      </c>
      <c r="U79" s="1">
        <f t="shared" si="39"/>
        <v>0</v>
      </c>
      <c r="V79" s="1">
        <f t="shared" si="40"/>
        <v>0</v>
      </c>
      <c r="W79" s="17" t="str">
        <f t="shared" si="42"/>
        <v>February 2017</v>
      </c>
      <c r="X79" s="18">
        <f>+'Warranties &amp; Returns'!B80/Sales!M79</f>
        <v>8.6862713760588142E-2</v>
      </c>
      <c r="Y79" s="18">
        <f>+'Warranties &amp; Returns'!C81/Sales!M79</f>
        <v>4.5309253635927763E-2</v>
      </c>
      <c r="Z79" s="18">
        <f>+'Warranties &amp; Returns'!D80/Sales!O79</f>
        <v>6.5230545806607768E-2</v>
      </c>
      <c r="AA79" s="18">
        <f>+'Warranties &amp; Returns'!E81/Sales!O79</f>
        <v>4.9618782524506841E-2</v>
      </c>
      <c r="AB79" s="18"/>
      <c r="AC79" s="18" t="str">
        <f t="shared" si="43"/>
        <v>February 2017</v>
      </c>
      <c r="AD79" s="22">
        <f t="shared" si="44"/>
        <v>12514</v>
      </c>
      <c r="AE79" s="23">
        <f t="shared" si="45"/>
        <v>5881580</v>
      </c>
      <c r="AF79" s="22">
        <f t="shared" si="46"/>
        <v>8263</v>
      </c>
      <c r="AG79" s="23">
        <f t="shared" si="47"/>
        <v>6031990</v>
      </c>
    </row>
    <row r="80" spans="1:33" x14ac:dyDescent="0.25">
      <c r="A80" s="2">
        <v>40618</v>
      </c>
      <c r="B80" s="3">
        <v>492</v>
      </c>
      <c r="C80" s="4">
        <v>231240</v>
      </c>
      <c r="D80" s="3">
        <v>293</v>
      </c>
      <c r="E80" s="4">
        <v>213890</v>
      </c>
      <c r="G80" s="12">
        <f t="shared" si="29"/>
        <v>2011</v>
      </c>
      <c r="H80" s="12">
        <f t="shared" si="30"/>
        <v>3</v>
      </c>
      <c r="I80" s="11">
        <f t="shared" si="41"/>
        <v>3</v>
      </c>
      <c r="J80" s="11"/>
      <c r="K80" s="1" t="str">
        <f>+'Warranties &amp; Returns'!A80</f>
        <v>March 2017</v>
      </c>
      <c r="L80" s="1">
        <v>75</v>
      </c>
      <c r="M80" s="1">
        <f t="shared" si="31"/>
        <v>14188</v>
      </c>
      <c r="N80" s="1">
        <f t="shared" si="32"/>
        <v>6668360</v>
      </c>
      <c r="O80" s="1">
        <f t="shared" si="33"/>
        <v>9298</v>
      </c>
      <c r="P80" s="1">
        <f t="shared" si="34"/>
        <v>6787540</v>
      </c>
      <c r="Q80" s="1">
        <f t="shared" si="35"/>
        <v>470</v>
      </c>
      <c r="R80" s="1">
        <f t="shared" si="36"/>
        <v>730</v>
      </c>
      <c r="S80" s="1">
        <f t="shared" si="37"/>
        <v>0</v>
      </c>
      <c r="T80" s="1">
        <f t="shared" si="38"/>
        <v>0</v>
      </c>
      <c r="U80" s="1">
        <f t="shared" si="39"/>
        <v>0</v>
      </c>
      <c r="V80" s="1">
        <f t="shared" si="40"/>
        <v>0</v>
      </c>
      <c r="W80" s="17" t="str">
        <f t="shared" si="42"/>
        <v>March 2017</v>
      </c>
      <c r="X80" s="18">
        <f>+'Warranties &amp; Returns'!B81/Sales!M80</f>
        <v>7.7389343106850861E-2</v>
      </c>
      <c r="Y80" s="18">
        <f>+'Warranties &amp; Returns'!C82/Sales!M80</f>
        <v>4.1795883845503243E-2</v>
      </c>
      <c r="Z80" s="18">
        <f>+'Warranties &amp; Returns'!D81/Sales!O80</f>
        <v>5.7861905786190576E-2</v>
      </c>
      <c r="AA80" s="18">
        <f>+'Warranties &amp; Returns'!E82/Sales!O80</f>
        <v>4.7537104753710473E-2</v>
      </c>
      <c r="AB80" s="18"/>
      <c r="AC80" s="18" t="str">
        <f t="shared" si="43"/>
        <v>March 2017</v>
      </c>
      <c r="AD80" s="22">
        <f t="shared" si="44"/>
        <v>14188</v>
      </c>
      <c r="AE80" s="23">
        <f t="shared" si="45"/>
        <v>6668360</v>
      </c>
      <c r="AF80" s="22">
        <f t="shared" si="46"/>
        <v>9298</v>
      </c>
      <c r="AG80" s="23">
        <f t="shared" si="47"/>
        <v>6787540</v>
      </c>
    </row>
    <row r="81" spans="1:33" x14ac:dyDescent="0.25">
      <c r="A81" s="2">
        <v>40619</v>
      </c>
      <c r="B81" s="3">
        <v>538</v>
      </c>
      <c r="C81" s="4">
        <v>252860</v>
      </c>
      <c r="D81" s="3">
        <v>256</v>
      </c>
      <c r="E81" s="4">
        <v>186880</v>
      </c>
      <c r="G81" s="12">
        <f t="shared" si="29"/>
        <v>2011</v>
      </c>
      <c r="H81" s="12">
        <f t="shared" si="30"/>
        <v>3</v>
      </c>
      <c r="I81" s="11">
        <f t="shared" si="41"/>
        <v>3</v>
      </c>
      <c r="J81" s="11"/>
      <c r="K81" s="1" t="str">
        <f>+'Warranties &amp; Returns'!A81</f>
        <v>April 2017</v>
      </c>
      <c r="L81" s="1">
        <v>76</v>
      </c>
      <c r="M81" s="1">
        <f t="shared" si="31"/>
        <v>13868</v>
      </c>
      <c r="N81" s="1">
        <f t="shared" si="32"/>
        <v>6517960</v>
      </c>
      <c r="O81" s="1">
        <f t="shared" si="33"/>
        <v>20004</v>
      </c>
      <c r="P81" s="1">
        <f t="shared" si="34"/>
        <v>14602920</v>
      </c>
      <c r="Q81" s="1">
        <f t="shared" si="35"/>
        <v>470</v>
      </c>
      <c r="R81" s="1">
        <f t="shared" si="36"/>
        <v>730</v>
      </c>
      <c r="S81" s="1">
        <f t="shared" si="37"/>
        <v>0</v>
      </c>
      <c r="T81" s="1">
        <f t="shared" si="38"/>
        <v>0</v>
      </c>
      <c r="U81" s="1">
        <f t="shared" si="39"/>
        <v>0</v>
      </c>
      <c r="V81" s="1">
        <f t="shared" si="40"/>
        <v>0</v>
      </c>
      <c r="W81" s="17" t="str">
        <f t="shared" si="42"/>
        <v>April 2017</v>
      </c>
      <c r="X81" s="18">
        <f>+'Warranties &amp; Returns'!B82/Sales!M81</f>
        <v>8.1698875108162677E-2</v>
      </c>
      <c r="Y81" s="18">
        <f>+'Warranties &amp; Returns'!C83/Sales!M81</f>
        <v>4.2976636861840209E-2</v>
      </c>
      <c r="Z81" s="18">
        <f>+'Warranties &amp; Returns'!D82/Sales!O81</f>
        <v>6.4087182563487305E-2</v>
      </c>
      <c r="AA81" s="18">
        <f>+'Warranties &amp; Returns'!E83/Sales!O81</f>
        <v>4.5290941811637675E-2</v>
      </c>
      <c r="AB81" s="18"/>
      <c r="AC81" s="18" t="str">
        <f t="shared" si="43"/>
        <v>April 2017</v>
      </c>
      <c r="AD81" s="22">
        <f t="shared" si="44"/>
        <v>13868</v>
      </c>
      <c r="AE81" s="23">
        <f t="shared" si="45"/>
        <v>6517960</v>
      </c>
      <c r="AF81" s="22">
        <f t="shared" si="46"/>
        <v>20004</v>
      </c>
      <c r="AG81" s="23">
        <f t="shared" si="47"/>
        <v>14602920</v>
      </c>
    </row>
    <row r="82" spans="1:33" x14ac:dyDescent="0.25">
      <c r="A82" s="2">
        <v>40620</v>
      </c>
      <c r="B82" s="3">
        <v>570</v>
      </c>
      <c r="C82" s="4">
        <v>267900</v>
      </c>
      <c r="D82" s="3">
        <v>303</v>
      </c>
      <c r="E82" s="4">
        <v>221190</v>
      </c>
      <c r="G82" s="12">
        <f t="shared" si="29"/>
        <v>2011</v>
      </c>
      <c r="H82" s="12">
        <f t="shared" si="30"/>
        <v>3</v>
      </c>
      <c r="I82" s="11">
        <f t="shared" si="41"/>
        <v>3</v>
      </c>
      <c r="J82" s="11"/>
      <c r="K82" s="1" t="str">
        <f>+'Warranties &amp; Returns'!A82</f>
        <v>May 2017</v>
      </c>
      <c r="L82" s="1">
        <v>77</v>
      </c>
      <c r="M82" s="1">
        <f t="shared" si="31"/>
        <v>14322</v>
      </c>
      <c r="N82" s="1">
        <f t="shared" si="32"/>
        <v>6731340</v>
      </c>
      <c r="O82" s="1">
        <f t="shared" si="33"/>
        <v>19863</v>
      </c>
      <c r="P82" s="1">
        <f t="shared" si="34"/>
        <v>14499990</v>
      </c>
      <c r="Q82" s="1">
        <f t="shared" si="35"/>
        <v>470</v>
      </c>
      <c r="R82" s="1">
        <f t="shared" si="36"/>
        <v>730</v>
      </c>
      <c r="S82" s="1">
        <f t="shared" si="37"/>
        <v>0</v>
      </c>
      <c r="T82" s="1">
        <f t="shared" si="38"/>
        <v>0</v>
      </c>
      <c r="U82" s="1">
        <f t="shared" si="39"/>
        <v>0</v>
      </c>
      <c r="V82" s="1">
        <f t="shared" si="40"/>
        <v>0</v>
      </c>
      <c r="W82" s="17" t="str">
        <f t="shared" si="42"/>
        <v>May 2017</v>
      </c>
      <c r="X82" s="18">
        <f>+'Warranties &amp; Returns'!B83/Sales!M82</f>
        <v>7.3174137690266719E-2</v>
      </c>
      <c r="Y82" s="18">
        <f>+'Warranties &amp; Returns'!C84/Sales!M82</f>
        <v>3.9240329562910209E-2</v>
      </c>
      <c r="Z82" s="18">
        <f>+'Warranties &amp; Returns'!D83/Sales!O82</f>
        <v>6.8620047324170569E-2</v>
      </c>
      <c r="AA82" s="18">
        <f>+'Warranties &amp; Returns'!E84/Sales!O82</f>
        <v>5.0495896893721998E-2</v>
      </c>
      <c r="AB82" s="18"/>
      <c r="AC82" s="18" t="str">
        <f t="shared" si="43"/>
        <v>May 2017</v>
      </c>
      <c r="AD82" s="22">
        <f t="shared" si="44"/>
        <v>14322</v>
      </c>
      <c r="AE82" s="23">
        <f t="shared" si="45"/>
        <v>6731340</v>
      </c>
      <c r="AF82" s="22">
        <f t="shared" si="46"/>
        <v>19863</v>
      </c>
      <c r="AG82" s="23">
        <f t="shared" si="47"/>
        <v>14499990</v>
      </c>
    </row>
    <row r="83" spans="1:33" x14ac:dyDescent="0.25">
      <c r="A83" s="2">
        <v>40621</v>
      </c>
      <c r="B83" s="3">
        <v>474</v>
      </c>
      <c r="C83" s="4">
        <v>222780</v>
      </c>
      <c r="D83" s="3">
        <v>282</v>
      </c>
      <c r="E83" s="4">
        <v>205860</v>
      </c>
      <c r="G83" s="12">
        <f t="shared" si="29"/>
        <v>2011</v>
      </c>
      <c r="H83" s="12">
        <f t="shared" si="30"/>
        <v>3</v>
      </c>
      <c r="I83" s="11">
        <f t="shared" si="41"/>
        <v>3</v>
      </c>
      <c r="J83" s="11"/>
      <c r="K83" s="1" t="str">
        <f>+'Warranties &amp; Returns'!A83</f>
        <v>June 2017</v>
      </c>
      <c r="L83" s="1">
        <v>78</v>
      </c>
      <c r="M83" s="1">
        <f t="shared" si="31"/>
        <v>13656</v>
      </c>
      <c r="N83" s="1">
        <f t="shared" si="32"/>
        <v>6418320</v>
      </c>
      <c r="O83" s="1">
        <f t="shared" si="33"/>
        <v>22382</v>
      </c>
      <c r="P83" s="1">
        <f t="shared" si="34"/>
        <v>6535544</v>
      </c>
      <c r="Q83" s="1">
        <f t="shared" si="35"/>
        <v>470</v>
      </c>
      <c r="R83" s="1">
        <f t="shared" si="36"/>
        <v>292</v>
      </c>
      <c r="S83" s="1">
        <f t="shared" si="37"/>
        <v>0</v>
      </c>
      <c r="T83" s="1">
        <f t="shared" si="38"/>
        <v>1</v>
      </c>
      <c r="U83" s="1">
        <f t="shared" si="39"/>
        <v>0</v>
      </c>
      <c r="V83" s="1">
        <f t="shared" si="40"/>
        <v>78</v>
      </c>
      <c r="W83" s="17" t="str">
        <f t="shared" si="42"/>
        <v>June 2017</v>
      </c>
      <c r="X83" s="18">
        <f>+'Warranties &amp; Returns'!B84/Sales!M83</f>
        <v>8.6628588166373754E-2</v>
      </c>
      <c r="Y83" s="18">
        <f>+'Warranties &amp; Returns'!C85/Sales!M83</f>
        <v>3.1854130052724076E-2</v>
      </c>
      <c r="Z83" s="18">
        <f>+'Warranties &amp; Returns'!D84/Sales!O83</f>
        <v>0</v>
      </c>
      <c r="AA83" s="18">
        <f>+'Warranties &amp; Returns'!E85/Sales!O83</f>
        <v>5.1738003753015814E-2</v>
      </c>
      <c r="AB83" s="18"/>
      <c r="AC83" s="18" t="str">
        <f t="shared" si="43"/>
        <v>June 2017</v>
      </c>
      <c r="AD83" s="22">
        <f t="shared" si="44"/>
        <v>13656</v>
      </c>
      <c r="AE83" s="23">
        <f t="shared" si="45"/>
        <v>6418320</v>
      </c>
      <c r="AF83" s="22">
        <f t="shared" si="46"/>
        <v>22382</v>
      </c>
      <c r="AG83" s="23">
        <f t="shared" si="47"/>
        <v>6535544</v>
      </c>
    </row>
    <row r="84" spans="1:33" x14ac:dyDescent="0.25">
      <c r="A84" s="2">
        <v>40622</v>
      </c>
      <c r="B84" s="3">
        <v>449</v>
      </c>
      <c r="C84" s="4">
        <v>211030</v>
      </c>
      <c r="D84" s="3">
        <v>325</v>
      </c>
      <c r="E84" s="4">
        <v>237250</v>
      </c>
      <c r="G84" s="12">
        <f t="shared" si="29"/>
        <v>2011</v>
      </c>
      <c r="H84" s="12">
        <f t="shared" si="30"/>
        <v>3</v>
      </c>
      <c r="I84" s="11">
        <f t="shared" si="41"/>
        <v>3</v>
      </c>
      <c r="J84" s="11"/>
      <c r="K84" s="1" t="str">
        <f>+'Warranties &amp; Returns'!A84</f>
        <v>July 2017</v>
      </c>
      <c r="L84" s="1">
        <v>79</v>
      </c>
      <c r="M84" s="1">
        <f t="shared" si="31"/>
        <v>14507</v>
      </c>
      <c r="N84" s="1">
        <f t="shared" si="32"/>
        <v>6818290</v>
      </c>
      <c r="O84" s="1">
        <f t="shared" si="33"/>
        <v>9351</v>
      </c>
      <c r="P84" s="1">
        <f t="shared" si="34"/>
        <v>6826230</v>
      </c>
      <c r="Q84" s="1">
        <f t="shared" si="35"/>
        <v>470</v>
      </c>
      <c r="R84" s="1">
        <f t="shared" si="36"/>
        <v>730</v>
      </c>
      <c r="S84" s="1">
        <f t="shared" si="37"/>
        <v>0</v>
      </c>
      <c r="T84" s="1">
        <f t="shared" si="38"/>
        <v>0</v>
      </c>
      <c r="U84" s="1">
        <f t="shared" si="39"/>
        <v>0</v>
      </c>
      <c r="V84" s="1">
        <f t="shared" si="40"/>
        <v>0</v>
      </c>
      <c r="W84" s="17" t="str">
        <f t="shared" si="42"/>
        <v>July 2017</v>
      </c>
      <c r="X84" s="18">
        <f>+'Warranties &amp; Returns'!B85/Sales!M84</f>
        <v>7.7066243882263741E-2</v>
      </c>
      <c r="Y84" s="18">
        <f>+'Warranties &amp; Returns'!C86/Sales!M84</f>
        <v>4.8872957882401598E-2</v>
      </c>
      <c r="Z84" s="18">
        <f>+'Warranties &amp; Returns'!D85/Sales!O84</f>
        <v>7.0366805689231093E-2</v>
      </c>
      <c r="AA84" s="18">
        <f>+'Warranties &amp; Returns'!E86/Sales!O84</f>
        <v>5.0582825366270984E-2</v>
      </c>
      <c r="AB84" s="18"/>
      <c r="AC84" s="18" t="str">
        <f t="shared" si="43"/>
        <v>July 2017</v>
      </c>
      <c r="AD84" s="22">
        <f t="shared" si="44"/>
        <v>14507</v>
      </c>
      <c r="AE84" s="23">
        <f t="shared" si="45"/>
        <v>6818290</v>
      </c>
      <c r="AF84" s="22">
        <f t="shared" si="46"/>
        <v>9351</v>
      </c>
      <c r="AG84" s="23">
        <f t="shared" si="47"/>
        <v>6826230</v>
      </c>
    </row>
    <row r="85" spans="1:33" x14ac:dyDescent="0.25">
      <c r="A85" s="2">
        <v>40623</v>
      </c>
      <c r="B85" s="3">
        <v>543</v>
      </c>
      <c r="C85" s="4">
        <v>255210</v>
      </c>
      <c r="D85" s="3">
        <v>314</v>
      </c>
      <c r="E85" s="4">
        <v>229220</v>
      </c>
      <c r="G85" s="12">
        <f t="shared" si="29"/>
        <v>2011</v>
      </c>
      <c r="H85" s="12">
        <f t="shared" si="30"/>
        <v>3</v>
      </c>
      <c r="I85" s="11">
        <f t="shared" si="41"/>
        <v>3</v>
      </c>
      <c r="J85" s="11"/>
      <c r="K85" s="1" t="str">
        <f>+'Warranties &amp; Returns'!A85</f>
        <v>August 2017</v>
      </c>
      <c r="L85" s="1">
        <v>80</v>
      </c>
      <c r="M85" s="1">
        <f t="shared" si="31"/>
        <v>22464</v>
      </c>
      <c r="N85" s="1">
        <f t="shared" si="32"/>
        <v>10558080</v>
      </c>
      <c r="O85" s="1">
        <f t="shared" si="33"/>
        <v>9537</v>
      </c>
      <c r="P85" s="1">
        <f t="shared" si="34"/>
        <v>6962010</v>
      </c>
      <c r="Q85" s="1">
        <f t="shared" si="35"/>
        <v>470</v>
      </c>
      <c r="R85" s="1">
        <f t="shared" si="36"/>
        <v>730</v>
      </c>
      <c r="S85" s="1">
        <f t="shared" si="37"/>
        <v>0</v>
      </c>
      <c r="T85" s="1">
        <f t="shared" si="38"/>
        <v>0</v>
      </c>
      <c r="U85" s="1">
        <f t="shared" si="39"/>
        <v>0</v>
      </c>
      <c r="V85" s="1">
        <f t="shared" si="40"/>
        <v>0</v>
      </c>
      <c r="W85" s="17" t="str">
        <f t="shared" si="42"/>
        <v>August 2017</v>
      </c>
      <c r="X85" s="18">
        <f>+'Warranties &amp; Returns'!B86/Sales!M85</f>
        <v>8.0395299145299151E-2</v>
      </c>
      <c r="Y85" s="18">
        <f>+'Warranties &amp; Returns'!C87/Sales!M85</f>
        <v>3.9841524216524218E-2</v>
      </c>
      <c r="Z85" s="18">
        <f>+'Warranties &amp; Returns'!D86/Sales!O85</f>
        <v>6.0815770158330715E-2</v>
      </c>
      <c r="AA85" s="18">
        <f>+'Warranties &amp; Returns'!E87/Sales!O85</f>
        <v>5.5782740903848167E-2</v>
      </c>
      <c r="AB85" s="18"/>
      <c r="AC85" s="18" t="str">
        <f t="shared" si="43"/>
        <v>August 2017</v>
      </c>
      <c r="AD85" s="22">
        <f t="shared" si="44"/>
        <v>22464</v>
      </c>
      <c r="AE85" s="23">
        <f t="shared" si="45"/>
        <v>10558080</v>
      </c>
      <c r="AF85" s="22">
        <f t="shared" si="46"/>
        <v>9537</v>
      </c>
      <c r="AG85" s="23">
        <f t="shared" si="47"/>
        <v>6962010</v>
      </c>
    </row>
    <row r="86" spans="1:33" x14ac:dyDescent="0.25">
      <c r="A86" s="2">
        <v>40624</v>
      </c>
      <c r="B86" s="3">
        <v>499</v>
      </c>
      <c r="C86" s="4">
        <v>234530</v>
      </c>
      <c r="D86" s="3">
        <v>254</v>
      </c>
      <c r="E86" s="4">
        <v>185420</v>
      </c>
      <c r="G86" s="12">
        <f t="shared" si="29"/>
        <v>2011</v>
      </c>
      <c r="H86" s="12">
        <f t="shared" si="30"/>
        <v>3</v>
      </c>
      <c r="I86" s="11">
        <f t="shared" si="41"/>
        <v>3</v>
      </c>
      <c r="J86" s="11"/>
      <c r="K86" s="1" t="str">
        <f>+'Warranties &amp; Returns'!A86</f>
        <v>September 2017</v>
      </c>
      <c r="L86" s="1">
        <v>81</v>
      </c>
      <c r="M86" s="1">
        <f t="shared" si="31"/>
        <v>21462</v>
      </c>
      <c r="N86" s="1">
        <f t="shared" si="32"/>
        <v>10087140</v>
      </c>
      <c r="O86" s="1">
        <f t="shared" si="33"/>
        <v>9169</v>
      </c>
      <c r="P86" s="1">
        <f t="shared" si="34"/>
        <v>6693370</v>
      </c>
      <c r="Q86" s="1">
        <f t="shared" si="35"/>
        <v>470</v>
      </c>
      <c r="R86" s="1">
        <f t="shared" si="36"/>
        <v>730</v>
      </c>
      <c r="S86" s="1">
        <f t="shared" si="37"/>
        <v>0</v>
      </c>
      <c r="T86" s="1">
        <f t="shared" si="38"/>
        <v>0</v>
      </c>
      <c r="U86" s="1">
        <f t="shared" si="39"/>
        <v>0</v>
      </c>
      <c r="V86" s="1">
        <f t="shared" si="40"/>
        <v>0</v>
      </c>
      <c r="W86" s="17" t="str">
        <f t="shared" si="42"/>
        <v>September 2017</v>
      </c>
      <c r="X86" s="18">
        <f>+'Warranties &amp; Returns'!B87/Sales!M86</f>
        <v>9.0392321312086479E-2</v>
      </c>
      <c r="Y86" s="18">
        <f>+'Warranties &amp; Returns'!C88/Sales!M86</f>
        <v>3.7088808125990122E-2</v>
      </c>
      <c r="Z86" s="18">
        <f>+'Warranties &amp; Returns'!D87/Sales!O86</f>
        <v>6.5656014832588067E-2</v>
      </c>
      <c r="AA86" s="18">
        <f>+'Warranties &amp; Returns'!E88/Sales!O86</f>
        <v>4.591558512378667E-2</v>
      </c>
      <c r="AB86" s="18"/>
      <c r="AC86" s="18" t="str">
        <f t="shared" si="43"/>
        <v>September 2017</v>
      </c>
      <c r="AD86" s="22">
        <f t="shared" si="44"/>
        <v>21462</v>
      </c>
      <c r="AE86" s="23">
        <f t="shared" si="45"/>
        <v>10087140</v>
      </c>
      <c r="AF86" s="22">
        <f t="shared" si="46"/>
        <v>9169</v>
      </c>
      <c r="AG86" s="23">
        <f t="shared" si="47"/>
        <v>6693370</v>
      </c>
    </row>
    <row r="87" spans="1:33" x14ac:dyDescent="0.25">
      <c r="A87" s="2">
        <v>40625</v>
      </c>
      <c r="B87" s="3">
        <v>407</v>
      </c>
      <c r="C87" s="4">
        <v>191290</v>
      </c>
      <c r="D87" s="3">
        <v>286</v>
      </c>
      <c r="E87" s="4">
        <v>208780</v>
      </c>
      <c r="G87" s="12">
        <f t="shared" si="29"/>
        <v>2011</v>
      </c>
      <c r="H87" s="12">
        <f t="shared" si="30"/>
        <v>3</v>
      </c>
      <c r="I87" s="11">
        <f t="shared" si="41"/>
        <v>3</v>
      </c>
      <c r="J87" s="11"/>
      <c r="K87" s="1" t="str">
        <f>+'Warranties &amp; Returns'!A87</f>
        <v>October 2017</v>
      </c>
      <c r="L87" s="1">
        <v>82</v>
      </c>
      <c r="M87" s="1">
        <f t="shared" si="31"/>
        <v>18201</v>
      </c>
      <c r="N87" s="1">
        <f t="shared" si="32"/>
        <v>5346543.75</v>
      </c>
      <c r="O87" s="1">
        <f t="shared" si="33"/>
        <v>9289</v>
      </c>
      <c r="P87" s="1">
        <f t="shared" si="34"/>
        <v>6780970</v>
      </c>
      <c r="Q87" s="1">
        <f t="shared" si="35"/>
        <v>293.75</v>
      </c>
      <c r="R87" s="1">
        <f t="shared" si="36"/>
        <v>730</v>
      </c>
      <c r="S87" s="1">
        <f t="shared" si="37"/>
        <v>1</v>
      </c>
      <c r="T87" s="1">
        <f t="shared" si="38"/>
        <v>0</v>
      </c>
      <c r="U87" s="1">
        <f t="shared" si="39"/>
        <v>82</v>
      </c>
      <c r="V87" s="1">
        <f t="shared" si="40"/>
        <v>0</v>
      </c>
      <c r="W87" s="17" t="str">
        <f t="shared" si="42"/>
        <v>October 2017</v>
      </c>
      <c r="X87" s="18">
        <f>+'Warranties &amp; Returns'!B88/Sales!M87</f>
        <v>0</v>
      </c>
      <c r="Y87" s="18">
        <f>+'Warranties &amp; Returns'!C89/Sales!M87</f>
        <v>3.7470468655568377E-2</v>
      </c>
      <c r="Z87" s="18">
        <f>+'Warranties &amp; Returns'!D88/Sales!O87</f>
        <v>5.9209818064377223E-2</v>
      </c>
      <c r="AA87" s="18">
        <f>+'Warranties &amp; Returns'!E89/Sales!O87</f>
        <v>5.6410808483152115E-2</v>
      </c>
      <c r="AB87" s="18"/>
      <c r="AC87" s="18" t="str">
        <f t="shared" si="43"/>
        <v>October 2017</v>
      </c>
      <c r="AD87" s="22">
        <f t="shared" si="44"/>
        <v>18201</v>
      </c>
      <c r="AE87" s="23">
        <f t="shared" si="45"/>
        <v>5346543.75</v>
      </c>
      <c r="AF87" s="22">
        <f t="shared" si="46"/>
        <v>9289</v>
      </c>
      <c r="AG87" s="23">
        <f t="shared" si="47"/>
        <v>6780970</v>
      </c>
    </row>
    <row r="88" spans="1:33" x14ac:dyDescent="0.25">
      <c r="A88" s="2">
        <v>40626</v>
      </c>
      <c r="B88" s="3">
        <v>507</v>
      </c>
      <c r="C88" s="4">
        <v>238290</v>
      </c>
      <c r="D88" s="3">
        <v>258</v>
      </c>
      <c r="E88" s="4">
        <v>188340</v>
      </c>
      <c r="G88" s="12">
        <f t="shared" si="29"/>
        <v>2011</v>
      </c>
      <c r="H88" s="12">
        <f t="shared" si="30"/>
        <v>3</v>
      </c>
      <c r="I88" s="11">
        <f t="shared" si="41"/>
        <v>3</v>
      </c>
      <c r="J88" s="11"/>
      <c r="K88" s="1" t="str">
        <f>+'Warranties &amp; Returns'!A88</f>
        <v>November 2017</v>
      </c>
      <c r="L88" s="1">
        <v>83</v>
      </c>
      <c r="M88" s="1">
        <f t="shared" si="31"/>
        <v>14290</v>
      </c>
      <c r="N88" s="1">
        <f t="shared" si="32"/>
        <v>6716300</v>
      </c>
      <c r="O88" s="1">
        <f t="shared" si="33"/>
        <v>8930</v>
      </c>
      <c r="P88" s="1">
        <f t="shared" si="34"/>
        <v>6518900</v>
      </c>
      <c r="Q88" s="1">
        <f t="shared" si="35"/>
        <v>470</v>
      </c>
      <c r="R88" s="1">
        <f t="shared" si="36"/>
        <v>730</v>
      </c>
      <c r="S88" s="1">
        <f t="shared" si="37"/>
        <v>0</v>
      </c>
      <c r="T88" s="1">
        <f t="shared" si="38"/>
        <v>0</v>
      </c>
      <c r="U88" s="1">
        <f t="shared" si="39"/>
        <v>0</v>
      </c>
      <c r="V88" s="1">
        <f t="shared" si="40"/>
        <v>0</v>
      </c>
      <c r="W88" s="17" t="str">
        <f t="shared" si="42"/>
        <v>November 2017</v>
      </c>
      <c r="X88" s="18">
        <f>+'Warranties &amp; Returns'!B89/Sales!M88</f>
        <v>8.7123862841147662E-2</v>
      </c>
      <c r="Y88" s="18">
        <f>+'Warranties &amp; Returns'!C90/Sales!M88</f>
        <v>4.4366689993002098E-2</v>
      </c>
      <c r="Z88" s="18">
        <f>+'Warranties &amp; Returns'!D89/Sales!O88</f>
        <v>5.823068309070549E-2</v>
      </c>
      <c r="AA88" s="18">
        <f>+'Warranties &amp; Returns'!E90/Sales!O88</f>
        <v>5.8566629339305711E-2</v>
      </c>
      <c r="AB88" s="18"/>
      <c r="AC88" s="18" t="str">
        <f t="shared" si="43"/>
        <v>November 2017</v>
      </c>
      <c r="AD88" s="22">
        <f t="shared" si="44"/>
        <v>14290</v>
      </c>
      <c r="AE88" s="23">
        <f t="shared" si="45"/>
        <v>6716300</v>
      </c>
      <c r="AF88" s="22">
        <f t="shared" si="46"/>
        <v>8930</v>
      </c>
      <c r="AG88" s="23">
        <f t="shared" si="47"/>
        <v>6518900</v>
      </c>
    </row>
    <row r="89" spans="1:33" x14ac:dyDescent="0.25">
      <c r="A89" s="2">
        <v>40627</v>
      </c>
      <c r="B89" s="3">
        <v>395</v>
      </c>
      <c r="C89" s="4">
        <v>185650</v>
      </c>
      <c r="D89" s="3">
        <v>369</v>
      </c>
      <c r="E89" s="4">
        <v>269370</v>
      </c>
      <c r="G89" s="12">
        <f t="shared" si="29"/>
        <v>2011</v>
      </c>
      <c r="H89" s="12">
        <f t="shared" si="30"/>
        <v>3</v>
      </c>
      <c r="I89" s="11">
        <f t="shared" si="41"/>
        <v>3</v>
      </c>
      <c r="J89" s="11"/>
      <c r="K89" s="1" t="str">
        <f>+'Warranties &amp; Returns'!A89</f>
        <v>December 2017</v>
      </c>
      <c r="L89" s="1">
        <v>84</v>
      </c>
      <c r="M89" s="1">
        <f t="shared" si="31"/>
        <v>14983</v>
      </c>
      <c r="N89" s="1">
        <f t="shared" si="32"/>
        <v>7042010</v>
      </c>
      <c r="O89" s="1">
        <f t="shared" si="33"/>
        <v>9487</v>
      </c>
      <c r="P89" s="1">
        <f t="shared" si="34"/>
        <v>6925510</v>
      </c>
      <c r="Q89" s="1">
        <f t="shared" si="35"/>
        <v>470</v>
      </c>
      <c r="R89" s="1">
        <f t="shared" si="36"/>
        <v>730</v>
      </c>
      <c r="S89" s="1">
        <f t="shared" si="37"/>
        <v>0</v>
      </c>
      <c r="T89" s="1">
        <f t="shared" si="38"/>
        <v>0</v>
      </c>
      <c r="U89" s="1">
        <f t="shared" si="39"/>
        <v>0</v>
      </c>
      <c r="V89" s="1">
        <f t="shared" si="40"/>
        <v>0</v>
      </c>
      <c r="W89" s="17" t="str">
        <f t="shared" si="42"/>
        <v>December 2017</v>
      </c>
      <c r="X89" s="18">
        <f>+'Warranties &amp; Returns'!B90/Sales!M89</f>
        <v>8.8700527264232804E-2</v>
      </c>
      <c r="Y89" s="18">
        <f>+'Warranties &amp; Returns'!C91/Sales!M89</f>
        <v>4.0045384769405327E-2</v>
      </c>
      <c r="Z89" s="18">
        <f>+'Warranties &amp; Returns'!D90/Sales!O89</f>
        <v>6.3560661958469489E-2</v>
      </c>
      <c r="AA89" s="18">
        <f>+'Warranties &amp; Returns'!E91/Sales!O89</f>
        <v>5.5233477390112785E-2</v>
      </c>
      <c r="AB89" s="18"/>
      <c r="AC89" s="18" t="str">
        <f t="shared" si="43"/>
        <v>December 2017</v>
      </c>
      <c r="AD89" s="22">
        <f t="shared" si="44"/>
        <v>14983</v>
      </c>
      <c r="AE89" s="23">
        <f t="shared" si="45"/>
        <v>7042010</v>
      </c>
      <c r="AF89" s="22">
        <f t="shared" si="46"/>
        <v>9487</v>
      </c>
      <c r="AG89" s="23">
        <f t="shared" si="47"/>
        <v>6925510</v>
      </c>
    </row>
    <row r="90" spans="1:33" x14ac:dyDescent="0.25">
      <c r="A90" s="2">
        <v>40628</v>
      </c>
      <c r="B90" s="3">
        <v>441</v>
      </c>
      <c r="C90" s="4">
        <v>207270</v>
      </c>
      <c r="D90" s="3">
        <v>316</v>
      </c>
      <c r="E90" s="4">
        <v>230680</v>
      </c>
      <c r="G90" s="12">
        <f t="shared" si="29"/>
        <v>2011</v>
      </c>
      <c r="H90" s="12">
        <f t="shared" si="30"/>
        <v>3</v>
      </c>
      <c r="I90" s="11">
        <f t="shared" si="41"/>
        <v>3</v>
      </c>
      <c r="J90" s="11"/>
      <c r="K90" s="1" t="str">
        <f>+'Warranties &amp; Returns'!A90</f>
        <v>January 2018</v>
      </c>
      <c r="L90" s="1">
        <v>85</v>
      </c>
      <c r="M90" s="1">
        <f t="shared" si="31"/>
        <v>14367</v>
      </c>
      <c r="N90" s="1">
        <f t="shared" si="32"/>
        <v>6752490</v>
      </c>
      <c r="O90" s="1">
        <f t="shared" si="33"/>
        <v>9416</v>
      </c>
      <c r="P90" s="1">
        <f t="shared" si="34"/>
        <v>6873680</v>
      </c>
      <c r="Q90" s="1">
        <f t="shared" si="35"/>
        <v>470</v>
      </c>
      <c r="R90" s="1">
        <f t="shared" si="36"/>
        <v>730</v>
      </c>
      <c r="S90" s="1">
        <f t="shared" si="37"/>
        <v>0</v>
      </c>
      <c r="T90" s="1">
        <f t="shared" si="38"/>
        <v>0</v>
      </c>
      <c r="U90" s="1">
        <f t="shared" si="39"/>
        <v>0</v>
      </c>
      <c r="V90" s="1">
        <f t="shared" si="40"/>
        <v>0</v>
      </c>
      <c r="W90" s="17" t="str">
        <f t="shared" si="42"/>
        <v>January 2018</v>
      </c>
      <c r="X90" s="18">
        <f>+'Warranties &amp; Returns'!B91/Sales!M90</f>
        <v>7.9487714902206449E-2</v>
      </c>
      <c r="Y90" s="18">
        <f>+'Warranties &amp; Returns'!C92/Sales!M90</f>
        <v>4.4755342103431475E-2</v>
      </c>
      <c r="Z90" s="18">
        <f>+'Warranties &amp; Returns'!D91/Sales!O90</f>
        <v>5.2570093457943924E-2</v>
      </c>
      <c r="AA90" s="18">
        <f>+'Warranties &amp; Returns'!E92/Sales!O90</f>
        <v>4.6835174171622772E-2</v>
      </c>
      <c r="AB90" s="18"/>
      <c r="AC90" s="18" t="str">
        <f t="shared" si="43"/>
        <v>January 2018</v>
      </c>
      <c r="AD90" s="22">
        <f t="shared" si="44"/>
        <v>14367</v>
      </c>
      <c r="AE90" s="23">
        <f t="shared" si="45"/>
        <v>6752490</v>
      </c>
      <c r="AF90" s="22">
        <f t="shared" si="46"/>
        <v>9416</v>
      </c>
      <c r="AG90" s="23">
        <f t="shared" si="47"/>
        <v>6873680</v>
      </c>
    </row>
    <row r="91" spans="1:33" x14ac:dyDescent="0.25">
      <c r="A91" s="2">
        <v>40629</v>
      </c>
      <c r="B91" s="3">
        <v>530</v>
      </c>
      <c r="C91" s="4">
        <v>249100</v>
      </c>
      <c r="D91" s="3">
        <v>309</v>
      </c>
      <c r="E91" s="4">
        <v>225570</v>
      </c>
      <c r="G91" s="12">
        <f t="shared" si="29"/>
        <v>2011</v>
      </c>
      <c r="H91" s="12">
        <f t="shared" si="30"/>
        <v>3</v>
      </c>
      <c r="I91" s="11">
        <f t="shared" si="41"/>
        <v>3</v>
      </c>
      <c r="J91" s="11"/>
      <c r="K91" s="1" t="str">
        <f>+'Warranties &amp; Returns'!A91</f>
        <v>February 2018</v>
      </c>
      <c r="L91" s="1">
        <v>86</v>
      </c>
      <c r="M91" s="1">
        <f t="shared" si="31"/>
        <v>13462</v>
      </c>
      <c r="N91" s="1">
        <f t="shared" si="32"/>
        <v>6327140</v>
      </c>
      <c r="O91" s="1">
        <f t="shared" si="33"/>
        <v>8225</v>
      </c>
      <c r="P91" s="1">
        <f t="shared" si="34"/>
        <v>6004250</v>
      </c>
      <c r="Q91" s="1">
        <f t="shared" si="35"/>
        <v>470</v>
      </c>
      <c r="R91" s="1">
        <f t="shared" si="36"/>
        <v>730</v>
      </c>
      <c r="S91" s="1">
        <f t="shared" si="37"/>
        <v>0</v>
      </c>
      <c r="T91" s="1">
        <f t="shared" si="38"/>
        <v>0</v>
      </c>
      <c r="U91" s="1">
        <f t="shared" si="39"/>
        <v>0</v>
      </c>
      <c r="V91" s="1">
        <f t="shared" si="40"/>
        <v>0</v>
      </c>
      <c r="W91" s="17" t="str">
        <f t="shared" si="42"/>
        <v>February 2018</v>
      </c>
      <c r="X91" s="18">
        <f>+'Warranties &amp; Returns'!B92/Sales!M91</f>
        <v>7.3614618927351064E-2</v>
      </c>
      <c r="Y91" s="18">
        <f>+'Warranties &amp; Returns'!C93/Sales!M91</f>
        <v>3.2907443173376912E-2</v>
      </c>
      <c r="Z91" s="18">
        <f>+'Warranties &amp; Returns'!D92/Sales!O91</f>
        <v>6.2613981762917936E-2</v>
      </c>
      <c r="AA91" s="18">
        <f>+'Warranties &amp; Returns'!E93/Sales!O91</f>
        <v>4.1945288753799395E-2</v>
      </c>
      <c r="AB91" s="18"/>
      <c r="AC91" s="18" t="str">
        <f t="shared" si="43"/>
        <v>February 2018</v>
      </c>
      <c r="AD91" s="22">
        <f t="shared" si="44"/>
        <v>13462</v>
      </c>
      <c r="AE91" s="23">
        <f t="shared" si="45"/>
        <v>6327140</v>
      </c>
      <c r="AF91" s="22">
        <f t="shared" si="46"/>
        <v>8225</v>
      </c>
      <c r="AG91" s="23">
        <f t="shared" si="47"/>
        <v>6004250</v>
      </c>
    </row>
    <row r="92" spans="1:33" x14ac:dyDescent="0.25">
      <c r="A92" s="2">
        <v>40630</v>
      </c>
      <c r="B92" s="3">
        <v>397</v>
      </c>
      <c r="C92" s="4">
        <v>186590</v>
      </c>
      <c r="D92" s="3">
        <v>267</v>
      </c>
      <c r="E92" s="4">
        <v>194910</v>
      </c>
      <c r="G92" s="12">
        <f t="shared" si="29"/>
        <v>2011</v>
      </c>
      <c r="H92" s="12">
        <f t="shared" si="30"/>
        <v>3</v>
      </c>
      <c r="I92" s="11">
        <f t="shared" si="41"/>
        <v>3</v>
      </c>
      <c r="J92" s="11"/>
      <c r="K92" s="1" t="str">
        <f>+'Warranties &amp; Returns'!A92</f>
        <v>March 2018</v>
      </c>
      <c r="L92" s="1">
        <v>87</v>
      </c>
      <c r="M92" s="1">
        <f t="shared" si="31"/>
        <v>14662</v>
      </c>
      <c r="N92" s="1">
        <f t="shared" si="32"/>
        <v>6891140</v>
      </c>
      <c r="O92" s="1">
        <f t="shared" si="33"/>
        <v>9228</v>
      </c>
      <c r="P92" s="1">
        <f t="shared" si="34"/>
        <v>6736440</v>
      </c>
      <c r="Q92" s="1">
        <f t="shared" si="35"/>
        <v>470</v>
      </c>
      <c r="R92" s="1">
        <f t="shared" si="36"/>
        <v>730</v>
      </c>
      <c r="S92" s="1">
        <f t="shared" si="37"/>
        <v>0</v>
      </c>
      <c r="T92" s="1">
        <f t="shared" si="38"/>
        <v>0</v>
      </c>
      <c r="U92" s="1">
        <f t="shared" si="39"/>
        <v>0</v>
      </c>
      <c r="V92" s="1">
        <f t="shared" si="40"/>
        <v>0</v>
      </c>
      <c r="W92" s="17" t="str">
        <f t="shared" si="42"/>
        <v>March 2018</v>
      </c>
      <c r="X92" s="18">
        <f>+'Warranties &amp; Returns'!B93/Sales!M92</f>
        <v>7.9729914063565679E-2</v>
      </c>
      <c r="Y92" s="18">
        <f>+'Warranties &amp; Returns'!C94/Sales!M92</f>
        <v>3.6079661710544261E-2</v>
      </c>
      <c r="Z92" s="18">
        <f>+'Warranties &amp; Returns'!D93/Sales!O92</f>
        <v>6.8270481144343309E-2</v>
      </c>
      <c r="AA92" s="18">
        <f>+'Warranties &amp; Returns'!E94/Sales!O92</f>
        <v>4.7355873428695273E-2</v>
      </c>
      <c r="AB92" s="18"/>
      <c r="AC92" s="18" t="str">
        <f t="shared" si="43"/>
        <v>March 2018</v>
      </c>
      <c r="AD92" s="22">
        <f t="shared" si="44"/>
        <v>14662</v>
      </c>
      <c r="AE92" s="23">
        <f t="shared" si="45"/>
        <v>6891140</v>
      </c>
      <c r="AF92" s="22">
        <f t="shared" si="46"/>
        <v>9228</v>
      </c>
      <c r="AG92" s="23">
        <f t="shared" si="47"/>
        <v>6736440</v>
      </c>
    </row>
    <row r="93" spans="1:33" x14ac:dyDescent="0.25">
      <c r="A93" s="2">
        <v>40631</v>
      </c>
      <c r="B93" s="3">
        <v>427</v>
      </c>
      <c r="C93" s="4">
        <v>200690</v>
      </c>
      <c r="D93" s="3">
        <v>373</v>
      </c>
      <c r="E93" s="4">
        <v>272290</v>
      </c>
      <c r="G93" s="12">
        <f t="shared" si="29"/>
        <v>2011</v>
      </c>
      <c r="H93" s="12">
        <f t="shared" si="30"/>
        <v>3</v>
      </c>
      <c r="I93" s="11">
        <f t="shared" si="41"/>
        <v>3</v>
      </c>
      <c r="J93" s="11"/>
      <c r="K93" s="1" t="str">
        <f>+'Warranties &amp; Returns'!A93</f>
        <v>April 2018</v>
      </c>
      <c r="L93" s="1">
        <v>88</v>
      </c>
      <c r="M93" s="1">
        <f t="shared" si="31"/>
        <v>14228</v>
      </c>
      <c r="N93" s="1">
        <f t="shared" si="32"/>
        <v>6687160</v>
      </c>
      <c r="O93" s="1">
        <f t="shared" si="33"/>
        <v>19724</v>
      </c>
      <c r="P93" s="1">
        <f t="shared" si="34"/>
        <v>14398520</v>
      </c>
      <c r="Q93" s="1">
        <f t="shared" si="35"/>
        <v>470</v>
      </c>
      <c r="R93" s="1">
        <f t="shared" si="36"/>
        <v>730</v>
      </c>
      <c r="S93" s="1">
        <f t="shared" si="37"/>
        <v>0</v>
      </c>
      <c r="T93" s="1">
        <f t="shared" si="38"/>
        <v>0</v>
      </c>
      <c r="U93" s="1">
        <f t="shared" si="39"/>
        <v>0</v>
      </c>
      <c r="V93" s="1">
        <f t="shared" si="40"/>
        <v>0</v>
      </c>
      <c r="W93" s="17" t="str">
        <f t="shared" si="42"/>
        <v>April 2018</v>
      </c>
      <c r="X93" s="18">
        <f>+'Warranties &amp; Returns'!B94/Sales!M93</f>
        <v>7.8296317121169523E-2</v>
      </c>
      <c r="Y93" s="18">
        <f>+'Warranties &amp; Returns'!C95/Sales!M93</f>
        <v>3.0714084903008153E-2</v>
      </c>
      <c r="Z93" s="18">
        <f>+'Warranties &amp; Returns'!D94/Sales!O93</f>
        <v>6.4591360778746706E-2</v>
      </c>
      <c r="AA93" s="18">
        <f>+'Warranties &amp; Returns'!E95/Sales!O93</f>
        <v>4.8823767998377614E-2</v>
      </c>
      <c r="AB93" s="18"/>
      <c r="AC93" s="18" t="str">
        <f t="shared" si="43"/>
        <v>April 2018</v>
      </c>
      <c r="AD93" s="22">
        <f t="shared" si="44"/>
        <v>14228</v>
      </c>
      <c r="AE93" s="23">
        <f t="shared" si="45"/>
        <v>6687160</v>
      </c>
      <c r="AF93" s="22">
        <f t="shared" si="46"/>
        <v>19724</v>
      </c>
      <c r="AG93" s="23">
        <f t="shared" si="47"/>
        <v>14398520</v>
      </c>
    </row>
    <row r="94" spans="1:33" x14ac:dyDescent="0.25">
      <c r="A94" s="2">
        <v>40632</v>
      </c>
      <c r="B94" s="3">
        <v>498</v>
      </c>
      <c r="C94" s="4">
        <v>234060</v>
      </c>
      <c r="D94" s="3">
        <v>337</v>
      </c>
      <c r="E94" s="4">
        <v>246010</v>
      </c>
      <c r="G94" s="12">
        <f t="shared" si="29"/>
        <v>2011</v>
      </c>
      <c r="H94" s="12">
        <f t="shared" si="30"/>
        <v>3</v>
      </c>
      <c r="I94" s="11">
        <f t="shared" si="41"/>
        <v>3</v>
      </c>
      <c r="J94" s="11"/>
      <c r="K94" s="1" t="str">
        <f>+'Warranties &amp; Returns'!A94</f>
        <v>May 2018</v>
      </c>
      <c r="L94" s="1">
        <v>89</v>
      </c>
      <c r="M94" s="1">
        <f t="shared" si="31"/>
        <v>14698</v>
      </c>
      <c r="N94" s="1">
        <f t="shared" si="32"/>
        <v>6908060</v>
      </c>
      <c r="O94" s="1">
        <f t="shared" si="33"/>
        <v>20799</v>
      </c>
      <c r="P94" s="1">
        <f t="shared" si="34"/>
        <v>15183270</v>
      </c>
      <c r="Q94" s="1">
        <f t="shared" si="35"/>
        <v>470</v>
      </c>
      <c r="R94" s="1">
        <f t="shared" si="36"/>
        <v>730</v>
      </c>
      <c r="S94" s="1">
        <f t="shared" si="37"/>
        <v>0</v>
      </c>
      <c r="T94" s="1">
        <f t="shared" si="38"/>
        <v>0</v>
      </c>
      <c r="U94" s="1">
        <f t="shared" si="39"/>
        <v>0</v>
      </c>
      <c r="V94" s="1">
        <f t="shared" si="40"/>
        <v>0</v>
      </c>
      <c r="W94" s="17" t="str">
        <f t="shared" si="42"/>
        <v>May 2018</v>
      </c>
      <c r="X94" s="18">
        <f>+'Warranties &amp; Returns'!B95/Sales!M94</f>
        <v>8.212001632875221E-2</v>
      </c>
      <c r="Y94" s="18">
        <f>+'Warranties &amp; Returns'!C96/Sales!M94</f>
        <v>4.4291740372839845E-2</v>
      </c>
      <c r="Z94" s="18">
        <f>+'Warranties &amp; Returns'!D95/Sales!O94</f>
        <v>6.3079955767104193E-2</v>
      </c>
      <c r="AA94" s="18">
        <f>+'Warranties &amp; Returns'!E96/Sales!O94</f>
        <v>4.5146401269291793E-2</v>
      </c>
      <c r="AB94" s="18"/>
      <c r="AC94" s="18" t="str">
        <f t="shared" si="43"/>
        <v>May 2018</v>
      </c>
      <c r="AD94" s="22">
        <f t="shared" si="44"/>
        <v>14698</v>
      </c>
      <c r="AE94" s="23">
        <f t="shared" si="45"/>
        <v>6908060</v>
      </c>
      <c r="AF94" s="22">
        <f t="shared" si="46"/>
        <v>20799</v>
      </c>
      <c r="AG94" s="23">
        <f t="shared" si="47"/>
        <v>15183270</v>
      </c>
    </row>
    <row r="95" spans="1:33" x14ac:dyDescent="0.25">
      <c r="A95" s="2">
        <v>40633</v>
      </c>
      <c r="B95" s="3">
        <v>399</v>
      </c>
      <c r="C95" s="4">
        <v>187530</v>
      </c>
      <c r="D95" s="3">
        <v>291</v>
      </c>
      <c r="E95" s="4">
        <v>212430</v>
      </c>
      <c r="G95" s="12">
        <f t="shared" si="29"/>
        <v>2011</v>
      </c>
      <c r="H95" s="12">
        <f t="shared" si="30"/>
        <v>3</v>
      </c>
      <c r="I95" s="11">
        <f t="shared" si="41"/>
        <v>3</v>
      </c>
      <c r="J95" s="11"/>
      <c r="K95" s="1" t="str">
        <f>+'Warranties &amp; Returns'!A95</f>
        <v>June 2018</v>
      </c>
      <c r="L95" s="1">
        <v>90</v>
      </c>
      <c r="M95" s="1">
        <f t="shared" si="31"/>
        <v>14104</v>
      </c>
      <c r="N95" s="1">
        <f t="shared" si="32"/>
        <v>6628880</v>
      </c>
      <c r="O95" s="1">
        <f t="shared" si="33"/>
        <v>21442</v>
      </c>
      <c r="P95" s="1">
        <f t="shared" si="34"/>
        <v>6261064</v>
      </c>
      <c r="Q95" s="1">
        <f t="shared" si="35"/>
        <v>470</v>
      </c>
      <c r="R95" s="1">
        <f t="shared" si="36"/>
        <v>292</v>
      </c>
      <c r="S95" s="1">
        <f t="shared" si="37"/>
        <v>0</v>
      </c>
      <c r="T95" s="1">
        <f t="shared" si="38"/>
        <v>1</v>
      </c>
      <c r="U95" s="1">
        <f t="shared" si="39"/>
        <v>0</v>
      </c>
      <c r="V95" s="1">
        <f t="shared" si="40"/>
        <v>90</v>
      </c>
      <c r="W95" s="17" t="str">
        <f t="shared" si="42"/>
        <v>June 2018</v>
      </c>
      <c r="X95" s="18">
        <f>+'Warranties &amp; Returns'!B96/Sales!M95</f>
        <v>8.4160521837776517E-2</v>
      </c>
      <c r="Y95" s="18">
        <f>+'Warranties &amp; Returns'!C97/Sales!M95</f>
        <v>2.616279069767442E-2</v>
      </c>
      <c r="Z95" s="18">
        <f>+'Warranties &amp; Returns'!D96/Sales!O95</f>
        <v>0</v>
      </c>
      <c r="AA95" s="18">
        <f>+'Warranties &amp; Returns'!E97/Sales!O95</f>
        <v>4.8922675123589214E-2</v>
      </c>
      <c r="AB95" s="18"/>
      <c r="AC95" s="18" t="str">
        <f t="shared" si="43"/>
        <v>June 2018</v>
      </c>
      <c r="AD95" s="22">
        <f t="shared" si="44"/>
        <v>14104</v>
      </c>
      <c r="AE95" s="23">
        <f t="shared" si="45"/>
        <v>6628880</v>
      </c>
      <c r="AF95" s="22">
        <f t="shared" si="46"/>
        <v>21442</v>
      </c>
      <c r="AG95" s="23">
        <f t="shared" si="47"/>
        <v>6261064</v>
      </c>
    </row>
    <row r="96" spans="1:33" x14ac:dyDescent="0.25">
      <c r="A96" s="2">
        <v>40634</v>
      </c>
      <c r="B96" s="3">
        <v>549</v>
      </c>
      <c r="C96" s="4">
        <v>258030</v>
      </c>
      <c r="D96" s="3">
        <v>676</v>
      </c>
      <c r="E96" s="4">
        <v>493480</v>
      </c>
      <c r="G96" s="12">
        <f t="shared" si="29"/>
        <v>2011</v>
      </c>
      <c r="H96" s="12">
        <f t="shared" si="30"/>
        <v>4</v>
      </c>
      <c r="I96" s="11">
        <f t="shared" si="41"/>
        <v>4</v>
      </c>
      <c r="J96" s="11"/>
      <c r="K96" s="1" t="str">
        <f>+'Warranties &amp; Returns'!A96</f>
        <v>July 2018</v>
      </c>
      <c r="L96" s="1">
        <v>91</v>
      </c>
      <c r="M96" s="1">
        <f t="shared" si="31"/>
        <v>14665</v>
      </c>
      <c r="N96" s="1">
        <f t="shared" si="32"/>
        <v>6892550</v>
      </c>
      <c r="O96" s="1">
        <f t="shared" si="33"/>
        <v>9309</v>
      </c>
      <c r="P96" s="1">
        <f t="shared" si="34"/>
        <v>6795570</v>
      </c>
      <c r="Q96" s="1">
        <f t="shared" si="35"/>
        <v>470</v>
      </c>
      <c r="R96" s="1">
        <f t="shared" si="36"/>
        <v>730</v>
      </c>
      <c r="S96" s="1">
        <f t="shared" si="37"/>
        <v>0</v>
      </c>
      <c r="T96" s="1">
        <f t="shared" si="38"/>
        <v>0</v>
      </c>
      <c r="U96" s="1">
        <f t="shared" si="39"/>
        <v>0</v>
      </c>
      <c r="V96" s="1">
        <f t="shared" si="40"/>
        <v>0</v>
      </c>
      <c r="W96" s="17" t="str">
        <f t="shared" si="42"/>
        <v>July 2018</v>
      </c>
      <c r="X96" s="18">
        <f>+'Warranties &amp; Returns'!B97/Sales!M96</f>
        <v>8.0259120354585753E-2</v>
      </c>
      <c r="Y96" s="18">
        <f>+'Warranties &amp; Returns'!C98/Sales!M96</f>
        <v>4.1391067166723493E-2</v>
      </c>
      <c r="Z96" s="18">
        <f>+'Warranties &amp; Returns'!D97/Sales!O96</f>
        <v>6.1445912557739825E-2</v>
      </c>
      <c r="AA96" s="18">
        <f>+'Warranties &amp; Returns'!E98/Sales!O96</f>
        <v>5.1455580620904502E-2</v>
      </c>
      <c r="AB96" s="18"/>
      <c r="AC96" s="18" t="str">
        <f t="shared" si="43"/>
        <v>July 2018</v>
      </c>
      <c r="AD96" s="22">
        <f t="shared" si="44"/>
        <v>14665</v>
      </c>
      <c r="AE96" s="23">
        <f t="shared" si="45"/>
        <v>6892550</v>
      </c>
      <c r="AF96" s="22">
        <f t="shared" si="46"/>
        <v>9309</v>
      </c>
      <c r="AG96" s="23">
        <f t="shared" si="47"/>
        <v>6795570</v>
      </c>
    </row>
    <row r="97" spans="1:33" x14ac:dyDescent="0.25">
      <c r="A97" s="2">
        <v>40635</v>
      </c>
      <c r="B97" s="3">
        <v>514</v>
      </c>
      <c r="C97" s="4">
        <v>241580</v>
      </c>
      <c r="D97" s="3">
        <v>656</v>
      </c>
      <c r="E97" s="4">
        <v>478880</v>
      </c>
      <c r="G97" s="12">
        <f t="shared" si="29"/>
        <v>2011</v>
      </c>
      <c r="H97" s="12">
        <f t="shared" si="30"/>
        <v>4</v>
      </c>
      <c r="I97" s="11">
        <f t="shared" si="41"/>
        <v>4</v>
      </c>
      <c r="J97" s="11"/>
      <c r="K97" s="1" t="str">
        <f>+'Warranties &amp; Returns'!A97</f>
        <v>August 2018</v>
      </c>
      <c r="L97" s="1">
        <v>92</v>
      </c>
      <c r="M97" s="1">
        <f t="shared" si="31"/>
        <v>21677</v>
      </c>
      <c r="N97" s="1">
        <f t="shared" si="32"/>
        <v>10188190</v>
      </c>
      <c r="O97" s="1">
        <f t="shared" si="33"/>
        <v>9345</v>
      </c>
      <c r="P97" s="1">
        <f t="shared" si="34"/>
        <v>6821850</v>
      </c>
      <c r="Q97" s="1">
        <f t="shared" si="35"/>
        <v>470</v>
      </c>
      <c r="R97" s="1">
        <f t="shared" si="36"/>
        <v>730</v>
      </c>
      <c r="S97" s="1">
        <f t="shared" si="37"/>
        <v>0</v>
      </c>
      <c r="T97" s="1">
        <f t="shared" si="38"/>
        <v>0</v>
      </c>
      <c r="U97" s="1">
        <f t="shared" si="39"/>
        <v>0</v>
      </c>
      <c r="V97" s="1">
        <f t="shared" si="40"/>
        <v>0</v>
      </c>
      <c r="W97" s="17" t="str">
        <f t="shared" si="42"/>
        <v>August 2018</v>
      </c>
      <c r="X97" s="18">
        <f>+'Warranties &amp; Returns'!B98/Sales!M97</f>
        <v>8.2483738524703601E-2</v>
      </c>
      <c r="Y97" s="18">
        <f>+'Warranties &amp; Returns'!C99/Sales!M97</f>
        <v>3.7643585366978823E-2</v>
      </c>
      <c r="Z97" s="18">
        <f>+'Warranties &amp; Returns'!D98/Sales!O97</f>
        <v>6.0139111824505084E-2</v>
      </c>
      <c r="AA97" s="18">
        <f>+'Warranties &amp; Returns'!E99/Sales!O97</f>
        <v>5.0401284109149277E-2</v>
      </c>
      <c r="AB97" s="18"/>
      <c r="AC97" s="18" t="str">
        <f t="shared" si="43"/>
        <v>August 2018</v>
      </c>
      <c r="AD97" s="22">
        <f t="shared" si="44"/>
        <v>21677</v>
      </c>
      <c r="AE97" s="23">
        <f t="shared" si="45"/>
        <v>10188190</v>
      </c>
      <c r="AF97" s="22">
        <f t="shared" si="46"/>
        <v>9345</v>
      </c>
      <c r="AG97" s="23">
        <f t="shared" si="47"/>
        <v>6821850</v>
      </c>
    </row>
    <row r="98" spans="1:33" x14ac:dyDescent="0.25">
      <c r="A98" s="2">
        <v>40636</v>
      </c>
      <c r="B98" s="3">
        <v>461</v>
      </c>
      <c r="C98" s="4">
        <v>216670</v>
      </c>
      <c r="D98" s="3">
        <v>682</v>
      </c>
      <c r="E98" s="4">
        <v>497860</v>
      </c>
      <c r="G98" s="12">
        <f t="shared" si="29"/>
        <v>2011</v>
      </c>
      <c r="H98" s="12">
        <f t="shared" si="30"/>
        <v>4</v>
      </c>
      <c r="I98" s="11">
        <f t="shared" si="41"/>
        <v>4</v>
      </c>
      <c r="J98" s="11"/>
      <c r="K98" s="1" t="str">
        <f>+'Warranties &amp; Returns'!A98</f>
        <v>September 2018</v>
      </c>
      <c r="L98" s="1">
        <v>93</v>
      </c>
      <c r="M98" s="1">
        <f t="shared" si="31"/>
        <v>21288</v>
      </c>
      <c r="N98" s="1">
        <f t="shared" si="32"/>
        <v>10005360</v>
      </c>
      <c r="O98" s="1">
        <f t="shared" si="33"/>
        <v>9079</v>
      </c>
      <c r="P98" s="1">
        <f t="shared" si="34"/>
        <v>6627670</v>
      </c>
      <c r="Q98" s="1">
        <f t="shared" si="35"/>
        <v>470</v>
      </c>
      <c r="R98" s="1">
        <f t="shared" si="36"/>
        <v>730</v>
      </c>
      <c r="S98" s="1">
        <f t="shared" si="37"/>
        <v>0</v>
      </c>
      <c r="T98" s="1">
        <f t="shared" si="38"/>
        <v>0</v>
      </c>
      <c r="U98" s="1">
        <f t="shared" si="39"/>
        <v>0</v>
      </c>
      <c r="V98" s="1">
        <f t="shared" si="40"/>
        <v>0</v>
      </c>
      <c r="W98" s="17" t="str">
        <f t="shared" si="42"/>
        <v>September 2018</v>
      </c>
      <c r="X98" s="18">
        <f>+'Warranties &amp; Returns'!B99/Sales!M98</f>
        <v>7.9340473506200673E-2</v>
      </c>
      <c r="Y98" s="18">
        <f>+'Warranties &amp; Returns'!C100/Sales!M98</f>
        <v>3.5043216835776027E-2</v>
      </c>
      <c r="Z98" s="18">
        <f>+'Warranties &amp; Returns'!D99/Sales!O98</f>
        <v>5.4741711642251348E-2</v>
      </c>
      <c r="AA98" s="18">
        <f>+'Warranties &amp; Returns'!E100/Sales!O98</f>
        <v>4.5930168520762198E-2</v>
      </c>
      <c r="AB98" s="18"/>
      <c r="AC98" s="18" t="str">
        <f t="shared" si="43"/>
        <v>September 2018</v>
      </c>
      <c r="AD98" s="22">
        <f t="shared" si="44"/>
        <v>21288</v>
      </c>
      <c r="AE98" s="23">
        <f t="shared" si="45"/>
        <v>10005360</v>
      </c>
      <c r="AF98" s="22">
        <f t="shared" si="46"/>
        <v>9079</v>
      </c>
      <c r="AG98" s="23">
        <f t="shared" si="47"/>
        <v>6627670</v>
      </c>
    </row>
    <row r="99" spans="1:33" x14ac:dyDescent="0.25">
      <c r="A99" s="2">
        <v>40637</v>
      </c>
      <c r="B99" s="3">
        <v>449</v>
      </c>
      <c r="C99" s="4">
        <v>211030</v>
      </c>
      <c r="D99" s="3">
        <v>704</v>
      </c>
      <c r="E99" s="4">
        <v>513920</v>
      </c>
      <c r="G99" s="12">
        <f t="shared" si="29"/>
        <v>2011</v>
      </c>
      <c r="H99" s="12">
        <f t="shared" si="30"/>
        <v>4</v>
      </c>
      <c r="I99" s="11">
        <f t="shared" si="41"/>
        <v>4</v>
      </c>
      <c r="J99" s="11"/>
      <c r="K99" s="1" t="str">
        <f>+'Warranties &amp; Returns'!A99</f>
        <v>October 2018</v>
      </c>
      <c r="L99" s="1">
        <v>94</v>
      </c>
      <c r="M99" s="1">
        <f t="shared" si="31"/>
        <v>17947</v>
      </c>
      <c r="N99" s="1">
        <f t="shared" si="32"/>
        <v>5271931.25</v>
      </c>
      <c r="O99" s="1">
        <f t="shared" si="33"/>
        <v>9422</v>
      </c>
      <c r="P99" s="1">
        <f t="shared" si="34"/>
        <v>6878060</v>
      </c>
      <c r="Q99" s="1">
        <f t="shared" si="35"/>
        <v>293.75</v>
      </c>
      <c r="R99" s="1">
        <f t="shared" si="36"/>
        <v>730</v>
      </c>
      <c r="S99" s="1">
        <f t="shared" si="37"/>
        <v>1</v>
      </c>
      <c r="T99" s="1">
        <f t="shared" si="38"/>
        <v>0</v>
      </c>
      <c r="U99" s="1">
        <f t="shared" si="39"/>
        <v>94</v>
      </c>
      <c r="V99" s="1">
        <f t="shared" si="40"/>
        <v>0</v>
      </c>
      <c r="W99" s="17" t="str">
        <f t="shared" si="42"/>
        <v>October 2018</v>
      </c>
      <c r="X99" s="18">
        <f>+'Warranties &amp; Returns'!B100/Sales!M99</f>
        <v>0</v>
      </c>
      <c r="Y99" s="18">
        <f>+'Warranties &amp; Returns'!C101/Sales!M99</f>
        <v>4.256978882264445E-2</v>
      </c>
      <c r="Z99" s="18">
        <f>+'Warranties &amp; Returns'!D100/Sales!O99</f>
        <v>5.8586287412438973E-2</v>
      </c>
      <c r="AA99" s="18">
        <f>+'Warranties &amp; Returns'!E101/Sales!O99</f>
        <v>4.7972829547866698E-2</v>
      </c>
      <c r="AB99" s="18"/>
      <c r="AC99" s="18" t="str">
        <f t="shared" si="43"/>
        <v>October 2018</v>
      </c>
      <c r="AD99" s="22">
        <f t="shared" si="44"/>
        <v>17947</v>
      </c>
      <c r="AE99" s="23">
        <f t="shared" si="45"/>
        <v>5271931.25</v>
      </c>
      <c r="AF99" s="22">
        <f t="shared" si="46"/>
        <v>9422</v>
      </c>
      <c r="AG99" s="23">
        <f t="shared" si="47"/>
        <v>6878060</v>
      </c>
    </row>
    <row r="100" spans="1:33" x14ac:dyDescent="0.25">
      <c r="A100" s="2">
        <v>40638</v>
      </c>
      <c r="B100" s="3">
        <v>514</v>
      </c>
      <c r="C100" s="4">
        <v>241580</v>
      </c>
      <c r="D100" s="3">
        <v>612</v>
      </c>
      <c r="E100" s="4">
        <v>446760</v>
      </c>
      <c r="G100" s="12">
        <f t="shared" si="29"/>
        <v>2011</v>
      </c>
      <c r="H100" s="12">
        <f t="shared" si="30"/>
        <v>4</v>
      </c>
      <c r="I100" s="11">
        <f t="shared" si="41"/>
        <v>4</v>
      </c>
      <c r="J100" s="11"/>
      <c r="K100" s="1" t="str">
        <f>+'Warranties &amp; Returns'!A100</f>
        <v>November 2018</v>
      </c>
      <c r="L100" s="1">
        <v>95</v>
      </c>
      <c r="M100" s="1">
        <f t="shared" si="31"/>
        <v>14112</v>
      </c>
      <c r="N100" s="1">
        <f t="shared" si="32"/>
        <v>6632640</v>
      </c>
      <c r="O100" s="1">
        <f t="shared" si="33"/>
        <v>9006</v>
      </c>
      <c r="P100" s="1">
        <f t="shared" si="34"/>
        <v>6574380</v>
      </c>
      <c r="Q100" s="1">
        <f t="shared" si="35"/>
        <v>470</v>
      </c>
      <c r="R100" s="1">
        <f t="shared" si="36"/>
        <v>730</v>
      </c>
      <c r="S100" s="1">
        <f t="shared" si="37"/>
        <v>0</v>
      </c>
      <c r="T100" s="1">
        <f t="shared" si="38"/>
        <v>0</v>
      </c>
      <c r="U100" s="1">
        <f t="shared" si="39"/>
        <v>0</v>
      </c>
      <c r="V100" s="1">
        <f t="shared" si="40"/>
        <v>0</v>
      </c>
      <c r="W100" s="17" t="str">
        <f t="shared" si="42"/>
        <v>November 2018</v>
      </c>
      <c r="X100" s="18">
        <f>+'Warranties &amp; Returns'!B101/Sales!M100</f>
        <v>8.9781746031746032E-2</v>
      </c>
      <c r="Y100" s="18">
        <f>+'Warranties &amp; Returns'!C102/Sales!M100</f>
        <v>4.2162698412698416E-2</v>
      </c>
      <c r="Z100" s="18">
        <f>+'Warranties &amp; Returns'!D101/Sales!O100</f>
        <v>6.5067732622695981E-2</v>
      </c>
      <c r="AA100" s="18">
        <f>+'Warranties &amp; Returns'!E102/Sales!O100</f>
        <v>4.3970686209193872E-2</v>
      </c>
      <c r="AB100" s="18"/>
      <c r="AC100" s="18" t="str">
        <f t="shared" si="43"/>
        <v>November 2018</v>
      </c>
      <c r="AD100" s="22">
        <f t="shared" si="44"/>
        <v>14112</v>
      </c>
      <c r="AE100" s="23">
        <f t="shared" si="45"/>
        <v>6632640</v>
      </c>
      <c r="AF100" s="22">
        <f t="shared" si="46"/>
        <v>9006</v>
      </c>
      <c r="AG100" s="23">
        <f t="shared" si="47"/>
        <v>6574380</v>
      </c>
    </row>
    <row r="101" spans="1:33" x14ac:dyDescent="0.25">
      <c r="A101" s="2">
        <v>40639</v>
      </c>
      <c r="B101" s="3">
        <v>467</v>
      </c>
      <c r="C101" s="4">
        <v>219490</v>
      </c>
      <c r="D101" s="3">
        <v>656</v>
      </c>
      <c r="E101" s="4">
        <v>478880</v>
      </c>
      <c r="G101" s="12">
        <f t="shared" si="29"/>
        <v>2011</v>
      </c>
      <c r="H101" s="12">
        <f t="shared" si="30"/>
        <v>4</v>
      </c>
      <c r="I101" s="11">
        <f t="shared" si="41"/>
        <v>4</v>
      </c>
      <c r="J101" s="11"/>
      <c r="K101" s="1" t="str">
        <f>+'Warranties &amp; Returns'!A101</f>
        <v>December 2018</v>
      </c>
      <c r="L101" s="1">
        <v>96</v>
      </c>
      <c r="M101" s="1">
        <f t="shared" si="31"/>
        <v>14176</v>
      </c>
      <c r="N101" s="1">
        <f t="shared" si="32"/>
        <v>6662720</v>
      </c>
      <c r="O101" s="1">
        <f t="shared" si="33"/>
        <v>9154</v>
      </c>
      <c r="P101" s="1">
        <f t="shared" si="34"/>
        <v>6682420</v>
      </c>
      <c r="Q101" s="1">
        <f t="shared" si="35"/>
        <v>470</v>
      </c>
      <c r="R101" s="1">
        <f t="shared" si="36"/>
        <v>730</v>
      </c>
      <c r="S101" s="1">
        <f t="shared" si="37"/>
        <v>0</v>
      </c>
      <c r="T101" s="1">
        <f t="shared" si="38"/>
        <v>0</v>
      </c>
      <c r="U101" s="1">
        <f t="shared" si="39"/>
        <v>0</v>
      </c>
      <c r="V101" s="1">
        <f t="shared" si="40"/>
        <v>0</v>
      </c>
      <c r="W101" s="17" t="str">
        <f t="shared" si="42"/>
        <v>December 2018</v>
      </c>
      <c r="X101" s="18">
        <f>+'Warranties &amp; Returns'!B102/Sales!M101</f>
        <v>8.1687358916478561E-2</v>
      </c>
      <c r="Y101" s="18">
        <f>+'Warranties &amp; Returns'!C103/Sales!M101</f>
        <v>4.0420428893905194E-2</v>
      </c>
      <c r="Z101" s="18">
        <f>+'Warranties &amp; Returns'!D102/Sales!O101</f>
        <v>6.1503168013982958E-2</v>
      </c>
      <c r="AA101" s="18">
        <f>+'Warranties &amp; Returns'!E103/Sales!O101</f>
        <v>4.7410967882892723E-2</v>
      </c>
      <c r="AB101" s="18"/>
      <c r="AC101" s="18" t="str">
        <f t="shared" si="43"/>
        <v>December 2018</v>
      </c>
      <c r="AD101" s="22">
        <f t="shared" si="44"/>
        <v>14176</v>
      </c>
      <c r="AE101" s="23">
        <f t="shared" si="45"/>
        <v>6662720</v>
      </c>
      <c r="AF101" s="22">
        <f t="shared" si="46"/>
        <v>9154</v>
      </c>
      <c r="AG101" s="23">
        <f t="shared" si="47"/>
        <v>6682420</v>
      </c>
    </row>
    <row r="102" spans="1:33" x14ac:dyDescent="0.25">
      <c r="A102" s="2">
        <v>40640</v>
      </c>
      <c r="B102" s="3">
        <v>527</v>
      </c>
      <c r="C102" s="4">
        <v>247690</v>
      </c>
      <c r="D102" s="3">
        <v>602</v>
      </c>
      <c r="E102" s="4">
        <v>439460</v>
      </c>
      <c r="G102" s="12">
        <f t="shared" si="29"/>
        <v>2011</v>
      </c>
      <c r="H102" s="12">
        <f t="shared" si="30"/>
        <v>4</v>
      </c>
      <c r="I102" s="11">
        <f t="shared" si="41"/>
        <v>4</v>
      </c>
      <c r="J102" s="11"/>
      <c r="K102" s="1" t="str">
        <f>+'Warranties &amp; Returns'!A102</f>
        <v>January 2019</v>
      </c>
      <c r="L102" s="1">
        <v>97</v>
      </c>
      <c r="M102" s="1">
        <f t="shared" ref="M102:M125" si="48">+SUMIF($I$6:$I$3658,$L102,B$6:B$3658)</f>
        <v>14565</v>
      </c>
      <c r="N102" s="1">
        <f t="shared" ref="N102:N125" si="49">+SUMIF($I$6:$I$3658,$L102,C$6:C$3658)</f>
        <v>6845550</v>
      </c>
      <c r="O102" s="1">
        <f t="shared" ref="O102:O125" si="50">+SUMIF($I$6:$I$3658,$L102,D$6:D$3658)</f>
        <v>9365</v>
      </c>
      <c r="P102" s="1">
        <f t="shared" ref="P102:P125" si="51">+SUMIF($I$6:$I$3658,$L102,E$6:E$3658)</f>
        <v>6836450</v>
      </c>
      <c r="Q102" s="1">
        <f t="shared" ref="Q102:Q125" si="52">+N102/M102</f>
        <v>470</v>
      </c>
      <c r="R102" s="1">
        <f t="shared" ref="R102:R125" si="53">+P102/O102</f>
        <v>730</v>
      </c>
      <c r="S102" s="1">
        <f t="shared" ref="S102:S125" si="54">+IF(Q102&lt;AVERAGE(Q$6:Q$125),1,0)</f>
        <v>0</v>
      </c>
      <c r="T102" s="1">
        <f t="shared" ref="T102:T125" si="55">+IF(R102&lt;AVERAGE(R$6:R$125),1,0)</f>
        <v>0</v>
      </c>
      <c r="U102" s="1">
        <f t="shared" ref="U102:U125" si="56">+S102*L102</f>
        <v>0</v>
      </c>
      <c r="V102" s="1">
        <f t="shared" ref="V102:V125" si="57">+T102*L102</f>
        <v>0</v>
      </c>
      <c r="W102" s="17" t="str">
        <f t="shared" si="42"/>
        <v>January 2019</v>
      </c>
      <c r="X102" s="18">
        <f>+'Warranties &amp; Returns'!B103/Sales!M102</f>
        <v>7.9231033299004466E-2</v>
      </c>
      <c r="Y102" s="18">
        <f>+'Warranties &amp; Returns'!C104/Sales!M102</f>
        <v>3.2612427051150014E-2</v>
      </c>
      <c r="Z102" s="18">
        <f>+'Warranties &amp; Returns'!D103/Sales!O102</f>
        <v>6.7912439935931657E-2</v>
      </c>
      <c r="AA102" s="18">
        <f>+'Warranties &amp; Returns'!E104/Sales!O102</f>
        <v>6.0651361452215696E-2</v>
      </c>
      <c r="AB102" s="18"/>
      <c r="AC102" s="18" t="str">
        <f t="shared" si="43"/>
        <v>January 2019</v>
      </c>
      <c r="AD102" s="22">
        <f t="shared" si="44"/>
        <v>14565</v>
      </c>
      <c r="AE102" s="23">
        <f t="shared" si="45"/>
        <v>6845550</v>
      </c>
      <c r="AF102" s="22">
        <f t="shared" si="46"/>
        <v>9365</v>
      </c>
      <c r="AG102" s="23">
        <f t="shared" si="47"/>
        <v>6836450</v>
      </c>
    </row>
    <row r="103" spans="1:33" x14ac:dyDescent="0.25">
      <c r="A103" s="2">
        <v>40641</v>
      </c>
      <c r="B103" s="3">
        <v>462</v>
      </c>
      <c r="C103" s="4">
        <v>217140</v>
      </c>
      <c r="D103" s="3">
        <v>711</v>
      </c>
      <c r="E103" s="4">
        <v>519030</v>
      </c>
      <c r="G103" s="12">
        <f t="shared" si="29"/>
        <v>2011</v>
      </c>
      <c r="H103" s="12">
        <f t="shared" si="30"/>
        <v>4</v>
      </c>
      <c r="I103" s="11">
        <f t="shared" si="41"/>
        <v>4</v>
      </c>
      <c r="J103" s="11"/>
      <c r="K103" s="1" t="str">
        <f>+'Warranties &amp; Returns'!A103</f>
        <v>February 2019</v>
      </c>
      <c r="L103" s="1">
        <v>98</v>
      </c>
      <c r="M103" s="1">
        <f t="shared" si="48"/>
        <v>12842</v>
      </c>
      <c r="N103" s="1">
        <f t="shared" si="49"/>
        <v>6035740</v>
      </c>
      <c r="O103" s="1">
        <f t="shared" si="50"/>
        <v>8455</v>
      </c>
      <c r="P103" s="1">
        <f t="shared" si="51"/>
        <v>6172150</v>
      </c>
      <c r="Q103" s="1">
        <f t="shared" si="52"/>
        <v>470</v>
      </c>
      <c r="R103" s="1">
        <f t="shared" si="53"/>
        <v>730</v>
      </c>
      <c r="S103" s="1">
        <f t="shared" si="54"/>
        <v>0</v>
      </c>
      <c r="T103" s="1">
        <f t="shared" si="55"/>
        <v>0</v>
      </c>
      <c r="U103" s="1">
        <f t="shared" si="56"/>
        <v>0</v>
      </c>
      <c r="V103" s="1">
        <f t="shared" si="57"/>
        <v>0</v>
      </c>
      <c r="W103" s="17" t="str">
        <f t="shared" si="42"/>
        <v>February 2019</v>
      </c>
      <c r="X103" s="18">
        <f>+'Warranties &amp; Returns'!B104/Sales!M103</f>
        <v>7.9660489020401806E-2</v>
      </c>
      <c r="Y103" s="18">
        <f>+'Warranties &amp; Returns'!C105/Sales!M103</f>
        <v>4.5164304625447751E-2</v>
      </c>
      <c r="Z103" s="18">
        <f>+'Warranties &amp; Returns'!D104/Sales!O103</f>
        <v>6.0910703725606148E-2</v>
      </c>
      <c r="AA103" s="18">
        <f>+'Warranties &amp; Returns'!E105/Sales!O103</f>
        <v>4.1868716735659374E-2</v>
      </c>
      <c r="AB103" s="18"/>
      <c r="AC103" s="18" t="str">
        <f t="shared" si="43"/>
        <v>February 2019</v>
      </c>
      <c r="AD103" s="22">
        <f t="shared" si="44"/>
        <v>12842</v>
      </c>
      <c r="AE103" s="23">
        <f t="shared" si="45"/>
        <v>6035740</v>
      </c>
      <c r="AF103" s="22">
        <f t="shared" si="46"/>
        <v>8455</v>
      </c>
      <c r="AG103" s="23">
        <f t="shared" si="47"/>
        <v>6172150</v>
      </c>
    </row>
    <row r="104" spans="1:33" x14ac:dyDescent="0.25">
      <c r="A104" s="2">
        <v>40642</v>
      </c>
      <c r="B104" s="3">
        <v>518</v>
      </c>
      <c r="C104" s="4">
        <v>243460</v>
      </c>
      <c r="D104" s="3">
        <v>625</v>
      </c>
      <c r="E104" s="4">
        <v>456250</v>
      </c>
      <c r="G104" s="12">
        <f t="shared" si="29"/>
        <v>2011</v>
      </c>
      <c r="H104" s="12">
        <f t="shared" si="30"/>
        <v>4</v>
      </c>
      <c r="I104" s="11">
        <f t="shared" si="41"/>
        <v>4</v>
      </c>
      <c r="J104" s="11"/>
      <c r="K104" s="1" t="str">
        <f>+'Warranties &amp; Returns'!A104</f>
        <v>March 2019</v>
      </c>
      <c r="L104" s="1">
        <v>99</v>
      </c>
      <c r="M104" s="1">
        <f t="shared" si="48"/>
        <v>14376</v>
      </c>
      <c r="N104" s="1">
        <f t="shared" si="49"/>
        <v>6756720</v>
      </c>
      <c r="O104" s="1">
        <f t="shared" si="50"/>
        <v>9275</v>
      </c>
      <c r="P104" s="1">
        <f t="shared" si="51"/>
        <v>6770750</v>
      </c>
      <c r="Q104" s="1">
        <f t="shared" si="52"/>
        <v>470</v>
      </c>
      <c r="R104" s="1">
        <f t="shared" si="53"/>
        <v>730</v>
      </c>
      <c r="S104" s="1">
        <f t="shared" si="54"/>
        <v>0</v>
      </c>
      <c r="T104" s="1">
        <f t="shared" si="55"/>
        <v>0</v>
      </c>
      <c r="U104" s="1">
        <f t="shared" si="56"/>
        <v>0</v>
      </c>
      <c r="V104" s="1">
        <f t="shared" si="57"/>
        <v>0</v>
      </c>
      <c r="W104" s="17" t="str">
        <f t="shared" si="42"/>
        <v>March 2019</v>
      </c>
      <c r="X104" s="18">
        <f>+'Warranties &amp; Returns'!B105/Sales!M104</f>
        <v>8.1594323873121863E-2</v>
      </c>
      <c r="Y104" s="18">
        <f>+'Warranties &amp; Returns'!C106/Sales!M104</f>
        <v>3.54062326099054E-2</v>
      </c>
      <c r="Z104" s="18">
        <f>+'Warranties &amp; Returns'!D105/Sales!O104</f>
        <v>6.5983827493261454E-2</v>
      </c>
      <c r="AA104" s="18">
        <f>+'Warranties &amp; Returns'!E106/Sales!O104</f>
        <v>4.6145552560646903E-2</v>
      </c>
      <c r="AB104" s="18"/>
      <c r="AC104" s="18" t="str">
        <f t="shared" si="43"/>
        <v>March 2019</v>
      </c>
      <c r="AD104" s="22">
        <f t="shared" si="44"/>
        <v>14376</v>
      </c>
      <c r="AE104" s="23">
        <f t="shared" si="45"/>
        <v>6756720</v>
      </c>
      <c r="AF104" s="22">
        <f t="shared" si="46"/>
        <v>9275</v>
      </c>
      <c r="AG104" s="23">
        <f t="shared" si="47"/>
        <v>6770750</v>
      </c>
    </row>
    <row r="105" spans="1:33" x14ac:dyDescent="0.25">
      <c r="A105" s="2">
        <v>40643</v>
      </c>
      <c r="B105" s="3">
        <v>475</v>
      </c>
      <c r="C105" s="4">
        <v>223250</v>
      </c>
      <c r="D105" s="3">
        <v>636</v>
      </c>
      <c r="E105" s="4">
        <v>464280</v>
      </c>
      <c r="G105" s="12">
        <f t="shared" si="29"/>
        <v>2011</v>
      </c>
      <c r="H105" s="12">
        <f t="shared" si="30"/>
        <v>4</v>
      </c>
      <c r="I105" s="11">
        <f t="shared" si="41"/>
        <v>4</v>
      </c>
      <c r="J105" s="11"/>
      <c r="K105" s="1" t="str">
        <f>+'Warranties &amp; Returns'!A105</f>
        <v>April 2019</v>
      </c>
      <c r="L105" s="1">
        <v>100</v>
      </c>
      <c r="M105" s="1">
        <f t="shared" si="48"/>
        <v>13984</v>
      </c>
      <c r="N105" s="1">
        <f t="shared" si="49"/>
        <v>6572480</v>
      </c>
      <c r="O105" s="1">
        <f t="shared" si="50"/>
        <v>19766</v>
      </c>
      <c r="P105" s="1">
        <f t="shared" si="51"/>
        <v>14429180</v>
      </c>
      <c r="Q105" s="1">
        <f t="shared" si="52"/>
        <v>470</v>
      </c>
      <c r="R105" s="1">
        <f t="shared" si="53"/>
        <v>730</v>
      </c>
      <c r="S105" s="1">
        <f t="shared" si="54"/>
        <v>0</v>
      </c>
      <c r="T105" s="1">
        <f t="shared" si="55"/>
        <v>0</v>
      </c>
      <c r="U105" s="1">
        <f t="shared" si="56"/>
        <v>0</v>
      </c>
      <c r="V105" s="1">
        <f t="shared" si="57"/>
        <v>0</v>
      </c>
      <c r="W105" s="17" t="str">
        <f t="shared" si="42"/>
        <v>April 2019</v>
      </c>
      <c r="X105" s="18">
        <f>+'Warranties &amp; Returns'!B106/Sales!M105</f>
        <v>7.7302631578947373E-2</v>
      </c>
      <c r="Y105" s="18">
        <f>+'Warranties &amp; Returns'!C107/Sales!M105</f>
        <v>2.459954233409611E-2</v>
      </c>
      <c r="Z105" s="18">
        <f>+'Warranties &amp; Returns'!D106/Sales!O105</f>
        <v>6.5971870889406051E-2</v>
      </c>
      <c r="AA105" s="18">
        <f>+'Warranties &amp; Returns'!E107/Sales!O105</f>
        <v>4.5482141050288374E-2</v>
      </c>
      <c r="AB105" s="18"/>
      <c r="AC105" s="18" t="str">
        <f t="shared" si="43"/>
        <v>April 2019</v>
      </c>
      <c r="AD105" s="22">
        <f t="shared" si="44"/>
        <v>13984</v>
      </c>
      <c r="AE105" s="23">
        <f t="shared" si="45"/>
        <v>6572480</v>
      </c>
      <c r="AF105" s="22">
        <f t="shared" si="46"/>
        <v>19766</v>
      </c>
      <c r="AG105" s="23">
        <f t="shared" si="47"/>
        <v>14429180</v>
      </c>
    </row>
    <row r="106" spans="1:33" x14ac:dyDescent="0.25">
      <c r="A106" s="2">
        <v>40644</v>
      </c>
      <c r="B106" s="3">
        <v>413</v>
      </c>
      <c r="C106" s="4">
        <v>194110</v>
      </c>
      <c r="D106" s="3">
        <v>678</v>
      </c>
      <c r="E106" s="4">
        <v>494940</v>
      </c>
      <c r="G106" s="12">
        <f t="shared" si="29"/>
        <v>2011</v>
      </c>
      <c r="H106" s="12">
        <f t="shared" si="30"/>
        <v>4</v>
      </c>
      <c r="I106" s="11">
        <f t="shared" si="41"/>
        <v>4</v>
      </c>
      <c r="J106" s="11"/>
      <c r="K106" s="1" t="str">
        <f>+'Warranties &amp; Returns'!A106</f>
        <v>May 2019</v>
      </c>
      <c r="L106" s="1">
        <v>101</v>
      </c>
      <c r="M106" s="1">
        <f t="shared" si="48"/>
        <v>14535</v>
      </c>
      <c r="N106" s="1">
        <f t="shared" si="49"/>
        <v>6831450</v>
      </c>
      <c r="O106" s="1">
        <f t="shared" si="50"/>
        <v>20683</v>
      </c>
      <c r="P106" s="1">
        <f t="shared" si="51"/>
        <v>15098590</v>
      </c>
      <c r="Q106" s="1">
        <f t="shared" si="52"/>
        <v>470</v>
      </c>
      <c r="R106" s="1">
        <f t="shared" si="53"/>
        <v>730</v>
      </c>
      <c r="S106" s="1">
        <f t="shared" si="54"/>
        <v>0</v>
      </c>
      <c r="T106" s="1">
        <f t="shared" si="55"/>
        <v>0</v>
      </c>
      <c r="U106" s="1">
        <f t="shared" si="56"/>
        <v>0</v>
      </c>
      <c r="V106" s="1">
        <f t="shared" si="57"/>
        <v>0</v>
      </c>
      <c r="W106" s="17" t="str">
        <f t="shared" si="42"/>
        <v>May 2019</v>
      </c>
      <c r="X106" s="18">
        <f>+'Warranties &amp; Returns'!B107/Sales!M106</f>
        <v>8.7788097695218434E-2</v>
      </c>
      <c r="Y106" s="18">
        <f>+'Warranties &amp; Returns'!C108/Sales!M106</f>
        <v>4.2655658754729965E-2</v>
      </c>
      <c r="Z106" s="18">
        <f>+'Warranties &amp; Returns'!D107/Sales!O106</f>
        <v>6.0387758062176666E-2</v>
      </c>
      <c r="AA106" s="18">
        <f>+'Warranties &amp; Returns'!E108/Sales!O106</f>
        <v>4.950925881158439E-2</v>
      </c>
      <c r="AB106" s="18"/>
      <c r="AC106" s="18" t="str">
        <f t="shared" si="43"/>
        <v>May 2019</v>
      </c>
      <c r="AD106" s="22">
        <f t="shared" si="44"/>
        <v>14535</v>
      </c>
      <c r="AE106" s="23">
        <f t="shared" si="45"/>
        <v>6831450</v>
      </c>
      <c r="AF106" s="22">
        <f t="shared" si="46"/>
        <v>20683</v>
      </c>
      <c r="AG106" s="23">
        <f t="shared" si="47"/>
        <v>15098590</v>
      </c>
    </row>
    <row r="107" spans="1:33" x14ac:dyDescent="0.25">
      <c r="A107" s="2">
        <v>40645</v>
      </c>
      <c r="B107" s="3">
        <v>466</v>
      </c>
      <c r="C107" s="4">
        <v>219020</v>
      </c>
      <c r="D107" s="3">
        <v>684</v>
      </c>
      <c r="E107" s="4">
        <v>499320</v>
      </c>
      <c r="G107" s="12">
        <f t="shared" si="29"/>
        <v>2011</v>
      </c>
      <c r="H107" s="12">
        <f t="shared" si="30"/>
        <v>4</v>
      </c>
      <c r="I107" s="11">
        <f t="shared" si="41"/>
        <v>4</v>
      </c>
      <c r="J107" s="11"/>
      <c r="K107" s="1" t="str">
        <f>+'Warranties &amp; Returns'!A107</f>
        <v>June 2019</v>
      </c>
      <c r="L107" s="1">
        <v>102</v>
      </c>
      <c r="M107" s="1">
        <f t="shared" si="48"/>
        <v>13817</v>
      </c>
      <c r="N107" s="1">
        <f t="shared" si="49"/>
        <v>6493990</v>
      </c>
      <c r="O107" s="1">
        <f t="shared" si="50"/>
        <v>21636</v>
      </c>
      <c r="P107" s="1">
        <f t="shared" si="51"/>
        <v>6317712</v>
      </c>
      <c r="Q107" s="1">
        <f t="shared" si="52"/>
        <v>470</v>
      </c>
      <c r="R107" s="1">
        <f t="shared" si="53"/>
        <v>292</v>
      </c>
      <c r="S107" s="1">
        <f t="shared" si="54"/>
        <v>0</v>
      </c>
      <c r="T107" s="1">
        <f t="shared" si="55"/>
        <v>1</v>
      </c>
      <c r="U107" s="1">
        <f t="shared" si="56"/>
        <v>0</v>
      </c>
      <c r="V107" s="1">
        <f t="shared" si="57"/>
        <v>102</v>
      </c>
      <c r="W107" s="17" t="str">
        <f t="shared" si="42"/>
        <v>June 2019</v>
      </c>
      <c r="X107" s="18">
        <f>+'Warranties &amp; Returns'!B108/Sales!M107</f>
        <v>8.2217558080625322E-2</v>
      </c>
      <c r="Y107" s="18">
        <f>+'Warranties &amp; Returns'!C109/Sales!M107</f>
        <v>3.8648042266772813E-2</v>
      </c>
      <c r="Z107" s="18">
        <f>+'Warranties &amp; Returns'!D108/Sales!O107</f>
        <v>0</v>
      </c>
      <c r="AA107" s="18">
        <f>+'Warranties &amp; Returns'!E109/Sales!O107</f>
        <v>4.765206137918284E-2</v>
      </c>
      <c r="AB107" s="18"/>
      <c r="AC107" s="18" t="str">
        <f t="shared" si="43"/>
        <v>June 2019</v>
      </c>
      <c r="AD107" s="22">
        <f t="shared" si="44"/>
        <v>13817</v>
      </c>
      <c r="AE107" s="23">
        <f t="shared" si="45"/>
        <v>6493990</v>
      </c>
      <c r="AF107" s="22">
        <f t="shared" si="46"/>
        <v>21636</v>
      </c>
      <c r="AG107" s="23">
        <f t="shared" si="47"/>
        <v>6317712</v>
      </c>
    </row>
    <row r="108" spans="1:33" x14ac:dyDescent="0.25">
      <c r="A108" s="2">
        <v>40646</v>
      </c>
      <c r="B108" s="3">
        <v>428</v>
      </c>
      <c r="C108" s="4">
        <v>201160</v>
      </c>
      <c r="D108" s="3">
        <v>588</v>
      </c>
      <c r="E108" s="4">
        <v>429240</v>
      </c>
      <c r="G108" s="12">
        <f t="shared" si="29"/>
        <v>2011</v>
      </c>
      <c r="H108" s="12">
        <f t="shared" si="30"/>
        <v>4</v>
      </c>
      <c r="I108" s="11">
        <f t="shared" si="41"/>
        <v>4</v>
      </c>
      <c r="J108" s="11"/>
      <c r="K108" s="1" t="str">
        <f>+'Warranties &amp; Returns'!A108</f>
        <v>July 2019</v>
      </c>
      <c r="L108" s="1">
        <v>103</v>
      </c>
      <c r="M108" s="1">
        <f t="shared" si="48"/>
        <v>14731</v>
      </c>
      <c r="N108" s="1">
        <f t="shared" si="49"/>
        <v>6923570</v>
      </c>
      <c r="O108" s="1">
        <f t="shared" si="50"/>
        <v>9292</v>
      </c>
      <c r="P108" s="1">
        <f t="shared" si="51"/>
        <v>6783160</v>
      </c>
      <c r="Q108" s="1">
        <f t="shared" si="52"/>
        <v>470</v>
      </c>
      <c r="R108" s="1">
        <f t="shared" si="53"/>
        <v>730</v>
      </c>
      <c r="S108" s="1">
        <f t="shared" si="54"/>
        <v>0</v>
      </c>
      <c r="T108" s="1">
        <f t="shared" si="55"/>
        <v>0</v>
      </c>
      <c r="U108" s="1">
        <f t="shared" si="56"/>
        <v>0</v>
      </c>
      <c r="V108" s="1">
        <f t="shared" si="57"/>
        <v>0</v>
      </c>
      <c r="W108" s="17" t="str">
        <f t="shared" si="42"/>
        <v>July 2019</v>
      </c>
      <c r="X108" s="18">
        <f>+'Warranties &amp; Returns'!B109/Sales!M108</f>
        <v>8.6416400787455022E-2</v>
      </c>
      <c r="Y108" s="18">
        <f>+'Warranties &amp; Returns'!C110/Sales!M108</f>
        <v>4.1001968637567034E-2</v>
      </c>
      <c r="Z108" s="18">
        <f>+'Warranties &amp; Returns'!D109/Sales!O108</f>
        <v>5.2948773138183386E-2</v>
      </c>
      <c r="AA108" s="18">
        <f>+'Warranties &amp; Returns'!E110/Sales!O108</f>
        <v>5.0365906155832973E-2</v>
      </c>
      <c r="AB108" s="18"/>
      <c r="AC108" s="18" t="str">
        <f t="shared" si="43"/>
        <v>July 2019</v>
      </c>
      <c r="AD108" s="22">
        <f t="shared" si="44"/>
        <v>14731</v>
      </c>
      <c r="AE108" s="23">
        <f t="shared" si="45"/>
        <v>6923570</v>
      </c>
      <c r="AF108" s="22">
        <f t="shared" si="46"/>
        <v>9292</v>
      </c>
      <c r="AG108" s="23">
        <f t="shared" si="47"/>
        <v>6783160</v>
      </c>
    </row>
    <row r="109" spans="1:33" x14ac:dyDescent="0.25">
      <c r="A109" s="2">
        <v>40647</v>
      </c>
      <c r="B109" s="3">
        <v>413</v>
      </c>
      <c r="C109" s="4">
        <v>194110</v>
      </c>
      <c r="D109" s="3">
        <v>700</v>
      </c>
      <c r="E109" s="4">
        <v>511000</v>
      </c>
      <c r="G109" s="12">
        <f t="shared" si="29"/>
        <v>2011</v>
      </c>
      <c r="H109" s="12">
        <f t="shared" si="30"/>
        <v>4</v>
      </c>
      <c r="I109" s="11">
        <f t="shared" si="41"/>
        <v>4</v>
      </c>
      <c r="J109" s="11"/>
      <c r="K109" s="1" t="str">
        <f>+'Warranties &amp; Returns'!A109</f>
        <v>August 2019</v>
      </c>
      <c r="L109" s="1">
        <v>104</v>
      </c>
      <c r="M109" s="1">
        <f t="shared" si="48"/>
        <v>22235</v>
      </c>
      <c r="N109" s="1">
        <f t="shared" si="49"/>
        <v>10450450</v>
      </c>
      <c r="O109" s="1">
        <f t="shared" si="50"/>
        <v>9289</v>
      </c>
      <c r="P109" s="1">
        <f t="shared" si="51"/>
        <v>6780970</v>
      </c>
      <c r="Q109" s="1">
        <f t="shared" si="52"/>
        <v>470</v>
      </c>
      <c r="R109" s="1">
        <f t="shared" si="53"/>
        <v>730</v>
      </c>
      <c r="S109" s="1">
        <f t="shared" si="54"/>
        <v>0</v>
      </c>
      <c r="T109" s="1">
        <f t="shared" si="55"/>
        <v>0</v>
      </c>
      <c r="U109" s="1">
        <f t="shared" si="56"/>
        <v>0</v>
      </c>
      <c r="V109" s="1">
        <f t="shared" si="57"/>
        <v>0</v>
      </c>
      <c r="W109" s="17" t="str">
        <f t="shared" si="42"/>
        <v>August 2019</v>
      </c>
      <c r="X109" s="18">
        <f>+'Warranties &amp; Returns'!B110/Sales!M109</f>
        <v>8.724983134697549E-2</v>
      </c>
      <c r="Y109" s="18">
        <f>+'Warranties &amp; Returns'!C111/Sales!M109</f>
        <v>3.8048122329660448E-2</v>
      </c>
      <c r="Z109" s="18">
        <f>+'Warranties &amp; Returns'!D110/Sales!O109</f>
        <v>5.9425126493702227E-2</v>
      </c>
      <c r="AA109" s="18">
        <f>+'Warranties &amp; Returns'!E111/Sales!O109</f>
        <v>4.9520938744751858E-2</v>
      </c>
      <c r="AB109" s="18"/>
      <c r="AC109" s="18" t="str">
        <f t="shared" si="43"/>
        <v>August 2019</v>
      </c>
      <c r="AD109" s="22">
        <f t="shared" si="44"/>
        <v>22235</v>
      </c>
      <c r="AE109" s="23">
        <f t="shared" si="45"/>
        <v>10450450</v>
      </c>
      <c r="AF109" s="22">
        <f t="shared" si="46"/>
        <v>9289</v>
      </c>
      <c r="AG109" s="23">
        <f t="shared" si="47"/>
        <v>6780970</v>
      </c>
    </row>
    <row r="110" spans="1:33" x14ac:dyDescent="0.25">
      <c r="A110" s="2">
        <v>40648</v>
      </c>
      <c r="B110" s="3">
        <v>551</v>
      </c>
      <c r="C110" s="4">
        <v>258970</v>
      </c>
      <c r="D110" s="3">
        <v>610</v>
      </c>
      <c r="E110" s="4">
        <v>445300</v>
      </c>
      <c r="G110" s="12">
        <f t="shared" si="29"/>
        <v>2011</v>
      </c>
      <c r="H110" s="12">
        <f t="shared" si="30"/>
        <v>4</v>
      </c>
      <c r="I110" s="11">
        <f t="shared" si="41"/>
        <v>4</v>
      </c>
      <c r="J110" s="11"/>
      <c r="K110" s="1" t="str">
        <f>+'Warranties &amp; Returns'!A110</f>
        <v>September 2019</v>
      </c>
      <c r="L110" s="1">
        <v>105</v>
      </c>
      <c r="M110" s="1">
        <f t="shared" si="48"/>
        <v>21095</v>
      </c>
      <c r="N110" s="1">
        <f t="shared" si="49"/>
        <v>9914650</v>
      </c>
      <c r="O110" s="1">
        <f t="shared" si="50"/>
        <v>9074</v>
      </c>
      <c r="P110" s="1">
        <f t="shared" si="51"/>
        <v>6624020</v>
      </c>
      <c r="Q110" s="1">
        <f t="shared" si="52"/>
        <v>470</v>
      </c>
      <c r="R110" s="1">
        <f t="shared" si="53"/>
        <v>730</v>
      </c>
      <c r="S110" s="1">
        <f t="shared" si="54"/>
        <v>0</v>
      </c>
      <c r="T110" s="1">
        <f t="shared" si="55"/>
        <v>0</v>
      </c>
      <c r="U110" s="1">
        <f t="shared" si="56"/>
        <v>0</v>
      </c>
      <c r="V110" s="1">
        <f t="shared" si="57"/>
        <v>0</v>
      </c>
      <c r="W110" s="17" t="str">
        <f t="shared" si="42"/>
        <v>September 2019</v>
      </c>
      <c r="X110" s="18">
        <f>+'Warranties &amp; Returns'!B111/Sales!M110</f>
        <v>8.3052856127044328E-2</v>
      </c>
      <c r="Y110" s="18">
        <f>+'Warranties &amp; Returns'!C112/Sales!M110</f>
        <v>3.4652761317847829E-2</v>
      </c>
      <c r="Z110" s="18">
        <f>+'Warranties &amp; Returns'!D111/Sales!O110</f>
        <v>6.6563808684152528E-2</v>
      </c>
      <c r="AA110" s="18">
        <f>+'Warranties &amp; Returns'!E112/Sales!O110</f>
        <v>4.9041216662993166E-2</v>
      </c>
      <c r="AB110" s="18"/>
      <c r="AC110" s="18" t="str">
        <f t="shared" si="43"/>
        <v>September 2019</v>
      </c>
      <c r="AD110" s="22">
        <f t="shared" si="44"/>
        <v>21095</v>
      </c>
      <c r="AE110" s="23">
        <f t="shared" si="45"/>
        <v>9914650</v>
      </c>
      <c r="AF110" s="22">
        <f t="shared" si="46"/>
        <v>9074</v>
      </c>
      <c r="AG110" s="23">
        <f t="shared" si="47"/>
        <v>6624020</v>
      </c>
    </row>
    <row r="111" spans="1:33" x14ac:dyDescent="0.25">
      <c r="A111" s="2">
        <v>40649</v>
      </c>
      <c r="B111" s="3">
        <v>481</v>
      </c>
      <c r="C111" s="4">
        <v>226070</v>
      </c>
      <c r="D111" s="3">
        <v>572</v>
      </c>
      <c r="E111" s="4">
        <v>417560</v>
      </c>
      <c r="G111" s="12">
        <f t="shared" si="29"/>
        <v>2011</v>
      </c>
      <c r="H111" s="12">
        <f t="shared" si="30"/>
        <v>4</v>
      </c>
      <c r="I111" s="11">
        <f t="shared" si="41"/>
        <v>4</v>
      </c>
      <c r="J111" s="11"/>
      <c r="K111" s="1" t="str">
        <f>+'Warranties &amp; Returns'!A111</f>
        <v>October 2019</v>
      </c>
      <c r="L111" s="1">
        <v>106</v>
      </c>
      <c r="M111" s="1">
        <f t="shared" si="48"/>
        <v>18698</v>
      </c>
      <c r="N111" s="1">
        <f t="shared" si="49"/>
        <v>5492537.5</v>
      </c>
      <c r="O111" s="1">
        <f t="shared" si="50"/>
        <v>9116</v>
      </c>
      <c r="P111" s="1">
        <f t="shared" si="51"/>
        <v>6654680</v>
      </c>
      <c r="Q111" s="1">
        <f t="shared" si="52"/>
        <v>293.75</v>
      </c>
      <c r="R111" s="1">
        <f t="shared" si="53"/>
        <v>730</v>
      </c>
      <c r="S111" s="1">
        <f t="shared" si="54"/>
        <v>1</v>
      </c>
      <c r="T111" s="1">
        <f t="shared" si="55"/>
        <v>0</v>
      </c>
      <c r="U111" s="1">
        <f t="shared" si="56"/>
        <v>106</v>
      </c>
      <c r="V111" s="1">
        <f t="shared" si="57"/>
        <v>0</v>
      </c>
      <c r="W111" s="17" t="str">
        <f t="shared" si="42"/>
        <v>October 2019</v>
      </c>
      <c r="X111" s="18">
        <f>+'Warranties &amp; Returns'!B112/Sales!M111</f>
        <v>0</v>
      </c>
      <c r="Y111" s="18">
        <f>+'Warranties &amp; Returns'!C113/Sales!M111</f>
        <v>3.577922772489036E-2</v>
      </c>
      <c r="Z111" s="18">
        <f>+'Warranties &amp; Returns'!D112/Sales!O111</f>
        <v>7.1083808688021055E-2</v>
      </c>
      <c r="AA111" s="18">
        <f>+'Warranties &amp; Returns'!E113/Sales!O111</f>
        <v>4.6292233435717423E-2</v>
      </c>
      <c r="AB111" s="18"/>
      <c r="AC111" s="18" t="str">
        <f t="shared" si="43"/>
        <v>October 2019</v>
      </c>
      <c r="AD111" s="22">
        <f t="shared" si="44"/>
        <v>18698</v>
      </c>
      <c r="AE111" s="23">
        <f t="shared" si="45"/>
        <v>5492537.5</v>
      </c>
      <c r="AF111" s="22">
        <f t="shared" si="46"/>
        <v>9116</v>
      </c>
      <c r="AG111" s="23">
        <f t="shared" si="47"/>
        <v>6654680</v>
      </c>
    </row>
    <row r="112" spans="1:33" x14ac:dyDescent="0.25">
      <c r="A112" s="2">
        <v>40650</v>
      </c>
      <c r="B112" s="3">
        <v>505</v>
      </c>
      <c r="C112" s="4">
        <v>237350</v>
      </c>
      <c r="D112" s="3">
        <v>654</v>
      </c>
      <c r="E112" s="4">
        <v>477420</v>
      </c>
      <c r="G112" s="12">
        <f t="shared" si="29"/>
        <v>2011</v>
      </c>
      <c r="H112" s="12">
        <f t="shared" si="30"/>
        <v>4</v>
      </c>
      <c r="I112" s="11">
        <f t="shared" si="41"/>
        <v>4</v>
      </c>
      <c r="J112" s="11"/>
      <c r="K112" s="1" t="str">
        <f>+'Warranties &amp; Returns'!A112</f>
        <v>November 2019</v>
      </c>
      <c r="L112" s="1">
        <v>107</v>
      </c>
      <c r="M112" s="1">
        <f t="shared" si="48"/>
        <v>13816</v>
      </c>
      <c r="N112" s="1">
        <f t="shared" si="49"/>
        <v>6493520</v>
      </c>
      <c r="O112" s="1">
        <f t="shared" si="50"/>
        <v>8873</v>
      </c>
      <c r="P112" s="1">
        <f t="shared" si="51"/>
        <v>6477290</v>
      </c>
      <c r="Q112" s="1">
        <f t="shared" si="52"/>
        <v>470</v>
      </c>
      <c r="R112" s="1">
        <f t="shared" si="53"/>
        <v>730</v>
      </c>
      <c r="S112" s="1">
        <f t="shared" si="54"/>
        <v>0</v>
      </c>
      <c r="T112" s="1">
        <f t="shared" si="55"/>
        <v>0</v>
      </c>
      <c r="U112" s="1">
        <f t="shared" si="56"/>
        <v>0</v>
      </c>
      <c r="V112" s="1">
        <f t="shared" si="57"/>
        <v>0</v>
      </c>
      <c r="W112" s="17" t="str">
        <f t="shared" si="42"/>
        <v>November 2019</v>
      </c>
      <c r="X112" s="18">
        <f>+'Warranties &amp; Returns'!B113/Sales!M112</f>
        <v>8.5770121598147078E-2</v>
      </c>
      <c r="Y112" s="18">
        <f>+'Warranties &amp; Returns'!C114/Sales!M112</f>
        <v>4.1111754487550667E-2</v>
      </c>
      <c r="Z112" s="18">
        <f>+'Warranties &amp; Returns'!D113/Sales!O112</f>
        <v>6.3563619970697621E-2</v>
      </c>
      <c r="AA112" s="18">
        <f>+'Warranties &amp; Returns'!E114/Sales!O112</f>
        <v>5.5674518201284794E-2</v>
      </c>
      <c r="AB112" s="18"/>
      <c r="AC112" s="18" t="str">
        <f t="shared" si="43"/>
        <v>November 2019</v>
      </c>
      <c r="AD112" s="22">
        <f t="shared" si="44"/>
        <v>13816</v>
      </c>
      <c r="AE112" s="23">
        <f t="shared" si="45"/>
        <v>6493520</v>
      </c>
      <c r="AF112" s="22">
        <f t="shared" si="46"/>
        <v>8873</v>
      </c>
      <c r="AG112" s="23">
        <f t="shared" si="47"/>
        <v>6477290</v>
      </c>
    </row>
    <row r="113" spans="1:33" x14ac:dyDescent="0.25">
      <c r="A113" s="2">
        <v>40651</v>
      </c>
      <c r="B113" s="3">
        <v>452</v>
      </c>
      <c r="C113" s="4">
        <v>212440</v>
      </c>
      <c r="D113" s="3">
        <v>595</v>
      </c>
      <c r="E113" s="4">
        <v>434350</v>
      </c>
      <c r="G113" s="12">
        <f t="shared" si="29"/>
        <v>2011</v>
      </c>
      <c r="H113" s="12">
        <f t="shared" si="30"/>
        <v>4</v>
      </c>
      <c r="I113" s="11">
        <f t="shared" si="41"/>
        <v>4</v>
      </c>
      <c r="J113" s="11"/>
      <c r="K113" s="1" t="str">
        <f>+'Warranties &amp; Returns'!A113</f>
        <v>December 2019</v>
      </c>
      <c r="L113" s="1">
        <v>108</v>
      </c>
      <c r="M113" s="1">
        <f t="shared" si="48"/>
        <v>14505</v>
      </c>
      <c r="N113" s="1">
        <f t="shared" si="49"/>
        <v>6817350</v>
      </c>
      <c r="O113" s="1">
        <f t="shared" si="50"/>
        <v>9442</v>
      </c>
      <c r="P113" s="1">
        <f t="shared" si="51"/>
        <v>6892660</v>
      </c>
      <c r="Q113" s="1">
        <f t="shared" si="52"/>
        <v>470</v>
      </c>
      <c r="R113" s="1">
        <f t="shared" si="53"/>
        <v>730</v>
      </c>
      <c r="S113" s="1">
        <f t="shared" si="54"/>
        <v>0</v>
      </c>
      <c r="T113" s="1">
        <f t="shared" si="55"/>
        <v>0</v>
      </c>
      <c r="U113" s="1">
        <f t="shared" si="56"/>
        <v>0</v>
      </c>
      <c r="V113" s="1">
        <f t="shared" si="57"/>
        <v>0</v>
      </c>
      <c r="W113" s="17" t="str">
        <f t="shared" si="42"/>
        <v>December 2019</v>
      </c>
      <c r="X113" s="18">
        <f>+'Warranties &amp; Returns'!B114/Sales!M113</f>
        <v>8.7211306446053086E-2</v>
      </c>
      <c r="Y113" s="18">
        <f>+'Warranties &amp; Returns'!C115/Sales!M113</f>
        <v>5.3016201309893138E-2</v>
      </c>
      <c r="Z113" s="18">
        <f>+'Warranties &amp; Returns'!D114/Sales!O113</f>
        <v>6.46049565769964E-2</v>
      </c>
      <c r="AA113" s="18">
        <f>+'Warranties &amp; Returns'!E115/Sales!O113</f>
        <v>3.75979665325143E-2</v>
      </c>
      <c r="AB113" s="18"/>
      <c r="AC113" s="18" t="str">
        <f t="shared" si="43"/>
        <v>December 2019</v>
      </c>
      <c r="AD113" s="22">
        <f t="shared" si="44"/>
        <v>14505</v>
      </c>
      <c r="AE113" s="23">
        <f t="shared" si="45"/>
        <v>6817350</v>
      </c>
      <c r="AF113" s="22">
        <f t="shared" si="46"/>
        <v>9442</v>
      </c>
      <c r="AG113" s="23">
        <f t="shared" si="47"/>
        <v>6892660</v>
      </c>
    </row>
    <row r="114" spans="1:33" x14ac:dyDescent="0.25">
      <c r="A114" s="2">
        <v>40652</v>
      </c>
      <c r="B114" s="3">
        <v>413</v>
      </c>
      <c r="C114" s="4">
        <v>194110</v>
      </c>
      <c r="D114" s="3">
        <v>632</v>
      </c>
      <c r="E114" s="4">
        <v>461360</v>
      </c>
      <c r="G114" s="12">
        <f t="shared" si="29"/>
        <v>2011</v>
      </c>
      <c r="H114" s="12">
        <f t="shared" si="30"/>
        <v>4</v>
      </c>
      <c r="I114" s="11">
        <f t="shared" si="41"/>
        <v>4</v>
      </c>
      <c r="J114" s="11"/>
      <c r="K114" s="1" t="str">
        <f>+'Warranties &amp; Returns'!A114</f>
        <v>January 2020</v>
      </c>
      <c r="L114" s="1">
        <v>109</v>
      </c>
      <c r="M114" s="1">
        <f t="shared" si="48"/>
        <v>14183</v>
      </c>
      <c r="N114" s="1">
        <f t="shared" si="49"/>
        <v>6666010</v>
      </c>
      <c r="O114" s="1">
        <f t="shared" si="50"/>
        <v>9362</v>
      </c>
      <c r="P114" s="1">
        <f t="shared" si="51"/>
        <v>6834260</v>
      </c>
      <c r="Q114" s="1">
        <f t="shared" si="52"/>
        <v>470</v>
      </c>
      <c r="R114" s="1">
        <f t="shared" si="53"/>
        <v>730</v>
      </c>
      <c r="S114" s="1">
        <f t="shared" si="54"/>
        <v>0</v>
      </c>
      <c r="T114" s="1">
        <f t="shared" si="55"/>
        <v>0</v>
      </c>
      <c r="U114" s="1">
        <f t="shared" si="56"/>
        <v>0</v>
      </c>
      <c r="V114" s="1">
        <f t="shared" si="57"/>
        <v>0</v>
      </c>
      <c r="W114" s="17" t="str">
        <f t="shared" si="42"/>
        <v>January 2020</v>
      </c>
      <c r="X114" s="18">
        <f>+'Warranties &amp; Returns'!B115/Sales!M114</f>
        <v>8.0236903334978502E-2</v>
      </c>
      <c r="Y114" s="18">
        <f>+'Warranties &amp; Returns'!C116/Sales!M114</f>
        <v>3.5041951632235772E-2</v>
      </c>
      <c r="Z114" s="18">
        <f>+'Warranties &amp; Returns'!D115/Sales!O114</f>
        <v>6.1311685537278358E-2</v>
      </c>
      <c r="AA114" s="18">
        <f>+'Warranties &amp; Returns'!E116/Sales!O114</f>
        <v>4.6250801110873742E-2</v>
      </c>
      <c r="AB114" s="18"/>
      <c r="AC114" s="18" t="str">
        <f t="shared" si="43"/>
        <v>January 2020</v>
      </c>
      <c r="AD114" s="22">
        <f t="shared" si="44"/>
        <v>14183</v>
      </c>
      <c r="AE114" s="23">
        <f t="shared" si="45"/>
        <v>6666010</v>
      </c>
      <c r="AF114" s="22">
        <f t="shared" si="46"/>
        <v>9362</v>
      </c>
      <c r="AG114" s="23">
        <f t="shared" si="47"/>
        <v>6834260</v>
      </c>
    </row>
    <row r="115" spans="1:33" x14ac:dyDescent="0.25">
      <c r="A115" s="2">
        <v>40653</v>
      </c>
      <c r="B115" s="3">
        <v>531</v>
      </c>
      <c r="C115" s="4">
        <v>249570</v>
      </c>
      <c r="D115" s="3">
        <v>646</v>
      </c>
      <c r="E115" s="4">
        <v>471580</v>
      </c>
      <c r="G115" s="12">
        <f t="shared" si="29"/>
        <v>2011</v>
      </c>
      <c r="H115" s="12">
        <f t="shared" si="30"/>
        <v>4</v>
      </c>
      <c r="I115" s="11">
        <f t="shared" si="41"/>
        <v>4</v>
      </c>
      <c r="J115" s="11"/>
      <c r="K115" s="1" t="str">
        <f>+'Warranties &amp; Returns'!A115</f>
        <v>February 2020</v>
      </c>
      <c r="L115" s="1">
        <v>110</v>
      </c>
      <c r="M115" s="1">
        <f t="shared" si="48"/>
        <v>13213</v>
      </c>
      <c r="N115" s="1">
        <f t="shared" si="49"/>
        <v>6210110</v>
      </c>
      <c r="O115" s="1">
        <f t="shared" si="50"/>
        <v>8618</v>
      </c>
      <c r="P115" s="1">
        <f t="shared" si="51"/>
        <v>6291140</v>
      </c>
      <c r="Q115" s="1">
        <f t="shared" si="52"/>
        <v>470</v>
      </c>
      <c r="R115" s="1">
        <f t="shared" si="53"/>
        <v>730</v>
      </c>
      <c r="S115" s="1">
        <f t="shared" si="54"/>
        <v>0</v>
      </c>
      <c r="T115" s="1">
        <f t="shared" si="55"/>
        <v>0</v>
      </c>
      <c r="U115" s="1">
        <f t="shared" si="56"/>
        <v>0</v>
      </c>
      <c r="V115" s="1">
        <f t="shared" si="57"/>
        <v>0</v>
      </c>
      <c r="W115" s="17" t="str">
        <f t="shared" si="42"/>
        <v>February 2020</v>
      </c>
      <c r="X115" s="18">
        <f>+'Warranties &amp; Returns'!B116/Sales!M115</f>
        <v>7.7499432377204275E-2</v>
      </c>
      <c r="Y115" s="18">
        <f>+'Warranties &amp; Returns'!C117/Sales!M115</f>
        <v>3.6857640202830548E-2</v>
      </c>
      <c r="Z115" s="18">
        <f>+'Warranties &amp; Returns'!D116/Sales!O115</f>
        <v>6.5212346252030637E-2</v>
      </c>
      <c r="AA115" s="18">
        <f>+'Warranties &amp; Returns'!E117/Sales!O115</f>
        <v>4.3745648642376421E-2</v>
      </c>
      <c r="AB115" s="18"/>
      <c r="AC115" s="18" t="str">
        <f t="shared" si="43"/>
        <v>February 2020</v>
      </c>
      <c r="AD115" s="22">
        <f t="shared" si="44"/>
        <v>13213</v>
      </c>
      <c r="AE115" s="23">
        <f t="shared" si="45"/>
        <v>6210110</v>
      </c>
      <c r="AF115" s="22">
        <f t="shared" si="46"/>
        <v>8618</v>
      </c>
      <c r="AG115" s="23">
        <f t="shared" si="47"/>
        <v>6291140</v>
      </c>
    </row>
    <row r="116" spans="1:33" x14ac:dyDescent="0.25">
      <c r="A116" s="2">
        <v>40654</v>
      </c>
      <c r="B116" s="3">
        <v>456</v>
      </c>
      <c r="C116" s="4">
        <v>214320</v>
      </c>
      <c r="D116" s="3">
        <v>662</v>
      </c>
      <c r="E116" s="4">
        <v>483260</v>
      </c>
      <c r="G116" s="12">
        <f t="shared" si="29"/>
        <v>2011</v>
      </c>
      <c r="H116" s="12">
        <f t="shared" si="30"/>
        <v>4</v>
      </c>
      <c r="I116" s="11">
        <f t="shared" si="41"/>
        <v>4</v>
      </c>
      <c r="J116" s="11"/>
      <c r="K116" s="1" t="str">
        <f>+'Warranties &amp; Returns'!A116</f>
        <v>March 2020</v>
      </c>
      <c r="L116" s="1">
        <v>111</v>
      </c>
      <c r="M116" s="1">
        <f t="shared" si="48"/>
        <v>14758</v>
      </c>
      <c r="N116" s="1">
        <f t="shared" si="49"/>
        <v>6936260</v>
      </c>
      <c r="O116" s="1">
        <f t="shared" si="50"/>
        <v>9399</v>
      </c>
      <c r="P116" s="1">
        <f t="shared" si="51"/>
        <v>6861270</v>
      </c>
      <c r="Q116" s="1">
        <f t="shared" si="52"/>
        <v>470</v>
      </c>
      <c r="R116" s="1">
        <f t="shared" si="53"/>
        <v>730</v>
      </c>
      <c r="S116" s="1">
        <f t="shared" si="54"/>
        <v>0</v>
      </c>
      <c r="T116" s="1">
        <f t="shared" si="55"/>
        <v>0</v>
      </c>
      <c r="U116" s="1">
        <f t="shared" si="56"/>
        <v>0</v>
      </c>
      <c r="V116" s="1">
        <f t="shared" si="57"/>
        <v>0</v>
      </c>
      <c r="W116" s="17" t="str">
        <f t="shared" si="42"/>
        <v>March 2020</v>
      </c>
      <c r="X116" s="18">
        <f>+'Warranties &amp; Returns'!B117/Sales!M116</f>
        <v>8.3209106925057591E-2</v>
      </c>
      <c r="Y116" s="18">
        <f>+'Warranties &amp; Returns'!C118/Sales!M116</f>
        <v>3.3473370375389618E-2</v>
      </c>
      <c r="Z116" s="18">
        <f>+'Warranties &amp; Returns'!D117/Sales!O116</f>
        <v>6.415576125119693E-2</v>
      </c>
      <c r="AA116" s="18">
        <f>+'Warranties &amp; Returns'!E118/Sales!O116</f>
        <v>4.7771039472284282E-2</v>
      </c>
      <c r="AB116" s="18"/>
      <c r="AC116" s="18" t="str">
        <f t="shared" si="43"/>
        <v>March 2020</v>
      </c>
      <c r="AD116" s="22">
        <f t="shared" si="44"/>
        <v>14758</v>
      </c>
      <c r="AE116" s="23">
        <f t="shared" si="45"/>
        <v>6936260</v>
      </c>
      <c r="AF116" s="22">
        <f t="shared" si="46"/>
        <v>9399</v>
      </c>
      <c r="AG116" s="23">
        <f t="shared" si="47"/>
        <v>6861270</v>
      </c>
    </row>
    <row r="117" spans="1:33" x14ac:dyDescent="0.25">
      <c r="A117" s="2">
        <v>40655</v>
      </c>
      <c r="B117" s="3">
        <v>439</v>
      </c>
      <c r="C117" s="4">
        <v>206330</v>
      </c>
      <c r="D117" s="3">
        <v>664</v>
      </c>
      <c r="E117" s="4">
        <v>484720</v>
      </c>
      <c r="G117" s="12">
        <f t="shared" si="29"/>
        <v>2011</v>
      </c>
      <c r="H117" s="12">
        <f t="shared" si="30"/>
        <v>4</v>
      </c>
      <c r="I117" s="11">
        <f t="shared" si="41"/>
        <v>4</v>
      </c>
      <c r="J117" s="11"/>
      <c r="K117" s="1" t="str">
        <f>+'Warranties &amp; Returns'!A117</f>
        <v>April 2020</v>
      </c>
      <c r="L117" s="1">
        <v>112</v>
      </c>
      <c r="M117" s="1">
        <f t="shared" si="48"/>
        <v>14311</v>
      </c>
      <c r="N117" s="1">
        <f t="shared" si="49"/>
        <v>6726170</v>
      </c>
      <c r="O117" s="1">
        <f t="shared" si="50"/>
        <v>19941</v>
      </c>
      <c r="P117" s="1">
        <f t="shared" si="51"/>
        <v>14556930</v>
      </c>
      <c r="Q117" s="1">
        <f t="shared" si="52"/>
        <v>470</v>
      </c>
      <c r="R117" s="1">
        <f t="shared" si="53"/>
        <v>730</v>
      </c>
      <c r="S117" s="1">
        <f t="shared" si="54"/>
        <v>0</v>
      </c>
      <c r="T117" s="1">
        <f t="shared" si="55"/>
        <v>0</v>
      </c>
      <c r="U117" s="1">
        <f t="shared" si="56"/>
        <v>0</v>
      </c>
      <c r="V117" s="1">
        <f t="shared" si="57"/>
        <v>0</v>
      </c>
      <c r="W117" s="17" t="str">
        <f t="shared" si="42"/>
        <v>April 2020</v>
      </c>
      <c r="X117" s="18">
        <f>+'Warranties &amp; Returns'!B118/Sales!M117</f>
        <v>8.5458738033680384E-2</v>
      </c>
      <c r="Y117" s="18">
        <f>+'Warranties &amp; Returns'!C119/Sales!M117</f>
        <v>3.8501851722451262E-2</v>
      </c>
      <c r="Z117" s="18">
        <f>+'Warranties &amp; Returns'!D118/Sales!O117</f>
        <v>6.6094980191565122E-2</v>
      </c>
      <c r="AA117" s="18">
        <f>+'Warranties &amp; Returns'!E119/Sales!O117</f>
        <v>4.2826337696203802E-2</v>
      </c>
      <c r="AB117" s="18"/>
      <c r="AC117" s="18" t="str">
        <f t="shared" si="43"/>
        <v>April 2020</v>
      </c>
      <c r="AD117" s="22">
        <f t="shared" si="44"/>
        <v>14311</v>
      </c>
      <c r="AE117" s="23">
        <f t="shared" si="45"/>
        <v>6726170</v>
      </c>
      <c r="AF117" s="22">
        <f t="shared" si="46"/>
        <v>19941</v>
      </c>
      <c r="AG117" s="23">
        <f t="shared" si="47"/>
        <v>14556930</v>
      </c>
    </row>
    <row r="118" spans="1:33" x14ac:dyDescent="0.25">
      <c r="A118" s="2">
        <v>40656</v>
      </c>
      <c r="B118" s="3">
        <v>421</v>
      </c>
      <c r="C118" s="4">
        <v>197870</v>
      </c>
      <c r="D118" s="3">
        <v>666</v>
      </c>
      <c r="E118" s="4">
        <v>486180</v>
      </c>
      <c r="G118" s="12">
        <f t="shared" si="29"/>
        <v>2011</v>
      </c>
      <c r="H118" s="12">
        <f t="shared" si="30"/>
        <v>4</v>
      </c>
      <c r="I118" s="11">
        <f t="shared" si="41"/>
        <v>4</v>
      </c>
      <c r="J118" s="11"/>
      <c r="K118" s="1" t="str">
        <f>+'Warranties &amp; Returns'!A118</f>
        <v>May 2020</v>
      </c>
      <c r="L118" s="1">
        <v>113</v>
      </c>
      <c r="M118" s="1">
        <f t="shared" si="48"/>
        <v>15001</v>
      </c>
      <c r="N118" s="1">
        <f t="shared" si="49"/>
        <v>7050470</v>
      </c>
      <c r="O118" s="1">
        <f t="shared" si="50"/>
        <v>20976</v>
      </c>
      <c r="P118" s="1">
        <f t="shared" si="51"/>
        <v>15312480</v>
      </c>
      <c r="Q118" s="1">
        <f t="shared" si="52"/>
        <v>470</v>
      </c>
      <c r="R118" s="1">
        <f t="shared" si="53"/>
        <v>730</v>
      </c>
      <c r="S118" s="1">
        <f t="shared" si="54"/>
        <v>0</v>
      </c>
      <c r="T118" s="1">
        <f t="shared" si="55"/>
        <v>0</v>
      </c>
      <c r="U118" s="1">
        <f t="shared" si="56"/>
        <v>0</v>
      </c>
      <c r="V118" s="1">
        <f t="shared" si="57"/>
        <v>0</v>
      </c>
      <c r="W118" s="17" t="str">
        <f t="shared" si="42"/>
        <v>May 2020</v>
      </c>
      <c r="X118" s="18">
        <f>+'Warranties &amp; Returns'!B119/Sales!M118</f>
        <v>8.7260849276714889E-2</v>
      </c>
      <c r="Y118" s="18">
        <f>+'Warranties &amp; Returns'!C120/Sales!M118</f>
        <v>4.1263915738950739E-2</v>
      </c>
      <c r="Z118" s="18">
        <f>+'Warranties &amp; Returns'!D119/Sales!O118</f>
        <v>6.0068649885583525E-2</v>
      </c>
      <c r="AA118" s="18">
        <f>+'Warranties &amp; Returns'!E120/Sales!O118</f>
        <v>5.434782608695652E-2</v>
      </c>
      <c r="AB118" s="18"/>
      <c r="AC118" s="18" t="str">
        <f t="shared" si="43"/>
        <v>May 2020</v>
      </c>
      <c r="AD118" s="22">
        <f t="shared" si="44"/>
        <v>15001</v>
      </c>
      <c r="AE118" s="23">
        <f t="shared" si="45"/>
        <v>7050470</v>
      </c>
      <c r="AF118" s="22">
        <f t="shared" si="46"/>
        <v>20976</v>
      </c>
      <c r="AG118" s="23">
        <f t="shared" si="47"/>
        <v>15312480</v>
      </c>
    </row>
    <row r="119" spans="1:33" x14ac:dyDescent="0.25">
      <c r="A119" s="2">
        <v>40657</v>
      </c>
      <c r="B119" s="3">
        <v>475</v>
      </c>
      <c r="C119" s="4">
        <v>223250</v>
      </c>
      <c r="D119" s="3">
        <v>636</v>
      </c>
      <c r="E119" s="4">
        <v>464280</v>
      </c>
      <c r="G119" s="12">
        <f t="shared" si="29"/>
        <v>2011</v>
      </c>
      <c r="H119" s="12">
        <f t="shared" si="30"/>
        <v>4</v>
      </c>
      <c r="I119" s="11">
        <f t="shared" si="41"/>
        <v>4</v>
      </c>
      <c r="J119" s="11"/>
      <c r="K119" s="1" t="str">
        <f>+'Warranties &amp; Returns'!A119</f>
        <v>June 2020</v>
      </c>
      <c r="L119" s="1">
        <v>114</v>
      </c>
      <c r="M119" s="1">
        <f t="shared" si="48"/>
        <v>14763</v>
      </c>
      <c r="N119" s="1">
        <f t="shared" si="49"/>
        <v>6938610</v>
      </c>
      <c r="O119" s="1">
        <f t="shared" si="50"/>
        <v>22145</v>
      </c>
      <c r="P119" s="1">
        <f t="shared" si="51"/>
        <v>6466340</v>
      </c>
      <c r="Q119" s="1">
        <f t="shared" si="52"/>
        <v>470</v>
      </c>
      <c r="R119" s="1">
        <f t="shared" si="53"/>
        <v>292</v>
      </c>
      <c r="S119" s="1">
        <f t="shared" si="54"/>
        <v>0</v>
      </c>
      <c r="T119" s="1">
        <f t="shared" si="55"/>
        <v>1</v>
      </c>
      <c r="U119" s="1">
        <f t="shared" si="56"/>
        <v>0</v>
      </c>
      <c r="V119" s="1">
        <f t="shared" si="57"/>
        <v>114</v>
      </c>
      <c r="W119" s="17" t="str">
        <f t="shared" si="42"/>
        <v>June 2020</v>
      </c>
      <c r="X119" s="18">
        <f>+'Warranties &amp; Returns'!B120/Sales!M119</f>
        <v>8.4738874212558421E-2</v>
      </c>
      <c r="Y119" s="18">
        <f>+'Warranties &amp; Returns'!C121/Sales!M119</f>
        <v>3.6984352773826459E-2</v>
      </c>
      <c r="Z119" s="18">
        <f>+'Warranties &amp; Returns'!D120/Sales!O119</f>
        <v>0</v>
      </c>
      <c r="AA119" s="18">
        <f>+'Warranties &amp; Returns'!E121/Sales!O119</f>
        <v>5.2427184466019419E-2</v>
      </c>
      <c r="AB119" s="18"/>
      <c r="AC119" s="18" t="str">
        <f t="shared" si="43"/>
        <v>June 2020</v>
      </c>
      <c r="AD119" s="22">
        <f t="shared" si="44"/>
        <v>14763</v>
      </c>
      <c r="AE119" s="23">
        <f t="shared" si="45"/>
        <v>6938610</v>
      </c>
      <c r="AF119" s="22">
        <f t="shared" si="46"/>
        <v>22145</v>
      </c>
      <c r="AG119" s="23">
        <f t="shared" si="47"/>
        <v>6466340</v>
      </c>
    </row>
    <row r="120" spans="1:33" x14ac:dyDescent="0.25">
      <c r="A120" s="2">
        <v>40658</v>
      </c>
      <c r="B120" s="3">
        <v>466</v>
      </c>
      <c r="C120" s="4">
        <v>219020</v>
      </c>
      <c r="D120" s="3">
        <v>655</v>
      </c>
      <c r="E120" s="4">
        <v>478150</v>
      </c>
      <c r="G120" s="12">
        <f t="shared" si="29"/>
        <v>2011</v>
      </c>
      <c r="H120" s="12">
        <f t="shared" si="30"/>
        <v>4</v>
      </c>
      <c r="I120" s="11">
        <f t="shared" si="41"/>
        <v>4</v>
      </c>
      <c r="J120" s="11"/>
      <c r="K120" s="1" t="str">
        <f>+'Warranties &amp; Returns'!A120</f>
        <v>July 2020</v>
      </c>
      <c r="L120" s="1">
        <v>115</v>
      </c>
      <c r="M120" s="1">
        <f t="shared" si="48"/>
        <v>14481</v>
      </c>
      <c r="N120" s="1">
        <f t="shared" si="49"/>
        <v>6806070</v>
      </c>
      <c r="O120" s="1">
        <f t="shared" si="50"/>
        <v>9474</v>
      </c>
      <c r="P120" s="1">
        <f t="shared" si="51"/>
        <v>6916020</v>
      </c>
      <c r="Q120" s="1">
        <f t="shared" si="52"/>
        <v>470</v>
      </c>
      <c r="R120" s="1">
        <f t="shared" si="53"/>
        <v>730</v>
      </c>
      <c r="S120" s="1">
        <f t="shared" si="54"/>
        <v>0</v>
      </c>
      <c r="T120" s="1">
        <f t="shared" si="55"/>
        <v>0</v>
      </c>
      <c r="U120" s="1">
        <f t="shared" si="56"/>
        <v>0</v>
      </c>
      <c r="V120" s="1">
        <f t="shared" si="57"/>
        <v>0</v>
      </c>
      <c r="W120" s="17" t="str">
        <f t="shared" si="42"/>
        <v>July 2020</v>
      </c>
      <c r="X120" s="18">
        <f>+'Warranties &amp; Returns'!B121/Sales!M120</f>
        <v>8.6665285546578277E-2</v>
      </c>
      <c r="Y120" s="18">
        <f>+'Warranties &amp; Returns'!C122/Sales!M120</f>
        <v>3.273254609488295E-2</v>
      </c>
      <c r="Z120" s="18">
        <f>+'Warranties &amp; Returns'!D121/Sales!O120</f>
        <v>6.2697910069664339E-2</v>
      </c>
      <c r="AA120" s="18">
        <f>+'Warranties &amp; Returns'!E122/Sales!O120</f>
        <v>4.69706565336711E-2</v>
      </c>
      <c r="AB120" s="18"/>
      <c r="AC120" s="18" t="str">
        <f t="shared" si="43"/>
        <v>July 2020</v>
      </c>
      <c r="AD120" s="22">
        <f t="shared" si="44"/>
        <v>14481</v>
      </c>
      <c r="AE120" s="23">
        <f t="shared" si="45"/>
        <v>6806070</v>
      </c>
      <c r="AF120" s="22">
        <f t="shared" si="46"/>
        <v>9474</v>
      </c>
      <c r="AG120" s="23">
        <f t="shared" si="47"/>
        <v>6916020</v>
      </c>
    </row>
    <row r="121" spans="1:33" x14ac:dyDescent="0.25">
      <c r="A121" s="2">
        <v>40659</v>
      </c>
      <c r="B121" s="3">
        <v>503</v>
      </c>
      <c r="C121" s="4">
        <v>236410</v>
      </c>
      <c r="D121" s="3">
        <v>686</v>
      </c>
      <c r="E121" s="4">
        <v>500780</v>
      </c>
      <c r="G121" s="12">
        <f t="shared" si="29"/>
        <v>2011</v>
      </c>
      <c r="H121" s="12">
        <f t="shared" si="30"/>
        <v>4</v>
      </c>
      <c r="I121" s="11">
        <f t="shared" si="41"/>
        <v>4</v>
      </c>
      <c r="J121" s="11"/>
      <c r="K121" s="1" t="str">
        <f>+'Warranties &amp; Returns'!A121</f>
        <v>August 2020</v>
      </c>
      <c r="L121" s="1">
        <v>116</v>
      </c>
      <c r="M121" s="1">
        <f t="shared" si="48"/>
        <v>22143</v>
      </c>
      <c r="N121" s="1">
        <f t="shared" si="49"/>
        <v>10407210</v>
      </c>
      <c r="O121" s="1">
        <f t="shared" si="50"/>
        <v>9053</v>
      </c>
      <c r="P121" s="1">
        <f t="shared" si="51"/>
        <v>6608690</v>
      </c>
      <c r="Q121" s="1">
        <f t="shared" si="52"/>
        <v>470</v>
      </c>
      <c r="R121" s="1">
        <f t="shared" si="53"/>
        <v>730</v>
      </c>
      <c r="S121" s="1">
        <f t="shared" si="54"/>
        <v>0</v>
      </c>
      <c r="T121" s="1">
        <f t="shared" si="55"/>
        <v>0</v>
      </c>
      <c r="U121" s="1">
        <f t="shared" si="56"/>
        <v>0</v>
      </c>
      <c r="V121" s="1">
        <f t="shared" si="57"/>
        <v>0</v>
      </c>
      <c r="W121" s="17" t="str">
        <f t="shared" si="42"/>
        <v>August 2020</v>
      </c>
      <c r="X121" s="18">
        <f>+'Warranties &amp; Returns'!B122/Sales!M121</f>
        <v>8.3954297069051165E-2</v>
      </c>
      <c r="Y121" s="18">
        <f>+'Warranties &amp; Returns'!C123/Sales!M121</f>
        <v>3.0077225308223817E-2</v>
      </c>
      <c r="Z121" s="18">
        <f>+'Warranties &amp; Returns'!D122/Sales!O121</f>
        <v>5.7549983430906879E-2</v>
      </c>
      <c r="AA121" s="18">
        <f>+'Warranties &amp; Returns'!E123/Sales!O121</f>
        <v>4.5620236385728485E-2</v>
      </c>
      <c r="AB121" s="18"/>
      <c r="AC121" s="18" t="str">
        <f t="shared" si="43"/>
        <v>August 2020</v>
      </c>
      <c r="AD121" s="22">
        <f t="shared" si="44"/>
        <v>22143</v>
      </c>
      <c r="AE121" s="23">
        <f t="shared" si="45"/>
        <v>10407210</v>
      </c>
      <c r="AF121" s="22">
        <f t="shared" si="46"/>
        <v>9053</v>
      </c>
      <c r="AG121" s="23">
        <f t="shared" si="47"/>
        <v>6608690</v>
      </c>
    </row>
    <row r="122" spans="1:33" x14ac:dyDescent="0.25">
      <c r="A122" s="2">
        <v>40660</v>
      </c>
      <c r="B122" s="3">
        <v>483</v>
      </c>
      <c r="C122" s="4">
        <v>227010</v>
      </c>
      <c r="D122" s="3">
        <v>725</v>
      </c>
      <c r="E122" s="4">
        <v>529250</v>
      </c>
      <c r="G122" s="12">
        <f t="shared" si="29"/>
        <v>2011</v>
      </c>
      <c r="H122" s="12">
        <f t="shared" si="30"/>
        <v>4</v>
      </c>
      <c r="I122" s="11">
        <f t="shared" si="41"/>
        <v>4</v>
      </c>
      <c r="J122" s="11"/>
      <c r="K122" s="1" t="str">
        <f>+'Warranties &amp; Returns'!A122</f>
        <v>September 2020</v>
      </c>
      <c r="L122" s="1">
        <v>117</v>
      </c>
      <c r="M122" s="1">
        <f t="shared" si="48"/>
        <v>20773</v>
      </c>
      <c r="N122" s="1">
        <f t="shared" si="49"/>
        <v>9763310</v>
      </c>
      <c r="O122" s="1">
        <f t="shared" si="50"/>
        <v>9158</v>
      </c>
      <c r="P122" s="1">
        <f t="shared" si="51"/>
        <v>6685340</v>
      </c>
      <c r="Q122" s="1">
        <f t="shared" si="52"/>
        <v>470</v>
      </c>
      <c r="R122" s="1">
        <f t="shared" si="53"/>
        <v>730</v>
      </c>
      <c r="S122" s="1">
        <f t="shared" si="54"/>
        <v>0</v>
      </c>
      <c r="T122" s="1">
        <f t="shared" si="55"/>
        <v>0</v>
      </c>
      <c r="U122" s="1">
        <f t="shared" si="56"/>
        <v>0</v>
      </c>
      <c r="V122" s="1">
        <f t="shared" si="57"/>
        <v>0</v>
      </c>
      <c r="W122" s="17" t="str">
        <f t="shared" si="42"/>
        <v>September 2020</v>
      </c>
      <c r="X122" s="18">
        <f>+'Warranties &amp; Returns'!B123/Sales!M122</f>
        <v>8.0248399364559769E-2</v>
      </c>
      <c r="Y122" s="18">
        <f>+'Warranties &amp; Returns'!C124/Sales!M122</f>
        <v>3.6585952919655322E-2</v>
      </c>
      <c r="Z122" s="18">
        <f>+'Warranties &amp; Returns'!D123/Sales!O122</f>
        <v>5.8091286307053944E-2</v>
      </c>
      <c r="AA122" s="18">
        <f>+'Warranties &amp; Returns'!E124/Sales!O122</f>
        <v>4.8700589648394847E-2</v>
      </c>
      <c r="AB122" s="18"/>
      <c r="AC122" s="18" t="str">
        <f t="shared" si="43"/>
        <v>September 2020</v>
      </c>
      <c r="AD122" s="22">
        <f t="shared" si="44"/>
        <v>20773</v>
      </c>
      <c r="AE122" s="23">
        <f t="shared" si="45"/>
        <v>9763310</v>
      </c>
      <c r="AF122" s="22">
        <f t="shared" si="46"/>
        <v>9158</v>
      </c>
      <c r="AG122" s="23">
        <f t="shared" si="47"/>
        <v>6685340</v>
      </c>
    </row>
    <row r="123" spans="1:33" x14ac:dyDescent="0.25">
      <c r="A123" s="2">
        <v>40661</v>
      </c>
      <c r="B123" s="3">
        <v>447</v>
      </c>
      <c r="C123" s="4">
        <v>210090</v>
      </c>
      <c r="D123" s="3">
        <v>664</v>
      </c>
      <c r="E123" s="4">
        <v>484720</v>
      </c>
      <c r="G123" s="12">
        <f t="shared" si="29"/>
        <v>2011</v>
      </c>
      <c r="H123" s="12">
        <f t="shared" si="30"/>
        <v>4</v>
      </c>
      <c r="I123" s="11">
        <f t="shared" si="41"/>
        <v>4</v>
      </c>
      <c r="J123" s="11"/>
      <c r="K123" s="1" t="str">
        <f>+'Warranties &amp; Returns'!A123</f>
        <v>October 2020</v>
      </c>
      <c r="L123" s="1">
        <v>118</v>
      </c>
      <c r="M123" s="1">
        <f t="shared" si="48"/>
        <v>18228</v>
      </c>
      <c r="N123" s="1">
        <f t="shared" si="49"/>
        <v>5354475</v>
      </c>
      <c r="O123" s="1">
        <f t="shared" si="50"/>
        <v>9488</v>
      </c>
      <c r="P123" s="1">
        <f t="shared" si="51"/>
        <v>6926240</v>
      </c>
      <c r="Q123" s="1">
        <f t="shared" si="52"/>
        <v>293.75</v>
      </c>
      <c r="R123" s="1">
        <f t="shared" si="53"/>
        <v>730</v>
      </c>
      <c r="S123" s="1">
        <f t="shared" si="54"/>
        <v>1</v>
      </c>
      <c r="T123" s="1">
        <f t="shared" si="55"/>
        <v>0</v>
      </c>
      <c r="U123" s="1">
        <f t="shared" si="56"/>
        <v>118</v>
      </c>
      <c r="V123" s="1">
        <f t="shared" si="57"/>
        <v>0</v>
      </c>
      <c r="W123" s="17" t="str">
        <f t="shared" si="42"/>
        <v>October 2020</v>
      </c>
      <c r="X123" s="18">
        <f>+'Warranties &amp; Returns'!B124/Sales!M123</f>
        <v>0</v>
      </c>
      <c r="Y123" s="18">
        <f>+'Warranties &amp; Returns'!C125/Sales!M123</f>
        <v>4.2955892034233049E-2</v>
      </c>
      <c r="Z123" s="18">
        <f>+'Warranties &amp; Returns'!D124/Sales!O123</f>
        <v>6.2710792580101177E-2</v>
      </c>
      <c r="AA123" s="18">
        <f>+'Warranties &amp; Returns'!E125/Sales!O123</f>
        <v>5.1538785834738615E-2</v>
      </c>
      <c r="AB123" s="18"/>
      <c r="AC123" s="18" t="str">
        <f t="shared" si="43"/>
        <v>October 2020</v>
      </c>
      <c r="AD123" s="22">
        <f t="shared" si="44"/>
        <v>18228</v>
      </c>
      <c r="AE123" s="23">
        <f t="shared" si="45"/>
        <v>5354475</v>
      </c>
      <c r="AF123" s="22">
        <f t="shared" si="46"/>
        <v>9488</v>
      </c>
      <c r="AG123" s="23">
        <f t="shared" si="47"/>
        <v>6926240</v>
      </c>
    </row>
    <row r="124" spans="1:33" x14ac:dyDescent="0.25">
      <c r="A124" s="2">
        <v>40662</v>
      </c>
      <c r="B124" s="3">
        <v>472</v>
      </c>
      <c r="C124" s="4">
        <v>221840</v>
      </c>
      <c r="D124" s="3">
        <v>629</v>
      </c>
      <c r="E124" s="4">
        <v>459170</v>
      </c>
      <c r="G124" s="12">
        <f t="shared" si="29"/>
        <v>2011</v>
      </c>
      <c r="H124" s="12">
        <f t="shared" si="30"/>
        <v>4</v>
      </c>
      <c r="I124" s="11">
        <f t="shared" si="41"/>
        <v>4</v>
      </c>
      <c r="J124" s="11"/>
      <c r="K124" s="1" t="str">
        <f>+'Warranties &amp; Returns'!A124</f>
        <v>November 2020</v>
      </c>
      <c r="L124" s="1">
        <v>119</v>
      </c>
      <c r="M124" s="1">
        <f t="shared" si="48"/>
        <v>14232</v>
      </c>
      <c r="N124" s="1">
        <f t="shared" si="49"/>
        <v>6689040</v>
      </c>
      <c r="O124" s="1">
        <f t="shared" si="50"/>
        <v>8791</v>
      </c>
      <c r="P124" s="1">
        <f t="shared" si="51"/>
        <v>6417430</v>
      </c>
      <c r="Q124" s="1">
        <f t="shared" si="52"/>
        <v>470</v>
      </c>
      <c r="R124" s="1">
        <f t="shared" si="53"/>
        <v>730</v>
      </c>
      <c r="S124" s="1">
        <f t="shared" si="54"/>
        <v>0</v>
      </c>
      <c r="T124" s="1">
        <f t="shared" si="55"/>
        <v>0</v>
      </c>
      <c r="U124" s="1">
        <f t="shared" si="56"/>
        <v>0</v>
      </c>
      <c r="V124" s="1">
        <f t="shared" si="57"/>
        <v>0</v>
      </c>
      <c r="W124" s="17" t="str">
        <f t="shared" si="42"/>
        <v>November 2020</v>
      </c>
      <c r="X124" s="18">
        <f>+'Warranties &amp; Returns'!B125/Sales!M124</f>
        <v>7.9539066891512092E-2</v>
      </c>
      <c r="Y124" s="18">
        <f>+'Warranties &amp; Returns'!C126/Sales!M124</f>
        <v>0</v>
      </c>
      <c r="Z124" s="18">
        <f>+'Warranties &amp; Returns'!D125/Sales!O124</f>
        <v>6.3474007507678301E-2</v>
      </c>
      <c r="AA124" s="18">
        <f>+'Warranties &amp; Returns'!E126/Sales!O124</f>
        <v>0</v>
      </c>
      <c r="AB124" s="18"/>
      <c r="AC124" s="18" t="str">
        <f t="shared" si="43"/>
        <v>November 2020</v>
      </c>
      <c r="AD124" s="22">
        <f t="shared" si="44"/>
        <v>14232</v>
      </c>
      <c r="AE124" s="23">
        <f t="shared" si="45"/>
        <v>6689040</v>
      </c>
      <c r="AF124" s="22">
        <f t="shared" si="46"/>
        <v>8791</v>
      </c>
      <c r="AG124" s="23">
        <f t="shared" si="47"/>
        <v>6417430</v>
      </c>
    </row>
    <row r="125" spans="1:33" x14ac:dyDescent="0.25">
      <c r="A125" s="2">
        <v>40663</v>
      </c>
      <c r="B125" s="3">
        <v>543</v>
      </c>
      <c r="C125" s="4">
        <v>255210</v>
      </c>
      <c r="D125" s="3">
        <v>693</v>
      </c>
      <c r="E125" s="4">
        <v>505890</v>
      </c>
      <c r="G125" s="12">
        <f t="shared" si="29"/>
        <v>2011</v>
      </c>
      <c r="H125" s="12">
        <f t="shared" si="30"/>
        <v>4</v>
      </c>
      <c r="I125" s="11">
        <f t="shared" si="41"/>
        <v>4</v>
      </c>
      <c r="J125" s="11"/>
      <c r="K125" s="1" t="str">
        <f>+'Warranties &amp; Returns'!A125</f>
        <v>December 2020</v>
      </c>
      <c r="L125" s="1">
        <v>120</v>
      </c>
      <c r="M125" s="1">
        <f t="shared" si="48"/>
        <v>14544</v>
      </c>
      <c r="N125" s="1">
        <f t="shared" si="49"/>
        <v>6835680</v>
      </c>
      <c r="O125" s="1">
        <f t="shared" si="50"/>
        <v>9351</v>
      </c>
      <c r="P125" s="1">
        <f t="shared" si="51"/>
        <v>6826230</v>
      </c>
      <c r="Q125" s="1">
        <f t="shared" si="52"/>
        <v>470</v>
      </c>
      <c r="R125" s="1">
        <f t="shared" si="53"/>
        <v>730</v>
      </c>
      <c r="S125" s="1">
        <f t="shared" si="54"/>
        <v>0</v>
      </c>
      <c r="T125" s="1">
        <f t="shared" si="55"/>
        <v>0</v>
      </c>
      <c r="U125" s="1">
        <f t="shared" si="56"/>
        <v>0</v>
      </c>
      <c r="V125" s="1">
        <f t="shared" si="57"/>
        <v>0</v>
      </c>
      <c r="W125" s="17" t="str">
        <f t="shared" si="42"/>
        <v>December 2020</v>
      </c>
      <c r="X125" s="18">
        <f>+'Warranties &amp; Returns'!B126/Sales!M125</f>
        <v>0</v>
      </c>
      <c r="Y125" s="18">
        <f>+'Warranties &amp; Returns'!C127/Sales!M125</f>
        <v>0</v>
      </c>
      <c r="Z125" s="18">
        <f>+'Warranties &amp; Returns'!D126/Sales!O125</f>
        <v>0</v>
      </c>
      <c r="AA125" s="18">
        <f>+'Warranties &amp; Returns'!E127/Sales!O125</f>
        <v>0</v>
      </c>
      <c r="AB125" s="18"/>
      <c r="AC125" s="18" t="str">
        <f t="shared" si="43"/>
        <v>December 2020</v>
      </c>
      <c r="AD125" s="22">
        <f t="shared" si="44"/>
        <v>14544</v>
      </c>
      <c r="AE125" s="23">
        <f t="shared" si="45"/>
        <v>6835680</v>
      </c>
      <c r="AF125" s="22">
        <f t="shared" si="46"/>
        <v>9351</v>
      </c>
      <c r="AG125" s="23">
        <f t="shared" si="47"/>
        <v>6826230</v>
      </c>
    </row>
    <row r="126" spans="1:33" x14ac:dyDescent="0.25">
      <c r="A126" s="2">
        <v>40664</v>
      </c>
      <c r="B126" s="3">
        <v>450</v>
      </c>
      <c r="C126" s="4">
        <v>211500</v>
      </c>
      <c r="D126" s="3">
        <v>721</v>
      </c>
      <c r="E126" s="4">
        <v>526330</v>
      </c>
      <c r="G126" s="12">
        <f t="shared" si="29"/>
        <v>2011</v>
      </c>
      <c r="H126" s="12">
        <f t="shared" si="30"/>
        <v>5</v>
      </c>
      <c r="I126" s="11">
        <f t="shared" si="41"/>
        <v>5</v>
      </c>
      <c r="J126" s="11"/>
    </row>
    <row r="127" spans="1:33" x14ac:dyDescent="0.25">
      <c r="A127" s="2">
        <v>40665</v>
      </c>
      <c r="B127" s="3">
        <v>519</v>
      </c>
      <c r="C127" s="4">
        <v>243930</v>
      </c>
      <c r="D127" s="3">
        <v>643</v>
      </c>
      <c r="E127" s="4">
        <v>469390</v>
      </c>
      <c r="G127" s="12">
        <f t="shared" si="29"/>
        <v>2011</v>
      </c>
      <c r="H127" s="12">
        <f t="shared" si="30"/>
        <v>5</v>
      </c>
      <c r="I127" s="11">
        <f t="shared" si="41"/>
        <v>5</v>
      </c>
      <c r="J127" s="11"/>
      <c r="U127" s="1">
        <f>+(SUM(U6:U125)-540)/10</f>
        <v>10</v>
      </c>
      <c r="V127" s="1">
        <f t="shared" ref="V127" si="58">+(SUM(V6:V125)-540)/10</f>
        <v>6</v>
      </c>
    </row>
    <row r="128" spans="1:33" x14ac:dyDescent="0.25">
      <c r="A128" s="2">
        <v>40666</v>
      </c>
      <c r="B128" s="3">
        <v>339</v>
      </c>
      <c r="C128" s="4">
        <v>159330</v>
      </c>
      <c r="D128" s="3">
        <v>739</v>
      </c>
      <c r="E128" s="4">
        <v>539470</v>
      </c>
      <c r="G128" s="12">
        <f t="shared" si="29"/>
        <v>2011</v>
      </c>
      <c r="H128" s="12">
        <f t="shared" si="30"/>
        <v>5</v>
      </c>
      <c r="I128" s="11">
        <f t="shared" si="41"/>
        <v>5</v>
      </c>
      <c r="J128" s="11"/>
      <c r="U128" s="1" t="str">
        <f>+VLOOKUP(U127,$U$130:$V$141,2)</f>
        <v>October</v>
      </c>
      <c r="V128" s="1" t="str">
        <f>+VLOOKUP(V127,$U$130:$V$141,2)</f>
        <v>June</v>
      </c>
    </row>
    <row r="129" spans="1:22" x14ac:dyDescent="0.25">
      <c r="A129" s="2">
        <v>40667</v>
      </c>
      <c r="B129" s="3">
        <v>494</v>
      </c>
      <c r="C129" s="4">
        <v>232180</v>
      </c>
      <c r="D129" s="3">
        <v>730</v>
      </c>
      <c r="E129" s="4">
        <v>532900</v>
      </c>
      <c r="G129" s="12">
        <f t="shared" si="29"/>
        <v>2011</v>
      </c>
      <c r="H129" s="12">
        <f t="shared" si="30"/>
        <v>5</v>
      </c>
      <c r="I129" s="11">
        <f t="shared" si="41"/>
        <v>5</v>
      </c>
      <c r="J129" s="11"/>
    </row>
    <row r="130" spans="1:22" x14ac:dyDescent="0.25">
      <c r="A130" s="2">
        <v>40668</v>
      </c>
      <c r="B130" s="3">
        <v>506</v>
      </c>
      <c r="C130" s="4">
        <v>237820</v>
      </c>
      <c r="D130" s="3">
        <v>606</v>
      </c>
      <c r="E130" s="4">
        <v>442380</v>
      </c>
      <c r="G130" s="12">
        <f t="shared" si="29"/>
        <v>2011</v>
      </c>
      <c r="H130" s="12">
        <f t="shared" si="30"/>
        <v>5</v>
      </c>
      <c r="I130" s="11">
        <f t="shared" si="41"/>
        <v>5</v>
      </c>
      <c r="J130" s="11"/>
      <c r="U130" s="1">
        <v>1</v>
      </c>
      <c r="V130" s="1" t="s">
        <v>161</v>
      </c>
    </row>
    <row r="131" spans="1:22" x14ac:dyDescent="0.25">
      <c r="A131" s="2">
        <v>40669</v>
      </c>
      <c r="B131" s="3">
        <v>430</v>
      </c>
      <c r="C131" s="4">
        <v>202100</v>
      </c>
      <c r="D131" s="3">
        <v>731</v>
      </c>
      <c r="E131" s="4">
        <v>533630</v>
      </c>
      <c r="G131" s="12">
        <f t="shared" si="29"/>
        <v>2011</v>
      </c>
      <c r="H131" s="12">
        <f t="shared" si="30"/>
        <v>5</v>
      </c>
      <c r="I131" s="11">
        <f t="shared" si="41"/>
        <v>5</v>
      </c>
      <c r="J131" s="11"/>
      <c r="U131" s="1">
        <v>2</v>
      </c>
      <c r="V131" s="1" t="s">
        <v>162</v>
      </c>
    </row>
    <row r="132" spans="1:22" x14ac:dyDescent="0.25">
      <c r="A132" s="2">
        <v>40670</v>
      </c>
      <c r="B132" s="3">
        <v>426</v>
      </c>
      <c r="C132" s="4">
        <v>200220</v>
      </c>
      <c r="D132" s="3">
        <v>718</v>
      </c>
      <c r="E132" s="4">
        <v>524140</v>
      </c>
      <c r="G132" s="12">
        <f t="shared" si="29"/>
        <v>2011</v>
      </c>
      <c r="H132" s="12">
        <f t="shared" si="30"/>
        <v>5</v>
      </c>
      <c r="I132" s="11">
        <f t="shared" si="41"/>
        <v>5</v>
      </c>
      <c r="J132" s="11"/>
      <c r="U132" s="1">
        <v>3</v>
      </c>
      <c r="V132" s="1" t="s">
        <v>163</v>
      </c>
    </row>
    <row r="133" spans="1:22" x14ac:dyDescent="0.25">
      <c r="A133" s="2">
        <v>40671</v>
      </c>
      <c r="B133" s="3">
        <v>526</v>
      </c>
      <c r="C133" s="4">
        <v>247220</v>
      </c>
      <c r="D133" s="3">
        <v>686</v>
      </c>
      <c r="E133" s="4">
        <v>500780</v>
      </c>
      <c r="G133" s="12">
        <f t="shared" si="29"/>
        <v>2011</v>
      </c>
      <c r="H133" s="12">
        <f t="shared" si="30"/>
        <v>5</v>
      </c>
      <c r="I133" s="11">
        <f t="shared" si="41"/>
        <v>5</v>
      </c>
      <c r="J133" s="11"/>
      <c r="U133" s="1">
        <v>4</v>
      </c>
      <c r="V133" s="1" t="s">
        <v>164</v>
      </c>
    </row>
    <row r="134" spans="1:22" x14ac:dyDescent="0.25">
      <c r="A134" s="2">
        <v>40672</v>
      </c>
      <c r="B134" s="3">
        <v>469</v>
      </c>
      <c r="C134" s="4">
        <v>220430</v>
      </c>
      <c r="D134" s="3">
        <v>642</v>
      </c>
      <c r="E134" s="4">
        <v>468660</v>
      </c>
      <c r="G134" s="12">
        <f t="shared" ref="G134:G197" si="59">+YEAR(A134)</f>
        <v>2011</v>
      </c>
      <c r="H134" s="12">
        <f t="shared" ref="H134:H197" si="60">+MONTH(A134)</f>
        <v>5</v>
      </c>
      <c r="I134" s="11">
        <f t="shared" si="41"/>
        <v>5</v>
      </c>
      <c r="J134" s="11"/>
      <c r="U134" s="1">
        <v>5</v>
      </c>
      <c r="V134" s="1" t="s">
        <v>165</v>
      </c>
    </row>
    <row r="135" spans="1:22" x14ac:dyDescent="0.25">
      <c r="A135" s="2">
        <v>40673</v>
      </c>
      <c r="B135" s="3">
        <v>439</v>
      </c>
      <c r="C135" s="4">
        <v>206330</v>
      </c>
      <c r="D135" s="3">
        <v>682</v>
      </c>
      <c r="E135" s="4">
        <v>497860</v>
      </c>
      <c r="G135" s="12">
        <f t="shared" si="59"/>
        <v>2011</v>
      </c>
      <c r="H135" s="12">
        <f t="shared" si="60"/>
        <v>5</v>
      </c>
      <c r="I135" s="11">
        <f t="shared" ref="I135:I198" si="61">+H135+(G135-2011)*12</f>
        <v>5</v>
      </c>
      <c r="J135" s="11"/>
      <c r="U135" s="1">
        <v>6</v>
      </c>
      <c r="V135" s="1" t="s">
        <v>166</v>
      </c>
    </row>
    <row r="136" spans="1:22" x14ac:dyDescent="0.25">
      <c r="A136" s="2">
        <v>40674</v>
      </c>
      <c r="B136" s="3">
        <v>484</v>
      </c>
      <c r="C136" s="4">
        <v>227480</v>
      </c>
      <c r="D136" s="3">
        <v>630</v>
      </c>
      <c r="E136" s="4">
        <v>459900</v>
      </c>
      <c r="G136" s="12">
        <f t="shared" si="59"/>
        <v>2011</v>
      </c>
      <c r="H136" s="12">
        <f t="shared" si="60"/>
        <v>5</v>
      </c>
      <c r="I136" s="11">
        <f t="shared" si="61"/>
        <v>5</v>
      </c>
      <c r="J136" s="11"/>
      <c r="U136" s="1">
        <v>7</v>
      </c>
      <c r="V136" s="1" t="s">
        <v>167</v>
      </c>
    </row>
    <row r="137" spans="1:22" x14ac:dyDescent="0.25">
      <c r="A137" s="2">
        <v>40675</v>
      </c>
      <c r="B137" s="3">
        <v>413</v>
      </c>
      <c r="C137" s="4">
        <v>194110</v>
      </c>
      <c r="D137" s="3">
        <v>753</v>
      </c>
      <c r="E137" s="4">
        <v>549690</v>
      </c>
      <c r="G137" s="12">
        <f t="shared" si="59"/>
        <v>2011</v>
      </c>
      <c r="H137" s="12">
        <f t="shared" si="60"/>
        <v>5</v>
      </c>
      <c r="I137" s="11">
        <f t="shared" si="61"/>
        <v>5</v>
      </c>
      <c r="J137" s="11"/>
      <c r="U137" s="1">
        <v>8</v>
      </c>
      <c r="V137" s="1" t="s">
        <v>168</v>
      </c>
    </row>
    <row r="138" spans="1:22" x14ac:dyDescent="0.25">
      <c r="A138" s="2">
        <v>40676</v>
      </c>
      <c r="B138" s="3">
        <v>512</v>
      </c>
      <c r="C138" s="4">
        <v>240640</v>
      </c>
      <c r="D138" s="3">
        <v>668</v>
      </c>
      <c r="E138" s="4">
        <v>487640</v>
      </c>
      <c r="G138" s="12">
        <f t="shared" si="59"/>
        <v>2011</v>
      </c>
      <c r="H138" s="12">
        <f t="shared" si="60"/>
        <v>5</v>
      </c>
      <c r="I138" s="11">
        <f t="shared" si="61"/>
        <v>5</v>
      </c>
      <c r="J138" s="11"/>
      <c r="U138" s="1">
        <v>9</v>
      </c>
      <c r="V138" s="1" t="s">
        <v>169</v>
      </c>
    </row>
    <row r="139" spans="1:22" x14ac:dyDescent="0.25">
      <c r="A139" s="2">
        <v>40677</v>
      </c>
      <c r="B139" s="3">
        <v>376</v>
      </c>
      <c r="C139" s="4">
        <v>176720</v>
      </c>
      <c r="D139" s="3">
        <v>616</v>
      </c>
      <c r="E139" s="4">
        <v>449680</v>
      </c>
      <c r="G139" s="12">
        <f t="shared" si="59"/>
        <v>2011</v>
      </c>
      <c r="H139" s="12">
        <f t="shared" si="60"/>
        <v>5</v>
      </c>
      <c r="I139" s="11">
        <f t="shared" si="61"/>
        <v>5</v>
      </c>
      <c r="J139" s="11"/>
      <c r="U139" s="1">
        <v>10</v>
      </c>
      <c r="V139" s="1" t="s">
        <v>170</v>
      </c>
    </row>
    <row r="140" spans="1:22" x14ac:dyDescent="0.25">
      <c r="A140" s="2">
        <v>40678</v>
      </c>
      <c r="B140" s="3">
        <v>439</v>
      </c>
      <c r="C140" s="4">
        <v>206330</v>
      </c>
      <c r="D140" s="3">
        <v>580</v>
      </c>
      <c r="E140" s="4">
        <v>423400</v>
      </c>
      <c r="G140" s="12">
        <f t="shared" si="59"/>
        <v>2011</v>
      </c>
      <c r="H140" s="12">
        <f t="shared" si="60"/>
        <v>5</v>
      </c>
      <c r="I140" s="11">
        <f t="shared" si="61"/>
        <v>5</v>
      </c>
      <c r="J140" s="11"/>
      <c r="U140" s="1">
        <v>11</v>
      </c>
      <c r="V140" s="1" t="s">
        <v>171</v>
      </c>
    </row>
    <row r="141" spans="1:22" x14ac:dyDescent="0.25">
      <c r="A141" s="2">
        <v>40679</v>
      </c>
      <c r="B141" s="3">
        <v>403</v>
      </c>
      <c r="C141" s="4">
        <v>189410</v>
      </c>
      <c r="D141" s="3">
        <v>670</v>
      </c>
      <c r="E141" s="4">
        <v>489100</v>
      </c>
      <c r="G141" s="12">
        <f t="shared" si="59"/>
        <v>2011</v>
      </c>
      <c r="H141" s="12">
        <f t="shared" si="60"/>
        <v>5</v>
      </c>
      <c r="I141" s="11">
        <f t="shared" si="61"/>
        <v>5</v>
      </c>
      <c r="J141" s="11"/>
      <c r="U141" s="1">
        <v>12</v>
      </c>
      <c r="V141" s="1" t="s">
        <v>172</v>
      </c>
    </row>
    <row r="142" spans="1:22" x14ac:dyDescent="0.25">
      <c r="A142" s="2">
        <v>40680</v>
      </c>
      <c r="B142" s="3">
        <v>499</v>
      </c>
      <c r="C142" s="4">
        <v>234530</v>
      </c>
      <c r="D142" s="3">
        <v>754</v>
      </c>
      <c r="E142" s="4">
        <v>550420</v>
      </c>
      <c r="G142" s="12">
        <f t="shared" si="59"/>
        <v>2011</v>
      </c>
      <c r="H142" s="12">
        <f t="shared" si="60"/>
        <v>5</v>
      </c>
      <c r="I142" s="11">
        <f t="shared" si="61"/>
        <v>5</v>
      </c>
      <c r="J142" s="11"/>
    </row>
    <row r="143" spans="1:22" x14ac:dyDescent="0.25">
      <c r="A143" s="2">
        <v>40681</v>
      </c>
      <c r="B143" s="3">
        <v>438</v>
      </c>
      <c r="C143" s="4">
        <v>205860</v>
      </c>
      <c r="D143" s="3">
        <v>622</v>
      </c>
      <c r="E143" s="4">
        <v>454060</v>
      </c>
      <c r="G143" s="12">
        <f t="shared" si="59"/>
        <v>2011</v>
      </c>
      <c r="H143" s="12">
        <f t="shared" si="60"/>
        <v>5</v>
      </c>
      <c r="I143" s="11">
        <f t="shared" si="61"/>
        <v>5</v>
      </c>
      <c r="J143" s="11"/>
    </row>
    <row r="144" spans="1:22" x14ac:dyDescent="0.25">
      <c r="A144" s="2">
        <v>40682</v>
      </c>
      <c r="B144" s="3">
        <v>467</v>
      </c>
      <c r="C144" s="4">
        <v>219490</v>
      </c>
      <c r="D144" s="3">
        <v>702</v>
      </c>
      <c r="E144" s="4">
        <v>512460</v>
      </c>
      <c r="G144" s="12">
        <f t="shared" si="59"/>
        <v>2011</v>
      </c>
      <c r="H144" s="12">
        <f t="shared" si="60"/>
        <v>5</v>
      </c>
      <c r="I144" s="11">
        <f t="shared" si="61"/>
        <v>5</v>
      </c>
      <c r="J144" s="11"/>
    </row>
    <row r="145" spans="1:10" x14ac:dyDescent="0.25">
      <c r="A145" s="2">
        <v>40683</v>
      </c>
      <c r="B145" s="3">
        <v>496</v>
      </c>
      <c r="C145" s="4">
        <v>233120</v>
      </c>
      <c r="D145" s="3">
        <v>570</v>
      </c>
      <c r="E145" s="4">
        <v>416100</v>
      </c>
      <c r="G145" s="12">
        <f t="shared" si="59"/>
        <v>2011</v>
      </c>
      <c r="H145" s="12">
        <f t="shared" si="60"/>
        <v>5</v>
      </c>
      <c r="I145" s="11">
        <f t="shared" si="61"/>
        <v>5</v>
      </c>
      <c r="J145" s="11"/>
    </row>
    <row r="146" spans="1:10" x14ac:dyDescent="0.25">
      <c r="A146" s="2">
        <v>40684</v>
      </c>
      <c r="B146" s="3">
        <v>483</v>
      </c>
      <c r="C146" s="4">
        <v>227010</v>
      </c>
      <c r="D146" s="3">
        <v>682</v>
      </c>
      <c r="E146" s="4">
        <v>497860</v>
      </c>
      <c r="G146" s="12">
        <f t="shared" si="59"/>
        <v>2011</v>
      </c>
      <c r="H146" s="12">
        <f t="shared" si="60"/>
        <v>5</v>
      </c>
      <c r="I146" s="11">
        <f t="shared" si="61"/>
        <v>5</v>
      </c>
      <c r="J146" s="11"/>
    </row>
    <row r="147" spans="1:10" x14ac:dyDescent="0.25">
      <c r="A147" s="2">
        <v>40685</v>
      </c>
      <c r="B147" s="3">
        <v>413</v>
      </c>
      <c r="C147" s="4">
        <v>194110</v>
      </c>
      <c r="D147" s="3">
        <v>578</v>
      </c>
      <c r="E147" s="4">
        <v>421940</v>
      </c>
      <c r="G147" s="12">
        <f t="shared" si="59"/>
        <v>2011</v>
      </c>
      <c r="H147" s="12">
        <f t="shared" si="60"/>
        <v>5</v>
      </c>
      <c r="I147" s="11">
        <f t="shared" si="61"/>
        <v>5</v>
      </c>
      <c r="J147" s="11"/>
    </row>
    <row r="148" spans="1:10" x14ac:dyDescent="0.25">
      <c r="A148" s="2">
        <v>40686</v>
      </c>
      <c r="B148" s="3">
        <v>413</v>
      </c>
      <c r="C148" s="4">
        <v>194110</v>
      </c>
      <c r="D148" s="3">
        <v>677</v>
      </c>
      <c r="E148" s="4">
        <v>494210</v>
      </c>
      <c r="G148" s="12">
        <f t="shared" si="59"/>
        <v>2011</v>
      </c>
      <c r="H148" s="12">
        <f t="shared" si="60"/>
        <v>5</v>
      </c>
      <c r="I148" s="11">
        <f t="shared" si="61"/>
        <v>5</v>
      </c>
      <c r="J148" s="11"/>
    </row>
    <row r="149" spans="1:10" x14ac:dyDescent="0.25">
      <c r="A149" s="2">
        <v>40687</v>
      </c>
      <c r="B149" s="3">
        <v>453</v>
      </c>
      <c r="C149" s="4">
        <v>212910</v>
      </c>
      <c r="D149" s="3">
        <v>649</v>
      </c>
      <c r="E149" s="4">
        <v>473770</v>
      </c>
      <c r="G149" s="12">
        <f t="shared" si="59"/>
        <v>2011</v>
      </c>
      <c r="H149" s="12">
        <f t="shared" si="60"/>
        <v>5</v>
      </c>
      <c r="I149" s="11">
        <f t="shared" si="61"/>
        <v>5</v>
      </c>
      <c r="J149" s="11"/>
    </row>
    <row r="150" spans="1:10" x14ac:dyDescent="0.25">
      <c r="A150" s="2">
        <v>40688</v>
      </c>
      <c r="B150" s="3">
        <v>440</v>
      </c>
      <c r="C150" s="4">
        <v>206800</v>
      </c>
      <c r="D150" s="3">
        <v>728</v>
      </c>
      <c r="E150" s="4">
        <v>531440</v>
      </c>
      <c r="G150" s="12">
        <f t="shared" si="59"/>
        <v>2011</v>
      </c>
      <c r="H150" s="12">
        <f t="shared" si="60"/>
        <v>5</v>
      </c>
      <c r="I150" s="11">
        <f t="shared" si="61"/>
        <v>5</v>
      </c>
      <c r="J150" s="11"/>
    </row>
    <row r="151" spans="1:10" x14ac:dyDescent="0.25">
      <c r="A151" s="2">
        <v>40689</v>
      </c>
      <c r="B151" s="3">
        <v>374</v>
      </c>
      <c r="C151" s="4">
        <v>175780</v>
      </c>
      <c r="D151" s="3">
        <v>620</v>
      </c>
      <c r="E151" s="4">
        <v>452600</v>
      </c>
      <c r="G151" s="12">
        <f t="shared" si="59"/>
        <v>2011</v>
      </c>
      <c r="H151" s="12">
        <f t="shared" si="60"/>
        <v>5</v>
      </c>
      <c r="I151" s="11">
        <f t="shared" si="61"/>
        <v>5</v>
      </c>
      <c r="J151" s="11"/>
    </row>
    <row r="152" spans="1:10" x14ac:dyDescent="0.25">
      <c r="A152" s="2">
        <v>40690</v>
      </c>
      <c r="B152" s="3">
        <v>481</v>
      </c>
      <c r="C152" s="4">
        <v>226070</v>
      </c>
      <c r="D152" s="3">
        <v>743</v>
      </c>
      <c r="E152" s="4">
        <v>542390</v>
      </c>
      <c r="G152" s="12">
        <f t="shared" si="59"/>
        <v>2011</v>
      </c>
      <c r="H152" s="12">
        <f t="shared" si="60"/>
        <v>5</v>
      </c>
      <c r="I152" s="11">
        <f t="shared" si="61"/>
        <v>5</v>
      </c>
      <c r="J152" s="11"/>
    </row>
    <row r="153" spans="1:10" x14ac:dyDescent="0.25">
      <c r="A153" s="2">
        <v>40691</v>
      </c>
      <c r="B153" s="3">
        <v>377</v>
      </c>
      <c r="C153" s="4">
        <v>177190</v>
      </c>
      <c r="D153" s="3">
        <v>587</v>
      </c>
      <c r="E153" s="4">
        <v>428510</v>
      </c>
      <c r="G153" s="12">
        <f t="shared" si="59"/>
        <v>2011</v>
      </c>
      <c r="H153" s="12">
        <f t="shared" si="60"/>
        <v>5</v>
      </c>
      <c r="I153" s="11">
        <f t="shared" si="61"/>
        <v>5</v>
      </c>
      <c r="J153" s="11"/>
    </row>
    <row r="154" spans="1:10" x14ac:dyDescent="0.25">
      <c r="A154" s="2">
        <v>40692</v>
      </c>
      <c r="B154" s="3">
        <v>450</v>
      </c>
      <c r="C154" s="4">
        <v>211500</v>
      </c>
      <c r="D154" s="3">
        <v>581</v>
      </c>
      <c r="E154" s="4">
        <v>424130</v>
      </c>
      <c r="G154" s="12">
        <f t="shared" si="59"/>
        <v>2011</v>
      </c>
      <c r="H154" s="12">
        <f t="shared" si="60"/>
        <v>5</v>
      </c>
      <c r="I154" s="11">
        <f t="shared" si="61"/>
        <v>5</v>
      </c>
      <c r="J154" s="11"/>
    </row>
    <row r="155" spans="1:10" x14ac:dyDescent="0.25">
      <c r="A155" s="2">
        <v>40693</v>
      </c>
      <c r="B155" s="3">
        <v>517</v>
      </c>
      <c r="C155" s="4">
        <v>242990</v>
      </c>
      <c r="D155" s="3">
        <v>676</v>
      </c>
      <c r="E155" s="4">
        <v>493480</v>
      </c>
      <c r="G155" s="12">
        <f t="shared" si="59"/>
        <v>2011</v>
      </c>
      <c r="H155" s="12">
        <f t="shared" si="60"/>
        <v>5</v>
      </c>
      <c r="I155" s="11">
        <f t="shared" si="61"/>
        <v>5</v>
      </c>
      <c r="J155" s="11"/>
    </row>
    <row r="156" spans="1:10" x14ac:dyDescent="0.25">
      <c r="A156" s="2">
        <v>40694</v>
      </c>
      <c r="B156" s="3">
        <v>390</v>
      </c>
      <c r="C156" s="4">
        <v>183300</v>
      </c>
      <c r="D156" s="3">
        <v>749</v>
      </c>
      <c r="E156" s="4">
        <v>546770</v>
      </c>
      <c r="G156" s="12">
        <f t="shared" si="59"/>
        <v>2011</v>
      </c>
      <c r="H156" s="12">
        <f t="shared" si="60"/>
        <v>5</v>
      </c>
      <c r="I156" s="11">
        <f t="shared" si="61"/>
        <v>5</v>
      </c>
      <c r="J156" s="11"/>
    </row>
    <row r="157" spans="1:10" x14ac:dyDescent="0.25">
      <c r="A157" s="2">
        <v>40695</v>
      </c>
      <c r="B157" s="3">
        <v>407</v>
      </c>
      <c r="C157" s="4">
        <v>191290</v>
      </c>
      <c r="D157" s="3">
        <v>736</v>
      </c>
      <c r="E157" s="4">
        <v>214912</v>
      </c>
      <c r="G157" s="12">
        <f t="shared" si="59"/>
        <v>2011</v>
      </c>
      <c r="H157" s="12">
        <f t="shared" si="60"/>
        <v>6</v>
      </c>
      <c r="I157" s="11">
        <f t="shared" si="61"/>
        <v>6</v>
      </c>
      <c r="J157" s="11"/>
    </row>
    <row r="158" spans="1:10" x14ac:dyDescent="0.25">
      <c r="A158" s="2">
        <v>40696</v>
      </c>
      <c r="B158" s="3">
        <v>427</v>
      </c>
      <c r="C158" s="4">
        <v>200690</v>
      </c>
      <c r="D158" s="3">
        <v>687</v>
      </c>
      <c r="E158" s="4">
        <v>200604</v>
      </c>
      <c r="G158" s="12">
        <f t="shared" si="59"/>
        <v>2011</v>
      </c>
      <c r="H158" s="12">
        <f t="shared" si="60"/>
        <v>6</v>
      </c>
      <c r="I158" s="11">
        <f t="shared" si="61"/>
        <v>6</v>
      </c>
      <c r="J158" s="11"/>
    </row>
    <row r="159" spans="1:10" x14ac:dyDescent="0.25">
      <c r="A159" s="2">
        <v>40697</v>
      </c>
      <c r="B159" s="3">
        <v>446</v>
      </c>
      <c r="C159" s="4">
        <v>209620</v>
      </c>
      <c r="D159" s="3">
        <v>628</v>
      </c>
      <c r="E159" s="4">
        <v>183376</v>
      </c>
      <c r="G159" s="12">
        <f t="shared" si="59"/>
        <v>2011</v>
      </c>
      <c r="H159" s="12">
        <f t="shared" si="60"/>
        <v>6</v>
      </c>
      <c r="I159" s="11">
        <f t="shared" si="61"/>
        <v>6</v>
      </c>
      <c r="J159" s="11"/>
    </row>
    <row r="160" spans="1:10" x14ac:dyDescent="0.25">
      <c r="A160" s="2">
        <v>40698</v>
      </c>
      <c r="B160" s="3">
        <v>453</v>
      </c>
      <c r="C160" s="4">
        <v>212910</v>
      </c>
      <c r="D160" s="3">
        <v>777</v>
      </c>
      <c r="E160" s="4">
        <v>226884</v>
      </c>
      <c r="G160" s="12">
        <f t="shared" si="59"/>
        <v>2011</v>
      </c>
      <c r="H160" s="12">
        <f t="shared" si="60"/>
        <v>6</v>
      </c>
      <c r="I160" s="11">
        <f t="shared" si="61"/>
        <v>6</v>
      </c>
      <c r="J160" s="11"/>
    </row>
    <row r="161" spans="1:10" x14ac:dyDescent="0.25">
      <c r="A161" s="2">
        <v>40699</v>
      </c>
      <c r="B161" s="3">
        <v>538</v>
      </c>
      <c r="C161" s="4">
        <v>252860</v>
      </c>
      <c r="D161" s="3">
        <v>780</v>
      </c>
      <c r="E161" s="4">
        <v>227760</v>
      </c>
      <c r="G161" s="12">
        <f t="shared" si="59"/>
        <v>2011</v>
      </c>
      <c r="H161" s="12">
        <f t="shared" si="60"/>
        <v>6</v>
      </c>
      <c r="I161" s="11">
        <f t="shared" si="61"/>
        <v>6</v>
      </c>
      <c r="J161" s="11"/>
    </row>
    <row r="162" spans="1:10" x14ac:dyDescent="0.25">
      <c r="A162" s="2">
        <v>40700</v>
      </c>
      <c r="B162" s="3">
        <v>531</v>
      </c>
      <c r="C162" s="4">
        <v>249570</v>
      </c>
      <c r="D162" s="3">
        <v>689</v>
      </c>
      <c r="E162" s="4">
        <v>201188</v>
      </c>
      <c r="G162" s="12">
        <f t="shared" si="59"/>
        <v>2011</v>
      </c>
      <c r="H162" s="12">
        <f t="shared" si="60"/>
        <v>6</v>
      </c>
      <c r="I162" s="11">
        <f t="shared" si="61"/>
        <v>6</v>
      </c>
      <c r="J162" s="11"/>
    </row>
    <row r="163" spans="1:10" x14ac:dyDescent="0.25">
      <c r="A163" s="2">
        <v>40701</v>
      </c>
      <c r="B163" s="3">
        <v>495</v>
      </c>
      <c r="C163" s="4">
        <v>232650</v>
      </c>
      <c r="D163" s="3">
        <v>590</v>
      </c>
      <c r="E163" s="4">
        <v>172280</v>
      </c>
      <c r="G163" s="12">
        <f t="shared" si="59"/>
        <v>2011</v>
      </c>
      <c r="H163" s="12">
        <f t="shared" si="60"/>
        <v>6</v>
      </c>
      <c r="I163" s="11">
        <f t="shared" si="61"/>
        <v>6</v>
      </c>
      <c r="J163" s="11"/>
    </row>
    <row r="164" spans="1:10" x14ac:dyDescent="0.25">
      <c r="A164" s="2">
        <v>40702</v>
      </c>
      <c r="B164" s="3">
        <v>451</v>
      </c>
      <c r="C164" s="4">
        <v>211970</v>
      </c>
      <c r="D164" s="3">
        <v>701</v>
      </c>
      <c r="E164" s="4">
        <v>204692</v>
      </c>
      <c r="G164" s="12">
        <f t="shared" si="59"/>
        <v>2011</v>
      </c>
      <c r="H164" s="12">
        <f t="shared" si="60"/>
        <v>6</v>
      </c>
      <c r="I164" s="11">
        <f t="shared" si="61"/>
        <v>6</v>
      </c>
      <c r="J164" s="11"/>
    </row>
    <row r="165" spans="1:10" x14ac:dyDescent="0.25">
      <c r="A165" s="2">
        <v>40703</v>
      </c>
      <c r="B165" s="3">
        <v>425</v>
      </c>
      <c r="C165" s="4">
        <v>199750</v>
      </c>
      <c r="D165" s="3">
        <v>736</v>
      </c>
      <c r="E165" s="4">
        <v>214912</v>
      </c>
      <c r="G165" s="12">
        <f t="shared" si="59"/>
        <v>2011</v>
      </c>
      <c r="H165" s="12">
        <f t="shared" si="60"/>
        <v>6</v>
      </c>
      <c r="I165" s="11">
        <f t="shared" si="61"/>
        <v>6</v>
      </c>
      <c r="J165" s="11"/>
    </row>
    <row r="166" spans="1:10" x14ac:dyDescent="0.25">
      <c r="A166" s="2">
        <v>40704</v>
      </c>
      <c r="B166" s="3">
        <v>451</v>
      </c>
      <c r="C166" s="4">
        <v>211970</v>
      </c>
      <c r="D166" s="3">
        <v>691</v>
      </c>
      <c r="E166" s="4">
        <v>201772</v>
      </c>
      <c r="G166" s="12">
        <f t="shared" si="59"/>
        <v>2011</v>
      </c>
      <c r="H166" s="12">
        <f t="shared" si="60"/>
        <v>6</v>
      </c>
      <c r="I166" s="11">
        <f t="shared" si="61"/>
        <v>6</v>
      </c>
      <c r="J166" s="11"/>
    </row>
    <row r="167" spans="1:10" x14ac:dyDescent="0.25">
      <c r="A167" s="2">
        <v>40705</v>
      </c>
      <c r="B167" s="3">
        <v>520</v>
      </c>
      <c r="C167" s="4">
        <v>244400</v>
      </c>
      <c r="D167" s="3">
        <v>641</v>
      </c>
      <c r="E167" s="4">
        <v>187172</v>
      </c>
      <c r="G167" s="12">
        <f t="shared" si="59"/>
        <v>2011</v>
      </c>
      <c r="H167" s="12">
        <f t="shared" si="60"/>
        <v>6</v>
      </c>
      <c r="I167" s="11">
        <f t="shared" si="61"/>
        <v>6</v>
      </c>
      <c r="J167" s="11"/>
    </row>
    <row r="168" spans="1:10" x14ac:dyDescent="0.25">
      <c r="A168" s="2">
        <v>40706</v>
      </c>
      <c r="B168" s="3">
        <v>477</v>
      </c>
      <c r="C168" s="4">
        <v>224190</v>
      </c>
      <c r="D168" s="3">
        <v>737</v>
      </c>
      <c r="E168" s="4">
        <v>215204</v>
      </c>
      <c r="G168" s="12">
        <f t="shared" si="59"/>
        <v>2011</v>
      </c>
      <c r="H168" s="12">
        <f t="shared" si="60"/>
        <v>6</v>
      </c>
      <c r="I168" s="11">
        <f t="shared" si="61"/>
        <v>6</v>
      </c>
      <c r="J168" s="11"/>
    </row>
    <row r="169" spans="1:10" x14ac:dyDescent="0.25">
      <c r="A169" s="2">
        <v>40707</v>
      </c>
      <c r="B169" s="3">
        <v>445</v>
      </c>
      <c r="C169" s="4">
        <v>209150</v>
      </c>
      <c r="D169" s="3">
        <v>832</v>
      </c>
      <c r="E169" s="4">
        <v>242944</v>
      </c>
      <c r="G169" s="12">
        <f t="shared" si="59"/>
        <v>2011</v>
      </c>
      <c r="H169" s="12">
        <f t="shared" si="60"/>
        <v>6</v>
      </c>
      <c r="I169" s="11">
        <f t="shared" si="61"/>
        <v>6</v>
      </c>
      <c r="J169" s="11"/>
    </row>
    <row r="170" spans="1:10" x14ac:dyDescent="0.25">
      <c r="A170" s="2">
        <v>40708</v>
      </c>
      <c r="B170" s="3">
        <v>509</v>
      </c>
      <c r="C170" s="4">
        <v>239230</v>
      </c>
      <c r="D170" s="3">
        <v>672</v>
      </c>
      <c r="E170" s="4">
        <v>196224</v>
      </c>
      <c r="G170" s="12">
        <f t="shared" si="59"/>
        <v>2011</v>
      </c>
      <c r="H170" s="12">
        <f t="shared" si="60"/>
        <v>6</v>
      </c>
      <c r="I170" s="11">
        <f t="shared" si="61"/>
        <v>6</v>
      </c>
      <c r="J170" s="11"/>
    </row>
    <row r="171" spans="1:10" x14ac:dyDescent="0.25">
      <c r="A171" s="2">
        <v>40709</v>
      </c>
      <c r="B171" s="3">
        <v>417</v>
      </c>
      <c r="C171" s="4">
        <v>195990</v>
      </c>
      <c r="D171" s="3">
        <v>801</v>
      </c>
      <c r="E171" s="4">
        <v>233892</v>
      </c>
      <c r="G171" s="12">
        <f t="shared" si="59"/>
        <v>2011</v>
      </c>
      <c r="H171" s="12">
        <f t="shared" si="60"/>
        <v>6</v>
      </c>
      <c r="I171" s="11">
        <f t="shared" si="61"/>
        <v>6</v>
      </c>
      <c r="J171" s="11"/>
    </row>
    <row r="172" spans="1:10" x14ac:dyDescent="0.25">
      <c r="A172" s="2">
        <v>40710</v>
      </c>
      <c r="B172" s="3">
        <v>326</v>
      </c>
      <c r="C172" s="4">
        <v>153220</v>
      </c>
      <c r="D172" s="3">
        <v>499</v>
      </c>
      <c r="E172" s="4">
        <v>145708</v>
      </c>
      <c r="G172" s="12">
        <f t="shared" si="59"/>
        <v>2011</v>
      </c>
      <c r="H172" s="12">
        <f t="shared" si="60"/>
        <v>6</v>
      </c>
      <c r="I172" s="11">
        <f t="shared" si="61"/>
        <v>6</v>
      </c>
      <c r="J172" s="11"/>
    </row>
    <row r="173" spans="1:10" x14ac:dyDescent="0.25">
      <c r="A173" s="2">
        <v>40711</v>
      </c>
      <c r="B173" s="3">
        <v>506</v>
      </c>
      <c r="C173" s="4">
        <v>237820</v>
      </c>
      <c r="D173" s="3">
        <v>650</v>
      </c>
      <c r="E173" s="4">
        <v>189800</v>
      </c>
      <c r="G173" s="12">
        <f t="shared" si="59"/>
        <v>2011</v>
      </c>
      <c r="H173" s="12">
        <f t="shared" si="60"/>
        <v>6</v>
      </c>
      <c r="I173" s="11">
        <f t="shared" si="61"/>
        <v>6</v>
      </c>
      <c r="J173" s="11"/>
    </row>
    <row r="174" spans="1:10" x14ac:dyDescent="0.25">
      <c r="A174" s="2">
        <v>40712</v>
      </c>
      <c r="B174" s="3">
        <v>472</v>
      </c>
      <c r="C174" s="4">
        <v>221840</v>
      </c>
      <c r="D174" s="3">
        <v>757</v>
      </c>
      <c r="E174" s="4">
        <v>221044</v>
      </c>
      <c r="G174" s="12">
        <f t="shared" si="59"/>
        <v>2011</v>
      </c>
      <c r="H174" s="12">
        <f t="shared" si="60"/>
        <v>6</v>
      </c>
      <c r="I174" s="11">
        <f t="shared" si="61"/>
        <v>6</v>
      </c>
      <c r="J174" s="11"/>
    </row>
    <row r="175" spans="1:10" x14ac:dyDescent="0.25">
      <c r="A175" s="2">
        <v>40713</v>
      </c>
      <c r="B175" s="3">
        <v>378</v>
      </c>
      <c r="C175" s="4">
        <v>177660</v>
      </c>
      <c r="D175" s="3">
        <v>839</v>
      </c>
      <c r="E175" s="4">
        <v>244988</v>
      </c>
      <c r="G175" s="12">
        <f t="shared" si="59"/>
        <v>2011</v>
      </c>
      <c r="H175" s="12">
        <f t="shared" si="60"/>
        <v>6</v>
      </c>
      <c r="I175" s="11">
        <f t="shared" si="61"/>
        <v>6</v>
      </c>
      <c r="J175" s="11"/>
    </row>
    <row r="176" spans="1:10" x14ac:dyDescent="0.25">
      <c r="A176" s="2">
        <v>40714</v>
      </c>
      <c r="B176" s="3">
        <v>445</v>
      </c>
      <c r="C176" s="4">
        <v>209150</v>
      </c>
      <c r="D176" s="3">
        <v>767</v>
      </c>
      <c r="E176" s="4">
        <v>223964</v>
      </c>
      <c r="G176" s="12">
        <f t="shared" si="59"/>
        <v>2011</v>
      </c>
      <c r="H176" s="12">
        <f t="shared" si="60"/>
        <v>6</v>
      </c>
      <c r="I176" s="11">
        <f t="shared" si="61"/>
        <v>6</v>
      </c>
      <c r="J176" s="11"/>
    </row>
    <row r="177" spans="1:10" x14ac:dyDescent="0.25">
      <c r="A177" s="2">
        <v>40715</v>
      </c>
      <c r="B177" s="3">
        <v>507</v>
      </c>
      <c r="C177" s="4">
        <v>238290</v>
      </c>
      <c r="D177" s="3">
        <v>750</v>
      </c>
      <c r="E177" s="4">
        <v>219000</v>
      </c>
      <c r="G177" s="12">
        <f t="shared" si="59"/>
        <v>2011</v>
      </c>
      <c r="H177" s="12">
        <f t="shared" si="60"/>
        <v>6</v>
      </c>
      <c r="I177" s="11">
        <f t="shared" si="61"/>
        <v>6</v>
      </c>
      <c r="J177" s="11"/>
    </row>
    <row r="178" spans="1:10" x14ac:dyDescent="0.25">
      <c r="A178" s="2">
        <v>40716</v>
      </c>
      <c r="B178" s="3">
        <v>524</v>
      </c>
      <c r="C178" s="4">
        <v>246280</v>
      </c>
      <c r="D178" s="3">
        <v>702</v>
      </c>
      <c r="E178" s="4">
        <v>204984</v>
      </c>
      <c r="G178" s="12">
        <f t="shared" si="59"/>
        <v>2011</v>
      </c>
      <c r="H178" s="12">
        <f t="shared" si="60"/>
        <v>6</v>
      </c>
      <c r="I178" s="11">
        <f t="shared" si="61"/>
        <v>6</v>
      </c>
      <c r="J178" s="11"/>
    </row>
    <row r="179" spans="1:10" x14ac:dyDescent="0.25">
      <c r="A179" s="2">
        <v>40717</v>
      </c>
      <c r="B179" s="3">
        <v>491</v>
      </c>
      <c r="C179" s="4">
        <v>230770</v>
      </c>
      <c r="D179" s="3">
        <v>702</v>
      </c>
      <c r="E179" s="4">
        <v>204984</v>
      </c>
      <c r="G179" s="12">
        <f t="shared" si="59"/>
        <v>2011</v>
      </c>
      <c r="H179" s="12">
        <f t="shared" si="60"/>
        <v>6</v>
      </c>
      <c r="I179" s="11">
        <f t="shared" si="61"/>
        <v>6</v>
      </c>
      <c r="J179" s="11"/>
    </row>
    <row r="180" spans="1:10" x14ac:dyDescent="0.25">
      <c r="A180" s="2">
        <v>40718</v>
      </c>
      <c r="B180" s="3">
        <v>477</v>
      </c>
      <c r="C180" s="4">
        <v>224190</v>
      </c>
      <c r="D180" s="3">
        <v>729</v>
      </c>
      <c r="E180" s="4">
        <v>212868</v>
      </c>
      <c r="G180" s="12">
        <f t="shared" si="59"/>
        <v>2011</v>
      </c>
      <c r="H180" s="12">
        <f t="shared" si="60"/>
        <v>6</v>
      </c>
      <c r="I180" s="11">
        <f t="shared" si="61"/>
        <v>6</v>
      </c>
      <c r="J180" s="11"/>
    </row>
    <row r="181" spans="1:10" x14ac:dyDescent="0.25">
      <c r="A181" s="2">
        <v>40719</v>
      </c>
      <c r="B181" s="3">
        <v>502</v>
      </c>
      <c r="C181" s="4">
        <v>235940</v>
      </c>
      <c r="D181" s="3">
        <v>744</v>
      </c>
      <c r="E181" s="4">
        <v>217248</v>
      </c>
      <c r="G181" s="12">
        <f t="shared" si="59"/>
        <v>2011</v>
      </c>
      <c r="H181" s="12">
        <f t="shared" si="60"/>
        <v>6</v>
      </c>
      <c r="I181" s="11">
        <f t="shared" si="61"/>
        <v>6</v>
      </c>
      <c r="J181" s="11"/>
    </row>
    <row r="182" spans="1:10" x14ac:dyDescent="0.25">
      <c r="A182" s="2">
        <v>40720</v>
      </c>
      <c r="B182" s="3">
        <v>404</v>
      </c>
      <c r="C182" s="4">
        <v>189880</v>
      </c>
      <c r="D182" s="3">
        <v>700</v>
      </c>
      <c r="E182" s="4">
        <v>204400</v>
      </c>
      <c r="G182" s="12">
        <f t="shared" si="59"/>
        <v>2011</v>
      </c>
      <c r="H182" s="12">
        <f t="shared" si="60"/>
        <v>6</v>
      </c>
      <c r="I182" s="11">
        <f t="shared" si="61"/>
        <v>6</v>
      </c>
      <c r="J182" s="11"/>
    </row>
    <row r="183" spans="1:10" x14ac:dyDescent="0.25">
      <c r="A183" s="2">
        <v>40721</v>
      </c>
      <c r="B183" s="3">
        <v>456</v>
      </c>
      <c r="C183" s="4">
        <v>214320</v>
      </c>
      <c r="D183" s="3">
        <v>852</v>
      </c>
      <c r="E183" s="4">
        <v>248784</v>
      </c>
      <c r="G183" s="12">
        <f t="shared" si="59"/>
        <v>2011</v>
      </c>
      <c r="H183" s="12">
        <f t="shared" si="60"/>
        <v>6</v>
      </c>
      <c r="I183" s="11">
        <f t="shared" si="61"/>
        <v>6</v>
      </c>
      <c r="J183" s="11"/>
    </row>
    <row r="184" spans="1:10" x14ac:dyDescent="0.25">
      <c r="A184" s="2">
        <v>40722</v>
      </c>
      <c r="B184" s="3">
        <v>435</v>
      </c>
      <c r="C184" s="4">
        <v>204450</v>
      </c>
      <c r="D184" s="3">
        <v>664</v>
      </c>
      <c r="E184" s="4">
        <v>193888</v>
      </c>
      <c r="G184" s="12">
        <f t="shared" si="59"/>
        <v>2011</v>
      </c>
      <c r="H184" s="12">
        <f t="shared" si="60"/>
        <v>6</v>
      </c>
      <c r="I184" s="11">
        <f t="shared" si="61"/>
        <v>6</v>
      </c>
      <c r="J184" s="11"/>
    </row>
    <row r="185" spans="1:10" x14ac:dyDescent="0.25">
      <c r="A185" s="2">
        <v>40723</v>
      </c>
      <c r="B185" s="3">
        <v>423</v>
      </c>
      <c r="C185" s="4">
        <v>198810</v>
      </c>
      <c r="D185" s="3">
        <v>758</v>
      </c>
      <c r="E185" s="4">
        <v>221336</v>
      </c>
      <c r="G185" s="12">
        <f t="shared" si="59"/>
        <v>2011</v>
      </c>
      <c r="H185" s="12">
        <f t="shared" si="60"/>
        <v>6</v>
      </c>
      <c r="I185" s="11">
        <f t="shared" si="61"/>
        <v>6</v>
      </c>
      <c r="J185" s="11"/>
    </row>
    <row r="186" spans="1:10" x14ac:dyDescent="0.25">
      <c r="A186" s="2">
        <v>40724</v>
      </c>
      <c r="B186" s="3">
        <v>553</v>
      </c>
      <c r="C186" s="4">
        <v>259910</v>
      </c>
      <c r="D186" s="3">
        <v>624</v>
      </c>
      <c r="E186" s="4">
        <v>182208</v>
      </c>
      <c r="G186" s="12">
        <f t="shared" si="59"/>
        <v>2011</v>
      </c>
      <c r="H186" s="12">
        <f t="shared" si="60"/>
        <v>6</v>
      </c>
      <c r="I186" s="11">
        <f t="shared" si="61"/>
        <v>6</v>
      </c>
      <c r="J186" s="11"/>
    </row>
    <row r="187" spans="1:10" x14ac:dyDescent="0.25">
      <c r="A187" s="2">
        <v>40725</v>
      </c>
      <c r="B187" s="3">
        <v>419</v>
      </c>
      <c r="C187" s="4">
        <v>196930</v>
      </c>
      <c r="D187" s="3">
        <v>244</v>
      </c>
      <c r="E187" s="4">
        <v>178120</v>
      </c>
      <c r="G187" s="12">
        <f t="shared" si="59"/>
        <v>2011</v>
      </c>
      <c r="H187" s="12">
        <f t="shared" si="60"/>
        <v>7</v>
      </c>
      <c r="I187" s="11">
        <f t="shared" si="61"/>
        <v>7</v>
      </c>
      <c r="J187" s="11"/>
    </row>
    <row r="188" spans="1:10" x14ac:dyDescent="0.25">
      <c r="A188" s="2">
        <v>40726</v>
      </c>
      <c r="B188" s="3">
        <v>556</v>
      </c>
      <c r="C188" s="4">
        <v>261320</v>
      </c>
      <c r="D188" s="3">
        <v>257</v>
      </c>
      <c r="E188" s="4">
        <v>187610</v>
      </c>
      <c r="G188" s="12">
        <f t="shared" si="59"/>
        <v>2011</v>
      </c>
      <c r="H188" s="12">
        <f t="shared" si="60"/>
        <v>7</v>
      </c>
      <c r="I188" s="11">
        <f t="shared" si="61"/>
        <v>7</v>
      </c>
      <c r="J188" s="11"/>
    </row>
    <row r="189" spans="1:10" x14ac:dyDescent="0.25">
      <c r="A189" s="2">
        <v>40727</v>
      </c>
      <c r="B189" s="3">
        <v>465</v>
      </c>
      <c r="C189" s="4">
        <v>218550</v>
      </c>
      <c r="D189" s="3">
        <v>341</v>
      </c>
      <c r="E189" s="4">
        <v>248930</v>
      </c>
      <c r="G189" s="12">
        <f t="shared" si="59"/>
        <v>2011</v>
      </c>
      <c r="H189" s="12">
        <f t="shared" si="60"/>
        <v>7</v>
      </c>
      <c r="I189" s="11">
        <f t="shared" si="61"/>
        <v>7</v>
      </c>
      <c r="J189" s="11"/>
    </row>
    <row r="190" spans="1:10" x14ac:dyDescent="0.25">
      <c r="A190" s="2">
        <v>40728</v>
      </c>
      <c r="B190" s="3">
        <v>439</v>
      </c>
      <c r="C190" s="4">
        <v>206330</v>
      </c>
      <c r="D190" s="3">
        <v>265</v>
      </c>
      <c r="E190" s="4">
        <v>193450</v>
      </c>
      <c r="G190" s="12">
        <f t="shared" si="59"/>
        <v>2011</v>
      </c>
      <c r="H190" s="12">
        <f t="shared" si="60"/>
        <v>7</v>
      </c>
      <c r="I190" s="11">
        <f t="shared" si="61"/>
        <v>7</v>
      </c>
      <c r="J190" s="11"/>
    </row>
    <row r="191" spans="1:10" x14ac:dyDescent="0.25">
      <c r="A191" s="2">
        <v>40729</v>
      </c>
      <c r="B191" s="3">
        <v>403</v>
      </c>
      <c r="C191" s="4">
        <v>189410</v>
      </c>
      <c r="D191" s="3">
        <v>340</v>
      </c>
      <c r="E191" s="4">
        <v>248200</v>
      </c>
      <c r="G191" s="12">
        <f t="shared" si="59"/>
        <v>2011</v>
      </c>
      <c r="H191" s="12">
        <f t="shared" si="60"/>
        <v>7</v>
      </c>
      <c r="I191" s="11">
        <f t="shared" si="61"/>
        <v>7</v>
      </c>
      <c r="J191" s="11"/>
    </row>
    <row r="192" spans="1:10" x14ac:dyDescent="0.25">
      <c r="A192" s="2">
        <v>40730</v>
      </c>
      <c r="B192" s="3">
        <v>408</v>
      </c>
      <c r="C192" s="4">
        <v>191760</v>
      </c>
      <c r="D192" s="3">
        <v>312</v>
      </c>
      <c r="E192" s="4">
        <v>227760</v>
      </c>
      <c r="G192" s="12">
        <f t="shared" si="59"/>
        <v>2011</v>
      </c>
      <c r="H192" s="12">
        <f t="shared" si="60"/>
        <v>7</v>
      </c>
      <c r="I192" s="11">
        <f t="shared" si="61"/>
        <v>7</v>
      </c>
      <c r="J192" s="11"/>
    </row>
    <row r="193" spans="1:10" x14ac:dyDescent="0.25">
      <c r="A193" s="2">
        <v>40731</v>
      </c>
      <c r="B193" s="3">
        <v>473</v>
      </c>
      <c r="C193" s="4">
        <v>222310</v>
      </c>
      <c r="D193" s="3">
        <v>289</v>
      </c>
      <c r="E193" s="4">
        <v>210970</v>
      </c>
      <c r="G193" s="12">
        <f t="shared" si="59"/>
        <v>2011</v>
      </c>
      <c r="H193" s="12">
        <f t="shared" si="60"/>
        <v>7</v>
      </c>
      <c r="I193" s="11">
        <f t="shared" si="61"/>
        <v>7</v>
      </c>
      <c r="J193" s="11"/>
    </row>
    <row r="194" spans="1:10" x14ac:dyDescent="0.25">
      <c r="A194" s="2">
        <v>40732</v>
      </c>
      <c r="B194" s="3">
        <v>452</v>
      </c>
      <c r="C194" s="4">
        <v>212440</v>
      </c>
      <c r="D194" s="3">
        <v>294</v>
      </c>
      <c r="E194" s="4">
        <v>214620</v>
      </c>
      <c r="G194" s="12">
        <f t="shared" si="59"/>
        <v>2011</v>
      </c>
      <c r="H194" s="12">
        <f t="shared" si="60"/>
        <v>7</v>
      </c>
      <c r="I194" s="11">
        <f t="shared" si="61"/>
        <v>7</v>
      </c>
      <c r="J194" s="11"/>
    </row>
    <row r="195" spans="1:10" x14ac:dyDescent="0.25">
      <c r="A195" s="2">
        <v>40733</v>
      </c>
      <c r="B195" s="3">
        <v>430</v>
      </c>
      <c r="C195" s="4">
        <v>202100</v>
      </c>
      <c r="D195" s="3">
        <v>300</v>
      </c>
      <c r="E195" s="4">
        <v>219000</v>
      </c>
      <c r="G195" s="12">
        <f t="shared" si="59"/>
        <v>2011</v>
      </c>
      <c r="H195" s="12">
        <f t="shared" si="60"/>
        <v>7</v>
      </c>
      <c r="I195" s="11">
        <f t="shared" si="61"/>
        <v>7</v>
      </c>
      <c r="J195" s="11"/>
    </row>
    <row r="196" spans="1:10" x14ac:dyDescent="0.25">
      <c r="A196" s="2">
        <v>40734</v>
      </c>
      <c r="B196" s="3">
        <v>473</v>
      </c>
      <c r="C196" s="4">
        <v>222310</v>
      </c>
      <c r="D196" s="3">
        <v>263</v>
      </c>
      <c r="E196" s="4">
        <v>191990</v>
      </c>
      <c r="G196" s="12">
        <f t="shared" si="59"/>
        <v>2011</v>
      </c>
      <c r="H196" s="12">
        <f t="shared" si="60"/>
        <v>7</v>
      </c>
      <c r="I196" s="11">
        <f t="shared" si="61"/>
        <v>7</v>
      </c>
      <c r="J196" s="11"/>
    </row>
    <row r="197" spans="1:10" x14ac:dyDescent="0.25">
      <c r="A197" s="2">
        <v>40735</v>
      </c>
      <c r="B197" s="3">
        <v>441</v>
      </c>
      <c r="C197" s="4">
        <v>207270</v>
      </c>
      <c r="D197" s="3">
        <v>310</v>
      </c>
      <c r="E197" s="4">
        <v>226300</v>
      </c>
      <c r="G197" s="12">
        <f t="shared" si="59"/>
        <v>2011</v>
      </c>
      <c r="H197" s="12">
        <f t="shared" si="60"/>
        <v>7</v>
      </c>
      <c r="I197" s="11">
        <f t="shared" si="61"/>
        <v>7</v>
      </c>
      <c r="J197" s="11"/>
    </row>
    <row r="198" spans="1:10" x14ac:dyDescent="0.25">
      <c r="A198" s="2">
        <v>40736</v>
      </c>
      <c r="B198" s="3">
        <v>462</v>
      </c>
      <c r="C198" s="4">
        <v>217140</v>
      </c>
      <c r="D198" s="3">
        <v>308</v>
      </c>
      <c r="E198" s="4">
        <v>224840</v>
      </c>
      <c r="G198" s="12">
        <f t="shared" ref="G198:G261" si="62">+YEAR(A198)</f>
        <v>2011</v>
      </c>
      <c r="H198" s="12">
        <f t="shared" ref="H198:H261" si="63">+MONTH(A198)</f>
        <v>7</v>
      </c>
      <c r="I198" s="11">
        <f t="shared" si="61"/>
        <v>7</v>
      </c>
      <c r="J198" s="11"/>
    </row>
    <row r="199" spans="1:10" x14ac:dyDescent="0.25">
      <c r="A199" s="2">
        <v>40737</v>
      </c>
      <c r="B199" s="3">
        <v>504</v>
      </c>
      <c r="C199" s="4">
        <v>236880</v>
      </c>
      <c r="D199" s="3">
        <v>299</v>
      </c>
      <c r="E199" s="4">
        <v>218270</v>
      </c>
      <c r="G199" s="12">
        <f t="shared" si="62"/>
        <v>2011</v>
      </c>
      <c r="H199" s="12">
        <f t="shared" si="63"/>
        <v>7</v>
      </c>
      <c r="I199" s="11">
        <f t="shared" ref="I199:I262" si="64">+H199+(G199-2011)*12</f>
        <v>7</v>
      </c>
      <c r="J199" s="11"/>
    </row>
    <row r="200" spans="1:10" x14ac:dyDescent="0.25">
      <c r="A200" s="2">
        <v>40738</v>
      </c>
      <c r="B200" s="3">
        <v>406</v>
      </c>
      <c r="C200" s="4">
        <v>190820</v>
      </c>
      <c r="D200" s="3">
        <v>268</v>
      </c>
      <c r="E200" s="4">
        <v>195640</v>
      </c>
      <c r="G200" s="12">
        <f t="shared" si="62"/>
        <v>2011</v>
      </c>
      <c r="H200" s="12">
        <f t="shared" si="63"/>
        <v>7</v>
      </c>
      <c r="I200" s="11">
        <f t="shared" si="64"/>
        <v>7</v>
      </c>
      <c r="J200" s="11"/>
    </row>
    <row r="201" spans="1:10" x14ac:dyDescent="0.25">
      <c r="A201" s="2">
        <v>40739</v>
      </c>
      <c r="B201" s="3">
        <v>460</v>
      </c>
      <c r="C201" s="4">
        <v>216200</v>
      </c>
      <c r="D201" s="3">
        <v>322</v>
      </c>
      <c r="E201" s="4">
        <v>235060</v>
      </c>
      <c r="G201" s="12">
        <f t="shared" si="62"/>
        <v>2011</v>
      </c>
      <c r="H201" s="12">
        <f t="shared" si="63"/>
        <v>7</v>
      </c>
      <c r="I201" s="11">
        <f t="shared" si="64"/>
        <v>7</v>
      </c>
      <c r="J201" s="11"/>
    </row>
    <row r="202" spans="1:10" x14ac:dyDescent="0.25">
      <c r="A202" s="2">
        <v>40740</v>
      </c>
      <c r="B202" s="3">
        <v>425</v>
      </c>
      <c r="C202" s="4">
        <v>199750</v>
      </c>
      <c r="D202" s="3">
        <v>347</v>
      </c>
      <c r="E202" s="4">
        <v>253310</v>
      </c>
      <c r="G202" s="12">
        <f t="shared" si="62"/>
        <v>2011</v>
      </c>
      <c r="H202" s="12">
        <f t="shared" si="63"/>
        <v>7</v>
      </c>
      <c r="I202" s="11">
        <f t="shared" si="64"/>
        <v>7</v>
      </c>
      <c r="J202" s="11"/>
    </row>
    <row r="203" spans="1:10" x14ac:dyDescent="0.25">
      <c r="A203" s="2">
        <v>40741</v>
      </c>
      <c r="B203" s="3">
        <v>459</v>
      </c>
      <c r="C203" s="4">
        <v>215730</v>
      </c>
      <c r="D203" s="3">
        <v>295</v>
      </c>
      <c r="E203" s="4">
        <v>215350</v>
      </c>
      <c r="G203" s="12">
        <f t="shared" si="62"/>
        <v>2011</v>
      </c>
      <c r="H203" s="12">
        <f t="shared" si="63"/>
        <v>7</v>
      </c>
      <c r="I203" s="11">
        <f t="shared" si="64"/>
        <v>7</v>
      </c>
      <c r="J203" s="11"/>
    </row>
    <row r="204" spans="1:10" x14ac:dyDescent="0.25">
      <c r="A204" s="2">
        <v>40742</v>
      </c>
      <c r="B204" s="3">
        <v>415</v>
      </c>
      <c r="C204" s="4">
        <v>195050</v>
      </c>
      <c r="D204" s="3">
        <v>338</v>
      </c>
      <c r="E204" s="4">
        <v>246740</v>
      </c>
      <c r="G204" s="12">
        <f t="shared" si="62"/>
        <v>2011</v>
      </c>
      <c r="H204" s="12">
        <f t="shared" si="63"/>
        <v>7</v>
      </c>
      <c r="I204" s="11">
        <f t="shared" si="64"/>
        <v>7</v>
      </c>
      <c r="J204" s="11"/>
    </row>
    <row r="205" spans="1:10" x14ac:dyDescent="0.25">
      <c r="A205" s="2">
        <v>40743</v>
      </c>
      <c r="B205" s="3">
        <v>470</v>
      </c>
      <c r="C205" s="4">
        <v>220900</v>
      </c>
      <c r="D205" s="3">
        <v>299</v>
      </c>
      <c r="E205" s="4">
        <v>218270</v>
      </c>
      <c r="G205" s="12">
        <f t="shared" si="62"/>
        <v>2011</v>
      </c>
      <c r="H205" s="12">
        <f t="shared" si="63"/>
        <v>7</v>
      </c>
      <c r="I205" s="11">
        <f t="shared" si="64"/>
        <v>7</v>
      </c>
      <c r="J205" s="11"/>
    </row>
    <row r="206" spans="1:10" x14ac:dyDescent="0.25">
      <c r="A206" s="2">
        <v>40744</v>
      </c>
      <c r="B206" s="3">
        <v>424</v>
      </c>
      <c r="C206" s="4">
        <v>199280</v>
      </c>
      <c r="D206" s="3">
        <v>298</v>
      </c>
      <c r="E206" s="4">
        <v>217540</v>
      </c>
      <c r="G206" s="12">
        <f t="shared" si="62"/>
        <v>2011</v>
      </c>
      <c r="H206" s="12">
        <f t="shared" si="63"/>
        <v>7</v>
      </c>
      <c r="I206" s="11">
        <f t="shared" si="64"/>
        <v>7</v>
      </c>
      <c r="J206" s="11"/>
    </row>
    <row r="207" spans="1:10" x14ac:dyDescent="0.25">
      <c r="A207" s="2">
        <v>40745</v>
      </c>
      <c r="B207" s="3">
        <v>420</v>
      </c>
      <c r="C207" s="4">
        <v>197400</v>
      </c>
      <c r="D207" s="3">
        <v>306</v>
      </c>
      <c r="E207" s="4">
        <v>223380</v>
      </c>
      <c r="G207" s="12">
        <f t="shared" si="62"/>
        <v>2011</v>
      </c>
      <c r="H207" s="12">
        <f t="shared" si="63"/>
        <v>7</v>
      </c>
      <c r="I207" s="11">
        <f t="shared" si="64"/>
        <v>7</v>
      </c>
      <c r="J207" s="11"/>
    </row>
    <row r="208" spans="1:10" x14ac:dyDescent="0.25">
      <c r="A208" s="2">
        <v>40746</v>
      </c>
      <c r="B208" s="3">
        <v>463</v>
      </c>
      <c r="C208" s="4">
        <v>217610</v>
      </c>
      <c r="D208" s="3">
        <v>282</v>
      </c>
      <c r="E208" s="4">
        <v>205860</v>
      </c>
      <c r="G208" s="12">
        <f t="shared" si="62"/>
        <v>2011</v>
      </c>
      <c r="H208" s="12">
        <f t="shared" si="63"/>
        <v>7</v>
      </c>
      <c r="I208" s="11">
        <f t="shared" si="64"/>
        <v>7</v>
      </c>
      <c r="J208" s="11"/>
    </row>
    <row r="209" spans="1:10" x14ac:dyDescent="0.25">
      <c r="A209" s="2">
        <v>40747</v>
      </c>
      <c r="B209" s="3">
        <v>459</v>
      </c>
      <c r="C209" s="4">
        <v>215730</v>
      </c>
      <c r="D209" s="3">
        <v>291</v>
      </c>
      <c r="E209" s="4">
        <v>212430</v>
      </c>
      <c r="G209" s="12">
        <f t="shared" si="62"/>
        <v>2011</v>
      </c>
      <c r="H209" s="12">
        <f t="shared" si="63"/>
        <v>7</v>
      </c>
      <c r="I209" s="11">
        <f t="shared" si="64"/>
        <v>7</v>
      </c>
      <c r="J209" s="11"/>
    </row>
    <row r="210" spans="1:10" x14ac:dyDescent="0.25">
      <c r="A210" s="2">
        <v>40748</v>
      </c>
      <c r="B210" s="3">
        <v>518</v>
      </c>
      <c r="C210" s="4">
        <v>243460</v>
      </c>
      <c r="D210" s="3">
        <v>242</v>
      </c>
      <c r="E210" s="4">
        <v>176660</v>
      </c>
      <c r="G210" s="12">
        <f t="shared" si="62"/>
        <v>2011</v>
      </c>
      <c r="H210" s="12">
        <f t="shared" si="63"/>
        <v>7</v>
      </c>
      <c r="I210" s="11">
        <f t="shared" si="64"/>
        <v>7</v>
      </c>
      <c r="J210" s="11"/>
    </row>
    <row r="211" spans="1:10" x14ac:dyDescent="0.25">
      <c r="A211" s="2">
        <v>40749</v>
      </c>
      <c r="B211" s="3">
        <v>431</v>
      </c>
      <c r="C211" s="4">
        <v>202570</v>
      </c>
      <c r="D211" s="3">
        <v>323</v>
      </c>
      <c r="E211" s="4">
        <v>235790</v>
      </c>
      <c r="G211" s="12">
        <f t="shared" si="62"/>
        <v>2011</v>
      </c>
      <c r="H211" s="12">
        <f t="shared" si="63"/>
        <v>7</v>
      </c>
      <c r="I211" s="11">
        <f t="shared" si="64"/>
        <v>7</v>
      </c>
      <c r="J211" s="11"/>
    </row>
    <row r="212" spans="1:10" x14ac:dyDescent="0.25">
      <c r="A212" s="2">
        <v>40750</v>
      </c>
      <c r="B212" s="3">
        <v>464</v>
      </c>
      <c r="C212" s="4">
        <v>218080</v>
      </c>
      <c r="D212" s="3">
        <v>342</v>
      </c>
      <c r="E212" s="4">
        <v>249660</v>
      </c>
      <c r="G212" s="12">
        <f t="shared" si="62"/>
        <v>2011</v>
      </c>
      <c r="H212" s="12">
        <f t="shared" si="63"/>
        <v>7</v>
      </c>
      <c r="I212" s="11">
        <f t="shared" si="64"/>
        <v>7</v>
      </c>
      <c r="J212" s="11"/>
    </row>
    <row r="213" spans="1:10" x14ac:dyDescent="0.25">
      <c r="A213" s="2">
        <v>40751</v>
      </c>
      <c r="B213" s="3">
        <v>505</v>
      </c>
      <c r="C213" s="4">
        <v>237350</v>
      </c>
      <c r="D213" s="3">
        <v>244</v>
      </c>
      <c r="E213" s="4">
        <v>178120</v>
      </c>
      <c r="G213" s="12">
        <f t="shared" si="62"/>
        <v>2011</v>
      </c>
      <c r="H213" s="12">
        <f t="shared" si="63"/>
        <v>7</v>
      </c>
      <c r="I213" s="11">
        <f t="shared" si="64"/>
        <v>7</v>
      </c>
      <c r="J213" s="11"/>
    </row>
    <row r="214" spans="1:10" x14ac:dyDescent="0.25">
      <c r="A214" s="2">
        <v>40752</v>
      </c>
      <c r="B214" s="3">
        <v>488</v>
      </c>
      <c r="C214" s="4">
        <v>229360</v>
      </c>
      <c r="D214" s="3">
        <v>246</v>
      </c>
      <c r="E214" s="4">
        <v>179580</v>
      </c>
      <c r="G214" s="12">
        <f t="shared" si="62"/>
        <v>2011</v>
      </c>
      <c r="H214" s="12">
        <f t="shared" si="63"/>
        <v>7</v>
      </c>
      <c r="I214" s="11">
        <f t="shared" si="64"/>
        <v>7</v>
      </c>
      <c r="J214" s="11"/>
    </row>
    <row r="215" spans="1:10" x14ac:dyDescent="0.25">
      <c r="A215" s="2">
        <v>40753</v>
      </c>
      <c r="B215" s="3">
        <v>498</v>
      </c>
      <c r="C215" s="4">
        <v>234060</v>
      </c>
      <c r="D215" s="3">
        <v>299</v>
      </c>
      <c r="E215" s="4">
        <v>218270</v>
      </c>
      <c r="G215" s="12">
        <f t="shared" si="62"/>
        <v>2011</v>
      </c>
      <c r="H215" s="12">
        <f t="shared" si="63"/>
        <v>7</v>
      </c>
      <c r="I215" s="11">
        <f t="shared" si="64"/>
        <v>7</v>
      </c>
      <c r="J215" s="11"/>
    </row>
    <row r="216" spans="1:10" x14ac:dyDescent="0.25">
      <c r="A216" s="2">
        <v>40754</v>
      </c>
      <c r="B216" s="3">
        <v>538</v>
      </c>
      <c r="C216" s="4">
        <v>252860</v>
      </c>
      <c r="D216" s="3">
        <v>284</v>
      </c>
      <c r="E216" s="4">
        <v>207320</v>
      </c>
      <c r="G216" s="12">
        <f t="shared" si="62"/>
        <v>2011</v>
      </c>
      <c r="H216" s="12">
        <f t="shared" si="63"/>
        <v>7</v>
      </c>
      <c r="I216" s="11">
        <f t="shared" si="64"/>
        <v>7</v>
      </c>
      <c r="J216" s="11"/>
    </row>
    <row r="217" spans="1:10" x14ac:dyDescent="0.25">
      <c r="A217" s="2">
        <v>40755</v>
      </c>
      <c r="B217" s="3">
        <v>492</v>
      </c>
      <c r="C217" s="4">
        <v>231240</v>
      </c>
      <c r="D217" s="3">
        <v>273</v>
      </c>
      <c r="E217" s="4">
        <v>199290</v>
      </c>
      <c r="G217" s="12">
        <f t="shared" si="62"/>
        <v>2011</v>
      </c>
      <c r="H217" s="12">
        <f t="shared" si="63"/>
        <v>7</v>
      </c>
      <c r="I217" s="11">
        <f t="shared" si="64"/>
        <v>7</v>
      </c>
      <c r="J217" s="11"/>
    </row>
    <row r="218" spans="1:10" x14ac:dyDescent="0.25">
      <c r="A218" s="2">
        <v>40756</v>
      </c>
      <c r="B218" s="3">
        <v>724</v>
      </c>
      <c r="C218" s="4">
        <v>340280</v>
      </c>
      <c r="D218" s="3">
        <v>292</v>
      </c>
      <c r="E218" s="4">
        <v>213160</v>
      </c>
      <c r="G218" s="12">
        <f t="shared" si="62"/>
        <v>2011</v>
      </c>
      <c r="H218" s="12">
        <f t="shared" si="63"/>
        <v>8</v>
      </c>
      <c r="I218" s="11">
        <f t="shared" si="64"/>
        <v>8</v>
      </c>
      <c r="J218" s="11"/>
    </row>
    <row r="219" spans="1:10" x14ac:dyDescent="0.25">
      <c r="A219" s="2">
        <v>40757</v>
      </c>
      <c r="B219" s="3">
        <v>699</v>
      </c>
      <c r="C219" s="4">
        <v>328530</v>
      </c>
      <c r="D219" s="3">
        <v>306</v>
      </c>
      <c r="E219" s="4">
        <v>223380</v>
      </c>
      <c r="G219" s="12">
        <f t="shared" si="62"/>
        <v>2011</v>
      </c>
      <c r="H219" s="12">
        <f t="shared" si="63"/>
        <v>8</v>
      </c>
      <c r="I219" s="11">
        <f t="shared" si="64"/>
        <v>8</v>
      </c>
      <c r="J219" s="11"/>
    </row>
    <row r="220" spans="1:10" x14ac:dyDescent="0.25">
      <c r="A220" s="2">
        <v>40758</v>
      </c>
      <c r="B220" s="3">
        <v>677</v>
      </c>
      <c r="C220" s="4">
        <v>318190</v>
      </c>
      <c r="D220" s="3">
        <v>342</v>
      </c>
      <c r="E220" s="4">
        <v>249660</v>
      </c>
      <c r="G220" s="12">
        <f t="shared" si="62"/>
        <v>2011</v>
      </c>
      <c r="H220" s="12">
        <f t="shared" si="63"/>
        <v>8</v>
      </c>
      <c r="I220" s="11">
        <f t="shared" si="64"/>
        <v>8</v>
      </c>
      <c r="J220" s="11"/>
    </row>
    <row r="221" spans="1:10" x14ac:dyDescent="0.25">
      <c r="A221" s="2">
        <v>40759</v>
      </c>
      <c r="B221" s="3">
        <v>657</v>
      </c>
      <c r="C221" s="4">
        <v>308790</v>
      </c>
      <c r="D221" s="3">
        <v>312</v>
      </c>
      <c r="E221" s="4">
        <v>227760</v>
      </c>
      <c r="G221" s="12">
        <f t="shared" si="62"/>
        <v>2011</v>
      </c>
      <c r="H221" s="12">
        <f t="shared" si="63"/>
        <v>8</v>
      </c>
      <c r="I221" s="11">
        <f t="shared" si="64"/>
        <v>8</v>
      </c>
      <c r="J221" s="11"/>
    </row>
    <row r="222" spans="1:10" x14ac:dyDescent="0.25">
      <c r="A222" s="2">
        <v>40760</v>
      </c>
      <c r="B222" s="3">
        <v>806</v>
      </c>
      <c r="C222" s="4">
        <v>378820</v>
      </c>
      <c r="D222" s="3">
        <v>281</v>
      </c>
      <c r="E222" s="4">
        <v>205130</v>
      </c>
      <c r="G222" s="12">
        <f t="shared" si="62"/>
        <v>2011</v>
      </c>
      <c r="H222" s="12">
        <f t="shared" si="63"/>
        <v>8</v>
      </c>
      <c r="I222" s="11">
        <f t="shared" si="64"/>
        <v>8</v>
      </c>
      <c r="J222" s="11"/>
    </row>
    <row r="223" spans="1:10" x14ac:dyDescent="0.25">
      <c r="A223" s="2">
        <v>40761</v>
      </c>
      <c r="B223" s="3">
        <v>719</v>
      </c>
      <c r="C223" s="4">
        <v>337930</v>
      </c>
      <c r="D223" s="3">
        <v>288</v>
      </c>
      <c r="E223" s="4">
        <v>210240</v>
      </c>
      <c r="G223" s="12">
        <f t="shared" si="62"/>
        <v>2011</v>
      </c>
      <c r="H223" s="12">
        <f t="shared" si="63"/>
        <v>8</v>
      </c>
      <c r="I223" s="11">
        <f t="shared" si="64"/>
        <v>8</v>
      </c>
      <c r="J223" s="11"/>
    </row>
    <row r="224" spans="1:10" x14ac:dyDescent="0.25">
      <c r="A224" s="2">
        <v>40762</v>
      </c>
      <c r="B224" s="3">
        <v>593</v>
      </c>
      <c r="C224" s="4">
        <v>278710</v>
      </c>
      <c r="D224" s="3">
        <v>305</v>
      </c>
      <c r="E224" s="4">
        <v>222650</v>
      </c>
      <c r="G224" s="12">
        <f t="shared" si="62"/>
        <v>2011</v>
      </c>
      <c r="H224" s="12">
        <f t="shared" si="63"/>
        <v>8</v>
      </c>
      <c r="I224" s="11">
        <f t="shared" si="64"/>
        <v>8</v>
      </c>
      <c r="J224" s="11"/>
    </row>
    <row r="225" spans="1:10" x14ac:dyDescent="0.25">
      <c r="A225" s="2">
        <v>40763</v>
      </c>
      <c r="B225" s="3">
        <v>775</v>
      </c>
      <c r="C225" s="4">
        <v>364250</v>
      </c>
      <c r="D225" s="3">
        <v>281</v>
      </c>
      <c r="E225" s="4">
        <v>205130</v>
      </c>
      <c r="G225" s="12">
        <f t="shared" si="62"/>
        <v>2011</v>
      </c>
      <c r="H225" s="12">
        <f t="shared" si="63"/>
        <v>8</v>
      </c>
      <c r="I225" s="11">
        <f t="shared" si="64"/>
        <v>8</v>
      </c>
      <c r="J225" s="11"/>
    </row>
    <row r="226" spans="1:10" x14ac:dyDescent="0.25">
      <c r="A226" s="2">
        <v>40764</v>
      </c>
      <c r="B226" s="3">
        <v>751</v>
      </c>
      <c r="C226" s="4">
        <v>352970</v>
      </c>
      <c r="D226" s="3">
        <v>259</v>
      </c>
      <c r="E226" s="4">
        <v>189070</v>
      </c>
      <c r="G226" s="12">
        <f t="shared" si="62"/>
        <v>2011</v>
      </c>
      <c r="H226" s="12">
        <f t="shared" si="63"/>
        <v>8</v>
      </c>
      <c r="I226" s="11">
        <f t="shared" si="64"/>
        <v>8</v>
      </c>
      <c r="J226" s="11"/>
    </row>
    <row r="227" spans="1:10" x14ac:dyDescent="0.25">
      <c r="A227" s="2">
        <v>40765</v>
      </c>
      <c r="B227" s="3">
        <v>707</v>
      </c>
      <c r="C227" s="4">
        <v>332290</v>
      </c>
      <c r="D227" s="3">
        <v>301</v>
      </c>
      <c r="E227" s="4">
        <v>219730</v>
      </c>
      <c r="G227" s="12">
        <f t="shared" si="62"/>
        <v>2011</v>
      </c>
      <c r="H227" s="12">
        <f t="shared" si="63"/>
        <v>8</v>
      </c>
      <c r="I227" s="11">
        <f t="shared" si="64"/>
        <v>8</v>
      </c>
      <c r="J227" s="11"/>
    </row>
    <row r="228" spans="1:10" x14ac:dyDescent="0.25">
      <c r="A228" s="2">
        <v>40766</v>
      </c>
      <c r="B228" s="3">
        <v>663</v>
      </c>
      <c r="C228" s="4">
        <v>311610</v>
      </c>
      <c r="D228" s="3">
        <v>384</v>
      </c>
      <c r="E228" s="4">
        <v>280320</v>
      </c>
      <c r="G228" s="12">
        <f t="shared" si="62"/>
        <v>2011</v>
      </c>
      <c r="H228" s="12">
        <f t="shared" si="63"/>
        <v>8</v>
      </c>
      <c r="I228" s="11">
        <f t="shared" si="64"/>
        <v>8</v>
      </c>
      <c r="J228" s="11"/>
    </row>
    <row r="229" spans="1:10" x14ac:dyDescent="0.25">
      <c r="A229" s="2">
        <v>40767</v>
      </c>
      <c r="B229" s="3">
        <v>752</v>
      </c>
      <c r="C229" s="4">
        <v>353440</v>
      </c>
      <c r="D229" s="3">
        <v>331</v>
      </c>
      <c r="E229" s="4">
        <v>241630</v>
      </c>
      <c r="G229" s="12">
        <f t="shared" si="62"/>
        <v>2011</v>
      </c>
      <c r="H229" s="12">
        <f t="shared" si="63"/>
        <v>8</v>
      </c>
      <c r="I229" s="11">
        <f t="shared" si="64"/>
        <v>8</v>
      </c>
      <c r="J229" s="11"/>
    </row>
    <row r="230" spans="1:10" x14ac:dyDescent="0.25">
      <c r="A230" s="2">
        <v>40768</v>
      </c>
      <c r="B230" s="3">
        <v>548</v>
      </c>
      <c r="C230" s="4">
        <v>257560</v>
      </c>
      <c r="D230" s="3">
        <v>285</v>
      </c>
      <c r="E230" s="4">
        <v>208050</v>
      </c>
      <c r="G230" s="12">
        <f t="shared" si="62"/>
        <v>2011</v>
      </c>
      <c r="H230" s="12">
        <f t="shared" si="63"/>
        <v>8</v>
      </c>
      <c r="I230" s="11">
        <f t="shared" si="64"/>
        <v>8</v>
      </c>
      <c r="J230" s="11"/>
    </row>
    <row r="231" spans="1:10" x14ac:dyDescent="0.25">
      <c r="A231" s="2">
        <v>40769</v>
      </c>
      <c r="B231" s="3">
        <v>778</v>
      </c>
      <c r="C231" s="4">
        <v>365660</v>
      </c>
      <c r="D231" s="3">
        <v>348</v>
      </c>
      <c r="E231" s="4">
        <v>254040</v>
      </c>
      <c r="G231" s="12">
        <f t="shared" si="62"/>
        <v>2011</v>
      </c>
      <c r="H231" s="12">
        <f t="shared" si="63"/>
        <v>8</v>
      </c>
      <c r="I231" s="11">
        <f t="shared" si="64"/>
        <v>8</v>
      </c>
      <c r="J231" s="11"/>
    </row>
    <row r="232" spans="1:10" x14ac:dyDescent="0.25">
      <c r="A232" s="2">
        <v>40770</v>
      </c>
      <c r="B232" s="3">
        <v>696</v>
      </c>
      <c r="C232" s="4">
        <v>327120</v>
      </c>
      <c r="D232" s="3">
        <v>283</v>
      </c>
      <c r="E232" s="4">
        <v>206590</v>
      </c>
      <c r="G232" s="12">
        <f t="shared" si="62"/>
        <v>2011</v>
      </c>
      <c r="H232" s="12">
        <f t="shared" si="63"/>
        <v>8</v>
      </c>
      <c r="I232" s="11">
        <f t="shared" si="64"/>
        <v>8</v>
      </c>
      <c r="J232" s="11"/>
    </row>
    <row r="233" spans="1:10" x14ac:dyDescent="0.25">
      <c r="A233" s="2">
        <v>40771</v>
      </c>
      <c r="B233" s="3">
        <v>697</v>
      </c>
      <c r="C233" s="4">
        <v>327590</v>
      </c>
      <c r="D233" s="3">
        <v>322</v>
      </c>
      <c r="E233" s="4">
        <v>235060</v>
      </c>
      <c r="G233" s="12">
        <f t="shared" si="62"/>
        <v>2011</v>
      </c>
      <c r="H233" s="12">
        <f t="shared" si="63"/>
        <v>8</v>
      </c>
      <c r="I233" s="11">
        <f t="shared" si="64"/>
        <v>8</v>
      </c>
      <c r="J233" s="11"/>
    </row>
    <row r="234" spans="1:10" x14ac:dyDescent="0.25">
      <c r="A234" s="2">
        <v>40772</v>
      </c>
      <c r="B234" s="3">
        <v>727</v>
      </c>
      <c r="C234" s="4">
        <v>341690</v>
      </c>
      <c r="D234" s="3">
        <v>290</v>
      </c>
      <c r="E234" s="4">
        <v>211700</v>
      </c>
      <c r="G234" s="12">
        <f t="shared" si="62"/>
        <v>2011</v>
      </c>
      <c r="H234" s="12">
        <f t="shared" si="63"/>
        <v>8</v>
      </c>
      <c r="I234" s="11">
        <f t="shared" si="64"/>
        <v>8</v>
      </c>
      <c r="J234" s="11"/>
    </row>
    <row r="235" spans="1:10" x14ac:dyDescent="0.25">
      <c r="A235" s="2">
        <v>40773</v>
      </c>
      <c r="B235" s="3">
        <v>734</v>
      </c>
      <c r="C235" s="4">
        <v>344980</v>
      </c>
      <c r="D235" s="3">
        <v>238</v>
      </c>
      <c r="E235" s="4">
        <v>173740</v>
      </c>
      <c r="G235" s="12">
        <f t="shared" si="62"/>
        <v>2011</v>
      </c>
      <c r="H235" s="12">
        <f t="shared" si="63"/>
        <v>8</v>
      </c>
      <c r="I235" s="11">
        <f t="shared" si="64"/>
        <v>8</v>
      </c>
      <c r="J235" s="11"/>
    </row>
    <row r="236" spans="1:10" x14ac:dyDescent="0.25">
      <c r="A236" s="2">
        <v>40774</v>
      </c>
      <c r="B236" s="3">
        <v>688</v>
      </c>
      <c r="C236" s="4">
        <v>323360</v>
      </c>
      <c r="D236" s="3">
        <v>330</v>
      </c>
      <c r="E236" s="4">
        <v>240900</v>
      </c>
      <c r="G236" s="12">
        <f t="shared" si="62"/>
        <v>2011</v>
      </c>
      <c r="H236" s="12">
        <f t="shared" si="63"/>
        <v>8</v>
      </c>
      <c r="I236" s="11">
        <f t="shared" si="64"/>
        <v>8</v>
      </c>
      <c r="J236" s="11"/>
    </row>
    <row r="237" spans="1:10" x14ac:dyDescent="0.25">
      <c r="A237" s="2">
        <v>40775</v>
      </c>
      <c r="B237" s="3">
        <v>772</v>
      </c>
      <c r="C237" s="4">
        <v>362840</v>
      </c>
      <c r="D237" s="3">
        <v>297</v>
      </c>
      <c r="E237" s="4">
        <v>216810</v>
      </c>
      <c r="G237" s="12">
        <f t="shared" si="62"/>
        <v>2011</v>
      </c>
      <c r="H237" s="12">
        <f t="shared" si="63"/>
        <v>8</v>
      </c>
      <c r="I237" s="11">
        <f t="shared" si="64"/>
        <v>8</v>
      </c>
      <c r="J237" s="11"/>
    </row>
    <row r="238" spans="1:10" x14ac:dyDescent="0.25">
      <c r="A238" s="2">
        <v>40776</v>
      </c>
      <c r="B238" s="3">
        <v>674</v>
      </c>
      <c r="C238" s="4">
        <v>316780</v>
      </c>
      <c r="D238" s="3">
        <v>243</v>
      </c>
      <c r="E238" s="4">
        <v>177390</v>
      </c>
      <c r="G238" s="12">
        <f t="shared" si="62"/>
        <v>2011</v>
      </c>
      <c r="H238" s="12">
        <f t="shared" si="63"/>
        <v>8</v>
      </c>
      <c r="I238" s="11">
        <f t="shared" si="64"/>
        <v>8</v>
      </c>
      <c r="J238" s="11"/>
    </row>
    <row r="239" spans="1:10" x14ac:dyDescent="0.25">
      <c r="A239" s="2">
        <v>40777</v>
      </c>
      <c r="B239" s="3">
        <v>614</v>
      </c>
      <c r="C239" s="4">
        <v>288580</v>
      </c>
      <c r="D239" s="3">
        <v>343</v>
      </c>
      <c r="E239" s="4">
        <v>250390</v>
      </c>
      <c r="G239" s="12">
        <f t="shared" si="62"/>
        <v>2011</v>
      </c>
      <c r="H239" s="12">
        <f t="shared" si="63"/>
        <v>8</v>
      </c>
      <c r="I239" s="11">
        <f t="shared" si="64"/>
        <v>8</v>
      </c>
      <c r="J239" s="11"/>
    </row>
    <row r="240" spans="1:10" x14ac:dyDescent="0.25">
      <c r="A240" s="2">
        <v>40778</v>
      </c>
      <c r="B240" s="3">
        <v>704</v>
      </c>
      <c r="C240" s="4">
        <v>330880</v>
      </c>
      <c r="D240" s="3">
        <v>294</v>
      </c>
      <c r="E240" s="4">
        <v>214620</v>
      </c>
      <c r="G240" s="12">
        <f t="shared" si="62"/>
        <v>2011</v>
      </c>
      <c r="H240" s="12">
        <f t="shared" si="63"/>
        <v>8</v>
      </c>
      <c r="I240" s="11">
        <f t="shared" si="64"/>
        <v>8</v>
      </c>
      <c r="J240" s="11"/>
    </row>
    <row r="241" spans="1:10" x14ac:dyDescent="0.25">
      <c r="A241" s="2">
        <v>40779</v>
      </c>
      <c r="B241" s="3">
        <v>625</v>
      </c>
      <c r="C241" s="4">
        <v>293750</v>
      </c>
      <c r="D241" s="3">
        <v>284</v>
      </c>
      <c r="E241" s="4">
        <v>207320</v>
      </c>
      <c r="G241" s="12">
        <f t="shared" si="62"/>
        <v>2011</v>
      </c>
      <c r="H241" s="12">
        <f t="shared" si="63"/>
        <v>8</v>
      </c>
      <c r="I241" s="11">
        <f t="shared" si="64"/>
        <v>8</v>
      </c>
      <c r="J241" s="11"/>
    </row>
    <row r="242" spans="1:10" x14ac:dyDescent="0.25">
      <c r="A242" s="2">
        <v>40780</v>
      </c>
      <c r="B242" s="3">
        <v>648</v>
      </c>
      <c r="C242" s="4">
        <v>304560</v>
      </c>
      <c r="D242" s="3">
        <v>284</v>
      </c>
      <c r="E242" s="4">
        <v>207320</v>
      </c>
      <c r="G242" s="12">
        <f t="shared" si="62"/>
        <v>2011</v>
      </c>
      <c r="H242" s="12">
        <f t="shared" si="63"/>
        <v>8</v>
      </c>
      <c r="I242" s="11">
        <f t="shared" si="64"/>
        <v>8</v>
      </c>
      <c r="J242" s="11"/>
    </row>
    <row r="243" spans="1:10" x14ac:dyDescent="0.25">
      <c r="A243" s="2">
        <v>40781</v>
      </c>
      <c r="B243" s="3">
        <v>743</v>
      </c>
      <c r="C243" s="4">
        <v>349210</v>
      </c>
      <c r="D243" s="3">
        <v>293</v>
      </c>
      <c r="E243" s="4">
        <v>213890</v>
      </c>
      <c r="G243" s="12">
        <f t="shared" si="62"/>
        <v>2011</v>
      </c>
      <c r="H243" s="12">
        <f t="shared" si="63"/>
        <v>8</v>
      </c>
      <c r="I243" s="11">
        <f t="shared" si="64"/>
        <v>8</v>
      </c>
      <c r="J243" s="11"/>
    </row>
    <row r="244" spans="1:10" x14ac:dyDescent="0.25">
      <c r="A244" s="2">
        <v>40782</v>
      </c>
      <c r="B244" s="3">
        <v>647</v>
      </c>
      <c r="C244" s="4">
        <v>304090</v>
      </c>
      <c r="D244" s="3">
        <v>277</v>
      </c>
      <c r="E244" s="4">
        <v>202210</v>
      </c>
      <c r="G244" s="12">
        <f t="shared" si="62"/>
        <v>2011</v>
      </c>
      <c r="H244" s="12">
        <f t="shared" si="63"/>
        <v>8</v>
      </c>
      <c r="I244" s="11">
        <f t="shared" si="64"/>
        <v>8</v>
      </c>
      <c r="J244" s="11"/>
    </row>
    <row r="245" spans="1:10" x14ac:dyDescent="0.25">
      <c r="A245" s="2">
        <v>40783</v>
      </c>
      <c r="B245" s="3">
        <v>675</v>
      </c>
      <c r="C245" s="4">
        <v>317250</v>
      </c>
      <c r="D245" s="3">
        <v>349</v>
      </c>
      <c r="E245" s="4">
        <v>254770</v>
      </c>
      <c r="G245" s="12">
        <f t="shared" si="62"/>
        <v>2011</v>
      </c>
      <c r="H245" s="12">
        <f t="shared" si="63"/>
        <v>8</v>
      </c>
      <c r="I245" s="11">
        <f t="shared" si="64"/>
        <v>8</v>
      </c>
      <c r="J245" s="11"/>
    </row>
    <row r="246" spans="1:10" x14ac:dyDescent="0.25">
      <c r="A246" s="2">
        <v>40784</v>
      </c>
      <c r="B246" s="3">
        <v>757</v>
      </c>
      <c r="C246" s="4">
        <v>355790</v>
      </c>
      <c r="D246" s="3">
        <v>294</v>
      </c>
      <c r="E246" s="4">
        <v>214620</v>
      </c>
      <c r="G246" s="12">
        <f t="shared" si="62"/>
        <v>2011</v>
      </c>
      <c r="H246" s="12">
        <f t="shared" si="63"/>
        <v>8</v>
      </c>
      <c r="I246" s="11">
        <f t="shared" si="64"/>
        <v>8</v>
      </c>
      <c r="J246" s="11"/>
    </row>
    <row r="247" spans="1:10" x14ac:dyDescent="0.25">
      <c r="A247" s="2">
        <v>40785</v>
      </c>
      <c r="B247" s="3">
        <v>801</v>
      </c>
      <c r="C247" s="4">
        <v>376470</v>
      </c>
      <c r="D247" s="3">
        <v>320</v>
      </c>
      <c r="E247" s="4">
        <v>233600</v>
      </c>
      <c r="G247" s="12">
        <f t="shared" si="62"/>
        <v>2011</v>
      </c>
      <c r="H247" s="12">
        <f t="shared" si="63"/>
        <v>8</v>
      </c>
      <c r="I247" s="11">
        <f t="shared" si="64"/>
        <v>8</v>
      </c>
      <c r="J247" s="11"/>
    </row>
    <row r="248" spans="1:10" x14ac:dyDescent="0.25">
      <c r="A248" s="2">
        <v>40786</v>
      </c>
      <c r="B248" s="3">
        <v>744</v>
      </c>
      <c r="C248" s="4">
        <v>349680</v>
      </c>
      <c r="D248" s="3">
        <v>286</v>
      </c>
      <c r="E248" s="4">
        <v>208780</v>
      </c>
      <c r="G248" s="12">
        <f t="shared" si="62"/>
        <v>2011</v>
      </c>
      <c r="H248" s="12">
        <f t="shared" si="63"/>
        <v>8</v>
      </c>
      <c r="I248" s="11">
        <f t="shared" si="64"/>
        <v>8</v>
      </c>
      <c r="J248" s="11"/>
    </row>
    <row r="249" spans="1:10" x14ac:dyDescent="0.25">
      <c r="A249" s="2">
        <v>40787</v>
      </c>
      <c r="B249" s="3">
        <v>815</v>
      </c>
      <c r="C249" s="4">
        <v>383050</v>
      </c>
      <c r="D249" s="3">
        <v>214</v>
      </c>
      <c r="E249" s="4">
        <v>156220</v>
      </c>
      <c r="G249" s="12">
        <f t="shared" si="62"/>
        <v>2011</v>
      </c>
      <c r="H249" s="12">
        <f t="shared" si="63"/>
        <v>9</v>
      </c>
      <c r="I249" s="11">
        <f t="shared" si="64"/>
        <v>9</v>
      </c>
      <c r="J249" s="11"/>
    </row>
    <row r="250" spans="1:10" x14ac:dyDescent="0.25">
      <c r="A250" s="2">
        <v>40788</v>
      </c>
      <c r="B250" s="3">
        <v>621</v>
      </c>
      <c r="C250" s="4">
        <v>291870</v>
      </c>
      <c r="D250" s="3">
        <v>292</v>
      </c>
      <c r="E250" s="4">
        <v>213160</v>
      </c>
      <c r="G250" s="12">
        <f t="shared" si="62"/>
        <v>2011</v>
      </c>
      <c r="H250" s="12">
        <f t="shared" si="63"/>
        <v>9</v>
      </c>
      <c r="I250" s="11">
        <f t="shared" si="64"/>
        <v>9</v>
      </c>
      <c r="J250" s="11"/>
    </row>
    <row r="251" spans="1:10" x14ac:dyDescent="0.25">
      <c r="A251" s="2">
        <v>40789</v>
      </c>
      <c r="B251" s="3">
        <v>687</v>
      </c>
      <c r="C251" s="4">
        <v>322890</v>
      </c>
      <c r="D251" s="3">
        <v>286</v>
      </c>
      <c r="E251" s="4">
        <v>208780</v>
      </c>
      <c r="G251" s="12">
        <f t="shared" si="62"/>
        <v>2011</v>
      </c>
      <c r="H251" s="12">
        <f t="shared" si="63"/>
        <v>9</v>
      </c>
      <c r="I251" s="11">
        <f t="shared" si="64"/>
        <v>9</v>
      </c>
      <c r="J251" s="11"/>
    </row>
    <row r="252" spans="1:10" x14ac:dyDescent="0.25">
      <c r="A252" s="2">
        <v>40790</v>
      </c>
      <c r="B252" s="3">
        <v>736</v>
      </c>
      <c r="C252" s="4">
        <v>345920</v>
      </c>
      <c r="D252" s="3">
        <v>372</v>
      </c>
      <c r="E252" s="4">
        <v>271560</v>
      </c>
      <c r="G252" s="12">
        <f t="shared" si="62"/>
        <v>2011</v>
      </c>
      <c r="H252" s="12">
        <f t="shared" si="63"/>
        <v>9</v>
      </c>
      <c r="I252" s="11">
        <f t="shared" si="64"/>
        <v>9</v>
      </c>
      <c r="J252" s="11"/>
    </row>
    <row r="253" spans="1:10" x14ac:dyDescent="0.25">
      <c r="A253" s="2">
        <v>40791</v>
      </c>
      <c r="B253" s="3">
        <v>726</v>
      </c>
      <c r="C253" s="4">
        <v>341220</v>
      </c>
      <c r="D253" s="3">
        <v>309</v>
      </c>
      <c r="E253" s="4">
        <v>225570</v>
      </c>
      <c r="G253" s="12">
        <f t="shared" si="62"/>
        <v>2011</v>
      </c>
      <c r="H253" s="12">
        <f t="shared" si="63"/>
        <v>9</v>
      </c>
      <c r="I253" s="11">
        <f t="shared" si="64"/>
        <v>9</v>
      </c>
      <c r="J253" s="11"/>
    </row>
    <row r="254" spans="1:10" x14ac:dyDescent="0.25">
      <c r="A254" s="2">
        <v>40792</v>
      </c>
      <c r="B254" s="3">
        <v>747</v>
      </c>
      <c r="C254" s="4">
        <v>351090</v>
      </c>
      <c r="D254" s="3">
        <v>302</v>
      </c>
      <c r="E254" s="4">
        <v>220460</v>
      </c>
      <c r="G254" s="12">
        <f t="shared" si="62"/>
        <v>2011</v>
      </c>
      <c r="H254" s="12">
        <f t="shared" si="63"/>
        <v>9</v>
      </c>
      <c r="I254" s="11">
        <f t="shared" si="64"/>
        <v>9</v>
      </c>
      <c r="J254" s="11"/>
    </row>
    <row r="255" spans="1:10" x14ac:dyDescent="0.25">
      <c r="A255" s="2">
        <v>40793</v>
      </c>
      <c r="B255" s="3">
        <v>770</v>
      </c>
      <c r="C255" s="4">
        <v>361900</v>
      </c>
      <c r="D255" s="3">
        <v>264</v>
      </c>
      <c r="E255" s="4">
        <v>192720</v>
      </c>
      <c r="G255" s="12">
        <f t="shared" si="62"/>
        <v>2011</v>
      </c>
      <c r="H255" s="12">
        <f t="shared" si="63"/>
        <v>9</v>
      </c>
      <c r="I255" s="11">
        <f t="shared" si="64"/>
        <v>9</v>
      </c>
      <c r="J255" s="11"/>
    </row>
    <row r="256" spans="1:10" x14ac:dyDescent="0.25">
      <c r="A256" s="2">
        <v>40794</v>
      </c>
      <c r="B256" s="3">
        <v>694</v>
      </c>
      <c r="C256" s="4">
        <v>326180</v>
      </c>
      <c r="D256" s="3">
        <v>288</v>
      </c>
      <c r="E256" s="4">
        <v>210240</v>
      </c>
      <c r="G256" s="12">
        <f t="shared" si="62"/>
        <v>2011</v>
      </c>
      <c r="H256" s="12">
        <f t="shared" si="63"/>
        <v>9</v>
      </c>
      <c r="I256" s="11">
        <f t="shared" si="64"/>
        <v>9</v>
      </c>
      <c r="J256" s="11"/>
    </row>
    <row r="257" spans="1:10" x14ac:dyDescent="0.25">
      <c r="A257" s="2">
        <v>40795</v>
      </c>
      <c r="B257" s="3">
        <v>785</v>
      </c>
      <c r="C257" s="4">
        <v>368950</v>
      </c>
      <c r="D257" s="3">
        <v>273</v>
      </c>
      <c r="E257" s="4">
        <v>199290</v>
      </c>
      <c r="G257" s="12">
        <f t="shared" si="62"/>
        <v>2011</v>
      </c>
      <c r="H257" s="12">
        <f t="shared" si="63"/>
        <v>9</v>
      </c>
      <c r="I257" s="11">
        <f t="shared" si="64"/>
        <v>9</v>
      </c>
      <c r="J257" s="11"/>
    </row>
    <row r="258" spans="1:10" x14ac:dyDescent="0.25">
      <c r="A258" s="2">
        <v>40796</v>
      </c>
      <c r="B258" s="3">
        <v>707</v>
      </c>
      <c r="C258" s="4">
        <v>332290</v>
      </c>
      <c r="D258" s="3">
        <v>272</v>
      </c>
      <c r="E258" s="4">
        <v>198560</v>
      </c>
      <c r="G258" s="12">
        <f t="shared" si="62"/>
        <v>2011</v>
      </c>
      <c r="H258" s="12">
        <f t="shared" si="63"/>
        <v>9</v>
      </c>
      <c r="I258" s="11">
        <f t="shared" si="64"/>
        <v>9</v>
      </c>
      <c r="J258" s="11"/>
    </row>
    <row r="259" spans="1:10" x14ac:dyDescent="0.25">
      <c r="A259" s="2">
        <v>40797</v>
      </c>
      <c r="B259" s="3">
        <v>742</v>
      </c>
      <c r="C259" s="4">
        <v>348740</v>
      </c>
      <c r="D259" s="3">
        <v>316</v>
      </c>
      <c r="E259" s="4">
        <v>230680</v>
      </c>
      <c r="G259" s="12">
        <f t="shared" si="62"/>
        <v>2011</v>
      </c>
      <c r="H259" s="12">
        <f t="shared" si="63"/>
        <v>9</v>
      </c>
      <c r="I259" s="11">
        <f t="shared" si="64"/>
        <v>9</v>
      </c>
      <c r="J259" s="11"/>
    </row>
    <row r="260" spans="1:10" x14ac:dyDescent="0.25">
      <c r="A260" s="2">
        <v>40798</v>
      </c>
      <c r="B260" s="3">
        <v>541</v>
      </c>
      <c r="C260" s="4">
        <v>254270</v>
      </c>
      <c r="D260" s="3">
        <v>297</v>
      </c>
      <c r="E260" s="4">
        <v>216810</v>
      </c>
      <c r="G260" s="12">
        <f t="shared" si="62"/>
        <v>2011</v>
      </c>
      <c r="H260" s="12">
        <f t="shared" si="63"/>
        <v>9</v>
      </c>
      <c r="I260" s="11">
        <f t="shared" si="64"/>
        <v>9</v>
      </c>
      <c r="J260" s="11"/>
    </row>
    <row r="261" spans="1:10" x14ac:dyDescent="0.25">
      <c r="A261" s="2">
        <v>40799</v>
      </c>
      <c r="B261" s="3">
        <v>624</v>
      </c>
      <c r="C261" s="4">
        <v>293280</v>
      </c>
      <c r="D261" s="3">
        <v>281</v>
      </c>
      <c r="E261" s="4">
        <v>205130</v>
      </c>
      <c r="G261" s="12">
        <f t="shared" si="62"/>
        <v>2011</v>
      </c>
      <c r="H261" s="12">
        <f t="shared" si="63"/>
        <v>9</v>
      </c>
      <c r="I261" s="11">
        <f t="shared" si="64"/>
        <v>9</v>
      </c>
      <c r="J261" s="11"/>
    </row>
    <row r="262" spans="1:10" x14ac:dyDescent="0.25">
      <c r="A262" s="2">
        <v>40800</v>
      </c>
      <c r="B262" s="3">
        <v>750</v>
      </c>
      <c r="C262" s="4">
        <v>352500</v>
      </c>
      <c r="D262" s="3">
        <v>280</v>
      </c>
      <c r="E262" s="4">
        <v>204400</v>
      </c>
      <c r="G262" s="12">
        <f t="shared" ref="G262:G325" si="65">+YEAR(A262)</f>
        <v>2011</v>
      </c>
      <c r="H262" s="12">
        <f t="shared" ref="H262:H325" si="66">+MONTH(A262)</f>
        <v>9</v>
      </c>
      <c r="I262" s="11">
        <f t="shared" si="64"/>
        <v>9</v>
      </c>
      <c r="J262" s="11"/>
    </row>
    <row r="263" spans="1:10" x14ac:dyDescent="0.25">
      <c r="A263" s="2">
        <v>40801</v>
      </c>
      <c r="B263" s="3">
        <v>634</v>
      </c>
      <c r="C263" s="4">
        <v>297980</v>
      </c>
      <c r="D263" s="3">
        <v>284</v>
      </c>
      <c r="E263" s="4">
        <v>207320</v>
      </c>
      <c r="G263" s="12">
        <f t="shared" si="65"/>
        <v>2011</v>
      </c>
      <c r="H263" s="12">
        <f t="shared" si="66"/>
        <v>9</v>
      </c>
      <c r="I263" s="11">
        <f t="shared" ref="I263:I326" si="67">+H263+(G263-2011)*12</f>
        <v>9</v>
      </c>
      <c r="J263" s="11"/>
    </row>
    <row r="264" spans="1:10" x14ac:dyDescent="0.25">
      <c r="A264" s="2">
        <v>40802</v>
      </c>
      <c r="B264" s="3">
        <v>572</v>
      </c>
      <c r="C264" s="4">
        <v>268840</v>
      </c>
      <c r="D264" s="3">
        <v>331</v>
      </c>
      <c r="E264" s="4">
        <v>241630</v>
      </c>
      <c r="G264" s="12">
        <f t="shared" si="65"/>
        <v>2011</v>
      </c>
      <c r="H264" s="12">
        <f t="shared" si="66"/>
        <v>9</v>
      </c>
      <c r="I264" s="11">
        <f t="shared" si="67"/>
        <v>9</v>
      </c>
      <c r="J264" s="11"/>
    </row>
    <row r="265" spans="1:10" x14ac:dyDescent="0.25">
      <c r="A265" s="2">
        <v>40803</v>
      </c>
      <c r="B265" s="3">
        <v>716</v>
      </c>
      <c r="C265" s="4">
        <v>336520</v>
      </c>
      <c r="D265" s="3">
        <v>283</v>
      </c>
      <c r="E265" s="4">
        <v>206590</v>
      </c>
      <c r="G265" s="12">
        <f t="shared" si="65"/>
        <v>2011</v>
      </c>
      <c r="H265" s="12">
        <f t="shared" si="66"/>
        <v>9</v>
      </c>
      <c r="I265" s="11">
        <f t="shared" si="67"/>
        <v>9</v>
      </c>
      <c r="J265" s="11"/>
    </row>
    <row r="266" spans="1:10" x14ac:dyDescent="0.25">
      <c r="A266" s="2">
        <v>40804</v>
      </c>
      <c r="B266" s="3">
        <v>714</v>
      </c>
      <c r="C266" s="4">
        <v>335580</v>
      </c>
      <c r="D266" s="3">
        <v>310</v>
      </c>
      <c r="E266" s="4">
        <v>226300</v>
      </c>
      <c r="G266" s="12">
        <f t="shared" si="65"/>
        <v>2011</v>
      </c>
      <c r="H266" s="12">
        <f t="shared" si="66"/>
        <v>9</v>
      </c>
      <c r="I266" s="11">
        <f t="shared" si="67"/>
        <v>9</v>
      </c>
      <c r="J266" s="11"/>
    </row>
    <row r="267" spans="1:10" x14ac:dyDescent="0.25">
      <c r="A267" s="2">
        <v>40805</v>
      </c>
      <c r="B267" s="3">
        <v>693</v>
      </c>
      <c r="C267" s="4">
        <v>325710</v>
      </c>
      <c r="D267" s="3">
        <v>295</v>
      </c>
      <c r="E267" s="4">
        <v>215350</v>
      </c>
      <c r="G267" s="12">
        <f t="shared" si="65"/>
        <v>2011</v>
      </c>
      <c r="H267" s="12">
        <f t="shared" si="66"/>
        <v>9</v>
      </c>
      <c r="I267" s="11">
        <f t="shared" si="67"/>
        <v>9</v>
      </c>
      <c r="J267" s="11"/>
    </row>
    <row r="268" spans="1:10" x14ac:dyDescent="0.25">
      <c r="A268" s="2">
        <v>40806</v>
      </c>
      <c r="B268" s="3">
        <v>813</v>
      </c>
      <c r="C268" s="4">
        <v>382110</v>
      </c>
      <c r="D268" s="3">
        <v>298</v>
      </c>
      <c r="E268" s="4">
        <v>217540</v>
      </c>
      <c r="G268" s="12">
        <f t="shared" si="65"/>
        <v>2011</v>
      </c>
      <c r="H268" s="12">
        <f t="shared" si="66"/>
        <v>9</v>
      </c>
      <c r="I268" s="11">
        <f t="shared" si="67"/>
        <v>9</v>
      </c>
      <c r="J268" s="11"/>
    </row>
    <row r="269" spans="1:10" x14ac:dyDescent="0.25">
      <c r="A269" s="2">
        <v>40807</v>
      </c>
      <c r="B269" s="3">
        <v>713</v>
      </c>
      <c r="C269" s="4">
        <v>335110</v>
      </c>
      <c r="D269" s="3">
        <v>253</v>
      </c>
      <c r="E269" s="4">
        <v>184690</v>
      </c>
      <c r="G269" s="12">
        <f t="shared" si="65"/>
        <v>2011</v>
      </c>
      <c r="H269" s="12">
        <f t="shared" si="66"/>
        <v>9</v>
      </c>
      <c r="I269" s="11">
        <f t="shared" si="67"/>
        <v>9</v>
      </c>
      <c r="J269" s="11"/>
    </row>
    <row r="270" spans="1:10" x14ac:dyDescent="0.25">
      <c r="A270" s="2">
        <v>40808</v>
      </c>
      <c r="B270" s="3">
        <v>851</v>
      </c>
      <c r="C270" s="4">
        <v>399970</v>
      </c>
      <c r="D270" s="3">
        <v>276</v>
      </c>
      <c r="E270" s="4">
        <v>201480</v>
      </c>
      <c r="G270" s="12">
        <f t="shared" si="65"/>
        <v>2011</v>
      </c>
      <c r="H270" s="12">
        <f t="shared" si="66"/>
        <v>9</v>
      </c>
      <c r="I270" s="11">
        <f t="shared" si="67"/>
        <v>9</v>
      </c>
      <c r="J270" s="11"/>
    </row>
    <row r="271" spans="1:10" x14ac:dyDescent="0.25">
      <c r="A271" s="2">
        <v>40809</v>
      </c>
      <c r="B271" s="3">
        <v>737</v>
      </c>
      <c r="C271" s="4">
        <v>346390</v>
      </c>
      <c r="D271" s="3">
        <v>287</v>
      </c>
      <c r="E271" s="4">
        <v>209510</v>
      </c>
      <c r="G271" s="12">
        <f t="shared" si="65"/>
        <v>2011</v>
      </c>
      <c r="H271" s="12">
        <f t="shared" si="66"/>
        <v>9</v>
      </c>
      <c r="I271" s="11">
        <f t="shared" si="67"/>
        <v>9</v>
      </c>
      <c r="J271" s="11"/>
    </row>
    <row r="272" spans="1:10" x14ac:dyDescent="0.25">
      <c r="A272" s="2">
        <v>40810</v>
      </c>
      <c r="B272" s="3">
        <v>743</v>
      </c>
      <c r="C272" s="4">
        <v>349210</v>
      </c>
      <c r="D272" s="3">
        <v>275</v>
      </c>
      <c r="E272" s="4">
        <v>200750</v>
      </c>
      <c r="G272" s="12">
        <f t="shared" si="65"/>
        <v>2011</v>
      </c>
      <c r="H272" s="12">
        <f t="shared" si="66"/>
        <v>9</v>
      </c>
      <c r="I272" s="11">
        <f t="shared" si="67"/>
        <v>9</v>
      </c>
      <c r="J272" s="11"/>
    </row>
    <row r="273" spans="1:10" x14ac:dyDescent="0.25">
      <c r="A273" s="2">
        <v>40811</v>
      </c>
      <c r="B273" s="3">
        <v>626</v>
      </c>
      <c r="C273" s="4">
        <v>294220</v>
      </c>
      <c r="D273" s="3">
        <v>304</v>
      </c>
      <c r="E273" s="4">
        <v>221920</v>
      </c>
      <c r="G273" s="12">
        <f t="shared" si="65"/>
        <v>2011</v>
      </c>
      <c r="H273" s="12">
        <f t="shared" si="66"/>
        <v>9</v>
      </c>
      <c r="I273" s="11">
        <f t="shared" si="67"/>
        <v>9</v>
      </c>
      <c r="J273" s="11"/>
    </row>
    <row r="274" spans="1:10" x14ac:dyDescent="0.25">
      <c r="A274" s="2">
        <v>40812</v>
      </c>
      <c r="B274" s="3">
        <v>640</v>
      </c>
      <c r="C274" s="4">
        <v>300800</v>
      </c>
      <c r="D274" s="3">
        <v>327</v>
      </c>
      <c r="E274" s="4">
        <v>238710</v>
      </c>
      <c r="G274" s="12">
        <f t="shared" si="65"/>
        <v>2011</v>
      </c>
      <c r="H274" s="12">
        <f t="shared" si="66"/>
        <v>9</v>
      </c>
      <c r="I274" s="11">
        <f t="shared" si="67"/>
        <v>9</v>
      </c>
      <c r="J274" s="11"/>
    </row>
    <row r="275" spans="1:10" x14ac:dyDescent="0.25">
      <c r="A275" s="2">
        <v>40813</v>
      </c>
      <c r="B275" s="3">
        <v>804</v>
      </c>
      <c r="C275" s="4">
        <v>377880</v>
      </c>
      <c r="D275" s="3">
        <v>300</v>
      </c>
      <c r="E275" s="4">
        <v>219000</v>
      </c>
      <c r="G275" s="12">
        <f t="shared" si="65"/>
        <v>2011</v>
      </c>
      <c r="H275" s="12">
        <f t="shared" si="66"/>
        <v>9</v>
      </c>
      <c r="I275" s="11">
        <f t="shared" si="67"/>
        <v>9</v>
      </c>
      <c r="J275" s="11"/>
    </row>
    <row r="276" spans="1:10" x14ac:dyDescent="0.25">
      <c r="A276" s="2">
        <v>40814</v>
      </c>
      <c r="B276" s="3">
        <v>616</v>
      </c>
      <c r="C276" s="4">
        <v>289520</v>
      </c>
      <c r="D276" s="3">
        <v>270</v>
      </c>
      <c r="E276" s="4">
        <v>197100</v>
      </c>
      <c r="G276" s="12">
        <f t="shared" si="65"/>
        <v>2011</v>
      </c>
      <c r="H276" s="12">
        <f t="shared" si="66"/>
        <v>9</v>
      </c>
      <c r="I276" s="11">
        <f t="shared" si="67"/>
        <v>9</v>
      </c>
      <c r="J276" s="11"/>
    </row>
    <row r="277" spans="1:10" x14ac:dyDescent="0.25">
      <c r="A277" s="2">
        <v>40815</v>
      </c>
      <c r="B277" s="3">
        <v>848</v>
      </c>
      <c r="C277" s="4">
        <v>398560</v>
      </c>
      <c r="D277" s="3">
        <v>303</v>
      </c>
      <c r="E277" s="4">
        <v>221190</v>
      </c>
      <c r="G277" s="12">
        <f t="shared" si="65"/>
        <v>2011</v>
      </c>
      <c r="H277" s="12">
        <f t="shared" si="66"/>
        <v>9</v>
      </c>
      <c r="I277" s="11">
        <f t="shared" si="67"/>
        <v>9</v>
      </c>
      <c r="J277" s="11"/>
    </row>
    <row r="278" spans="1:10" x14ac:dyDescent="0.25">
      <c r="A278" s="2">
        <v>40816</v>
      </c>
      <c r="B278" s="3">
        <v>695</v>
      </c>
      <c r="C278" s="4">
        <v>326650</v>
      </c>
      <c r="D278" s="3">
        <v>334</v>
      </c>
      <c r="E278" s="4">
        <v>243820</v>
      </c>
      <c r="G278" s="12">
        <f t="shared" si="65"/>
        <v>2011</v>
      </c>
      <c r="H278" s="12">
        <f t="shared" si="66"/>
        <v>9</v>
      </c>
      <c r="I278" s="11">
        <f t="shared" si="67"/>
        <v>9</v>
      </c>
      <c r="J278" s="11"/>
    </row>
    <row r="279" spans="1:10" x14ac:dyDescent="0.25">
      <c r="A279" s="2">
        <v>40817</v>
      </c>
      <c r="B279" s="3">
        <v>585</v>
      </c>
      <c r="C279" s="4">
        <v>171843.75</v>
      </c>
      <c r="D279" s="3">
        <v>321</v>
      </c>
      <c r="E279" s="4">
        <v>234330</v>
      </c>
      <c r="G279" s="12">
        <f t="shared" si="65"/>
        <v>2011</v>
      </c>
      <c r="H279" s="12">
        <f t="shared" si="66"/>
        <v>10</v>
      </c>
      <c r="I279" s="11">
        <f t="shared" si="67"/>
        <v>10</v>
      </c>
      <c r="J279" s="11"/>
    </row>
    <row r="280" spans="1:10" x14ac:dyDescent="0.25">
      <c r="A280" s="2">
        <v>40818</v>
      </c>
      <c r="B280" s="3">
        <v>535</v>
      </c>
      <c r="C280" s="4">
        <v>157156.25</v>
      </c>
      <c r="D280" s="3">
        <v>324</v>
      </c>
      <c r="E280" s="4">
        <v>236520</v>
      </c>
      <c r="G280" s="12">
        <f t="shared" si="65"/>
        <v>2011</v>
      </c>
      <c r="H280" s="12">
        <f t="shared" si="66"/>
        <v>10</v>
      </c>
      <c r="I280" s="11">
        <f t="shared" si="67"/>
        <v>10</v>
      </c>
      <c r="J280" s="11"/>
    </row>
    <row r="281" spans="1:10" x14ac:dyDescent="0.25">
      <c r="A281" s="2">
        <v>40819</v>
      </c>
      <c r="B281" s="3">
        <v>557</v>
      </c>
      <c r="C281" s="4">
        <v>163618.75</v>
      </c>
      <c r="D281" s="3">
        <v>295</v>
      </c>
      <c r="E281" s="4">
        <v>215350</v>
      </c>
      <c r="G281" s="12">
        <f t="shared" si="65"/>
        <v>2011</v>
      </c>
      <c r="H281" s="12">
        <f t="shared" si="66"/>
        <v>10</v>
      </c>
      <c r="I281" s="11">
        <f t="shared" si="67"/>
        <v>10</v>
      </c>
      <c r="J281" s="11"/>
    </row>
    <row r="282" spans="1:10" x14ac:dyDescent="0.25">
      <c r="A282" s="2">
        <v>40820</v>
      </c>
      <c r="B282" s="3">
        <v>612</v>
      </c>
      <c r="C282" s="4">
        <v>179775</v>
      </c>
      <c r="D282" s="3">
        <v>261</v>
      </c>
      <c r="E282" s="4">
        <v>190530</v>
      </c>
      <c r="G282" s="12">
        <f t="shared" si="65"/>
        <v>2011</v>
      </c>
      <c r="H282" s="12">
        <f t="shared" si="66"/>
        <v>10</v>
      </c>
      <c r="I282" s="11">
        <f t="shared" si="67"/>
        <v>10</v>
      </c>
      <c r="J282" s="11"/>
    </row>
    <row r="283" spans="1:10" x14ac:dyDescent="0.25">
      <c r="A283" s="2">
        <v>40821</v>
      </c>
      <c r="B283" s="3">
        <v>512</v>
      </c>
      <c r="C283" s="4">
        <v>150400</v>
      </c>
      <c r="D283" s="3">
        <v>270</v>
      </c>
      <c r="E283" s="4">
        <v>197100</v>
      </c>
      <c r="G283" s="12">
        <f t="shared" si="65"/>
        <v>2011</v>
      </c>
      <c r="H283" s="12">
        <f t="shared" si="66"/>
        <v>10</v>
      </c>
      <c r="I283" s="11">
        <f t="shared" si="67"/>
        <v>10</v>
      </c>
      <c r="J283" s="11"/>
    </row>
    <row r="284" spans="1:10" x14ac:dyDescent="0.25">
      <c r="A284" s="2">
        <v>40822</v>
      </c>
      <c r="B284" s="3">
        <v>645</v>
      </c>
      <c r="C284" s="4">
        <v>189468.75</v>
      </c>
      <c r="D284" s="3">
        <v>310</v>
      </c>
      <c r="E284" s="4">
        <v>226300</v>
      </c>
      <c r="G284" s="12">
        <f t="shared" si="65"/>
        <v>2011</v>
      </c>
      <c r="H284" s="12">
        <f t="shared" si="66"/>
        <v>10</v>
      </c>
      <c r="I284" s="11">
        <f t="shared" si="67"/>
        <v>10</v>
      </c>
      <c r="J284" s="11"/>
    </row>
    <row r="285" spans="1:10" x14ac:dyDescent="0.25">
      <c r="A285" s="2">
        <v>40823</v>
      </c>
      <c r="B285" s="3">
        <v>715</v>
      </c>
      <c r="C285" s="4">
        <v>210031.25</v>
      </c>
      <c r="D285" s="3">
        <v>314</v>
      </c>
      <c r="E285" s="4">
        <v>229220</v>
      </c>
      <c r="G285" s="12">
        <f t="shared" si="65"/>
        <v>2011</v>
      </c>
      <c r="H285" s="12">
        <f t="shared" si="66"/>
        <v>10</v>
      </c>
      <c r="I285" s="11">
        <f t="shared" si="67"/>
        <v>10</v>
      </c>
      <c r="J285" s="11"/>
    </row>
    <row r="286" spans="1:10" x14ac:dyDescent="0.25">
      <c r="A286" s="2">
        <v>40824</v>
      </c>
      <c r="B286" s="3">
        <v>677</v>
      </c>
      <c r="C286" s="4">
        <v>198868.75</v>
      </c>
      <c r="D286" s="3">
        <v>297</v>
      </c>
      <c r="E286" s="4">
        <v>216810</v>
      </c>
      <c r="G286" s="12">
        <f t="shared" si="65"/>
        <v>2011</v>
      </c>
      <c r="H286" s="12">
        <f t="shared" si="66"/>
        <v>10</v>
      </c>
      <c r="I286" s="11">
        <f t="shared" si="67"/>
        <v>10</v>
      </c>
      <c r="J286" s="11"/>
    </row>
    <row r="287" spans="1:10" x14ac:dyDescent="0.25">
      <c r="A287" s="2">
        <v>40825</v>
      </c>
      <c r="B287" s="3">
        <v>598</v>
      </c>
      <c r="C287" s="4">
        <v>175662.5</v>
      </c>
      <c r="D287" s="3">
        <v>296</v>
      </c>
      <c r="E287" s="4">
        <v>216080</v>
      </c>
      <c r="G287" s="12">
        <f t="shared" si="65"/>
        <v>2011</v>
      </c>
      <c r="H287" s="12">
        <f t="shared" si="66"/>
        <v>10</v>
      </c>
      <c r="I287" s="11">
        <f t="shared" si="67"/>
        <v>10</v>
      </c>
      <c r="J287" s="11"/>
    </row>
    <row r="288" spans="1:10" x14ac:dyDescent="0.25">
      <c r="A288" s="2">
        <v>40826</v>
      </c>
      <c r="B288" s="3">
        <v>556</v>
      </c>
      <c r="C288" s="4">
        <v>163325</v>
      </c>
      <c r="D288" s="3">
        <v>332</v>
      </c>
      <c r="E288" s="4">
        <v>242360</v>
      </c>
      <c r="G288" s="12">
        <f t="shared" si="65"/>
        <v>2011</v>
      </c>
      <c r="H288" s="12">
        <f t="shared" si="66"/>
        <v>10</v>
      </c>
      <c r="I288" s="11">
        <f t="shared" si="67"/>
        <v>10</v>
      </c>
      <c r="J288" s="11"/>
    </row>
    <row r="289" spans="1:10" x14ac:dyDescent="0.25">
      <c r="A289" s="2">
        <v>40827</v>
      </c>
      <c r="B289" s="3">
        <v>460</v>
      </c>
      <c r="C289" s="4">
        <v>135125</v>
      </c>
      <c r="D289" s="3">
        <v>311</v>
      </c>
      <c r="E289" s="4">
        <v>227030</v>
      </c>
      <c r="G289" s="12">
        <f t="shared" si="65"/>
        <v>2011</v>
      </c>
      <c r="H289" s="12">
        <f t="shared" si="66"/>
        <v>10</v>
      </c>
      <c r="I289" s="11">
        <f t="shared" si="67"/>
        <v>10</v>
      </c>
      <c r="J289" s="11"/>
    </row>
    <row r="290" spans="1:10" x14ac:dyDescent="0.25">
      <c r="A290" s="2">
        <v>40828</v>
      </c>
      <c r="B290" s="3">
        <v>502</v>
      </c>
      <c r="C290" s="4">
        <v>147462.5</v>
      </c>
      <c r="D290" s="3">
        <v>332</v>
      </c>
      <c r="E290" s="4">
        <v>242360</v>
      </c>
      <c r="G290" s="12">
        <f t="shared" si="65"/>
        <v>2011</v>
      </c>
      <c r="H290" s="12">
        <f t="shared" si="66"/>
        <v>10</v>
      </c>
      <c r="I290" s="11">
        <f t="shared" si="67"/>
        <v>10</v>
      </c>
      <c r="J290" s="11"/>
    </row>
    <row r="291" spans="1:10" x14ac:dyDescent="0.25">
      <c r="A291" s="2">
        <v>40829</v>
      </c>
      <c r="B291" s="3">
        <v>635</v>
      </c>
      <c r="C291" s="4">
        <v>186531.25</v>
      </c>
      <c r="D291" s="3">
        <v>342</v>
      </c>
      <c r="E291" s="4">
        <v>249660</v>
      </c>
      <c r="G291" s="12">
        <f t="shared" si="65"/>
        <v>2011</v>
      </c>
      <c r="H291" s="12">
        <f t="shared" si="66"/>
        <v>10</v>
      </c>
      <c r="I291" s="11">
        <f t="shared" si="67"/>
        <v>10</v>
      </c>
      <c r="J291" s="11"/>
    </row>
    <row r="292" spans="1:10" x14ac:dyDescent="0.25">
      <c r="A292" s="2">
        <v>40830</v>
      </c>
      <c r="B292" s="3">
        <v>602</v>
      </c>
      <c r="C292" s="4">
        <v>176837.5</v>
      </c>
      <c r="D292" s="3">
        <v>276</v>
      </c>
      <c r="E292" s="4">
        <v>201480</v>
      </c>
      <c r="G292" s="12">
        <f t="shared" si="65"/>
        <v>2011</v>
      </c>
      <c r="H292" s="12">
        <f t="shared" si="66"/>
        <v>10</v>
      </c>
      <c r="I292" s="11">
        <f t="shared" si="67"/>
        <v>10</v>
      </c>
      <c r="J292" s="11"/>
    </row>
    <row r="293" spans="1:10" x14ac:dyDescent="0.25">
      <c r="A293" s="2">
        <v>40831</v>
      </c>
      <c r="B293" s="3">
        <v>537</v>
      </c>
      <c r="C293" s="4">
        <v>157743.75</v>
      </c>
      <c r="D293" s="3">
        <v>269</v>
      </c>
      <c r="E293" s="4">
        <v>196370</v>
      </c>
      <c r="G293" s="12">
        <f t="shared" si="65"/>
        <v>2011</v>
      </c>
      <c r="H293" s="12">
        <f t="shared" si="66"/>
        <v>10</v>
      </c>
      <c r="I293" s="11">
        <f t="shared" si="67"/>
        <v>10</v>
      </c>
      <c r="J293" s="11"/>
    </row>
    <row r="294" spans="1:10" x14ac:dyDescent="0.25">
      <c r="A294" s="2">
        <v>40832</v>
      </c>
      <c r="B294" s="3">
        <v>576</v>
      </c>
      <c r="C294" s="4">
        <v>169200</v>
      </c>
      <c r="D294" s="3">
        <v>258</v>
      </c>
      <c r="E294" s="4">
        <v>188340</v>
      </c>
      <c r="G294" s="12">
        <f t="shared" si="65"/>
        <v>2011</v>
      </c>
      <c r="H294" s="12">
        <f t="shared" si="66"/>
        <v>10</v>
      </c>
      <c r="I294" s="11">
        <f t="shared" si="67"/>
        <v>10</v>
      </c>
      <c r="J294" s="11"/>
    </row>
    <row r="295" spans="1:10" x14ac:dyDescent="0.25">
      <c r="A295" s="2">
        <v>40833</v>
      </c>
      <c r="B295" s="3">
        <v>538</v>
      </c>
      <c r="C295" s="4">
        <v>158037.5</v>
      </c>
      <c r="D295" s="3">
        <v>333</v>
      </c>
      <c r="E295" s="4">
        <v>243090</v>
      </c>
      <c r="G295" s="12">
        <f t="shared" si="65"/>
        <v>2011</v>
      </c>
      <c r="H295" s="12">
        <f t="shared" si="66"/>
        <v>10</v>
      </c>
      <c r="I295" s="11">
        <f t="shared" si="67"/>
        <v>10</v>
      </c>
      <c r="J295" s="11"/>
    </row>
    <row r="296" spans="1:10" x14ac:dyDescent="0.25">
      <c r="A296" s="2">
        <v>40834</v>
      </c>
      <c r="B296" s="3">
        <v>595</v>
      </c>
      <c r="C296" s="4">
        <v>174781.25</v>
      </c>
      <c r="D296" s="3">
        <v>298</v>
      </c>
      <c r="E296" s="4">
        <v>217540</v>
      </c>
      <c r="G296" s="12">
        <f t="shared" si="65"/>
        <v>2011</v>
      </c>
      <c r="H296" s="12">
        <f t="shared" si="66"/>
        <v>10</v>
      </c>
      <c r="I296" s="11">
        <f t="shared" si="67"/>
        <v>10</v>
      </c>
      <c r="J296" s="11"/>
    </row>
    <row r="297" spans="1:10" x14ac:dyDescent="0.25">
      <c r="A297" s="2">
        <v>40835</v>
      </c>
      <c r="B297" s="3">
        <v>577</v>
      </c>
      <c r="C297" s="4">
        <v>169493.75</v>
      </c>
      <c r="D297" s="3">
        <v>322</v>
      </c>
      <c r="E297" s="4">
        <v>235060</v>
      </c>
      <c r="G297" s="12">
        <f t="shared" si="65"/>
        <v>2011</v>
      </c>
      <c r="H297" s="12">
        <f t="shared" si="66"/>
        <v>10</v>
      </c>
      <c r="I297" s="11">
        <f t="shared" si="67"/>
        <v>10</v>
      </c>
      <c r="J297" s="11"/>
    </row>
    <row r="298" spans="1:10" x14ac:dyDescent="0.25">
      <c r="A298" s="2">
        <v>40836</v>
      </c>
      <c r="B298" s="3">
        <v>567</v>
      </c>
      <c r="C298" s="4">
        <v>166556.25</v>
      </c>
      <c r="D298" s="3">
        <v>308</v>
      </c>
      <c r="E298" s="4">
        <v>224840</v>
      </c>
      <c r="G298" s="12">
        <f t="shared" si="65"/>
        <v>2011</v>
      </c>
      <c r="H298" s="12">
        <f t="shared" si="66"/>
        <v>10</v>
      </c>
      <c r="I298" s="11">
        <f t="shared" si="67"/>
        <v>10</v>
      </c>
      <c r="J298" s="11"/>
    </row>
    <row r="299" spans="1:10" x14ac:dyDescent="0.25">
      <c r="A299" s="2">
        <v>40837</v>
      </c>
      <c r="B299" s="3">
        <v>590</v>
      </c>
      <c r="C299" s="4">
        <v>173312.5</v>
      </c>
      <c r="D299" s="3">
        <v>353</v>
      </c>
      <c r="E299" s="4">
        <v>257690</v>
      </c>
      <c r="G299" s="12">
        <f t="shared" si="65"/>
        <v>2011</v>
      </c>
      <c r="H299" s="12">
        <f t="shared" si="66"/>
        <v>10</v>
      </c>
      <c r="I299" s="11">
        <f t="shared" si="67"/>
        <v>10</v>
      </c>
      <c r="J299" s="11"/>
    </row>
    <row r="300" spans="1:10" x14ac:dyDescent="0.25">
      <c r="A300" s="2">
        <v>40838</v>
      </c>
      <c r="B300" s="3">
        <v>633</v>
      </c>
      <c r="C300" s="4">
        <v>185943.75</v>
      </c>
      <c r="D300" s="3">
        <v>332</v>
      </c>
      <c r="E300" s="4">
        <v>242360</v>
      </c>
      <c r="G300" s="12">
        <f t="shared" si="65"/>
        <v>2011</v>
      </c>
      <c r="H300" s="12">
        <f t="shared" si="66"/>
        <v>10</v>
      </c>
      <c r="I300" s="11">
        <f t="shared" si="67"/>
        <v>10</v>
      </c>
      <c r="J300" s="11"/>
    </row>
    <row r="301" spans="1:10" x14ac:dyDescent="0.25">
      <c r="A301" s="2">
        <v>40839</v>
      </c>
      <c r="B301" s="3">
        <v>455</v>
      </c>
      <c r="C301" s="4">
        <v>133656.25</v>
      </c>
      <c r="D301" s="3">
        <v>296</v>
      </c>
      <c r="E301" s="4">
        <v>216080</v>
      </c>
      <c r="G301" s="12">
        <f t="shared" si="65"/>
        <v>2011</v>
      </c>
      <c r="H301" s="12">
        <f t="shared" si="66"/>
        <v>10</v>
      </c>
      <c r="I301" s="11">
        <f t="shared" si="67"/>
        <v>10</v>
      </c>
      <c r="J301" s="11"/>
    </row>
    <row r="302" spans="1:10" x14ac:dyDescent="0.25">
      <c r="A302" s="2">
        <v>40840</v>
      </c>
      <c r="B302" s="3">
        <v>597</v>
      </c>
      <c r="C302" s="4">
        <v>175368.75</v>
      </c>
      <c r="D302" s="3">
        <v>324</v>
      </c>
      <c r="E302" s="4">
        <v>236520</v>
      </c>
      <c r="G302" s="12">
        <f t="shared" si="65"/>
        <v>2011</v>
      </c>
      <c r="H302" s="12">
        <f t="shared" si="66"/>
        <v>10</v>
      </c>
      <c r="I302" s="11">
        <f t="shared" si="67"/>
        <v>10</v>
      </c>
      <c r="J302" s="11"/>
    </row>
    <row r="303" spans="1:10" x14ac:dyDescent="0.25">
      <c r="A303" s="2">
        <v>40841</v>
      </c>
      <c r="B303" s="3">
        <v>597</v>
      </c>
      <c r="C303" s="4">
        <v>175368.75</v>
      </c>
      <c r="D303" s="3">
        <v>285</v>
      </c>
      <c r="E303" s="4">
        <v>208050</v>
      </c>
      <c r="G303" s="12">
        <f t="shared" si="65"/>
        <v>2011</v>
      </c>
      <c r="H303" s="12">
        <f t="shared" si="66"/>
        <v>10</v>
      </c>
      <c r="I303" s="11">
        <f t="shared" si="67"/>
        <v>10</v>
      </c>
      <c r="J303" s="11"/>
    </row>
    <row r="304" spans="1:10" x14ac:dyDescent="0.25">
      <c r="A304" s="2">
        <v>40842</v>
      </c>
      <c r="B304" s="3">
        <v>647</v>
      </c>
      <c r="C304" s="4">
        <v>190056.25</v>
      </c>
      <c r="D304" s="3">
        <v>320</v>
      </c>
      <c r="E304" s="4">
        <v>233600</v>
      </c>
      <c r="G304" s="12">
        <f t="shared" si="65"/>
        <v>2011</v>
      </c>
      <c r="H304" s="12">
        <f t="shared" si="66"/>
        <v>10</v>
      </c>
      <c r="I304" s="11">
        <f t="shared" si="67"/>
        <v>10</v>
      </c>
      <c r="J304" s="11"/>
    </row>
    <row r="305" spans="1:10" x14ac:dyDescent="0.25">
      <c r="A305" s="2">
        <v>40843</v>
      </c>
      <c r="B305" s="3">
        <v>504</v>
      </c>
      <c r="C305" s="4">
        <v>148050</v>
      </c>
      <c r="D305" s="3">
        <v>280</v>
      </c>
      <c r="E305" s="4">
        <v>204400</v>
      </c>
      <c r="G305" s="12">
        <f t="shared" si="65"/>
        <v>2011</v>
      </c>
      <c r="H305" s="12">
        <f t="shared" si="66"/>
        <v>10</v>
      </c>
      <c r="I305" s="11">
        <f t="shared" si="67"/>
        <v>10</v>
      </c>
      <c r="J305" s="11"/>
    </row>
    <row r="306" spans="1:10" x14ac:dyDescent="0.25">
      <c r="A306" s="2">
        <v>40844</v>
      </c>
      <c r="B306" s="3">
        <v>522</v>
      </c>
      <c r="C306" s="4">
        <v>153337.5</v>
      </c>
      <c r="D306" s="3">
        <v>304</v>
      </c>
      <c r="E306" s="4">
        <v>221920</v>
      </c>
      <c r="G306" s="12">
        <f t="shared" si="65"/>
        <v>2011</v>
      </c>
      <c r="H306" s="12">
        <f t="shared" si="66"/>
        <v>10</v>
      </c>
      <c r="I306" s="11">
        <f t="shared" si="67"/>
        <v>10</v>
      </c>
      <c r="J306" s="11"/>
    </row>
    <row r="307" spans="1:10" x14ac:dyDescent="0.25">
      <c r="A307" s="2">
        <v>40845</v>
      </c>
      <c r="B307" s="3">
        <v>539</v>
      </c>
      <c r="C307" s="4">
        <v>158331.25</v>
      </c>
      <c r="D307" s="3">
        <v>299</v>
      </c>
      <c r="E307" s="4">
        <v>218270</v>
      </c>
      <c r="G307" s="12">
        <f t="shared" si="65"/>
        <v>2011</v>
      </c>
      <c r="H307" s="12">
        <f t="shared" si="66"/>
        <v>10</v>
      </c>
      <c r="I307" s="11">
        <f t="shared" si="67"/>
        <v>10</v>
      </c>
      <c r="J307" s="11"/>
    </row>
    <row r="308" spans="1:10" x14ac:dyDescent="0.25">
      <c r="A308" s="2">
        <v>40846</v>
      </c>
      <c r="B308" s="3">
        <v>643</v>
      </c>
      <c r="C308" s="4">
        <v>188881.25</v>
      </c>
      <c r="D308" s="3">
        <v>296</v>
      </c>
      <c r="E308" s="4">
        <v>216080</v>
      </c>
      <c r="G308" s="12">
        <f t="shared" si="65"/>
        <v>2011</v>
      </c>
      <c r="H308" s="12">
        <f t="shared" si="66"/>
        <v>10</v>
      </c>
      <c r="I308" s="11">
        <f t="shared" si="67"/>
        <v>10</v>
      </c>
      <c r="J308" s="11"/>
    </row>
    <row r="309" spans="1:10" x14ac:dyDescent="0.25">
      <c r="A309" s="2">
        <v>40847</v>
      </c>
      <c r="B309" s="3">
        <v>493</v>
      </c>
      <c r="C309" s="4">
        <v>144818.75</v>
      </c>
      <c r="D309" s="3">
        <v>259</v>
      </c>
      <c r="E309" s="4">
        <v>189070</v>
      </c>
      <c r="G309" s="12">
        <f t="shared" si="65"/>
        <v>2011</v>
      </c>
      <c r="H309" s="12">
        <f t="shared" si="66"/>
        <v>10</v>
      </c>
      <c r="I309" s="11">
        <f t="shared" si="67"/>
        <v>10</v>
      </c>
      <c r="J309" s="11"/>
    </row>
    <row r="310" spans="1:10" x14ac:dyDescent="0.25">
      <c r="A310" s="2">
        <v>40848</v>
      </c>
      <c r="B310" s="3">
        <v>472</v>
      </c>
      <c r="C310" s="4">
        <v>221840</v>
      </c>
      <c r="D310" s="3">
        <v>309</v>
      </c>
      <c r="E310" s="4">
        <v>225570</v>
      </c>
      <c r="G310" s="12">
        <f t="shared" si="65"/>
        <v>2011</v>
      </c>
      <c r="H310" s="12">
        <f t="shared" si="66"/>
        <v>11</v>
      </c>
      <c r="I310" s="11">
        <f t="shared" si="67"/>
        <v>11</v>
      </c>
      <c r="J310" s="11"/>
    </row>
    <row r="311" spans="1:10" x14ac:dyDescent="0.25">
      <c r="A311" s="2">
        <v>40849</v>
      </c>
      <c r="B311" s="3">
        <v>495</v>
      </c>
      <c r="C311" s="4">
        <v>232650</v>
      </c>
      <c r="D311" s="3">
        <v>308</v>
      </c>
      <c r="E311" s="4">
        <v>224840</v>
      </c>
      <c r="G311" s="12">
        <f t="shared" si="65"/>
        <v>2011</v>
      </c>
      <c r="H311" s="12">
        <f t="shared" si="66"/>
        <v>11</v>
      </c>
      <c r="I311" s="11">
        <f t="shared" si="67"/>
        <v>11</v>
      </c>
      <c r="J311" s="11"/>
    </row>
    <row r="312" spans="1:10" x14ac:dyDescent="0.25">
      <c r="A312" s="2">
        <v>40850</v>
      </c>
      <c r="B312" s="3">
        <v>493</v>
      </c>
      <c r="C312" s="4">
        <v>231710</v>
      </c>
      <c r="D312" s="3">
        <v>349</v>
      </c>
      <c r="E312" s="4">
        <v>254770</v>
      </c>
      <c r="G312" s="12">
        <f t="shared" si="65"/>
        <v>2011</v>
      </c>
      <c r="H312" s="12">
        <f t="shared" si="66"/>
        <v>11</v>
      </c>
      <c r="I312" s="11">
        <f t="shared" si="67"/>
        <v>11</v>
      </c>
      <c r="J312" s="11"/>
    </row>
    <row r="313" spans="1:10" x14ac:dyDescent="0.25">
      <c r="A313" s="2">
        <v>40851</v>
      </c>
      <c r="B313" s="3">
        <v>522</v>
      </c>
      <c r="C313" s="4">
        <v>245340</v>
      </c>
      <c r="D313" s="3">
        <v>299</v>
      </c>
      <c r="E313" s="4">
        <v>218270</v>
      </c>
      <c r="G313" s="12">
        <f t="shared" si="65"/>
        <v>2011</v>
      </c>
      <c r="H313" s="12">
        <f t="shared" si="66"/>
        <v>11</v>
      </c>
      <c r="I313" s="11">
        <f t="shared" si="67"/>
        <v>11</v>
      </c>
      <c r="J313" s="11"/>
    </row>
    <row r="314" spans="1:10" x14ac:dyDescent="0.25">
      <c r="A314" s="2">
        <v>40852</v>
      </c>
      <c r="B314" s="3">
        <v>483</v>
      </c>
      <c r="C314" s="4">
        <v>227010</v>
      </c>
      <c r="D314" s="3">
        <v>287</v>
      </c>
      <c r="E314" s="4">
        <v>209510</v>
      </c>
      <c r="G314" s="12">
        <f t="shared" si="65"/>
        <v>2011</v>
      </c>
      <c r="H314" s="12">
        <f t="shared" si="66"/>
        <v>11</v>
      </c>
      <c r="I314" s="11">
        <f t="shared" si="67"/>
        <v>11</v>
      </c>
      <c r="J314" s="11"/>
    </row>
    <row r="315" spans="1:10" x14ac:dyDescent="0.25">
      <c r="A315" s="2">
        <v>40853</v>
      </c>
      <c r="B315" s="3">
        <v>433</v>
      </c>
      <c r="C315" s="4">
        <v>203510</v>
      </c>
      <c r="D315" s="3">
        <v>335</v>
      </c>
      <c r="E315" s="4">
        <v>244550</v>
      </c>
      <c r="G315" s="12">
        <f t="shared" si="65"/>
        <v>2011</v>
      </c>
      <c r="H315" s="12">
        <f t="shared" si="66"/>
        <v>11</v>
      </c>
      <c r="I315" s="11">
        <f t="shared" si="67"/>
        <v>11</v>
      </c>
      <c r="J315" s="11"/>
    </row>
    <row r="316" spans="1:10" x14ac:dyDescent="0.25">
      <c r="A316" s="2">
        <v>40854</v>
      </c>
      <c r="B316" s="3">
        <v>414</v>
      </c>
      <c r="C316" s="4">
        <v>194580</v>
      </c>
      <c r="D316" s="3">
        <v>313</v>
      </c>
      <c r="E316" s="4">
        <v>228490</v>
      </c>
      <c r="G316" s="12">
        <f t="shared" si="65"/>
        <v>2011</v>
      </c>
      <c r="H316" s="12">
        <f t="shared" si="66"/>
        <v>11</v>
      </c>
      <c r="I316" s="11">
        <f t="shared" si="67"/>
        <v>11</v>
      </c>
      <c r="J316" s="11"/>
    </row>
    <row r="317" spans="1:10" x14ac:dyDescent="0.25">
      <c r="A317" s="2">
        <v>40855</v>
      </c>
      <c r="B317" s="3">
        <v>525</v>
      </c>
      <c r="C317" s="4">
        <v>246750</v>
      </c>
      <c r="D317" s="3">
        <v>304</v>
      </c>
      <c r="E317" s="4">
        <v>221920</v>
      </c>
      <c r="G317" s="12">
        <f t="shared" si="65"/>
        <v>2011</v>
      </c>
      <c r="H317" s="12">
        <f t="shared" si="66"/>
        <v>11</v>
      </c>
      <c r="I317" s="11">
        <f t="shared" si="67"/>
        <v>11</v>
      </c>
      <c r="J317" s="11"/>
    </row>
    <row r="318" spans="1:10" x14ac:dyDescent="0.25">
      <c r="A318" s="2">
        <v>40856</v>
      </c>
      <c r="B318" s="3">
        <v>461</v>
      </c>
      <c r="C318" s="4">
        <v>216670</v>
      </c>
      <c r="D318" s="3">
        <v>293</v>
      </c>
      <c r="E318" s="4">
        <v>213890</v>
      </c>
      <c r="G318" s="12">
        <f t="shared" si="65"/>
        <v>2011</v>
      </c>
      <c r="H318" s="12">
        <f t="shared" si="66"/>
        <v>11</v>
      </c>
      <c r="I318" s="11">
        <f t="shared" si="67"/>
        <v>11</v>
      </c>
      <c r="J318" s="11"/>
    </row>
    <row r="319" spans="1:10" x14ac:dyDescent="0.25">
      <c r="A319" s="2">
        <v>40857</v>
      </c>
      <c r="B319" s="3">
        <v>449</v>
      </c>
      <c r="C319" s="4">
        <v>211030</v>
      </c>
      <c r="D319" s="3">
        <v>281</v>
      </c>
      <c r="E319" s="4">
        <v>205130</v>
      </c>
      <c r="G319" s="12">
        <f t="shared" si="65"/>
        <v>2011</v>
      </c>
      <c r="H319" s="12">
        <f t="shared" si="66"/>
        <v>11</v>
      </c>
      <c r="I319" s="11">
        <f t="shared" si="67"/>
        <v>11</v>
      </c>
      <c r="J319" s="11"/>
    </row>
    <row r="320" spans="1:10" x14ac:dyDescent="0.25">
      <c r="A320" s="2">
        <v>40858</v>
      </c>
      <c r="B320" s="3">
        <v>495</v>
      </c>
      <c r="C320" s="4">
        <v>232650</v>
      </c>
      <c r="D320" s="3">
        <v>349</v>
      </c>
      <c r="E320" s="4">
        <v>254770</v>
      </c>
      <c r="G320" s="12">
        <f t="shared" si="65"/>
        <v>2011</v>
      </c>
      <c r="H320" s="12">
        <f t="shared" si="66"/>
        <v>11</v>
      </c>
      <c r="I320" s="11">
        <f t="shared" si="67"/>
        <v>11</v>
      </c>
      <c r="J320" s="11"/>
    </row>
    <row r="321" spans="1:10" x14ac:dyDescent="0.25">
      <c r="A321" s="2">
        <v>40859</v>
      </c>
      <c r="B321" s="3">
        <v>468</v>
      </c>
      <c r="C321" s="4">
        <v>219960</v>
      </c>
      <c r="D321" s="3">
        <v>279</v>
      </c>
      <c r="E321" s="4">
        <v>203670</v>
      </c>
      <c r="G321" s="12">
        <f t="shared" si="65"/>
        <v>2011</v>
      </c>
      <c r="H321" s="12">
        <f t="shared" si="66"/>
        <v>11</v>
      </c>
      <c r="I321" s="11">
        <f t="shared" si="67"/>
        <v>11</v>
      </c>
      <c r="J321" s="11"/>
    </row>
    <row r="322" spans="1:10" x14ac:dyDescent="0.25">
      <c r="A322" s="2">
        <v>40860</v>
      </c>
      <c r="B322" s="3">
        <v>401</v>
      </c>
      <c r="C322" s="4">
        <v>188470</v>
      </c>
      <c r="D322" s="3">
        <v>307</v>
      </c>
      <c r="E322" s="4">
        <v>224110</v>
      </c>
      <c r="G322" s="12">
        <f t="shared" si="65"/>
        <v>2011</v>
      </c>
      <c r="H322" s="12">
        <f t="shared" si="66"/>
        <v>11</v>
      </c>
      <c r="I322" s="11">
        <f t="shared" si="67"/>
        <v>11</v>
      </c>
      <c r="J322" s="11"/>
    </row>
    <row r="323" spans="1:10" x14ac:dyDescent="0.25">
      <c r="A323" s="2">
        <v>40861</v>
      </c>
      <c r="B323" s="3">
        <v>468</v>
      </c>
      <c r="C323" s="4">
        <v>219960</v>
      </c>
      <c r="D323" s="3">
        <v>330</v>
      </c>
      <c r="E323" s="4">
        <v>240900</v>
      </c>
      <c r="G323" s="12">
        <f t="shared" si="65"/>
        <v>2011</v>
      </c>
      <c r="H323" s="12">
        <f t="shared" si="66"/>
        <v>11</v>
      </c>
      <c r="I323" s="11">
        <f t="shared" si="67"/>
        <v>11</v>
      </c>
      <c r="J323" s="11"/>
    </row>
    <row r="324" spans="1:10" x14ac:dyDescent="0.25">
      <c r="A324" s="2">
        <v>40862</v>
      </c>
      <c r="B324" s="3">
        <v>434</v>
      </c>
      <c r="C324" s="4">
        <v>203980</v>
      </c>
      <c r="D324" s="3">
        <v>307</v>
      </c>
      <c r="E324" s="4">
        <v>224110</v>
      </c>
      <c r="G324" s="12">
        <f t="shared" si="65"/>
        <v>2011</v>
      </c>
      <c r="H324" s="12">
        <f t="shared" si="66"/>
        <v>11</v>
      </c>
      <c r="I324" s="11">
        <f t="shared" si="67"/>
        <v>11</v>
      </c>
      <c r="J324" s="11"/>
    </row>
    <row r="325" spans="1:10" x14ac:dyDescent="0.25">
      <c r="A325" s="2">
        <v>40863</v>
      </c>
      <c r="B325" s="3">
        <v>420</v>
      </c>
      <c r="C325" s="4">
        <v>197400</v>
      </c>
      <c r="D325" s="3">
        <v>294</v>
      </c>
      <c r="E325" s="4">
        <v>214620</v>
      </c>
      <c r="G325" s="12">
        <f t="shared" si="65"/>
        <v>2011</v>
      </c>
      <c r="H325" s="12">
        <f t="shared" si="66"/>
        <v>11</v>
      </c>
      <c r="I325" s="11">
        <f t="shared" si="67"/>
        <v>11</v>
      </c>
      <c r="J325" s="11"/>
    </row>
    <row r="326" spans="1:10" x14ac:dyDescent="0.25">
      <c r="A326" s="2">
        <v>40864</v>
      </c>
      <c r="B326" s="3">
        <v>450</v>
      </c>
      <c r="C326" s="4">
        <v>211500</v>
      </c>
      <c r="D326" s="3">
        <v>290</v>
      </c>
      <c r="E326" s="4">
        <v>211700</v>
      </c>
      <c r="G326" s="12">
        <f t="shared" ref="G326:G389" si="68">+YEAR(A326)</f>
        <v>2011</v>
      </c>
      <c r="H326" s="12">
        <f t="shared" ref="H326:H389" si="69">+MONTH(A326)</f>
        <v>11</v>
      </c>
      <c r="I326" s="11">
        <f t="shared" si="67"/>
        <v>11</v>
      </c>
      <c r="J326" s="11"/>
    </row>
    <row r="327" spans="1:10" x14ac:dyDescent="0.25">
      <c r="A327" s="2">
        <v>40865</v>
      </c>
      <c r="B327" s="3">
        <v>495</v>
      </c>
      <c r="C327" s="4">
        <v>232650</v>
      </c>
      <c r="D327" s="3">
        <v>339</v>
      </c>
      <c r="E327" s="4">
        <v>247470</v>
      </c>
      <c r="G327" s="12">
        <f t="shared" si="68"/>
        <v>2011</v>
      </c>
      <c r="H327" s="12">
        <f t="shared" si="69"/>
        <v>11</v>
      </c>
      <c r="I327" s="11">
        <f t="shared" ref="I327:I390" si="70">+H327+(G327-2011)*12</f>
        <v>11</v>
      </c>
      <c r="J327" s="11"/>
    </row>
    <row r="328" spans="1:10" x14ac:dyDescent="0.25">
      <c r="A328" s="2">
        <v>40866</v>
      </c>
      <c r="B328" s="3">
        <v>522</v>
      </c>
      <c r="C328" s="4">
        <v>245340</v>
      </c>
      <c r="D328" s="3">
        <v>302</v>
      </c>
      <c r="E328" s="4">
        <v>220460</v>
      </c>
      <c r="G328" s="12">
        <f t="shared" si="68"/>
        <v>2011</v>
      </c>
      <c r="H328" s="12">
        <f t="shared" si="69"/>
        <v>11</v>
      </c>
      <c r="I328" s="11">
        <f t="shared" si="70"/>
        <v>11</v>
      </c>
      <c r="J328" s="11"/>
    </row>
    <row r="329" spans="1:10" x14ac:dyDescent="0.25">
      <c r="A329" s="2">
        <v>40867</v>
      </c>
      <c r="B329" s="3">
        <v>406</v>
      </c>
      <c r="C329" s="4">
        <v>190820</v>
      </c>
      <c r="D329" s="3">
        <v>285</v>
      </c>
      <c r="E329" s="4">
        <v>208050</v>
      </c>
      <c r="G329" s="12">
        <f t="shared" si="68"/>
        <v>2011</v>
      </c>
      <c r="H329" s="12">
        <f t="shared" si="69"/>
        <v>11</v>
      </c>
      <c r="I329" s="11">
        <f t="shared" si="70"/>
        <v>11</v>
      </c>
      <c r="J329" s="11"/>
    </row>
    <row r="330" spans="1:10" x14ac:dyDescent="0.25">
      <c r="A330" s="2">
        <v>40868</v>
      </c>
      <c r="B330" s="3">
        <v>531</v>
      </c>
      <c r="C330" s="4">
        <v>249570</v>
      </c>
      <c r="D330" s="3">
        <v>291</v>
      </c>
      <c r="E330" s="4">
        <v>212430</v>
      </c>
      <c r="G330" s="12">
        <f t="shared" si="68"/>
        <v>2011</v>
      </c>
      <c r="H330" s="12">
        <f t="shared" si="69"/>
        <v>11</v>
      </c>
      <c r="I330" s="11">
        <f t="shared" si="70"/>
        <v>11</v>
      </c>
      <c r="J330" s="11"/>
    </row>
    <row r="331" spans="1:10" x14ac:dyDescent="0.25">
      <c r="A331" s="2">
        <v>40869</v>
      </c>
      <c r="B331" s="3">
        <v>463</v>
      </c>
      <c r="C331" s="4">
        <v>217610</v>
      </c>
      <c r="D331" s="3">
        <v>270</v>
      </c>
      <c r="E331" s="4">
        <v>197100</v>
      </c>
      <c r="G331" s="12">
        <f t="shared" si="68"/>
        <v>2011</v>
      </c>
      <c r="H331" s="12">
        <f t="shared" si="69"/>
        <v>11</v>
      </c>
      <c r="I331" s="11">
        <f t="shared" si="70"/>
        <v>11</v>
      </c>
      <c r="J331" s="11"/>
    </row>
    <row r="332" spans="1:10" x14ac:dyDescent="0.25">
      <c r="A332" s="2">
        <v>40870</v>
      </c>
      <c r="B332" s="3">
        <v>486</v>
      </c>
      <c r="C332" s="4">
        <v>228420</v>
      </c>
      <c r="D332" s="3">
        <v>331</v>
      </c>
      <c r="E332" s="4">
        <v>241630</v>
      </c>
      <c r="G332" s="12">
        <f t="shared" si="68"/>
        <v>2011</v>
      </c>
      <c r="H332" s="12">
        <f t="shared" si="69"/>
        <v>11</v>
      </c>
      <c r="I332" s="11">
        <f t="shared" si="70"/>
        <v>11</v>
      </c>
      <c r="J332" s="11"/>
    </row>
    <row r="333" spans="1:10" x14ac:dyDescent="0.25">
      <c r="A333" s="2">
        <v>40871</v>
      </c>
      <c r="B333" s="3">
        <v>478</v>
      </c>
      <c r="C333" s="4">
        <v>224660</v>
      </c>
      <c r="D333" s="3">
        <v>259</v>
      </c>
      <c r="E333" s="4">
        <v>189070</v>
      </c>
      <c r="G333" s="12">
        <f t="shared" si="68"/>
        <v>2011</v>
      </c>
      <c r="H333" s="12">
        <f t="shared" si="69"/>
        <v>11</v>
      </c>
      <c r="I333" s="11">
        <f t="shared" si="70"/>
        <v>11</v>
      </c>
      <c r="J333" s="11"/>
    </row>
    <row r="334" spans="1:10" x14ac:dyDescent="0.25">
      <c r="A334" s="2">
        <v>40872</v>
      </c>
      <c r="B334" s="3">
        <v>462</v>
      </c>
      <c r="C334" s="4">
        <v>217140</v>
      </c>
      <c r="D334" s="3">
        <v>280</v>
      </c>
      <c r="E334" s="4">
        <v>204400</v>
      </c>
      <c r="G334" s="12">
        <f t="shared" si="68"/>
        <v>2011</v>
      </c>
      <c r="H334" s="12">
        <f t="shared" si="69"/>
        <v>11</v>
      </c>
      <c r="I334" s="11">
        <f t="shared" si="70"/>
        <v>11</v>
      </c>
      <c r="J334" s="11"/>
    </row>
    <row r="335" spans="1:10" x14ac:dyDescent="0.25">
      <c r="A335" s="2">
        <v>40873</v>
      </c>
      <c r="B335" s="3">
        <v>516</v>
      </c>
      <c r="C335" s="4">
        <v>242520</v>
      </c>
      <c r="D335" s="3">
        <v>276</v>
      </c>
      <c r="E335" s="4">
        <v>201480</v>
      </c>
      <c r="G335" s="12">
        <f t="shared" si="68"/>
        <v>2011</v>
      </c>
      <c r="H335" s="12">
        <f t="shared" si="69"/>
        <v>11</v>
      </c>
      <c r="I335" s="11">
        <f t="shared" si="70"/>
        <v>11</v>
      </c>
      <c r="J335" s="11"/>
    </row>
    <row r="336" spans="1:10" x14ac:dyDescent="0.25">
      <c r="A336" s="2">
        <v>40874</v>
      </c>
      <c r="B336" s="3">
        <v>519</v>
      </c>
      <c r="C336" s="4">
        <v>243930</v>
      </c>
      <c r="D336" s="3">
        <v>269</v>
      </c>
      <c r="E336" s="4">
        <v>196370</v>
      </c>
      <c r="G336" s="12">
        <f t="shared" si="68"/>
        <v>2011</v>
      </c>
      <c r="H336" s="12">
        <f t="shared" si="69"/>
        <v>11</v>
      </c>
      <c r="I336" s="11">
        <f t="shared" si="70"/>
        <v>11</v>
      </c>
      <c r="J336" s="11"/>
    </row>
    <row r="337" spans="1:10" x14ac:dyDescent="0.25">
      <c r="A337" s="2">
        <v>40875</v>
      </c>
      <c r="B337" s="3">
        <v>478</v>
      </c>
      <c r="C337" s="4">
        <v>224660</v>
      </c>
      <c r="D337" s="3">
        <v>299</v>
      </c>
      <c r="E337" s="4">
        <v>218270</v>
      </c>
      <c r="G337" s="12">
        <f t="shared" si="68"/>
        <v>2011</v>
      </c>
      <c r="H337" s="12">
        <f t="shared" si="69"/>
        <v>11</v>
      </c>
      <c r="I337" s="11">
        <f t="shared" si="70"/>
        <v>11</v>
      </c>
      <c r="J337" s="11"/>
    </row>
    <row r="338" spans="1:10" x14ac:dyDescent="0.25">
      <c r="A338" s="2">
        <v>40876</v>
      </c>
      <c r="B338" s="3">
        <v>383</v>
      </c>
      <c r="C338" s="4">
        <v>180010</v>
      </c>
      <c r="D338" s="3">
        <v>374</v>
      </c>
      <c r="E338" s="4">
        <v>273020</v>
      </c>
      <c r="G338" s="12">
        <f t="shared" si="68"/>
        <v>2011</v>
      </c>
      <c r="H338" s="12">
        <f t="shared" si="69"/>
        <v>11</v>
      </c>
      <c r="I338" s="11">
        <f t="shared" si="70"/>
        <v>11</v>
      </c>
      <c r="J338" s="11"/>
    </row>
    <row r="339" spans="1:10" x14ac:dyDescent="0.25">
      <c r="A339" s="2">
        <v>40877</v>
      </c>
      <c r="B339" s="3">
        <v>469</v>
      </c>
      <c r="C339" s="4">
        <v>220430</v>
      </c>
      <c r="D339" s="3">
        <v>311</v>
      </c>
      <c r="E339" s="4">
        <v>227030</v>
      </c>
      <c r="G339" s="12">
        <f t="shared" si="68"/>
        <v>2011</v>
      </c>
      <c r="H339" s="12">
        <f t="shared" si="69"/>
        <v>11</v>
      </c>
      <c r="I339" s="11">
        <f t="shared" si="70"/>
        <v>11</v>
      </c>
      <c r="J339" s="11"/>
    </row>
    <row r="340" spans="1:10" x14ac:dyDescent="0.25">
      <c r="A340" s="2">
        <v>40878</v>
      </c>
      <c r="B340" s="3">
        <v>542</v>
      </c>
      <c r="C340" s="4">
        <v>254740</v>
      </c>
      <c r="D340" s="3">
        <v>230</v>
      </c>
      <c r="E340" s="4">
        <v>167900</v>
      </c>
      <c r="G340" s="12">
        <f t="shared" si="68"/>
        <v>2011</v>
      </c>
      <c r="H340" s="12">
        <f t="shared" si="69"/>
        <v>12</v>
      </c>
      <c r="I340" s="11">
        <f t="shared" si="70"/>
        <v>12</v>
      </c>
      <c r="J340" s="11"/>
    </row>
    <row r="341" spans="1:10" x14ac:dyDescent="0.25">
      <c r="A341" s="2">
        <v>40879</v>
      </c>
      <c r="B341" s="3">
        <v>434</v>
      </c>
      <c r="C341" s="4">
        <v>203980</v>
      </c>
      <c r="D341" s="3">
        <v>357</v>
      </c>
      <c r="E341" s="4">
        <v>260610</v>
      </c>
      <c r="G341" s="12">
        <f t="shared" si="68"/>
        <v>2011</v>
      </c>
      <c r="H341" s="12">
        <f t="shared" si="69"/>
        <v>12</v>
      </c>
      <c r="I341" s="11">
        <f t="shared" si="70"/>
        <v>12</v>
      </c>
      <c r="J341" s="11"/>
    </row>
    <row r="342" spans="1:10" x14ac:dyDescent="0.25">
      <c r="A342" s="2">
        <v>40880</v>
      </c>
      <c r="B342" s="3">
        <v>389</v>
      </c>
      <c r="C342" s="4">
        <v>182830</v>
      </c>
      <c r="D342" s="3">
        <v>297</v>
      </c>
      <c r="E342" s="4">
        <v>216810</v>
      </c>
      <c r="G342" s="12">
        <f t="shared" si="68"/>
        <v>2011</v>
      </c>
      <c r="H342" s="12">
        <f t="shared" si="69"/>
        <v>12</v>
      </c>
      <c r="I342" s="11">
        <f t="shared" si="70"/>
        <v>12</v>
      </c>
      <c r="J342" s="11"/>
    </row>
    <row r="343" spans="1:10" x14ac:dyDescent="0.25">
      <c r="A343" s="2">
        <v>40881</v>
      </c>
      <c r="B343" s="3">
        <v>425</v>
      </c>
      <c r="C343" s="4">
        <v>199750</v>
      </c>
      <c r="D343" s="3">
        <v>287</v>
      </c>
      <c r="E343" s="4">
        <v>209510</v>
      </c>
      <c r="G343" s="12">
        <f t="shared" si="68"/>
        <v>2011</v>
      </c>
      <c r="H343" s="12">
        <f t="shared" si="69"/>
        <v>12</v>
      </c>
      <c r="I343" s="11">
        <f t="shared" si="70"/>
        <v>12</v>
      </c>
      <c r="J343" s="11"/>
    </row>
    <row r="344" spans="1:10" x14ac:dyDescent="0.25">
      <c r="A344" s="2">
        <v>40882</v>
      </c>
      <c r="B344" s="3">
        <v>422</v>
      </c>
      <c r="C344" s="4">
        <v>198340</v>
      </c>
      <c r="D344" s="3">
        <v>305</v>
      </c>
      <c r="E344" s="4">
        <v>222650</v>
      </c>
      <c r="G344" s="12">
        <f t="shared" si="68"/>
        <v>2011</v>
      </c>
      <c r="H344" s="12">
        <f t="shared" si="69"/>
        <v>12</v>
      </c>
      <c r="I344" s="11">
        <f t="shared" si="70"/>
        <v>12</v>
      </c>
      <c r="J344" s="11"/>
    </row>
    <row r="345" spans="1:10" x14ac:dyDescent="0.25">
      <c r="A345" s="2">
        <v>40883</v>
      </c>
      <c r="B345" s="3">
        <v>525</v>
      </c>
      <c r="C345" s="4">
        <v>246750</v>
      </c>
      <c r="D345" s="3">
        <v>352</v>
      </c>
      <c r="E345" s="4">
        <v>256960</v>
      </c>
      <c r="G345" s="12">
        <f t="shared" si="68"/>
        <v>2011</v>
      </c>
      <c r="H345" s="12">
        <f t="shared" si="69"/>
        <v>12</v>
      </c>
      <c r="I345" s="11">
        <f t="shared" si="70"/>
        <v>12</v>
      </c>
      <c r="J345" s="11"/>
    </row>
    <row r="346" spans="1:10" x14ac:dyDescent="0.25">
      <c r="A346" s="2">
        <v>40884</v>
      </c>
      <c r="B346" s="3">
        <v>388</v>
      </c>
      <c r="C346" s="4">
        <v>182360</v>
      </c>
      <c r="D346" s="3">
        <v>295</v>
      </c>
      <c r="E346" s="4">
        <v>215350</v>
      </c>
      <c r="G346" s="12">
        <f t="shared" si="68"/>
        <v>2011</v>
      </c>
      <c r="H346" s="12">
        <f t="shared" si="69"/>
        <v>12</v>
      </c>
      <c r="I346" s="11">
        <f t="shared" si="70"/>
        <v>12</v>
      </c>
      <c r="J346" s="11"/>
    </row>
    <row r="347" spans="1:10" x14ac:dyDescent="0.25">
      <c r="A347" s="2">
        <v>40885</v>
      </c>
      <c r="B347" s="3">
        <v>386</v>
      </c>
      <c r="C347" s="4">
        <v>181420</v>
      </c>
      <c r="D347" s="3">
        <v>279</v>
      </c>
      <c r="E347" s="4">
        <v>203670</v>
      </c>
      <c r="G347" s="12">
        <f t="shared" si="68"/>
        <v>2011</v>
      </c>
      <c r="H347" s="12">
        <f t="shared" si="69"/>
        <v>12</v>
      </c>
      <c r="I347" s="11">
        <f t="shared" si="70"/>
        <v>12</v>
      </c>
      <c r="J347" s="11"/>
    </row>
    <row r="348" spans="1:10" x14ac:dyDescent="0.25">
      <c r="A348" s="2">
        <v>40886</v>
      </c>
      <c r="B348" s="3">
        <v>470</v>
      </c>
      <c r="C348" s="4">
        <v>220900</v>
      </c>
      <c r="D348" s="3">
        <v>308</v>
      </c>
      <c r="E348" s="4">
        <v>224840</v>
      </c>
      <c r="G348" s="12">
        <f t="shared" si="68"/>
        <v>2011</v>
      </c>
      <c r="H348" s="12">
        <f t="shared" si="69"/>
        <v>12</v>
      </c>
      <c r="I348" s="11">
        <f t="shared" si="70"/>
        <v>12</v>
      </c>
      <c r="J348" s="11"/>
    </row>
    <row r="349" spans="1:10" x14ac:dyDescent="0.25">
      <c r="A349" s="2">
        <v>40887</v>
      </c>
      <c r="B349" s="3">
        <v>453</v>
      </c>
      <c r="C349" s="4">
        <v>212910</v>
      </c>
      <c r="D349" s="3">
        <v>324</v>
      </c>
      <c r="E349" s="4">
        <v>236520</v>
      </c>
      <c r="G349" s="12">
        <f t="shared" si="68"/>
        <v>2011</v>
      </c>
      <c r="H349" s="12">
        <f t="shared" si="69"/>
        <v>12</v>
      </c>
      <c r="I349" s="11">
        <f t="shared" si="70"/>
        <v>12</v>
      </c>
      <c r="J349" s="11"/>
    </row>
    <row r="350" spans="1:10" x14ac:dyDescent="0.25">
      <c r="A350" s="2">
        <v>40888</v>
      </c>
      <c r="B350" s="3">
        <v>482</v>
      </c>
      <c r="C350" s="4">
        <v>226540</v>
      </c>
      <c r="D350" s="3">
        <v>331</v>
      </c>
      <c r="E350" s="4">
        <v>241630</v>
      </c>
      <c r="G350" s="12">
        <f t="shared" si="68"/>
        <v>2011</v>
      </c>
      <c r="H350" s="12">
        <f t="shared" si="69"/>
        <v>12</v>
      </c>
      <c r="I350" s="11">
        <f t="shared" si="70"/>
        <v>12</v>
      </c>
      <c r="J350" s="11"/>
    </row>
    <row r="351" spans="1:10" x14ac:dyDescent="0.25">
      <c r="A351" s="2">
        <v>40889</v>
      </c>
      <c r="B351" s="3">
        <v>372</v>
      </c>
      <c r="C351" s="4">
        <v>174840</v>
      </c>
      <c r="D351" s="3">
        <v>300</v>
      </c>
      <c r="E351" s="4">
        <v>219000</v>
      </c>
      <c r="G351" s="12">
        <f t="shared" si="68"/>
        <v>2011</v>
      </c>
      <c r="H351" s="12">
        <f t="shared" si="69"/>
        <v>12</v>
      </c>
      <c r="I351" s="11">
        <f t="shared" si="70"/>
        <v>12</v>
      </c>
      <c r="J351" s="11"/>
    </row>
    <row r="352" spans="1:10" x14ac:dyDescent="0.25">
      <c r="A352" s="2">
        <v>40890</v>
      </c>
      <c r="B352" s="3">
        <v>430</v>
      </c>
      <c r="C352" s="4">
        <v>202100</v>
      </c>
      <c r="D352" s="3">
        <v>309</v>
      </c>
      <c r="E352" s="4">
        <v>225570</v>
      </c>
      <c r="G352" s="12">
        <f t="shared" si="68"/>
        <v>2011</v>
      </c>
      <c r="H352" s="12">
        <f t="shared" si="69"/>
        <v>12</v>
      </c>
      <c r="I352" s="11">
        <f t="shared" si="70"/>
        <v>12</v>
      </c>
      <c r="J352" s="11"/>
    </row>
    <row r="353" spans="1:10" x14ac:dyDescent="0.25">
      <c r="A353" s="2">
        <v>40891</v>
      </c>
      <c r="B353" s="3">
        <v>561</v>
      </c>
      <c r="C353" s="4">
        <v>263670</v>
      </c>
      <c r="D353" s="3">
        <v>313</v>
      </c>
      <c r="E353" s="4">
        <v>228490</v>
      </c>
      <c r="G353" s="12">
        <f t="shared" si="68"/>
        <v>2011</v>
      </c>
      <c r="H353" s="12">
        <f t="shared" si="69"/>
        <v>12</v>
      </c>
      <c r="I353" s="11">
        <f t="shared" si="70"/>
        <v>12</v>
      </c>
      <c r="J353" s="11"/>
    </row>
    <row r="354" spans="1:10" x14ac:dyDescent="0.25">
      <c r="A354" s="2">
        <v>40892</v>
      </c>
      <c r="B354" s="3">
        <v>444</v>
      </c>
      <c r="C354" s="4">
        <v>208680</v>
      </c>
      <c r="D354" s="3">
        <v>280</v>
      </c>
      <c r="E354" s="4">
        <v>204400</v>
      </c>
      <c r="G354" s="12">
        <f t="shared" si="68"/>
        <v>2011</v>
      </c>
      <c r="H354" s="12">
        <f t="shared" si="69"/>
        <v>12</v>
      </c>
      <c r="I354" s="11">
        <f t="shared" si="70"/>
        <v>12</v>
      </c>
      <c r="J354" s="11"/>
    </row>
    <row r="355" spans="1:10" x14ac:dyDescent="0.25">
      <c r="A355" s="2">
        <v>40893</v>
      </c>
      <c r="B355" s="3">
        <v>377</v>
      </c>
      <c r="C355" s="4">
        <v>177190</v>
      </c>
      <c r="D355" s="3">
        <v>324</v>
      </c>
      <c r="E355" s="4">
        <v>236520</v>
      </c>
      <c r="G355" s="12">
        <f t="shared" si="68"/>
        <v>2011</v>
      </c>
      <c r="H355" s="12">
        <f t="shared" si="69"/>
        <v>12</v>
      </c>
      <c r="I355" s="11">
        <f t="shared" si="70"/>
        <v>12</v>
      </c>
      <c r="J355" s="11"/>
    </row>
    <row r="356" spans="1:10" x14ac:dyDescent="0.25">
      <c r="A356" s="2">
        <v>40894</v>
      </c>
      <c r="B356" s="3">
        <v>451</v>
      </c>
      <c r="C356" s="4">
        <v>211970</v>
      </c>
      <c r="D356" s="3">
        <v>317</v>
      </c>
      <c r="E356" s="4">
        <v>231410</v>
      </c>
      <c r="G356" s="12">
        <f t="shared" si="68"/>
        <v>2011</v>
      </c>
      <c r="H356" s="12">
        <f t="shared" si="69"/>
        <v>12</v>
      </c>
      <c r="I356" s="11">
        <f t="shared" si="70"/>
        <v>12</v>
      </c>
      <c r="J356" s="11"/>
    </row>
    <row r="357" spans="1:10" x14ac:dyDescent="0.25">
      <c r="A357" s="2">
        <v>40895</v>
      </c>
      <c r="B357" s="3">
        <v>364</v>
      </c>
      <c r="C357" s="4">
        <v>171080</v>
      </c>
      <c r="D357" s="3">
        <v>373</v>
      </c>
      <c r="E357" s="4">
        <v>272290</v>
      </c>
      <c r="G357" s="12">
        <f t="shared" si="68"/>
        <v>2011</v>
      </c>
      <c r="H357" s="12">
        <f t="shared" si="69"/>
        <v>12</v>
      </c>
      <c r="I357" s="11">
        <f t="shared" si="70"/>
        <v>12</v>
      </c>
      <c r="J357" s="11"/>
    </row>
    <row r="358" spans="1:10" x14ac:dyDescent="0.25">
      <c r="A358" s="2">
        <v>40896</v>
      </c>
      <c r="B358" s="3">
        <v>514</v>
      </c>
      <c r="C358" s="4">
        <v>241580</v>
      </c>
      <c r="D358" s="3">
        <v>289</v>
      </c>
      <c r="E358" s="4">
        <v>210970</v>
      </c>
      <c r="G358" s="12">
        <f t="shared" si="68"/>
        <v>2011</v>
      </c>
      <c r="H358" s="12">
        <f t="shared" si="69"/>
        <v>12</v>
      </c>
      <c r="I358" s="11">
        <f t="shared" si="70"/>
        <v>12</v>
      </c>
      <c r="J358" s="11"/>
    </row>
    <row r="359" spans="1:10" x14ac:dyDescent="0.25">
      <c r="A359" s="2">
        <v>40897</v>
      </c>
      <c r="B359" s="3">
        <v>492</v>
      </c>
      <c r="C359" s="4">
        <v>231240</v>
      </c>
      <c r="D359" s="3">
        <v>303</v>
      </c>
      <c r="E359" s="4">
        <v>221190</v>
      </c>
      <c r="G359" s="12">
        <f t="shared" si="68"/>
        <v>2011</v>
      </c>
      <c r="H359" s="12">
        <f t="shared" si="69"/>
        <v>12</v>
      </c>
      <c r="I359" s="11">
        <f t="shared" si="70"/>
        <v>12</v>
      </c>
      <c r="J359" s="11"/>
    </row>
    <row r="360" spans="1:10" x14ac:dyDescent="0.25">
      <c r="A360" s="2">
        <v>40898</v>
      </c>
      <c r="B360" s="3">
        <v>522</v>
      </c>
      <c r="C360" s="4">
        <v>245340</v>
      </c>
      <c r="D360" s="3">
        <v>354</v>
      </c>
      <c r="E360" s="4">
        <v>258420</v>
      </c>
      <c r="G360" s="12">
        <f t="shared" si="68"/>
        <v>2011</v>
      </c>
      <c r="H360" s="12">
        <f t="shared" si="69"/>
        <v>12</v>
      </c>
      <c r="I360" s="11">
        <f t="shared" si="70"/>
        <v>12</v>
      </c>
      <c r="J360" s="11"/>
    </row>
    <row r="361" spans="1:10" x14ac:dyDescent="0.25">
      <c r="A361" s="2">
        <v>40899</v>
      </c>
      <c r="B361" s="3">
        <v>493</v>
      </c>
      <c r="C361" s="4">
        <v>231710</v>
      </c>
      <c r="D361" s="3">
        <v>317</v>
      </c>
      <c r="E361" s="4">
        <v>231410</v>
      </c>
      <c r="G361" s="12">
        <f t="shared" si="68"/>
        <v>2011</v>
      </c>
      <c r="H361" s="12">
        <f t="shared" si="69"/>
        <v>12</v>
      </c>
      <c r="I361" s="11">
        <f t="shared" si="70"/>
        <v>12</v>
      </c>
      <c r="J361" s="11"/>
    </row>
    <row r="362" spans="1:10" x14ac:dyDescent="0.25">
      <c r="A362" s="2">
        <v>40900</v>
      </c>
      <c r="B362" s="3">
        <v>509</v>
      </c>
      <c r="C362" s="4">
        <v>239230</v>
      </c>
      <c r="D362" s="3">
        <v>323</v>
      </c>
      <c r="E362" s="4">
        <v>235790</v>
      </c>
      <c r="G362" s="12">
        <f t="shared" si="68"/>
        <v>2011</v>
      </c>
      <c r="H362" s="12">
        <f t="shared" si="69"/>
        <v>12</v>
      </c>
      <c r="I362" s="11">
        <f t="shared" si="70"/>
        <v>12</v>
      </c>
      <c r="J362" s="11"/>
    </row>
    <row r="363" spans="1:10" x14ac:dyDescent="0.25">
      <c r="A363" s="2">
        <v>40901</v>
      </c>
      <c r="B363" s="3">
        <v>510</v>
      </c>
      <c r="C363" s="4">
        <v>239700</v>
      </c>
      <c r="D363" s="3">
        <v>330</v>
      </c>
      <c r="E363" s="4">
        <v>240900</v>
      </c>
      <c r="G363" s="12">
        <f t="shared" si="68"/>
        <v>2011</v>
      </c>
      <c r="H363" s="12">
        <f t="shared" si="69"/>
        <v>12</v>
      </c>
      <c r="I363" s="11">
        <f t="shared" si="70"/>
        <v>12</v>
      </c>
      <c r="J363" s="11"/>
    </row>
    <row r="364" spans="1:10" x14ac:dyDescent="0.25">
      <c r="A364" s="2">
        <v>40902</v>
      </c>
      <c r="B364" s="3">
        <v>482</v>
      </c>
      <c r="C364" s="4">
        <v>226540</v>
      </c>
      <c r="D364" s="3">
        <v>273</v>
      </c>
      <c r="E364" s="4">
        <v>199290</v>
      </c>
      <c r="G364" s="12">
        <f t="shared" si="68"/>
        <v>2011</v>
      </c>
      <c r="H364" s="12">
        <f t="shared" si="69"/>
        <v>12</v>
      </c>
      <c r="I364" s="11">
        <f t="shared" si="70"/>
        <v>12</v>
      </c>
      <c r="J364" s="11"/>
    </row>
    <row r="365" spans="1:10" x14ac:dyDescent="0.25">
      <c r="A365" s="2">
        <v>40903</v>
      </c>
      <c r="B365" s="3">
        <v>395</v>
      </c>
      <c r="C365" s="4">
        <v>185650</v>
      </c>
      <c r="D365" s="3">
        <v>331</v>
      </c>
      <c r="E365" s="4">
        <v>241630</v>
      </c>
      <c r="G365" s="12">
        <f t="shared" si="68"/>
        <v>2011</v>
      </c>
      <c r="H365" s="12">
        <f t="shared" si="69"/>
        <v>12</v>
      </c>
      <c r="I365" s="11">
        <f t="shared" si="70"/>
        <v>12</v>
      </c>
      <c r="J365" s="11"/>
    </row>
    <row r="366" spans="1:10" x14ac:dyDescent="0.25">
      <c r="A366" s="2">
        <v>40904</v>
      </c>
      <c r="B366" s="3">
        <v>430</v>
      </c>
      <c r="C366" s="4">
        <v>202100</v>
      </c>
      <c r="D366" s="3">
        <v>318</v>
      </c>
      <c r="E366" s="4">
        <v>232140</v>
      </c>
      <c r="G366" s="12">
        <f t="shared" si="68"/>
        <v>2011</v>
      </c>
      <c r="H366" s="12">
        <f t="shared" si="69"/>
        <v>12</v>
      </c>
      <c r="I366" s="11">
        <f t="shared" si="70"/>
        <v>12</v>
      </c>
      <c r="J366" s="11"/>
    </row>
    <row r="367" spans="1:10" x14ac:dyDescent="0.25">
      <c r="A367" s="2">
        <v>40905</v>
      </c>
      <c r="B367" s="3">
        <v>491</v>
      </c>
      <c r="C367" s="4">
        <v>230770</v>
      </c>
      <c r="D367" s="3">
        <v>333</v>
      </c>
      <c r="E367" s="4">
        <v>243090</v>
      </c>
      <c r="G367" s="12">
        <f t="shared" si="68"/>
        <v>2011</v>
      </c>
      <c r="H367" s="12">
        <f t="shared" si="69"/>
        <v>12</v>
      </c>
      <c r="I367" s="11">
        <f t="shared" si="70"/>
        <v>12</v>
      </c>
      <c r="J367" s="11"/>
    </row>
    <row r="368" spans="1:10" x14ac:dyDescent="0.25">
      <c r="A368" s="2">
        <v>40906</v>
      </c>
      <c r="B368" s="3">
        <v>506</v>
      </c>
      <c r="C368" s="4">
        <v>237820</v>
      </c>
      <c r="D368" s="3">
        <v>301</v>
      </c>
      <c r="E368" s="4">
        <v>219730</v>
      </c>
      <c r="G368" s="12">
        <f t="shared" si="68"/>
        <v>2011</v>
      </c>
      <c r="H368" s="12">
        <f t="shared" si="69"/>
        <v>12</v>
      </c>
      <c r="I368" s="11">
        <f t="shared" si="70"/>
        <v>12</v>
      </c>
      <c r="J368" s="11"/>
    </row>
    <row r="369" spans="1:10" x14ac:dyDescent="0.25">
      <c r="A369" s="2">
        <v>40907</v>
      </c>
      <c r="B369" s="3">
        <v>416</v>
      </c>
      <c r="C369" s="4">
        <v>195520</v>
      </c>
      <c r="D369" s="3">
        <v>338</v>
      </c>
      <c r="E369" s="4">
        <v>246740</v>
      </c>
      <c r="G369" s="12">
        <f t="shared" si="68"/>
        <v>2011</v>
      </c>
      <c r="H369" s="12">
        <f t="shared" si="69"/>
        <v>12</v>
      </c>
      <c r="I369" s="11">
        <f t="shared" si="70"/>
        <v>12</v>
      </c>
      <c r="J369" s="11"/>
    </row>
    <row r="370" spans="1:10" x14ac:dyDescent="0.25">
      <c r="A370" s="2">
        <v>40908</v>
      </c>
      <c r="B370" s="3">
        <v>547</v>
      </c>
      <c r="C370" s="4">
        <v>257090</v>
      </c>
      <c r="D370" s="3">
        <v>222</v>
      </c>
      <c r="E370" s="4">
        <v>162060</v>
      </c>
      <c r="G370" s="12">
        <f t="shared" si="68"/>
        <v>2011</v>
      </c>
      <c r="H370" s="12">
        <f t="shared" si="69"/>
        <v>12</v>
      </c>
      <c r="I370" s="11">
        <f t="shared" si="70"/>
        <v>12</v>
      </c>
      <c r="J370" s="11"/>
    </row>
    <row r="371" spans="1:10" x14ac:dyDescent="0.25">
      <c r="A371" s="2">
        <v>40909</v>
      </c>
      <c r="B371" s="3">
        <v>473</v>
      </c>
      <c r="C371" s="4">
        <v>222310</v>
      </c>
      <c r="D371" s="3">
        <v>270</v>
      </c>
      <c r="E371" s="4">
        <v>197100</v>
      </c>
      <c r="G371" s="12">
        <f t="shared" si="68"/>
        <v>2012</v>
      </c>
      <c r="H371" s="12">
        <f t="shared" si="69"/>
        <v>1</v>
      </c>
      <c r="I371" s="11">
        <f t="shared" si="70"/>
        <v>13</v>
      </c>
      <c r="J371" s="11"/>
    </row>
    <row r="372" spans="1:10" x14ac:dyDescent="0.25">
      <c r="A372" s="2">
        <v>40910</v>
      </c>
      <c r="B372" s="3">
        <v>497</v>
      </c>
      <c r="C372" s="4">
        <v>233590</v>
      </c>
      <c r="D372" s="3">
        <v>314</v>
      </c>
      <c r="E372" s="4">
        <v>229220</v>
      </c>
      <c r="G372" s="12">
        <f t="shared" si="68"/>
        <v>2012</v>
      </c>
      <c r="H372" s="12">
        <f t="shared" si="69"/>
        <v>1</v>
      </c>
      <c r="I372" s="11">
        <f t="shared" si="70"/>
        <v>13</v>
      </c>
      <c r="J372" s="11"/>
    </row>
    <row r="373" spans="1:10" x14ac:dyDescent="0.25">
      <c r="A373" s="2">
        <v>40911</v>
      </c>
      <c r="B373" s="3">
        <v>460</v>
      </c>
      <c r="C373" s="4">
        <v>216200</v>
      </c>
      <c r="D373" s="3">
        <v>338</v>
      </c>
      <c r="E373" s="4">
        <v>246740</v>
      </c>
      <c r="G373" s="12">
        <f t="shared" si="68"/>
        <v>2012</v>
      </c>
      <c r="H373" s="12">
        <f t="shared" si="69"/>
        <v>1</v>
      </c>
      <c r="I373" s="11">
        <f t="shared" si="70"/>
        <v>13</v>
      </c>
      <c r="J373" s="11"/>
    </row>
    <row r="374" spans="1:10" x14ac:dyDescent="0.25">
      <c r="A374" s="2">
        <v>40912</v>
      </c>
      <c r="B374" s="3">
        <v>436</v>
      </c>
      <c r="C374" s="4">
        <v>204920</v>
      </c>
      <c r="D374" s="3">
        <v>340</v>
      </c>
      <c r="E374" s="4">
        <v>248200</v>
      </c>
      <c r="G374" s="12">
        <f t="shared" si="68"/>
        <v>2012</v>
      </c>
      <c r="H374" s="12">
        <f t="shared" si="69"/>
        <v>1</v>
      </c>
      <c r="I374" s="11">
        <f t="shared" si="70"/>
        <v>13</v>
      </c>
      <c r="J374" s="11"/>
    </row>
    <row r="375" spans="1:10" x14ac:dyDescent="0.25">
      <c r="A375" s="2">
        <v>40913</v>
      </c>
      <c r="B375" s="3">
        <v>449</v>
      </c>
      <c r="C375" s="4">
        <v>211030</v>
      </c>
      <c r="D375" s="3">
        <v>275</v>
      </c>
      <c r="E375" s="4">
        <v>200750</v>
      </c>
      <c r="G375" s="12">
        <f t="shared" si="68"/>
        <v>2012</v>
      </c>
      <c r="H375" s="12">
        <f t="shared" si="69"/>
        <v>1</v>
      </c>
      <c r="I375" s="11">
        <f t="shared" si="70"/>
        <v>13</v>
      </c>
      <c r="J375" s="11"/>
    </row>
    <row r="376" spans="1:10" x14ac:dyDescent="0.25">
      <c r="A376" s="2">
        <v>40914</v>
      </c>
      <c r="B376" s="3">
        <v>460</v>
      </c>
      <c r="C376" s="4">
        <v>216200</v>
      </c>
      <c r="D376" s="3">
        <v>265</v>
      </c>
      <c r="E376" s="4">
        <v>193450</v>
      </c>
      <c r="G376" s="12">
        <f t="shared" si="68"/>
        <v>2012</v>
      </c>
      <c r="H376" s="12">
        <f t="shared" si="69"/>
        <v>1</v>
      </c>
      <c r="I376" s="11">
        <f t="shared" si="70"/>
        <v>13</v>
      </c>
      <c r="J376" s="11"/>
    </row>
    <row r="377" spans="1:10" x14ac:dyDescent="0.25">
      <c r="A377" s="2">
        <v>40915</v>
      </c>
      <c r="B377" s="3">
        <v>440</v>
      </c>
      <c r="C377" s="4">
        <v>206800</v>
      </c>
      <c r="D377" s="3">
        <v>242</v>
      </c>
      <c r="E377" s="4">
        <v>176660</v>
      </c>
      <c r="G377" s="12">
        <f t="shared" si="68"/>
        <v>2012</v>
      </c>
      <c r="H377" s="12">
        <f t="shared" si="69"/>
        <v>1</v>
      </c>
      <c r="I377" s="11">
        <f t="shared" si="70"/>
        <v>13</v>
      </c>
      <c r="J377" s="11"/>
    </row>
    <row r="378" spans="1:10" x14ac:dyDescent="0.25">
      <c r="A378" s="2">
        <v>40916</v>
      </c>
      <c r="B378" s="3">
        <v>448</v>
      </c>
      <c r="C378" s="4">
        <v>210560</v>
      </c>
      <c r="D378" s="3">
        <v>297</v>
      </c>
      <c r="E378" s="4">
        <v>216810</v>
      </c>
      <c r="G378" s="12">
        <f t="shared" si="68"/>
        <v>2012</v>
      </c>
      <c r="H378" s="12">
        <f t="shared" si="69"/>
        <v>1</v>
      </c>
      <c r="I378" s="11">
        <f t="shared" si="70"/>
        <v>13</v>
      </c>
      <c r="J378" s="11"/>
    </row>
    <row r="379" spans="1:10" x14ac:dyDescent="0.25">
      <c r="A379" s="2">
        <v>40917</v>
      </c>
      <c r="B379" s="3">
        <v>509</v>
      </c>
      <c r="C379" s="4">
        <v>239230</v>
      </c>
      <c r="D379" s="3">
        <v>332</v>
      </c>
      <c r="E379" s="4">
        <v>242360</v>
      </c>
      <c r="G379" s="12">
        <f t="shared" si="68"/>
        <v>2012</v>
      </c>
      <c r="H379" s="12">
        <f t="shared" si="69"/>
        <v>1</v>
      </c>
      <c r="I379" s="11">
        <f t="shared" si="70"/>
        <v>13</v>
      </c>
      <c r="J379" s="11"/>
    </row>
    <row r="380" spans="1:10" x14ac:dyDescent="0.25">
      <c r="A380" s="2">
        <v>40918</v>
      </c>
      <c r="B380" s="3">
        <v>462</v>
      </c>
      <c r="C380" s="4">
        <v>217140</v>
      </c>
      <c r="D380" s="3">
        <v>316</v>
      </c>
      <c r="E380" s="4">
        <v>230680</v>
      </c>
      <c r="G380" s="12">
        <f t="shared" si="68"/>
        <v>2012</v>
      </c>
      <c r="H380" s="12">
        <f t="shared" si="69"/>
        <v>1</v>
      </c>
      <c r="I380" s="11">
        <f t="shared" si="70"/>
        <v>13</v>
      </c>
      <c r="J380" s="11"/>
    </row>
    <row r="381" spans="1:10" x14ac:dyDescent="0.25">
      <c r="A381" s="2">
        <v>40919</v>
      </c>
      <c r="B381" s="3">
        <v>527</v>
      </c>
      <c r="C381" s="4">
        <v>247690</v>
      </c>
      <c r="D381" s="3">
        <v>318</v>
      </c>
      <c r="E381" s="4">
        <v>232140</v>
      </c>
      <c r="G381" s="12">
        <f t="shared" si="68"/>
        <v>2012</v>
      </c>
      <c r="H381" s="12">
        <f t="shared" si="69"/>
        <v>1</v>
      </c>
      <c r="I381" s="11">
        <f t="shared" si="70"/>
        <v>13</v>
      </c>
      <c r="J381" s="11"/>
    </row>
    <row r="382" spans="1:10" x14ac:dyDescent="0.25">
      <c r="A382" s="2">
        <v>40920</v>
      </c>
      <c r="B382" s="3">
        <v>412</v>
      </c>
      <c r="C382" s="4">
        <v>193640</v>
      </c>
      <c r="D382" s="3">
        <v>330</v>
      </c>
      <c r="E382" s="4">
        <v>240900</v>
      </c>
      <c r="G382" s="12">
        <f t="shared" si="68"/>
        <v>2012</v>
      </c>
      <c r="H382" s="12">
        <f t="shared" si="69"/>
        <v>1</v>
      </c>
      <c r="I382" s="11">
        <f t="shared" si="70"/>
        <v>13</v>
      </c>
      <c r="J382" s="11"/>
    </row>
    <row r="383" spans="1:10" x14ac:dyDescent="0.25">
      <c r="A383" s="2">
        <v>40921</v>
      </c>
      <c r="B383" s="3">
        <v>506</v>
      </c>
      <c r="C383" s="4">
        <v>237820</v>
      </c>
      <c r="D383" s="3">
        <v>320</v>
      </c>
      <c r="E383" s="4">
        <v>233600</v>
      </c>
      <c r="G383" s="12">
        <f t="shared" si="68"/>
        <v>2012</v>
      </c>
      <c r="H383" s="12">
        <f t="shared" si="69"/>
        <v>1</v>
      </c>
      <c r="I383" s="11">
        <f t="shared" si="70"/>
        <v>13</v>
      </c>
      <c r="J383" s="11"/>
    </row>
    <row r="384" spans="1:10" x14ac:dyDescent="0.25">
      <c r="A384" s="2">
        <v>40922</v>
      </c>
      <c r="B384" s="3">
        <v>454</v>
      </c>
      <c r="C384" s="4">
        <v>213380</v>
      </c>
      <c r="D384" s="3">
        <v>284</v>
      </c>
      <c r="E384" s="4">
        <v>207320</v>
      </c>
      <c r="G384" s="12">
        <f t="shared" si="68"/>
        <v>2012</v>
      </c>
      <c r="H384" s="12">
        <f t="shared" si="69"/>
        <v>1</v>
      </c>
      <c r="I384" s="11">
        <f t="shared" si="70"/>
        <v>13</v>
      </c>
      <c r="J384" s="11"/>
    </row>
    <row r="385" spans="1:10" x14ac:dyDescent="0.25">
      <c r="A385" s="2">
        <v>40923</v>
      </c>
      <c r="B385" s="3">
        <v>509</v>
      </c>
      <c r="C385" s="4">
        <v>239230</v>
      </c>
      <c r="D385" s="3">
        <v>273</v>
      </c>
      <c r="E385" s="4">
        <v>199290</v>
      </c>
      <c r="G385" s="12">
        <f t="shared" si="68"/>
        <v>2012</v>
      </c>
      <c r="H385" s="12">
        <f t="shared" si="69"/>
        <v>1</v>
      </c>
      <c r="I385" s="11">
        <f t="shared" si="70"/>
        <v>13</v>
      </c>
      <c r="J385" s="11"/>
    </row>
    <row r="386" spans="1:10" x14ac:dyDescent="0.25">
      <c r="A386" s="2">
        <v>40924</v>
      </c>
      <c r="B386" s="3">
        <v>456</v>
      </c>
      <c r="C386" s="4">
        <v>214320</v>
      </c>
      <c r="D386" s="3">
        <v>237</v>
      </c>
      <c r="E386" s="4">
        <v>173010</v>
      </c>
      <c r="G386" s="12">
        <f t="shared" si="68"/>
        <v>2012</v>
      </c>
      <c r="H386" s="12">
        <f t="shared" si="69"/>
        <v>1</v>
      </c>
      <c r="I386" s="11">
        <f t="shared" si="70"/>
        <v>13</v>
      </c>
      <c r="J386" s="11"/>
    </row>
    <row r="387" spans="1:10" x14ac:dyDescent="0.25">
      <c r="A387" s="2">
        <v>40925</v>
      </c>
      <c r="B387" s="3">
        <v>457</v>
      </c>
      <c r="C387" s="4">
        <v>214790</v>
      </c>
      <c r="D387" s="3">
        <v>241</v>
      </c>
      <c r="E387" s="4">
        <v>175930</v>
      </c>
      <c r="G387" s="12">
        <f t="shared" si="68"/>
        <v>2012</v>
      </c>
      <c r="H387" s="12">
        <f t="shared" si="69"/>
        <v>1</v>
      </c>
      <c r="I387" s="11">
        <f t="shared" si="70"/>
        <v>13</v>
      </c>
      <c r="J387" s="11"/>
    </row>
    <row r="388" spans="1:10" x14ac:dyDescent="0.25">
      <c r="A388" s="2">
        <v>40926</v>
      </c>
      <c r="B388" s="3">
        <v>496</v>
      </c>
      <c r="C388" s="4">
        <v>233120</v>
      </c>
      <c r="D388" s="3">
        <v>283</v>
      </c>
      <c r="E388" s="4">
        <v>206590</v>
      </c>
      <c r="G388" s="12">
        <f t="shared" si="68"/>
        <v>2012</v>
      </c>
      <c r="H388" s="12">
        <f t="shared" si="69"/>
        <v>1</v>
      </c>
      <c r="I388" s="11">
        <f t="shared" si="70"/>
        <v>13</v>
      </c>
      <c r="J388" s="11"/>
    </row>
    <row r="389" spans="1:10" x14ac:dyDescent="0.25">
      <c r="A389" s="2">
        <v>40927</v>
      </c>
      <c r="B389" s="3">
        <v>448</v>
      </c>
      <c r="C389" s="4">
        <v>210560</v>
      </c>
      <c r="D389" s="3">
        <v>330</v>
      </c>
      <c r="E389" s="4">
        <v>240900</v>
      </c>
      <c r="G389" s="12">
        <f t="shared" si="68"/>
        <v>2012</v>
      </c>
      <c r="H389" s="12">
        <f t="shared" si="69"/>
        <v>1</v>
      </c>
      <c r="I389" s="11">
        <f t="shared" si="70"/>
        <v>13</v>
      </c>
      <c r="J389" s="11"/>
    </row>
    <row r="390" spans="1:10" x14ac:dyDescent="0.25">
      <c r="A390" s="2">
        <v>40928</v>
      </c>
      <c r="B390" s="3">
        <v>389</v>
      </c>
      <c r="C390" s="4">
        <v>182830</v>
      </c>
      <c r="D390" s="3">
        <v>250</v>
      </c>
      <c r="E390" s="4">
        <v>182500</v>
      </c>
      <c r="G390" s="12">
        <f t="shared" ref="G390:G453" si="71">+YEAR(A390)</f>
        <v>2012</v>
      </c>
      <c r="H390" s="12">
        <f t="shared" ref="H390:H453" si="72">+MONTH(A390)</f>
        <v>1</v>
      </c>
      <c r="I390" s="11">
        <f t="shared" si="70"/>
        <v>13</v>
      </c>
      <c r="J390" s="11"/>
    </row>
    <row r="391" spans="1:10" x14ac:dyDescent="0.25">
      <c r="A391" s="2">
        <v>40929</v>
      </c>
      <c r="B391" s="3">
        <v>369</v>
      </c>
      <c r="C391" s="4">
        <v>173430</v>
      </c>
      <c r="D391" s="3">
        <v>318</v>
      </c>
      <c r="E391" s="4">
        <v>232140</v>
      </c>
      <c r="G391" s="12">
        <f t="shared" si="71"/>
        <v>2012</v>
      </c>
      <c r="H391" s="12">
        <f t="shared" si="72"/>
        <v>1</v>
      </c>
      <c r="I391" s="11">
        <f t="shared" ref="I391:I454" si="73">+H391+(G391-2011)*12</f>
        <v>13</v>
      </c>
      <c r="J391" s="11"/>
    </row>
    <row r="392" spans="1:10" x14ac:dyDescent="0.25">
      <c r="A392" s="2">
        <v>40930</v>
      </c>
      <c r="B392" s="3">
        <v>461</v>
      </c>
      <c r="C392" s="4">
        <v>216670</v>
      </c>
      <c r="D392" s="3">
        <v>279</v>
      </c>
      <c r="E392" s="4">
        <v>203670</v>
      </c>
      <c r="G392" s="12">
        <f t="shared" si="71"/>
        <v>2012</v>
      </c>
      <c r="H392" s="12">
        <f t="shared" si="72"/>
        <v>1</v>
      </c>
      <c r="I392" s="11">
        <f t="shared" si="73"/>
        <v>13</v>
      </c>
      <c r="J392" s="11"/>
    </row>
    <row r="393" spans="1:10" x14ac:dyDescent="0.25">
      <c r="A393" s="2">
        <v>40931</v>
      </c>
      <c r="B393" s="3">
        <v>506</v>
      </c>
      <c r="C393" s="4">
        <v>237820</v>
      </c>
      <c r="D393" s="3">
        <v>287</v>
      </c>
      <c r="E393" s="4">
        <v>209510</v>
      </c>
      <c r="G393" s="12">
        <f t="shared" si="71"/>
        <v>2012</v>
      </c>
      <c r="H393" s="12">
        <f t="shared" si="72"/>
        <v>1</v>
      </c>
      <c r="I393" s="11">
        <f t="shared" si="73"/>
        <v>13</v>
      </c>
      <c r="J393" s="11"/>
    </row>
    <row r="394" spans="1:10" x14ac:dyDescent="0.25">
      <c r="A394" s="2">
        <v>40932</v>
      </c>
      <c r="B394" s="3">
        <v>495</v>
      </c>
      <c r="C394" s="4">
        <v>232650</v>
      </c>
      <c r="D394" s="3">
        <v>333</v>
      </c>
      <c r="E394" s="4">
        <v>243090</v>
      </c>
      <c r="G394" s="12">
        <f t="shared" si="71"/>
        <v>2012</v>
      </c>
      <c r="H394" s="12">
        <f t="shared" si="72"/>
        <v>1</v>
      </c>
      <c r="I394" s="11">
        <f t="shared" si="73"/>
        <v>13</v>
      </c>
      <c r="J394" s="11"/>
    </row>
    <row r="395" spans="1:10" x14ac:dyDescent="0.25">
      <c r="A395" s="2">
        <v>40933</v>
      </c>
      <c r="B395" s="3">
        <v>383</v>
      </c>
      <c r="C395" s="4">
        <v>180010</v>
      </c>
      <c r="D395" s="3">
        <v>294</v>
      </c>
      <c r="E395" s="4">
        <v>214620</v>
      </c>
      <c r="G395" s="12">
        <f t="shared" si="71"/>
        <v>2012</v>
      </c>
      <c r="H395" s="12">
        <f t="shared" si="72"/>
        <v>1</v>
      </c>
      <c r="I395" s="11">
        <f t="shared" si="73"/>
        <v>13</v>
      </c>
      <c r="J395" s="11"/>
    </row>
    <row r="396" spans="1:10" x14ac:dyDescent="0.25">
      <c r="A396" s="2">
        <v>40934</v>
      </c>
      <c r="B396" s="3">
        <v>375</v>
      </c>
      <c r="C396" s="4">
        <v>176250</v>
      </c>
      <c r="D396" s="3">
        <v>309</v>
      </c>
      <c r="E396" s="4">
        <v>225570</v>
      </c>
      <c r="G396" s="12">
        <f t="shared" si="71"/>
        <v>2012</v>
      </c>
      <c r="H396" s="12">
        <f t="shared" si="72"/>
        <v>1</v>
      </c>
      <c r="I396" s="11">
        <f t="shared" si="73"/>
        <v>13</v>
      </c>
      <c r="J396" s="11"/>
    </row>
    <row r="397" spans="1:10" x14ac:dyDescent="0.25">
      <c r="A397" s="2">
        <v>40935</v>
      </c>
      <c r="B397" s="3">
        <v>435</v>
      </c>
      <c r="C397" s="4">
        <v>204450</v>
      </c>
      <c r="D397" s="3">
        <v>302</v>
      </c>
      <c r="E397" s="4">
        <v>220460</v>
      </c>
      <c r="G397" s="12">
        <f t="shared" si="71"/>
        <v>2012</v>
      </c>
      <c r="H397" s="12">
        <f t="shared" si="72"/>
        <v>1</v>
      </c>
      <c r="I397" s="11">
        <f t="shared" si="73"/>
        <v>13</v>
      </c>
      <c r="J397" s="11"/>
    </row>
    <row r="398" spans="1:10" x14ac:dyDescent="0.25">
      <c r="A398" s="2">
        <v>40936</v>
      </c>
      <c r="B398" s="3">
        <v>390</v>
      </c>
      <c r="C398" s="4">
        <v>183300</v>
      </c>
      <c r="D398" s="3">
        <v>286</v>
      </c>
      <c r="E398" s="4">
        <v>208780</v>
      </c>
      <c r="G398" s="12">
        <f t="shared" si="71"/>
        <v>2012</v>
      </c>
      <c r="H398" s="12">
        <f t="shared" si="72"/>
        <v>1</v>
      </c>
      <c r="I398" s="11">
        <f t="shared" si="73"/>
        <v>13</v>
      </c>
      <c r="J398" s="11"/>
    </row>
    <row r="399" spans="1:10" x14ac:dyDescent="0.25">
      <c r="A399" s="2">
        <v>40937</v>
      </c>
      <c r="B399" s="3">
        <v>464</v>
      </c>
      <c r="C399" s="4">
        <v>218080</v>
      </c>
      <c r="D399" s="3">
        <v>293</v>
      </c>
      <c r="E399" s="4">
        <v>213890</v>
      </c>
      <c r="G399" s="12">
        <f t="shared" si="71"/>
        <v>2012</v>
      </c>
      <c r="H399" s="12">
        <f t="shared" si="72"/>
        <v>1</v>
      </c>
      <c r="I399" s="11">
        <f t="shared" si="73"/>
        <v>13</v>
      </c>
      <c r="J399" s="11"/>
    </row>
    <row r="400" spans="1:10" x14ac:dyDescent="0.25">
      <c r="A400" s="2">
        <v>40938</v>
      </c>
      <c r="B400" s="3">
        <v>503</v>
      </c>
      <c r="C400" s="4">
        <v>236410</v>
      </c>
      <c r="D400" s="3">
        <v>289</v>
      </c>
      <c r="E400" s="4">
        <v>210970</v>
      </c>
      <c r="G400" s="12">
        <f t="shared" si="71"/>
        <v>2012</v>
      </c>
      <c r="H400" s="12">
        <f t="shared" si="72"/>
        <v>1</v>
      </c>
      <c r="I400" s="11">
        <f t="shared" si="73"/>
        <v>13</v>
      </c>
      <c r="J400" s="11"/>
    </row>
    <row r="401" spans="1:10" x14ac:dyDescent="0.25">
      <c r="A401" s="2">
        <v>40939</v>
      </c>
      <c r="B401" s="3">
        <v>501</v>
      </c>
      <c r="C401" s="4">
        <v>235470</v>
      </c>
      <c r="D401" s="3">
        <v>246</v>
      </c>
      <c r="E401" s="4">
        <v>179580</v>
      </c>
      <c r="G401" s="12">
        <f t="shared" si="71"/>
        <v>2012</v>
      </c>
      <c r="H401" s="12">
        <f t="shared" si="72"/>
        <v>1</v>
      </c>
      <c r="I401" s="11">
        <f t="shared" si="73"/>
        <v>13</v>
      </c>
      <c r="J401" s="11"/>
    </row>
    <row r="402" spans="1:10" x14ac:dyDescent="0.25">
      <c r="A402" s="2">
        <v>40940</v>
      </c>
      <c r="B402" s="3">
        <v>539</v>
      </c>
      <c r="C402" s="4">
        <v>253330</v>
      </c>
      <c r="D402" s="3">
        <v>300</v>
      </c>
      <c r="E402" s="4">
        <v>219000</v>
      </c>
      <c r="G402" s="12">
        <f t="shared" si="71"/>
        <v>2012</v>
      </c>
      <c r="H402" s="12">
        <f t="shared" si="72"/>
        <v>2</v>
      </c>
      <c r="I402" s="11">
        <f t="shared" si="73"/>
        <v>14</v>
      </c>
      <c r="J402" s="11"/>
    </row>
    <row r="403" spans="1:10" x14ac:dyDescent="0.25">
      <c r="A403" s="2">
        <v>40941</v>
      </c>
      <c r="B403" s="3">
        <v>460</v>
      </c>
      <c r="C403" s="4">
        <v>216200</v>
      </c>
      <c r="D403" s="3">
        <v>305</v>
      </c>
      <c r="E403" s="4">
        <v>222650</v>
      </c>
      <c r="G403" s="12">
        <f t="shared" si="71"/>
        <v>2012</v>
      </c>
      <c r="H403" s="12">
        <f t="shared" si="72"/>
        <v>2</v>
      </c>
      <c r="I403" s="11">
        <f t="shared" si="73"/>
        <v>14</v>
      </c>
      <c r="J403" s="11"/>
    </row>
    <row r="404" spans="1:10" x14ac:dyDescent="0.25">
      <c r="A404" s="2">
        <v>40942</v>
      </c>
      <c r="B404" s="3">
        <v>422</v>
      </c>
      <c r="C404" s="4">
        <v>198340</v>
      </c>
      <c r="D404" s="3">
        <v>261</v>
      </c>
      <c r="E404" s="4">
        <v>190530</v>
      </c>
      <c r="G404" s="12">
        <f t="shared" si="71"/>
        <v>2012</v>
      </c>
      <c r="H404" s="12">
        <f t="shared" si="72"/>
        <v>2</v>
      </c>
      <c r="I404" s="11">
        <f t="shared" si="73"/>
        <v>14</v>
      </c>
      <c r="J404" s="11"/>
    </row>
    <row r="405" spans="1:10" x14ac:dyDescent="0.25">
      <c r="A405" s="2">
        <v>40943</v>
      </c>
      <c r="B405" s="3">
        <v>521</v>
      </c>
      <c r="C405" s="4">
        <v>244870</v>
      </c>
      <c r="D405" s="3">
        <v>339</v>
      </c>
      <c r="E405" s="4">
        <v>247470</v>
      </c>
      <c r="G405" s="12">
        <f t="shared" si="71"/>
        <v>2012</v>
      </c>
      <c r="H405" s="12">
        <f t="shared" si="72"/>
        <v>2</v>
      </c>
      <c r="I405" s="11">
        <f t="shared" si="73"/>
        <v>14</v>
      </c>
      <c r="J405" s="11"/>
    </row>
    <row r="406" spans="1:10" x14ac:dyDescent="0.25">
      <c r="A406" s="2">
        <v>40944</v>
      </c>
      <c r="B406" s="3">
        <v>438</v>
      </c>
      <c r="C406" s="4">
        <v>205860</v>
      </c>
      <c r="D406" s="3">
        <v>276</v>
      </c>
      <c r="E406" s="4">
        <v>201480</v>
      </c>
      <c r="G406" s="12">
        <f t="shared" si="71"/>
        <v>2012</v>
      </c>
      <c r="H406" s="12">
        <f t="shared" si="72"/>
        <v>2</v>
      </c>
      <c r="I406" s="11">
        <f t="shared" si="73"/>
        <v>14</v>
      </c>
      <c r="J406" s="11"/>
    </row>
    <row r="407" spans="1:10" x14ac:dyDescent="0.25">
      <c r="A407" s="2">
        <v>40945</v>
      </c>
      <c r="B407" s="3">
        <v>442</v>
      </c>
      <c r="C407" s="4">
        <v>207740</v>
      </c>
      <c r="D407" s="3">
        <v>346</v>
      </c>
      <c r="E407" s="4">
        <v>252580</v>
      </c>
      <c r="G407" s="12">
        <f t="shared" si="71"/>
        <v>2012</v>
      </c>
      <c r="H407" s="12">
        <f t="shared" si="72"/>
        <v>2</v>
      </c>
      <c r="I407" s="11">
        <f t="shared" si="73"/>
        <v>14</v>
      </c>
      <c r="J407" s="11"/>
    </row>
    <row r="408" spans="1:10" x14ac:dyDescent="0.25">
      <c r="A408" s="2">
        <v>40946</v>
      </c>
      <c r="B408" s="3">
        <v>494</v>
      </c>
      <c r="C408" s="4">
        <v>232180</v>
      </c>
      <c r="D408" s="3">
        <v>280</v>
      </c>
      <c r="E408" s="4">
        <v>204400</v>
      </c>
      <c r="G408" s="12">
        <f t="shared" si="71"/>
        <v>2012</v>
      </c>
      <c r="H408" s="12">
        <f t="shared" si="72"/>
        <v>2</v>
      </c>
      <c r="I408" s="11">
        <f t="shared" si="73"/>
        <v>14</v>
      </c>
      <c r="J408" s="11"/>
    </row>
    <row r="409" spans="1:10" x14ac:dyDescent="0.25">
      <c r="A409" s="2">
        <v>40947</v>
      </c>
      <c r="B409" s="3">
        <v>480</v>
      </c>
      <c r="C409" s="4">
        <v>225600</v>
      </c>
      <c r="D409" s="3">
        <v>347</v>
      </c>
      <c r="E409" s="4">
        <v>253310</v>
      </c>
      <c r="G409" s="12">
        <f t="shared" si="71"/>
        <v>2012</v>
      </c>
      <c r="H409" s="12">
        <f t="shared" si="72"/>
        <v>2</v>
      </c>
      <c r="I409" s="11">
        <f t="shared" si="73"/>
        <v>14</v>
      </c>
      <c r="J409" s="11"/>
    </row>
    <row r="410" spans="1:10" x14ac:dyDescent="0.25">
      <c r="A410" s="2">
        <v>40948</v>
      </c>
      <c r="B410" s="3">
        <v>499</v>
      </c>
      <c r="C410" s="4">
        <v>234530</v>
      </c>
      <c r="D410" s="3">
        <v>258</v>
      </c>
      <c r="E410" s="4">
        <v>188340</v>
      </c>
      <c r="G410" s="12">
        <f t="shared" si="71"/>
        <v>2012</v>
      </c>
      <c r="H410" s="12">
        <f t="shared" si="72"/>
        <v>2</v>
      </c>
      <c r="I410" s="11">
        <f t="shared" si="73"/>
        <v>14</v>
      </c>
      <c r="J410" s="11"/>
    </row>
    <row r="411" spans="1:10" x14ac:dyDescent="0.25">
      <c r="A411" s="2">
        <v>40949</v>
      </c>
      <c r="B411" s="3">
        <v>492</v>
      </c>
      <c r="C411" s="4">
        <v>231240</v>
      </c>
      <c r="D411" s="3">
        <v>293</v>
      </c>
      <c r="E411" s="4">
        <v>213890</v>
      </c>
      <c r="G411" s="12">
        <f t="shared" si="71"/>
        <v>2012</v>
      </c>
      <c r="H411" s="12">
        <f t="shared" si="72"/>
        <v>2</v>
      </c>
      <c r="I411" s="11">
        <f t="shared" si="73"/>
        <v>14</v>
      </c>
      <c r="J411" s="11"/>
    </row>
    <row r="412" spans="1:10" x14ac:dyDescent="0.25">
      <c r="A412" s="2">
        <v>40950</v>
      </c>
      <c r="B412" s="3">
        <v>555</v>
      </c>
      <c r="C412" s="4">
        <v>260850</v>
      </c>
      <c r="D412" s="3">
        <v>292</v>
      </c>
      <c r="E412" s="4">
        <v>213160</v>
      </c>
      <c r="G412" s="12">
        <f t="shared" si="71"/>
        <v>2012</v>
      </c>
      <c r="H412" s="12">
        <f t="shared" si="72"/>
        <v>2</v>
      </c>
      <c r="I412" s="11">
        <f t="shared" si="73"/>
        <v>14</v>
      </c>
      <c r="J412" s="11"/>
    </row>
    <row r="413" spans="1:10" x14ac:dyDescent="0.25">
      <c r="A413" s="2">
        <v>40951</v>
      </c>
      <c r="B413" s="3">
        <v>493</v>
      </c>
      <c r="C413" s="4">
        <v>231710</v>
      </c>
      <c r="D413" s="3">
        <v>254</v>
      </c>
      <c r="E413" s="4">
        <v>185420</v>
      </c>
      <c r="G413" s="12">
        <f t="shared" si="71"/>
        <v>2012</v>
      </c>
      <c r="H413" s="12">
        <f t="shared" si="72"/>
        <v>2</v>
      </c>
      <c r="I413" s="11">
        <f t="shared" si="73"/>
        <v>14</v>
      </c>
      <c r="J413" s="11"/>
    </row>
    <row r="414" spans="1:10" x14ac:dyDescent="0.25">
      <c r="A414" s="2">
        <v>40952</v>
      </c>
      <c r="B414" s="3">
        <v>523</v>
      </c>
      <c r="C414" s="4">
        <v>245810</v>
      </c>
      <c r="D414" s="3">
        <v>315</v>
      </c>
      <c r="E414" s="4">
        <v>229950</v>
      </c>
      <c r="G414" s="12">
        <f t="shared" si="71"/>
        <v>2012</v>
      </c>
      <c r="H414" s="12">
        <f t="shared" si="72"/>
        <v>2</v>
      </c>
      <c r="I414" s="11">
        <f t="shared" si="73"/>
        <v>14</v>
      </c>
      <c r="J414" s="11"/>
    </row>
    <row r="415" spans="1:10" x14ac:dyDescent="0.25">
      <c r="A415" s="2">
        <v>40953</v>
      </c>
      <c r="B415" s="3">
        <v>445</v>
      </c>
      <c r="C415" s="4">
        <v>209150</v>
      </c>
      <c r="D415" s="3">
        <v>281</v>
      </c>
      <c r="E415" s="4">
        <v>205130</v>
      </c>
      <c r="G415" s="12">
        <f t="shared" si="71"/>
        <v>2012</v>
      </c>
      <c r="H415" s="12">
        <f t="shared" si="72"/>
        <v>2</v>
      </c>
      <c r="I415" s="11">
        <f t="shared" si="73"/>
        <v>14</v>
      </c>
      <c r="J415" s="11"/>
    </row>
    <row r="416" spans="1:10" x14ac:dyDescent="0.25">
      <c r="A416" s="2">
        <v>40954</v>
      </c>
      <c r="B416" s="3">
        <v>474</v>
      </c>
      <c r="C416" s="4">
        <v>222780</v>
      </c>
      <c r="D416" s="3">
        <v>228</v>
      </c>
      <c r="E416" s="4">
        <v>166440</v>
      </c>
      <c r="G416" s="12">
        <f t="shared" si="71"/>
        <v>2012</v>
      </c>
      <c r="H416" s="12">
        <f t="shared" si="72"/>
        <v>2</v>
      </c>
      <c r="I416" s="11">
        <f t="shared" si="73"/>
        <v>14</v>
      </c>
      <c r="J416" s="11"/>
    </row>
    <row r="417" spans="1:10" x14ac:dyDescent="0.25">
      <c r="A417" s="2">
        <v>40955</v>
      </c>
      <c r="B417" s="3">
        <v>485</v>
      </c>
      <c r="C417" s="4">
        <v>227950</v>
      </c>
      <c r="D417" s="3">
        <v>318</v>
      </c>
      <c r="E417" s="4">
        <v>232140</v>
      </c>
      <c r="G417" s="12">
        <f t="shared" si="71"/>
        <v>2012</v>
      </c>
      <c r="H417" s="12">
        <f t="shared" si="72"/>
        <v>2</v>
      </c>
      <c r="I417" s="11">
        <f t="shared" si="73"/>
        <v>14</v>
      </c>
      <c r="J417" s="11"/>
    </row>
    <row r="418" spans="1:10" x14ac:dyDescent="0.25">
      <c r="A418" s="2">
        <v>40956</v>
      </c>
      <c r="B418" s="3">
        <v>504</v>
      </c>
      <c r="C418" s="4">
        <v>236880</v>
      </c>
      <c r="D418" s="3">
        <v>336</v>
      </c>
      <c r="E418" s="4">
        <v>245280</v>
      </c>
      <c r="G418" s="12">
        <f t="shared" si="71"/>
        <v>2012</v>
      </c>
      <c r="H418" s="12">
        <f t="shared" si="72"/>
        <v>2</v>
      </c>
      <c r="I418" s="11">
        <f t="shared" si="73"/>
        <v>14</v>
      </c>
      <c r="J418" s="11"/>
    </row>
    <row r="419" spans="1:10" x14ac:dyDescent="0.25">
      <c r="A419" s="2">
        <v>40957</v>
      </c>
      <c r="B419" s="3">
        <v>587</v>
      </c>
      <c r="C419" s="4">
        <v>275890</v>
      </c>
      <c r="D419" s="3">
        <v>268</v>
      </c>
      <c r="E419" s="4">
        <v>195640</v>
      </c>
      <c r="G419" s="12">
        <f t="shared" si="71"/>
        <v>2012</v>
      </c>
      <c r="H419" s="12">
        <f t="shared" si="72"/>
        <v>2</v>
      </c>
      <c r="I419" s="11">
        <f t="shared" si="73"/>
        <v>14</v>
      </c>
      <c r="J419" s="11"/>
    </row>
    <row r="420" spans="1:10" x14ac:dyDescent="0.25">
      <c r="A420" s="2">
        <v>40958</v>
      </c>
      <c r="B420" s="3">
        <v>509</v>
      </c>
      <c r="C420" s="4">
        <v>239230</v>
      </c>
      <c r="D420" s="3">
        <v>296</v>
      </c>
      <c r="E420" s="4">
        <v>216080</v>
      </c>
      <c r="G420" s="12">
        <f t="shared" si="71"/>
        <v>2012</v>
      </c>
      <c r="H420" s="12">
        <f t="shared" si="72"/>
        <v>2</v>
      </c>
      <c r="I420" s="11">
        <f t="shared" si="73"/>
        <v>14</v>
      </c>
      <c r="J420" s="11"/>
    </row>
    <row r="421" spans="1:10" x14ac:dyDescent="0.25">
      <c r="A421" s="2">
        <v>40959</v>
      </c>
      <c r="B421" s="3">
        <v>457</v>
      </c>
      <c r="C421" s="4">
        <v>214790</v>
      </c>
      <c r="D421" s="3">
        <v>323</v>
      </c>
      <c r="E421" s="4">
        <v>235790</v>
      </c>
      <c r="G421" s="12">
        <f t="shared" si="71"/>
        <v>2012</v>
      </c>
      <c r="H421" s="12">
        <f t="shared" si="72"/>
        <v>2</v>
      </c>
      <c r="I421" s="11">
        <f t="shared" si="73"/>
        <v>14</v>
      </c>
      <c r="J421" s="11"/>
    </row>
    <row r="422" spans="1:10" x14ac:dyDescent="0.25">
      <c r="A422" s="2">
        <v>40960</v>
      </c>
      <c r="B422" s="3">
        <v>570</v>
      </c>
      <c r="C422" s="4">
        <v>267900</v>
      </c>
      <c r="D422" s="3">
        <v>292</v>
      </c>
      <c r="E422" s="4">
        <v>213160</v>
      </c>
      <c r="G422" s="12">
        <f t="shared" si="71"/>
        <v>2012</v>
      </c>
      <c r="H422" s="12">
        <f t="shared" si="72"/>
        <v>2</v>
      </c>
      <c r="I422" s="11">
        <f t="shared" si="73"/>
        <v>14</v>
      </c>
      <c r="J422" s="11"/>
    </row>
    <row r="423" spans="1:10" x14ac:dyDescent="0.25">
      <c r="A423" s="2">
        <v>40961</v>
      </c>
      <c r="B423" s="3">
        <v>480</v>
      </c>
      <c r="C423" s="4">
        <v>225600</v>
      </c>
      <c r="D423" s="3">
        <v>311</v>
      </c>
      <c r="E423" s="4">
        <v>227030</v>
      </c>
      <c r="G423" s="12">
        <f t="shared" si="71"/>
        <v>2012</v>
      </c>
      <c r="H423" s="12">
        <f t="shared" si="72"/>
        <v>2</v>
      </c>
      <c r="I423" s="11">
        <f t="shared" si="73"/>
        <v>14</v>
      </c>
      <c r="J423" s="11"/>
    </row>
    <row r="424" spans="1:10" x14ac:dyDescent="0.25">
      <c r="A424" s="2">
        <v>40962</v>
      </c>
      <c r="B424" s="3">
        <v>557</v>
      </c>
      <c r="C424" s="4">
        <v>261790</v>
      </c>
      <c r="D424" s="3">
        <v>302</v>
      </c>
      <c r="E424" s="4">
        <v>220460</v>
      </c>
      <c r="G424" s="12">
        <f t="shared" si="71"/>
        <v>2012</v>
      </c>
      <c r="H424" s="12">
        <f t="shared" si="72"/>
        <v>2</v>
      </c>
      <c r="I424" s="11">
        <f t="shared" si="73"/>
        <v>14</v>
      </c>
      <c r="J424" s="11"/>
    </row>
    <row r="425" spans="1:10" x14ac:dyDescent="0.25">
      <c r="A425" s="2">
        <v>40963</v>
      </c>
      <c r="B425" s="3">
        <v>418</v>
      </c>
      <c r="C425" s="4">
        <v>196460</v>
      </c>
      <c r="D425" s="3">
        <v>280</v>
      </c>
      <c r="E425" s="4">
        <v>204400</v>
      </c>
      <c r="G425" s="12">
        <f t="shared" si="71"/>
        <v>2012</v>
      </c>
      <c r="H425" s="12">
        <f t="shared" si="72"/>
        <v>2</v>
      </c>
      <c r="I425" s="11">
        <f t="shared" si="73"/>
        <v>14</v>
      </c>
      <c r="J425" s="11"/>
    </row>
    <row r="426" spans="1:10" x14ac:dyDescent="0.25">
      <c r="A426" s="2">
        <v>40964</v>
      </c>
      <c r="B426" s="3">
        <v>454</v>
      </c>
      <c r="C426" s="4">
        <v>213380</v>
      </c>
      <c r="D426" s="3">
        <v>297</v>
      </c>
      <c r="E426" s="4">
        <v>216810</v>
      </c>
      <c r="G426" s="12">
        <f t="shared" si="71"/>
        <v>2012</v>
      </c>
      <c r="H426" s="12">
        <f t="shared" si="72"/>
        <v>2</v>
      </c>
      <c r="I426" s="11">
        <f t="shared" si="73"/>
        <v>14</v>
      </c>
      <c r="J426" s="11"/>
    </row>
    <row r="427" spans="1:10" x14ac:dyDescent="0.25">
      <c r="A427" s="2">
        <v>40965</v>
      </c>
      <c r="B427" s="3">
        <v>490</v>
      </c>
      <c r="C427" s="4">
        <v>230300</v>
      </c>
      <c r="D427" s="3">
        <v>312</v>
      </c>
      <c r="E427" s="4">
        <v>227760</v>
      </c>
      <c r="G427" s="12">
        <f t="shared" si="71"/>
        <v>2012</v>
      </c>
      <c r="H427" s="12">
        <f t="shared" si="72"/>
        <v>2</v>
      </c>
      <c r="I427" s="11">
        <f t="shared" si="73"/>
        <v>14</v>
      </c>
      <c r="J427" s="11"/>
    </row>
    <row r="428" spans="1:10" x14ac:dyDescent="0.25">
      <c r="A428" s="2">
        <v>40966</v>
      </c>
      <c r="B428" s="3">
        <v>533</v>
      </c>
      <c r="C428" s="4">
        <v>250510</v>
      </c>
      <c r="D428" s="3">
        <v>326</v>
      </c>
      <c r="E428" s="4">
        <v>237980</v>
      </c>
      <c r="G428" s="12">
        <f t="shared" si="71"/>
        <v>2012</v>
      </c>
      <c r="H428" s="12">
        <f t="shared" si="72"/>
        <v>2</v>
      </c>
      <c r="I428" s="11">
        <f t="shared" si="73"/>
        <v>14</v>
      </c>
      <c r="J428" s="11"/>
    </row>
    <row r="429" spans="1:10" x14ac:dyDescent="0.25">
      <c r="A429" s="2">
        <v>40967</v>
      </c>
      <c r="B429" s="3">
        <v>428</v>
      </c>
      <c r="C429" s="4">
        <v>201160</v>
      </c>
      <c r="D429" s="3">
        <v>330</v>
      </c>
      <c r="E429" s="4">
        <v>240900</v>
      </c>
      <c r="G429" s="12">
        <f t="shared" si="71"/>
        <v>2012</v>
      </c>
      <c r="H429" s="12">
        <f t="shared" si="72"/>
        <v>2</v>
      </c>
      <c r="I429" s="11">
        <f t="shared" si="73"/>
        <v>14</v>
      </c>
      <c r="J429" s="11"/>
    </row>
    <row r="430" spans="1:10" x14ac:dyDescent="0.25">
      <c r="A430" s="2">
        <v>40968</v>
      </c>
      <c r="B430" s="3">
        <v>492</v>
      </c>
      <c r="C430" s="4">
        <v>231240</v>
      </c>
      <c r="D430" s="3">
        <v>275</v>
      </c>
      <c r="E430" s="4">
        <v>200750</v>
      </c>
      <c r="G430" s="12">
        <f t="shared" si="71"/>
        <v>2012</v>
      </c>
      <c r="H430" s="12">
        <f t="shared" si="72"/>
        <v>2</v>
      </c>
      <c r="I430" s="11">
        <f t="shared" si="73"/>
        <v>14</v>
      </c>
      <c r="J430" s="11"/>
    </row>
    <row r="431" spans="1:10" x14ac:dyDescent="0.25">
      <c r="A431" s="2">
        <v>40969</v>
      </c>
      <c r="B431" s="3">
        <v>495</v>
      </c>
      <c r="C431" s="4">
        <v>232650</v>
      </c>
      <c r="D431" s="3">
        <v>321</v>
      </c>
      <c r="E431" s="4">
        <v>234330</v>
      </c>
      <c r="G431" s="12">
        <f t="shared" si="71"/>
        <v>2012</v>
      </c>
      <c r="H431" s="12">
        <f t="shared" si="72"/>
        <v>3</v>
      </c>
      <c r="I431" s="11">
        <f t="shared" si="73"/>
        <v>15</v>
      </c>
      <c r="J431" s="11"/>
    </row>
    <row r="432" spans="1:10" x14ac:dyDescent="0.25">
      <c r="A432" s="2">
        <v>40970</v>
      </c>
      <c r="B432" s="3">
        <v>432</v>
      </c>
      <c r="C432" s="4">
        <v>203040</v>
      </c>
      <c r="D432" s="3">
        <v>277</v>
      </c>
      <c r="E432" s="4">
        <v>202210</v>
      </c>
      <c r="G432" s="12">
        <f t="shared" si="71"/>
        <v>2012</v>
      </c>
      <c r="H432" s="12">
        <f t="shared" si="72"/>
        <v>3</v>
      </c>
      <c r="I432" s="11">
        <f t="shared" si="73"/>
        <v>15</v>
      </c>
      <c r="J432" s="11"/>
    </row>
    <row r="433" spans="1:10" x14ac:dyDescent="0.25">
      <c r="A433" s="2">
        <v>40971</v>
      </c>
      <c r="B433" s="3">
        <v>561</v>
      </c>
      <c r="C433" s="4">
        <v>263670</v>
      </c>
      <c r="D433" s="3">
        <v>325</v>
      </c>
      <c r="E433" s="4">
        <v>237250</v>
      </c>
      <c r="G433" s="12">
        <f t="shared" si="71"/>
        <v>2012</v>
      </c>
      <c r="H433" s="12">
        <f t="shared" si="72"/>
        <v>3</v>
      </c>
      <c r="I433" s="11">
        <f t="shared" si="73"/>
        <v>15</v>
      </c>
      <c r="J433" s="11"/>
    </row>
    <row r="434" spans="1:10" x14ac:dyDescent="0.25">
      <c r="A434" s="2">
        <v>40972</v>
      </c>
      <c r="B434" s="3">
        <v>453</v>
      </c>
      <c r="C434" s="4">
        <v>212910</v>
      </c>
      <c r="D434" s="3">
        <v>238</v>
      </c>
      <c r="E434" s="4">
        <v>173740</v>
      </c>
      <c r="G434" s="12">
        <f t="shared" si="71"/>
        <v>2012</v>
      </c>
      <c r="H434" s="12">
        <f t="shared" si="72"/>
        <v>3</v>
      </c>
      <c r="I434" s="11">
        <f t="shared" si="73"/>
        <v>15</v>
      </c>
      <c r="J434" s="11"/>
    </row>
    <row r="435" spans="1:10" x14ac:dyDescent="0.25">
      <c r="A435" s="2">
        <v>40973</v>
      </c>
      <c r="B435" s="3">
        <v>469</v>
      </c>
      <c r="C435" s="4">
        <v>220430</v>
      </c>
      <c r="D435" s="3">
        <v>262</v>
      </c>
      <c r="E435" s="4">
        <v>191260</v>
      </c>
      <c r="G435" s="12">
        <f t="shared" si="71"/>
        <v>2012</v>
      </c>
      <c r="H435" s="12">
        <f t="shared" si="72"/>
        <v>3</v>
      </c>
      <c r="I435" s="11">
        <f t="shared" si="73"/>
        <v>15</v>
      </c>
      <c r="J435" s="11"/>
    </row>
    <row r="436" spans="1:10" x14ac:dyDescent="0.25">
      <c r="A436" s="2">
        <v>40974</v>
      </c>
      <c r="B436" s="3">
        <v>530</v>
      </c>
      <c r="C436" s="4">
        <v>249100</v>
      </c>
      <c r="D436" s="3">
        <v>349</v>
      </c>
      <c r="E436" s="4">
        <v>254770</v>
      </c>
      <c r="G436" s="12">
        <f t="shared" si="71"/>
        <v>2012</v>
      </c>
      <c r="H436" s="12">
        <f t="shared" si="72"/>
        <v>3</v>
      </c>
      <c r="I436" s="11">
        <f t="shared" si="73"/>
        <v>15</v>
      </c>
      <c r="J436" s="11"/>
    </row>
    <row r="437" spans="1:10" x14ac:dyDescent="0.25">
      <c r="A437" s="2">
        <v>40975</v>
      </c>
      <c r="B437" s="3">
        <v>453</v>
      </c>
      <c r="C437" s="4">
        <v>212910</v>
      </c>
      <c r="D437" s="3">
        <v>324</v>
      </c>
      <c r="E437" s="4">
        <v>236520</v>
      </c>
      <c r="G437" s="12">
        <f t="shared" si="71"/>
        <v>2012</v>
      </c>
      <c r="H437" s="12">
        <f t="shared" si="72"/>
        <v>3</v>
      </c>
      <c r="I437" s="11">
        <f t="shared" si="73"/>
        <v>15</v>
      </c>
      <c r="J437" s="11"/>
    </row>
    <row r="438" spans="1:10" x14ac:dyDescent="0.25">
      <c r="A438" s="2">
        <v>40976</v>
      </c>
      <c r="B438" s="3">
        <v>395</v>
      </c>
      <c r="C438" s="4">
        <v>185650</v>
      </c>
      <c r="D438" s="3">
        <v>251</v>
      </c>
      <c r="E438" s="4">
        <v>183230</v>
      </c>
      <c r="G438" s="12">
        <f t="shared" si="71"/>
        <v>2012</v>
      </c>
      <c r="H438" s="12">
        <f t="shared" si="72"/>
        <v>3</v>
      </c>
      <c r="I438" s="11">
        <f t="shared" si="73"/>
        <v>15</v>
      </c>
      <c r="J438" s="11"/>
    </row>
    <row r="439" spans="1:10" x14ac:dyDescent="0.25">
      <c r="A439" s="2">
        <v>40977</v>
      </c>
      <c r="B439" s="3">
        <v>492</v>
      </c>
      <c r="C439" s="4">
        <v>231240</v>
      </c>
      <c r="D439" s="3">
        <v>321</v>
      </c>
      <c r="E439" s="4">
        <v>234330</v>
      </c>
      <c r="G439" s="12">
        <f t="shared" si="71"/>
        <v>2012</v>
      </c>
      <c r="H439" s="12">
        <f t="shared" si="72"/>
        <v>3</v>
      </c>
      <c r="I439" s="11">
        <f t="shared" si="73"/>
        <v>15</v>
      </c>
      <c r="J439" s="11"/>
    </row>
    <row r="440" spans="1:10" x14ac:dyDescent="0.25">
      <c r="A440" s="2">
        <v>40978</v>
      </c>
      <c r="B440" s="3">
        <v>499</v>
      </c>
      <c r="C440" s="4">
        <v>234530</v>
      </c>
      <c r="D440" s="3">
        <v>222</v>
      </c>
      <c r="E440" s="4">
        <v>162060</v>
      </c>
      <c r="G440" s="12">
        <f t="shared" si="71"/>
        <v>2012</v>
      </c>
      <c r="H440" s="12">
        <f t="shared" si="72"/>
        <v>3</v>
      </c>
      <c r="I440" s="11">
        <f t="shared" si="73"/>
        <v>15</v>
      </c>
      <c r="J440" s="11"/>
    </row>
    <row r="441" spans="1:10" x14ac:dyDescent="0.25">
      <c r="A441" s="2">
        <v>40979</v>
      </c>
      <c r="B441" s="3">
        <v>479</v>
      </c>
      <c r="C441" s="4">
        <v>225130</v>
      </c>
      <c r="D441" s="3">
        <v>336</v>
      </c>
      <c r="E441" s="4">
        <v>245280</v>
      </c>
      <c r="G441" s="12">
        <f t="shared" si="71"/>
        <v>2012</v>
      </c>
      <c r="H441" s="12">
        <f t="shared" si="72"/>
        <v>3</v>
      </c>
      <c r="I441" s="11">
        <f t="shared" si="73"/>
        <v>15</v>
      </c>
      <c r="J441" s="11"/>
    </row>
    <row r="442" spans="1:10" x14ac:dyDescent="0.25">
      <c r="A442" s="2">
        <v>40980</v>
      </c>
      <c r="B442" s="3">
        <v>492</v>
      </c>
      <c r="C442" s="4">
        <v>231240</v>
      </c>
      <c r="D442" s="3">
        <v>286</v>
      </c>
      <c r="E442" s="4">
        <v>208780</v>
      </c>
      <c r="G442" s="12">
        <f t="shared" si="71"/>
        <v>2012</v>
      </c>
      <c r="H442" s="12">
        <f t="shared" si="72"/>
        <v>3</v>
      </c>
      <c r="I442" s="11">
        <f t="shared" si="73"/>
        <v>15</v>
      </c>
      <c r="J442" s="11"/>
    </row>
    <row r="443" spans="1:10" x14ac:dyDescent="0.25">
      <c r="A443" s="2">
        <v>40981</v>
      </c>
      <c r="B443" s="3">
        <v>493</v>
      </c>
      <c r="C443" s="4">
        <v>231710</v>
      </c>
      <c r="D443" s="3">
        <v>280</v>
      </c>
      <c r="E443" s="4">
        <v>204400</v>
      </c>
      <c r="G443" s="12">
        <f t="shared" si="71"/>
        <v>2012</v>
      </c>
      <c r="H443" s="12">
        <f t="shared" si="72"/>
        <v>3</v>
      </c>
      <c r="I443" s="11">
        <f t="shared" si="73"/>
        <v>15</v>
      </c>
      <c r="J443" s="11"/>
    </row>
    <row r="444" spans="1:10" x14ac:dyDescent="0.25">
      <c r="A444" s="2">
        <v>40982</v>
      </c>
      <c r="B444" s="3">
        <v>446</v>
      </c>
      <c r="C444" s="4">
        <v>209620</v>
      </c>
      <c r="D444" s="3">
        <v>306</v>
      </c>
      <c r="E444" s="4">
        <v>223380</v>
      </c>
      <c r="G444" s="12">
        <f t="shared" si="71"/>
        <v>2012</v>
      </c>
      <c r="H444" s="12">
        <f t="shared" si="72"/>
        <v>3</v>
      </c>
      <c r="I444" s="11">
        <f t="shared" si="73"/>
        <v>15</v>
      </c>
      <c r="J444" s="11"/>
    </row>
    <row r="445" spans="1:10" x14ac:dyDescent="0.25">
      <c r="A445" s="2">
        <v>40983</v>
      </c>
      <c r="B445" s="3">
        <v>379</v>
      </c>
      <c r="C445" s="4">
        <v>178130</v>
      </c>
      <c r="D445" s="3">
        <v>313</v>
      </c>
      <c r="E445" s="4">
        <v>228490</v>
      </c>
      <c r="G445" s="12">
        <f t="shared" si="71"/>
        <v>2012</v>
      </c>
      <c r="H445" s="12">
        <f t="shared" si="72"/>
        <v>3</v>
      </c>
      <c r="I445" s="11">
        <f t="shared" si="73"/>
        <v>15</v>
      </c>
      <c r="J445" s="11"/>
    </row>
    <row r="446" spans="1:10" x14ac:dyDescent="0.25">
      <c r="A446" s="2">
        <v>40984</v>
      </c>
      <c r="B446" s="3">
        <v>544</v>
      </c>
      <c r="C446" s="4">
        <v>255680</v>
      </c>
      <c r="D446" s="3">
        <v>308</v>
      </c>
      <c r="E446" s="4">
        <v>224840</v>
      </c>
      <c r="G446" s="12">
        <f t="shared" si="71"/>
        <v>2012</v>
      </c>
      <c r="H446" s="12">
        <f t="shared" si="72"/>
        <v>3</v>
      </c>
      <c r="I446" s="11">
        <f t="shared" si="73"/>
        <v>15</v>
      </c>
      <c r="J446" s="11"/>
    </row>
    <row r="447" spans="1:10" x14ac:dyDescent="0.25">
      <c r="A447" s="2">
        <v>40985</v>
      </c>
      <c r="B447" s="3">
        <v>560</v>
      </c>
      <c r="C447" s="4">
        <v>263200</v>
      </c>
      <c r="D447" s="3">
        <v>332</v>
      </c>
      <c r="E447" s="4">
        <v>242360</v>
      </c>
      <c r="G447" s="12">
        <f t="shared" si="71"/>
        <v>2012</v>
      </c>
      <c r="H447" s="12">
        <f t="shared" si="72"/>
        <v>3</v>
      </c>
      <c r="I447" s="11">
        <f t="shared" si="73"/>
        <v>15</v>
      </c>
      <c r="J447" s="11"/>
    </row>
    <row r="448" spans="1:10" x14ac:dyDescent="0.25">
      <c r="A448" s="2">
        <v>40986</v>
      </c>
      <c r="B448" s="3">
        <v>491</v>
      </c>
      <c r="C448" s="4">
        <v>230770</v>
      </c>
      <c r="D448" s="3">
        <v>327</v>
      </c>
      <c r="E448" s="4">
        <v>238710</v>
      </c>
      <c r="G448" s="12">
        <f t="shared" si="71"/>
        <v>2012</v>
      </c>
      <c r="H448" s="12">
        <f t="shared" si="72"/>
        <v>3</v>
      </c>
      <c r="I448" s="11">
        <f t="shared" si="73"/>
        <v>15</v>
      </c>
      <c r="J448" s="11"/>
    </row>
    <row r="449" spans="1:10" x14ac:dyDescent="0.25">
      <c r="A449" s="2">
        <v>40987</v>
      </c>
      <c r="B449" s="3">
        <v>519</v>
      </c>
      <c r="C449" s="4">
        <v>243930</v>
      </c>
      <c r="D449" s="3">
        <v>308</v>
      </c>
      <c r="E449" s="4">
        <v>224840</v>
      </c>
      <c r="G449" s="12">
        <f t="shared" si="71"/>
        <v>2012</v>
      </c>
      <c r="H449" s="12">
        <f t="shared" si="72"/>
        <v>3</v>
      </c>
      <c r="I449" s="11">
        <f t="shared" si="73"/>
        <v>15</v>
      </c>
      <c r="J449" s="11"/>
    </row>
    <row r="450" spans="1:10" x14ac:dyDescent="0.25">
      <c r="A450" s="2">
        <v>40988</v>
      </c>
      <c r="B450" s="3">
        <v>378</v>
      </c>
      <c r="C450" s="4">
        <v>177660</v>
      </c>
      <c r="D450" s="3">
        <v>304</v>
      </c>
      <c r="E450" s="4">
        <v>221920</v>
      </c>
      <c r="G450" s="12">
        <f t="shared" si="71"/>
        <v>2012</v>
      </c>
      <c r="H450" s="12">
        <f t="shared" si="72"/>
        <v>3</v>
      </c>
      <c r="I450" s="11">
        <f t="shared" si="73"/>
        <v>15</v>
      </c>
      <c r="J450" s="11"/>
    </row>
    <row r="451" spans="1:10" x14ac:dyDescent="0.25">
      <c r="A451" s="2">
        <v>40989</v>
      </c>
      <c r="B451" s="3">
        <v>507</v>
      </c>
      <c r="C451" s="4">
        <v>238290</v>
      </c>
      <c r="D451" s="3">
        <v>271</v>
      </c>
      <c r="E451" s="4">
        <v>197830</v>
      </c>
      <c r="G451" s="12">
        <f t="shared" si="71"/>
        <v>2012</v>
      </c>
      <c r="H451" s="12">
        <f t="shared" si="72"/>
        <v>3</v>
      </c>
      <c r="I451" s="11">
        <f t="shared" si="73"/>
        <v>15</v>
      </c>
      <c r="J451" s="11"/>
    </row>
    <row r="452" spans="1:10" x14ac:dyDescent="0.25">
      <c r="A452" s="2">
        <v>40990</v>
      </c>
      <c r="B452" s="3">
        <v>470</v>
      </c>
      <c r="C452" s="4">
        <v>220900</v>
      </c>
      <c r="D452" s="3">
        <v>316</v>
      </c>
      <c r="E452" s="4">
        <v>230680</v>
      </c>
      <c r="G452" s="12">
        <f t="shared" si="71"/>
        <v>2012</v>
      </c>
      <c r="H452" s="12">
        <f t="shared" si="72"/>
        <v>3</v>
      </c>
      <c r="I452" s="11">
        <f t="shared" si="73"/>
        <v>15</v>
      </c>
      <c r="J452" s="11"/>
    </row>
    <row r="453" spans="1:10" x14ac:dyDescent="0.25">
      <c r="A453" s="2">
        <v>40991</v>
      </c>
      <c r="B453" s="3">
        <v>521</v>
      </c>
      <c r="C453" s="4">
        <v>244870</v>
      </c>
      <c r="D453" s="3">
        <v>321</v>
      </c>
      <c r="E453" s="4">
        <v>234330</v>
      </c>
      <c r="G453" s="12">
        <f t="shared" si="71"/>
        <v>2012</v>
      </c>
      <c r="H453" s="12">
        <f t="shared" si="72"/>
        <v>3</v>
      </c>
      <c r="I453" s="11">
        <f t="shared" si="73"/>
        <v>15</v>
      </c>
      <c r="J453" s="11"/>
    </row>
    <row r="454" spans="1:10" x14ac:dyDescent="0.25">
      <c r="A454" s="2">
        <v>40992</v>
      </c>
      <c r="B454" s="3">
        <v>456</v>
      </c>
      <c r="C454" s="4">
        <v>214320</v>
      </c>
      <c r="D454" s="3">
        <v>229</v>
      </c>
      <c r="E454" s="4">
        <v>167170</v>
      </c>
      <c r="G454" s="12">
        <f t="shared" ref="G454:G517" si="74">+YEAR(A454)</f>
        <v>2012</v>
      </c>
      <c r="H454" s="12">
        <f t="shared" ref="H454:H517" si="75">+MONTH(A454)</f>
        <v>3</v>
      </c>
      <c r="I454" s="11">
        <f t="shared" si="73"/>
        <v>15</v>
      </c>
      <c r="J454" s="11"/>
    </row>
    <row r="455" spans="1:10" x14ac:dyDescent="0.25">
      <c r="A455" s="2">
        <v>40993</v>
      </c>
      <c r="B455" s="3">
        <v>459</v>
      </c>
      <c r="C455" s="4">
        <v>215730</v>
      </c>
      <c r="D455" s="3">
        <v>293</v>
      </c>
      <c r="E455" s="4">
        <v>213890</v>
      </c>
      <c r="G455" s="12">
        <f t="shared" si="74"/>
        <v>2012</v>
      </c>
      <c r="H455" s="12">
        <f t="shared" si="75"/>
        <v>3</v>
      </c>
      <c r="I455" s="11">
        <f t="shared" ref="I455:I518" si="76">+H455+(G455-2011)*12</f>
        <v>15</v>
      </c>
      <c r="J455" s="11"/>
    </row>
    <row r="456" spans="1:10" x14ac:dyDescent="0.25">
      <c r="A456" s="2">
        <v>40994</v>
      </c>
      <c r="B456" s="3">
        <v>563</v>
      </c>
      <c r="C456" s="4">
        <v>264610</v>
      </c>
      <c r="D456" s="3">
        <v>324</v>
      </c>
      <c r="E456" s="4">
        <v>236520</v>
      </c>
      <c r="G456" s="12">
        <f t="shared" si="74"/>
        <v>2012</v>
      </c>
      <c r="H456" s="12">
        <f t="shared" si="75"/>
        <v>3</v>
      </c>
      <c r="I456" s="11">
        <f t="shared" si="76"/>
        <v>15</v>
      </c>
      <c r="J456" s="11"/>
    </row>
    <row r="457" spans="1:10" x14ac:dyDescent="0.25">
      <c r="A457" s="2">
        <v>40995</v>
      </c>
      <c r="B457" s="3">
        <v>445</v>
      </c>
      <c r="C457" s="4">
        <v>209150</v>
      </c>
      <c r="D457" s="3">
        <v>318</v>
      </c>
      <c r="E457" s="4">
        <v>232140</v>
      </c>
      <c r="G457" s="12">
        <f t="shared" si="74"/>
        <v>2012</v>
      </c>
      <c r="H457" s="12">
        <f t="shared" si="75"/>
        <v>3</v>
      </c>
      <c r="I457" s="11">
        <f t="shared" si="76"/>
        <v>15</v>
      </c>
      <c r="J457" s="11"/>
    </row>
    <row r="458" spans="1:10" x14ac:dyDescent="0.25">
      <c r="A458" s="2">
        <v>40996</v>
      </c>
      <c r="B458" s="3">
        <v>484</v>
      </c>
      <c r="C458" s="4">
        <v>227480</v>
      </c>
      <c r="D458" s="3">
        <v>271</v>
      </c>
      <c r="E458" s="4">
        <v>197830</v>
      </c>
      <c r="G458" s="12">
        <f t="shared" si="74"/>
        <v>2012</v>
      </c>
      <c r="H458" s="12">
        <f t="shared" si="75"/>
        <v>3</v>
      </c>
      <c r="I458" s="11">
        <f t="shared" si="76"/>
        <v>15</v>
      </c>
      <c r="J458" s="11"/>
    </row>
    <row r="459" spans="1:10" x14ac:dyDescent="0.25">
      <c r="A459" s="2">
        <v>40997</v>
      </c>
      <c r="B459" s="3">
        <v>466</v>
      </c>
      <c r="C459" s="4">
        <v>219020</v>
      </c>
      <c r="D459" s="3">
        <v>238</v>
      </c>
      <c r="E459" s="4">
        <v>173740</v>
      </c>
      <c r="G459" s="12">
        <f t="shared" si="74"/>
        <v>2012</v>
      </c>
      <c r="H459" s="12">
        <f t="shared" si="75"/>
        <v>3</v>
      </c>
      <c r="I459" s="11">
        <f t="shared" si="76"/>
        <v>15</v>
      </c>
      <c r="J459" s="11"/>
    </row>
    <row r="460" spans="1:10" x14ac:dyDescent="0.25">
      <c r="A460" s="2">
        <v>40998</v>
      </c>
      <c r="B460" s="3">
        <v>387</v>
      </c>
      <c r="C460" s="4">
        <v>181890</v>
      </c>
      <c r="D460" s="3">
        <v>312</v>
      </c>
      <c r="E460" s="4">
        <v>227760</v>
      </c>
      <c r="G460" s="12">
        <f t="shared" si="74"/>
        <v>2012</v>
      </c>
      <c r="H460" s="12">
        <f t="shared" si="75"/>
        <v>3</v>
      </c>
      <c r="I460" s="11">
        <f t="shared" si="76"/>
        <v>15</v>
      </c>
      <c r="J460" s="11"/>
    </row>
    <row r="461" spans="1:10" x14ac:dyDescent="0.25">
      <c r="A461" s="2">
        <v>40999</v>
      </c>
      <c r="B461" s="3">
        <v>464</v>
      </c>
      <c r="C461" s="4">
        <v>218080</v>
      </c>
      <c r="D461" s="3">
        <v>325</v>
      </c>
      <c r="E461" s="4">
        <v>237250</v>
      </c>
      <c r="G461" s="12">
        <f t="shared" si="74"/>
        <v>2012</v>
      </c>
      <c r="H461" s="12">
        <f t="shared" si="75"/>
        <v>3</v>
      </c>
      <c r="I461" s="11">
        <f t="shared" si="76"/>
        <v>15</v>
      </c>
      <c r="J461" s="11"/>
    </row>
    <row r="462" spans="1:10" x14ac:dyDescent="0.25">
      <c r="A462" s="2">
        <v>41000</v>
      </c>
      <c r="B462" s="3">
        <v>540</v>
      </c>
      <c r="C462" s="4">
        <v>253800</v>
      </c>
      <c r="D462" s="3">
        <v>631</v>
      </c>
      <c r="E462" s="4">
        <v>460630</v>
      </c>
      <c r="G462" s="12">
        <f t="shared" si="74"/>
        <v>2012</v>
      </c>
      <c r="H462" s="12">
        <f t="shared" si="75"/>
        <v>4</v>
      </c>
      <c r="I462" s="11">
        <f t="shared" si="76"/>
        <v>16</v>
      </c>
      <c r="J462" s="11"/>
    </row>
    <row r="463" spans="1:10" x14ac:dyDescent="0.25">
      <c r="A463" s="2">
        <v>41001</v>
      </c>
      <c r="B463" s="3">
        <v>442</v>
      </c>
      <c r="C463" s="4">
        <v>207740</v>
      </c>
      <c r="D463" s="3">
        <v>657</v>
      </c>
      <c r="E463" s="4">
        <v>479610</v>
      </c>
      <c r="G463" s="12">
        <f t="shared" si="74"/>
        <v>2012</v>
      </c>
      <c r="H463" s="12">
        <f t="shared" si="75"/>
        <v>4</v>
      </c>
      <c r="I463" s="11">
        <f t="shared" si="76"/>
        <v>16</v>
      </c>
      <c r="J463" s="11"/>
    </row>
    <row r="464" spans="1:10" x14ac:dyDescent="0.25">
      <c r="A464" s="2">
        <v>41002</v>
      </c>
      <c r="B464" s="3">
        <v>490</v>
      </c>
      <c r="C464" s="4">
        <v>230300</v>
      </c>
      <c r="D464" s="3">
        <v>751</v>
      </c>
      <c r="E464" s="4">
        <v>548230</v>
      </c>
      <c r="G464" s="12">
        <f t="shared" si="74"/>
        <v>2012</v>
      </c>
      <c r="H464" s="12">
        <f t="shared" si="75"/>
        <v>4</v>
      </c>
      <c r="I464" s="11">
        <f t="shared" si="76"/>
        <v>16</v>
      </c>
      <c r="J464" s="11"/>
    </row>
    <row r="465" spans="1:10" x14ac:dyDescent="0.25">
      <c r="A465" s="2">
        <v>41003</v>
      </c>
      <c r="B465" s="3">
        <v>470</v>
      </c>
      <c r="C465" s="4">
        <v>220900</v>
      </c>
      <c r="D465" s="3">
        <v>686</v>
      </c>
      <c r="E465" s="4">
        <v>500780</v>
      </c>
      <c r="G465" s="12">
        <f t="shared" si="74"/>
        <v>2012</v>
      </c>
      <c r="H465" s="12">
        <f t="shared" si="75"/>
        <v>4</v>
      </c>
      <c r="I465" s="11">
        <f t="shared" si="76"/>
        <v>16</v>
      </c>
      <c r="J465" s="11"/>
    </row>
    <row r="466" spans="1:10" x14ac:dyDescent="0.25">
      <c r="A466" s="2">
        <v>41004</v>
      </c>
      <c r="B466" s="3">
        <v>526</v>
      </c>
      <c r="C466" s="4">
        <v>247220</v>
      </c>
      <c r="D466" s="3">
        <v>664</v>
      </c>
      <c r="E466" s="4">
        <v>484720</v>
      </c>
      <c r="G466" s="12">
        <f t="shared" si="74"/>
        <v>2012</v>
      </c>
      <c r="H466" s="12">
        <f t="shared" si="75"/>
        <v>4</v>
      </c>
      <c r="I466" s="11">
        <f t="shared" si="76"/>
        <v>16</v>
      </c>
      <c r="J466" s="11"/>
    </row>
    <row r="467" spans="1:10" x14ac:dyDescent="0.25">
      <c r="A467" s="2">
        <v>41005</v>
      </c>
      <c r="B467" s="3">
        <v>437</v>
      </c>
      <c r="C467" s="4">
        <v>205390</v>
      </c>
      <c r="D467" s="3">
        <v>570</v>
      </c>
      <c r="E467" s="4">
        <v>416100</v>
      </c>
      <c r="G467" s="12">
        <f t="shared" si="74"/>
        <v>2012</v>
      </c>
      <c r="H467" s="12">
        <f t="shared" si="75"/>
        <v>4</v>
      </c>
      <c r="I467" s="11">
        <f t="shared" si="76"/>
        <v>16</v>
      </c>
      <c r="J467" s="11"/>
    </row>
    <row r="468" spans="1:10" x14ac:dyDescent="0.25">
      <c r="A468" s="2">
        <v>41006</v>
      </c>
      <c r="B468" s="3">
        <v>487</v>
      </c>
      <c r="C468" s="4">
        <v>228890</v>
      </c>
      <c r="D468" s="3">
        <v>666</v>
      </c>
      <c r="E468" s="4">
        <v>486180</v>
      </c>
      <c r="G468" s="12">
        <f t="shared" si="74"/>
        <v>2012</v>
      </c>
      <c r="H468" s="12">
        <f t="shared" si="75"/>
        <v>4</v>
      </c>
      <c r="I468" s="11">
        <f t="shared" si="76"/>
        <v>16</v>
      </c>
      <c r="J468" s="11"/>
    </row>
    <row r="469" spans="1:10" x14ac:dyDescent="0.25">
      <c r="A469" s="2">
        <v>41007</v>
      </c>
      <c r="B469" s="3">
        <v>445</v>
      </c>
      <c r="C469" s="4">
        <v>209150</v>
      </c>
      <c r="D469" s="3">
        <v>629</v>
      </c>
      <c r="E469" s="4">
        <v>459170</v>
      </c>
      <c r="G469" s="12">
        <f t="shared" si="74"/>
        <v>2012</v>
      </c>
      <c r="H469" s="12">
        <f t="shared" si="75"/>
        <v>4</v>
      </c>
      <c r="I469" s="11">
        <f t="shared" si="76"/>
        <v>16</v>
      </c>
      <c r="J469" s="11"/>
    </row>
    <row r="470" spans="1:10" x14ac:dyDescent="0.25">
      <c r="A470" s="2">
        <v>41008</v>
      </c>
      <c r="B470" s="3">
        <v>450</v>
      </c>
      <c r="C470" s="4">
        <v>211500</v>
      </c>
      <c r="D470" s="3">
        <v>749</v>
      </c>
      <c r="E470" s="4">
        <v>546770</v>
      </c>
      <c r="G470" s="12">
        <f t="shared" si="74"/>
        <v>2012</v>
      </c>
      <c r="H470" s="12">
        <f t="shared" si="75"/>
        <v>4</v>
      </c>
      <c r="I470" s="11">
        <f t="shared" si="76"/>
        <v>16</v>
      </c>
      <c r="J470" s="11"/>
    </row>
    <row r="471" spans="1:10" x14ac:dyDescent="0.25">
      <c r="A471" s="2">
        <v>41009</v>
      </c>
      <c r="B471" s="3">
        <v>394</v>
      </c>
      <c r="C471" s="4">
        <v>185180</v>
      </c>
      <c r="D471" s="3">
        <v>656</v>
      </c>
      <c r="E471" s="4">
        <v>478880</v>
      </c>
      <c r="G471" s="12">
        <f t="shared" si="74"/>
        <v>2012</v>
      </c>
      <c r="H471" s="12">
        <f t="shared" si="75"/>
        <v>4</v>
      </c>
      <c r="I471" s="11">
        <f t="shared" si="76"/>
        <v>16</v>
      </c>
      <c r="J471" s="11"/>
    </row>
    <row r="472" spans="1:10" x14ac:dyDescent="0.25">
      <c r="A472" s="2">
        <v>41010</v>
      </c>
      <c r="B472" s="3">
        <v>392</v>
      </c>
      <c r="C472" s="4">
        <v>184240</v>
      </c>
      <c r="D472" s="3">
        <v>649</v>
      </c>
      <c r="E472" s="4">
        <v>473770</v>
      </c>
      <c r="G472" s="12">
        <f t="shared" si="74"/>
        <v>2012</v>
      </c>
      <c r="H472" s="12">
        <f t="shared" si="75"/>
        <v>4</v>
      </c>
      <c r="I472" s="11">
        <f t="shared" si="76"/>
        <v>16</v>
      </c>
      <c r="J472" s="11"/>
    </row>
    <row r="473" spans="1:10" x14ac:dyDescent="0.25">
      <c r="A473" s="2">
        <v>41011</v>
      </c>
      <c r="B473" s="3">
        <v>558</v>
      </c>
      <c r="C473" s="4">
        <v>262260</v>
      </c>
      <c r="D473" s="3">
        <v>691</v>
      </c>
      <c r="E473" s="4">
        <v>504430</v>
      </c>
      <c r="G473" s="12">
        <f t="shared" si="74"/>
        <v>2012</v>
      </c>
      <c r="H473" s="12">
        <f t="shared" si="75"/>
        <v>4</v>
      </c>
      <c r="I473" s="11">
        <f t="shared" si="76"/>
        <v>16</v>
      </c>
      <c r="J473" s="11"/>
    </row>
    <row r="474" spans="1:10" x14ac:dyDescent="0.25">
      <c r="A474" s="2">
        <v>41012</v>
      </c>
      <c r="B474" s="3">
        <v>493</v>
      </c>
      <c r="C474" s="4">
        <v>231710</v>
      </c>
      <c r="D474" s="3">
        <v>558</v>
      </c>
      <c r="E474" s="4">
        <v>407340</v>
      </c>
      <c r="G474" s="12">
        <f t="shared" si="74"/>
        <v>2012</v>
      </c>
      <c r="H474" s="12">
        <f t="shared" si="75"/>
        <v>4</v>
      </c>
      <c r="I474" s="11">
        <f t="shared" si="76"/>
        <v>16</v>
      </c>
      <c r="J474" s="11"/>
    </row>
    <row r="475" spans="1:10" x14ac:dyDescent="0.25">
      <c r="A475" s="2">
        <v>41013</v>
      </c>
      <c r="B475" s="3">
        <v>388</v>
      </c>
      <c r="C475" s="4">
        <v>182360</v>
      </c>
      <c r="D475" s="3">
        <v>612</v>
      </c>
      <c r="E475" s="4">
        <v>446760</v>
      </c>
      <c r="G475" s="12">
        <f t="shared" si="74"/>
        <v>2012</v>
      </c>
      <c r="H475" s="12">
        <f t="shared" si="75"/>
        <v>4</v>
      </c>
      <c r="I475" s="11">
        <f t="shared" si="76"/>
        <v>16</v>
      </c>
      <c r="J475" s="11"/>
    </row>
    <row r="476" spans="1:10" x14ac:dyDescent="0.25">
      <c r="A476" s="2">
        <v>41014</v>
      </c>
      <c r="B476" s="3">
        <v>502</v>
      </c>
      <c r="C476" s="4">
        <v>235940</v>
      </c>
      <c r="D476" s="3">
        <v>684</v>
      </c>
      <c r="E476" s="4">
        <v>499320</v>
      </c>
      <c r="G476" s="12">
        <f t="shared" si="74"/>
        <v>2012</v>
      </c>
      <c r="H476" s="12">
        <f t="shared" si="75"/>
        <v>4</v>
      </c>
      <c r="I476" s="11">
        <f t="shared" si="76"/>
        <v>16</v>
      </c>
      <c r="J476" s="11"/>
    </row>
    <row r="477" spans="1:10" x14ac:dyDescent="0.25">
      <c r="A477" s="2">
        <v>41015</v>
      </c>
      <c r="B477" s="3">
        <v>459</v>
      </c>
      <c r="C477" s="4">
        <v>215730</v>
      </c>
      <c r="D477" s="3">
        <v>723</v>
      </c>
      <c r="E477" s="4">
        <v>527790</v>
      </c>
      <c r="G477" s="12">
        <f t="shared" si="74"/>
        <v>2012</v>
      </c>
      <c r="H477" s="12">
        <f t="shared" si="75"/>
        <v>4</v>
      </c>
      <c r="I477" s="11">
        <f t="shared" si="76"/>
        <v>16</v>
      </c>
      <c r="J477" s="11"/>
    </row>
    <row r="478" spans="1:10" x14ac:dyDescent="0.25">
      <c r="A478" s="2">
        <v>41016</v>
      </c>
      <c r="B478" s="3">
        <v>492</v>
      </c>
      <c r="C478" s="4">
        <v>231240</v>
      </c>
      <c r="D478" s="3">
        <v>521</v>
      </c>
      <c r="E478" s="4">
        <v>380330</v>
      </c>
      <c r="G478" s="12">
        <f t="shared" si="74"/>
        <v>2012</v>
      </c>
      <c r="H478" s="12">
        <f t="shared" si="75"/>
        <v>4</v>
      </c>
      <c r="I478" s="11">
        <f t="shared" si="76"/>
        <v>16</v>
      </c>
      <c r="J478" s="11"/>
    </row>
    <row r="479" spans="1:10" x14ac:dyDescent="0.25">
      <c r="A479" s="2">
        <v>41017</v>
      </c>
      <c r="B479" s="3">
        <v>523</v>
      </c>
      <c r="C479" s="4">
        <v>245810</v>
      </c>
      <c r="D479" s="3">
        <v>619</v>
      </c>
      <c r="E479" s="4">
        <v>451870</v>
      </c>
      <c r="G479" s="12">
        <f t="shared" si="74"/>
        <v>2012</v>
      </c>
      <c r="H479" s="12">
        <f t="shared" si="75"/>
        <v>4</v>
      </c>
      <c r="I479" s="11">
        <f t="shared" si="76"/>
        <v>16</v>
      </c>
      <c r="J479" s="11"/>
    </row>
    <row r="480" spans="1:10" x14ac:dyDescent="0.25">
      <c r="A480" s="2">
        <v>41018</v>
      </c>
      <c r="B480" s="3">
        <v>503</v>
      </c>
      <c r="C480" s="4">
        <v>236410</v>
      </c>
      <c r="D480" s="3">
        <v>685</v>
      </c>
      <c r="E480" s="4">
        <v>500050</v>
      </c>
      <c r="G480" s="12">
        <f t="shared" si="74"/>
        <v>2012</v>
      </c>
      <c r="H480" s="12">
        <f t="shared" si="75"/>
        <v>4</v>
      </c>
      <c r="I480" s="11">
        <f t="shared" si="76"/>
        <v>16</v>
      </c>
      <c r="J480" s="11"/>
    </row>
    <row r="481" spans="1:10" x14ac:dyDescent="0.25">
      <c r="A481" s="2">
        <v>41019</v>
      </c>
      <c r="B481" s="3">
        <v>456</v>
      </c>
      <c r="C481" s="4">
        <v>214320</v>
      </c>
      <c r="D481" s="3">
        <v>537</v>
      </c>
      <c r="E481" s="4">
        <v>392010</v>
      </c>
      <c r="G481" s="12">
        <f t="shared" si="74"/>
        <v>2012</v>
      </c>
      <c r="H481" s="12">
        <f t="shared" si="75"/>
        <v>4</v>
      </c>
      <c r="I481" s="11">
        <f t="shared" si="76"/>
        <v>16</v>
      </c>
      <c r="J481" s="11"/>
    </row>
    <row r="482" spans="1:10" x14ac:dyDescent="0.25">
      <c r="A482" s="2">
        <v>41020</v>
      </c>
      <c r="B482" s="3">
        <v>486</v>
      </c>
      <c r="C482" s="4">
        <v>228420</v>
      </c>
      <c r="D482" s="3">
        <v>583</v>
      </c>
      <c r="E482" s="4">
        <v>425590</v>
      </c>
      <c r="G482" s="12">
        <f t="shared" si="74"/>
        <v>2012</v>
      </c>
      <c r="H482" s="12">
        <f t="shared" si="75"/>
        <v>4</v>
      </c>
      <c r="I482" s="11">
        <f t="shared" si="76"/>
        <v>16</v>
      </c>
      <c r="J482" s="11"/>
    </row>
    <row r="483" spans="1:10" x14ac:dyDescent="0.25">
      <c r="A483" s="2">
        <v>41021</v>
      </c>
      <c r="B483" s="3">
        <v>506</v>
      </c>
      <c r="C483" s="4">
        <v>237820</v>
      </c>
      <c r="D483" s="3">
        <v>667</v>
      </c>
      <c r="E483" s="4">
        <v>486910</v>
      </c>
      <c r="G483" s="12">
        <f t="shared" si="74"/>
        <v>2012</v>
      </c>
      <c r="H483" s="12">
        <f t="shared" si="75"/>
        <v>4</v>
      </c>
      <c r="I483" s="11">
        <f t="shared" si="76"/>
        <v>16</v>
      </c>
      <c r="J483" s="11"/>
    </row>
    <row r="484" spans="1:10" x14ac:dyDescent="0.25">
      <c r="A484" s="2">
        <v>41022</v>
      </c>
      <c r="B484" s="3">
        <v>474</v>
      </c>
      <c r="C484" s="4">
        <v>222780</v>
      </c>
      <c r="D484" s="3">
        <v>684</v>
      </c>
      <c r="E484" s="4">
        <v>499320</v>
      </c>
      <c r="G484" s="12">
        <f t="shared" si="74"/>
        <v>2012</v>
      </c>
      <c r="H484" s="12">
        <f t="shared" si="75"/>
        <v>4</v>
      </c>
      <c r="I484" s="11">
        <f t="shared" si="76"/>
        <v>16</v>
      </c>
      <c r="J484" s="11"/>
    </row>
    <row r="485" spans="1:10" x14ac:dyDescent="0.25">
      <c r="A485" s="2">
        <v>41023</v>
      </c>
      <c r="B485" s="3">
        <v>504</v>
      </c>
      <c r="C485" s="4">
        <v>236880</v>
      </c>
      <c r="D485" s="3">
        <v>676</v>
      </c>
      <c r="E485" s="4">
        <v>493480</v>
      </c>
      <c r="G485" s="12">
        <f t="shared" si="74"/>
        <v>2012</v>
      </c>
      <c r="H485" s="12">
        <f t="shared" si="75"/>
        <v>4</v>
      </c>
      <c r="I485" s="11">
        <f t="shared" si="76"/>
        <v>16</v>
      </c>
      <c r="J485" s="11"/>
    </row>
    <row r="486" spans="1:10" x14ac:dyDescent="0.25">
      <c r="A486" s="2">
        <v>41024</v>
      </c>
      <c r="B486" s="3">
        <v>458</v>
      </c>
      <c r="C486" s="4">
        <v>215260</v>
      </c>
      <c r="D486" s="3">
        <v>566</v>
      </c>
      <c r="E486" s="4">
        <v>413180</v>
      </c>
      <c r="G486" s="12">
        <f t="shared" si="74"/>
        <v>2012</v>
      </c>
      <c r="H486" s="12">
        <f t="shared" si="75"/>
        <v>4</v>
      </c>
      <c r="I486" s="11">
        <f t="shared" si="76"/>
        <v>16</v>
      </c>
      <c r="J486" s="11"/>
    </row>
    <row r="487" spans="1:10" x14ac:dyDescent="0.25">
      <c r="A487" s="2">
        <v>41025</v>
      </c>
      <c r="B487" s="3">
        <v>484</v>
      </c>
      <c r="C487" s="4">
        <v>227480</v>
      </c>
      <c r="D487" s="3">
        <v>609</v>
      </c>
      <c r="E487" s="4">
        <v>444570</v>
      </c>
      <c r="G487" s="12">
        <f t="shared" si="74"/>
        <v>2012</v>
      </c>
      <c r="H487" s="12">
        <f t="shared" si="75"/>
        <v>4</v>
      </c>
      <c r="I487" s="11">
        <f t="shared" si="76"/>
        <v>16</v>
      </c>
      <c r="J487" s="11"/>
    </row>
    <row r="488" spans="1:10" x14ac:dyDescent="0.25">
      <c r="A488" s="2">
        <v>41026</v>
      </c>
      <c r="B488" s="3">
        <v>390</v>
      </c>
      <c r="C488" s="4">
        <v>183300</v>
      </c>
      <c r="D488" s="3">
        <v>646</v>
      </c>
      <c r="E488" s="4">
        <v>471580</v>
      </c>
      <c r="G488" s="12">
        <f t="shared" si="74"/>
        <v>2012</v>
      </c>
      <c r="H488" s="12">
        <f t="shared" si="75"/>
        <v>4</v>
      </c>
      <c r="I488" s="11">
        <f t="shared" si="76"/>
        <v>16</v>
      </c>
      <c r="J488" s="11"/>
    </row>
    <row r="489" spans="1:10" x14ac:dyDescent="0.25">
      <c r="A489" s="2">
        <v>41027</v>
      </c>
      <c r="B489" s="3">
        <v>479</v>
      </c>
      <c r="C489" s="4">
        <v>225130</v>
      </c>
      <c r="D489" s="3">
        <v>709</v>
      </c>
      <c r="E489" s="4">
        <v>517570</v>
      </c>
      <c r="G489" s="12">
        <f t="shared" si="74"/>
        <v>2012</v>
      </c>
      <c r="H489" s="12">
        <f t="shared" si="75"/>
        <v>4</v>
      </c>
      <c r="I489" s="11">
        <f t="shared" si="76"/>
        <v>16</v>
      </c>
      <c r="J489" s="11"/>
    </row>
    <row r="490" spans="1:10" x14ac:dyDescent="0.25">
      <c r="A490" s="2">
        <v>41028</v>
      </c>
      <c r="B490" s="3">
        <v>500</v>
      </c>
      <c r="C490" s="4">
        <v>235000</v>
      </c>
      <c r="D490" s="3">
        <v>603</v>
      </c>
      <c r="E490" s="4">
        <v>440190</v>
      </c>
      <c r="G490" s="12">
        <f t="shared" si="74"/>
        <v>2012</v>
      </c>
      <c r="H490" s="12">
        <f t="shared" si="75"/>
        <v>4</v>
      </c>
      <c r="I490" s="11">
        <f t="shared" si="76"/>
        <v>16</v>
      </c>
      <c r="J490" s="11"/>
    </row>
    <row r="491" spans="1:10" x14ac:dyDescent="0.25">
      <c r="A491" s="2">
        <v>41029</v>
      </c>
      <c r="B491" s="3">
        <v>447</v>
      </c>
      <c r="C491" s="4">
        <v>210090</v>
      </c>
      <c r="D491" s="3">
        <v>659</v>
      </c>
      <c r="E491" s="4">
        <v>481070</v>
      </c>
      <c r="G491" s="12">
        <f t="shared" si="74"/>
        <v>2012</v>
      </c>
      <c r="H491" s="12">
        <f t="shared" si="75"/>
        <v>4</v>
      </c>
      <c r="I491" s="11">
        <f t="shared" si="76"/>
        <v>16</v>
      </c>
      <c r="J491" s="11"/>
    </row>
    <row r="492" spans="1:10" x14ac:dyDescent="0.25">
      <c r="A492" s="2">
        <v>41030</v>
      </c>
      <c r="B492" s="3">
        <v>450</v>
      </c>
      <c r="C492" s="4">
        <v>211500</v>
      </c>
      <c r="D492" s="3">
        <v>697</v>
      </c>
      <c r="E492" s="4">
        <v>508810</v>
      </c>
      <c r="G492" s="12">
        <f t="shared" si="74"/>
        <v>2012</v>
      </c>
      <c r="H492" s="12">
        <f t="shared" si="75"/>
        <v>5</v>
      </c>
      <c r="I492" s="11">
        <f t="shared" si="76"/>
        <v>17</v>
      </c>
      <c r="J492" s="11"/>
    </row>
    <row r="493" spans="1:10" x14ac:dyDescent="0.25">
      <c r="A493" s="2">
        <v>41031</v>
      </c>
      <c r="B493" s="3">
        <v>482</v>
      </c>
      <c r="C493" s="4">
        <v>226540</v>
      </c>
      <c r="D493" s="3">
        <v>719</v>
      </c>
      <c r="E493" s="4">
        <v>524870</v>
      </c>
      <c r="G493" s="12">
        <f t="shared" si="74"/>
        <v>2012</v>
      </c>
      <c r="H493" s="12">
        <f t="shared" si="75"/>
        <v>5</v>
      </c>
      <c r="I493" s="11">
        <f t="shared" si="76"/>
        <v>17</v>
      </c>
      <c r="J493" s="11"/>
    </row>
    <row r="494" spans="1:10" x14ac:dyDescent="0.25">
      <c r="A494" s="2">
        <v>41032</v>
      </c>
      <c r="B494" s="3">
        <v>541</v>
      </c>
      <c r="C494" s="4">
        <v>254270</v>
      </c>
      <c r="D494" s="3">
        <v>715</v>
      </c>
      <c r="E494" s="4">
        <v>521950</v>
      </c>
      <c r="G494" s="12">
        <f t="shared" si="74"/>
        <v>2012</v>
      </c>
      <c r="H494" s="12">
        <f t="shared" si="75"/>
        <v>5</v>
      </c>
      <c r="I494" s="11">
        <f t="shared" si="76"/>
        <v>17</v>
      </c>
      <c r="J494" s="11"/>
    </row>
    <row r="495" spans="1:10" x14ac:dyDescent="0.25">
      <c r="A495" s="2">
        <v>41033</v>
      </c>
      <c r="B495" s="3">
        <v>401</v>
      </c>
      <c r="C495" s="4">
        <v>188470</v>
      </c>
      <c r="D495" s="3">
        <v>723</v>
      </c>
      <c r="E495" s="4">
        <v>527790</v>
      </c>
      <c r="G495" s="12">
        <f t="shared" si="74"/>
        <v>2012</v>
      </c>
      <c r="H495" s="12">
        <f t="shared" si="75"/>
        <v>5</v>
      </c>
      <c r="I495" s="11">
        <f t="shared" si="76"/>
        <v>17</v>
      </c>
      <c r="J495" s="11"/>
    </row>
    <row r="496" spans="1:10" x14ac:dyDescent="0.25">
      <c r="A496" s="2">
        <v>41034</v>
      </c>
      <c r="B496" s="3">
        <v>379</v>
      </c>
      <c r="C496" s="4">
        <v>178130</v>
      </c>
      <c r="D496" s="3">
        <v>585</v>
      </c>
      <c r="E496" s="4">
        <v>427050</v>
      </c>
      <c r="G496" s="12">
        <f t="shared" si="74"/>
        <v>2012</v>
      </c>
      <c r="H496" s="12">
        <f t="shared" si="75"/>
        <v>5</v>
      </c>
      <c r="I496" s="11">
        <f t="shared" si="76"/>
        <v>17</v>
      </c>
      <c r="J496" s="11"/>
    </row>
    <row r="497" spans="1:10" x14ac:dyDescent="0.25">
      <c r="A497" s="2">
        <v>41035</v>
      </c>
      <c r="B497" s="3">
        <v>449</v>
      </c>
      <c r="C497" s="4">
        <v>211030</v>
      </c>
      <c r="D497" s="3">
        <v>643</v>
      </c>
      <c r="E497" s="4">
        <v>469390</v>
      </c>
      <c r="G497" s="12">
        <f t="shared" si="74"/>
        <v>2012</v>
      </c>
      <c r="H497" s="12">
        <f t="shared" si="75"/>
        <v>5</v>
      </c>
      <c r="I497" s="11">
        <f t="shared" si="76"/>
        <v>17</v>
      </c>
      <c r="J497" s="11"/>
    </row>
    <row r="498" spans="1:10" x14ac:dyDescent="0.25">
      <c r="A498" s="2">
        <v>41036</v>
      </c>
      <c r="B498" s="3">
        <v>457</v>
      </c>
      <c r="C498" s="4">
        <v>214790</v>
      </c>
      <c r="D498" s="3">
        <v>651</v>
      </c>
      <c r="E498" s="4">
        <v>475230</v>
      </c>
      <c r="G498" s="12">
        <f t="shared" si="74"/>
        <v>2012</v>
      </c>
      <c r="H498" s="12">
        <f t="shared" si="75"/>
        <v>5</v>
      </c>
      <c r="I498" s="11">
        <f t="shared" si="76"/>
        <v>17</v>
      </c>
      <c r="J498" s="11"/>
    </row>
    <row r="499" spans="1:10" x14ac:dyDescent="0.25">
      <c r="A499" s="2">
        <v>41037</v>
      </c>
      <c r="B499" s="3">
        <v>416</v>
      </c>
      <c r="C499" s="4">
        <v>195520</v>
      </c>
      <c r="D499" s="3">
        <v>576</v>
      </c>
      <c r="E499" s="4">
        <v>420480</v>
      </c>
      <c r="G499" s="12">
        <f t="shared" si="74"/>
        <v>2012</v>
      </c>
      <c r="H499" s="12">
        <f t="shared" si="75"/>
        <v>5</v>
      </c>
      <c r="I499" s="11">
        <f t="shared" si="76"/>
        <v>17</v>
      </c>
      <c r="J499" s="11"/>
    </row>
    <row r="500" spans="1:10" x14ac:dyDescent="0.25">
      <c r="A500" s="2">
        <v>41038</v>
      </c>
      <c r="B500" s="3">
        <v>546</v>
      </c>
      <c r="C500" s="4">
        <v>256620</v>
      </c>
      <c r="D500" s="3">
        <v>602</v>
      </c>
      <c r="E500" s="4">
        <v>439460</v>
      </c>
      <c r="G500" s="12">
        <f t="shared" si="74"/>
        <v>2012</v>
      </c>
      <c r="H500" s="12">
        <f t="shared" si="75"/>
        <v>5</v>
      </c>
      <c r="I500" s="11">
        <f t="shared" si="76"/>
        <v>17</v>
      </c>
      <c r="J500" s="11"/>
    </row>
    <row r="501" spans="1:10" x14ac:dyDescent="0.25">
      <c r="A501" s="2">
        <v>41039</v>
      </c>
      <c r="B501" s="3">
        <v>435</v>
      </c>
      <c r="C501" s="4">
        <v>204450</v>
      </c>
      <c r="D501" s="3">
        <v>649</v>
      </c>
      <c r="E501" s="4">
        <v>473770</v>
      </c>
      <c r="G501" s="12">
        <f t="shared" si="74"/>
        <v>2012</v>
      </c>
      <c r="H501" s="12">
        <f t="shared" si="75"/>
        <v>5</v>
      </c>
      <c r="I501" s="11">
        <f t="shared" si="76"/>
        <v>17</v>
      </c>
      <c r="J501" s="11"/>
    </row>
    <row r="502" spans="1:10" x14ac:dyDescent="0.25">
      <c r="A502" s="2">
        <v>41040</v>
      </c>
      <c r="B502" s="3">
        <v>475</v>
      </c>
      <c r="C502" s="4">
        <v>223250</v>
      </c>
      <c r="D502" s="3">
        <v>703</v>
      </c>
      <c r="E502" s="4">
        <v>513190</v>
      </c>
      <c r="G502" s="12">
        <f t="shared" si="74"/>
        <v>2012</v>
      </c>
      <c r="H502" s="12">
        <f t="shared" si="75"/>
        <v>5</v>
      </c>
      <c r="I502" s="11">
        <f t="shared" si="76"/>
        <v>17</v>
      </c>
      <c r="J502" s="11"/>
    </row>
    <row r="503" spans="1:10" x14ac:dyDescent="0.25">
      <c r="A503" s="2">
        <v>41041</v>
      </c>
      <c r="B503" s="3">
        <v>478</v>
      </c>
      <c r="C503" s="4">
        <v>224660</v>
      </c>
      <c r="D503" s="3">
        <v>721</v>
      </c>
      <c r="E503" s="4">
        <v>526330</v>
      </c>
      <c r="G503" s="12">
        <f t="shared" si="74"/>
        <v>2012</v>
      </c>
      <c r="H503" s="12">
        <f t="shared" si="75"/>
        <v>5</v>
      </c>
      <c r="I503" s="11">
        <f t="shared" si="76"/>
        <v>17</v>
      </c>
      <c r="J503" s="11"/>
    </row>
    <row r="504" spans="1:10" x14ac:dyDescent="0.25">
      <c r="A504" s="2">
        <v>41042</v>
      </c>
      <c r="B504" s="3">
        <v>459</v>
      </c>
      <c r="C504" s="4">
        <v>215730</v>
      </c>
      <c r="D504" s="3">
        <v>670</v>
      </c>
      <c r="E504" s="4">
        <v>489100</v>
      </c>
      <c r="G504" s="12">
        <f t="shared" si="74"/>
        <v>2012</v>
      </c>
      <c r="H504" s="12">
        <f t="shared" si="75"/>
        <v>5</v>
      </c>
      <c r="I504" s="11">
        <f t="shared" si="76"/>
        <v>17</v>
      </c>
      <c r="J504" s="11"/>
    </row>
    <row r="505" spans="1:10" x14ac:dyDescent="0.25">
      <c r="A505" s="2">
        <v>41043</v>
      </c>
      <c r="B505" s="3">
        <v>453</v>
      </c>
      <c r="C505" s="4">
        <v>212910</v>
      </c>
      <c r="D505" s="3">
        <v>582</v>
      </c>
      <c r="E505" s="4">
        <v>424860</v>
      </c>
      <c r="G505" s="12">
        <f t="shared" si="74"/>
        <v>2012</v>
      </c>
      <c r="H505" s="12">
        <f t="shared" si="75"/>
        <v>5</v>
      </c>
      <c r="I505" s="11">
        <f t="shared" si="76"/>
        <v>17</v>
      </c>
      <c r="J505" s="11"/>
    </row>
    <row r="506" spans="1:10" x14ac:dyDescent="0.25">
      <c r="A506" s="2">
        <v>41044</v>
      </c>
      <c r="B506" s="3">
        <v>479</v>
      </c>
      <c r="C506" s="4">
        <v>225130</v>
      </c>
      <c r="D506" s="3">
        <v>640</v>
      </c>
      <c r="E506" s="4">
        <v>467200</v>
      </c>
      <c r="G506" s="12">
        <f t="shared" si="74"/>
        <v>2012</v>
      </c>
      <c r="H506" s="12">
        <f t="shared" si="75"/>
        <v>5</v>
      </c>
      <c r="I506" s="11">
        <f t="shared" si="76"/>
        <v>17</v>
      </c>
      <c r="J506" s="11"/>
    </row>
    <row r="507" spans="1:10" x14ac:dyDescent="0.25">
      <c r="A507" s="2">
        <v>41045</v>
      </c>
      <c r="B507" s="3">
        <v>462</v>
      </c>
      <c r="C507" s="4">
        <v>217140</v>
      </c>
      <c r="D507" s="3">
        <v>705</v>
      </c>
      <c r="E507" s="4">
        <v>514650</v>
      </c>
      <c r="G507" s="12">
        <f t="shared" si="74"/>
        <v>2012</v>
      </c>
      <c r="H507" s="12">
        <f t="shared" si="75"/>
        <v>5</v>
      </c>
      <c r="I507" s="11">
        <f t="shared" si="76"/>
        <v>17</v>
      </c>
      <c r="J507" s="11"/>
    </row>
    <row r="508" spans="1:10" x14ac:dyDescent="0.25">
      <c r="A508" s="2">
        <v>41046</v>
      </c>
      <c r="B508" s="3">
        <v>484</v>
      </c>
      <c r="C508" s="4">
        <v>227480</v>
      </c>
      <c r="D508" s="3">
        <v>639</v>
      </c>
      <c r="E508" s="4">
        <v>466470</v>
      </c>
      <c r="G508" s="12">
        <f t="shared" si="74"/>
        <v>2012</v>
      </c>
      <c r="H508" s="12">
        <f t="shared" si="75"/>
        <v>5</v>
      </c>
      <c r="I508" s="11">
        <f t="shared" si="76"/>
        <v>17</v>
      </c>
      <c r="J508" s="11"/>
    </row>
    <row r="509" spans="1:10" x14ac:dyDescent="0.25">
      <c r="A509" s="2">
        <v>41047</v>
      </c>
      <c r="B509" s="3">
        <v>424</v>
      </c>
      <c r="C509" s="4">
        <v>199280</v>
      </c>
      <c r="D509" s="3">
        <v>647</v>
      </c>
      <c r="E509" s="4">
        <v>472310</v>
      </c>
      <c r="G509" s="12">
        <f t="shared" si="74"/>
        <v>2012</v>
      </c>
      <c r="H509" s="12">
        <f t="shared" si="75"/>
        <v>5</v>
      </c>
      <c r="I509" s="11">
        <f t="shared" si="76"/>
        <v>17</v>
      </c>
      <c r="J509" s="11"/>
    </row>
    <row r="510" spans="1:10" x14ac:dyDescent="0.25">
      <c r="A510" s="2">
        <v>41048</v>
      </c>
      <c r="B510" s="3">
        <v>488</v>
      </c>
      <c r="C510" s="4">
        <v>229360</v>
      </c>
      <c r="D510" s="3">
        <v>558</v>
      </c>
      <c r="E510" s="4">
        <v>407340</v>
      </c>
      <c r="G510" s="12">
        <f t="shared" si="74"/>
        <v>2012</v>
      </c>
      <c r="H510" s="12">
        <f t="shared" si="75"/>
        <v>5</v>
      </c>
      <c r="I510" s="11">
        <f t="shared" si="76"/>
        <v>17</v>
      </c>
      <c r="J510" s="11"/>
    </row>
    <row r="511" spans="1:10" x14ac:dyDescent="0.25">
      <c r="A511" s="2">
        <v>41049</v>
      </c>
      <c r="B511" s="3">
        <v>445</v>
      </c>
      <c r="C511" s="4">
        <v>209150</v>
      </c>
      <c r="D511" s="3">
        <v>538</v>
      </c>
      <c r="E511" s="4">
        <v>392740</v>
      </c>
      <c r="G511" s="12">
        <f t="shared" si="74"/>
        <v>2012</v>
      </c>
      <c r="H511" s="12">
        <f t="shared" si="75"/>
        <v>5</v>
      </c>
      <c r="I511" s="11">
        <f t="shared" si="76"/>
        <v>17</v>
      </c>
      <c r="J511" s="11"/>
    </row>
    <row r="512" spans="1:10" x14ac:dyDescent="0.25">
      <c r="A512" s="2">
        <v>41050</v>
      </c>
      <c r="B512" s="3">
        <v>438</v>
      </c>
      <c r="C512" s="4">
        <v>205860</v>
      </c>
      <c r="D512" s="3">
        <v>515</v>
      </c>
      <c r="E512" s="4">
        <v>375950</v>
      </c>
      <c r="G512" s="12">
        <f t="shared" si="74"/>
        <v>2012</v>
      </c>
      <c r="H512" s="12">
        <f t="shared" si="75"/>
        <v>5</v>
      </c>
      <c r="I512" s="11">
        <f t="shared" si="76"/>
        <v>17</v>
      </c>
      <c r="J512" s="11"/>
    </row>
    <row r="513" spans="1:10" x14ac:dyDescent="0.25">
      <c r="A513" s="2">
        <v>41051</v>
      </c>
      <c r="B513" s="3">
        <v>470</v>
      </c>
      <c r="C513" s="4">
        <v>220900</v>
      </c>
      <c r="D513" s="3">
        <v>604</v>
      </c>
      <c r="E513" s="4">
        <v>440920</v>
      </c>
      <c r="G513" s="12">
        <f t="shared" si="74"/>
        <v>2012</v>
      </c>
      <c r="H513" s="12">
        <f t="shared" si="75"/>
        <v>5</v>
      </c>
      <c r="I513" s="11">
        <f t="shared" si="76"/>
        <v>17</v>
      </c>
      <c r="J513" s="11"/>
    </row>
    <row r="514" spans="1:10" x14ac:dyDescent="0.25">
      <c r="A514" s="2">
        <v>41052</v>
      </c>
      <c r="B514" s="3">
        <v>462</v>
      </c>
      <c r="C514" s="4">
        <v>217140</v>
      </c>
      <c r="D514" s="3">
        <v>715</v>
      </c>
      <c r="E514" s="4">
        <v>521950</v>
      </c>
      <c r="G514" s="12">
        <f t="shared" si="74"/>
        <v>2012</v>
      </c>
      <c r="H514" s="12">
        <f t="shared" si="75"/>
        <v>5</v>
      </c>
      <c r="I514" s="11">
        <f t="shared" si="76"/>
        <v>17</v>
      </c>
      <c r="J514" s="11"/>
    </row>
    <row r="515" spans="1:10" x14ac:dyDescent="0.25">
      <c r="A515" s="2">
        <v>41053</v>
      </c>
      <c r="B515" s="3">
        <v>500</v>
      </c>
      <c r="C515" s="4">
        <v>235000</v>
      </c>
      <c r="D515" s="3">
        <v>661</v>
      </c>
      <c r="E515" s="4">
        <v>482530</v>
      </c>
      <c r="G515" s="12">
        <f t="shared" si="74"/>
        <v>2012</v>
      </c>
      <c r="H515" s="12">
        <f t="shared" si="75"/>
        <v>5</v>
      </c>
      <c r="I515" s="11">
        <f t="shared" si="76"/>
        <v>17</v>
      </c>
      <c r="J515" s="11"/>
    </row>
    <row r="516" spans="1:10" x14ac:dyDescent="0.25">
      <c r="A516" s="2">
        <v>41054</v>
      </c>
      <c r="B516" s="3">
        <v>487</v>
      </c>
      <c r="C516" s="4">
        <v>228890</v>
      </c>
      <c r="D516" s="3">
        <v>726</v>
      </c>
      <c r="E516" s="4">
        <v>529980</v>
      </c>
      <c r="G516" s="12">
        <f t="shared" si="74"/>
        <v>2012</v>
      </c>
      <c r="H516" s="12">
        <f t="shared" si="75"/>
        <v>5</v>
      </c>
      <c r="I516" s="11">
        <f t="shared" si="76"/>
        <v>17</v>
      </c>
      <c r="J516" s="11"/>
    </row>
    <row r="517" spans="1:10" x14ac:dyDescent="0.25">
      <c r="A517" s="2">
        <v>41055</v>
      </c>
      <c r="B517" s="3">
        <v>408</v>
      </c>
      <c r="C517" s="4">
        <v>191760</v>
      </c>
      <c r="D517" s="3">
        <v>720</v>
      </c>
      <c r="E517" s="4">
        <v>525600</v>
      </c>
      <c r="G517" s="12">
        <f t="shared" si="74"/>
        <v>2012</v>
      </c>
      <c r="H517" s="12">
        <f t="shared" si="75"/>
        <v>5</v>
      </c>
      <c r="I517" s="11">
        <f t="shared" si="76"/>
        <v>17</v>
      </c>
      <c r="J517" s="11"/>
    </row>
    <row r="518" spans="1:10" x14ac:dyDescent="0.25">
      <c r="A518" s="2">
        <v>41056</v>
      </c>
      <c r="B518" s="3">
        <v>454</v>
      </c>
      <c r="C518" s="4">
        <v>213380</v>
      </c>
      <c r="D518" s="3">
        <v>633</v>
      </c>
      <c r="E518" s="4">
        <v>462090</v>
      </c>
      <c r="G518" s="12">
        <f t="shared" ref="G518:G581" si="77">+YEAR(A518)</f>
        <v>2012</v>
      </c>
      <c r="H518" s="12">
        <f t="shared" ref="H518:H581" si="78">+MONTH(A518)</f>
        <v>5</v>
      </c>
      <c r="I518" s="11">
        <f t="shared" si="76"/>
        <v>17</v>
      </c>
      <c r="J518" s="11"/>
    </row>
    <row r="519" spans="1:10" x14ac:dyDescent="0.25">
      <c r="A519" s="2">
        <v>41057</v>
      </c>
      <c r="B519" s="3">
        <v>547</v>
      </c>
      <c r="C519" s="4">
        <v>257090</v>
      </c>
      <c r="D519" s="3">
        <v>731</v>
      </c>
      <c r="E519" s="4">
        <v>533630</v>
      </c>
      <c r="G519" s="12">
        <f t="shared" si="77"/>
        <v>2012</v>
      </c>
      <c r="H519" s="12">
        <f t="shared" si="78"/>
        <v>5</v>
      </c>
      <c r="I519" s="11">
        <f t="shared" ref="I519:I582" si="79">+H519+(G519-2011)*12</f>
        <v>17</v>
      </c>
      <c r="J519" s="11"/>
    </row>
    <row r="520" spans="1:10" x14ac:dyDescent="0.25">
      <c r="A520" s="2">
        <v>41058</v>
      </c>
      <c r="B520" s="3">
        <v>400</v>
      </c>
      <c r="C520" s="4">
        <v>188000</v>
      </c>
      <c r="D520" s="3">
        <v>653</v>
      </c>
      <c r="E520" s="4">
        <v>476690</v>
      </c>
      <c r="G520" s="12">
        <f t="shared" si="77"/>
        <v>2012</v>
      </c>
      <c r="H520" s="12">
        <f t="shared" si="78"/>
        <v>5</v>
      </c>
      <c r="I520" s="11">
        <f t="shared" si="79"/>
        <v>17</v>
      </c>
      <c r="J520" s="11"/>
    </row>
    <row r="521" spans="1:10" x14ac:dyDescent="0.25">
      <c r="A521" s="2">
        <v>41059</v>
      </c>
      <c r="B521" s="3">
        <v>493</v>
      </c>
      <c r="C521" s="4">
        <v>231710</v>
      </c>
      <c r="D521" s="3">
        <v>682</v>
      </c>
      <c r="E521" s="4">
        <v>497860</v>
      </c>
      <c r="G521" s="12">
        <f t="shared" si="77"/>
        <v>2012</v>
      </c>
      <c r="H521" s="12">
        <f t="shared" si="78"/>
        <v>5</v>
      </c>
      <c r="I521" s="11">
        <f t="shared" si="79"/>
        <v>17</v>
      </c>
      <c r="J521" s="11"/>
    </row>
    <row r="522" spans="1:10" x14ac:dyDescent="0.25">
      <c r="A522" s="2">
        <v>41060</v>
      </c>
      <c r="B522" s="3">
        <v>534</v>
      </c>
      <c r="C522" s="4">
        <v>250980</v>
      </c>
      <c r="D522" s="3">
        <v>694</v>
      </c>
      <c r="E522" s="4">
        <v>506620</v>
      </c>
      <c r="G522" s="12">
        <f t="shared" si="77"/>
        <v>2012</v>
      </c>
      <c r="H522" s="12">
        <f t="shared" si="78"/>
        <v>5</v>
      </c>
      <c r="I522" s="11">
        <f t="shared" si="79"/>
        <v>17</v>
      </c>
      <c r="J522" s="11"/>
    </row>
    <row r="523" spans="1:10" x14ac:dyDescent="0.25">
      <c r="A523" s="2">
        <v>41061</v>
      </c>
      <c r="B523" s="3">
        <v>481</v>
      </c>
      <c r="C523" s="4">
        <v>226070</v>
      </c>
      <c r="D523" s="3">
        <v>723</v>
      </c>
      <c r="E523" s="4">
        <v>211116</v>
      </c>
      <c r="G523" s="12">
        <f t="shared" si="77"/>
        <v>2012</v>
      </c>
      <c r="H523" s="12">
        <f t="shared" si="78"/>
        <v>6</v>
      </c>
      <c r="I523" s="11">
        <f t="shared" si="79"/>
        <v>18</v>
      </c>
      <c r="J523" s="11"/>
    </row>
    <row r="524" spans="1:10" x14ac:dyDescent="0.25">
      <c r="A524" s="2">
        <v>41062</v>
      </c>
      <c r="B524" s="3">
        <v>451</v>
      </c>
      <c r="C524" s="4">
        <v>211970</v>
      </c>
      <c r="D524" s="3">
        <v>741</v>
      </c>
      <c r="E524" s="4">
        <v>216372</v>
      </c>
      <c r="G524" s="12">
        <f t="shared" si="77"/>
        <v>2012</v>
      </c>
      <c r="H524" s="12">
        <f t="shared" si="78"/>
        <v>6</v>
      </c>
      <c r="I524" s="11">
        <f t="shared" si="79"/>
        <v>18</v>
      </c>
      <c r="J524" s="11"/>
    </row>
    <row r="525" spans="1:10" x14ac:dyDescent="0.25">
      <c r="A525" s="2">
        <v>41063</v>
      </c>
      <c r="B525" s="3">
        <v>494</v>
      </c>
      <c r="C525" s="4">
        <v>232180</v>
      </c>
      <c r="D525" s="3">
        <v>753</v>
      </c>
      <c r="E525" s="4">
        <v>219876</v>
      </c>
      <c r="G525" s="12">
        <f t="shared" si="77"/>
        <v>2012</v>
      </c>
      <c r="H525" s="12">
        <f t="shared" si="78"/>
        <v>6</v>
      </c>
      <c r="I525" s="11">
        <f t="shared" si="79"/>
        <v>18</v>
      </c>
      <c r="J525" s="11"/>
    </row>
    <row r="526" spans="1:10" x14ac:dyDescent="0.25">
      <c r="A526" s="2">
        <v>41064</v>
      </c>
      <c r="B526" s="3">
        <v>477</v>
      </c>
      <c r="C526" s="4">
        <v>224190</v>
      </c>
      <c r="D526" s="3">
        <v>709</v>
      </c>
      <c r="E526" s="4">
        <v>207028</v>
      </c>
      <c r="G526" s="12">
        <f t="shared" si="77"/>
        <v>2012</v>
      </c>
      <c r="H526" s="12">
        <f t="shared" si="78"/>
        <v>6</v>
      </c>
      <c r="I526" s="11">
        <f t="shared" si="79"/>
        <v>18</v>
      </c>
      <c r="J526" s="11"/>
    </row>
    <row r="527" spans="1:10" x14ac:dyDescent="0.25">
      <c r="A527" s="2">
        <v>41065</v>
      </c>
      <c r="B527" s="3">
        <v>459</v>
      </c>
      <c r="C527" s="4">
        <v>215730</v>
      </c>
      <c r="D527" s="3">
        <v>799</v>
      </c>
      <c r="E527" s="4">
        <v>233308</v>
      </c>
      <c r="G527" s="12">
        <f t="shared" si="77"/>
        <v>2012</v>
      </c>
      <c r="H527" s="12">
        <f t="shared" si="78"/>
        <v>6</v>
      </c>
      <c r="I527" s="11">
        <f t="shared" si="79"/>
        <v>18</v>
      </c>
      <c r="J527" s="11"/>
    </row>
    <row r="528" spans="1:10" x14ac:dyDescent="0.25">
      <c r="A528" s="2">
        <v>41066</v>
      </c>
      <c r="B528" s="3">
        <v>589</v>
      </c>
      <c r="C528" s="4">
        <v>276830</v>
      </c>
      <c r="D528" s="3">
        <v>682</v>
      </c>
      <c r="E528" s="4">
        <v>199144</v>
      </c>
      <c r="G528" s="12">
        <f t="shared" si="77"/>
        <v>2012</v>
      </c>
      <c r="H528" s="12">
        <f t="shared" si="78"/>
        <v>6</v>
      </c>
      <c r="I528" s="11">
        <f t="shared" si="79"/>
        <v>18</v>
      </c>
      <c r="J528" s="11"/>
    </row>
    <row r="529" spans="1:10" x14ac:dyDescent="0.25">
      <c r="A529" s="2">
        <v>41067</v>
      </c>
      <c r="B529" s="3">
        <v>485</v>
      </c>
      <c r="C529" s="4">
        <v>227950</v>
      </c>
      <c r="D529" s="3">
        <v>768</v>
      </c>
      <c r="E529" s="4">
        <v>224256</v>
      </c>
      <c r="G529" s="12">
        <f t="shared" si="77"/>
        <v>2012</v>
      </c>
      <c r="H529" s="12">
        <f t="shared" si="78"/>
        <v>6</v>
      </c>
      <c r="I529" s="11">
        <f t="shared" si="79"/>
        <v>18</v>
      </c>
      <c r="J529" s="11"/>
    </row>
    <row r="530" spans="1:10" x14ac:dyDescent="0.25">
      <c r="A530" s="2">
        <v>41068</v>
      </c>
      <c r="B530" s="3">
        <v>461</v>
      </c>
      <c r="C530" s="4">
        <v>216670</v>
      </c>
      <c r="D530" s="3">
        <v>582</v>
      </c>
      <c r="E530" s="4">
        <v>169944</v>
      </c>
      <c r="G530" s="12">
        <f t="shared" si="77"/>
        <v>2012</v>
      </c>
      <c r="H530" s="12">
        <f t="shared" si="78"/>
        <v>6</v>
      </c>
      <c r="I530" s="11">
        <f t="shared" si="79"/>
        <v>18</v>
      </c>
      <c r="J530" s="11"/>
    </row>
    <row r="531" spans="1:10" x14ac:dyDescent="0.25">
      <c r="A531" s="2">
        <v>41069</v>
      </c>
      <c r="B531" s="3">
        <v>415</v>
      </c>
      <c r="C531" s="4">
        <v>195050</v>
      </c>
      <c r="D531" s="3">
        <v>795</v>
      </c>
      <c r="E531" s="4">
        <v>232140</v>
      </c>
      <c r="G531" s="12">
        <f t="shared" si="77"/>
        <v>2012</v>
      </c>
      <c r="H531" s="12">
        <f t="shared" si="78"/>
        <v>6</v>
      </c>
      <c r="I531" s="11">
        <f t="shared" si="79"/>
        <v>18</v>
      </c>
      <c r="J531" s="11"/>
    </row>
    <row r="532" spans="1:10" x14ac:dyDescent="0.25">
      <c r="A532" s="2">
        <v>41070</v>
      </c>
      <c r="B532" s="3">
        <v>428</v>
      </c>
      <c r="C532" s="4">
        <v>201160</v>
      </c>
      <c r="D532" s="3">
        <v>698</v>
      </c>
      <c r="E532" s="4">
        <v>203816</v>
      </c>
      <c r="G532" s="12">
        <f t="shared" si="77"/>
        <v>2012</v>
      </c>
      <c r="H532" s="12">
        <f t="shared" si="78"/>
        <v>6</v>
      </c>
      <c r="I532" s="11">
        <f t="shared" si="79"/>
        <v>18</v>
      </c>
      <c r="J532" s="11"/>
    </row>
    <row r="533" spans="1:10" x14ac:dyDescent="0.25">
      <c r="A533" s="2">
        <v>41071</v>
      </c>
      <c r="B533" s="3">
        <v>464</v>
      </c>
      <c r="C533" s="4">
        <v>218080</v>
      </c>
      <c r="D533" s="3">
        <v>810</v>
      </c>
      <c r="E533" s="4">
        <v>236520</v>
      </c>
      <c r="G533" s="12">
        <f t="shared" si="77"/>
        <v>2012</v>
      </c>
      <c r="H533" s="12">
        <f t="shared" si="78"/>
        <v>6</v>
      </c>
      <c r="I533" s="11">
        <f t="shared" si="79"/>
        <v>18</v>
      </c>
      <c r="J533" s="11"/>
    </row>
    <row r="534" spans="1:10" x14ac:dyDescent="0.25">
      <c r="A534" s="2">
        <v>41072</v>
      </c>
      <c r="B534" s="3">
        <v>421</v>
      </c>
      <c r="C534" s="4">
        <v>197870</v>
      </c>
      <c r="D534" s="3">
        <v>704</v>
      </c>
      <c r="E534" s="4">
        <v>205568</v>
      </c>
      <c r="G534" s="12">
        <f t="shared" si="77"/>
        <v>2012</v>
      </c>
      <c r="H534" s="12">
        <f t="shared" si="78"/>
        <v>6</v>
      </c>
      <c r="I534" s="11">
        <f t="shared" si="79"/>
        <v>18</v>
      </c>
      <c r="J534" s="11"/>
    </row>
    <row r="535" spans="1:10" x14ac:dyDescent="0.25">
      <c r="A535" s="2">
        <v>41073</v>
      </c>
      <c r="B535" s="3">
        <v>482</v>
      </c>
      <c r="C535" s="4">
        <v>226540</v>
      </c>
      <c r="D535" s="3">
        <v>664</v>
      </c>
      <c r="E535" s="4">
        <v>193888</v>
      </c>
      <c r="G535" s="12">
        <f t="shared" si="77"/>
        <v>2012</v>
      </c>
      <c r="H535" s="12">
        <f t="shared" si="78"/>
        <v>6</v>
      </c>
      <c r="I535" s="11">
        <f t="shared" si="79"/>
        <v>18</v>
      </c>
      <c r="J535" s="11"/>
    </row>
    <row r="536" spans="1:10" x14ac:dyDescent="0.25">
      <c r="A536" s="2">
        <v>41074</v>
      </c>
      <c r="B536" s="3">
        <v>471</v>
      </c>
      <c r="C536" s="4">
        <v>221370</v>
      </c>
      <c r="D536" s="3">
        <v>798</v>
      </c>
      <c r="E536" s="4">
        <v>233016</v>
      </c>
      <c r="G536" s="12">
        <f t="shared" si="77"/>
        <v>2012</v>
      </c>
      <c r="H536" s="12">
        <f t="shared" si="78"/>
        <v>6</v>
      </c>
      <c r="I536" s="11">
        <f t="shared" si="79"/>
        <v>18</v>
      </c>
      <c r="J536" s="11"/>
    </row>
    <row r="537" spans="1:10" x14ac:dyDescent="0.25">
      <c r="A537" s="2">
        <v>41075</v>
      </c>
      <c r="B537" s="3">
        <v>546</v>
      </c>
      <c r="C537" s="4">
        <v>256620</v>
      </c>
      <c r="D537" s="3">
        <v>790</v>
      </c>
      <c r="E537" s="4">
        <v>230680</v>
      </c>
      <c r="G537" s="12">
        <f t="shared" si="77"/>
        <v>2012</v>
      </c>
      <c r="H537" s="12">
        <f t="shared" si="78"/>
        <v>6</v>
      </c>
      <c r="I537" s="11">
        <f t="shared" si="79"/>
        <v>18</v>
      </c>
      <c r="J537" s="11"/>
    </row>
    <row r="538" spans="1:10" x14ac:dyDescent="0.25">
      <c r="A538" s="2">
        <v>41076</v>
      </c>
      <c r="B538" s="3">
        <v>516</v>
      </c>
      <c r="C538" s="4">
        <v>242520</v>
      </c>
      <c r="D538" s="3">
        <v>872</v>
      </c>
      <c r="E538" s="4">
        <v>254624</v>
      </c>
      <c r="G538" s="12">
        <f t="shared" si="77"/>
        <v>2012</v>
      </c>
      <c r="H538" s="12">
        <f t="shared" si="78"/>
        <v>6</v>
      </c>
      <c r="I538" s="11">
        <f t="shared" si="79"/>
        <v>18</v>
      </c>
      <c r="J538" s="11"/>
    </row>
    <row r="539" spans="1:10" x14ac:dyDescent="0.25">
      <c r="A539" s="2">
        <v>41077</v>
      </c>
      <c r="B539" s="3">
        <v>432</v>
      </c>
      <c r="C539" s="4">
        <v>203040</v>
      </c>
      <c r="D539" s="3">
        <v>828</v>
      </c>
      <c r="E539" s="4">
        <v>241776</v>
      </c>
      <c r="G539" s="12">
        <f t="shared" si="77"/>
        <v>2012</v>
      </c>
      <c r="H539" s="12">
        <f t="shared" si="78"/>
        <v>6</v>
      </c>
      <c r="I539" s="11">
        <f t="shared" si="79"/>
        <v>18</v>
      </c>
      <c r="J539" s="11"/>
    </row>
    <row r="540" spans="1:10" x14ac:dyDescent="0.25">
      <c r="A540" s="2">
        <v>41078</v>
      </c>
      <c r="B540" s="3">
        <v>480</v>
      </c>
      <c r="C540" s="4">
        <v>225600</v>
      </c>
      <c r="D540" s="3">
        <v>627</v>
      </c>
      <c r="E540" s="4">
        <v>183084</v>
      </c>
      <c r="G540" s="12">
        <f t="shared" si="77"/>
        <v>2012</v>
      </c>
      <c r="H540" s="12">
        <f t="shared" si="78"/>
        <v>6</v>
      </c>
      <c r="I540" s="11">
        <f t="shared" si="79"/>
        <v>18</v>
      </c>
      <c r="J540" s="11"/>
    </row>
    <row r="541" spans="1:10" x14ac:dyDescent="0.25">
      <c r="A541" s="2">
        <v>41079</v>
      </c>
      <c r="B541" s="3">
        <v>446</v>
      </c>
      <c r="C541" s="4">
        <v>209620</v>
      </c>
      <c r="D541" s="3">
        <v>907</v>
      </c>
      <c r="E541" s="4">
        <v>264844</v>
      </c>
      <c r="G541" s="12">
        <f t="shared" si="77"/>
        <v>2012</v>
      </c>
      <c r="H541" s="12">
        <f t="shared" si="78"/>
        <v>6</v>
      </c>
      <c r="I541" s="11">
        <f t="shared" si="79"/>
        <v>18</v>
      </c>
      <c r="J541" s="11"/>
    </row>
    <row r="542" spans="1:10" x14ac:dyDescent="0.25">
      <c r="A542" s="2">
        <v>41080</v>
      </c>
      <c r="B542" s="3">
        <v>529</v>
      </c>
      <c r="C542" s="4">
        <v>248630</v>
      </c>
      <c r="D542" s="3">
        <v>745</v>
      </c>
      <c r="E542" s="4">
        <v>217540</v>
      </c>
      <c r="G542" s="12">
        <f t="shared" si="77"/>
        <v>2012</v>
      </c>
      <c r="H542" s="12">
        <f t="shared" si="78"/>
        <v>6</v>
      </c>
      <c r="I542" s="11">
        <f t="shared" si="79"/>
        <v>18</v>
      </c>
      <c r="J542" s="11"/>
    </row>
    <row r="543" spans="1:10" x14ac:dyDescent="0.25">
      <c r="A543" s="2">
        <v>41081</v>
      </c>
      <c r="B543" s="3">
        <v>490</v>
      </c>
      <c r="C543" s="4">
        <v>230300</v>
      </c>
      <c r="D543" s="3">
        <v>746</v>
      </c>
      <c r="E543" s="4">
        <v>217832</v>
      </c>
      <c r="G543" s="12">
        <f t="shared" si="77"/>
        <v>2012</v>
      </c>
      <c r="H543" s="12">
        <f t="shared" si="78"/>
        <v>6</v>
      </c>
      <c r="I543" s="11">
        <f t="shared" si="79"/>
        <v>18</v>
      </c>
      <c r="J543" s="11"/>
    </row>
    <row r="544" spans="1:10" x14ac:dyDescent="0.25">
      <c r="A544" s="2">
        <v>41082</v>
      </c>
      <c r="B544" s="3">
        <v>482</v>
      </c>
      <c r="C544" s="4">
        <v>226540</v>
      </c>
      <c r="D544" s="3">
        <v>751</v>
      </c>
      <c r="E544" s="4">
        <v>219292</v>
      </c>
      <c r="G544" s="12">
        <f t="shared" si="77"/>
        <v>2012</v>
      </c>
      <c r="H544" s="12">
        <f t="shared" si="78"/>
        <v>6</v>
      </c>
      <c r="I544" s="11">
        <f t="shared" si="79"/>
        <v>18</v>
      </c>
      <c r="J544" s="11"/>
    </row>
    <row r="545" spans="1:10" x14ac:dyDescent="0.25">
      <c r="A545" s="2">
        <v>41083</v>
      </c>
      <c r="B545" s="3">
        <v>451</v>
      </c>
      <c r="C545" s="4">
        <v>211970</v>
      </c>
      <c r="D545" s="3">
        <v>702</v>
      </c>
      <c r="E545" s="4">
        <v>204984</v>
      </c>
      <c r="G545" s="12">
        <f t="shared" si="77"/>
        <v>2012</v>
      </c>
      <c r="H545" s="12">
        <f t="shared" si="78"/>
        <v>6</v>
      </c>
      <c r="I545" s="11">
        <f t="shared" si="79"/>
        <v>18</v>
      </c>
      <c r="J545" s="11"/>
    </row>
    <row r="546" spans="1:10" x14ac:dyDescent="0.25">
      <c r="A546" s="2">
        <v>41084</v>
      </c>
      <c r="B546" s="3">
        <v>422</v>
      </c>
      <c r="C546" s="4">
        <v>198340</v>
      </c>
      <c r="D546" s="3">
        <v>697</v>
      </c>
      <c r="E546" s="4">
        <v>203524</v>
      </c>
      <c r="G546" s="12">
        <f t="shared" si="77"/>
        <v>2012</v>
      </c>
      <c r="H546" s="12">
        <f t="shared" si="78"/>
        <v>6</v>
      </c>
      <c r="I546" s="11">
        <f t="shared" si="79"/>
        <v>18</v>
      </c>
      <c r="J546" s="11"/>
    </row>
    <row r="547" spans="1:10" x14ac:dyDescent="0.25">
      <c r="A547" s="2">
        <v>41085</v>
      </c>
      <c r="B547" s="3">
        <v>465</v>
      </c>
      <c r="C547" s="4">
        <v>218550</v>
      </c>
      <c r="D547" s="3">
        <v>708</v>
      </c>
      <c r="E547" s="4">
        <v>206736</v>
      </c>
      <c r="G547" s="12">
        <f t="shared" si="77"/>
        <v>2012</v>
      </c>
      <c r="H547" s="12">
        <f t="shared" si="78"/>
        <v>6</v>
      </c>
      <c r="I547" s="11">
        <f t="shared" si="79"/>
        <v>18</v>
      </c>
      <c r="J547" s="11"/>
    </row>
    <row r="548" spans="1:10" x14ac:dyDescent="0.25">
      <c r="A548" s="2">
        <v>41086</v>
      </c>
      <c r="B548" s="3">
        <v>466</v>
      </c>
      <c r="C548" s="4">
        <v>219020</v>
      </c>
      <c r="D548" s="3">
        <v>750</v>
      </c>
      <c r="E548" s="4">
        <v>219000</v>
      </c>
      <c r="G548" s="12">
        <f t="shared" si="77"/>
        <v>2012</v>
      </c>
      <c r="H548" s="12">
        <f t="shared" si="78"/>
        <v>6</v>
      </c>
      <c r="I548" s="11">
        <f t="shared" si="79"/>
        <v>18</v>
      </c>
      <c r="J548" s="11"/>
    </row>
    <row r="549" spans="1:10" x14ac:dyDescent="0.25">
      <c r="A549" s="2">
        <v>41087</v>
      </c>
      <c r="B549" s="3">
        <v>564</v>
      </c>
      <c r="C549" s="4">
        <v>265080</v>
      </c>
      <c r="D549" s="3">
        <v>679</v>
      </c>
      <c r="E549" s="4">
        <v>198268</v>
      </c>
      <c r="G549" s="12">
        <f t="shared" si="77"/>
        <v>2012</v>
      </c>
      <c r="H549" s="12">
        <f t="shared" si="78"/>
        <v>6</v>
      </c>
      <c r="I549" s="11">
        <f t="shared" si="79"/>
        <v>18</v>
      </c>
      <c r="J549" s="11"/>
    </row>
    <row r="550" spans="1:10" x14ac:dyDescent="0.25">
      <c r="A550" s="2">
        <v>41088</v>
      </c>
      <c r="B550" s="3">
        <v>532</v>
      </c>
      <c r="C550" s="4">
        <v>250040</v>
      </c>
      <c r="D550" s="3">
        <v>855</v>
      </c>
      <c r="E550" s="4">
        <v>249660</v>
      </c>
      <c r="G550" s="12">
        <f t="shared" si="77"/>
        <v>2012</v>
      </c>
      <c r="H550" s="12">
        <f t="shared" si="78"/>
        <v>6</v>
      </c>
      <c r="I550" s="11">
        <f t="shared" si="79"/>
        <v>18</v>
      </c>
      <c r="J550" s="11"/>
    </row>
    <row r="551" spans="1:10" x14ac:dyDescent="0.25">
      <c r="A551" s="2">
        <v>41089</v>
      </c>
      <c r="B551" s="3">
        <v>509</v>
      </c>
      <c r="C551" s="4">
        <v>239230</v>
      </c>
      <c r="D551" s="3">
        <v>850</v>
      </c>
      <c r="E551" s="4">
        <v>248200</v>
      </c>
      <c r="G551" s="12">
        <f t="shared" si="77"/>
        <v>2012</v>
      </c>
      <c r="H551" s="12">
        <f t="shared" si="78"/>
        <v>6</v>
      </c>
      <c r="I551" s="11">
        <f t="shared" si="79"/>
        <v>18</v>
      </c>
      <c r="J551" s="11"/>
    </row>
    <row r="552" spans="1:10" x14ac:dyDescent="0.25">
      <c r="A552" s="2">
        <v>41090</v>
      </c>
      <c r="B552" s="3">
        <v>442</v>
      </c>
      <c r="C552" s="4">
        <v>207740</v>
      </c>
      <c r="D552" s="3">
        <v>697</v>
      </c>
      <c r="E552" s="4">
        <v>203524</v>
      </c>
      <c r="G552" s="12">
        <f t="shared" si="77"/>
        <v>2012</v>
      </c>
      <c r="H552" s="12">
        <f t="shared" si="78"/>
        <v>6</v>
      </c>
      <c r="I552" s="11">
        <f t="shared" si="79"/>
        <v>18</v>
      </c>
      <c r="J552" s="11"/>
    </row>
    <row r="553" spans="1:10" x14ac:dyDescent="0.25">
      <c r="A553" s="2">
        <v>41091</v>
      </c>
      <c r="B553" s="3">
        <v>526</v>
      </c>
      <c r="C553" s="4">
        <v>247220</v>
      </c>
      <c r="D553" s="3">
        <v>290</v>
      </c>
      <c r="E553" s="4">
        <v>211700</v>
      </c>
      <c r="G553" s="12">
        <f t="shared" si="77"/>
        <v>2012</v>
      </c>
      <c r="H553" s="12">
        <f t="shared" si="78"/>
        <v>7</v>
      </c>
      <c r="I553" s="11">
        <f t="shared" si="79"/>
        <v>19</v>
      </c>
      <c r="J553" s="11"/>
    </row>
    <row r="554" spans="1:10" x14ac:dyDescent="0.25">
      <c r="A554" s="2">
        <v>41092</v>
      </c>
      <c r="B554" s="3">
        <v>500</v>
      </c>
      <c r="C554" s="4">
        <v>235000</v>
      </c>
      <c r="D554" s="3">
        <v>335</v>
      </c>
      <c r="E554" s="4">
        <v>244550</v>
      </c>
      <c r="G554" s="12">
        <f t="shared" si="77"/>
        <v>2012</v>
      </c>
      <c r="H554" s="12">
        <f t="shared" si="78"/>
        <v>7</v>
      </c>
      <c r="I554" s="11">
        <f t="shared" si="79"/>
        <v>19</v>
      </c>
      <c r="J554" s="11"/>
    </row>
    <row r="555" spans="1:10" x14ac:dyDescent="0.25">
      <c r="A555" s="2">
        <v>41093</v>
      </c>
      <c r="B555" s="3">
        <v>438</v>
      </c>
      <c r="C555" s="4">
        <v>205860</v>
      </c>
      <c r="D555" s="3">
        <v>311</v>
      </c>
      <c r="E555" s="4">
        <v>227030</v>
      </c>
      <c r="G555" s="12">
        <f t="shared" si="77"/>
        <v>2012</v>
      </c>
      <c r="H555" s="12">
        <f t="shared" si="78"/>
        <v>7</v>
      </c>
      <c r="I555" s="11">
        <f t="shared" si="79"/>
        <v>19</v>
      </c>
      <c r="J555" s="11"/>
    </row>
    <row r="556" spans="1:10" x14ac:dyDescent="0.25">
      <c r="A556" s="2">
        <v>41094</v>
      </c>
      <c r="B556" s="3">
        <v>559</v>
      </c>
      <c r="C556" s="4">
        <v>262730</v>
      </c>
      <c r="D556" s="3">
        <v>357</v>
      </c>
      <c r="E556" s="4">
        <v>260610</v>
      </c>
      <c r="G556" s="12">
        <f t="shared" si="77"/>
        <v>2012</v>
      </c>
      <c r="H556" s="12">
        <f t="shared" si="78"/>
        <v>7</v>
      </c>
      <c r="I556" s="11">
        <f t="shared" si="79"/>
        <v>19</v>
      </c>
      <c r="J556" s="11"/>
    </row>
    <row r="557" spans="1:10" x14ac:dyDescent="0.25">
      <c r="A557" s="2">
        <v>41095</v>
      </c>
      <c r="B557" s="3">
        <v>493</v>
      </c>
      <c r="C557" s="4">
        <v>231710</v>
      </c>
      <c r="D557" s="3">
        <v>329</v>
      </c>
      <c r="E557" s="4">
        <v>240170</v>
      </c>
      <c r="G557" s="12">
        <f t="shared" si="77"/>
        <v>2012</v>
      </c>
      <c r="H557" s="12">
        <f t="shared" si="78"/>
        <v>7</v>
      </c>
      <c r="I557" s="11">
        <f t="shared" si="79"/>
        <v>19</v>
      </c>
      <c r="J557" s="11"/>
    </row>
    <row r="558" spans="1:10" x14ac:dyDescent="0.25">
      <c r="A558" s="2">
        <v>41096</v>
      </c>
      <c r="B558" s="3">
        <v>437</v>
      </c>
      <c r="C558" s="4">
        <v>205390</v>
      </c>
      <c r="D558" s="3">
        <v>281</v>
      </c>
      <c r="E558" s="4">
        <v>205130</v>
      </c>
      <c r="G558" s="12">
        <f t="shared" si="77"/>
        <v>2012</v>
      </c>
      <c r="H558" s="12">
        <f t="shared" si="78"/>
        <v>7</v>
      </c>
      <c r="I558" s="11">
        <f t="shared" si="79"/>
        <v>19</v>
      </c>
      <c r="J558" s="11"/>
    </row>
    <row r="559" spans="1:10" x14ac:dyDescent="0.25">
      <c r="A559" s="2">
        <v>41097</v>
      </c>
      <c r="B559" s="3">
        <v>476</v>
      </c>
      <c r="C559" s="4">
        <v>223720</v>
      </c>
      <c r="D559" s="3">
        <v>380</v>
      </c>
      <c r="E559" s="4">
        <v>277400</v>
      </c>
      <c r="G559" s="12">
        <f t="shared" si="77"/>
        <v>2012</v>
      </c>
      <c r="H559" s="12">
        <f t="shared" si="78"/>
        <v>7</v>
      </c>
      <c r="I559" s="11">
        <f t="shared" si="79"/>
        <v>19</v>
      </c>
      <c r="J559" s="11"/>
    </row>
    <row r="560" spans="1:10" x14ac:dyDescent="0.25">
      <c r="A560" s="2">
        <v>41098</v>
      </c>
      <c r="B560" s="3">
        <v>492</v>
      </c>
      <c r="C560" s="4">
        <v>231240</v>
      </c>
      <c r="D560" s="3">
        <v>257</v>
      </c>
      <c r="E560" s="4">
        <v>187610</v>
      </c>
      <c r="G560" s="12">
        <f t="shared" si="77"/>
        <v>2012</v>
      </c>
      <c r="H560" s="12">
        <f t="shared" si="78"/>
        <v>7</v>
      </c>
      <c r="I560" s="11">
        <f t="shared" si="79"/>
        <v>19</v>
      </c>
      <c r="J560" s="11"/>
    </row>
    <row r="561" spans="1:10" x14ac:dyDescent="0.25">
      <c r="A561" s="2">
        <v>41099</v>
      </c>
      <c r="B561" s="3">
        <v>436</v>
      </c>
      <c r="C561" s="4">
        <v>204920</v>
      </c>
      <c r="D561" s="3">
        <v>317</v>
      </c>
      <c r="E561" s="4">
        <v>231410</v>
      </c>
      <c r="G561" s="12">
        <f t="shared" si="77"/>
        <v>2012</v>
      </c>
      <c r="H561" s="12">
        <f t="shared" si="78"/>
        <v>7</v>
      </c>
      <c r="I561" s="11">
        <f t="shared" si="79"/>
        <v>19</v>
      </c>
      <c r="J561" s="11"/>
    </row>
    <row r="562" spans="1:10" x14ac:dyDescent="0.25">
      <c r="A562" s="2">
        <v>41100</v>
      </c>
      <c r="B562" s="3">
        <v>475</v>
      </c>
      <c r="C562" s="4">
        <v>223250</v>
      </c>
      <c r="D562" s="3">
        <v>313</v>
      </c>
      <c r="E562" s="4">
        <v>228490</v>
      </c>
      <c r="G562" s="12">
        <f t="shared" si="77"/>
        <v>2012</v>
      </c>
      <c r="H562" s="12">
        <f t="shared" si="78"/>
        <v>7</v>
      </c>
      <c r="I562" s="11">
        <f t="shared" si="79"/>
        <v>19</v>
      </c>
      <c r="J562" s="11"/>
    </row>
    <row r="563" spans="1:10" x14ac:dyDescent="0.25">
      <c r="A563" s="2">
        <v>41101</v>
      </c>
      <c r="B563" s="3">
        <v>476</v>
      </c>
      <c r="C563" s="4">
        <v>223720</v>
      </c>
      <c r="D563" s="3">
        <v>277</v>
      </c>
      <c r="E563" s="4">
        <v>202210</v>
      </c>
      <c r="G563" s="12">
        <f t="shared" si="77"/>
        <v>2012</v>
      </c>
      <c r="H563" s="12">
        <f t="shared" si="78"/>
        <v>7</v>
      </c>
      <c r="I563" s="11">
        <f t="shared" si="79"/>
        <v>19</v>
      </c>
      <c r="J563" s="11"/>
    </row>
    <row r="564" spans="1:10" x14ac:dyDescent="0.25">
      <c r="A564" s="2">
        <v>41102</v>
      </c>
      <c r="B564" s="3">
        <v>630</v>
      </c>
      <c r="C564" s="4">
        <v>296100</v>
      </c>
      <c r="D564" s="3">
        <v>258</v>
      </c>
      <c r="E564" s="4">
        <v>188340</v>
      </c>
      <c r="G564" s="12">
        <f t="shared" si="77"/>
        <v>2012</v>
      </c>
      <c r="H564" s="12">
        <f t="shared" si="78"/>
        <v>7</v>
      </c>
      <c r="I564" s="11">
        <f t="shared" si="79"/>
        <v>19</v>
      </c>
      <c r="J564" s="11"/>
    </row>
    <row r="565" spans="1:10" x14ac:dyDescent="0.25">
      <c r="A565" s="2">
        <v>41103</v>
      </c>
      <c r="B565" s="3">
        <v>348</v>
      </c>
      <c r="C565" s="4">
        <v>163560</v>
      </c>
      <c r="D565" s="3">
        <v>430</v>
      </c>
      <c r="E565" s="4">
        <v>313900</v>
      </c>
      <c r="G565" s="12">
        <f t="shared" si="77"/>
        <v>2012</v>
      </c>
      <c r="H565" s="12">
        <f t="shared" si="78"/>
        <v>7</v>
      </c>
      <c r="I565" s="11">
        <f t="shared" si="79"/>
        <v>19</v>
      </c>
      <c r="J565" s="11"/>
    </row>
    <row r="566" spans="1:10" x14ac:dyDescent="0.25">
      <c r="A566" s="2">
        <v>41104</v>
      </c>
      <c r="B566" s="3">
        <v>505</v>
      </c>
      <c r="C566" s="4">
        <v>237350</v>
      </c>
      <c r="D566" s="3">
        <v>264</v>
      </c>
      <c r="E566" s="4">
        <v>192720</v>
      </c>
      <c r="G566" s="12">
        <f t="shared" si="77"/>
        <v>2012</v>
      </c>
      <c r="H566" s="12">
        <f t="shared" si="78"/>
        <v>7</v>
      </c>
      <c r="I566" s="11">
        <f t="shared" si="79"/>
        <v>19</v>
      </c>
      <c r="J566" s="11"/>
    </row>
    <row r="567" spans="1:10" x14ac:dyDescent="0.25">
      <c r="A567" s="2">
        <v>41105</v>
      </c>
      <c r="B567" s="3">
        <v>469</v>
      </c>
      <c r="C567" s="4">
        <v>220430</v>
      </c>
      <c r="D567" s="3">
        <v>276</v>
      </c>
      <c r="E567" s="4">
        <v>201480</v>
      </c>
      <c r="G567" s="12">
        <f t="shared" si="77"/>
        <v>2012</v>
      </c>
      <c r="H567" s="12">
        <f t="shared" si="78"/>
        <v>7</v>
      </c>
      <c r="I567" s="11">
        <f t="shared" si="79"/>
        <v>19</v>
      </c>
      <c r="J567" s="11"/>
    </row>
    <row r="568" spans="1:10" x14ac:dyDescent="0.25">
      <c r="A568" s="2">
        <v>41106</v>
      </c>
      <c r="B568" s="3">
        <v>441</v>
      </c>
      <c r="C568" s="4">
        <v>207270</v>
      </c>
      <c r="D568" s="3">
        <v>336</v>
      </c>
      <c r="E568" s="4">
        <v>245280</v>
      </c>
      <c r="G568" s="12">
        <f t="shared" si="77"/>
        <v>2012</v>
      </c>
      <c r="H568" s="12">
        <f t="shared" si="78"/>
        <v>7</v>
      </c>
      <c r="I568" s="11">
        <f t="shared" si="79"/>
        <v>19</v>
      </c>
      <c r="J568" s="11"/>
    </row>
    <row r="569" spans="1:10" x14ac:dyDescent="0.25">
      <c r="A569" s="2">
        <v>41107</v>
      </c>
      <c r="B569" s="3">
        <v>540</v>
      </c>
      <c r="C569" s="4">
        <v>253800</v>
      </c>
      <c r="D569" s="3">
        <v>257</v>
      </c>
      <c r="E569" s="4">
        <v>187610</v>
      </c>
      <c r="G569" s="12">
        <f t="shared" si="77"/>
        <v>2012</v>
      </c>
      <c r="H569" s="12">
        <f t="shared" si="78"/>
        <v>7</v>
      </c>
      <c r="I569" s="11">
        <f t="shared" si="79"/>
        <v>19</v>
      </c>
      <c r="J569" s="11"/>
    </row>
    <row r="570" spans="1:10" x14ac:dyDescent="0.25">
      <c r="A570" s="2">
        <v>41108</v>
      </c>
      <c r="B570" s="3">
        <v>513</v>
      </c>
      <c r="C570" s="4">
        <v>241110</v>
      </c>
      <c r="D570" s="3">
        <v>288</v>
      </c>
      <c r="E570" s="4">
        <v>210240</v>
      </c>
      <c r="G570" s="12">
        <f t="shared" si="77"/>
        <v>2012</v>
      </c>
      <c r="H570" s="12">
        <f t="shared" si="78"/>
        <v>7</v>
      </c>
      <c r="I570" s="11">
        <f t="shared" si="79"/>
        <v>19</v>
      </c>
      <c r="J570" s="11"/>
    </row>
    <row r="571" spans="1:10" x14ac:dyDescent="0.25">
      <c r="A571" s="2">
        <v>41109</v>
      </c>
      <c r="B571" s="3">
        <v>503</v>
      </c>
      <c r="C571" s="4">
        <v>236410</v>
      </c>
      <c r="D571" s="3">
        <v>307</v>
      </c>
      <c r="E571" s="4">
        <v>224110</v>
      </c>
      <c r="G571" s="12">
        <f t="shared" si="77"/>
        <v>2012</v>
      </c>
      <c r="H571" s="12">
        <f t="shared" si="78"/>
        <v>7</v>
      </c>
      <c r="I571" s="11">
        <f t="shared" si="79"/>
        <v>19</v>
      </c>
      <c r="J571" s="11"/>
    </row>
    <row r="572" spans="1:10" x14ac:dyDescent="0.25">
      <c r="A572" s="2">
        <v>41110</v>
      </c>
      <c r="B572" s="3">
        <v>487</v>
      </c>
      <c r="C572" s="4">
        <v>228890</v>
      </c>
      <c r="D572" s="3">
        <v>344</v>
      </c>
      <c r="E572" s="4">
        <v>251120</v>
      </c>
      <c r="G572" s="12">
        <f t="shared" si="77"/>
        <v>2012</v>
      </c>
      <c r="H572" s="12">
        <f t="shared" si="78"/>
        <v>7</v>
      </c>
      <c r="I572" s="11">
        <f t="shared" si="79"/>
        <v>19</v>
      </c>
      <c r="J572" s="11"/>
    </row>
    <row r="573" spans="1:10" x14ac:dyDescent="0.25">
      <c r="A573" s="2">
        <v>41111</v>
      </c>
      <c r="B573" s="3">
        <v>493</v>
      </c>
      <c r="C573" s="4">
        <v>231710</v>
      </c>
      <c r="D573" s="3">
        <v>297</v>
      </c>
      <c r="E573" s="4">
        <v>216810</v>
      </c>
      <c r="G573" s="12">
        <f t="shared" si="77"/>
        <v>2012</v>
      </c>
      <c r="H573" s="12">
        <f t="shared" si="78"/>
        <v>7</v>
      </c>
      <c r="I573" s="11">
        <f t="shared" si="79"/>
        <v>19</v>
      </c>
      <c r="J573" s="11"/>
    </row>
    <row r="574" spans="1:10" x14ac:dyDescent="0.25">
      <c r="A574" s="2">
        <v>41112</v>
      </c>
      <c r="B574" s="3">
        <v>486</v>
      </c>
      <c r="C574" s="4">
        <v>228420</v>
      </c>
      <c r="D574" s="3">
        <v>274</v>
      </c>
      <c r="E574" s="4">
        <v>200020</v>
      </c>
      <c r="G574" s="12">
        <f t="shared" si="77"/>
        <v>2012</v>
      </c>
      <c r="H574" s="12">
        <f t="shared" si="78"/>
        <v>7</v>
      </c>
      <c r="I574" s="11">
        <f t="shared" si="79"/>
        <v>19</v>
      </c>
      <c r="J574" s="11"/>
    </row>
    <row r="575" spans="1:10" x14ac:dyDescent="0.25">
      <c r="A575" s="2">
        <v>41113</v>
      </c>
      <c r="B575" s="3">
        <v>550</v>
      </c>
      <c r="C575" s="4">
        <v>258500</v>
      </c>
      <c r="D575" s="3">
        <v>340</v>
      </c>
      <c r="E575" s="4">
        <v>248200</v>
      </c>
      <c r="G575" s="12">
        <f t="shared" si="77"/>
        <v>2012</v>
      </c>
      <c r="H575" s="12">
        <f t="shared" si="78"/>
        <v>7</v>
      </c>
      <c r="I575" s="11">
        <f t="shared" si="79"/>
        <v>19</v>
      </c>
      <c r="J575" s="11"/>
    </row>
    <row r="576" spans="1:10" x14ac:dyDescent="0.25">
      <c r="A576" s="2">
        <v>41114</v>
      </c>
      <c r="B576" s="3">
        <v>485</v>
      </c>
      <c r="C576" s="4">
        <v>227950</v>
      </c>
      <c r="D576" s="3">
        <v>332</v>
      </c>
      <c r="E576" s="4">
        <v>242360</v>
      </c>
      <c r="G576" s="12">
        <f t="shared" si="77"/>
        <v>2012</v>
      </c>
      <c r="H576" s="12">
        <f t="shared" si="78"/>
        <v>7</v>
      </c>
      <c r="I576" s="11">
        <f t="shared" si="79"/>
        <v>19</v>
      </c>
      <c r="J576" s="11"/>
    </row>
    <row r="577" spans="1:10" x14ac:dyDescent="0.25">
      <c r="A577" s="2">
        <v>41115</v>
      </c>
      <c r="B577" s="3">
        <v>570</v>
      </c>
      <c r="C577" s="4">
        <v>267900</v>
      </c>
      <c r="D577" s="3">
        <v>311</v>
      </c>
      <c r="E577" s="4">
        <v>227030</v>
      </c>
      <c r="G577" s="12">
        <f t="shared" si="77"/>
        <v>2012</v>
      </c>
      <c r="H577" s="12">
        <f t="shared" si="78"/>
        <v>7</v>
      </c>
      <c r="I577" s="11">
        <f t="shared" si="79"/>
        <v>19</v>
      </c>
      <c r="J577" s="11"/>
    </row>
    <row r="578" spans="1:10" x14ac:dyDescent="0.25">
      <c r="A578" s="2">
        <v>41116</v>
      </c>
      <c r="B578" s="3">
        <v>509</v>
      </c>
      <c r="C578" s="4">
        <v>239230</v>
      </c>
      <c r="D578" s="3">
        <v>372</v>
      </c>
      <c r="E578" s="4">
        <v>271560</v>
      </c>
      <c r="G578" s="12">
        <f t="shared" si="77"/>
        <v>2012</v>
      </c>
      <c r="H578" s="12">
        <f t="shared" si="78"/>
        <v>7</v>
      </c>
      <c r="I578" s="11">
        <f t="shared" si="79"/>
        <v>19</v>
      </c>
      <c r="J578" s="11"/>
    </row>
    <row r="579" spans="1:10" x14ac:dyDescent="0.25">
      <c r="A579" s="2">
        <v>41117</v>
      </c>
      <c r="B579" s="3">
        <v>501</v>
      </c>
      <c r="C579" s="4">
        <v>235470</v>
      </c>
      <c r="D579" s="3">
        <v>285</v>
      </c>
      <c r="E579" s="4">
        <v>208050</v>
      </c>
      <c r="G579" s="12">
        <f t="shared" si="77"/>
        <v>2012</v>
      </c>
      <c r="H579" s="12">
        <f t="shared" si="78"/>
        <v>7</v>
      </c>
      <c r="I579" s="11">
        <f t="shared" si="79"/>
        <v>19</v>
      </c>
      <c r="J579" s="11"/>
    </row>
    <row r="580" spans="1:10" x14ac:dyDescent="0.25">
      <c r="A580" s="2">
        <v>41118</v>
      </c>
      <c r="B580" s="3">
        <v>455</v>
      </c>
      <c r="C580" s="4">
        <v>213850</v>
      </c>
      <c r="D580" s="3">
        <v>326</v>
      </c>
      <c r="E580" s="4">
        <v>237980</v>
      </c>
      <c r="G580" s="12">
        <f t="shared" si="77"/>
        <v>2012</v>
      </c>
      <c r="H580" s="12">
        <f t="shared" si="78"/>
        <v>7</v>
      </c>
      <c r="I580" s="11">
        <f t="shared" si="79"/>
        <v>19</v>
      </c>
      <c r="J580" s="11"/>
    </row>
    <row r="581" spans="1:10" x14ac:dyDescent="0.25">
      <c r="A581" s="2">
        <v>41119</v>
      </c>
      <c r="B581" s="3">
        <v>476</v>
      </c>
      <c r="C581" s="4">
        <v>223720</v>
      </c>
      <c r="D581" s="3">
        <v>314</v>
      </c>
      <c r="E581" s="4">
        <v>229220</v>
      </c>
      <c r="G581" s="12">
        <f t="shared" si="77"/>
        <v>2012</v>
      </c>
      <c r="H581" s="12">
        <f t="shared" si="78"/>
        <v>7</v>
      </c>
      <c r="I581" s="11">
        <f t="shared" si="79"/>
        <v>19</v>
      </c>
      <c r="J581" s="11"/>
    </row>
    <row r="582" spans="1:10" x14ac:dyDescent="0.25">
      <c r="A582" s="2">
        <v>41120</v>
      </c>
      <c r="B582" s="3">
        <v>499</v>
      </c>
      <c r="C582" s="4">
        <v>234530</v>
      </c>
      <c r="D582" s="3">
        <v>278</v>
      </c>
      <c r="E582" s="4">
        <v>202940</v>
      </c>
      <c r="G582" s="12">
        <f t="shared" ref="G582:G645" si="80">+YEAR(A582)</f>
        <v>2012</v>
      </c>
      <c r="H582" s="12">
        <f t="shared" ref="H582:H645" si="81">+MONTH(A582)</f>
        <v>7</v>
      </c>
      <c r="I582" s="11">
        <f t="shared" si="79"/>
        <v>19</v>
      </c>
      <c r="J582" s="11"/>
    </row>
    <row r="583" spans="1:10" x14ac:dyDescent="0.25">
      <c r="A583" s="2">
        <v>41121</v>
      </c>
      <c r="B583" s="3">
        <v>443</v>
      </c>
      <c r="C583" s="4">
        <v>208210</v>
      </c>
      <c r="D583" s="3">
        <v>272</v>
      </c>
      <c r="E583" s="4">
        <v>198560</v>
      </c>
      <c r="G583" s="12">
        <f t="shared" si="80"/>
        <v>2012</v>
      </c>
      <c r="H583" s="12">
        <f t="shared" si="81"/>
        <v>7</v>
      </c>
      <c r="I583" s="11">
        <f t="shared" ref="I583:I646" si="82">+H583+(G583-2011)*12</f>
        <v>19</v>
      </c>
      <c r="J583" s="11"/>
    </row>
    <row r="584" spans="1:10" x14ac:dyDescent="0.25">
      <c r="A584" s="2">
        <v>41122</v>
      </c>
      <c r="B584" s="3">
        <v>651</v>
      </c>
      <c r="C584" s="4">
        <v>305970</v>
      </c>
      <c r="D584" s="3">
        <v>287</v>
      </c>
      <c r="E584" s="4">
        <v>209510</v>
      </c>
      <c r="G584" s="12">
        <f t="shared" si="80"/>
        <v>2012</v>
      </c>
      <c r="H584" s="12">
        <f t="shared" si="81"/>
        <v>8</v>
      </c>
      <c r="I584" s="11">
        <f t="shared" si="82"/>
        <v>20</v>
      </c>
      <c r="J584" s="11"/>
    </row>
    <row r="585" spans="1:10" x14ac:dyDescent="0.25">
      <c r="A585" s="2">
        <v>41123</v>
      </c>
      <c r="B585" s="3">
        <v>750</v>
      </c>
      <c r="C585" s="4">
        <v>352500</v>
      </c>
      <c r="D585" s="3">
        <v>357</v>
      </c>
      <c r="E585" s="4">
        <v>260610</v>
      </c>
      <c r="G585" s="12">
        <f t="shared" si="80"/>
        <v>2012</v>
      </c>
      <c r="H585" s="12">
        <f t="shared" si="81"/>
        <v>8</v>
      </c>
      <c r="I585" s="11">
        <f t="shared" si="82"/>
        <v>20</v>
      </c>
      <c r="J585" s="11"/>
    </row>
    <row r="586" spans="1:10" x14ac:dyDescent="0.25">
      <c r="A586" s="2">
        <v>41124</v>
      </c>
      <c r="B586" s="3">
        <v>652</v>
      </c>
      <c r="C586" s="4">
        <v>306440</v>
      </c>
      <c r="D586" s="3">
        <v>281</v>
      </c>
      <c r="E586" s="4">
        <v>205130</v>
      </c>
      <c r="G586" s="12">
        <f t="shared" si="80"/>
        <v>2012</v>
      </c>
      <c r="H586" s="12">
        <f t="shared" si="81"/>
        <v>8</v>
      </c>
      <c r="I586" s="11">
        <f t="shared" si="82"/>
        <v>20</v>
      </c>
      <c r="J586" s="11"/>
    </row>
    <row r="587" spans="1:10" x14ac:dyDescent="0.25">
      <c r="A587" s="2">
        <v>41125</v>
      </c>
      <c r="B587" s="3">
        <v>696</v>
      </c>
      <c r="C587" s="4">
        <v>327120</v>
      </c>
      <c r="D587" s="3">
        <v>274</v>
      </c>
      <c r="E587" s="4">
        <v>200020</v>
      </c>
      <c r="G587" s="12">
        <f t="shared" si="80"/>
        <v>2012</v>
      </c>
      <c r="H587" s="12">
        <f t="shared" si="81"/>
        <v>8</v>
      </c>
      <c r="I587" s="11">
        <f t="shared" si="82"/>
        <v>20</v>
      </c>
      <c r="J587" s="11"/>
    </row>
    <row r="588" spans="1:10" x14ac:dyDescent="0.25">
      <c r="A588" s="2">
        <v>41126</v>
      </c>
      <c r="B588" s="3">
        <v>678</v>
      </c>
      <c r="C588" s="4">
        <v>318660</v>
      </c>
      <c r="D588" s="3">
        <v>335</v>
      </c>
      <c r="E588" s="4">
        <v>244550</v>
      </c>
      <c r="G588" s="12">
        <f t="shared" si="80"/>
        <v>2012</v>
      </c>
      <c r="H588" s="12">
        <f t="shared" si="81"/>
        <v>8</v>
      </c>
      <c r="I588" s="11">
        <f t="shared" si="82"/>
        <v>20</v>
      </c>
      <c r="J588" s="11"/>
    </row>
    <row r="589" spans="1:10" x14ac:dyDescent="0.25">
      <c r="A589" s="2">
        <v>41127</v>
      </c>
      <c r="B589" s="3">
        <v>670</v>
      </c>
      <c r="C589" s="4">
        <v>314900</v>
      </c>
      <c r="D589" s="3">
        <v>325</v>
      </c>
      <c r="E589" s="4">
        <v>237250</v>
      </c>
      <c r="G589" s="12">
        <f t="shared" si="80"/>
        <v>2012</v>
      </c>
      <c r="H589" s="12">
        <f t="shared" si="81"/>
        <v>8</v>
      </c>
      <c r="I589" s="11">
        <f t="shared" si="82"/>
        <v>20</v>
      </c>
      <c r="J589" s="11"/>
    </row>
    <row r="590" spans="1:10" x14ac:dyDescent="0.25">
      <c r="A590" s="2">
        <v>41128</v>
      </c>
      <c r="B590" s="3">
        <v>805</v>
      </c>
      <c r="C590" s="4">
        <v>378350</v>
      </c>
      <c r="D590" s="3">
        <v>278</v>
      </c>
      <c r="E590" s="4">
        <v>202940</v>
      </c>
      <c r="G590" s="12">
        <f t="shared" si="80"/>
        <v>2012</v>
      </c>
      <c r="H590" s="12">
        <f t="shared" si="81"/>
        <v>8</v>
      </c>
      <c r="I590" s="11">
        <f t="shared" si="82"/>
        <v>20</v>
      </c>
      <c r="J590" s="11"/>
    </row>
    <row r="591" spans="1:10" x14ac:dyDescent="0.25">
      <c r="A591" s="2">
        <v>41129</v>
      </c>
      <c r="B591" s="3">
        <v>785</v>
      </c>
      <c r="C591" s="4">
        <v>368950</v>
      </c>
      <c r="D591" s="3">
        <v>275</v>
      </c>
      <c r="E591" s="4">
        <v>200750</v>
      </c>
      <c r="G591" s="12">
        <f t="shared" si="80"/>
        <v>2012</v>
      </c>
      <c r="H591" s="12">
        <f t="shared" si="81"/>
        <v>8</v>
      </c>
      <c r="I591" s="11">
        <f t="shared" si="82"/>
        <v>20</v>
      </c>
      <c r="J591" s="11"/>
    </row>
    <row r="592" spans="1:10" x14ac:dyDescent="0.25">
      <c r="A592" s="2">
        <v>41130</v>
      </c>
      <c r="B592" s="3">
        <v>708</v>
      </c>
      <c r="C592" s="4">
        <v>332760</v>
      </c>
      <c r="D592" s="3">
        <v>310</v>
      </c>
      <c r="E592" s="4">
        <v>226300</v>
      </c>
      <c r="G592" s="12">
        <f t="shared" si="80"/>
        <v>2012</v>
      </c>
      <c r="H592" s="12">
        <f t="shared" si="81"/>
        <v>8</v>
      </c>
      <c r="I592" s="11">
        <f t="shared" si="82"/>
        <v>20</v>
      </c>
      <c r="J592" s="11"/>
    </row>
    <row r="593" spans="1:10" x14ac:dyDescent="0.25">
      <c r="A593" s="2">
        <v>41131</v>
      </c>
      <c r="B593" s="3">
        <v>844</v>
      </c>
      <c r="C593" s="4">
        <v>396680</v>
      </c>
      <c r="D593" s="3">
        <v>324</v>
      </c>
      <c r="E593" s="4">
        <v>236520</v>
      </c>
      <c r="G593" s="12">
        <f t="shared" si="80"/>
        <v>2012</v>
      </c>
      <c r="H593" s="12">
        <f t="shared" si="81"/>
        <v>8</v>
      </c>
      <c r="I593" s="11">
        <f t="shared" si="82"/>
        <v>20</v>
      </c>
      <c r="J593" s="11"/>
    </row>
    <row r="594" spans="1:10" x14ac:dyDescent="0.25">
      <c r="A594" s="2">
        <v>41132</v>
      </c>
      <c r="B594" s="3">
        <v>592</v>
      </c>
      <c r="C594" s="4">
        <v>278240</v>
      </c>
      <c r="D594" s="3">
        <v>309</v>
      </c>
      <c r="E594" s="4">
        <v>225570</v>
      </c>
      <c r="G594" s="12">
        <f t="shared" si="80"/>
        <v>2012</v>
      </c>
      <c r="H594" s="12">
        <f t="shared" si="81"/>
        <v>8</v>
      </c>
      <c r="I594" s="11">
        <f t="shared" si="82"/>
        <v>20</v>
      </c>
      <c r="J594" s="11"/>
    </row>
    <row r="595" spans="1:10" x14ac:dyDescent="0.25">
      <c r="A595" s="2">
        <v>41133</v>
      </c>
      <c r="B595" s="3">
        <v>634</v>
      </c>
      <c r="C595" s="4">
        <v>297980</v>
      </c>
      <c r="D595" s="3">
        <v>368</v>
      </c>
      <c r="E595" s="4">
        <v>268640</v>
      </c>
      <c r="G595" s="12">
        <f t="shared" si="80"/>
        <v>2012</v>
      </c>
      <c r="H595" s="12">
        <f t="shared" si="81"/>
        <v>8</v>
      </c>
      <c r="I595" s="11">
        <f t="shared" si="82"/>
        <v>20</v>
      </c>
      <c r="J595" s="11"/>
    </row>
    <row r="596" spans="1:10" x14ac:dyDescent="0.25">
      <c r="A596" s="2">
        <v>41134</v>
      </c>
      <c r="B596" s="3">
        <v>769</v>
      </c>
      <c r="C596" s="4">
        <v>361430</v>
      </c>
      <c r="D596" s="3">
        <v>280</v>
      </c>
      <c r="E596" s="4">
        <v>204400</v>
      </c>
      <c r="G596" s="12">
        <f t="shared" si="80"/>
        <v>2012</v>
      </c>
      <c r="H596" s="12">
        <f t="shared" si="81"/>
        <v>8</v>
      </c>
      <c r="I596" s="11">
        <f t="shared" si="82"/>
        <v>20</v>
      </c>
      <c r="J596" s="11"/>
    </row>
    <row r="597" spans="1:10" x14ac:dyDescent="0.25">
      <c r="A597" s="2">
        <v>41135</v>
      </c>
      <c r="B597" s="3">
        <v>598</v>
      </c>
      <c r="C597" s="4">
        <v>281060</v>
      </c>
      <c r="D597" s="3">
        <v>281</v>
      </c>
      <c r="E597" s="4">
        <v>205130</v>
      </c>
      <c r="G597" s="12">
        <f t="shared" si="80"/>
        <v>2012</v>
      </c>
      <c r="H597" s="12">
        <f t="shared" si="81"/>
        <v>8</v>
      </c>
      <c r="I597" s="11">
        <f t="shared" si="82"/>
        <v>20</v>
      </c>
      <c r="J597" s="11"/>
    </row>
    <row r="598" spans="1:10" x14ac:dyDescent="0.25">
      <c r="A598" s="2">
        <v>41136</v>
      </c>
      <c r="B598" s="3">
        <v>670</v>
      </c>
      <c r="C598" s="4">
        <v>314900</v>
      </c>
      <c r="D598" s="3">
        <v>295</v>
      </c>
      <c r="E598" s="4">
        <v>215350</v>
      </c>
      <c r="G598" s="12">
        <f t="shared" si="80"/>
        <v>2012</v>
      </c>
      <c r="H598" s="12">
        <f t="shared" si="81"/>
        <v>8</v>
      </c>
      <c r="I598" s="11">
        <f t="shared" si="82"/>
        <v>20</v>
      </c>
      <c r="J598" s="11"/>
    </row>
    <row r="599" spans="1:10" x14ac:dyDescent="0.25">
      <c r="A599" s="2">
        <v>41137</v>
      </c>
      <c r="B599" s="3">
        <v>660</v>
      </c>
      <c r="C599" s="4">
        <v>310200</v>
      </c>
      <c r="D599" s="3">
        <v>283</v>
      </c>
      <c r="E599" s="4">
        <v>206590</v>
      </c>
      <c r="G599" s="12">
        <f t="shared" si="80"/>
        <v>2012</v>
      </c>
      <c r="H599" s="12">
        <f t="shared" si="81"/>
        <v>8</v>
      </c>
      <c r="I599" s="11">
        <f t="shared" si="82"/>
        <v>20</v>
      </c>
      <c r="J599" s="11"/>
    </row>
    <row r="600" spans="1:10" x14ac:dyDescent="0.25">
      <c r="A600" s="2">
        <v>41138</v>
      </c>
      <c r="B600" s="3">
        <v>706</v>
      </c>
      <c r="C600" s="4">
        <v>331820</v>
      </c>
      <c r="D600" s="3">
        <v>324</v>
      </c>
      <c r="E600" s="4">
        <v>236520</v>
      </c>
      <c r="G600" s="12">
        <f t="shared" si="80"/>
        <v>2012</v>
      </c>
      <c r="H600" s="12">
        <f t="shared" si="81"/>
        <v>8</v>
      </c>
      <c r="I600" s="11">
        <f t="shared" si="82"/>
        <v>20</v>
      </c>
      <c r="J600" s="11"/>
    </row>
    <row r="601" spans="1:10" x14ac:dyDescent="0.25">
      <c r="A601" s="2">
        <v>41139</v>
      </c>
      <c r="B601" s="3">
        <v>690</v>
      </c>
      <c r="C601" s="4">
        <v>324300</v>
      </c>
      <c r="D601" s="3">
        <v>233</v>
      </c>
      <c r="E601" s="4">
        <v>170090</v>
      </c>
      <c r="G601" s="12">
        <f t="shared" si="80"/>
        <v>2012</v>
      </c>
      <c r="H601" s="12">
        <f t="shared" si="81"/>
        <v>8</v>
      </c>
      <c r="I601" s="11">
        <f t="shared" si="82"/>
        <v>20</v>
      </c>
      <c r="J601" s="11"/>
    </row>
    <row r="602" spans="1:10" x14ac:dyDescent="0.25">
      <c r="A602" s="2">
        <v>41140</v>
      </c>
      <c r="B602" s="3">
        <v>557</v>
      </c>
      <c r="C602" s="4">
        <v>261790</v>
      </c>
      <c r="D602" s="3">
        <v>209</v>
      </c>
      <c r="E602" s="4">
        <v>152570</v>
      </c>
      <c r="G602" s="12">
        <f t="shared" si="80"/>
        <v>2012</v>
      </c>
      <c r="H602" s="12">
        <f t="shared" si="81"/>
        <v>8</v>
      </c>
      <c r="I602" s="11">
        <f t="shared" si="82"/>
        <v>20</v>
      </c>
      <c r="J602" s="11"/>
    </row>
    <row r="603" spans="1:10" x14ac:dyDescent="0.25">
      <c r="A603" s="2">
        <v>41141</v>
      </c>
      <c r="B603" s="3">
        <v>748</v>
      </c>
      <c r="C603" s="4">
        <v>351560</v>
      </c>
      <c r="D603" s="3">
        <v>320</v>
      </c>
      <c r="E603" s="4">
        <v>233600</v>
      </c>
      <c r="G603" s="12">
        <f t="shared" si="80"/>
        <v>2012</v>
      </c>
      <c r="H603" s="12">
        <f t="shared" si="81"/>
        <v>8</v>
      </c>
      <c r="I603" s="11">
        <f t="shared" si="82"/>
        <v>20</v>
      </c>
      <c r="J603" s="11"/>
    </row>
    <row r="604" spans="1:10" x14ac:dyDescent="0.25">
      <c r="A604" s="2">
        <v>41142</v>
      </c>
      <c r="B604" s="3">
        <v>690</v>
      </c>
      <c r="C604" s="4">
        <v>324300</v>
      </c>
      <c r="D604" s="3">
        <v>254</v>
      </c>
      <c r="E604" s="4">
        <v>185420</v>
      </c>
      <c r="G604" s="12">
        <f t="shared" si="80"/>
        <v>2012</v>
      </c>
      <c r="H604" s="12">
        <f t="shared" si="81"/>
        <v>8</v>
      </c>
      <c r="I604" s="11">
        <f t="shared" si="82"/>
        <v>20</v>
      </c>
      <c r="J604" s="11"/>
    </row>
    <row r="605" spans="1:10" x14ac:dyDescent="0.25">
      <c r="A605" s="2">
        <v>41143</v>
      </c>
      <c r="B605" s="3">
        <v>639</v>
      </c>
      <c r="C605" s="4">
        <v>300330</v>
      </c>
      <c r="D605" s="3">
        <v>274</v>
      </c>
      <c r="E605" s="4">
        <v>200020</v>
      </c>
      <c r="G605" s="12">
        <f t="shared" si="80"/>
        <v>2012</v>
      </c>
      <c r="H605" s="12">
        <f t="shared" si="81"/>
        <v>8</v>
      </c>
      <c r="I605" s="11">
        <f t="shared" si="82"/>
        <v>20</v>
      </c>
      <c r="J605" s="11"/>
    </row>
    <row r="606" spans="1:10" x14ac:dyDescent="0.25">
      <c r="A606" s="2">
        <v>41144</v>
      </c>
      <c r="B606" s="3">
        <v>694</v>
      </c>
      <c r="C606" s="4">
        <v>326180</v>
      </c>
      <c r="D606" s="3">
        <v>301</v>
      </c>
      <c r="E606" s="4">
        <v>219730</v>
      </c>
      <c r="G606" s="12">
        <f t="shared" si="80"/>
        <v>2012</v>
      </c>
      <c r="H606" s="12">
        <f t="shared" si="81"/>
        <v>8</v>
      </c>
      <c r="I606" s="11">
        <f t="shared" si="82"/>
        <v>20</v>
      </c>
      <c r="J606" s="11"/>
    </row>
    <row r="607" spans="1:10" x14ac:dyDescent="0.25">
      <c r="A607" s="2">
        <v>41145</v>
      </c>
      <c r="B607" s="3">
        <v>737</v>
      </c>
      <c r="C607" s="4">
        <v>346390</v>
      </c>
      <c r="D607" s="3">
        <v>272</v>
      </c>
      <c r="E607" s="4">
        <v>198560</v>
      </c>
      <c r="G607" s="12">
        <f t="shared" si="80"/>
        <v>2012</v>
      </c>
      <c r="H607" s="12">
        <f t="shared" si="81"/>
        <v>8</v>
      </c>
      <c r="I607" s="11">
        <f t="shared" si="82"/>
        <v>20</v>
      </c>
      <c r="J607" s="11"/>
    </row>
    <row r="608" spans="1:10" x14ac:dyDescent="0.25">
      <c r="A608" s="2">
        <v>41146</v>
      </c>
      <c r="B608" s="3">
        <v>593</v>
      </c>
      <c r="C608" s="4">
        <v>278710</v>
      </c>
      <c r="D608" s="3">
        <v>254</v>
      </c>
      <c r="E608" s="4">
        <v>185420</v>
      </c>
      <c r="G608" s="12">
        <f t="shared" si="80"/>
        <v>2012</v>
      </c>
      <c r="H608" s="12">
        <f t="shared" si="81"/>
        <v>8</v>
      </c>
      <c r="I608" s="11">
        <f t="shared" si="82"/>
        <v>20</v>
      </c>
      <c r="J608" s="11"/>
    </row>
    <row r="609" spans="1:10" x14ac:dyDescent="0.25">
      <c r="A609" s="2">
        <v>41147</v>
      </c>
      <c r="B609" s="3">
        <v>544</v>
      </c>
      <c r="C609" s="4">
        <v>255680</v>
      </c>
      <c r="D609" s="3">
        <v>284</v>
      </c>
      <c r="E609" s="4">
        <v>207320</v>
      </c>
      <c r="G609" s="12">
        <f t="shared" si="80"/>
        <v>2012</v>
      </c>
      <c r="H609" s="12">
        <f t="shared" si="81"/>
        <v>8</v>
      </c>
      <c r="I609" s="11">
        <f t="shared" si="82"/>
        <v>20</v>
      </c>
      <c r="J609" s="11"/>
    </row>
    <row r="610" spans="1:10" x14ac:dyDescent="0.25">
      <c r="A610" s="2">
        <v>41148</v>
      </c>
      <c r="B610" s="3">
        <v>796</v>
      </c>
      <c r="C610" s="4">
        <v>374120</v>
      </c>
      <c r="D610" s="3">
        <v>243</v>
      </c>
      <c r="E610" s="4">
        <v>177390</v>
      </c>
      <c r="G610" s="12">
        <f t="shared" si="80"/>
        <v>2012</v>
      </c>
      <c r="H610" s="12">
        <f t="shared" si="81"/>
        <v>8</v>
      </c>
      <c r="I610" s="11">
        <f t="shared" si="82"/>
        <v>20</v>
      </c>
      <c r="J610" s="11"/>
    </row>
    <row r="611" spans="1:10" x14ac:dyDescent="0.25">
      <c r="A611" s="2">
        <v>41149</v>
      </c>
      <c r="B611" s="3">
        <v>628</v>
      </c>
      <c r="C611" s="4">
        <v>295160</v>
      </c>
      <c r="D611" s="3">
        <v>300</v>
      </c>
      <c r="E611" s="4">
        <v>219000</v>
      </c>
      <c r="G611" s="12">
        <f t="shared" si="80"/>
        <v>2012</v>
      </c>
      <c r="H611" s="12">
        <f t="shared" si="81"/>
        <v>8</v>
      </c>
      <c r="I611" s="11">
        <f t="shared" si="82"/>
        <v>20</v>
      </c>
      <c r="J611" s="11"/>
    </row>
    <row r="612" spans="1:10" x14ac:dyDescent="0.25">
      <c r="A612" s="2">
        <v>41150</v>
      </c>
      <c r="B612" s="3">
        <v>775</v>
      </c>
      <c r="C612" s="4">
        <v>364250</v>
      </c>
      <c r="D612" s="3">
        <v>320</v>
      </c>
      <c r="E612" s="4">
        <v>233600</v>
      </c>
      <c r="G612" s="12">
        <f t="shared" si="80"/>
        <v>2012</v>
      </c>
      <c r="H612" s="12">
        <f t="shared" si="81"/>
        <v>8</v>
      </c>
      <c r="I612" s="11">
        <f t="shared" si="82"/>
        <v>20</v>
      </c>
      <c r="J612" s="11"/>
    </row>
    <row r="613" spans="1:10" x14ac:dyDescent="0.25">
      <c r="A613" s="2">
        <v>41151</v>
      </c>
      <c r="B613" s="3">
        <v>766</v>
      </c>
      <c r="C613" s="4">
        <v>360020</v>
      </c>
      <c r="D613" s="3">
        <v>342</v>
      </c>
      <c r="E613" s="4">
        <v>249660</v>
      </c>
      <c r="G613" s="12">
        <f t="shared" si="80"/>
        <v>2012</v>
      </c>
      <c r="H613" s="12">
        <f t="shared" si="81"/>
        <v>8</v>
      </c>
      <c r="I613" s="11">
        <f t="shared" si="82"/>
        <v>20</v>
      </c>
      <c r="J613" s="11"/>
    </row>
    <row r="614" spans="1:10" x14ac:dyDescent="0.25">
      <c r="A614" s="2">
        <v>41152</v>
      </c>
      <c r="B614" s="3">
        <v>698</v>
      </c>
      <c r="C614" s="4">
        <v>328060</v>
      </c>
      <c r="D614" s="3">
        <v>324</v>
      </c>
      <c r="E614" s="4">
        <v>236520</v>
      </c>
      <c r="G614" s="12">
        <f t="shared" si="80"/>
        <v>2012</v>
      </c>
      <c r="H614" s="12">
        <f t="shared" si="81"/>
        <v>8</v>
      </c>
      <c r="I614" s="11">
        <f t="shared" si="82"/>
        <v>20</v>
      </c>
      <c r="J614" s="11"/>
    </row>
    <row r="615" spans="1:10" x14ac:dyDescent="0.25">
      <c r="A615" s="2">
        <v>41153</v>
      </c>
      <c r="B615" s="3">
        <v>609</v>
      </c>
      <c r="C615" s="4">
        <v>286230</v>
      </c>
      <c r="D615" s="3">
        <v>276</v>
      </c>
      <c r="E615" s="4">
        <v>201480</v>
      </c>
      <c r="G615" s="12">
        <f t="shared" si="80"/>
        <v>2012</v>
      </c>
      <c r="H615" s="12">
        <f t="shared" si="81"/>
        <v>9</v>
      </c>
      <c r="I615" s="11">
        <f t="shared" si="82"/>
        <v>21</v>
      </c>
      <c r="J615" s="11"/>
    </row>
    <row r="616" spans="1:10" x14ac:dyDescent="0.25">
      <c r="A616" s="2">
        <v>41154</v>
      </c>
      <c r="B616" s="3">
        <v>641</v>
      </c>
      <c r="C616" s="4">
        <v>301270</v>
      </c>
      <c r="D616" s="3">
        <v>288</v>
      </c>
      <c r="E616" s="4">
        <v>210240</v>
      </c>
      <c r="G616" s="12">
        <f t="shared" si="80"/>
        <v>2012</v>
      </c>
      <c r="H616" s="12">
        <f t="shared" si="81"/>
        <v>9</v>
      </c>
      <c r="I616" s="11">
        <f t="shared" si="82"/>
        <v>21</v>
      </c>
      <c r="J616" s="11"/>
    </row>
    <row r="617" spans="1:10" x14ac:dyDescent="0.25">
      <c r="A617" s="2">
        <v>41155</v>
      </c>
      <c r="B617" s="3">
        <v>623</v>
      </c>
      <c r="C617" s="4">
        <v>292810</v>
      </c>
      <c r="D617" s="3">
        <v>280</v>
      </c>
      <c r="E617" s="4">
        <v>204400</v>
      </c>
      <c r="G617" s="12">
        <f t="shared" si="80"/>
        <v>2012</v>
      </c>
      <c r="H617" s="12">
        <f t="shared" si="81"/>
        <v>9</v>
      </c>
      <c r="I617" s="11">
        <f t="shared" si="82"/>
        <v>21</v>
      </c>
      <c r="J617" s="11"/>
    </row>
    <row r="618" spans="1:10" x14ac:dyDescent="0.25">
      <c r="A618" s="2">
        <v>41156</v>
      </c>
      <c r="B618" s="3">
        <v>627</v>
      </c>
      <c r="C618" s="4">
        <v>294690</v>
      </c>
      <c r="D618" s="3">
        <v>278</v>
      </c>
      <c r="E618" s="4">
        <v>202940</v>
      </c>
      <c r="G618" s="12">
        <f t="shared" si="80"/>
        <v>2012</v>
      </c>
      <c r="H618" s="12">
        <f t="shared" si="81"/>
        <v>9</v>
      </c>
      <c r="I618" s="11">
        <f t="shared" si="82"/>
        <v>21</v>
      </c>
      <c r="J618" s="11"/>
    </row>
    <row r="619" spans="1:10" x14ac:dyDescent="0.25">
      <c r="A619" s="2">
        <v>41157</v>
      </c>
      <c r="B619" s="3">
        <v>803</v>
      </c>
      <c r="C619" s="4">
        <v>377410</v>
      </c>
      <c r="D619" s="3">
        <v>316</v>
      </c>
      <c r="E619" s="4">
        <v>230680</v>
      </c>
      <c r="G619" s="12">
        <f t="shared" si="80"/>
        <v>2012</v>
      </c>
      <c r="H619" s="12">
        <f t="shared" si="81"/>
        <v>9</v>
      </c>
      <c r="I619" s="11">
        <f t="shared" si="82"/>
        <v>21</v>
      </c>
      <c r="J619" s="11"/>
    </row>
    <row r="620" spans="1:10" x14ac:dyDescent="0.25">
      <c r="A620" s="2">
        <v>41158</v>
      </c>
      <c r="B620" s="3">
        <v>722</v>
      </c>
      <c r="C620" s="4">
        <v>339340</v>
      </c>
      <c r="D620" s="3">
        <v>283</v>
      </c>
      <c r="E620" s="4">
        <v>206590</v>
      </c>
      <c r="G620" s="12">
        <f t="shared" si="80"/>
        <v>2012</v>
      </c>
      <c r="H620" s="12">
        <f t="shared" si="81"/>
        <v>9</v>
      </c>
      <c r="I620" s="11">
        <f t="shared" si="82"/>
        <v>21</v>
      </c>
      <c r="J620" s="11"/>
    </row>
    <row r="621" spans="1:10" x14ac:dyDescent="0.25">
      <c r="A621" s="2">
        <v>41159</v>
      </c>
      <c r="B621" s="3">
        <v>729</v>
      </c>
      <c r="C621" s="4">
        <v>342630</v>
      </c>
      <c r="D621" s="3">
        <v>282</v>
      </c>
      <c r="E621" s="4">
        <v>205860</v>
      </c>
      <c r="G621" s="12">
        <f t="shared" si="80"/>
        <v>2012</v>
      </c>
      <c r="H621" s="12">
        <f t="shared" si="81"/>
        <v>9</v>
      </c>
      <c r="I621" s="11">
        <f t="shared" si="82"/>
        <v>21</v>
      </c>
      <c r="J621" s="11"/>
    </row>
    <row r="622" spans="1:10" x14ac:dyDescent="0.25">
      <c r="A622" s="2">
        <v>41160</v>
      </c>
      <c r="B622" s="3">
        <v>791</v>
      </c>
      <c r="C622" s="4">
        <v>371770</v>
      </c>
      <c r="D622" s="3">
        <v>309</v>
      </c>
      <c r="E622" s="4">
        <v>225570</v>
      </c>
      <c r="G622" s="12">
        <f t="shared" si="80"/>
        <v>2012</v>
      </c>
      <c r="H622" s="12">
        <f t="shared" si="81"/>
        <v>9</v>
      </c>
      <c r="I622" s="11">
        <f t="shared" si="82"/>
        <v>21</v>
      </c>
      <c r="J622" s="11"/>
    </row>
    <row r="623" spans="1:10" x14ac:dyDescent="0.25">
      <c r="A623" s="2">
        <v>41161</v>
      </c>
      <c r="B623" s="3">
        <v>730</v>
      </c>
      <c r="C623" s="4">
        <v>343100</v>
      </c>
      <c r="D623" s="3">
        <v>338</v>
      </c>
      <c r="E623" s="4">
        <v>246740</v>
      </c>
      <c r="G623" s="12">
        <f t="shared" si="80"/>
        <v>2012</v>
      </c>
      <c r="H623" s="12">
        <f t="shared" si="81"/>
        <v>9</v>
      </c>
      <c r="I623" s="11">
        <f t="shared" si="82"/>
        <v>21</v>
      </c>
      <c r="J623" s="11"/>
    </row>
    <row r="624" spans="1:10" x14ac:dyDescent="0.25">
      <c r="A624" s="2">
        <v>41162</v>
      </c>
      <c r="B624" s="3">
        <v>687</v>
      </c>
      <c r="C624" s="4">
        <v>322890</v>
      </c>
      <c r="D624" s="3">
        <v>332</v>
      </c>
      <c r="E624" s="4">
        <v>242360</v>
      </c>
      <c r="G624" s="12">
        <f t="shared" si="80"/>
        <v>2012</v>
      </c>
      <c r="H624" s="12">
        <f t="shared" si="81"/>
        <v>9</v>
      </c>
      <c r="I624" s="11">
        <f t="shared" si="82"/>
        <v>21</v>
      </c>
      <c r="J624" s="11"/>
    </row>
    <row r="625" spans="1:10" x14ac:dyDescent="0.25">
      <c r="A625" s="2">
        <v>41163</v>
      </c>
      <c r="B625" s="3">
        <v>690</v>
      </c>
      <c r="C625" s="4">
        <v>324300</v>
      </c>
      <c r="D625" s="3">
        <v>331</v>
      </c>
      <c r="E625" s="4">
        <v>241630</v>
      </c>
      <c r="G625" s="12">
        <f t="shared" si="80"/>
        <v>2012</v>
      </c>
      <c r="H625" s="12">
        <f t="shared" si="81"/>
        <v>9</v>
      </c>
      <c r="I625" s="11">
        <f t="shared" si="82"/>
        <v>21</v>
      </c>
      <c r="J625" s="11"/>
    </row>
    <row r="626" spans="1:10" x14ac:dyDescent="0.25">
      <c r="A626" s="2">
        <v>41164</v>
      </c>
      <c r="B626" s="3">
        <v>663</v>
      </c>
      <c r="C626" s="4">
        <v>311610</v>
      </c>
      <c r="D626" s="3">
        <v>295</v>
      </c>
      <c r="E626" s="4">
        <v>215350</v>
      </c>
      <c r="G626" s="12">
        <f t="shared" si="80"/>
        <v>2012</v>
      </c>
      <c r="H626" s="12">
        <f t="shared" si="81"/>
        <v>9</v>
      </c>
      <c r="I626" s="11">
        <f t="shared" si="82"/>
        <v>21</v>
      </c>
      <c r="J626" s="11"/>
    </row>
    <row r="627" spans="1:10" x14ac:dyDescent="0.25">
      <c r="A627" s="2">
        <v>41165</v>
      </c>
      <c r="B627" s="3">
        <v>717</v>
      </c>
      <c r="C627" s="4">
        <v>336990</v>
      </c>
      <c r="D627" s="3">
        <v>285</v>
      </c>
      <c r="E627" s="4">
        <v>208050</v>
      </c>
      <c r="G627" s="12">
        <f t="shared" si="80"/>
        <v>2012</v>
      </c>
      <c r="H627" s="12">
        <f t="shared" si="81"/>
        <v>9</v>
      </c>
      <c r="I627" s="11">
        <f t="shared" si="82"/>
        <v>21</v>
      </c>
      <c r="J627" s="11"/>
    </row>
    <row r="628" spans="1:10" x14ac:dyDescent="0.25">
      <c r="A628" s="2">
        <v>41166</v>
      </c>
      <c r="B628" s="3">
        <v>691</v>
      </c>
      <c r="C628" s="4">
        <v>324770</v>
      </c>
      <c r="D628" s="3">
        <v>312</v>
      </c>
      <c r="E628" s="4">
        <v>227760</v>
      </c>
      <c r="G628" s="12">
        <f t="shared" si="80"/>
        <v>2012</v>
      </c>
      <c r="H628" s="12">
        <f t="shared" si="81"/>
        <v>9</v>
      </c>
      <c r="I628" s="11">
        <f t="shared" si="82"/>
        <v>21</v>
      </c>
      <c r="J628" s="11"/>
    </row>
    <row r="629" spans="1:10" x14ac:dyDescent="0.25">
      <c r="A629" s="2">
        <v>41167</v>
      </c>
      <c r="B629" s="3">
        <v>603</v>
      </c>
      <c r="C629" s="4">
        <v>283410</v>
      </c>
      <c r="D629" s="3">
        <v>304</v>
      </c>
      <c r="E629" s="4">
        <v>221920</v>
      </c>
      <c r="G629" s="12">
        <f t="shared" si="80"/>
        <v>2012</v>
      </c>
      <c r="H629" s="12">
        <f t="shared" si="81"/>
        <v>9</v>
      </c>
      <c r="I629" s="11">
        <f t="shared" si="82"/>
        <v>21</v>
      </c>
      <c r="J629" s="11"/>
    </row>
    <row r="630" spans="1:10" x14ac:dyDescent="0.25">
      <c r="A630" s="2">
        <v>41168</v>
      </c>
      <c r="B630" s="3">
        <v>643</v>
      </c>
      <c r="C630" s="4">
        <v>302210</v>
      </c>
      <c r="D630" s="3">
        <v>306</v>
      </c>
      <c r="E630" s="4">
        <v>223380</v>
      </c>
      <c r="G630" s="12">
        <f t="shared" si="80"/>
        <v>2012</v>
      </c>
      <c r="H630" s="12">
        <f t="shared" si="81"/>
        <v>9</v>
      </c>
      <c r="I630" s="11">
        <f t="shared" si="82"/>
        <v>21</v>
      </c>
      <c r="J630" s="11"/>
    </row>
    <row r="631" spans="1:10" x14ac:dyDescent="0.25">
      <c r="A631" s="2">
        <v>41169</v>
      </c>
      <c r="B631" s="3">
        <v>775</v>
      </c>
      <c r="C631" s="4">
        <v>364250</v>
      </c>
      <c r="D631" s="3">
        <v>293</v>
      </c>
      <c r="E631" s="4">
        <v>213890</v>
      </c>
      <c r="G631" s="12">
        <f t="shared" si="80"/>
        <v>2012</v>
      </c>
      <c r="H631" s="12">
        <f t="shared" si="81"/>
        <v>9</v>
      </c>
      <c r="I631" s="11">
        <f t="shared" si="82"/>
        <v>21</v>
      </c>
      <c r="J631" s="11"/>
    </row>
    <row r="632" spans="1:10" x14ac:dyDescent="0.25">
      <c r="A632" s="2">
        <v>41170</v>
      </c>
      <c r="B632" s="3">
        <v>712</v>
      </c>
      <c r="C632" s="4">
        <v>334640</v>
      </c>
      <c r="D632" s="3">
        <v>296</v>
      </c>
      <c r="E632" s="4">
        <v>216080</v>
      </c>
      <c r="G632" s="12">
        <f t="shared" si="80"/>
        <v>2012</v>
      </c>
      <c r="H632" s="12">
        <f t="shared" si="81"/>
        <v>9</v>
      </c>
      <c r="I632" s="11">
        <f t="shared" si="82"/>
        <v>21</v>
      </c>
      <c r="J632" s="11"/>
    </row>
    <row r="633" spans="1:10" x14ac:dyDescent="0.25">
      <c r="A633" s="2">
        <v>41171</v>
      </c>
      <c r="B633" s="3">
        <v>778</v>
      </c>
      <c r="C633" s="4">
        <v>365660</v>
      </c>
      <c r="D633" s="3">
        <v>291</v>
      </c>
      <c r="E633" s="4">
        <v>212430</v>
      </c>
      <c r="G633" s="12">
        <f t="shared" si="80"/>
        <v>2012</v>
      </c>
      <c r="H633" s="12">
        <f t="shared" si="81"/>
        <v>9</v>
      </c>
      <c r="I633" s="11">
        <f t="shared" si="82"/>
        <v>21</v>
      </c>
      <c r="J633" s="11"/>
    </row>
    <row r="634" spans="1:10" x14ac:dyDescent="0.25">
      <c r="A634" s="2">
        <v>41172</v>
      </c>
      <c r="B634" s="3">
        <v>767</v>
      </c>
      <c r="C634" s="4">
        <v>360490</v>
      </c>
      <c r="D634" s="3">
        <v>296</v>
      </c>
      <c r="E634" s="4">
        <v>216080</v>
      </c>
      <c r="G634" s="12">
        <f t="shared" si="80"/>
        <v>2012</v>
      </c>
      <c r="H634" s="12">
        <f t="shared" si="81"/>
        <v>9</v>
      </c>
      <c r="I634" s="11">
        <f t="shared" si="82"/>
        <v>21</v>
      </c>
      <c r="J634" s="11"/>
    </row>
    <row r="635" spans="1:10" x14ac:dyDescent="0.25">
      <c r="A635" s="2">
        <v>41173</v>
      </c>
      <c r="B635" s="3">
        <v>628</v>
      </c>
      <c r="C635" s="4">
        <v>295160</v>
      </c>
      <c r="D635" s="3">
        <v>261</v>
      </c>
      <c r="E635" s="4">
        <v>190530</v>
      </c>
      <c r="G635" s="12">
        <f t="shared" si="80"/>
        <v>2012</v>
      </c>
      <c r="H635" s="12">
        <f t="shared" si="81"/>
        <v>9</v>
      </c>
      <c r="I635" s="11">
        <f t="shared" si="82"/>
        <v>21</v>
      </c>
      <c r="J635" s="11"/>
    </row>
    <row r="636" spans="1:10" x14ac:dyDescent="0.25">
      <c r="A636" s="2">
        <v>41174</v>
      </c>
      <c r="B636" s="3">
        <v>804</v>
      </c>
      <c r="C636" s="4">
        <v>377880</v>
      </c>
      <c r="D636" s="3">
        <v>315</v>
      </c>
      <c r="E636" s="4">
        <v>229950</v>
      </c>
      <c r="G636" s="12">
        <f t="shared" si="80"/>
        <v>2012</v>
      </c>
      <c r="H636" s="12">
        <f t="shared" si="81"/>
        <v>9</v>
      </c>
      <c r="I636" s="11">
        <f t="shared" si="82"/>
        <v>21</v>
      </c>
      <c r="J636" s="11"/>
    </row>
    <row r="637" spans="1:10" x14ac:dyDescent="0.25">
      <c r="A637" s="2">
        <v>41175</v>
      </c>
      <c r="B637" s="3">
        <v>724</v>
      </c>
      <c r="C637" s="4">
        <v>340280</v>
      </c>
      <c r="D637" s="3">
        <v>303</v>
      </c>
      <c r="E637" s="4">
        <v>221190</v>
      </c>
      <c r="G637" s="12">
        <f t="shared" si="80"/>
        <v>2012</v>
      </c>
      <c r="H637" s="12">
        <f t="shared" si="81"/>
        <v>9</v>
      </c>
      <c r="I637" s="11">
        <f t="shared" si="82"/>
        <v>21</v>
      </c>
      <c r="J637" s="11"/>
    </row>
    <row r="638" spans="1:10" x14ac:dyDescent="0.25">
      <c r="A638" s="2">
        <v>41176</v>
      </c>
      <c r="B638" s="3">
        <v>677</v>
      </c>
      <c r="C638" s="4">
        <v>318190</v>
      </c>
      <c r="D638" s="3">
        <v>266</v>
      </c>
      <c r="E638" s="4">
        <v>194180</v>
      </c>
      <c r="G638" s="12">
        <f t="shared" si="80"/>
        <v>2012</v>
      </c>
      <c r="H638" s="12">
        <f t="shared" si="81"/>
        <v>9</v>
      </c>
      <c r="I638" s="11">
        <f t="shared" si="82"/>
        <v>21</v>
      </c>
      <c r="J638" s="11"/>
    </row>
    <row r="639" spans="1:10" x14ac:dyDescent="0.25">
      <c r="A639" s="2">
        <v>41177</v>
      </c>
      <c r="B639" s="3">
        <v>785</v>
      </c>
      <c r="C639" s="4">
        <v>368950</v>
      </c>
      <c r="D639" s="3">
        <v>314</v>
      </c>
      <c r="E639" s="4">
        <v>229220</v>
      </c>
      <c r="G639" s="12">
        <f t="shared" si="80"/>
        <v>2012</v>
      </c>
      <c r="H639" s="12">
        <f t="shared" si="81"/>
        <v>9</v>
      </c>
      <c r="I639" s="11">
        <f t="shared" si="82"/>
        <v>21</v>
      </c>
      <c r="J639" s="11"/>
    </row>
    <row r="640" spans="1:10" x14ac:dyDescent="0.25">
      <c r="A640" s="2">
        <v>41178</v>
      </c>
      <c r="B640" s="3">
        <v>842</v>
      </c>
      <c r="C640" s="4">
        <v>395740</v>
      </c>
      <c r="D640" s="3">
        <v>376</v>
      </c>
      <c r="E640" s="4">
        <v>274480</v>
      </c>
      <c r="G640" s="12">
        <f t="shared" si="80"/>
        <v>2012</v>
      </c>
      <c r="H640" s="12">
        <f t="shared" si="81"/>
        <v>9</v>
      </c>
      <c r="I640" s="11">
        <f t="shared" si="82"/>
        <v>21</v>
      </c>
      <c r="J640" s="11"/>
    </row>
    <row r="641" spans="1:10" x14ac:dyDescent="0.25">
      <c r="A641" s="2">
        <v>41179</v>
      </c>
      <c r="B641" s="3">
        <v>617</v>
      </c>
      <c r="C641" s="4">
        <v>289990</v>
      </c>
      <c r="D641" s="3">
        <v>315</v>
      </c>
      <c r="E641" s="4">
        <v>229950</v>
      </c>
      <c r="G641" s="12">
        <f t="shared" si="80"/>
        <v>2012</v>
      </c>
      <c r="H641" s="12">
        <f t="shared" si="81"/>
        <v>9</v>
      </c>
      <c r="I641" s="11">
        <f t="shared" si="82"/>
        <v>21</v>
      </c>
      <c r="J641" s="11"/>
    </row>
    <row r="642" spans="1:10" x14ac:dyDescent="0.25">
      <c r="A642" s="2">
        <v>41180</v>
      </c>
      <c r="B642" s="3">
        <v>741</v>
      </c>
      <c r="C642" s="4">
        <v>348270</v>
      </c>
      <c r="D642" s="3">
        <v>288</v>
      </c>
      <c r="E642" s="4">
        <v>210240</v>
      </c>
      <c r="G642" s="12">
        <f t="shared" si="80"/>
        <v>2012</v>
      </c>
      <c r="H642" s="12">
        <f t="shared" si="81"/>
        <v>9</v>
      </c>
      <c r="I642" s="11">
        <f t="shared" si="82"/>
        <v>21</v>
      </c>
      <c r="J642" s="11"/>
    </row>
    <row r="643" spans="1:10" x14ac:dyDescent="0.25">
      <c r="A643" s="2">
        <v>41181</v>
      </c>
      <c r="B643" s="3">
        <v>649</v>
      </c>
      <c r="C643" s="4">
        <v>305030</v>
      </c>
      <c r="D643" s="3">
        <v>294</v>
      </c>
      <c r="E643" s="4">
        <v>214620</v>
      </c>
      <c r="G643" s="12">
        <f t="shared" si="80"/>
        <v>2012</v>
      </c>
      <c r="H643" s="12">
        <f t="shared" si="81"/>
        <v>9</v>
      </c>
      <c r="I643" s="11">
        <f t="shared" si="82"/>
        <v>21</v>
      </c>
      <c r="J643" s="11"/>
    </row>
    <row r="644" spans="1:10" x14ac:dyDescent="0.25">
      <c r="A644" s="2">
        <v>41182</v>
      </c>
      <c r="B644" s="3">
        <v>630</v>
      </c>
      <c r="C644" s="4">
        <v>296100</v>
      </c>
      <c r="D644" s="3">
        <v>296</v>
      </c>
      <c r="E644" s="4">
        <v>216080</v>
      </c>
      <c r="G644" s="12">
        <f t="shared" si="80"/>
        <v>2012</v>
      </c>
      <c r="H644" s="12">
        <f t="shared" si="81"/>
        <v>9</v>
      </c>
      <c r="I644" s="11">
        <f t="shared" si="82"/>
        <v>21</v>
      </c>
      <c r="J644" s="11"/>
    </row>
    <row r="645" spans="1:10" x14ac:dyDescent="0.25">
      <c r="A645" s="2">
        <v>41183</v>
      </c>
      <c r="B645" s="3">
        <v>558</v>
      </c>
      <c r="C645" s="4">
        <v>163912.5</v>
      </c>
      <c r="D645" s="3">
        <v>262</v>
      </c>
      <c r="E645" s="4">
        <v>191260</v>
      </c>
      <c r="G645" s="12">
        <f t="shared" si="80"/>
        <v>2012</v>
      </c>
      <c r="H645" s="12">
        <f t="shared" si="81"/>
        <v>10</v>
      </c>
      <c r="I645" s="11">
        <f t="shared" si="82"/>
        <v>22</v>
      </c>
      <c r="J645" s="11"/>
    </row>
    <row r="646" spans="1:10" x14ac:dyDescent="0.25">
      <c r="A646" s="2">
        <v>41184</v>
      </c>
      <c r="B646" s="3">
        <v>592</v>
      </c>
      <c r="C646" s="4">
        <v>173900</v>
      </c>
      <c r="D646" s="3">
        <v>281</v>
      </c>
      <c r="E646" s="4">
        <v>205130</v>
      </c>
      <c r="G646" s="12">
        <f t="shared" ref="G646:G709" si="83">+YEAR(A646)</f>
        <v>2012</v>
      </c>
      <c r="H646" s="12">
        <f t="shared" ref="H646:H709" si="84">+MONTH(A646)</f>
        <v>10</v>
      </c>
      <c r="I646" s="11">
        <f t="shared" si="82"/>
        <v>22</v>
      </c>
      <c r="J646" s="11"/>
    </row>
    <row r="647" spans="1:10" x14ac:dyDescent="0.25">
      <c r="A647" s="2">
        <v>41185</v>
      </c>
      <c r="B647" s="3">
        <v>509</v>
      </c>
      <c r="C647" s="4">
        <v>149518.75</v>
      </c>
      <c r="D647" s="3">
        <v>289</v>
      </c>
      <c r="E647" s="4">
        <v>210970</v>
      </c>
      <c r="G647" s="12">
        <f t="shared" si="83"/>
        <v>2012</v>
      </c>
      <c r="H647" s="12">
        <f t="shared" si="84"/>
        <v>10</v>
      </c>
      <c r="I647" s="11">
        <f t="shared" ref="I647:I710" si="85">+H647+(G647-2011)*12</f>
        <v>22</v>
      </c>
      <c r="J647" s="11"/>
    </row>
    <row r="648" spans="1:10" x14ac:dyDescent="0.25">
      <c r="A648" s="2">
        <v>41186</v>
      </c>
      <c r="B648" s="3">
        <v>527</v>
      </c>
      <c r="C648" s="4">
        <v>154806.25</v>
      </c>
      <c r="D648" s="3">
        <v>250</v>
      </c>
      <c r="E648" s="4">
        <v>182500</v>
      </c>
      <c r="G648" s="12">
        <f t="shared" si="83"/>
        <v>2012</v>
      </c>
      <c r="H648" s="12">
        <f t="shared" si="84"/>
        <v>10</v>
      </c>
      <c r="I648" s="11">
        <f t="shared" si="85"/>
        <v>22</v>
      </c>
      <c r="J648" s="11"/>
    </row>
    <row r="649" spans="1:10" x14ac:dyDescent="0.25">
      <c r="A649" s="2">
        <v>41187</v>
      </c>
      <c r="B649" s="3">
        <v>549</v>
      </c>
      <c r="C649" s="4">
        <v>161268.75</v>
      </c>
      <c r="D649" s="3">
        <v>304</v>
      </c>
      <c r="E649" s="4">
        <v>221920</v>
      </c>
      <c r="G649" s="12">
        <f t="shared" si="83"/>
        <v>2012</v>
      </c>
      <c r="H649" s="12">
        <f t="shared" si="84"/>
        <v>10</v>
      </c>
      <c r="I649" s="11">
        <f t="shared" si="85"/>
        <v>22</v>
      </c>
      <c r="J649" s="11"/>
    </row>
    <row r="650" spans="1:10" x14ac:dyDescent="0.25">
      <c r="A650" s="2">
        <v>41188</v>
      </c>
      <c r="B650" s="3">
        <v>596</v>
      </c>
      <c r="C650" s="4">
        <v>175075</v>
      </c>
      <c r="D650" s="3">
        <v>291</v>
      </c>
      <c r="E650" s="4">
        <v>212430</v>
      </c>
      <c r="G650" s="12">
        <f t="shared" si="83"/>
        <v>2012</v>
      </c>
      <c r="H650" s="12">
        <f t="shared" si="84"/>
        <v>10</v>
      </c>
      <c r="I650" s="11">
        <f t="shared" si="85"/>
        <v>22</v>
      </c>
      <c r="J650" s="11"/>
    </row>
    <row r="651" spans="1:10" x14ac:dyDescent="0.25">
      <c r="A651" s="2">
        <v>41189</v>
      </c>
      <c r="B651" s="3">
        <v>535</v>
      </c>
      <c r="C651" s="4">
        <v>157156.25</v>
      </c>
      <c r="D651" s="3">
        <v>262</v>
      </c>
      <c r="E651" s="4">
        <v>191260</v>
      </c>
      <c r="G651" s="12">
        <f t="shared" si="83"/>
        <v>2012</v>
      </c>
      <c r="H651" s="12">
        <f t="shared" si="84"/>
        <v>10</v>
      </c>
      <c r="I651" s="11">
        <f t="shared" si="85"/>
        <v>22</v>
      </c>
      <c r="J651" s="11"/>
    </row>
    <row r="652" spans="1:10" x14ac:dyDescent="0.25">
      <c r="A652" s="2">
        <v>41190</v>
      </c>
      <c r="B652" s="3">
        <v>563</v>
      </c>
      <c r="C652" s="4">
        <v>165381.25</v>
      </c>
      <c r="D652" s="3">
        <v>310</v>
      </c>
      <c r="E652" s="4">
        <v>226300</v>
      </c>
      <c r="G652" s="12">
        <f t="shared" si="83"/>
        <v>2012</v>
      </c>
      <c r="H652" s="12">
        <f t="shared" si="84"/>
        <v>10</v>
      </c>
      <c r="I652" s="11">
        <f t="shared" si="85"/>
        <v>22</v>
      </c>
      <c r="J652" s="11"/>
    </row>
    <row r="653" spans="1:10" x14ac:dyDescent="0.25">
      <c r="A653" s="2">
        <v>41191</v>
      </c>
      <c r="B653" s="3">
        <v>680</v>
      </c>
      <c r="C653" s="4">
        <v>199750</v>
      </c>
      <c r="D653" s="3">
        <v>291</v>
      </c>
      <c r="E653" s="4">
        <v>212430</v>
      </c>
      <c r="G653" s="12">
        <f t="shared" si="83"/>
        <v>2012</v>
      </c>
      <c r="H653" s="12">
        <f t="shared" si="84"/>
        <v>10</v>
      </c>
      <c r="I653" s="11">
        <f t="shared" si="85"/>
        <v>22</v>
      </c>
      <c r="J653" s="11"/>
    </row>
    <row r="654" spans="1:10" x14ac:dyDescent="0.25">
      <c r="A654" s="2">
        <v>41192</v>
      </c>
      <c r="B654" s="3">
        <v>625</v>
      </c>
      <c r="C654" s="4">
        <v>183593.75</v>
      </c>
      <c r="D654" s="3">
        <v>311</v>
      </c>
      <c r="E654" s="4">
        <v>227030</v>
      </c>
      <c r="G654" s="12">
        <f t="shared" si="83"/>
        <v>2012</v>
      </c>
      <c r="H654" s="12">
        <f t="shared" si="84"/>
        <v>10</v>
      </c>
      <c r="I654" s="11">
        <f t="shared" si="85"/>
        <v>22</v>
      </c>
      <c r="J654" s="11"/>
    </row>
    <row r="655" spans="1:10" x14ac:dyDescent="0.25">
      <c r="A655" s="2">
        <v>41193</v>
      </c>
      <c r="B655" s="3">
        <v>695</v>
      </c>
      <c r="C655" s="4">
        <v>204156.25</v>
      </c>
      <c r="D655" s="3">
        <v>269</v>
      </c>
      <c r="E655" s="4">
        <v>196370</v>
      </c>
      <c r="G655" s="12">
        <f t="shared" si="83"/>
        <v>2012</v>
      </c>
      <c r="H655" s="12">
        <f t="shared" si="84"/>
        <v>10</v>
      </c>
      <c r="I655" s="11">
        <f t="shared" si="85"/>
        <v>22</v>
      </c>
      <c r="J655" s="11"/>
    </row>
    <row r="656" spans="1:10" x14ac:dyDescent="0.25">
      <c r="A656" s="2">
        <v>41194</v>
      </c>
      <c r="B656" s="3">
        <v>610</v>
      </c>
      <c r="C656" s="4">
        <v>179187.5</v>
      </c>
      <c r="D656" s="3">
        <v>276</v>
      </c>
      <c r="E656" s="4">
        <v>201480</v>
      </c>
      <c r="G656" s="12">
        <f t="shared" si="83"/>
        <v>2012</v>
      </c>
      <c r="H656" s="12">
        <f t="shared" si="84"/>
        <v>10</v>
      </c>
      <c r="I656" s="11">
        <f t="shared" si="85"/>
        <v>22</v>
      </c>
      <c r="J656" s="11"/>
    </row>
    <row r="657" spans="1:10" x14ac:dyDescent="0.25">
      <c r="A657" s="2">
        <v>41195</v>
      </c>
      <c r="B657" s="3">
        <v>625</v>
      </c>
      <c r="C657" s="4">
        <v>183593.75</v>
      </c>
      <c r="D657" s="3">
        <v>266</v>
      </c>
      <c r="E657" s="4">
        <v>194180</v>
      </c>
      <c r="G657" s="12">
        <f t="shared" si="83"/>
        <v>2012</v>
      </c>
      <c r="H657" s="12">
        <f t="shared" si="84"/>
        <v>10</v>
      </c>
      <c r="I657" s="11">
        <f t="shared" si="85"/>
        <v>22</v>
      </c>
      <c r="J657" s="11"/>
    </row>
    <row r="658" spans="1:10" x14ac:dyDescent="0.25">
      <c r="A658" s="2">
        <v>41196</v>
      </c>
      <c r="B658" s="3">
        <v>527</v>
      </c>
      <c r="C658" s="4">
        <v>154806.25</v>
      </c>
      <c r="D658" s="3">
        <v>297</v>
      </c>
      <c r="E658" s="4">
        <v>216810</v>
      </c>
      <c r="G658" s="12">
        <f t="shared" si="83"/>
        <v>2012</v>
      </c>
      <c r="H658" s="12">
        <f t="shared" si="84"/>
        <v>10</v>
      </c>
      <c r="I658" s="11">
        <f t="shared" si="85"/>
        <v>22</v>
      </c>
      <c r="J658" s="11"/>
    </row>
    <row r="659" spans="1:10" x14ac:dyDescent="0.25">
      <c r="A659" s="2">
        <v>41197</v>
      </c>
      <c r="B659" s="3">
        <v>516</v>
      </c>
      <c r="C659" s="4">
        <v>151575</v>
      </c>
      <c r="D659" s="3">
        <v>292</v>
      </c>
      <c r="E659" s="4">
        <v>213160</v>
      </c>
      <c r="G659" s="12">
        <f t="shared" si="83"/>
        <v>2012</v>
      </c>
      <c r="H659" s="12">
        <f t="shared" si="84"/>
        <v>10</v>
      </c>
      <c r="I659" s="11">
        <f t="shared" si="85"/>
        <v>22</v>
      </c>
      <c r="J659" s="11"/>
    </row>
    <row r="660" spans="1:10" x14ac:dyDescent="0.25">
      <c r="A660" s="2">
        <v>41198</v>
      </c>
      <c r="B660" s="3">
        <v>476</v>
      </c>
      <c r="C660" s="4">
        <v>139825</v>
      </c>
      <c r="D660" s="3">
        <v>260</v>
      </c>
      <c r="E660" s="4">
        <v>189800</v>
      </c>
      <c r="G660" s="12">
        <f t="shared" si="83"/>
        <v>2012</v>
      </c>
      <c r="H660" s="12">
        <f t="shared" si="84"/>
        <v>10</v>
      </c>
      <c r="I660" s="11">
        <f t="shared" si="85"/>
        <v>22</v>
      </c>
      <c r="J660" s="11"/>
    </row>
    <row r="661" spans="1:10" x14ac:dyDescent="0.25">
      <c r="A661" s="2">
        <v>41199</v>
      </c>
      <c r="B661" s="3">
        <v>560</v>
      </c>
      <c r="C661" s="4">
        <v>164500</v>
      </c>
      <c r="D661" s="3">
        <v>262</v>
      </c>
      <c r="E661" s="4">
        <v>191260</v>
      </c>
      <c r="G661" s="12">
        <f t="shared" si="83"/>
        <v>2012</v>
      </c>
      <c r="H661" s="12">
        <f t="shared" si="84"/>
        <v>10</v>
      </c>
      <c r="I661" s="11">
        <f t="shared" si="85"/>
        <v>22</v>
      </c>
      <c r="J661" s="11"/>
    </row>
    <row r="662" spans="1:10" x14ac:dyDescent="0.25">
      <c r="A662" s="2">
        <v>41200</v>
      </c>
      <c r="B662" s="3">
        <v>655</v>
      </c>
      <c r="C662" s="4">
        <v>192406.25</v>
      </c>
      <c r="D662" s="3">
        <v>318</v>
      </c>
      <c r="E662" s="4">
        <v>232140</v>
      </c>
      <c r="G662" s="12">
        <f t="shared" si="83"/>
        <v>2012</v>
      </c>
      <c r="H662" s="12">
        <f t="shared" si="84"/>
        <v>10</v>
      </c>
      <c r="I662" s="11">
        <f t="shared" si="85"/>
        <v>22</v>
      </c>
      <c r="J662" s="11"/>
    </row>
    <row r="663" spans="1:10" x14ac:dyDescent="0.25">
      <c r="A663" s="2">
        <v>41201</v>
      </c>
      <c r="B663" s="3">
        <v>611</v>
      </c>
      <c r="C663" s="4">
        <v>179481.25</v>
      </c>
      <c r="D663" s="3">
        <v>283</v>
      </c>
      <c r="E663" s="4">
        <v>206590</v>
      </c>
      <c r="G663" s="12">
        <f t="shared" si="83"/>
        <v>2012</v>
      </c>
      <c r="H663" s="12">
        <f t="shared" si="84"/>
        <v>10</v>
      </c>
      <c r="I663" s="11">
        <f t="shared" si="85"/>
        <v>22</v>
      </c>
      <c r="J663" s="11"/>
    </row>
    <row r="664" spans="1:10" x14ac:dyDescent="0.25">
      <c r="A664" s="2">
        <v>41202</v>
      </c>
      <c r="B664" s="3">
        <v>605</v>
      </c>
      <c r="C664" s="4">
        <v>177718.75</v>
      </c>
      <c r="D664" s="3">
        <v>298</v>
      </c>
      <c r="E664" s="4">
        <v>217540</v>
      </c>
      <c r="G664" s="12">
        <f t="shared" si="83"/>
        <v>2012</v>
      </c>
      <c r="H664" s="12">
        <f t="shared" si="84"/>
        <v>10</v>
      </c>
      <c r="I664" s="11">
        <f t="shared" si="85"/>
        <v>22</v>
      </c>
      <c r="J664" s="11"/>
    </row>
    <row r="665" spans="1:10" x14ac:dyDescent="0.25">
      <c r="A665" s="2">
        <v>41203</v>
      </c>
      <c r="B665" s="3">
        <v>607</v>
      </c>
      <c r="C665" s="4">
        <v>178306.25</v>
      </c>
      <c r="D665" s="3">
        <v>337</v>
      </c>
      <c r="E665" s="4">
        <v>246010</v>
      </c>
      <c r="G665" s="12">
        <f t="shared" si="83"/>
        <v>2012</v>
      </c>
      <c r="H665" s="12">
        <f t="shared" si="84"/>
        <v>10</v>
      </c>
      <c r="I665" s="11">
        <f t="shared" si="85"/>
        <v>22</v>
      </c>
      <c r="J665" s="11"/>
    </row>
    <row r="666" spans="1:10" x14ac:dyDescent="0.25">
      <c r="A666" s="2">
        <v>41204</v>
      </c>
      <c r="B666" s="3">
        <v>543</v>
      </c>
      <c r="C666" s="4">
        <v>159506.25</v>
      </c>
      <c r="D666" s="3">
        <v>251</v>
      </c>
      <c r="E666" s="4">
        <v>183230</v>
      </c>
      <c r="G666" s="12">
        <f t="shared" si="83"/>
        <v>2012</v>
      </c>
      <c r="H666" s="12">
        <f t="shared" si="84"/>
        <v>10</v>
      </c>
      <c r="I666" s="11">
        <f t="shared" si="85"/>
        <v>22</v>
      </c>
      <c r="J666" s="11"/>
    </row>
    <row r="667" spans="1:10" x14ac:dyDescent="0.25">
      <c r="A667" s="2">
        <v>41205</v>
      </c>
      <c r="B667" s="3">
        <v>619</v>
      </c>
      <c r="C667" s="4">
        <v>181831.25</v>
      </c>
      <c r="D667" s="3">
        <v>296</v>
      </c>
      <c r="E667" s="4">
        <v>216080</v>
      </c>
      <c r="G667" s="12">
        <f t="shared" si="83"/>
        <v>2012</v>
      </c>
      <c r="H667" s="12">
        <f t="shared" si="84"/>
        <v>10</v>
      </c>
      <c r="I667" s="11">
        <f t="shared" si="85"/>
        <v>22</v>
      </c>
      <c r="J667" s="11"/>
    </row>
    <row r="668" spans="1:10" x14ac:dyDescent="0.25">
      <c r="A668" s="2">
        <v>41206</v>
      </c>
      <c r="B668" s="3">
        <v>718</v>
      </c>
      <c r="C668" s="4">
        <v>210912.5</v>
      </c>
      <c r="D668" s="3">
        <v>281</v>
      </c>
      <c r="E668" s="4">
        <v>205130</v>
      </c>
      <c r="G668" s="12">
        <f t="shared" si="83"/>
        <v>2012</v>
      </c>
      <c r="H668" s="12">
        <f t="shared" si="84"/>
        <v>10</v>
      </c>
      <c r="I668" s="11">
        <f t="shared" si="85"/>
        <v>22</v>
      </c>
      <c r="J668" s="11"/>
    </row>
    <row r="669" spans="1:10" x14ac:dyDescent="0.25">
      <c r="A669" s="2">
        <v>41207</v>
      </c>
      <c r="B669" s="3">
        <v>659</v>
      </c>
      <c r="C669" s="4">
        <v>193581.25</v>
      </c>
      <c r="D669" s="3">
        <v>278</v>
      </c>
      <c r="E669" s="4">
        <v>202940</v>
      </c>
      <c r="G669" s="12">
        <f t="shared" si="83"/>
        <v>2012</v>
      </c>
      <c r="H669" s="12">
        <f t="shared" si="84"/>
        <v>10</v>
      </c>
      <c r="I669" s="11">
        <f t="shared" si="85"/>
        <v>22</v>
      </c>
      <c r="J669" s="11"/>
    </row>
    <row r="670" spans="1:10" x14ac:dyDescent="0.25">
      <c r="A670" s="2">
        <v>41208</v>
      </c>
      <c r="B670" s="3">
        <v>526</v>
      </c>
      <c r="C670" s="4">
        <v>154512.5</v>
      </c>
      <c r="D670" s="3">
        <v>278</v>
      </c>
      <c r="E670" s="4">
        <v>202940</v>
      </c>
      <c r="G670" s="12">
        <f t="shared" si="83"/>
        <v>2012</v>
      </c>
      <c r="H670" s="12">
        <f t="shared" si="84"/>
        <v>10</v>
      </c>
      <c r="I670" s="11">
        <f t="shared" si="85"/>
        <v>22</v>
      </c>
      <c r="J670" s="11"/>
    </row>
    <row r="671" spans="1:10" x14ac:dyDescent="0.25">
      <c r="A671" s="2">
        <v>41209</v>
      </c>
      <c r="B671" s="3">
        <v>547</v>
      </c>
      <c r="C671" s="4">
        <v>160681.25</v>
      </c>
      <c r="D671" s="3">
        <v>305</v>
      </c>
      <c r="E671" s="4">
        <v>222650</v>
      </c>
      <c r="G671" s="12">
        <f t="shared" si="83"/>
        <v>2012</v>
      </c>
      <c r="H671" s="12">
        <f t="shared" si="84"/>
        <v>10</v>
      </c>
      <c r="I671" s="11">
        <f t="shared" si="85"/>
        <v>22</v>
      </c>
      <c r="J671" s="11"/>
    </row>
    <row r="672" spans="1:10" x14ac:dyDescent="0.25">
      <c r="A672" s="2">
        <v>41210</v>
      </c>
      <c r="B672" s="3">
        <v>621</v>
      </c>
      <c r="C672" s="4">
        <v>182418.75</v>
      </c>
      <c r="D672" s="3">
        <v>328</v>
      </c>
      <c r="E672" s="4">
        <v>239440</v>
      </c>
      <c r="G672" s="12">
        <f t="shared" si="83"/>
        <v>2012</v>
      </c>
      <c r="H672" s="12">
        <f t="shared" si="84"/>
        <v>10</v>
      </c>
      <c r="I672" s="11">
        <f t="shared" si="85"/>
        <v>22</v>
      </c>
      <c r="J672" s="11"/>
    </row>
    <row r="673" spans="1:10" x14ac:dyDescent="0.25">
      <c r="A673" s="2">
        <v>41211</v>
      </c>
      <c r="B673" s="3">
        <v>423</v>
      </c>
      <c r="C673" s="4">
        <v>124256.25</v>
      </c>
      <c r="D673" s="3">
        <v>300</v>
      </c>
      <c r="E673" s="4">
        <v>219000</v>
      </c>
      <c r="G673" s="12">
        <f t="shared" si="83"/>
        <v>2012</v>
      </c>
      <c r="H673" s="12">
        <f t="shared" si="84"/>
        <v>10</v>
      </c>
      <c r="I673" s="11">
        <f t="shared" si="85"/>
        <v>22</v>
      </c>
      <c r="J673" s="11"/>
    </row>
    <row r="674" spans="1:10" x14ac:dyDescent="0.25">
      <c r="A674" s="2">
        <v>41212</v>
      </c>
      <c r="B674" s="3">
        <v>760</v>
      </c>
      <c r="C674" s="4">
        <v>223250</v>
      </c>
      <c r="D674" s="3">
        <v>330</v>
      </c>
      <c r="E674" s="4">
        <v>240900</v>
      </c>
      <c r="G674" s="12">
        <f t="shared" si="83"/>
        <v>2012</v>
      </c>
      <c r="H674" s="12">
        <f t="shared" si="84"/>
        <v>10</v>
      </c>
      <c r="I674" s="11">
        <f t="shared" si="85"/>
        <v>22</v>
      </c>
      <c r="J674" s="11"/>
    </row>
    <row r="675" spans="1:10" x14ac:dyDescent="0.25">
      <c r="A675" s="2">
        <v>41213</v>
      </c>
      <c r="B675" s="3">
        <v>581</v>
      </c>
      <c r="C675" s="4">
        <v>170668.75</v>
      </c>
      <c r="D675" s="3">
        <v>281</v>
      </c>
      <c r="E675" s="4">
        <v>205130</v>
      </c>
      <c r="G675" s="12">
        <f t="shared" si="83"/>
        <v>2012</v>
      </c>
      <c r="H675" s="12">
        <f t="shared" si="84"/>
        <v>10</v>
      </c>
      <c r="I675" s="11">
        <f t="shared" si="85"/>
        <v>22</v>
      </c>
      <c r="J675" s="11"/>
    </row>
    <row r="676" spans="1:10" x14ac:dyDescent="0.25">
      <c r="A676" s="2">
        <v>41214</v>
      </c>
      <c r="B676" s="3">
        <v>382</v>
      </c>
      <c r="C676" s="4">
        <v>179540</v>
      </c>
      <c r="D676" s="3">
        <v>333</v>
      </c>
      <c r="E676" s="4">
        <v>243090</v>
      </c>
      <c r="G676" s="12">
        <f t="shared" si="83"/>
        <v>2012</v>
      </c>
      <c r="H676" s="12">
        <f t="shared" si="84"/>
        <v>11</v>
      </c>
      <c r="I676" s="11">
        <f t="shared" si="85"/>
        <v>23</v>
      </c>
      <c r="J676" s="11"/>
    </row>
    <row r="677" spans="1:10" x14ac:dyDescent="0.25">
      <c r="A677" s="2">
        <v>41215</v>
      </c>
      <c r="B677" s="3">
        <v>424</v>
      </c>
      <c r="C677" s="4">
        <v>199280</v>
      </c>
      <c r="D677" s="3">
        <v>299</v>
      </c>
      <c r="E677" s="4">
        <v>218270</v>
      </c>
      <c r="G677" s="12">
        <f t="shared" si="83"/>
        <v>2012</v>
      </c>
      <c r="H677" s="12">
        <f t="shared" si="84"/>
        <v>11</v>
      </c>
      <c r="I677" s="11">
        <f t="shared" si="85"/>
        <v>23</v>
      </c>
      <c r="J677" s="11"/>
    </row>
    <row r="678" spans="1:10" x14ac:dyDescent="0.25">
      <c r="A678" s="2">
        <v>41216</v>
      </c>
      <c r="B678" s="3">
        <v>369</v>
      </c>
      <c r="C678" s="4">
        <v>173430</v>
      </c>
      <c r="D678" s="3">
        <v>308</v>
      </c>
      <c r="E678" s="4">
        <v>224840</v>
      </c>
      <c r="G678" s="12">
        <f t="shared" si="83"/>
        <v>2012</v>
      </c>
      <c r="H678" s="12">
        <f t="shared" si="84"/>
        <v>11</v>
      </c>
      <c r="I678" s="11">
        <f t="shared" si="85"/>
        <v>23</v>
      </c>
      <c r="J678" s="11"/>
    </row>
    <row r="679" spans="1:10" x14ac:dyDescent="0.25">
      <c r="A679" s="2">
        <v>41217</v>
      </c>
      <c r="B679" s="3">
        <v>505</v>
      </c>
      <c r="C679" s="4">
        <v>237350</v>
      </c>
      <c r="D679" s="3">
        <v>349</v>
      </c>
      <c r="E679" s="4">
        <v>254770</v>
      </c>
      <c r="G679" s="12">
        <f t="shared" si="83"/>
        <v>2012</v>
      </c>
      <c r="H679" s="12">
        <f t="shared" si="84"/>
        <v>11</v>
      </c>
      <c r="I679" s="11">
        <f t="shared" si="85"/>
        <v>23</v>
      </c>
      <c r="J679" s="11"/>
    </row>
    <row r="680" spans="1:10" x14ac:dyDescent="0.25">
      <c r="A680" s="2">
        <v>41218</v>
      </c>
      <c r="B680" s="3">
        <v>507</v>
      </c>
      <c r="C680" s="4">
        <v>238290</v>
      </c>
      <c r="D680" s="3">
        <v>299</v>
      </c>
      <c r="E680" s="4">
        <v>218270</v>
      </c>
      <c r="G680" s="12">
        <f t="shared" si="83"/>
        <v>2012</v>
      </c>
      <c r="H680" s="12">
        <f t="shared" si="84"/>
        <v>11</v>
      </c>
      <c r="I680" s="11">
        <f t="shared" si="85"/>
        <v>23</v>
      </c>
      <c r="J680" s="11"/>
    </row>
    <row r="681" spans="1:10" x14ac:dyDescent="0.25">
      <c r="A681" s="2">
        <v>41219</v>
      </c>
      <c r="B681" s="3">
        <v>415</v>
      </c>
      <c r="C681" s="4">
        <v>195050</v>
      </c>
      <c r="D681" s="3">
        <v>281</v>
      </c>
      <c r="E681" s="4">
        <v>205130</v>
      </c>
      <c r="G681" s="12">
        <f t="shared" si="83"/>
        <v>2012</v>
      </c>
      <c r="H681" s="12">
        <f t="shared" si="84"/>
        <v>11</v>
      </c>
      <c r="I681" s="11">
        <f t="shared" si="85"/>
        <v>23</v>
      </c>
      <c r="J681" s="11"/>
    </row>
    <row r="682" spans="1:10" x14ac:dyDescent="0.25">
      <c r="A682" s="2">
        <v>41220</v>
      </c>
      <c r="B682" s="3">
        <v>464</v>
      </c>
      <c r="C682" s="4">
        <v>218080</v>
      </c>
      <c r="D682" s="3">
        <v>323</v>
      </c>
      <c r="E682" s="4">
        <v>235790</v>
      </c>
      <c r="G682" s="12">
        <f t="shared" si="83"/>
        <v>2012</v>
      </c>
      <c r="H682" s="12">
        <f t="shared" si="84"/>
        <v>11</v>
      </c>
      <c r="I682" s="11">
        <f t="shared" si="85"/>
        <v>23</v>
      </c>
      <c r="J682" s="11"/>
    </row>
    <row r="683" spans="1:10" x14ac:dyDescent="0.25">
      <c r="A683" s="2">
        <v>41221</v>
      </c>
      <c r="B683" s="3">
        <v>399</v>
      </c>
      <c r="C683" s="4">
        <v>187530</v>
      </c>
      <c r="D683" s="3">
        <v>298</v>
      </c>
      <c r="E683" s="4">
        <v>217540</v>
      </c>
      <c r="G683" s="12">
        <f t="shared" si="83"/>
        <v>2012</v>
      </c>
      <c r="H683" s="12">
        <f t="shared" si="84"/>
        <v>11</v>
      </c>
      <c r="I683" s="11">
        <f t="shared" si="85"/>
        <v>23</v>
      </c>
      <c r="J683" s="11"/>
    </row>
    <row r="684" spans="1:10" x14ac:dyDescent="0.25">
      <c r="A684" s="2">
        <v>41222</v>
      </c>
      <c r="B684" s="3">
        <v>489</v>
      </c>
      <c r="C684" s="4">
        <v>229830</v>
      </c>
      <c r="D684" s="3">
        <v>326</v>
      </c>
      <c r="E684" s="4">
        <v>237980</v>
      </c>
      <c r="G684" s="12">
        <f t="shared" si="83"/>
        <v>2012</v>
      </c>
      <c r="H684" s="12">
        <f t="shared" si="84"/>
        <v>11</v>
      </c>
      <c r="I684" s="11">
        <f t="shared" si="85"/>
        <v>23</v>
      </c>
      <c r="J684" s="11"/>
    </row>
    <row r="685" spans="1:10" x14ac:dyDescent="0.25">
      <c r="A685" s="2">
        <v>41223</v>
      </c>
      <c r="B685" s="3">
        <v>456</v>
      </c>
      <c r="C685" s="4">
        <v>214320</v>
      </c>
      <c r="D685" s="3">
        <v>236</v>
      </c>
      <c r="E685" s="4">
        <v>172280</v>
      </c>
      <c r="G685" s="12">
        <f t="shared" si="83"/>
        <v>2012</v>
      </c>
      <c r="H685" s="12">
        <f t="shared" si="84"/>
        <v>11</v>
      </c>
      <c r="I685" s="11">
        <f t="shared" si="85"/>
        <v>23</v>
      </c>
      <c r="J685" s="11"/>
    </row>
    <row r="686" spans="1:10" x14ac:dyDescent="0.25">
      <c r="A686" s="2">
        <v>41224</v>
      </c>
      <c r="B686" s="3">
        <v>425</v>
      </c>
      <c r="C686" s="4">
        <v>199750</v>
      </c>
      <c r="D686" s="3">
        <v>365</v>
      </c>
      <c r="E686" s="4">
        <v>266450</v>
      </c>
      <c r="G686" s="12">
        <f t="shared" si="83"/>
        <v>2012</v>
      </c>
      <c r="H686" s="12">
        <f t="shared" si="84"/>
        <v>11</v>
      </c>
      <c r="I686" s="11">
        <f t="shared" si="85"/>
        <v>23</v>
      </c>
      <c r="J686" s="11"/>
    </row>
    <row r="687" spans="1:10" x14ac:dyDescent="0.25">
      <c r="A687" s="2">
        <v>41225</v>
      </c>
      <c r="B687" s="3">
        <v>567</v>
      </c>
      <c r="C687" s="4">
        <v>266490</v>
      </c>
      <c r="D687" s="3">
        <v>282</v>
      </c>
      <c r="E687" s="4">
        <v>205860</v>
      </c>
      <c r="G687" s="12">
        <f t="shared" si="83"/>
        <v>2012</v>
      </c>
      <c r="H687" s="12">
        <f t="shared" si="84"/>
        <v>11</v>
      </c>
      <c r="I687" s="11">
        <f t="shared" si="85"/>
        <v>23</v>
      </c>
      <c r="J687" s="11"/>
    </row>
    <row r="688" spans="1:10" x14ac:dyDescent="0.25">
      <c r="A688" s="2">
        <v>41226</v>
      </c>
      <c r="B688" s="3">
        <v>375</v>
      </c>
      <c r="C688" s="4">
        <v>176250</v>
      </c>
      <c r="D688" s="3">
        <v>285</v>
      </c>
      <c r="E688" s="4">
        <v>208050</v>
      </c>
      <c r="G688" s="12">
        <f t="shared" si="83"/>
        <v>2012</v>
      </c>
      <c r="H688" s="12">
        <f t="shared" si="84"/>
        <v>11</v>
      </c>
      <c r="I688" s="11">
        <f t="shared" si="85"/>
        <v>23</v>
      </c>
      <c r="J688" s="11"/>
    </row>
    <row r="689" spans="1:10" x14ac:dyDescent="0.25">
      <c r="A689" s="2">
        <v>41227</v>
      </c>
      <c r="B689" s="3">
        <v>515</v>
      </c>
      <c r="C689" s="4">
        <v>242050</v>
      </c>
      <c r="D689" s="3">
        <v>298</v>
      </c>
      <c r="E689" s="4">
        <v>217540</v>
      </c>
      <c r="G689" s="12">
        <f t="shared" si="83"/>
        <v>2012</v>
      </c>
      <c r="H689" s="12">
        <f t="shared" si="84"/>
        <v>11</v>
      </c>
      <c r="I689" s="11">
        <f t="shared" si="85"/>
        <v>23</v>
      </c>
      <c r="J689" s="11"/>
    </row>
    <row r="690" spans="1:10" x14ac:dyDescent="0.25">
      <c r="A690" s="2">
        <v>41228</v>
      </c>
      <c r="B690" s="3">
        <v>488</v>
      </c>
      <c r="C690" s="4">
        <v>229360</v>
      </c>
      <c r="D690" s="3">
        <v>347</v>
      </c>
      <c r="E690" s="4">
        <v>253310</v>
      </c>
      <c r="G690" s="12">
        <f t="shared" si="83"/>
        <v>2012</v>
      </c>
      <c r="H690" s="12">
        <f t="shared" si="84"/>
        <v>11</v>
      </c>
      <c r="I690" s="11">
        <f t="shared" si="85"/>
        <v>23</v>
      </c>
      <c r="J690" s="11"/>
    </row>
    <row r="691" spans="1:10" x14ac:dyDescent="0.25">
      <c r="A691" s="2">
        <v>41229</v>
      </c>
      <c r="B691" s="3">
        <v>465</v>
      </c>
      <c r="C691" s="4">
        <v>218550</v>
      </c>
      <c r="D691" s="3">
        <v>296</v>
      </c>
      <c r="E691" s="4">
        <v>216080</v>
      </c>
      <c r="G691" s="12">
        <f t="shared" si="83"/>
        <v>2012</v>
      </c>
      <c r="H691" s="12">
        <f t="shared" si="84"/>
        <v>11</v>
      </c>
      <c r="I691" s="11">
        <f t="shared" si="85"/>
        <v>23</v>
      </c>
      <c r="J691" s="11"/>
    </row>
    <row r="692" spans="1:10" x14ac:dyDescent="0.25">
      <c r="A692" s="2">
        <v>41230</v>
      </c>
      <c r="B692" s="3">
        <v>414</v>
      </c>
      <c r="C692" s="4">
        <v>194580</v>
      </c>
      <c r="D692" s="3">
        <v>327</v>
      </c>
      <c r="E692" s="4">
        <v>238710</v>
      </c>
      <c r="G692" s="12">
        <f t="shared" si="83"/>
        <v>2012</v>
      </c>
      <c r="H692" s="12">
        <f t="shared" si="84"/>
        <v>11</v>
      </c>
      <c r="I692" s="11">
        <f t="shared" si="85"/>
        <v>23</v>
      </c>
      <c r="J692" s="11"/>
    </row>
    <row r="693" spans="1:10" x14ac:dyDescent="0.25">
      <c r="A693" s="2">
        <v>41231</v>
      </c>
      <c r="B693" s="3">
        <v>498</v>
      </c>
      <c r="C693" s="4">
        <v>234060</v>
      </c>
      <c r="D693" s="3">
        <v>266</v>
      </c>
      <c r="E693" s="4">
        <v>194180</v>
      </c>
      <c r="G693" s="12">
        <f t="shared" si="83"/>
        <v>2012</v>
      </c>
      <c r="H693" s="12">
        <f t="shared" si="84"/>
        <v>11</v>
      </c>
      <c r="I693" s="11">
        <f t="shared" si="85"/>
        <v>23</v>
      </c>
      <c r="J693" s="11"/>
    </row>
    <row r="694" spans="1:10" x14ac:dyDescent="0.25">
      <c r="A694" s="2">
        <v>41232</v>
      </c>
      <c r="B694" s="3">
        <v>383</v>
      </c>
      <c r="C694" s="4">
        <v>180010</v>
      </c>
      <c r="D694" s="3">
        <v>312</v>
      </c>
      <c r="E694" s="4">
        <v>227760</v>
      </c>
      <c r="G694" s="12">
        <f t="shared" si="83"/>
        <v>2012</v>
      </c>
      <c r="H694" s="12">
        <f t="shared" si="84"/>
        <v>11</v>
      </c>
      <c r="I694" s="11">
        <f t="shared" si="85"/>
        <v>23</v>
      </c>
      <c r="J694" s="11"/>
    </row>
    <row r="695" spans="1:10" x14ac:dyDescent="0.25">
      <c r="A695" s="2">
        <v>41233</v>
      </c>
      <c r="B695" s="3">
        <v>400</v>
      </c>
      <c r="C695" s="4">
        <v>188000</v>
      </c>
      <c r="D695" s="3">
        <v>344</v>
      </c>
      <c r="E695" s="4">
        <v>251120</v>
      </c>
      <c r="G695" s="12">
        <f t="shared" si="83"/>
        <v>2012</v>
      </c>
      <c r="H695" s="12">
        <f t="shared" si="84"/>
        <v>11</v>
      </c>
      <c r="I695" s="11">
        <f t="shared" si="85"/>
        <v>23</v>
      </c>
      <c r="J695" s="11"/>
    </row>
    <row r="696" spans="1:10" x14ac:dyDescent="0.25">
      <c r="A696" s="2">
        <v>41234</v>
      </c>
      <c r="B696" s="3">
        <v>434</v>
      </c>
      <c r="C696" s="4">
        <v>203980</v>
      </c>
      <c r="D696" s="3">
        <v>318</v>
      </c>
      <c r="E696" s="4">
        <v>232140</v>
      </c>
      <c r="G696" s="12">
        <f t="shared" si="83"/>
        <v>2012</v>
      </c>
      <c r="H696" s="12">
        <f t="shared" si="84"/>
        <v>11</v>
      </c>
      <c r="I696" s="11">
        <f t="shared" si="85"/>
        <v>23</v>
      </c>
      <c r="J696" s="11"/>
    </row>
    <row r="697" spans="1:10" x14ac:dyDescent="0.25">
      <c r="A697" s="2">
        <v>41235</v>
      </c>
      <c r="B697" s="3">
        <v>439</v>
      </c>
      <c r="C697" s="4">
        <v>206330</v>
      </c>
      <c r="D697" s="3">
        <v>321</v>
      </c>
      <c r="E697" s="4">
        <v>234330</v>
      </c>
      <c r="G697" s="12">
        <f t="shared" si="83"/>
        <v>2012</v>
      </c>
      <c r="H697" s="12">
        <f t="shared" si="84"/>
        <v>11</v>
      </c>
      <c r="I697" s="11">
        <f t="shared" si="85"/>
        <v>23</v>
      </c>
      <c r="J697" s="11"/>
    </row>
    <row r="698" spans="1:10" x14ac:dyDescent="0.25">
      <c r="A698" s="2">
        <v>41236</v>
      </c>
      <c r="B698" s="3">
        <v>401</v>
      </c>
      <c r="C698" s="4">
        <v>188470</v>
      </c>
      <c r="D698" s="3">
        <v>291</v>
      </c>
      <c r="E698" s="4">
        <v>212430</v>
      </c>
      <c r="G698" s="12">
        <f t="shared" si="83"/>
        <v>2012</v>
      </c>
      <c r="H698" s="12">
        <f t="shared" si="84"/>
        <v>11</v>
      </c>
      <c r="I698" s="11">
        <f t="shared" si="85"/>
        <v>23</v>
      </c>
      <c r="J698" s="11"/>
    </row>
    <row r="699" spans="1:10" x14ac:dyDescent="0.25">
      <c r="A699" s="2">
        <v>41237</v>
      </c>
      <c r="B699" s="3">
        <v>532</v>
      </c>
      <c r="C699" s="4">
        <v>250040</v>
      </c>
      <c r="D699" s="3">
        <v>313</v>
      </c>
      <c r="E699" s="4">
        <v>228490</v>
      </c>
      <c r="G699" s="12">
        <f t="shared" si="83"/>
        <v>2012</v>
      </c>
      <c r="H699" s="12">
        <f t="shared" si="84"/>
        <v>11</v>
      </c>
      <c r="I699" s="11">
        <f t="shared" si="85"/>
        <v>23</v>
      </c>
      <c r="J699" s="11"/>
    </row>
    <row r="700" spans="1:10" x14ac:dyDescent="0.25">
      <c r="A700" s="2">
        <v>41238</v>
      </c>
      <c r="B700" s="3">
        <v>493</v>
      </c>
      <c r="C700" s="4">
        <v>231710</v>
      </c>
      <c r="D700" s="3">
        <v>280</v>
      </c>
      <c r="E700" s="4">
        <v>204400</v>
      </c>
      <c r="G700" s="12">
        <f t="shared" si="83"/>
        <v>2012</v>
      </c>
      <c r="H700" s="12">
        <f t="shared" si="84"/>
        <v>11</v>
      </c>
      <c r="I700" s="11">
        <f t="shared" si="85"/>
        <v>23</v>
      </c>
      <c r="J700" s="11"/>
    </row>
    <row r="701" spans="1:10" x14ac:dyDescent="0.25">
      <c r="A701" s="2">
        <v>41239</v>
      </c>
      <c r="B701" s="3">
        <v>357</v>
      </c>
      <c r="C701" s="4">
        <v>167790</v>
      </c>
      <c r="D701" s="3">
        <v>317</v>
      </c>
      <c r="E701" s="4">
        <v>231410</v>
      </c>
      <c r="G701" s="12">
        <f t="shared" si="83"/>
        <v>2012</v>
      </c>
      <c r="H701" s="12">
        <f t="shared" si="84"/>
        <v>11</v>
      </c>
      <c r="I701" s="11">
        <f t="shared" si="85"/>
        <v>23</v>
      </c>
      <c r="J701" s="11"/>
    </row>
    <row r="702" spans="1:10" x14ac:dyDescent="0.25">
      <c r="A702" s="2">
        <v>41240</v>
      </c>
      <c r="B702" s="3">
        <v>460</v>
      </c>
      <c r="C702" s="4">
        <v>216200</v>
      </c>
      <c r="D702" s="3">
        <v>330</v>
      </c>
      <c r="E702" s="4">
        <v>240900</v>
      </c>
      <c r="G702" s="12">
        <f t="shared" si="83"/>
        <v>2012</v>
      </c>
      <c r="H702" s="12">
        <f t="shared" si="84"/>
        <v>11</v>
      </c>
      <c r="I702" s="11">
        <f t="shared" si="85"/>
        <v>23</v>
      </c>
      <c r="J702" s="11"/>
    </row>
    <row r="703" spans="1:10" x14ac:dyDescent="0.25">
      <c r="A703" s="2">
        <v>41241</v>
      </c>
      <c r="B703" s="3">
        <v>446</v>
      </c>
      <c r="C703" s="4">
        <v>209620</v>
      </c>
      <c r="D703" s="3">
        <v>321</v>
      </c>
      <c r="E703" s="4">
        <v>234330</v>
      </c>
      <c r="G703" s="12">
        <f t="shared" si="83"/>
        <v>2012</v>
      </c>
      <c r="H703" s="12">
        <f t="shared" si="84"/>
        <v>11</v>
      </c>
      <c r="I703" s="11">
        <f t="shared" si="85"/>
        <v>23</v>
      </c>
      <c r="J703" s="11"/>
    </row>
    <row r="704" spans="1:10" x14ac:dyDescent="0.25">
      <c r="A704" s="2">
        <v>41242</v>
      </c>
      <c r="B704" s="3">
        <v>444</v>
      </c>
      <c r="C704" s="4">
        <v>208680</v>
      </c>
      <c r="D704" s="3">
        <v>345</v>
      </c>
      <c r="E704" s="4">
        <v>251850</v>
      </c>
      <c r="G704" s="12">
        <f t="shared" si="83"/>
        <v>2012</v>
      </c>
      <c r="H704" s="12">
        <f t="shared" si="84"/>
        <v>11</v>
      </c>
      <c r="I704" s="11">
        <f t="shared" si="85"/>
        <v>23</v>
      </c>
      <c r="J704" s="11"/>
    </row>
    <row r="705" spans="1:10" x14ac:dyDescent="0.25">
      <c r="A705" s="2">
        <v>41243</v>
      </c>
      <c r="B705" s="3">
        <v>393</v>
      </c>
      <c r="C705" s="4">
        <v>184710</v>
      </c>
      <c r="D705" s="3">
        <v>243</v>
      </c>
      <c r="E705" s="4">
        <v>177390</v>
      </c>
      <c r="G705" s="12">
        <f t="shared" si="83"/>
        <v>2012</v>
      </c>
      <c r="H705" s="12">
        <f t="shared" si="84"/>
        <v>11</v>
      </c>
      <c r="I705" s="11">
        <f t="shared" si="85"/>
        <v>23</v>
      </c>
      <c r="J705" s="11"/>
    </row>
    <row r="706" spans="1:10" x14ac:dyDescent="0.25">
      <c r="A706" s="2">
        <v>41244</v>
      </c>
      <c r="B706" s="3">
        <v>441</v>
      </c>
      <c r="C706" s="4">
        <v>207270</v>
      </c>
      <c r="D706" s="3">
        <v>317</v>
      </c>
      <c r="E706" s="4">
        <v>231410</v>
      </c>
      <c r="G706" s="12">
        <f t="shared" si="83"/>
        <v>2012</v>
      </c>
      <c r="H706" s="12">
        <f t="shared" si="84"/>
        <v>12</v>
      </c>
      <c r="I706" s="11">
        <f t="shared" si="85"/>
        <v>24</v>
      </c>
      <c r="J706" s="11"/>
    </row>
    <row r="707" spans="1:10" x14ac:dyDescent="0.25">
      <c r="A707" s="2">
        <v>41245</v>
      </c>
      <c r="B707" s="3">
        <v>545</v>
      </c>
      <c r="C707" s="4">
        <v>256150</v>
      </c>
      <c r="D707" s="3">
        <v>314</v>
      </c>
      <c r="E707" s="4">
        <v>229220</v>
      </c>
      <c r="G707" s="12">
        <f t="shared" si="83"/>
        <v>2012</v>
      </c>
      <c r="H707" s="12">
        <f t="shared" si="84"/>
        <v>12</v>
      </c>
      <c r="I707" s="11">
        <f t="shared" si="85"/>
        <v>24</v>
      </c>
      <c r="J707" s="11"/>
    </row>
    <row r="708" spans="1:10" x14ac:dyDescent="0.25">
      <c r="A708" s="2">
        <v>41246</v>
      </c>
      <c r="B708" s="3">
        <v>508</v>
      </c>
      <c r="C708" s="4">
        <v>238760</v>
      </c>
      <c r="D708" s="3">
        <v>279</v>
      </c>
      <c r="E708" s="4">
        <v>203670</v>
      </c>
      <c r="G708" s="12">
        <f t="shared" si="83"/>
        <v>2012</v>
      </c>
      <c r="H708" s="12">
        <f t="shared" si="84"/>
        <v>12</v>
      </c>
      <c r="I708" s="11">
        <f t="shared" si="85"/>
        <v>24</v>
      </c>
      <c r="J708" s="11"/>
    </row>
    <row r="709" spans="1:10" x14ac:dyDescent="0.25">
      <c r="A709" s="2">
        <v>41247</v>
      </c>
      <c r="B709" s="3">
        <v>500</v>
      </c>
      <c r="C709" s="4">
        <v>235000</v>
      </c>
      <c r="D709" s="3">
        <v>337</v>
      </c>
      <c r="E709" s="4">
        <v>246010</v>
      </c>
      <c r="G709" s="12">
        <f t="shared" si="83"/>
        <v>2012</v>
      </c>
      <c r="H709" s="12">
        <f t="shared" si="84"/>
        <v>12</v>
      </c>
      <c r="I709" s="11">
        <f t="shared" si="85"/>
        <v>24</v>
      </c>
      <c r="J709" s="11"/>
    </row>
    <row r="710" spans="1:10" x14ac:dyDescent="0.25">
      <c r="A710" s="2">
        <v>41248</v>
      </c>
      <c r="B710" s="3">
        <v>465</v>
      </c>
      <c r="C710" s="4">
        <v>218550</v>
      </c>
      <c r="D710" s="3">
        <v>283</v>
      </c>
      <c r="E710" s="4">
        <v>206590</v>
      </c>
      <c r="G710" s="12">
        <f t="shared" ref="G710:G773" si="86">+YEAR(A710)</f>
        <v>2012</v>
      </c>
      <c r="H710" s="12">
        <f t="shared" ref="H710:H773" si="87">+MONTH(A710)</f>
        <v>12</v>
      </c>
      <c r="I710" s="11">
        <f t="shared" si="85"/>
        <v>24</v>
      </c>
      <c r="J710" s="11"/>
    </row>
    <row r="711" spans="1:10" x14ac:dyDescent="0.25">
      <c r="A711" s="2">
        <v>41249</v>
      </c>
      <c r="B711" s="3">
        <v>455</v>
      </c>
      <c r="C711" s="4">
        <v>213850</v>
      </c>
      <c r="D711" s="3">
        <v>222</v>
      </c>
      <c r="E711" s="4">
        <v>162060</v>
      </c>
      <c r="G711" s="12">
        <f t="shared" si="86"/>
        <v>2012</v>
      </c>
      <c r="H711" s="12">
        <f t="shared" si="87"/>
        <v>12</v>
      </c>
      <c r="I711" s="11">
        <f t="shared" ref="I711:I774" si="88">+H711+(G711-2011)*12</f>
        <v>24</v>
      </c>
      <c r="J711" s="11"/>
    </row>
    <row r="712" spans="1:10" x14ac:dyDescent="0.25">
      <c r="A712" s="2">
        <v>41250</v>
      </c>
      <c r="B712" s="3">
        <v>488</v>
      </c>
      <c r="C712" s="4">
        <v>229360</v>
      </c>
      <c r="D712" s="3">
        <v>287</v>
      </c>
      <c r="E712" s="4">
        <v>209510</v>
      </c>
      <c r="G712" s="12">
        <f t="shared" si="86"/>
        <v>2012</v>
      </c>
      <c r="H712" s="12">
        <f t="shared" si="87"/>
        <v>12</v>
      </c>
      <c r="I712" s="11">
        <f t="shared" si="88"/>
        <v>24</v>
      </c>
      <c r="J712" s="11"/>
    </row>
    <row r="713" spans="1:10" x14ac:dyDescent="0.25">
      <c r="A713" s="2">
        <v>41251</v>
      </c>
      <c r="B713" s="3">
        <v>438</v>
      </c>
      <c r="C713" s="4">
        <v>205860</v>
      </c>
      <c r="D713" s="3">
        <v>330</v>
      </c>
      <c r="E713" s="4">
        <v>240900</v>
      </c>
      <c r="G713" s="12">
        <f t="shared" si="86"/>
        <v>2012</v>
      </c>
      <c r="H713" s="12">
        <f t="shared" si="87"/>
        <v>12</v>
      </c>
      <c r="I713" s="11">
        <f t="shared" si="88"/>
        <v>24</v>
      </c>
      <c r="J713" s="11"/>
    </row>
    <row r="714" spans="1:10" x14ac:dyDescent="0.25">
      <c r="A714" s="2">
        <v>41252</v>
      </c>
      <c r="B714" s="3">
        <v>457</v>
      </c>
      <c r="C714" s="4">
        <v>214790</v>
      </c>
      <c r="D714" s="3">
        <v>374</v>
      </c>
      <c r="E714" s="4">
        <v>273020</v>
      </c>
      <c r="G714" s="12">
        <f t="shared" si="86"/>
        <v>2012</v>
      </c>
      <c r="H714" s="12">
        <f t="shared" si="87"/>
        <v>12</v>
      </c>
      <c r="I714" s="11">
        <f t="shared" si="88"/>
        <v>24</v>
      </c>
      <c r="J714" s="11"/>
    </row>
    <row r="715" spans="1:10" x14ac:dyDescent="0.25">
      <c r="A715" s="2">
        <v>41253</v>
      </c>
      <c r="B715" s="3">
        <v>526</v>
      </c>
      <c r="C715" s="4">
        <v>247220</v>
      </c>
      <c r="D715" s="3">
        <v>333</v>
      </c>
      <c r="E715" s="4">
        <v>243090</v>
      </c>
      <c r="G715" s="12">
        <f t="shared" si="86"/>
        <v>2012</v>
      </c>
      <c r="H715" s="12">
        <f t="shared" si="87"/>
        <v>12</v>
      </c>
      <c r="I715" s="11">
        <f t="shared" si="88"/>
        <v>24</v>
      </c>
      <c r="J715" s="11"/>
    </row>
    <row r="716" spans="1:10" x14ac:dyDescent="0.25">
      <c r="A716" s="2">
        <v>41254</v>
      </c>
      <c r="B716" s="3">
        <v>566</v>
      </c>
      <c r="C716" s="4">
        <v>266020</v>
      </c>
      <c r="D716" s="3">
        <v>297</v>
      </c>
      <c r="E716" s="4">
        <v>216810</v>
      </c>
      <c r="G716" s="12">
        <f t="shared" si="86"/>
        <v>2012</v>
      </c>
      <c r="H716" s="12">
        <f t="shared" si="87"/>
        <v>12</v>
      </c>
      <c r="I716" s="11">
        <f t="shared" si="88"/>
        <v>24</v>
      </c>
      <c r="J716" s="11"/>
    </row>
    <row r="717" spans="1:10" x14ac:dyDescent="0.25">
      <c r="A717" s="2">
        <v>41255</v>
      </c>
      <c r="B717" s="3">
        <v>395</v>
      </c>
      <c r="C717" s="4">
        <v>185650</v>
      </c>
      <c r="D717" s="3">
        <v>329</v>
      </c>
      <c r="E717" s="4">
        <v>240170</v>
      </c>
      <c r="G717" s="12">
        <f t="shared" si="86"/>
        <v>2012</v>
      </c>
      <c r="H717" s="12">
        <f t="shared" si="87"/>
        <v>12</v>
      </c>
      <c r="I717" s="11">
        <f t="shared" si="88"/>
        <v>24</v>
      </c>
      <c r="J717" s="11"/>
    </row>
    <row r="718" spans="1:10" x14ac:dyDescent="0.25">
      <c r="A718" s="2">
        <v>41256</v>
      </c>
      <c r="B718" s="3">
        <v>455</v>
      </c>
      <c r="C718" s="4">
        <v>213850</v>
      </c>
      <c r="D718" s="3">
        <v>317</v>
      </c>
      <c r="E718" s="4">
        <v>231410</v>
      </c>
      <c r="G718" s="12">
        <f t="shared" si="86"/>
        <v>2012</v>
      </c>
      <c r="H718" s="12">
        <f t="shared" si="87"/>
        <v>12</v>
      </c>
      <c r="I718" s="11">
        <f t="shared" si="88"/>
        <v>24</v>
      </c>
      <c r="J718" s="11"/>
    </row>
    <row r="719" spans="1:10" x14ac:dyDescent="0.25">
      <c r="A719" s="2">
        <v>41257</v>
      </c>
      <c r="B719" s="3">
        <v>449</v>
      </c>
      <c r="C719" s="4">
        <v>211030</v>
      </c>
      <c r="D719" s="3">
        <v>302</v>
      </c>
      <c r="E719" s="4">
        <v>220460</v>
      </c>
      <c r="G719" s="12">
        <f t="shared" si="86"/>
        <v>2012</v>
      </c>
      <c r="H719" s="12">
        <f t="shared" si="87"/>
        <v>12</v>
      </c>
      <c r="I719" s="11">
        <f t="shared" si="88"/>
        <v>24</v>
      </c>
      <c r="J719" s="11"/>
    </row>
    <row r="720" spans="1:10" x14ac:dyDescent="0.25">
      <c r="A720" s="2">
        <v>41258</v>
      </c>
      <c r="B720" s="3">
        <v>471</v>
      </c>
      <c r="C720" s="4">
        <v>221370</v>
      </c>
      <c r="D720" s="3">
        <v>272</v>
      </c>
      <c r="E720" s="4">
        <v>198560</v>
      </c>
      <c r="G720" s="12">
        <f t="shared" si="86"/>
        <v>2012</v>
      </c>
      <c r="H720" s="12">
        <f t="shared" si="87"/>
        <v>12</v>
      </c>
      <c r="I720" s="11">
        <f t="shared" si="88"/>
        <v>24</v>
      </c>
      <c r="J720" s="11"/>
    </row>
    <row r="721" spans="1:10" x14ac:dyDescent="0.25">
      <c r="A721" s="2">
        <v>41259</v>
      </c>
      <c r="B721" s="3">
        <v>513</v>
      </c>
      <c r="C721" s="4">
        <v>241110</v>
      </c>
      <c r="D721" s="3">
        <v>325</v>
      </c>
      <c r="E721" s="4">
        <v>237250</v>
      </c>
      <c r="G721" s="12">
        <f t="shared" si="86"/>
        <v>2012</v>
      </c>
      <c r="H721" s="12">
        <f t="shared" si="87"/>
        <v>12</v>
      </c>
      <c r="I721" s="11">
        <f t="shared" si="88"/>
        <v>24</v>
      </c>
      <c r="J721" s="11"/>
    </row>
    <row r="722" spans="1:10" x14ac:dyDescent="0.25">
      <c r="A722" s="2">
        <v>41260</v>
      </c>
      <c r="B722" s="3">
        <v>357</v>
      </c>
      <c r="C722" s="4">
        <v>167790</v>
      </c>
      <c r="D722" s="3">
        <v>300</v>
      </c>
      <c r="E722" s="4">
        <v>219000</v>
      </c>
      <c r="G722" s="12">
        <f t="shared" si="86"/>
        <v>2012</v>
      </c>
      <c r="H722" s="12">
        <f t="shared" si="87"/>
        <v>12</v>
      </c>
      <c r="I722" s="11">
        <f t="shared" si="88"/>
        <v>24</v>
      </c>
      <c r="J722" s="11"/>
    </row>
    <row r="723" spans="1:10" x14ac:dyDescent="0.25">
      <c r="A723" s="2">
        <v>41261</v>
      </c>
      <c r="B723" s="3">
        <v>481</v>
      </c>
      <c r="C723" s="4">
        <v>226070</v>
      </c>
      <c r="D723" s="3">
        <v>361</v>
      </c>
      <c r="E723" s="4">
        <v>263530</v>
      </c>
      <c r="G723" s="12">
        <f t="shared" si="86"/>
        <v>2012</v>
      </c>
      <c r="H723" s="12">
        <f t="shared" si="87"/>
        <v>12</v>
      </c>
      <c r="I723" s="11">
        <f t="shared" si="88"/>
        <v>24</v>
      </c>
      <c r="J723" s="11"/>
    </row>
    <row r="724" spans="1:10" x14ac:dyDescent="0.25">
      <c r="A724" s="2">
        <v>41262</v>
      </c>
      <c r="B724" s="3">
        <v>451</v>
      </c>
      <c r="C724" s="4">
        <v>211970</v>
      </c>
      <c r="D724" s="3">
        <v>366</v>
      </c>
      <c r="E724" s="4">
        <v>267180</v>
      </c>
      <c r="G724" s="12">
        <f t="shared" si="86"/>
        <v>2012</v>
      </c>
      <c r="H724" s="12">
        <f t="shared" si="87"/>
        <v>12</v>
      </c>
      <c r="I724" s="11">
        <f t="shared" si="88"/>
        <v>24</v>
      </c>
      <c r="J724" s="11"/>
    </row>
    <row r="725" spans="1:10" x14ac:dyDescent="0.25">
      <c r="A725" s="2">
        <v>41263</v>
      </c>
      <c r="B725" s="3">
        <v>609</v>
      </c>
      <c r="C725" s="4">
        <v>286230</v>
      </c>
      <c r="D725" s="3">
        <v>305</v>
      </c>
      <c r="E725" s="4">
        <v>222650</v>
      </c>
      <c r="G725" s="12">
        <f t="shared" si="86"/>
        <v>2012</v>
      </c>
      <c r="H725" s="12">
        <f t="shared" si="87"/>
        <v>12</v>
      </c>
      <c r="I725" s="11">
        <f t="shared" si="88"/>
        <v>24</v>
      </c>
      <c r="J725" s="11"/>
    </row>
    <row r="726" spans="1:10" x14ac:dyDescent="0.25">
      <c r="A726" s="2">
        <v>41264</v>
      </c>
      <c r="B726" s="3">
        <v>431</v>
      </c>
      <c r="C726" s="4">
        <v>202570</v>
      </c>
      <c r="D726" s="3">
        <v>339</v>
      </c>
      <c r="E726" s="4">
        <v>247470</v>
      </c>
      <c r="G726" s="12">
        <f t="shared" si="86"/>
        <v>2012</v>
      </c>
      <c r="H726" s="12">
        <f t="shared" si="87"/>
        <v>12</v>
      </c>
      <c r="I726" s="11">
        <f t="shared" si="88"/>
        <v>24</v>
      </c>
      <c r="J726" s="11"/>
    </row>
    <row r="727" spans="1:10" x14ac:dyDescent="0.25">
      <c r="A727" s="2">
        <v>41265</v>
      </c>
      <c r="B727" s="3">
        <v>414</v>
      </c>
      <c r="C727" s="4">
        <v>194580</v>
      </c>
      <c r="D727" s="3">
        <v>308</v>
      </c>
      <c r="E727" s="4">
        <v>224840</v>
      </c>
      <c r="G727" s="12">
        <f t="shared" si="86"/>
        <v>2012</v>
      </c>
      <c r="H727" s="12">
        <f t="shared" si="87"/>
        <v>12</v>
      </c>
      <c r="I727" s="11">
        <f t="shared" si="88"/>
        <v>24</v>
      </c>
      <c r="J727" s="11"/>
    </row>
    <row r="728" spans="1:10" x14ac:dyDescent="0.25">
      <c r="A728" s="2">
        <v>41266</v>
      </c>
      <c r="B728" s="3">
        <v>499</v>
      </c>
      <c r="C728" s="4">
        <v>234530</v>
      </c>
      <c r="D728" s="3">
        <v>298</v>
      </c>
      <c r="E728" s="4">
        <v>217540</v>
      </c>
      <c r="G728" s="12">
        <f t="shared" si="86"/>
        <v>2012</v>
      </c>
      <c r="H728" s="12">
        <f t="shared" si="87"/>
        <v>12</v>
      </c>
      <c r="I728" s="11">
        <f t="shared" si="88"/>
        <v>24</v>
      </c>
      <c r="J728" s="11"/>
    </row>
    <row r="729" spans="1:10" x14ac:dyDescent="0.25">
      <c r="A729" s="2">
        <v>41267</v>
      </c>
      <c r="B729" s="3">
        <v>572</v>
      </c>
      <c r="C729" s="4">
        <v>268840</v>
      </c>
      <c r="D729" s="3">
        <v>325</v>
      </c>
      <c r="E729" s="4">
        <v>237250</v>
      </c>
      <c r="G729" s="12">
        <f t="shared" si="86"/>
        <v>2012</v>
      </c>
      <c r="H729" s="12">
        <f t="shared" si="87"/>
        <v>12</v>
      </c>
      <c r="I729" s="11">
        <f t="shared" si="88"/>
        <v>24</v>
      </c>
      <c r="J729" s="11"/>
    </row>
    <row r="730" spans="1:10" x14ac:dyDescent="0.25">
      <c r="A730" s="2">
        <v>41268</v>
      </c>
      <c r="B730" s="3">
        <v>450</v>
      </c>
      <c r="C730" s="4">
        <v>211500</v>
      </c>
      <c r="D730" s="3">
        <v>361</v>
      </c>
      <c r="E730" s="4">
        <v>263530</v>
      </c>
      <c r="G730" s="12">
        <f t="shared" si="86"/>
        <v>2012</v>
      </c>
      <c r="H730" s="12">
        <f t="shared" si="87"/>
        <v>12</v>
      </c>
      <c r="I730" s="11">
        <f t="shared" si="88"/>
        <v>24</v>
      </c>
      <c r="J730" s="11"/>
    </row>
    <row r="731" spans="1:10" x14ac:dyDescent="0.25">
      <c r="A731" s="2">
        <v>41269</v>
      </c>
      <c r="B731" s="3">
        <v>425</v>
      </c>
      <c r="C731" s="4">
        <v>199750</v>
      </c>
      <c r="D731" s="3">
        <v>305</v>
      </c>
      <c r="E731" s="4">
        <v>222650</v>
      </c>
      <c r="G731" s="12">
        <f t="shared" si="86"/>
        <v>2012</v>
      </c>
      <c r="H731" s="12">
        <f t="shared" si="87"/>
        <v>12</v>
      </c>
      <c r="I731" s="11">
        <f t="shared" si="88"/>
        <v>24</v>
      </c>
      <c r="J731" s="11"/>
    </row>
    <row r="732" spans="1:10" x14ac:dyDescent="0.25">
      <c r="A732" s="2">
        <v>41270</v>
      </c>
      <c r="B732" s="3">
        <v>433</v>
      </c>
      <c r="C732" s="4">
        <v>203510</v>
      </c>
      <c r="D732" s="3">
        <v>294</v>
      </c>
      <c r="E732" s="4">
        <v>214620</v>
      </c>
      <c r="G732" s="12">
        <f t="shared" si="86"/>
        <v>2012</v>
      </c>
      <c r="H732" s="12">
        <f t="shared" si="87"/>
        <v>12</v>
      </c>
      <c r="I732" s="11">
        <f t="shared" si="88"/>
        <v>24</v>
      </c>
      <c r="J732" s="11"/>
    </row>
    <row r="733" spans="1:10" x14ac:dyDescent="0.25">
      <c r="A733" s="2">
        <v>41271</v>
      </c>
      <c r="B733" s="3">
        <v>544</v>
      </c>
      <c r="C733" s="4">
        <v>255680</v>
      </c>
      <c r="D733" s="3">
        <v>310</v>
      </c>
      <c r="E733" s="4">
        <v>226300</v>
      </c>
      <c r="G733" s="12">
        <f t="shared" si="86"/>
        <v>2012</v>
      </c>
      <c r="H733" s="12">
        <f t="shared" si="87"/>
        <v>12</v>
      </c>
      <c r="I733" s="11">
        <f t="shared" si="88"/>
        <v>24</v>
      </c>
      <c r="J733" s="11"/>
    </row>
    <row r="734" spans="1:10" x14ac:dyDescent="0.25">
      <c r="A734" s="2">
        <v>41272</v>
      </c>
      <c r="B734" s="3">
        <v>520</v>
      </c>
      <c r="C734" s="4">
        <v>244400</v>
      </c>
      <c r="D734" s="3">
        <v>315</v>
      </c>
      <c r="E734" s="4">
        <v>229950</v>
      </c>
      <c r="G734" s="12">
        <f t="shared" si="86"/>
        <v>2012</v>
      </c>
      <c r="H734" s="12">
        <f t="shared" si="87"/>
        <v>12</v>
      </c>
      <c r="I734" s="11">
        <f t="shared" si="88"/>
        <v>24</v>
      </c>
      <c r="J734" s="11"/>
    </row>
    <row r="735" spans="1:10" x14ac:dyDescent="0.25">
      <c r="A735" s="2">
        <v>41273</v>
      </c>
      <c r="B735" s="3">
        <v>396</v>
      </c>
      <c r="C735" s="4">
        <v>186120</v>
      </c>
      <c r="D735" s="3">
        <v>276</v>
      </c>
      <c r="E735" s="4">
        <v>201480</v>
      </c>
      <c r="G735" s="12">
        <f t="shared" si="86"/>
        <v>2012</v>
      </c>
      <c r="H735" s="12">
        <f t="shared" si="87"/>
        <v>12</v>
      </c>
      <c r="I735" s="11">
        <f t="shared" si="88"/>
        <v>24</v>
      </c>
      <c r="J735" s="11"/>
    </row>
    <row r="736" spans="1:10" x14ac:dyDescent="0.25">
      <c r="A736" s="2">
        <v>41274</v>
      </c>
      <c r="B736" s="3">
        <v>428</v>
      </c>
      <c r="C736" s="4">
        <v>201160</v>
      </c>
      <c r="D736" s="3">
        <v>308</v>
      </c>
      <c r="E736" s="4">
        <v>224840</v>
      </c>
      <c r="G736" s="12">
        <f t="shared" si="86"/>
        <v>2012</v>
      </c>
      <c r="H736" s="12">
        <f t="shared" si="87"/>
        <v>12</v>
      </c>
      <c r="I736" s="11">
        <f t="shared" si="88"/>
        <v>24</v>
      </c>
      <c r="J736" s="11"/>
    </row>
    <row r="737" spans="1:10" x14ac:dyDescent="0.25">
      <c r="A737" s="2">
        <v>41275</v>
      </c>
      <c r="B737" s="3">
        <v>411</v>
      </c>
      <c r="C737" s="4">
        <v>193170</v>
      </c>
      <c r="D737" s="3">
        <v>277</v>
      </c>
      <c r="E737" s="4">
        <v>202210</v>
      </c>
      <c r="G737" s="12">
        <f t="shared" si="86"/>
        <v>2013</v>
      </c>
      <c r="H737" s="12">
        <f t="shared" si="87"/>
        <v>1</v>
      </c>
      <c r="I737" s="11">
        <f t="shared" si="88"/>
        <v>25</v>
      </c>
      <c r="J737" s="11"/>
    </row>
    <row r="738" spans="1:10" x14ac:dyDescent="0.25">
      <c r="A738" s="2">
        <v>41276</v>
      </c>
      <c r="B738" s="3">
        <v>498</v>
      </c>
      <c r="C738" s="4">
        <v>234060</v>
      </c>
      <c r="D738" s="3">
        <v>247</v>
      </c>
      <c r="E738" s="4">
        <v>180310</v>
      </c>
      <c r="G738" s="12">
        <f t="shared" si="86"/>
        <v>2013</v>
      </c>
      <c r="H738" s="12">
        <f t="shared" si="87"/>
        <v>1</v>
      </c>
      <c r="I738" s="11">
        <f t="shared" si="88"/>
        <v>25</v>
      </c>
      <c r="J738" s="11"/>
    </row>
    <row r="739" spans="1:10" x14ac:dyDescent="0.25">
      <c r="A739" s="2">
        <v>41277</v>
      </c>
      <c r="B739" s="3">
        <v>532</v>
      </c>
      <c r="C739" s="4">
        <v>250040</v>
      </c>
      <c r="D739" s="3">
        <v>300</v>
      </c>
      <c r="E739" s="4">
        <v>219000</v>
      </c>
      <c r="G739" s="12">
        <f t="shared" si="86"/>
        <v>2013</v>
      </c>
      <c r="H739" s="12">
        <f t="shared" si="87"/>
        <v>1</v>
      </c>
      <c r="I739" s="11">
        <f t="shared" si="88"/>
        <v>25</v>
      </c>
      <c r="J739" s="11"/>
    </row>
    <row r="740" spans="1:10" x14ac:dyDescent="0.25">
      <c r="A740" s="2">
        <v>41278</v>
      </c>
      <c r="B740" s="3">
        <v>552</v>
      </c>
      <c r="C740" s="4">
        <v>259440</v>
      </c>
      <c r="D740" s="3">
        <v>272</v>
      </c>
      <c r="E740" s="4">
        <v>198560</v>
      </c>
      <c r="G740" s="12">
        <f t="shared" si="86"/>
        <v>2013</v>
      </c>
      <c r="H740" s="12">
        <f t="shared" si="87"/>
        <v>1</v>
      </c>
      <c r="I740" s="11">
        <f t="shared" si="88"/>
        <v>25</v>
      </c>
      <c r="J740" s="11"/>
    </row>
    <row r="741" spans="1:10" x14ac:dyDescent="0.25">
      <c r="A741" s="2">
        <v>41279</v>
      </c>
      <c r="B741" s="3">
        <v>453</v>
      </c>
      <c r="C741" s="4">
        <v>212910</v>
      </c>
      <c r="D741" s="3">
        <v>290</v>
      </c>
      <c r="E741" s="4">
        <v>211700</v>
      </c>
      <c r="G741" s="12">
        <f t="shared" si="86"/>
        <v>2013</v>
      </c>
      <c r="H741" s="12">
        <f t="shared" si="87"/>
        <v>1</v>
      </c>
      <c r="I741" s="11">
        <f t="shared" si="88"/>
        <v>25</v>
      </c>
      <c r="J741" s="11"/>
    </row>
    <row r="742" spans="1:10" x14ac:dyDescent="0.25">
      <c r="A742" s="2">
        <v>41280</v>
      </c>
      <c r="B742" s="3">
        <v>434</v>
      </c>
      <c r="C742" s="4">
        <v>203980</v>
      </c>
      <c r="D742" s="3">
        <v>334</v>
      </c>
      <c r="E742" s="4">
        <v>243820</v>
      </c>
      <c r="G742" s="12">
        <f t="shared" si="86"/>
        <v>2013</v>
      </c>
      <c r="H742" s="12">
        <f t="shared" si="87"/>
        <v>1</v>
      </c>
      <c r="I742" s="11">
        <f t="shared" si="88"/>
        <v>25</v>
      </c>
      <c r="J742" s="11"/>
    </row>
    <row r="743" spans="1:10" x14ac:dyDescent="0.25">
      <c r="A743" s="2">
        <v>41281</v>
      </c>
      <c r="B743" s="3">
        <v>486</v>
      </c>
      <c r="C743" s="4">
        <v>228420</v>
      </c>
      <c r="D743" s="3">
        <v>276</v>
      </c>
      <c r="E743" s="4">
        <v>201480</v>
      </c>
      <c r="G743" s="12">
        <f t="shared" si="86"/>
        <v>2013</v>
      </c>
      <c r="H743" s="12">
        <f t="shared" si="87"/>
        <v>1</v>
      </c>
      <c r="I743" s="11">
        <f t="shared" si="88"/>
        <v>25</v>
      </c>
      <c r="J743" s="11"/>
    </row>
    <row r="744" spans="1:10" x14ac:dyDescent="0.25">
      <c r="A744" s="2">
        <v>41282</v>
      </c>
      <c r="B744" s="3">
        <v>499</v>
      </c>
      <c r="C744" s="4">
        <v>234530</v>
      </c>
      <c r="D744" s="3">
        <v>289</v>
      </c>
      <c r="E744" s="4">
        <v>210970</v>
      </c>
      <c r="G744" s="12">
        <f t="shared" si="86"/>
        <v>2013</v>
      </c>
      <c r="H744" s="12">
        <f t="shared" si="87"/>
        <v>1</v>
      </c>
      <c r="I744" s="11">
        <f t="shared" si="88"/>
        <v>25</v>
      </c>
      <c r="J744" s="11"/>
    </row>
    <row r="745" spans="1:10" x14ac:dyDescent="0.25">
      <c r="A745" s="2">
        <v>41283</v>
      </c>
      <c r="B745" s="3">
        <v>488</v>
      </c>
      <c r="C745" s="4">
        <v>229360</v>
      </c>
      <c r="D745" s="3">
        <v>317</v>
      </c>
      <c r="E745" s="4">
        <v>231410</v>
      </c>
      <c r="G745" s="12">
        <f t="shared" si="86"/>
        <v>2013</v>
      </c>
      <c r="H745" s="12">
        <f t="shared" si="87"/>
        <v>1</v>
      </c>
      <c r="I745" s="11">
        <f t="shared" si="88"/>
        <v>25</v>
      </c>
      <c r="J745" s="11"/>
    </row>
    <row r="746" spans="1:10" x14ac:dyDescent="0.25">
      <c r="A746" s="2">
        <v>41284</v>
      </c>
      <c r="B746" s="3">
        <v>474</v>
      </c>
      <c r="C746" s="4">
        <v>222780</v>
      </c>
      <c r="D746" s="3">
        <v>311</v>
      </c>
      <c r="E746" s="4">
        <v>227030</v>
      </c>
      <c r="G746" s="12">
        <f t="shared" si="86"/>
        <v>2013</v>
      </c>
      <c r="H746" s="12">
        <f t="shared" si="87"/>
        <v>1</v>
      </c>
      <c r="I746" s="11">
        <f t="shared" si="88"/>
        <v>25</v>
      </c>
      <c r="J746" s="11"/>
    </row>
    <row r="747" spans="1:10" x14ac:dyDescent="0.25">
      <c r="A747" s="2">
        <v>41285</v>
      </c>
      <c r="B747" s="3">
        <v>523</v>
      </c>
      <c r="C747" s="4">
        <v>245810</v>
      </c>
      <c r="D747" s="3">
        <v>388</v>
      </c>
      <c r="E747" s="4">
        <v>283240</v>
      </c>
      <c r="G747" s="12">
        <f t="shared" si="86"/>
        <v>2013</v>
      </c>
      <c r="H747" s="12">
        <f t="shared" si="87"/>
        <v>1</v>
      </c>
      <c r="I747" s="11">
        <f t="shared" si="88"/>
        <v>25</v>
      </c>
      <c r="J747" s="11"/>
    </row>
    <row r="748" spans="1:10" x14ac:dyDescent="0.25">
      <c r="A748" s="2">
        <v>41286</v>
      </c>
      <c r="B748" s="3">
        <v>473</v>
      </c>
      <c r="C748" s="4">
        <v>222310</v>
      </c>
      <c r="D748" s="3">
        <v>263</v>
      </c>
      <c r="E748" s="4">
        <v>191990</v>
      </c>
      <c r="G748" s="12">
        <f t="shared" si="86"/>
        <v>2013</v>
      </c>
      <c r="H748" s="12">
        <f t="shared" si="87"/>
        <v>1</v>
      </c>
      <c r="I748" s="11">
        <f t="shared" si="88"/>
        <v>25</v>
      </c>
      <c r="J748" s="11"/>
    </row>
    <row r="749" spans="1:10" x14ac:dyDescent="0.25">
      <c r="A749" s="2">
        <v>41287</v>
      </c>
      <c r="B749" s="3">
        <v>464</v>
      </c>
      <c r="C749" s="4">
        <v>218080</v>
      </c>
      <c r="D749" s="3">
        <v>268</v>
      </c>
      <c r="E749" s="4">
        <v>195640</v>
      </c>
      <c r="G749" s="12">
        <f t="shared" si="86"/>
        <v>2013</v>
      </c>
      <c r="H749" s="12">
        <f t="shared" si="87"/>
        <v>1</v>
      </c>
      <c r="I749" s="11">
        <f t="shared" si="88"/>
        <v>25</v>
      </c>
      <c r="J749" s="11"/>
    </row>
    <row r="750" spans="1:10" x14ac:dyDescent="0.25">
      <c r="A750" s="2">
        <v>41288</v>
      </c>
      <c r="B750" s="3">
        <v>466</v>
      </c>
      <c r="C750" s="4">
        <v>219020</v>
      </c>
      <c r="D750" s="3">
        <v>326</v>
      </c>
      <c r="E750" s="4">
        <v>237980</v>
      </c>
      <c r="G750" s="12">
        <f t="shared" si="86"/>
        <v>2013</v>
      </c>
      <c r="H750" s="12">
        <f t="shared" si="87"/>
        <v>1</v>
      </c>
      <c r="I750" s="11">
        <f t="shared" si="88"/>
        <v>25</v>
      </c>
      <c r="J750" s="11"/>
    </row>
    <row r="751" spans="1:10" x14ac:dyDescent="0.25">
      <c r="A751" s="2">
        <v>41289</v>
      </c>
      <c r="B751" s="3">
        <v>490</v>
      </c>
      <c r="C751" s="4">
        <v>230300</v>
      </c>
      <c r="D751" s="3">
        <v>321</v>
      </c>
      <c r="E751" s="4">
        <v>234330</v>
      </c>
      <c r="G751" s="12">
        <f t="shared" si="86"/>
        <v>2013</v>
      </c>
      <c r="H751" s="12">
        <f t="shared" si="87"/>
        <v>1</v>
      </c>
      <c r="I751" s="11">
        <f t="shared" si="88"/>
        <v>25</v>
      </c>
      <c r="J751" s="11"/>
    </row>
    <row r="752" spans="1:10" x14ac:dyDescent="0.25">
      <c r="A752" s="2">
        <v>41290</v>
      </c>
      <c r="B752" s="3">
        <v>523</v>
      </c>
      <c r="C752" s="4">
        <v>245810</v>
      </c>
      <c r="D752" s="3">
        <v>349</v>
      </c>
      <c r="E752" s="4">
        <v>254770</v>
      </c>
      <c r="G752" s="12">
        <f t="shared" si="86"/>
        <v>2013</v>
      </c>
      <c r="H752" s="12">
        <f t="shared" si="87"/>
        <v>1</v>
      </c>
      <c r="I752" s="11">
        <f t="shared" si="88"/>
        <v>25</v>
      </c>
      <c r="J752" s="11"/>
    </row>
    <row r="753" spans="1:10" x14ac:dyDescent="0.25">
      <c r="A753" s="2">
        <v>41291</v>
      </c>
      <c r="B753" s="3">
        <v>464</v>
      </c>
      <c r="C753" s="4">
        <v>218080</v>
      </c>
      <c r="D753" s="3">
        <v>295</v>
      </c>
      <c r="E753" s="4">
        <v>215350</v>
      </c>
      <c r="G753" s="12">
        <f t="shared" si="86"/>
        <v>2013</v>
      </c>
      <c r="H753" s="12">
        <f t="shared" si="87"/>
        <v>1</v>
      </c>
      <c r="I753" s="11">
        <f t="shared" si="88"/>
        <v>25</v>
      </c>
      <c r="J753" s="11"/>
    </row>
    <row r="754" spans="1:10" x14ac:dyDescent="0.25">
      <c r="A754" s="2">
        <v>41292</v>
      </c>
      <c r="B754" s="3">
        <v>424</v>
      </c>
      <c r="C754" s="4">
        <v>199280</v>
      </c>
      <c r="D754" s="3">
        <v>362</v>
      </c>
      <c r="E754" s="4">
        <v>264260</v>
      </c>
      <c r="G754" s="12">
        <f t="shared" si="86"/>
        <v>2013</v>
      </c>
      <c r="H754" s="12">
        <f t="shared" si="87"/>
        <v>1</v>
      </c>
      <c r="I754" s="11">
        <f t="shared" si="88"/>
        <v>25</v>
      </c>
      <c r="J754" s="11"/>
    </row>
    <row r="755" spans="1:10" x14ac:dyDescent="0.25">
      <c r="A755" s="2">
        <v>41293</v>
      </c>
      <c r="B755" s="3">
        <v>507</v>
      </c>
      <c r="C755" s="4">
        <v>238290</v>
      </c>
      <c r="D755" s="3">
        <v>352</v>
      </c>
      <c r="E755" s="4">
        <v>256960</v>
      </c>
      <c r="G755" s="12">
        <f t="shared" si="86"/>
        <v>2013</v>
      </c>
      <c r="H755" s="12">
        <f t="shared" si="87"/>
        <v>1</v>
      </c>
      <c r="I755" s="11">
        <f t="shared" si="88"/>
        <v>25</v>
      </c>
      <c r="J755" s="11"/>
    </row>
    <row r="756" spans="1:10" x14ac:dyDescent="0.25">
      <c r="A756" s="2">
        <v>41294</v>
      </c>
      <c r="B756" s="3">
        <v>467</v>
      </c>
      <c r="C756" s="4">
        <v>219490</v>
      </c>
      <c r="D756" s="3">
        <v>308</v>
      </c>
      <c r="E756" s="4">
        <v>224840</v>
      </c>
      <c r="G756" s="12">
        <f t="shared" si="86"/>
        <v>2013</v>
      </c>
      <c r="H756" s="12">
        <f t="shared" si="87"/>
        <v>1</v>
      </c>
      <c r="I756" s="11">
        <f t="shared" si="88"/>
        <v>25</v>
      </c>
      <c r="J756" s="11"/>
    </row>
    <row r="757" spans="1:10" x14ac:dyDescent="0.25">
      <c r="A757" s="2">
        <v>41295</v>
      </c>
      <c r="B757" s="3">
        <v>527</v>
      </c>
      <c r="C757" s="4">
        <v>247690</v>
      </c>
      <c r="D757" s="3">
        <v>345</v>
      </c>
      <c r="E757" s="4">
        <v>251850</v>
      </c>
      <c r="G757" s="12">
        <f t="shared" si="86"/>
        <v>2013</v>
      </c>
      <c r="H757" s="12">
        <f t="shared" si="87"/>
        <v>1</v>
      </c>
      <c r="I757" s="11">
        <f t="shared" si="88"/>
        <v>25</v>
      </c>
      <c r="J757" s="11"/>
    </row>
    <row r="758" spans="1:10" x14ac:dyDescent="0.25">
      <c r="A758" s="2">
        <v>41296</v>
      </c>
      <c r="B758" s="3">
        <v>459</v>
      </c>
      <c r="C758" s="4">
        <v>215730</v>
      </c>
      <c r="D758" s="3">
        <v>342</v>
      </c>
      <c r="E758" s="4">
        <v>249660</v>
      </c>
      <c r="G758" s="12">
        <f t="shared" si="86"/>
        <v>2013</v>
      </c>
      <c r="H758" s="12">
        <f t="shared" si="87"/>
        <v>1</v>
      </c>
      <c r="I758" s="11">
        <f t="shared" si="88"/>
        <v>25</v>
      </c>
      <c r="J758" s="11"/>
    </row>
    <row r="759" spans="1:10" x14ac:dyDescent="0.25">
      <c r="A759" s="2">
        <v>41297</v>
      </c>
      <c r="B759" s="3">
        <v>535</v>
      </c>
      <c r="C759" s="4">
        <v>251450</v>
      </c>
      <c r="D759" s="3">
        <v>282</v>
      </c>
      <c r="E759" s="4">
        <v>205860</v>
      </c>
      <c r="G759" s="12">
        <f t="shared" si="86"/>
        <v>2013</v>
      </c>
      <c r="H759" s="12">
        <f t="shared" si="87"/>
        <v>1</v>
      </c>
      <c r="I759" s="11">
        <f t="shared" si="88"/>
        <v>25</v>
      </c>
      <c r="J759" s="11"/>
    </row>
    <row r="760" spans="1:10" x14ac:dyDescent="0.25">
      <c r="A760" s="2">
        <v>41298</v>
      </c>
      <c r="B760" s="3">
        <v>420</v>
      </c>
      <c r="C760" s="4">
        <v>197400</v>
      </c>
      <c r="D760" s="3">
        <v>304</v>
      </c>
      <c r="E760" s="4">
        <v>221920</v>
      </c>
      <c r="G760" s="12">
        <f t="shared" si="86"/>
        <v>2013</v>
      </c>
      <c r="H760" s="12">
        <f t="shared" si="87"/>
        <v>1</v>
      </c>
      <c r="I760" s="11">
        <f t="shared" si="88"/>
        <v>25</v>
      </c>
      <c r="J760" s="11"/>
    </row>
    <row r="761" spans="1:10" x14ac:dyDescent="0.25">
      <c r="A761" s="2">
        <v>41299</v>
      </c>
      <c r="B761" s="3">
        <v>354</v>
      </c>
      <c r="C761" s="4">
        <v>166380</v>
      </c>
      <c r="D761" s="3">
        <v>270</v>
      </c>
      <c r="E761" s="4">
        <v>197100</v>
      </c>
      <c r="G761" s="12">
        <f t="shared" si="86"/>
        <v>2013</v>
      </c>
      <c r="H761" s="12">
        <f t="shared" si="87"/>
        <v>1</v>
      </c>
      <c r="I761" s="11">
        <f t="shared" si="88"/>
        <v>25</v>
      </c>
      <c r="J761" s="11"/>
    </row>
    <row r="762" spans="1:10" x14ac:dyDescent="0.25">
      <c r="A762" s="2">
        <v>41300</v>
      </c>
      <c r="B762" s="3">
        <v>500</v>
      </c>
      <c r="C762" s="4">
        <v>235000</v>
      </c>
      <c r="D762" s="3">
        <v>327</v>
      </c>
      <c r="E762" s="4">
        <v>238710</v>
      </c>
      <c r="G762" s="12">
        <f t="shared" si="86"/>
        <v>2013</v>
      </c>
      <c r="H762" s="12">
        <f t="shared" si="87"/>
        <v>1</v>
      </c>
      <c r="I762" s="11">
        <f t="shared" si="88"/>
        <v>25</v>
      </c>
      <c r="J762" s="11"/>
    </row>
    <row r="763" spans="1:10" x14ac:dyDescent="0.25">
      <c r="A763" s="2">
        <v>41301</v>
      </c>
      <c r="B763" s="3">
        <v>490</v>
      </c>
      <c r="C763" s="4">
        <v>230300</v>
      </c>
      <c r="D763" s="3">
        <v>262</v>
      </c>
      <c r="E763" s="4">
        <v>191260</v>
      </c>
      <c r="G763" s="12">
        <f t="shared" si="86"/>
        <v>2013</v>
      </c>
      <c r="H763" s="12">
        <f t="shared" si="87"/>
        <v>1</v>
      </c>
      <c r="I763" s="11">
        <f t="shared" si="88"/>
        <v>25</v>
      </c>
      <c r="J763" s="11"/>
    </row>
    <row r="764" spans="1:10" x14ac:dyDescent="0.25">
      <c r="A764" s="2">
        <v>41302</v>
      </c>
      <c r="B764" s="3">
        <v>391</v>
      </c>
      <c r="C764" s="4">
        <v>183770</v>
      </c>
      <c r="D764" s="3">
        <v>298</v>
      </c>
      <c r="E764" s="4">
        <v>217540</v>
      </c>
      <c r="G764" s="12">
        <f t="shared" si="86"/>
        <v>2013</v>
      </c>
      <c r="H764" s="12">
        <f t="shared" si="87"/>
        <v>1</v>
      </c>
      <c r="I764" s="11">
        <f t="shared" si="88"/>
        <v>25</v>
      </c>
      <c r="J764" s="11"/>
    </row>
    <row r="765" spans="1:10" x14ac:dyDescent="0.25">
      <c r="A765" s="2">
        <v>41303</v>
      </c>
      <c r="B765" s="3">
        <v>384</v>
      </c>
      <c r="C765" s="4">
        <v>180480</v>
      </c>
      <c r="D765" s="3">
        <v>337</v>
      </c>
      <c r="E765" s="4">
        <v>246010</v>
      </c>
      <c r="G765" s="12">
        <f t="shared" si="86"/>
        <v>2013</v>
      </c>
      <c r="H765" s="12">
        <f t="shared" si="87"/>
        <v>1</v>
      </c>
      <c r="I765" s="11">
        <f t="shared" si="88"/>
        <v>25</v>
      </c>
      <c r="J765" s="11"/>
    </row>
    <row r="766" spans="1:10" x14ac:dyDescent="0.25">
      <c r="A766" s="2">
        <v>41304</v>
      </c>
      <c r="B766" s="3">
        <v>475</v>
      </c>
      <c r="C766" s="4">
        <v>223250</v>
      </c>
      <c r="D766" s="3">
        <v>347</v>
      </c>
      <c r="E766" s="4">
        <v>253310</v>
      </c>
      <c r="G766" s="12">
        <f t="shared" si="86"/>
        <v>2013</v>
      </c>
      <c r="H766" s="12">
        <f t="shared" si="87"/>
        <v>1</v>
      </c>
      <c r="I766" s="11">
        <f t="shared" si="88"/>
        <v>25</v>
      </c>
      <c r="J766" s="11"/>
    </row>
    <row r="767" spans="1:10" x14ac:dyDescent="0.25">
      <c r="A767" s="2">
        <v>41305</v>
      </c>
      <c r="B767" s="3">
        <v>493</v>
      </c>
      <c r="C767" s="4">
        <v>231710</v>
      </c>
      <c r="D767" s="3">
        <v>330</v>
      </c>
      <c r="E767" s="4">
        <v>240900</v>
      </c>
      <c r="G767" s="12">
        <f t="shared" si="86"/>
        <v>2013</v>
      </c>
      <c r="H767" s="12">
        <f t="shared" si="87"/>
        <v>1</v>
      </c>
      <c r="I767" s="11">
        <f t="shared" si="88"/>
        <v>25</v>
      </c>
      <c r="J767" s="11"/>
    </row>
    <row r="768" spans="1:10" x14ac:dyDescent="0.25">
      <c r="A768" s="2">
        <v>41306</v>
      </c>
      <c r="B768" s="3">
        <v>514</v>
      </c>
      <c r="C768" s="4">
        <v>241580</v>
      </c>
      <c r="D768" s="3">
        <v>264</v>
      </c>
      <c r="E768" s="4">
        <v>192720</v>
      </c>
      <c r="G768" s="12">
        <f t="shared" si="86"/>
        <v>2013</v>
      </c>
      <c r="H768" s="12">
        <f t="shared" si="87"/>
        <v>2</v>
      </c>
      <c r="I768" s="11">
        <f t="shared" si="88"/>
        <v>26</v>
      </c>
      <c r="J768" s="11"/>
    </row>
    <row r="769" spans="1:10" x14ac:dyDescent="0.25">
      <c r="A769" s="2">
        <v>41307</v>
      </c>
      <c r="B769" s="3">
        <v>418</v>
      </c>
      <c r="C769" s="4">
        <v>196460</v>
      </c>
      <c r="D769" s="3">
        <v>266</v>
      </c>
      <c r="E769" s="4">
        <v>194180</v>
      </c>
      <c r="G769" s="12">
        <f t="shared" si="86"/>
        <v>2013</v>
      </c>
      <c r="H769" s="12">
        <f t="shared" si="87"/>
        <v>2</v>
      </c>
      <c r="I769" s="11">
        <f t="shared" si="88"/>
        <v>26</v>
      </c>
      <c r="J769" s="11"/>
    </row>
    <row r="770" spans="1:10" x14ac:dyDescent="0.25">
      <c r="A770" s="2">
        <v>41308</v>
      </c>
      <c r="B770" s="3">
        <v>489</v>
      </c>
      <c r="C770" s="4">
        <v>229830</v>
      </c>
      <c r="D770" s="3">
        <v>328</v>
      </c>
      <c r="E770" s="4">
        <v>239440</v>
      </c>
      <c r="G770" s="12">
        <f t="shared" si="86"/>
        <v>2013</v>
      </c>
      <c r="H770" s="12">
        <f t="shared" si="87"/>
        <v>2</v>
      </c>
      <c r="I770" s="11">
        <f t="shared" si="88"/>
        <v>26</v>
      </c>
      <c r="J770" s="11"/>
    </row>
    <row r="771" spans="1:10" x14ac:dyDescent="0.25">
      <c r="A771" s="2">
        <v>41309</v>
      </c>
      <c r="B771" s="3">
        <v>506</v>
      </c>
      <c r="C771" s="4">
        <v>237820</v>
      </c>
      <c r="D771" s="3">
        <v>322</v>
      </c>
      <c r="E771" s="4">
        <v>235060</v>
      </c>
      <c r="G771" s="12">
        <f t="shared" si="86"/>
        <v>2013</v>
      </c>
      <c r="H771" s="12">
        <f t="shared" si="87"/>
        <v>2</v>
      </c>
      <c r="I771" s="11">
        <f t="shared" si="88"/>
        <v>26</v>
      </c>
      <c r="J771" s="11"/>
    </row>
    <row r="772" spans="1:10" x14ac:dyDescent="0.25">
      <c r="A772" s="2">
        <v>41310</v>
      </c>
      <c r="B772" s="3">
        <v>485</v>
      </c>
      <c r="C772" s="4">
        <v>227950</v>
      </c>
      <c r="D772" s="3">
        <v>274</v>
      </c>
      <c r="E772" s="4">
        <v>200020</v>
      </c>
      <c r="G772" s="12">
        <f t="shared" si="86"/>
        <v>2013</v>
      </c>
      <c r="H772" s="12">
        <f t="shared" si="87"/>
        <v>2</v>
      </c>
      <c r="I772" s="11">
        <f t="shared" si="88"/>
        <v>26</v>
      </c>
      <c r="J772" s="11"/>
    </row>
    <row r="773" spans="1:10" x14ac:dyDescent="0.25">
      <c r="A773" s="2">
        <v>41311</v>
      </c>
      <c r="B773" s="3">
        <v>393</v>
      </c>
      <c r="C773" s="4">
        <v>184710</v>
      </c>
      <c r="D773" s="3">
        <v>319</v>
      </c>
      <c r="E773" s="4">
        <v>232870</v>
      </c>
      <c r="G773" s="12">
        <f t="shared" si="86"/>
        <v>2013</v>
      </c>
      <c r="H773" s="12">
        <f t="shared" si="87"/>
        <v>2</v>
      </c>
      <c r="I773" s="11">
        <f t="shared" si="88"/>
        <v>26</v>
      </c>
      <c r="J773" s="11"/>
    </row>
    <row r="774" spans="1:10" x14ac:dyDescent="0.25">
      <c r="A774" s="2">
        <v>41312</v>
      </c>
      <c r="B774" s="3">
        <v>421</v>
      </c>
      <c r="C774" s="4">
        <v>197870</v>
      </c>
      <c r="D774" s="3">
        <v>318</v>
      </c>
      <c r="E774" s="4">
        <v>232140</v>
      </c>
      <c r="G774" s="12">
        <f t="shared" ref="G774:G837" si="89">+YEAR(A774)</f>
        <v>2013</v>
      </c>
      <c r="H774" s="12">
        <f t="shared" ref="H774:H837" si="90">+MONTH(A774)</f>
        <v>2</v>
      </c>
      <c r="I774" s="11">
        <f t="shared" si="88"/>
        <v>26</v>
      </c>
      <c r="J774" s="11"/>
    </row>
    <row r="775" spans="1:10" x14ac:dyDescent="0.25">
      <c r="A775" s="2">
        <v>41313</v>
      </c>
      <c r="B775" s="3">
        <v>438</v>
      </c>
      <c r="C775" s="4">
        <v>205860</v>
      </c>
      <c r="D775" s="3">
        <v>268</v>
      </c>
      <c r="E775" s="4">
        <v>195640</v>
      </c>
      <c r="G775" s="12">
        <f t="shared" si="89"/>
        <v>2013</v>
      </c>
      <c r="H775" s="12">
        <f t="shared" si="90"/>
        <v>2</v>
      </c>
      <c r="I775" s="11">
        <f t="shared" ref="I775:I838" si="91">+H775+(G775-2011)*12</f>
        <v>26</v>
      </c>
      <c r="J775" s="11"/>
    </row>
    <row r="776" spans="1:10" x14ac:dyDescent="0.25">
      <c r="A776" s="2">
        <v>41314</v>
      </c>
      <c r="B776" s="3">
        <v>429</v>
      </c>
      <c r="C776" s="4">
        <v>201630</v>
      </c>
      <c r="D776" s="3">
        <v>266</v>
      </c>
      <c r="E776" s="4">
        <v>194180</v>
      </c>
      <c r="G776" s="12">
        <f t="shared" si="89"/>
        <v>2013</v>
      </c>
      <c r="H776" s="12">
        <f t="shared" si="90"/>
        <v>2</v>
      </c>
      <c r="I776" s="11">
        <f t="shared" si="91"/>
        <v>26</v>
      </c>
      <c r="J776" s="11"/>
    </row>
    <row r="777" spans="1:10" x14ac:dyDescent="0.25">
      <c r="A777" s="2">
        <v>41315</v>
      </c>
      <c r="B777" s="3">
        <v>455</v>
      </c>
      <c r="C777" s="4">
        <v>213850</v>
      </c>
      <c r="D777" s="3">
        <v>300</v>
      </c>
      <c r="E777" s="4">
        <v>219000</v>
      </c>
      <c r="G777" s="12">
        <f t="shared" si="89"/>
        <v>2013</v>
      </c>
      <c r="H777" s="12">
        <f t="shared" si="90"/>
        <v>2</v>
      </c>
      <c r="I777" s="11">
        <f t="shared" si="91"/>
        <v>26</v>
      </c>
      <c r="J777" s="11"/>
    </row>
    <row r="778" spans="1:10" x14ac:dyDescent="0.25">
      <c r="A778" s="2">
        <v>41316</v>
      </c>
      <c r="B778" s="3">
        <v>429</v>
      </c>
      <c r="C778" s="4">
        <v>201630</v>
      </c>
      <c r="D778" s="3">
        <v>298</v>
      </c>
      <c r="E778" s="4">
        <v>217540</v>
      </c>
      <c r="G778" s="12">
        <f t="shared" si="89"/>
        <v>2013</v>
      </c>
      <c r="H778" s="12">
        <f t="shared" si="90"/>
        <v>2</v>
      </c>
      <c r="I778" s="11">
        <f t="shared" si="91"/>
        <v>26</v>
      </c>
      <c r="J778" s="11"/>
    </row>
    <row r="779" spans="1:10" x14ac:dyDescent="0.25">
      <c r="A779" s="2">
        <v>41317</v>
      </c>
      <c r="B779" s="3">
        <v>454</v>
      </c>
      <c r="C779" s="4">
        <v>213380</v>
      </c>
      <c r="D779" s="3">
        <v>281</v>
      </c>
      <c r="E779" s="4">
        <v>205130</v>
      </c>
      <c r="G779" s="12">
        <f t="shared" si="89"/>
        <v>2013</v>
      </c>
      <c r="H779" s="12">
        <f t="shared" si="90"/>
        <v>2</v>
      </c>
      <c r="I779" s="11">
        <f t="shared" si="91"/>
        <v>26</v>
      </c>
      <c r="J779" s="11"/>
    </row>
    <row r="780" spans="1:10" x14ac:dyDescent="0.25">
      <c r="A780" s="2">
        <v>41318</v>
      </c>
      <c r="B780" s="3">
        <v>427</v>
      </c>
      <c r="C780" s="4">
        <v>200690</v>
      </c>
      <c r="D780" s="3">
        <v>339</v>
      </c>
      <c r="E780" s="4">
        <v>247470</v>
      </c>
      <c r="G780" s="12">
        <f t="shared" si="89"/>
        <v>2013</v>
      </c>
      <c r="H780" s="12">
        <f t="shared" si="90"/>
        <v>2</v>
      </c>
      <c r="I780" s="11">
        <f t="shared" si="91"/>
        <v>26</v>
      </c>
      <c r="J780" s="11"/>
    </row>
    <row r="781" spans="1:10" x14ac:dyDescent="0.25">
      <c r="A781" s="2">
        <v>41319</v>
      </c>
      <c r="B781" s="3">
        <v>455</v>
      </c>
      <c r="C781" s="4">
        <v>213850</v>
      </c>
      <c r="D781" s="3">
        <v>298</v>
      </c>
      <c r="E781" s="4">
        <v>217540</v>
      </c>
      <c r="G781" s="12">
        <f t="shared" si="89"/>
        <v>2013</v>
      </c>
      <c r="H781" s="12">
        <f t="shared" si="90"/>
        <v>2</v>
      </c>
      <c r="I781" s="11">
        <f t="shared" si="91"/>
        <v>26</v>
      </c>
      <c r="J781" s="11"/>
    </row>
    <row r="782" spans="1:10" x14ac:dyDescent="0.25">
      <c r="A782" s="2">
        <v>41320</v>
      </c>
      <c r="B782" s="3">
        <v>480</v>
      </c>
      <c r="C782" s="4">
        <v>225600</v>
      </c>
      <c r="D782" s="3">
        <v>265</v>
      </c>
      <c r="E782" s="4">
        <v>193450</v>
      </c>
      <c r="G782" s="12">
        <f t="shared" si="89"/>
        <v>2013</v>
      </c>
      <c r="H782" s="12">
        <f t="shared" si="90"/>
        <v>2</v>
      </c>
      <c r="I782" s="11">
        <f t="shared" si="91"/>
        <v>26</v>
      </c>
      <c r="J782" s="11"/>
    </row>
    <row r="783" spans="1:10" x14ac:dyDescent="0.25">
      <c r="A783" s="2">
        <v>41321</v>
      </c>
      <c r="B783" s="3">
        <v>573</v>
      </c>
      <c r="C783" s="4">
        <v>269310</v>
      </c>
      <c r="D783" s="3">
        <v>267</v>
      </c>
      <c r="E783" s="4">
        <v>194910</v>
      </c>
      <c r="G783" s="12">
        <f t="shared" si="89"/>
        <v>2013</v>
      </c>
      <c r="H783" s="12">
        <f t="shared" si="90"/>
        <v>2</v>
      </c>
      <c r="I783" s="11">
        <f t="shared" si="91"/>
        <v>26</v>
      </c>
      <c r="J783" s="11"/>
    </row>
    <row r="784" spans="1:10" x14ac:dyDescent="0.25">
      <c r="A784" s="2">
        <v>41322</v>
      </c>
      <c r="B784" s="3">
        <v>591</v>
      </c>
      <c r="C784" s="4">
        <v>277770</v>
      </c>
      <c r="D784" s="3">
        <v>315</v>
      </c>
      <c r="E784" s="4">
        <v>229950</v>
      </c>
      <c r="G784" s="12">
        <f t="shared" si="89"/>
        <v>2013</v>
      </c>
      <c r="H784" s="12">
        <f t="shared" si="90"/>
        <v>2</v>
      </c>
      <c r="I784" s="11">
        <f t="shared" si="91"/>
        <v>26</v>
      </c>
      <c r="J784" s="11"/>
    </row>
    <row r="785" spans="1:10" x14ac:dyDescent="0.25">
      <c r="A785" s="2">
        <v>41323</v>
      </c>
      <c r="B785" s="3">
        <v>490</v>
      </c>
      <c r="C785" s="4">
        <v>230300</v>
      </c>
      <c r="D785" s="3">
        <v>296</v>
      </c>
      <c r="E785" s="4">
        <v>216080</v>
      </c>
      <c r="G785" s="12">
        <f t="shared" si="89"/>
        <v>2013</v>
      </c>
      <c r="H785" s="12">
        <f t="shared" si="90"/>
        <v>2</v>
      </c>
      <c r="I785" s="11">
        <f t="shared" si="91"/>
        <v>26</v>
      </c>
      <c r="J785" s="11"/>
    </row>
    <row r="786" spans="1:10" x14ac:dyDescent="0.25">
      <c r="A786" s="2">
        <v>41324</v>
      </c>
      <c r="B786" s="3">
        <v>565</v>
      </c>
      <c r="C786" s="4">
        <v>265550</v>
      </c>
      <c r="D786" s="3">
        <v>300</v>
      </c>
      <c r="E786" s="4">
        <v>219000</v>
      </c>
      <c r="G786" s="12">
        <f t="shared" si="89"/>
        <v>2013</v>
      </c>
      <c r="H786" s="12">
        <f t="shared" si="90"/>
        <v>2</v>
      </c>
      <c r="I786" s="11">
        <f t="shared" si="91"/>
        <v>26</v>
      </c>
      <c r="J786" s="11"/>
    </row>
    <row r="787" spans="1:10" x14ac:dyDescent="0.25">
      <c r="A787" s="2">
        <v>41325</v>
      </c>
      <c r="B787" s="3">
        <v>521</v>
      </c>
      <c r="C787" s="4">
        <v>244870</v>
      </c>
      <c r="D787" s="3">
        <v>336</v>
      </c>
      <c r="E787" s="4">
        <v>245280</v>
      </c>
      <c r="G787" s="12">
        <f t="shared" si="89"/>
        <v>2013</v>
      </c>
      <c r="H787" s="12">
        <f t="shared" si="90"/>
        <v>2</v>
      </c>
      <c r="I787" s="11">
        <f t="shared" si="91"/>
        <v>26</v>
      </c>
      <c r="J787" s="11"/>
    </row>
    <row r="788" spans="1:10" x14ac:dyDescent="0.25">
      <c r="A788" s="2">
        <v>41326</v>
      </c>
      <c r="B788" s="3">
        <v>503</v>
      </c>
      <c r="C788" s="4">
        <v>236410</v>
      </c>
      <c r="D788" s="3">
        <v>339</v>
      </c>
      <c r="E788" s="4">
        <v>247470</v>
      </c>
      <c r="G788" s="12">
        <f t="shared" si="89"/>
        <v>2013</v>
      </c>
      <c r="H788" s="12">
        <f t="shared" si="90"/>
        <v>2</v>
      </c>
      <c r="I788" s="11">
        <f t="shared" si="91"/>
        <v>26</v>
      </c>
      <c r="J788" s="11"/>
    </row>
    <row r="789" spans="1:10" x14ac:dyDescent="0.25">
      <c r="A789" s="2">
        <v>41327</v>
      </c>
      <c r="B789" s="3">
        <v>495</v>
      </c>
      <c r="C789" s="4">
        <v>232650</v>
      </c>
      <c r="D789" s="3">
        <v>319</v>
      </c>
      <c r="E789" s="4">
        <v>232870</v>
      </c>
      <c r="G789" s="12">
        <f t="shared" si="89"/>
        <v>2013</v>
      </c>
      <c r="H789" s="12">
        <f t="shared" si="90"/>
        <v>2</v>
      </c>
      <c r="I789" s="11">
        <f t="shared" si="91"/>
        <v>26</v>
      </c>
      <c r="J789" s="11"/>
    </row>
    <row r="790" spans="1:10" x14ac:dyDescent="0.25">
      <c r="A790" s="2">
        <v>41328</v>
      </c>
      <c r="B790" s="3">
        <v>546</v>
      </c>
      <c r="C790" s="4">
        <v>256620</v>
      </c>
      <c r="D790" s="3">
        <v>308</v>
      </c>
      <c r="E790" s="4">
        <v>224840</v>
      </c>
      <c r="G790" s="12">
        <f t="shared" si="89"/>
        <v>2013</v>
      </c>
      <c r="H790" s="12">
        <f t="shared" si="90"/>
        <v>2</v>
      </c>
      <c r="I790" s="11">
        <f t="shared" si="91"/>
        <v>26</v>
      </c>
      <c r="J790" s="11"/>
    </row>
    <row r="791" spans="1:10" x14ac:dyDescent="0.25">
      <c r="A791" s="2">
        <v>41329</v>
      </c>
      <c r="B791" s="3">
        <v>439</v>
      </c>
      <c r="C791" s="4">
        <v>206330</v>
      </c>
      <c r="D791" s="3">
        <v>314</v>
      </c>
      <c r="E791" s="4">
        <v>229220</v>
      </c>
      <c r="G791" s="12">
        <f t="shared" si="89"/>
        <v>2013</v>
      </c>
      <c r="H791" s="12">
        <f t="shared" si="90"/>
        <v>2</v>
      </c>
      <c r="I791" s="11">
        <f t="shared" si="91"/>
        <v>26</v>
      </c>
      <c r="J791" s="11"/>
    </row>
    <row r="792" spans="1:10" x14ac:dyDescent="0.25">
      <c r="A792" s="2">
        <v>41330</v>
      </c>
      <c r="B792" s="3">
        <v>435</v>
      </c>
      <c r="C792" s="4">
        <v>204450</v>
      </c>
      <c r="D792" s="3">
        <v>270</v>
      </c>
      <c r="E792" s="4">
        <v>197100</v>
      </c>
      <c r="G792" s="12">
        <f t="shared" si="89"/>
        <v>2013</v>
      </c>
      <c r="H792" s="12">
        <f t="shared" si="90"/>
        <v>2</v>
      </c>
      <c r="I792" s="11">
        <f t="shared" si="91"/>
        <v>26</v>
      </c>
      <c r="J792" s="11"/>
    </row>
    <row r="793" spans="1:10" x14ac:dyDescent="0.25">
      <c r="A793" s="2">
        <v>41331</v>
      </c>
      <c r="B793" s="3">
        <v>426</v>
      </c>
      <c r="C793" s="4">
        <v>200220</v>
      </c>
      <c r="D793" s="3">
        <v>286</v>
      </c>
      <c r="E793" s="4">
        <v>208780</v>
      </c>
      <c r="G793" s="12">
        <f t="shared" si="89"/>
        <v>2013</v>
      </c>
      <c r="H793" s="12">
        <f t="shared" si="90"/>
        <v>2</v>
      </c>
      <c r="I793" s="11">
        <f t="shared" si="91"/>
        <v>26</v>
      </c>
      <c r="J793" s="11"/>
    </row>
    <row r="794" spans="1:10" x14ac:dyDescent="0.25">
      <c r="A794" s="2">
        <v>41332</v>
      </c>
      <c r="B794" s="3">
        <v>483</v>
      </c>
      <c r="C794" s="4">
        <v>227010</v>
      </c>
      <c r="D794" s="3">
        <v>270</v>
      </c>
      <c r="E794" s="4">
        <v>197100</v>
      </c>
      <c r="G794" s="12">
        <f t="shared" si="89"/>
        <v>2013</v>
      </c>
      <c r="H794" s="12">
        <f t="shared" si="90"/>
        <v>2</v>
      </c>
      <c r="I794" s="11">
        <f t="shared" si="91"/>
        <v>26</v>
      </c>
      <c r="J794" s="11"/>
    </row>
    <row r="795" spans="1:10" x14ac:dyDescent="0.25">
      <c r="A795" s="2">
        <v>41333</v>
      </c>
      <c r="B795" s="3">
        <v>420</v>
      </c>
      <c r="C795" s="4">
        <v>197400</v>
      </c>
      <c r="D795" s="3">
        <v>299</v>
      </c>
      <c r="E795" s="4">
        <v>218270</v>
      </c>
      <c r="G795" s="12">
        <f t="shared" si="89"/>
        <v>2013</v>
      </c>
      <c r="H795" s="12">
        <f t="shared" si="90"/>
        <v>2</v>
      </c>
      <c r="I795" s="11">
        <f t="shared" si="91"/>
        <v>26</v>
      </c>
      <c r="J795" s="11"/>
    </row>
    <row r="796" spans="1:10" x14ac:dyDescent="0.25">
      <c r="A796" s="2">
        <v>41334</v>
      </c>
      <c r="B796" s="3">
        <v>535</v>
      </c>
      <c r="C796" s="4">
        <v>251450</v>
      </c>
      <c r="D796" s="3">
        <v>266</v>
      </c>
      <c r="E796" s="4">
        <v>194180</v>
      </c>
      <c r="G796" s="12">
        <f t="shared" si="89"/>
        <v>2013</v>
      </c>
      <c r="H796" s="12">
        <f t="shared" si="90"/>
        <v>3</v>
      </c>
      <c r="I796" s="11">
        <f t="shared" si="91"/>
        <v>27</v>
      </c>
      <c r="J796" s="11"/>
    </row>
    <row r="797" spans="1:10" x14ac:dyDescent="0.25">
      <c r="A797" s="2">
        <v>41335</v>
      </c>
      <c r="B797" s="3">
        <v>535</v>
      </c>
      <c r="C797" s="4">
        <v>251450</v>
      </c>
      <c r="D797" s="3">
        <v>349</v>
      </c>
      <c r="E797" s="4">
        <v>254770</v>
      </c>
      <c r="G797" s="12">
        <f t="shared" si="89"/>
        <v>2013</v>
      </c>
      <c r="H797" s="12">
        <f t="shared" si="90"/>
        <v>3</v>
      </c>
      <c r="I797" s="11">
        <f t="shared" si="91"/>
        <v>27</v>
      </c>
      <c r="J797" s="11"/>
    </row>
    <row r="798" spans="1:10" x14ac:dyDescent="0.25">
      <c r="A798" s="2">
        <v>41336</v>
      </c>
      <c r="B798" s="3">
        <v>446</v>
      </c>
      <c r="C798" s="4">
        <v>209620</v>
      </c>
      <c r="D798" s="3">
        <v>273</v>
      </c>
      <c r="E798" s="4">
        <v>199290</v>
      </c>
      <c r="G798" s="12">
        <f t="shared" si="89"/>
        <v>2013</v>
      </c>
      <c r="H798" s="12">
        <f t="shared" si="90"/>
        <v>3</v>
      </c>
      <c r="I798" s="11">
        <f t="shared" si="91"/>
        <v>27</v>
      </c>
      <c r="J798" s="11"/>
    </row>
    <row r="799" spans="1:10" x14ac:dyDescent="0.25">
      <c r="A799" s="2">
        <v>41337</v>
      </c>
      <c r="B799" s="3">
        <v>426</v>
      </c>
      <c r="C799" s="4">
        <v>200220</v>
      </c>
      <c r="D799" s="3">
        <v>255</v>
      </c>
      <c r="E799" s="4">
        <v>186150</v>
      </c>
      <c r="G799" s="12">
        <f t="shared" si="89"/>
        <v>2013</v>
      </c>
      <c r="H799" s="12">
        <f t="shared" si="90"/>
        <v>3</v>
      </c>
      <c r="I799" s="11">
        <f t="shared" si="91"/>
        <v>27</v>
      </c>
      <c r="J799" s="11"/>
    </row>
    <row r="800" spans="1:10" x14ac:dyDescent="0.25">
      <c r="A800" s="2">
        <v>41338</v>
      </c>
      <c r="B800" s="3">
        <v>490</v>
      </c>
      <c r="C800" s="4">
        <v>230300</v>
      </c>
      <c r="D800" s="3">
        <v>278</v>
      </c>
      <c r="E800" s="4">
        <v>202940</v>
      </c>
      <c r="G800" s="12">
        <f t="shared" si="89"/>
        <v>2013</v>
      </c>
      <c r="H800" s="12">
        <f t="shared" si="90"/>
        <v>3</v>
      </c>
      <c r="I800" s="11">
        <f t="shared" si="91"/>
        <v>27</v>
      </c>
      <c r="J800" s="11"/>
    </row>
    <row r="801" spans="1:10" x14ac:dyDescent="0.25">
      <c r="A801" s="2">
        <v>41339</v>
      </c>
      <c r="B801" s="3">
        <v>500</v>
      </c>
      <c r="C801" s="4">
        <v>235000</v>
      </c>
      <c r="D801" s="3">
        <v>291</v>
      </c>
      <c r="E801" s="4">
        <v>212430</v>
      </c>
      <c r="G801" s="12">
        <f t="shared" si="89"/>
        <v>2013</v>
      </c>
      <c r="H801" s="12">
        <f t="shared" si="90"/>
        <v>3</v>
      </c>
      <c r="I801" s="11">
        <f t="shared" si="91"/>
        <v>27</v>
      </c>
      <c r="J801" s="11"/>
    </row>
    <row r="802" spans="1:10" x14ac:dyDescent="0.25">
      <c r="A802" s="2">
        <v>41340</v>
      </c>
      <c r="B802" s="3">
        <v>519</v>
      </c>
      <c r="C802" s="4">
        <v>243930</v>
      </c>
      <c r="D802" s="3">
        <v>296</v>
      </c>
      <c r="E802" s="4">
        <v>216080</v>
      </c>
      <c r="G802" s="12">
        <f t="shared" si="89"/>
        <v>2013</v>
      </c>
      <c r="H802" s="12">
        <f t="shared" si="90"/>
        <v>3</v>
      </c>
      <c r="I802" s="11">
        <f t="shared" si="91"/>
        <v>27</v>
      </c>
      <c r="J802" s="11"/>
    </row>
    <row r="803" spans="1:10" x14ac:dyDescent="0.25">
      <c r="A803" s="2">
        <v>41341</v>
      </c>
      <c r="B803" s="3">
        <v>427</v>
      </c>
      <c r="C803" s="4">
        <v>200690</v>
      </c>
      <c r="D803" s="3">
        <v>328</v>
      </c>
      <c r="E803" s="4">
        <v>239440</v>
      </c>
      <c r="G803" s="12">
        <f t="shared" si="89"/>
        <v>2013</v>
      </c>
      <c r="H803" s="12">
        <f t="shared" si="90"/>
        <v>3</v>
      </c>
      <c r="I803" s="11">
        <f t="shared" si="91"/>
        <v>27</v>
      </c>
      <c r="J803" s="11"/>
    </row>
    <row r="804" spans="1:10" x14ac:dyDescent="0.25">
      <c r="A804" s="2">
        <v>41342</v>
      </c>
      <c r="B804" s="3">
        <v>484</v>
      </c>
      <c r="C804" s="4">
        <v>227480</v>
      </c>
      <c r="D804" s="3">
        <v>316</v>
      </c>
      <c r="E804" s="4">
        <v>230680</v>
      </c>
      <c r="G804" s="12">
        <f t="shared" si="89"/>
        <v>2013</v>
      </c>
      <c r="H804" s="12">
        <f t="shared" si="90"/>
        <v>3</v>
      </c>
      <c r="I804" s="11">
        <f t="shared" si="91"/>
        <v>27</v>
      </c>
      <c r="J804" s="11"/>
    </row>
    <row r="805" spans="1:10" x14ac:dyDescent="0.25">
      <c r="A805" s="2">
        <v>41343</v>
      </c>
      <c r="B805" s="3">
        <v>446</v>
      </c>
      <c r="C805" s="4">
        <v>209620</v>
      </c>
      <c r="D805" s="3">
        <v>317</v>
      </c>
      <c r="E805" s="4">
        <v>231410</v>
      </c>
      <c r="G805" s="12">
        <f t="shared" si="89"/>
        <v>2013</v>
      </c>
      <c r="H805" s="12">
        <f t="shared" si="90"/>
        <v>3</v>
      </c>
      <c r="I805" s="11">
        <f t="shared" si="91"/>
        <v>27</v>
      </c>
      <c r="J805" s="11"/>
    </row>
    <row r="806" spans="1:10" x14ac:dyDescent="0.25">
      <c r="A806" s="2">
        <v>41344</v>
      </c>
      <c r="B806" s="3">
        <v>494</v>
      </c>
      <c r="C806" s="4">
        <v>232180</v>
      </c>
      <c r="D806" s="3">
        <v>297</v>
      </c>
      <c r="E806" s="4">
        <v>216810</v>
      </c>
      <c r="G806" s="12">
        <f t="shared" si="89"/>
        <v>2013</v>
      </c>
      <c r="H806" s="12">
        <f t="shared" si="90"/>
        <v>3</v>
      </c>
      <c r="I806" s="11">
        <f t="shared" si="91"/>
        <v>27</v>
      </c>
      <c r="J806" s="11"/>
    </row>
    <row r="807" spans="1:10" x14ac:dyDescent="0.25">
      <c r="A807" s="2">
        <v>41345</v>
      </c>
      <c r="B807" s="3">
        <v>575</v>
      </c>
      <c r="C807" s="4">
        <v>270250</v>
      </c>
      <c r="D807" s="3">
        <v>290</v>
      </c>
      <c r="E807" s="4">
        <v>211700</v>
      </c>
      <c r="G807" s="12">
        <f t="shared" si="89"/>
        <v>2013</v>
      </c>
      <c r="H807" s="12">
        <f t="shared" si="90"/>
        <v>3</v>
      </c>
      <c r="I807" s="11">
        <f t="shared" si="91"/>
        <v>27</v>
      </c>
      <c r="J807" s="11"/>
    </row>
    <row r="808" spans="1:10" x14ac:dyDescent="0.25">
      <c r="A808" s="2">
        <v>41346</v>
      </c>
      <c r="B808" s="3">
        <v>500</v>
      </c>
      <c r="C808" s="4">
        <v>235000</v>
      </c>
      <c r="D808" s="3">
        <v>292</v>
      </c>
      <c r="E808" s="4">
        <v>213160</v>
      </c>
      <c r="G808" s="12">
        <f t="shared" si="89"/>
        <v>2013</v>
      </c>
      <c r="H808" s="12">
        <f t="shared" si="90"/>
        <v>3</v>
      </c>
      <c r="I808" s="11">
        <f t="shared" si="91"/>
        <v>27</v>
      </c>
      <c r="J808" s="11"/>
    </row>
    <row r="809" spans="1:10" x14ac:dyDescent="0.25">
      <c r="A809" s="2">
        <v>41347</v>
      </c>
      <c r="B809" s="3">
        <v>495</v>
      </c>
      <c r="C809" s="4">
        <v>232650</v>
      </c>
      <c r="D809" s="3">
        <v>264</v>
      </c>
      <c r="E809" s="4">
        <v>192720</v>
      </c>
      <c r="G809" s="12">
        <f t="shared" si="89"/>
        <v>2013</v>
      </c>
      <c r="H809" s="12">
        <f t="shared" si="90"/>
        <v>3</v>
      </c>
      <c r="I809" s="11">
        <f t="shared" si="91"/>
        <v>27</v>
      </c>
      <c r="J809" s="11"/>
    </row>
    <row r="810" spans="1:10" x14ac:dyDescent="0.25">
      <c r="A810" s="2">
        <v>41348</v>
      </c>
      <c r="B810" s="3">
        <v>513</v>
      </c>
      <c r="C810" s="4">
        <v>241110</v>
      </c>
      <c r="D810" s="3">
        <v>322</v>
      </c>
      <c r="E810" s="4">
        <v>235060</v>
      </c>
      <c r="G810" s="12">
        <f t="shared" si="89"/>
        <v>2013</v>
      </c>
      <c r="H810" s="12">
        <f t="shared" si="90"/>
        <v>3</v>
      </c>
      <c r="I810" s="11">
        <f t="shared" si="91"/>
        <v>27</v>
      </c>
      <c r="J810" s="11"/>
    </row>
    <row r="811" spans="1:10" x14ac:dyDescent="0.25">
      <c r="A811" s="2">
        <v>41349</v>
      </c>
      <c r="B811" s="3">
        <v>439</v>
      </c>
      <c r="C811" s="4">
        <v>206330</v>
      </c>
      <c r="D811" s="3">
        <v>340</v>
      </c>
      <c r="E811" s="4">
        <v>248200</v>
      </c>
      <c r="G811" s="12">
        <f t="shared" si="89"/>
        <v>2013</v>
      </c>
      <c r="H811" s="12">
        <f t="shared" si="90"/>
        <v>3</v>
      </c>
      <c r="I811" s="11">
        <f t="shared" si="91"/>
        <v>27</v>
      </c>
      <c r="J811" s="11"/>
    </row>
    <row r="812" spans="1:10" x14ac:dyDescent="0.25">
      <c r="A812" s="2">
        <v>41350</v>
      </c>
      <c r="B812" s="3">
        <v>421</v>
      </c>
      <c r="C812" s="4">
        <v>197870</v>
      </c>
      <c r="D812" s="3">
        <v>316</v>
      </c>
      <c r="E812" s="4">
        <v>230680</v>
      </c>
      <c r="G812" s="12">
        <f t="shared" si="89"/>
        <v>2013</v>
      </c>
      <c r="H812" s="12">
        <f t="shared" si="90"/>
        <v>3</v>
      </c>
      <c r="I812" s="11">
        <f t="shared" si="91"/>
        <v>27</v>
      </c>
      <c r="J812" s="11"/>
    </row>
    <row r="813" spans="1:10" x14ac:dyDescent="0.25">
      <c r="A813" s="2">
        <v>41351</v>
      </c>
      <c r="B813" s="3">
        <v>453</v>
      </c>
      <c r="C813" s="4">
        <v>212910</v>
      </c>
      <c r="D813" s="3">
        <v>276</v>
      </c>
      <c r="E813" s="4">
        <v>201480</v>
      </c>
      <c r="G813" s="12">
        <f t="shared" si="89"/>
        <v>2013</v>
      </c>
      <c r="H813" s="12">
        <f t="shared" si="90"/>
        <v>3</v>
      </c>
      <c r="I813" s="11">
        <f t="shared" si="91"/>
        <v>27</v>
      </c>
      <c r="J813" s="11"/>
    </row>
    <row r="814" spans="1:10" x14ac:dyDescent="0.25">
      <c r="A814" s="2">
        <v>41352</v>
      </c>
      <c r="B814" s="3">
        <v>503</v>
      </c>
      <c r="C814" s="4">
        <v>236410</v>
      </c>
      <c r="D814" s="3">
        <v>236</v>
      </c>
      <c r="E814" s="4">
        <v>172280</v>
      </c>
      <c r="G814" s="12">
        <f t="shared" si="89"/>
        <v>2013</v>
      </c>
      <c r="H814" s="12">
        <f t="shared" si="90"/>
        <v>3</v>
      </c>
      <c r="I814" s="11">
        <f t="shared" si="91"/>
        <v>27</v>
      </c>
      <c r="J814" s="11"/>
    </row>
    <row r="815" spans="1:10" x14ac:dyDescent="0.25">
      <c r="A815" s="2">
        <v>41353</v>
      </c>
      <c r="B815" s="3">
        <v>519</v>
      </c>
      <c r="C815" s="4">
        <v>243930</v>
      </c>
      <c r="D815" s="3">
        <v>321</v>
      </c>
      <c r="E815" s="4">
        <v>234330</v>
      </c>
      <c r="G815" s="12">
        <f t="shared" si="89"/>
        <v>2013</v>
      </c>
      <c r="H815" s="12">
        <f t="shared" si="90"/>
        <v>3</v>
      </c>
      <c r="I815" s="11">
        <f t="shared" si="91"/>
        <v>27</v>
      </c>
      <c r="J815" s="11"/>
    </row>
    <row r="816" spans="1:10" x14ac:dyDescent="0.25">
      <c r="A816" s="2">
        <v>41354</v>
      </c>
      <c r="B816" s="3">
        <v>526</v>
      </c>
      <c r="C816" s="4">
        <v>247220</v>
      </c>
      <c r="D816" s="3">
        <v>211</v>
      </c>
      <c r="E816" s="4">
        <v>154030</v>
      </c>
      <c r="G816" s="12">
        <f t="shared" si="89"/>
        <v>2013</v>
      </c>
      <c r="H816" s="12">
        <f t="shared" si="90"/>
        <v>3</v>
      </c>
      <c r="I816" s="11">
        <f t="shared" si="91"/>
        <v>27</v>
      </c>
      <c r="J816" s="11"/>
    </row>
    <row r="817" spans="1:10" x14ac:dyDescent="0.25">
      <c r="A817" s="2">
        <v>41355</v>
      </c>
      <c r="B817" s="3">
        <v>469</v>
      </c>
      <c r="C817" s="4">
        <v>220430</v>
      </c>
      <c r="D817" s="3">
        <v>328</v>
      </c>
      <c r="E817" s="4">
        <v>239440</v>
      </c>
      <c r="G817" s="12">
        <f t="shared" si="89"/>
        <v>2013</v>
      </c>
      <c r="H817" s="12">
        <f t="shared" si="90"/>
        <v>3</v>
      </c>
      <c r="I817" s="11">
        <f t="shared" si="91"/>
        <v>27</v>
      </c>
      <c r="J817" s="11"/>
    </row>
    <row r="818" spans="1:10" x14ac:dyDescent="0.25">
      <c r="A818" s="2">
        <v>41356</v>
      </c>
      <c r="B818" s="3">
        <v>486</v>
      </c>
      <c r="C818" s="4">
        <v>228420</v>
      </c>
      <c r="D818" s="3">
        <v>332</v>
      </c>
      <c r="E818" s="4">
        <v>242360</v>
      </c>
      <c r="G818" s="12">
        <f t="shared" si="89"/>
        <v>2013</v>
      </c>
      <c r="H818" s="12">
        <f t="shared" si="90"/>
        <v>3</v>
      </c>
      <c r="I818" s="11">
        <f t="shared" si="91"/>
        <v>27</v>
      </c>
      <c r="J818" s="11"/>
    </row>
    <row r="819" spans="1:10" x14ac:dyDescent="0.25">
      <c r="A819" s="2">
        <v>41357</v>
      </c>
      <c r="B819" s="3">
        <v>578</v>
      </c>
      <c r="C819" s="4">
        <v>271660</v>
      </c>
      <c r="D819" s="3">
        <v>370</v>
      </c>
      <c r="E819" s="4">
        <v>270100</v>
      </c>
      <c r="G819" s="12">
        <f t="shared" si="89"/>
        <v>2013</v>
      </c>
      <c r="H819" s="12">
        <f t="shared" si="90"/>
        <v>3</v>
      </c>
      <c r="I819" s="11">
        <f t="shared" si="91"/>
        <v>27</v>
      </c>
      <c r="J819" s="11"/>
    </row>
    <row r="820" spans="1:10" x14ac:dyDescent="0.25">
      <c r="A820" s="2">
        <v>41358</v>
      </c>
      <c r="B820" s="3">
        <v>402</v>
      </c>
      <c r="C820" s="4">
        <v>188940</v>
      </c>
      <c r="D820" s="3">
        <v>281</v>
      </c>
      <c r="E820" s="4">
        <v>205130</v>
      </c>
      <c r="G820" s="12">
        <f t="shared" si="89"/>
        <v>2013</v>
      </c>
      <c r="H820" s="12">
        <f t="shared" si="90"/>
        <v>3</v>
      </c>
      <c r="I820" s="11">
        <f t="shared" si="91"/>
        <v>27</v>
      </c>
      <c r="J820" s="11"/>
    </row>
    <row r="821" spans="1:10" x14ac:dyDescent="0.25">
      <c r="A821" s="2">
        <v>41359</v>
      </c>
      <c r="B821" s="3">
        <v>467</v>
      </c>
      <c r="C821" s="4">
        <v>219490</v>
      </c>
      <c r="D821" s="3">
        <v>308</v>
      </c>
      <c r="E821" s="4">
        <v>224840</v>
      </c>
      <c r="G821" s="12">
        <f t="shared" si="89"/>
        <v>2013</v>
      </c>
      <c r="H821" s="12">
        <f t="shared" si="90"/>
        <v>3</v>
      </c>
      <c r="I821" s="11">
        <f t="shared" si="91"/>
        <v>27</v>
      </c>
      <c r="J821" s="11"/>
    </row>
    <row r="822" spans="1:10" x14ac:dyDescent="0.25">
      <c r="A822" s="2">
        <v>41360</v>
      </c>
      <c r="B822" s="3">
        <v>442</v>
      </c>
      <c r="C822" s="4">
        <v>207740</v>
      </c>
      <c r="D822" s="3">
        <v>336</v>
      </c>
      <c r="E822" s="4">
        <v>245280</v>
      </c>
      <c r="G822" s="12">
        <f t="shared" si="89"/>
        <v>2013</v>
      </c>
      <c r="H822" s="12">
        <f t="shared" si="90"/>
        <v>3</v>
      </c>
      <c r="I822" s="11">
        <f t="shared" si="91"/>
        <v>27</v>
      </c>
      <c r="J822" s="11"/>
    </row>
    <row r="823" spans="1:10" x14ac:dyDescent="0.25">
      <c r="A823" s="2">
        <v>41361</v>
      </c>
      <c r="B823" s="3">
        <v>451</v>
      </c>
      <c r="C823" s="4">
        <v>211970</v>
      </c>
      <c r="D823" s="3">
        <v>301</v>
      </c>
      <c r="E823" s="4">
        <v>219730</v>
      </c>
      <c r="G823" s="12">
        <f t="shared" si="89"/>
        <v>2013</v>
      </c>
      <c r="H823" s="12">
        <f t="shared" si="90"/>
        <v>3</v>
      </c>
      <c r="I823" s="11">
        <f t="shared" si="91"/>
        <v>27</v>
      </c>
      <c r="J823" s="11"/>
    </row>
    <row r="824" spans="1:10" x14ac:dyDescent="0.25">
      <c r="A824" s="2">
        <v>41362</v>
      </c>
      <c r="B824" s="3">
        <v>491</v>
      </c>
      <c r="C824" s="4">
        <v>230770</v>
      </c>
      <c r="D824" s="3">
        <v>294</v>
      </c>
      <c r="E824" s="4">
        <v>214620</v>
      </c>
      <c r="G824" s="12">
        <f t="shared" si="89"/>
        <v>2013</v>
      </c>
      <c r="H824" s="12">
        <f t="shared" si="90"/>
        <v>3</v>
      </c>
      <c r="I824" s="11">
        <f t="shared" si="91"/>
        <v>27</v>
      </c>
      <c r="J824" s="11"/>
    </row>
    <row r="825" spans="1:10" x14ac:dyDescent="0.25">
      <c r="A825" s="2">
        <v>41363</v>
      </c>
      <c r="B825" s="3">
        <v>387</v>
      </c>
      <c r="C825" s="4">
        <v>181890</v>
      </c>
      <c r="D825" s="3">
        <v>284</v>
      </c>
      <c r="E825" s="4">
        <v>207320</v>
      </c>
      <c r="G825" s="12">
        <f t="shared" si="89"/>
        <v>2013</v>
      </c>
      <c r="H825" s="12">
        <f t="shared" si="90"/>
        <v>3</v>
      </c>
      <c r="I825" s="11">
        <f t="shared" si="91"/>
        <v>27</v>
      </c>
      <c r="J825" s="11"/>
    </row>
    <row r="826" spans="1:10" x14ac:dyDescent="0.25">
      <c r="A826" s="2">
        <v>41364</v>
      </c>
      <c r="B826" s="3">
        <v>377</v>
      </c>
      <c r="C826" s="4">
        <v>177190</v>
      </c>
      <c r="D826" s="3">
        <v>324</v>
      </c>
      <c r="E826" s="4">
        <v>236520</v>
      </c>
      <c r="G826" s="12">
        <f t="shared" si="89"/>
        <v>2013</v>
      </c>
      <c r="H826" s="12">
        <f t="shared" si="90"/>
        <v>3</v>
      </c>
      <c r="I826" s="11">
        <f t="shared" si="91"/>
        <v>27</v>
      </c>
      <c r="J826" s="11"/>
    </row>
    <row r="827" spans="1:10" x14ac:dyDescent="0.25">
      <c r="A827" s="2">
        <v>41365</v>
      </c>
      <c r="B827" s="3">
        <v>440</v>
      </c>
      <c r="C827" s="4">
        <v>206800</v>
      </c>
      <c r="D827" s="3">
        <v>716</v>
      </c>
      <c r="E827" s="4">
        <v>522680</v>
      </c>
      <c r="G827" s="12">
        <f t="shared" si="89"/>
        <v>2013</v>
      </c>
      <c r="H827" s="12">
        <f t="shared" si="90"/>
        <v>4</v>
      </c>
      <c r="I827" s="11">
        <f t="shared" si="91"/>
        <v>28</v>
      </c>
      <c r="J827" s="11"/>
    </row>
    <row r="828" spans="1:10" x14ac:dyDescent="0.25">
      <c r="A828" s="2">
        <v>41366</v>
      </c>
      <c r="B828" s="3">
        <v>496</v>
      </c>
      <c r="C828" s="4">
        <v>233120</v>
      </c>
      <c r="D828" s="3">
        <v>626</v>
      </c>
      <c r="E828" s="4">
        <v>456980</v>
      </c>
      <c r="G828" s="12">
        <f t="shared" si="89"/>
        <v>2013</v>
      </c>
      <c r="H828" s="12">
        <f t="shared" si="90"/>
        <v>4</v>
      </c>
      <c r="I828" s="11">
        <f t="shared" si="91"/>
        <v>28</v>
      </c>
      <c r="J828" s="11"/>
    </row>
    <row r="829" spans="1:10" x14ac:dyDescent="0.25">
      <c r="A829" s="2">
        <v>41367</v>
      </c>
      <c r="B829" s="3">
        <v>473</v>
      </c>
      <c r="C829" s="4">
        <v>222310</v>
      </c>
      <c r="D829" s="3">
        <v>669</v>
      </c>
      <c r="E829" s="4">
        <v>488370</v>
      </c>
      <c r="G829" s="12">
        <f t="shared" si="89"/>
        <v>2013</v>
      </c>
      <c r="H829" s="12">
        <f t="shared" si="90"/>
        <v>4</v>
      </c>
      <c r="I829" s="11">
        <f t="shared" si="91"/>
        <v>28</v>
      </c>
      <c r="J829" s="11"/>
    </row>
    <row r="830" spans="1:10" x14ac:dyDescent="0.25">
      <c r="A830" s="2">
        <v>41368</v>
      </c>
      <c r="B830" s="3">
        <v>494</v>
      </c>
      <c r="C830" s="4">
        <v>232180</v>
      </c>
      <c r="D830" s="3">
        <v>696</v>
      </c>
      <c r="E830" s="4">
        <v>508080</v>
      </c>
      <c r="G830" s="12">
        <f t="shared" si="89"/>
        <v>2013</v>
      </c>
      <c r="H830" s="12">
        <f t="shared" si="90"/>
        <v>4</v>
      </c>
      <c r="I830" s="11">
        <f t="shared" si="91"/>
        <v>28</v>
      </c>
      <c r="J830" s="11"/>
    </row>
    <row r="831" spans="1:10" x14ac:dyDescent="0.25">
      <c r="A831" s="2">
        <v>41369</v>
      </c>
      <c r="B831" s="3">
        <v>483</v>
      </c>
      <c r="C831" s="4">
        <v>227010</v>
      </c>
      <c r="D831" s="3">
        <v>731</v>
      </c>
      <c r="E831" s="4">
        <v>533630</v>
      </c>
      <c r="G831" s="12">
        <f t="shared" si="89"/>
        <v>2013</v>
      </c>
      <c r="H831" s="12">
        <f t="shared" si="90"/>
        <v>4</v>
      </c>
      <c r="I831" s="11">
        <f t="shared" si="91"/>
        <v>28</v>
      </c>
      <c r="J831" s="11"/>
    </row>
    <row r="832" spans="1:10" x14ac:dyDescent="0.25">
      <c r="A832" s="2">
        <v>41370</v>
      </c>
      <c r="B832" s="3">
        <v>473</v>
      </c>
      <c r="C832" s="4">
        <v>222310</v>
      </c>
      <c r="D832" s="3">
        <v>700</v>
      </c>
      <c r="E832" s="4">
        <v>511000</v>
      </c>
      <c r="G832" s="12">
        <f t="shared" si="89"/>
        <v>2013</v>
      </c>
      <c r="H832" s="12">
        <f t="shared" si="90"/>
        <v>4</v>
      </c>
      <c r="I832" s="11">
        <f t="shared" si="91"/>
        <v>28</v>
      </c>
      <c r="J832" s="11"/>
    </row>
    <row r="833" spans="1:10" x14ac:dyDescent="0.25">
      <c r="A833" s="2">
        <v>41371</v>
      </c>
      <c r="B833" s="3">
        <v>520</v>
      </c>
      <c r="C833" s="4">
        <v>244400</v>
      </c>
      <c r="D833" s="3">
        <v>653</v>
      </c>
      <c r="E833" s="4">
        <v>476690</v>
      </c>
      <c r="G833" s="12">
        <f t="shared" si="89"/>
        <v>2013</v>
      </c>
      <c r="H833" s="12">
        <f t="shared" si="90"/>
        <v>4</v>
      </c>
      <c r="I833" s="11">
        <f t="shared" si="91"/>
        <v>28</v>
      </c>
      <c r="J833" s="11"/>
    </row>
    <row r="834" spans="1:10" x14ac:dyDescent="0.25">
      <c r="A834" s="2">
        <v>41372</v>
      </c>
      <c r="B834" s="3">
        <v>442</v>
      </c>
      <c r="C834" s="4">
        <v>207740</v>
      </c>
      <c r="D834" s="3">
        <v>744</v>
      </c>
      <c r="E834" s="4">
        <v>543120</v>
      </c>
      <c r="G834" s="12">
        <f t="shared" si="89"/>
        <v>2013</v>
      </c>
      <c r="H834" s="12">
        <f t="shared" si="90"/>
        <v>4</v>
      </c>
      <c r="I834" s="11">
        <f t="shared" si="91"/>
        <v>28</v>
      </c>
      <c r="J834" s="11"/>
    </row>
    <row r="835" spans="1:10" x14ac:dyDescent="0.25">
      <c r="A835" s="2">
        <v>41373</v>
      </c>
      <c r="B835" s="3">
        <v>398</v>
      </c>
      <c r="C835" s="4">
        <v>187060</v>
      </c>
      <c r="D835" s="3">
        <v>691</v>
      </c>
      <c r="E835" s="4">
        <v>504430</v>
      </c>
      <c r="G835" s="12">
        <f t="shared" si="89"/>
        <v>2013</v>
      </c>
      <c r="H835" s="12">
        <f t="shared" si="90"/>
        <v>4</v>
      </c>
      <c r="I835" s="11">
        <f t="shared" si="91"/>
        <v>28</v>
      </c>
      <c r="J835" s="11"/>
    </row>
    <row r="836" spans="1:10" x14ac:dyDescent="0.25">
      <c r="A836" s="2">
        <v>41374</v>
      </c>
      <c r="B836" s="3">
        <v>410</v>
      </c>
      <c r="C836" s="4">
        <v>192700</v>
      </c>
      <c r="D836" s="3">
        <v>692</v>
      </c>
      <c r="E836" s="4">
        <v>505160</v>
      </c>
      <c r="G836" s="12">
        <f t="shared" si="89"/>
        <v>2013</v>
      </c>
      <c r="H836" s="12">
        <f t="shared" si="90"/>
        <v>4</v>
      </c>
      <c r="I836" s="11">
        <f t="shared" si="91"/>
        <v>28</v>
      </c>
      <c r="J836" s="11"/>
    </row>
    <row r="837" spans="1:10" x14ac:dyDescent="0.25">
      <c r="A837" s="2">
        <v>41375</v>
      </c>
      <c r="B837" s="3">
        <v>432</v>
      </c>
      <c r="C837" s="4">
        <v>203040</v>
      </c>
      <c r="D837" s="3">
        <v>657</v>
      </c>
      <c r="E837" s="4">
        <v>479610</v>
      </c>
      <c r="G837" s="12">
        <f t="shared" si="89"/>
        <v>2013</v>
      </c>
      <c r="H837" s="12">
        <f t="shared" si="90"/>
        <v>4</v>
      </c>
      <c r="I837" s="11">
        <f t="shared" si="91"/>
        <v>28</v>
      </c>
      <c r="J837" s="11"/>
    </row>
    <row r="838" spans="1:10" x14ac:dyDescent="0.25">
      <c r="A838" s="2">
        <v>41376</v>
      </c>
      <c r="B838" s="3">
        <v>491</v>
      </c>
      <c r="C838" s="4">
        <v>230770</v>
      </c>
      <c r="D838" s="3">
        <v>467</v>
      </c>
      <c r="E838" s="4">
        <v>340910</v>
      </c>
      <c r="G838" s="12">
        <f t="shared" ref="G838:G901" si="92">+YEAR(A838)</f>
        <v>2013</v>
      </c>
      <c r="H838" s="12">
        <f t="shared" ref="H838:H901" si="93">+MONTH(A838)</f>
        <v>4</v>
      </c>
      <c r="I838" s="11">
        <f t="shared" si="91"/>
        <v>28</v>
      </c>
      <c r="J838" s="11"/>
    </row>
    <row r="839" spans="1:10" x14ac:dyDescent="0.25">
      <c r="A839" s="2">
        <v>41377</v>
      </c>
      <c r="B839" s="3">
        <v>531</v>
      </c>
      <c r="C839" s="4">
        <v>249570</v>
      </c>
      <c r="D839" s="3">
        <v>630</v>
      </c>
      <c r="E839" s="4">
        <v>459900</v>
      </c>
      <c r="G839" s="12">
        <f t="shared" si="92"/>
        <v>2013</v>
      </c>
      <c r="H839" s="12">
        <f t="shared" si="93"/>
        <v>4</v>
      </c>
      <c r="I839" s="11">
        <f t="shared" ref="I839:I902" si="94">+H839+(G839-2011)*12</f>
        <v>28</v>
      </c>
      <c r="J839" s="11"/>
    </row>
    <row r="840" spans="1:10" x14ac:dyDescent="0.25">
      <c r="A840" s="2">
        <v>41378</v>
      </c>
      <c r="B840" s="3">
        <v>507</v>
      </c>
      <c r="C840" s="4">
        <v>238290</v>
      </c>
      <c r="D840" s="3">
        <v>672</v>
      </c>
      <c r="E840" s="4">
        <v>490560</v>
      </c>
      <c r="G840" s="12">
        <f t="shared" si="92"/>
        <v>2013</v>
      </c>
      <c r="H840" s="12">
        <f t="shared" si="93"/>
        <v>4</v>
      </c>
      <c r="I840" s="11">
        <f t="shared" si="94"/>
        <v>28</v>
      </c>
      <c r="J840" s="11"/>
    </row>
    <row r="841" spans="1:10" x14ac:dyDescent="0.25">
      <c r="A841" s="2">
        <v>41379</v>
      </c>
      <c r="B841" s="3">
        <v>489</v>
      </c>
      <c r="C841" s="4">
        <v>229830</v>
      </c>
      <c r="D841" s="3">
        <v>678</v>
      </c>
      <c r="E841" s="4">
        <v>494940</v>
      </c>
      <c r="G841" s="12">
        <f t="shared" si="92"/>
        <v>2013</v>
      </c>
      <c r="H841" s="12">
        <f t="shared" si="93"/>
        <v>4</v>
      </c>
      <c r="I841" s="11">
        <f t="shared" si="94"/>
        <v>28</v>
      </c>
      <c r="J841" s="11"/>
    </row>
    <row r="842" spans="1:10" x14ac:dyDescent="0.25">
      <c r="A842" s="2">
        <v>41380</v>
      </c>
      <c r="B842" s="3">
        <v>461</v>
      </c>
      <c r="C842" s="4">
        <v>216670</v>
      </c>
      <c r="D842" s="3">
        <v>694</v>
      </c>
      <c r="E842" s="4">
        <v>506620</v>
      </c>
      <c r="G842" s="12">
        <f t="shared" si="92"/>
        <v>2013</v>
      </c>
      <c r="H842" s="12">
        <f t="shared" si="93"/>
        <v>4</v>
      </c>
      <c r="I842" s="11">
        <f t="shared" si="94"/>
        <v>28</v>
      </c>
      <c r="J842" s="11"/>
    </row>
    <row r="843" spans="1:10" x14ac:dyDescent="0.25">
      <c r="A843" s="2">
        <v>41381</v>
      </c>
      <c r="B843" s="3">
        <v>435</v>
      </c>
      <c r="C843" s="4">
        <v>204450</v>
      </c>
      <c r="D843" s="3">
        <v>723</v>
      </c>
      <c r="E843" s="4">
        <v>527790</v>
      </c>
      <c r="G843" s="12">
        <f t="shared" si="92"/>
        <v>2013</v>
      </c>
      <c r="H843" s="12">
        <f t="shared" si="93"/>
        <v>4</v>
      </c>
      <c r="I843" s="11">
        <f t="shared" si="94"/>
        <v>28</v>
      </c>
      <c r="J843" s="11"/>
    </row>
    <row r="844" spans="1:10" x14ac:dyDescent="0.25">
      <c r="A844" s="2">
        <v>41382</v>
      </c>
      <c r="B844" s="3">
        <v>452</v>
      </c>
      <c r="C844" s="4">
        <v>212440</v>
      </c>
      <c r="D844" s="3">
        <v>675</v>
      </c>
      <c r="E844" s="4">
        <v>492750</v>
      </c>
      <c r="G844" s="12">
        <f t="shared" si="92"/>
        <v>2013</v>
      </c>
      <c r="H844" s="12">
        <f t="shared" si="93"/>
        <v>4</v>
      </c>
      <c r="I844" s="11">
        <f t="shared" si="94"/>
        <v>28</v>
      </c>
      <c r="J844" s="11"/>
    </row>
    <row r="845" spans="1:10" x14ac:dyDescent="0.25">
      <c r="A845" s="2">
        <v>41383</v>
      </c>
      <c r="B845" s="3">
        <v>391</v>
      </c>
      <c r="C845" s="4">
        <v>183770</v>
      </c>
      <c r="D845" s="3">
        <v>707</v>
      </c>
      <c r="E845" s="4">
        <v>516110</v>
      </c>
      <c r="G845" s="12">
        <f t="shared" si="92"/>
        <v>2013</v>
      </c>
      <c r="H845" s="12">
        <f t="shared" si="93"/>
        <v>4</v>
      </c>
      <c r="I845" s="11">
        <f t="shared" si="94"/>
        <v>28</v>
      </c>
      <c r="J845" s="11"/>
    </row>
    <row r="846" spans="1:10" x14ac:dyDescent="0.25">
      <c r="A846" s="2">
        <v>41384</v>
      </c>
      <c r="B846" s="3">
        <v>459</v>
      </c>
      <c r="C846" s="4">
        <v>215730</v>
      </c>
      <c r="D846" s="3">
        <v>585</v>
      </c>
      <c r="E846" s="4">
        <v>427050</v>
      </c>
      <c r="G846" s="12">
        <f t="shared" si="92"/>
        <v>2013</v>
      </c>
      <c r="H846" s="12">
        <f t="shared" si="93"/>
        <v>4</v>
      </c>
      <c r="I846" s="11">
        <f t="shared" si="94"/>
        <v>28</v>
      </c>
      <c r="J846" s="11"/>
    </row>
    <row r="847" spans="1:10" x14ac:dyDescent="0.25">
      <c r="A847" s="2">
        <v>41385</v>
      </c>
      <c r="B847" s="3">
        <v>547</v>
      </c>
      <c r="C847" s="4">
        <v>257090</v>
      </c>
      <c r="D847" s="3">
        <v>410</v>
      </c>
      <c r="E847" s="4">
        <v>299300</v>
      </c>
      <c r="G847" s="12">
        <f t="shared" si="92"/>
        <v>2013</v>
      </c>
      <c r="H847" s="12">
        <f t="shared" si="93"/>
        <v>4</v>
      </c>
      <c r="I847" s="11">
        <f t="shared" si="94"/>
        <v>28</v>
      </c>
      <c r="J847" s="11"/>
    </row>
    <row r="848" spans="1:10" x14ac:dyDescent="0.25">
      <c r="A848" s="2">
        <v>41386</v>
      </c>
      <c r="B848" s="3">
        <v>426</v>
      </c>
      <c r="C848" s="4">
        <v>200220</v>
      </c>
      <c r="D848" s="3">
        <v>651</v>
      </c>
      <c r="E848" s="4">
        <v>475230</v>
      </c>
      <c r="G848" s="12">
        <f t="shared" si="92"/>
        <v>2013</v>
      </c>
      <c r="H848" s="12">
        <f t="shared" si="93"/>
        <v>4</v>
      </c>
      <c r="I848" s="11">
        <f t="shared" si="94"/>
        <v>28</v>
      </c>
      <c r="J848" s="11"/>
    </row>
    <row r="849" spans="1:10" x14ac:dyDescent="0.25">
      <c r="A849" s="2">
        <v>41387</v>
      </c>
      <c r="B849" s="3">
        <v>475</v>
      </c>
      <c r="C849" s="4">
        <v>223250</v>
      </c>
      <c r="D849" s="3">
        <v>675</v>
      </c>
      <c r="E849" s="4">
        <v>492750</v>
      </c>
      <c r="G849" s="12">
        <f t="shared" si="92"/>
        <v>2013</v>
      </c>
      <c r="H849" s="12">
        <f t="shared" si="93"/>
        <v>4</v>
      </c>
      <c r="I849" s="11">
        <f t="shared" si="94"/>
        <v>28</v>
      </c>
      <c r="J849" s="11"/>
    </row>
    <row r="850" spans="1:10" x14ac:dyDescent="0.25">
      <c r="A850" s="2">
        <v>41388</v>
      </c>
      <c r="B850" s="3">
        <v>505</v>
      </c>
      <c r="C850" s="4">
        <v>237350</v>
      </c>
      <c r="D850" s="3">
        <v>570</v>
      </c>
      <c r="E850" s="4">
        <v>416100</v>
      </c>
      <c r="G850" s="12">
        <f t="shared" si="92"/>
        <v>2013</v>
      </c>
      <c r="H850" s="12">
        <f t="shared" si="93"/>
        <v>4</v>
      </c>
      <c r="I850" s="11">
        <f t="shared" si="94"/>
        <v>28</v>
      </c>
      <c r="J850" s="11"/>
    </row>
    <row r="851" spans="1:10" x14ac:dyDescent="0.25">
      <c r="A851" s="2">
        <v>41389</v>
      </c>
      <c r="B851" s="3">
        <v>490</v>
      </c>
      <c r="C851" s="4">
        <v>230300</v>
      </c>
      <c r="D851" s="3">
        <v>762</v>
      </c>
      <c r="E851" s="4">
        <v>556260</v>
      </c>
      <c r="G851" s="12">
        <f t="shared" si="92"/>
        <v>2013</v>
      </c>
      <c r="H851" s="12">
        <f t="shared" si="93"/>
        <v>4</v>
      </c>
      <c r="I851" s="11">
        <f t="shared" si="94"/>
        <v>28</v>
      </c>
      <c r="J851" s="11"/>
    </row>
    <row r="852" spans="1:10" x14ac:dyDescent="0.25">
      <c r="A852" s="2">
        <v>41390</v>
      </c>
      <c r="B852" s="3">
        <v>453</v>
      </c>
      <c r="C852" s="4">
        <v>212910</v>
      </c>
      <c r="D852" s="3">
        <v>655</v>
      </c>
      <c r="E852" s="4">
        <v>478150</v>
      </c>
      <c r="G852" s="12">
        <f t="shared" si="92"/>
        <v>2013</v>
      </c>
      <c r="H852" s="12">
        <f t="shared" si="93"/>
        <v>4</v>
      </c>
      <c r="I852" s="11">
        <f t="shared" si="94"/>
        <v>28</v>
      </c>
      <c r="J852" s="11"/>
    </row>
    <row r="853" spans="1:10" x14ac:dyDescent="0.25">
      <c r="A853" s="2">
        <v>41391</v>
      </c>
      <c r="B853" s="3">
        <v>428</v>
      </c>
      <c r="C853" s="4">
        <v>201160</v>
      </c>
      <c r="D853" s="3">
        <v>652</v>
      </c>
      <c r="E853" s="4">
        <v>475960</v>
      </c>
      <c r="G853" s="12">
        <f t="shared" si="92"/>
        <v>2013</v>
      </c>
      <c r="H853" s="12">
        <f t="shared" si="93"/>
        <v>4</v>
      </c>
      <c r="I853" s="11">
        <f t="shared" si="94"/>
        <v>28</v>
      </c>
      <c r="J853" s="11"/>
    </row>
    <row r="854" spans="1:10" x14ac:dyDescent="0.25">
      <c r="A854" s="2">
        <v>41392</v>
      </c>
      <c r="B854" s="3">
        <v>404</v>
      </c>
      <c r="C854" s="4">
        <v>189880</v>
      </c>
      <c r="D854" s="3">
        <v>697</v>
      </c>
      <c r="E854" s="4">
        <v>508810</v>
      </c>
      <c r="G854" s="12">
        <f t="shared" si="92"/>
        <v>2013</v>
      </c>
      <c r="H854" s="12">
        <f t="shared" si="93"/>
        <v>4</v>
      </c>
      <c r="I854" s="11">
        <f t="shared" si="94"/>
        <v>28</v>
      </c>
      <c r="J854" s="11"/>
    </row>
    <row r="855" spans="1:10" x14ac:dyDescent="0.25">
      <c r="A855" s="2">
        <v>41393</v>
      </c>
      <c r="B855" s="3">
        <v>443</v>
      </c>
      <c r="C855" s="4">
        <v>208210</v>
      </c>
      <c r="D855" s="3">
        <v>609</v>
      </c>
      <c r="E855" s="4">
        <v>444570</v>
      </c>
      <c r="G855" s="12">
        <f t="shared" si="92"/>
        <v>2013</v>
      </c>
      <c r="H855" s="12">
        <f t="shared" si="93"/>
        <v>4</v>
      </c>
      <c r="I855" s="11">
        <f t="shared" si="94"/>
        <v>28</v>
      </c>
      <c r="J855" s="11"/>
    </row>
    <row r="856" spans="1:10" x14ac:dyDescent="0.25">
      <c r="A856" s="2">
        <v>41394</v>
      </c>
      <c r="B856" s="3">
        <v>600</v>
      </c>
      <c r="C856" s="4">
        <v>282000</v>
      </c>
      <c r="D856" s="3">
        <v>669</v>
      </c>
      <c r="E856" s="4">
        <v>488370</v>
      </c>
      <c r="G856" s="12">
        <f t="shared" si="92"/>
        <v>2013</v>
      </c>
      <c r="H856" s="12">
        <f t="shared" si="93"/>
        <v>4</v>
      </c>
      <c r="I856" s="11">
        <f t="shared" si="94"/>
        <v>28</v>
      </c>
      <c r="J856" s="11"/>
    </row>
    <row r="857" spans="1:10" x14ac:dyDescent="0.25">
      <c r="A857" s="2">
        <v>41395</v>
      </c>
      <c r="B857" s="3">
        <v>450</v>
      </c>
      <c r="C857" s="4">
        <v>211500</v>
      </c>
      <c r="D857" s="3">
        <v>629</v>
      </c>
      <c r="E857" s="4">
        <v>459170</v>
      </c>
      <c r="G857" s="12">
        <f t="shared" si="92"/>
        <v>2013</v>
      </c>
      <c r="H857" s="12">
        <f t="shared" si="93"/>
        <v>5</v>
      </c>
      <c r="I857" s="11">
        <f t="shared" si="94"/>
        <v>29</v>
      </c>
      <c r="J857" s="11"/>
    </row>
    <row r="858" spans="1:10" x14ac:dyDescent="0.25">
      <c r="A858" s="2">
        <v>41396</v>
      </c>
      <c r="B858" s="3">
        <v>470</v>
      </c>
      <c r="C858" s="4">
        <v>220900</v>
      </c>
      <c r="D858" s="3">
        <v>626</v>
      </c>
      <c r="E858" s="4">
        <v>456980</v>
      </c>
      <c r="G858" s="12">
        <f t="shared" si="92"/>
        <v>2013</v>
      </c>
      <c r="H858" s="12">
        <f t="shared" si="93"/>
        <v>5</v>
      </c>
      <c r="I858" s="11">
        <f t="shared" si="94"/>
        <v>29</v>
      </c>
      <c r="J858" s="11"/>
    </row>
    <row r="859" spans="1:10" x14ac:dyDescent="0.25">
      <c r="A859" s="2">
        <v>41397</v>
      </c>
      <c r="B859" s="3">
        <v>517</v>
      </c>
      <c r="C859" s="4">
        <v>242990</v>
      </c>
      <c r="D859" s="3">
        <v>743</v>
      </c>
      <c r="E859" s="4">
        <v>542390</v>
      </c>
      <c r="G859" s="12">
        <f t="shared" si="92"/>
        <v>2013</v>
      </c>
      <c r="H859" s="12">
        <f t="shared" si="93"/>
        <v>5</v>
      </c>
      <c r="I859" s="11">
        <f t="shared" si="94"/>
        <v>29</v>
      </c>
      <c r="J859" s="11"/>
    </row>
    <row r="860" spans="1:10" x14ac:dyDescent="0.25">
      <c r="A860" s="2">
        <v>41398</v>
      </c>
      <c r="B860" s="3">
        <v>375</v>
      </c>
      <c r="C860" s="4">
        <v>176250</v>
      </c>
      <c r="D860" s="3">
        <v>569</v>
      </c>
      <c r="E860" s="4">
        <v>415370</v>
      </c>
      <c r="G860" s="12">
        <f t="shared" si="92"/>
        <v>2013</v>
      </c>
      <c r="H860" s="12">
        <f t="shared" si="93"/>
        <v>5</v>
      </c>
      <c r="I860" s="11">
        <f t="shared" si="94"/>
        <v>29</v>
      </c>
      <c r="J860" s="11"/>
    </row>
    <row r="861" spans="1:10" x14ac:dyDescent="0.25">
      <c r="A861" s="2">
        <v>41399</v>
      </c>
      <c r="B861" s="3">
        <v>510</v>
      </c>
      <c r="C861" s="4">
        <v>239700</v>
      </c>
      <c r="D861" s="3">
        <v>636</v>
      </c>
      <c r="E861" s="4">
        <v>464280</v>
      </c>
      <c r="G861" s="12">
        <f t="shared" si="92"/>
        <v>2013</v>
      </c>
      <c r="H861" s="12">
        <f t="shared" si="93"/>
        <v>5</v>
      </c>
      <c r="I861" s="11">
        <f t="shared" si="94"/>
        <v>29</v>
      </c>
      <c r="J861" s="11"/>
    </row>
    <row r="862" spans="1:10" x14ac:dyDescent="0.25">
      <c r="A862" s="2">
        <v>41400</v>
      </c>
      <c r="B862" s="3">
        <v>461</v>
      </c>
      <c r="C862" s="4">
        <v>216670</v>
      </c>
      <c r="D862" s="3">
        <v>586</v>
      </c>
      <c r="E862" s="4">
        <v>427780</v>
      </c>
      <c r="G862" s="12">
        <f t="shared" si="92"/>
        <v>2013</v>
      </c>
      <c r="H862" s="12">
        <f t="shared" si="93"/>
        <v>5</v>
      </c>
      <c r="I862" s="11">
        <f t="shared" si="94"/>
        <v>29</v>
      </c>
      <c r="J862" s="11"/>
    </row>
    <row r="863" spans="1:10" x14ac:dyDescent="0.25">
      <c r="A863" s="2">
        <v>41401</v>
      </c>
      <c r="B863" s="3">
        <v>447</v>
      </c>
      <c r="C863" s="4">
        <v>210090</v>
      </c>
      <c r="D863" s="3">
        <v>773</v>
      </c>
      <c r="E863" s="4">
        <v>564290</v>
      </c>
      <c r="G863" s="12">
        <f t="shared" si="92"/>
        <v>2013</v>
      </c>
      <c r="H863" s="12">
        <f t="shared" si="93"/>
        <v>5</v>
      </c>
      <c r="I863" s="11">
        <f t="shared" si="94"/>
        <v>29</v>
      </c>
      <c r="J863" s="11"/>
    </row>
    <row r="864" spans="1:10" x14ac:dyDescent="0.25">
      <c r="A864" s="2">
        <v>41402</v>
      </c>
      <c r="B864" s="3">
        <v>477</v>
      </c>
      <c r="C864" s="4">
        <v>224190</v>
      </c>
      <c r="D864" s="3">
        <v>735</v>
      </c>
      <c r="E864" s="4">
        <v>536550</v>
      </c>
      <c r="G864" s="12">
        <f t="shared" si="92"/>
        <v>2013</v>
      </c>
      <c r="H864" s="12">
        <f t="shared" si="93"/>
        <v>5</v>
      </c>
      <c r="I864" s="11">
        <f t="shared" si="94"/>
        <v>29</v>
      </c>
      <c r="J864" s="11"/>
    </row>
    <row r="865" spans="1:10" x14ac:dyDescent="0.25">
      <c r="A865" s="2">
        <v>41403</v>
      </c>
      <c r="B865" s="3">
        <v>521</v>
      </c>
      <c r="C865" s="4">
        <v>244870</v>
      </c>
      <c r="D865" s="3">
        <v>681</v>
      </c>
      <c r="E865" s="4">
        <v>497130</v>
      </c>
      <c r="G865" s="12">
        <f t="shared" si="92"/>
        <v>2013</v>
      </c>
      <c r="H865" s="12">
        <f t="shared" si="93"/>
        <v>5</v>
      </c>
      <c r="I865" s="11">
        <f t="shared" si="94"/>
        <v>29</v>
      </c>
      <c r="J865" s="11"/>
    </row>
    <row r="866" spans="1:10" x14ac:dyDescent="0.25">
      <c r="A866" s="2">
        <v>41404</v>
      </c>
      <c r="B866" s="3">
        <v>448</v>
      </c>
      <c r="C866" s="4">
        <v>210560</v>
      </c>
      <c r="D866" s="3">
        <v>637</v>
      </c>
      <c r="E866" s="4">
        <v>465010</v>
      </c>
      <c r="G866" s="12">
        <f t="shared" si="92"/>
        <v>2013</v>
      </c>
      <c r="H866" s="12">
        <f t="shared" si="93"/>
        <v>5</v>
      </c>
      <c r="I866" s="11">
        <f t="shared" si="94"/>
        <v>29</v>
      </c>
      <c r="J866" s="11"/>
    </row>
    <row r="867" spans="1:10" x14ac:dyDescent="0.25">
      <c r="A867" s="2">
        <v>41405</v>
      </c>
      <c r="B867" s="3">
        <v>411</v>
      </c>
      <c r="C867" s="4">
        <v>193170</v>
      </c>
      <c r="D867" s="3">
        <v>822</v>
      </c>
      <c r="E867" s="4">
        <v>600060</v>
      </c>
      <c r="G867" s="12">
        <f t="shared" si="92"/>
        <v>2013</v>
      </c>
      <c r="H867" s="12">
        <f t="shared" si="93"/>
        <v>5</v>
      </c>
      <c r="I867" s="11">
        <f t="shared" si="94"/>
        <v>29</v>
      </c>
      <c r="J867" s="11"/>
    </row>
    <row r="868" spans="1:10" x14ac:dyDescent="0.25">
      <c r="A868" s="2">
        <v>41406</v>
      </c>
      <c r="B868" s="3">
        <v>463</v>
      </c>
      <c r="C868" s="4">
        <v>217610</v>
      </c>
      <c r="D868" s="3">
        <v>673</v>
      </c>
      <c r="E868" s="4">
        <v>491290</v>
      </c>
      <c r="G868" s="12">
        <f t="shared" si="92"/>
        <v>2013</v>
      </c>
      <c r="H868" s="12">
        <f t="shared" si="93"/>
        <v>5</v>
      </c>
      <c r="I868" s="11">
        <f t="shared" si="94"/>
        <v>29</v>
      </c>
      <c r="J868" s="11"/>
    </row>
    <row r="869" spans="1:10" x14ac:dyDescent="0.25">
      <c r="A869" s="2">
        <v>41407</v>
      </c>
      <c r="B869" s="3">
        <v>443</v>
      </c>
      <c r="C869" s="4">
        <v>208210</v>
      </c>
      <c r="D869" s="3">
        <v>634</v>
      </c>
      <c r="E869" s="4">
        <v>462820</v>
      </c>
      <c r="G869" s="12">
        <f t="shared" si="92"/>
        <v>2013</v>
      </c>
      <c r="H869" s="12">
        <f t="shared" si="93"/>
        <v>5</v>
      </c>
      <c r="I869" s="11">
        <f t="shared" si="94"/>
        <v>29</v>
      </c>
      <c r="J869" s="11"/>
    </row>
    <row r="870" spans="1:10" x14ac:dyDescent="0.25">
      <c r="A870" s="2">
        <v>41408</v>
      </c>
      <c r="B870" s="3">
        <v>416</v>
      </c>
      <c r="C870" s="4">
        <v>195520</v>
      </c>
      <c r="D870" s="3">
        <v>677</v>
      </c>
      <c r="E870" s="4">
        <v>494210</v>
      </c>
      <c r="G870" s="12">
        <f t="shared" si="92"/>
        <v>2013</v>
      </c>
      <c r="H870" s="12">
        <f t="shared" si="93"/>
        <v>5</v>
      </c>
      <c r="I870" s="11">
        <f t="shared" si="94"/>
        <v>29</v>
      </c>
      <c r="J870" s="11"/>
    </row>
    <row r="871" spans="1:10" x14ac:dyDescent="0.25">
      <c r="A871" s="2">
        <v>41409</v>
      </c>
      <c r="B871" s="3">
        <v>465</v>
      </c>
      <c r="C871" s="4">
        <v>218550</v>
      </c>
      <c r="D871" s="3">
        <v>570</v>
      </c>
      <c r="E871" s="4">
        <v>416100</v>
      </c>
      <c r="G871" s="12">
        <f t="shared" si="92"/>
        <v>2013</v>
      </c>
      <c r="H871" s="12">
        <f t="shared" si="93"/>
        <v>5</v>
      </c>
      <c r="I871" s="11">
        <f t="shared" si="94"/>
        <v>29</v>
      </c>
      <c r="J871" s="11"/>
    </row>
    <row r="872" spans="1:10" x14ac:dyDescent="0.25">
      <c r="A872" s="2">
        <v>41410</v>
      </c>
      <c r="B872" s="3">
        <v>465</v>
      </c>
      <c r="C872" s="4">
        <v>218550</v>
      </c>
      <c r="D872" s="3">
        <v>712</v>
      </c>
      <c r="E872" s="4">
        <v>519760</v>
      </c>
      <c r="G872" s="12">
        <f t="shared" si="92"/>
        <v>2013</v>
      </c>
      <c r="H872" s="12">
        <f t="shared" si="93"/>
        <v>5</v>
      </c>
      <c r="I872" s="11">
        <f t="shared" si="94"/>
        <v>29</v>
      </c>
      <c r="J872" s="11"/>
    </row>
    <row r="873" spans="1:10" x14ac:dyDescent="0.25">
      <c r="A873" s="2">
        <v>41411</v>
      </c>
      <c r="B873" s="3">
        <v>507</v>
      </c>
      <c r="C873" s="4">
        <v>238290</v>
      </c>
      <c r="D873" s="3">
        <v>643</v>
      </c>
      <c r="E873" s="4">
        <v>469390</v>
      </c>
      <c r="G873" s="12">
        <f t="shared" si="92"/>
        <v>2013</v>
      </c>
      <c r="H873" s="12">
        <f t="shared" si="93"/>
        <v>5</v>
      </c>
      <c r="I873" s="11">
        <f t="shared" si="94"/>
        <v>29</v>
      </c>
      <c r="J873" s="11"/>
    </row>
    <row r="874" spans="1:10" x14ac:dyDescent="0.25">
      <c r="A874" s="2">
        <v>41412</v>
      </c>
      <c r="B874" s="3">
        <v>460</v>
      </c>
      <c r="C874" s="4">
        <v>216200</v>
      </c>
      <c r="D874" s="3">
        <v>635</v>
      </c>
      <c r="E874" s="4">
        <v>463550</v>
      </c>
      <c r="G874" s="12">
        <f t="shared" si="92"/>
        <v>2013</v>
      </c>
      <c r="H874" s="12">
        <f t="shared" si="93"/>
        <v>5</v>
      </c>
      <c r="I874" s="11">
        <f t="shared" si="94"/>
        <v>29</v>
      </c>
      <c r="J874" s="11"/>
    </row>
    <row r="875" spans="1:10" x14ac:dyDescent="0.25">
      <c r="A875" s="2">
        <v>41413</v>
      </c>
      <c r="B875" s="3">
        <v>429</v>
      </c>
      <c r="C875" s="4">
        <v>201630</v>
      </c>
      <c r="D875" s="3">
        <v>703</v>
      </c>
      <c r="E875" s="4">
        <v>513190</v>
      </c>
      <c r="G875" s="12">
        <f t="shared" si="92"/>
        <v>2013</v>
      </c>
      <c r="H875" s="12">
        <f t="shared" si="93"/>
        <v>5</v>
      </c>
      <c r="I875" s="11">
        <f t="shared" si="94"/>
        <v>29</v>
      </c>
      <c r="J875" s="11"/>
    </row>
    <row r="876" spans="1:10" x14ac:dyDescent="0.25">
      <c r="A876" s="2">
        <v>41414</v>
      </c>
      <c r="B876" s="3">
        <v>532</v>
      </c>
      <c r="C876" s="4">
        <v>250040</v>
      </c>
      <c r="D876" s="3">
        <v>650</v>
      </c>
      <c r="E876" s="4">
        <v>474500</v>
      </c>
      <c r="G876" s="12">
        <f t="shared" si="92"/>
        <v>2013</v>
      </c>
      <c r="H876" s="12">
        <f t="shared" si="93"/>
        <v>5</v>
      </c>
      <c r="I876" s="11">
        <f t="shared" si="94"/>
        <v>29</v>
      </c>
      <c r="J876" s="11"/>
    </row>
    <row r="877" spans="1:10" x14ac:dyDescent="0.25">
      <c r="A877" s="2">
        <v>41415</v>
      </c>
      <c r="B877" s="3">
        <v>479</v>
      </c>
      <c r="C877" s="4">
        <v>225130</v>
      </c>
      <c r="D877" s="3">
        <v>803</v>
      </c>
      <c r="E877" s="4">
        <v>586190</v>
      </c>
      <c r="G877" s="12">
        <f t="shared" si="92"/>
        <v>2013</v>
      </c>
      <c r="H877" s="12">
        <f t="shared" si="93"/>
        <v>5</v>
      </c>
      <c r="I877" s="11">
        <f t="shared" si="94"/>
        <v>29</v>
      </c>
      <c r="J877" s="11"/>
    </row>
    <row r="878" spans="1:10" x14ac:dyDescent="0.25">
      <c r="A878" s="2">
        <v>41416</v>
      </c>
      <c r="B878" s="3">
        <v>573</v>
      </c>
      <c r="C878" s="4">
        <v>269310</v>
      </c>
      <c r="D878" s="3">
        <v>756</v>
      </c>
      <c r="E878" s="4">
        <v>551880</v>
      </c>
      <c r="G878" s="12">
        <f t="shared" si="92"/>
        <v>2013</v>
      </c>
      <c r="H878" s="12">
        <f t="shared" si="93"/>
        <v>5</v>
      </c>
      <c r="I878" s="11">
        <f t="shared" si="94"/>
        <v>29</v>
      </c>
      <c r="J878" s="11"/>
    </row>
    <row r="879" spans="1:10" x14ac:dyDescent="0.25">
      <c r="A879" s="2">
        <v>41417</v>
      </c>
      <c r="B879" s="3">
        <v>515</v>
      </c>
      <c r="C879" s="4">
        <v>242050</v>
      </c>
      <c r="D879" s="3">
        <v>680</v>
      </c>
      <c r="E879" s="4">
        <v>496400</v>
      </c>
      <c r="G879" s="12">
        <f t="shared" si="92"/>
        <v>2013</v>
      </c>
      <c r="H879" s="12">
        <f t="shared" si="93"/>
        <v>5</v>
      </c>
      <c r="I879" s="11">
        <f t="shared" si="94"/>
        <v>29</v>
      </c>
      <c r="J879" s="11"/>
    </row>
    <row r="880" spans="1:10" x14ac:dyDescent="0.25">
      <c r="A880" s="2">
        <v>41418</v>
      </c>
      <c r="B880" s="3">
        <v>448</v>
      </c>
      <c r="C880" s="4">
        <v>210560</v>
      </c>
      <c r="D880" s="3">
        <v>764</v>
      </c>
      <c r="E880" s="4">
        <v>557720</v>
      </c>
      <c r="G880" s="12">
        <f t="shared" si="92"/>
        <v>2013</v>
      </c>
      <c r="H880" s="12">
        <f t="shared" si="93"/>
        <v>5</v>
      </c>
      <c r="I880" s="11">
        <f t="shared" si="94"/>
        <v>29</v>
      </c>
      <c r="J880" s="11"/>
    </row>
    <row r="881" spans="1:10" x14ac:dyDescent="0.25">
      <c r="A881" s="2">
        <v>41419</v>
      </c>
      <c r="B881" s="3">
        <v>478</v>
      </c>
      <c r="C881" s="4">
        <v>224660</v>
      </c>
      <c r="D881" s="3">
        <v>670</v>
      </c>
      <c r="E881" s="4">
        <v>489100</v>
      </c>
      <c r="G881" s="12">
        <f t="shared" si="92"/>
        <v>2013</v>
      </c>
      <c r="H881" s="12">
        <f t="shared" si="93"/>
        <v>5</v>
      </c>
      <c r="I881" s="11">
        <f t="shared" si="94"/>
        <v>29</v>
      </c>
      <c r="J881" s="11"/>
    </row>
    <row r="882" spans="1:10" x14ac:dyDescent="0.25">
      <c r="A882" s="2">
        <v>41420</v>
      </c>
      <c r="B882" s="3">
        <v>492</v>
      </c>
      <c r="C882" s="4">
        <v>231240</v>
      </c>
      <c r="D882" s="3">
        <v>697</v>
      </c>
      <c r="E882" s="4">
        <v>508810</v>
      </c>
      <c r="G882" s="12">
        <f t="shared" si="92"/>
        <v>2013</v>
      </c>
      <c r="H882" s="12">
        <f t="shared" si="93"/>
        <v>5</v>
      </c>
      <c r="I882" s="11">
        <f t="shared" si="94"/>
        <v>29</v>
      </c>
      <c r="J882" s="11"/>
    </row>
    <row r="883" spans="1:10" x14ac:dyDescent="0.25">
      <c r="A883" s="2">
        <v>41421</v>
      </c>
      <c r="B883" s="3">
        <v>449</v>
      </c>
      <c r="C883" s="4">
        <v>211030</v>
      </c>
      <c r="D883" s="3">
        <v>582</v>
      </c>
      <c r="E883" s="4">
        <v>424860</v>
      </c>
      <c r="G883" s="12">
        <f t="shared" si="92"/>
        <v>2013</v>
      </c>
      <c r="H883" s="12">
        <f t="shared" si="93"/>
        <v>5</v>
      </c>
      <c r="I883" s="11">
        <f t="shared" si="94"/>
        <v>29</v>
      </c>
      <c r="J883" s="11"/>
    </row>
    <row r="884" spans="1:10" x14ac:dyDescent="0.25">
      <c r="A884" s="2">
        <v>41422</v>
      </c>
      <c r="B884" s="3">
        <v>475</v>
      </c>
      <c r="C884" s="4">
        <v>223250</v>
      </c>
      <c r="D884" s="3">
        <v>591</v>
      </c>
      <c r="E884" s="4">
        <v>431430</v>
      </c>
      <c r="G884" s="12">
        <f t="shared" si="92"/>
        <v>2013</v>
      </c>
      <c r="H884" s="12">
        <f t="shared" si="93"/>
        <v>5</v>
      </c>
      <c r="I884" s="11">
        <f t="shared" si="94"/>
        <v>29</v>
      </c>
      <c r="J884" s="11"/>
    </row>
    <row r="885" spans="1:10" x14ac:dyDescent="0.25">
      <c r="A885" s="2">
        <v>41423</v>
      </c>
      <c r="B885" s="3">
        <v>385</v>
      </c>
      <c r="C885" s="4">
        <v>180950</v>
      </c>
      <c r="D885" s="3">
        <v>633</v>
      </c>
      <c r="E885" s="4">
        <v>462090</v>
      </c>
      <c r="G885" s="12">
        <f t="shared" si="92"/>
        <v>2013</v>
      </c>
      <c r="H885" s="12">
        <f t="shared" si="93"/>
        <v>5</v>
      </c>
      <c r="I885" s="11">
        <f t="shared" si="94"/>
        <v>29</v>
      </c>
      <c r="J885" s="11"/>
    </row>
    <row r="886" spans="1:10" x14ac:dyDescent="0.25">
      <c r="A886" s="2">
        <v>41424</v>
      </c>
      <c r="B886" s="3">
        <v>429</v>
      </c>
      <c r="C886" s="4">
        <v>201630</v>
      </c>
      <c r="D886" s="3">
        <v>729</v>
      </c>
      <c r="E886" s="4">
        <v>532170</v>
      </c>
      <c r="G886" s="12">
        <f t="shared" si="92"/>
        <v>2013</v>
      </c>
      <c r="H886" s="12">
        <f t="shared" si="93"/>
        <v>5</v>
      </c>
      <c r="I886" s="11">
        <f t="shared" si="94"/>
        <v>29</v>
      </c>
      <c r="J886" s="11"/>
    </row>
    <row r="887" spans="1:10" x14ac:dyDescent="0.25">
      <c r="A887" s="2">
        <v>41425</v>
      </c>
      <c r="B887" s="3">
        <v>378</v>
      </c>
      <c r="C887" s="4">
        <v>177660</v>
      </c>
      <c r="D887" s="3">
        <v>634</v>
      </c>
      <c r="E887" s="4">
        <v>462820</v>
      </c>
      <c r="G887" s="12">
        <f t="shared" si="92"/>
        <v>2013</v>
      </c>
      <c r="H887" s="12">
        <f t="shared" si="93"/>
        <v>5</v>
      </c>
      <c r="I887" s="11">
        <f t="shared" si="94"/>
        <v>29</v>
      </c>
      <c r="J887" s="11"/>
    </row>
    <row r="888" spans="1:10" x14ac:dyDescent="0.25">
      <c r="A888" s="2">
        <v>41426</v>
      </c>
      <c r="B888" s="3">
        <v>456</v>
      </c>
      <c r="C888" s="4">
        <v>214320</v>
      </c>
      <c r="D888" s="3">
        <v>755</v>
      </c>
      <c r="E888" s="4">
        <v>220460</v>
      </c>
      <c r="G888" s="12">
        <f t="shared" si="92"/>
        <v>2013</v>
      </c>
      <c r="H888" s="12">
        <f t="shared" si="93"/>
        <v>6</v>
      </c>
      <c r="I888" s="11">
        <f t="shared" si="94"/>
        <v>30</v>
      </c>
      <c r="J888" s="11"/>
    </row>
    <row r="889" spans="1:10" x14ac:dyDescent="0.25">
      <c r="A889" s="2">
        <v>41427</v>
      </c>
      <c r="B889" s="3">
        <v>432</v>
      </c>
      <c r="C889" s="4">
        <v>203040</v>
      </c>
      <c r="D889" s="3">
        <v>694</v>
      </c>
      <c r="E889" s="4">
        <v>202648</v>
      </c>
      <c r="G889" s="12">
        <f t="shared" si="92"/>
        <v>2013</v>
      </c>
      <c r="H889" s="12">
        <f t="shared" si="93"/>
        <v>6</v>
      </c>
      <c r="I889" s="11">
        <f t="shared" si="94"/>
        <v>30</v>
      </c>
      <c r="J889" s="11"/>
    </row>
    <row r="890" spans="1:10" x14ac:dyDescent="0.25">
      <c r="A890" s="2">
        <v>41428</v>
      </c>
      <c r="B890" s="3">
        <v>500</v>
      </c>
      <c r="C890" s="4">
        <v>235000</v>
      </c>
      <c r="D890" s="3">
        <v>717</v>
      </c>
      <c r="E890" s="4">
        <v>209364</v>
      </c>
      <c r="G890" s="12">
        <f t="shared" si="92"/>
        <v>2013</v>
      </c>
      <c r="H890" s="12">
        <f t="shared" si="93"/>
        <v>6</v>
      </c>
      <c r="I890" s="11">
        <f t="shared" si="94"/>
        <v>30</v>
      </c>
      <c r="J890" s="11"/>
    </row>
    <row r="891" spans="1:10" x14ac:dyDescent="0.25">
      <c r="A891" s="2">
        <v>41429</v>
      </c>
      <c r="B891" s="3">
        <v>400</v>
      </c>
      <c r="C891" s="4">
        <v>188000</v>
      </c>
      <c r="D891" s="3">
        <v>747</v>
      </c>
      <c r="E891" s="4">
        <v>218124</v>
      </c>
      <c r="G891" s="12">
        <f t="shared" si="92"/>
        <v>2013</v>
      </c>
      <c r="H891" s="12">
        <f t="shared" si="93"/>
        <v>6</v>
      </c>
      <c r="I891" s="11">
        <f t="shared" si="94"/>
        <v>30</v>
      </c>
      <c r="J891" s="11"/>
    </row>
    <row r="892" spans="1:10" x14ac:dyDescent="0.25">
      <c r="A892" s="2">
        <v>41430</v>
      </c>
      <c r="B892" s="3">
        <v>513</v>
      </c>
      <c r="C892" s="4">
        <v>241110</v>
      </c>
      <c r="D892" s="3">
        <v>819</v>
      </c>
      <c r="E892" s="4">
        <v>239148</v>
      </c>
      <c r="G892" s="12">
        <f t="shared" si="92"/>
        <v>2013</v>
      </c>
      <c r="H892" s="12">
        <f t="shared" si="93"/>
        <v>6</v>
      </c>
      <c r="I892" s="11">
        <f t="shared" si="94"/>
        <v>30</v>
      </c>
      <c r="J892" s="11"/>
    </row>
    <row r="893" spans="1:10" x14ac:dyDescent="0.25">
      <c r="A893" s="2">
        <v>41431</v>
      </c>
      <c r="B893" s="3">
        <v>524</v>
      </c>
      <c r="C893" s="4">
        <v>246280</v>
      </c>
      <c r="D893" s="3">
        <v>796</v>
      </c>
      <c r="E893" s="4">
        <v>232432</v>
      </c>
      <c r="G893" s="12">
        <f t="shared" si="92"/>
        <v>2013</v>
      </c>
      <c r="H893" s="12">
        <f t="shared" si="93"/>
        <v>6</v>
      </c>
      <c r="I893" s="11">
        <f t="shared" si="94"/>
        <v>30</v>
      </c>
      <c r="J893" s="11"/>
    </row>
    <row r="894" spans="1:10" x14ac:dyDescent="0.25">
      <c r="A894" s="2">
        <v>41432</v>
      </c>
      <c r="B894" s="3">
        <v>462</v>
      </c>
      <c r="C894" s="4">
        <v>217140</v>
      </c>
      <c r="D894" s="3">
        <v>675</v>
      </c>
      <c r="E894" s="4">
        <v>197100</v>
      </c>
      <c r="G894" s="12">
        <f t="shared" si="92"/>
        <v>2013</v>
      </c>
      <c r="H894" s="12">
        <f t="shared" si="93"/>
        <v>6</v>
      </c>
      <c r="I894" s="11">
        <f t="shared" si="94"/>
        <v>30</v>
      </c>
      <c r="J894" s="11"/>
    </row>
    <row r="895" spans="1:10" x14ac:dyDescent="0.25">
      <c r="A895" s="2">
        <v>41433</v>
      </c>
      <c r="B895" s="3">
        <v>403</v>
      </c>
      <c r="C895" s="4">
        <v>189410</v>
      </c>
      <c r="D895" s="3">
        <v>719</v>
      </c>
      <c r="E895" s="4">
        <v>209948</v>
      </c>
      <c r="G895" s="12">
        <f t="shared" si="92"/>
        <v>2013</v>
      </c>
      <c r="H895" s="12">
        <f t="shared" si="93"/>
        <v>6</v>
      </c>
      <c r="I895" s="11">
        <f t="shared" si="94"/>
        <v>30</v>
      </c>
      <c r="J895" s="11"/>
    </row>
    <row r="896" spans="1:10" x14ac:dyDescent="0.25">
      <c r="A896" s="2">
        <v>41434</v>
      </c>
      <c r="B896" s="3">
        <v>540</v>
      </c>
      <c r="C896" s="4">
        <v>253800</v>
      </c>
      <c r="D896" s="3">
        <v>782</v>
      </c>
      <c r="E896" s="4">
        <v>228344</v>
      </c>
      <c r="G896" s="12">
        <f t="shared" si="92"/>
        <v>2013</v>
      </c>
      <c r="H896" s="12">
        <f t="shared" si="93"/>
        <v>6</v>
      </c>
      <c r="I896" s="11">
        <f t="shared" si="94"/>
        <v>30</v>
      </c>
      <c r="J896" s="11"/>
    </row>
    <row r="897" spans="1:10" x14ac:dyDescent="0.25">
      <c r="A897" s="2">
        <v>41435</v>
      </c>
      <c r="B897" s="3">
        <v>385</v>
      </c>
      <c r="C897" s="4">
        <v>180950</v>
      </c>
      <c r="D897" s="3">
        <v>760</v>
      </c>
      <c r="E897" s="4">
        <v>221920</v>
      </c>
      <c r="G897" s="12">
        <f t="shared" si="92"/>
        <v>2013</v>
      </c>
      <c r="H897" s="12">
        <f t="shared" si="93"/>
        <v>6</v>
      </c>
      <c r="I897" s="11">
        <f t="shared" si="94"/>
        <v>30</v>
      </c>
      <c r="J897" s="11"/>
    </row>
    <row r="898" spans="1:10" x14ac:dyDescent="0.25">
      <c r="A898" s="2">
        <v>41436</v>
      </c>
      <c r="B898" s="3">
        <v>507</v>
      </c>
      <c r="C898" s="4">
        <v>238290</v>
      </c>
      <c r="D898" s="3">
        <v>801</v>
      </c>
      <c r="E898" s="4">
        <v>233892</v>
      </c>
      <c r="G898" s="12">
        <f t="shared" si="92"/>
        <v>2013</v>
      </c>
      <c r="H898" s="12">
        <f t="shared" si="93"/>
        <v>6</v>
      </c>
      <c r="I898" s="11">
        <f t="shared" si="94"/>
        <v>30</v>
      </c>
      <c r="J898" s="11"/>
    </row>
    <row r="899" spans="1:10" x14ac:dyDescent="0.25">
      <c r="A899" s="2">
        <v>41437</v>
      </c>
      <c r="B899" s="3">
        <v>443</v>
      </c>
      <c r="C899" s="4">
        <v>208210</v>
      </c>
      <c r="D899" s="3">
        <v>572</v>
      </c>
      <c r="E899" s="4">
        <v>167024</v>
      </c>
      <c r="G899" s="12">
        <f t="shared" si="92"/>
        <v>2013</v>
      </c>
      <c r="H899" s="12">
        <f t="shared" si="93"/>
        <v>6</v>
      </c>
      <c r="I899" s="11">
        <f t="shared" si="94"/>
        <v>30</v>
      </c>
      <c r="J899" s="11"/>
    </row>
    <row r="900" spans="1:10" x14ac:dyDescent="0.25">
      <c r="A900" s="2">
        <v>41438</v>
      </c>
      <c r="B900" s="3">
        <v>455</v>
      </c>
      <c r="C900" s="4">
        <v>213850</v>
      </c>
      <c r="D900" s="3">
        <v>900</v>
      </c>
      <c r="E900" s="4">
        <v>262800</v>
      </c>
      <c r="G900" s="12">
        <f t="shared" si="92"/>
        <v>2013</v>
      </c>
      <c r="H900" s="12">
        <f t="shared" si="93"/>
        <v>6</v>
      </c>
      <c r="I900" s="11">
        <f t="shared" si="94"/>
        <v>30</v>
      </c>
      <c r="J900" s="11"/>
    </row>
    <row r="901" spans="1:10" x14ac:dyDescent="0.25">
      <c r="A901" s="2">
        <v>41439</v>
      </c>
      <c r="B901" s="3">
        <v>509</v>
      </c>
      <c r="C901" s="4">
        <v>239230</v>
      </c>
      <c r="D901" s="3">
        <v>797</v>
      </c>
      <c r="E901" s="4">
        <v>232724</v>
      </c>
      <c r="G901" s="12">
        <f t="shared" si="92"/>
        <v>2013</v>
      </c>
      <c r="H901" s="12">
        <f t="shared" si="93"/>
        <v>6</v>
      </c>
      <c r="I901" s="11">
        <f t="shared" si="94"/>
        <v>30</v>
      </c>
      <c r="J901" s="11"/>
    </row>
    <row r="902" spans="1:10" x14ac:dyDescent="0.25">
      <c r="A902" s="2">
        <v>41440</v>
      </c>
      <c r="B902" s="3">
        <v>395</v>
      </c>
      <c r="C902" s="4">
        <v>185650</v>
      </c>
      <c r="D902" s="3">
        <v>665</v>
      </c>
      <c r="E902" s="4">
        <v>194180</v>
      </c>
      <c r="G902" s="12">
        <f t="shared" ref="G902:G965" si="95">+YEAR(A902)</f>
        <v>2013</v>
      </c>
      <c r="H902" s="12">
        <f t="shared" ref="H902:H965" si="96">+MONTH(A902)</f>
        <v>6</v>
      </c>
      <c r="I902" s="11">
        <f t="shared" si="94"/>
        <v>30</v>
      </c>
      <c r="J902" s="11"/>
    </row>
    <row r="903" spans="1:10" x14ac:dyDescent="0.25">
      <c r="A903" s="2">
        <v>41441</v>
      </c>
      <c r="B903" s="3">
        <v>479</v>
      </c>
      <c r="C903" s="4">
        <v>225130</v>
      </c>
      <c r="D903" s="3">
        <v>719</v>
      </c>
      <c r="E903" s="4">
        <v>209948</v>
      </c>
      <c r="G903" s="12">
        <f t="shared" si="95"/>
        <v>2013</v>
      </c>
      <c r="H903" s="12">
        <f t="shared" si="96"/>
        <v>6</v>
      </c>
      <c r="I903" s="11">
        <f t="shared" ref="I903:I966" si="97">+H903+(G903-2011)*12</f>
        <v>30</v>
      </c>
      <c r="J903" s="11"/>
    </row>
    <row r="904" spans="1:10" x14ac:dyDescent="0.25">
      <c r="A904" s="2">
        <v>41442</v>
      </c>
      <c r="B904" s="3">
        <v>390</v>
      </c>
      <c r="C904" s="4">
        <v>183300</v>
      </c>
      <c r="D904" s="3">
        <v>667</v>
      </c>
      <c r="E904" s="4">
        <v>194764</v>
      </c>
      <c r="G904" s="12">
        <f t="shared" si="95"/>
        <v>2013</v>
      </c>
      <c r="H904" s="12">
        <f t="shared" si="96"/>
        <v>6</v>
      </c>
      <c r="I904" s="11">
        <f t="shared" si="97"/>
        <v>30</v>
      </c>
      <c r="J904" s="11"/>
    </row>
    <row r="905" spans="1:10" x14ac:dyDescent="0.25">
      <c r="A905" s="2">
        <v>41443</v>
      </c>
      <c r="B905" s="3">
        <v>529</v>
      </c>
      <c r="C905" s="4">
        <v>248630</v>
      </c>
      <c r="D905" s="3">
        <v>601</v>
      </c>
      <c r="E905" s="4">
        <v>175492</v>
      </c>
      <c r="G905" s="12">
        <f t="shared" si="95"/>
        <v>2013</v>
      </c>
      <c r="H905" s="12">
        <f t="shared" si="96"/>
        <v>6</v>
      </c>
      <c r="I905" s="11">
        <f t="shared" si="97"/>
        <v>30</v>
      </c>
      <c r="J905" s="11"/>
    </row>
    <row r="906" spans="1:10" x14ac:dyDescent="0.25">
      <c r="A906" s="2">
        <v>41444</v>
      </c>
      <c r="B906" s="3">
        <v>486</v>
      </c>
      <c r="C906" s="4">
        <v>228420</v>
      </c>
      <c r="D906" s="3">
        <v>713</v>
      </c>
      <c r="E906" s="4">
        <v>208196</v>
      </c>
      <c r="G906" s="12">
        <f t="shared" si="95"/>
        <v>2013</v>
      </c>
      <c r="H906" s="12">
        <f t="shared" si="96"/>
        <v>6</v>
      </c>
      <c r="I906" s="11">
        <f t="shared" si="97"/>
        <v>30</v>
      </c>
      <c r="J906" s="11"/>
    </row>
    <row r="907" spans="1:10" x14ac:dyDescent="0.25">
      <c r="A907" s="2">
        <v>41445</v>
      </c>
      <c r="B907" s="3">
        <v>407</v>
      </c>
      <c r="C907" s="4">
        <v>191290</v>
      </c>
      <c r="D907" s="3">
        <v>700</v>
      </c>
      <c r="E907" s="4">
        <v>204400</v>
      </c>
      <c r="G907" s="12">
        <f t="shared" si="95"/>
        <v>2013</v>
      </c>
      <c r="H907" s="12">
        <f t="shared" si="96"/>
        <v>6</v>
      </c>
      <c r="I907" s="11">
        <f t="shared" si="97"/>
        <v>30</v>
      </c>
      <c r="J907" s="11"/>
    </row>
    <row r="908" spans="1:10" x14ac:dyDescent="0.25">
      <c r="A908" s="2">
        <v>41446</v>
      </c>
      <c r="B908" s="3">
        <v>461</v>
      </c>
      <c r="C908" s="4">
        <v>216670</v>
      </c>
      <c r="D908" s="3">
        <v>735</v>
      </c>
      <c r="E908" s="4">
        <v>214620</v>
      </c>
      <c r="G908" s="12">
        <f t="shared" si="95"/>
        <v>2013</v>
      </c>
      <c r="H908" s="12">
        <f t="shared" si="96"/>
        <v>6</v>
      </c>
      <c r="I908" s="11">
        <f t="shared" si="97"/>
        <v>30</v>
      </c>
      <c r="J908" s="11"/>
    </row>
    <row r="909" spans="1:10" x14ac:dyDescent="0.25">
      <c r="A909" s="2">
        <v>41447</v>
      </c>
      <c r="B909" s="3">
        <v>398</v>
      </c>
      <c r="C909" s="4">
        <v>187060</v>
      </c>
      <c r="D909" s="3">
        <v>791</v>
      </c>
      <c r="E909" s="4">
        <v>230972</v>
      </c>
      <c r="G909" s="12">
        <f t="shared" si="95"/>
        <v>2013</v>
      </c>
      <c r="H909" s="12">
        <f t="shared" si="96"/>
        <v>6</v>
      </c>
      <c r="I909" s="11">
        <f t="shared" si="97"/>
        <v>30</v>
      </c>
      <c r="J909" s="11"/>
    </row>
    <row r="910" spans="1:10" x14ac:dyDescent="0.25">
      <c r="A910" s="2">
        <v>41448</v>
      </c>
      <c r="B910" s="3">
        <v>500</v>
      </c>
      <c r="C910" s="4">
        <v>235000</v>
      </c>
      <c r="D910" s="3">
        <v>627</v>
      </c>
      <c r="E910" s="4">
        <v>183084</v>
      </c>
      <c r="G910" s="12">
        <f t="shared" si="95"/>
        <v>2013</v>
      </c>
      <c r="H910" s="12">
        <f t="shared" si="96"/>
        <v>6</v>
      </c>
      <c r="I910" s="11">
        <f t="shared" si="97"/>
        <v>30</v>
      </c>
      <c r="J910" s="11"/>
    </row>
    <row r="911" spans="1:10" x14ac:dyDescent="0.25">
      <c r="A911" s="2">
        <v>41449</v>
      </c>
      <c r="B911" s="3">
        <v>403</v>
      </c>
      <c r="C911" s="4">
        <v>189410</v>
      </c>
      <c r="D911" s="3">
        <v>756</v>
      </c>
      <c r="E911" s="4">
        <v>220752</v>
      </c>
      <c r="G911" s="12">
        <f t="shared" si="95"/>
        <v>2013</v>
      </c>
      <c r="H911" s="12">
        <f t="shared" si="96"/>
        <v>6</v>
      </c>
      <c r="I911" s="11">
        <f t="shared" si="97"/>
        <v>30</v>
      </c>
      <c r="J911" s="11"/>
    </row>
    <row r="912" spans="1:10" x14ac:dyDescent="0.25">
      <c r="A912" s="2">
        <v>41450</v>
      </c>
      <c r="B912" s="3">
        <v>458</v>
      </c>
      <c r="C912" s="4">
        <v>215260</v>
      </c>
      <c r="D912" s="3">
        <v>838</v>
      </c>
      <c r="E912" s="4">
        <v>244696</v>
      </c>
      <c r="G912" s="12">
        <f t="shared" si="95"/>
        <v>2013</v>
      </c>
      <c r="H912" s="12">
        <f t="shared" si="96"/>
        <v>6</v>
      </c>
      <c r="I912" s="11">
        <f t="shared" si="97"/>
        <v>30</v>
      </c>
      <c r="J912" s="11"/>
    </row>
    <row r="913" spans="1:10" x14ac:dyDescent="0.25">
      <c r="A913" s="2">
        <v>41451</v>
      </c>
      <c r="B913" s="3">
        <v>451</v>
      </c>
      <c r="C913" s="4">
        <v>211970</v>
      </c>
      <c r="D913" s="3">
        <v>624</v>
      </c>
      <c r="E913" s="4">
        <v>182208</v>
      </c>
      <c r="G913" s="12">
        <f t="shared" si="95"/>
        <v>2013</v>
      </c>
      <c r="H913" s="12">
        <f t="shared" si="96"/>
        <v>6</v>
      </c>
      <c r="I913" s="11">
        <f t="shared" si="97"/>
        <v>30</v>
      </c>
      <c r="J913" s="11"/>
    </row>
    <row r="914" spans="1:10" x14ac:dyDescent="0.25">
      <c r="A914" s="2">
        <v>41452</v>
      </c>
      <c r="B914" s="3">
        <v>410</v>
      </c>
      <c r="C914" s="4">
        <v>192700</v>
      </c>
      <c r="D914" s="3">
        <v>792</v>
      </c>
      <c r="E914" s="4">
        <v>231264</v>
      </c>
      <c r="G914" s="12">
        <f t="shared" si="95"/>
        <v>2013</v>
      </c>
      <c r="H914" s="12">
        <f t="shared" si="96"/>
        <v>6</v>
      </c>
      <c r="I914" s="11">
        <f t="shared" si="97"/>
        <v>30</v>
      </c>
      <c r="J914" s="11"/>
    </row>
    <row r="915" spans="1:10" x14ac:dyDescent="0.25">
      <c r="A915" s="2">
        <v>41453</v>
      </c>
      <c r="B915" s="3">
        <v>490</v>
      </c>
      <c r="C915" s="4">
        <v>230300</v>
      </c>
      <c r="D915" s="3">
        <v>749</v>
      </c>
      <c r="E915" s="4">
        <v>218708</v>
      </c>
      <c r="G915" s="12">
        <f t="shared" si="95"/>
        <v>2013</v>
      </c>
      <c r="H915" s="12">
        <f t="shared" si="96"/>
        <v>6</v>
      </c>
      <c r="I915" s="11">
        <f t="shared" si="97"/>
        <v>30</v>
      </c>
      <c r="J915" s="11"/>
    </row>
    <row r="916" spans="1:10" x14ac:dyDescent="0.25">
      <c r="A916" s="2">
        <v>41454</v>
      </c>
      <c r="B916" s="3">
        <v>430</v>
      </c>
      <c r="C916" s="4">
        <v>202100</v>
      </c>
      <c r="D916" s="3">
        <v>771</v>
      </c>
      <c r="E916" s="4">
        <v>225132</v>
      </c>
      <c r="G916" s="12">
        <f t="shared" si="95"/>
        <v>2013</v>
      </c>
      <c r="H916" s="12">
        <f t="shared" si="96"/>
        <v>6</v>
      </c>
      <c r="I916" s="11">
        <f t="shared" si="97"/>
        <v>30</v>
      </c>
      <c r="J916" s="11"/>
    </row>
    <row r="917" spans="1:10" x14ac:dyDescent="0.25">
      <c r="A917" s="2">
        <v>41455</v>
      </c>
      <c r="B917" s="3">
        <v>385</v>
      </c>
      <c r="C917" s="4">
        <v>180950</v>
      </c>
      <c r="D917" s="3">
        <v>682</v>
      </c>
      <c r="E917" s="4">
        <v>199144</v>
      </c>
      <c r="G917" s="12">
        <f t="shared" si="95"/>
        <v>2013</v>
      </c>
      <c r="H917" s="12">
        <f t="shared" si="96"/>
        <v>6</v>
      </c>
      <c r="I917" s="11">
        <f t="shared" si="97"/>
        <v>30</v>
      </c>
      <c r="J917" s="11"/>
    </row>
    <row r="918" spans="1:10" x14ac:dyDescent="0.25">
      <c r="A918" s="2">
        <v>41456</v>
      </c>
      <c r="B918" s="3">
        <v>530</v>
      </c>
      <c r="C918" s="4">
        <v>249100</v>
      </c>
      <c r="D918" s="3">
        <v>310</v>
      </c>
      <c r="E918" s="4">
        <v>226300</v>
      </c>
      <c r="G918" s="12">
        <f t="shared" si="95"/>
        <v>2013</v>
      </c>
      <c r="H918" s="12">
        <f t="shared" si="96"/>
        <v>7</v>
      </c>
      <c r="I918" s="11">
        <f t="shared" si="97"/>
        <v>31</v>
      </c>
      <c r="J918" s="11"/>
    </row>
    <row r="919" spans="1:10" x14ac:dyDescent="0.25">
      <c r="A919" s="2">
        <v>41457</v>
      </c>
      <c r="B919" s="3">
        <v>406</v>
      </c>
      <c r="C919" s="4">
        <v>190820</v>
      </c>
      <c r="D919" s="3">
        <v>320</v>
      </c>
      <c r="E919" s="4">
        <v>233600</v>
      </c>
      <c r="G919" s="12">
        <f t="shared" si="95"/>
        <v>2013</v>
      </c>
      <c r="H919" s="12">
        <f t="shared" si="96"/>
        <v>7</v>
      </c>
      <c r="I919" s="11">
        <f t="shared" si="97"/>
        <v>31</v>
      </c>
      <c r="J919" s="11"/>
    </row>
    <row r="920" spans="1:10" x14ac:dyDescent="0.25">
      <c r="A920" s="2">
        <v>41458</v>
      </c>
      <c r="B920" s="3">
        <v>368</v>
      </c>
      <c r="C920" s="4">
        <v>172960</v>
      </c>
      <c r="D920" s="3">
        <v>362</v>
      </c>
      <c r="E920" s="4">
        <v>264260</v>
      </c>
      <c r="G920" s="12">
        <f t="shared" si="95"/>
        <v>2013</v>
      </c>
      <c r="H920" s="12">
        <f t="shared" si="96"/>
        <v>7</v>
      </c>
      <c r="I920" s="11">
        <f t="shared" si="97"/>
        <v>31</v>
      </c>
      <c r="J920" s="11"/>
    </row>
    <row r="921" spans="1:10" x14ac:dyDescent="0.25">
      <c r="A921" s="2">
        <v>41459</v>
      </c>
      <c r="B921" s="3">
        <v>449</v>
      </c>
      <c r="C921" s="4">
        <v>211030</v>
      </c>
      <c r="D921" s="3">
        <v>358</v>
      </c>
      <c r="E921" s="4">
        <v>261340</v>
      </c>
      <c r="G921" s="12">
        <f t="shared" si="95"/>
        <v>2013</v>
      </c>
      <c r="H921" s="12">
        <f t="shared" si="96"/>
        <v>7</v>
      </c>
      <c r="I921" s="11">
        <f t="shared" si="97"/>
        <v>31</v>
      </c>
      <c r="J921" s="11"/>
    </row>
    <row r="922" spans="1:10" x14ac:dyDescent="0.25">
      <c r="A922" s="2">
        <v>41460</v>
      </c>
      <c r="B922" s="3">
        <v>454</v>
      </c>
      <c r="C922" s="4">
        <v>213380</v>
      </c>
      <c r="D922" s="3">
        <v>242</v>
      </c>
      <c r="E922" s="4">
        <v>176660</v>
      </c>
      <c r="G922" s="12">
        <f t="shared" si="95"/>
        <v>2013</v>
      </c>
      <c r="H922" s="12">
        <f t="shared" si="96"/>
        <v>7</v>
      </c>
      <c r="I922" s="11">
        <f t="shared" si="97"/>
        <v>31</v>
      </c>
      <c r="J922" s="11"/>
    </row>
    <row r="923" spans="1:10" x14ac:dyDescent="0.25">
      <c r="A923" s="2">
        <v>41461</v>
      </c>
      <c r="B923" s="3">
        <v>630</v>
      </c>
      <c r="C923" s="4">
        <v>296100</v>
      </c>
      <c r="D923" s="3">
        <v>372</v>
      </c>
      <c r="E923" s="4">
        <v>271560</v>
      </c>
      <c r="G923" s="12">
        <f t="shared" si="95"/>
        <v>2013</v>
      </c>
      <c r="H923" s="12">
        <f t="shared" si="96"/>
        <v>7</v>
      </c>
      <c r="I923" s="11">
        <f t="shared" si="97"/>
        <v>31</v>
      </c>
      <c r="J923" s="11"/>
    </row>
    <row r="924" spans="1:10" x14ac:dyDescent="0.25">
      <c r="A924" s="2">
        <v>41462</v>
      </c>
      <c r="B924" s="3">
        <v>503</v>
      </c>
      <c r="C924" s="4">
        <v>236410</v>
      </c>
      <c r="D924" s="3">
        <v>317</v>
      </c>
      <c r="E924" s="4">
        <v>231410</v>
      </c>
      <c r="G924" s="12">
        <f t="shared" si="95"/>
        <v>2013</v>
      </c>
      <c r="H924" s="12">
        <f t="shared" si="96"/>
        <v>7</v>
      </c>
      <c r="I924" s="11">
        <f t="shared" si="97"/>
        <v>31</v>
      </c>
      <c r="J924" s="11"/>
    </row>
    <row r="925" spans="1:10" x14ac:dyDescent="0.25">
      <c r="A925" s="2">
        <v>41463</v>
      </c>
      <c r="B925" s="3">
        <v>486</v>
      </c>
      <c r="C925" s="4">
        <v>228420</v>
      </c>
      <c r="D925" s="3">
        <v>295</v>
      </c>
      <c r="E925" s="4">
        <v>215350</v>
      </c>
      <c r="G925" s="12">
        <f t="shared" si="95"/>
        <v>2013</v>
      </c>
      <c r="H925" s="12">
        <f t="shared" si="96"/>
        <v>7</v>
      </c>
      <c r="I925" s="11">
        <f t="shared" si="97"/>
        <v>31</v>
      </c>
      <c r="J925" s="11"/>
    </row>
    <row r="926" spans="1:10" x14ac:dyDescent="0.25">
      <c r="A926" s="2">
        <v>41464</v>
      </c>
      <c r="B926" s="3">
        <v>499</v>
      </c>
      <c r="C926" s="4">
        <v>234530</v>
      </c>
      <c r="D926" s="3">
        <v>305</v>
      </c>
      <c r="E926" s="4">
        <v>222650</v>
      </c>
      <c r="G926" s="12">
        <f t="shared" si="95"/>
        <v>2013</v>
      </c>
      <c r="H926" s="12">
        <f t="shared" si="96"/>
        <v>7</v>
      </c>
      <c r="I926" s="11">
        <f t="shared" si="97"/>
        <v>31</v>
      </c>
      <c r="J926" s="11"/>
    </row>
    <row r="927" spans="1:10" x14ac:dyDescent="0.25">
      <c r="A927" s="2">
        <v>41465</v>
      </c>
      <c r="B927" s="3">
        <v>519</v>
      </c>
      <c r="C927" s="4">
        <v>243930</v>
      </c>
      <c r="D927" s="3">
        <v>351</v>
      </c>
      <c r="E927" s="4">
        <v>256230</v>
      </c>
      <c r="G927" s="12">
        <f t="shared" si="95"/>
        <v>2013</v>
      </c>
      <c r="H927" s="12">
        <f t="shared" si="96"/>
        <v>7</v>
      </c>
      <c r="I927" s="11">
        <f t="shared" si="97"/>
        <v>31</v>
      </c>
      <c r="J927" s="11"/>
    </row>
    <row r="928" spans="1:10" x14ac:dyDescent="0.25">
      <c r="A928" s="2">
        <v>41466</v>
      </c>
      <c r="B928" s="3">
        <v>445</v>
      </c>
      <c r="C928" s="4">
        <v>209150</v>
      </c>
      <c r="D928" s="3">
        <v>319</v>
      </c>
      <c r="E928" s="4">
        <v>232870</v>
      </c>
      <c r="G928" s="12">
        <f t="shared" si="95"/>
        <v>2013</v>
      </c>
      <c r="H928" s="12">
        <f t="shared" si="96"/>
        <v>7</v>
      </c>
      <c r="I928" s="11">
        <f t="shared" si="97"/>
        <v>31</v>
      </c>
      <c r="J928" s="11"/>
    </row>
    <row r="929" spans="1:10" x14ac:dyDescent="0.25">
      <c r="A929" s="2">
        <v>41467</v>
      </c>
      <c r="B929" s="3">
        <v>540</v>
      </c>
      <c r="C929" s="4">
        <v>253800</v>
      </c>
      <c r="D929" s="3">
        <v>286</v>
      </c>
      <c r="E929" s="4">
        <v>208780</v>
      </c>
      <c r="G929" s="12">
        <f t="shared" si="95"/>
        <v>2013</v>
      </c>
      <c r="H929" s="12">
        <f t="shared" si="96"/>
        <v>7</v>
      </c>
      <c r="I929" s="11">
        <f t="shared" si="97"/>
        <v>31</v>
      </c>
      <c r="J929" s="11"/>
    </row>
    <row r="930" spans="1:10" x14ac:dyDescent="0.25">
      <c r="A930" s="2">
        <v>41468</v>
      </c>
      <c r="B930" s="3">
        <v>470</v>
      </c>
      <c r="C930" s="4">
        <v>220900</v>
      </c>
      <c r="D930" s="3">
        <v>336</v>
      </c>
      <c r="E930" s="4">
        <v>245280</v>
      </c>
      <c r="G930" s="12">
        <f t="shared" si="95"/>
        <v>2013</v>
      </c>
      <c r="H930" s="12">
        <f t="shared" si="96"/>
        <v>7</v>
      </c>
      <c r="I930" s="11">
        <f t="shared" si="97"/>
        <v>31</v>
      </c>
      <c r="J930" s="11"/>
    </row>
    <row r="931" spans="1:10" x14ac:dyDescent="0.25">
      <c r="A931" s="2">
        <v>41469</v>
      </c>
      <c r="B931" s="3">
        <v>486</v>
      </c>
      <c r="C931" s="4">
        <v>228420</v>
      </c>
      <c r="D931" s="3">
        <v>307</v>
      </c>
      <c r="E931" s="4">
        <v>224110</v>
      </c>
      <c r="G931" s="12">
        <f t="shared" si="95"/>
        <v>2013</v>
      </c>
      <c r="H931" s="12">
        <f t="shared" si="96"/>
        <v>7</v>
      </c>
      <c r="I931" s="11">
        <f t="shared" si="97"/>
        <v>31</v>
      </c>
      <c r="J931" s="11"/>
    </row>
    <row r="932" spans="1:10" x14ac:dyDescent="0.25">
      <c r="A932" s="2">
        <v>41470</v>
      </c>
      <c r="B932" s="3">
        <v>540</v>
      </c>
      <c r="C932" s="4">
        <v>253800</v>
      </c>
      <c r="D932" s="3">
        <v>271</v>
      </c>
      <c r="E932" s="4">
        <v>197830</v>
      </c>
      <c r="G932" s="12">
        <f t="shared" si="95"/>
        <v>2013</v>
      </c>
      <c r="H932" s="12">
        <f t="shared" si="96"/>
        <v>7</v>
      </c>
      <c r="I932" s="11">
        <f t="shared" si="97"/>
        <v>31</v>
      </c>
      <c r="J932" s="11"/>
    </row>
    <row r="933" spans="1:10" x14ac:dyDescent="0.25">
      <c r="A933" s="2">
        <v>41471</v>
      </c>
      <c r="B933" s="3">
        <v>474</v>
      </c>
      <c r="C933" s="4">
        <v>222780</v>
      </c>
      <c r="D933" s="3">
        <v>328</v>
      </c>
      <c r="E933" s="4">
        <v>239440</v>
      </c>
      <c r="G933" s="12">
        <f t="shared" si="95"/>
        <v>2013</v>
      </c>
      <c r="H933" s="12">
        <f t="shared" si="96"/>
        <v>7</v>
      </c>
      <c r="I933" s="11">
        <f t="shared" si="97"/>
        <v>31</v>
      </c>
      <c r="J933" s="11"/>
    </row>
    <row r="934" spans="1:10" x14ac:dyDescent="0.25">
      <c r="A934" s="2">
        <v>41472</v>
      </c>
      <c r="B934" s="3">
        <v>435</v>
      </c>
      <c r="C934" s="4">
        <v>204450</v>
      </c>
      <c r="D934" s="3">
        <v>326</v>
      </c>
      <c r="E934" s="4">
        <v>237980</v>
      </c>
      <c r="G934" s="12">
        <f t="shared" si="95"/>
        <v>2013</v>
      </c>
      <c r="H934" s="12">
        <f t="shared" si="96"/>
        <v>7</v>
      </c>
      <c r="I934" s="11">
        <f t="shared" si="97"/>
        <v>31</v>
      </c>
      <c r="J934" s="11"/>
    </row>
    <row r="935" spans="1:10" x14ac:dyDescent="0.25">
      <c r="A935" s="2">
        <v>41473</v>
      </c>
      <c r="B935" s="3">
        <v>489</v>
      </c>
      <c r="C935" s="4">
        <v>229830</v>
      </c>
      <c r="D935" s="3">
        <v>300</v>
      </c>
      <c r="E935" s="4">
        <v>219000</v>
      </c>
      <c r="G935" s="12">
        <f t="shared" si="95"/>
        <v>2013</v>
      </c>
      <c r="H935" s="12">
        <f t="shared" si="96"/>
        <v>7</v>
      </c>
      <c r="I935" s="11">
        <f t="shared" si="97"/>
        <v>31</v>
      </c>
      <c r="J935" s="11"/>
    </row>
    <row r="936" spans="1:10" x14ac:dyDescent="0.25">
      <c r="A936" s="2">
        <v>41474</v>
      </c>
      <c r="B936" s="3">
        <v>462</v>
      </c>
      <c r="C936" s="4">
        <v>217140</v>
      </c>
      <c r="D936" s="3">
        <v>298</v>
      </c>
      <c r="E936" s="4">
        <v>217540</v>
      </c>
      <c r="G936" s="12">
        <f t="shared" si="95"/>
        <v>2013</v>
      </c>
      <c r="H936" s="12">
        <f t="shared" si="96"/>
        <v>7</v>
      </c>
      <c r="I936" s="11">
        <f t="shared" si="97"/>
        <v>31</v>
      </c>
      <c r="J936" s="11"/>
    </row>
    <row r="937" spans="1:10" x14ac:dyDescent="0.25">
      <c r="A937" s="2">
        <v>41475</v>
      </c>
      <c r="B937" s="3">
        <v>423</v>
      </c>
      <c r="C937" s="4">
        <v>198810</v>
      </c>
      <c r="D937" s="3">
        <v>301</v>
      </c>
      <c r="E937" s="4">
        <v>219730</v>
      </c>
      <c r="G937" s="12">
        <f t="shared" si="95"/>
        <v>2013</v>
      </c>
      <c r="H937" s="12">
        <f t="shared" si="96"/>
        <v>7</v>
      </c>
      <c r="I937" s="11">
        <f t="shared" si="97"/>
        <v>31</v>
      </c>
      <c r="J937" s="11"/>
    </row>
    <row r="938" spans="1:10" x14ac:dyDescent="0.25">
      <c r="A938" s="2">
        <v>41476</v>
      </c>
      <c r="B938" s="3">
        <v>415</v>
      </c>
      <c r="C938" s="4">
        <v>195050</v>
      </c>
      <c r="D938" s="3">
        <v>307</v>
      </c>
      <c r="E938" s="4">
        <v>224110</v>
      </c>
      <c r="G938" s="12">
        <f t="shared" si="95"/>
        <v>2013</v>
      </c>
      <c r="H938" s="12">
        <f t="shared" si="96"/>
        <v>7</v>
      </c>
      <c r="I938" s="11">
        <f t="shared" si="97"/>
        <v>31</v>
      </c>
      <c r="J938" s="11"/>
    </row>
    <row r="939" spans="1:10" x14ac:dyDescent="0.25">
      <c r="A939" s="2">
        <v>41477</v>
      </c>
      <c r="B939" s="3">
        <v>307</v>
      </c>
      <c r="C939" s="4">
        <v>144290</v>
      </c>
      <c r="D939" s="3">
        <v>281</v>
      </c>
      <c r="E939" s="4">
        <v>205130</v>
      </c>
      <c r="G939" s="12">
        <f t="shared" si="95"/>
        <v>2013</v>
      </c>
      <c r="H939" s="12">
        <f t="shared" si="96"/>
        <v>7</v>
      </c>
      <c r="I939" s="11">
        <f t="shared" si="97"/>
        <v>31</v>
      </c>
      <c r="J939" s="11"/>
    </row>
    <row r="940" spans="1:10" x14ac:dyDescent="0.25">
      <c r="A940" s="2">
        <v>41478</v>
      </c>
      <c r="B940" s="3">
        <v>412</v>
      </c>
      <c r="C940" s="4">
        <v>193640</v>
      </c>
      <c r="D940" s="3">
        <v>287</v>
      </c>
      <c r="E940" s="4">
        <v>209510</v>
      </c>
      <c r="G940" s="12">
        <f t="shared" si="95"/>
        <v>2013</v>
      </c>
      <c r="H940" s="12">
        <f t="shared" si="96"/>
        <v>7</v>
      </c>
      <c r="I940" s="11">
        <f t="shared" si="97"/>
        <v>31</v>
      </c>
      <c r="J940" s="11"/>
    </row>
    <row r="941" spans="1:10" x14ac:dyDescent="0.25">
      <c r="A941" s="2">
        <v>41479</v>
      </c>
      <c r="B941" s="3">
        <v>446</v>
      </c>
      <c r="C941" s="4">
        <v>209620</v>
      </c>
      <c r="D941" s="3">
        <v>290</v>
      </c>
      <c r="E941" s="4">
        <v>211700</v>
      </c>
      <c r="G941" s="12">
        <f t="shared" si="95"/>
        <v>2013</v>
      </c>
      <c r="H941" s="12">
        <f t="shared" si="96"/>
        <v>7</v>
      </c>
      <c r="I941" s="11">
        <f t="shared" si="97"/>
        <v>31</v>
      </c>
      <c r="J941" s="11"/>
    </row>
    <row r="942" spans="1:10" x14ac:dyDescent="0.25">
      <c r="A942" s="2">
        <v>41480</v>
      </c>
      <c r="B942" s="3">
        <v>564</v>
      </c>
      <c r="C942" s="4">
        <v>265080</v>
      </c>
      <c r="D942" s="3">
        <v>345</v>
      </c>
      <c r="E942" s="4">
        <v>251850</v>
      </c>
      <c r="G942" s="12">
        <f t="shared" si="95"/>
        <v>2013</v>
      </c>
      <c r="H942" s="12">
        <f t="shared" si="96"/>
        <v>7</v>
      </c>
      <c r="I942" s="11">
        <f t="shared" si="97"/>
        <v>31</v>
      </c>
      <c r="J942" s="11"/>
    </row>
    <row r="943" spans="1:10" x14ac:dyDescent="0.25">
      <c r="A943" s="2">
        <v>41481</v>
      </c>
      <c r="B943" s="3">
        <v>518</v>
      </c>
      <c r="C943" s="4">
        <v>243460</v>
      </c>
      <c r="D943" s="3">
        <v>270</v>
      </c>
      <c r="E943" s="4">
        <v>197100</v>
      </c>
      <c r="G943" s="12">
        <f t="shared" si="95"/>
        <v>2013</v>
      </c>
      <c r="H943" s="12">
        <f t="shared" si="96"/>
        <v>7</v>
      </c>
      <c r="I943" s="11">
        <f t="shared" si="97"/>
        <v>31</v>
      </c>
      <c r="J943" s="11"/>
    </row>
    <row r="944" spans="1:10" x14ac:dyDescent="0.25">
      <c r="A944" s="2">
        <v>41482</v>
      </c>
      <c r="B944" s="3">
        <v>506</v>
      </c>
      <c r="C944" s="4">
        <v>237820</v>
      </c>
      <c r="D944" s="3">
        <v>315</v>
      </c>
      <c r="E944" s="4">
        <v>229950</v>
      </c>
      <c r="G944" s="12">
        <f t="shared" si="95"/>
        <v>2013</v>
      </c>
      <c r="H944" s="12">
        <f t="shared" si="96"/>
        <v>7</v>
      </c>
      <c r="I944" s="11">
        <f t="shared" si="97"/>
        <v>31</v>
      </c>
      <c r="J944" s="11"/>
    </row>
    <row r="945" spans="1:10" x14ac:dyDescent="0.25">
      <c r="A945" s="2">
        <v>41483</v>
      </c>
      <c r="B945" s="3">
        <v>475</v>
      </c>
      <c r="C945" s="4">
        <v>223250</v>
      </c>
      <c r="D945" s="3">
        <v>283</v>
      </c>
      <c r="E945" s="4">
        <v>206590</v>
      </c>
      <c r="G945" s="12">
        <f t="shared" si="95"/>
        <v>2013</v>
      </c>
      <c r="H945" s="12">
        <f t="shared" si="96"/>
        <v>7</v>
      </c>
      <c r="I945" s="11">
        <f t="shared" si="97"/>
        <v>31</v>
      </c>
      <c r="J945" s="11"/>
    </row>
    <row r="946" spans="1:10" x14ac:dyDescent="0.25">
      <c r="A946" s="2">
        <v>41484</v>
      </c>
      <c r="B946" s="3">
        <v>411</v>
      </c>
      <c r="C946" s="4">
        <v>193170</v>
      </c>
      <c r="D946" s="3">
        <v>334</v>
      </c>
      <c r="E946" s="4">
        <v>243820</v>
      </c>
      <c r="G946" s="12">
        <f t="shared" si="95"/>
        <v>2013</v>
      </c>
      <c r="H946" s="12">
        <f t="shared" si="96"/>
        <v>7</v>
      </c>
      <c r="I946" s="11">
        <f t="shared" si="97"/>
        <v>31</v>
      </c>
      <c r="J946" s="11"/>
    </row>
    <row r="947" spans="1:10" x14ac:dyDescent="0.25">
      <c r="A947" s="2">
        <v>41485</v>
      </c>
      <c r="B947" s="3">
        <v>405</v>
      </c>
      <c r="C947" s="4">
        <v>190350</v>
      </c>
      <c r="D947" s="3">
        <v>308</v>
      </c>
      <c r="E947" s="4">
        <v>224840</v>
      </c>
      <c r="G947" s="12">
        <f t="shared" si="95"/>
        <v>2013</v>
      </c>
      <c r="H947" s="12">
        <f t="shared" si="96"/>
        <v>7</v>
      </c>
      <c r="I947" s="11">
        <f t="shared" si="97"/>
        <v>31</v>
      </c>
      <c r="J947" s="11"/>
    </row>
    <row r="948" spans="1:10" x14ac:dyDescent="0.25">
      <c r="A948" s="2">
        <v>41486</v>
      </c>
      <c r="B948" s="3">
        <v>511</v>
      </c>
      <c r="C948" s="4">
        <v>240170</v>
      </c>
      <c r="D948" s="3">
        <v>279</v>
      </c>
      <c r="E948" s="4">
        <v>203670</v>
      </c>
      <c r="G948" s="12">
        <f t="shared" si="95"/>
        <v>2013</v>
      </c>
      <c r="H948" s="12">
        <f t="shared" si="96"/>
        <v>7</v>
      </c>
      <c r="I948" s="11">
        <f t="shared" si="97"/>
        <v>31</v>
      </c>
      <c r="J948" s="11"/>
    </row>
    <row r="949" spans="1:10" x14ac:dyDescent="0.25">
      <c r="A949" s="2">
        <v>41487</v>
      </c>
      <c r="B949" s="3">
        <v>653</v>
      </c>
      <c r="C949" s="4">
        <v>306910</v>
      </c>
      <c r="D949" s="3">
        <v>274</v>
      </c>
      <c r="E949" s="4">
        <v>200020</v>
      </c>
      <c r="G949" s="12">
        <f t="shared" si="95"/>
        <v>2013</v>
      </c>
      <c r="H949" s="12">
        <f t="shared" si="96"/>
        <v>8</v>
      </c>
      <c r="I949" s="11">
        <f t="shared" si="97"/>
        <v>32</v>
      </c>
      <c r="J949" s="11"/>
    </row>
    <row r="950" spans="1:10" x14ac:dyDescent="0.25">
      <c r="A950" s="2">
        <v>41488</v>
      </c>
      <c r="B950" s="3">
        <v>674</v>
      </c>
      <c r="C950" s="4">
        <v>316780</v>
      </c>
      <c r="D950" s="3">
        <v>306</v>
      </c>
      <c r="E950" s="4">
        <v>223380</v>
      </c>
      <c r="G950" s="12">
        <f t="shared" si="95"/>
        <v>2013</v>
      </c>
      <c r="H950" s="12">
        <f t="shared" si="96"/>
        <v>8</v>
      </c>
      <c r="I950" s="11">
        <f t="shared" si="97"/>
        <v>32</v>
      </c>
      <c r="J950" s="11"/>
    </row>
    <row r="951" spans="1:10" x14ac:dyDescent="0.25">
      <c r="A951" s="2">
        <v>41489</v>
      </c>
      <c r="B951" s="3">
        <v>722</v>
      </c>
      <c r="C951" s="4">
        <v>339340</v>
      </c>
      <c r="D951" s="3">
        <v>324</v>
      </c>
      <c r="E951" s="4">
        <v>236520</v>
      </c>
      <c r="G951" s="12">
        <f t="shared" si="95"/>
        <v>2013</v>
      </c>
      <c r="H951" s="12">
        <f t="shared" si="96"/>
        <v>8</v>
      </c>
      <c r="I951" s="11">
        <f t="shared" si="97"/>
        <v>32</v>
      </c>
      <c r="J951" s="11"/>
    </row>
    <row r="952" spans="1:10" x14ac:dyDescent="0.25">
      <c r="A952" s="2">
        <v>41490</v>
      </c>
      <c r="B952" s="3">
        <v>776</v>
      </c>
      <c r="C952" s="4">
        <v>364720</v>
      </c>
      <c r="D952" s="3">
        <v>322</v>
      </c>
      <c r="E952" s="4">
        <v>235060</v>
      </c>
      <c r="G952" s="12">
        <f t="shared" si="95"/>
        <v>2013</v>
      </c>
      <c r="H952" s="12">
        <f t="shared" si="96"/>
        <v>8</v>
      </c>
      <c r="I952" s="11">
        <f t="shared" si="97"/>
        <v>32</v>
      </c>
      <c r="J952" s="11"/>
    </row>
    <row r="953" spans="1:10" x14ac:dyDescent="0.25">
      <c r="A953" s="2">
        <v>41491</v>
      </c>
      <c r="B953" s="3">
        <v>620</v>
      </c>
      <c r="C953" s="4">
        <v>291400</v>
      </c>
      <c r="D953" s="3">
        <v>295</v>
      </c>
      <c r="E953" s="4">
        <v>215350</v>
      </c>
      <c r="G953" s="12">
        <f t="shared" si="95"/>
        <v>2013</v>
      </c>
      <c r="H953" s="12">
        <f t="shared" si="96"/>
        <v>8</v>
      </c>
      <c r="I953" s="11">
        <f t="shared" si="97"/>
        <v>32</v>
      </c>
      <c r="J953" s="11"/>
    </row>
    <row r="954" spans="1:10" x14ac:dyDescent="0.25">
      <c r="A954" s="2">
        <v>41492</v>
      </c>
      <c r="B954" s="3">
        <v>673</v>
      </c>
      <c r="C954" s="4">
        <v>316310</v>
      </c>
      <c r="D954" s="3">
        <v>287</v>
      </c>
      <c r="E954" s="4">
        <v>209510</v>
      </c>
      <c r="G954" s="12">
        <f t="shared" si="95"/>
        <v>2013</v>
      </c>
      <c r="H954" s="12">
        <f t="shared" si="96"/>
        <v>8</v>
      </c>
      <c r="I954" s="11">
        <f t="shared" si="97"/>
        <v>32</v>
      </c>
      <c r="J954" s="11"/>
    </row>
    <row r="955" spans="1:10" x14ac:dyDescent="0.25">
      <c r="A955" s="2">
        <v>41493</v>
      </c>
      <c r="B955" s="3">
        <v>863</v>
      </c>
      <c r="C955" s="4">
        <v>405610</v>
      </c>
      <c r="D955" s="3">
        <v>271</v>
      </c>
      <c r="E955" s="4">
        <v>197830</v>
      </c>
      <c r="G955" s="12">
        <f t="shared" si="95"/>
        <v>2013</v>
      </c>
      <c r="H955" s="12">
        <f t="shared" si="96"/>
        <v>8</v>
      </c>
      <c r="I955" s="11">
        <f t="shared" si="97"/>
        <v>32</v>
      </c>
      <c r="J955" s="11"/>
    </row>
    <row r="956" spans="1:10" x14ac:dyDescent="0.25">
      <c r="A956" s="2">
        <v>41494</v>
      </c>
      <c r="B956" s="3">
        <v>906</v>
      </c>
      <c r="C956" s="4">
        <v>425820</v>
      </c>
      <c r="D956" s="3">
        <v>323</v>
      </c>
      <c r="E956" s="4">
        <v>235790</v>
      </c>
      <c r="G956" s="12">
        <f t="shared" si="95"/>
        <v>2013</v>
      </c>
      <c r="H956" s="12">
        <f t="shared" si="96"/>
        <v>8</v>
      </c>
      <c r="I956" s="11">
        <f t="shared" si="97"/>
        <v>32</v>
      </c>
      <c r="J956" s="11"/>
    </row>
    <row r="957" spans="1:10" x14ac:dyDescent="0.25">
      <c r="A957" s="2">
        <v>41495</v>
      </c>
      <c r="B957" s="3">
        <v>761</v>
      </c>
      <c r="C957" s="4">
        <v>357670</v>
      </c>
      <c r="D957" s="3">
        <v>326</v>
      </c>
      <c r="E957" s="4">
        <v>237980</v>
      </c>
      <c r="G957" s="12">
        <f t="shared" si="95"/>
        <v>2013</v>
      </c>
      <c r="H957" s="12">
        <f t="shared" si="96"/>
        <v>8</v>
      </c>
      <c r="I957" s="11">
        <f t="shared" si="97"/>
        <v>32</v>
      </c>
      <c r="J957" s="11"/>
    </row>
    <row r="958" spans="1:10" x14ac:dyDescent="0.25">
      <c r="A958" s="2">
        <v>41496</v>
      </c>
      <c r="B958" s="3">
        <v>626</v>
      </c>
      <c r="C958" s="4">
        <v>294220</v>
      </c>
      <c r="D958" s="3">
        <v>314</v>
      </c>
      <c r="E958" s="4">
        <v>229220</v>
      </c>
      <c r="G958" s="12">
        <f t="shared" si="95"/>
        <v>2013</v>
      </c>
      <c r="H958" s="12">
        <f t="shared" si="96"/>
        <v>8</v>
      </c>
      <c r="I958" s="11">
        <f t="shared" si="97"/>
        <v>32</v>
      </c>
      <c r="J958" s="11"/>
    </row>
    <row r="959" spans="1:10" x14ac:dyDescent="0.25">
      <c r="A959" s="2">
        <v>41497</v>
      </c>
      <c r="B959" s="3">
        <v>808</v>
      </c>
      <c r="C959" s="4">
        <v>379760</v>
      </c>
      <c r="D959" s="3">
        <v>258</v>
      </c>
      <c r="E959" s="4">
        <v>188340</v>
      </c>
      <c r="G959" s="12">
        <f t="shared" si="95"/>
        <v>2013</v>
      </c>
      <c r="H959" s="12">
        <f t="shared" si="96"/>
        <v>8</v>
      </c>
      <c r="I959" s="11">
        <f t="shared" si="97"/>
        <v>32</v>
      </c>
      <c r="J959" s="11"/>
    </row>
    <row r="960" spans="1:10" x14ac:dyDescent="0.25">
      <c r="A960" s="2">
        <v>41498</v>
      </c>
      <c r="B960" s="3">
        <v>615</v>
      </c>
      <c r="C960" s="4">
        <v>289050</v>
      </c>
      <c r="D960" s="3">
        <v>279</v>
      </c>
      <c r="E960" s="4">
        <v>203670</v>
      </c>
      <c r="G960" s="12">
        <f t="shared" si="95"/>
        <v>2013</v>
      </c>
      <c r="H960" s="12">
        <f t="shared" si="96"/>
        <v>8</v>
      </c>
      <c r="I960" s="11">
        <f t="shared" si="97"/>
        <v>32</v>
      </c>
      <c r="J960" s="11"/>
    </row>
    <row r="961" spans="1:10" x14ac:dyDescent="0.25">
      <c r="A961" s="2">
        <v>41499</v>
      </c>
      <c r="B961" s="3">
        <v>841</v>
      </c>
      <c r="C961" s="4">
        <v>395270</v>
      </c>
      <c r="D961" s="3">
        <v>279</v>
      </c>
      <c r="E961" s="4">
        <v>203670</v>
      </c>
      <c r="G961" s="12">
        <f t="shared" si="95"/>
        <v>2013</v>
      </c>
      <c r="H961" s="12">
        <f t="shared" si="96"/>
        <v>8</v>
      </c>
      <c r="I961" s="11">
        <f t="shared" si="97"/>
        <v>32</v>
      </c>
      <c r="J961" s="11"/>
    </row>
    <row r="962" spans="1:10" x14ac:dyDescent="0.25">
      <c r="A962" s="2">
        <v>41500</v>
      </c>
      <c r="B962" s="3">
        <v>742</v>
      </c>
      <c r="C962" s="4">
        <v>348740</v>
      </c>
      <c r="D962" s="3">
        <v>335</v>
      </c>
      <c r="E962" s="4">
        <v>244550</v>
      </c>
      <c r="G962" s="12">
        <f t="shared" si="95"/>
        <v>2013</v>
      </c>
      <c r="H962" s="12">
        <f t="shared" si="96"/>
        <v>8</v>
      </c>
      <c r="I962" s="11">
        <f t="shared" si="97"/>
        <v>32</v>
      </c>
      <c r="J962" s="11"/>
    </row>
    <row r="963" spans="1:10" x14ac:dyDescent="0.25">
      <c r="A963" s="2">
        <v>41501</v>
      </c>
      <c r="B963" s="3">
        <v>580</v>
      </c>
      <c r="C963" s="4">
        <v>272600</v>
      </c>
      <c r="D963" s="3">
        <v>284</v>
      </c>
      <c r="E963" s="4">
        <v>207320</v>
      </c>
      <c r="G963" s="12">
        <f t="shared" si="95"/>
        <v>2013</v>
      </c>
      <c r="H963" s="12">
        <f t="shared" si="96"/>
        <v>8</v>
      </c>
      <c r="I963" s="11">
        <f t="shared" si="97"/>
        <v>32</v>
      </c>
      <c r="J963" s="11"/>
    </row>
    <row r="964" spans="1:10" x14ac:dyDescent="0.25">
      <c r="A964" s="2">
        <v>41502</v>
      </c>
      <c r="B964" s="3">
        <v>758</v>
      </c>
      <c r="C964" s="4">
        <v>356260</v>
      </c>
      <c r="D964" s="3">
        <v>266</v>
      </c>
      <c r="E964" s="4">
        <v>194180</v>
      </c>
      <c r="G964" s="12">
        <f t="shared" si="95"/>
        <v>2013</v>
      </c>
      <c r="H964" s="12">
        <f t="shared" si="96"/>
        <v>8</v>
      </c>
      <c r="I964" s="11">
        <f t="shared" si="97"/>
        <v>32</v>
      </c>
      <c r="J964" s="11"/>
    </row>
    <row r="965" spans="1:10" x14ac:dyDescent="0.25">
      <c r="A965" s="2">
        <v>41503</v>
      </c>
      <c r="B965" s="3">
        <v>759</v>
      </c>
      <c r="C965" s="4">
        <v>356730</v>
      </c>
      <c r="D965" s="3">
        <v>333</v>
      </c>
      <c r="E965" s="4">
        <v>243090</v>
      </c>
      <c r="G965" s="12">
        <f t="shared" si="95"/>
        <v>2013</v>
      </c>
      <c r="H965" s="12">
        <f t="shared" si="96"/>
        <v>8</v>
      </c>
      <c r="I965" s="11">
        <f t="shared" si="97"/>
        <v>32</v>
      </c>
      <c r="J965" s="11"/>
    </row>
    <row r="966" spans="1:10" x14ac:dyDescent="0.25">
      <c r="A966" s="2">
        <v>41504</v>
      </c>
      <c r="B966" s="3">
        <v>754</v>
      </c>
      <c r="C966" s="4">
        <v>354380</v>
      </c>
      <c r="D966" s="3">
        <v>331</v>
      </c>
      <c r="E966" s="4">
        <v>241630</v>
      </c>
      <c r="G966" s="12">
        <f t="shared" ref="G966:G1029" si="98">+YEAR(A966)</f>
        <v>2013</v>
      </c>
      <c r="H966" s="12">
        <f t="shared" ref="H966:H1029" si="99">+MONTH(A966)</f>
        <v>8</v>
      </c>
      <c r="I966" s="11">
        <f t="shared" si="97"/>
        <v>32</v>
      </c>
      <c r="J966" s="11"/>
    </row>
    <row r="967" spans="1:10" x14ac:dyDescent="0.25">
      <c r="A967" s="2">
        <v>41505</v>
      </c>
      <c r="B967" s="3">
        <v>712</v>
      </c>
      <c r="C967" s="4">
        <v>334640</v>
      </c>
      <c r="D967" s="3">
        <v>268</v>
      </c>
      <c r="E967" s="4">
        <v>195640</v>
      </c>
      <c r="G967" s="12">
        <f t="shared" si="98"/>
        <v>2013</v>
      </c>
      <c r="H967" s="12">
        <f t="shared" si="99"/>
        <v>8</v>
      </c>
      <c r="I967" s="11">
        <f t="shared" ref="I967:I1030" si="100">+H967+(G967-2011)*12</f>
        <v>32</v>
      </c>
      <c r="J967" s="11"/>
    </row>
    <row r="968" spans="1:10" x14ac:dyDescent="0.25">
      <c r="A968" s="2">
        <v>41506</v>
      </c>
      <c r="B968" s="3">
        <v>697</v>
      </c>
      <c r="C968" s="4">
        <v>327590</v>
      </c>
      <c r="D968" s="3">
        <v>300</v>
      </c>
      <c r="E968" s="4">
        <v>219000</v>
      </c>
      <c r="G968" s="12">
        <f t="shared" si="98"/>
        <v>2013</v>
      </c>
      <c r="H968" s="12">
        <f t="shared" si="99"/>
        <v>8</v>
      </c>
      <c r="I968" s="11">
        <f t="shared" si="100"/>
        <v>32</v>
      </c>
      <c r="J968" s="11"/>
    </row>
    <row r="969" spans="1:10" x14ac:dyDescent="0.25">
      <c r="A969" s="2">
        <v>41507</v>
      </c>
      <c r="B969" s="3">
        <v>681</v>
      </c>
      <c r="C969" s="4">
        <v>320070</v>
      </c>
      <c r="D969" s="3">
        <v>341</v>
      </c>
      <c r="E969" s="4">
        <v>248930</v>
      </c>
      <c r="G969" s="12">
        <f t="shared" si="98"/>
        <v>2013</v>
      </c>
      <c r="H969" s="12">
        <f t="shared" si="99"/>
        <v>8</v>
      </c>
      <c r="I969" s="11">
        <f t="shared" si="100"/>
        <v>32</v>
      </c>
      <c r="J969" s="11"/>
    </row>
    <row r="970" spans="1:10" x14ac:dyDescent="0.25">
      <c r="A970" s="2">
        <v>41508</v>
      </c>
      <c r="B970" s="3">
        <v>714</v>
      </c>
      <c r="C970" s="4">
        <v>335580</v>
      </c>
      <c r="D970" s="3">
        <v>294</v>
      </c>
      <c r="E970" s="4">
        <v>214620</v>
      </c>
      <c r="G970" s="12">
        <f t="shared" si="98"/>
        <v>2013</v>
      </c>
      <c r="H970" s="12">
        <f t="shared" si="99"/>
        <v>8</v>
      </c>
      <c r="I970" s="11">
        <f t="shared" si="100"/>
        <v>32</v>
      </c>
      <c r="J970" s="11"/>
    </row>
    <row r="971" spans="1:10" x14ac:dyDescent="0.25">
      <c r="A971" s="2">
        <v>41509</v>
      </c>
      <c r="B971" s="3">
        <v>690</v>
      </c>
      <c r="C971" s="4">
        <v>324300</v>
      </c>
      <c r="D971" s="3">
        <v>271</v>
      </c>
      <c r="E971" s="4">
        <v>197830</v>
      </c>
      <c r="G971" s="12">
        <f t="shared" si="98"/>
        <v>2013</v>
      </c>
      <c r="H971" s="12">
        <f t="shared" si="99"/>
        <v>8</v>
      </c>
      <c r="I971" s="11">
        <f t="shared" si="100"/>
        <v>32</v>
      </c>
      <c r="J971" s="11"/>
    </row>
    <row r="972" spans="1:10" x14ac:dyDescent="0.25">
      <c r="A972" s="2">
        <v>41510</v>
      </c>
      <c r="B972" s="3">
        <v>747</v>
      </c>
      <c r="C972" s="4">
        <v>351090</v>
      </c>
      <c r="D972" s="3">
        <v>308</v>
      </c>
      <c r="E972" s="4">
        <v>224840</v>
      </c>
      <c r="G972" s="12">
        <f t="shared" si="98"/>
        <v>2013</v>
      </c>
      <c r="H972" s="12">
        <f t="shared" si="99"/>
        <v>8</v>
      </c>
      <c r="I972" s="11">
        <f t="shared" si="100"/>
        <v>32</v>
      </c>
      <c r="J972" s="11"/>
    </row>
    <row r="973" spans="1:10" x14ac:dyDescent="0.25">
      <c r="A973" s="2">
        <v>41511</v>
      </c>
      <c r="B973" s="3">
        <v>730</v>
      </c>
      <c r="C973" s="4">
        <v>343100</v>
      </c>
      <c r="D973" s="3">
        <v>264</v>
      </c>
      <c r="E973" s="4">
        <v>192720</v>
      </c>
      <c r="G973" s="12">
        <f t="shared" si="98"/>
        <v>2013</v>
      </c>
      <c r="H973" s="12">
        <f t="shared" si="99"/>
        <v>8</v>
      </c>
      <c r="I973" s="11">
        <f t="shared" si="100"/>
        <v>32</v>
      </c>
      <c r="J973" s="11"/>
    </row>
    <row r="974" spans="1:10" x14ac:dyDescent="0.25">
      <c r="A974" s="2">
        <v>41512</v>
      </c>
      <c r="B974" s="3">
        <v>679</v>
      </c>
      <c r="C974" s="4">
        <v>319130</v>
      </c>
      <c r="D974" s="3">
        <v>279</v>
      </c>
      <c r="E974" s="4">
        <v>203670</v>
      </c>
      <c r="G974" s="12">
        <f t="shared" si="98"/>
        <v>2013</v>
      </c>
      <c r="H974" s="12">
        <f t="shared" si="99"/>
        <v>8</v>
      </c>
      <c r="I974" s="11">
        <f t="shared" si="100"/>
        <v>32</v>
      </c>
      <c r="J974" s="11"/>
    </row>
    <row r="975" spans="1:10" x14ac:dyDescent="0.25">
      <c r="A975" s="2">
        <v>41513</v>
      </c>
      <c r="B975" s="3">
        <v>750</v>
      </c>
      <c r="C975" s="4">
        <v>352500</v>
      </c>
      <c r="D975" s="3">
        <v>330</v>
      </c>
      <c r="E975" s="4">
        <v>240900</v>
      </c>
      <c r="G975" s="12">
        <f t="shared" si="98"/>
        <v>2013</v>
      </c>
      <c r="H975" s="12">
        <f t="shared" si="99"/>
        <v>8</v>
      </c>
      <c r="I975" s="11">
        <f t="shared" si="100"/>
        <v>32</v>
      </c>
      <c r="J975" s="11"/>
    </row>
    <row r="976" spans="1:10" x14ac:dyDescent="0.25">
      <c r="A976" s="2">
        <v>41514</v>
      </c>
      <c r="B976" s="3">
        <v>801</v>
      </c>
      <c r="C976" s="4">
        <v>376470</v>
      </c>
      <c r="D976" s="3">
        <v>240</v>
      </c>
      <c r="E976" s="4">
        <v>175200</v>
      </c>
      <c r="G976" s="12">
        <f t="shared" si="98"/>
        <v>2013</v>
      </c>
      <c r="H976" s="12">
        <f t="shared" si="99"/>
        <v>8</v>
      </c>
      <c r="I976" s="11">
        <f t="shared" si="100"/>
        <v>32</v>
      </c>
      <c r="J976" s="11"/>
    </row>
    <row r="977" spans="1:10" x14ac:dyDescent="0.25">
      <c r="A977" s="2">
        <v>41515</v>
      </c>
      <c r="B977" s="3">
        <v>549</v>
      </c>
      <c r="C977" s="4">
        <v>258030</v>
      </c>
      <c r="D977" s="3">
        <v>306</v>
      </c>
      <c r="E977" s="4">
        <v>223380</v>
      </c>
      <c r="G977" s="12">
        <f t="shared" si="98"/>
        <v>2013</v>
      </c>
      <c r="H977" s="12">
        <f t="shared" si="99"/>
        <v>8</v>
      </c>
      <c r="I977" s="11">
        <f t="shared" si="100"/>
        <v>32</v>
      </c>
      <c r="J977" s="11"/>
    </row>
    <row r="978" spans="1:10" x14ac:dyDescent="0.25">
      <c r="A978" s="2">
        <v>41516</v>
      </c>
      <c r="B978" s="3">
        <v>758</v>
      </c>
      <c r="C978" s="4">
        <v>356260</v>
      </c>
      <c r="D978" s="3">
        <v>308</v>
      </c>
      <c r="E978" s="4">
        <v>224840</v>
      </c>
      <c r="G978" s="12">
        <f t="shared" si="98"/>
        <v>2013</v>
      </c>
      <c r="H978" s="12">
        <f t="shared" si="99"/>
        <v>8</v>
      </c>
      <c r="I978" s="11">
        <f t="shared" si="100"/>
        <v>32</v>
      </c>
      <c r="J978" s="11"/>
    </row>
    <row r="979" spans="1:10" x14ac:dyDescent="0.25">
      <c r="A979" s="2">
        <v>41517</v>
      </c>
      <c r="B979" s="3">
        <v>678</v>
      </c>
      <c r="C979" s="4">
        <v>318660</v>
      </c>
      <c r="D979" s="3">
        <v>319</v>
      </c>
      <c r="E979" s="4">
        <v>232870</v>
      </c>
      <c r="G979" s="12">
        <f t="shared" si="98"/>
        <v>2013</v>
      </c>
      <c r="H979" s="12">
        <f t="shared" si="99"/>
        <v>8</v>
      </c>
      <c r="I979" s="11">
        <f t="shared" si="100"/>
        <v>32</v>
      </c>
      <c r="J979" s="11"/>
    </row>
    <row r="980" spans="1:10" x14ac:dyDescent="0.25">
      <c r="A980" s="2">
        <v>41518</v>
      </c>
      <c r="B980" s="3">
        <v>751</v>
      </c>
      <c r="C980" s="4">
        <v>352970</v>
      </c>
      <c r="D980" s="3">
        <v>346</v>
      </c>
      <c r="E980" s="4">
        <v>252580</v>
      </c>
      <c r="G980" s="12">
        <f t="shared" si="98"/>
        <v>2013</v>
      </c>
      <c r="H980" s="12">
        <f t="shared" si="99"/>
        <v>9</v>
      </c>
      <c r="I980" s="11">
        <f t="shared" si="100"/>
        <v>33</v>
      </c>
      <c r="J980" s="11"/>
    </row>
    <row r="981" spans="1:10" x14ac:dyDescent="0.25">
      <c r="A981" s="2">
        <v>41519</v>
      </c>
      <c r="B981" s="3">
        <v>699</v>
      </c>
      <c r="C981" s="4">
        <v>328530</v>
      </c>
      <c r="D981" s="3">
        <v>363</v>
      </c>
      <c r="E981" s="4">
        <v>264990</v>
      </c>
      <c r="G981" s="12">
        <f t="shared" si="98"/>
        <v>2013</v>
      </c>
      <c r="H981" s="12">
        <f t="shared" si="99"/>
        <v>9</v>
      </c>
      <c r="I981" s="11">
        <f t="shared" si="100"/>
        <v>33</v>
      </c>
      <c r="J981" s="11"/>
    </row>
    <row r="982" spans="1:10" x14ac:dyDescent="0.25">
      <c r="A982" s="2">
        <v>41520</v>
      </c>
      <c r="B982" s="3">
        <v>667</v>
      </c>
      <c r="C982" s="4">
        <v>313490</v>
      </c>
      <c r="D982" s="3">
        <v>325</v>
      </c>
      <c r="E982" s="4">
        <v>237250</v>
      </c>
      <c r="G982" s="12">
        <f t="shared" si="98"/>
        <v>2013</v>
      </c>
      <c r="H982" s="12">
        <f t="shared" si="99"/>
        <v>9</v>
      </c>
      <c r="I982" s="11">
        <f t="shared" si="100"/>
        <v>33</v>
      </c>
      <c r="J982" s="11"/>
    </row>
    <row r="983" spans="1:10" x14ac:dyDescent="0.25">
      <c r="A983" s="2">
        <v>41521</v>
      </c>
      <c r="B983" s="3">
        <v>625</v>
      </c>
      <c r="C983" s="4">
        <v>293750</v>
      </c>
      <c r="D983" s="3">
        <v>292</v>
      </c>
      <c r="E983" s="4">
        <v>213160</v>
      </c>
      <c r="G983" s="12">
        <f t="shared" si="98"/>
        <v>2013</v>
      </c>
      <c r="H983" s="12">
        <f t="shared" si="99"/>
        <v>9</v>
      </c>
      <c r="I983" s="11">
        <f t="shared" si="100"/>
        <v>33</v>
      </c>
      <c r="J983" s="11"/>
    </row>
    <row r="984" spans="1:10" x14ac:dyDescent="0.25">
      <c r="A984" s="2">
        <v>41522</v>
      </c>
      <c r="B984" s="3">
        <v>782</v>
      </c>
      <c r="C984" s="4">
        <v>367540</v>
      </c>
      <c r="D984" s="3">
        <v>311</v>
      </c>
      <c r="E984" s="4">
        <v>227030</v>
      </c>
      <c r="G984" s="12">
        <f t="shared" si="98"/>
        <v>2013</v>
      </c>
      <c r="H984" s="12">
        <f t="shared" si="99"/>
        <v>9</v>
      </c>
      <c r="I984" s="11">
        <f t="shared" si="100"/>
        <v>33</v>
      </c>
      <c r="J984" s="11"/>
    </row>
    <row r="985" spans="1:10" x14ac:dyDescent="0.25">
      <c r="A985" s="2">
        <v>41523</v>
      </c>
      <c r="B985" s="3">
        <v>754</v>
      </c>
      <c r="C985" s="4">
        <v>354380</v>
      </c>
      <c r="D985" s="3">
        <v>300</v>
      </c>
      <c r="E985" s="4">
        <v>219000</v>
      </c>
      <c r="G985" s="12">
        <f t="shared" si="98"/>
        <v>2013</v>
      </c>
      <c r="H985" s="12">
        <f t="shared" si="99"/>
        <v>9</v>
      </c>
      <c r="I985" s="11">
        <f t="shared" si="100"/>
        <v>33</v>
      </c>
      <c r="J985" s="11"/>
    </row>
    <row r="986" spans="1:10" x14ac:dyDescent="0.25">
      <c r="A986" s="2">
        <v>41524</v>
      </c>
      <c r="B986" s="3">
        <v>768</v>
      </c>
      <c r="C986" s="4">
        <v>360960</v>
      </c>
      <c r="D986" s="3">
        <v>314</v>
      </c>
      <c r="E986" s="4">
        <v>229220</v>
      </c>
      <c r="G986" s="12">
        <f t="shared" si="98"/>
        <v>2013</v>
      </c>
      <c r="H986" s="12">
        <f t="shared" si="99"/>
        <v>9</v>
      </c>
      <c r="I986" s="11">
        <f t="shared" si="100"/>
        <v>33</v>
      </c>
      <c r="J986" s="11"/>
    </row>
    <row r="987" spans="1:10" x14ac:dyDescent="0.25">
      <c r="A987" s="2">
        <v>41525</v>
      </c>
      <c r="B987" s="3">
        <v>787</v>
      </c>
      <c r="C987" s="4">
        <v>369890</v>
      </c>
      <c r="D987" s="3">
        <v>284</v>
      </c>
      <c r="E987" s="4">
        <v>207320</v>
      </c>
      <c r="G987" s="12">
        <f t="shared" si="98"/>
        <v>2013</v>
      </c>
      <c r="H987" s="12">
        <f t="shared" si="99"/>
        <v>9</v>
      </c>
      <c r="I987" s="11">
        <f t="shared" si="100"/>
        <v>33</v>
      </c>
      <c r="J987" s="11"/>
    </row>
    <row r="988" spans="1:10" x14ac:dyDescent="0.25">
      <c r="A988" s="2">
        <v>41526</v>
      </c>
      <c r="B988" s="3">
        <v>747</v>
      </c>
      <c r="C988" s="4">
        <v>351090</v>
      </c>
      <c r="D988" s="3">
        <v>307</v>
      </c>
      <c r="E988" s="4">
        <v>224110</v>
      </c>
      <c r="G988" s="12">
        <f t="shared" si="98"/>
        <v>2013</v>
      </c>
      <c r="H988" s="12">
        <f t="shared" si="99"/>
        <v>9</v>
      </c>
      <c r="I988" s="11">
        <f t="shared" si="100"/>
        <v>33</v>
      </c>
      <c r="J988" s="11"/>
    </row>
    <row r="989" spans="1:10" x14ac:dyDescent="0.25">
      <c r="A989" s="2">
        <v>41527</v>
      </c>
      <c r="B989" s="3">
        <v>629</v>
      </c>
      <c r="C989" s="4">
        <v>295630</v>
      </c>
      <c r="D989" s="3">
        <v>343</v>
      </c>
      <c r="E989" s="4">
        <v>250390</v>
      </c>
      <c r="G989" s="12">
        <f t="shared" si="98"/>
        <v>2013</v>
      </c>
      <c r="H989" s="12">
        <f t="shared" si="99"/>
        <v>9</v>
      </c>
      <c r="I989" s="11">
        <f t="shared" si="100"/>
        <v>33</v>
      </c>
      <c r="J989" s="11"/>
    </row>
    <row r="990" spans="1:10" x14ac:dyDescent="0.25">
      <c r="A990" s="2">
        <v>41528</v>
      </c>
      <c r="B990" s="3">
        <v>740</v>
      </c>
      <c r="C990" s="4">
        <v>347800</v>
      </c>
      <c r="D990" s="3">
        <v>298</v>
      </c>
      <c r="E990" s="4">
        <v>217540</v>
      </c>
      <c r="G990" s="12">
        <f t="shared" si="98"/>
        <v>2013</v>
      </c>
      <c r="H990" s="12">
        <f t="shared" si="99"/>
        <v>9</v>
      </c>
      <c r="I990" s="11">
        <f t="shared" si="100"/>
        <v>33</v>
      </c>
      <c r="J990" s="11"/>
    </row>
    <row r="991" spans="1:10" x14ac:dyDescent="0.25">
      <c r="A991" s="2">
        <v>41529</v>
      </c>
      <c r="B991" s="3">
        <v>783</v>
      </c>
      <c r="C991" s="4">
        <v>368010</v>
      </c>
      <c r="D991" s="3">
        <v>361</v>
      </c>
      <c r="E991" s="4">
        <v>263530</v>
      </c>
      <c r="G991" s="12">
        <f t="shared" si="98"/>
        <v>2013</v>
      </c>
      <c r="H991" s="12">
        <f t="shared" si="99"/>
        <v>9</v>
      </c>
      <c r="I991" s="11">
        <f t="shared" si="100"/>
        <v>33</v>
      </c>
      <c r="J991" s="11"/>
    </row>
    <row r="992" spans="1:10" x14ac:dyDescent="0.25">
      <c r="A992" s="2">
        <v>41530</v>
      </c>
      <c r="B992" s="3">
        <v>644</v>
      </c>
      <c r="C992" s="4">
        <v>302680</v>
      </c>
      <c r="D992" s="3">
        <v>254</v>
      </c>
      <c r="E992" s="4">
        <v>185420</v>
      </c>
      <c r="G992" s="12">
        <f t="shared" si="98"/>
        <v>2013</v>
      </c>
      <c r="H992" s="12">
        <f t="shared" si="99"/>
        <v>9</v>
      </c>
      <c r="I992" s="11">
        <f t="shared" si="100"/>
        <v>33</v>
      </c>
      <c r="J992" s="11"/>
    </row>
    <row r="993" spans="1:10" x14ac:dyDescent="0.25">
      <c r="A993" s="2">
        <v>41531</v>
      </c>
      <c r="B993" s="3">
        <v>716</v>
      </c>
      <c r="C993" s="4">
        <v>336520</v>
      </c>
      <c r="D993" s="3">
        <v>288</v>
      </c>
      <c r="E993" s="4">
        <v>210240</v>
      </c>
      <c r="G993" s="12">
        <f t="shared" si="98"/>
        <v>2013</v>
      </c>
      <c r="H993" s="12">
        <f t="shared" si="99"/>
        <v>9</v>
      </c>
      <c r="I993" s="11">
        <f t="shared" si="100"/>
        <v>33</v>
      </c>
      <c r="J993" s="11"/>
    </row>
    <row r="994" spans="1:10" x14ac:dyDescent="0.25">
      <c r="A994" s="2">
        <v>41532</v>
      </c>
      <c r="B994" s="3">
        <v>709</v>
      </c>
      <c r="C994" s="4">
        <v>333230</v>
      </c>
      <c r="D994" s="3">
        <v>299</v>
      </c>
      <c r="E994" s="4">
        <v>218270</v>
      </c>
      <c r="G994" s="12">
        <f t="shared" si="98"/>
        <v>2013</v>
      </c>
      <c r="H994" s="12">
        <f t="shared" si="99"/>
        <v>9</v>
      </c>
      <c r="I994" s="11">
        <f t="shared" si="100"/>
        <v>33</v>
      </c>
      <c r="J994" s="11"/>
    </row>
    <row r="995" spans="1:10" x14ac:dyDescent="0.25">
      <c r="A995" s="2">
        <v>41533</v>
      </c>
      <c r="B995" s="3">
        <v>755</v>
      </c>
      <c r="C995" s="4">
        <v>354850</v>
      </c>
      <c r="D995" s="3">
        <v>260</v>
      </c>
      <c r="E995" s="4">
        <v>189800</v>
      </c>
      <c r="G995" s="12">
        <f t="shared" si="98"/>
        <v>2013</v>
      </c>
      <c r="H995" s="12">
        <f t="shared" si="99"/>
        <v>9</v>
      </c>
      <c r="I995" s="11">
        <f t="shared" si="100"/>
        <v>33</v>
      </c>
      <c r="J995" s="11"/>
    </row>
    <row r="996" spans="1:10" x14ac:dyDescent="0.25">
      <c r="A996" s="2">
        <v>41534</v>
      </c>
      <c r="B996" s="3">
        <v>665</v>
      </c>
      <c r="C996" s="4">
        <v>312550</v>
      </c>
      <c r="D996" s="3">
        <v>315</v>
      </c>
      <c r="E996" s="4">
        <v>229950</v>
      </c>
      <c r="G996" s="12">
        <f t="shared" si="98"/>
        <v>2013</v>
      </c>
      <c r="H996" s="12">
        <f t="shared" si="99"/>
        <v>9</v>
      </c>
      <c r="I996" s="11">
        <f t="shared" si="100"/>
        <v>33</v>
      </c>
      <c r="J996" s="11"/>
    </row>
    <row r="997" spans="1:10" x14ac:dyDescent="0.25">
      <c r="A997" s="2">
        <v>41535</v>
      </c>
      <c r="B997" s="3">
        <v>620</v>
      </c>
      <c r="C997" s="4">
        <v>291400</v>
      </c>
      <c r="D997" s="3">
        <v>327</v>
      </c>
      <c r="E997" s="4">
        <v>238710</v>
      </c>
      <c r="G997" s="12">
        <f t="shared" si="98"/>
        <v>2013</v>
      </c>
      <c r="H997" s="12">
        <f t="shared" si="99"/>
        <v>9</v>
      </c>
      <c r="I997" s="11">
        <f t="shared" si="100"/>
        <v>33</v>
      </c>
      <c r="J997" s="11"/>
    </row>
    <row r="998" spans="1:10" x14ac:dyDescent="0.25">
      <c r="A998" s="2">
        <v>41536</v>
      </c>
      <c r="B998" s="3">
        <v>657</v>
      </c>
      <c r="C998" s="4">
        <v>308790</v>
      </c>
      <c r="D998" s="3">
        <v>341</v>
      </c>
      <c r="E998" s="4">
        <v>248930</v>
      </c>
      <c r="G998" s="12">
        <f t="shared" si="98"/>
        <v>2013</v>
      </c>
      <c r="H998" s="12">
        <f t="shared" si="99"/>
        <v>9</v>
      </c>
      <c r="I998" s="11">
        <f t="shared" si="100"/>
        <v>33</v>
      </c>
      <c r="J998" s="11"/>
    </row>
    <row r="999" spans="1:10" x14ac:dyDescent="0.25">
      <c r="A999" s="2">
        <v>41537</v>
      </c>
      <c r="B999" s="3">
        <v>779</v>
      </c>
      <c r="C999" s="4">
        <v>366130</v>
      </c>
      <c r="D999" s="3">
        <v>309</v>
      </c>
      <c r="E999" s="4">
        <v>225570</v>
      </c>
      <c r="G999" s="12">
        <f t="shared" si="98"/>
        <v>2013</v>
      </c>
      <c r="H999" s="12">
        <f t="shared" si="99"/>
        <v>9</v>
      </c>
      <c r="I999" s="11">
        <f t="shared" si="100"/>
        <v>33</v>
      </c>
      <c r="J999" s="11"/>
    </row>
    <row r="1000" spans="1:10" x14ac:dyDescent="0.25">
      <c r="A1000" s="2">
        <v>41538</v>
      </c>
      <c r="B1000" s="3">
        <v>760</v>
      </c>
      <c r="C1000" s="4">
        <v>357200</v>
      </c>
      <c r="D1000" s="3">
        <v>300</v>
      </c>
      <c r="E1000" s="4">
        <v>219000</v>
      </c>
      <c r="G1000" s="12">
        <f t="shared" si="98"/>
        <v>2013</v>
      </c>
      <c r="H1000" s="12">
        <f t="shared" si="99"/>
        <v>9</v>
      </c>
      <c r="I1000" s="11">
        <f t="shared" si="100"/>
        <v>33</v>
      </c>
      <c r="J1000" s="11"/>
    </row>
    <row r="1001" spans="1:10" x14ac:dyDescent="0.25">
      <c r="A1001" s="2">
        <v>41539</v>
      </c>
      <c r="B1001" s="3">
        <v>669</v>
      </c>
      <c r="C1001" s="4">
        <v>314430</v>
      </c>
      <c r="D1001" s="3">
        <v>307</v>
      </c>
      <c r="E1001" s="4">
        <v>224110</v>
      </c>
      <c r="G1001" s="12">
        <f t="shared" si="98"/>
        <v>2013</v>
      </c>
      <c r="H1001" s="12">
        <f t="shared" si="99"/>
        <v>9</v>
      </c>
      <c r="I1001" s="11">
        <f t="shared" si="100"/>
        <v>33</v>
      </c>
      <c r="J1001" s="11"/>
    </row>
    <row r="1002" spans="1:10" x14ac:dyDescent="0.25">
      <c r="A1002" s="2">
        <v>41540</v>
      </c>
      <c r="B1002" s="3">
        <v>726</v>
      </c>
      <c r="C1002" s="4">
        <v>341220</v>
      </c>
      <c r="D1002" s="3">
        <v>287</v>
      </c>
      <c r="E1002" s="4">
        <v>209510</v>
      </c>
      <c r="G1002" s="12">
        <f t="shared" si="98"/>
        <v>2013</v>
      </c>
      <c r="H1002" s="12">
        <f t="shared" si="99"/>
        <v>9</v>
      </c>
      <c r="I1002" s="11">
        <f t="shared" si="100"/>
        <v>33</v>
      </c>
      <c r="J1002" s="11"/>
    </row>
    <row r="1003" spans="1:10" x14ac:dyDescent="0.25">
      <c r="A1003" s="2">
        <v>41541</v>
      </c>
      <c r="B1003" s="3">
        <v>525</v>
      </c>
      <c r="C1003" s="4">
        <v>246750</v>
      </c>
      <c r="D1003" s="3">
        <v>304</v>
      </c>
      <c r="E1003" s="4">
        <v>221920</v>
      </c>
      <c r="G1003" s="12">
        <f t="shared" si="98"/>
        <v>2013</v>
      </c>
      <c r="H1003" s="12">
        <f t="shared" si="99"/>
        <v>9</v>
      </c>
      <c r="I1003" s="11">
        <f t="shared" si="100"/>
        <v>33</v>
      </c>
      <c r="J1003" s="11"/>
    </row>
    <row r="1004" spans="1:10" x14ac:dyDescent="0.25">
      <c r="A1004" s="2">
        <v>41542</v>
      </c>
      <c r="B1004" s="3">
        <v>575</v>
      </c>
      <c r="C1004" s="4">
        <v>270250</v>
      </c>
      <c r="D1004" s="3">
        <v>246</v>
      </c>
      <c r="E1004" s="4">
        <v>179580</v>
      </c>
      <c r="G1004" s="12">
        <f t="shared" si="98"/>
        <v>2013</v>
      </c>
      <c r="H1004" s="12">
        <f t="shared" si="99"/>
        <v>9</v>
      </c>
      <c r="I1004" s="11">
        <f t="shared" si="100"/>
        <v>33</v>
      </c>
      <c r="J1004" s="11"/>
    </row>
    <row r="1005" spans="1:10" x14ac:dyDescent="0.25">
      <c r="A1005" s="2">
        <v>41543</v>
      </c>
      <c r="B1005" s="3">
        <v>718</v>
      </c>
      <c r="C1005" s="4">
        <v>337460</v>
      </c>
      <c r="D1005" s="3">
        <v>280</v>
      </c>
      <c r="E1005" s="4">
        <v>204400</v>
      </c>
      <c r="G1005" s="12">
        <f t="shared" si="98"/>
        <v>2013</v>
      </c>
      <c r="H1005" s="12">
        <f t="shared" si="99"/>
        <v>9</v>
      </c>
      <c r="I1005" s="11">
        <f t="shared" si="100"/>
        <v>33</v>
      </c>
      <c r="J1005" s="11"/>
    </row>
    <row r="1006" spans="1:10" x14ac:dyDescent="0.25">
      <c r="A1006" s="2">
        <v>41544</v>
      </c>
      <c r="B1006" s="3">
        <v>580</v>
      </c>
      <c r="C1006" s="4">
        <v>272600</v>
      </c>
      <c r="D1006" s="3">
        <v>278</v>
      </c>
      <c r="E1006" s="4">
        <v>202940</v>
      </c>
      <c r="G1006" s="12">
        <f t="shared" si="98"/>
        <v>2013</v>
      </c>
      <c r="H1006" s="12">
        <f t="shared" si="99"/>
        <v>9</v>
      </c>
      <c r="I1006" s="11">
        <f t="shared" si="100"/>
        <v>33</v>
      </c>
      <c r="J1006" s="11"/>
    </row>
    <row r="1007" spans="1:10" x14ac:dyDescent="0.25">
      <c r="A1007" s="2">
        <v>41545</v>
      </c>
      <c r="B1007" s="3">
        <v>726</v>
      </c>
      <c r="C1007" s="4">
        <v>341220</v>
      </c>
      <c r="D1007" s="3">
        <v>308</v>
      </c>
      <c r="E1007" s="4">
        <v>224840</v>
      </c>
      <c r="G1007" s="12">
        <f t="shared" si="98"/>
        <v>2013</v>
      </c>
      <c r="H1007" s="12">
        <f t="shared" si="99"/>
        <v>9</v>
      </c>
      <c r="I1007" s="11">
        <f t="shared" si="100"/>
        <v>33</v>
      </c>
      <c r="J1007" s="11"/>
    </row>
    <row r="1008" spans="1:10" x14ac:dyDescent="0.25">
      <c r="A1008" s="2">
        <v>41546</v>
      </c>
      <c r="B1008" s="3">
        <v>718</v>
      </c>
      <c r="C1008" s="4">
        <v>337460</v>
      </c>
      <c r="D1008" s="3">
        <v>318</v>
      </c>
      <c r="E1008" s="4">
        <v>232140</v>
      </c>
      <c r="G1008" s="12">
        <f t="shared" si="98"/>
        <v>2013</v>
      </c>
      <c r="H1008" s="12">
        <f t="shared" si="99"/>
        <v>9</v>
      </c>
      <c r="I1008" s="11">
        <f t="shared" si="100"/>
        <v>33</v>
      </c>
      <c r="J1008" s="11"/>
    </row>
    <row r="1009" spans="1:10" x14ac:dyDescent="0.25">
      <c r="A1009" s="2">
        <v>41547</v>
      </c>
      <c r="B1009" s="3">
        <v>711</v>
      </c>
      <c r="C1009" s="4">
        <v>334170</v>
      </c>
      <c r="D1009" s="3">
        <v>327</v>
      </c>
      <c r="E1009" s="4">
        <v>238710</v>
      </c>
      <c r="G1009" s="12">
        <f t="shared" si="98"/>
        <v>2013</v>
      </c>
      <c r="H1009" s="12">
        <f t="shared" si="99"/>
        <v>9</v>
      </c>
      <c r="I1009" s="11">
        <f t="shared" si="100"/>
        <v>33</v>
      </c>
      <c r="J1009" s="11"/>
    </row>
    <row r="1010" spans="1:10" x14ac:dyDescent="0.25">
      <c r="A1010" s="2">
        <v>41548</v>
      </c>
      <c r="B1010" s="3">
        <v>542</v>
      </c>
      <c r="C1010" s="4">
        <v>159212.5</v>
      </c>
      <c r="D1010" s="3">
        <v>335</v>
      </c>
      <c r="E1010" s="4">
        <v>244550</v>
      </c>
      <c r="G1010" s="12">
        <f t="shared" si="98"/>
        <v>2013</v>
      </c>
      <c r="H1010" s="12">
        <f t="shared" si="99"/>
        <v>10</v>
      </c>
      <c r="I1010" s="11">
        <f t="shared" si="100"/>
        <v>34</v>
      </c>
      <c r="J1010" s="11"/>
    </row>
    <row r="1011" spans="1:10" x14ac:dyDescent="0.25">
      <c r="A1011" s="2">
        <v>41549</v>
      </c>
      <c r="B1011" s="3">
        <v>754</v>
      </c>
      <c r="C1011" s="4">
        <v>221487.5</v>
      </c>
      <c r="D1011" s="3">
        <v>346</v>
      </c>
      <c r="E1011" s="4">
        <v>252580</v>
      </c>
      <c r="G1011" s="12">
        <f t="shared" si="98"/>
        <v>2013</v>
      </c>
      <c r="H1011" s="12">
        <f t="shared" si="99"/>
        <v>10</v>
      </c>
      <c r="I1011" s="11">
        <f t="shared" si="100"/>
        <v>34</v>
      </c>
      <c r="J1011" s="11"/>
    </row>
    <row r="1012" spans="1:10" x14ac:dyDescent="0.25">
      <c r="A1012" s="2">
        <v>41550</v>
      </c>
      <c r="B1012" s="3">
        <v>733</v>
      </c>
      <c r="C1012" s="4">
        <v>215318.75</v>
      </c>
      <c r="D1012" s="3">
        <v>323</v>
      </c>
      <c r="E1012" s="4">
        <v>235790</v>
      </c>
      <c r="G1012" s="12">
        <f t="shared" si="98"/>
        <v>2013</v>
      </c>
      <c r="H1012" s="12">
        <f t="shared" si="99"/>
        <v>10</v>
      </c>
      <c r="I1012" s="11">
        <f t="shared" si="100"/>
        <v>34</v>
      </c>
      <c r="J1012" s="11"/>
    </row>
    <row r="1013" spans="1:10" x14ac:dyDescent="0.25">
      <c r="A1013" s="2">
        <v>41551</v>
      </c>
      <c r="B1013" s="3">
        <v>559</v>
      </c>
      <c r="C1013" s="4">
        <v>164206.25</v>
      </c>
      <c r="D1013" s="3">
        <v>293</v>
      </c>
      <c r="E1013" s="4">
        <v>213890</v>
      </c>
      <c r="G1013" s="12">
        <f t="shared" si="98"/>
        <v>2013</v>
      </c>
      <c r="H1013" s="12">
        <f t="shared" si="99"/>
        <v>10</v>
      </c>
      <c r="I1013" s="11">
        <f t="shared" si="100"/>
        <v>34</v>
      </c>
      <c r="J1013" s="11"/>
    </row>
    <row r="1014" spans="1:10" x14ac:dyDescent="0.25">
      <c r="A1014" s="2">
        <v>41552</v>
      </c>
      <c r="B1014" s="3">
        <v>571</v>
      </c>
      <c r="C1014" s="4">
        <v>167731.25</v>
      </c>
      <c r="D1014" s="3">
        <v>289</v>
      </c>
      <c r="E1014" s="4">
        <v>210970</v>
      </c>
      <c r="G1014" s="12">
        <f t="shared" si="98"/>
        <v>2013</v>
      </c>
      <c r="H1014" s="12">
        <f t="shared" si="99"/>
        <v>10</v>
      </c>
      <c r="I1014" s="11">
        <f t="shared" si="100"/>
        <v>34</v>
      </c>
      <c r="J1014" s="11"/>
    </row>
    <row r="1015" spans="1:10" x14ac:dyDescent="0.25">
      <c r="A1015" s="2">
        <v>41553</v>
      </c>
      <c r="B1015" s="3">
        <v>600</v>
      </c>
      <c r="C1015" s="4">
        <v>176250</v>
      </c>
      <c r="D1015" s="3">
        <v>306</v>
      </c>
      <c r="E1015" s="4">
        <v>223380</v>
      </c>
      <c r="G1015" s="12">
        <f t="shared" si="98"/>
        <v>2013</v>
      </c>
      <c r="H1015" s="12">
        <f t="shared" si="99"/>
        <v>10</v>
      </c>
      <c r="I1015" s="11">
        <f t="shared" si="100"/>
        <v>34</v>
      </c>
      <c r="J1015" s="11"/>
    </row>
    <row r="1016" spans="1:10" x14ac:dyDescent="0.25">
      <c r="A1016" s="2">
        <v>41554</v>
      </c>
      <c r="B1016" s="3">
        <v>698</v>
      </c>
      <c r="C1016" s="4">
        <v>205037.5</v>
      </c>
      <c r="D1016" s="3">
        <v>296</v>
      </c>
      <c r="E1016" s="4">
        <v>216080</v>
      </c>
      <c r="G1016" s="12">
        <f t="shared" si="98"/>
        <v>2013</v>
      </c>
      <c r="H1016" s="12">
        <f t="shared" si="99"/>
        <v>10</v>
      </c>
      <c r="I1016" s="11">
        <f t="shared" si="100"/>
        <v>34</v>
      </c>
      <c r="J1016" s="11"/>
    </row>
    <row r="1017" spans="1:10" x14ac:dyDescent="0.25">
      <c r="A1017" s="2">
        <v>41555</v>
      </c>
      <c r="B1017" s="3">
        <v>607</v>
      </c>
      <c r="C1017" s="4">
        <v>178306.25</v>
      </c>
      <c r="D1017" s="3">
        <v>283</v>
      </c>
      <c r="E1017" s="4">
        <v>206590</v>
      </c>
      <c r="G1017" s="12">
        <f t="shared" si="98"/>
        <v>2013</v>
      </c>
      <c r="H1017" s="12">
        <f t="shared" si="99"/>
        <v>10</v>
      </c>
      <c r="I1017" s="11">
        <f t="shared" si="100"/>
        <v>34</v>
      </c>
      <c r="J1017" s="11"/>
    </row>
    <row r="1018" spans="1:10" x14ac:dyDescent="0.25">
      <c r="A1018" s="2">
        <v>41556</v>
      </c>
      <c r="B1018" s="3">
        <v>613</v>
      </c>
      <c r="C1018" s="4">
        <v>180068.75</v>
      </c>
      <c r="D1018" s="3">
        <v>317</v>
      </c>
      <c r="E1018" s="4">
        <v>231410</v>
      </c>
      <c r="G1018" s="12">
        <f t="shared" si="98"/>
        <v>2013</v>
      </c>
      <c r="H1018" s="12">
        <f t="shared" si="99"/>
        <v>10</v>
      </c>
      <c r="I1018" s="11">
        <f t="shared" si="100"/>
        <v>34</v>
      </c>
      <c r="J1018" s="11"/>
    </row>
    <row r="1019" spans="1:10" x14ac:dyDescent="0.25">
      <c r="A1019" s="2">
        <v>41557</v>
      </c>
      <c r="B1019" s="3">
        <v>515</v>
      </c>
      <c r="C1019" s="4">
        <v>151281.25</v>
      </c>
      <c r="D1019" s="3">
        <v>276</v>
      </c>
      <c r="E1019" s="4">
        <v>201480</v>
      </c>
      <c r="G1019" s="12">
        <f t="shared" si="98"/>
        <v>2013</v>
      </c>
      <c r="H1019" s="12">
        <f t="shared" si="99"/>
        <v>10</v>
      </c>
      <c r="I1019" s="11">
        <f t="shared" si="100"/>
        <v>34</v>
      </c>
      <c r="J1019" s="11"/>
    </row>
    <row r="1020" spans="1:10" x14ac:dyDescent="0.25">
      <c r="A1020" s="2">
        <v>41558</v>
      </c>
      <c r="B1020" s="3">
        <v>621</v>
      </c>
      <c r="C1020" s="4">
        <v>182418.75</v>
      </c>
      <c r="D1020" s="3">
        <v>290</v>
      </c>
      <c r="E1020" s="4">
        <v>211700</v>
      </c>
      <c r="G1020" s="12">
        <f t="shared" si="98"/>
        <v>2013</v>
      </c>
      <c r="H1020" s="12">
        <f t="shared" si="99"/>
        <v>10</v>
      </c>
      <c r="I1020" s="11">
        <f t="shared" si="100"/>
        <v>34</v>
      </c>
      <c r="J1020" s="11"/>
    </row>
    <row r="1021" spans="1:10" x14ac:dyDescent="0.25">
      <c r="A1021" s="2">
        <v>41559</v>
      </c>
      <c r="B1021" s="3">
        <v>577</v>
      </c>
      <c r="C1021" s="4">
        <v>169493.75</v>
      </c>
      <c r="D1021" s="3">
        <v>291</v>
      </c>
      <c r="E1021" s="4">
        <v>212430</v>
      </c>
      <c r="G1021" s="12">
        <f t="shared" si="98"/>
        <v>2013</v>
      </c>
      <c r="H1021" s="12">
        <f t="shared" si="99"/>
        <v>10</v>
      </c>
      <c r="I1021" s="11">
        <f t="shared" si="100"/>
        <v>34</v>
      </c>
      <c r="J1021" s="11"/>
    </row>
    <row r="1022" spans="1:10" x14ac:dyDescent="0.25">
      <c r="A1022" s="2">
        <v>41560</v>
      </c>
      <c r="B1022" s="3">
        <v>564</v>
      </c>
      <c r="C1022" s="4">
        <v>165675</v>
      </c>
      <c r="D1022" s="3">
        <v>309</v>
      </c>
      <c r="E1022" s="4">
        <v>225570</v>
      </c>
      <c r="G1022" s="12">
        <f t="shared" si="98"/>
        <v>2013</v>
      </c>
      <c r="H1022" s="12">
        <f t="shared" si="99"/>
        <v>10</v>
      </c>
      <c r="I1022" s="11">
        <f t="shared" si="100"/>
        <v>34</v>
      </c>
      <c r="J1022" s="11"/>
    </row>
    <row r="1023" spans="1:10" x14ac:dyDescent="0.25">
      <c r="A1023" s="2">
        <v>41561</v>
      </c>
      <c r="B1023" s="3">
        <v>477</v>
      </c>
      <c r="C1023" s="4">
        <v>140118.75</v>
      </c>
      <c r="D1023" s="3">
        <v>296</v>
      </c>
      <c r="E1023" s="4">
        <v>216080</v>
      </c>
      <c r="G1023" s="12">
        <f t="shared" si="98"/>
        <v>2013</v>
      </c>
      <c r="H1023" s="12">
        <f t="shared" si="99"/>
        <v>10</v>
      </c>
      <c r="I1023" s="11">
        <f t="shared" si="100"/>
        <v>34</v>
      </c>
      <c r="J1023" s="11"/>
    </row>
    <row r="1024" spans="1:10" x14ac:dyDescent="0.25">
      <c r="A1024" s="2">
        <v>41562</v>
      </c>
      <c r="B1024" s="3">
        <v>589</v>
      </c>
      <c r="C1024" s="4">
        <v>173018.75</v>
      </c>
      <c r="D1024" s="3">
        <v>328</v>
      </c>
      <c r="E1024" s="4">
        <v>239440</v>
      </c>
      <c r="G1024" s="12">
        <f t="shared" si="98"/>
        <v>2013</v>
      </c>
      <c r="H1024" s="12">
        <f t="shared" si="99"/>
        <v>10</v>
      </c>
      <c r="I1024" s="11">
        <f t="shared" si="100"/>
        <v>34</v>
      </c>
      <c r="J1024" s="11"/>
    </row>
    <row r="1025" spans="1:10" x14ac:dyDescent="0.25">
      <c r="A1025" s="2">
        <v>41563</v>
      </c>
      <c r="B1025" s="3">
        <v>547</v>
      </c>
      <c r="C1025" s="4">
        <v>160681.25</v>
      </c>
      <c r="D1025" s="3">
        <v>298</v>
      </c>
      <c r="E1025" s="4">
        <v>217540</v>
      </c>
      <c r="G1025" s="12">
        <f t="shared" si="98"/>
        <v>2013</v>
      </c>
      <c r="H1025" s="12">
        <f t="shared" si="99"/>
        <v>10</v>
      </c>
      <c r="I1025" s="11">
        <f t="shared" si="100"/>
        <v>34</v>
      </c>
      <c r="J1025" s="11"/>
    </row>
    <row r="1026" spans="1:10" x14ac:dyDescent="0.25">
      <c r="A1026" s="2">
        <v>41564</v>
      </c>
      <c r="B1026" s="3">
        <v>552</v>
      </c>
      <c r="C1026" s="4">
        <v>162150</v>
      </c>
      <c r="D1026" s="3">
        <v>293</v>
      </c>
      <c r="E1026" s="4">
        <v>213890</v>
      </c>
      <c r="G1026" s="12">
        <f t="shared" si="98"/>
        <v>2013</v>
      </c>
      <c r="H1026" s="12">
        <f t="shared" si="99"/>
        <v>10</v>
      </c>
      <c r="I1026" s="11">
        <f t="shared" si="100"/>
        <v>34</v>
      </c>
      <c r="J1026" s="11"/>
    </row>
    <row r="1027" spans="1:10" x14ac:dyDescent="0.25">
      <c r="A1027" s="2">
        <v>41565</v>
      </c>
      <c r="B1027" s="3">
        <v>571</v>
      </c>
      <c r="C1027" s="4">
        <v>167731.25</v>
      </c>
      <c r="D1027" s="3">
        <v>341</v>
      </c>
      <c r="E1027" s="4">
        <v>248930</v>
      </c>
      <c r="G1027" s="12">
        <f t="shared" si="98"/>
        <v>2013</v>
      </c>
      <c r="H1027" s="12">
        <f t="shared" si="99"/>
        <v>10</v>
      </c>
      <c r="I1027" s="11">
        <f t="shared" si="100"/>
        <v>34</v>
      </c>
      <c r="J1027" s="11"/>
    </row>
    <row r="1028" spans="1:10" x14ac:dyDescent="0.25">
      <c r="A1028" s="2">
        <v>41566</v>
      </c>
      <c r="B1028" s="3">
        <v>554</v>
      </c>
      <c r="C1028" s="4">
        <v>162737.5</v>
      </c>
      <c r="D1028" s="3">
        <v>293</v>
      </c>
      <c r="E1028" s="4">
        <v>213890</v>
      </c>
      <c r="G1028" s="12">
        <f t="shared" si="98"/>
        <v>2013</v>
      </c>
      <c r="H1028" s="12">
        <f t="shared" si="99"/>
        <v>10</v>
      </c>
      <c r="I1028" s="11">
        <f t="shared" si="100"/>
        <v>34</v>
      </c>
      <c r="J1028" s="11"/>
    </row>
    <row r="1029" spans="1:10" x14ac:dyDescent="0.25">
      <c r="A1029" s="2">
        <v>41567</v>
      </c>
      <c r="B1029" s="3">
        <v>519</v>
      </c>
      <c r="C1029" s="4">
        <v>152456.25</v>
      </c>
      <c r="D1029" s="3">
        <v>247</v>
      </c>
      <c r="E1029" s="4">
        <v>180310</v>
      </c>
      <c r="G1029" s="12">
        <f t="shared" si="98"/>
        <v>2013</v>
      </c>
      <c r="H1029" s="12">
        <f t="shared" si="99"/>
        <v>10</v>
      </c>
      <c r="I1029" s="11">
        <f t="shared" si="100"/>
        <v>34</v>
      </c>
      <c r="J1029" s="11"/>
    </row>
    <row r="1030" spans="1:10" x14ac:dyDescent="0.25">
      <c r="A1030" s="2">
        <v>41568</v>
      </c>
      <c r="B1030" s="3">
        <v>662</v>
      </c>
      <c r="C1030" s="4">
        <v>194462.5</v>
      </c>
      <c r="D1030" s="3">
        <v>236</v>
      </c>
      <c r="E1030" s="4">
        <v>172280</v>
      </c>
      <c r="G1030" s="12">
        <f t="shared" ref="G1030:G1093" si="101">+YEAR(A1030)</f>
        <v>2013</v>
      </c>
      <c r="H1030" s="12">
        <f t="shared" ref="H1030:H1093" si="102">+MONTH(A1030)</f>
        <v>10</v>
      </c>
      <c r="I1030" s="11">
        <f t="shared" si="100"/>
        <v>34</v>
      </c>
      <c r="J1030" s="11"/>
    </row>
    <row r="1031" spans="1:10" x14ac:dyDescent="0.25">
      <c r="A1031" s="2">
        <v>41569</v>
      </c>
      <c r="B1031" s="3">
        <v>586</v>
      </c>
      <c r="C1031" s="4">
        <v>172137.5</v>
      </c>
      <c r="D1031" s="3">
        <v>311</v>
      </c>
      <c r="E1031" s="4">
        <v>227030</v>
      </c>
      <c r="G1031" s="12">
        <f t="shared" si="101"/>
        <v>2013</v>
      </c>
      <c r="H1031" s="12">
        <f t="shared" si="102"/>
        <v>10</v>
      </c>
      <c r="I1031" s="11">
        <f t="shared" ref="I1031:I1094" si="103">+H1031+(G1031-2011)*12</f>
        <v>34</v>
      </c>
      <c r="J1031" s="11"/>
    </row>
    <row r="1032" spans="1:10" x14ac:dyDescent="0.25">
      <c r="A1032" s="2">
        <v>41570</v>
      </c>
      <c r="B1032" s="3">
        <v>575</v>
      </c>
      <c r="C1032" s="4">
        <v>168906.25</v>
      </c>
      <c r="D1032" s="3">
        <v>295</v>
      </c>
      <c r="E1032" s="4">
        <v>215350</v>
      </c>
      <c r="G1032" s="12">
        <f t="shared" si="101"/>
        <v>2013</v>
      </c>
      <c r="H1032" s="12">
        <f t="shared" si="102"/>
        <v>10</v>
      </c>
      <c r="I1032" s="11">
        <f t="shared" si="103"/>
        <v>34</v>
      </c>
      <c r="J1032" s="11"/>
    </row>
    <row r="1033" spans="1:10" x14ac:dyDescent="0.25">
      <c r="A1033" s="2">
        <v>41571</v>
      </c>
      <c r="B1033" s="3">
        <v>466</v>
      </c>
      <c r="C1033" s="4">
        <v>136887.5</v>
      </c>
      <c r="D1033" s="3">
        <v>229</v>
      </c>
      <c r="E1033" s="4">
        <v>167170</v>
      </c>
      <c r="G1033" s="12">
        <f t="shared" si="101"/>
        <v>2013</v>
      </c>
      <c r="H1033" s="12">
        <f t="shared" si="102"/>
        <v>10</v>
      </c>
      <c r="I1033" s="11">
        <f t="shared" si="103"/>
        <v>34</v>
      </c>
      <c r="J1033" s="11"/>
    </row>
    <row r="1034" spans="1:10" x14ac:dyDescent="0.25">
      <c r="A1034" s="2">
        <v>41572</v>
      </c>
      <c r="B1034" s="3">
        <v>492</v>
      </c>
      <c r="C1034" s="4">
        <v>144525</v>
      </c>
      <c r="D1034" s="3">
        <v>285</v>
      </c>
      <c r="E1034" s="4">
        <v>208050</v>
      </c>
      <c r="G1034" s="12">
        <f t="shared" si="101"/>
        <v>2013</v>
      </c>
      <c r="H1034" s="12">
        <f t="shared" si="102"/>
        <v>10</v>
      </c>
      <c r="I1034" s="11">
        <f t="shared" si="103"/>
        <v>34</v>
      </c>
      <c r="J1034" s="11"/>
    </row>
    <row r="1035" spans="1:10" x14ac:dyDescent="0.25">
      <c r="A1035" s="2">
        <v>41573</v>
      </c>
      <c r="B1035" s="3">
        <v>506</v>
      </c>
      <c r="C1035" s="4">
        <v>148637.5</v>
      </c>
      <c r="D1035" s="3">
        <v>351</v>
      </c>
      <c r="E1035" s="4">
        <v>256230</v>
      </c>
      <c r="G1035" s="12">
        <f t="shared" si="101"/>
        <v>2013</v>
      </c>
      <c r="H1035" s="12">
        <f t="shared" si="102"/>
        <v>10</v>
      </c>
      <c r="I1035" s="11">
        <f t="shared" si="103"/>
        <v>34</v>
      </c>
      <c r="J1035" s="11"/>
    </row>
    <row r="1036" spans="1:10" x14ac:dyDescent="0.25">
      <c r="A1036" s="2">
        <v>41574</v>
      </c>
      <c r="B1036" s="3">
        <v>650</v>
      </c>
      <c r="C1036" s="4">
        <v>190937.5</v>
      </c>
      <c r="D1036" s="3">
        <v>317</v>
      </c>
      <c r="E1036" s="4">
        <v>231410</v>
      </c>
      <c r="G1036" s="12">
        <f t="shared" si="101"/>
        <v>2013</v>
      </c>
      <c r="H1036" s="12">
        <f t="shared" si="102"/>
        <v>10</v>
      </c>
      <c r="I1036" s="11">
        <f t="shared" si="103"/>
        <v>34</v>
      </c>
      <c r="J1036" s="11"/>
    </row>
    <row r="1037" spans="1:10" x14ac:dyDescent="0.25">
      <c r="A1037" s="2">
        <v>41575</v>
      </c>
      <c r="B1037" s="3">
        <v>600</v>
      </c>
      <c r="C1037" s="4">
        <v>176250</v>
      </c>
      <c r="D1037" s="3">
        <v>304</v>
      </c>
      <c r="E1037" s="4">
        <v>221920</v>
      </c>
      <c r="G1037" s="12">
        <f t="shared" si="101"/>
        <v>2013</v>
      </c>
      <c r="H1037" s="12">
        <f t="shared" si="102"/>
        <v>10</v>
      </c>
      <c r="I1037" s="11">
        <f t="shared" si="103"/>
        <v>34</v>
      </c>
      <c r="J1037" s="11"/>
    </row>
    <row r="1038" spans="1:10" x14ac:dyDescent="0.25">
      <c r="A1038" s="2">
        <v>41576</v>
      </c>
      <c r="B1038" s="3">
        <v>583</v>
      </c>
      <c r="C1038" s="4">
        <v>171256.25</v>
      </c>
      <c r="D1038" s="3">
        <v>349</v>
      </c>
      <c r="E1038" s="4">
        <v>254770</v>
      </c>
      <c r="G1038" s="12">
        <f t="shared" si="101"/>
        <v>2013</v>
      </c>
      <c r="H1038" s="12">
        <f t="shared" si="102"/>
        <v>10</v>
      </c>
      <c r="I1038" s="11">
        <f t="shared" si="103"/>
        <v>34</v>
      </c>
      <c r="J1038" s="11"/>
    </row>
    <row r="1039" spans="1:10" x14ac:dyDescent="0.25">
      <c r="A1039" s="2">
        <v>41577</v>
      </c>
      <c r="B1039" s="3">
        <v>523</v>
      </c>
      <c r="C1039" s="4">
        <v>153631.25</v>
      </c>
      <c r="D1039" s="3">
        <v>336</v>
      </c>
      <c r="E1039" s="4">
        <v>245280</v>
      </c>
      <c r="G1039" s="12">
        <f t="shared" si="101"/>
        <v>2013</v>
      </c>
      <c r="H1039" s="12">
        <f t="shared" si="102"/>
        <v>10</v>
      </c>
      <c r="I1039" s="11">
        <f t="shared" si="103"/>
        <v>34</v>
      </c>
      <c r="J1039" s="11"/>
    </row>
    <row r="1040" spans="1:10" x14ac:dyDescent="0.25">
      <c r="A1040" s="2">
        <v>41578</v>
      </c>
      <c r="B1040" s="3">
        <v>580</v>
      </c>
      <c r="C1040" s="4">
        <v>170375</v>
      </c>
      <c r="D1040" s="3">
        <v>272</v>
      </c>
      <c r="E1040" s="4">
        <v>198560</v>
      </c>
      <c r="G1040" s="12">
        <f t="shared" si="101"/>
        <v>2013</v>
      </c>
      <c r="H1040" s="12">
        <f t="shared" si="102"/>
        <v>10</v>
      </c>
      <c r="I1040" s="11">
        <f t="shared" si="103"/>
        <v>34</v>
      </c>
      <c r="J1040" s="11"/>
    </row>
    <row r="1041" spans="1:10" x14ac:dyDescent="0.25">
      <c r="A1041" s="2">
        <v>41579</v>
      </c>
      <c r="B1041" s="3">
        <v>576</v>
      </c>
      <c r="C1041" s="4">
        <v>270720</v>
      </c>
      <c r="D1041" s="3">
        <v>326</v>
      </c>
      <c r="E1041" s="4">
        <v>237980</v>
      </c>
      <c r="G1041" s="12">
        <f t="shared" si="101"/>
        <v>2013</v>
      </c>
      <c r="H1041" s="12">
        <f t="shared" si="102"/>
        <v>11</v>
      </c>
      <c r="I1041" s="11">
        <f t="shared" si="103"/>
        <v>35</v>
      </c>
      <c r="J1041" s="11"/>
    </row>
    <row r="1042" spans="1:10" x14ac:dyDescent="0.25">
      <c r="A1042" s="2">
        <v>41580</v>
      </c>
      <c r="B1042" s="3">
        <v>433</v>
      </c>
      <c r="C1042" s="4">
        <v>203510</v>
      </c>
      <c r="D1042" s="3">
        <v>386</v>
      </c>
      <c r="E1042" s="4">
        <v>281780</v>
      </c>
      <c r="G1042" s="12">
        <f t="shared" si="101"/>
        <v>2013</v>
      </c>
      <c r="H1042" s="12">
        <f t="shared" si="102"/>
        <v>11</v>
      </c>
      <c r="I1042" s="11">
        <f t="shared" si="103"/>
        <v>35</v>
      </c>
      <c r="J1042" s="11"/>
    </row>
    <row r="1043" spans="1:10" x14ac:dyDescent="0.25">
      <c r="A1043" s="2">
        <v>41581</v>
      </c>
      <c r="B1043" s="3">
        <v>538</v>
      </c>
      <c r="C1043" s="4">
        <v>252860</v>
      </c>
      <c r="D1043" s="3">
        <v>300</v>
      </c>
      <c r="E1043" s="4">
        <v>219000</v>
      </c>
      <c r="G1043" s="12">
        <f t="shared" si="101"/>
        <v>2013</v>
      </c>
      <c r="H1043" s="12">
        <f t="shared" si="102"/>
        <v>11</v>
      </c>
      <c r="I1043" s="11">
        <f t="shared" si="103"/>
        <v>35</v>
      </c>
      <c r="J1043" s="11"/>
    </row>
    <row r="1044" spans="1:10" x14ac:dyDescent="0.25">
      <c r="A1044" s="2">
        <v>41582</v>
      </c>
      <c r="B1044" s="3">
        <v>408</v>
      </c>
      <c r="C1044" s="4">
        <v>191760</v>
      </c>
      <c r="D1044" s="3">
        <v>296</v>
      </c>
      <c r="E1044" s="4">
        <v>216080</v>
      </c>
      <c r="G1044" s="12">
        <f t="shared" si="101"/>
        <v>2013</v>
      </c>
      <c r="H1044" s="12">
        <f t="shared" si="102"/>
        <v>11</v>
      </c>
      <c r="I1044" s="11">
        <f t="shared" si="103"/>
        <v>35</v>
      </c>
      <c r="J1044" s="11"/>
    </row>
    <row r="1045" spans="1:10" x14ac:dyDescent="0.25">
      <c r="A1045" s="2">
        <v>41583</v>
      </c>
      <c r="B1045" s="3">
        <v>448</v>
      </c>
      <c r="C1045" s="4">
        <v>210560</v>
      </c>
      <c r="D1045" s="3">
        <v>320</v>
      </c>
      <c r="E1045" s="4">
        <v>233600</v>
      </c>
      <c r="G1045" s="12">
        <f t="shared" si="101"/>
        <v>2013</v>
      </c>
      <c r="H1045" s="12">
        <f t="shared" si="102"/>
        <v>11</v>
      </c>
      <c r="I1045" s="11">
        <f t="shared" si="103"/>
        <v>35</v>
      </c>
      <c r="J1045" s="11"/>
    </row>
    <row r="1046" spans="1:10" x14ac:dyDescent="0.25">
      <c r="A1046" s="2">
        <v>41584</v>
      </c>
      <c r="B1046" s="3">
        <v>432</v>
      </c>
      <c r="C1046" s="4">
        <v>203040</v>
      </c>
      <c r="D1046" s="3">
        <v>290</v>
      </c>
      <c r="E1046" s="4">
        <v>211700</v>
      </c>
      <c r="G1046" s="12">
        <f t="shared" si="101"/>
        <v>2013</v>
      </c>
      <c r="H1046" s="12">
        <f t="shared" si="102"/>
        <v>11</v>
      </c>
      <c r="I1046" s="11">
        <f t="shared" si="103"/>
        <v>35</v>
      </c>
      <c r="J1046" s="11"/>
    </row>
    <row r="1047" spans="1:10" x14ac:dyDescent="0.25">
      <c r="A1047" s="2">
        <v>41585</v>
      </c>
      <c r="B1047" s="3">
        <v>357</v>
      </c>
      <c r="C1047" s="4">
        <v>167790</v>
      </c>
      <c r="D1047" s="3">
        <v>331</v>
      </c>
      <c r="E1047" s="4">
        <v>241630</v>
      </c>
      <c r="G1047" s="12">
        <f t="shared" si="101"/>
        <v>2013</v>
      </c>
      <c r="H1047" s="12">
        <f t="shared" si="102"/>
        <v>11</v>
      </c>
      <c r="I1047" s="11">
        <f t="shared" si="103"/>
        <v>35</v>
      </c>
      <c r="J1047" s="11"/>
    </row>
    <row r="1048" spans="1:10" x14ac:dyDescent="0.25">
      <c r="A1048" s="2">
        <v>41586</v>
      </c>
      <c r="B1048" s="3">
        <v>513</v>
      </c>
      <c r="C1048" s="4">
        <v>241110</v>
      </c>
      <c r="D1048" s="3">
        <v>276</v>
      </c>
      <c r="E1048" s="4">
        <v>201480</v>
      </c>
      <c r="G1048" s="12">
        <f t="shared" si="101"/>
        <v>2013</v>
      </c>
      <c r="H1048" s="12">
        <f t="shared" si="102"/>
        <v>11</v>
      </c>
      <c r="I1048" s="11">
        <f t="shared" si="103"/>
        <v>35</v>
      </c>
      <c r="J1048" s="11"/>
    </row>
    <row r="1049" spans="1:10" x14ac:dyDescent="0.25">
      <c r="A1049" s="2">
        <v>41587</v>
      </c>
      <c r="B1049" s="3">
        <v>465</v>
      </c>
      <c r="C1049" s="4">
        <v>218550</v>
      </c>
      <c r="D1049" s="3">
        <v>303</v>
      </c>
      <c r="E1049" s="4">
        <v>221190</v>
      </c>
      <c r="G1049" s="12">
        <f t="shared" si="101"/>
        <v>2013</v>
      </c>
      <c r="H1049" s="12">
        <f t="shared" si="102"/>
        <v>11</v>
      </c>
      <c r="I1049" s="11">
        <f t="shared" si="103"/>
        <v>35</v>
      </c>
      <c r="J1049" s="11"/>
    </row>
    <row r="1050" spans="1:10" x14ac:dyDescent="0.25">
      <c r="A1050" s="2">
        <v>41588</v>
      </c>
      <c r="B1050" s="3">
        <v>475</v>
      </c>
      <c r="C1050" s="4">
        <v>223250</v>
      </c>
      <c r="D1050" s="3">
        <v>312</v>
      </c>
      <c r="E1050" s="4">
        <v>227760</v>
      </c>
      <c r="G1050" s="12">
        <f t="shared" si="101"/>
        <v>2013</v>
      </c>
      <c r="H1050" s="12">
        <f t="shared" si="102"/>
        <v>11</v>
      </c>
      <c r="I1050" s="11">
        <f t="shared" si="103"/>
        <v>35</v>
      </c>
      <c r="J1050" s="11"/>
    </row>
    <row r="1051" spans="1:10" x14ac:dyDescent="0.25">
      <c r="A1051" s="2">
        <v>41589</v>
      </c>
      <c r="B1051" s="3">
        <v>489</v>
      </c>
      <c r="C1051" s="4">
        <v>229830</v>
      </c>
      <c r="D1051" s="3">
        <v>287</v>
      </c>
      <c r="E1051" s="4">
        <v>209510</v>
      </c>
      <c r="G1051" s="12">
        <f t="shared" si="101"/>
        <v>2013</v>
      </c>
      <c r="H1051" s="12">
        <f t="shared" si="102"/>
        <v>11</v>
      </c>
      <c r="I1051" s="11">
        <f t="shared" si="103"/>
        <v>35</v>
      </c>
      <c r="J1051" s="11"/>
    </row>
    <row r="1052" spans="1:10" x14ac:dyDescent="0.25">
      <c r="A1052" s="2">
        <v>41590</v>
      </c>
      <c r="B1052" s="3">
        <v>449</v>
      </c>
      <c r="C1052" s="4">
        <v>211030</v>
      </c>
      <c r="D1052" s="3">
        <v>298</v>
      </c>
      <c r="E1052" s="4">
        <v>217540</v>
      </c>
      <c r="G1052" s="12">
        <f t="shared" si="101"/>
        <v>2013</v>
      </c>
      <c r="H1052" s="12">
        <f t="shared" si="102"/>
        <v>11</v>
      </c>
      <c r="I1052" s="11">
        <f t="shared" si="103"/>
        <v>35</v>
      </c>
      <c r="J1052" s="11"/>
    </row>
    <row r="1053" spans="1:10" x14ac:dyDescent="0.25">
      <c r="A1053" s="2">
        <v>41591</v>
      </c>
      <c r="B1053" s="3">
        <v>378</v>
      </c>
      <c r="C1053" s="4">
        <v>177660</v>
      </c>
      <c r="D1053" s="3">
        <v>349</v>
      </c>
      <c r="E1053" s="4">
        <v>254770</v>
      </c>
      <c r="G1053" s="12">
        <f t="shared" si="101"/>
        <v>2013</v>
      </c>
      <c r="H1053" s="12">
        <f t="shared" si="102"/>
        <v>11</v>
      </c>
      <c r="I1053" s="11">
        <f t="shared" si="103"/>
        <v>35</v>
      </c>
      <c r="J1053" s="11"/>
    </row>
    <row r="1054" spans="1:10" x14ac:dyDescent="0.25">
      <c r="A1054" s="2">
        <v>41592</v>
      </c>
      <c r="B1054" s="3">
        <v>555</v>
      </c>
      <c r="C1054" s="4">
        <v>260850</v>
      </c>
      <c r="D1054" s="3">
        <v>332</v>
      </c>
      <c r="E1054" s="4">
        <v>242360</v>
      </c>
      <c r="G1054" s="12">
        <f t="shared" si="101"/>
        <v>2013</v>
      </c>
      <c r="H1054" s="12">
        <f t="shared" si="102"/>
        <v>11</v>
      </c>
      <c r="I1054" s="11">
        <f t="shared" si="103"/>
        <v>35</v>
      </c>
      <c r="J1054" s="11"/>
    </row>
    <row r="1055" spans="1:10" x14ac:dyDescent="0.25">
      <c r="A1055" s="2">
        <v>41593</v>
      </c>
      <c r="B1055" s="3">
        <v>478</v>
      </c>
      <c r="C1055" s="4">
        <v>224660</v>
      </c>
      <c r="D1055" s="3">
        <v>260</v>
      </c>
      <c r="E1055" s="4">
        <v>189800</v>
      </c>
      <c r="G1055" s="12">
        <f t="shared" si="101"/>
        <v>2013</v>
      </c>
      <c r="H1055" s="12">
        <f t="shared" si="102"/>
        <v>11</v>
      </c>
      <c r="I1055" s="11">
        <f t="shared" si="103"/>
        <v>35</v>
      </c>
      <c r="J1055" s="11"/>
    </row>
    <row r="1056" spans="1:10" x14ac:dyDescent="0.25">
      <c r="A1056" s="2">
        <v>41594</v>
      </c>
      <c r="B1056" s="3">
        <v>461</v>
      </c>
      <c r="C1056" s="4">
        <v>216670</v>
      </c>
      <c r="D1056" s="3">
        <v>300</v>
      </c>
      <c r="E1056" s="4">
        <v>219000</v>
      </c>
      <c r="G1056" s="12">
        <f t="shared" si="101"/>
        <v>2013</v>
      </c>
      <c r="H1056" s="12">
        <f t="shared" si="102"/>
        <v>11</v>
      </c>
      <c r="I1056" s="11">
        <f t="shared" si="103"/>
        <v>35</v>
      </c>
      <c r="J1056" s="11"/>
    </row>
    <row r="1057" spans="1:10" x14ac:dyDescent="0.25">
      <c r="A1057" s="2">
        <v>41595</v>
      </c>
      <c r="B1057" s="3">
        <v>471</v>
      </c>
      <c r="C1057" s="4">
        <v>221370</v>
      </c>
      <c r="D1057" s="3">
        <v>270</v>
      </c>
      <c r="E1057" s="4">
        <v>197100</v>
      </c>
      <c r="G1057" s="12">
        <f t="shared" si="101"/>
        <v>2013</v>
      </c>
      <c r="H1057" s="12">
        <f t="shared" si="102"/>
        <v>11</v>
      </c>
      <c r="I1057" s="11">
        <f t="shared" si="103"/>
        <v>35</v>
      </c>
      <c r="J1057" s="11"/>
    </row>
    <row r="1058" spans="1:10" x14ac:dyDescent="0.25">
      <c r="A1058" s="2">
        <v>41596</v>
      </c>
      <c r="B1058" s="3">
        <v>416</v>
      </c>
      <c r="C1058" s="4">
        <v>195520</v>
      </c>
      <c r="D1058" s="3">
        <v>307</v>
      </c>
      <c r="E1058" s="4">
        <v>224110</v>
      </c>
      <c r="G1058" s="12">
        <f t="shared" si="101"/>
        <v>2013</v>
      </c>
      <c r="H1058" s="12">
        <f t="shared" si="102"/>
        <v>11</v>
      </c>
      <c r="I1058" s="11">
        <f t="shared" si="103"/>
        <v>35</v>
      </c>
      <c r="J1058" s="11"/>
    </row>
    <row r="1059" spans="1:10" x14ac:dyDescent="0.25">
      <c r="A1059" s="2">
        <v>41597</v>
      </c>
      <c r="B1059" s="3">
        <v>418</v>
      </c>
      <c r="C1059" s="4">
        <v>196460</v>
      </c>
      <c r="D1059" s="3">
        <v>287</v>
      </c>
      <c r="E1059" s="4">
        <v>209510</v>
      </c>
      <c r="G1059" s="12">
        <f t="shared" si="101"/>
        <v>2013</v>
      </c>
      <c r="H1059" s="12">
        <f t="shared" si="102"/>
        <v>11</v>
      </c>
      <c r="I1059" s="11">
        <f t="shared" si="103"/>
        <v>35</v>
      </c>
      <c r="J1059" s="11"/>
    </row>
    <row r="1060" spans="1:10" x14ac:dyDescent="0.25">
      <c r="A1060" s="2">
        <v>41598</v>
      </c>
      <c r="B1060" s="3">
        <v>549</v>
      </c>
      <c r="C1060" s="4">
        <v>258030</v>
      </c>
      <c r="D1060" s="3">
        <v>261</v>
      </c>
      <c r="E1060" s="4">
        <v>190530</v>
      </c>
      <c r="G1060" s="12">
        <f t="shared" si="101"/>
        <v>2013</v>
      </c>
      <c r="H1060" s="12">
        <f t="shared" si="102"/>
        <v>11</v>
      </c>
      <c r="I1060" s="11">
        <f t="shared" si="103"/>
        <v>35</v>
      </c>
      <c r="J1060" s="11"/>
    </row>
    <row r="1061" spans="1:10" x14ac:dyDescent="0.25">
      <c r="A1061" s="2">
        <v>41599</v>
      </c>
      <c r="B1061" s="3">
        <v>462</v>
      </c>
      <c r="C1061" s="4">
        <v>217140</v>
      </c>
      <c r="D1061" s="3">
        <v>280</v>
      </c>
      <c r="E1061" s="4">
        <v>204400</v>
      </c>
      <c r="G1061" s="12">
        <f t="shared" si="101"/>
        <v>2013</v>
      </c>
      <c r="H1061" s="12">
        <f t="shared" si="102"/>
        <v>11</v>
      </c>
      <c r="I1061" s="11">
        <f t="shared" si="103"/>
        <v>35</v>
      </c>
      <c r="J1061" s="11"/>
    </row>
    <row r="1062" spans="1:10" x14ac:dyDescent="0.25">
      <c r="A1062" s="2">
        <v>41600</v>
      </c>
      <c r="B1062" s="3">
        <v>446</v>
      </c>
      <c r="C1062" s="4">
        <v>209620</v>
      </c>
      <c r="D1062" s="3">
        <v>350</v>
      </c>
      <c r="E1062" s="4">
        <v>255500</v>
      </c>
      <c r="G1062" s="12">
        <f t="shared" si="101"/>
        <v>2013</v>
      </c>
      <c r="H1062" s="12">
        <f t="shared" si="102"/>
        <v>11</v>
      </c>
      <c r="I1062" s="11">
        <f t="shared" si="103"/>
        <v>35</v>
      </c>
      <c r="J1062" s="11"/>
    </row>
    <row r="1063" spans="1:10" x14ac:dyDescent="0.25">
      <c r="A1063" s="2">
        <v>41601</v>
      </c>
      <c r="B1063" s="3">
        <v>442</v>
      </c>
      <c r="C1063" s="4">
        <v>207740</v>
      </c>
      <c r="D1063" s="3">
        <v>317</v>
      </c>
      <c r="E1063" s="4">
        <v>231410</v>
      </c>
      <c r="G1063" s="12">
        <f t="shared" si="101"/>
        <v>2013</v>
      </c>
      <c r="H1063" s="12">
        <f t="shared" si="102"/>
        <v>11</v>
      </c>
      <c r="I1063" s="11">
        <f t="shared" si="103"/>
        <v>35</v>
      </c>
      <c r="J1063" s="11"/>
    </row>
    <row r="1064" spans="1:10" x14ac:dyDescent="0.25">
      <c r="A1064" s="2">
        <v>41602</v>
      </c>
      <c r="B1064" s="3">
        <v>475</v>
      </c>
      <c r="C1064" s="4">
        <v>223250</v>
      </c>
      <c r="D1064" s="3">
        <v>278</v>
      </c>
      <c r="E1064" s="4">
        <v>202940</v>
      </c>
      <c r="G1064" s="12">
        <f t="shared" si="101"/>
        <v>2013</v>
      </c>
      <c r="H1064" s="12">
        <f t="shared" si="102"/>
        <v>11</v>
      </c>
      <c r="I1064" s="11">
        <f t="shared" si="103"/>
        <v>35</v>
      </c>
      <c r="J1064" s="11"/>
    </row>
    <row r="1065" spans="1:10" x14ac:dyDescent="0.25">
      <c r="A1065" s="2">
        <v>41603</v>
      </c>
      <c r="B1065" s="3">
        <v>508</v>
      </c>
      <c r="C1065" s="4">
        <v>238760</v>
      </c>
      <c r="D1065" s="3">
        <v>306</v>
      </c>
      <c r="E1065" s="4">
        <v>223380</v>
      </c>
      <c r="G1065" s="12">
        <f t="shared" si="101"/>
        <v>2013</v>
      </c>
      <c r="H1065" s="12">
        <f t="shared" si="102"/>
        <v>11</v>
      </c>
      <c r="I1065" s="11">
        <f t="shared" si="103"/>
        <v>35</v>
      </c>
      <c r="J1065" s="11"/>
    </row>
    <row r="1066" spans="1:10" x14ac:dyDescent="0.25">
      <c r="A1066" s="2">
        <v>41604</v>
      </c>
      <c r="B1066" s="3">
        <v>460</v>
      </c>
      <c r="C1066" s="4">
        <v>216200</v>
      </c>
      <c r="D1066" s="3">
        <v>325</v>
      </c>
      <c r="E1066" s="4">
        <v>237250</v>
      </c>
      <c r="G1066" s="12">
        <f t="shared" si="101"/>
        <v>2013</v>
      </c>
      <c r="H1066" s="12">
        <f t="shared" si="102"/>
        <v>11</v>
      </c>
      <c r="I1066" s="11">
        <f t="shared" si="103"/>
        <v>35</v>
      </c>
      <c r="J1066" s="11"/>
    </row>
    <row r="1067" spans="1:10" x14ac:dyDescent="0.25">
      <c r="A1067" s="2">
        <v>41605</v>
      </c>
      <c r="B1067" s="3">
        <v>451</v>
      </c>
      <c r="C1067" s="4">
        <v>211970</v>
      </c>
      <c r="D1067" s="3">
        <v>376</v>
      </c>
      <c r="E1067" s="4">
        <v>274480</v>
      </c>
      <c r="G1067" s="12">
        <f t="shared" si="101"/>
        <v>2013</v>
      </c>
      <c r="H1067" s="12">
        <f t="shared" si="102"/>
        <v>11</v>
      </c>
      <c r="I1067" s="11">
        <f t="shared" si="103"/>
        <v>35</v>
      </c>
      <c r="J1067" s="11"/>
    </row>
    <row r="1068" spans="1:10" x14ac:dyDescent="0.25">
      <c r="A1068" s="2">
        <v>41606</v>
      </c>
      <c r="B1068" s="3">
        <v>456</v>
      </c>
      <c r="C1068" s="4">
        <v>214320</v>
      </c>
      <c r="D1068" s="3">
        <v>295</v>
      </c>
      <c r="E1068" s="4">
        <v>215350</v>
      </c>
      <c r="G1068" s="12">
        <f t="shared" si="101"/>
        <v>2013</v>
      </c>
      <c r="H1068" s="12">
        <f t="shared" si="102"/>
        <v>11</v>
      </c>
      <c r="I1068" s="11">
        <f t="shared" si="103"/>
        <v>35</v>
      </c>
      <c r="J1068" s="11"/>
    </row>
    <row r="1069" spans="1:10" x14ac:dyDescent="0.25">
      <c r="A1069" s="2">
        <v>41607</v>
      </c>
      <c r="B1069" s="3">
        <v>482</v>
      </c>
      <c r="C1069" s="4">
        <v>226540</v>
      </c>
      <c r="D1069" s="3">
        <v>363</v>
      </c>
      <c r="E1069" s="4">
        <v>264990</v>
      </c>
      <c r="G1069" s="12">
        <f t="shared" si="101"/>
        <v>2013</v>
      </c>
      <c r="H1069" s="12">
        <f t="shared" si="102"/>
        <v>11</v>
      </c>
      <c r="I1069" s="11">
        <f t="shared" si="103"/>
        <v>35</v>
      </c>
      <c r="J1069" s="11"/>
    </row>
    <row r="1070" spans="1:10" x14ac:dyDescent="0.25">
      <c r="A1070" s="2">
        <v>41608</v>
      </c>
      <c r="B1070" s="3">
        <v>467</v>
      </c>
      <c r="C1070" s="4">
        <v>219490</v>
      </c>
      <c r="D1070" s="3">
        <v>258</v>
      </c>
      <c r="E1070" s="4">
        <v>188340</v>
      </c>
      <c r="G1070" s="12">
        <f t="shared" si="101"/>
        <v>2013</v>
      </c>
      <c r="H1070" s="12">
        <f t="shared" si="102"/>
        <v>11</v>
      </c>
      <c r="I1070" s="11">
        <f t="shared" si="103"/>
        <v>35</v>
      </c>
      <c r="J1070" s="11"/>
    </row>
    <row r="1071" spans="1:10" x14ac:dyDescent="0.25">
      <c r="A1071" s="2">
        <v>41609</v>
      </c>
      <c r="B1071" s="3">
        <v>569</v>
      </c>
      <c r="C1071" s="4">
        <v>267430</v>
      </c>
      <c r="D1071" s="3">
        <v>275</v>
      </c>
      <c r="E1071" s="4">
        <v>200750</v>
      </c>
      <c r="G1071" s="12">
        <f t="shared" si="101"/>
        <v>2013</v>
      </c>
      <c r="H1071" s="12">
        <f t="shared" si="102"/>
        <v>12</v>
      </c>
      <c r="I1071" s="11">
        <f t="shared" si="103"/>
        <v>36</v>
      </c>
      <c r="J1071" s="11"/>
    </row>
    <row r="1072" spans="1:10" x14ac:dyDescent="0.25">
      <c r="A1072" s="2">
        <v>41610</v>
      </c>
      <c r="B1072" s="3">
        <v>463</v>
      </c>
      <c r="C1072" s="4">
        <v>217610</v>
      </c>
      <c r="D1072" s="3">
        <v>283</v>
      </c>
      <c r="E1072" s="4">
        <v>206590</v>
      </c>
      <c r="G1072" s="12">
        <f t="shared" si="101"/>
        <v>2013</v>
      </c>
      <c r="H1072" s="12">
        <f t="shared" si="102"/>
        <v>12</v>
      </c>
      <c r="I1072" s="11">
        <f t="shared" si="103"/>
        <v>36</v>
      </c>
      <c r="J1072" s="11"/>
    </row>
    <row r="1073" spans="1:10" x14ac:dyDescent="0.25">
      <c r="A1073" s="2">
        <v>41611</v>
      </c>
      <c r="B1073" s="3">
        <v>454</v>
      </c>
      <c r="C1073" s="4">
        <v>213380</v>
      </c>
      <c r="D1073" s="3">
        <v>304</v>
      </c>
      <c r="E1073" s="4">
        <v>221920</v>
      </c>
      <c r="G1073" s="12">
        <f t="shared" si="101"/>
        <v>2013</v>
      </c>
      <c r="H1073" s="12">
        <f t="shared" si="102"/>
        <v>12</v>
      </c>
      <c r="I1073" s="11">
        <f t="shared" si="103"/>
        <v>36</v>
      </c>
      <c r="J1073" s="11"/>
    </row>
    <row r="1074" spans="1:10" x14ac:dyDescent="0.25">
      <c r="A1074" s="2">
        <v>41612</v>
      </c>
      <c r="B1074" s="3">
        <v>481</v>
      </c>
      <c r="C1074" s="4">
        <v>226070</v>
      </c>
      <c r="D1074" s="3">
        <v>279</v>
      </c>
      <c r="E1074" s="4">
        <v>203670</v>
      </c>
      <c r="G1074" s="12">
        <f t="shared" si="101"/>
        <v>2013</v>
      </c>
      <c r="H1074" s="12">
        <f t="shared" si="102"/>
        <v>12</v>
      </c>
      <c r="I1074" s="11">
        <f t="shared" si="103"/>
        <v>36</v>
      </c>
      <c r="J1074" s="11"/>
    </row>
    <row r="1075" spans="1:10" x14ac:dyDescent="0.25">
      <c r="A1075" s="2">
        <v>41613</v>
      </c>
      <c r="B1075" s="3">
        <v>481</v>
      </c>
      <c r="C1075" s="4">
        <v>226070</v>
      </c>
      <c r="D1075" s="3">
        <v>297</v>
      </c>
      <c r="E1075" s="4">
        <v>216810</v>
      </c>
      <c r="G1075" s="12">
        <f t="shared" si="101"/>
        <v>2013</v>
      </c>
      <c r="H1075" s="12">
        <f t="shared" si="102"/>
        <v>12</v>
      </c>
      <c r="I1075" s="11">
        <f t="shared" si="103"/>
        <v>36</v>
      </c>
      <c r="J1075" s="11"/>
    </row>
    <row r="1076" spans="1:10" x14ac:dyDescent="0.25">
      <c r="A1076" s="2">
        <v>41614</v>
      </c>
      <c r="B1076" s="3">
        <v>419</v>
      </c>
      <c r="C1076" s="4">
        <v>196930</v>
      </c>
      <c r="D1076" s="3">
        <v>355</v>
      </c>
      <c r="E1076" s="4">
        <v>259150</v>
      </c>
      <c r="G1076" s="12">
        <f t="shared" si="101"/>
        <v>2013</v>
      </c>
      <c r="H1076" s="12">
        <f t="shared" si="102"/>
        <v>12</v>
      </c>
      <c r="I1076" s="11">
        <f t="shared" si="103"/>
        <v>36</v>
      </c>
      <c r="J1076" s="11"/>
    </row>
    <row r="1077" spans="1:10" x14ac:dyDescent="0.25">
      <c r="A1077" s="2">
        <v>41615</v>
      </c>
      <c r="B1077" s="3">
        <v>487</v>
      </c>
      <c r="C1077" s="4">
        <v>228890</v>
      </c>
      <c r="D1077" s="3">
        <v>305</v>
      </c>
      <c r="E1077" s="4">
        <v>222650</v>
      </c>
      <c r="G1077" s="12">
        <f t="shared" si="101"/>
        <v>2013</v>
      </c>
      <c r="H1077" s="12">
        <f t="shared" si="102"/>
        <v>12</v>
      </c>
      <c r="I1077" s="11">
        <f t="shared" si="103"/>
        <v>36</v>
      </c>
      <c r="J1077" s="11"/>
    </row>
    <row r="1078" spans="1:10" x14ac:dyDescent="0.25">
      <c r="A1078" s="2">
        <v>41616</v>
      </c>
      <c r="B1078" s="3">
        <v>532</v>
      </c>
      <c r="C1078" s="4">
        <v>250040</v>
      </c>
      <c r="D1078" s="3">
        <v>317</v>
      </c>
      <c r="E1078" s="4">
        <v>231410</v>
      </c>
      <c r="G1078" s="12">
        <f t="shared" si="101"/>
        <v>2013</v>
      </c>
      <c r="H1078" s="12">
        <f t="shared" si="102"/>
        <v>12</v>
      </c>
      <c r="I1078" s="11">
        <f t="shared" si="103"/>
        <v>36</v>
      </c>
      <c r="J1078" s="11"/>
    </row>
    <row r="1079" spans="1:10" x14ac:dyDescent="0.25">
      <c r="A1079" s="2">
        <v>41617</v>
      </c>
      <c r="B1079" s="3">
        <v>447</v>
      </c>
      <c r="C1079" s="4">
        <v>210090</v>
      </c>
      <c r="D1079" s="3">
        <v>317</v>
      </c>
      <c r="E1079" s="4">
        <v>231410</v>
      </c>
      <c r="G1079" s="12">
        <f t="shared" si="101"/>
        <v>2013</v>
      </c>
      <c r="H1079" s="12">
        <f t="shared" si="102"/>
        <v>12</v>
      </c>
      <c r="I1079" s="11">
        <f t="shared" si="103"/>
        <v>36</v>
      </c>
      <c r="J1079" s="11"/>
    </row>
    <row r="1080" spans="1:10" x14ac:dyDescent="0.25">
      <c r="A1080" s="2">
        <v>41618</v>
      </c>
      <c r="B1080" s="3">
        <v>492</v>
      </c>
      <c r="C1080" s="4">
        <v>231240</v>
      </c>
      <c r="D1080" s="3">
        <v>313</v>
      </c>
      <c r="E1080" s="4">
        <v>228490</v>
      </c>
      <c r="G1080" s="12">
        <f t="shared" si="101"/>
        <v>2013</v>
      </c>
      <c r="H1080" s="12">
        <f t="shared" si="102"/>
        <v>12</v>
      </c>
      <c r="I1080" s="11">
        <f t="shared" si="103"/>
        <v>36</v>
      </c>
      <c r="J1080" s="11"/>
    </row>
    <row r="1081" spans="1:10" x14ac:dyDescent="0.25">
      <c r="A1081" s="2">
        <v>41619</v>
      </c>
      <c r="B1081" s="3">
        <v>456</v>
      </c>
      <c r="C1081" s="4">
        <v>214320</v>
      </c>
      <c r="D1081" s="3">
        <v>302</v>
      </c>
      <c r="E1081" s="4">
        <v>220460</v>
      </c>
      <c r="G1081" s="12">
        <f t="shared" si="101"/>
        <v>2013</v>
      </c>
      <c r="H1081" s="12">
        <f t="shared" si="102"/>
        <v>12</v>
      </c>
      <c r="I1081" s="11">
        <f t="shared" si="103"/>
        <v>36</v>
      </c>
      <c r="J1081" s="11"/>
    </row>
    <row r="1082" spans="1:10" x14ac:dyDescent="0.25">
      <c r="A1082" s="2">
        <v>41620</v>
      </c>
      <c r="B1082" s="3">
        <v>511</v>
      </c>
      <c r="C1082" s="4">
        <v>240170</v>
      </c>
      <c r="D1082" s="3">
        <v>345</v>
      </c>
      <c r="E1082" s="4">
        <v>251850</v>
      </c>
      <c r="G1082" s="12">
        <f t="shared" si="101"/>
        <v>2013</v>
      </c>
      <c r="H1082" s="12">
        <f t="shared" si="102"/>
        <v>12</v>
      </c>
      <c r="I1082" s="11">
        <f t="shared" si="103"/>
        <v>36</v>
      </c>
      <c r="J1082" s="11"/>
    </row>
    <row r="1083" spans="1:10" x14ac:dyDescent="0.25">
      <c r="A1083" s="2">
        <v>41621</v>
      </c>
      <c r="B1083" s="3">
        <v>488</v>
      </c>
      <c r="C1083" s="4">
        <v>229360</v>
      </c>
      <c r="D1083" s="3">
        <v>306</v>
      </c>
      <c r="E1083" s="4">
        <v>223380</v>
      </c>
      <c r="G1083" s="12">
        <f t="shared" si="101"/>
        <v>2013</v>
      </c>
      <c r="H1083" s="12">
        <f t="shared" si="102"/>
        <v>12</v>
      </c>
      <c r="I1083" s="11">
        <f t="shared" si="103"/>
        <v>36</v>
      </c>
      <c r="J1083" s="11"/>
    </row>
    <row r="1084" spans="1:10" x14ac:dyDescent="0.25">
      <c r="A1084" s="2">
        <v>41622</v>
      </c>
      <c r="B1084" s="3">
        <v>436</v>
      </c>
      <c r="C1084" s="4">
        <v>204920</v>
      </c>
      <c r="D1084" s="3">
        <v>263</v>
      </c>
      <c r="E1084" s="4">
        <v>191990</v>
      </c>
      <c r="G1084" s="12">
        <f t="shared" si="101"/>
        <v>2013</v>
      </c>
      <c r="H1084" s="12">
        <f t="shared" si="102"/>
        <v>12</v>
      </c>
      <c r="I1084" s="11">
        <f t="shared" si="103"/>
        <v>36</v>
      </c>
      <c r="J1084" s="11"/>
    </row>
    <row r="1085" spans="1:10" x14ac:dyDescent="0.25">
      <c r="A1085" s="2">
        <v>41623</v>
      </c>
      <c r="B1085" s="3">
        <v>597</v>
      </c>
      <c r="C1085" s="4">
        <v>280590</v>
      </c>
      <c r="D1085" s="3">
        <v>328</v>
      </c>
      <c r="E1085" s="4">
        <v>239440</v>
      </c>
      <c r="G1085" s="12">
        <f t="shared" si="101"/>
        <v>2013</v>
      </c>
      <c r="H1085" s="12">
        <f t="shared" si="102"/>
        <v>12</v>
      </c>
      <c r="I1085" s="11">
        <f t="shared" si="103"/>
        <v>36</v>
      </c>
      <c r="J1085" s="11"/>
    </row>
    <row r="1086" spans="1:10" x14ac:dyDescent="0.25">
      <c r="A1086" s="2">
        <v>41624</v>
      </c>
      <c r="B1086" s="3">
        <v>534</v>
      </c>
      <c r="C1086" s="4">
        <v>250980</v>
      </c>
      <c r="D1086" s="3">
        <v>260</v>
      </c>
      <c r="E1086" s="4">
        <v>189800</v>
      </c>
      <c r="G1086" s="12">
        <f t="shared" si="101"/>
        <v>2013</v>
      </c>
      <c r="H1086" s="12">
        <f t="shared" si="102"/>
        <v>12</v>
      </c>
      <c r="I1086" s="11">
        <f t="shared" si="103"/>
        <v>36</v>
      </c>
      <c r="J1086" s="11"/>
    </row>
    <row r="1087" spans="1:10" x14ac:dyDescent="0.25">
      <c r="A1087" s="2">
        <v>41625</v>
      </c>
      <c r="B1087" s="3">
        <v>454</v>
      </c>
      <c r="C1087" s="4">
        <v>213380</v>
      </c>
      <c r="D1087" s="3">
        <v>293</v>
      </c>
      <c r="E1087" s="4">
        <v>213890</v>
      </c>
      <c r="G1087" s="12">
        <f t="shared" si="101"/>
        <v>2013</v>
      </c>
      <c r="H1087" s="12">
        <f t="shared" si="102"/>
        <v>12</v>
      </c>
      <c r="I1087" s="11">
        <f t="shared" si="103"/>
        <v>36</v>
      </c>
      <c r="J1087" s="11"/>
    </row>
    <row r="1088" spans="1:10" x14ac:dyDescent="0.25">
      <c r="A1088" s="2">
        <v>41626</v>
      </c>
      <c r="B1088" s="3">
        <v>472</v>
      </c>
      <c r="C1088" s="4">
        <v>221840</v>
      </c>
      <c r="D1088" s="3">
        <v>282</v>
      </c>
      <c r="E1088" s="4">
        <v>205860</v>
      </c>
      <c r="G1088" s="12">
        <f t="shared" si="101"/>
        <v>2013</v>
      </c>
      <c r="H1088" s="12">
        <f t="shared" si="102"/>
        <v>12</v>
      </c>
      <c r="I1088" s="11">
        <f t="shared" si="103"/>
        <v>36</v>
      </c>
      <c r="J1088" s="11"/>
    </row>
    <row r="1089" spans="1:10" x14ac:dyDescent="0.25">
      <c r="A1089" s="2">
        <v>41627</v>
      </c>
      <c r="B1089" s="3">
        <v>508</v>
      </c>
      <c r="C1089" s="4">
        <v>238760</v>
      </c>
      <c r="D1089" s="3">
        <v>277</v>
      </c>
      <c r="E1089" s="4">
        <v>202210</v>
      </c>
      <c r="G1089" s="12">
        <f t="shared" si="101"/>
        <v>2013</v>
      </c>
      <c r="H1089" s="12">
        <f t="shared" si="102"/>
        <v>12</v>
      </c>
      <c r="I1089" s="11">
        <f t="shared" si="103"/>
        <v>36</v>
      </c>
      <c r="J1089" s="11"/>
    </row>
    <row r="1090" spans="1:10" x14ac:dyDescent="0.25">
      <c r="A1090" s="2">
        <v>41628</v>
      </c>
      <c r="B1090" s="3">
        <v>446</v>
      </c>
      <c r="C1090" s="4">
        <v>209620</v>
      </c>
      <c r="D1090" s="3">
        <v>299</v>
      </c>
      <c r="E1090" s="4">
        <v>218270</v>
      </c>
      <c r="G1090" s="12">
        <f t="shared" si="101"/>
        <v>2013</v>
      </c>
      <c r="H1090" s="12">
        <f t="shared" si="102"/>
        <v>12</v>
      </c>
      <c r="I1090" s="11">
        <f t="shared" si="103"/>
        <v>36</v>
      </c>
      <c r="J1090" s="11"/>
    </row>
    <row r="1091" spans="1:10" x14ac:dyDescent="0.25">
      <c r="A1091" s="2">
        <v>41629</v>
      </c>
      <c r="B1091" s="3">
        <v>444</v>
      </c>
      <c r="C1091" s="4">
        <v>208680</v>
      </c>
      <c r="D1091" s="3">
        <v>253</v>
      </c>
      <c r="E1091" s="4">
        <v>184690</v>
      </c>
      <c r="G1091" s="12">
        <f t="shared" si="101"/>
        <v>2013</v>
      </c>
      <c r="H1091" s="12">
        <f t="shared" si="102"/>
        <v>12</v>
      </c>
      <c r="I1091" s="11">
        <f t="shared" si="103"/>
        <v>36</v>
      </c>
      <c r="J1091" s="11"/>
    </row>
    <row r="1092" spans="1:10" x14ac:dyDescent="0.25">
      <c r="A1092" s="2">
        <v>41630</v>
      </c>
      <c r="B1092" s="3">
        <v>489</v>
      </c>
      <c r="C1092" s="4">
        <v>229830</v>
      </c>
      <c r="D1092" s="3">
        <v>314</v>
      </c>
      <c r="E1092" s="4">
        <v>229220</v>
      </c>
      <c r="G1092" s="12">
        <f t="shared" si="101"/>
        <v>2013</v>
      </c>
      <c r="H1092" s="12">
        <f t="shared" si="102"/>
        <v>12</v>
      </c>
      <c r="I1092" s="11">
        <f t="shared" si="103"/>
        <v>36</v>
      </c>
      <c r="J1092" s="11"/>
    </row>
    <row r="1093" spans="1:10" x14ac:dyDescent="0.25">
      <c r="A1093" s="2">
        <v>41631</v>
      </c>
      <c r="B1093" s="3">
        <v>511</v>
      </c>
      <c r="C1093" s="4">
        <v>240170</v>
      </c>
      <c r="D1093" s="3">
        <v>345</v>
      </c>
      <c r="E1093" s="4">
        <v>251850</v>
      </c>
      <c r="G1093" s="12">
        <f t="shared" si="101"/>
        <v>2013</v>
      </c>
      <c r="H1093" s="12">
        <f t="shared" si="102"/>
        <v>12</v>
      </c>
      <c r="I1093" s="11">
        <f t="shared" si="103"/>
        <v>36</v>
      </c>
      <c r="J1093" s="11"/>
    </row>
    <row r="1094" spans="1:10" x14ac:dyDescent="0.25">
      <c r="A1094" s="2">
        <v>41632</v>
      </c>
      <c r="B1094" s="3">
        <v>544</v>
      </c>
      <c r="C1094" s="4">
        <v>255680</v>
      </c>
      <c r="D1094" s="3">
        <v>295</v>
      </c>
      <c r="E1094" s="4">
        <v>215350</v>
      </c>
      <c r="G1094" s="12">
        <f t="shared" ref="G1094:G1157" si="104">+YEAR(A1094)</f>
        <v>2013</v>
      </c>
      <c r="H1094" s="12">
        <f t="shared" ref="H1094:H1157" si="105">+MONTH(A1094)</f>
        <v>12</v>
      </c>
      <c r="I1094" s="11">
        <f t="shared" si="103"/>
        <v>36</v>
      </c>
      <c r="J1094" s="11"/>
    </row>
    <row r="1095" spans="1:10" x14ac:dyDescent="0.25">
      <c r="A1095" s="2">
        <v>41633</v>
      </c>
      <c r="B1095" s="3">
        <v>497</v>
      </c>
      <c r="C1095" s="4">
        <v>233590</v>
      </c>
      <c r="D1095" s="3">
        <v>330</v>
      </c>
      <c r="E1095" s="4">
        <v>240900</v>
      </c>
      <c r="G1095" s="12">
        <f t="shared" si="104"/>
        <v>2013</v>
      </c>
      <c r="H1095" s="12">
        <f t="shared" si="105"/>
        <v>12</v>
      </c>
      <c r="I1095" s="11">
        <f t="shared" ref="I1095:I1158" si="106">+H1095+(G1095-2011)*12</f>
        <v>36</v>
      </c>
      <c r="J1095" s="11"/>
    </row>
    <row r="1096" spans="1:10" x14ac:dyDescent="0.25">
      <c r="A1096" s="2">
        <v>41634</v>
      </c>
      <c r="B1096" s="3">
        <v>482</v>
      </c>
      <c r="C1096" s="4">
        <v>226540</v>
      </c>
      <c r="D1096" s="3">
        <v>308</v>
      </c>
      <c r="E1096" s="4">
        <v>224840</v>
      </c>
      <c r="G1096" s="12">
        <f t="shared" si="104"/>
        <v>2013</v>
      </c>
      <c r="H1096" s="12">
        <f t="shared" si="105"/>
        <v>12</v>
      </c>
      <c r="I1096" s="11">
        <f t="shared" si="106"/>
        <v>36</v>
      </c>
      <c r="J1096" s="11"/>
    </row>
    <row r="1097" spans="1:10" x14ac:dyDescent="0.25">
      <c r="A1097" s="2">
        <v>41635</v>
      </c>
      <c r="B1097" s="3">
        <v>344</v>
      </c>
      <c r="C1097" s="4">
        <v>161680</v>
      </c>
      <c r="D1097" s="3">
        <v>291</v>
      </c>
      <c r="E1097" s="4">
        <v>212430</v>
      </c>
      <c r="G1097" s="12">
        <f t="shared" si="104"/>
        <v>2013</v>
      </c>
      <c r="H1097" s="12">
        <f t="shared" si="105"/>
        <v>12</v>
      </c>
      <c r="I1097" s="11">
        <f t="shared" si="106"/>
        <v>36</v>
      </c>
      <c r="J1097" s="11"/>
    </row>
    <row r="1098" spans="1:10" x14ac:dyDescent="0.25">
      <c r="A1098" s="2">
        <v>41636</v>
      </c>
      <c r="B1098" s="3">
        <v>477</v>
      </c>
      <c r="C1098" s="4">
        <v>224190</v>
      </c>
      <c r="D1098" s="3">
        <v>317</v>
      </c>
      <c r="E1098" s="4">
        <v>231410</v>
      </c>
      <c r="G1098" s="12">
        <f t="shared" si="104"/>
        <v>2013</v>
      </c>
      <c r="H1098" s="12">
        <f t="shared" si="105"/>
        <v>12</v>
      </c>
      <c r="I1098" s="11">
        <f t="shared" si="106"/>
        <v>36</v>
      </c>
      <c r="J1098" s="11"/>
    </row>
    <row r="1099" spans="1:10" x14ac:dyDescent="0.25">
      <c r="A1099" s="2">
        <v>41637</v>
      </c>
      <c r="B1099" s="3">
        <v>468</v>
      </c>
      <c r="C1099" s="4">
        <v>219960</v>
      </c>
      <c r="D1099" s="3">
        <v>297</v>
      </c>
      <c r="E1099" s="4">
        <v>216810</v>
      </c>
      <c r="G1099" s="12">
        <f t="shared" si="104"/>
        <v>2013</v>
      </c>
      <c r="H1099" s="12">
        <f t="shared" si="105"/>
        <v>12</v>
      </c>
      <c r="I1099" s="11">
        <f t="shared" si="106"/>
        <v>36</v>
      </c>
      <c r="J1099" s="11"/>
    </row>
    <row r="1100" spans="1:10" x14ac:dyDescent="0.25">
      <c r="A1100" s="2">
        <v>41638</v>
      </c>
      <c r="B1100" s="3">
        <v>508</v>
      </c>
      <c r="C1100" s="4">
        <v>238760</v>
      </c>
      <c r="D1100" s="3">
        <v>304</v>
      </c>
      <c r="E1100" s="4">
        <v>221920</v>
      </c>
      <c r="G1100" s="12">
        <f t="shared" si="104"/>
        <v>2013</v>
      </c>
      <c r="H1100" s="12">
        <f t="shared" si="105"/>
        <v>12</v>
      </c>
      <c r="I1100" s="11">
        <f t="shared" si="106"/>
        <v>36</v>
      </c>
      <c r="J1100" s="11"/>
    </row>
    <row r="1101" spans="1:10" x14ac:dyDescent="0.25">
      <c r="A1101" s="2">
        <v>41639</v>
      </c>
      <c r="B1101" s="3">
        <v>462</v>
      </c>
      <c r="C1101" s="4">
        <v>217140</v>
      </c>
      <c r="D1101" s="3">
        <v>275</v>
      </c>
      <c r="E1101" s="4">
        <v>200750</v>
      </c>
      <c r="G1101" s="12">
        <f t="shared" si="104"/>
        <v>2013</v>
      </c>
      <c r="H1101" s="12">
        <f t="shared" si="105"/>
        <v>12</v>
      </c>
      <c r="I1101" s="11">
        <f t="shared" si="106"/>
        <v>36</v>
      </c>
      <c r="J1101" s="11"/>
    </row>
    <row r="1102" spans="1:10" x14ac:dyDescent="0.25">
      <c r="A1102" s="2">
        <v>41640</v>
      </c>
      <c r="B1102" s="3">
        <v>487</v>
      </c>
      <c r="C1102" s="4">
        <v>228890</v>
      </c>
      <c r="D1102" s="3">
        <v>303</v>
      </c>
      <c r="E1102" s="4">
        <v>221190</v>
      </c>
      <c r="G1102" s="12">
        <f t="shared" si="104"/>
        <v>2014</v>
      </c>
      <c r="H1102" s="12">
        <f t="shared" si="105"/>
        <v>1</v>
      </c>
      <c r="I1102" s="11">
        <f t="shared" si="106"/>
        <v>37</v>
      </c>
      <c r="J1102" s="11"/>
    </row>
    <row r="1103" spans="1:10" x14ac:dyDescent="0.25">
      <c r="A1103" s="2">
        <v>41641</v>
      </c>
      <c r="B1103" s="3">
        <v>528</v>
      </c>
      <c r="C1103" s="4">
        <v>248160</v>
      </c>
      <c r="D1103" s="3">
        <v>295</v>
      </c>
      <c r="E1103" s="4">
        <v>215350</v>
      </c>
      <c r="G1103" s="12">
        <f t="shared" si="104"/>
        <v>2014</v>
      </c>
      <c r="H1103" s="12">
        <f t="shared" si="105"/>
        <v>1</v>
      </c>
      <c r="I1103" s="11">
        <f t="shared" si="106"/>
        <v>37</v>
      </c>
      <c r="J1103" s="11"/>
    </row>
    <row r="1104" spans="1:10" x14ac:dyDescent="0.25">
      <c r="A1104" s="2">
        <v>41642</v>
      </c>
      <c r="B1104" s="3">
        <v>533</v>
      </c>
      <c r="C1104" s="4">
        <v>250510</v>
      </c>
      <c r="D1104" s="3">
        <v>338</v>
      </c>
      <c r="E1104" s="4">
        <v>246740</v>
      </c>
      <c r="G1104" s="12">
        <f t="shared" si="104"/>
        <v>2014</v>
      </c>
      <c r="H1104" s="12">
        <f t="shared" si="105"/>
        <v>1</v>
      </c>
      <c r="I1104" s="11">
        <f t="shared" si="106"/>
        <v>37</v>
      </c>
      <c r="J1104" s="11"/>
    </row>
    <row r="1105" spans="1:10" x14ac:dyDescent="0.25">
      <c r="A1105" s="2">
        <v>41643</v>
      </c>
      <c r="B1105" s="3">
        <v>563</v>
      </c>
      <c r="C1105" s="4">
        <v>264610</v>
      </c>
      <c r="D1105" s="3">
        <v>260</v>
      </c>
      <c r="E1105" s="4">
        <v>189800</v>
      </c>
      <c r="G1105" s="12">
        <f t="shared" si="104"/>
        <v>2014</v>
      </c>
      <c r="H1105" s="12">
        <f t="shared" si="105"/>
        <v>1</v>
      </c>
      <c r="I1105" s="11">
        <f t="shared" si="106"/>
        <v>37</v>
      </c>
      <c r="J1105" s="11"/>
    </row>
    <row r="1106" spans="1:10" x14ac:dyDescent="0.25">
      <c r="A1106" s="2">
        <v>41644</v>
      </c>
      <c r="B1106" s="3">
        <v>408</v>
      </c>
      <c r="C1106" s="4">
        <v>191760</v>
      </c>
      <c r="D1106" s="3">
        <v>322</v>
      </c>
      <c r="E1106" s="4">
        <v>235060</v>
      </c>
      <c r="G1106" s="12">
        <f t="shared" si="104"/>
        <v>2014</v>
      </c>
      <c r="H1106" s="12">
        <f t="shared" si="105"/>
        <v>1</v>
      </c>
      <c r="I1106" s="11">
        <f t="shared" si="106"/>
        <v>37</v>
      </c>
      <c r="J1106" s="11"/>
    </row>
    <row r="1107" spans="1:10" x14ac:dyDescent="0.25">
      <c r="A1107" s="2">
        <v>41645</v>
      </c>
      <c r="B1107" s="3">
        <v>481</v>
      </c>
      <c r="C1107" s="4">
        <v>226070</v>
      </c>
      <c r="D1107" s="3">
        <v>307</v>
      </c>
      <c r="E1107" s="4">
        <v>224110</v>
      </c>
      <c r="G1107" s="12">
        <f t="shared" si="104"/>
        <v>2014</v>
      </c>
      <c r="H1107" s="12">
        <f t="shared" si="105"/>
        <v>1</v>
      </c>
      <c r="I1107" s="11">
        <f t="shared" si="106"/>
        <v>37</v>
      </c>
      <c r="J1107" s="11"/>
    </row>
    <row r="1108" spans="1:10" x14ac:dyDescent="0.25">
      <c r="A1108" s="2">
        <v>41646</v>
      </c>
      <c r="B1108" s="3">
        <v>470</v>
      </c>
      <c r="C1108" s="4">
        <v>220900</v>
      </c>
      <c r="D1108" s="3">
        <v>297</v>
      </c>
      <c r="E1108" s="4">
        <v>216810</v>
      </c>
      <c r="G1108" s="12">
        <f t="shared" si="104"/>
        <v>2014</v>
      </c>
      <c r="H1108" s="12">
        <f t="shared" si="105"/>
        <v>1</v>
      </c>
      <c r="I1108" s="11">
        <f t="shared" si="106"/>
        <v>37</v>
      </c>
      <c r="J1108" s="11"/>
    </row>
    <row r="1109" spans="1:10" x14ac:dyDescent="0.25">
      <c r="A1109" s="2">
        <v>41647</v>
      </c>
      <c r="B1109" s="3">
        <v>519</v>
      </c>
      <c r="C1109" s="4">
        <v>243930</v>
      </c>
      <c r="D1109" s="3">
        <v>281</v>
      </c>
      <c r="E1109" s="4">
        <v>205130</v>
      </c>
      <c r="G1109" s="12">
        <f t="shared" si="104"/>
        <v>2014</v>
      </c>
      <c r="H1109" s="12">
        <f t="shared" si="105"/>
        <v>1</v>
      </c>
      <c r="I1109" s="11">
        <f t="shared" si="106"/>
        <v>37</v>
      </c>
      <c r="J1109" s="11"/>
    </row>
    <row r="1110" spans="1:10" x14ac:dyDescent="0.25">
      <c r="A1110" s="2">
        <v>41648</v>
      </c>
      <c r="B1110" s="3">
        <v>460</v>
      </c>
      <c r="C1110" s="4">
        <v>216200</v>
      </c>
      <c r="D1110" s="3">
        <v>335</v>
      </c>
      <c r="E1110" s="4">
        <v>244550</v>
      </c>
      <c r="G1110" s="12">
        <f t="shared" si="104"/>
        <v>2014</v>
      </c>
      <c r="H1110" s="12">
        <f t="shared" si="105"/>
        <v>1</v>
      </c>
      <c r="I1110" s="11">
        <f t="shared" si="106"/>
        <v>37</v>
      </c>
      <c r="J1110" s="11"/>
    </row>
    <row r="1111" spans="1:10" x14ac:dyDescent="0.25">
      <c r="A1111" s="2">
        <v>41649</v>
      </c>
      <c r="B1111" s="3">
        <v>489</v>
      </c>
      <c r="C1111" s="4">
        <v>229830</v>
      </c>
      <c r="D1111" s="3">
        <v>259</v>
      </c>
      <c r="E1111" s="4">
        <v>189070</v>
      </c>
      <c r="G1111" s="12">
        <f t="shared" si="104"/>
        <v>2014</v>
      </c>
      <c r="H1111" s="12">
        <f t="shared" si="105"/>
        <v>1</v>
      </c>
      <c r="I1111" s="11">
        <f t="shared" si="106"/>
        <v>37</v>
      </c>
      <c r="J1111" s="11"/>
    </row>
    <row r="1112" spans="1:10" x14ac:dyDescent="0.25">
      <c r="A1112" s="2">
        <v>41650</v>
      </c>
      <c r="B1112" s="3">
        <v>459</v>
      </c>
      <c r="C1112" s="4">
        <v>215730</v>
      </c>
      <c r="D1112" s="3">
        <v>338</v>
      </c>
      <c r="E1112" s="4">
        <v>246740</v>
      </c>
      <c r="G1112" s="12">
        <f t="shared" si="104"/>
        <v>2014</v>
      </c>
      <c r="H1112" s="12">
        <f t="shared" si="105"/>
        <v>1</v>
      </c>
      <c r="I1112" s="11">
        <f t="shared" si="106"/>
        <v>37</v>
      </c>
      <c r="J1112" s="11"/>
    </row>
    <row r="1113" spans="1:10" x14ac:dyDescent="0.25">
      <c r="A1113" s="2">
        <v>41651</v>
      </c>
      <c r="B1113" s="3">
        <v>505</v>
      </c>
      <c r="C1113" s="4">
        <v>237350</v>
      </c>
      <c r="D1113" s="3">
        <v>325</v>
      </c>
      <c r="E1113" s="4">
        <v>237250</v>
      </c>
      <c r="G1113" s="12">
        <f t="shared" si="104"/>
        <v>2014</v>
      </c>
      <c r="H1113" s="12">
        <f t="shared" si="105"/>
        <v>1</v>
      </c>
      <c r="I1113" s="11">
        <f t="shared" si="106"/>
        <v>37</v>
      </c>
      <c r="J1113" s="11"/>
    </row>
    <row r="1114" spans="1:10" x14ac:dyDescent="0.25">
      <c r="A1114" s="2">
        <v>41652</v>
      </c>
      <c r="B1114" s="3">
        <v>479</v>
      </c>
      <c r="C1114" s="4">
        <v>225130</v>
      </c>
      <c r="D1114" s="3">
        <v>244</v>
      </c>
      <c r="E1114" s="4">
        <v>178120</v>
      </c>
      <c r="G1114" s="12">
        <f t="shared" si="104"/>
        <v>2014</v>
      </c>
      <c r="H1114" s="12">
        <f t="shared" si="105"/>
        <v>1</v>
      </c>
      <c r="I1114" s="11">
        <f t="shared" si="106"/>
        <v>37</v>
      </c>
      <c r="J1114" s="11"/>
    </row>
    <row r="1115" spans="1:10" x14ac:dyDescent="0.25">
      <c r="A1115" s="2">
        <v>41653</v>
      </c>
      <c r="B1115" s="3">
        <v>481</v>
      </c>
      <c r="C1115" s="4">
        <v>226070</v>
      </c>
      <c r="D1115" s="3">
        <v>312</v>
      </c>
      <c r="E1115" s="4">
        <v>227760</v>
      </c>
      <c r="G1115" s="12">
        <f t="shared" si="104"/>
        <v>2014</v>
      </c>
      <c r="H1115" s="12">
        <f t="shared" si="105"/>
        <v>1</v>
      </c>
      <c r="I1115" s="11">
        <f t="shared" si="106"/>
        <v>37</v>
      </c>
      <c r="J1115" s="11"/>
    </row>
    <row r="1116" spans="1:10" x14ac:dyDescent="0.25">
      <c r="A1116" s="2">
        <v>41654</v>
      </c>
      <c r="B1116" s="3">
        <v>503</v>
      </c>
      <c r="C1116" s="4">
        <v>236410</v>
      </c>
      <c r="D1116" s="3">
        <v>336</v>
      </c>
      <c r="E1116" s="4">
        <v>245280</v>
      </c>
      <c r="G1116" s="12">
        <f t="shared" si="104"/>
        <v>2014</v>
      </c>
      <c r="H1116" s="12">
        <f t="shared" si="105"/>
        <v>1</v>
      </c>
      <c r="I1116" s="11">
        <f t="shared" si="106"/>
        <v>37</v>
      </c>
      <c r="J1116" s="11"/>
    </row>
    <row r="1117" spans="1:10" x14ac:dyDescent="0.25">
      <c r="A1117" s="2">
        <v>41655</v>
      </c>
      <c r="B1117" s="3">
        <v>419</v>
      </c>
      <c r="C1117" s="4">
        <v>196930</v>
      </c>
      <c r="D1117" s="3">
        <v>285</v>
      </c>
      <c r="E1117" s="4">
        <v>208050</v>
      </c>
      <c r="G1117" s="12">
        <f t="shared" si="104"/>
        <v>2014</v>
      </c>
      <c r="H1117" s="12">
        <f t="shared" si="105"/>
        <v>1</v>
      </c>
      <c r="I1117" s="11">
        <f t="shared" si="106"/>
        <v>37</v>
      </c>
      <c r="J1117" s="11"/>
    </row>
    <row r="1118" spans="1:10" x14ac:dyDescent="0.25">
      <c r="A1118" s="2">
        <v>41656</v>
      </c>
      <c r="B1118" s="3">
        <v>444</v>
      </c>
      <c r="C1118" s="4">
        <v>208680</v>
      </c>
      <c r="D1118" s="3">
        <v>251</v>
      </c>
      <c r="E1118" s="4">
        <v>183230</v>
      </c>
      <c r="G1118" s="12">
        <f t="shared" si="104"/>
        <v>2014</v>
      </c>
      <c r="H1118" s="12">
        <f t="shared" si="105"/>
        <v>1</v>
      </c>
      <c r="I1118" s="11">
        <f t="shared" si="106"/>
        <v>37</v>
      </c>
      <c r="J1118" s="11"/>
    </row>
    <row r="1119" spans="1:10" x14ac:dyDescent="0.25">
      <c r="A1119" s="2">
        <v>41657</v>
      </c>
      <c r="B1119" s="3">
        <v>450</v>
      </c>
      <c r="C1119" s="4">
        <v>211500</v>
      </c>
      <c r="D1119" s="3">
        <v>291</v>
      </c>
      <c r="E1119" s="4">
        <v>212430</v>
      </c>
      <c r="G1119" s="12">
        <f t="shared" si="104"/>
        <v>2014</v>
      </c>
      <c r="H1119" s="12">
        <f t="shared" si="105"/>
        <v>1</v>
      </c>
      <c r="I1119" s="11">
        <f t="shared" si="106"/>
        <v>37</v>
      </c>
      <c r="J1119" s="11"/>
    </row>
    <row r="1120" spans="1:10" x14ac:dyDescent="0.25">
      <c r="A1120" s="2">
        <v>41658</v>
      </c>
      <c r="B1120" s="3">
        <v>585</v>
      </c>
      <c r="C1120" s="4">
        <v>274950</v>
      </c>
      <c r="D1120" s="3">
        <v>347</v>
      </c>
      <c r="E1120" s="4">
        <v>253310</v>
      </c>
      <c r="G1120" s="12">
        <f t="shared" si="104"/>
        <v>2014</v>
      </c>
      <c r="H1120" s="12">
        <f t="shared" si="105"/>
        <v>1</v>
      </c>
      <c r="I1120" s="11">
        <f t="shared" si="106"/>
        <v>37</v>
      </c>
      <c r="J1120" s="11"/>
    </row>
    <row r="1121" spans="1:10" x14ac:dyDescent="0.25">
      <c r="A1121" s="2">
        <v>41659</v>
      </c>
      <c r="B1121" s="3">
        <v>430</v>
      </c>
      <c r="C1121" s="4">
        <v>202100</v>
      </c>
      <c r="D1121" s="3">
        <v>339</v>
      </c>
      <c r="E1121" s="4">
        <v>247470</v>
      </c>
      <c r="G1121" s="12">
        <f t="shared" si="104"/>
        <v>2014</v>
      </c>
      <c r="H1121" s="12">
        <f t="shared" si="105"/>
        <v>1</v>
      </c>
      <c r="I1121" s="11">
        <f t="shared" si="106"/>
        <v>37</v>
      </c>
      <c r="J1121" s="11"/>
    </row>
    <row r="1122" spans="1:10" x14ac:dyDescent="0.25">
      <c r="A1122" s="2">
        <v>41660</v>
      </c>
      <c r="B1122" s="3">
        <v>530</v>
      </c>
      <c r="C1122" s="4">
        <v>249100</v>
      </c>
      <c r="D1122" s="3">
        <v>290</v>
      </c>
      <c r="E1122" s="4">
        <v>211700</v>
      </c>
      <c r="G1122" s="12">
        <f t="shared" si="104"/>
        <v>2014</v>
      </c>
      <c r="H1122" s="12">
        <f t="shared" si="105"/>
        <v>1</v>
      </c>
      <c r="I1122" s="11">
        <f t="shared" si="106"/>
        <v>37</v>
      </c>
      <c r="J1122" s="11"/>
    </row>
    <row r="1123" spans="1:10" x14ac:dyDescent="0.25">
      <c r="A1123" s="2">
        <v>41661</v>
      </c>
      <c r="B1123" s="3">
        <v>428</v>
      </c>
      <c r="C1123" s="4">
        <v>201160</v>
      </c>
      <c r="D1123" s="3">
        <v>277</v>
      </c>
      <c r="E1123" s="4">
        <v>202210</v>
      </c>
      <c r="G1123" s="12">
        <f t="shared" si="104"/>
        <v>2014</v>
      </c>
      <c r="H1123" s="12">
        <f t="shared" si="105"/>
        <v>1</v>
      </c>
      <c r="I1123" s="11">
        <f t="shared" si="106"/>
        <v>37</v>
      </c>
      <c r="J1123" s="11"/>
    </row>
    <row r="1124" spans="1:10" x14ac:dyDescent="0.25">
      <c r="A1124" s="2">
        <v>41662</v>
      </c>
      <c r="B1124" s="3">
        <v>470</v>
      </c>
      <c r="C1124" s="4">
        <v>220900</v>
      </c>
      <c r="D1124" s="3">
        <v>268</v>
      </c>
      <c r="E1124" s="4">
        <v>195640</v>
      </c>
      <c r="G1124" s="12">
        <f t="shared" si="104"/>
        <v>2014</v>
      </c>
      <c r="H1124" s="12">
        <f t="shared" si="105"/>
        <v>1</v>
      </c>
      <c r="I1124" s="11">
        <f t="shared" si="106"/>
        <v>37</v>
      </c>
      <c r="J1124" s="11"/>
    </row>
    <row r="1125" spans="1:10" x14ac:dyDescent="0.25">
      <c r="A1125" s="2">
        <v>41663</v>
      </c>
      <c r="B1125" s="3">
        <v>594</v>
      </c>
      <c r="C1125" s="4">
        <v>279180</v>
      </c>
      <c r="D1125" s="3">
        <v>275</v>
      </c>
      <c r="E1125" s="4">
        <v>200750</v>
      </c>
      <c r="G1125" s="12">
        <f t="shared" si="104"/>
        <v>2014</v>
      </c>
      <c r="H1125" s="12">
        <f t="shared" si="105"/>
        <v>1</v>
      </c>
      <c r="I1125" s="11">
        <f t="shared" si="106"/>
        <v>37</v>
      </c>
      <c r="J1125" s="11"/>
    </row>
    <row r="1126" spans="1:10" x14ac:dyDescent="0.25">
      <c r="A1126" s="2">
        <v>41664</v>
      </c>
      <c r="B1126" s="3">
        <v>422</v>
      </c>
      <c r="C1126" s="4">
        <v>198340</v>
      </c>
      <c r="D1126" s="3">
        <v>275</v>
      </c>
      <c r="E1126" s="4">
        <v>200750</v>
      </c>
      <c r="G1126" s="12">
        <f t="shared" si="104"/>
        <v>2014</v>
      </c>
      <c r="H1126" s="12">
        <f t="shared" si="105"/>
        <v>1</v>
      </c>
      <c r="I1126" s="11">
        <f t="shared" si="106"/>
        <v>37</v>
      </c>
      <c r="J1126" s="11"/>
    </row>
    <row r="1127" spans="1:10" x14ac:dyDescent="0.25">
      <c r="A1127" s="2">
        <v>41665</v>
      </c>
      <c r="B1127" s="3">
        <v>448</v>
      </c>
      <c r="C1127" s="4">
        <v>210560</v>
      </c>
      <c r="D1127" s="3">
        <v>317</v>
      </c>
      <c r="E1127" s="4">
        <v>231410</v>
      </c>
      <c r="G1127" s="12">
        <f t="shared" si="104"/>
        <v>2014</v>
      </c>
      <c r="H1127" s="12">
        <f t="shared" si="105"/>
        <v>1</v>
      </c>
      <c r="I1127" s="11">
        <f t="shared" si="106"/>
        <v>37</v>
      </c>
      <c r="J1127" s="11"/>
    </row>
    <row r="1128" spans="1:10" x14ac:dyDescent="0.25">
      <c r="A1128" s="2">
        <v>41666</v>
      </c>
      <c r="B1128" s="3">
        <v>601</v>
      </c>
      <c r="C1128" s="4">
        <v>282470</v>
      </c>
      <c r="D1128" s="3">
        <v>247</v>
      </c>
      <c r="E1128" s="4">
        <v>180310</v>
      </c>
      <c r="G1128" s="12">
        <f t="shared" si="104"/>
        <v>2014</v>
      </c>
      <c r="H1128" s="12">
        <f t="shared" si="105"/>
        <v>1</v>
      </c>
      <c r="I1128" s="11">
        <f t="shared" si="106"/>
        <v>37</v>
      </c>
      <c r="J1128" s="11"/>
    </row>
    <row r="1129" spans="1:10" x14ac:dyDescent="0.25">
      <c r="A1129" s="2">
        <v>41667</v>
      </c>
      <c r="B1129" s="3">
        <v>424</v>
      </c>
      <c r="C1129" s="4">
        <v>199280</v>
      </c>
      <c r="D1129" s="3">
        <v>252</v>
      </c>
      <c r="E1129" s="4">
        <v>183960</v>
      </c>
      <c r="G1129" s="12">
        <f t="shared" si="104"/>
        <v>2014</v>
      </c>
      <c r="H1129" s="12">
        <f t="shared" si="105"/>
        <v>1</v>
      </c>
      <c r="I1129" s="11">
        <f t="shared" si="106"/>
        <v>37</v>
      </c>
      <c r="J1129" s="11"/>
    </row>
    <row r="1130" spans="1:10" x14ac:dyDescent="0.25">
      <c r="A1130" s="2">
        <v>41668</v>
      </c>
      <c r="B1130" s="3">
        <v>474</v>
      </c>
      <c r="C1130" s="4">
        <v>222780</v>
      </c>
      <c r="D1130" s="3">
        <v>286</v>
      </c>
      <c r="E1130" s="4">
        <v>208780</v>
      </c>
      <c r="G1130" s="12">
        <f t="shared" si="104"/>
        <v>2014</v>
      </c>
      <c r="H1130" s="12">
        <f t="shared" si="105"/>
        <v>1</v>
      </c>
      <c r="I1130" s="11">
        <f t="shared" si="106"/>
        <v>37</v>
      </c>
      <c r="J1130" s="11"/>
    </row>
    <row r="1131" spans="1:10" x14ac:dyDescent="0.25">
      <c r="A1131" s="2">
        <v>41669</v>
      </c>
      <c r="B1131" s="3">
        <v>412</v>
      </c>
      <c r="C1131" s="4">
        <v>193640</v>
      </c>
      <c r="D1131" s="3">
        <v>286</v>
      </c>
      <c r="E1131" s="4">
        <v>208780</v>
      </c>
      <c r="G1131" s="12">
        <f t="shared" si="104"/>
        <v>2014</v>
      </c>
      <c r="H1131" s="12">
        <f t="shared" si="105"/>
        <v>1</v>
      </c>
      <c r="I1131" s="11">
        <f t="shared" si="106"/>
        <v>37</v>
      </c>
      <c r="J1131" s="11"/>
    </row>
    <row r="1132" spans="1:10" x14ac:dyDescent="0.25">
      <c r="A1132" s="2">
        <v>41670</v>
      </c>
      <c r="B1132" s="3">
        <v>375</v>
      </c>
      <c r="C1132" s="4">
        <v>176250</v>
      </c>
      <c r="D1132" s="3">
        <v>338</v>
      </c>
      <c r="E1132" s="4">
        <v>246740</v>
      </c>
      <c r="G1132" s="12">
        <f t="shared" si="104"/>
        <v>2014</v>
      </c>
      <c r="H1132" s="12">
        <f t="shared" si="105"/>
        <v>1</v>
      </c>
      <c r="I1132" s="11">
        <f t="shared" si="106"/>
        <v>37</v>
      </c>
      <c r="J1132" s="11"/>
    </row>
    <row r="1133" spans="1:10" x14ac:dyDescent="0.25">
      <c r="A1133" s="2">
        <v>41671</v>
      </c>
      <c r="B1133" s="3">
        <v>497</v>
      </c>
      <c r="C1133" s="4">
        <v>233590</v>
      </c>
      <c r="D1133" s="3">
        <v>241</v>
      </c>
      <c r="E1133" s="4">
        <v>175930</v>
      </c>
      <c r="G1133" s="12">
        <f t="shared" si="104"/>
        <v>2014</v>
      </c>
      <c r="H1133" s="12">
        <f t="shared" si="105"/>
        <v>2</v>
      </c>
      <c r="I1133" s="11">
        <f t="shared" si="106"/>
        <v>38</v>
      </c>
      <c r="J1133" s="11"/>
    </row>
    <row r="1134" spans="1:10" x14ac:dyDescent="0.25">
      <c r="A1134" s="2">
        <v>41672</v>
      </c>
      <c r="B1134" s="3">
        <v>470</v>
      </c>
      <c r="C1134" s="4">
        <v>220900</v>
      </c>
      <c r="D1134" s="3">
        <v>276</v>
      </c>
      <c r="E1134" s="4">
        <v>201480</v>
      </c>
      <c r="G1134" s="12">
        <f t="shared" si="104"/>
        <v>2014</v>
      </c>
      <c r="H1134" s="12">
        <f t="shared" si="105"/>
        <v>2</v>
      </c>
      <c r="I1134" s="11">
        <f t="shared" si="106"/>
        <v>38</v>
      </c>
      <c r="J1134" s="11"/>
    </row>
    <row r="1135" spans="1:10" x14ac:dyDescent="0.25">
      <c r="A1135" s="2">
        <v>41673</v>
      </c>
      <c r="B1135" s="3">
        <v>490</v>
      </c>
      <c r="C1135" s="4">
        <v>230300</v>
      </c>
      <c r="D1135" s="3">
        <v>236</v>
      </c>
      <c r="E1135" s="4">
        <v>172280</v>
      </c>
      <c r="G1135" s="12">
        <f t="shared" si="104"/>
        <v>2014</v>
      </c>
      <c r="H1135" s="12">
        <f t="shared" si="105"/>
        <v>2</v>
      </c>
      <c r="I1135" s="11">
        <f t="shared" si="106"/>
        <v>38</v>
      </c>
      <c r="J1135" s="11"/>
    </row>
    <row r="1136" spans="1:10" x14ac:dyDescent="0.25">
      <c r="A1136" s="2">
        <v>41674</v>
      </c>
      <c r="B1136" s="3">
        <v>429</v>
      </c>
      <c r="C1136" s="4">
        <v>201630</v>
      </c>
      <c r="D1136" s="3">
        <v>269</v>
      </c>
      <c r="E1136" s="4">
        <v>196370</v>
      </c>
      <c r="G1136" s="12">
        <f t="shared" si="104"/>
        <v>2014</v>
      </c>
      <c r="H1136" s="12">
        <f t="shared" si="105"/>
        <v>2</v>
      </c>
      <c r="I1136" s="11">
        <f t="shared" si="106"/>
        <v>38</v>
      </c>
      <c r="J1136" s="11"/>
    </row>
    <row r="1137" spans="1:10" x14ac:dyDescent="0.25">
      <c r="A1137" s="2">
        <v>41675</v>
      </c>
      <c r="B1137" s="3">
        <v>341</v>
      </c>
      <c r="C1137" s="4">
        <v>160270</v>
      </c>
      <c r="D1137" s="3">
        <v>300</v>
      </c>
      <c r="E1137" s="4">
        <v>219000</v>
      </c>
      <c r="G1137" s="12">
        <f t="shared" si="104"/>
        <v>2014</v>
      </c>
      <c r="H1137" s="12">
        <f t="shared" si="105"/>
        <v>2</v>
      </c>
      <c r="I1137" s="11">
        <f t="shared" si="106"/>
        <v>38</v>
      </c>
      <c r="J1137" s="11"/>
    </row>
    <row r="1138" spans="1:10" x14ac:dyDescent="0.25">
      <c r="A1138" s="2">
        <v>41676</v>
      </c>
      <c r="B1138" s="3">
        <v>465</v>
      </c>
      <c r="C1138" s="4">
        <v>218550</v>
      </c>
      <c r="D1138" s="3">
        <v>353</v>
      </c>
      <c r="E1138" s="4">
        <v>257690</v>
      </c>
      <c r="G1138" s="12">
        <f t="shared" si="104"/>
        <v>2014</v>
      </c>
      <c r="H1138" s="12">
        <f t="shared" si="105"/>
        <v>2</v>
      </c>
      <c r="I1138" s="11">
        <f t="shared" si="106"/>
        <v>38</v>
      </c>
      <c r="J1138" s="11"/>
    </row>
    <row r="1139" spans="1:10" x14ac:dyDescent="0.25">
      <c r="A1139" s="2">
        <v>41677</v>
      </c>
      <c r="B1139" s="3">
        <v>478</v>
      </c>
      <c r="C1139" s="4">
        <v>224660</v>
      </c>
      <c r="D1139" s="3">
        <v>270</v>
      </c>
      <c r="E1139" s="4">
        <v>197100</v>
      </c>
      <c r="G1139" s="12">
        <f t="shared" si="104"/>
        <v>2014</v>
      </c>
      <c r="H1139" s="12">
        <f t="shared" si="105"/>
        <v>2</v>
      </c>
      <c r="I1139" s="11">
        <f t="shared" si="106"/>
        <v>38</v>
      </c>
      <c r="J1139" s="11"/>
    </row>
    <row r="1140" spans="1:10" x14ac:dyDescent="0.25">
      <c r="A1140" s="2">
        <v>41678</v>
      </c>
      <c r="B1140" s="3">
        <v>471</v>
      </c>
      <c r="C1140" s="4">
        <v>221370</v>
      </c>
      <c r="D1140" s="3">
        <v>317</v>
      </c>
      <c r="E1140" s="4">
        <v>231410</v>
      </c>
      <c r="G1140" s="12">
        <f t="shared" si="104"/>
        <v>2014</v>
      </c>
      <c r="H1140" s="12">
        <f t="shared" si="105"/>
        <v>2</v>
      </c>
      <c r="I1140" s="11">
        <f t="shared" si="106"/>
        <v>38</v>
      </c>
      <c r="J1140" s="11"/>
    </row>
    <row r="1141" spans="1:10" x14ac:dyDescent="0.25">
      <c r="A1141" s="2">
        <v>41679</v>
      </c>
      <c r="B1141" s="3">
        <v>453</v>
      </c>
      <c r="C1141" s="4">
        <v>212910</v>
      </c>
      <c r="D1141" s="3">
        <v>344</v>
      </c>
      <c r="E1141" s="4">
        <v>251120</v>
      </c>
      <c r="G1141" s="12">
        <f t="shared" si="104"/>
        <v>2014</v>
      </c>
      <c r="H1141" s="12">
        <f t="shared" si="105"/>
        <v>2</v>
      </c>
      <c r="I1141" s="11">
        <f t="shared" si="106"/>
        <v>38</v>
      </c>
      <c r="J1141" s="11"/>
    </row>
    <row r="1142" spans="1:10" x14ac:dyDescent="0.25">
      <c r="A1142" s="2">
        <v>41680</v>
      </c>
      <c r="B1142" s="3">
        <v>430</v>
      </c>
      <c r="C1142" s="4">
        <v>202100</v>
      </c>
      <c r="D1142" s="3">
        <v>348</v>
      </c>
      <c r="E1142" s="4">
        <v>254040</v>
      </c>
      <c r="G1142" s="12">
        <f t="shared" si="104"/>
        <v>2014</v>
      </c>
      <c r="H1142" s="12">
        <f t="shared" si="105"/>
        <v>2</v>
      </c>
      <c r="I1142" s="11">
        <f t="shared" si="106"/>
        <v>38</v>
      </c>
      <c r="J1142" s="11"/>
    </row>
    <row r="1143" spans="1:10" x14ac:dyDescent="0.25">
      <c r="A1143" s="2">
        <v>41681</v>
      </c>
      <c r="B1143" s="3">
        <v>404</v>
      </c>
      <c r="C1143" s="4">
        <v>189880</v>
      </c>
      <c r="D1143" s="3">
        <v>232</v>
      </c>
      <c r="E1143" s="4">
        <v>169360</v>
      </c>
      <c r="G1143" s="12">
        <f t="shared" si="104"/>
        <v>2014</v>
      </c>
      <c r="H1143" s="12">
        <f t="shared" si="105"/>
        <v>2</v>
      </c>
      <c r="I1143" s="11">
        <f t="shared" si="106"/>
        <v>38</v>
      </c>
      <c r="J1143" s="11"/>
    </row>
    <row r="1144" spans="1:10" x14ac:dyDescent="0.25">
      <c r="A1144" s="2">
        <v>41682</v>
      </c>
      <c r="B1144" s="3">
        <v>459</v>
      </c>
      <c r="C1144" s="4">
        <v>215730</v>
      </c>
      <c r="D1144" s="3">
        <v>322</v>
      </c>
      <c r="E1144" s="4">
        <v>235060</v>
      </c>
      <c r="G1144" s="12">
        <f t="shared" si="104"/>
        <v>2014</v>
      </c>
      <c r="H1144" s="12">
        <f t="shared" si="105"/>
        <v>2</v>
      </c>
      <c r="I1144" s="11">
        <f t="shared" si="106"/>
        <v>38</v>
      </c>
      <c r="J1144" s="11"/>
    </row>
    <row r="1145" spans="1:10" x14ac:dyDescent="0.25">
      <c r="A1145" s="2">
        <v>41683</v>
      </c>
      <c r="B1145" s="3">
        <v>559</v>
      </c>
      <c r="C1145" s="4">
        <v>262730</v>
      </c>
      <c r="D1145" s="3">
        <v>333</v>
      </c>
      <c r="E1145" s="4">
        <v>243090</v>
      </c>
      <c r="G1145" s="12">
        <f t="shared" si="104"/>
        <v>2014</v>
      </c>
      <c r="H1145" s="12">
        <f t="shared" si="105"/>
        <v>2</v>
      </c>
      <c r="I1145" s="11">
        <f t="shared" si="106"/>
        <v>38</v>
      </c>
      <c r="J1145" s="11"/>
    </row>
    <row r="1146" spans="1:10" x14ac:dyDescent="0.25">
      <c r="A1146" s="2">
        <v>41684</v>
      </c>
      <c r="B1146" s="3">
        <v>460</v>
      </c>
      <c r="C1146" s="4">
        <v>216200</v>
      </c>
      <c r="D1146" s="3">
        <v>272</v>
      </c>
      <c r="E1146" s="4">
        <v>198560</v>
      </c>
      <c r="G1146" s="12">
        <f t="shared" si="104"/>
        <v>2014</v>
      </c>
      <c r="H1146" s="12">
        <f t="shared" si="105"/>
        <v>2</v>
      </c>
      <c r="I1146" s="11">
        <f t="shared" si="106"/>
        <v>38</v>
      </c>
      <c r="J1146" s="11"/>
    </row>
    <row r="1147" spans="1:10" x14ac:dyDescent="0.25">
      <c r="A1147" s="2">
        <v>41685</v>
      </c>
      <c r="B1147" s="3">
        <v>450</v>
      </c>
      <c r="C1147" s="4">
        <v>211500</v>
      </c>
      <c r="D1147" s="3">
        <v>331</v>
      </c>
      <c r="E1147" s="4">
        <v>241630</v>
      </c>
      <c r="G1147" s="12">
        <f t="shared" si="104"/>
        <v>2014</v>
      </c>
      <c r="H1147" s="12">
        <f t="shared" si="105"/>
        <v>2</v>
      </c>
      <c r="I1147" s="11">
        <f t="shared" si="106"/>
        <v>38</v>
      </c>
      <c r="J1147" s="11"/>
    </row>
    <row r="1148" spans="1:10" x14ac:dyDescent="0.25">
      <c r="A1148" s="2">
        <v>41686</v>
      </c>
      <c r="B1148" s="3">
        <v>477</v>
      </c>
      <c r="C1148" s="4">
        <v>224190</v>
      </c>
      <c r="D1148" s="3">
        <v>241</v>
      </c>
      <c r="E1148" s="4">
        <v>175930</v>
      </c>
      <c r="G1148" s="12">
        <f t="shared" si="104"/>
        <v>2014</v>
      </c>
      <c r="H1148" s="12">
        <f t="shared" si="105"/>
        <v>2</v>
      </c>
      <c r="I1148" s="11">
        <f t="shared" si="106"/>
        <v>38</v>
      </c>
      <c r="J1148" s="11"/>
    </row>
    <row r="1149" spans="1:10" x14ac:dyDescent="0.25">
      <c r="A1149" s="2">
        <v>41687</v>
      </c>
      <c r="B1149" s="3">
        <v>502</v>
      </c>
      <c r="C1149" s="4">
        <v>235940</v>
      </c>
      <c r="D1149" s="3">
        <v>291</v>
      </c>
      <c r="E1149" s="4">
        <v>212430</v>
      </c>
      <c r="G1149" s="12">
        <f t="shared" si="104"/>
        <v>2014</v>
      </c>
      <c r="H1149" s="12">
        <f t="shared" si="105"/>
        <v>2</v>
      </c>
      <c r="I1149" s="11">
        <f t="shared" si="106"/>
        <v>38</v>
      </c>
      <c r="J1149" s="11"/>
    </row>
    <row r="1150" spans="1:10" x14ac:dyDescent="0.25">
      <c r="A1150" s="2">
        <v>41688</v>
      </c>
      <c r="B1150" s="3">
        <v>509</v>
      </c>
      <c r="C1150" s="4">
        <v>239230</v>
      </c>
      <c r="D1150" s="3">
        <v>313</v>
      </c>
      <c r="E1150" s="4">
        <v>228490</v>
      </c>
      <c r="G1150" s="12">
        <f t="shared" si="104"/>
        <v>2014</v>
      </c>
      <c r="H1150" s="12">
        <f t="shared" si="105"/>
        <v>2</v>
      </c>
      <c r="I1150" s="11">
        <f t="shared" si="106"/>
        <v>38</v>
      </c>
      <c r="J1150" s="11"/>
    </row>
    <row r="1151" spans="1:10" x14ac:dyDescent="0.25">
      <c r="A1151" s="2">
        <v>41689</v>
      </c>
      <c r="B1151" s="3">
        <v>434</v>
      </c>
      <c r="C1151" s="4">
        <v>203980</v>
      </c>
      <c r="D1151" s="3">
        <v>318</v>
      </c>
      <c r="E1151" s="4">
        <v>232140</v>
      </c>
      <c r="G1151" s="12">
        <f t="shared" si="104"/>
        <v>2014</v>
      </c>
      <c r="H1151" s="12">
        <f t="shared" si="105"/>
        <v>2</v>
      </c>
      <c r="I1151" s="11">
        <f t="shared" si="106"/>
        <v>38</v>
      </c>
      <c r="J1151" s="11"/>
    </row>
    <row r="1152" spans="1:10" x14ac:dyDescent="0.25">
      <c r="A1152" s="2">
        <v>41690</v>
      </c>
      <c r="B1152" s="3">
        <v>491</v>
      </c>
      <c r="C1152" s="4">
        <v>230770</v>
      </c>
      <c r="D1152" s="3">
        <v>300</v>
      </c>
      <c r="E1152" s="4">
        <v>219000</v>
      </c>
      <c r="G1152" s="12">
        <f t="shared" si="104"/>
        <v>2014</v>
      </c>
      <c r="H1152" s="12">
        <f t="shared" si="105"/>
        <v>2</v>
      </c>
      <c r="I1152" s="11">
        <f t="shared" si="106"/>
        <v>38</v>
      </c>
      <c r="J1152" s="11"/>
    </row>
    <row r="1153" spans="1:10" x14ac:dyDescent="0.25">
      <c r="A1153" s="2">
        <v>41691</v>
      </c>
      <c r="B1153" s="3">
        <v>456</v>
      </c>
      <c r="C1153" s="4">
        <v>214320</v>
      </c>
      <c r="D1153" s="3">
        <v>315</v>
      </c>
      <c r="E1153" s="4">
        <v>229950</v>
      </c>
      <c r="G1153" s="12">
        <f t="shared" si="104"/>
        <v>2014</v>
      </c>
      <c r="H1153" s="12">
        <f t="shared" si="105"/>
        <v>2</v>
      </c>
      <c r="I1153" s="11">
        <f t="shared" si="106"/>
        <v>38</v>
      </c>
      <c r="J1153" s="11"/>
    </row>
    <row r="1154" spans="1:10" x14ac:dyDescent="0.25">
      <c r="A1154" s="2">
        <v>41692</v>
      </c>
      <c r="B1154" s="3">
        <v>414</v>
      </c>
      <c r="C1154" s="4">
        <v>194580</v>
      </c>
      <c r="D1154" s="3">
        <v>331</v>
      </c>
      <c r="E1154" s="4">
        <v>241630</v>
      </c>
      <c r="G1154" s="12">
        <f t="shared" si="104"/>
        <v>2014</v>
      </c>
      <c r="H1154" s="12">
        <f t="shared" si="105"/>
        <v>2</v>
      </c>
      <c r="I1154" s="11">
        <f t="shared" si="106"/>
        <v>38</v>
      </c>
      <c r="J1154" s="11"/>
    </row>
    <row r="1155" spans="1:10" x14ac:dyDescent="0.25">
      <c r="A1155" s="2">
        <v>41693</v>
      </c>
      <c r="B1155" s="3">
        <v>421</v>
      </c>
      <c r="C1155" s="4">
        <v>197870</v>
      </c>
      <c r="D1155" s="3">
        <v>281</v>
      </c>
      <c r="E1155" s="4">
        <v>205130</v>
      </c>
      <c r="G1155" s="12">
        <f t="shared" si="104"/>
        <v>2014</v>
      </c>
      <c r="H1155" s="12">
        <f t="shared" si="105"/>
        <v>2</v>
      </c>
      <c r="I1155" s="11">
        <f t="shared" si="106"/>
        <v>38</v>
      </c>
      <c r="J1155" s="11"/>
    </row>
    <row r="1156" spans="1:10" x14ac:dyDescent="0.25">
      <c r="A1156" s="2">
        <v>41694</v>
      </c>
      <c r="B1156" s="3">
        <v>537</v>
      </c>
      <c r="C1156" s="4">
        <v>252390</v>
      </c>
      <c r="D1156" s="3">
        <v>333</v>
      </c>
      <c r="E1156" s="4">
        <v>243090</v>
      </c>
      <c r="G1156" s="12">
        <f t="shared" si="104"/>
        <v>2014</v>
      </c>
      <c r="H1156" s="12">
        <f t="shared" si="105"/>
        <v>2</v>
      </c>
      <c r="I1156" s="11">
        <f t="shared" si="106"/>
        <v>38</v>
      </c>
      <c r="J1156" s="11"/>
    </row>
    <row r="1157" spans="1:10" x14ac:dyDescent="0.25">
      <c r="A1157" s="2">
        <v>41695</v>
      </c>
      <c r="B1157" s="3">
        <v>430</v>
      </c>
      <c r="C1157" s="4">
        <v>202100</v>
      </c>
      <c r="D1157" s="3">
        <v>309</v>
      </c>
      <c r="E1157" s="4">
        <v>225570</v>
      </c>
      <c r="G1157" s="12">
        <f t="shared" si="104"/>
        <v>2014</v>
      </c>
      <c r="H1157" s="12">
        <f t="shared" si="105"/>
        <v>2</v>
      </c>
      <c r="I1157" s="11">
        <f t="shared" si="106"/>
        <v>38</v>
      </c>
      <c r="J1157" s="11"/>
    </row>
    <row r="1158" spans="1:10" x14ac:dyDescent="0.25">
      <c r="A1158" s="2">
        <v>41696</v>
      </c>
      <c r="B1158" s="3">
        <v>513</v>
      </c>
      <c r="C1158" s="4">
        <v>241110</v>
      </c>
      <c r="D1158" s="3">
        <v>242</v>
      </c>
      <c r="E1158" s="4">
        <v>176660</v>
      </c>
      <c r="G1158" s="12">
        <f t="shared" ref="G1158:G1221" si="107">+YEAR(A1158)</f>
        <v>2014</v>
      </c>
      <c r="H1158" s="12">
        <f t="shared" ref="H1158:H1221" si="108">+MONTH(A1158)</f>
        <v>2</v>
      </c>
      <c r="I1158" s="11">
        <f t="shared" si="106"/>
        <v>38</v>
      </c>
      <c r="J1158" s="11"/>
    </row>
    <row r="1159" spans="1:10" x14ac:dyDescent="0.25">
      <c r="A1159" s="2">
        <v>41697</v>
      </c>
      <c r="B1159" s="3">
        <v>531</v>
      </c>
      <c r="C1159" s="4">
        <v>249570</v>
      </c>
      <c r="D1159" s="3">
        <v>273</v>
      </c>
      <c r="E1159" s="4">
        <v>199290</v>
      </c>
      <c r="G1159" s="12">
        <f t="shared" si="107"/>
        <v>2014</v>
      </c>
      <c r="H1159" s="12">
        <f t="shared" si="108"/>
        <v>2</v>
      </c>
      <c r="I1159" s="11">
        <f t="shared" ref="I1159:I1222" si="109">+H1159+(G1159-2011)*12</f>
        <v>38</v>
      </c>
      <c r="J1159" s="11"/>
    </row>
    <row r="1160" spans="1:10" x14ac:dyDescent="0.25">
      <c r="A1160" s="2">
        <v>41698</v>
      </c>
      <c r="B1160" s="3">
        <v>481</v>
      </c>
      <c r="C1160" s="4">
        <v>226070</v>
      </c>
      <c r="D1160" s="3">
        <v>347</v>
      </c>
      <c r="E1160" s="4">
        <v>253310</v>
      </c>
      <c r="G1160" s="12">
        <f t="shared" si="107"/>
        <v>2014</v>
      </c>
      <c r="H1160" s="12">
        <f t="shared" si="108"/>
        <v>2</v>
      </c>
      <c r="I1160" s="11">
        <f t="shared" si="109"/>
        <v>38</v>
      </c>
      <c r="J1160" s="11"/>
    </row>
    <row r="1161" spans="1:10" x14ac:dyDescent="0.25">
      <c r="A1161" s="2">
        <v>41699</v>
      </c>
      <c r="B1161" s="3">
        <v>438</v>
      </c>
      <c r="C1161" s="4">
        <v>205860</v>
      </c>
      <c r="D1161" s="3">
        <v>297</v>
      </c>
      <c r="E1161" s="4">
        <v>216810</v>
      </c>
      <c r="G1161" s="12">
        <f t="shared" si="107"/>
        <v>2014</v>
      </c>
      <c r="H1161" s="12">
        <f t="shared" si="108"/>
        <v>3</v>
      </c>
      <c r="I1161" s="11">
        <f t="shared" si="109"/>
        <v>39</v>
      </c>
      <c r="J1161" s="11"/>
    </row>
    <row r="1162" spans="1:10" x14ac:dyDescent="0.25">
      <c r="A1162" s="2">
        <v>41700</v>
      </c>
      <c r="B1162" s="3">
        <v>513</v>
      </c>
      <c r="C1162" s="4">
        <v>241110</v>
      </c>
      <c r="D1162" s="3">
        <v>306</v>
      </c>
      <c r="E1162" s="4">
        <v>223380</v>
      </c>
      <c r="G1162" s="12">
        <f t="shared" si="107"/>
        <v>2014</v>
      </c>
      <c r="H1162" s="12">
        <f t="shared" si="108"/>
        <v>3</v>
      </c>
      <c r="I1162" s="11">
        <f t="shared" si="109"/>
        <v>39</v>
      </c>
      <c r="J1162" s="11"/>
    </row>
    <row r="1163" spans="1:10" x14ac:dyDescent="0.25">
      <c r="A1163" s="2">
        <v>41701</v>
      </c>
      <c r="B1163" s="3">
        <v>455</v>
      </c>
      <c r="C1163" s="4">
        <v>213850</v>
      </c>
      <c r="D1163" s="3">
        <v>334</v>
      </c>
      <c r="E1163" s="4">
        <v>243820</v>
      </c>
      <c r="G1163" s="12">
        <f t="shared" si="107"/>
        <v>2014</v>
      </c>
      <c r="H1163" s="12">
        <f t="shared" si="108"/>
        <v>3</v>
      </c>
      <c r="I1163" s="11">
        <f t="shared" si="109"/>
        <v>39</v>
      </c>
      <c r="J1163" s="11"/>
    </row>
    <row r="1164" spans="1:10" x14ac:dyDescent="0.25">
      <c r="A1164" s="2">
        <v>41702</v>
      </c>
      <c r="B1164" s="3">
        <v>459</v>
      </c>
      <c r="C1164" s="4">
        <v>215730</v>
      </c>
      <c r="D1164" s="3">
        <v>328</v>
      </c>
      <c r="E1164" s="4">
        <v>239440</v>
      </c>
      <c r="G1164" s="12">
        <f t="shared" si="107"/>
        <v>2014</v>
      </c>
      <c r="H1164" s="12">
        <f t="shared" si="108"/>
        <v>3</v>
      </c>
      <c r="I1164" s="11">
        <f t="shared" si="109"/>
        <v>39</v>
      </c>
      <c r="J1164" s="11"/>
    </row>
    <row r="1165" spans="1:10" x14ac:dyDescent="0.25">
      <c r="A1165" s="2">
        <v>41703</v>
      </c>
      <c r="B1165" s="3">
        <v>469</v>
      </c>
      <c r="C1165" s="4">
        <v>220430</v>
      </c>
      <c r="D1165" s="3">
        <v>301</v>
      </c>
      <c r="E1165" s="4">
        <v>219730</v>
      </c>
      <c r="G1165" s="12">
        <f t="shared" si="107"/>
        <v>2014</v>
      </c>
      <c r="H1165" s="12">
        <f t="shared" si="108"/>
        <v>3</v>
      </c>
      <c r="I1165" s="11">
        <f t="shared" si="109"/>
        <v>39</v>
      </c>
      <c r="J1165" s="11"/>
    </row>
    <row r="1166" spans="1:10" x14ac:dyDescent="0.25">
      <c r="A1166" s="2">
        <v>41704</v>
      </c>
      <c r="B1166" s="3">
        <v>441</v>
      </c>
      <c r="C1166" s="4">
        <v>207270</v>
      </c>
      <c r="D1166" s="3">
        <v>280</v>
      </c>
      <c r="E1166" s="4">
        <v>204400</v>
      </c>
      <c r="G1166" s="12">
        <f t="shared" si="107"/>
        <v>2014</v>
      </c>
      <c r="H1166" s="12">
        <f t="shared" si="108"/>
        <v>3</v>
      </c>
      <c r="I1166" s="11">
        <f t="shared" si="109"/>
        <v>39</v>
      </c>
      <c r="J1166" s="11"/>
    </row>
    <row r="1167" spans="1:10" x14ac:dyDescent="0.25">
      <c r="A1167" s="2">
        <v>41705</v>
      </c>
      <c r="B1167" s="3">
        <v>534</v>
      </c>
      <c r="C1167" s="4">
        <v>250980</v>
      </c>
      <c r="D1167" s="3">
        <v>303</v>
      </c>
      <c r="E1167" s="4">
        <v>221190</v>
      </c>
      <c r="G1167" s="12">
        <f t="shared" si="107"/>
        <v>2014</v>
      </c>
      <c r="H1167" s="12">
        <f t="shared" si="108"/>
        <v>3</v>
      </c>
      <c r="I1167" s="11">
        <f t="shared" si="109"/>
        <v>39</v>
      </c>
      <c r="J1167" s="11"/>
    </row>
    <row r="1168" spans="1:10" x14ac:dyDescent="0.25">
      <c r="A1168" s="2">
        <v>41706</v>
      </c>
      <c r="B1168" s="3">
        <v>456</v>
      </c>
      <c r="C1168" s="4">
        <v>214320</v>
      </c>
      <c r="D1168" s="3">
        <v>354</v>
      </c>
      <c r="E1168" s="4">
        <v>258420</v>
      </c>
      <c r="G1168" s="12">
        <f t="shared" si="107"/>
        <v>2014</v>
      </c>
      <c r="H1168" s="12">
        <f t="shared" si="108"/>
        <v>3</v>
      </c>
      <c r="I1168" s="11">
        <f t="shared" si="109"/>
        <v>39</v>
      </c>
      <c r="J1168" s="11"/>
    </row>
    <row r="1169" spans="1:10" x14ac:dyDescent="0.25">
      <c r="A1169" s="2">
        <v>41707</v>
      </c>
      <c r="B1169" s="3">
        <v>415</v>
      </c>
      <c r="C1169" s="4">
        <v>195050</v>
      </c>
      <c r="D1169" s="3">
        <v>321</v>
      </c>
      <c r="E1169" s="4">
        <v>234330</v>
      </c>
      <c r="G1169" s="12">
        <f t="shared" si="107"/>
        <v>2014</v>
      </c>
      <c r="H1169" s="12">
        <f t="shared" si="108"/>
        <v>3</v>
      </c>
      <c r="I1169" s="11">
        <f t="shared" si="109"/>
        <v>39</v>
      </c>
      <c r="J1169" s="11"/>
    </row>
    <row r="1170" spans="1:10" x14ac:dyDescent="0.25">
      <c r="A1170" s="2">
        <v>41708</v>
      </c>
      <c r="B1170" s="3">
        <v>446</v>
      </c>
      <c r="C1170" s="4">
        <v>209620</v>
      </c>
      <c r="D1170" s="3">
        <v>267</v>
      </c>
      <c r="E1170" s="4">
        <v>194910</v>
      </c>
      <c r="G1170" s="12">
        <f t="shared" si="107"/>
        <v>2014</v>
      </c>
      <c r="H1170" s="12">
        <f t="shared" si="108"/>
        <v>3</v>
      </c>
      <c r="I1170" s="11">
        <f t="shared" si="109"/>
        <v>39</v>
      </c>
      <c r="J1170" s="11"/>
    </row>
    <row r="1171" spans="1:10" x14ac:dyDescent="0.25">
      <c r="A1171" s="2">
        <v>41709</v>
      </c>
      <c r="B1171" s="3">
        <v>462</v>
      </c>
      <c r="C1171" s="4">
        <v>217140</v>
      </c>
      <c r="D1171" s="3">
        <v>275</v>
      </c>
      <c r="E1171" s="4">
        <v>200750</v>
      </c>
      <c r="G1171" s="12">
        <f t="shared" si="107"/>
        <v>2014</v>
      </c>
      <c r="H1171" s="12">
        <f t="shared" si="108"/>
        <v>3</v>
      </c>
      <c r="I1171" s="11">
        <f t="shared" si="109"/>
        <v>39</v>
      </c>
      <c r="J1171" s="11"/>
    </row>
    <row r="1172" spans="1:10" x14ac:dyDescent="0.25">
      <c r="A1172" s="2">
        <v>41710</v>
      </c>
      <c r="B1172" s="3">
        <v>455</v>
      </c>
      <c r="C1172" s="4">
        <v>213850</v>
      </c>
      <c r="D1172" s="3">
        <v>287</v>
      </c>
      <c r="E1172" s="4">
        <v>209510</v>
      </c>
      <c r="G1172" s="12">
        <f t="shared" si="107"/>
        <v>2014</v>
      </c>
      <c r="H1172" s="12">
        <f t="shared" si="108"/>
        <v>3</v>
      </c>
      <c r="I1172" s="11">
        <f t="shared" si="109"/>
        <v>39</v>
      </c>
      <c r="J1172" s="11"/>
    </row>
    <row r="1173" spans="1:10" x14ac:dyDescent="0.25">
      <c r="A1173" s="2">
        <v>41711</v>
      </c>
      <c r="B1173" s="3">
        <v>445</v>
      </c>
      <c r="C1173" s="4">
        <v>209150</v>
      </c>
      <c r="D1173" s="3">
        <v>290</v>
      </c>
      <c r="E1173" s="4">
        <v>211700</v>
      </c>
      <c r="G1173" s="12">
        <f t="shared" si="107"/>
        <v>2014</v>
      </c>
      <c r="H1173" s="12">
        <f t="shared" si="108"/>
        <v>3</v>
      </c>
      <c r="I1173" s="11">
        <f t="shared" si="109"/>
        <v>39</v>
      </c>
      <c r="J1173" s="11"/>
    </row>
    <row r="1174" spans="1:10" x14ac:dyDescent="0.25">
      <c r="A1174" s="2">
        <v>41712</v>
      </c>
      <c r="B1174" s="3">
        <v>426</v>
      </c>
      <c r="C1174" s="4">
        <v>200220</v>
      </c>
      <c r="D1174" s="3">
        <v>298</v>
      </c>
      <c r="E1174" s="4">
        <v>217540</v>
      </c>
      <c r="G1174" s="12">
        <f t="shared" si="107"/>
        <v>2014</v>
      </c>
      <c r="H1174" s="12">
        <f t="shared" si="108"/>
        <v>3</v>
      </c>
      <c r="I1174" s="11">
        <f t="shared" si="109"/>
        <v>39</v>
      </c>
      <c r="J1174" s="11"/>
    </row>
    <row r="1175" spans="1:10" x14ac:dyDescent="0.25">
      <c r="A1175" s="2">
        <v>41713</v>
      </c>
      <c r="B1175" s="3">
        <v>445</v>
      </c>
      <c r="C1175" s="4">
        <v>209150</v>
      </c>
      <c r="D1175" s="3">
        <v>301</v>
      </c>
      <c r="E1175" s="4">
        <v>219730</v>
      </c>
      <c r="G1175" s="12">
        <f t="shared" si="107"/>
        <v>2014</v>
      </c>
      <c r="H1175" s="12">
        <f t="shared" si="108"/>
        <v>3</v>
      </c>
      <c r="I1175" s="11">
        <f t="shared" si="109"/>
        <v>39</v>
      </c>
      <c r="J1175" s="11"/>
    </row>
    <row r="1176" spans="1:10" x14ac:dyDescent="0.25">
      <c r="A1176" s="2">
        <v>41714</v>
      </c>
      <c r="B1176" s="3">
        <v>455</v>
      </c>
      <c r="C1176" s="4">
        <v>213850</v>
      </c>
      <c r="D1176" s="3">
        <v>276</v>
      </c>
      <c r="E1176" s="4">
        <v>201480</v>
      </c>
      <c r="G1176" s="12">
        <f t="shared" si="107"/>
        <v>2014</v>
      </c>
      <c r="H1176" s="12">
        <f t="shared" si="108"/>
        <v>3</v>
      </c>
      <c r="I1176" s="11">
        <f t="shared" si="109"/>
        <v>39</v>
      </c>
      <c r="J1176" s="11"/>
    </row>
    <row r="1177" spans="1:10" x14ac:dyDescent="0.25">
      <c r="A1177" s="2">
        <v>41715</v>
      </c>
      <c r="B1177" s="3">
        <v>516</v>
      </c>
      <c r="C1177" s="4">
        <v>242520</v>
      </c>
      <c r="D1177" s="3">
        <v>303</v>
      </c>
      <c r="E1177" s="4">
        <v>221190</v>
      </c>
      <c r="G1177" s="12">
        <f t="shared" si="107"/>
        <v>2014</v>
      </c>
      <c r="H1177" s="12">
        <f t="shared" si="108"/>
        <v>3</v>
      </c>
      <c r="I1177" s="11">
        <f t="shared" si="109"/>
        <v>39</v>
      </c>
      <c r="J1177" s="11"/>
    </row>
    <row r="1178" spans="1:10" x14ac:dyDescent="0.25">
      <c r="A1178" s="2">
        <v>41716</v>
      </c>
      <c r="B1178" s="3">
        <v>430</v>
      </c>
      <c r="C1178" s="4">
        <v>202100</v>
      </c>
      <c r="D1178" s="3">
        <v>330</v>
      </c>
      <c r="E1178" s="4">
        <v>240900</v>
      </c>
      <c r="G1178" s="12">
        <f t="shared" si="107"/>
        <v>2014</v>
      </c>
      <c r="H1178" s="12">
        <f t="shared" si="108"/>
        <v>3</v>
      </c>
      <c r="I1178" s="11">
        <f t="shared" si="109"/>
        <v>39</v>
      </c>
      <c r="J1178" s="11"/>
    </row>
    <row r="1179" spans="1:10" x14ac:dyDescent="0.25">
      <c r="A1179" s="2">
        <v>41717</v>
      </c>
      <c r="B1179" s="3">
        <v>429</v>
      </c>
      <c r="C1179" s="4">
        <v>201630</v>
      </c>
      <c r="D1179" s="3">
        <v>287</v>
      </c>
      <c r="E1179" s="4">
        <v>209510</v>
      </c>
      <c r="G1179" s="12">
        <f t="shared" si="107"/>
        <v>2014</v>
      </c>
      <c r="H1179" s="12">
        <f t="shared" si="108"/>
        <v>3</v>
      </c>
      <c r="I1179" s="11">
        <f t="shared" si="109"/>
        <v>39</v>
      </c>
      <c r="J1179" s="11"/>
    </row>
    <row r="1180" spans="1:10" x14ac:dyDescent="0.25">
      <c r="A1180" s="2">
        <v>41718</v>
      </c>
      <c r="B1180" s="3">
        <v>440</v>
      </c>
      <c r="C1180" s="4">
        <v>206800</v>
      </c>
      <c r="D1180" s="3">
        <v>294</v>
      </c>
      <c r="E1180" s="4">
        <v>214620</v>
      </c>
      <c r="G1180" s="12">
        <f t="shared" si="107"/>
        <v>2014</v>
      </c>
      <c r="H1180" s="12">
        <f t="shared" si="108"/>
        <v>3</v>
      </c>
      <c r="I1180" s="11">
        <f t="shared" si="109"/>
        <v>39</v>
      </c>
      <c r="J1180" s="11"/>
    </row>
    <row r="1181" spans="1:10" x14ac:dyDescent="0.25">
      <c r="A1181" s="2">
        <v>41719</v>
      </c>
      <c r="B1181" s="3">
        <v>435</v>
      </c>
      <c r="C1181" s="4">
        <v>204450</v>
      </c>
      <c r="D1181" s="3">
        <v>266</v>
      </c>
      <c r="E1181" s="4">
        <v>194180</v>
      </c>
      <c r="G1181" s="12">
        <f t="shared" si="107"/>
        <v>2014</v>
      </c>
      <c r="H1181" s="12">
        <f t="shared" si="108"/>
        <v>3</v>
      </c>
      <c r="I1181" s="11">
        <f t="shared" si="109"/>
        <v>39</v>
      </c>
      <c r="J1181" s="11"/>
    </row>
    <row r="1182" spans="1:10" x14ac:dyDescent="0.25">
      <c r="A1182" s="2">
        <v>41720</v>
      </c>
      <c r="B1182" s="3">
        <v>467</v>
      </c>
      <c r="C1182" s="4">
        <v>219490</v>
      </c>
      <c r="D1182" s="3">
        <v>301</v>
      </c>
      <c r="E1182" s="4">
        <v>219730</v>
      </c>
      <c r="G1182" s="12">
        <f t="shared" si="107"/>
        <v>2014</v>
      </c>
      <c r="H1182" s="12">
        <f t="shared" si="108"/>
        <v>3</v>
      </c>
      <c r="I1182" s="11">
        <f t="shared" si="109"/>
        <v>39</v>
      </c>
      <c r="J1182" s="11"/>
    </row>
    <row r="1183" spans="1:10" x14ac:dyDescent="0.25">
      <c r="A1183" s="2">
        <v>41721</v>
      </c>
      <c r="B1183" s="3">
        <v>508</v>
      </c>
      <c r="C1183" s="4">
        <v>238760</v>
      </c>
      <c r="D1183" s="3">
        <v>283</v>
      </c>
      <c r="E1183" s="4">
        <v>206590</v>
      </c>
      <c r="G1183" s="12">
        <f t="shared" si="107"/>
        <v>2014</v>
      </c>
      <c r="H1183" s="12">
        <f t="shared" si="108"/>
        <v>3</v>
      </c>
      <c r="I1183" s="11">
        <f t="shared" si="109"/>
        <v>39</v>
      </c>
      <c r="J1183" s="11"/>
    </row>
    <row r="1184" spans="1:10" x14ac:dyDescent="0.25">
      <c r="A1184" s="2">
        <v>41722</v>
      </c>
      <c r="B1184" s="3">
        <v>420</v>
      </c>
      <c r="C1184" s="4">
        <v>197400</v>
      </c>
      <c r="D1184" s="3">
        <v>311</v>
      </c>
      <c r="E1184" s="4">
        <v>227030</v>
      </c>
      <c r="G1184" s="12">
        <f t="shared" si="107"/>
        <v>2014</v>
      </c>
      <c r="H1184" s="12">
        <f t="shared" si="108"/>
        <v>3</v>
      </c>
      <c r="I1184" s="11">
        <f t="shared" si="109"/>
        <v>39</v>
      </c>
      <c r="J1184" s="11"/>
    </row>
    <row r="1185" spans="1:10" x14ac:dyDescent="0.25">
      <c r="A1185" s="2">
        <v>41723</v>
      </c>
      <c r="B1185" s="3">
        <v>500</v>
      </c>
      <c r="C1185" s="4">
        <v>235000</v>
      </c>
      <c r="D1185" s="3">
        <v>314</v>
      </c>
      <c r="E1185" s="4">
        <v>229220</v>
      </c>
      <c r="G1185" s="12">
        <f t="shared" si="107"/>
        <v>2014</v>
      </c>
      <c r="H1185" s="12">
        <f t="shared" si="108"/>
        <v>3</v>
      </c>
      <c r="I1185" s="11">
        <f t="shared" si="109"/>
        <v>39</v>
      </c>
      <c r="J1185" s="11"/>
    </row>
    <row r="1186" spans="1:10" x14ac:dyDescent="0.25">
      <c r="A1186" s="2">
        <v>41724</v>
      </c>
      <c r="B1186" s="3">
        <v>373</v>
      </c>
      <c r="C1186" s="4">
        <v>175310</v>
      </c>
      <c r="D1186" s="3">
        <v>269</v>
      </c>
      <c r="E1186" s="4">
        <v>196370</v>
      </c>
      <c r="G1186" s="12">
        <f t="shared" si="107"/>
        <v>2014</v>
      </c>
      <c r="H1186" s="12">
        <f t="shared" si="108"/>
        <v>3</v>
      </c>
      <c r="I1186" s="11">
        <f t="shared" si="109"/>
        <v>39</v>
      </c>
      <c r="J1186" s="11"/>
    </row>
    <row r="1187" spans="1:10" x14ac:dyDescent="0.25">
      <c r="A1187" s="2">
        <v>41725</v>
      </c>
      <c r="B1187" s="3">
        <v>420</v>
      </c>
      <c r="C1187" s="4">
        <v>197400</v>
      </c>
      <c r="D1187" s="3">
        <v>280</v>
      </c>
      <c r="E1187" s="4">
        <v>204400</v>
      </c>
      <c r="G1187" s="12">
        <f t="shared" si="107"/>
        <v>2014</v>
      </c>
      <c r="H1187" s="12">
        <f t="shared" si="108"/>
        <v>3</v>
      </c>
      <c r="I1187" s="11">
        <f t="shared" si="109"/>
        <v>39</v>
      </c>
      <c r="J1187" s="11"/>
    </row>
    <row r="1188" spans="1:10" x14ac:dyDescent="0.25">
      <c r="A1188" s="2">
        <v>41726</v>
      </c>
      <c r="B1188" s="3">
        <v>498</v>
      </c>
      <c r="C1188" s="4">
        <v>234060</v>
      </c>
      <c r="D1188" s="3">
        <v>285</v>
      </c>
      <c r="E1188" s="4">
        <v>208050</v>
      </c>
      <c r="G1188" s="12">
        <f t="shared" si="107"/>
        <v>2014</v>
      </c>
      <c r="H1188" s="12">
        <f t="shared" si="108"/>
        <v>3</v>
      </c>
      <c r="I1188" s="11">
        <f t="shared" si="109"/>
        <v>39</v>
      </c>
      <c r="J1188" s="11"/>
    </row>
    <row r="1189" spans="1:10" x14ac:dyDescent="0.25">
      <c r="A1189" s="2">
        <v>41727</v>
      </c>
      <c r="B1189" s="3">
        <v>458</v>
      </c>
      <c r="C1189" s="4">
        <v>215260</v>
      </c>
      <c r="D1189" s="3">
        <v>279</v>
      </c>
      <c r="E1189" s="4">
        <v>203670</v>
      </c>
      <c r="G1189" s="12">
        <f t="shared" si="107"/>
        <v>2014</v>
      </c>
      <c r="H1189" s="12">
        <f t="shared" si="108"/>
        <v>3</v>
      </c>
      <c r="I1189" s="11">
        <f t="shared" si="109"/>
        <v>39</v>
      </c>
      <c r="J1189" s="11"/>
    </row>
    <row r="1190" spans="1:10" x14ac:dyDescent="0.25">
      <c r="A1190" s="2">
        <v>41728</v>
      </c>
      <c r="B1190" s="3">
        <v>522</v>
      </c>
      <c r="C1190" s="4">
        <v>245340</v>
      </c>
      <c r="D1190" s="3">
        <v>311</v>
      </c>
      <c r="E1190" s="4">
        <v>227030</v>
      </c>
      <c r="G1190" s="12">
        <f t="shared" si="107"/>
        <v>2014</v>
      </c>
      <c r="H1190" s="12">
        <f t="shared" si="108"/>
        <v>3</v>
      </c>
      <c r="I1190" s="11">
        <f t="shared" si="109"/>
        <v>39</v>
      </c>
      <c r="J1190" s="11"/>
    </row>
    <row r="1191" spans="1:10" x14ac:dyDescent="0.25">
      <c r="A1191" s="2">
        <v>41729</v>
      </c>
      <c r="B1191" s="3">
        <v>502</v>
      </c>
      <c r="C1191" s="4">
        <v>235940</v>
      </c>
      <c r="D1191" s="3">
        <v>250</v>
      </c>
      <c r="E1191" s="4">
        <v>182500</v>
      </c>
      <c r="G1191" s="12">
        <f t="shared" si="107"/>
        <v>2014</v>
      </c>
      <c r="H1191" s="12">
        <f t="shared" si="108"/>
        <v>3</v>
      </c>
      <c r="I1191" s="11">
        <f t="shared" si="109"/>
        <v>39</v>
      </c>
      <c r="J1191" s="11"/>
    </row>
    <row r="1192" spans="1:10" x14ac:dyDescent="0.25">
      <c r="A1192" s="2">
        <v>41730</v>
      </c>
      <c r="B1192" s="3">
        <v>457</v>
      </c>
      <c r="C1192" s="4">
        <v>214790</v>
      </c>
      <c r="D1192" s="3">
        <v>709</v>
      </c>
      <c r="E1192" s="4">
        <v>517570</v>
      </c>
      <c r="G1192" s="12">
        <f t="shared" si="107"/>
        <v>2014</v>
      </c>
      <c r="H1192" s="12">
        <f t="shared" si="108"/>
        <v>4</v>
      </c>
      <c r="I1192" s="11">
        <f t="shared" si="109"/>
        <v>40</v>
      </c>
      <c r="J1192" s="11"/>
    </row>
    <row r="1193" spans="1:10" x14ac:dyDescent="0.25">
      <c r="A1193" s="2">
        <v>41731</v>
      </c>
      <c r="B1193" s="3">
        <v>509</v>
      </c>
      <c r="C1193" s="4">
        <v>239230</v>
      </c>
      <c r="D1193" s="3">
        <v>708</v>
      </c>
      <c r="E1193" s="4">
        <v>516840</v>
      </c>
      <c r="G1193" s="12">
        <f t="shared" si="107"/>
        <v>2014</v>
      </c>
      <c r="H1193" s="12">
        <f t="shared" si="108"/>
        <v>4</v>
      </c>
      <c r="I1193" s="11">
        <f t="shared" si="109"/>
        <v>40</v>
      </c>
      <c r="J1193" s="11"/>
    </row>
    <row r="1194" spans="1:10" x14ac:dyDescent="0.25">
      <c r="A1194" s="2">
        <v>41732</v>
      </c>
      <c r="B1194" s="3">
        <v>481</v>
      </c>
      <c r="C1194" s="4">
        <v>226070</v>
      </c>
      <c r="D1194" s="3">
        <v>626</v>
      </c>
      <c r="E1194" s="4">
        <v>456980</v>
      </c>
      <c r="G1194" s="12">
        <f t="shared" si="107"/>
        <v>2014</v>
      </c>
      <c r="H1194" s="12">
        <f t="shared" si="108"/>
        <v>4</v>
      </c>
      <c r="I1194" s="11">
        <f t="shared" si="109"/>
        <v>40</v>
      </c>
      <c r="J1194" s="11"/>
    </row>
    <row r="1195" spans="1:10" x14ac:dyDescent="0.25">
      <c r="A1195" s="2">
        <v>41733</v>
      </c>
      <c r="B1195" s="3">
        <v>409</v>
      </c>
      <c r="C1195" s="4">
        <v>192230</v>
      </c>
      <c r="D1195" s="3">
        <v>636</v>
      </c>
      <c r="E1195" s="4">
        <v>464280</v>
      </c>
      <c r="G1195" s="12">
        <f t="shared" si="107"/>
        <v>2014</v>
      </c>
      <c r="H1195" s="12">
        <f t="shared" si="108"/>
        <v>4</v>
      </c>
      <c r="I1195" s="11">
        <f t="shared" si="109"/>
        <v>40</v>
      </c>
      <c r="J1195" s="11"/>
    </row>
    <row r="1196" spans="1:10" x14ac:dyDescent="0.25">
      <c r="A1196" s="2">
        <v>41734</v>
      </c>
      <c r="B1196" s="3">
        <v>486</v>
      </c>
      <c r="C1196" s="4">
        <v>228420</v>
      </c>
      <c r="D1196" s="3">
        <v>625</v>
      </c>
      <c r="E1196" s="4">
        <v>456250</v>
      </c>
      <c r="G1196" s="12">
        <f t="shared" si="107"/>
        <v>2014</v>
      </c>
      <c r="H1196" s="12">
        <f t="shared" si="108"/>
        <v>4</v>
      </c>
      <c r="I1196" s="11">
        <f t="shared" si="109"/>
        <v>40</v>
      </c>
      <c r="J1196" s="11"/>
    </row>
    <row r="1197" spans="1:10" x14ac:dyDescent="0.25">
      <c r="A1197" s="2">
        <v>41735</v>
      </c>
      <c r="B1197" s="3">
        <v>471</v>
      </c>
      <c r="C1197" s="4">
        <v>221370</v>
      </c>
      <c r="D1197" s="3">
        <v>642</v>
      </c>
      <c r="E1197" s="4">
        <v>468660</v>
      </c>
      <c r="G1197" s="12">
        <f t="shared" si="107"/>
        <v>2014</v>
      </c>
      <c r="H1197" s="12">
        <f t="shared" si="108"/>
        <v>4</v>
      </c>
      <c r="I1197" s="11">
        <f t="shared" si="109"/>
        <v>40</v>
      </c>
      <c r="J1197" s="11"/>
    </row>
    <row r="1198" spans="1:10" x14ac:dyDescent="0.25">
      <c r="A1198" s="2">
        <v>41736</v>
      </c>
      <c r="B1198" s="3">
        <v>384</v>
      </c>
      <c r="C1198" s="4">
        <v>180480</v>
      </c>
      <c r="D1198" s="3">
        <v>619</v>
      </c>
      <c r="E1198" s="4">
        <v>451870</v>
      </c>
      <c r="G1198" s="12">
        <f t="shared" si="107"/>
        <v>2014</v>
      </c>
      <c r="H1198" s="12">
        <f t="shared" si="108"/>
        <v>4</v>
      </c>
      <c r="I1198" s="11">
        <f t="shared" si="109"/>
        <v>40</v>
      </c>
      <c r="J1198" s="11"/>
    </row>
    <row r="1199" spans="1:10" x14ac:dyDescent="0.25">
      <c r="A1199" s="2">
        <v>41737</v>
      </c>
      <c r="B1199" s="3">
        <v>480</v>
      </c>
      <c r="C1199" s="4">
        <v>225600</v>
      </c>
      <c r="D1199" s="3">
        <v>667</v>
      </c>
      <c r="E1199" s="4">
        <v>486910</v>
      </c>
      <c r="G1199" s="12">
        <f t="shared" si="107"/>
        <v>2014</v>
      </c>
      <c r="H1199" s="12">
        <f t="shared" si="108"/>
        <v>4</v>
      </c>
      <c r="I1199" s="11">
        <f t="shared" si="109"/>
        <v>40</v>
      </c>
      <c r="J1199" s="11"/>
    </row>
    <row r="1200" spans="1:10" x14ac:dyDescent="0.25">
      <c r="A1200" s="2">
        <v>41738</v>
      </c>
      <c r="B1200" s="3">
        <v>445</v>
      </c>
      <c r="C1200" s="4">
        <v>209150</v>
      </c>
      <c r="D1200" s="3">
        <v>651</v>
      </c>
      <c r="E1200" s="4">
        <v>475230</v>
      </c>
      <c r="G1200" s="12">
        <f t="shared" si="107"/>
        <v>2014</v>
      </c>
      <c r="H1200" s="12">
        <f t="shared" si="108"/>
        <v>4</v>
      </c>
      <c r="I1200" s="11">
        <f t="shared" si="109"/>
        <v>40</v>
      </c>
      <c r="J1200" s="11"/>
    </row>
    <row r="1201" spans="1:10" x14ac:dyDescent="0.25">
      <c r="A1201" s="2">
        <v>41739</v>
      </c>
      <c r="B1201" s="3">
        <v>503</v>
      </c>
      <c r="C1201" s="4">
        <v>236410</v>
      </c>
      <c r="D1201" s="3">
        <v>651</v>
      </c>
      <c r="E1201" s="4">
        <v>475230</v>
      </c>
      <c r="G1201" s="12">
        <f t="shared" si="107"/>
        <v>2014</v>
      </c>
      <c r="H1201" s="12">
        <f t="shared" si="108"/>
        <v>4</v>
      </c>
      <c r="I1201" s="11">
        <f t="shared" si="109"/>
        <v>40</v>
      </c>
      <c r="J1201" s="11"/>
    </row>
    <row r="1202" spans="1:10" x14ac:dyDescent="0.25">
      <c r="A1202" s="2">
        <v>41740</v>
      </c>
      <c r="B1202" s="3">
        <v>525</v>
      </c>
      <c r="C1202" s="4">
        <v>246750</v>
      </c>
      <c r="D1202" s="3">
        <v>662</v>
      </c>
      <c r="E1202" s="4">
        <v>483260</v>
      </c>
      <c r="G1202" s="12">
        <f t="shared" si="107"/>
        <v>2014</v>
      </c>
      <c r="H1202" s="12">
        <f t="shared" si="108"/>
        <v>4</v>
      </c>
      <c r="I1202" s="11">
        <f t="shared" si="109"/>
        <v>40</v>
      </c>
      <c r="J1202" s="11"/>
    </row>
    <row r="1203" spans="1:10" x14ac:dyDescent="0.25">
      <c r="A1203" s="2">
        <v>41741</v>
      </c>
      <c r="B1203" s="3">
        <v>429</v>
      </c>
      <c r="C1203" s="4">
        <v>201630</v>
      </c>
      <c r="D1203" s="3">
        <v>695</v>
      </c>
      <c r="E1203" s="4">
        <v>507350</v>
      </c>
      <c r="G1203" s="12">
        <f t="shared" si="107"/>
        <v>2014</v>
      </c>
      <c r="H1203" s="12">
        <f t="shared" si="108"/>
        <v>4</v>
      </c>
      <c r="I1203" s="11">
        <f t="shared" si="109"/>
        <v>40</v>
      </c>
      <c r="J1203" s="11"/>
    </row>
    <row r="1204" spans="1:10" x14ac:dyDescent="0.25">
      <c r="A1204" s="2">
        <v>41742</v>
      </c>
      <c r="B1204" s="3">
        <v>381</v>
      </c>
      <c r="C1204" s="4">
        <v>179070</v>
      </c>
      <c r="D1204" s="3">
        <v>699</v>
      </c>
      <c r="E1204" s="4">
        <v>510270</v>
      </c>
      <c r="G1204" s="12">
        <f t="shared" si="107"/>
        <v>2014</v>
      </c>
      <c r="H1204" s="12">
        <f t="shared" si="108"/>
        <v>4</v>
      </c>
      <c r="I1204" s="11">
        <f t="shared" si="109"/>
        <v>40</v>
      </c>
      <c r="J1204" s="11"/>
    </row>
    <row r="1205" spans="1:10" x14ac:dyDescent="0.25">
      <c r="A1205" s="2">
        <v>41743</v>
      </c>
      <c r="B1205" s="3">
        <v>536</v>
      </c>
      <c r="C1205" s="4">
        <v>251920</v>
      </c>
      <c r="D1205" s="3">
        <v>670</v>
      </c>
      <c r="E1205" s="4">
        <v>489100</v>
      </c>
      <c r="G1205" s="12">
        <f t="shared" si="107"/>
        <v>2014</v>
      </c>
      <c r="H1205" s="12">
        <f t="shared" si="108"/>
        <v>4</v>
      </c>
      <c r="I1205" s="11">
        <f t="shared" si="109"/>
        <v>40</v>
      </c>
      <c r="J1205" s="11"/>
    </row>
    <row r="1206" spans="1:10" x14ac:dyDescent="0.25">
      <c r="A1206" s="2">
        <v>41744</v>
      </c>
      <c r="B1206" s="3">
        <v>410</v>
      </c>
      <c r="C1206" s="4">
        <v>192700</v>
      </c>
      <c r="D1206" s="3">
        <v>740</v>
      </c>
      <c r="E1206" s="4">
        <v>540200</v>
      </c>
      <c r="G1206" s="12">
        <f t="shared" si="107"/>
        <v>2014</v>
      </c>
      <c r="H1206" s="12">
        <f t="shared" si="108"/>
        <v>4</v>
      </c>
      <c r="I1206" s="11">
        <f t="shared" si="109"/>
        <v>40</v>
      </c>
      <c r="J1206" s="11"/>
    </row>
    <row r="1207" spans="1:10" x14ac:dyDescent="0.25">
      <c r="A1207" s="2">
        <v>41745</v>
      </c>
      <c r="B1207" s="3">
        <v>482</v>
      </c>
      <c r="C1207" s="4">
        <v>226540</v>
      </c>
      <c r="D1207" s="3">
        <v>671</v>
      </c>
      <c r="E1207" s="4">
        <v>489830</v>
      </c>
      <c r="G1207" s="12">
        <f t="shared" si="107"/>
        <v>2014</v>
      </c>
      <c r="H1207" s="12">
        <f t="shared" si="108"/>
        <v>4</v>
      </c>
      <c r="I1207" s="11">
        <f t="shared" si="109"/>
        <v>40</v>
      </c>
      <c r="J1207" s="11"/>
    </row>
    <row r="1208" spans="1:10" x14ac:dyDescent="0.25">
      <c r="A1208" s="2">
        <v>41746</v>
      </c>
      <c r="B1208" s="3">
        <v>475</v>
      </c>
      <c r="C1208" s="4">
        <v>223250</v>
      </c>
      <c r="D1208" s="3">
        <v>512</v>
      </c>
      <c r="E1208" s="4">
        <v>373760</v>
      </c>
      <c r="G1208" s="12">
        <f t="shared" si="107"/>
        <v>2014</v>
      </c>
      <c r="H1208" s="12">
        <f t="shared" si="108"/>
        <v>4</v>
      </c>
      <c r="I1208" s="11">
        <f t="shared" si="109"/>
        <v>40</v>
      </c>
      <c r="J1208" s="11"/>
    </row>
    <row r="1209" spans="1:10" x14ac:dyDescent="0.25">
      <c r="A1209" s="2">
        <v>41747</v>
      </c>
      <c r="B1209" s="3">
        <v>452</v>
      </c>
      <c r="C1209" s="4">
        <v>212440</v>
      </c>
      <c r="D1209" s="3">
        <v>684</v>
      </c>
      <c r="E1209" s="4">
        <v>499320</v>
      </c>
      <c r="G1209" s="12">
        <f t="shared" si="107"/>
        <v>2014</v>
      </c>
      <c r="H1209" s="12">
        <f t="shared" si="108"/>
        <v>4</v>
      </c>
      <c r="I1209" s="11">
        <f t="shared" si="109"/>
        <v>40</v>
      </c>
      <c r="J1209" s="11"/>
    </row>
    <row r="1210" spans="1:10" x14ac:dyDescent="0.25">
      <c r="A1210" s="2">
        <v>41748</v>
      </c>
      <c r="B1210" s="3">
        <v>559</v>
      </c>
      <c r="C1210" s="4">
        <v>262730</v>
      </c>
      <c r="D1210" s="3">
        <v>692</v>
      </c>
      <c r="E1210" s="4">
        <v>505160</v>
      </c>
      <c r="G1210" s="12">
        <f t="shared" si="107"/>
        <v>2014</v>
      </c>
      <c r="H1210" s="12">
        <f t="shared" si="108"/>
        <v>4</v>
      </c>
      <c r="I1210" s="11">
        <f t="shared" si="109"/>
        <v>40</v>
      </c>
      <c r="J1210" s="11"/>
    </row>
    <row r="1211" spans="1:10" x14ac:dyDescent="0.25">
      <c r="A1211" s="2">
        <v>41749</v>
      </c>
      <c r="B1211" s="3">
        <v>454</v>
      </c>
      <c r="C1211" s="4">
        <v>213380</v>
      </c>
      <c r="D1211" s="3">
        <v>750</v>
      </c>
      <c r="E1211" s="4">
        <v>547500</v>
      </c>
      <c r="G1211" s="12">
        <f t="shared" si="107"/>
        <v>2014</v>
      </c>
      <c r="H1211" s="12">
        <f t="shared" si="108"/>
        <v>4</v>
      </c>
      <c r="I1211" s="11">
        <f t="shared" si="109"/>
        <v>40</v>
      </c>
      <c r="J1211" s="11"/>
    </row>
    <row r="1212" spans="1:10" x14ac:dyDescent="0.25">
      <c r="A1212" s="2">
        <v>41750</v>
      </c>
      <c r="B1212" s="3">
        <v>475</v>
      </c>
      <c r="C1212" s="4">
        <v>223250</v>
      </c>
      <c r="D1212" s="3">
        <v>656</v>
      </c>
      <c r="E1212" s="4">
        <v>478880</v>
      </c>
      <c r="G1212" s="12">
        <f t="shared" si="107"/>
        <v>2014</v>
      </c>
      <c r="H1212" s="12">
        <f t="shared" si="108"/>
        <v>4</v>
      </c>
      <c r="I1212" s="11">
        <f t="shared" si="109"/>
        <v>40</v>
      </c>
      <c r="J1212" s="11"/>
    </row>
    <row r="1213" spans="1:10" x14ac:dyDescent="0.25">
      <c r="A1213" s="2">
        <v>41751</v>
      </c>
      <c r="B1213" s="3">
        <v>519</v>
      </c>
      <c r="C1213" s="4">
        <v>243930</v>
      </c>
      <c r="D1213" s="3">
        <v>738</v>
      </c>
      <c r="E1213" s="4">
        <v>538740</v>
      </c>
      <c r="G1213" s="12">
        <f t="shared" si="107"/>
        <v>2014</v>
      </c>
      <c r="H1213" s="12">
        <f t="shared" si="108"/>
        <v>4</v>
      </c>
      <c r="I1213" s="11">
        <f t="shared" si="109"/>
        <v>40</v>
      </c>
      <c r="J1213" s="11"/>
    </row>
    <row r="1214" spans="1:10" x14ac:dyDescent="0.25">
      <c r="A1214" s="2">
        <v>41752</v>
      </c>
      <c r="B1214" s="3">
        <v>477</v>
      </c>
      <c r="C1214" s="4">
        <v>224190</v>
      </c>
      <c r="D1214" s="3">
        <v>619</v>
      </c>
      <c r="E1214" s="4">
        <v>451870</v>
      </c>
      <c r="G1214" s="12">
        <f t="shared" si="107"/>
        <v>2014</v>
      </c>
      <c r="H1214" s="12">
        <f t="shared" si="108"/>
        <v>4</v>
      </c>
      <c r="I1214" s="11">
        <f t="shared" si="109"/>
        <v>40</v>
      </c>
      <c r="J1214" s="11"/>
    </row>
    <row r="1215" spans="1:10" x14ac:dyDescent="0.25">
      <c r="A1215" s="2">
        <v>41753</v>
      </c>
      <c r="B1215" s="3">
        <v>444</v>
      </c>
      <c r="C1215" s="4">
        <v>208680</v>
      </c>
      <c r="D1215" s="3">
        <v>723</v>
      </c>
      <c r="E1215" s="4">
        <v>527790</v>
      </c>
      <c r="G1215" s="12">
        <f t="shared" si="107"/>
        <v>2014</v>
      </c>
      <c r="H1215" s="12">
        <f t="shared" si="108"/>
        <v>4</v>
      </c>
      <c r="I1215" s="11">
        <f t="shared" si="109"/>
        <v>40</v>
      </c>
      <c r="J1215" s="11"/>
    </row>
    <row r="1216" spans="1:10" x14ac:dyDescent="0.25">
      <c r="A1216" s="2">
        <v>41754</v>
      </c>
      <c r="B1216" s="3">
        <v>466</v>
      </c>
      <c r="C1216" s="4">
        <v>219020</v>
      </c>
      <c r="D1216" s="3">
        <v>769</v>
      </c>
      <c r="E1216" s="4">
        <v>561370</v>
      </c>
      <c r="G1216" s="12">
        <f t="shared" si="107"/>
        <v>2014</v>
      </c>
      <c r="H1216" s="12">
        <f t="shared" si="108"/>
        <v>4</v>
      </c>
      <c r="I1216" s="11">
        <f t="shared" si="109"/>
        <v>40</v>
      </c>
      <c r="J1216" s="11"/>
    </row>
    <row r="1217" spans="1:10" x14ac:dyDescent="0.25">
      <c r="A1217" s="2">
        <v>41755</v>
      </c>
      <c r="B1217" s="3">
        <v>547</v>
      </c>
      <c r="C1217" s="4">
        <v>257090</v>
      </c>
      <c r="D1217" s="3">
        <v>535</v>
      </c>
      <c r="E1217" s="4">
        <v>390550</v>
      </c>
      <c r="G1217" s="12">
        <f t="shared" si="107"/>
        <v>2014</v>
      </c>
      <c r="H1217" s="12">
        <f t="shared" si="108"/>
        <v>4</v>
      </c>
      <c r="I1217" s="11">
        <f t="shared" si="109"/>
        <v>40</v>
      </c>
      <c r="J1217" s="11"/>
    </row>
    <row r="1218" spans="1:10" x14ac:dyDescent="0.25">
      <c r="A1218" s="2">
        <v>41756</v>
      </c>
      <c r="B1218" s="3">
        <v>505</v>
      </c>
      <c r="C1218" s="4">
        <v>237350</v>
      </c>
      <c r="D1218" s="3">
        <v>611</v>
      </c>
      <c r="E1218" s="4">
        <v>446030</v>
      </c>
      <c r="G1218" s="12">
        <f t="shared" si="107"/>
        <v>2014</v>
      </c>
      <c r="H1218" s="12">
        <f t="shared" si="108"/>
        <v>4</v>
      </c>
      <c r="I1218" s="11">
        <f t="shared" si="109"/>
        <v>40</v>
      </c>
      <c r="J1218" s="11"/>
    </row>
    <row r="1219" spans="1:10" x14ac:dyDescent="0.25">
      <c r="A1219" s="2">
        <v>41757</v>
      </c>
      <c r="B1219" s="3">
        <v>486</v>
      </c>
      <c r="C1219" s="4">
        <v>228420</v>
      </c>
      <c r="D1219" s="3">
        <v>689</v>
      </c>
      <c r="E1219" s="4">
        <v>502970</v>
      </c>
      <c r="G1219" s="12">
        <f t="shared" si="107"/>
        <v>2014</v>
      </c>
      <c r="H1219" s="12">
        <f t="shared" si="108"/>
        <v>4</v>
      </c>
      <c r="I1219" s="11">
        <f t="shared" si="109"/>
        <v>40</v>
      </c>
      <c r="J1219" s="11"/>
    </row>
    <row r="1220" spans="1:10" x14ac:dyDescent="0.25">
      <c r="A1220" s="2">
        <v>41758</v>
      </c>
      <c r="B1220" s="3">
        <v>485</v>
      </c>
      <c r="C1220" s="4">
        <v>227950</v>
      </c>
      <c r="D1220" s="3">
        <v>670</v>
      </c>
      <c r="E1220" s="4">
        <v>489100</v>
      </c>
      <c r="G1220" s="12">
        <f t="shared" si="107"/>
        <v>2014</v>
      </c>
      <c r="H1220" s="12">
        <f t="shared" si="108"/>
        <v>4</v>
      </c>
      <c r="I1220" s="11">
        <f t="shared" si="109"/>
        <v>40</v>
      </c>
      <c r="J1220" s="11"/>
    </row>
    <row r="1221" spans="1:10" x14ac:dyDescent="0.25">
      <c r="A1221" s="2">
        <v>41759</v>
      </c>
      <c r="B1221" s="3">
        <v>422</v>
      </c>
      <c r="C1221" s="4">
        <v>198340</v>
      </c>
      <c r="D1221" s="3">
        <v>610</v>
      </c>
      <c r="E1221" s="4">
        <v>445300</v>
      </c>
      <c r="G1221" s="12">
        <f t="shared" si="107"/>
        <v>2014</v>
      </c>
      <c r="H1221" s="12">
        <f t="shared" si="108"/>
        <v>4</v>
      </c>
      <c r="I1221" s="11">
        <f t="shared" si="109"/>
        <v>40</v>
      </c>
      <c r="J1221" s="11"/>
    </row>
    <row r="1222" spans="1:10" x14ac:dyDescent="0.25">
      <c r="A1222" s="2">
        <v>41760</v>
      </c>
      <c r="B1222" s="3">
        <v>484</v>
      </c>
      <c r="C1222" s="4">
        <v>227480</v>
      </c>
      <c r="D1222" s="3">
        <v>710</v>
      </c>
      <c r="E1222" s="4">
        <v>518300</v>
      </c>
      <c r="G1222" s="12">
        <f t="shared" ref="G1222:G1285" si="110">+YEAR(A1222)</f>
        <v>2014</v>
      </c>
      <c r="H1222" s="12">
        <f t="shared" ref="H1222:H1285" si="111">+MONTH(A1222)</f>
        <v>5</v>
      </c>
      <c r="I1222" s="11">
        <f t="shared" si="109"/>
        <v>41</v>
      </c>
      <c r="J1222" s="11"/>
    </row>
    <row r="1223" spans="1:10" x14ac:dyDescent="0.25">
      <c r="A1223" s="2">
        <v>41761</v>
      </c>
      <c r="B1223" s="3">
        <v>541</v>
      </c>
      <c r="C1223" s="4">
        <v>254270</v>
      </c>
      <c r="D1223" s="3">
        <v>667</v>
      </c>
      <c r="E1223" s="4">
        <v>486910</v>
      </c>
      <c r="G1223" s="12">
        <f t="shared" si="110"/>
        <v>2014</v>
      </c>
      <c r="H1223" s="12">
        <f t="shared" si="111"/>
        <v>5</v>
      </c>
      <c r="I1223" s="11">
        <f t="shared" ref="I1223:I1286" si="112">+H1223+(G1223-2011)*12</f>
        <v>41</v>
      </c>
      <c r="J1223" s="11"/>
    </row>
    <row r="1224" spans="1:10" x14ac:dyDescent="0.25">
      <c r="A1224" s="2">
        <v>41762</v>
      </c>
      <c r="B1224" s="3">
        <v>490</v>
      </c>
      <c r="C1224" s="4">
        <v>230300</v>
      </c>
      <c r="D1224" s="3">
        <v>630</v>
      </c>
      <c r="E1224" s="4">
        <v>459900</v>
      </c>
      <c r="G1224" s="12">
        <f t="shared" si="110"/>
        <v>2014</v>
      </c>
      <c r="H1224" s="12">
        <f t="shared" si="111"/>
        <v>5</v>
      </c>
      <c r="I1224" s="11">
        <f t="shared" si="112"/>
        <v>41</v>
      </c>
      <c r="J1224" s="11"/>
    </row>
    <row r="1225" spans="1:10" x14ac:dyDescent="0.25">
      <c r="A1225" s="2">
        <v>41763</v>
      </c>
      <c r="B1225" s="3">
        <v>435</v>
      </c>
      <c r="C1225" s="4">
        <v>204450</v>
      </c>
      <c r="D1225" s="3">
        <v>582</v>
      </c>
      <c r="E1225" s="4">
        <v>424860</v>
      </c>
      <c r="G1225" s="12">
        <f t="shared" si="110"/>
        <v>2014</v>
      </c>
      <c r="H1225" s="12">
        <f t="shared" si="111"/>
        <v>5</v>
      </c>
      <c r="I1225" s="11">
        <f t="shared" si="112"/>
        <v>41</v>
      </c>
      <c r="J1225" s="11"/>
    </row>
    <row r="1226" spans="1:10" x14ac:dyDescent="0.25">
      <c r="A1226" s="2">
        <v>41764</v>
      </c>
      <c r="B1226" s="3">
        <v>372</v>
      </c>
      <c r="C1226" s="4">
        <v>174840</v>
      </c>
      <c r="D1226" s="3">
        <v>689</v>
      </c>
      <c r="E1226" s="4">
        <v>502970</v>
      </c>
      <c r="G1226" s="12">
        <f t="shared" si="110"/>
        <v>2014</v>
      </c>
      <c r="H1226" s="12">
        <f t="shared" si="111"/>
        <v>5</v>
      </c>
      <c r="I1226" s="11">
        <f t="shared" si="112"/>
        <v>41</v>
      </c>
      <c r="J1226" s="11"/>
    </row>
    <row r="1227" spans="1:10" x14ac:dyDescent="0.25">
      <c r="A1227" s="2">
        <v>41765</v>
      </c>
      <c r="B1227" s="3">
        <v>456</v>
      </c>
      <c r="C1227" s="4">
        <v>214320</v>
      </c>
      <c r="D1227" s="3">
        <v>682</v>
      </c>
      <c r="E1227" s="4">
        <v>497860</v>
      </c>
      <c r="G1227" s="12">
        <f t="shared" si="110"/>
        <v>2014</v>
      </c>
      <c r="H1227" s="12">
        <f t="shared" si="111"/>
        <v>5</v>
      </c>
      <c r="I1227" s="11">
        <f t="shared" si="112"/>
        <v>41</v>
      </c>
      <c r="J1227" s="11"/>
    </row>
    <row r="1228" spans="1:10" x14ac:dyDescent="0.25">
      <c r="A1228" s="2">
        <v>41766</v>
      </c>
      <c r="B1228" s="3">
        <v>416</v>
      </c>
      <c r="C1228" s="4">
        <v>195520</v>
      </c>
      <c r="D1228" s="3">
        <v>487</v>
      </c>
      <c r="E1228" s="4">
        <v>355510</v>
      </c>
      <c r="G1228" s="12">
        <f t="shared" si="110"/>
        <v>2014</v>
      </c>
      <c r="H1228" s="12">
        <f t="shared" si="111"/>
        <v>5</v>
      </c>
      <c r="I1228" s="11">
        <f t="shared" si="112"/>
        <v>41</v>
      </c>
      <c r="J1228" s="11"/>
    </row>
    <row r="1229" spans="1:10" x14ac:dyDescent="0.25">
      <c r="A1229" s="2">
        <v>41767</v>
      </c>
      <c r="B1229" s="3">
        <v>466</v>
      </c>
      <c r="C1229" s="4">
        <v>219020</v>
      </c>
      <c r="D1229" s="3">
        <v>671</v>
      </c>
      <c r="E1229" s="4">
        <v>489830</v>
      </c>
      <c r="G1229" s="12">
        <f t="shared" si="110"/>
        <v>2014</v>
      </c>
      <c r="H1229" s="12">
        <f t="shared" si="111"/>
        <v>5</v>
      </c>
      <c r="I1229" s="11">
        <f t="shared" si="112"/>
        <v>41</v>
      </c>
      <c r="J1229" s="11"/>
    </row>
    <row r="1230" spans="1:10" x14ac:dyDescent="0.25">
      <c r="A1230" s="2">
        <v>41768</v>
      </c>
      <c r="B1230" s="3">
        <v>400</v>
      </c>
      <c r="C1230" s="4">
        <v>188000</v>
      </c>
      <c r="D1230" s="3">
        <v>743</v>
      </c>
      <c r="E1230" s="4">
        <v>542390</v>
      </c>
      <c r="G1230" s="12">
        <f t="shared" si="110"/>
        <v>2014</v>
      </c>
      <c r="H1230" s="12">
        <f t="shared" si="111"/>
        <v>5</v>
      </c>
      <c r="I1230" s="11">
        <f t="shared" si="112"/>
        <v>41</v>
      </c>
      <c r="J1230" s="11"/>
    </row>
    <row r="1231" spans="1:10" x14ac:dyDescent="0.25">
      <c r="A1231" s="2">
        <v>41769</v>
      </c>
      <c r="B1231" s="3">
        <v>402</v>
      </c>
      <c r="C1231" s="4">
        <v>188940</v>
      </c>
      <c r="D1231" s="3">
        <v>626</v>
      </c>
      <c r="E1231" s="4">
        <v>456980</v>
      </c>
      <c r="G1231" s="12">
        <f t="shared" si="110"/>
        <v>2014</v>
      </c>
      <c r="H1231" s="12">
        <f t="shared" si="111"/>
        <v>5</v>
      </c>
      <c r="I1231" s="11">
        <f t="shared" si="112"/>
        <v>41</v>
      </c>
      <c r="J1231" s="11"/>
    </row>
    <row r="1232" spans="1:10" x14ac:dyDescent="0.25">
      <c r="A1232" s="2">
        <v>41770</v>
      </c>
      <c r="B1232" s="3">
        <v>425</v>
      </c>
      <c r="C1232" s="4">
        <v>199750</v>
      </c>
      <c r="D1232" s="3">
        <v>584</v>
      </c>
      <c r="E1232" s="4">
        <v>426320</v>
      </c>
      <c r="G1232" s="12">
        <f t="shared" si="110"/>
        <v>2014</v>
      </c>
      <c r="H1232" s="12">
        <f t="shared" si="111"/>
        <v>5</v>
      </c>
      <c r="I1232" s="11">
        <f t="shared" si="112"/>
        <v>41</v>
      </c>
      <c r="J1232" s="11"/>
    </row>
    <row r="1233" spans="1:10" x14ac:dyDescent="0.25">
      <c r="A1233" s="2">
        <v>41771</v>
      </c>
      <c r="B1233" s="3">
        <v>440</v>
      </c>
      <c r="C1233" s="4">
        <v>206800</v>
      </c>
      <c r="D1233" s="3">
        <v>582</v>
      </c>
      <c r="E1233" s="4">
        <v>424860</v>
      </c>
      <c r="G1233" s="12">
        <f t="shared" si="110"/>
        <v>2014</v>
      </c>
      <c r="H1233" s="12">
        <f t="shared" si="111"/>
        <v>5</v>
      </c>
      <c r="I1233" s="11">
        <f t="shared" si="112"/>
        <v>41</v>
      </c>
      <c r="J1233" s="11"/>
    </row>
    <row r="1234" spans="1:10" x14ac:dyDescent="0.25">
      <c r="A1234" s="2">
        <v>41772</v>
      </c>
      <c r="B1234" s="3">
        <v>417</v>
      </c>
      <c r="C1234" s="4">
        <v>195990</v>
      </c>
      <c r="D1234" s="3">
        <v>695</v>
      </c>
      <c r="E1234" s="4">
        <v>507350</v>
      </c>
      <c r="G1234" s="12">
        <f t="shared" si="110"/>
        <v>2014</v>
      </c>
      <c r="H1234" s="12">
        <f t="shared" si="111"/>
        <v>5</v>
      </c>
      <c r="I1234" s="11">
        <f t="shared" si="112"/>
        <v>41</v>
      </c>
      <c r="J1234" s="11"/>
    </row>
    <row r="1235" spans="1:10" x14ac:dyDescent="0.25">
      <c r="A1235" s="2">
        <v>41773</v>
      </c>
      <c r="B1235" s="3">
        <v>458</v>
      </c>
      <c r="C1235" s="4">
        <v>215260</v>
      </c>
      <c r="D1235" s="3">
        <v>645</v>
      </c>
      <c r="E1235" s="4">
        <v>470850</v>
      </c>
      <c r="G1235" s="12">
        <f t="shared" si="110"/>
        <v>2014</v>
      </c>
      <c r="H1235" s="12">
        <f t="shared" si="111"/>
        <v>5</v>
      </c>
      <c r="I1235" s="11">
        <f t="shared" si="112"/>
        <v>41</v>
      </c>
      <c r="J1235" s="11"/>
    </row>
    <row r="1236" spans="1:10" x14ac:dyDescent="0.25">
      <c r="A1236" s="2">
        <v>41774</v>
      </c>
      <c r="B1236" s="3">
        <v>406</v>
      </c>
      <c r="C1236" s="4">
        <v>190820</v>
      </c>
      <c r="D1236" s="3">
        <v>596</v>
      </c>
      <c r="E1236" s="4">
        <v>435080</v>
      </c>
      <c r="G1236" s="12">
        <f t="shared" si="110"/>
        <v>2014</v>
      </c>
      <c r="H1236" s="12">
        <f t="shared" si="111"/>
        <v>5</v>
      </c>
      <c r="I1236" s="11">
        <f t="shared" si="112"/>
        <v>41</v>
      </c>
      <c r="J1236" s="11"/>
    </row>
    <row r="1237" spans="1:10" x14ac:dyDescent="0.25">
      <c r="A1237" s="2">
        <v>41775</v>
      </c>
      <c r="B1237" s="3">
        <v>464</v>
      </c>
      <c r="C1237" s="4">
        <v>218080</v>
      </c>
      <c r="D1237" s="3">
        <v>735</v>
      </c>
      <c r="E1237" s="4">
        <v>536550</v>
      </c>
      <c r="G1237" s="12">
        <f t="shared" si="110"/>
        <v>2014</v>
      </c>
      <c r="H1237" s="12">
        <f t="shared" si="111"/>
        <v>5</v>
      </c>
      <c r="I1237" s="11">
        <f t="shared" si="112"/>
        <v>41</v>
      </c>
      <c r="J1237" s="11"/>
    </row>
    <row r="1238" spans="1:10" x14ac:dyDescent="0.25">
      <c r="A1238" s="2">
        <v>41776</v>
      </c>
      <c r="B1238" s="3">
        <v>441</v>
      </c>
      <c r="C1238" s="4">
        <v>207270</v>
      </c>
      <c r="D1238" s="3">
        <v>729</v>
      </c>
      <c r="E1238" s="4">
        <v>532170</v>
      </c>
      <c r="G1238" s="12">
        <f t="shared" si="110"/>
        <v>2014</v>
      </c>
      <c r="H1238" s="12">
        <f t="shared" si="111"/>
        <v>5</v>
      </c>
      <c r="I1238" s="11">
        <f t="shared" si="112"/>
        <v>41</v>
      </c>
      <c r="J1238" s="11"/>
    </row>
    <row r="1239" spans="1:10" x14ac:dyDescent="0.25">
      <c r="A1239" s="2">
        <v>41777</v>
      </c>
      <c r="B1239" s="3">
        <v>493</v>
      </c>
      <c r="C1239" s="4">
        <v>231710</v>
      </c>
      <c r="D1239" s="3">
        <v>752</v>
      </c>
      <c r="E1239" s="4">
        <v>548960</v>
      </c>
      <c r="G1239" s="12">
        <f t="shared" si="110"/>
        <v>2014</v>
      </c>
      <c r="H1239" s="12">
        <f t="shared" si="111"/>
        <v>5</v>
      </c>
      <c r="I1239" s="11">
        <f t="shared" si="112"/>
        <v>41</v>
      </c>
      <c r="J1239" s="11"/>
    </row>
    <row r="1240" spans="1:10" x14ac:dyDescent="0.25">
      <c r="A1240" s="2">
        <v>41778</v>
      </c>
      <c r="B1240" s="3">
        <v>401</v>
      </c>
      <c r="C1240" s="4">
        <v>188470</v>
      </c>
      <c r="D1240" s="3">
        <v>613</v>
      </c>
      <c r="E1240" s="4">
        <v>447490</v>
      </c>
      <c r="G1240" s="12">
        <f t="shared" si="110"/>
        <v>2014</v>
      </c>
      <c r="H1240" s="12">
        <f t="shared" si="111"/>
        <v>5</v>
      </c>
      <c r="I1240" s="11">
        <f t="shared" si="112"/>
        <v>41</v>
      </c>
      <c r="J1240" s="11"/>
    </row>
    <row r="1241" spans="1:10" x14ac:dyDescent="0.25">
      <c r="A1241" s="2">
        <v>41779</v>
      </c>
      <c r="B1241" s="3">
        <v>464</v>
      </c>
      <c r="C1241" s="4">
        <v>218080</v>
      </c>
      <c r="D1241" s="3">
        <v>667</v>
      </c>
      <c r="E1241" s="4">
        <v>486910</v>
      </c>
      <c r="G1241" s="12">
        <f t="shared" si="110"/>
        <v>2014</v>
      </c>
      <c r="H1241" s="12">
        <f t="shared" si="111"/>
        <v>5</v>
      </c>
      <c r="I1241" s="11">
        <f t="shared" si="112"/>
        <v>41</v>
      </c>
      <c r="J1241" s="11"/>
    </row>
    <row r="1242" spans="1:10" x14ac:dyDescent="0.25">
      <c r="A1242" s="2">
        <v>41780</v>
      </c>
      <c r="B1242" s="3">
        <v>406</v>
      </c>
      <c r="C1242" s="4">
        <v>190820</v>
      </c>
      <c r="D1242" s="3">
        <v>666</v>
      </c>
      <c r="E1242" s="4">
        <v>486180</v>
      </c>
      <c r="G1242" s="12">
        <f t="shared" si="110"/>
        <v>2014</v>
      </c>
      <c r="H1242" s="12">
        <f t="shared" si="111"/>
        <v>5</v>
      </c>
      <c r="I1242" s="11">
        <f t="shared" si="112"/>
        <v>41</v>
      </c>
      <c r="J1242" s="11"/>
    </row>
    <row r="1243" spans="1:10" x14ac:dyDescent="0.25">
      <c r="A1243" s="2">
        <v>41781</v>
      </c>
      <c r="B1243" s="3">
        <v>454</v>
      </c>
      <c r="C1243" s="4">
        <v>213380</v>
      </c>
      <c r="D1243" s="3">
        <v>604</v>
      </c>
      <c r="E1243" s="4">
        <v>440920</v>
      </c>
      <c r="G1243" s="12">
        <f t="shared" si="110"/>
        <v>2014</v>
      </c>
      <c r="H1243" s="12">
        <f t="shared" si="111"/>
        <v>5</v>
      </c>
      <c r="I1243" s="11">
        <f t="shared" si="112"/>
        <v>41</v>
      </c>
      <c r="J1243" s="11"/>
    </row>
    <row r="1244" spans="1:10" x14ac:dyDescent="0.25">
      <c r="A1244" s="2">
        <v>41782</v>
      </c>
      <c r="B1244" s="3">
        <v>433</v>
      </c>
      <c r="C1244" s="4">
        <v>203510</v>
      </c>
      <c r="D1244" s="3">
        <v>787</v>
      </c>
      <c r="E1244" s="4">
        <v>574510</v>
      </c>
      <c r="G1244" s="12">
        <f t="shared" si="110"/>
        <v>2014</v>
      </c>
      <c r="H1244" s="12">
        <f t="shared" si="111"/>
        <v>5</v>
      </c>
      <c r="I1244" s="11">
        <f t="shared" si="112"/>
        <v>41</v>
      </c>
      <c r="J1244" s="11"/>
    </row>
    <row r="1245" spans="1:10" x14ac:dyDescent="0.25">
      <c r="A1245" s="2">
        <v>41783</v>
      </c>
      <c r="B1245" s="3">
        <v>448</v>
      </c>
      <c r="C1245" s="4">
        <v>210560</v>
      </c>
      <c r="D1245" s="3">
        <v>583</v>
      </c>
      <c r="E1245" s="4">
        <v>425590</v>
      </c>
      <c r="G1245" s="12">
        <f t="shared" si="110"/>
        <v>2014</v>
      </c>
      <c r="H1245" s="12">
        <f t="shared" si="111"/>
        <v>5</v>
      </c>
      <c r="I1245" s="11">
        <f t="shared" si="112"/>
        <v>41</v>
      </c>
      <c r="J1245" s="11"/>
    </row>
    <row r="1246" spans="1:10" x14ac:dyDescent="0.25">
      <c r="A1246" s="2">
        <v>41784</v>
      </c>
      <c r="B1246" s="3">
        <v>459</v>
      </c>
      <c r="C1246" s="4">
        <v>215730</v>
      </c>
      <c r="D1246" s="3">
        <v>534</v>
      </c>
      <c r="E1246" s="4">
        <v>389820</v>
      </c>
      <c r="G1246" s="12">
        <f t="shared" si="110"/>
        <v>2014</v>
      </c>
      <c r="H1246" s="12">
        <f t="shared" si="111"/>
        <v>5</v>
      </c>
      <c r="I1246" s="11">
        <f t="shared" si="112"/>
        <v>41</v>
      </c>
      <c r="J1246" s="11"/>
    </row>
    <row r="1247" spans="1:10" x14ac:dyDescent="0.25">
      <c r="A1247" s="2">
        <v>41785</v>
      </c>
      <c r="B1247" s="3">
        <v>569</v>
      </c>
      <c r="C1247" s="4">
        <v>267430</v>
      </c>
      <c r="D1247" s="3">
        <v>582</v>
      </c>
      <c r="E1247" s="4">
        <v>424860</v>
      </c>
      <c r="G1247" s="12">
        <f t="shared" si="110"/>
        <v>2014</v>
      </c>
      <c r="H1247" s="12">
        <f t="shared" si="111"/>
        <v>5</v>
      </c>
      <c r="I1247" s="11">
        <f t="shared" si="112"/>
        <v>41</v>
      </c>
      <c r="J1247" s="11"/>
    </row>
    <row r="1248" spans="1:10" x14ac:dyDescent="0.25">
      <c r="A1248" s="2">
        <v>41786</v>
      </c>
      <c r="B1248" s="3">
        <v>500</v>
      </c>
      <c r="C1248" s="4">
        <v>235000</v>
      </c>
      <c r="D1248" s="3">
        <v>644</v>
      </c>
      <c r="E1248" s="4">
        <v>470120</v>
      </c>
      <c r="G1248" s="12">
        <f t="shared" si="110"/>
        <v>2014</v>
      </c>
      <c r="H1248" s="12">
        <f t="shared" si="111"/>
        <v>5</v>
      </c>
      <c r="I1248" s="11">
        <f t="shared" si="112"/>
        <v>41</v>
      </c>
      <c r="J1248" s="11"/>
    </row>
    <row r="1249" spans="1:10" x14ac:dyDescent="0.25">
      <c r="A1249" s="2">
        <v>41787</v>
      </c>
      <c r="B1249" s="3">
        <v>476</v>
      </c>
      <c r="C1249" s="4">
        <v>223720</v>
      </c>
      <c r="D1249" s="3">
        <v>670</v>
      </c>
      <c r="E1249" s="4">
        <v>489100</v>
      </c>
      <c r="G1249" s="12">
        <f t="shared" si="110"/>
        <v>2014</v>
      </c>
      <c r="H1249" s="12">
        <f t="shared" si="111"/>
        <v>5</v>
      </c>
      <c r="I1249" s="11">
        <f t="shared" si="112"/>
        <v>41</v>
      </c>
      <c r="J1249" s="11"/>
    </row>
    <row r="1250" spans="1:10" x14ac:dyDescent="0.25">
      <c r="A1250" s="2">
        <v>41788</v>
      </c>
      <c r="B1250" s="3">
        <v>429</v>
      </c>
      <c r="C1250" s="4">
        <v>201630</v>
      </c>
      <c r="D1250" s="3">
        <v>785</v>
      </c>
      <c r="E1250" s="4">
        <v>573050</v>
      </c>
      <c r="G1250" s="12">
        <f t="shared" si="110"/>
        <v>2014</v>
      </c>
      <c r="H1250" s="12">
        <f t="shared" si="111"/>
        <v>5</v>
      </c>
      <c r="I1250" s="11">
        <f t="shared" si="112"/>
        <v>41</v>
      </c>
      <c r="J1250" s="11"/>
    </row>
    <row r="1251" spans="1:10" x14ac:dyDescent="0.25">
      <c r="A1251" s="2">
        <v>41789</v>
      </c>
      <c r="B1251" s="3">
        <v>472</v>
      </c>
      <c r="C1251" s="4">
        <v>221840</v>
      </c>
      <c r="D1251" s="3">
        <v>629</v>
      </c>
      <c r="E1251" s="4">
        <v>459170</v>
      </c>
      <c r="G1251" s="12">
        <f t="shared" si="110"/>
        <v>2014</v>
      </c>
      <c r="H1251" s="12">
        <f t="shared" si="111"/>
        <v>5</v>
      </c>
      <c r="I1251" s="11">
        <f t="shared" si="112"/>
        <v>41</v>
      </c>
      <c r="J1251" s="11"/>
    </row>
    <row r="1252" spans="1:10" x14ac:dyDescent="0.25">
      <c r="A1252" s="2">
        <v>41790</v>
      </c>
      <c r="B1252" s="3">
        <v>555</v>
      </c>
      <c r="C1252" s="4">
        <v>260850</v>
      </c>
      <c r="D1252" s="3">
        <v>670</v>
      </c>
      <c r="E1252" s="4">
        <v>489100</v>
      </c>
      <c r="G1252" s="12">
        <f t="shared" si="110"/>
        <v>2014</v>
      </c>
      <c r="H1252" s="12">
        <f t="shared" si="111"/>
        <v>5</v>
      </c>
      <c r="I1252" s="11">
        <f t="shared" si="112"/>
        <v>41</v>
      </c>
      <c r="J1252" s="11"/>
    </row>
    <row r="1253" spans="1:10" x14ac:dyDescent="0.25">
      <c r="A1253" s="2">
        <v>41791</v>
      </c>
      <c r="B1253" s="3">
        <v>420</v>
      </c>
      <c r="C1253" s="4">
        <v>197400</v>
      </c>
      <c r="D1253" s="3">
        <v>740</v>
      </c>
      <c r="E1253" s="4">
        <v>216080</v>
      </c>
      <c r="G1253" s="12">
        <f t="shared" si="110"/>
        <v>2014</v>
      </c>
      <c r="H1253" s="12">
        <f t="shared" si="111"/>
        <v>6</v>
      </c>
      <c r="I1253" s="11">
        <f t="shared" si="112"/>
        <v>42</v>
      </c>
      <c r="J1253" s="11"/>
    </row>
    <row r="1254" spans="1:10" x14ac:dyDescent="0.25">
      <c r="A1254" s="2">
        <v>41792</v>
      </c>
      <c r="B1254" s="3">
        <v>518</v>
      </c>
      <c r="C1254" s="4">
        <v>243460</v>
      </c>
      <c r="D1254" s="3">
        <v>766</v>
      </c>
      <c r="E1254" s="4">
        <v>223672</v>
      </c>
      <c r="G1254" s="12">
        <f t="shared" si="110"/>
        <v>2014</v>
      </c>
      <c r="H1254" s="12">
        <f t="shared" si="111"/>
        <v>6</v>
      </c>
      <c r="I1254" s="11">
        <f t="shared" si="112"/>
        <v>42</v>
      </c>
      <c r="J1254" s="11"/>
    </row>
    <row r="1255" spans="1:10" x14ac:dyDescent="0.25">
      <c r="A1255" s="2">
        <v>41793</v>
      </c>
      <c r="B1255" s="3">
        <v>458</v>
      </c>
      <c r="C1255" s="4">
        <v>215260</v>
      </c>
      <c r="D1255" s="3">
        <v>773</v>
      </c>
      <c r="E1255" s="4">
        <v>225716</v>
      </c>
      <c r="G1255" s="12">
        <f t="shared" si="110"/>
        <v>2014</v>
      </c>
      <c r="H1255" s="12">
        <f t="shared" si="111"/>
        <v>6</v>
      </c>
      <c r="I1255" s="11">
        <f t="shared" si="112"/>
        <v>42</v>
      </c>
      <c r="J1255" s="11"/>
    </row>
    <row r="1256" spans="1:10" x14ac:dyDescent="0.25">
      <c r="A1256" s="2">
        <v>41794</v>
      </c>
      <c r="B1256" s="3">
        <v>473</v>
      </c>
      <c r="C1256" s="4">
        <v>222310</v>
      </c>
      <c r="D1256" s="3">
        <v>705</v>
      </c>
      <c r="E1256" s="4">
        <v>205860</v>
      </c>
      <c r="G1256" s="12">
        <f t="shared" si="110"/>
        <v>2014</v>
      </c>
      <c r="H1256" s="12">
        <f t="shared" si="111"/>
        <v>6</v>
      </c>
      <c r="I1256" s="11">
        <f t="shared" si="112"/>
        <v>42</v>
      </c>
      <c r="J1256" s="11"/>
    </row>
    <row r="1257" spans="1:10" x14ac:dyDescent="0.25">
      <c r="A1257" s="2">
        <v>41795</v>
      </c>
      <c r="B1257" s="3">
        <v>450</v>
      </c>
      <c r="C1257" s="4">
        <v>211500</v>
      </c>
      <c r="D1257" s="3">
        <v>840</v>
      </c>
      <c r="E1257" s="4">
        <v>245280</v>
      </c>
      <c r="G1257" s="12">
        <f t="shared" si="110"/>
        <v>2014</v>
      </c>
      <c r="H1257" s="12">
        <f t="shared" si="111"/>
        <v>6</v>
      </c>
      <c r="I1257" s="11">
        <f t="shared" si="112"/>
        <v>42</v>
      </c>
      <c r="J1257" s="11"/>
    </row>
    <row r="1258" spans="1:10" x14ac:dyDescent="0.25">
      <c r="A1258" s="2">
        <v>41796</v>
      </c>
      <c r="B1258" s="3">
        <v>555</v>
      </c>
      <c r="C1258" s="4">
        <v>260850</v>
      </c>
      <c r="D1258" s="3">
        <v>749</v>
      </c>
      <c r="E1258" s="4">
        <v>218708</v>
      </c>
      <c r="G1258" s="12">
        <f t="shared" si="110"/>
        <v>2014</v>
      </c>
      <c r="H1258" s="12">
        <f t="shared" si="111"/>
        <v>6</v>
      </c>
      <c r="I1258" s="11">
        <f t="shared" si="112"/>
        <v>42</v>
      </c>
      <c r="J1258" s="11"/>
    </row>
    <row r="1259" spans="1:10" x14ac:dyDescent="0.25">
      <c r="A1259" s="2">
        <v>41797</v>
      </c>
      <c r="B1259" s="3">
        <v>480</v>
      </c>
      <c r="C1259" s="4">
        <v>225600</v>
      </c>
      <c r="D1259" s="3">
        <v>662</v>
      </c>
      <c r="E1259" s="4">
        <v>193304</v>
      </c>
      <c r="G1259" s="12">
        <f t="shared" si="110"/>
        <v>2014</v>
      </c>
      <c r="H1259" s="12">
        <f t="shared" si="111"/>
        <v>6</v>
      </c>
      <c r="I1259" s="11">
        <f t="shared" si="112"/>
        <v>42</v>
      </c>
      <c r="J1259" s="11"/>
    </row>
    <row r="1260" spans="1:10" x14ac:dyDescent="0.25">
      <c r="A1260" s="2">
        <v>41798</v>
      </c>
      <c r="B1260" s="3">
        <v>528</v>
      </c>
      <c r="C1260" s="4">
        <v>248160</v>
      </c>
      <c r="D1260" s="3">
        <v>589</v>
      </c>
      <c r="E1260" s="4">
        <v>171988</v>
      </c>
      <c r="G1260" s="12">
        <f t="shared" si="110"/>
        <v>2014</v>
      </c>
      <c r="H1260" s="12">
        <f t="shared" si="111"/>
        <v>6</v>
      </c>
      <c r="I1260" s="11">
        <f t="shared" si="112"/>
        <v>42</v>
      </c>
      <c r="J1260" s="11"/>
    </row>
    <row r="1261" spans="1:10" x14ac:dyDescent="0.25">
      <c r="A1261" s="2">
        <v>41799</v>
      </c>
      <c r="B1261" s="3">
        <v>462</v>
      </c>
      <c r="C1261" s="4">
        <v>217140</v>
      </c>
      <c r="D1261" s="3">
        <v>665</v>
      </c>
      <c r="E1261" s="4">
        <v>194180</v>
      </c>
      <c r="G1261" s="12">
        <f t="shared" si="110"/>
        <v>2014</v>
      </c>
      <c r="H1261" s="12">
        <f t="shared" si="111"/>
        <v>6</v>
      </c>
      <c r="I1261" s="11">
        <f t="shared" si="112"/>
        <v>42</v>
      </c>
      <c r="J1261" s="11"/>
    </row>
    <row r="1262" spans="1:10" x14ac:dyDescent="0.25">
      <c r="A1262" s="2">
        <v>41800</v>
      </c>
      <c r="B1262" s="3">
        <v>494</v>
      </c>
      <c r="C1262" s="4">
        <v>232180</v>
      </c>
      <c r="D1262" s="3">
        <v>614</v>
      </c>
      <c r="E1262" s="4">
        <v>179288</v>
      </c>
      <c r="G1262" s="12">
        <f t="shared" si="110"/>
        <v>2014</v>
      </c>
      <c r="H1262" s="12">
        <f t="shared" si="111"/>
        <v>6</v>
      </c>
      <c r="I1262" s="11">
        <f t="shared" si="112"/>
        <v>42</v>
      </c>
      <c r="J1262" s="11"/>
    </row>
    <row r="1263" spans="1:10" x14ac:dyDescent="0.25">
      <c r="A1263" s="2">
        <v>41801</v>
      </c>
      <c r="B1263" s="3">
        <v>453</v>
      </c>
      <c r="C1263" s="4">
        <v>212910</v>
      </c>
      <c r="D1263" s="3">
        <v>737</v>
      </c>
      <c r="E1263" s="4">
        <v>215204</v>
      </c>
      <c r="G1263" s="12">
        <f t="shared" si="110"/>
        <v>2014</v>
      </c>
      <c r="H1263" s="12">
        <f t="shared" si="111"/>
        <v>6</v>
      </c>
      <c r="I1263" s="11">
        <f t="shared" si="112"/>
        <v>42</v>
      </c>
      <c r="J1263" s="11"/>
    </row>
    <row r="1264" spans="1:10" x14ac:dyDescent="0.25">
      <c r="A1264" s="2">
        <v>41802</v>
      </c>
      <c r="B1264" s="3">
        <v>456</v>
      </c>
      <c r="C1264" s="4">
        <v>214320</v>
      </c>
      <c r="D1264" s="3">
        <v>637</v>
      </c>
      <c r="E1264" s="4">
        <v>186004</v>
      </c>
      <c r="G1264" s="12">
        <f t="shared" si="110"/>
        <v>2014</v>
      </c>
      <c r="H1264" s="12">
        <f t="shared" si="111"/>
        <v>6</v>
      </c>
      <c r="I1264" s="11">
        <f t="shared" si="112"/>
        <v>42</v>
      </c>
      <c r="J1264" s="11"/>
    </row>
    <row r="1265" spans="1:10" x14ac:dyDescent="0.25">
      <c r="A1265" s="2">
        <v>41803</v>
      </c>
      <c r="B1265" s="3">
        <v>476</v>
      </c>
      <c r="C1265" s="4">
        <v>223720</v>
      </c>
      <c r="D1265" s="3">
        <v>633</v>
      </c>
      <c r="E1265" s="4">
        <v>184836</v>
      </c>
      <c r="G1265" s="12">
        <f t="shared" si="110"/>
        <v>2014</v>
      </c>
      <c r="H1265" s="12">
        <f t="shared" si="111"/>
        <v>6</v>
      </c>
      <c r="I1265" s="11">
        <f t="shared" si="112"/>
        <v>42</v>
      </c>
      <c r="J1265" s="11"/>
    </row>
    <row r="1266" spans="1:10" x14ac:dyDescent="0.25">
      <c r="A1266" s="2">
        <v>41804</v>
      </c>
      <c r="B1266" s="3">
        <v>416</v>
      </c>
      <c r="C1266" s="4">
        <v>195520</v>
      </c>
      <c r="D1266" s="3">
        <v>663</v>
      </c>
      <c r="E1266" s="4">
        <v>193596</v>
      </c>
      <c r="G1266" s="12">
        <f t="shared" si="110"/>
        <v>2014</v>
      </c>
      <c r="H1266" s="12">
        <f t="shared" si="111"/>
        <v>6</v>
      </c>
      <c r="I1266" s="11">
        <f t="shared" si="112"/>
        <v>42</v>
      </c>
      <c r="J1266" s="11"/>
    </row>
    <row r="1267" spans="1:10" x14ac:dyDescent="0.25">
      <c r="A1267" s="2">
        <v>41805</v>
      </c>
      <c r="B1267" s="3">
        <v>417</v>
      </c>
      <c r="C1267" s="4">
        <v>195990</v>
      </c>
      <c r="D1267" s="3">
        <v>685</v>
      </c>
      <c r="E1267" s="4">
        <v>200020</v>
      </c>
      <c r="G1267" s="12">
        <f t="shared" si="110"/>
        <v>2014</v>
      </c>
      <c r="H1267" s="12">
        <f t="shared" si="111"/>
        <v>6</v>
      </c>
      <c r="I1267" s="11">
        <f t="shared" si="112"/>
        <v>42</v>
      </c>
      <c r="J1267" s="11"/>
    </row>
    <row r="1268" spans="1:10" x14ac:dyDescent="0.25">
      <c r="A1268" s="2">
        <v>41806</v>
      </c>
      <c r="B1268" s="3">
        <v>422</v>
      </c>
      <c r="C1268" s="4">
        <v>198340</v>
      </c>
      <c r="D1268" s="3">
        <v>721</v>
      </c>
      <c r="E1268" s="4">
        <v>210532</v>
      </c>
      <c r="G1268" s="12">
        <f t="shared" si="110"/>
        <v>2014</v>
      </c>
      <c r="H1268" s="12">
        <f t="shared" si="111"/>
        <v>6</v>
      </c>
      <c r="I1268" s="11">
        <f t="shared" si="112"/>
        <v>42</v>
      </c>
      <c r="J1268" s="11"/>
    </row>
    <row r="1269" spans="1:10" x14ac:dyDescent="0.25">
      <c r="A1269" s="2">
        <v>41807</v>
      </c>
      <c r="B1269" s="3">
        <v>544</v>
      </c>
      <c r="C1269" s="4">
        <v>255680</v>
      </c>
      <c r="D1269" s="3">
        <v>835</v>
      </c>
      <c r="E1269" s="4">
        <v>243820</v>
      </c>
      <c r="G1269" s="12">
        <f t="shared" si="110"/>
        <v>2014</v>
      </c>
      <c r="H1269" s="12">
        <f t="shared" si="111"/>
        <v>6</v>
      </c>
      <c r="I1269" s="11">
        <f t="shared" si="112"/>
        <v>42</v>
      </c>
      <c r="J1269" s="11"/>
    </row>
    <row r="1270" spans="1:10" x14ac:dyDescent="0.25">
      <c r="A1270" s="2">
        <v>41808</v>
      </c>
      <c r="B1270" s="3">
        <v>476</v>
      </c>
      <c r="C1270" s="4">
        <v>223720</v>
      </c>
      <c r="D1270" s="3">
        <v>682</v>
      </c>
      <c r="E1270" s="4">
        <v>199144</v>
      </c>
      <c r="G1270" s="12">
        <f t="shared" si="110"/>
        <v>2014</v>
      </c>
      <c r="H1270" s="12">
        <f t="shared" si="111"/>
        <v>6</v>
      </c>
      <c r="I1270" s="11">
        <f t="shared" si="112"/>
        <v>42</v>
      </c>
      <c r="J1270" s="11"/>
    </row>
    <row r="1271" spans="1:10" x14ac:dyDescent="0.25">
      <c r="A1271" s="2">
        <v>41809</v>
      </c>
      <c r="B1271" s="3">
        <v>423</v>
      </c>
      <c r="C1271" s="4">
        <v>198810</v>
      </c>
      <c r="D1271" s="3">
        <v>690</v>
      </c>
      <c r="E1271" s="4">
        <v>201480</v>
      </c>
      <c r="G1271" s="12">
        <f t="shared" si="110"/>
        <v>2014</v>
      </c>
      <c r="H1271" s="12">
        <f t="shared" si="111"/>
        <v>6</v>
      </c>
      <c r="I1271" s="11">
        <f t="shared" si="112"/>
        <v>42</v>
      </c>
      <c r="J1271" s="11"/>
    </row>
    <row r="1272" spans="1:10" x14ac:dyDescent="0.25">
      <c r="A1272" s="2">
        <v>41810</v>
      </c>
      <c r="B1272" s="3">
        <v>442</v>
      </c>
      <c r="C1272" s="4">
        <v>207740</v>
      </c>
      <c r="D1272" s="3">
        <v>742</v>
      </c>
      <c r="E1272" s="4">
        <v>216664</v>
      </c>
      <c r="G1272" s="12">
        <f t="shared" si="110"/>
        <v>2014</v>
      </c>
      <c r="H1272" s="12">
        <f t="shared" si="111"/>
        <v>6</v>
      </c>
      <c r="I1272" s="11">
        <f t="shared" si="112"/>
        <v>42</v>
      </c>
      <c r="J1272" s="11"/>
    </row>
    <row r="1273" spans="1:10" x14ac:dyDescent="0.25">
      <c r="A1273" s="2">
        <v>41811</v>
      </c>
      <c r="B1273" s="3">
        <v>530</v>
      </c>
      <c r="C1273" s="4">
        <v>249100</v>
      </c>
      <c r="D1273" s="3">
        <v>629</v>
      </c>
      <c r="E1273" s="4">
        <v>183668</v>
      </c>
      <c r="G1273" s="12">
        <f t="shared" si="110"/>
        <v>2014</v>
      </c>
      <c r="H1273" s="12">
        <f t="shared" si="111"/>
        <v>6</v>
      </c>
      <c r="I1273" s="11">
        <f t="shared" si="112"/>
        <v>42</v>
      </c>
      <c r="J1273" s="11"/>
    </row>
    <row r="1274" spans="1:10" x14ac:dyDescent="0.25">
      <c r="A1274" s="2">
        <v>41812</v>
      </c>
      <c r="B1274" s="3">
        <v>430</v>
      </c>
      <c r="C1274" s="4">
        <v>202100</v>
      </c>
      <c r="D1274" s="3">
        <v>779</v>
      </c>
      <c r="E1274" s="4">
        <v>227468</v>
      </c>
      <c r="G1274" s="12">
        <f t="shared" si="110"/>
        <v>2014</v>
      </c>
      <c r="H1274" s="12">
        <f t="shared" si="111"/>
        <v>6</v>
      </c>
      <c r="I1274" s="11">
        <f t="shared" si="112"/>
        <v>42</v>
      </c>
      <c r="J1274" s="11"/>
    </row>
    <row r="1275" spans="1:10" x14ac:dyDescent="0.25">
      <c r="A1275" s="2">
        <v>41813</v>
      </c>
      <c r="B1275" s="3">
        <v>491</v>
      </c>
      <c r="C1275" s="4">
        <v>230770</v>
      </c>
      <c r="D1275" s="3">
        <v>657</v>
      </c>
      <c r="E1275" s="4">
        <v>191844</v>
      </c>
      <c r="G1275" s="12">
        <f t="shared" si="110"/>
        <v>2014</v>
      </c>
      <c r="H1275" s="12">
        <f t="shared" si="111"/>
        <v>6</v>
      </c>
      <c r="I1275" s="11">
        <f t="shared" si="112"/>
        <v>42</v>
      </c>
      <c r="J1275" s="11"/>
    </row>
    <row r="1276" spans="1:10" x14ac:dyDescent="0.25">
      <c r="A1276" s="2">
        <v>41814</v>
      </c>
      <c r="B1276" s="3">
        <v>481</v>
      </c>
      <c r="C1276" s="4">
        <v>226070</v>
      </c>
      <c r="D1276" s="3">
        <v>719</v>
      </c>
      <c r="E1276" s="4">
        <v>209948</v>
      </c>
      <c r="G1276" s="12">
        <f t="shared" si="110"/>
        <v>2014</v>
      </c>
      <c r="H1276" s="12">
        <f t="shared" si="111"/>
        <v>6</v>
      </c>
      <c r="I1276" s="11">
        <f t="shared" si="112"/>
        <v>42</v>
      </c>
      <c r="J1276" s="11"/>
    </row>
    <row r="1277" spans="1:10" x14ac:dyDescent="0.25">
      <c r="A1277" s="2">
        <v>41815</v>
      </c>
      <c r="B1277" s="3">
        <v>431</v>
      </c>
      <c r="C1277" s="4">
        <v>202570</v>
      </c>
      <c r="D1277" s="3">
        <v>765</v>
      </c>
      <c r="E1277" s="4">
        <v>223380</v>
      </c>
      <c r="G1277" s="12">
        <f t="shared" si="110"/>
        <v>2014</v>
      </c>
      <c r="H1277" s="12">
        <f t="shared" si="111"/>
        <v>6</v>
      </c>
      <c r="I1277" s="11">
        <f t="shared" si="112"/>
        <v>42</v>
      </c>
      <c r="J1277" s="11"/>
    </row>
    <row r="1278" spans="1:10" x14ac:dyDescent="0.25">
      <c r="A1278" s="2">
        <v>41816</v>
      </c>
      <c r="B1278" s="3">
        <v>533</v>
      </c>
      <c r="C1278" s="4">
        <v>250510</v>
      </c>
      <c r="D1278" s="3">
        <v>728</v>
      </c>
      <c r="E1278" s="4">
        <v>212576</v>
      </c>
      <c r="G1278" s="12">
        <f t="shared" si="110"/>
        <v>2014</v>
      </c>
      <c r="H1278" s="12">
        <f t="shared" si="111"/>
        <v>6</v>
      </c>
      <c r="I1278" s="11">
        <f t="shared" si="112"/>
        <v>42</v>
      </c>
      <c r="J1278" s="11"/>
    </row>
    <row r="1279" spans="1:10" x14ac:dyDescent="0.25">
      <c r="A1279" s="2">
        <v>41817</v>
      </c>
      <c r="B1279" s="3">
        <v>561</v>
      </c>
      <c r="C1279" s="4">
        <v>263670</v>
      </c>
      <c r="D1279" s="3">
        <v>794</v>
      </c>
      <c r="E1279" s="4">
        <v>231848</v>
      </c>
      <c r="G1279" s="12">
        <f t="shared" si="110"/>
        <v>2014</v>
      </c>
      <c r="H1279" s="12">
        <f t="shared" si="111"/>
        <v>6</v>
      </c>
      <c r="I1279" s="11">
        <f t="shared" si="112"/>
        <v>42</v>
      </c>
      <c r="J1279" s="11"/>
    </row>
    <row r="1280" spans="1:10" x14ac:dyDescent="0.25">
      <c r="A1280" s="2">
        <v>41818</v>
      </c>
      <c r="B1280" s="3">
        <v>494</v>
      </c>
      <c r="C1280" s="4">
        <v>232180</v>
      </c>
      <c r="D1280" s="3">
        <v>721</v>
      </c>
      <c r="E1280" s="4">
        <v>210532</v>
      </c>
      <c r="G1280" s="12">
        <f t="shared" si="110"/>
        <v>2014</v>
      </c>
      <c r="H1280" s="12">
        <f t="shared" si="111"/>
        <v>6</v>
      </c>
      <c r="I1280" s="11">
        <f t="shared" si="112"/>
        <v>42</v>
      </c>
      <c r="J1280" s="11"/>
    </row>
    <row r="1281" spans="1:10" x14ac:dyDescent="0.25">
      <c r="A1281" s="2">
        <v>41819</v>
      </c>
      <c r="B1281" s="3">
        <v>461</v>
      </c>
      <c r="C1281" s="4">
        <v>216670</v>
      </c>
      <c r="D1281" s="3">
        <v>851</v>
      </c>
      <c r="E1281" s="4">
        <v>248492</v>
      </c>
      <c r="G1281" s="12">
        <f t="shared" si="110"/>
        <v>2014</v>
      </c>
      <c r="H1281" s="12">
        <f t="shared" si="111"/>
        <v>6</v>
      </c>
      <c r="I1281" s="11">
        <f t="shared" si="112"/>
        <v>42</v>
      </c>
      <c r="J1281" s="11"/>
    </row>
    <row r="1282" spans="1:10" x14ac:dyDescent="0.25">
      <c r="A1282" s="2">
        <v>41820</v>
      </c>
      <c r="B1282" s="3">
        <v>504</v>
      </c>
      <c r="C1282" s="4">
        <v>236880</v>
      </c>
      <c r="D1282" s="3">
        <v>834</v>
      </c>
      <c r="E1282" s="4">
        <v>243528</v>
      </c>
      <c r="G1282" s="12">
        <f t="shared" si="110"/>
        <v>2014</v>
      </c>
      <c r="H1282" s="12">
        <f t="shared" si="111"/>
        <v>6</v>
      </c>
      <c r="I1282" s="11">
        <f t="shared" si="112"/>
        <v>42</v>
      </c>
      <c r="J1282" s="11"/>
    </row>
    <row r="1283" spans="1:10" x14ac:dyDescent="0.25">
      <c r="A1283" s="2">
        <v>41821</v>
      </c>
      <c r="B1283" s="3">
        <v>458</v>
      </c>
      <c r="C1283" s="4">
        <v>215260</v>
      </c>
      <c r="D1283" s="3">
        <v>314</v>
      </c>
      <c r="E1283" s="4">
        <v>229220</v>
      </c>
      <c r="G1283" s="12">
        <f t="shared" si="110"/>
        <v>2014</v>
      </c>
      <c r="H1283" s="12">
        <f t="shared" si="111"/>
        <v>7</v>
      </c>
      <c r="I1283" s="11">
        <f t="shared" si="112"/>
        <v>43</v>
      </c>
      <c r="J1283" s="11"/>
    </row>
    <row r="1284" spans="1:10" x14ac:dyDescent="0.25">
      <c r="A1284" s="2">
        <v>41822</v>
      </c>
      <c r="B1284" s="3">
        <v>426</v>
      </c>
      <c r="C1284" s="4">
        <v>200220</v>
      </c>
      <c r="D1284" s="3">
        <v>305</v>
      </c>
      <c r="E1284" s="4">
        <v>222650</v>
      </c>
      <c r="G1284" s="12">
        <f t="shared" si="110"/>
        <v>2014</v>
      </c>
      <c r="H1284" s="12">
        <f t="shared" si="111"/>
        <v>7</v>
      </c>
      <c r="I1284" s="11">
        <f t="shared" si="112"/>
        <v>43</v>
      </c>
      <c r="J1284" s="11"/>
    </row>
    <row r="1285" spans="1:10" x14ac:dyDescent="0.25">
      <c r="A1285" s="2">
        <v>41823</v>
      </c>
      <c r="B1285" s="3">
        <v>495</v>
      </c>
      <c r="C1285" s="4">
        <v>232650</v>
      </c>
      <c r="D1285" s="3">
        <v>296</v>
      </c>
      <c r="E1285" s="4">
        <v>216080</v>
      </c>
      <c r="G1285" s="12">
        <f t="shared" si="110"/>
        <v>2014</v>
      </c>
      <c r="H1285" s="12">
        <f t="shared" si="111"/>
        <v>7</v>
      </c>
      <c r="I1285" s="11">
        <f t="shared" si="112"/>
        <v>43</v>
      </c>
      <c r="J1285" s="11"/>
    </row>
    <row r="1286" spans="1:10" x14ac:dyDescent="0.25">
      <c r="A1286" s="2">
        <v>41824</v>
      </c>
      <c r="B1286" s="3">
        <v>393</v>
      </c>
      <c r="C1286" s="4">
        <v>184710</v>
      </c>
      <c r="D1286" s="3">
        <v>301</v>
      </c>
      <c r="E1286" s="4">
        <v>219730</v>
      </c>
      <c r="G1286" s="12">
        <f t="shared" ref="G1286:G1349" si="113">+YEAR(A1286)</f>
        <v>2014</v>
      </c>
      <c r="H1286" s="12">
        <f t="shared" ref="H1286:H1349" si="114">+MONTH(A1286)</f>
        <v>7</v>
      </c>
      <c r="I1286" s="11">
        <f t="shared" si="112"/>
        <v>43</v>
      </c>
      <c r="J1286" s="11"/>
    </row>
    <row r="1287" spans="1:10" x14ac:dyDescent="0.25">
      <c r="A1287" s="2">
        <v>41825</v>
      </c>
      <c r="B1287" s="3">
        <v>475</v>
      </c>
      <c r="C1287" s="4">
        <v>223250</v>
      </c>
      <c r="D1287" s="3">
        <v>287</v>
      </c>
      <c r="E1287" s="4">
        <v>209510</v>
      </c>
      <c r="G1287" s="12">
        <f t="shared" si="113"/>
        <v>2014</v>
      </c>
      <c r="H1287" s="12">
        <f t="shared" si="114"/>
        <v>7</v>
      </c>
      <c r="I1287" s="11">
        <f t="shared" ref="I1287:I1350" si="115">+H1287+(G1287-2011)*12</f>
        <v>43</v>
      </c>
      <c r="J1287" s="11"/>
    </row>
    <row r="1288" spans="1:10" x14ac:dyDescent="0.25">
      <c r="A1288" s="2">
        <v>41826</v>
      </c>
      <c r="B1288" s="3">
        <v>501</v>
      </c>
      <c r="C1288" s="4">
        <v>235470</v>
      </c>
      <c r="D1288" s="3">
        <v>279</v>
      </c>
      <c r="E1288" s="4">
        <v>203670</v>
      </c>
      <c r="G1288" s="12">
        <f t="shared" si="113"/>
        <v>2014</v>
      </c>
      <c r="H1288" s="12">
        <f t="shared" si="114"/>
        <v>7</v>
      </c>
      <c r="I1288" s="11">
        <f t="shared" si="115"/>
        <v>43</v>
      </c>
      <c r="J1288" s="11"/>
    </row>
    <row r="1289" spans="1:10" x14ac:dyDescent="0.25">
      <c r="A1289" s="2">
        <v>41827</v>
      </c>
      <c r="B1289" s="3">
        <v>393</v>
      </c>
      <c r="C1289" s="4">
        <v>184710</v>
      </c>
      <c r="D1289" s="3">
        <v>282</v>
      </c>
      <c r="E1289" s="4">
        <v>205860</v>
      </c>
      <c r="G1289" s="12">
        <f t="shared" si="113"/>
        <v>2014</v>
      </c>
      <c r="H1289" s="12">
        <f t="shared" si="114"/>
        <v>7</v>
      </c>
      <c r="I1289" s="11">
        <f t="shared" si="115"/>
        <v>43</v>
      </c>
      <c r="J1289" s="11"/>
    </row>
    <row r="1290" spans="1:10" x14ac:dyDescent="0.25">
      <c r="A1290" s="2">
        <v>41828</v>
      </c>
      <c r="B1290" s="3">
        <v>506</v>
      </c>
      <c r="C1290" s="4">
        <v>237820</v>
      </c>
      <c r="D1290" s="3">
        <v>281</v>
      </c>
      <c r="E1290" s="4">
        <v>205130</v>
      </c>
      <c r="G1290" s="12">
        <f t="shared" si="113"/>
        <v>2014</v>
      </c>
      <c r="H1290" s="12">
        <f t="shared" si="114"/>
        <v>7</v>
      </c>
      <c r="I1290" s="11">
        <f t="shared" si="115"/>
        <v>43</v>
      </c>
      <c r="J1290" s="11"/>
    </row>
    <row r="1291" spans="1:10" x14ac:dyDescent="0.25">
      <c r="A1291" s="2">
        <v>41829</v>
      </c>
      <c r="B1291" s="3">
        <v>563</v>
      </c>
      <c r="C1291" s="4">
        <v>264610</v>
      </c>
      <c r="D1291" s="3">
        <v>260</v>
      </c>
      <c r="E1291" s="4">
        <v>189800</v>
      </c>
      <c r="G1291" s="12">
        <f t="shared" si="113"/>
        <v>2014</v>
      </c>
      <c r="H1291" s="12">
        <f t="shared" si="114"/>
        <v>7</v>
      </c>
      <c r="I1291" s="11">
        <f t="shared" si="115"/>
        <v>43</v>
      </c>
      <c r="J1291" s="11"/>
    </row>
    <row r="1292" spans="1:10" x14ac:dyDescent="0.25">
      <c r="A1292" s="2">
        <v>41830</v>
      </c>
      <c r="B1292" s="3">
        <v>497</v>
      </c>
      <c r="C1292" s="4">
        <v>233590</v>
      </c>
      <c r="D1292" s="3">
        <v>294</v>
      </c>
      <c r="E1292" s="4">
        <v>214620</v>
      </c>
      <c r="G1292" s="12">
        <f t="shared" si="113"/>
        <v>2014</v>
      </c>
      <c r="H1292" s="12">
        <f t="shared" si="114"/>
        <v>7</v>
      </c>
      <c r="I1292" s="11">
        <f t="shared" si="115"/>
        <v>43</v>
      </c>
      <c r="J1292" s="11"/>
    </row>
    <row r="1293" spans="1:10" x14ac:dyDescent="0.25">
      <c r="A1293" s="2">
        <v>41831</v>
      </c>
      <c r="B1293" s="3">
        <v>516</v>
      </c>
      <c r="C1293" s="4">
        <v>242520</v>
      </c>
      <c r="D1293" s="3">
        <v>292</v>
      </c>
      <c r="E1293" s="4">
        <v>213160</v>
      </c>
      <c r="G1293" s="12">
        <f t="shared" si="113"/>
        <v>2014</v>
      </c>
      <c r="H1293" s="12">
        <f t="shared" si="114"/>
        <v>7</v>
      </c>
      <c r="I1293" s="11">
        <f t="shared" si="115"/>
        <v>43</v>
      </c>
      <c r="J1293" s="11"/>
    </row>
    <row r="1294" spans="1:10" x14ac:dyDescent="0.25">
      <c r="A1294" s="2">
        <v>41832</v>
      </c>
      <c r="B1294" s="3">
        <v>430</v>
      </c>
      <c r="C1294" s="4">
        <v>202100</v>
      </c>
      <c r="D1294" s="3">
        <v>218</v>
      </c>
      <c r="E1294" s="4">
        <v>159140</v>
      </c>
      <c r="G1294" s="12">
        <f t="shared" si="113"/>
        <v>2014</v>
      </c>
      <c r="H1294" s="12">
        <f t="shared" si="114"/>
        <v>7</v>
      </c>
      <c r="I1294" s="11">
        <f t="shared" si="115"/>
        <v>43</v>
      </c>
      <c r="J1294" s="11"/>
    </row>
    <row r="1295" spans="1:10" x14ac:dyDescent="0.25">
      <c r="A1295" s="2">
        <v>41833</v>
      </c>
      <c r="B1295" s="3">
        <v>454</v>
      </c>
      <c r="C1295" s="4">
        <v>213380</v>
      </c>
      <c r="D1295" s="3">
        <v>292</v>
      </c>
      <c r="E1295" s="4">
        <v>213160</v>
      </c>
      <c r="G1295" s="12">
        <f t="shared" si="113"/>
        <v>2014</v>
      </c>
      <c r="H1295" s="12">
        <f t="shared" si="114"/>
        <v>7</v>
      </c>
      <c r="I1295" s="11">
        <f t="shared" si="115"/>
        <v>43</v>
      </c>
      <c r="J1295" s="11"/>
    </row>
    <row r="1296" spans="1:10" x14ac:dyDescent="0.25">
      <c r="A1296" s="2">
        <v>41834</v>
      </c>
      <c r="B1296" s="3">
        <v>567</v>
      </c>
      <c r="C1296" s="4">
        <v>266490</v>
      </c>
      <c r="D1296" s="3">
        <v>272</v>
      </c>
      <c r="E1296" s="4">
        <v>198560</v>
      </c>
      <c r="G1296" s="12">
        <f t="shared" si="113"/>
        <v>2014</v>
      </c>
      <c r="H1296" s="12">
        <f t="shared" si="114"/>
        <v>7</v>
      </c>
      <c r="I1296" s="11">
        <f t="shared" si="115"/>
        <v>43</v>
      </c>
      <c r="J1296" s="11"/>
    </row>
    <row r="1297" spans="1:10" x14ac:dyDescent="0.25">
      <c r="A1297" s="2">
        <v>41835</v>
      </c>
      <c r="B1297" s="3">
        <v>427</v>
      </c>
      <c r="C1297" s="4">
        <v>200690</v>
      </c>
      <c r="D1297" s="3">
        <v>279</v>
      </c>
      <c r="E1297" s="4">
        <v>203670</v>
      </c>
      <c r="G1297" s="12">
        <f t="shared" si="113"/>
        <v>2014</v>
      </c>
      <c r="H1297" s="12">
        <f t="shared" si="114"/>
        <v>7</v>
      </c>
      <c r="I1297" s="11">
        <f t="shared" si="115"/>
        <v>43</v>
      </c>
      <c r="J1297" s="11"/>
    </row>
    <row r="1298" spans="1:10" x14ac:dyDescent="0.25">
      <c r="A1298" s="2">
        <v>41836</v>
      </c>
      <c r="B1298" s="3">
        <v>443</v>
      </c>
      <c r="C1298" s="4">
        <v>208210</v>
      </c>
      <c r="D1298" s="3">
        <v>357</v>
      </c>
      <c r="E1298" s="4">
        <v>260610</v>
      </c>
      <c r="G1298" s="12">
        <f t="shared" si="113"/>
        <v>2014</v>
      </c>
      <c r="H1298" s="12">
        <f t="shared" si="114"/>
        <v>7</v>
      </c>
      <c r="I1298" s="11">
        <f t="shared" si="115"/>
        <v>43</v>
      </c>
      <c r="J1298" s="11"/>
    </row>
    <row r="1299" spans="1:10" x14ac:dyDescent="0.25">
      <c r="A1299" s="2">
        <v>41837</v>
      </c>
      <c r="B1299" s="3">
        <v>492</v>
      </c>
      <c r="C1299" s="4">
        <v>231240</v>
      </c>
      <c r="D1299" s="3">
        <v>273</v>
      </c>
      <c r="E1299" s="4">
        <v>199290</v>
      </c>
      <c r="G1299" s="12">
        <f t="shared" si="113"/>
        <v>2014</v>
      </c>
      <c r="H1299" s="12">
        <f t="shared" si="114"/>
        <v>7</v>
      </c>
      <c r="I1299" s="11">
        <f t="shared" si="115"/>
        <v>43</v>
      </c>
      <c r="J1299" s="11"/>
    </row>
    <row r="1300" spans="1:10" x14ac:dyDescent="0.25">
      <c r="A1300" s="2">
        <v>41838</v>
      </c>
      <c r="B1300" s="3">
        <v>497</v>
      </c>
      <c r="C1300" s="4">
        <v>233590</v>
      </c>
      <c r="D1300" s="3">
        <v>313</v>
      </c>
      <c r="E1300" s="4">
        <v>228490</v>
      </c>
      <c r="G1300" s="12">
        <f t="shared" si="113"/>
        <v>2014</v>
      </c>
      <c r="H1300" s="12">
        <f t="shared" si="114"/>
        <v>7</v>
      </c>
      <c r="I1300" s="11">
        <f t="shared" si="115"/>
        <v>43</v>
      </c>
      <c r="J1300" s="11"/>
    </row>
    <row r="1301" spans="1:10" x14ac:dyDescent="0.25">
      <c r="A1301" s="2">
        <v>41839</v>
      </c>
      <c r="B1301" s="3">
        <v>437</v>
      </c>
      <c r="C1301" s="4">
        <v>205390</v>
      </c>
      <c r="D1301" s="3">
        <v>322</v>
      </c>
      <c r="E1301" s="4">
        <v>235060</v>
      </c>
      <c r="G1301" s="12">
        <f t="shared" si="113"/>
        <v>2014</v>
      </c>
      <c r="H1301" s="12">
        <f t="shared" si="114"/>
        <v>7</v>
      </c>
      <c r="I1301" s="11">
        <f t="shared" si="115"/>
        <v>43</v>
      </c>
      <c r="J1301" s="11"/>
    </row>
    <row r="1302" spans="1:10" x14ac:dyDescent="0.25">
      <c r="A1302" s="2">
        <v>41840</v>
      </c>
      <c r="B1302" s="3">
        <v>517</v>
      </c>
      <c r="C1302" s="4">
        <v>242990</v>
      </c>
      <c r="D1302" s="3">
        <v>324</v>
      </c>
      <c r="E1302" s="4">
        <v>236520</v>
      </c>
      <c r="G1302" s="12">
        <f t="shared" si="113"/>
        <v>2014</v>
      </c>
      <c r="H1302" s="12">
        <f t="shared" si="114"/>
        <v>7</v>
      </c>
      <c r="I1302" s="11">
        <f t="shared" si="115"/>
        <v>43</v>
      </c>
      <c r="J1302" s="11"/>
    </row>
    <row r="1303" spans="1:10" x14ac:dyDescent="0.25">
      <c r="A1303" s="2">
        <v>41841</v>
      </c>
      <c r="B1303" s="3">
        <v>414</v>
      </c>
      <c r="C1303" s="4">
        <v>194580</v>
      </c>
      <c r="D1303" s="3">
        <v>302</v>
      </c>
      <c r="E1303" s="4">
        <v>220460</v>
      </c>
      <c r="G1303" s="12">
        <f t="shared" si="113"/>
        <v>2014</v>
      </c>
      <c r="H1303" s="12">
        <f t="shared" si="114"/>
        <v>7</v>
      </c>
      <c r="I1303" s="11">
        <f t="shared" si="115"/>
        <v>43</v>
      </c>
      <c r="J1303" s="11"/>
    </row>
    <row r="1304" spans="1:10" x14ac:dyDescent="0.25">
      <c r="A1304" s="2">
        <v>41842</v>
      </c>
      <c r="B1304" s="3">
        <v>455</v>
      </c>
      <c r="C1304" s="4">
        <v>213850</v>
      </c>
      <c r="D1304" s="3">
        <v>276</v>
      </c>
      <c r="E1304" s="4">
        <v>201480</v>
      </c>
      <c r="G1304" s="12">
        <f t="shared" si="113"/>
        <v>2014</v>
      </c>
      <c r="H1304" s="12">
        <f t="shared" si="114"/>
        <v>7</v>
      </c>
      <c r="I1304" s="11">
        <f t="shared" si="115"/>
        <v>43</v>
      </c>
      <c r="J1304" s="11"/>
    </row>
    <row r="1305" spans="1:10" x14ac:dyDescent="0.25">
      <c r="A1305" s="2">
        <v>41843</v>
      </c>
      <c r="B1305" s="3">
        <v>354</v>
      </c>
      <c r="C1305" s="4">
        <v>166380</v>
      </c>
      <c r="D1305" s="3">
        <v>237</v>
      </c>
      <c r="E1305" s="4">
        <v>173010</v>
      </c>
      <c r="G1305" s="12">
        <f t="shared" si="113"/>
        <v>2014</v>
      </c>
      <c r="H1305" s="12">
        <f t="shared" si="114"/>
        <v>7</v>
      </c>
      <c r="I1305" s="11">
        <f t="shared" si="115"/>
        <v>43</v>
      </c>
      <c r="J1305" s="11"/>
    </row>
    <row r="1306" spans="1:10" x14ac:dyDescent="0.25">
      <c r="A1306" s="2">
        <v>41844</v>
      </c>
      <c r="B1306" s="3">
        <v>524</v>
      </c>
      <c r="C1306" s="4">
        <v>246280</v>
      </c>
      <c r="D1306" s="3">
        <v>296</v>
      </c>
      <c r="E1306" s="4">
        <v>216080</v>
      </c>
      <c r="G1306" s="12">
        <f t="shared" si="113"/>
        <v>2014</v>
      </c>
      <c r="H1306" s="12">
        <f t="shared" si="114"/>
        <v>7</v>
      </c>
      <c r="I1306" s="11">
        <f t="shared" si="115"/>
        <v>43</v>
      </c>
      <c r="J1306" s="11"/>
    </row>
    <row r="1307" spans="1:10" x14ac:dyDescent="0.25">
      <c r="A1307" s="2">
        <v>41845</v>
      </c>
      <c r="B1307" s="3">
        <v>437</v>
      </c>
      <c r="C1307" s="4">
        <v>205390</v>
      </c>
      <c r="D1307" s="3">
        <v>359</v>
      </c>
      <c r="E1307" s="4">
        <v>262070</v>
      </c>
      <c r="G1307" s="12">
        <f t="shared" si="113"/>
        <v>2014</v>
      </c>
      <c r="H1307" s="12">
        <f t="shared" si="114"/>
        <v>7</v>
      </c>
      <c r="I1307" s="11">
        <f t="shared" si="115"/>
        <v>43</v>
      </c>
      <c r="J1307" s="11"/>
    </row>
    <row r="1308" spans="1:10" x14ac:dyDescent="0.25">
      <c r="A1308" s="2">
        <v>41846</v>
      </c>
      <c r="B1308" s="3">
        <v>495</v>
      </c>
      <c r="C1308" s="4">
        <v>232650</v>
      </c>
      <c r="D1308" s="3">
        <v>340</v>
      </c>
      <c r="E1308" s="4">
        <v>248200</v>
      </c>
      <c r="G1308" s="12">
        <f t="shared" si="113"/>
        <v>2014</v>
      </c>
      <c r="H1308" s="12">
        <f t="shared" si="114"/>
        <v>7</v>
      </c>
      <c r="I1308" s="11">
        <f t="shared" si="115"/>
        <v>43</v>
      </c>
      <c r="J1308" s="11"/>
    </row>
    <row r="1309" spans="1:10" x14ac:dyDescent="0.25">
      <c r="A1309" s="2">
        <v>41847</v>
      </c>
      <c r="B1309" s="3">
        <v>519</v>
      </c>
      <c r="C1309" s="4">
        <v>243930</v>
      </c>
      <c r="D1309" s="3">
        <v>271</v>
      </c>
      <c r="E1309" s="4">
        <v>197830</v>
      </c>
      <c r="G1309" s="12">
        <f t="shared" si="113"/>
        <v>2014</v>
      </c>
      <c r="H1309" s="12">
        <f t="shared" si="114"/>
        <v>7</v>
      </c>
      <c r="I1309" s="11">
        <f t="shared" si="115"/>
        <v>43</v>
      </c>
      <c r="J1309" s="11"/>
    </row>
    <row r="1310" spans="1:10" x14ac:dyDescent="0.25">
      <c r="A1310" s="2">
        <v>41848</v>
      </c>
      <c r="B1310" s="3">
        <v>443</v>
      </c>
      <c r="C1310" s="4">
        <v>208210</v>
      </c>
      <c r="D1310" s="3">
        <v>281</v>
      </c>
      <c r="E1310" s="4">
        <v>205130</v>
      </c>
      <c r="G1310" s="12">
        <f t="shared" si="113"/>
        <v>2014</v>
      </c>
      <c r="H1310" s="12">
        <f t="shared" si="114"/>
        <v>7</v>
      </c>
      <c r="I1310" s="11">
        <f t="shared" si="115"/>
        <v>43</v>
      </c>
      <c r="J1310" s="11"/>
    </row>
    <row r="1311" spans="1:10" x14ac:dyDescent="0.25">
      <c r="A1311" s="2">
        <v>41849</v>
      </c>
      <c r="B1311" s="3">
        <v>391</v>
      </c>
      <c r="C1311" s="4">
        <v>183770</v>
      </c>
      <c r="D1311" s="3">
        <v>339</v>
      </c>
      <c r="E1311" s="4">
        <v>247470</v>
      </c>
      <c r="G1311" s="12">
        <f t="shared" si="113"/>
        <v>2014</v>
      </c>
      <c r="H1311" s="12">
        <f t="shared" si="114"/>
        <v>7</v>
      </c>
      <c r="I1311" s="11">
        <f t="shared" si="115"/>
        <v>43</v>
      </c>
      <c r="J1311" s="11"/>
    </row>
    <row r="1312" spans="1:10" x14ac:dyDescent="0.25">
      <c r="A1312" s="2">
        <v>41850</v>
      </c>
      <c r="B1312" s="3">
        <v>498</v>
      </c>
      <c r="C1312" s="4">
        <v>234060</v>
      </c>
      <c r="D1312" s="3">
        <v>274</v>
      </c>
      <c r="E1312" s="4">
        <v>200020</v>
      </c>
      <c r="G1312" s="12">
        <f t="shared" si="113"/>
        <v>2014</v>
      </c>
      <c r="H1312" s="12">
        <f t="shared" si="114"/>
        <v>7</v>
      </c>
      <c r="I1312" s="11">
        <f t="shared" si="115"/>
        <v>43</v>
      </c>
      <c r="J1312" s="11"/>
    </row>
    <row r="1313" spans="1:10" x14ac:dyDescent="0.25">
      <c r="A1313" s="2">
        <v>41851</v>
      </c>
      <c r="B1313" s="3">
        <v>509</v>
      </c>
      <c r="C1313" s="4">
        <v>239230</v>
      </c>
      <c r="D1313" s="3">
        <v>333</v>
      </c>
      <c r="E1313" s="4">
        <v>243090</v>
      </c>
      <c r="G1313" s="12">
        <f t="shared" si="113"/>
        <v>2014</v>
      </c>
      <c r="H1313" s="12">
        <f t="shared" si="114"/>
        <v>7</v>
      </c>
      <c r="I1313" s="11">
        <f t="shared" si="115"/>
        <v>43</v>
      </c>
      <c r="J1313" s="11"/>
    </row>
    <row r="1314" spans="1:10" x14ac:dyDescent="0.25">
      <c r="A1314" s="2">
        <v>41852</v>
      </c>
      <c r="B1314" s="3">
        <v>647</v>
      </c>
      <c r="C1314" s="4">
        <v>304090</v>
      </c>
      <c r="D1314" s="3">
        <v>258</v>
      </c>
      <c r="E1314" s="4">
        <v>188340</v>
      </c>
      <c r="G1314" s="12">
        <f t="shared" si="113"/>
        <v>2014</v>
      </c>
      <c r="H1314" s="12">
        <f t="shared" si="114"/>
        <v>8</v>
      </c>
      <c r="I1314" s="11">
        <f t="shared" si="115"/>
        <v>44</v>
      </c>
      <c r="J1314" s="11"/>
    </row>
    <row r="1315" spans="1:10" x14ac:dyDescent="0.25">
      <c r="A1315" s="2">
        <v>41853</v>
      </c>
      <c r="B1315" s="3">
        <v>675</v>
      </c>
      <c r="C1315" s="4">
        <v>317250</v>
      </c>
      <c r="D1315" s="3">
        <v>279</v>
      </c>
      <c r="E1315" s="4">
        <v>203670</v>
      </c>
      <c r="G1315" s="12">
        <f t="shared" si="113"/>
        <v>2014</v>
      </c>
      <c r="H1315" s="12">
        <f t="shared" si="114"/>
        <v>8</v>
      </c>
      <c r="I1315" s="11">
        <f t="shared" si="115"/>
        <v>44</v>
      </c>
      <c r="J1315" s="11"/>
    </row>
    <row r="1316" spans="1:10" x14ac:dyDescent="0.25">
      <c r="A1316" s="2">
        <v>41854</v>
      </c>
      <c r="B1316" s="3">
        <v>743</v>
      </c>
      <c r="C1316" s="4">
        <v>349210</v>
      </c>
      <c r="D1316" s="3">
        <v>246</v>
      </c>
      <c r="E1316" s="4">
        <v>179580</v>
      </c>
      <c r="G1316" s="12">
        <f t="shared" si="113"/>
        <v>2014</v>
      </c>
      <c r="H1316" s="12">
        <f t="shared" si="114"/>
        <v>8</v>
      </c>
      <c r="I1316" s="11">
        <f t="shared" si="115"/>
        <v>44</v>
      </c>
      <c r="J1316" s="11"/>
    </row>
    <row r="1317" spans="1:10" x14ac:dyDescent="0.25">
      <c r="A1317" s="2">
        <v>41855</v>
      </c>
      <c r="B1317" s="3">
        <v>740</v>
      </c>
      <c r="C1317" s="4">
        <v>347800</v>
      </c>
      <c r="D1317" s="3">
        <v>272</v>
      </c>
      <c r="E1317" s="4">
        <v>198560</v>
      </c>
      <c r="G1317" s="12">
        <f t="shared" si="113"/>
        <v>2014</v>
      </c>
      <c r="H1317" s="12">
        <f t="shared" si="114"/>
        <v>8</v>
      </c>
      <c r="I1317" s="11">
        <f t="shared" si="115"/>
        <v>44</v>
      </c>
      <c r="J1317" s="11"/>
    </row>
    <row r="1318" spans="1:10" x14ac:dyDescent="0.25">
      <c r="A1318" s="2">
        <v>41856</v>
      </c>
      <c r="B1318" s="3">
        <v>629</v>
      </c>
      <c r="C1318" s="4">
        <v>295630</v>
      </c>
      <c r="D1318" s="3">
        <v>333</v>
      </c>
      <c r="E1318" s="4">
        <v>243090</v>
      </c>
      <c r="G1318" s="12">
        <f t="shared" si="113"/>
        <v>2014</v>
      </c>
      <c r="H1318" s="12">
        <f t="shared" si="114"/>
        <v>8</v>
      </c>
      <c r="I1318" s="11">
        <f t="shared" si="115"/>
        <v>44</v>
      </c>
      <c r="J1318" s="11"/>
    </row>
    <row r="1319" spans="1:10" x14ac:dyDescent="0.25">
      <c r="A1319" s="2">
        <v>41857</v>
      </c>
      <c r="B1319" s="3">
        <v>788</v>
      </c>
      <c r="C1319" s="4">
        <v>370360</v>
      </c>
      <c r="D1319" s="3">
        <v>303</v>
      </c>
      <c r="E1319" s="4">
        <v>221190</v>
      </c>
      <c r="G1319" s="12">
        <f t="shared" si="113"/>
        <v>2014</v>
      </c>
      <c r="H1319" s="12">
        <f t="shared" si="114"/>
        <v>8</v>
      </c>
      <c r="I1319" s="11">
        <f t="shared" si="115"/>
        <v>44</v>
      </c>
      <c r="J1319" s="11"/>
    </row>
    <row r="1320" spans="1:10" x14ac:dyDescent="0.25">
      <c r="A1320" s="2">
        <v>41858</v>
      </c>
      <c r="B1320" s="3">
        <v>653</v>
      </c>
      <c r="C1320" s="4">
        <v>306910</v>
      </c>
      <c r="D1320" s="3">
        <v>317</v>
      </c>
      <c r="E1320" s="4">
        <v>231410</v>
      </c>
      <c r="G1320" s="12">
        <f t="shared" si="113"/>
        <v>2014</v>
      </c>
      <c r="H1320" s="12">
        <f t="shared" si="114"/>
        <v>8</v>
      </c>
      <c r="I1320" s="11">
        <f t="shared" si="115"/>
        <v>44</v>
      </c>
      <c r="J1320" s="11"/>
    </row>
    <row r="1321" spans="1:10" x14ac:dyDescent="0.25">
      <c r="A1321" s="2">
        <v>41859</v>
      </c>
      <c r="B1321" s="3">
        <v>588</v>
      </c>
      <c r="C1321" s="4">
        <v>276360</v>
      </c>
      <c r="D1321" s="3">
        <v>253</v>
      </c>
      <c r="E1321" s="4">
        <v>184690</v>
      </c>
      <c r="G1321" s="12">
        <f t="shared" si="113"/>
        <v>2014</v>
      </c>
      <c r="H1321" s="12">
        <f t="shared" si="114"/>
        <v>8</v>
      </c>
      <c r="I1321" s="11">
        <f t="shared" si="115"/>
        <v>44</v>
      </c>
      <c r="J1321" s="11"/>
    </row>
    <row r="1322" spans="1:10" x14ac:dyDescent="0.25">
      <c r="A1322" s="2">
        <v>41860</v>
      </c>
      <c r="B1322" s="3">
        <v>768</v>
      </c>
      <c r="C1322" s="4">
        <v>360960</v>
      </c>
      <c r="D1322" s="3">
        <v>296</v>
      </c>
      <c r="E1322" s="4">
        <v>216080</v>
      </c>
      <c r="G1322" s="12">
        <f t="shared" si="113"/>
        <v>2014</v>
      </c>
      <c r="H1322" s="12">
        <f t="shared" si="114"/>
        <v>8</v>
      </c>
      <c r="I1322" s="11">
        <f t="shared" si="115"/>
        <v>44</v>
      </c>
      <c r="J1322" s="11"/>
    </row>
    <row r="1323" spans="1:10" x14ac:dyDescent="0.25">
      <c r="A1323" s="2">
        <v>41861</v>
      </c>
      <c r="B1323" s="3">
        <v>671</v>
      </c>
      <c r="C1323" s="4">
        <v>315370</v>
      </c>
      <c r="D1323" s="3">
        <v>341</v>
      </c>
      <c r="E1323" s="4">
        <v>248930</v>
      </c>
      <c r="G1323" s="12">
        <f t="shared" si="113"/>
        <v>2014</v>
      </c>
      <c r="H1323" s="12">
        <f t="shared" si="114"/>
        <v>8</v>
      </c>
      <c r="I1323" s="11">
        <f t="shared" si="115"/>
        <v>44</v>
      </c>
      <c r="J1323" s="11"/>
    </row>
    <row r="1324" spans="1:10" x14ac:dyDescent="0.25">
      <c r="A1324" s="2">
        <v>41862</v>
      </c>
      <c r="B1324" s="3">
        <v>791</v>
      </c>
      <c r="C1324" s="4">
        <v>371770</v>
      </c>
      <c r="D1324" s="3">
        <v>287</v>
      </c>
      <c r="E1324" s="4">
        <v>209510</v>
      </c>
      <c r="G1324" s="12">
        <f t="shared" si="113"/>
        <v>2014</v>
      </c>
      <c r="H1324" s="12">
        <f t="shared" si="114"/>
        <v>8</v>
      </c>
      <c r="I1324" s="11">
        <f t="shared" si="115"/>
        <v>44</v>
      </c>
      <c r="J1324" s="11"/>
    </row>
    <row r="1325" spans="1:10" x14ac:dyDescent="0.25">
      <c r="A1325" s="2">
        <v>41863</v>
      </c>
      <c r="B1325" s="3">
        <v>716</v>
      </c>
      <c r="C1325" s="4">
        <v>336520</v>
      </c>
      <c r="D1325" s="3">
        <v>319</v>
      </c>
      <c r="E1325" s="4">
        <v>232870</v>
      </c>
      <c r="G1325" s="12">
        <f t="shared" si="113"/>
        <v>2014</v>
      </c>
      <c r="H1325" s="12">
        <f t="shared" si="114"/>
        <v>8</v>
      </c>
      <c r="I1325" s="11">
        <f t="shared" si="115"/>
        <v>44</v>
      </c>
      <c r="J1325" s="11"/>
    </row>
    <row r="1326" spans="1:10" x14ac:dyDescent="0.25">
      <c r="A1326" s="2">
        <v>41864</v>
      </c>
      <c r="B1326" s="3">
        <v>641</v>
      </c>
      <c r="C1326" s="4">
        <v>301270</v>
      </c>
      <c r="D1326" s="3">
        <v>309</v>
      </c>
      <c r="E1326" s="4">
        <v>225570</v>
      </c>
      <c r="G1326" s="12">
        <f t="shared" si="113"/>
        <v>2014</v>
      </c>
      <c r="H1326" s="12">
        <f t="shared" si="114"/>
        <v>8</v>
      </c>
      <c r="I1326" s="11">
        <f t="shared" si="115"/>
        <v>44</v>
      </c>
      <c r="J1326" s="11"/>
    </row>
    <row r="1327" spans="1:10" x14ac:dyDescent="0.25">
      <c r="A1327" s="2">
        <v>41865</v>
      </c>
      <c r="B1327" s="3">
        <v>595</v>
      </c>
      <c r="C1327" s="4">
        <v>279650</v>
      </c>
      <c r="D1327" s="3">
        <v>290</v>
      </c>
      <c r="E1327" s="4">
        <v>211700</v>
      </c>
      <c r="G1327" s="12">
        <f t="shared" si="113"/>
        <v>2014</v>
      </c>
      <c r="H1327" s="12">
        <f t="shared" si="114"/>
        <v>8</v>
      </c>
      <c r="I1327" s="11">
        <f t="shared" si="115"/>
        <v>44</v>
      </c>
      <c r="J1327" s="11"/>
    </row>
    <row r="1328" spans="1:10" x14ac:dyDescent="0.25">
      <c r="A1328" s="2">
        <v>41866</v>
      </c>
      <c r="B1328" s="3">
        <v>746</v>
      </c>
      <c r="C1328" s="4">
        <v>350620</v>
      </c>
      <c r="D1328" s="3">
        <v>293</v>
      </c>
      <c r="E1328" s="4">
        <v>213890</v>
      </c>
      <c r="G1328" s="12">
        <f t="shared" si="113"/>
        <v>2014</v>
      </c>
      <c r="H1328" s="12">
        <f t="shared" si="114"/>
        <v>8</v>
      </c>
      <c r="I1328" s="11">
        <f t="shared" si="115"/>
        <v>44</v>
      </c>
      <c r="J1328" s="11"/>
    </row>
    <row r="1329" spans="1:10" x14ac:dyDescent="0.25">
      <c r="A1329" s="2">
        <v>41867</v>
      </c>
      <c r="B1329" s="3">
        <v>633</v>
      </c>
      <c r="C1329" s="4">
        <v>297510</v>
      </c>
      <c r="D1329" s="3">
        <v>258</v>
      </c>
      <c r="E1329" s="4">
        <v>188340</v>
      </c>
      <c r="G1329" s="12">
        <f t="shared" si="113"/>
        <v>2014</v>
      </c>
      <c r="H1329" s="12">
        <f t="shared" si="114"/>
        <v>8</v>
      </c>
      <c r="I1329" s="11">
        <f t="shared" si="115"/>
        <v>44</v>
      </c>
      <c r="J1329" s="11"/>
    </row>
    <row r="1330" spans="1:10" x14ac:dyDescent="0.25">
      <c r="A1330" s="2">
        <v>41868</v>
      </c>
      <c r="B1330" s="3">
        <v>593</v>
      </c>
      <c r="C1330" s="4">
        <v>278710</v>
      </c>
      <c r="D1330" s="3">
        <v>352</v>
      </c>
      <c r="E1330" s="4">
        <v>256960</v>
      </c>
      <c r="G1330" s="12">
        <f t="shared" si="113"/>
        <v>2014</v>
      </c>
      <c r="H1330" s="12">
        <f t="shared" si="114"/>
        <v>8</v>
      </c>
      <c r="I1330" s="11">
        <f t="shared" si="115"/>
        <v>44</v>
      </c>
      <c r="J1330" s="11"/>
    </row>
    <row r="1331" spans="1:10" x14ac:dyDescent="0.25">
      <c r="A1331" s="2">
        <v>41869</v>
      </c>
      <c r="B1331" s="3">
        <v>667</v>
      </c>
      <c r="C1331" s="4">
        <v>313490</v>
      </c>
      <c r="D1331" s="3">
        <v>335</v>
      </c>
      <c r="E1331" s="4">
        <v>244550</v>
      </c>
      <c r="G1331" s="12">
        <f t="shared" si="113"/>
        <v>2014</v>
      </c>
      <c r="H1331" s="12">
        <f t="shared" si="114"/>
        <v>8</v>
      </c>
      <c r="I1331" s="11">
        <f t="shared" si="115"/>
        <v>44</v>
      </c>
      <c r="J1331" s="11"/>
    </row>
    <row r="1332" spans="1:10" x14ac:dyDescent="0.25">
      <c r="A1332" s="2">
        <v>41870</v>
      </c>
      <c r="B1332" s="3">
        <v>663</v>
      </c>
      <c r="C1332" s="4">
        <v>311610</v>
      </c>
      <c r="D1332" s="3">
        <v>324</v>
      </c>
      <c r="E1332" s="4">
        <v>236520</v>
      </c>
      <c r="G1332" s="12">
        <f t="shared" si="113"/>
        <v>2014</v>
      </c>
      <c r="H1332" s="12">
        <f t="shared" si="114"/>
        <v>8</v>
      </c>
      <c r="I1332" s="11">
        <f t="shared" si="115"/>
        <v>44</v>
      </c>
      <c r="J1332" s="11"/>
    </row>
    <row r="1333" spans="1:10" x14ac:dyDescent="0.25">
      <c r="A1333" s="2">
        <v>41871</v>
      </c>
      <c r="B1333" s="3">
        <v>700</v>
      </c>
      <c r="C1333" s="4">
        <v>329000</v>
      </c>
      <c r="D1333" s="3">
        <v>323</v>
      </c>
      <c r="E1333" s="4">
        <v>235790</v>
      </c>
      <c r="G1333" s="12">
        <f t="shared" si="113"/>
        <v>2014</v>
      </c>
      <c r="H1333" s="12">
        <f t="shared" si="114"/>
        <v>8</v>
      </c>
      <c r="I1333" s="11">
        <f t="shared" si="115"/>
        <v>44</v>
      </c>
      <c r="J1333" s="11"/>
    </row>
    <row r="1334" spans="1:10" x14ac:dyDescent="0.25">
      <c r="A1334" s="2">
        <v>41872</v>
      </c>
      <c r="B1334" s="3">
        <v>676</v>
      </c>
      <c r="C1334" s="4">
        <v>317720</v>
      </c>
      <c r="D1334" s="3">
        <v>327</v>
      </c>
      <c r="E1334" s="4">
        <v>238710</v>
      </c>
      <c r="G1334" s="12">
        <f t="shared" si="113"/>
        <v>2014</v>
      </c>
      <c r="H1334" s="12">
        <f t="shared" si="114"/>
        <v>8</v>
      </c>
      <c r="I1334" s="11">
        <f t="shared" si="115"/>
        <v>44</v>
      </c>
      <c r="J1334" s="11"/>
    </row>
    <row r="1335" spans="1:10" x14ac:dyDescent="0.25">
      <c r="A1335" s="2">
        <v>41873</v>
      </c>
      <c r="B1335" s="3">
        <v>666</v>
      </c>
      <c r="C1335" s="4">
        <v>313020</v>
      </c>
      <c r="D1335" s="3">
        <v>253</v>
      </c>
      <c r="E1335" s="4">
        <v>184690</v>
      </c>
      <c r="G1335" s="12">
        <f t="shared" si="113"/>
        <v>2014</v>
      </c>
      <c r="H1335" s="12">
        <f t="shared" si="114"/>
        <v>8</v>
      </c>
      <c r="I1335" s="11">
        <f t="shared" si="115"/>
        <v>44</v>
      </c>
      <c r="J1335" s="11"/>
    </row>
    <row r="1336" spans="1:10" x14ac:dyDescent="0.25">
      <c r="A1336" s="2">
        <v>41874</v>
      </c>
      <c r="B1336" s="3">
        <v>601</v>
      </c>
      <c r="C1336" s="4">
        <v>282470</v>
      </c>
      <c r="D1336" s="3">
        <v>307</v>
      </c>
      <c r="E1336" s="4">
        <v>224110</v>
      </c>
      <c r="G1336" s="12">
        <f t="shared" si="113"/>
        <v>2014</v>
      </c>
      <c r="H1336" s="12">
        <f t="shared" si="114"/>
        <v>8</v>
      </c>
      <c r="I1336" s="11">
        <f t="shared" si="115"/>
        <v>44</v>
      </c>
      <c r="J1336" s="11"/>
    </row>
    <row r="1337" spans="1:10" x14ac:dyDescent="0.25">
      <c r="A1337" s="2">
        <v>41875</v>
      </c>
      <c r="B1337" s="3">
        <v>748</v>
      </c>
      <c r="C1337" s="4">
        <v>351560</v>
      </c>
      <c r="D1337" s="3">
        <v>312</v>
      </c>
      <c r="E1337" s="4">
        <v>227760</v>
      </c>
      <c r="G1337" s="12">
        <f t="shared" si="113"/>
        <v>2014</v>
      </c>
      <c r="H1337" s="12">
        <f t="shared" si="114"/>
        <v>8</v>
      </c>
      <c r="I1337" s="11">
        <f t="shared" si="115"/>
        <v>44</v>
      </c>
      <c r="J1337" s="11"/>
    </row>
    <row r="1338" spans="1:10" x14ac:dyDescent="0.25">
      <c r="A1338" s="2">
        <v>41876</v>
      </c>
      <c r="B1338" s="3">
        <v>740</v>
      </c>
      <c r="C1338" s="4">
        <v>347800</v>
      </c>
      <c r="D1338" s="3">
        <v>280</v>
      </c>
      <c r="E1338" s="4">
        <v>204400</v>
      </c>
      <c r="G1338" s="12">
        <f t="shared" si="113"/>
        <v>2014</v>
      </c>
      <c r="H1338" s="12">
        <f t="shared" si="114"/>
        <v>8</v>
      </c>
      <c r="I1338" s="11">
        <f t="shared" si="115"/>
        <v>44</v>
      </c>
      <c r="J1338" s="11"/>
    </row>
    <row r="1339" spans="1:10" x14ac:dyDescent="0.25">
      <c r="A1339" s="2">
        <v>41877</v>
      </c>
      <c r="B1339" s="3">
        <v>692</v>
      </c>
      <c r="C1339" s="4">
        <v>325240</v>
      </c>
      <c r="D1339" s="3">
        <v>290</v>
      </c>
      <c r="E1339" s="4">
        <v>211700</v>
      </c>
      <c r="G1339" s="12">
        <f t="shared" si="113"/>
        <v>2014</v>
      </c>
      <c r="H1339" s="12">
        <f t="shared" si="114"/>
        <v>8</v>
      </c>
      <c r="I1339" s="11">
        <f t="shared" si="115"/>
        <v>44</v>
      </c>
      <c r="J1339" s="11"/>
    </row>
    <row r="1340" spans="1:10" x14ac:dyDescent="0.25">
      <c r="A1340" s="2">
        <v>41878</v>
      </c>
      <c r="B1340" s="3">
        <v>754</v>
      </c>
      <c r="C1340" s="4">
        <v>354380</v>
      </c>
      <c r="D1340" s="3">
        <v>312</v>
      </c>
      <c r="E1340" s="4">
        <v>227760</v>
      </c>
      <c r="G1340" s="12">
        <f t="shared" si="113"/>
        <v>2014</v>
      </c>
      <c r="H1340" s="12">
        <f t="shared" si="114"/>
        <v>8</v>
      </c>
      <c r="I1340" s="11">
        <f t="shared" si="115"/>
        <v>44</v>
      </c>
      <c r="J1340" s="11"/>
    </row>
    <row r="1341" spans="1:10" x14ac:dyDescent="0.25">
      <c r="A1341" s="2">
        <v>41879</v>
      </c>
      <c r="B1341" s="3">
        <v>663</v>
      </c>
      <c r="C1341" s="4">
        <v>311610</v>
      </c>
      <c r="D1341" s="3">
        <v>330</v>
      </c>
      <c r="E1341" s="4">
        <v>240900</v>
      </c>
      <c r="G1341" s="12">
        <f t="shared" si="113"/>
        <v>2014</v>
      </c>
      <c r="H1341" s="12">
        <f t="shared" si="114"/>
        <v>8</v>
      </c>
      <c r="I1341" s="11">
        <f t="shared" si="115"/>
        <v>44</v>
      </c>
      <c r="J1341" s="11"/>
    </row>
    <row r="1342" spans="1:10" x14ac:dyDescent="0.25">
      <c r="A1342" s="2">
        <v>41880</v>
      </c>
      <c r="B1342" s="3">
        <v>710</v>
      </c>
      <c r="C1342" s="4">
        <v>333700</v>
      </c>
      <c r="D1342" s="3">
        <v>311</v>
      </c>
      <c r="E1342" s="4">
        <v>227030</v>
      </c>
      <c r="G1342" s="12">
        <f t="shared" si="113"/>
        <v>2014</v>
      </c>
      <c r="H1342" s="12">
        <f t="shared" si="114"/>
        <v>8</v>
      </c>
      <c r="I1342" s="11">
        <f t="shared" si="115"/>
        <v>44</v>
      </c>
      <c r="J1342" s="11"/>
    </row>
    <row r="1343" spans="1:10" x14ac:dyDescent="0.25">
      <c r="A1343" s="2">
        <v>41881</v>
      </c>
      <c r="B1343" s="3">
        <v>674</v>
      </c>
      <c r="C1343" s="4">
        <v>316780</v>
      </c>
      <c r="D1343" s="3">
        <v>269</v>
      </c>
      <c r="E1343" s="4">
        <v>196370</v>
      </c>
      <c r="G1343" s="12">
        <f t="shared" si="113"/>
        <v>2014</v>
      </c>
      <c r="H1343" s="12">
        <f t="shared" si="114"/>
        <v>8</v>
      </c>
      <c r="I1343" s="11">
        <f t="shared" si="115"/>
        <v>44</v>
      </c>
      <c r="J1343" s="11"/>
    </row>
    <row r="1344" spans="1:10" x14ac:dyDescent="0.25">
      <c r="A1344" s="2">
        <v>41882</v>
      </c>
      <c r="B1344" s="3">
        <v>760</v>
      </c>
      <c r="C1344" s="4">
        <v>357200</v>
      </c>
      <c r="D1344" s="3">
        <v>337</v>
      </c>
      <c r="E1344" s="4">
        <v>246010</v>
      </c>
      <c r="G1344" s="12">
        <f t="shared" si="113"/>
        <v>2014</v>
      </c>
      <c r="H1344" s="12">
        <f t="shared" si="114"/>
        <v>8</v>
      </c>
      <c r="I1344" s="11">
        <f t="shared" si="115"/>
        <v>44</v>
      </c>
      <c r="J1344" s="11"/>
    </row>
    <row r="1345" spans="1:10" x14ac:dyDescent="0.25">
      <c r="A1345" s="2">
        <v>41883</v>
      </c>
      <c r="B1345" s="3">
        <v>686</v>
      </c>
      <c r="C1345" s="4">
        <v>322420</v>
      </c>
      <c r="D1345" s="3">
        <v>260</v>
      </c>
      <c r="E1345" s="4">
        <v>189800</v>
      </c>
      <c r="G1345" s="12">
        <f t="shared" si="113"/>
        <v>2014</v>
      </c>
      <c r="H1345" s="12">
        <f t="shared" si="114"/>
        <v>9</v>
      </c>
      <c r="I1345" s="11">
        <f t="shared" si="115"/>
        <v>45</v>
      </c>
      <c r="J1345" s="11"/>
    </row>
    <row r="1346" spans="1:10" x14ac:dyDescent="0.25">
      <c r="A1346" s="2">
        <v>41884</v>
      </c>
      <c r="B1346" s="3">
        <v>798</v>
      </c>
      <c r="C1346" s="4">
        <v>375060</v>
      </c>
      <c r="D1346" s="3">
        <v>320</v>
      </c>
      <c r="E1346" s="4">
        <v>233600</v>
      </c>
      <c r="G1346" s="12">
        <f t="shared" si="113"/>
        <v>2014</v>
      </c>
      <c r="H1346" s="12">
        <f t="shared" si="114"/>
        <v>9</v>
      </c>
      <c r="I1346" s="11">
        <f t="shared" si="115"/>
        <v>45</v>
      </c>
      <c r="J1346" s="11"/>
    </row>
    <row r="1347" spans="1:10" x14ac:dyDescent="0.25">
      <c r="A1347" s="2">
        <v>41885</v>
      </c>
      <c r="B1347" s="3">
        <v>654</v>
      </c>
      <c r="C1347" s="4">
        <v>307380</v>
      </c>
      <c r="D1347" s="3">
        <v>286</v>
      </c>
      <c r="E1347" s="4">
        <v>208780</v>
      </c>
      <c r="G1347" s="12">
        <f t="shared" si="113"/>
        <v>2014</v>
      </c>
      <c r="H1347" s="12">
        <f t="shared" si="114"/>
        <v>9</v>
      </c>
      <c r="I1347" s="11">
        <f t="shared" si="115"/>
        <v>45</v>
      </c>
      <c r="J1347" s="11"/>
    </row>
    <row r="1348" spans="1:10" x14ac:dyDescent="0.25">
      <c r="A1348" s="2">
        <v>41886</v>
      </c>
      <c r="B1348" s="3">
        <v>606</v>
      </c>
      <c r="C1348" s="4">
        <v>284820</v>
      </c>
      <c r="D1348" s="3">
        <v>324</v>
      </c>
      <c r="E1348" s="4">
        <v>236520</v>
      </c>
      <c r="G1348" s="12">
        <f t="shared" si="113"/>
        <v>2014</v>
      </c>
      <c r="H1348" s="12">
        <f t="shared" si="114"/>
        <v>9</v>
      </c>
      <c r="I1348" s="11">
        <f t="shared" si="115"/>
        <v>45</v>
      </c>
      <c r="J1348" s="11"/>
    </row>
    <row r="1349" spans="1:10" x14ac:dyDescent="0.25">
      <c r="A1349" s="2">
        <v>41887</v>
      </c>
      <c r="B1349" s="3">
        <v>701</v>
      </c>
      <c r="C1349" s="4">
        <v>329470</v>
      </c>
      <c r="D1349" s="3">
        <v>303</v>
      </c>
      <c r="E1349" s="4">
        <v>221190</v>
      </c>
      <c r="G1349" s="12">
        <f t="shared" si="113"/>
        <v>2014</v>
      </c>
      <c r="H1349" s="12">
        <f t="shared" si="114"/>
        <v>9</v>
      </c>
      <c r="I1349" s="11">
        <f t="shared" si="115"/>
        <v>45</v>
      </c>
      <c r="J1349" s="11"/>
    </row>
    <row r="1350" spans="1:10" x14ac:dyDescent="0.25">
      <c r="A1350" s="2">
        <v>41888</v>
      </c>
      <c r="B1350" s="3">
        <v>634</v>
      </c>
      <c r="C1350" s="4">
        <v>297980</v>
      </c>
      <c r="D1350" s="3">
        <v>329</v>
      </c>
      <c r="E1350" s="4">
        <v>240170</v>
      </c>
      <c r="G1350" s="12">
        <f t="shared" ref="G1350:G1413" si="116">+YEAR(A1350)</f>
        <v>2014</v>
      </c>
      <c r="H1350" s="12">
        <f t="shared" ref="H1350:H1413" si="117">+MONTH(A1350)</f>
        <v>9</v>
      </c>
      <c r="I1350" s="11">
        <f t="shared" si="115"/>
        <v>45</v>
      </c>
      <c r="J1350" s="11"/>
    </row>
    <row r="1351" spans="1:10" x14ac:dyDescent="0.25">
      <c r="A1351" s="2">
        <v>41889</v>
      </c>
      <c r="B1351" s="3">
        <v>767</v>
      </c>
      <c r="C1351" s="4">
        <v>360490</v>
      </c>
      <c r="D1351" s="3">
        <v>337</v>
      </c>
      <c r="E1351" s="4">
        <v>246010</v>
      </c>
      <c r="G1351" s="12">
        <f t="shared" si="116"/>
        <v>2014</v>
      </c>
      <c r="H1351" s="12">
        <f t="shared" si="117"/>
        <v>9</v>
      </c>
      <c r="I1351" s="11">
        <f t="shared" ref="I1351:I1414" si="118">+H1351+(G1351-2011)*12</f>
        <v>45</v>
      </c>
      <c r="J1351" s="11"/>
    </row>
    <row r="1352" spans="1:10" x14ac:dyDescent="0.25">
      <c r="A1352" s="2">
        <v>41890</v>
      </c>
      <c r="B1352" s="3">
        <v>671</v>
      </c>
      <c r="C1352" s="4">
        <v>315370</v>
      </c>
      <c r="D1352" s="3">
        <v>281</v>
      </c>
      <c r="E1352" s="4">
        <v>205130</v>
      </c>
      <c r="G1352" s="12">
        <f t="shared" si="116"/>
        <v>2014</v>
      </c>
      <c r="H1352" s="12">
        <f t="shared" si="117"/>
        <v>9</v>
      </c>
      <c r="I1352" s="11">
        <f t="shared" si="118"/>
        <v>45</v>
      </c>
      <c r="J1352" s="11"/>
    </row>
    <row r="1353" spans="1:10" x14ac:dyDescent="0.25">
      <c r="A1353" s="2">
        <v>41891</v>
      </c>
      <c r="B1353" s="3">
        <v>740</v>
      </c>
      <c r="C1353" s="4">
        <v>347800</v>
      </c>
      <c r="D1353" s="3">
        <v>312</v>
      </c>
      <c r="E1353" s="4">
        <v>227760</v>
      </c>
      <c r="G1353" s="12">
        <f t="shared" si="116"/>
        <v>2014</v>
      </c>
      <c r="H1353" s="12">
        <f t="shared" si="117"/>
        <v>9</v>
      </c>
      <c r="I1353" s="11">
        <f t="shared" si="118"/>
        <v>45</v>
      </c>
      <c r="J1353" s="11"/>
    </row>
    <row r="1354" spans="1:10" x14ac:dyDescent="0.25">
      <c r="A1354" s="2">
        <v>41892</v>
      </c>
      <c r="B1354" s="3">
        <v>717</v>
      </c>
      <c r="C1354" s="4">
        <v>336990</v>
      </c>
      <c r="D1354" s="3">
        <v>254</v>
      </c>
      <c r="E1354" s="4">
        <v>185420</v>
      </c>
      <c r="G1354" s="12">
        <f t="shared" si="116"/>
        <v>2014</v>
      </c>
      <c r="H1354" s="12">
        <f t="shared" si="117"/>
        <v>9</v>
      </c>
      <c r="I1354" s="11">
        <f t="shared" si="118"/>
        <v>45</v>
      </c>
      <c r="J1354" s="11"/>
    </row>
    <row r="1355" spans="1:10" x14ac:dyDescent="0.25">
      <c r="A1355" s="2">
        <v>41893</v>
      </c>
      <c r="B1355" s="3">
        <v>723</v>
      </c>
      <c r="C1355" s="4">
        <v>339810</v>
      </c>
      <c r="D1355" s="3">
        <v>308</v>
      </c>
      <c r="E1355" s="4">
        <v>224840</v>
      </c>
      <c r="G1355" s="12">
        <f t="shared" si="116"/>
        <v>2014</v>
      </c>
      <c r="H1355" s="12">
        <f t="shared" si="117"/>
        <v>9</v>
      </c>
      <c r="I1355" s="11">
        <f t="shared" si="118"/>
        <v>45</v>
      </c>
      <c r="J1355" s="11"/>
    </row>
    <row r="1356" spans="1:10" x14ac:dyDescent="0.25">
      <c r="A1356" s="2">
        <v>41894</v>
      </c>
      <c r="B1356" s="3">
        <v>736</v>
      </c>
      <c r="C1356" s="4">
        <v>345920</v>
      </c>
      <c r="D1356" s="3">
        <v>316</v>
      </c>
      <c r="E1356" s="4">
        <v>230680</v>
      </c>
      <c r="G1356" s="12">
        <f t="shared" si="116"/>
        <v>2014</v>
      </c>
      <c r="H1356" s="12">
        <f t="shared" si="117"/>
        <v>9</v>
      </c>
      <c r="I1356" s="11">
        <f t="shared" si="118"/>
        <v>45</v>
      </c>
      <c r="J1356" s="11"/>
    </row>
    <row r="1357" spans="1:10" x14ac:dyDescent="0.25">
      <c r="A1357" s="2">
        <v>41895</v>
      </c>
      <c r="B1357" s="3">
        <v>652</v>
      </c>
      <c r="C1357" s="4">
        <v>306440</v>
      </c>
      <c r="D1357" s="3">
        <v>306</v>
      </c>
      <c r="E1357" s="4">
        <v>223380</v>
      </c>
      <c r="G1357" s="12">
        <f t="shared" si="116"/>
        <v>2014</v>
      </c>
      <c r="H1357" s="12">
        <f t="shared" si="117"/>
        <v>9</v>
      </c>
      <c r="I1357" s="11">
        <f t="shared" si="118"/>
        <v>45</v>
      </c>
      <c r="J1357" s="11"/>
    </row>
    <row r="1358" spans="1:10" x14ac:dyDescent="0.25">
      <c r="A1358" s="2">
        <v>41896</v>
      </c>
      <c r="B1358" s="3">
        <v>764</v>
      </c>
      <c r="C1358" s="4">
        <v>359080</v>
      </c>
      <c r="D1358" s="3">
        <v>293</v>
      </c>
      <c r="E1358" s="4">
        <v>213890</v>
      </c>
      <c r="G1358" s="12">
        <f t="shared" si="116"/>
        <v>2014</v>
      </c>
      <c r="H1358" s="12">
        <f t="shared" si="117"/>
        <v>9</v>
      </c>
      <c r="I1358" s="11">
        <f t="shared" si="118"/>
        <v>45</v>
      </c>
      <c r="J1358" s="11"/>
    </row>
    <row r="1359" spans="1:10" x14ac:dyDescent="0.25">
      <c r="A1359" s="2">
        <v>41897</v>
      </c>
      <c r="B1359" s="3">
        <v>680</v>
      </c>
      <c r="C1359" s="4">
        <v>319600</v>
      </c>
      <c r="D1359" s="3">
        <v>239</v>
      </c>
      <c r="E1359" s="4">
        <v>174470</v>
      </c>
      <c r="G1359" s="12">
        <f t="shared" si="116"/>
        <v>2014</v>
      </c>
      <c r="H1359" s="12">
        <f t="shared" si="117"/>
        <v>9</v>
      </c>
      <c r="I1359" s="11">
        <f t="shared" si="118"/>
        <v>45</v>
      </c>
      <c r="J1359" s="11"/>
    </row>
    <row r="1360" spans="1:10" x14ac:dyDescent="0.25">
      <c r="A1360" s="2">
        <v>41898</v>
      </c>
      <c r="B1360" s="3">
        <v>691</v>
      </c>
      <c r="C1360" s="4">
        <v>324770</v>
      </c>
      <c r="D1360" s="3">
        <v>263</v>
      </c>
      <c r="E1360" s="4">
        <v>191990</v>
      </c>
      <c r="G1360" s="12">
        <f t="shared" si="116"/>
        <v>2014</v>
      </c>
      <c r="H1360" s="12">
        <f t="shared" si="117"/>
        <v>9</v>
      </c>
      <c r="I1360" s="11">
        <f t="shared" si="118"/>
        <v>45</v>
      </c>
      <c r="J1360" s="11"/>
    </row>
    <row r="1361" spans="1:10" x14ac:dyDescent="0.25">
      <c r="A1361" s="2">
        <v>41899</v>
      </c>
      <c r="B1361" s="3">
        <v>811</v>
      </c>
      <c r="C1361" s="4">
        <v>381170</v>
      </c>
      <c r="D1361" s="3">
        <v>290</v>
      </c>
      <c r="E1361" s="4">
        <v>211700</v>
      </c>
      <c r="G1361" s="12">
        <f t="shared" si="116"/>
        <v>2014</v>
      </c>
      <c r="H1361" s="12">
        <f t="shared" si="117"/>
        <v>9</v>
      </c>
      <c r="I1361" s="11">
        <f t="shared" si="118"/>
        <v>45</v>
      </c>
      <c r="J1361" s="11"/>
    </row>
    <row r="1362" spans="1:10" x14ac:dyDescent="0.25">
      <c r="A1362" s="2">
        <v>41900</v>
      </c>
      <c r="B1362" s="3">
        <v>566</v>
      </c>
      <c r="C1362" s="4">
        <v>266020</v>
      </c>
      <c r="D1362" s="3">
        <v>297</v>
      </c>
      <c r="E1362" s="4">
        <v>216810</v>
      </c>
      <c r="G1362" s="12">
        <f t="shared" si="116"/>
        <v>2014</v>
      </c>
      <c r="H1362" s="12">
        <f t="shared" si="117"/>
        <v>9</v>
      </c>
      <c r="I1362" s="11">
        <f t="shared" si="118"/>
        <v>45</v>
      </c>
      <c r="J1362" s="11"/>
    </row>
    <row r="1363" spans="1:10" x14ac:dyDescent="0.25">
      <c r="A1363" s="2">
        <v>41901</v>
      </c>
      <c r="B1363" s="3">
        <v>773</v>
      </c>
      <c r="C1363" s="4">
        <v>363310</v>
      </c>
      <c r="D1363" s="3">
        <v>311</v>
      </c>
      <c r="E1363" s="4">
        <v>227030</v>
      </c>
      <c r="G1363" s="12">
        <f t="shared" si="116"/>
        <v>2014</v>
      </c>
      <c r="H1363" s="12">
        <f t="shared" si="117"/>
        <v>9</v>
      </c>
      <c r="I1363" s="11">
        <f t="shared" si="118"/>
        <v>45</v>
      </c>
      <c r="J1363" s="11"/>
    </row>
    <row r="1364" spans="1:10" x14ac:dyDescent="0.25">
      <c r="A1364" s="2">
        <v>41902</v>
      </c>
      <c r="B1364" s="3">
        <v>694</v>
      </c>
      <c r="C1364" s="4">
        <v>326180</v>
      </c>
      <c r="D1364" s="3">
        <v>325</v>
      </c>
      <c r="E1364" s="4">
        <v>237250</v>
      </c>
      <c r="G1364" s="12">
        <f t="shared" si="116"/>
        <v>2014</v>
      </c>
      <c r="H1364" s="12">
        <f t="shared" si="117"/>
        <v>9</v>
      </c>
      <c r="I1364" s="11">
        <f t="shared" si="118"/>
        <v>45</v>
      </c>
      <c r="J1364" s="11"/>
    </row>
    <row r="1365" spans="1:10" x14ac:dyDescent="0.25">
      <c r="A1365" s="2">
        <v>41903</v>
      </c>
      <c r="B1365" s="3">
        <v>795</v>
      </c>
      <c r="C1365" s="4">
        <v>373650</v>
      </c>
      <c r="D1365" s="3">
        <v>303</v>
      </c>
      <c r="E1365" s="4">
        <v>221190</v>
      </c>
      <c r="G1365" s="12">
        <f t="shared" si="116"/>
        <v>2014</v>
      </c>
      <c r="H1365" s="12">
        <f t="shared" si="117"/>
        <v>9</v>
      </c>
      <c r="I1365" s="11">
        <f t="shared" si="118"/>
        <v>45</v>
      </c>
      <c r="J1365" s="11"/>
    </row>
    <row r="1366" spans="1:10" x14ac:dyDescent="0.25">
      <c r="A1366" s="2">
        <v>41904</v>
      </c>
      <c r="B1366" s="3">
        <v>798</v>
      </c>
      <c r="C1366" s="4">
        <v>375060</v>
      </c>
      <c r="D1366" s="3">
        <v>244</v>
      </c>
      <c r="E1366" s="4">
        <v>178120</v>
      </c>
      <c r="G1366" s="12">
        <f t="shared" si="116"/>
        <v>2014</v>
      </c>
      <c r="H1366" s="12">
        <f t="shared" si="117"/>
        <v>9</v>
      </c>
      <c r="I1366" s="11">
        <f t="shared" si="118"/>
        <v>45</v>
      </c>
      <c r="J1366" s="11"/>
    </row>
    <row r="1367" spans="1:10" x14ac:dyDescent="0.25">
      <c r="A1367" s="2">
        <v>41905</v>
      </c>
      <c r="B1367" s="3">
        <v>735</v>
      </c>
      <c r="C1367" s="4">
        <v>345450</v>
      </c>
      <c r="D1367" s="3">
        <v>254</v>
      </c>
      <c r="E1367" s="4">
        <v>185420</v>
      </c>
      <c r="G1367" s="12">
        <f t="shared" si="116"/>
        <v>2014</v>
      </c>
      <c r="H1367" s="12">
        <f t="shared" si="117"/>
        <v>9</v>
      </c>
      <c r="I1367" s="11">
        <f t="shared" si="118"/>
        <v>45</v>
      </c>
      <c r="J1367" s="11"/>
    </row>
    <row r="1368" spans="1:10" x14ac:dyDescent="0.25">
      <c r="A1368" s="2">
        <v>41906</v>
      </c>
      <c r="B1368" s="3">
        <v>619</v>
      </c>
      <c r="C1368" s="4">
        <v>290930</v>
      </c>
      <c r="D1368" s="3">
        <v>337</v>
      </c>
      <c r="E1368" s="4">
        <v>246010</v>
      </c>
      <c r="G1368" s="12">
        <f t="shared" si="116"/>
        <v>2014</v>
      </c>
      <c r="H1368" s="12">
        <f t="shared" si="117"/>
        <v>9</v>
      </c>
      <c r="I1368" s="11">
        <f t="shared" si="118"/>
        <v>45</v>
      </c>
      <c r="J1368" s="11"/>
    </row>
    <row r="1369" spans="1:10" x14ac:dyDescent="0.25">
      <c r="A1369" s="2">
        <v>41907</v>
      </c>
      <c r="B1369" s="3">
        <v>731</v>
      </c>
      <c r="C1369" s="4">
        <v>343570</v>
      </c>
      <c r="D1369" s="3">
        <v>338</v>
      </c>
      <c r="E1369" s="4">
        <v>246740</v>
      </c>
      <c r="G1369" s="12">
        <f t="shared" si="116"/>
        <v>2014</v>
      </c>
      <c r="H1369" s="12">
        <f t="shared" si="117"/>
        <v>9</v>
      </c>
      <c r="I1369" s="11">
        <f t="shared" si="118"/>
        <v>45</v>
      </c>
      <c r="J1369" s="11"/>
    </row>
    <row r="1370" spans="1:10" x14ac:dyDescent="0.25">
      <c r="A1370" s="2">
        <v>41908</v>
      </c>
      <c r="B1370" s="3">
        <v>678</v>
      </c>
      <c r="C1370" s="4">
        <v>318660</v>
      </c>
      <c r="D1370" s="3">
        <v>348</v>
      </c>
      <c r="E1370" s="4">
        <v>254040</v>
      </c>
      <c r="G1370" s="12">
        <f t="shared" si="116"/>
        <v>2014</v>
      </c>
      <c r="H1370" s="12">
        <f t="shared" si="117"/>
        <v>9</v>
      </c>
      <c r="I1370" s="11">
        <f t="shared" si="118"/>
        <v>45</v>
      </c>
      <c r="J1370" s="11"/>
    </row>
    <row r="1371" spans="1:10" x14ac:dyDescent="0.25">
      <c r="A1371" s="2">
        <v>41909</v>
      </c>
      <c r="B1371" s="3">
        <v>610</v>
      </c>
      <c r="C1371" s="4">
        <v>286700</v>
      </c>
      <c r="D1371" s="3">
        <v>301</v>
      </c>
      <c r="E1371" s="4">
        <v>219730</v>
      </c>
      <c r="G1371" s="12">
        <f t="shared" si="116"/>
        <v>2014</v>
      </c>
      <c r="H1371" s="12">
        <f t="shared" si="117"/>
        <v>9</v>
      </c>
      <c r="I1371" s="11">
        <f t="shared" si="118"/>
        <v>45</v>
      </c>
      <c r="J1371" s="11"/>
    </row>
    <row r="1372" spans="1:10" x14ac:dyDescent="0.25">
      <c r="A1372" s="2">
        <v>41910</v>
      </c>
      <c r="B1372" s="3">
        <v>686</v>
      </c>
      <c r="C1372" s="4">
        <v>322420</v>
      </c>
      <c r="D1372" s="3">
        <v>327</v>
      </c>
      <c r="E1372" s="4">
        <v>238710</v>
      </c>
      <c r="G1372" s="12">
        <f t="shared" si="116"/>
        <v>2014</v>
      </c>
      <c r="H1372" s="12">
        <f t="shared" si="117"/>
        <v>9</v>
      </c>
      <c r="I1372" s="11">
        <f t="shared" si="118"/>
        <v>45</v>
      </c>
      <c r="J1372" s="11"/>
    </row>
    <row r="1373" spans="1:10" x14ac:dyDescent="0.25">
      <c r="A1373" s="2">
        <v>41911</v>
      </c>
      <c r="B1373" s="3">
        <v>779</v>
      </c>
      <c r="C1373" s="4">
        <v>366130</v>
      </c>
      <c r="D1373" s="3">
        <v>320</v>
      </c>
      <c r="E1373" s="4">
        <v>233600</v>
      </c>
      <c r="G1373" s="12">
        <f t="shared" si="116"/>
        <v>2014</v>
      </c>
      <c r="H1373" s="12">
        <f t="shared" si="117"/>
        <v>9</v>
      </c>
      <c r="I1373" s="11">
        <f t="shared" si="118"/>
        <v>45</v>
      </c>
      <c r="J1373" s="11"/>
    </row>
    <row r="1374" spans="1:10" x14ac:dyDescent="0.25">
      <c r="A1374" s="2">
        <v>41912</v>
      </c>
      <c r="B1374" s="3">
        <v>607</v>
      </c>
      <c r="C1374" s="4">
        <v>285290</v>
      </c>
      <c r="D1374" s="3">
        <v>334</v>
      </c>
      <c r="E1374" s="4">
        <v>243820</v>
      </c>
      <c r="G1374" s="12">
        <f t="shared" si="116"/>
        <v>2014</v>
      </c>
      <c r="H1374" s="12">
        <f t="shared" si="117"/>
        <v>9</v>
      </c>
      <c r="I1374" s="11">
        <f t="shared" si="118"/>
        <v>45</v>
      </c>
      <c r="J1374" s="11"/>
    </row>
    <row r="1375" spans="1:10" x14ac:dyDescent="0.25">
      <c r="A1375" s="2">
        <v>41913</v>
      </c>
      <c r="B1375" s="3">
        <v>652</v>
      </c>
      <c r="C1375" s="4">
        <v>191525</v>
      </c>
      <c r="D1375" s="3">
        <v>297</v>
      </c>
      <c r="E1375" s="4">
        <v>216810</v>
      </c>
      <c r="G1375" s="12">
        <f t="shared" si="116"/>
        <v>2014</v>
      </c>
      <c r="H1375" s="12">
        <f t="shared" si="117"/>
        <v>10</v>
      </c>
      <c r="I1375" s="11">
        <f t="shared" si="118"/>
        <v>46</v>
      </c>
      <c r="J1375" s="11"/>
    </row>
    <row r="1376" spans="1:10" x14ac:dyDescent="0.25">
      <c r="A1376" s="2">
        <v>41914</v>
      </c>
      <c r="B1376" s="3">
        <v>630</v>
      </c>
      <c r="C1376" s="4">
        <v>185062.5</v>
      </c>
      <c r="D1376" s="3">
        <v>282</v>
      </c>
      <c r="E1376" s="4">
        <v>205860</v>
      </c>
      <c r="G1376" s="12">
        <f t="shared" si="116"/>
        <v>2014</v>
      </c>
      <c r="H1376" s="12">
        <f t="shared" si="117"/>
        <v>10</v>
      </c>
      <c r="I1376" s="11">
        <f t="shared" si="118"/>
        <v>46</v>
      </c>
      <c r="J1376" s="11"/>
    </row>
    <row r="1377" spans="1:10" x14ac:dyDescent="0.25">
      <c r="A1377" s="2">
        <v>41915</v>
      </c>
      <c r="B1377" s="3">
        <v>605</v>
      </c>
      <c r="C1377" s="4">
        <v>177718.75</v>
      </c>
      <c r="D1377" s="3">
        <v>307</v>
      </c>
      <c r="E1377" s="4">
        <v>224110</v>
      </c>
      <c r="G1377" s="12">
        <f t="shared" si="116"/>
        <v>2014</v>
      </c>
      <c r="H1377" s="12">
        <f t="shared" si="117"/>
        <v>10</v>
      </c>
      <c r="I1377" s="11">
        <f t="shared" si="118"/>
        <v>46</v>
      </c>
      <c r="J1377" s="11"/>
    </row>
    <row r="1378" spans="1:10" x14ac:dyDescent="0.25">
      <c r="A1378" s="2">
        <v>41916</v>
      </c>
      <c r="B1378" s="3">
        <v>645</v>
      </c>
      <c r="C1378" s="4">
        <v>189468.75</v>
      </c>
      <c r="D1378" s="3">
        <v>282</v>
      </c>
      <c r="E1378" s="4">
        <v>205860</v>
      </c>
      <c r="G1378" s="12">
        <f t="shared" si="116"/>
        <v>2014</v>
      </c>
      <c r="H1378" s="12">
        <f t="shared" si="117"/>
        <v>10</v>
      </c>
      <c r="I1378" s="11">
        <f t="shared" si="118"/>
        <v>46</v>
      </c>
      <c r="J1378" s="11"/>
    </row>
    <row r="1379" spans="1:10" x14ac:dyDescent="0.25">
      <c r="A1379" s="2">
        <v>41917</v>
      </c>
      <c r="B1379" s="3">
        <v>581</v>
      </c>
      <c r="C1379" s="4">
        <v>170668.75</v>
      </c>
      <c r="D1379" s="3">
        <v>322</v>
      </c>
      <c r="E1379" s="4">
        <v>235060</v>
      </c>
      <c r="G1379" s="12">
        <f t="shared" si="116"/>
        <v>2014</v>
      </c>
      <c r="H1379" s="12">
        <f t="shared" si="117"/>
        <v>10</v>
      </c>
      <c r="I1379" s="11">
        <f t="shared" si="118"/>
        <v>46</v>
      </c>
      <c r="J1379" s="11"/>
    </row>
    <row r="1380" spans="1:10" x14ac:dyDescent="0.25">
      <c r="A1380" s="2">
        <v>41918</v>
      </c>
      <c r="B1380" s="3">
        <v>701</v>
      </c>
      <c r="C1380" s="4">
        <v>205918.75</v>
      </c>
      <c r="D1380" s="3">
        <v>324</v>
      </c>
      <c r="E1380" s="4">
        <v>236520</v>
      </c>
      <c r="G1380" s="12">
        <f t="shared" si="116"/>
        <v>2014</v>
      </c>
      <c r="H1380" s="12">
        <f t="shared" si="117"/>
        <v>10</v>
      </c>
      <c r="I1380" s="11">
        <f t="shared" si="118"/>
        <v>46</v>
      </c>
      <c r="J1380" s="11"/>
    </row>
    <row r="1381" spans="1:10" x14ac:dyDescent="0.25">
      <c r="A1381" s="2">
        <v>41919</v>
      </c>
      <c r="B1381" s="3">
        <v>488</v>
      </c>
      <c r="C1381" s="4">
        <v>143350</v>
      </c>
      <c r="D1381" s="3">
        <v>288</v>
      </c>
      <c r="E1381" s="4">
        <v>210240</v>
      </c>
      <c r="G1381" s="12">
        <f t="shared" si="116"/>
        <v>2014</v>
      </c>
      <c r="H1381" s="12">
        <f t="shared" si="117"/>
        <v>10</v>
      </c>
      <c r="I1381" s="11">
        <f t="shared" si="118"/>
        <v>46</v>
      </c>
      <c r="J1381" s="11"/>
    </row>
    <row r="1382" spans="1:10" x14ac:dyDescent="0.25">
      <c r="A1382" s="2">
        <v>41920</v>
      </c>
      <c r="B1382" s="3">
        <v>625</v>
      </c>
      <c r="C1382" s="4">
        <v>183593.75</v>
      </c>
      <c r="D1382" s="3">
        <v>315</v>
      </c>
      <c r="E1382" s="4">
        <v>229950</v>
      </c>
      <c r="G1382" s="12">
        <f t="shared" si="116"/>
        <v>2014</v>
      </c>
      <c r="H1382" s="12">
        <f t="shared" si="117"/>
        <v>10</v>
      </c>
      <c r="I1382" s="11">
        <f t="shared" si="118"/>
        <v>46</v>
      </c>
      <c r="J1382" s="11"/>
    </row>
    <row r="1383" spans="1:10" x14ac:dyDescent="0.25">
      <c r="A1383" s="2">
        <v>41921</v>
      </c>
      <c r="B1383" s="3">
        <v>684</v>
      </c>
      <c r="C1383" s="4">
        <v>200925</v>
      </c>
      <c r="D1383" s="3">
        <v>298</v>
      </c>
      <c r="E1383" s="4">
        <v>217540</v>
      </c>
      <c r="G1383" s="12">
        <f t="shared" si="116"/>
        <v>2014</v>
      </c>
      <c r="H1383" s="12">
        <f t="shared" si="117"/>
        <v>10</v>
      </c>
      <c r="I1383" s="11">
        <f t="shared" si="118"/>
        <v>46</v>
      </c>
      <c r="J1383" s="11"/>
    </row>
    <row r="1384" spans="1:10" x14ac:dyDescent="0.25">
      <c r="A1384" s="2">
        <v>41922</v>
      </c>
      <c r="B1384" s="3">
        <v>637</v>
      </c>
      <c r="C1384" s="4">
        <v>187118.75</v>
      </c>
      <c r="D1384" s="3">
        <v>284</v>
      </c>
      <c r="E1384" s="4">
        <v>207320</v>
      </c>
      <c r="G1384" s="12">
        <f t="shared" si="116"/>
        <v>2014</v>
      </c>
      <c r="H1384" s="12">
        <f t="shared" si="117"/>
        <v>10</v>
      </c>
      <c r="I1384" s="11">
        <f t="shared" si="118"/>
        <v>46</v>
      </c>
      <c r="J1384" s="11"/>
    </row>
    <row r="1385" spans="1:10" x14ac:dyDescent="0.25">
      <c r="A1385" s="2">
        <v>41923</v>
      </c>
      <c r="B1385" s="3">
        <v>662</v>
      </c>
      <c r="C1385" s="4">
        <v>194462.5</v>
      </c>
      <c r="D1385" s="3">
        <v>308</v>
      </c>
      <c r="E1385" s="4">
        <v>224840</v>
      </c>
      <c r="G1385" s="12">
        <f t="shared" si="116"/>
        <v>2014</v>
      </c>
      <c r="H1385" s="12">
        <f t="shared" si="117"/>
        <v>10</v>
      </c>
      <c r="I1385" s="11">
        <f t="shared" si="118"/>
        <v>46</v>
      </c>
      <c r="J1385" s="11"/>
    </row>
    <row r="1386" spans="1:10" x14ac:dyDescent="0.25">
      <c r="A1386" s="2">
        <v>41924</v>
      </c>
      <c r="B1386" s="3">
        <v>487</v>
      </c>
      <c r="C1386" s="4">
        <v>143056.25</v>
      </c>
      <c r="D1386" s="3">
        <v>267</v>
      </c>
      <c r="E1386" s="4">
        <v>194910</v>
      </c>
      <c r="G1386" s="12">
        <f t="shared" si="116"/>
        <v>2014</v>
      </c>
      <c r="H1386" s="12">
        <f t="shared" si="117"/>
        <v>10</v>
      </c>
      <c r="I1386" s="11">
        <f t="shared" si="118"/>
        <v>46</v>
      </c>
      <c r="J1386" s="11"/>
    </row>
    <row r="1387" spans="1:10" x14ac:dyDescent="0.25">
      <c r="A1387" s="2">
        <v>41925</v>
      </c>
      <c r="B1387" s="3">
        <v>768</v>
      </c>
      <c r="C1387" s="4">
        <v>225600</v>
      </c>
      <c r="D1387" s="3">
        <v>324</v>
      </c>
      <c r="E1387" s="4">
        <v>236520</v>
      </c>
      <c r="G1387" s="12">
        <f t="shared" si="116"/>
        <v>2014</v>
      </c>
      <c r="H1387" s="12">
        <f t="shared" si="117"/>
        <v>10</v>
      </c>
      <c r="I1387" s="11">
        <f t="shared" si="118"/>
        <v>46</v>
      </c>
      <c r="J1387" s="11"/>
    </row>
    <row r="1388" spans="1:10" x14ac:dyDescent="0.25">
      <c r="A1388" s="2">
        <v>41926</v>
      </c>
      <c r="B1388" s="3">
        <v>646</v>
      </c>
      <c r="C1388" s="4">
        <v>189762.5</v>
      </c>
      <c r="D1388" s="3">
        <v>251</v>
      </c>
      <c r="E1388" s="4">
        <v>183230</v>
      </c>
      <c r="G1388" s="12">
        <f t="shared" si="116"/>
        <v>2014</v>
      </c>
      <c r="H1388" s="12">
        <f t="shared" si="117"/>
        <v>10</v>
      </c>
      <c r="I1388" s="11">
        <f t="shared" si="118"/>
        <v>46</v>
      </c>
      <c r="J1388" s="11"/>
    </row>
    <row r="1389" spans="1:10" x14ac:dyDescent="0.25">
      <c r="A1389" s="2">
        <v>41927</v>
      </c>
      <c r="B1389" s="3">
        <v>538</v>
      </c>
      <c r="C1389" s="4">
        <v>158037.5</v>
      </c>
      <c r="D1389" s="3">
        <v>385</v>
      </c>
      <c r="E1389" s="4">
        <v>281050</v>
      </c>
      <c r="G1389" s="12">
        <f t="shared" si="116"/>
        <v>2014</v>
      </c>
      <c r="H1389" s="12">
        <f t="shared" si="117"/>
        <v>10</v>
      </c>
      <c r="I1389" s="11">
        <f t="shared" si="118"/>
        <v>46</v>
      </c>
      <c r="J1389" s="11"/>
    </row>
    <row r="1390" spans="1:10" x14ac:dyDescent="0.25">
      <c r="A1390" s="2">
        <v>41928</v>
      </c>
      <c r="B1390" s="3">
        <v>537</v>
      </c>
      <c r="C1390" s="4">
        <v>157743.75</v>
      </c>
      <c r="D1390" s="3">
        <v>309</v>
      </c>
      <c r="E1390" s="4">
        <v>225570</v>
      </c>
      <c r="G1390" s="12">
        <f t="shared" si="116"/>
        <v>2014</v>
      </c>
      <c r="H1390" s="12">
        <f t="shared" si="117"/>
        <v>10</v>
      </c>
      <c r="I1390" s="11">
        <f t="shared" si="118"/>
        <v>46</v>
      </c>
      <c r="J1390" s="11"/>
    </row>
    <row r="1391" spans="1:10" x14ac:dyDescent="0.25">
      <c r="A1391" s="2">
        <v>41929</v>
      </c>
      <c r="B1391" s="3">
        <v>574</v>
      </c>
      <c r="C1391" s="4">
        <v>168612.5</v>
      </c>
      <c r="D1391" s="3">
        <v>321</v>
      </c>
      <c r="E1391" s="4">
        <v>234330</v>
      </c>
      <c r="G1391" s="12">
        <f t="shared" si="116"/>
        <v>2014</v>
      </c>
      <c r="H1391" s="12">
        <f t="shared" si="117"/>
        <v>10</v>
      </c>
      <c r="I1391" s="11">
        <f t="shared" si="118"/>
        <v>46</v>
      </c>
      <c r="J1391" s="11"/>
    </row>
    <row r="1392" spans="1:10" x14ac:dyDescent="0.25">
      <c r="A1392" s="2">
        <v>41930</v>
      </c>
      <c r="B1392" s="3">
        <v>538</v>
      </c>
      <c r="C1392" s="4">
        <v>158037.5</v>
      </c>
      <c r="D1392" s="3">
        <v>305</v>
      </c>
      <c r="E1392" s="4">
        <v>222650</v>
      </c>
      <c r="G1392" s="12">
        <f t="shared" si="116"/>
        <v>2014</v>
      </c>
      <c r="H1392" s="12">
        <f t="shared" si="117"/>
        <v>10</v>
      </c>
      <c r="I1392" s="11">
        <f t="shared" si="118"/>
        <v>46</v>
      </c>
      <c r="J1392" s="11"/>
    </row>
    <row r="1393" spans="1:10" x14ac:dyDescent="0.25">
      <c r="A1393" s="2">
        <v>41931</v>
      </c>
      <c r="B1393" s="3">
        <v>631</v>
      </c>
      <c r="C1393" s="4">
        <v>185356.25</v>
      </c>
      <c r="D1393" s="3">
        <v>231</v>
      </c>
      <c r="E1393" s="4">
        <v>168630</v>
      </c>
      <c r="G1393" s="12">
        <f t="shared" si="116"/>
        <v>2014</v>
      </c>
      <c r="H1393" s="12">
        <f t="shared" si="117"/>
        <v>10</v>
      </c>
      <c r="I1393" s="11">
        <f t="shared" si="118"/>
        <v>46</v>
      </c>
      <c r="J1393" s="11"/>
    </row>
    <row r="1394" spans="1:10" x14ac:dyDescent="0.25">
      <c r="A1394" s="2">
        <v>41932</v>
      </c>
      <c r="B1394" s="3">
        <v>679</v>
      </c>
      <c r="C1394" s="4">
        <v>199456.25</v>
      </c>
      <c r="D1394" s="3">
        <v>294</v>
      </c>
      <c r="E1394" s="4">
        <v>214620</v>
      </c>
      <c r="G1394" s="12">
        <f t="shared" si="116"/>
        <v>2014</v>
      </c>
      <c r="H1394" s="12">
        <f t="shared" si="117"/>
        <v>10</v>
      </c>
      <c r="I1394" s="11">
        <f t="shared" si="118"/>
        <v>46</v>
      </c>
      <c r="J1394" s="11"/>
    </row>
    <row r="1395" spans="1:10" x14ac:dyDescent="0.25">
      <c r="A1395" s="2">
        <v>41933</v>
      </c>
      <c r="B1395" s="3">
        <v>659</v>
      </c>
      <c r="C1395" s="4">
        <v>193581.25</v>
      </c>
      <c r="D1395" s="3">
        <v>302</v>
      </c>
      <c r="E1395" s="4">
        <v>220460</v>
      </c>
      <c r="G1395" s="12">
        <f t="shared" si="116"/>
        <v>2014</v>
      </c>
      <c r="H1395" s="12">
        <f t="shared" si="117"/>
        <v>10</v>
      </c>
      <c r="I1395" s="11">
        <f t="shared" si="118"/>
        <v>46</v>
      </c>
      <c r="J1395" s="11"/>
    </row>
    <row r="1396" spans="1:10" x14ac:dyDescent="0.25">
      <c r="A1396" s="2">
        <v>41934</v>
      </c>
      <c r="B1396" s="3">
        <v>694</v>
      </c>
      <c r="C1396" s="4">
        <v>203862.5</v>
      </c>
      <c r="D1396" s="3">
        <v>289</v>
      </c>
      <c r="E1396" s="4">
        <v>210970</v>
      </c>
      <c r="G1396" s="12">
        <f t="shared" si="116"/>
        <v>2014</v>
      </c>
      <c r="H1396" s="12">
        <f t="shared" si="117"/>
        <v>10</v>
      </c>
      <c r="I1396" s="11">
        <f t="shared" si="118"/>
        <v>46</v>
      </c>
      <c r="J1396" s="11"/>
    </row>
    <row r="1397" spans="1:10" x14ac:dyDescent="0.25">
      <c r="A1397" s="2">
        <v>41935</v>
      </c>
      <c r="B1397" s="3">
        <v>543</v>
      </c>
      <c r="C1397" s="4">
        <v>159506.25</v>
      </c>
      <c r="D1397" s="3">
        <v>332</v>
      </c>
      <c r="E1397" s="4">
        <v>242360</v>
      </c>
      <c r="G1397" s="12">
        <f t="shared" si="116"/>
        <v>2014</v>
      </c>
      <c r="H1397" s="12">
        <f t="shared" si="117"/>
        <v>10</v>
      </c>
      <c r="I1397" s="11">
        <f t="shared" si="118"/>
        <v>46</v>
      </c>
      <c r="J1397" s="11"/>
    </row>
    <row r="1398" spans="1:10" x14ac:dyDescent="0.25">
      <c r="A1398" s="2">
        <v>41936</v>
      </c>
      <c r="B1398" s="3">
        <v>588</v>
      </c>
      <c r="C1398" s="4">
        <v>172725</v>
      </c>
      <c r="D1398" s="3">
        <v>325</v>
      </c>
      <c r="E1398" s="4">
        <v>237250</v>
      </c>
      <c r="G1398" s="12">
        <f t="shared" si="116"/>
        <v>2014</v>
      </c>
      <c r="H1398" s="12">
        <f t="shared" si="117"/>
        <v>10</v>
      </c>
      <c r="I1398" s="11">
        <f t="shared" si="118"/>
        <v>46</v>
      </c>
      <c r="J1398" s="11"/>
    </row>
    <row r="1399" spans="1:10" x14ac:dyDescent="0.25">
      <c r="A1399" s="2">
        <v>41937</v>
      </c>
      <c r="B1399" s="3">
        <v>588</v>
      </c>
      <c r="C1399" s="4">
        <v>172725</v>
      </c>
      <c r="D1399" s="3">
        <v>318</v>
      </c>
      <c r="E1399" s="4">
        <v>232140</v>
      </c>
      <c r="G1399" s="12">
        <f t="shared" si="116"/>
        <v>2014</v>
      </c>
      <c r="H1399" s="12">
        <f t="shared" si="117"/>
        <v>10</v>
      </c>
      <c r="I1399" s="11">
        <f t="shared" si="118"/>
        <v>46</v>
      </c>
      <c r="J1399" s="11"/>
    </row>
    <row r="1400" spans="1:10" x14ac:dyDescent="0.25">
      <c r="A1400" s="2">
        <v>41938</v>
      </c>
      <c r="B1400" s="3">
        <v>539</v>
      </c>
      <c r="C1400" s="4">
        <v>158331.25</v>
      </c>
      <c r="D1400" s="3">
        <v>280</v>
      </c>
      <c r="E1400" s="4">
        <v>204400</v>
      </c>
      <c r="G1400" s="12">
        <f t="shared" si="116"/>
        <v>2014</v>
      </c>
      <c r="H1400" s="12">
        <f t="shared" si="117"/>
        <v>10</v>
      </c>
      <c r="I1400" s="11">
        <f t="shared" si="118"/>
        <v>46</v>
      </c>
      <c r="J1400" s="11"/>
    </row>
    <row r="1401" spans="1:10" x14ac:dyDescent="0.25">
      <c r="A1401" s="2">
        <v>41939</v>
      </c>
      <c r="B1401" s="3">
        <v>584</v>
      </c>
      <c r="C1401" s="4">
        <v>171550</v>
      </c>
      <c r="D1401" s="3">
        <v>310</v>
      </c>
      <c r="E1401" s="4">
        <v>226300</v>
      </c>
      <c r="G1401" s="12">
        <f t="shared" si="116"/>
        <v>2014</v>
      </c>
      <c r="H1401" s="12">
        <f t="shared" si="117"/>
        <v>10</v>
      </c>
      <c r="I1401" s="11">
        <f t="shared" si="118"/>
        <v>46</v>
      </c>
      <c r="J1401" s="11"/>
    </row>
    <row r="1402" spans="1:10" x14ac:dyDescent="0.25">
      <c r="A1402" s="2">
        <v>41940</v>
      </c>
      <c r="B1402" s="3">
        <v>526</v>
      </c>
      <c r="C1402" s="4">
        <v>154512.5</v>
      </c>
      <c r="D1402" s="3">
        <v>275</v>
      </c>
      <c r="E1402" s="4">
        <v>200750</v>
      </c>
      <c r="G1402" s="12">
        <f t="shared" si="116"/>
        <v>2014</v>
      </c>
      <c r="H1402" s="12">
        <f t="shared" si="117"/>
        <v>10</v>
      </c>
      <c r="I1402" s="11">
        <f t="shared" si="118"/>
        <v>46</v>
      </c>
      <c r="J1402" s="11"/>
    </row>
    <row r="1403" spans="1:10" x14ac:dyDescent="0.25">
      <c r="A1403" s="2">
        <v>41941</v>
      </c>
      <c r="B1403" s="3">
        <v>485</v>
      </c>
      <c r="C1403" s="4">
        <v>142468.75</v>
      </c>
      <c r="D1403" s="3">
        <v>278</v>
      </c>
      <c r="E1403" s="4">
        <v>202940</v>
      </c>
      <c r="G1403" s="12">
        <f t="shared" si="116"/>
        <v>2014</v>
      </c>
      <c r="H1403" s="12">
        <f t="shared" si="117"/>
        <v>10</v>
      </c>
      <c r="I1403" s="11">
        <f t="shared" si="118"/>
        <v>46</v>
      </c>
      <c r="J1403" s="11"/>
    </row>
    <row r="1404" spans="1:10" x14ac:dyDescent="0.25">
      <c r="A1404" s="2">
        <v>41942</v>
      </c>
      <c r="B1404" s="3">
        <v>667</v>
      </c>
      <c r="C1404" s="4">
        <v>195931.25</v>
      </c>
      <c r="D1404" s="3">
        <v>302</v>
      </c>
      <c r="E1404" s="4">
        <v>220460</v>
      </c>
      <c r="G1404" s="12">
        <f t="shared" si="116"/>
        <v>2014</v>
      </c>
      <c r="H1404" s="12">
        <f t="shared" si="117"/>
        <v>10</v>
      </c>
      <c r="I1404" s="11">
        <f t="shared" si="118"/>
        <v>46</v>
      </c>
      <c r="J1404" s="11"/>
    </row>
    <row r="1405" spans="1:10" x14ac:dyDescent="0.25">
      <c r="A1405" s="2">
        <v>41943</v>
      </c>
      <c r="B1405" s="3">
        <v>581</v>
      </c>
      <c r="C1405" s="4">
        <v>170668.75</v>
      </c>
      <c r="D1405" s="3">
        <v>321</v>
      </c>
      <c r="E1405" s="4">
        <v>234330</v>
      </c>
      <c r="G1405" s="12">
        <f t="shared" si="116"/>
        <v>2014</v>
      </c>
      <c r="H1405" s="12">
        <f t="shared" si="117"/>
        <v>10</v>
      </c>
      <c r="I1405" s="11">
        <f t="shared" si="118"/>
        <v>46</v>
      </c>
      <c r="J1405" s="11"/>
    </row>
    <row r="1406" spans="1:10" x14ac:dyDescent="0.25">
      <c r="A1406" s="2">
        <v>41944</v>
      </c>
      <c r="B1406" s="3">
        <v>504</v>
      </c>
      <c r="C1406" s="4">
        <v>236880</v>
      </c>
      <c r="D1406" s="3">
        <v>275</v>
      </c>
      <c r="E1406" s="4">
        <v>200750</v>
      </c>
      <c r="G1406" s="12">
        <f t="shared" si="116"/>
        <v>2014</v>
      </c>
      <c r="H1406" s="12">
        <f t="shared" si="117"/>
        <v>11</v>
      </c>
      <c r="I1406" s="11">
        <f t="shared" si="118"/>
        <v>47</v>
      </c>
      <c r="J1406" s="11"/>
    </row>
    <row r="1407" spans="1:10" x14ac:dyDescent="0.25">
      <c r="A1407" s="2">
        <v>41945</v>
      </c>
      <c r="B1407" s="3">
        <v>418</v>
      </c>
      <c r="C1407" s="4">
        <v>196460</v>
      </c>
      <c r="D1407" s="3">
        <v>331</v>
      </c>
      <c r="E1407" s="4">
        <v>241630</v>
      </c>
      <c r="G1407" s="12">
        <f t="shared" si="116"/>
        <v>2014</v>
      </c>
      <c r="H1407" s="12">
        <f t="shared" si="117"/>
        <v>11</v>
      </c>
      <c r="I1407" s="11">
        <f t="shared" si="118"/>
        <v>47</v>
      </c>
      <c r="J1407" s="11"/>
    </row>
    <row r="1408" spans="1:10" x14ac:dyDescent="0.25">
      <c r="A1408" s="2">
        <v>41946</v>
      </c>
      <c r="B1408" s="3">
        <v>438</v>
      </c>
      <c r="C1408" s="4">
        <v>205860</v>
      </c>
      <c r="D1408" s="3">
        <v>347</v>
      </c>
      <c r="E1408" s="4">
        <v>253310</v>
      </c>
      <c r="G1408" s="12">
        <f t="shared" si="116"/>
        <v>2014</v>
      </c>
      <c r="H1408" s="12">
        <f t="shared" si="117"/>
        <v>11</v>
      </c>
      <c r="I1408" s="11">
        <f t="shared" si="118"/>
        <v>47</v>
      </c>
      <c r="J1408" s="11"/>
    </row>
    <row r="1409" spans="1:10" x14ac:dyDescent="0.25">
      <c r="A1409" s="2">
        <v>41947</v>
      </c>
      <c r="B1409" s="3">
        <v>479</v>
      </c>
      <c r="C1409" s="4">
        <v>225130</v>
      </c>
      <c r="D1409" s="3">
        <v>297</v>
      </c>
      <c r="E1409" s="4">
        <v>216810</v>
      </c>
      <c r="G1409" s="12">
        <f t="shared" si="116"/>
        <v>2014</v>
      </c>
      <c r="H1409" s="12">
        <f t="shared" si="117"/>
        <v>11</v>
      </c>
      <c r="I1409" s="11">
        <f t="shared" si="118"/>
        <v>47</v>
      </c>
      <c r="J1409" s="11"/>
    </row>
    <row r="1410" spans="1:10" x14ac:dyDescent="0.25">
      <c r="A1410" s="2">
        <v>41948</v>
      </c>
      <c r="B1410" s="3">
        <v>545</v>
      </c>
      <c r="C1410" s="4">
        <v>256150</v>
      </c>
      <c r="D1410" s="3">
        <v>289</v>
      </c>
      <c r="E1410" s="4">
        <v>210970</v>
      </c>
      <c r="G1410" s="12">
        <f t="shared" si="116"/>
        <v>2014</v>
      </c>
      <c r="H1410" s="12">
        <f t="shared" si="117"/>
        <v>11</v>
      </c>
      <c r="I1410" s="11">
        <f t="shared" si="118"/>
        <v>47</v>
      </c>
      <c r="J1410" s="11"/>
    </row>
    <row r="1411" spans="1:10" x14ac:dyDescent="0.25">
      <c r="A1411" s="2">
        <v>41949</v>
      </c>
      <c r="B1411" s="3">
        <v>504</v>
      </c>
      <c r="C1411" s="4">
        <v>236880</v>
      </c>
      <c r="D1411" s="3">
        <v>312</v>
      </c>
      <c r="E1411" s="4">
        <v>227760</v>
      </c>
      <c r="G1411" s="12">
        <f t="shared" si="116"/>
        <v>2014</v>
      </c>
      <c r="H1411" s="12">
        <f t="shared" si="117"/>
        <v>11</v>
      </c>
      <c r="I1411" s="11">
        <f t="shared" si="118"/>
        <v>47</v>
      </c>
      <c r="J1411" s="11"/>
    </row>
    <row r="1412" spans="1:10" x14ac:dyDescent="0.25">
      <c r="A1412" s="2">
        <v>41950</v>
      </c>
      <c r="B1412" s="3">
        <v>528</v>
      </c>
      <c r="C1412" s="4">
        <v>248160</v>
      </c>
      <c r="D1412" s="3">
        <v>341</v>
      </c>
      <c r="E1412" s="4">
        <v>248930</v>
      </c>
      <c r="G1412" s="12">
        <f t="shared" si="116"/>
        <v>2014</v>
      </c>
      <c r="H1412" s="12">
        <f t="shared" si="117"/>
        <v>11</v>
      </c>
      <c r="I1412" s="11">
        <f t="shared" si="118"/>
        <v>47</v>
      </c>
      <c r="J1412" s="11"/>
    </row>
    <row r="1413" spans="1:10" x14ac:dyDescent="0.25">
      <c r="A1413" s="2">
        <v>41951</v>
      </c>
      <c r="B1413" s="3">
        <v>439</v>
      </c>
      <c r="C1413" s="4">
        <v>206330</v>
      </c>
      <c r="D1413" s="3">
        <v>323</v>
      </c>
      <c r="E1413" s="4">
        <v>235790</v>
      </c>
      <c r="G1413" s="12">
        <f t="shared" si="116"/>
        <v>2014</v>
      </c>
      <c r="H1413" s="12">
        <f t="shared" si="117"/>
        <v>11</v>
      </c>
      <c r="I1413" s="11">
        <f t="shared" si="118"/>
        <v>47</v>
      </c>
      <c r="J1413" s="11"/>
    </row>
    <row r="1414" spans="1:10" x14ac:dyDescent="0.25">
      <c r="A1414" s="2">
        <v>41952</v>
      </c>
      <c r="B1414" s="3">
        <v>515</v>
      </c>
      <c r="C1414" s="4">
        <v>242050</v>
      </c>
      <c r="D1414" s="3">
        <v>316</v>
      </c>
      <c r="E1414" s="4">
        <v>230680</v>
      </c>
      <c r="G1414" s="12">
        <f t="shared" ref="G1414:G1477" si="119">+YEAR(A1414)</f>
        <v>2014</v>
      </c>
      <c r="H1414" s="12">
        <f t="shared" ref="H1414:H1477" si="120">+MONTH(A1414)</f>
        <v>11</v>
      </c>
      <c r="I1414" s="11">
        <f t="shared" si="118"/>
        <v>47</v>
      </c>
      <c r="J1414" s="11"/>
    </row>
    <row r="1415" spans="1:10" x14ac:dyDescent="0.25">
      <c r="A1415" s="2">
        <v>41953</v>
      </c>
      <c r="B1415" s="3">
        <v>388</v>
      </c>
      <c r="C1415" s="4">
        <v>182360</v>
      </c>
      <c r="D1415" s="3">
        <v>343</v>
      </c>
      <c r="E1415" s="4">
        <v>250390</v>
      </c>
      <c r="G1415" s="12">
        <f t="shared" si="119"/>
        <v>2014</v>
      </c>
      <c r="H1415" s="12">
        <f t="shared" si="120"/>
        <v>11</v>
      </c>
      <c r="I1415" s="11">
        <f t="shared" ref="I1415:I1478" si="121">+H1415+(G1415-2011)*12</f>
        <v>47</v>
      </c>
      <c r="J1415" s="11"/>
    </row>
    <row r="1416" spans="1:10" x14ac:dyDescent="0.25">
      <c r="A1416" s="2">
        <v>41954</v>
      </c>
      <c r="B1416" s="3">
        <v>562</v>
      </c>
      <c r="C1416" s="4">
        <v>264140</v>
      </c>
      <c r="D1416" s="3">
        <v>302</v>
      </c>
      <c r="E1416" s="4">
        <v>220460</v>
      </c>
      <c r="G1416" s="12">
        <f t="shared" si="119"/>
        <v>2014</v>
      </c>
      <c r="H1416" s="12">
        <f t="shared" si="120"/>
        <v>11</v>
      </c>
      <c r="I1416" s="11">
        <f t="shared" si="121"/>
        <v>47</v>
      </c>
      <c r="J1416" s="11"/>
    </row>
    <row r="1417" spans="1:10" x14ac:dyDescent="0.25">
      <c r="A1417" s="2">
        <v>41955</v>
      </c>
      <c r="B1417" s="3">
        <v>435</v>
      </c>
      <c r="C1417" s="4">
        <v>204450</v>
      </c>
      <c r="D1417" s="3">
        <v>309</v>
      </c>
      <c r="E1417" s="4">
        <v>225570</v>
      </c>
      <c r="G1417" s="12">
        <f t="shared" si="119"/>
        <v>2014</v>
      </c>
      <c r="H1417" s="12">
        <f t="shared" si="120"/>
        <v>11</v>
      </c>
      <c r="I1417" s="11">
        <f t="shared" si="121"/>
        <v>47</v>
      </c>
      <c r="J1417" s="11"/>
    </row>
    <row r="1418" spans="1:10" x14ac:dyDescent="0.25">
      <c r="A1418" s="2">
        <v>41956</v>
      </c>
      <c r="B1418" s="3">
        <v>500</v>
      </c>
      <c r="C1418" s="4">
        <v>235000</v>
      </c>
      <c r="D1418" s="3">
        <v>325</v>
      </c>
      <c r="E1418" s="4">
        <v>237250</v>
      </c>
      <c r="G1418" s="12">
        <f t="shared" si="119"/>
        <v>2014</v>
      </c>
      <c r="H1418" s="12">
        <f t="shared" si="120"/>
        <v>11</v>
      </c>
      <c r="I1418" s="11">
        <f t="shared" si="121"/>
        <v>47</v>
      </c>
      <c r="J1418" s="11"/>
    </row>
    <row r="1419" spans="1:10" x14ac:dyDescent="0.25">
      <c r="A1419" s="2">
        <v>41957</v>
      </c>
      <c r="B1419" s="3">
        <v>521</v>
      </c>
      <c r="C1419" s="4">
        <v>244870</v>
      </c>
      <c r="D1419" s="3">
        <v>294</v>
      </c>
      <c r="E1419" s="4">
        <v>214620</v>
      </c>
      <c r="G1419" s="12">
        <f t="shared" si="119"/>
        <v>2014</v>
      </c>
      <c r="H1419" s="12">
        <f t="shared" si="120"/>
        <v>11</v>
      </c>
      <c r="I1419" s="11">
        <f t="shared" si="121"/>
        <v>47</v>
      </c>
      <c r="J1419" s="11"/>
    </row>
    <row r="1420" spans="1:10" x14ac:dyDescent="0.25">
      <c r="A1420" s="2">
        <v>41958</v>
      </c>
      <c r="B1420" s="3">
        <v>545</v>
      </c>
      <c r="C1420" s="4">
        <v>256150</v>
      </c>
      <c r="D1420" s="3">
        <v>270</v>
      </c>
      <c r="E1420" s="4">
        <v>197100</v>
      </c>
      <c r="G1420" s="12">
        <f t="shared" si="119"/>
        <v>2014</v>
      </c>
      <c r="H1420" s="12">
        <f t="shared" si="120"/>
        <v>11</v>
      </c>
      <c r="I1420" s="11">
        <f t="shared" si="121"/>
        <v>47</v>
      </c>
      <c r="J1420" s="11"/>
    </row>
    <row r="1421" spans="1:10" x14ac:dyDescent="0.25">
      <c r="A1421" s="2">
        <v>41959</v>
      </c>
      <c r="B1421" s="3">
        <v>396</v>
      </c>
      <c r="C1421" s="4">
        <v>186120</v>
      </c>
      <c r="D1421" s="3">
        <v>279</v>
      </c>
      <c r="E1421" s="4">
        <v>203670</v>
      </c>
      <c r="G1421" s="12">
        <f t="shared" si="119"/>
        <v>2014</v>
      </c>
      <c r="H1421" s="12">
        <f t="shared" si="120"/>
        <v>11</v>
      </c>
      <c r="I1421" s="11">
        <f t="shared" si="121"/>
        <v>47</v>
      </c>
      <c r="J1421" s="11"/>
    </row>
    <row r="1422" spans="1:10" x14ac:dyDescent="0.25">
      <c r="A1422" s="2">
        <v>41960</v>
      </c>
      <c r="B1422" s="3">
        <v>433</v>
      </c>
      <c r="C1422" s="4">
        <v>203510</v>
      </c>
      <c r="D1422" s="3">
        <v>259</v>
      </c>
      <c r="E1422" s="4">
        <v>189070</v>
      </c>
      <c r="G1422" s="12">
        <f t="shared" si="119"/>
        <v>2014</v>
      </c>
      <c r="H1422" s="12">
        <f t="shared" si="120"/>
        <v>11</v>
      </c>
      <c r="I1422" s="11">
        <f t="shared" si="121"/>
        <v>47</v>
      </c>
      <c r="J1422" s="11"/>
    </row>
    <row r="1423" spans="1:10" x14ac:dyDescent="0.25">
      <c r="A1423" s="2">
        <v>41961</v>
      </c>
      <c r="B1423" s="3">
        <v>449</v>
      </c>
      <c r="C1423" s="4">
        <v>211030</v>
      </c>
      <c r="D1423" s="3">
        <v>229</v>
      </c>
      <c r="E1423" s="4">
        <v>167170</v>
      </c>
      <c r="G1423" s="12">
        <f t="shared" si="119"/>
        <v>2014</v>
      </c>
      <c r="H1423" s="12">
        <f t="shared" si="120"/>
        <v>11</v>
      </c>
      <c r="I1423" s="11">
        <f t="shared" si="121"/>
        <v>47</v>
      </c>
      <c r="J1423" s="11"/>
    </row>
    <row r="1424" spans="1:10" x14ac:dyDescent="0.25">
      <c r="A1424" s="2">
        <v>41962</v>
      </c>
      <c r="B1424" s="3">
        <v>468</v>
      </c>
      <c r="C1424" s="4">
        <v>219960</v>
      </c>
      <c r="D1424" s="3">
        <v>292</v>
      </c>
      <c r="E1424" s="4">
        <v>213160</v>
      </c>
      <c r="G1424" s="12">
        <f t="shared" si="119"/>
        <v>2014</v>
      </c>
      <c r="H1424" s="12">
        <f t="shared" si="120"/>
        <v>11</v>
      </c>
      <c r="I1424" s="11">
        <f t="shared" si="121"/>
        <v>47</v>
      </c>
      <c r="J1424" s="11"/>
    </row>
    <row r="1425" spans="1:10" x14ac:dyDescent="0.25">
      <c r="A1425" s="2">
        <v>41963</v>
      </c>
      <c r="B1425" s="3">
        <v>456</v>
      </c>
      <c r="C1425" s="4">
        <v>214320</v>
      </c>
      <c r="D1425" s="3">
        <v>295</v>
      </c>
      <c r="E1425" s="4">
        <v>215350</v>
      </c>
      <c r="G1425" s="12">
        <f t="shared" si="119"/>
        <v>2014</v>
      </c>
      <c r="H1425" s="12">
        <f t="shared" si="120"/>
        <v>11</v>
      </c>
      <c r="I1425" s="11">
        <f t="shared" si="121"/>
        <v>47</v>
      </c>
      <c r="J1425" s="11"/>
    </row>
    <row r="1426" spans="1:10" x14ac:dyDescent="0.25">
      <c r="A1426" s="2">
        <v>41964</v>
      </c>
      <c r="B1426" s="3">
        <v>552</v>
      </c>
      <c r="C1426" s="4">
        <v>259440</v>
      </c>
      <c r="D1426" s="3">
        <v>336</v>
      </c>
      <c r="E1426" s="4">
        <v>245280</v>
      </c>
      <c r="G1426" s="12">
        <f t="shared" si="119"/>
        <v>2014</v>
      </c>
      <c r="H1426" s="12">
        <f t="shared" si="120"/>
        <v>11</v>
      </c>
      <c r="I1426" s="11">
        <f t="shared" si="121"/>
        <v>47</v>
      </c>
      <c r="J1426" s="11"/>
    </row>
    <row r="1427" spans="1:10" x14ac:dyDescent="0.25">
      <c r="A1427" s="2">
        <v>41965</v>
      </c>
      <c r="B1427" s="3">
        <v>526</v>
      </c>
      <c r="C1427" s="4">
        <v>247220</v>
      </c>
      <c r="D1427" s="3">
        <v>285</v>
      </c>
      <c r="E1427" s="4">
        <v>208050</v>
      </c>
      <c r="G1427" s="12">
        <f t="shared" si="119"/>
        <v>2014</v>
      </c>
      <c r="H1427" s="12">
        <f t="shared" si="120"/>
        <v>11</v>
      </c>
      <c r="I1427" s="11">
        <f t="shared" si="121"/>
        <v>47</v>
      </c>
      <c r="J1427" s="11"/>
    </row>
    <row r="1428" spans="1:10" x14ac:dyDescent="0.25">
      <c r="A1428" s="2">
        <v>41966</v>
      </c>
      <c r="B1428" s="3">
        <v>554</v>
      </c>
      <c r="C1428" s="4">
        <v>260380</v>
      </c>
      <c r="D1428" s="3">
        <v>214</v>
      </c>
      <c r="E1428" s="4">
        <v>156220</v>
      </c>
      <c r="G1428" s="12">
        <f t="shared" si="119"/>
        <v>2014</v>
      </c>
      <c r="H1428" s="12">
        <f t="shared" si="120"/>
        <v>11</v>
      </c>
      <c r="I1428" s="11">
        <f t="shared" si="121"/>
        <v>47</v>
      </c>
      <c r="J1428" s="11"/>
    </row>
    <row r="1429" spans="1:10" x14ac:dyDescent="0.25">
      <c r="A1429" s="2">
        <v>41967</v>
      </c>
      <c r="B1429" s="3">
        <v>501</v>
      </c>
      <c r="C1429" s="4">
        <v>235470</v>
      </c>
      <c r="D1429" s="3">
        <v>273</v>
      </c>
      <c r="E1429" s="4">
        <v>199290</v>
      </c>
      <c r="G1429" s="12">
        <f t="shared" si="119"/>
        <v>2014</v>
      </c>
      <c r="H1429" s="12">
        <f t="shared" si="120"/>
        <v>11</v>
      </c>
      <c r="I1429" s="11">
        <f t="shared" si="121"/>
        <v>47</v>
      </c>
      <c r="J1429" s="11"/>
    </row>
    <row r="1430" spans="1:10" x14ac:dyDescent="0.25">
      <c r="A1430" s="2">
        <v>41968</v>
      </c>
      <c r="B1430" s="3">
        <v>416</v>
      </c>
      <c r="C1430" s="4">
        <v>195520</v>
      </c>
      <c r="D1430" s="3">
        <v>283</v>
      </c>
      <c r="E1430" s="4">
        <v>206590</v>
      </c>
      <c r="G1430" s="12">
        <f t="shared" si="119"/>
        <v>2014</v>
      </c>
      <c r="H1430" s="12">
        <f t="shared" si="120"/>
        <v>11</v>
      </c>
      <c r="I1430" s="11">
        <f t="shared" si="121"/>
        <v>47</v>
      </c>
      <c r="J1430" s="11"/>
    </row>
    <row r="1431" spans="1:10" x14ac:dyDescent="0.25">
      <c r="A1431" s="2">
        <v>41969</v>
      </c>
      <c r="B1431" s="3">
        <v>442</v>
      </c>
      <c r="C1431" s="4">
        <v>207740</v>
      </c>
      <c r="D1431" s="3">
        <v>255</v>
      </c>
      <c r="E1431" s="4">
        <v>186150</v>
      </c>
      <c r="G1431" s="12">
        <f t="shared" si="119"/>
        <v>2014</v>
      </c>
      <c r="H1431" s="12">
        <f t="shared" si="120"/>
        <v>11</v>
      </c>
      <c r="I1431" s="11">
        <f t="shared" si="121"/>
        <v>47</v>
      </c>
      <c r="J1431" s="11"/>
    </row>
    <row r="1432" spans="1:10" x14ac:dyDescent="0.25">
      <c r="A1432" s="2">
        <v>41970</v>
      </c>
      <c r="B1432" s="3">
        <v>485</v>
      </c>
      <c r="C1432" s="4">
        <v>227950</v>
      </c>
      <c r="D1432" s="3">
        <v>312</v>
      </c>
      <c r="E1432" s="4">
        <v>227760</v>
      </c>
      <c r="G1432" s="12">
        <f t="shared" si="119"/>
        <v>2014</v>
      </c>
      <c r="H1432" s="12">
        <f t="shared" si="120"/>
        <v>11</v>
      </c>
      <c r="I1432" s="11">
        <f t="shared" si="121"/>
        <v>47</v>
      </c>
      <c r="J1432" s="11"/>
    </row>
    <row r="1433" spans="1:10" x14ac:dyDescent="0.25">
      <c r="A1433" s="2">
        <v>41971</v>
      </c>
      <c r="B1433" s="3">
        <v>509</v>
      </c>
      <c r="C1433" s="4">
        <v>239230</v>
      </c>
      <c r="D1433" s="3">
        <v>314</v>
      </c>
      <c r="E1433" s="4">
        <v>229220</v>
      </c>
      <c r="G1433" s="12">
        <f t="shared" si="119"/>
        <v>2014</v>
      </c>
      <c r="H1433" s="12">
        <f t="shared" si="120"/>
        <v>11</v>
      </c>
      <c r="I1433" s="11">
        <f t="shared" si="121"/>
        <v>47</v>
      </c>
      <c r="J1433" s="11"/>
    </row>
    <row r="1434" spans="1:10" x14ac:dyDescent="0.25">
      <c r="A1434" s="2">
        <v>41972</v>
      </c>
      <c r="B1434" s="3">
        <v>392</v>
      </c>
      <c r="C1434" s="4">
        <v>184240</v>
      </c>
      <c r="D1434" s="3">
        <v>256</v>
      </c>
      <c r="E1434" s="4">
        <v>186880</v>
      </c>
      <c r="G1434" s="12">
        <f t="shared" si="119"/>
        <v>2014</v>
      </c>
      <c r="H1434" s="12">
        <f t="shared" si="120"/>
        <v>11</v>
      </c>
      <c r="I1434" s="11">
        <f t="shared" si="121"/>
        <v>47</v>
      </c>
      <c r="J1434" s="11"/>
    </row>
    <row r="1435" spans="1:10" x14ac:dyDescent="0.25">
      <c r="A1435" s="2">
        <v>41973</v>
      </c>
      <c r="B1435" s="3">
        <v>446</v>
      </c>
      <c r="C1435" s="4">
        <v>209620</v>
      </c>
      <c r="D1435" s="3">
        <v>261</v>
      </c>
      <c r="E1435" s="4">
        <v>190530</v>
      </c>
      <c r="G1435" s="12">
        <f t="shared" si="119"/>
        <v>2014</v>
      </c>
      <c r="H1435" s="12">
        <f t="shared" si="120"/>
        <v>11</v>
      </c>
      <c r="I1435" s="11">
        <f t="shared" si="121"/>
        <v>47</v>
      </c>
      <c r="J1435" s="11"/>
    </row>
    <row r="1436" spans="1:10" x14ac:dyDescent="0.25">
      <c r="A1436" s="2">
        <v>41974</v>
      </c>
      <c r="B1436" s="3">
        <v>515</v>
      </c>
      <c r="C1436" s="4">
        <v>242050</v>
      </c>
      <c r="D1436" s="3">
        <v>304</v>
      </c>
      <c r="E1436" s="4">
        <v>221920</v>
      </c>
      <c r="G1436" s="12">
        <f t="shared" si="119"/>
        <v>2014</v>
      </c>
      <c r="H1436" s="12">
        <f t="shared" si="120"/>
        <v>12</v>
      </c>
      <c r="I1436" s="11">
        <f t="shared" si="121"/>
        <v>48</v>
      </c>
      <c r="J1436" s="11"/>
    </row>
    <row r="1437" spans="1:10" x14ac:dyDescent="0.25">
      <c r="A1437" s="2">
        <v>41975</v>
      </c>
      <c r="B1437" s="3">
        <v>404</v>
      </c>
      <c r="C1437" s="4">
        <v>189880</v>
      </c>
      <c r="D1437" s="3">
        <v>259</v>
      </c>
      <c r="E1437" s="4">
        <v>189070</v>
      </c>
      <c r="G1437" s="12">
        <f t="shared" si="119"/>
        <v>2014</v>
      </c>
      <c r="H1437" s="12">
        <f t="shared" si="120"/>
        <v>12</v>
      </c>
      <c r="I1437" s="11">
        <f t="shared" si="121"/>
        <v>48</v>
      </c>
      <c r="J1437" s="11"/>
    </row>
    <row r="1438" spans="1:10" x14ac:dyDescent="0.25">
      <c r="A1438" s="2">
        <v>41976</v>
      </c>
      <c r="B1438" s="3">
        <v>429</v>
      </c>
      <c r="C1438" s="4">
        <v>201630</v>
      </c>
      <c r="D1438" s="3">
        <v>260</v>
      </c>
      <c r="E1438" s="4">
        <v>189800</v>
      </c>
      <c r="G1438" s="12">
        <f t="shared" si="119"/>
        <v>2014</v>
      </c>
      <c r="H1438" s="12">
        <f t="shared" si="120"/>
        <v>12</v>
      </c>
      <c r="I1438" s="11">
        <f t="shared" si="121"/>
        <v>48</v>
      </c>
      <c r="J1438" s="11"/>
    </row>
    <row r="1439" spans="1:10" x14ac:dyDescent="0.25">
      <c r="A1439" s="2">
        <v>41977</v>
      </c>
      <c r="B1439" s="3">
        <v>466</v>
      </c>
      <c r="C1439" s="4">
        <v>219020</v>
      </c>
      <c r="D1439" s="3">
        <v>323</v>
      </c>
      <c r="E1439" s="4">
        <v>235790</v>
      </c>
      <c r="G1439" s="12">
        <f t="shared" si="119"/>
        <v>2014</v>
      </c>
      <c r="H1439" s="12">
        <f t="shared" si="120"/>
        <v>12</v>
      </c>
      <c r="I1439" s="11">
        <f t="shared" si="121"/>
        <v>48</v>
      </c>
      <c r="J1439" s="11"/>
    </row>
    <row r="1440" spans="1:10" x14ac:dyDescent="0.25">
      <c r="A1440" s="2">
        <v>41978</v>
      </c>
      <c r="B1440" s="3">
        <v>519</v>
      </c>
      <c r="C1440" s="4">
        <v>243930</v>
      </c>
      <c r="D1440" s="3">
        <v>315</v>
      </c>
      <c r="E1440" s="4">
        <v>229950</v>
      </c>
      <c r="G1440" s="12">
        <f t="shared" si="119"/>
        <v>2014</v>
      </c>
      <c r="H1440" s="12">
        <f t="shared" si="120"/>
        <v>12</v>
      </c>
      <c r="I1440" s="11">
        <f t="shared" si="121"/>
        <v>48</v>
      </c>
      <c r="J1440" s="11"/>
    </row>
    <row r="1441" spans="1:10" x14ac:dyDescent="0.25">
      <c r="A1441" s="2">
        <v>41979</v>
      </c>
      <c r="B1441" s="3">
        <v>431</v>
      </c>
      <c r="C1441" s="4">
        <v>202570</v>
      </c>
      <c r="D1441" s="3">
        <v>340</v>
      </c>
      <c r="E1441" s="4">
        <v>248200</v>
      </c>
      <c r="G1441" s="12">
        <f t="shared" si="119"/>
        <v>2014</v>
      </c>
      <c r="H1441" s="12">
        <f t="shared" si="120"/>
        <v>12</v>
      </c>
      <c r="I1441" s="11">
        <f t="shared" si="121"/>
        <v>48</v>
      </c>
      <c r="J1441" s="11"/>
    </row>
    <row r="1442" spans="1:10" x14ac:dyDescent="0.25">
      <c r="A1442" s="2">
        <v>41980</v>
      </c>
      <c r="B1442" s="3">
        <v>472</v>
      </c>
      <c r="C1442" s="4">
        <v>221840</v>
      </c>
      <c r="D1442" s="3">
        <v>328</v>
      </c>
      <c r="E1442" s="4">
        <v>239440</v>
      </c>
      <c r="G1442" s="12">
        <f t="shared" si="119"/>
        <v>2014</v>
      </c>
      <c r="H1442" s="12">
        <f t="shared" si="120"/>
        <v>12</v>
      </c>
      <c r="I1442" s="11">
        <f t="shared" si="121"/>
        <v>48</v>
      </c>
      <c r="J1442" s="11"/>
    </row>
    <row r="1443" spans="1:10" x14ac:dyDescent="0.25">
      <c r="A1443" s="2">
        <v>41981</v>
      </c>
      <c r="B1443" s="3">
        <v>503</v>
      </c>
      <c r="C1443" s="4">
        <v>236410</v>
      </c>
      <c r="D1443" s="3">
        <v>226</v>
      </c>
      <c r="E1443" s="4">
        <v>164980</v>
      </c>
      <c r="G1443" s="12">
        <f t="shared" si="119"/>
        <v>2014</v>
      </c>
      <c r="H1443" s="12">
        <f t="shared" si="120"/>
        <v>12</v>
      </c>
      <c r="I1443" s="11">
        <f t="shared" si="121"/>
        <v>48</v>
      </c>
      <c r="J1443" s="11"/>
    </row>
    <row r="1444" spans="1:10" x14ac:dyDescent="0.25">
      <c r="A1444" s="2">
        <v>41982</v>
      </c>
      <c r="B1444" s="3">
        <v>472</v>
      </c>
      <c r="C1444" s="4">
        <v>221840</v>
      </c>
      <c r="D1444" s="3">
        <v>366</v>
      </c>
      <c r="E1444" s="4">
        <v>267180</v>
      </c>
      <c r="G1444" s="12">
        <f t="shared" si="119"/>
        <v>2014</v>
      </c>
      <c r="H1444" s="12">
        <f t="shared" si="120"/>
        <v>12</v>
      </c>
      <c r="I1444" s="11">
        <f t="shared" si="121"/>
        <v>48</v>
      </c>
      <c r="J1444" s="11"/>
    </row>
    <row r="1445" spans="1:10" x14ac:dyDescent="0.25">
      <c r="A1445" s="2">
        <v>41983</v>
      </c>
      <c r="B1445" s="3">
        <v>501</v>
      </c>
      <c r="C1445" s="4">
        <v>235470</v>
      </c>
      <c r="D1445" s="3">
        <v>267</v>
      </c>
      <c r="E1445" s="4">
        <v>194910</v>
      </c>
      <c r="G1445" s="12">
        <f t="shared" si="119"/>
        <v>2014</v>
      </c>
      <c r="H1445" s="12">
        <f t="shared" si="120"/>
        <v>12</v>
      </c>
      <c r="I1445" s="11">
        <f t="shared" si="121"/>
        <v>48</v>
      </c>
      <c r="J1445" s="11"/>
    </row>
    <row r="1446" spans="1:10" x14ac:dyDescent="0.25">
      <c r="A1446" s="2">
        <v>41984</v>
      </c>
      <c r="B1446" s="3">
        <v>540</v>
      </c>
      <c r="C1446" s="4">
        <v>253800</v>
      </c>
      <c r="D1446" s="3">
        <v>303</v>
      </c>
      <c r="E1446" s="4">
        <v>221190</v>
      </c>
      <c r="G1446" s="12">
        <f t="shared" si="119"/>
        <v>2014</v>
      </c>
      <c r="H1446" s="12">
        <f t="shared" si="120"/>
        <v>12</v>
      </c>
      <c r="I1446" s="11">
        <f t="shared" si="121"/>
        <v>48</v>
      </c>
      <c r="J1446" s="11"/>
    </row>
    <row r="1447" spans="1:10" x14ac:dyDescent="0.25">
      <c r="A1447" s="2">
        <v>41985</v>
      </c>
      <c r="B1447" s="3">
        <v>480</v>
      </c>
      <c r="C1447" s="4">
        <v>225600</v>
      </c>
      <c r="D1447" s="3">
        <v>290</v>
      </c>
      <c r="E1447" s="4">
        <v>211700</v>
      </c>
      <c r="G1447" s="12">
        <f t="shared" si="119"/>
        <v>2014</v>
      </c>
      <c r="H1447" s="12">
        <f t="shared" si="120"/>
        <v>12</v>
      </c>
      <c r="I1447" s="11">
        <f t="shared" si="121"/>
        <v>48</v>
      </c>
      <c r="J1447" s="11"/>
    </row>
    <row r="1448" spans="1:10" x14ac:dyDescent="0.25">
      <c r="A1448" s="2">
        <v>41986</v>
      </c>
      <c r="B1448" s="3">
        <v>425</v>
      </c>
      <c r="C1448" s="4">
        <v>199750</v>
      </c>
      <c r="D1448" s="3">
        <v>287</v>
      </c>
      <c r="E1448" s="4">
        <v>209510</v>
      </c>
      <c r="G1448" s="12">
        <f t="shared" si="119"/>
        <v>2014</v>
      </c>
      <c r="H1448" s="12">
        <f t="shared" si="120"/>
        <v>12</v>
      </c>
      <c r="I1448" s="11">
        <f t="shared" si="121"/>
        <v>48</v>
      </c>
      <c r="J1448" s="11"/>
    </row>
    <row r="1449" spans="1:10" x14ac:dyDescent="0.25">
      <c r="A1449" s="2">
        <v>41987</v>
      </c>
      <c r="B1449" s="3">
        <v>553</v>
      </c>
      <c r="C1449" s="4">
        <v>259910</v>
      </c>
      <c r="D1449" s="3">
        <v>290</v>
      </c>
      <c r="E1449" s="4">
        <v>211700</v>
      </c>
      <c r="G1449" s="12">
        <f t="shared" si="119"/>
        <v>2014</v>
      </c>
      <c r="H1449" s="12">
        <f t="shared" si="120"/>
        <v>12</v>
      </c>
      <c r="I1449" s="11">
        <f t="shared" si="121"/>
        <v>48</v>
      </c>
      <c r="J1449" s="11"/>
    </row>
    <row r="1450" spans="1:10" x14ac:dyDescent="0.25">
      <c r="A1450" s="2">
        <v>41988</v>
      </c>
      <c r="B1450" s="3">
        <v>487</v>
      </c>
      <c r="C1450" s="4">
        <v>228890</v>
      </c>
      <c r="D1450" s="3">
        <v>305</v>
      </c>
      <c r="E1450" s="4">
        <v>222650</v>
      </c>
      <c r="G1450" s="12">
        <f t="shared" si="119"/>
        <v>2014</v>
      </c>
      <c r="H1450" s="12">
        <f t="shared" si="120"/>
        <v>12</v>
      </c>
      <c r="I1450" s="11">
        <f t="shared" si="121"/>
        <v>48</v>
      </c>
      <c r="J1450" s="11"/>
    </row>
    <row r="1451" spans="1:10" x14ac:dyDescent="0.25">
      <c r="A1451" s="2">
        <v>41989</v>
      </c>
      <c r="B1451" s="3">
        <v>552</v>
      </c>
      <c r="C1451" s="4">
        <v>259440</v>
      </c>
      <c r="D1451" s="3">
        <v>289</v>
      </c>
      <c r="E1451" s="4">
        <v>210970</v>
      </c>
      <c r="G1451" s="12">
        <f t="shared" si="119"/>
        <v>2014</v>
      </c>
      <c r="H1451" s="12">
        <f t="shared" si="120"/>
        <v>12</v>
      </c>
      <c r="I1451" s="11">
        <f t="shared" si="121"/>
        <v>48</v>
      </c>
      <c r="J1451" s="11"/>
    </row>
    <row r="1452" spans="1:10" x14ac:dyDescent="0.25">
      <c r="A1452" s="2">
        <v>41990</v>
      </c>
      <c r="B1452" s="3">
        <v>481</v>
      </c>
      <c r="C1452" s="4">
        <v>226070</v>
      </c>
      <c r="D1452" s="3">
        <v>338</v>
      </c>
      <c r="E1452" s="4">
        <v>246740</v>
      </c>
      <c r="G1452" s="12">
        <f t="shared" si="119"/>
        <v>2014</v>
      </c>
      <c r="H1452" s="12">
        <f t="shared" si="120"/>
        <v>12</v>
      </c>
      <c r="I1452" s="11">
        <f t="shared" si="121"/>
        <v>48</v>
      </c>
      <c r="J1452" s="11"/>
    </row>
    <row r="1453" spans="1:10" x14ac:dyDescent="0.25">
      <c r="A1453" s="2">
        <v>41991</v>
      </c>
      <c r="B1453" s="3">
        <v>571</v>
      </c>
      <c r="C1453" s="4">
        <v>268370</v>
      </c>
      <c r="D1453" s="3">
        <v>265</v>
      </c>
      <c r="E1453" s="4">
        <v>193450</v>
      </c>
      <c r="G1453" s="12">
        <f t="shared" si="119"/>
        <v>2014</v>
      </c>
      <c r="H1453" s="12">
        <f t="shared" si="120"/>
        <v>12</v>
      </c>
      <c r="I1453" s="11">
        <f t="shared" si="121"/>
        <v>48</v>
      </c>
      <c r="J1453" s="11"/>
    </row>
    <row r="1454" spans="1:10" x14ac:dyDescent="0.25">
      <c r="A1454" s="2">
        <v>41992</v>
      </c>
      <c r="B1454" s="3">
        <v>539</v>
      </c>
      <c r="C1454" s="4">
        <v>253330</v>
      </c>
      <c r="D1454" s="3">
        <v>277</v>
      </c>
      <c r="E1454" s="4">
        <v>202210</v>
      </c>
      <c r="G1454" s="12">
        <f t="shared" si="119"/>
        <v>2014</v>
      </c>
      <c r="H1454" s="12">
        <f t="shared" si="120"/>
        <v>12</v>
      </c>
      <c r="I1454" s="11">
        <f t="shared" si="121"/>
        <v>48</v>
      </c>
      <c r="J1454" s="11"/>
    </row>
    <row r="1455" spans="1:10" x14ac:dyDescent="0.25">
      <c r="A1455" s="2">
        <v>41993</v>
      </c>
      <c r="B1455" s="3">
        <v>502</v>
      </c>
      <c r="C1455" s="4">
        <v>235940</v>
      </c>
      <c r="D1455" s="3">
        <v>301</v>
      </c>
      <c r="E1455" s="4">
        <v>219730</v>
      </c>
      <c r="G1455" s="12">
        <f t="shared" si="119"/>
        <v>2014</v>
      </c>
      <c r="H1455" s="12">
        <f t="shared" si="120"/>
        <v>12</v>
      </c>
      <c r="I1455" s="11">
        <f t="shared" si="121"/>
        <v>48</v>
      </c>
      <c r="J1455" s="11"/>
    </row>
    <row r="1456" spans="1:10" x14ac:dyDescent="0.25">
      <c r="A1456" s="2">
        <v>41994</v>
      </c>
      <c r="B1456" s="3">
        <v>466</v>
      </c>
      <c r="C1456" s="4">
        <v>219020</v>
      </c>
      <c r="D1456" s="3">
        <v>278</v>
      </c>
      <c r="E1456" s="4">
        <v>202940</v>
      </c>
      <c r="G1456" s="12">
        <f t="shared" si="119"/>
        <v>2014</v>
      </c>
      <c r="H1456" s="12">
        <f t="shared" si="120"/>
        <v>12</v>
      </c>
      <c r="I1456" s="11">
        <f t="shared" si="121"/>
        <v>48</v>
      </c>
      <c r="J1456" s="11"/>
    </row>
    <row r="1457" spans="1:10" x14ac:dyDescent="0.25">
      <c r="A1457" s="2">
        <v>41995</v>
      </c>
      <c r="B1457" s="3">
        <v>449</v>
      </c>
      <c r="C1457" s="4">
        <v>211030</v>
      </c>
      <c r="D1457" s="3">
        <v>311</v>
      </c>
      <c r="E1457" s="4">
        <v>227030</v>
      </c>
      <c r="G1457" s="12">
        <f t="shared" si="119"/>
        <v>2014</v>
      </c>
      <c r="H1457" s="12">
        <f t="shared" si="120"/>
        <v>12</v>
      </c>
      <c r="I1457" s="11">
        <f t="shared" si="121"/>
        <v>48</v>
      </c>
      <c r="J1457" s="11"/>
    </row>
    <row r="1458" spans="1:10" x14ac:dyDescent="0.25">
      <c r="A1458" s="2">
        <v>41996</v>
      </c>
      <c r="B1458" s="3">
        <v>409</v>
      </c>
      <c r="C1458" s="4">
        <v>192230</v>
      </c>
      <c r="D1458" s="3">
        <v>301</v>
      </c>
      <c r="E1458" s="4">
        <v>219730</v>
      </c>
      <c r="G1458" s="12">
        <f t="shared" si="119"/>
        <v>2014</v>
      </c>
      <c r="H1458" s="12">
        <f t="shared" si="120"/>
        <v>12</v>
      </c>
      <c r="I1458" s="11">
        <f t="shared" si="121"/>
        <v>48</v>
      </c>
      <c r="J1458" s="11"/>
    </row>
    <row r="1459" spans="1:10" x14ac:dyDescent="0.25">
      <c r="A1459" s="2">
        <v>41997</v>
      </c>
      <c r="B1459" s="3">
        <v>523</v>
      </c>
      <c r="C1459" s="4">
        <v>245810</v>
      </c>
      <c r="D1459" s="3">
        <v>293</v>
      </c>
      <c r="E1459" s="4">
        <v>213890</v>
      </c>
      <c r="G1459" s="12">
        <f t="shared" si="119"/>
        <v>2014</v>
      </c>
      <c r="H1459" s="12">
        <f t="shared" si="120"/>
        <v>12</v>
      </c>
      <c r="I1459" s="11">
        <f t="shared" si="121"/>
        <v>48</v>
      </c>
      <c r="J1459" s="11"/>
    </row>
    <row r="1460" spans="1:10" x14ac:dyDescent="0.25">
      <c r="A1460" s="2">
        <v>41998</v>
      </c>
      <c r="B1460" s="3">
        <v>431</v>
      </c>
      <c r="C1460" s="4">
        <v>202570</v>
      </c>
      <c r="D1460" s="3">
        <v>347</v>
      </c>
      <c r="E1460" s="4">
        <v>253310</v>
      </c>
      <c r="G1460" s="12">
        <f t="shared" si="119"/>
        <v>2014</v>
      </c>
      <c r="H1460" s="12">
        <f t="shared" si="120"/>
        <v>12</v>
      </c>
      <c r="I1460" s="11">
        <f t="shared" si="121"/>
        <v>48</v>
      </c>
      <c r="J1460" s="11"/>
    </row>
    <row r="1461" spans="1:10" x14ac:dyDescent="0.25">
      <c r="A1461" s="2">
        <v>41999</v>
      </c>
      <c r="B1461" s="3">
        <v>499</v>
      </c>
      <c r="C1461" s="4">
        <v>234530</v>
      </c>
      <c r="D1461" s="3">
        <v>260</v>
      </c>
      <c r="E1461" s="4">
        <v>189800</v>
      </c>
      <c r="G1461" s="12">
        <f t="shared" si="119"/>
        <v>2014</v>
      </c>
      <c r="H1461" s="12">
        <f t="shared" si="120"/>
        <v>12</v>
      </c>
      <c r="I1461" s="11">
        <f t="shared" si="121"/>
        <v>48</v>
      </c>
      <c r="J1461" s="11"/>
    </row>
    <row r="1462" spans="1:10" x14ac:dyDescent="0.25">
      <c r="A1462" s="2">
        <v>42000</v>
      </c>
      <c r="B1462" s="3">
        <v>502</v>
      </c>
      <c r="C1462" s="4">
        <v>235940</v>
      </c>
      <c r="D1462" s="3">
        <v>310</v>
      </c>
      <c r="E1462" s="4">
        <v>226300</v>
      </c>
      <c r="G1462" s="12">
        <f t="shared" si="119"/>
        <v>2014</v>
      </c>
      <c r="H1462" s="12">
        <f t="shared" si="120"/>
        <v>12</v>
      </c>
      <c r="I1462" s="11">
        <f t="shared" si="121"/>
        <v>48</v>
      </c>
      <c r="J1462" s="11"/>
    </row>
    <row r="1463" spans="1:10" x14ac:dyDescent="0.25">
      <c r="A1463" s="2">
        <v>42001</v>
      </c>
      <c r="B1463" s="3">
        <v>493</v>
      </c>
      <c r="C1463" s="4">
        <v>231710</v>
      </c>
      <c r="D1463" s="3">
        <v>268</v>
      </c>
      <c r="E1463" s="4">
        <v>195640</v>
      </c>
      <c r="G1463" s="12">
        <f t="shared" si="119"/>
        <v>2014</v>
      </c>
      <c r="H1463" s="12">
        <f t="shared" si="120"/>
        <v>12</v>
      </c>
      <c r="I1463" s="11">
        <f t="shared" si="121"/>
        <v>48</v>
      </c>
      <c r="J1463" s="11"/>
    </row>
    <row r="1464" spans="1:10" x14ac:dyDescent="0.25">
      <c r="A1464" s="2">
        <v>42002</v>
      </c>
      <c r="B1464" s="3">
        <v>525</v>
      </c>
      <c r="C1464" s="4">
        <v>246750</v>
      </c>
      <c r="D1464" s="3">
        <v>344</v>
      </c>
      <c r="E1464" s="4">
        <v>251120</v>
      </c>
      <c r="G1464" s="12">
        <f t="shared" si="119"/>
        <v>2014</v>
      </c>
      <c r="H1464" s="12">
        <f t="shared" si="120"/>
        <v>12</v>
      </c>
      <c r="I1464" s="11">
        <f t="shared" si="121"/>
        <v>48</v>
      </c>
      <c r="J1464" s="11"/>
    </row>
    <row r="1465" spans="1:10" x14ac:dyDescent="0.25">
      <c r="A1465" s="2">
        <v>42003</v>
      </c>
      <c r="B1465" s="3">
        <v>421</v>
      </c>
      <c r="C1465" s="4">
        <v>197870</v>
      </c>
      <c r="D1465" s="3">
        <v>273</v>
      </c>
      <c r="E1465" s="4">
        <v>199290</v>
      </c>
      <c r="G1465" s="12">
        <f t="shared" si="119"/>
        <v>2014</v>
      </c>
      <c r="H1465" s="12">
        <f t="shared" si="120"/>
        <v>12</v>
      </c>
      <c r="I1465" s="11">
        <f t="shared" si="121"/>
        <v>48</v>
      </c>
      <c r="J1465" s="11"/>
    </row>
    <row r="1466" spans="1:10" x14ac:dyDescent="0.25">
      <c r="A1466" s="2">
        <v>42004</v>
      </c>
      <c r="B1466" s="3">
        <v>552</v>
      </c>
      <c r="C1466" s="4">
        <v>259440</v>
      </c>
      <c r="D1466" s="3">
        <v>272</v>
      </c>
      <c r="E1466" s="4">
        <v>198560</v>
      </c>
      <c r="G1466" s="12">
        <f t="shared" si="119"/>
        <v>2014</v>
      </c>
      <c r="H1466" s="12">
        <f t="shared" si="120"/>
        <v>12</v>
      </c>
      <c r="I1466" s="11">
        <f t="shared" si="121"/>
        <v>48</v>
      </c>
      <c r="J1466" s="11"/>
    </row>
    <row r="1467" spans="1:10" x14ac:dyDescent="0.25">
      <c r="A1467" s="2">
        <v>42005</v>
      </c>
      <c r="B1467" s="3">
        <v>570</v>
      </c>
      <c r="C1467" s="4">
        <v>267900</v>
      </c>
      <c r="D1467" s="3">
        <v>328</v>
      </c>
      <c r="E1467" s="4">
        <v>239440</v>
      </c>
      <c r="G1467" s="12">
        <f t="shared" si="119"/>
        <v>2015</v>
      </c>
      <c r="H1467" s="12">
        <f t="shared" si="120"/>
        <v>1</v>
      </c>
      <c r="I1467" s="11">
        <f t="shared" si="121"/>
        <v>49</v>
      </c>
      <c r="J1467" s="11"/>
    </row>
    <row r="1468" spans="1:10" x14ac:dyDescent="0.25">
      <c r="A1468" s="2">
        <v>42006</v>
      </c>
      <c r="B1468" s="3">
        <v>493</v>
      </c>
      <c r="C1468" s="4">
        <v>231710</v>
      </c>
      <c r="D1468" s="3">
        <v>315</v>
      </c>
      <c r="E1468" s="4">
        <v>229950</v>
      </c>
      <c r="G1468" s="12">
        <f t="shared" si="119"/>
        <v>2015</v>
      </c>
      <c r="H1468" s="12">
        <f t="shared" si="120"/>
        <v>1</v>
      </c>
      <c r="I1468" s="11">
        <f t="shared" si="121"/>
        <v>49</v>
      </c>
      <c r="J1468" s="11"/>
    </row>
    <row r="1469" spans="1:10" x14ac:dyDescent="0.25">
      <c r="A1469" s="2">
        <v>42007</v>
      </c>
      <c r="B1469" s="3">
        <v>430</v>
      </c>
      <c r="C1469" s="4">
        <v>202100</v>
      </c>
      <c r="D1469" s="3">
        <v>265</v>
      </c>
      <c r="E1469" s="4">
        <v>193450</v>
      </c>
      <c r="G1469" s="12">
        <f t="shared" si="119"/>
        <v>2015</v>
      </c>
      <c r="H1469" s="12">
        <f t="shared" si="120"/>
        <v>1</v>
      </c>
      <c r="I1469" s="11">
        <f t="shared" si="121"/>
        <v>49</v>
      </c>
      <c r="J1469" s="11"/>
    </row>
    <row r="1470" spans="1:10" x14ac:dyDescent="0.25">
      <c r="A1470" s="2">
        <v>42008</v>
      </c>
      <c r="B1470" s="3">
        <v>404</v>
      </c>
      <c r="C1470" s="4">
        <v>189880</v>
      </c>
      <c r="D1470" s="3">
        <v>365</v>
      </c>
      <c r="E1470" s="4">
        <v>266450</v>
      </c>
      <c r="G1470" s="12">
        <f t="shared" si="119"/>
        <v>2015</v>
      </c>
      <c r="H1470" s="12">
        <f t="shared" si="120"/>
        <v>1</v>
      </c>
      <c r="I1470" s="11">
        <f t="shared" si="121"/>
        <v>49</v>
      </c>
      <c r="J1470" s="11"/>
    </row>
    <row r="1471" spans="1:10" x14ac:dyDescent="0.25">
      <c r="A1471" s="2">
        <v>42009</v>
      </c>
      <c r="B1471" s="3">
        <v>574</v>
      </c>
      <c r="C1471" s="4">
        <v>269780</v>
      </c>
      <c r="D1471" s="3">
        <v>237</v>
      </c>
      <c r="E1471" s="4">
        <v>173010</v>
      </c>
      <c r="G1471" s="12">
        <f t="shared" si="119"/>
        <v>2015</v>
      </c>
      <c r="H1471" s="12">
        <f t="shared" si="120"/>
        <v>1</v>
      </c>
      <c r="I1471" s="11">
        <f t="shared" si="121"/>
        <v>49</v>
      </c>
      <c r="J1471" s="11"/>
    </row>
    <row r="1472" spans="1:10" x14ac:dyDescent="0.25">
      <c r="A1472" s="2">
        <v>42010</v>
      </c>
      <c r="B1472" s="3">
        <v>515</v>
      </c>
      <c r="C1472" s="4">
        <v>242050</v>
      </c>
      <c r="D1472" s="3">
        <v>265</v>
      </c>
      <c r="E1472" s="4">
        <v>193450</v>
      </c>
      <c r="G1472" s="12">
        <f t="shared" si="119"/>
        <v>2015</v>
      </c>
      <c r="H1472" s="12">
        <f t="shared" si="120"/>
        <v>1</v>
      </c>
      <c r="I1472" s="11">
        <f t="shared" si="121"/>
        <v>49</v>
      </c>
      <c r="J1472" s="11"/>
    </row>
    <row r="1473" spans="1:10" x14ac:dyDescent="0.25">
      <c r="A1473" s="2">
        <v>42011</v>
      </c>
      <c r="B1473" s="3">
        <v>523</v>
      </c>
      <c r="C1473" s="4">
        <v>245810</v>
      </c>
      <c r="D1473" s="3">
        <v>264</v>
      </c>
      <c r="E1473" s="4">
        <v>192720</v>
      </c>
      <c r="G1473" s="12">
        <f t="shared" si="119"/>
        <v>2015</v>
      </c>
      <c r="H1473" s="12">
        <f t="shared" si="120"/>
        <v>1</v>
      </c>
      <c r="I1473" s="11">
        <f t="shared" si="121"/>
        <v>49</v>
      </c>
      <c r="J1473" s="11"/>
    </row>
    <row r="1474" spans="1:10" x14ac:dyDescent="0.25">
      <c r="A1474" s="2">
        <v>42012</v>
      </c>
      <c r="B1474" s="3">
        <v>427</v>
      </c>
      <c r="C1474" s="4">
        <v>200690</v>
      </c>
      <c r="D1474" s="3">
        <v>311</v>
      </c>
      <c r="E1474" s="4">
        <v>227030</v>
      </c>
      <c r="G1474" s="12">
        <f t="shared" si="119"/>
        <v>2015</v>
      </c>
      <c r="H1474" s="12">
        <f t="shared" si="120"/>
        <v>1</v>
      </c>
      <c r="I1474" s="11">
        <f t="shared" si="121"/>
        <v>49</v>
      </c>
      <c r="J1474" s="11"/>
    </row>
    <row r="1475" spans="1:10" x14ac:dyDescent="0.25">
      <c r="A1475" s="2">
        <v>42013</v>
      </c>
      <c r="B1475" s="3">
        <v>498</v>
      </c>
      <c r="C1475" s="4">
        <v>234060</v>
      </c>
      <c r="D1475" s="3">
        <v>305</v>
      </c>
      <c r="E1475" s="4">
        <v>222650</v>
      </c>
      <c r="G1475" s="12">
        <f t="shared" si="119"/>
        <v>2015</v>
      </c>
      <c r="H1475" s="12">
        <f t="shared" si="120"/>
        <v>1</v>
      </c>
      <c r="I1475" s="11">
        <f t="shared" si="121"/>
        <v>49</v>
      </c>
      <c r="J1475" s="11"/>
    </row>
    <row r="1476" spans="1:10" x14ac:dyDescent="0.25">
      <c r="A1476" s="2">
        <v>42014</v>
      </c>
      <c r="B1476" s="3">
        <v>405</v>
      </c>
      <c r="C1476" s="4">
        <v>190350</v>
      </c>
      <c r="D1476" s="3">
        <v>343</v>
      </c>
      <c r="E1476" s="4">
        <v>250390</v>
      </c>
      <c r="G1476" s="12">
        <f t="shared" si="119"/>
        <v>2015</v>
      </c>
      <c r="H1476" s="12">
        <f t="shared" si="120"/>
        <v>1</v>
      </c>
      <c r="I1476" s="11">
        <f t="shared" si="121"/>
        <v>49</v>
      </c>
      <c r="J1476" s="11"/>
    </row>
    <row r="1477" spans="1:10" x14ac:dyDescent="0.25">
      <c r="A1477" s="2">
        <v>42015</v>
      </c>
      <c r="B1477" s="3">
        <v>454</v>
      </c>
      <c r="C1477" s="4">
        <v>213380</v>
      </c>
      <c r="D1477" s="3">
        <v>339</v>
      </c>
      <c r="E1477" s="4">
        <v>247470</v>
      </c>
      <c r="G1477" s="12">
        <f t="shared" si="119"/>
        <v>2015</v>
      </c>
      <c r="H1477" s="12">
        <f t="shared" si="120"/>
        <v>1</v>
      </c>
      <c r="I1477" s="11">
        <f t="shared" si="121"/>
        <v>49</v>
      </c>
      <c r="J1477" s="11"/>
    </row>
    <row r="1478" spans="1:10" x14ac:dyDescent="0.25">
      <c r="A1478" s="2">
        <v>42016</v>
      </c>
      <c r="B1478" s="3">
        <v>460</v>
      </c>
      <c r="C1478" s="4">
        <v>216200</v>
      </c>
      <c r="D1478" s="3">
        <v>307</v>
      </c>
      <c r="E1478" s="4">
        <v>224110</v>
      </c>
      <c r="G1478" s="12">
        <f t="shared" ref="G1478:G1541" si="122">+YEAR(A1478)</f>
        <v>2015</v>
      </c>
      <c r="H1478" s="12">
        <f t="shared" ref="H1478:H1541" si="123">+MONTH(A1478)</f>
        <v>1</v>
      </c>
      <c r="I1478" s="11">
        <f t="shared" si="121"/>
        <v>49</v>
      </c>
      <c r="J1478" s="11"/>
    </row>
    <row r="1479" spans="1:10" x14ac:dyDescent="0.25">
      <c r="A1479" s="2">
        <v>42017</v>
      </c>
      <c r="B1479" s="3">
        <v>512</v>
      </c>
      <c r="C1479" s="4">
        <v>240640</v>
      </c>
      <c r="D1479" s="3">
        <v>292</v>
      </c>
      <c r="E1479" s="4">
        <v>213160</v>
      </c>
      <c r="G1479" s="12">
        <f t="shared" si="122"/>
        <v>2015</v>
      </c>
      <c r="H1479" s="12">
        <f t="shared" si="123"/>
        <v>1</v>
      </c>
      <c r="I1479" s="11">
        <f t="shared" ref="I1479:I1542" si="124">+H1479+(G1479-2011)*12</f>
        <v>49</v>
      </c>
      <c r="J1479" s="11"/>
    </row>
    <row r="1480" spans="1:10" x14ac:dyDescent="0.25">
      <c r="A1480" s="2">
        <v>42018</v>
      </c>
      <c r="B1480" s="3">
        <v>427</v>
      </c>
      <c r="C1480" s="4">
        <v>200690</v>
      </c>
      <c r="D1480" s="3">
        <v>283</v>
      </c>
      <c r="E1480" s="4">
        <v>206590</v>
      </c>
      <c r="G1480" s="12">
        <f t="shared" si="122"/>
        <v>2015</v>
      </c>
      <c r="H1480" s="12">
        <f t="shared" si="123"/>
        <v>1</v>
      </c>
      <c r="I1480" s="11">
        <f t="shared" si="124"/>
        <v>49</v>
      </c>
      <c r="J1480" s="11"/>
    </row>
    <row r="1481" spans="1:10" x14ac:dyDescent="0.25">
      <c r="A1481" s="2">
        <v>42019</v>
      </c>
      <c r="B1481" s="3">
        <v>450</v>
      </c>
      <c r="C1481" s="4">
        <v>211500</v>
      </c>
      <c r="D1481" s="3">
        <v>289</v>
      </c>
      <c r="E1481" s="4">
        <v>210970</v>
      </c>
      <c r="G1481" s="12">
        <f t="shared" si="122"/>
        <v>2015</v>
      </c>
      <c r="H1481" s="12">
        <f t="shared" si="123"/>
        <v>1</v>
      </c>
      <c r="I1481" s="11">
        <f t="shared" si="124"/>
        <v>49</v>
      </c>
      <c r="J1481" s="11"/>
    </row>
    <row r="1482" spans="1:10" x14ac:dyDescent="0.25">
      <c r="A1482" s="2">
        <v>42020</v>
      </c>
      <c r="B1482" s="3">
        <v>454</v>
      </c>
      <c r="C1482" s="4">
        <v>213380</v>
      </c>
      <c r="D1482" s="3">
        <v>291</v>
      </c>
      <c r="E1482" s="4">
        <v>212430</v>
      </c>
      <c r="G1482" s="12">
        <f t="shared" si="122"/>
        <v>2015</v>
      </c>
      <c r="H1482" s="12">
        <f t="shared" si="123"/>
        <v>1</v>
      </c>
      <c r="I1482" s="11">
        <f t="shared" si="124"/>
        <v>49</v>
      </c>
      <c r="J1482" s="11"/>
    </row>
    <row r="1483" spans="1:10" x14ac:dyDescent="0.25">
      <c r="A1483" s="2">
        <v>42021</v>
      </c>
      <c r="B1483" s="3">
        <v>465</v>
      </c>
      <c r="C1483" s="4">
        <v>218550</v>
      </c>
      <c r="D1483" s="3">
        <v>278</v>
      </c>
      <c r="E1483" s="4">
        <v>202940</v>
      </c>
      <c r="G1483" s="12">
        <f t="shared" si="122"/>
        <v>2015</v>
      </c>
      <c r="H1483" s="12">
        <f t="shared" si="123"/>
        <v>1</v>
      </c>
      <c r="I1483" s="11">
        <f t="shared" si="124"/>
        <v>49</v>
      </c>
      <c r="J1483" s="11"/>
    </row>
    <row r="1484" spans="1:10" x14ac:dyDescent="0.25">
      <c r="A1484" s="2">
        <v>42022</v>
      </c>
      <c r="B1484" s="3">
        <v>424</v>
      </c>
      <c r="C1484" s="4">
        <v>199280</v>
      </c>
      <c r="D1484" s="3">
        <v>299</v>
      </c>
      <c r="E1484" s="4">
        <v>218270</v>
      </c>
      <c r="G1484" s="12">
        <f t="shared" si="122"/>
        <v>2015</v>
      </c>
      <c r="H1484" s="12">
        <f t="shared" si="123"/>
        <v>1</v>
      </c>
      <c r="I1484" s="11">
        <f t="shared" si="124"/>
        <v>49</v>
      </c>
      <c r="J1484" s="11"/>
    </row>
    <row r="1485" spans="1:10" x14ac:dyDescent="0.25">
      <c r="A1485" s="2">
        <v>42023</v>
      </c>
      <c r="B1485" s="3">
        <v>500</v>
      </c>
      <c r="C1485" s="4">
        <v>235000</v>
      </c>
      <c r="D1485" s="3">
        <v>279</v>
      </c>
      <c r="E1485" s="4">
        <v>203670</v>
      </c>
      <c r="G1485" s="12">
        <f t="shared" si="122"/>
        <v>2015</v>
      </c>
      <c r="H1485" s="12">
        <f t="shared" si="123"/>
        <v>1</v>
      </c>
      <c r="I1485" s="11">
        <f t="shared" si="124"/>
        <v>49</v>
      </c>
      <c r="J1485" s="11"/>
    </row>
    <row r="1486" spans="1:10" x14ac:dyDescent="0.25">
      <c r="A1486" s="2">
        <v>42024</v>
      </c>
      <c r="B1486" s="3">
        <v>493</v>
      </c>
      <c r="C1486" s="4">
        <v>231710</v>
      </c>
      <c r="D1486" s="3">
        <v>280</v>
      </c>
      <c r="E1486" s="4">
        <v>204400</v>
      </c>
      <c r="G1486" s="12">
        <f t="shared" si="122"/>
        <v>2015</v>
      </c>
      <c r="H1486" s="12">
        <f t="shared" si="123"/>
        <v>1</v>
      </c>
      <c r="I1486" s="11">
        <f t="shared" si="124"/>
        <v>49</v>
      </c>
      <c r="J1486" s="11"/>
    </row>
    <row r="1487" spans="1:10" x14ac:dyDescent="0.25">
      <c r="A1487" s="2">
        <v>42025</v>
      </c>
      <c r="B1487" s="3">
        <v>462</v>
      </c>
      <c r="C1487" s="4">
        <v>217140</v>
      </c>
      <c r="D1487" s="3">
        <v>286</v>
      </c>
      <c r="E1487" s="4">
        <v>208780</v>
      </c>
      <c r="G1487" s="12">
        <f t="shared" si="122"/>
        <v>2015</v>
      </c>
      <c r="H1487" s="12">
        <f t="shared" si="123"/>
        <v>1</v>
      </c>
      <c r="I1487" s="11">
        <f t="shared" si="124"/>
        <v>49</v>
      </c>
      <c r="J1487" s="11"/>
    </row>
    <row r="1488" spans="1:10" x14ac:dyDescent="0.25">
      <c r="A1488" s="2">
        <v>42026</v>
      </c>
      <c r="B1488" s="3">
        <v>511</v>
      </c>
      <c r="C1488" s="4">
        <v>240170</v>
      </c>
      <c r="D1488" s="3">
        <v>298</v>
      </c>
      <c r="E1488" s="4">
        <v>217540</v>
      </c>
      <c r="G1488" s="12">
        <f t="shared" si="122"/>
        <v>2015</v>
      </c>
      <c r="H1488" s="12">
        <f t="shared" si="123"/>
        <v>1</v>
      </c>
      <c r="I1488" s="11">
        <f t="shared" si="124"/>
        <v>49</v>
      </c>
      <c r="J1488" s="11"/>
    </row>
    <row r="1489" spans="1:10" x14ac:dyDescent="0.25">
      <c r="A1489" s="2">
        <v>42027</v>
      </c>
      <c r="B1489" s="3">
        <v>460</v>
      </c>
      <c r="C1489" s="4">
        <v>216200</v>
      </c>
      <c r="D1489" s="3">
        <v>313</v>
      </c>
      <c r="E1489" s="4">
        <v>228490</v>
      </c>
      <c r="G1489" s="12">
        <f t="shared" si="122"/>
        <v>2015</v>
      </c>
      <c r="H1489" s="12">
        <f t="shared" si="123"/>
        <v>1</v>
      </c>
      <c r="I1489" s="11">
        <f t="shared" si="124"/>
        <v>49</v>
      </c>
      <c r="J1489" s="11"/>
    </row>
    <row r="1490" spans="1:10" x14ac:dyDescent="0.25">
      <c r="A1490" s="2">
        <v>42028</v>
      </c>
      <c r="B1490" s="3">
        <v>500</v>
      </c>
      <c r="C1490" s="4">
        <v>235000</v>
      </c>
      <c r="D1490" s="3">
        <v>274</v>
      </c>
      <c r="E1490" s="4">
        <v>200020</v>
      </c>
      <c r="G1490" s="12">
        <f t="shared" si="122"/>
        <v>2015</v>
      </c>
      <c r="H1490" s="12">
        <f t="shared" si="123"/>
        <v>1</v>
      </c>
      <c r="I1490" s="11">
        <f t="shared" si="124"/>
        <v>49</v>
      </c>
      <c r="J1490" s="11"/>
    </row>
    <row r="1491" spans="1:10" x14ac:dyDescent="0.25">
      <c r="A1491" s="2">
        <v>42029</v>
      </c>
      <c r="B1491" s="3">
        <v>472</v>
      </c>
      <c r="C1491" s="4">
        <v>221840</v>
      </c>
      <c r="D1491" s="3">
        <v>251</v>
      </c>
      <c r="E1491" s="4">
        <v>183230</v>
      </c>
      <c r="G1491" s="12">
        <f t="shared" si="122"/>
        <v>2015</v>
      </c>
      <c r="H1491" s="12">
        <f t="shared" si="123"/>
        <v>1</v>
      </c>
      <c r="I1491" s="11">
        <f t="shared" si="124"/>
        <v>49</v>
      </c>
      <c r="J1491" s="11"/>
    </row>
    <row r="1492" spans="1:10" x14ac:dyDescent="0.25">
      <c r="A1492" s="2">
        <v>42030</v>
      </c>
      <c r="B1492" s="3">
        <v>477</v>
      </c>
      <c r="C1492" s="4">
        <v>224190</v>
      </c>
      <c r="D1492" s="3">
        <v>307</v>
      </c>
      <c r="E1492" s="4">
        <v>224110</v>
      </c>
      <c r="G1492" s="12">
        <f t="shared" si="122"/>
        <v>2015</v>
      </c>
      <c r="H1492" s="12">
        <f t="shared" si="123"/>
        <v>1</v>
      </c>
      <c r="I1492" s="11">
        <f t="shared" si="124"/>
        <v>49</v>
      </c>
      <c r="J1492" s="11"/>
    </row>
    <row r="1493" spans="1:10" x14ac:dyDescent="0.25">
      <c r="A1493" s="2">
        <v>42031</v>
      </c>
      <c r="B1493" s="3">
        <v>522</v>
      </c>
      <c r="C1493" s="4">
        <v>245340</v>
      </c>
      <c r="D1493" s="3">
        <v>318</v>
      </c>
      <c r="E1493" s="4">
        <v>232140</v>
      </c>
      <c r="G1493" s="12">
        <f t="shared" si="122"/>
        <v>2015</v>
      </c>
      <c r="H1493" s="12">
        <f t="shared" si="123"/>
        <v>1</v>
      </c>
      <c r="I1493" s="11">
        <f t="shared" si="124"/>
        <v>49</v>
      </c>
      <c r="J1493" s="11"/>
    </row>
    <row r="1494" spans="1:10" x14ac:dyDescent="0.25">
      <c r="A1494" s="2">
        <v>42032</v>
      </c>
      <c r="B1494" s="3">
        <v>481</v>
      </c>
      <c r="C1494" s="4">
        <v>226070</v>
      </c>
      <c r="D1494" s="3">
        <v>325</v>
      </c>
      <c r="E1494" s="4">
        <v>237250</v>
      </c>
      <c r="G1494" s="12">
        <f t="shared" si="122"/>
        <v>2015</v>
      </c>
      <c r="H1494" s="12">
        <f t="shared" si="123"/>
        <v>1</v>
      </c>
      <c r="I1494" s="11">
        <f t="shared" si="124"/>
        <v>49</v>
      </c>
      <c r="J1494" s="11"/>
    </row>
    <row r="1495" spans="1:10" x14ac:dyDescent="0.25">
      <c r="A1495" s="2">
        <v>42033</v>
      </c>
      <c r="B1495" s="3">
        <v>502</v>
      </c>
      <c r="C1495" s="4">
        <v>235940</v>
      </c>
      <c r="D1495" s="3">
        <v>325</v>
      </c>
      <c r="E1495" s="4">
        <v>237250</v>
      </c>
      <c r="G1495" s="12">
        <f t="shared" si="122"/>
        <v>2015</v>
      </c>
      <c r="H1495" s="12">
        <f t="shared" si="123"/>
        <v>1</v>
      </c>
      <c r="I1495" s="11">
        <f t="shared" si="124"/>
        <v>49</v>
      </c>
      <c r="J1495" s="11"/>
    </row>
    <row r="1496" spans="1:10" x14ac:dyDescent="0.25">
      <c r="A1496" s="2">
        <v>42034</v>
      </c>
      <c r="B1496" s="3">
        <v>479</v>
      </c>
      <c r="C1496" s="4">
        <v>225130</v>
      </c>
      <c r="D1496" s="3">
        <v>286</v>
      </c>
      <c r="E1496" s="4">
        <v>208780</v>
      </c>
      <c r="G1496" s="12">
        <f t="shared" si="122"/>
        <v>2015</v>
      </c>
      <c r="H1496" s="12">
        <f t="shared" si="123"/>
        <v>1</v>
      </c>
      <c r="I1496" s="11">
        <f t="shared" si="124"/>
        <v>49</v>
      </c>
      <c r="J1496" s="11"/>
    </row>
    <row r="1497" spans="1:10" x14ac:dyDescent="0.25">
      <c r="A1497" s="2">
        <v>42035</v>
      </c>
      <c r="B1497" s="3">
        <v>472</v>
      </c>
      <c r="C1497" s="4">
        <v>221840</v>
      </c>
      <c r="D1497" s="3">
        <v>292</v>
      </c>
      <c r="E1497" s="4">
        <v>213160</v>
      </c>
      <c r="G1497" s="12">
        <f t="shared" si="122"/>
        <v>2015</v>
      </c>
      <c r="H1497" s="12">
        <f t="shared" si="123"/>
        <v>1</v>
      </c>
      <c r="I1497" s="11">
        <f t="shared" si="124"/>
        <v>49</v>
      </c>
      <c r="J1497" s="11"/>
    </row>
    <row r="1498" spans="1:10" x14ac:dyDescent="0.25">
      <c r="A1498" s="2">
        <v>42036</v>
      </c>
      <c r="B1498" s="3">
        <v>503</v>
      </c>
      <c r="C1498" s="4">
        <v>236410</v>
      </c>
      <c r="D1498" s="3">
        <v>309</v>
      </c>
      <c r="E1498" s="4">
        <v>225570</v>
      </c>
      <c r="G1498" s="12">
        <f t="shared" si="122"/>
        <v>2015</v>
      </c>
      <c r="H1498" s="12">
        <f t="shared" si="123"/>
        <v>2</v>
      </c>
      <c r="I1498" s="11">
        <f t="shared" si="124"/>
        <v>50</v>
      </c>
      <c r="J1498" s="11"/>
    </row>
    <row r="1499" spans="1:10" x14ac:dyDescent="0.25">
      <c r="A1499" s="2">
        <v>42037</v>
      </c>
      <c r="B1499" s="3">
        <v>392</v>
      </c>
      <c r="C1499" s="4">
        <v>184240</v>
      </c>
      <c r="D1499" s="3">
        <v>322</v>
      </c>
      <c r="E1499" s="4">
        <v>235060</v>
      </c>
      <c r="G1499" s="12">
        <f t="shared" si="122"/>
        <v>2015</v>
      </c>
      <c r="H1499" s="12">
        <f t="shared" si="123"/>
        <v>2</v>
      </c>
      <c r="I1499" s="11">
        <f t="shared" si="124"/>
        <v>50</v>
      </c>
      <c r="J1499" s="11"/>
    </row>
    <row r="1500" spans="1:10" x14ac:dyDescent="0.25">
      <c r="A1500" s="2">
        <v>42038</v>
      </c>
      <c r="B1500" s="3">
        <v>479</v>
      </c>
      <c r="C1500" s="4">
        <v>225130</v>
      </c>
      <c r="D1500" s="3">
        <v>254</v>
      </c>
      <c r="E1500" s="4">
        <v>185420</v>
      </c>
      <c r="G1500" s="12">
        <f t="shared" si="122"/>
        <v>2015</v>
      </c>
      <c r="H1500" s="12">
        <f t="shared" si="123"/>
        <v>2</v>
      </c>
      <c r="I1500" s="11">
        <f t="shared" si="124"/>
        <v>50</v>
      </c>
      <c r="J1500" s="11"/>
    </row>
    <row r="1501" spans="1:10" x14ac:dyDescent="0.25">
      <c r="A1501" s="2">
        <v>42039</v>
      </c>
      <c r="B1501" s="3">
        <v>358</v>
      </c>
      <c r="C1501" s="4">
        <v>168260</v>
      </c>
      <c r="D1501" s="3">
        <v>274</v>
      </c>
      <c r="E1501" s="4">
        <v>200020</v>
      </c>
      <c r="G1501" s="12">
        <f t="shared" si="122"/>
        <v>2015</v>
      </c>
      <c r="H1501" s="12">
        <f t="shared" si="123"/>
        <v>2</v>
      </c>
      <c r="I1501" s="11">
        <f t="shared" si="124"/>
        <v>50</v>
      </c>
      <c r="J1501" s="11"/>
    </row>
    <row r="1502" spans="1:10" x14ac:dyDescent="0.25">
      <c r="A1502" s="2">
        <v>42040</v>
      </c>
      <c r="B1502" s="3">
        <v>452</v>
      </c>
      <c r="C1502" s="4">
        <v>212440</v>
      </c>
      <c r="D1502" s="3">
        <v>273</v>
      </c>
      <c r="E1502" s="4">
        <v>199290</v>
      </c>
      <c r="G1502" s="12">
        <f t="shared" si="122"/>
        <v>2015</v>
      </c>
      <c r="H1502" s="12">
        <f t="shared" si="123"/>
        <v>2</v>
      </c>
      <c r="I1502" s="11">
        <f t="shared" si="124"/>
        <v>50</v>
      </c>
      <c r="J1502" s="11"/>
    </row>
    <row r="1503" spans="1:10" x14ac:dyDescent="0.25">
      <c r="A1503" s="2">
        <v>42041</v>
      </c>
      <c r="B1503" s="3">
        <v>492</v>
      </c>
      <c r="C1503" s="4">
        <v>231240</v>
      </c>
      <c r="D1503" s="3">
        <v>267</v>
      </c>
      <c r="E1503" s="4">
        <v>194910</v>
      </c>
      <c r="G1503" s="12">
        <f t="shared" si="122"/>
        <v>2015</v>
      </c>
      <c r="H1503" s="12">
        <f t="shared" si="123"/>
        <v>2</v>
      </c>
      <c r="I1503" s="11">
        <f t="shared" si="124"/>
        <v>50</v>
      </c>
      <c r="J1503" s="11"/>
    </row>
    <row r="1504" spans="1:10" x14ac:dyDescent="0.25">
      <c r="A1504" s="2">
        <v>42042</v>
      </c>
      <c r="B1504" s="3">
        <v>487</v>
      </c>
      <c r="C1504" s="4">
        <v>228890</v>
      </c>
      <c r="D1504" s="3">
        <v>297</v>
      </c>
      <c r="E1504" s="4">
        <v>216810</v>
      </c>
      <c r="G1504" s="12">
        <f t="shared" si="122"/>
        <v>2015</v>
      </c>
      <c r="H1504" s="12">
        <f t="shared" si="123"/>
        <v>2</v>
      </c>
      <c r="I1504" s="11">
        <f t="shared" si="124"/>
        <v>50</v>
      </c>
      <c r="J1504" s="11"/>
    </row>
    <row r="1505" spans="1:10" x14ac:dyDescent="0.25">
      <c r="A1505" s="2">
        <v>42043</v>
      </c>
      <c r="B1505" s="3">
        <v>467</v>
      </c>
      <c r="C1505" s="4">
        <v>219490</v>
      </c>
      <c r="D1505" s="3">
        <v>262</v>
      </c>
      <c r="E1505" s="4">
        <v>191260</v>
      </c>
      <c r="G1505" s="12">
        <f t="shared" si="122"/>
        <v>2015</v>
      </c>
      <c r="H1505" s="12">
        <f t="shared" si="123"/>
        <v>2</v>
      </c>
      <c r="I1505" s="11">
        <f t="shared" si="124"/>
        <v>50</v>
      </c>
      <c r="J1505" s="11"/>
    </row>
    <row r="1506" spans="1:10" x14ac:dyDescent="0.25">
      <c r="A1506" s="2">
        <v>42044</v>
      </c>
      <c r="B1506" s="3">
        <v>474</v>
      </c>
      <c r="C1506" s="4">
        <v>222780</v>
      </c>
      <c r="D1506" s="3">
        <v>325</v>
      </c>
      <c r="E1506" s="4">
        <v>237250</v>
      </c>
      <c r="G1506" s="12">
        <f t="shared" si="122"/>
        <v>2015</v>
      </c>
      <c r="H1506" s="12">
        <f t="shared" si="123"/>
        <v>2</v>
      </c>
      <c r="I1506" s="11">
        <f t="shared" si="124"/>
        <v>50</v>
      </c>
      <c r="J1506" s="11"/>
    </row>
    <row r="1507" spans="1:10" x14ac:dyDescent="0.25">
      <c r="A1507" s="2">
        <v>42045</v>
      </c>
      <c r="B1507" s="3">
        <v>563</v>
      </c>
      <c r="C1507" s="4">
        <v>264610</v>
      </c>
      <c r="D1507" s="3">
        <v>327</v>
      </c>
      <c r="E1507" s="4">
        <v>238710</v>
      </c>
      <c r="G1507" s="12">
        <f t="shared" si="122"/>
        <v>2015</v>
      </c>
      <c r="H1507" s="12">
        <f t="shared" si="123"/>
        <v>2</v>
      </c>
      <c r="I1507" s="11">
        <f t="shared" si="124"/>
        <v>50</v>
      </c>
      <c r="J1507" s="11"/>
    </row>
    <row r="1508" spans="1:10" x14ac:dyDescent="0.25">
      <c r="A1508" s="2">
        <v>42046</v>
      </c>
      <c r="B1508" s="3">
        <v>523</v>
      </c>
      <c r="C1508" s="4">
        <v>245810</v>
      </c>
      <c r="D1508" s="3">
        <v>247</v>
      </c>
      <c r="E1508" s="4">
        <v>180310</v>
      </c>
      <c r="G1508" s="12">
        <f t="shared" si="122"/>
        <v>2015</v>
      </c>
      <c r="H1508" s="12">
        <f t="shared" si="123"/>
        <v>2</v>
      </c>
      <c r="I1508" s="11">
        <f t="shared" si="124"/>
        <v>50</v>
      </c>
      <c r="J1508" s="11"/>
    </row>
    <row r="1509" spans="1:10" x14ac:dyDescent="0.25">
      <c r="A1509" s="2">
        <v>42047</v>
      </c>
      <c r="B1509" s="3">
        <v>509</v>
      </c>
      <c r="C1509" s="4">
        <v>239230</v>
      </c>
      <c r="D1509" s="3">
        <v>350</v>
      </c>
      <c r="E1509" s="4">
        <v>255500</v>
      </c>
      <c r="G1509" s="12">
        <f t="shared" si="122"/>
        <v>2015</v>
      </c>
      <c r="H1509" s="12">
        <f t="shared" si="123"/>
        <v>2</v>
      </c>
      <c r="I1509" s="11">
        <f t="shared" si="124"/>
        <v>50</v>
      </c>
      <c r="J1509" s="11"/>
    </row>
    <row r="1510" spans="1:10" x14ac:dyDescent="0.25">
      <c r="A1510" s="2">
        <v>42048</v>
      </c>
      <c r="B1510" s="3">
        <v>551</v>
      </c>
      <c r="C1510" s="4">
        <v>258970</v>
      </c>
      <c r="D1510" s="3">
        <v>299</v>
      </c>
      <c r="E1510" s="4">
        <v>218270</v>
      </c>
      <c r="G1510" s="12">
        <f t="shared" si="122"/>
        <v>2015</v>
      </c>
      <c r="H1510" s="12">
        <f t="shared" si="123"/>
        <v>2</v>
      </c>
      <c r="I1510" s="11">
        <f t="shared" si="124"/>
        <v>50</v>
      </c>
      <c r="J1510" s="11"/>
    </row>
    <row r="1511" spans="1:10" x14ac:dyDescent="0.25">
      <c r="A1511" s="2">
        <v>42049</v>
      </c>
      <c r="B1511" s="3">
        <v>439</v>
      </c>
      <c r="C1511" s="4">
        <v>206330</v>
      </c>
      <c r="D1511" s="3">
        <v>295</v>
      </c>
      <c r="E1511" s="4">
        <v>215350</v>
      </c>
      <c r="G1511" s="12">
        <f t="shared" si="122"/>
        <v>2015</v>
      </c>
      <c r="H1511" s="12">
        <f t="shared" si="123"/>
        <v>2</v>
      </c>
      <c r="I1511" s="11">
        <f t="shared" si="124"/>
        <v>50</v>
      </c>
      <c r="J1511" s="11"/>
    </row>
    <row r="1512" spans="1:10" x14ac:dyDescent="0.25">
      <c r="A1512" s="2">
        <v>42050</v>
      </c>
      <c r="B1512" s="3">
        <v>407</v>
      </c>
      <c r="C1512" s="4">
        <v>191290</v>
      </c>
      <c r="D1512" s="3">
        <v>316</v>
      </c>
      <c r="E1512" s="4">
        <v>230680</v>
      </c>
      <c r="G1512" s="12">
        <f t="shared" si="122"/>
        <v>2015</v>
      </c>
      <c r="H1512" s="12">
        <f t="shared" si="123"/>
        <v>2</v>
      </c>
      <c r="I1512" s="11">
        <f t="shared" si="124"/>
        <v>50</v>
      </c>
      <c r="J1512" s="11"/>
    </row>
    <row r="1513" spans="1:10" x14ac:dyDescent="0.25">
      <c r="A1513" s="2">
        <v>42051</v>
      </c>
      <c r="B1513" s="3">
        <v>424</v>
      </c>
      <c r="C1513" s="4">
        <v>199280</v>
      </c>
      <c r="D1513" s="3">
        <v>282</v>
      </c>
      <c r="E1513" s="4">
        <v>205860</v>
      </c>
      <c r="G1513" s="12">
        <f t="shared" si="122"/>
        <v>2015</v>
      </c>
      <c r="H1513" s="12">
        <f t="shared" si="123"/>
        <v>2</v>
      </c>
      <c r="I1513" s="11">
        <f t="shared" si="124"/>
        <v>50</v>
      </c>
      <c r="J1513" s="11"/>
    </row>
    <row r="1514" spans="1:10" x14ac:dyDescent="0.25">
      <c r="A1514" s="2">
        <v>42052</v>
      </c>
      <c r="B1514" s="3">
        <v>448</v>
      </c>
      <c r="C1514" s="4">
        <v>210560</v>
      </c>
      <c r="D1514" s="3">
        <v>277</v>
      </c>
      <c r="E1514" s="4">
        <v>202210</v>
      </c>
      <c r="G1514" s="12">
        <f t="shared" si="122"/>
        <v>2015</v>
      </c>
      <c r="H1514" s="12">
        <f t="shared" si="123"/>
        <v>2</v>
      </c>
      <c r="I1514" s="11">
        <f t="shared" si="124"/>
        <v>50</v>
      </c>
      <c r="J1514" s="11"/>
    </row>
    <row r="1515" spans="1:10" x14ac:dyDescent="0.25">
      <c r="A1515" s="2">
        <v>42053</v>
      </c>
      <c r="B1515" s="3">
        <v>445</v>
      </c>
      <c r="C1515" s="4">
        <v>209150</v>
      </c>
      <c r="D1515" s="3">
        <v>295</v>
      </c>
      <c r="E1515" s="4">
        <v>215350</v>
      </c>
      <c r="G1515" s="12">
        <f t="shared" si="122"/>
        <v>2015</v>
      </c>
      <c r="H1515" s="12">
        <f t="shared" si="123"/>
        <v>2</v>
      </c>
      <c r="I1515" s="11">
        <f t="shared" si="124"/>
        <v>50</v>
      </c>
      <c r="J1515" s="11"/>
    </row>
    <row r="1516" spans="1:10" x14ac:dyDescent="0.25">
      <c r="A1516" s="2">
        <v>42054</v>
      </c>
      <c r="B1516" s="3">
        <v>548</v>
      </c>
      <c r="C1516" s="4">
        <v>257560</v>
      </c>
      <c r="D1516" s="3">
        <v>309</v>
      </c>
      <c r="E1516" s="4">
        <v>225570</v>
      </c>
      <c r="G1516" s="12">
        <f t="shared" si="122"/>
        <v>2015</v>
      </c>
      <c r="H1516" s="12">
        <f t="shared" si="123"/>
        <v>2</v>
      </c>
      <c r="I1516" s="11">
        <f t="shared" si="124"/>
        <v>50</v>
      </c>
      <c r="J1516" s="11"/>
    </row>
    <row r="1517" spans="1:10" x14ac:dyDescent="0.25">
      <c r="A1517" s="2">
        <v>42055</v>
      </c>
      <c r="B1517" s="3">
        <v>524</v>
      </c>
      <c r="C1517" s="4">
        <v>246280</v>
      </c>
      <c r="D1517" s="3">
        <v>261</v>
      </c>
      <c r="E1517" s="4">
        <v>190530</v>
      </c>
      <c r="G1517" s="12">
        <f t="shared" si="122"/>
        <v>2015</v>
      </c>
      <c r="H1517" s="12">
        <f t="shared" si="123"/>
        <v>2</v>
      </c>
      <c r="I1517" s="11">
        <f t="shared" si="124"/>
        <v>50</v>
      </c>
      <c r="J1517" s="11"/>
    </row>
    <row r="1518" spans="1:10" x14ac:dyDescent="0.25">
      <c r="A1518" s="2">
        <v>42056</v>
      </c>
      <c r="B1518" s="3">
        <v>429</v>
      </c>
      <c r="C1518" s="4">
        <v>201630</v>
      </c>
      <c r="D1518" s="3">
        <v>335</v>
      </c>
      <c r="E1518" s="4">
        <v>244550</v>
      </c>
      <c r="G1518" s="12">
        <f t="shared" si="122"/>
        <v>2015</v>
      </c>
      <c r="H1518" s="12">
        <f t="shared" si="123"/>
        <v>2</v>
      </c>
      <c r="I1518" s="11">
        <f t="shared" si="124"/>
        <v>50</v>
      </c>
      <c r="J1518" s="11"/>
    </row>
    <row r="1519" spans="1:10" x14ac:dyDescent="0.25">
      <c r="A1519" s="2">
        <v>42057</v>
      </c>
      <c r="B1519" s="3">
        <v>488</v>
      </c>
      <c r="C1519" s="4">
        <v>229360</v>
      </c>
      <c r="D1519" s="3">
        <v>270</v>
      </c>
      <c r="E1519" s="4">
        <v>197100</v>
      </c>
      <c r="G1519" s="12">
        <f t="shared" si="122"/>
        <v>2015</v>
      </c>
      <c r="H1519" s="12">
        <f t="shared" si="123"/>
        <v>2</v>
      </c>
      <c r="I1519" s="11">
        <f t="shared" si="124"/>
        <v>50</v>
      </c>
      <c r="J1519" s="11"/>
    </row>
    <row r="1520" spans="1:10" x14ac:dyDescent="0.25">
      <c r="A1520" s="2">
        <v>42058</v>
      </c>
      <c r="B1520" s="3">
        <v>393</v>
      </c>
      <c r="C1520" s="4">
        <v>184710</v>
      </c>
      <c r="D1520" s="3">
        <v>299</v>
      </c>
      <c r="E1520" s="4">
        <v>218270</v>
      </c>
      <c r="G1520" s="12">
        <f t="shared" si="122"/>
        <v>2015</v>
      </c>
      <c r="H1520" s="12">
        <f t="shared" si="123"/>
        <v>2</v>
      </c>
      <c r="I1520" s="11">
        <f t="shared" si="124"/>
        <v>50</v>
      </c>
      <c r="J1520" s="11"/>
    </row>
    <row r="1521" spans="1:10" x14ac:dyDescent="0.25">
      <c r="A1521" s="2">
        <v>42059</v>
      </c>
      <c r="B1521" s="3">
        <v>429</v>
      </c>
      <c r="C1521" s="4">
        <v>201630</v>
      </c>
      <c r="D1521" s="3">
        <v>338</v>
      </c>
      <c r="E1521" s="4">
        <v>246740</v>
      </c>
      <c r="G1521" s="12">
        <f t="shared" si="122"/>
        <v>2015</v>
      </c>
      <c r="H1521" s="12">
        <f t="shared" si="123"/>
        <v>2</v>
      </c>
      <c r="I1521" s="11">
        <f t="shared" si="124"/>
        <v>50</v>
      </c>
      <c r="J1521" s="11"/>
    </row>
    <row r="1522" spans="1:10" x14ac:dyDescent="0.25">
      <c r="A1522" s="2">
        <v>42060</v>
      </c>
      <c r="B1522" s="3">
        <v>513</v>
      </c>
      <c r="C1522" s="4">
        <v>241110</v>
      </c>
      <c r="D1522" s="3">
        <v>283</v>
      </c>
      <c r="E1522" s="4">
        <v>206590</v>
      </c>
      <c r="G1522" s="12">
        <f t="shared" si="122"/>
        <v>2015</v>
      </c>
      <c r="H1522" s="12">
        <f t="shared" si="123"/>
        <v>2</v>
      </c>
      <c r="I1522" s="11">
        <f t="shared" si="124"/>
        <v>50</v>
      </c>
      <c r="J1522" s="11"/>
    </row>
    <row r="1523" spans="1:10" x14ac:dyDescent="0.25">
      <c r="A1523" s="2">
        <v>42061</v>
      </c>
      <c r="B1523" s="3">
        <v>488</v>
      </c>
      <c r="C1523" s="4">
        <v>229360</v>
      </c>
      <c r="D1523" s="3">
        <v>320</v>
      </c>
      <c r="E1523" s="4">
        <v>233600</v>
      </c>
      <c r="G1523" s="12">
        <f t="shared" si="122"/>
        <v>2015</v>
      </c>
      <c r="H1523" s="12">
        <f t="shared" si="123"/>
        <v>2</v>
      </c>
      <c r="I1523" s="11">
        <f t="shared" si="124"/>
        <v>50</v>
      </c>
      <c r="J1523" s="11"/>
    </row>
    <row r="1524" spans="1:10" x14ac:dyDescent="0.25">
      <c r="A1524" s="2">
        <v>42062</v>
      </c>
      <c r="B1524" s="3">
        <v>552</v>
      </c>
      <c r="C1524" s="4">
        <v>259440</v>
      </c>
      <c r="D1524" s="3">
        <v>328</v>
      </c>
      <c r="E1524" s="4">
        <v>239440</v>
      </c>
      <c r="G1524" s="12">
        <f t="shared" si="122"/>
        <v>2015</v>
      </c>
      <c r="H1524" s="12">
        <f t="shared" si="123"/>
        <v>2</v>
      </c>
      <c r="I1524" s="11">
        <f t="shared" si="124"/>
        <v>50</v>
      </c>
      <c r="J1524" s="11"/>
    </row>
    <row r="1525" spans="1:10" x14ac:dyDescent="0.25">
      <c r="A1525" s="2">
        <v>42063</v>
      </c>
      <c r="B1525" s="3">
        <v>463</v>
      </c>
      <c r="C1525" s="4">
        <v>217610</v>
      </c>
      <c r="D1525" s="3">
        <v>302</v>
      </c>
      <c r="E1525" s="4">
        <v>220460</v>
      </c>
      <c r="G1525" s="12">
        <f t="shared" si="122"/>
        <v>2015</v>
      </c>
      <c r="H1525" s="12">
        <f t="shared" si="123"/>
        <v>2</v>
      </c>
      <c r="I1525" s="11">
        <f t="shared" si="124"/>
        <v>50</v>
      </c>
      <c r="J1525" s="11"/>
    </row>
    <row r="1526" spans="1:10" x14ac:dyDescent="0.25">
      <c r="A1526" s="2">
        <v>42064</v>
      </c>
      <c r="B1526" s="3">
        <v>388</v>
      </c>
      <c r="C1526" s="4">
        <v>182360</v>
      </c>
      <c r="D1526" s="3">
        <v>262</v>
      </c>
      <c r="E1526" s="4">
        <v>191260</v>
      </c>
      <c r="G1526" s="12">
        <f t="shared" si="122"/>
        <v>2015</v>
      </c>
      <c r="H1526" s="12">
        <f t="shared" si="123"/>
        <v>3</v>
      </c>
      <c r="I1526" s="11">
        <f t="shared" si="124"/>
        <v>51</v>
      </c>
      <c r="J1526" s="11"/>
    </row>
    <row r="1527" spans="1:10" x14ac:dyDescent="0.25">
      <c r="A1527" s="2">
        <v>42065</v>
      </c>
      <c r="B1527" s="3">
        <v>435</v>
      </c>
      <c r="C1527" s="4">
        <v>204450</v>
      </c>
      <c r="D1527" s="3">
        <v>281</v>
      </c>
      <c r="E1527" s="4">
        <v>205130</v>
      </c>
      <c r="G1527" s="12">
        <f t="shared" si="122"/>
        <v>2015</v>
      </c>
      <c r="H1527" s="12">
        <f t="shared" si="123"/>
        <v>3</v>
      </c>
      <c r="I1527" s="11">
        <f t="shared" si="124"/>
        <v>51</v>
      </c>
      <c r="J1527" s="11"/>
    </row>
    <row r="1528" spans="1:10" x14ac:dyDescent="0.25">
      <c r="A1528" s="2">
        <v>42066</v>
      </c>
      <c r="B1528" s="3">
        <v>441</v>
      </c>
      <c r="C1528" s="4">
        <v>207270</v>
      </c>
      <c r="D1528" s="3">
        <v>255</v>
      </c>
      <c r="E1528" s="4">
        <v>186150</v>
      </c>
      <c r="G1528" s="12">
        <f t="shared" si="122"/>
        <v>2015</v>
      </c>
      <c r="H1528" s="12">
        <f t="shared" si="123"/>
        <v>3</v>
      </c>
      <c r="I1528" s="11">
        <f t="shared" si="124"/>
        <v>51</v>
      </c>
      <c r="J1528" s="11"/>
    </row>
    <row r="1529" spans="1:10" x14ac:dyDescent="0.25">
      <c r="A1529" s="2">
        <v>42067</v>
      </c>
      <c r="B1529" s="3">
        <v>450</v>
      </c>
      <c r="C1529" s="4">
        <v>211500</v>
      </c>
      <c r="D1529" s="3">
        <v>334</v>
      </c>
      <c r="E1529" s="4">
        <v>243820</v>
      </c>
      <c r="G1529" s="12">
        <f t="shared" si="122"/>
        <v>2015</v>
      </c>
      <c r="H1529" s="12">
        <f t="shared" si="123"/>
        <v>3</v>
      </c>
      <c r="I1529" s="11">
        <f t="shared" si="124"/>
        <v>51</v>
      </c>
      <c r="J1529" s="11"/>
    </row>
    <row r="1530" spans="1:10" x14ac:dyDescent="0.25">
      <c r="A1530" s="2">
        <v>42068</v>
      </c>
      <c r="B1530" s="3">
        <v>502</v>
      </c>
      <c r="C1530" s="4">
        <v>235940</v>
      </c>
      <c r="D1530" s="3">
        <v>295</v>
      </c>
      <c r="E1530" s="4">
        <v>215350</v>
      </c>
      <c r="G1530" s="12">
        <f t="shared" si="122"/>
        <v>2015</v>
      </c>
      <c r="H1530" s="12">
        <f t="shared" si="123"/>
        <v>3</v>
      </c>
      <c r="I1530" s="11">
        <f t="shared" si="124"/>
        <v>51</v>
      </c>
      <c r="J1530" s="11"/>
    </row>
    <row r="1531" spans="1:10" x14ac:dyDescent="0.25">
      <c r="A1531" s="2">
        <v>42069</v>
      </c>
      <c r="B1531" s="3">
        <v>436</v>
      </c>
      <c r="C1531" s="4">
        <v>204920</v>
      </c>
      <c r="D1531" s="3">
        <v>315</v>
      </c>
      <c r="E1531" s="4">
        <v>229950</v>
      </c>
      <c r="G1531" s="12">
        <f t="shared" si="122"/>
        <v>2015</v>
      </c>
      <c r="H1531" s="12">
        <f t="shared" si="123"/>
        <v>3</v>
      </c>
      <c r="I1531" s="11">
        <f t="shared" si="124"/>
        <v>51</v>
      </c>
      <c r="J1531" s="11"/>
    </row>
    <row r="1532" spans="1:10" x14ac:dyDescent="0.25">
      <c r="A1532" s="2">
        <v>42070</v>
      </c>
      <c r="B1532" s="3">
        <v>509</v>
      </c>
      <c r="C1532" s="4">
        <v>239230</v>
      </c>
      <c r="D1532" s="3">
        <v>289</v>
      </c>
      <c r="E1532" s="4">
        <v>210970</v>
      </c>
      <c r="G1532" s="12">
        <f t="shared" si="122"/>
        <v>2015</v>
      </c>
      <c r="H1532" s="12">
        <f t="shared" si="123"/>
        <v>3</v>
      </c>
      <c r="I1532" s="11">
        <f t="shared" si="124"/>
        <v>51</v>
      </c>
      <c r="J1532" s="11"/>
    </row>
    <row r="1533" spans="1:10" x14ac:dyDescent="0.25">
      <c r="A1533" s="2">
        <v>42071</v>
      </c>
      <c r="B1533" s="3">
        <v>406</v>
      </c>
      <c r="C1533" s="4">
        <v>190820</v>
      </c>
      <c r="D1533" s="3">
        <v>280</v>
      </c>
      <c r="E1533" s="4">
        <v>204400</v>
      </c>
      <c r="G1533" s="12">
        <f t="shared" si="122"/>
        <v>2015</v>
      </c>
      <c r="H1533" s="12">
        <f t="shared" si="123"/>
        <v>3</v>
      </c>
      <c r="I1533" s="11">
        <f t="shared" si="124"/>
        <v>51</v>
      </c>
      <c r="J1533" s="11"/>
    </row>
    <row r="1534" spans="1:10" x14ac:dyDescent="0.25">
      <c r="A1534" s="2">
        <v>42072</v>
      </c>
      <c r="B1534" s="3">
        <v>493</v>
      </c>
      <c r="C1534" s="4">
        <v>231710</v>
      </c>
      <c r="D1534" s="3">
        <v>308</v>
      </c>
      <c r="E1534" s="4">
        <v>224840</v>
      </c>
      <c r="G1534" s="12">
        <f t="shared" si="122"/>
        <v>2015</v>
      </c>
      <c r="H1534" s="12">
        <f t="shared" si="123"/>
        <v>3</v>
      </c>
      <c r="I1534" s="11">
        <f t="shared" si="124"/>
        <v>51</v>
      </c>
      <c r="J1534" s="11"/>
    </row>
    <row r="1535" spans="1:10" x14ac:dyDescent="0.25">
      <c r="A1535" s="2">
        <v>42073</v>
      </c>
      <c r="B1535" s="3">
        <v>421</v>
      </c>
      <c r="C1535" s="4">
        <v>197870</v>
      </c>
      <c r="D1535" s="3">
        <v>372</v>
      </c>
      <c r="E1535" s="4">
        <v>271560</v>
      </c>
      <c r="G1535" s="12">
        <f t="shared" si="122"/>
        <v>2015</v>
      </c>
      <c r="H1535" s="12">
        <f t="shared" si="123"/>
        <v>3</v>
      </c>
      <c r="I1535" s="11">
        <f t="shared" si="124"/>
        <v>51</v>
      </c>
      <c r="J1535" s="11"/>
    </row>
    <row r="1536" spans="1:10" x14ac:dyDescent="0.25">
      <c r="A1536" s="2">
        <v>42074</v>
      </c>
      <c r="B1536" s="3">
        <v>504</v>
      </c>
      <c r="C1536" s="4">
        <v>236880</v>
      </c>
      <c r="D1536" s="3">
        <v>315</v>
      </c>
      <c r="E1536" s="4">
        <v>229950</v>
      </c>
      <c r="G1536" s="12">
        <f t="shared" si="122"/>
        <v>2015</v>
      </c>
      <c r="H1536" s="12">
        <f t="shared" si="123"/>
        <v>3</v>
      </c>
      <c r="I1536" s="11">
        <f t="shared" si="124"/>
        <v>51</v>
      </c>
      <c r="J1536" s="11"/>
    </row>
    <row r="1537" spans="1:10" x14ac:dyDescent="0.25">
      <c r="A1537" s="2">
        <v>42075</v>
      </c>
      <c r="B1537" s="3">
        <v>422</v>
      </c>
      <c r="C1537" s="4">
        <v>198340</v>
      </c>
      <c r="D1537" s="3">
        <v>255</v>
      </c>
      <c r="E1537" s="4">
        <v>186150</v>
      </c>
      <c r="G1537" s="12">
        <f t="shared" si="122"/>
        <v>2015</v>
      </c>
      <c r="H1537" s="12">
        <f t="shared" si="123"/>
        <v>3</v>
      </c>
      <c r="I1537" s="11">
        <f t="shared" si="124"/>
        <v>51</v>
      </c>
      <c r="J1537" s="11"/>
    </row>
    <row r="1538" spans="1:10" x14ac:dyDescent="0.25">
      <c r="A1538" s="2">
        <v>42076</v>
      </c>
      <c r="B1538" s="3">
        <v>437</v>
      </c>
      <c r="C1538" s="4">
        <v>205390</v>
      </c>
      <c r="D1538" s="3">
        <v>308</v>
      </c>
      <c r="E1538" s="4">
        <v>224840</v>
      </c>
      <c r="G1538" s="12">
        <f t="shared" si="122"/>
        <v>2015</v>
      </c>
      <c r="H1538" s="12">
        <f t="shared" si="123"/>
        <v>3</v>
      </c>
      <c r="I1538" s="11">
        <f t="shared" si="124"/>
        <v>51</v>
      </c>
      <c r="J1538" s="11"/>
    </row>
    <row r="1539" spans="1:10" x14ac:dyDescent="0.25">
      <c r="A1539" s="2">
        <v>42077</v>
      </c>
      <c r="B1539" s="3">
        <v>430</v>
      </c>
      <c r="C1539" s="4">
        <v>202100</v>
      </c>
      <c r="D1539" s="3">
        <v>315</v>
      </c>
      <c r="E1539" s="4">
        <v>229950</v>
      </c>
      <c r="G1539" s="12">
        <f t="shared" si="122"/>
        <v>2015</v>
      </c>
      <c r="H1539" s="12">
        <f t="shared" si="123"/>
        <v>3</v>
      </c>
      <c r="I1539" s="11">
        <f t="shared" si="124"/>
        <v>51</v>
      </c>
      <c r="J1539" s="11"/>
    </row>
    <row r="1540" spans="1:10" x14ac:dyDescent="0.25">
      <c r="A1540" s="2">
        <v>42078</v>
      </c>
      <c r="B1540" s="3">
        <v>451</v>
      </c>
      <c r="C1540" s="4">
        <v>211970</v>
      </c>
      <c r="D1540" s="3">
        <v>273</v>
      </c>
      <c r="E1540" s="4">
        <v>199290</v>
      </c>
      <c r="G1540" s="12">
        <f t="shared" si="122"/>
        <v>2015</v>
      </c>
      <c r="H1540" s="12">
        <f t="shared" si="123"/>
        <v>3</v>
      </c>
      <c r="I1540" s="11">
        <f t="shared" si="124"/>
        <v>51</v>
      </c>
      <c r="J1540" s="11"/>
    </row>
    <row r="1541" spans="1:10" x14ac:dyDescent="0.25">
      <c r="A1541" s="2">
        <v>42079</v>
      </c>
      <c r="B1541" s="3">
        <v>449</v>
      </c>
      <c r="C1541" s="4">
        <v>211030</v>
      </c>
      <c r="D1541" s="3">
        <v>302</v>
      </c>
      <c r="E1541" s="4">
        <v>220460</v>
      </c>
      <c r="G1541" s="12">
        <f t="shared" si="122"/>
        <v>2015</v>
      </c>
      <c r="H1541" s="12">
        <f t="shared" si="123"/>
        <v>3</v>
      </c>
      <c r="I1541" s="11">
        <f t="shared" si="124"/>
        <v>51</v>
      </c>
      <c r="J1541" s="11"/>
    </row>
    <row r="1542" spans="1:10" x14ac:dyDescent="0.25">
      <c r="A1542" s="2">
        <v>42080</v>
      </c>
      <c r="B1542" s="3">
        <v>536</v>
      </c>
      <c r="C1542" s="4">
        <v>251920</v>
      </c>
      <c r="D1542" s="3">
        <v>283</v>
      </c>
      <c r="E1542" s="4">
        <v>206590</v>
      </c>
      <c r="G1542" s="12">
        <f t="shared" ref="G1542:G1605" si="125">+YEAR(A1542)</f>
        <v>2015</v>
      </c>
      <c r="H1542" s="12">
        <f t="shared" ref="H1542:H1605" si="126">+MONTH(A1542)</f>
        <v>3</v>
      </c>
      <c r="I1542" s="11">
        <f t="shared" si="124"/>
        <v>51</v>
      </c>
      <c r="J1542" s="11"/>
    </row>
    <row r="1543" spans="1:10" x14ac:dyDescent="0.25">
      <c r="A1543" s="2">
        <v>42081</v>
      </c>
      <c r="B1543" s="3">
        <v>483</v>
      </c>
      <c r="C1543" s="4">
        <v>227010</v>
      </c>
      <c r="D1543" s="3">
        <v>368</v>
      </c>
      <c r="E1543" s="4">
        <v>268640</v>
      </c>
      <c r="G1543" s="12">
        <f t="shared" si="125"/>
        <v>2015</v>
      </c>
      <c r="H1543" s="12">
        <f t="shared" si="126"/>
        <v>3</v>
      </c>
      <c r="I1543" s="11">
        <f t="shared" ref="I1543:I1606" si="127">+H1543+(G1543-2011)*12</f>
        <v>51</v>
      </c>
      <c r="J1543" s="11"/>
    </row>
    <row r="1544" spans="1:10" x14ac:dyDescent="0.25">
      <c r="A1544" s="2">
        <v>42082</v>
      </c>
      <c r="B1544" s="3">
        <v>430</v>
      </c>
      <c r="C1544" s="4">
        <v>202100</v>
      </c>
      <c r="D1544" s="3">
        <v>304</v>
      </c>
      <c r="E1544" s="4">
        <v>221920</v>
      </c>
      <c r="G1544" s="12">
        <f t="shared" si="125"/>
        <v>2015</v>
      </c>
      <c r="H1544" s="12">
        <f t="shared" si="126"/>
        <v>3</v>
      </c>
      <c r="I1544" s="11">
        <f t="shared" si="127"/>
        <v>51</v>
      </c>
      <c r="J1544" s="11"/>
    </row>
    <row r="1545" spans="1:10" x14ac:dyDescent="0.25">
      <c r="A1545" s="2">
        <v>42083</v>
      </c>
      <c r="B1545" s="3">
        <v>466</v>
      </c>
      <c r="C1545" s="4">
        <v>219020</v>
      </c>
      <c r="D1545" s="3">
        <v>365</v>
      </c>
      <c r="E1545" s="4">
        <v>266450</v>
      </c>
      <c r="G1545" s="12">
        <f t="shared" si="125"/>
        <v>2015</v>
      </c>
      <c r="H1545" s="12">
        <f t="shared" si="126"/>
        <v>3</v>
      </c>
      <c r="I1545" s="11">
        <f t="shared" si="127"/>
        <v>51</v>
      </c>
      <c r="J1545" s="11"/>
    </row>
    <row r="1546" spans="1:10" x14ac:dyDescent="0.25">
      <c r="A1546" s="2">
        <v>42084</v>
      </c>
      <c r="B1546" s="3">
        <v>486</v>
      </c>
      <c r="C1546" s="4">
        <v>228420</v>
      </c>
      <c r="D1546" s="3">
        <v>343</v>
      </c>
      <c r="E1546" s="4">
        <v>250390</v>
      </c>
      <c r="G1546" s="12">
        <f t="shared" si="125"/>
        <v>2015</v>
      </c>
      <c r="H1546" s="12">
        <f t="shared" si="126"/>
        <v>3</v>
      </c>
      <c r="I1546" s="11">
        <f t="shared" si="127"/>
        <v>51</v>
      </c>
      <c r="J1546" s="11"/>
    </row>
    <row r="1547" spans="1:10" x14ac:dyDescent="0.25">
      <c r="A1547" s="2">
        <v>42085</v>
      </c>
      <c r="B1547" s="3">
        <v>418</v>
      </c>
      <c r="C1547" s="4">
        <v>196460</v>
      </c>
      <c r="D1547" s="3">
        <v>300</v>
      </c>
      <c r="E1547" s="4">
        <v>219000</v>
      </c>
      <c r="G1547" s="12">
        <f t="shared" si="125"/>
        <v>2015</v>
      </c>
      <c r="H1547" s="12">
        <f t="shared" si="126"/>
        <v>3</v>
      </c>
      <c r="I1547" s="11">
        <f t="shared" si="127"/>
        <v>51</v>
      </c>
      <c r="J1547" s="11"/>
    </row>
    <row r="1548" spans="1:10" x14ac:dyDescent="0.25">
      <c r="A1548" s="2">
        <v>42086</v>
      </c>
      <c r="B1548" s="3">
        <v>480</v>
      </c>
      <c r="C1548" s="4">
        <v>225600</v>
      </c>
      <c r="D1548" s="3">
        <v>296</v>
      </c>
      <c r="E1548" s="4">
        <v>216080</v>
      </c>
      <c r="G1548" s="12">
        <f t="shared" si="125"/>
        <v>2015</v>
      </c>
      <c r="H1548" s="12">
        <f t="shared" si="126"/>
        <v>3</v>
      </c>
      <c r="I1548" s="11">
        <f t="shared" si="127"/>
        <v>51</v>
      </c>
      <c r="J1548" s="11"/>
    </row>
    <row r="1549" spans="1:10" x14ac:dyDescent="0.25">
      <c r="A1549" s="2">
        <v>42087</v>
      </c>
      <c r="B1549" s="3">
        <v>497</v>
      </c>
      <c r="C1549" s="4">
        <v>233590</v>
      </c>
      <c r="D1549" s="3">
        <v>349</v>
      </c>
      <c r="E1549" s="4">
        <v>254770</v>
      </c>
      <c r="G1549" s="12">
        <f t="shared" si="125"/>
        <v>2015</v>
      </c>
      <c r="H1549" s="12">
        <f t="shared" si="126"/>
        <v>3</v>
      </c>
      <c r="I1549" s="11">
        <f t="shared" si="127"/>
        <v>51</v>
      </c>
      <c r="J1549" s="11"/>
    </row>
    <row r="1550" spans="1:10" x14ac:dyDescent="0.25">
      <c r="A1550" s="2">
        <v>42088</v>
      </c>
      <c r="B1550" s="3">
        <v>426</v>
      </c>
      <c r="C1550" s="4">
        <v>200220</v>
      </c>
      <c r="D1550" s="3">
        <v>291</v>
      </c>
      <c r="E1550" s="4">
        <v>212430</v>
      </c>
      <c r="G1550" s="12">
        <f t="shared" si="125"/>
        <v>2015</v>
      </c>
      <c r="H1550" s="12">
        <f t="shared" si="126"/>
        <v>3</v>
      </c>
      <c r="I1550" s="11">
        <f t="shared" si="127"/>
        <v>51</v>
      </c>
      <c r="J1550" s="11"/>
    </row>
    <row r="1551" spans="1:10" x14ac:dyDescent="0.25">
      <c r="A1551" s="2">
        <v>42089</v>
      </c>
      <c r="B1551" s="3">
        <v>538</v>
      </c>
      <c r="C1551" s="4">
        <v>252860</v>
      </c>
      <c r="D1551" s="3">
        <v>287</v>
      </c>
      <c r="E1551" s="4">
        <v>209510</v>
      </c>
      <c r="G1551" s="12">
        <f t="shared" si="125"/>
        <v>2015</v>
      </c>
      <c r="H1551" s="12">
        <f t="shared" si="126"/>
        <v>3</v>
      </c>
      <c r="I1551" s="11">
        <f t="shared" si="127"/>
        <v>51</v>
      </c>
      <c r="J1551" s="11"/>
    </row>
    <row r="1552" spans="1:10" x14ac:dyDescent="0.25">
      <c r="A1552" s="2">
        <v>42090</v>
      </c>
      <c r="B1552" s="3">
        <v>397</v>
      </c>
      <c r="C1552" s="4">
        <v>186590</v>
      </c>
      <c r="D1552" s="3">
        <v>301</v>
      </c>
      <c r="E1552" s="4">
        <v>219730</v>
      </c>
      <c r="G1552" s="12">
        <f t="shared" si="125"/>
        <v>2015</v>
      </c>
      <c r="H1552" s="12">
        <f t="shared" si="126"/>
        <v>3</v>
      </c>
      <c r="I1552" s="11">
        <f t="shared" si="127"/>
        <v>51</v>
      </c>
      <c r="J1552" s="11"/>
    </row>
    <row r="1553" spans="1:10" x14ac:dyDescent="0.25">
      <c r="A1553" s="2">
        <v>42091</v>
      </c>
      <c r="B1553" s="3">
        <v>433</v>
      </c>
      <c r="C1553" s="4">
        <v>203510</v>
      </c>
      <c r="D1553" s="3">
        <v>286</v>
      </c>
      <c r="E1553" s="4">
        <v>208780</v>
      </c>
      <c r="G1553" s="12">
        <f t="shared" si="125"/>
        <v>2015</v>
      </c>
      <c r="H1553" s="12">
        <f t="shared" si="126"/>
        <v>3</v>
      </c>
      <c r="I1553" s="11">
        <f t="shared" si="127"/>
        <v>51</v>
      </c>
      <c r="J1553" s="11"/>
    </row>
    <row r="1554" spans="1:10" x14ac:dyDescent="0.25">
      <c r="A1554" s="2">
        <v>42092</v>
      </c>
      <c r="B1554" s="3">
        <v>460</v>
      </c>
      <c r="C1554" s="4">
        <v>216200</v>
      </c>
      <c r="D1554" s="3">
        <v>299</v>
      </c>
      <c r="E1554" s="4">
        <v>218270</v>
      </c>
      <c r="G1554" s="12">
        <f t="shared" si="125"/>
        <v>2015</v>
      </c>
      <c r="H1554" s="12">
        <f t="shared" si="126"/>
        <v>3</v>
      </c>
      <c r="I1554" s="11">
        <f t="shared" si="127"/>
        <v>51</v>
      </c>
      <c r="J1554" s="11"/>
    </row>
    <row r="1555" spans="1:10" x14ac:dyDescent="0.25">
      <c r="A1555" s="2">
        <v>42093</v>
      </c>
      <c r="B1555" s="3">
        <v>499</v>
      </c>
      <c r="C1555" s="4">
        <v>234530</v>
      </c>
      <c r="D1555" s="3">
        <v>305</v>
      </c>
      <c r="E1555" s="4">
        <v>222650</v>
      </c>
      <c r="G1555" s="12">
        <f t="shared" si="125"/>
        <v>2015</v>
      </c>
      <c r="H1555" s="12">
        <f t="shared" si="126"/>
        <v>3</v>
      </c>
      <c r="I1555" s="11">
        <f t="shared" si="127"/>
        <v>51</v>
      </c>
      <c r="J1555" s="11"/>
    </row>
    <row r="1556" spans="1:10" x14ac:dyDescent="0.25">
      <c r="A1556" s="2">
        <v>42094</v>
      </c>
      <c r="B1556" s="3">
        <v>523</v>
      </c>
      <c r="C1556" s="4">
        <v>245810</v>
      </c>
      <c r="D1556" s="3">
        <v>305</v>
      </c>
      <c r="E1556" s="4">
        <v>222650</v>
      </c>
      <c r="G1556" s="12">
        <f t="shared" si="125"/>
        <v>2015</v>
      </c>
      <c r="H1556" s="12">
        <f t="shared" si="126"/>
        <v>3</v>
      </c>
      <c r="I1556" s="11">
        <f t="shared" si="127"/>
        <v>51</v>
      </c>
      <c r="J1556" s="11"/>
    </row>
    <row r="1557" spans="1:10" x14ac:dyDescent="0.25">
      <c r="A1557" s="2">
        <v>42095</v>
      </c>
      <c r="B1557" s="3">
        <v>471</v>
      </c>
      <c r="C1557" s="4">
        <v>221370</v>
      </c>
      <c r="D1557" s="3">
        <v>743</v>
      </c>
      <c r="E1557" s="4">
        <v>542390</v>
      </c>
      <c r="G1557" s="12">
        <f t="shared" si="125"/>
        <v>2015</v>
      </c>
      <c r="H1557" s="12">
        <f t="shared" si="126"/>
        <v>4</v>
      </c>
      <c r="I1557" s="11">
        <f t="shared" si="127"/>
        <v>52</v>
      </c>
      <c r="J1557" s="11"/>
    </row>
    <row r="1558" spans="1:10" x14ac:dyDescent="0.25">
      <c r="A1558" s="2">
        <v>42096</v>
      </c>
      <c r="B1558" s="3">
        <v>497</v>
      </c>
      <c r="C1558" s="4">
        <v>233590</v>
      </c>
      <c r="D1558" s="3">
        <v>661</v>
      </c>
      <c r="E1558" s="4">
        <v>482530</v>
      </c>
      <c r="G1558" s="12">
        <f t="shared" si="125"/>
        <v>2015</v>
      </c>
      <c r="H1558" s="12">
        <f t="shared" si="126"/>
        <v>4</v>
      </c>
      <c r="I1558" s="11">
        <f t="shared" si="127"/>
        <v>52</v>
      </c>
      <c r="J1558" s="11"/>
    </row>
    <row r="1559" spans="1:10" x14ac:dyDescent="0.25">
      <c r="A1559" s="2">
        <v>42097</v>
      </c>
      <c r="B1559" s="3">
        <v>459</v>
      </c>
      <c r="C1559" s="4">
        <v>215730</v>
      </c>
      <c r="D1559" s="3">
        <v>693</v>
      </c>
      <c r="E1559" s="4">
        <v>505890</v>
      </c>
      <c r="G1559" s="12">
        <f t="shared" si="125"/>
        <v>2015</v>
      </c>
      <c r="H1559" s="12">
        <f t="shared" si="126"/>
        <v>4</v>
      </c>
      <c r="I1559" s="11">
        <f t="shared" si="127"/>
        <v>52</v>
      </c>
      <c r="J1559" s="11"/>
    </row>
    <row r="1560" spans="1:10" x14ac:dyDescent="0.25">
      <c r="A1560" s="2">
        <v>42098</v>
      </c>
      <c r="B1560" s="3">
        <v>396</v>
      </c>
      <c r="C1560" s="4">
        <v>186120</v>
      </c>
      <c r="D1560" s="3">
        <v>793</v>
      </c>
      <c r="E1560" s="4">
        <v>578890</v>
      </c>
      <c r="G1560" s="12">
        <f t="shared" si="125"/>
        <v>2015</v>
      </c>
      <c r="H1560" s="12">
        <f t="shared" si="126"/>
        <v>4</v>
      </c>
      <c r="I1560" s="11">
        <f t="shared" si="127"/>
        <v>52</v>
      </c>
      <c r="J1560" s="11"/>
    </row>
    <row r="1561" spans="1:10" x14ac:dyDescent="0.25">
      <c r="A1561" s="2">
        <v>42099</v>
      </c>
      <c r="B1561" s="3">
        <v>551</v>
      </c>
      <c r="C1561" s="4">
        <v>258970</v>
      </c>
      <c r="D1561" s="3">
        <v>759</v>
      </c>
      <c r="E1561" s="4">
        <v>554070</v>
      </c>
      <c r="G1561" s="12">
        <f t="shared" si="125"/>
        <v>2015</v>
      </c>
      <c r="H1561" s="12">
        <f t="shared" si="126"/>
        <v>4</v>
      </c>
      <c r="I1561" s="11">
        <f t="shared" si="127"/>
        <v>52</v>
      </c>
      <c r="J1561" s="11"/>
    </row>
    <row r="1562" spans="1:10" x14ac:dyDescent="0.25">
      <c r="A1562" s="2">
        <v>42100</v>
      </c>
      <c r="B1562" s="3">
        <v>472</v>
      </c>
      <c r="C1562" s="4">
        <v>221840</v>
      </c>
      <c r="D1562" s="3">
        <v>634</v>
      </c>
      <c r="E1562" s="4">
        <v>462820</v>
      </c>
      <c r="G1562" s="12">
        <f t="shared" si="125"/>
        <v>2015</v>
      </c>
      <c r="H1562" s="12">
        <f t="shared" si="126"/>
        <v>4</v>
      </c>
      <c r="I1562" s="11">
        <f t="shared" si="127"/>
        <v>52</v>
      </c>
      <c r="J1562" s="11"/>
    </row>
    <row r="1563" spans="1:10" x14ac:dyDescent="0.25">
      <c r="A1563" s="2">
        <v>42101</v>
      </c>
      <c r="B1563" s="3">
        <v>394</v>
      </c>
      <c r="C1563" s="4">
        <v>185180</v>
      </c>
      <c r="D1563" s="3">
        <v>668</v>
      </c>
      <c r="E1563" s="4">
        <v>487640</v>
      </c>
      <c r="G1563" s="12">
        <f t="shared" si="125"/>
        <v>2015</v>
      </c>
      <c r="H1563" s="12">
        <f t="shared" si="126"/>
        <v>4</v>
      </c>
      <c r="I1563" s="11">
        <f t="shared" si="127"/>
        <v>52</v>
      </c>
      <c r="J1563" s="11"/>
    </row>
    <row r="1564" spans="1:10" x14ac:dyDescent="0.25">
      <c r="A1564" s="2">
        <v>42102</v>
      </c>
      <c r="B1564" s="3">
        <v>461</v>
      </c>
      <c r="C1564" s="4">
        <v>216670</v>
      </c>
      <c r="D1564" s="3">
        <v>624</v>
      </c>
      <c r="E1564" s="4">
        <v>455520</v>
      </c>
      <c r="G1564" s="12">
        <f t="shared" si="125"/>
        <v>2015</v>
      </c>
      <c r="H1564" s="12">
        <f t="shared" si="126"/>
        <v>4</v>
      </c>
      <c r="I1564" s="11">
        <f t="shared" si="127"/>
        <v>52</v>
      </c>
      <c r="J1564" s="11"/>
    </row>
    <row r="1565" spans="1:10" x14ac:dyDescent="0.25">
      <c r="A1565" s="2">
        <v>42103</v>
      </c>
      <c r="B1565" s="3">
        <v>422</v>
      </c>
      <c r="C1565" s="4">
        <v>198340</v>
      </c>
      <c r="D1565" s="3">
        <v>643</v>
      </c>
      <c r="E1565" s="4">
        <v>469390</v>
      </c>
      <c r="G1565" s="12">
        <f t="shared" si="125"/>
        <v>2015</v>
      </c>
      <c r="H1565" s="12">
        <f t="shared" si="126"/>
        <v>4</v>
      </c>
      <c r="I1565" s="11">
        <f t="shared" si="127"/>
        <v>52</v>
      </c>
      <c r="J1565" s="11"/>
    </row>
    <row r="1566" spans="1:10" x14ac:dyDescent="0.25">
      <c r="A1566" s="2">
        <v>42104</v>
      </c>
      <c r="B1566" s="3">
        <v>353</v>
      </c>
      <c r="C1566" s="4">
        <v>165910</v>
      </c>
      <c r="D1566" s="3">
        <v>695</v>
      </c>
      <c r="E1566" s="4">
        <v>507350</v>
      </c>
      <c r="G1566" s="12">
        <f t="shared" si="125"/>
        <v>2015</v>
      </c>
      <c r="H1566" s="12">
        <f t="shared" si="126"/>
        <v>4</v>
      </c>
      <c r="I1566" s="11">
        <f t="shared" si="127"/>
        <v>52</v>
      </c>
      <c r="J1566" s="11"/>
    </row>
    <row r="1567" spans="1:10" x14ac:dyDescent="0.25">
      <c r="A1567" s="2">
        <v>42105</v>
      </c>
      <c r="B1567" s="3">
        <v>582</v>
      </c>
      <c r="C1567" s="4">
        <v>273540</v>
      </c>
      <c r="D1567" s="3">
        <v>765</v>
      </c>
      <c r="E1567" s="4">
        <v>558450</v>
      </c>
      <c r="G1567" s="12">
        <f t="shared" si="125"/>
        <v>2015</v>
      </c>
      <c r="H1567" s="12">
        <f t="shared" si="126"/>
        <v>4</v>
      </c>
      <c r="I1567" s="11">
        <f t="shared" si="127"/>
        <v>52</v>
      </c>
      <c r="J1567" s="11"/>
    </row>
    <row r="1568" spans="1:10" x14ac:dyDescent="0.25">
      <c r="A1568" s="2">
        <v>42106</v>
      </c>
      <c r="B1568" s="3">
        <v>472</v>
      </c>
      <c r="C1568" s="4">
        <v>221840</v>
      </c>
      <c r="D1568" s="3">
        <v>660</v>
      </c>
      <c r="E1568" s="4">
        <v>481800</v>
      </c>
      <c r="G1568" s="12">
        <f t="shared" si="125"/>
        <v>2015</v>
      </c>
      <c r="H1568" s="12">
        <f t="shared" si="126"/>
        <v>4</v>
      </c>
      <c r="I1568" s="11">
        <f t="shared" si="127"/>
        <v>52</v>
      </c>
      <c r="J1568" s="11"/>
    </row>
    <row r="1569" spans="1:10" x14ac:dyDescent="0.25">
      <c r="A1569" s="2">
        <v>42107</v>
      </c>
      <c r="B1569" s="3">
        <v>496</v>
      </c>
      <c r="C1569" s="4">
        <v>233120</v>
      </c>
      <c r="D1569" s="3">
        <v>738</v>
      </c>
      <c r="E1569" s="4">
        <v>538740</v>
      </c>
      <c r="G1569" s="12">
        <f t="shared" si="125"/>
        <v>2015</v>
      </c>
      <c r="H1569" s="12">
        <f t="shared" si="126"/>
        <v>4</v>
      </c>
      <c r="I1569" s="11">
        <f t="shared" si="127"/>
        <v>52</v>
      </c>
      <c r="J1569" s="11"/>
    </row>
    <row r="1570" spans="1:10" x14ac:dyDescent="0.25">
      <c r="A1570" s="2">
        <v>42108</v>
      </c>
      <c r="B1570" s="3">
        <v>510</v>
      </c>
      <c r="C1570" s="4">
        <v>239700</v>
      </c>
      <c r="D1570" s="3">
        <v>528</v>
      </c>
      <c r="E1570" s="4">
        <v>385440</v>
      </c>
      <c r="G1570" s="12">
        <f t="shared" si="125"/>
        <v>2015</v>
      </c>
      <c r="H1570" s="12">
        <f t="shared" si="126"/>
        <v>4</v>
      </c>
      <c r="I1570" s="11">
        <f t="shared" si="127"/>
        <v>52</v>
      </c>
      <c r="J1570" s="11"/>
    </row>
    <row r="1571" spans="1:10" x14ac:dyDescent="0.25">
      <c r="A1571" s="2">
        <v>42109</v>
      </c>
      <c r="B1571" s="3">
        <v>503</v>
      </c>
      <c r="C1571" s="4">
        <v>236410</v>
      </c>
      <c r="D1571" s="3">
        <v>496</v>
      </c>
      <c r="E1571" s="4">
        <v>362080</v>
      </c>
      <c r="G1571" s="12">
        <f t="shared" si="125"/>
        <v>2015</v>
      </c>
      <c r="H1571" s="12">
        <f t="shared" si="126"/>
        <v>4</v>
      </c>
      <c r="I1571" s="11">
        <f t="shared" si="127"/>
        <v>52</v>
      </c>
      <c r="J1571" s="11"/>
    </row>
    <row r="1572" spans="1:10" x14ac:dyDescent="0.25">
      <c r="A1572" s="2">
        <v>42110</v>
      </c>
      <c r="B1572" s="3">
        <v>505</v>
      </c>
      <c r="C1572" s="4">
        <v>237350</v>
      </c>
      <c r="D1572" s="3">
        <v>596</v>
      </c>
      <c r="E1572" s="4">
        <v>435080</v>
      </c>
      <c r="G1572" s="12">
        <f t="shared" si="125"/>
        <v>2015</v>
      </c>
      <c r="H1572" s="12">
        <f t="shared" si="126"/>
        <v>4</v>
      </c>
      <c r="I1572" s="11">
        <f t="shared" si="127"/>
        <v>52</v>
      </c>
      <c r="J1572" s="11"/>
    </row>
    <row r="1573" spans="1:10" x14ac:dyDescent="0.25">
      <c r="A1573" s="2">
        <v>42111</v>
      </c>
      <c r="B1573" s="3">
        <v>570</v>
      </c>
      <c r="C1573" s="4">
        <v>267900</v>
      </c>
      <c r="D1573" s="3">
        <v>687</v>
      </c>
      <c r="E1573" s="4">
        <v>501510</v>
      </c>
      <c r="G1573" s="12">
        <f t="shared" si="125"/>
        <v>2015</v>
      </c>
      <c r="H1573" s="12">
        <f t="shared" si="126"/>
        <v>4</v>
      </c>
      <c r="I1573" s="11">
        <f t="shared" si="127"/>
        <v>52</v>
      </c>
      <c r="J1573" s="11"/>
    </row>
    <row r="1574" spans="1:10" x14ac:dyDescent="0.25">
      <c r="A1574" s="2">
        <v>42112</v>
      </c>
      <c r="B1574" s="3">
        <v>334</v>
      </c>
      <c r="C1574" s="4">
        <v>156980</v>
      </c>
      <c r="D1574" s="3">
        <v>755</v>
      </c>
      <c r="E1574" s="4">
        <v>551150</v>
      </c>
      <c r="G1574" s="12">
        <f t="shared" si="125"/>
        <v>2015</v>
      </c>
      <c r="H1574" s="12">
        <f t="shared" si="126"/>
        <v>4</v>
      </c>
      <c r="I1574" s="11">
        <f t="shared" si="127"/>
        <v>52</v>
      </c>
      <c r="J1574" s="11"/>
    </row>
    <row r="1575" spans="1:10" x14ac:dyDescent="0.25">
      <c r="A1575" s="2">
        <v>42113</v>
      </c>
      <c r="B1575" s="3">
        <v>538</v>
      </c>
      <c r="C1575" s="4">
        <v>252860</v>
      </c>
      <c r="D1575" s="3">
        <v>595</v>
      </c>
      <c r="E1575" s="4">
        <v>434350</v>
      </c>
      <c r="G1575" s="12">
        <f t="shared" si="125"/>
        <v>2015</v>
      </c>
      <c r="H1575" s="12">
        <f t="shared" si="126"/>
        <v>4</v>
      </c>
      <c r="I1575" s="11">
        <f t="shared" si="127"/>
        <v>52</v>
      </c>
      <c r="J1575" s="11"/>
    </row>
    <row r="1576" spans="1:10" x14ac:dyDescent="0.25">
      <c r="A1576" s="2">
        <v>42114</v>
      </c>
      <c r="B1576" s="3">
        <v>406</v>
      </c>
      <c r="C1576" s="4">
        <v>190820</v>
      </c>
      <c r="D1576" s="3">
        <v>723</v>
      </c>
      <c r="E1576" s="4">
        <v>527790</v>
      </c>
      <c r="G1576" s="12">
        <f t="shared" si="125"/>
        <v>2015</v>
      </c>
      <c r="H1576" s="12">
        <f t="shared" si="126"/>
        <v>4</v>
      </c>
      <c r="I1576" s="11">
        <f t="shared" si="127"/>
        <v>52</v>
      </c>
      <c r="J1576" s="11"/>
    </row>
    <row r="1577" spans="1:10" x14ac:dyDescent="0.25">
      <c r="A1577" s="2">
        <v>42115</v>
      </c>
      <c r="B1577" s="3">
        <v>388</v>
      </c>
      <c r="C1577" s="4">
        <v>182360</v>
      </c>
      <c r="D1577" s="3">
        <v>636</v>
      </c>
      <c r="E1577" s="4">
        <v>464280</v>
      </c>
      <c r="G1577" s="12">
        <f t="shared" si="125"/>
        <v>2015</v>
      </c>
      <c r="H1577" s="12">
        <f t="shared" si="126"/>
        <v>4</v>
      </c>
      <c r="I1577" s="11">
        <f t="shared" si="127"/>
        <v>52</v>
      </c>
      <c r="J1577" s="11"/>
    </row>
    <row r="1578" spans="1:10" x14ac:dyDescent="0.25">
      <c r="A1578" s="2">
        <v>42116</v>
      </c>
      <c r="B1578" s="3">
        <v>509</v>
      </c>
      <c r="C1578" s="4">
        <v>239230</v>
      </c>
      <c r="D1578" s="3">
        <v>711</v>
      </c>
      <c r="E1578" s="4">
        <v>519030</v>
      </c>
      <c r="G1578" s="12">
        <f t="shared" si="125"/>
        <v>2015</v>
      </c>
      <c r="H1578" s="12">
        <f t="shared" si="126"/>
        <v>4</v>
      </c>
      <c r="I1578" s="11">
        <f t="shared" si="127"/>
        <v>52</v>
      </c>
      <c r="J1578" s="11"/>
    </row>
    <row r="1579" spans="1:10" x14ac:dyDescent="0.25">
      <c r="A1579" s="2">
        <v>42117</v>
      </c>
      <c r="B1579" s="3">
        <v>438</v>
      </c>
      <c r="C1579" s="4">
        <v>205860</v>
      </c>
      <c r="D1579" s="3">
        <v>673</v>
      </c>
      <c r="E1579" s="4">
        <v>491290</v>
      </c>
      <c r="G1579" s="12">
        <f t="shared" si="125"/>
        <v>2015</v>
      </c>
      <c r="H1579" s="12">
        <f t="shared" si="126"/>
        <v>4</v>
      </c>
      <c r="I1579" s="11">
        <f t="shared" si="127"/>
        <v>52</v>
      </c>
      <c r="J1579" s="11"/>
    </row>
    <row r="1580" spans="1:10" x14ac:dyDescent="0.25">
      <c r="A1580" s="2">
        <v>42118</v>
      </c>
      <c r="B1580" s="3">
        <v>426</v>
      </c>
      <c r="C1580" s="4">
        <v>200220</v>
      </c>
      <c r="D1580" s="3">
        <v>559</v>
      </c>
      <c r="E1580" s="4">
        <v>408070</v>
      </c>
      <c r="G1580" s="12">
        <f t="shared" si="125"/>
        <v>2015</v>
      </c>
      <c r="H1580" s="12">
        <f t="shared" si="126"/>
        <v>4</v>
      </c>
      <c r="I1580" s="11">
        <f t="shared" si="127"/>
        <v>52</v>
      </c>
      <c r="J1580" s="11"/>
    </row>
    <row r="1581" spans="1:10" x14ac:dyDescent="0.25">
      <c r="A1581" s="2">
        <v>42119</v>
      </c>
      <c r="B1581" s="3">
        <v>423</v>
      </c>
      <c r="C1581" s="4">
        <v>198810</v>
      </c>
      <c r="D1581" s="3">
        <v>676</v>
      </c>
      <c r="E1581" s="4">
        <v>493480</v>
      </c>
      <c r="G1581" s="12">
        <f t="shared" si="125"/>
        <v>2015</v>
      </c>
      <c r="H1581" s="12">
        <f t="shared" si="126"/>
        <v>4</v>
      </c>
      <c r="I1581" s="11">
        <f t="shared" si="127"/>
        <v>52</v>
      </c>
      <c r="J1581" s="11"/>
    </row>
    <row r="1582" spans="1:10" x14ac:dyDescent="0.25">
      <c r="A1582" s="2">
        <v>42120</v>
      </c>
      <c r="B1582" s="3">
        <v>439</v>
      </c>
      <c r="C1582" s="4">
        <v>206330</v>
      </c>
      <c r="D1582" s="3">
        <v>600</v>
      </c>
      <c r="E1582" s="4">
        <v>438000</v>
      </c>
      <c r="G1582" s="12">
        <f t="shared" si="125"/>
        <v>2015</v>
      </c>
      <c r="H1582" s="12">
        <f t="shared" si="126"/>
        <v>4</v>
      </c>
      <c r="I1582" s="11">
        <f t="shared" si="127"/>
        <v>52</v>
      </c>
      <c r="J1582" s="11"/>
    </row>
    <row r="1583" spans="1:10" x14ac:dyDescent="0.25">
      <c r="A1583" s="2">
        <v>42121</v>
      </c>
      <c r="B1583" s="3">
        <v>516</v>
      </c>
      <c r="C1583" s="4">
        <v>242520</v>
      </c>
      <c r="D1583" s="3">
        <v>757</v>
      </c>
      <c r="E1583" s="4">
        <v>552610</v>
      </c>
      <c r="G1583" s="12">
        <f t="shared" si="125"/>
        <v>2015</v>
      </c>
      <c r="H1583" s="12">
        <f t="shared" si="126"/>
        <v>4</v>
      </c>
      <c r="I1583" s="11">
        <f t="shared" si="127"/>
        <v>52</v>
      </c>
      <c r="J1583" s="11"/>
    </row>
    <row r="1584" spans="1:10" x14ac:dyDescent="0.25">
      <c r="A1584" s="2">
        <v>42122</v>
      </c>
      <c r="B1584" s="3">
        <v>473</v>
      </c>
      <c r="C1584" s="4">
        <v>222310</v>
      </c>
      <c r="D1584" s="3">
        <v>817</v>
      </c>
      <c r="E1584" s="4">
        <v>596410</v>
      </c>
      <c r="G1584" s="12">
        <f t="shared" si="125"/>
        <v>2015</v>
      </c>
      <c r="H1584" s="12">
        <f t="shared" si="126"/>
        <v>4</v>
      </c>
      <c r="I1584" s="11">
        <f t="shared" si="127"/>
        <v>52</v>
      </c>
      <c r="J1584" s="11"/>
    </row>
    <row r="1585" spans="1:10" x14ac:dyDescent="0.25">
      <c r="A1585" s="2">
        <v>42123</v>
      </c>
      <c r="B1585" s="3">
        <v>535</v>
      </c>
      <c r="C1585" s="4">
        <v>251450</v>
      </c>
      <c r="D1585" s="3">
        <v>670</v>
      </c>
      <c r="E1585" s="4">
        <v>489100</v>
      </c>
      <c r="G1585" s="12">
        <f t="shared" si="125"/>
        <v>2015</v>
      </c>
      <c r="H1585" s="12">
        <f t="shared" si="126"/>
        <v>4</v>
      </c>
      <c r="I1585" s="11">
        <f t="shared" si="127"/>
        <v>52</v>
      </c>
      <c r="J1585" s="11"/>
    </row>
    <row r="1586" spans="1:10" x14ac:dyDescent="0.25">
      <c r="A1586" s="2">
        <v>42124</v>
      </c>
      <c r="B1586" s="3">
        <v>534</v>
      </c>
      <c r="C1586" s="4">
        <v>250980</v>
      </c>
      <c r="D1586" s="3">
        <v>498</v>
      </c>
      <c r="E1586" s="4">
        <v>363540</v>
      </c>
      <c r="G1586" s="12">
        <f t="shared" si="125"/>
        <v>2015</v>
      </c>
      <c r="H1586" s="12">
        <f t="shared" si="126"/>
        <v>4</v>
      </c>
      <c r="I1586" s="11">
        <f t="shared" si="127"/>
        <v>52</v>
      </c>
      <c r="J1586" s="11"/>
    </row>
    <row r="1587" spans="1:10" x14ac:dyDescent="0.25">
      <c r="A1587" s="2">
        <v>42125</v>
      </c>
      <c r="B1587" s="3">
        <v>499</v>
      </c>
      <c r="C1587" s="4">
        <v>234530</v>
      </c>
      <c r="D1587" s="3">
        <v>608</v>
      </c>
      <c r="E1587" s="4">
        <v>443840</v>
      </c>
      <c r="G1587" s="12">
        <f t="shared" si="125"/>
        <v>2015</v>
      </c>
      <c r="H1587" s="12">
        <f t="shared" si="126"/>
        <v>5</v>
      </c>
      <c r="I1587" s="11">
        <f t="shared" si="127"/>
        <v>53</v>
      </c>
      <c r="J1587" s="11"/>
    </row>
    <row r="1588" spans="1:10" x14ac:dyDescent="0.25">
      <c r="A1588" s="2">
        <v>42126</v>
      </c>
      <c r="B1588" s="3">
        <v>423</v>
      </c>
      <c r="C1588" s="4">
        <v>198810</v>
      </c>
      <c r="D1588" s="3">
        <v>713</v>
      </c>
      <c r="E1588" s="4">
        <v>520490</v>
      </c>
      <c r="G1588" s="12">
        <f t="shared" si="125"/>
        <v>2015</v>
      </c>
      <c r="H1588" s="12">
        <f t="shared" si="126"/>
        <v>5</v>
      </c>
      <c r="I1588" s="11">
        <f t="shared" si="127"/>
        <v>53</v>
      </c>
      <c r="J1588" s="11"/>
    </row>
    <row r="1589" spans="1:10" x14ac:dyDescent="0.25">
      <c r="A1589" s="2">
        <v>42127</v>
      </c>
      <c r="B1589" s="3">
        <v>521</v>
      </c>
      <c r="C1589" s="4">
        <v>244870</v>
      </c>
      <c r="D1589" s="3">
        <v>776</v>
      </c>
      <c r="E1589" s="4">
        <v>566480</v>
      </c>
      <c r="G1589" s="12">
        <f t="shared" si="125"/>
        <v>2015</v>
      </c>
      <c r="H1589" s="12">
        <f t="shared" si="126"/>
        <v>5</v>
      </c>
      <c r="I1589" s="11">
        <f t="shared" si="127"/>
        <v>53</v>
      </c>
      <c r="J1589" s="11"/>
    </row>
    <row r="1590" spans="1:10" x14ac:dyDescent="0.25">
      <c r="A1590" s="2">
        <v>42128</v>
      </c>
      <c r="B1590" s="3">
        <v>411</v>
      </c>
      <c r="C1590" s="4">
        <v>193170</v>
      </c>
      <c r="D1590" s="3">
        <v>657</v>
      </c>
      <c r="E1590" s="4">
        <v>479610</v>
      </c>
      <c r="G1590" s="12">
        <f t="shared" si="125"/>
        <v>2015</v>
      </c>
      <c r="H1590" s="12">
        <f t="shared" si="126"/>
        <v>5</v>
      </c>
      <c r="I1590" s="11">
        <f t="shared" si="127"/>
        <v>53</v>
      </c>
      <c r="J1590" s="11"/>
    </row>
    <row r="1591" spans="1:10" x14ac:dyDescent="0.25">
      <c r="A1591" s="2">
        <v>42129</v>
      </c>
      <c r="B1591" s="3">
        <v>453</v>
      </c>
      <c r="C1591" s="4">
        <v>212910</v>
      </c>
      <c r="D1591" s="3">
        <v>709</v>
      </c>
      <c r="E1591" s="4">
        <v>517570</v>
      </c>
      <c r="G1591" s="12">
        <f t="shared" si="125"/>
        <v>2015</v>
      </c>
      <c r="H1591" s="12">
        <f t="shared" si="126"/>
        <v>5</v>
      </c>
      <c r="I1591" s="11">
        <f t="shared" si="127"/>
        <v>53</v>
      </c>
      <c r="J1591" s="11"/>
    </row>
    <row r="1592" spans="1:10" x14ac:dyDescent="0.25">
      <c r="A1592" s="2">
        <v>42130</v>
      </c>
      <c r="B1592" s="3">
        <v>572</v>
      </c>
      <c r="C1592" s="4">
        <v>268840</v>
      </c>
      <c r="D1592" s="3">
        <v>671</v>
      </c>
      <c r="E1592" s="4">
        <v>489830</v>
      </c>
      <c r="G1592" s="12">
        <f t="shared" si="125"/>
        <v>2015</v>
      </c>
      <c r="H1592" s="12">
        <f t="shared" si="126"/>
        <v>5</v>
      </c>
      <c r="I1592" s="11">
        <f t="shared" si="127"/>
        <v>53</v>
      </c>
      <c r="J1592" s="11"/>
    </row>
    <row r="1593" spans="1:10" x14ac:dyDescent="0.25">
      <c r="A1593" s="2">
        <v>42131</v>
      </c>
      <c r="B1593" s="3">
        <v>463</v>
      </c>
      <c r="C1593" s="4">
        <v>217610</v>
      </c>
      <c r="D1593" s="3">
        <v>739</v>
      </c>
      <c r="E1593" s="4">
        <v>539470</v>
      </c>
      <c r="G1593" s="12">
        <f t="shared" si="125"/>
        <v>2015</v>
      </c>
      <c r="H1593" s="12">
        <f t="shared" si="126"/>
        <v>5</v>
      </c>
      <c r="I1593" s="11">
        <f t="shared" si="127"/>
        <v>53</v>
      </c>
      <c r="J1593" s="11"/>
    </row>
    <row r="1594" spans="1:10" x14ac:dyDescent="0.25">
      <c r="A1594" s="2">
        <v>42132</v>
      </c>
      <c r="B1594" s="3">
        <v>448</v>
      </c>
      <c r="C1594" s="4">
        <v>210560</v>
      </c>
      <c r="D1594" s="3">
        <v>571</v>
      </c>
      <c r="E1594" s="4">
        <v>416830</v>
      </c>
      <c r="G1594" s="12">
        <f t="shared" si="125"/>
        <v>2015</v>
      </c>
      <c r="H1594" s="12">
        <f t="shared" si="126"/>
        <v>5</v>
      </c>
      <c r="I1594" s="11">
        <f t="shared" si="127"/>
        <v>53</v>
      </c>
      <c r="J1594" s="11"/>
    </row>
    <row r="1595" spans="1:10" x14ac:dyDescent="0.25">
      <c r="A1595" s="2">
        <v>42133</v>
      </c>
      <c r="B1595" s="3">
        <v>468</v>
      </c>
      <c r="C1595" s="4">
        <v>219960</v>
      </c>
      <c r="D1595" s="3">
        <v>524</v>
      </c>
      <c r="E1595" s="4">
        <v>382520</v>
      </c>
      <c r="G1595" s="12">
        <f t="shared" si="125"/>
        <v>2015</v>
      </c>
      <c r="H1595" s="12">
        <f t="shared" si="126"/>
        <v>5</v>
      </c>
      <c r="I1595" s="11">
        <f t="shared" si="127"/>
        <v>53</v>
      </c>
      <c r="J1595" s="11"/>
    </row>
    <row r="1596" spans="1:10" x14ac:dyDescent="0.25">
      <c r="A1596" s="2">
        <v>42134</v>
      </c>
      <c r="B1596" s="3">
        <v>504</v>
      </c>
      <c r="C1596" s="4">
        <v>236880</v>
      </c>
      <c r="D1596" s="3">
        <v>730</v>
      </c>
      <c r="E1596" s="4">
        <v>532900</v>
      </c>
      <c r="G1596" s="12">
        <f t="shared" si="125"/>
        <v>2015</v>
      </c>
      <c r="H1596" s="12">
        <f t="shared" si="126"/>
        <v>5</v>
      </c>
      <c r="I1596" s="11">
        <f t="shared" si="127"/>
        <v>53</v>
      </c>
      <c r="J1596" s="11"/>
    </row>
    <row r="1597" spans="1:10" x14ac:dyDescent="0.25">
      <c r="A1597" s="2">
        <v>42135</v>
      </c>
      <c r="B1597" s="3">
        <v>400</v>
      </c>
      <c r="C1597" s="4">
        <v>188000</v>
      </c>
      <c r="D1597" s="3">
        <v>477</v>
      </c>
      <c r="E1597" s="4">
        <v>348210</v>
      </c>
      <c r="G1597" s="12">
        <f t="shared" si="125"/>
        <v>2015</v>
      </c>
      <c r="H1597" s="12">
        <f t="shared" si="126"/>
        <v>5</v>
      </c>
      <c r="I1597" s="11">
        <f t="shared" si="127"/>
        <v>53</v>
      </c>
      <c r="J1597" s="11"/>
    </row>
    <row r="1598" spans="1:10" x14ac:dyDescent="0.25">
      <c r="A1598" s="2">
        <v>42136</v>
      </c>
      <c r="B1598" s="3">
        <v>504</v>
      </c>
      <c r="C1598" s="4">
        <v>236880</v>
      </c>
      <c r="D1598" s="3">
        <v>621</v>
      </c>
      <c r="E1598" s="4">
        <v>453330</v>
      </c>
      <c r="G1598" s="12">
        <f t="shared" si="125"/>
        <v>2015</v>
      </c>
      <c r="H1598" s="12">
        <f t="shared" si="126"/>
        <v>5</v>
      </c>
      <c r="I1598" s="11">
        <f t="shared" si="127"/>
        <v>53</v>
      </c>
      <c r="J1598" s="11"/>
    </row>
    <row r="1599" spans="1:10" x14ac:dyDescent="0.25">
      <c r="A1599" s="2">
        <v>42137</v>
      </c>
      <c r="B1599" s="3">
        <v>479</v>
      </c>
      <c r="C1599" s="4">
        <v>225130</v>
      </c>
      <c r="D1599" s="3">
        <v>715</v>
      </c>
      <c r="E1599" s="4">
        <v>521950</v>
      </c>
      <c r="G1599" s="12">
        <f t="shared" si="125"/>
        <v>2015</v>
      </c>
      <c r="H1599" s="12">
        <f t="shared" si="126"/>
        <v>5</v>
      </c>
      <c r="I1599" s="11">
        <f t="shared" si="127"/>
        <v>53</v>
      </c>
      <c r="J1599" s="11"/>
    </row>
    <row r="1600" spans="1:10" x14ac:dyDescent="0.25">
      <c r="A1600" s="2">
        <v>42138</v>
      </c>
      <c r="B1600" s="3">
        <v>473</v>
      </c>
      <c r="C1600" s="4">
        <v>222310</v>
      </c>
      <c r="D1600" s="3">
        <v>576</v>
      </c>
      <c r="E1600" s="4">
        <v>420480</v>
      </c>
      <c r="G1600" s="12">
        <f t="shared" si="125"/>
        <v>2015</v>
      </c>
      <c r="H1600" s="12">
        <f t="shared" si="126"/>
        <v>5</v>
      </c>
      <c r="I1600" s="11">
        <f t="shared" si="127"/>
        <v>53</v>
      </c>
      <c r="J1600" s="11"/>
    </row>
    <row r="1601" spans="1:10" x14ac:dyDescent="0.25">
      <c r="A1601" s="2">
        <v>42139</v>
      </c>
      <c r="B1601" s="3">
        <v>488</v>
      </c>
      <c r="C1601" s="4">
        <v>229360</v>
      </c>
      <c r="D1601" s="3">
        <v>537</v>
      </c>
      <c r="E1601" s="4">
        <v>392010</v>
      </c>
      <c r="G1601" s="12">
        <f t="shared" si="125"/>
        <v>2015</v>
      </c>
      <c r="H1601" s="12">
        <f t="shared" si="126"/>
        <v>5</v>
      </c>
      <c r="I1601" s="11">
        <f t="shared" si="127"/>
        <v>53</v>
      </c>
      <c r="J1601" s="11"/>
    </row>
    <row r="1602" spans="1:10" x14ac:dyDescent="0.25">
      <c r="A1602" s="2">
        <v>42140</v>
      </c>
      <c r="B1602" s="3">
        <v>360</v>
      </c>
      <c r="C1602" s="4">
        <v>169200</v>
      </c>
      <c r="D1602" s="3">
        <v>596</v>
      </c>
      <c r="E1602" s="4">
        <v>435080</v>
      </c>
      <c r="G1602" s="12">
        <f t="shared" si="125"/>
        <v>2015</v>
      </c>
      <c r="H1602" s="12">
        <f t="shared" si="126"/>
        <v>5</v>
      </c>
      <c r="I1602" s="11">
        <f t="shared" si="127"/>
        <v>53</v>
      </c>
      <c r="J1602" s="11"/>
    </row>
    <row r="1603" spans="1:10" x14ac:dyDescent="0.25">
      <c r="A1603" s="2">
        <v>42141</v>
      </c>
      <c r="B1603" s="3">
        <v>434</v>
      </c>
      <c r="C1603" s="4">
        <v>203980</v>
      </c>
      <c r="D1603" s="3">
        <v>677</v>
      </c>
      <c r="E1603" s="4">
        <v>494210</v>
      </c>
      <c r="G1603" s="12">
        <f t="shared" si="125"/>
        <v>2015</v>
      </c>
      <c r="H1603" s="12">
        <f t="shared" si="126"/>
        <v>5</v>
      </c>
      <c r="I1603" s="11">
        <f t="shared" si="127"/>
        <v>53</v>
      </c>
      <c r="J1603" s="11"/>
    </row>
    <row r="1604" spans="1:10" x14ac:dyDescent="0.25">
      <c r="A1604" s="2">
        <v>42142</v>
      </c>
      <c r="B1604" s="3">
        <v>476</v>
      </c>
      <c r="C1604" s="4">
        <v>223720</v>
      </c>
      <c r="D1604" s="3">
        <v>655</v>
      </c>
      <c r="E1604" s="4">
        <v>478150</v>
      </c>
      <c r="G1604" s="12">
        <f t="shared" si="125"/>
        <v>2015</v>
      </c>
      <c r="H1604" s="12">
        <f t="shared" si="126"/>
        <v>5</v>
      </c>
      <c r="I1604" s="11">
        <f t="shared" si="127"/>
        <v>53</v>
      </c>
      <c r="J1604" s="11"/>
    </row>
    <row r="1605" spans="1:10" x14ac:dyDescent="0.25">
      <c r="A1605" s="2">
        <v>42143</v>
      </c>
      <c r="B1605" s="3">
        <v>484</v>
      </c>
      <c r="C1605" s="4">
        <v>227480</v>
      </c>
      <c r="D1605" s="3">
        <v>639</v>
      </c>
      <c r="E1605" s="4">
        <v>466470</v>
      </c>
      <c r="G1605" s="12">
        <f t="shared" si="125"/>
        <v>2015</v>
      </c>
      <c r="H1605" s="12">
        <f t="shared" si="126"/>
        <v>5</v>
      </c>
      <c r="I1605" s="11">
        <f t="shared" si="127"/>
        <v>53</v>
      </c>
      <c r="J1605" s="11"/>
    </row>
    <row r="1606" spans="1:10" x14ac:dyDescent="0.25">
      <c r="A1606" s="2">
        <v>42144</v>
      </c>
      <c r="B1606" s="3">
        <v>420</v>
      </c>
      <c r="C1606" s="4">
        <v>197400</v>
      </c>
      <c r="D1606" s="3">
        <v>634</v>
      </c>
      <c r="E1606" s="4">
        <v>462820</v>
      </c>
      <c r="G1606" s="12">
        <f t="shared" ref="G1606:G1669" si="128">+YEAR(A1606)</f>
        <v>2015</v>
      </c>
      <c r="H1606" s="12">
        <f t="shared" ref="H1606:H1669" si="129">+MONTH(A1606)</f>
        <v>5</v>
      </c>
      <c r="I1606" s="11">
        <f t="shared" si="127"/>
        <v>53</v>
      </c>
      <c r="J1606" s="11"/>
    </row>
    <row r="1607" spans="1:10" x14ac:dyDescent="0.25">
      <c r="A1607" s="2">
        <v>42145</v>
      </c>
      <c r="B1607" s="3">
        <v>454</v>
      </c>
      <c r="C1607" s="4">
        <v>213380</v>
      </c>
      <c r="D1607" s="3">
        <v>565</v>
      </c>
      <c r="E1607" s="4">
        <v>412450</v>
      </c>
      <c r="G1607" s="12">
        <f t="shared" si="128"/>
        <v>2015</v>
      </c>
      <c r="H1607" s="12">
        <f t="shared" si="129"/>
        <v>5</v>
      </c>
      <c r="I1607" s="11">
        <f t="shared" ref="I1607:I1670" si="130">+H1607+(G1607-2011)*12</f>
        <v>53</v>
      </c>
      <c r="J1607" s="11"/>
    </row>
    <row r="1608" spans="1:10" x14ac:dyDescent="0.25">
      <c r="A1608" s="2">
        <v>42146</v>
      </c>
      <c r="B1608" s="3">
        <v>457</v>
      </c>
      <c r="C1608" s="4">
        <v>214790</v>
      </c>
      <c r="D1608" s="3">
        <v>625</v>
      </c>
      <c r="E1608" s="4">
        <v>456250</v>
      </c>
      <c r="G1608" s="12">
        <f t="shared" si="128"/>
        <v>2015</v>
      </c>
      <c r="H1608" s="12">
        <f t="shared" si="129"/>
        <v>5</v>
      </c>
      <c r="I1608" s="11">
        <f t="shared" si="130"/>
        <v>53</v>
      </c>
      <c r="J1608" s="11"/>
    </row>
    <row r="1609" spans="1:10" x14ac:dyDescent="0.25">
      <c r="A1609" s="2">
        <v>42147</v>
      </c>
      <c r="B1609" s="3">
        <v>463</v>
      </c>
      <c r="C1609" s="4">
        <v>217610</v>
      </c>
      <c r="D1609" s="3">
        <v>705</v>
      </c>
      <c r="E1609" s="4">
        <v>514650</v>
      </c>
      <c r="G1609" s="12">
        <f t="shared" si="128"/>
        <v>2015</v>
      </c>
      <c r="H1609" s="12">
        <f t="shared" si="129"/>
        <v>5</v>
      </c>
      <c r="I1609" s="11">
        <f t="shared" si="130"/>
        <v>53</v>
      </c>
      <c r="J1609" s="11"/>
    </row>
    <row r="1610" spans="1:10" x14ac:dyDescent="0.25">
      <c r="A1610" s="2">
        <v>42148</v>
      </c>
      <c r="B1610" s="3">
        <v>493</v>
      </c>
      <c r="C1610" s="4">
        <v>231710</v>
      </c>
      <c r="D1610" s="3">
        <v>516</v>
      </c>
      <c r="E1610" s="4">
        <v>376680</v>
      </c>
      <c r="G1610" s="12">
        <f t="shared" si="128"/>
        <v>2015</v>
      </c>
      <c r="H1610" s="12">
        <f t="shared" si="129"/>
        <v>5</v>
      </c>
      <c r="I1610" s="11">
        <f t="shared" si="130"/>
        <v>53</v>
      </c>
      <c r="J1610" s="11"/>
    </row>
    <row r="1611" spans="1:10" x14ac:dyDescent="0.25">
      <c r="A1611" s="2">
        <v>42149</v>
      </c>
      <c r="B1611" s="3">
        <v>393</v>
      </c>
      <c r="C1611" s="4">
        <v>184710</v>
      </c>
      <c r="D1611" s="3">
        <v>764</v>
      </c>
      <c r="E1611" s="4">
        <v>557720</v>
      </c>
      <c r="G1611" s="12">
        <f t="shared" si="128"/>
        <v>2015</v>
      </c>
      <c r="H1611" s="12">
        <f t="shared" si="129"/>
        <v>5</v>
      </c>
      <c r="I1611" s="11">
        <f t="shared" si="130"/>
        <v>53</v>
      </c>
      <c r="J1611" s="11"/>
    </row>
    <row r="1612" spans="1:10" x14ac:dyDescent="0.25">
      <c r="A1612" s="2">
        <v>42150</v>
      </c>
      <c r="B1612" s="3">
        <v>433</v>
      </c>
      <c r="C1612" s="4">
        <v>203510</v>
      </c>
      <c r="D1612" s="3">
        <v>686</v>
      </c>
      <c r="E1612" s="4">
        <v>500780</v>
      </c>
      <c r="G1612" s="12">
        <f t="shared" si="128"/>
        <v>2015</v>
      </c>
      <c r="H1612" s="12">
        <f t="shared" si="129"/>
        <v>5</v>
      </c>
      <c r="I1612" s="11">
        <f t="shared" si="130"/>
        <v>53</v>
      </c>
      <c r="J1612" s="11"/>
    </row>
    <row r="1613" spans="1:10" x14ac:dyDescent="0.25">
      <c r="A1613" s="2">
        <v>42151</v>
      </c>
      <c r="B1613" s="3">
        <v>499</v>
      </c>
      <c r="C1613" s="4">
        <v>234530</v>
      </c>
      <c r="D1613" s="3">
        <v>741</v>
      </c>
      <c r="E1613" s="4">
        <v>540930</v>
      </c>
      <c r="G1613" s="12">
        <f t="shared" si="128"/>
        <v>2015</v>
      </c>
      <c r="H1613" s="12">
        <f t="shared" si="129"/>
        <v>5</v>
      </c>
      <c r="I1613" s="11">
        <f t="shared" si="130"/>
        <v>53</v>
      </c>
      <c r="J1613" s="11"/>
    </row>
    <row r="1614" spans="1:10" x14ac:dyDescent="0.25">
      <c r="A1614" s="2">
        <v>42152</v>
      </c>
      <c r="B1614" s="3">
        <v>472</v>
      </c>
      <c r="C1614" s="4">
        <v>221840</v>
      </c>
      <c r="D1614" s="3">
        <v>666</v>
      </c>
      <c r="E1614" s="4">
        <v>486180</v>
      </c>
      <c r="G1614" s="12">
        <f t="shared" si="128"/>
        <v>2015</v>
      </c>
      <c r="H1614" s="12">
        <f t="shared" si="129"/>
        <v>5</v>
      </c>
      <c r="I1614" s="11">
        <f t="shared" si="130"/>
        <v>53</v>
      </c>
      <c r="J1614" s="11"/>
    </row>
    <row r="1615" spans="1:10" x14ac:dyDescent="0.25">
      <c r="A1615" s="2">
        <v>42153</v>
      </c>
      <c r="B1615" s="3">
        <v>405</v>
      </c>
      <c r="C1615" s="4">
        <v>190350</v>
      </c>
      <c r="D1615" s="3">
        <v>699</v>
      </c>
      <c r="E1615" s="4">
        <v>510270</v>
      </c>
      <c r="G1615" s="12">
        <f t="shared" si="128"/>
        <v>2015</v>
      </c>
      <c r="H1615" s="12">
        <f t="shared" si="129"/>
        <v>5</v>
      </c>
      <c r="I1615" s="11">
        <f t="shared" si="130"/>
        <v>53</v>
      </c>
      <c r="J1615" s="11"/>
    </row>
    <row r="1616" spans="1:10" x14ac:dyDescent="0.25">
      <c r="A1616" s="2">
        <v>42154</v>
      </c>
      <c r="B1616" s="3">
        <v>464</v>
      </c>
      <c r="C1616" s="4">
        <v>218080</v>
      </c>
      <c r="D1616" s="3">
        <v>538</v>
      </c>
      <c r="E1616" s="4">
        <v>392740</v>
      </c>
      <c r="G1616" s="12">
        <f t="shared" si="128"/>
        <v>2015</v>
      </c>
      <c r="H1616" s="12">
        <f t="shared" si="129"/>
        <v>5</v>
      </c>
      <c r="I1616" s="11">
        <f t="shared" si="130"/>
        <v>53</v>
      </c>
      <c r="J1616" s="11"/>
    </row>
    <row r="1617" spans="1:10" x14ac:dyDescent="0.25">
      <c r="A1617" s="2">
        <v>42155</v>
      </c>
      <c r="B1617" s="3">
        <v>515</v>
      </c>
      <c r="C1617" s="4">
        <v>242050</v>
      </c>
      <c r="D1617" s="3">
        <v>717</v>
      </c>
      <c r="E1617" s="4">
        <v>523410</v>
      </c>
      <c r="G1617" s="12">
        <f t="shared" si="128"/>
        <v>2015</v>
      </c>
      <c r="H1617" s="12">
        <f t="shared" si="129"/>
        <v>5</v>
      </c>
      <c r="I1617" s="11">
        <f t="shared" si="130"/>
        <v>53</v>
      </c>
      <c r="J1617" s="11"/>
    </row>
    <row r="1618" spans="1:10" x14ac:dyDescent="0.25">
      <c r="A1618" s="2">
        <v>42156</v>
      </c>
      <c r="B1618" s="3">
        <v>467</v>
      </c>
      <c r="C1618" s="4">
        <v>219490</v>
      </c>
      <c r="D1618" s="3">
        <v>841</v>
      </c>
      <c r="E1618" s="4">
        <v>245572</v>
      </c>
      <c r="G1618" s="12">
        <f t="shared" si="128"/>
        <v>2015</v>
      </c>
      <c r="H1618" s="12">
        <f t="shared" si="129"/>
        <v>6</v>
      </c>
      <c r="I1618" s="11">
        <f t="shared" si="130"/>
        <v>54</v>
      </c>
      <c r="J1618" s="11"/>
    </row>
    <row r="1619" spans="1:10" x14ac:dyDescent="0.25">
      <c r="A1619" s="2">
        <v>42157</v>
      </c>
      <c r="B1619" s="3">
        <v>540</v>
      </c>
      <c r="C1619" s="4">
        <v>253800</v>
      </c>
      <c r="D1619" s="3">
        <v>804</v>
      </c>
      <c r="E1619" s="4">
        <v>234768</v>
      </c>
      <c r="G1619" s="12">
        <f t="shared" si="128"/>
        <v>2015</v>
      </c>
      <c r="H1619" s="12">
        <f t="shared" si="129"/>
        <v>6</v>
      </c>
      <c r="I1619" s="11">
        <f t="shared" si="130"/>
        <v>54</v>
      </c>
      <c r="J1619" s="11"/>
    </row>
    <row r="1620" spans="1:10" x14ac:dyDescent="0.25">
      <c r="A1620" s="2">
        <v>42158</v>
      </c>
      <c r="B1620" s="3">
        <v>416</v>
      </c>
      <c r="C1620" s="4">
        <v>195520</v>
      </c>
      <c r="D1620" s="3">
        <v>683</v>
      </c>
      <c r="E1620" s="4">
        <v>199436</v>
      </c>
      <c r="G1620" s="12">
        <f t="shared" si="128"/>
        <v>2015</v>
      </c>
      <c r="H1620" s="12">
        <f t="shared" si="129"/>
        <v>6</v>
      </c>
      <c r="I1620" s="11">
        <f t="shared" si="130"/>
        <v>54</v>
      </c>
      <c r="J1620" s="11"/>
    </row>
    <row r="1621" spans="1:10" x14ac:dyDescent="0.25">
      <c r="A1621" s="2">
        <v>42159</v>
      </c>
      <c r="B1621" s="3">
        <v>476</v>
      </c>
      <c r="C1621" s="4">
        <v>223720</v>
      </c>
      <c r="D1621" s="3">
        <v>754</v>
      </c>
      <c r="E1621" s="4">
        <v>220168</v>
      </c>
      <c r="G1621" s="12">
        <f t="shared" si="128"/>
        <v>2015</v>
      </c>
      <c r="H1621" s="12">
        <f t="shared" si="129"/>
        <v>6</v>
      </c>
      <c r="I1621" s="11">
        <f t="shared" si="130"/>
        <v>54</v>
      </c>
      <c r="J1621" s="11"/>
    </row>
    <row r="1622" spans="1:10" x14ac:dyDescent="0.25">
      <c r="A1622" s="2">
        <v>42160</v>
      </c>
      <c r="B1622" s="3">
        <v>496</v>
      </c>
      <c r="C1622" s="4">
        <v>233120</v>
      </c>
      <c r="D1622" s="3">
        <v>835</v>
      </c>
      <c r="E1622" s="4">
        <v>243820</v>
      </c>
      <c r="G1622" s="12">
        <f t="shared" si="128"/>
        <v>2015</v>
      </c>
      <c r="H1622" s="12">
        <f t="shared" si="129"/>
        <v>6</v>
      </c>
      <c r="I1622" s="11">
        <f t="shared" si="130"/>
        <v>54</v>
      </c>
      <c r="J1622" s="11"/>
    </row>
    <row r="1623" spans="1:10" x14ac:dyDescent="0.25">
      <c r="A1623" s="2">
        <v>42161</v>
      </c>
      <c r="B1623" s="3">
        <v>419</v>
      </c>
      <c r="C1623" s="4">
        <v>196930</v>
      </c>
      <c r="D1623" s="3">
        <v>729</v>
      </c>
      <c r="E1623" s="4">
        <v>212868</v>
      </c>
      <c r="G1623" s="12">
        <f t="shared" si="128"/>
        <v>2015</v>
      </c>
      <c r="H1623" s="12">
        <f t="shared" si="129"/>
        <v>6</v>
      </c>
      <c r="I1623" s="11">
        <f t="shared" si="130"/>
        <v>54</v>
      </c>
      <c r="J1623" s="11"/>
    </row>
    <row r="1624" spans="1:10" x14ac:dyDescent="0.25">
      <c r="A1624" s="2">
        <v>42162</v>
      </c>
      <c r="B1624" s="3">
        <v>425</v>
      </c>
      <c r="C1624" s="4">
        <v>199750</v>
      </c>
      <c r="D1624" s="3">
        <v>858</v>
      </c>
      <c r="E1624" s="4">
        <v>250536</v>
      </c>
      <c r="G1624" s="12">
        <f t="shared" si="128"/>
        <v>2015</v>
      </c>
      <c r="H1624" s="12">
        <f t="shared" si="129"/>
        <v>6</v>
      </c>
      <c r="I1624" s="11">
        <f t="shared" si="130"/>
        <v>54</v>
      </c>
      <c r="J1624" s="11"/>
    </row>
    <row r="1625" spans="1:10" x14ac:dyDescent="0.25">
      <c r="A1625" s="2">
        <v>42163</v>
      </c>
      <c r="B1625" s="3">
        <v>443</v>
      </c>
      <c r="C1625" s="4">
        <v>208210</v>
      </c>
      <c r="D1625" s="3">
        <v>708</v>
      </c>
      <c r="E1625" s="4">
        <v>206736</v>
      </c>
      <c r="G1625" s="12">
        <f t="shared" si="128"/>
        <v>2015</v>
      </c>
      <c r="H1625" s="12">
        <f t="shared" si="129"/>
        <v>6</v>
      </c>
      <c r="I1625" s="11">
        <f t="shared" si="130"/>
        <v>54</v>
      </c>
      <c r="J1625" s="11"/>
    </row>
    <row r="1626" spans="1:10" x14ac:dyDescent="0.25">
      <c r="A1626" s="2">
        <v>42164</v>
      </c>
      <c r="B1626" s="3">
        <v>451</v>
      </c>
      <c r="C1626" s="4">
        <v>211970</v>
      </c>
      <c r="D1626" s="3">
        <v>773</v>
      </c>
      <c r="E1626" s="4">
        <v>225716</v>
      </c>
      <c r="G1626" s="12">
        <f t="shared" si="128"/>
        <v>2015</v>
      </c>
      <c r="H1626" s="12">
        <f t="shared" si="129"/>
        <v>6</v>
      </c>
      <c r="I1626" s="11">
        <f t="shared" si="130"/>
        <v>54</v>
      </c>
      <c r="J1626" s="11"/>
    </row>
    <row r="1627" spans="1:10" x14ac:dyDescent="0.25">
      <c r="A1627" s="2">
        <v>42165</v>
      </c>
      <c r="B1627" s="3">
        <v>591</v>
      </c>
      <c r="C1627" s="4">
        <v>277770</v>
      </c>
      <c r="D1627" s="3">
        <v>744</v>
      </c>
      <c r="E1627" s="4">
        <v>217248</v>
      </c>
      <c r="G1627" s="12">
        <f t="shared" si="128"/>
        <v>2015</v>
      </c>
      <c r="H1627" s="12">
        <f t="shared" si="129"/>
        <v>6</v>
      </c>
      <c r="I1627" s="11">
        <f t="shared" si="130"/>
        <v>54</v>
      </c>
      <c r="J1627" s="11"/>
    </row>
    <row r="1628" spans="1:10" x14ac:dyDescent="0.25">
      <c r="A1628" s="2">
        <v>42166</v>
      </c>
      <c r="B1628" s="3">
        <v>459</v>
      </c>
      <c r="C1628" s="4">
        <v>215730</v>
      </c>
      <c r="D1628" s="3">
        <v>785</v>
      </c>
      <c r="E1628" s="4">
        <v>229220</v>
      </c>
      <c r="G1628" s="12">
        <f t="shared" si="128"/>
        <v>2015</v>
      </c>
      <c r="H1628" s="12">
        <f t="shared" si="129"/>
        <v>6</v>
      </c>
      <c r="I1628" s="11">
        <f t="shared" si="130"/>
        <v>54</v>
      </c>
      <c r="J1628" s="11"/>
    </row>
    <row r="1629" spans="1:10" x14ac:dyDescent="0.25">
      <c r="A1629" s="2">
        <v>42167</v>
      </c>
      <c r="B1629" s="3">
        <v>470</v>
      </c>
      <c r="C1629" s="4">
        <v>220900</v>
      </c>
      <c r="D1629" s="3">
        <v>733</v>
      </c>
      <c r="E1629" s="4">
        <v>214036</v>
      </c>
      <c r="G1629" s="12">
        <f t="shared" si="128"/>
        <v>2015</v>
      </c>
      <c r="H1629" s="12">
        <f t="shared" si="129"/>
        <v>6</v>
      </c>
      <c r="I1629" s="11">
        <f t="shared" si="130"/>
        <v>54</v>
      </c>
      <c r="J1629" s="11"/>
    </row>
    <row r="1630" spans="1:10" x14ac:dyDescent="0.25">
      <c r="A1630" s="2">
        <v>42168</v>
      </c>
      <c r="B1630" s="3">
        <v>541</v>
      </c>
      <c r="C1630" s="4">
        <v>254270</v>
      </c>
      <c r="D1630" s="3">
        <v>629</v>
      </c>
      <c r="E1630" s="4">
        <v>183668</v>
      </c>
      <c r="G1630" s="12">
        <f t="shared" si="128"/>
        <v>2015</v>
      </c>
      <c r="H1630" s="12">
        <f t="shared" si="129"/>
        <v>6</v>
      </c>
      <c r="I1630" s="11">
        <f t="shared" si="130"/>
        <v>54</v>
      </c>
      <c r="J1630" s="11"/>
    </row>
    <row r="1631" spans="1:10" x14ac:dyDescent="0.25">
      <c r="A1631" s="2">
        <v>42169</v>
      </c>
      <c r="B1631" s="3">
        <v>541</v>
      </c>
      <c r="C1631" s="4">
        <v>254270</v>
      </c>
      <c r="D1631" s="3">
        <v>604</v>
      </c>
      <c r="E1631" s="4">
        <v>176368</v>
      </c>
      <c r="G1631" s="12">
        <f t="shared" si="128"/>
        <v>2015</v>
      </c>
      <c r="H1631" s="12">
        <f t="shared" si="129"/>
        <v>6</v>
      </c>
      <c r="I1631" s="11">
        <f t="shared" si="130"/>
        <v>54</v>
      </c>
      <c r="J1631" s="11"/>
    </row>
    <row r="1632" spans="1:10" x14ac:dyDescent="0.25">
      <c r="A1632" s="2">
        <v>42170</v>
      </c>
      <c r="B1632" s="3">
        <v>399</v>
      </c>
      <c r="C1632" s="4">
        <v>187530</v>
      </c>
      <c r="D1632" s="3">
        <v>827</v>
      </c>
      <c r="E1632" s="4">
        <v>241484</v>
      </c>
      <c r="G1632" s="12">
        <f t="shared" si="128"/>
        <v>2015</v>
      </c>
      <c r="H1632" s="12">
        <f t="shared" si="129"/>
        <v>6</v>
      </c>
      <c r="I1632" s="11">
        <f t="shared" si="130"/>
        <v>54</v>
      </c>
      <c r="J1632" s="11"/>
    </row>
    <row r="1633" spans="1:10" x14ac:dyDescent="0.25">
      <c r="A1633" s="2">
        <v>42171</v>
      </c>
      <c r="B1633" s="3">
        <v>485</v>
      </c>
      <c r="C1633" s="4">
        <v>227950</v>
      </c>
      <c r="D1633" s="3">
        <v>837</v>
      </c>
      <c r="E1633" s="4">
        <v>244404</v>
      </c>
      <c r="G1633" s="12">
        <f t="shared" si="128"/>
        <v>2015</v>
      </c>
      <c r="H1633" s="12">
        <f t="shared" si="129"/>
        <v>6</v>
      </c>
      <c r="I1633" s="11">
        <f t="shared" si="130"/>
        <v>54</v>
      </c>
      <c r="J1633" s="11"/>
    </row>
    <row r="1634" spans="1:10" x14ac:dyDescent="0.25">
      <c r="A1634" s="2">
        <v>42172</v>
      </c>
      <c r="B1634" s="3">
        <v>461</v>
      </c>
      <c r="C1634" s="4">
        <v>216670</v>
      </c>
      <c r="D1634" s="3">
        <v>691</v>
      </c>
      <c r="E1634" s="4">
        <v>201772</v>
      </c>
      <c r="G1634" s="12">
        <f t="shared" si="128"/>
        <v>2015</v>
      </c>
      <c r="H1634" s="12">
        <f t="shared" si="129"/>
        <v>6</v>
      </c>
      <c r="I1634" s="11">
        <f t="shared" si="130"/>
        <v>54</v>
      </c>
      <c r="J1634" s="11"/>
    </row>
    <row r="1635" spans="1:10" x14ac:dyDescent="0.25">
      <c r="A1635" s="2">
        <v>42173</v>
      </c>
      <c r="B1635" s="3">
        <v>460</v>
      </c>
      <c r="C1635" s="4">
        <v>216200</v>
      </c>
      <c r="D1635" s="3">
        <v>743</v>
      </c>
      <c r="E1635" s="4">
        <v>216956</v>
      </c>
      <c r="G1635" s="12">
        <f t="shared" si="128"/>
        <v>2015</v>
      </c>
      <c r="H1635" s="12">
        <f t="shared" si="129"/>
        <v>6</v>
      </c>
      <c r="I1635" s="11">
        <f t="shared" si="130"/>
        <v>54</v>
      </c>
      <c r="J1635" s="11"/>
    </row>
    <row r="1636" spans="1:10" x14ac:dyDescent="0.25">
      <c r="A1636" s="2">
        <v>42174</v>
      </c>
      <c r="B1636" s="3">
        <v>444</v>
      </c>
      <c r="C1636" s="4">
        <v>208680</v>
      </c>
      <c r="D1636" s="3">
        <v>733</v>
      </c>
      <c r="E1636" s="4">
        <v>214036</v>
      </c>
      <c r="G1636" s="12">
        <f t="shared" si="128"/>
        <v>2015</v>
      </c>
      <c r="H1636" s="12">
        <f t="shared" si="129"/>
        <v>6</v>
      </c>
      <c r="I1636" s="11">
        <f t="shared" si="130"/>
        <v>54</v>
      </c>
      <c r="J1636" s="11"/>
    </row>
    <row r="1637" spans="1:10" x14ac:dyDescent="0.25">
      <c r="A1637" s="2">
        <v>42175</v>
      </c>
      <c r="B1637" s="3">
        <v>375</v>
      </c>
      <c r="C1637" s="4">
        <v>176250</v>
      </c>
      <c r="D1637" s="3">
        <v>731</v>
      </c>
      <c r="E1637" s="4">
        <v>213452</v>
      </c>
      <c r="G1637" s="12">
        <f t="shared" si="128"/>
        <v>2015</v>
      </c>
      <c r="H1637" s="12">
        <f t="shared" si="129"/>
        <v>6</v>
      </c>
      <c r="I1637" s="11">
        <f t="shared" si="130"/>
        <v>54</v>
      </c>
      <c r="J1637" s="11"/>
    </row>
    <row r="1638" spans="1:10" x14ac:dyDescent="0.25">
      <c r="A1638" s="2">
        <v>42176</v>
      </c>
      <c r="B1638" s="3">
        <v>400</v>
      </c>
      <c r="C1638" s="4">
        <v>188000</v>
      </c>
      <c r="D1638" s="3">
        <v>805</v>
      </c>
      <c r="E1638" s="4">
        <v>235060</v>
      </c>
      <c r="G1638" s="12">
        <f t="shared" si="128"/>
        <v>2015</v>
      </c>
      <c r="H1638" s="12">
        <f t="shared" si="129"/>
        <v>6</v>
      </c>
      <c r="I1638" s="11">
        <f t="shared" si="130"/>
        <v>54</v>
      </c>
      <c r="J1638" s="11"/>
    </row>
    <row r="1639" spans="1:10" x14ac:dyDescent="0.25">
      <c r="A1639" s="2">
        <v>42177</v>
      </c>
      <c r="B1639" s="3">
        <v>476</v>
      </c>
      <c r="C1639" s="4">
        <v>223720</v>
      </c>
      <c r="D1639" s="3">
        <v>752</v>
      </c>
      <c r="E1639" s="4">
        <v>219584</v>
      </c>
      <c r="G1639" s="12">
        <f t="shared" si="128"/>
        <v>2015</v>
      </c>
      <c r="H1639" s="12">
        <f t="shared" si="129"/>
        <v>6</v>
      </c>
      <c r="I1639" s="11">
        <f t="shared" si="130"/>
        <v>54</v>
      </c>
      <c r="J1639" s="11"/>
    </row>
    <row r="1640" spans="1:10" x14ac:dyDescent="0.25">
      <c r="A1640" s="2">
        <v>42178</v>
      </c>
      <c r="B1640" s="3">
        <v>464</v>
      </c>
      <c r="C1640" s="4">
        <v>218080</v>
      </c>
      <c r="D1640" s="3">
        <v>797</v>
      </c>
      <c r="E1640" s="4">
        <v>232724</v>
      </c>
      <c r="G1640" s="12">
        <f t="shared" si="128"/>
        <v>2015</v>
      </c>
      <c r="H1640" s="12">
        <f t="shared" si="129"/>
        <v>6</v>
      </c>
      <c r="I1640" s="11">
        <f t="shared" si="130"/>
        <v>54</v>
      </c>
      <c r="J1640" s="11"/>
    </row>
    <row r="1641" spans="1:10" x14ac:dyDescent="0.25">
      <c r="A1641" s="2">
        <v>42179</v>
      </c>
      <c r="B1641" s="3">
        <v>573</v>
      </c>
      <c r="C1641" s="4">
        <v>269310</v>
      </c>
      <c r="D1641" s="3">
        <v>763</v>
      </c>
      <c r="E1641" s="4">
        <v>222796</v>
      </c>
      <c r="G1641" s="12">
        <f t="shared" si="128"/>
        <v>2015</v>
      </c>
      <c r="H1641" s="12">
        <f t="shared" si="129"/>
        <v>6</v>
      </c>
      <c r="I1641" s="11">
        <f t="shared" si="130"/>
        <v>54</v>
      </c>
      <c r="J1641" s="11"/>
    </row>
    <row r="1642" spans="1:10" x14ac:dyDescent="0.25">
      <c r="A1642" s="2">
        <v>42180</v>
      </c>
      <c r="B1642" s="3">
        <v>485</v>
      </c>
      <c r="C1642" s="4">
        <v>227950</v>
      </c>
      <c r="D1642" s="3">
        <v>887</v>
      </c>
      <c r="E1642" s="4">
        <v>259004</v>
      </c>
      <c r="G1642" s="12">
        <f t="shared" si="128"/>
        <v>2015</v>
      </c>
      <c r="H1642" s="12">
        <f t="shared" si="129"/>
        <v>6</v>
      </c>
      <c r="I1642" s="11">
        <f t="shared" si="130"/>
        <v>54</v>
      </c>
      <c r="J1642" s="11"/>
    </row>
    <row r="1643" spans="1:10" x14ac:dyDescent="0.25">
      <c r="A1643" s="2">
        <v>42181</v>
      </c>
      <c r="B1643" s="3">
        <v>489</v>
      </c>
      <c r="C1643" s="4">
        <v>229830</v>
      </c>
      <c r="D1643" s="3">
        <v>574</v>
      </c>
      <c r="E1643" s="4">
        <v>167608</v>
      </c>
      <c r="G1643" s="12">
        <f t="shared" si="128"/>
        <v>2015</v>
      </c>
      <c r="H1643" s="12">
        <f t="shared" si="129"/>
        <v>6</v>
      </c>
      <c r="I1643" s="11">
        <f t="shared" si="130"/>
        <v>54</v>
      </c>
      <c r="J1643" s="11"/>
    </row>
    <row r="1644" spans="1:10" x14ac:dyDescent="0.25">
      <c r="A1644" s="2">
        <v>42182</v>
      </c>
      <c r="B1644" s="3">
        <v>473</v>
      </c>
      <c r="C1644" s="4">
        <v>222310</v>
      </c>
      <c r="D1644" s="3">
        <v>548</v>
      </c>
      <c r="E1644" s="4">
        <v>160016</v>
      </c>
      <c r="G1644" s="12">
        <f t="shared" si="128"/>
        <v>2015</v>
      </c>
      <c r="H1644" s="12">
        <f t="shared" si="129"/>
        <v>6</v>
      </c>
      <c r="I1644" s="11">
        <f t="shared" si="130"/>
        <v>54</v>
      </c>
      <c r="J1644" s="11"/>
    </row>
    <row r="1645" spans="1:10" x14ac:dyDescent="0.25">
      <c r="A1645" s="2">
        <v>42183</v>
      </c>
      <c r="B1645" s="3">
        <v>429</v>
      </c>
      <c r="C1645" s="4">
        <v>201630</v>
      </c>
      <c r="D1645" s="3">
        <v>879</v>
      </c>
      <c r="E1645" s="4">
        <v>256668</v>
      </c>
      <c r="G1645" s="12">
        <f t="shared" si="128"/>
        <v>2015</v>
      </c>
      <c r="H1645" s="12">
        <f t="shared" si="129"/>
        <v>6</v>
      </c>
      <c r="I1645" s="11">
        <f t="shared" si="130"/>
        <v>54</v>
      </c>
      <c r="J1645" s="11"/>
    </row>
    <row r="1646" spans="1:10" x14ac:dyDescent="0.25">
      <c r="A1646" s="2">
        <v>42184</v>
      </c>
      <c r="B1646" s="3">
        <v>456</v>
      </c>
      <c r="C1646" s="4">
        <v>214320</v>
      </c>
      <c r="D1646" s="3">
        <v>874</v>
      </c>
      <c r="E1646" s="4">
        <v>255208</v>
      </c>
      <c r="G1646" s="12">
        <f t="shared" si="128"/>
        <v>2015</v>
      </c>
      <c r="H1646" s="12">
        <f t="shared" si="129"/>
        <v>6</v>
      </c>
      <c r="I1646" s="11">
        <f t="shared" si="130"/>
        <v>54</v>
      </c>
      <c r="J1646" s="11"/>
    </row>
    <row r="1647" spans="1:10" x14ac:dyDescent="0.25">
      <c r="A1647" s="2">
        <v>42185</v>
      </c>
      <c r="B1647" s="3">
        <v>490</v>
      </c>
      <c r="C1647" s="4">
        <v>230300</v>
      </c>
      <c r="D1647" s="3">
        <v>615</v>
      </c>
      <c r="E1647" s="4">
        <v>179580</v>
      </c>
      <c r="G1647" s="12">
        <f t="shared" si="128"/>
        <v>2015</v>
      </c>
      <c r="H1647" s="12">
        <f t="shared" si="129"/>
        <v>6</v>
      </c>
      <c r="I1647" s="11">
        <f t="shared" si="130"/>
        <v>54</v>
      </c>
      <c r="J1647" s="11"/>
    </row>
    <row r="1648" spans="1:10" x14ac:dyDescent="0.25">
      <c r="A1648" s="2">
        <v>42186</v>
      </c>
      <c r="B1648" s="3">
        <v>409</v>
      </c>
      <c r="C1648" s="4">
        <v>192230</v>
      </c>
      <c r="D1648" s="3">
        <v>348</v>
      </c>
      <c r="E1648" s="4">
        <v>254040</v>
      </c>
      <c r="G1648" s="12">
        <f t="shared" si="128"/>
        <v>2015</v>
      </c>
      <c r="H1648" s="12">
        <f t="shared" si="129"/>
        <v>7</v>
      </c>
      <c r="I1648" s="11">
        <f t="shared" si="130"/>
        <v>55</v>
      </c>
      <c r="J1648" s="11"/>
    </row>
    <row r="1649" spans="1:10" x14ac:dyDescent="0.25">
      <c r="A1649" s="2">
        <v>42187</v>
      </c>
      <c r="B1649" s="3">
        <v>477</v>
      </c>
      <c r="C1649" s="4">
        <v>224190</v>
      </c>
      <c r="D1649" s="3">
        <v>269</v>
      </c>
      <c r="E1649" s="4">
        <v>196370</v>
      </c>
      <c r="G1649" s="12">
        <f t="shared" si="128"/>
        <v>2015</v>
      </c>
      <c r="H1649" s="12">
        <f t="shared" si="129"/>
        <v>7</v>
      </c>
      <c r="I1649" s="11">
        <f t="shared" si="130"/>
        <v>55</v>
      </c>
      <c r="J1649" s="11"/>
    </row>
    <row r="1650" spans="1:10" x14ac:dyDescent="0.25">
      <c r="A1650" s="2">
        <v>42188</v>
      </c>
      <c r="B1650" s="3">
        <v>543</v>
      </c>
      <c r="C1650" s="4">
        <v>255210</v>
      </c>
      <c r="D1650" s="3">
        <v>292</v>
      </c>
      <c r="E1650" s="4">
        <v>213160</v>
      </c>
      <c r="G1650" s="12">
        <f t="shared" si="128"/>
        <v>2015</v>
      </c>
      <c r="H1650" s="12">
        <f t="shared" si="129"/>
        <v>7</v>
      </c>
      <c r="I1650" s="11">
        <f t="shared" si="130"/>
        <v>55</v>
      </c>
      <c r="J1650" s="11"/>
    </row>
    <row r="1651" spans="1:10" x14ac:dyDescent="0.25">
      <c r="A1651" s="2">
        <v>42189</v>
      </c>
      <c r="B1651" s="3">
        <v>359</v>
      </c>
      <c r="C1651" s="4">
        <v>168730</v>
      </c>
      <c r="D1651" s="3">
        <v>284</v>
      </c>
      <c r="E1651" s="4">
        <v>207320</v>
      </c>
      <c r="G1651" s="12">
        <f t="shared" si="128"/>
        <v>2015</v>
      </c>
      <c r="H1651" s="12">
        <f t="shared" si="129"/>
        <v>7</v>
      </c>
      <c r="I1651" s="11">
        <f t="shared" si="130"/>
        <v>55</v>
      </c>
      <c r="J1651" s="11"/>
    </row>
    <row r="1652" spans="1:10" x14ac:dyDescent="0.25">
      <c r="A1652" s="2">
        <v>42190</v>
      </c>
      <c r="B1652" s="3">
        <v>453</v>
      </c>
      <c r="C1652" s="4">
        <v>212910</v>
      </c>
      <c r="D1652" s="3">
        <v>288</v>
      </c>
      <c r="E1652" s="4">
        <v>210240</v>
      </c>
      <c r="G1652" s="12">
        <f t="shared" si="128"/>
        <v>2015</v>
      </c>
      <c r="H1652" s="12">
        <f t="shared" si="129"/>
        <v>7</v>
      </c>
      <c r="I1652" s="11">
        <f t="shared" si="130"/>
        <v>55</v>
      </c>
      <c r="J1652" s="11"/>
    </row>
    <row r="1653" spans="1:10" x14ac:dyDescent="0.25">
      <c r="A1653" s="2">
        <v>42191</v>
      </c>
      <c r="B1653" s="3">
        <v>444</v>
      </c>
      <c r="C1653" s="4">
        <v>208680</v>
      </c>
      <c r="D1653" s="3">
        <v>369</v>
      </c>
      <c r="E1653" s="4">
        <v>269370</v>
      </c>
      <c r="G1653" s="12">
        <f t="shared" si="128"/>
        <v>2015</v>
      </c>
      <c r="H1653" s="12">
        <f t="shared" si="129"/>
        <v>7</v>
      </c>
      <c r="I1653" s="11">
        <f t="shared" si="130"/>
        <v>55</v>
      </c>
      <c r="J1653" s="11"/>
    </row>
    <row r="1654" spans="1:10" x14ac:dyDescent="0.25">
      <c r="A1654" s="2">
        <v>42192</v>
      </c>
      <c r="B1654" s="3">
        <v>520</v>
      </c>
      <c r="C1654" s="4">
        <v>244400</v>
      </c>
      <c r="D1654" s="3">
        <v>285</v>
      </c>
      <c r="E1654" s="4">
        <v>208050</v>
      </c>
      <c r="G1654" s="12">
        <f t="shared" si="128"/>
        <v>2015</v>
      </c>
      <c r="H1654" s="12">
        <f t="shared" si="129"/>
        <v>7</v>
      </c>
      <c r="I1654" s="11">
        <f t="shared" si="130"/>
        <v>55</v>
      </c>
      <c r="J1654" s="11"/>
    </row>
    <row r="1655" spans="1:10" x14ac:dyDescent="0.25">
      <c r="A1655" s="2">
        <v>42193</v>
      </c>
      <c r="B1655" s="3">
        <v>448</v>
      </c>
      <c r="C1655" s="4">
        <v>210560</v>
      </c>
      <c r="D1655" s="3">
        <v>253</v>
      </c>
      <c r="E1655" s="4">
        <v>184690</v>
      </c>
      <c r="G1655" s="12">
        <f t="shared" si="128"/>
        <v>2015</v>
      </c>
      <c r="H1655" s="12">
        <f t="shared" si="129"/>
        <v>7</v>
      </c>
      <c r="I1655" s="11">
        <f t="shared" si="130"/>
        <v>55</v>
      </c>
      <c r="J1655" s="11"/>
    </row>
    <row r="1656" spans="1:10" x14ac:dyDescent="0.25">
      <c r="A1656" s="2">
        <v>42194</v>
      </c>
      <c r="B1656" s="3">
        <v>475</v>
      </c>
      <c r="C1656" s="4">
        <v>223250</v>
      </c>
      <c r="D1656" s="3">
        <v>288</v>
      </c>
      <c r="E1656" s="4">
        <v>210240</v>
      </c>
      <c r="G1656" s="12">
        <f t="shared" si="128"/>
        <v>2015</v>
      </c>
      <c r="H1656" s="12">
        <f t="shared" si="129"/>
        <v>7</v>
      </c>
      <c r="I1656" s="11">
        <f t="shared" si="130"/>
        <v>55</v>
      </c>
      <c r="J1656" s="11"/>
    </row>
    <row r="1657" spans="1:10" x14ac:dyDescent="0.25">
      <c r="A1657" s="2">
        <v>42195</v>
      </c>
      <c r="B1657" s="3">
        <v>536</v>
      </c>
      <c r="C1657" s="4">
        <v>251920</v>
      </c>
      <c r="D1657" s="3">
        <v>309</v>
      </c>
      <c r="E1657" s="4">
        <v>225570</v>
      </c>
      <c r="G1657" s="12">
        <f t="shared" si="128"/>
        <v>2015</v>
      </c>
      <c r="H1657" s="12">
        <f t="shared" si="129"/>
        <v>7</v>
      </c>
      <c r="I1657" s="11">
        <f t="shared" si="130"/>
        <v>55</v>
      </c>
      <c r="J1657" s="11"/>
    </row>
    <row r="1658" spans="1:10" x14ac:dyDescent="0.25">
      <c r="A1658" s="2">
        <v>42196</v>
      </c>
      <c r="B1658" s="3">
        <v>516</v>
      </c>
      <c r="C1658" s="4">
        <v>242520</v>
      </c>
      <c r="D1658" s="3">
        <v>322</v>
      </c>
      <c r="E1658" s="4">
        <v>235060</v>
      </c>
      <c r="G1658" s="12">
        <f t="shared" si="128"/>
        <v>2015</v>
      </c>
      <c r="H1658" s="12">
        <f t="shared" si="129"/>
        <v>7</v>
      </c>
      <c r="I1658" s="11">
        <f t="shared" si="130"/>
        <v>55</v>
      </c>
      <c r="J1658" s="11"/>
    </row>
    <row r="1659" spans="1:10" x14ac:dyDescent="0.25">
      <c r="A1659" s="2">
        <v>42197</v>
      </c>
      <c r="B1659" s="3">
        <v>405</v>
      </c>
      <c r="C1659" s="4">
        <v>190350</v>
      </c>
      <c r="D1659" s="3">
        <v>280</v>
      </c>
      <c r="E1659" s="4">
        <v>204400</v>
      </c>
      <c r="G1659" s="12">
        <f t="shared" si="128"/>
        <v>2015</v>
      </c>
      <c r="H1659" s="12">
        <f t="shared" si="129"/>
        <v>7</v>
      </c>
      <c r="I1659" s="11">
        <f t="shared" si="130"/>
        <v>55</v>
      </c>
      <c r="J1659" s="11"/>
    </row>
    <row r="1660" spans="1:10" x14ac:dyDescent="0.25">
      <c r="A1660" s="2">
        <v>42198</v>
      </c>
      <c r="B1660" s="3">
        <v>428</v>
      </c>
      <c r="C1660" s="4">
        <v>201160</v>
      </c>
      <c r="D1660" s="3">
        <v>252</v>
      </c>
      <c r="E1660" s="4">
        <v>183960</v>
      </c>
      <c r="G1660" s="12">
        <f t="shared" si="128"/>
        <v>2015</v>
      </c>
      <c r="H1660" s="12">
        <f t="shared" si="129"/>
        <v>7</v>
      </c>
      <c r="I1660" s="11">
        <f t="shared" si="130"/>
        <v>55</v>
      </c>
      <c r="J1660" s="11"/>
    </row>
    <row r="1661" spans="1:10" x14ac:dyDescent="0.25">
      <c r="A1661" s="2">
        <v>42199</v>
      </c>
      <c r="B1661" s="3">
        <v>478</v>
      </c>
      <c r="C1661" s="4">
        <v>224660</v>
      </c>
      <c r="D1661" s="3">
        <v>348</v>
      </c>
      <c r="E1661" s="4">
        <v>254040</v>
      </c>
      <c r="G1661" s="12">
        <f t="shared" si="128"/>
        <v>2015</v>
      </c>
      <c r="H1661" s="12">
        <f t="shared" si="129"/>
        <v>7</v>
      </c>
      <c r="I1661" s="11">
        <f t="shared" si="130"/>
        <v>55</v>
      </c>
      <c r="J1661" s="11"/>
    </row>
    <row r="1662" spans="1:10" x14ac:dyDescent="0.25">
      <c r="A1662" s="2">
        <v>42200</v>
      </c>
      <c r="B1662" s="3">
        <v>480</v>
      </c>
      <c r="C1662" s="4">
        <v>225600</v>
      </c>
      <c r="D1662" s="3">
        <v>306</v>
      </c>
      <c r="E1662" s="4">
        <v>223380</v>
      </c>
      <c r="G1662" s="12">
        <f t="shared" si="128"/>
        <v>2015</v>
      </c>
      <c r="H1662" s="12">
        <f t="shared" si="129"/>
        <v>7</v>
      </c>
      <c r="I1662" s="11">
        <f t="shared" si="130"/>
        <v>55</v>
      </c>
      <c r="J1662" s="11"/>
    </row>
    <row r="1663" spans="1:10" x14ac:dyDescent="0.25">
      <c r="A1663" s="2">
        <v>42201</v>
      </c>
      <c r="B1663" s="3">
        <v>501</v>
      </c>
      <c r="C1663" s="4">
        <v>235470</v>
      </c>
      <c r="D1663" s="3">
        <v>300</v>
      </c>
      <c r="E1663" s="4">
        <v>219000</v>
      </c>
      <c r="G1663" s="12">
        <f t="shared" si="128"/>
        <v>2015</v>
      </c>
      <c r="H1663" s="12">
        <f t="shared" si="129"/>
        <v>7</v>
      </c>
      <c r="I1663" s="11">
        <f t="shared" si="130"/>
        <v>55</v>
      </c>
      <c r="J1663" s="11"/>
    </row>
    <row r="1664" spans="1:10" x14ac:dyDescent="0.25">
      <c r="A1664" s="2">
        <v>42202</v>
      </c>
      <c r="B1664" s="3">
        <v>382</v>
      </c>
      <c r="C1664" s="4">
        <v>179540</v>
      </c>
      <c r="D1664" s="3">
        <v>351</v>
      </c>
      <c r="E1664" s="4">
        <v>256230</v>
      </c>
      <c r="G1664" s="12">
        <f t="shared" si="128"/>
        <v>2015</v>
      </c>
      <c r="H1664" s="12">
        <f t="shared" si="129"/>
        <v>7</v>
      </c>
      <c r="I1664" s="11">
        <f t="shared" si="130"/>
        <v>55</v>
      </c>
      <c r="J1664" s="11"/>
    </row>
    <row r="1665" spans="1:10" x14ac:dyDescent="0.25">
      <c r="A1665" s="2">
        <v>42203</v>
      </c>
      <c r="B1665" s="3">
        <v>502</v>
      </c>
      <c r="C1665" s="4">
        <v>235940</v>
      </c>
      <c r="D1665" s="3">
        <v>326</v>
      </c>
      <c r="E1665" s="4">
        <v>237980</v>
      </c>
      <c r="G1665" s="12">
        <f t="shared" si="128"/>
        <v>2015</v>
      </c>
      <c r="H1665" s="12">
        <f t="shared" si="129"/>
        <v>7</v>
      </c>
      <c r="I1665" s="11">
        <f t="shared" si="130"/>
        <v>55</v>
      </c>
      <c r="J1665" s="11"/>
    </row>
    <row r="1666" spans="1:10" x14ac:dyDescent="0.25">
      <c r="A1666" s="2">
        <v>42204</v>
      </c>
      <c r="B1666" s="3">
        <v>579</v>
      </c>
      <c r="C1666" s="4">
        <v>272130</v>
      </c>
      <c r="D1666" s="3">
        <v>327</v>
      </c>
      <c r="E1666" s="4">
        <v>238710</v>
      </c>
      <c r="G1666" s="12">
        <f t="shared" si="128"/>
        <v>2015</v>
      </c>
      <c r="H1666" s="12">
        <f t="shared" si="129"/>
        <v>7</v>
      </c>
      <c r="I1666" s="11">
        <f t="shared" si="130"/>
        <v>55</v>
      </c>
      <c r="J1666" s="11"/>
    </row>
    <row r="1667" spans="1:10" x14ac:dyDescent="0.25">
      <c r="A1667" s="2">
        <v>42205</v>
      </c>
      <c r="B1667" s="3">
        <v>560</v>
      </c>
      <c r="C1667" s="4">
        <v>263200</v>
      </c>
      <c r="D1667" s="3">
        <v>267</v>
      </c>
      <c r="E1667" s="4">
        <v>194910</v>
      </c>
      <c r="G1667" s="12">
        <f t="shared" si="128"/>
        <v>2015</v>
      </c>
      <c r="H1667" s="12">
        <f t="shared" si="129"/>
        <v>7</v>
      </c>
      <c r="I1667" s="11">
        <f t="shared" si="130"/>
        <v>55</v>
      </c>
      <c r="J1667" s="11"/>
    </row>
    <row r="1668" spans="1:10" x14ac:dyDescent="0.25">
      <c r="A1668" s="2">
        <v>42206</v>
      </c>
      <c r="B1668" s="3">
        <v>454</v>
      </c>
      <c r="C1668" s="4">
        <v>213380</v>
      </c>
      <c r="D1668" s="3">
        <v>313</v>
      </c>
      <c r="E1668" s="4">
        <v>228490</v>
      </c>
      <c r="G1668" s="12">
        <f t="shared" si="128"/>
        <v>2015</v>
      </c>
      <c r="H1668" s="12">
        <f t="shared" si="129"/>
        <v>7</v>
      </c>
      <c r="I1668" s="11">
        <f t="shared" si="130"/>
        <v>55</v>
      </c>
      <c r="J1668" s="11"/>
    </row>
    <row r="1669" spans="1:10" x14ac:dyDescent="0.25">
      <c r="A1669" s="2">
        <v>42207</v>
      </c>
      <c r="B1669" s="3">
        <v>500</v>
      </c>
      <c r="C1669" s="4">
        <v>235000</v>
      </c>
      <c r="D1669" s="3">
        <v>350</v>
      </c>
      <c r="E1669" s="4">
        <v>255500</v>
      </c>
      <c r="G1669" s="12">
        <f t="shared" si="128"/>
        <v>2015</v>
      </c>
      <c r="H1669" s="12">
        <f t="shared" si="129"/>
        <v>7</v>
      </c>
      <c r="I1669" s="11">
        <f t="shared" si="130"/>
        <v>55</v>
      </c>
      <c r="J1669" s="11"/>
    </row>
    <row r="1670" spans="1:10" x14ac:dyDescent="0.25">
      <c r="A1670" s="2">
        <v>42208</v>
      </c>
      <c r="B1670" s="3">
        <v>421</v>
      </c>
      <c r="C1670" s="4">
        <v>197870</v>
      </c>
      <c r="D1670" s="3">
        <v>305</v>
      </c>
      <c r="E1670" s="4">
        <v>222650</v>
      </c>
      <c r="G1670" s="12">
        <f t="shared" ref="G1670:G1733" si="131">+YEAR(A1670)</f>
        <v>2015</v>
      </c>
      <c r="H1670" s="12">
        <f t="shared" ref="H1670:H1733" si="132">+MONTH(A1670)</f>
        <v>7</v>
      </c>
      <c r="I1670" s="11">
        <f t="shared" si="130"/>
        <v>55</v>
      </c>
      <c r="J1670" s="11"/>
    </row>
    <row r="1671" spans="1:10" x14ac:dyDescent="0.25">
      <c r="A1671" s="2">
        <v>42209</v>
      </c>
      <c r="B1671" s="3">
        <v>461</v>
      </c>
      <c r="C1671" s="4">
        <v>216670</v>
      </c>
      <c r="D1671" s="3">
        <v>275</v>
      </c>
      <c r="E1671" s="4">
        <v>200750</v>
      </c>
      <c r="G1671" s="12">
        <f t="shared" si="131"/>
        <v>2015</v>
      </c>
      <c r="H1671" s="12">
        <f t="shared" si="132"/>
        <v>7</v>
      </c>
      <c r="I1671" s="11">
        <f t="shared" ref="I1671:I1734" si="133">+H1671+(G1671-2011)*12</f>
        <v>55</v>
      </c>
      <c r="J1671" s="11"/>
    </row>
    <row r="1672" spans="1:10" x14ac:dyDescent="0.25">
      <c r="A1672" s="2">
        <v>42210</v>
      </c>
      <c r="B1672" s="3">
        <v>479</v>
      </c>
      <c r="C1672" s="4">
        <v>225130</v>
      </c>
      <c r="D1672" s="3">
        <v>269</v>
      </c>
      <c r="E1672" s="4">
        <v>196370</v>
      </c>
      <c r="G1672" s="12">
        <f t="shared" si="131"/>
        <v>2015</v>
      </c>
      <c r="H1672" s="12">
        <f t="shared" si="132"/>
        <v>7</v>
      </c>
      <c r="I1672" s="11">
        <f t="shared" si="133"/>
        <v>55</v>
      </c>
      <c r="J1672" s="11"/>
    </row>
    <row r="1673" spans="1:10" x14ac:dyDescent="0.25">
      <c r="A1673" s="2">
        <v>42211</v>
      </c>
      <c r="B1673" s="3">
        <v>495</v>
      </c>
      <c r="C1673" s="4">
        <v>232650</v>
      </c>
      <c r="D1673" s="3">
        <v>311</v>
      </c>
      <c r="E1673" s="4">
        <v>227030</v>
      </c>
      <c r="G1673" s="12">
        <f t="shared" si="131"/>
        <v>2015</v>
      </c>
      <c r="H1673" s="12">
        <f t="shared" si="132"/>
        <v>7</v>
      </c>
      <c r="I1673" s="11">
        <f t="shared" si="133"/>
        <v>55</v>
      </c>
      <c r="J1673" s="11"/>
    </row>
    <row r="1674" spans="1:10" x14ac:dyDescent="0.25">
      <c r="A1674" s="2">
        <v>42212</v>
      </c>
      <c r="B1674" s="3">
        <v>458</v>
      </c>
      <c r="C1674" s="4">
        <v>215260</v>
      </c>
      <c r="D1674" s="3">
        <v>283</v>
      </c>
      <c r="E1674" s="4">
        <v>206590</v>
      </c>
      <c r="G1674" s="12">
        <f t="shared" si="131"/>
        <v>2015</v>
      </c>
      <c r="H1674" s="12">
        <f t="shared" si="132"/>
        <v>7</v>
      </c>
      <c r="I1674" s="11">
        <f t="shared" si="133"/>
        <v>55</v>
      </c>
      <c r="J1674" s="11"/>
    </row>
    <row r="1675" spans="1:10" x14ac:dyDescent="0.25">
      <c r="A1675" s="2">
        <v>42213</v>
      </c>
      <c r="B1675" s="3">
        <v>432</v>
      </c>
      <c r="C1675" s="4">
        <v>203040</v>
      </c>
      <c r="D1675" s="3">
        <v>244</v>
      </c>
      <c r="E1675" s="4">
        <v>178120</v>
      </c>
      <c r="G1675" s="12">
        <f t="shared" si="131"/>
        <v>2015</v>
      </c>
      <c r="H1675" s="12">
        <f t="shared" si="132"/>
        <v>7</v>
      </c>
      <c r="I1675" s="11">
        <f t="shared" si="133"/>
        <v>55</v>
      </c>
      <c r="J1675" s="11"/>
    </row>
    <row r="1676" spans="1:10" x14ac:dyDescent="0.25">
      <c r="A1676" s="2">
        <v>42214</v>
      </c>
      <c r="B1676" s="3">
        <v>500</v>
      </c>
      <c r="C1676" s="4">
        <v>235000</v>
      </c>
      <c r="D1676" s="3">
        <v>328</v>
      </c>
      <c r="E1676" s="4">
        <v>239440</v>
      </c>
      <c r="G1676" s="12">
        <f t="shared" si="131"/>
        <v>2015</v>
      </c>
      <c r="H1676" s="12">
        <f t="shared" si="132"/>
        <v>7</v>
      </c>
      <c r="I1676" s="11">
        <f t="shared" si="133"/>
        <v>55</v>
      </c>
      <c r="J1676" s="11"/>
    </row>
    <row r="1677" spans="1:10" x14ac:dyDescent="0.25">
      <c r="A1677" s="2">
        <v>42215</v>
      </c>
      <c r="B1677" s="3">
        <v>461</v>
      </c>
      <c r="C1677" s="4">
        <v>216670</v>
      </c>
      <c r="D1677" s="3">
        <v>310</v>
      </c>
      <c r="E1677" s="4">
        <v>226300</v>
      </c>
      <c r="G1677" s="12">
        <f t="shared" si="131"/>
        <v>2015</v>
      </c>
      <c r="H1677" s="12">
        <f t="shared" si="132"/>
        <v>7</v>
      </c>
      <c r="I1677" s="11">
        <f t="shared" si="133"/>
        <v>55</v>
      </c>
      <c r="J1677" s="11"/>
    </row>
    <row r="1678" spans="1:10" x14ac:dyDescent="0.25">
      <c r="A1678" s="2">
        <v>42216</v>
      </c>
      <c r="B1678" s="3">
        <v>418</v>
      </c>
      <c r="C1678" s="4">
        <v>196460</v>
      </c>
      <c r="D1678" s="3">
        <v>270</v>
      </c>
      <c r="E1678" s="4">
        <v>197100</v>
      </c>
      <c r="G1678" s="12">
        <f t="shared" si="131"/>
        <v>2015</v>
      </c>
      <c r="H1678" s="12">
        <f t="shared" si="132"/>
        <v>7</v>
      </c>
      <c r="I1678" s="11">
        <f t="shared" si="133"/>
        <v>55</v>
      </c>
      <c r="J1678" s="11"/>
    </row>
    <row r="1679" spans="1:10" x14ac:dyDescent="0.25">
      <c r="A1679" s="2">
        <v>42217</v>
      </c>
      <c r="B1679" s="3">
        <v>744</v>
      </c>
      <c r="C1679" s="4">
        <v>349680</v>
      </c>
      <c r="D1679" s="3">
        <v>342</v>
      </c>
      <c r="E1679" s="4">
        <v>249660</v>
      </c>
      <c r="G1679" s="12">
        <f t="shared" si="131"/>
        <v>2015</v>
      </c>
      <c r="H1679" s="12">
        <f t="shared" si="132"/>
        <v>8</v>
      </c>
      <c r="I1679" s="11">
        <f t="shared" si="133"/>
        <v>56</v>
      </c>
      <c r="J1679" s="11"/>
    </row>
    <row r="1680" spans="1:10" x14ac:dyDescent="0.25">
      <c r="A1680" s="2">
        <v>42218</v>
      </c>
      <c r="B1680" s="3">
        <v>706</v>
      </c>
      <c r="C1680" s="4">
        <v>331820</v>
      </c>
      <c r="D1680" s="3">
        <v>286</v>
      </c>
      <c r="E1680" s="4">
        <v>208780</v>
      </c>
      <c r="G1680" s="12">
        <f t="shared" si="131"/>
        <v>2015</v>
      </c>
      <c r="H1680" s="12">
        <f t="shared" si="132"/>
        <v>8</v>
      </c>
      <c r="I1680" s="11">
        <f t="shared" si="133"/>
        <v>56</v>
      </c>
      <c r="J1680" s="11"/>
    </row>
    <row r="1681" spans="1:10" x14ac:dyDescent="0.25">
      <c r="A1681" s="2">
        <v>42219</v>
      </c>
      <c r="B1681" s="3">
        <v>642</v>
      </c>
      <c r="C1681" s="4">
        <v>301740</v>
      </c>
      <c r="D1681" s="3">
        <v>346</v>
      </c>
      <c r="E1681" s="4">
        <v>252580</v>
      </c>
      <c r="G1681" s="12">
        <f t="shared" si="131"/>
        <v>2015</v>
      </c>
      <c r="H1681" s="12">
        <f t="shared" si="132"/>
        <v>8</v>
      </c>
      <c r="I1681" s="11">
        <f t="shared" si="133"/>
        <v>56</v>
      </c>
      <c r="J1681" s="11"/>
    </row>
    <row r="1682" spans="1:10" x14ac:dyDescent="0.25">
      <c r="A1682" s="2">
        <v>42220</v>
      </c>
      <c r="B1682" s="3">
        <v>763</v>
      </c>
      <c r="C1682" s="4">
        <v>358610</v>
      </c>
      <c r="D1682" s="3">
        <v>272</v>
      </c>
      <c r="E1682" s="4">
        <v>198560</v>
      </c>
      <c r="G1682" s="12">
        <f t="shared" si="131"/>
        <v>2015</v>
      </c>
      <c r="H1682" s="12">
        <f t="shared" si="132"/>
        <v>8</v>
      </c>
      <c r="I1682" s="11">
        <f t="shared" si="133"/>
        <v>56</v>
      </c>
      <c r="J1682" s="11"/>
    </row>
    <row r="1683" spans="1:10" x14ac:dyDescent="0.25">
      <c r="A1683" s="2">
        <v>42221</v>
      </c>
      <c r="B1683" s="3">
        <v>709</v>
      </c>
      <c r="C1683" s="4">
        <v>333230</v>
      </c>
      <c r="D1683" s="3">
        <v>300</v>
      </c>
      <c r="E1683" s="4">
        <v>219000</v>
      </c>
      <c r="G1683" s="12">
        <f t="shared" si="131"/>
        <v>2015</v>
      </c>
      <c r="H1683" s="12">
        <f t="shared" si="132"/>
        <v>8</v>
      </c>
      <c r="I1683" s="11">
        <f t="shared" si="133"/>
        <v>56</v>
      </c>
      <c r="J1683" s="11"/>
    </row>
    <row r="1684" spans="1:10" x14ac:dyDescent="0.25">
      <c r="A1684" s="2">
        <v>42222</v>
      </c>
      <c r="B1684" s="3">
        <v>700</v>
      </c>
      <c r="C1684" s="4">
        <v>329000</v>
      </c>
      <c r="D1684" s="3">
        <v>276</v>
      </c>
      <c r="E1684" s="4">
        <v>201480</v>
      </c>
      <c r="G1684" s="12">
        <f t="shared" si="131"/>
        <v>2015</v>
      </c>
      <c r="H1684" s="12">
        <f t="shared" si="132"/>
        <v>8</v>
      </c>
      <c r="I1684" s="11">
        <f t="shared" si="133"/>
        <v>56</v>
      </c>
      <c r="J1684" s="11"/>
    </row>
    <row r="1685" spans="1:10" x14ac:dyDescent="0.25">
      <c r="A1685" s="2">
        <v>42223</v>
      </c>
      <c r="B1685" s="3">
        <v>569</v>
      </c>
      <c r="C1685" s="4">
        <v>267430</v>
      </c>
      <c r="D1685" s="3">
        <v>273</v>
      </c>
      <c r="E1685" s="4">
        <v>199290</v>
      </c>
      <c r="G1685" s="12">
        <f t="shared" si="131"/>
        <v>2015</v>
      </c>
      <c r="H1685" s="12">
        <f t="shared" si="132"/>
        <v>8</v>
      </c>
      <c r="I1685" s="11">
        <f t="shared" si="133"/>
        <v>56</v>
      </c>
      <c r="J1685" s="11"/>
    </row>
    <row r="1686" spans="1:10" x14ac:dyDescent="0.25">
      <c r="A1686" s="2">
        <v>42224</v>
      </c>
      <c r="B1686" s="3">
        <v>663</v>
      </c>
      <c r="C1686" s="4">
        <v>311610</v>
      </c>
      <c r="D1686" s="3">
        <v>353</v>
      </c>
      <c r="E1686" s="4">
        <v>257690</v>
      </c>
      <c r="G1686" s="12">
        <f t="shared" si="131"/>
        <v>2015</v>
      </c>
      <c r="H1686" s="12">
        <f t="shared" si="132"/>
        <v>8</v>
      </c>
      <c r="I1686" s="11">
        <f t="shared" si="133"/>
        <v>56</v>
      </c>
      <c r="J1686" s="11"/>
    </row>
    <row r="1687" spans="1:10" x14ac:dyDescent="0.25">
      <c r="A1687" s="2">
        <v>42225</v>
      </c>
      <c r="B1687" s="3">
        <v>747</v>
      </c>
      <c r="C1687" s="4">
        <v>351090</v>
      </c>
      <c r="D1687" s="3">
        <v>351</v>
      </c>
      <c r="E1687" s="4">
        <v>256230</v>
      </c>
      <c r="G1687" s="12">
        <f t="shared" si="131"/>
        <v>2015</v>
      </c>
      <c r="H1687" s="12">
        <f t="shared" si="132"/>
        <v>8</v>
      </c>
      <c r="I1687" s="11">
        <f t="shared" si="133"/>
        <v>56</v>
      </c>
      <c r="J1687" s="11"/>
    </row>
    <row r="1688" spans="1:10" x14ac:dyDescent="0.25">
      <c r="A1688" s="2">
        <v>42226</v>
      </c>
      <c r="B1688" s="3">
        <v>806</v>
      </c>
      <c r="C1688" s="4">
        <v>378820</v>
      </c>
      <c r="D1688" s="3">
        <v>282</v>
      </c>
      <c r="E1688" s="4">
        <v>205860</v>
      </c>
      <c r="G1688" s="12">
        <f t="shared" si="131"/>
        <v>2015</v>
      </c>
      <c r="H1688" s="12">
        <f t="shared" si="132"/>
        <v>8</v>
      </c>
      <c r="I1688" s="11">
        <f t="shared" si="133"/>
        <v>56</v>
      </c>
      <c r="J1688" s="11"/>
    </row>
    <row r="1689" spans="1:10" x14ac:dyDescent="0.25">
      <c r="A1689" s="2">
        <v>42227</v>
      </c>
      <c r="B1689" s="3">
        <v>665</v>
      </c>
      <c r="C1689" s="4">
        <v>312550</v>
      </c>
      <c r="D1689" s="3">
        <v>322</v>
      </c>
      <c r="E1689" s="4">
        <v>235060</v>
      </c>
      <c r="G1689" s="12">
        <f t="shared" si="131"/>
        <v>2015</v>
      </c>
      <c r="H1689" s="12">
        <f t="shared" si="132"/>
        <v>8</v>
      </c>
      <c r="I1689" s="11">
        <f t="shared" si="133"/>
        <v>56</v>
      </c>
      <c r="J1689" s="11"/>
    </row>
    <row r="1690" spans="1:10" x14ac:dyDescent="0.25">
      <c r="A1690" s="2">
        <v>42228</v>
      </c>
      <c r="B1690" s="3">
        <v>579</v>
      </c>
      <c r="C1690" s="4">
        <v>272130</v>
      </c>
      <c r="D1690" s="3">
        <v>323</v>
      </c>
      <c r="E1690" s="4">
        <v>235790</v>
      </c>
      <c r="G1690" s="12">
        <f t="shared" si="131"/>
        <v>2015</v>
      </c>
      <c r="H1690" s="12">
        <f t="shared" si="132"/>
        <v>8</v>
      </c>
      <c r="I1690" s="11">
        <f t="shared" si="133"/>
        <v>56</v>
      </c>
      <c r="J1690" s="11"/>
    </row>
    <row r="1691" spans="1:10" x14ac:dyDescent="0.25">
      <c r="A1691" s="2">
        <v>42229</v>
      </c>
      <c r="B1691" s="3">
        <v>701</v>
      </c>
      <c r="C1691" s="4">
        <v>329470</v>
      </c>
      <c r="D1691" s="3">
        <v>286</v>
      </c>
      <c r="E1691" s="4">
        <v>208780</v>
      </c>
      <c r="G1691" s="12">
        <f t="shared" si="131"/>
        <v>2015</v>
      </c>
      <c r="H1691" s="12">
        <f t="shared" si="132"/>
        <v>8</v>
      </c>
      <c r="I1691" s="11">
        <f t="shared" si="133"/>
        <v>56</v>
      </c>
      <c r="J1691" s="11"/>
    </row>
    <row r="1692" spans="1:10" x14ac:dyDescent="0.25">
      <c r="A1692" s="2">
        <v>42230</v>
      </c>
      <c r="B1692" s="3">
        <v>742</v>
      </c>
      <c r="C1692" s="4">
        <v>348740</v>
      </c>
      <c r="D1692" s="3">
        <v>302</v>
      </c>
      <c r="E1692" s="4">
        <v>220460</v>
      </c>
      <c r="G1692" s="12">
        <f t="shared" si="131"/>
        <v>2015</v>
      </c>
      <c r="H1692" s="12">
        <f t="shared" si="132"/>
        <v>8</v>
      </c>
      <c r="I1692" s="11">
        <f t="shared" si="133"/>
        <v>56</v>
      </c>
      <c r="J1692" s="11"/>
    </row>
    <row r="1693" spans="1:10" x14ac:dyDescent="0.25">
      <c r="A1693" s="2">
        <v>42231</v>
      </c>
      <c r="B1693" s="3">
        <v>679</v>
      </c>
      <c r="C1693" s="4">
        <v>319130</v>
      </c>
      <c r="D1693" s="3">
        <v>326</v>
      </c>
      <c r="E1693" s="4">
        <v>237980</v>
      </c>
      <c r="G1693" s="12">
        <f t="shared" si="131"/>
        <v>2015</v>
      </c>
      <c r="H1693" s="12">
        <f t="shared" si="132"/>
        <v>8</v>
      </c>
      <c r="I1693" s="11">
        <f t="shared" si="133"/>
        <v>56</v>
      </c>
      <c r="J1693" s="11"/>
    </row>
    <row r="1694" spans="1:10" x14ac:dyDescent="0.25">
      <c r="A1694" s="2">
        <v>42232</v>
      </c>
      <c r="B1694" s="3">
        <v>793</v>
      </c>
      <c r="C1694" s="4">
        <v>372710</v>
      </c>
      <c r="D1694" s="3">
        <v>271</v>
      </c>
      <c r="E1694" s="4">
        <v>197830</v>
      </c>
      <c r="G1694" s="12">
        <f t="shared" si="131"/>
        <v>2015</v>
      </c>
      <c r="H1694" s="12">
        <f t="shared" si="132"/>
        <v>8</v>
      </c>
      <c r="I1694" s="11">
        <f t="shared" si="133"/>
        <v>56</v>
      </c>
      <c r="J1694" s="11"/>
    </row>
    <row r="1695" spans="1:10" x14ac:dyDescent="0.25">
      <c r="A1695" s="2">
        <v>42233</v>
      </c>
      <c r="B1695" s="3">
        <v>763</v>
      </c>
      <c r="C1695" s="4">
        <v>358610</v>
      </c>
      <c r="D1695" s="3">
        <v>304</v>
      </c>
      <c r="E1695" s="4">
        <v>221920</v>
      </c>
      <c r="G1695" s="12">
        <f t="shared" si="131"/>
        <v>2015</v>
      </c>
      <c r="H1695" s="12">
        <f t="shared" si="132"/>
        <v>8</v>
      </c>
      <c r="I1695" s="11">
        <f t="shared" si="133"/>
        <v>56</v>
      </c>
      <c r="J1695" s="11"/>
    </row>
    <row r="1696" spans="1:10" x14ac:dyDescent="0.25">
      <c r="A1696" s="2">
        <v>42234</v>
      </c>
      <c r="B1696" s="3">
        <v>825</v>
      </c>
      <c r="C1696" s="4">
        <v>387750</v>
      </c>
      <c r="D1696" s="3">
        <v>245</v>
      </c>
      <c r="E1696" s="4">
        <v>178850</v>
      </c>
      <c r="G1696" s="12">
        <f t="shared" si="131"/>
        <v>2015</v>
      </c>
      <c r="H1696" s="12">
        <f t="shared" si="132"/>
        <v>8</v>
      </c>
      <c r="I1696" s="11">
        <f t="shared" si="133"/>
        <v>56</v>
      </c>
      <c r="J1696" s="11"/>
    </row>
    <row r="1697" spans="1:10" x14ac:dyDescent="0.25">
      <c r="A1697" s="2">
        <v>42235</v>
      </c>
      <c r="B1697" s="3">
        <v>684</v>
      </c>
      <c r="C1697" s="4">
        <v>321480</v>
      </c>
      <c r="D1697" s="3">
        <v>344</v>
      </c>
      <c r="E1697" s="4">
        <v>251120</v>
      </c>
      <c r="G1697" s="12">
        <f t="shared" si="131"/>
        <v>2015</v>
      </c>
      <c r="H1697" s="12">
        <f t="shared" si="132"/>
        <v>8</v>
      </c>
      <c r="I1697" s="11">
        <f t="shared" si="133"/>
        <v>56</v>
      </c>
      <c r="J1697" s="11"/>
    </row>
    <row r="1698" spans="1:10" x14ac:dyDescent="0.25">
      <c r="A1698" s="2">
        <v>42236</v>
      </c>
      <c r="B1698" s="3">
        <v>701</v>
      </c>
      <c r="C1698" s="4">
        <v>329470</v>
      </c>
      <c r="D1698" s="3">
        <v>274</v>
      </c>
      <c r="E1698" s="4">
        <v>200020</v>
      </c>
      <c r="G1698" s="12">
        <f t="shared" si="131"/>
        <v>2015</v>
      </c>
      <c r="H1698" s="12">
        <f t="shared" si="132"/>
        <v>8</v>
      </c>
      <c r="I1698" s="11">
        <f t="shared" si="133"/>
        <v>56</v>
      </c>
      <c r="J1698" s="11"/>
    </row>
    <row r="1699" spans="1:10" x14ac:dyDescent="0.25">
      <c r="A1699" s="2">
        <v>42237</v>
      </c>
      <c r="B1699" s="3">
        <v>670</v>
      </c>
      <c r="C1699" s="4">
        <v>314900</v>
      </c>
      <c r="D1699" s="3">
        <v>342</v>
      </c>
      <c r="E1699" s="4">
        <v>249660</v>
      </c>
      <c r="G1699" s="12">
        <f t="shared" si="131"/>
        <v>2015</v>
      </c>
      <c r="H1699" s="12">
        <f t="shared" si="132"/>
        <v>8</v>
      </c>
      <c r="I1699" s="11">
        <f t="shared" si="133"/>
        <v>56</v>
      </c>
      <c r="J1699" s="11"/>
    </row>
    <row r="1700" spans="1:10" x14ac:dyDescent="0.25">
      <c r="A1700" s="2">
        <v>42238</v>
      </c>
      <c r="B1700" s="3">
        <v>575</v>
      </c>
      <c r="C1700" s="4">
        <v>270250</v>
      </c>
      <c r="D1700" s="3">
        <v>197</v>
      </c>
      <c r="E1700" s="4">
        <v>143810</v>
      </c>
      <c r="G1700" s="12">
        <f t="shared" si="131"/>
        <v>2015</v>
      </c>
      <c r="H1700" s="12">
        <f t="shared" si="132"/>
        <v>8</v>
      </c>
      <c r="I1700" s="11">
        <f t="shared" si="133"/>
        <v>56</v>
      </c>
      <c r="J1700" s="11"/>
    </row>
    <row r="1701" spans="1:10" x14ac:dyDescent="0.25">
      <c r="A1701" s="2">
        <v>42239</v>
      </c>
      <c r="B1701" s="3">
        <v>675</v>
      </c>
      <c r="C1701" s="4">
        <v>317250</v>
      </c>
      <c r="D1701" s="3">
        <v>320</v>
      </c>
      <c r="E1701" s="4">
        <v>233600</v>
      </c>
      <c r="G1701" s="12">
        <f t="shared" si="131"/>
        <v>2015</v>
      </c>
      <c r="H1701" s="12">
        <f t="shared" si="132"/>
        <v>8</v>
      </c>
      <c r="I1701" s="11">
        <f t="shared" si="133"/>
        <v>56</v>
      </c>
      <c r="J1701" s="11"/>
    </row>
    <row r="1702" spans="1:10" x14ac:dyDescent="0.25">
      <c r="A1702" s="2">
        <v>42240</v>
      </c>
      <c r="B1702" s="3">
        <v>586</v>
      </c>
      <c r="C1702" s="4">
        <v>275420</v>
      </c>
      <c r="D1702" s="3">
        <v>309</v>
      </c>
      <c r="E1702" s="4">
        <v>225570</v>
      </c>
      <c r="G1702" s="12">
        <f t="shared" si="131"/>
        <v>2015</v>
      </c>
      <c r="H1702" s="12">
        <f t="shared" si="132"/>
        <v>8</v>
      </c>
      <c r="I1702" s="11">
        <f t="shared" si="133"/>
        <v>56</v>
      </c>
      <c r="J1702" s="11"/>
    </row>
    <row r="1703" spans="1:10" x14ac:dyDescent="0.25">
      <c r="A1703" s="2">
        <v>42241</v>
      </c>
      <c r="B1703" s="3">
        <v>662</v>
      </c>
      <c r="C1703" s="4">
        <v>311140</v>
      </c>
      <c r="D1703" s="3">
        <v>341</v>
      </c>
      <c r="E1703" s="4">
        <v>248930</v>
      </c>
      <c r="G1703" s="12">
        <f t="shared" si="131"/>
        <v>2015</v>
      </c>
      <c r="H1703" s="12">
        <f t="shared" si="132"/>
        <v>8</v>
      </c>
      <c r="I1703" s="11">
        <f t="shared" si="133"/>
        <v>56</v>
      </c>
      <c r="J1703" s="11"/>
    </row>
    <row r="1704" spans="1:10" x14ac:dyDescent="0.25">
      <c r="A1704" s="2">
        <v>42242</v>
      </c>
      <c r="B1704" s="3">
        <v>782</v>
      </c>
      <c r="C1704" s="4">
        <v>367540</v>
      </c>
      <c r="D1704" s="3">
        <v>310</v>
      </c>
      <c r="E1704" s="4">
        <v>226300</v>
      </c>
      <c r="G1704" s="12">
        <f t="shared" si="131"/>
        <v>2015</v>
      </c>
      <c r="H1704" s="12">
        <f t="shared" si="132"/>
        <v>8</v>
      </c>
      <c r="I1704" s="11">
        <f t="shared" si="133"/>
        <v>56</v>
      </c>
      <c r="J1704" s="11"/>
    </row>
    <row r="1705" spans="1:10" x14ac:dyDescent="0.25">
      <c r="A1705" s="2">
        <v>42243</v>
      </c>
      <c r="B1705" s="3">
        <v>677</v>
      </c>
      <c r="C1705" s="4">
        <v>318190</v>
      </c>
      <c r="D1705" s="3">
        <v>294</v>
      </c>
      <c r="E1705" s="4">
        <v>214620</v>
      </c>
      <c r="G1705" s="12">
        <f t="shared" si="131"/>
        <v>2015</v>
      </c>
      <c r="H1705" s="12">
        <f t="shared" si="132"/>
        <v>8</v>
      </c>
      <c r="I1705" s="11">
        <f t="shared" si="133"/>
        <v>56</v>
      </c>
      <c r="J1705" s="11"/>
    </row>
    <row r="1706" spans="1:10" x14ac:dyDescent="0.25">
      <c r="A1706" s="2">
        <v>42244</v>
      </c>
      <c r="B1706" s="3">
        <v>727</v>
      </c>
      <c r="C1706" s="4">
        <v>341690</v>
      </c>
      <c r="D1706" s="3">
        <v>281</v>
      </c>
      <c r="E1706" s="4">
        <v>205130</v>
      </c>
      <c r="G1706" s="12">
        <f t="shared" si="131"/>
        <v>2015</v>
      </c>
      <c r="H1706" s="12">
        <f t="shared" si="132"/>
        <v>8</v>
      </c>
      <c r="I1706" s="11">
        <f t="shared" si="133"/>
        <v>56</v>
      </c>
      <c r="J1706" s="11"/>
    </row>
    <row r="1707" spans="1:10" x14ac:dyDescent="0.25">
      <c r="A1707" s="2">
        <v>42245</v>
      </c>
      <c r="B1707" s="3">
        <v>713</v>
      </c>
      <c r="C1707" s="4">
        <v>335110</v>
      </c>
      <c r="D1707" s="3">
        <v>290</v>
      </c>
      <c r="E1707" s="4">
        <v>211700</v>
      </c>
      <c r="G1707" s="12">
        <f t="shared" si="131"/>
        <v>2015</v>
      </c>
      <c r="H1707" s="12">
        <f t="shared" si="132"/>
        <v>8</v>
      </c>
      <c r="I1707" s="11">
        <f t="shared" si="133"/>
        <v>56</v>
      </c>
      <c r="J1707" s="11"/>
    </row>
    <row r="1708" spans="1:10" x14ac:dyDescent="0.25">
      <c r="A1708" s="2">
        <v>42246</v>
      </c>
      <c r="B1708" s="3">
        <v>729</v>
      </c>
      <c r="C1708" s="4">
        <v>342630</v>
      </c>
      <c r="D1708" s="3">
        <v>262</v>
      </c>
      <c r="E1708" s="4">
        <v>191260</v>
      </c>
      <c r="G1708" s="12">
        <f t="shared" si="131"/>
        <v>2015</v>
      </c>
      <c r="H1708" s="12">
        <f t="shared" si="132"/>
        <v>8</v>
      </c>
      <c r="I1708" s="11">
        <f t="shared" si="133"/>
        <v>56</v>
      </c>
      <c r="J1708" s="11"/>
    </row>
    <row r="1709" spans="1:10" x14ac:dyDescent="0.25">
      <c r="A1709" s="2">
        <v>42247</v>
      </c>
      <c r="B1709" s="3">
        <v>640</v>
      </c>
      <c r="C1709" s="4">
        <v>300800</v>
      </c>
      <c r="D1709" s="3">
        <v>284</v>
      </c>
      <c r="E1709" s="4">
        <v>207320</v>
      </c>
      <c r="G1709" s="12">
        <f t="shared" si="131"/>
        <v>2015</v>
      </c>
      <c r="H1709" s="12">
        <f t="shared" si="132"/>
        <v>8</v>
      </c>
      <c r="I1709" s="11">
        <f t="shared" si="133"/>
        <v>56</v>
      </c>
      <c r="J1709" s="11"/>
    </row>
    <row r="1710" spans="1:10" x14ac:dyDescent="0.25">
      <c r="A1710" s="2">
        <v>42248</v>
      </c>
      <c r="B1710" s="3">
        <v>797</v>
      </c>
      <c r="C1710" s="4">
        <v>374590</v>
      </c>
      <c r="D1710" s="3">
        <v>310</v>
      </c>
      <c r="E1710" s="4">
        <v>226300</v>
      </c>
      <c r="G1710" s="12">
        <f t="shared" si="131"/>
        <v>2015</v>
      </c>
      <c r="H1710" s="12">
        <f t="shared" si="132"/>
        <v>9</v>
      </c>
      <c r="I1710" s="11">
        <f t="shared" si="133"/>
        <v>57</v>
      </c>
      <c r="J1710" s="11"/>
    </row>
    <row r="1711" spans="1:10" x14ac:dyDescent="0.25">
      <c r="A1711" s="2">
        <v>42249</v>
      </c>
      <c r="B1711" s="3">
        <v>728</v>
      </c>
      <c r="C1711" s="4">
        <v>342160</v>
      </c>
      <c r="D1711" s="3">
        <v>302</v>
      </c>
      <c r="E1711" s="4">
        <v>220460</v>
      </c>
      <c r="G1711" s="12">
        <f t="shared" si="131"/>
        <v>2015</v>
      </c>
      <c r="H1711" s="12">
        <f t="shared" si="132"/>
        <v>9</v>
      </c>
      <c r="I1711" s="11">
        <f t="shared" si="133"/>
        <v>57</v>
      </c>
      <c r="J1711" s="11"/>
    </row>
    <row r="1712" spans="1:10" x14ac:dyDescent="0.25">
      <c r="A1712" s="2">
        <v>42250</v>
      </c>
      <c r="B1712" s="3">
        <v>598</v>
      </c>
      <c r="C1712" s="4">
        <v>281060</v>
      </c>
      <c r="D1712" s="3">
        <v>290</v>
      </c>
      <c r="E1712" s="4">
        <v>211700</v>
      </c>
      <c r="G1712" s="12">
        <f t="shared" si="131"/>
        <v>2015</v>
      </c>
      <c r="H1712" s="12">
        <f t="shared" si="132"/>
        <v>9</v>
      </c>
      <c r="I1712" s="11">
        <f t="shared" si="133"/>
        <v>57</v>
      </c>
      <c r="J1712" s="11"/>
    </row>
    <row r="1713" spans="1:10" x14ac:dyDescent="0.25">
      <c r="A1713" s="2">
        <v>42251</v>
      </c>
      <c r="B1713" s="3">
        <v>718</v>
      </c>
      <c r="C1713" s="4">
        <v>337460</v>
      </c>
      <c r="D1713" s="3">
        <v>318</v>
      </c>
      <c r="E1713" s="4">
        <v>232140</v>
      </c>
      <c r="G1713" s="12">
        <f t="shared" si="131"/>
        <v>2015</v>
      </c>
      <c r="H1713" s="12">
        <f t="shared" si="132"/>
        <v>9</v>
      </c>
      <c r="I1713" s="11">
        <f t="shared" si="133"/>
        <v>57</v>
      </c>
      <c r="J1713" s="11"/>
    </row>
    <row r="1714" spans="1:10" x14ac:dyDescent="0.25">
      <c r="A1714" s="2">
        <v>42252</v>
      </c>
      <c r="B1714" s="3">
        <v>817</v>
      </c>
      <c r="C1714" s="4">
        <v>383990</v>
      </c>
      <c r="D1714" s="3">
        <v>364</v>
      </c>
      <c r="E1714" s="4">
        <v>265720</v>
      </c>
      <c r="G1714" s="12">
        <f t="shared" si="131"/>
        <v>2015</v>
      </c>
      <c r="H1714" s="12">
        <f t="shared" si="132"/>
        <v>9</v>
      </c>
      <c r="I1714" s="11">
        <f t="shared" si="133"/>
        <v>57</v>
      </c>
      <c r="J1714" s="11"/>
    </row>
    <row r="1715" spans="1:10" x14ac:dyDescent="0.25">
      <c r="A1715" s="2">
        <v>42253</v>
      </c>
      <c r="B1715" s="3">
        <v>797</v>
      </c>
      <c r="C1715" s="4">
        <v>374590</v>
      </c>
      <c r="D1715" s="3">
        <v>290</v>
      </c>
      <c r="E1715" s="4">
        <v>211700</v>
      </c>
      <c r="G1715" s="12">
        <f t="shared" si="131"/>
        <v>2015</v>
      </c>
      <c r="H1715" s="12">
        <f t="shared" si="132"/>
        <v>9</v>
      </c>
      <c r="I1715" s="11">
        <f t="shared" si="133"/>
        <v>57</v>
      </c>
      <c r="J1715" s="11"/>
    </row>
    <row r="1716" spans="1:10" x14ac:dyDescent="0.25">
      <c r="A1716" s="2">
        <v>42254</v>
      </c>
      <c r="B1716" s="3">
        <v>672</v>
      </c>
      <c r="C1716" s="4">
        <v>315840</v>
      </c>
      <c r="D1716" s="3">
        <v>328</v>
      </c>
      <c r="E1716" s="4">
        <v>239440</v>
      </c>
      <c r="G1716" s="12">
        <f t="shared" si="131"/>
        <v>2015</v>
      </c>
      <c r="H1716" s="12">
        <f t="shared" si="132"/>
        <v>9</v>
      </c>
      <c r="I1716" s="11">
        <f t="shared" si="133"/>
        <v>57</v>
      </c>
      <c r="J1716" s="11"/>
    </row>
    <row r="1717" spans="1:10" x14ac:dyDescent="0.25">
      <c r="A1717" s="2">
        <v>42255</v>
      </c>
      <c r="B1717" s="3">
        <v>656</v>
      </c>
      <c r="C1717" s="4">
        <v>308320</v>
      </c>
      <c r="D1717" s="3">
        <v>304</v>
      </c>
      <c r="E1717" s="4">
        <v>221920</v>
      </c>
      <c r="G1717" s="12">
        <f t="shared" si="131"/>
        <v>2015</v>
      </c>
      <c r="H1717" s="12">
        <f t="shared" si="132"/>
        <v>9</v>
      </c>
      <c r="I1717" s="11">
        <f t="shared" si="133"/>
        <v>57</v>
      </c>
      <c r="J1717" s="11"/>
    </row>
    <row r="1718" spans="1:10" x14ac:dyDescent="0.25">
      <c r="A1718" s="2">
        <v>42256</v>
      </c>
      <c r="B1718" s="3">
        <v>642</v>
      </c>
      <c r="C1718" s="4">
        <v>301740</v>
      </c>
      <c r="D1718" s="3">
        <v>329</v>
      </c>
      <c r="E1718" s="4">
        <v>240170</v>
      </c>
      <c r="G1718" s="12">
        <f t="shared" si="131"/>
        <v>2015</v>
      </c>
      <c r="H1718" s="12">
        <f t="shared" si="132"/>
        <v>9</v>
      </c>
      <c r="I1718" s="11">
        <f t="shared" si="133"/>
        <v>57</v>
      </c>
      <c r="J1718" s="11"/>
    </row>
    <row r="1719" spans="1:10" x14ac:dyDescent="0.25">
      <c r="A1719" s="2">
        <v>42257</v>
      </c>
      <c r="B1719" s="3">
        <v>637</v>
      </c>
      <c r="C1719" s="4">
        <v>299390</v>
      </c>
      <c r="D1719" s="3">
        <v>290</v>
      </c>
      <c r="E1719" s="4">
        <v>211700</v>
      </c>
      <c r="G1719" s="12">
        <f t="shared" si="131"/>
        <v>2015</v>
      </c>
      <c r="H1719" s="12">
        <f t="shared" si="132"/>
        <v>9</v>
      </c>
      <c r="I1719" s="11">
        <f t="shared" si="133"/>
        <v>57</v>
      </c>
      <c r="J1719" s="11"/>
    </row>
    <row r="1720" spans="1:10" x14ac:dyDescent="0.25">
      <c r="A1720" s="2">
        <v>42258</v>
      </c>
      <c r="B1720" s="3">
        <v>799</v>
      </c>
      <c r="C1720" s="4">
        <v>375530</v>
      </c>
      <c r="D1720" s="3">
        <v>336</v>
      </c>
      <c r="E1720" s="4">
        <v>245280</v>
      </c>
      <c r="G1720" s="12">
        <f t="shared" si="131"/>
        <v>2015</v>
      </c>
      <c r="H1720" s="12">
        <f t="shared" si="132"/>
        <v>9</v>
      </c>
      <c r="I1720" s="11">
        <f t="shared" si="133"/>
        <v>57</v>
      </c>
      <c r="J1720" s="11"/>
    </row>
    <row r="1721" spans="1:10" x14ac:dyDescent="0.25">
      <c r="A1721" s="2">
        <v>42259</v>
      </c>
      <c r="B1721" s="3">
        <v>760</v>
      </c>
      <c r="C1721" s="4">
        <v>357200</v>
      </c>
      <c r="D1721" s="3">
        <v>287</v>
      </c>
      <c r="E1721" s="4">
        <v>209510</v>
      </c>
      <c r="G1721" s="12">
        <f t="shared" si="131"/>
        <v>2015</v>
      </c>
      <c r="H1721" s="12">
        <f t="shared" si="132"/>
        <v>9</v>
      </c>
      <c r="I1721" s="11">
        <f t="shared" si="133"/>
        <v>57</v>
      </c>
      <c r="J1721" s="11"/>
    </row>
    <row r="1722" spans="1:10" x14ac:dyDescent="0.25">
      <c r="A1722" s="2">
        <v>42260</v>
      </c>
      <c r="B1722" s="3">
        <v>620</v>
      </c>
      <c r="C1722" s="4">
        <v>291400</v>
      </c>
      <c r="D1722" s="3">
        <v>298</v>
      </c>
      <c r="E1722" s="4">
        <v>217540</v>
      </c>
      <c r="G1722" s="12">
        <f t="shared" si="131"/>
        <v>2015</v>
      </c>
      <c r="H1722" s="12">
        <f t="shared" si="132"/>
        <v>9</v>
      </c>
      <c r="I1722" s="11">
        <f t="shared" si="133"/>
        <v>57</v>
      </c>
      <c r="J1722" s="11"/>
    </row>
    <row r="1723" spans="1:10" x14ac:dyDescent="0.25">
      <c r="A1723" s="2">
        <v>42261</v>
      </c>
      <c r="B1723" s="3">
        <v>717</v>
      </c>
      <c r="C1723" s="4">
        <v>336990</v>
      </c>
      <c r="D1723" s="3">
        <v>292</v>
      </c>
      <c r="E1723" s="4">
        <v>213160</v>
      </c>
      <c r="G1723" s="12">
        <f t="shared" si="131"/>
        <v>2015</v>
      </c>
      <c r="H1723" s="12">
        <f t="shared" si="132"/>
        <v>9</v>
      </c>
      <c r="I1723" s="11">
        <f t="shared" si="133"/>
        <v>57</v>
      </c>
      <c r="J1723" s="11"/>
    </row>
    <row r="1724" spans="1:10" x14ac:dyDescent="0.25">
      <c r="A1724" s="2">
        <v>42262</v>
      </c>
      <c r="B1724" s="3">
        <v>811</v>
      </c>
      <c r="C1724" s="4">
        <v>381170</v>
      </c>
      <c r="D1724" s="3">
        <v>307</v>
      </c>
      <c r="E1724" s="4">
        <v>224110</v>
      </c>
      <c r="G1724" s="12">
        <f t="shared" si="131"/>
        <v>2015</v>
      </c>
      <c r="H1724" s="12">
        <f t="shared" si="132"/>
        <v>9</v>
      </c>
      <c r="I1724" s="11">
        <f t="shared" si="133"/>
        <v>57</v>
      </c>
      <c r="J1724" s="11"/>
    </row>
    <row r="1725" spans="1:10" x14ac:dyDescent="0.25">
      <c r="A1725" s="2">
        <v>42263</v>
      </c>
      <c r="B1725" s="3">
        <v>704</v>
      </c>
      <c r="C1725" s="4">
        <v>330880</v>
      </c>
      <c r="D1725" s="3">
        <v>298</v>
      </c>
      <c r="E1725" s="4">
        <v>217540</v>
      </c>
      <c r="G1725" s="12">
        <f t="shared" si="131"/>
        <v>2015</v>
      </c>
      <c r="H1725" s="12">
        <f t="shared" si="132"/>
        <v>9</v>
      </c>
      <c r="I1725" s="11">
        <f t="shared" si="133"/>
        <v>57</v>
      </c>
      <c r="J1725" s="11"/>
    </row>
    <row r="1726" spans="1:10" x14ac:dyDescent="0.25">
      <c r="A1726" s="2">
        <v>42264</v>
      </c>
      <c r="B1726" s="3">
        <v>775</v>
      </c>
      <c r="C1726" s="4">
        <v>364250</v>
      </c>
      <c r="D1726" s="3">
        <v>321</v>
      </c>
      <c r="E1726" s="4">
        <v>234330</v>
      </c>
      <c r="G1726" s="12">
        <f t="shared" si="131"/>
        <v>2015</v>
      </c>
      <c r="H1726" s="12">
        <f t="shared" si="132"/>
        <v>9</v>
      </c>
      <c r="I1726" s="11">
        <f t="shared" si="133"/>
        <v>57</v>
      </c>
      <c r="J1726" s="11"/>
    </row>
    <row r="1727" spans="1:10" x14ac:dyDescent="0.25">
      <c r="A1727" s="2">
        <v>42265</v>
      </c>
      <c r="B1727" s="3">
        <v>740</v>
      </c>
      <c r="C1727" s="4">
        <v>347800</v>
      </c>
      <c r="D1727" s="3">
        <v>250</v>
      </c>
      <c r="E1727" s="4">
        <v>182500</v>
      </c>
      <c r="G1727" s="12">
        <f t="shared" si="131"/>
        <v>2015</v>
      </c>
      <c r="H1727" s="12">
        <f t="shared" si="132"/>
        <v>9</v>
      </c>
      <c r="I1727" s="11">
        <f t="shared" si="133"/>
        <v>57</v>
      </c>
      <c r="J1727" s="11"/>
    </row>
    <row r="1728" spans="1:10" x14ac:dyDescent="0.25">
      <c r="A1728" s="2">
        <v>42266</v>
      </c>
      <c r="B1728" s="3">
        <v>674</v>
      </c>
      <c r="C1728" s="4">
        <v>316780</v>
      </c>
      <c r="D1728" s="3">
        <v>290</v>
      </c>
      <c r="E1728" s="4">
        <v>211700</v>
      </c>
      <c r="G1728" s="12">
        <f t="shared" si="131"/>
        <v>2015</v>
      </c>
      <c r="H1728" s="12">
        <f t="shared" si="132"/>
        <v>9</v>
      </c>
      <c r="I1728" s="11">
        <f t="shared" si="133"/>
        <v>57</v>
      </c>
      <c r="J1728" s="11"/>
    </row>
    <row r="1729" spans="1:10" x14ac:dyDescent="0.25">
      <c r="A1729" s="2">
        <v>42267</v>
      </c>
      <c r="B1729" s="3">
        <v>810</v>
      </c>
      <c r="C1729" s="4">
        <v>380700</v>
      </c>
      <c r="D1729" s="3">
        <v>274</v>
      </c>
      <c r="E1729" s="4">
        <v>200020</v>
      </c>
      <c r="G1729" s="12">
        <f t="shared" si="131"/>
        <v>2015</v>
      </c>
      <c r="H1729" s="12">
        <f t="shared" si="132"/>
        <v>9</v>
      </c>
      <c r="I1729" s="11">
        <f t="shared" si="133"/>
        <v>57</v>
      </c>
      <c r="J1729" s="11"/>
    </row>
    <row r="1730" spans="1:10" x14ac:dyDescent="0.25">
      <c r="A1730" s="2">
        <v>42268</v>
      </c>
      <c r="B1730" s="3">
        <v>748</v>
      </c>
      <c r="C1730" s="4">
        <v>351560</v>
      </c>
      <c r="D1730" s="3">
        <v>321</v>
      </c>
      <c r="E1730" s="4">
        <v>234330</v>
      </c>
      <c r="G1730" s="12">
        <f t="shared" si="131"/>
        <v>2015</v>
      </c>
      <c r="H1730" s="12">
        <f t="shared" si="132"/>
        <v>9</v>
      </c>
      <c r="I1730" s="11">
        <f t="shared" si="133"/>
        <v>57</v>
      </c>
      <c r="J1730" s="11"/>
    </row>
    <row r="1731" spans="1:10" x14ac:dyDescent="0.25">
      <c r="A1731" s="2">
        <v>42269</v>
      </c>
      <c r="B1731" s="3">
        <v>657</v>
      </c>
      <c r="C1731" s="4">
        <v>308790</v>
      </c>
      <c r="D1731" s="3">
        <v>273</v>
      </c>
      <c r="E1731" s="4">
        <v>199290</v>
      </c>
      <c r="G1731" s="12">
        <f t="shared" si="131"/>
        <v>2015</v>
      </c>
      <c r="H1731" s="12">
        <f t="shared" si="132"/>
        <v>9</v>
      </c>
      <c r="I1731" s="11">
        <f t="shared" si="133"/>
        <v>57</v>
      </c>
      <c r="J1731" s="11"/>
    </row>
    <row r="1732" spans="1:10" x14ac:dyDescent="0.25">
      <c r="A1732" s="2">
        <v>42270</v>
      </c>
      <c r="B1732" s="3">
        <v>705</v>
      </c>
      <c r="C1732" s="4">
        <v>331350</v>
      </c>
      <c r="D1732" s="3">
        <v>264</v>
      </c>
      <c r="E1732" s="4">
        <v>192720</v>
      </c>
      <c r="G1732" s="12">
        <f t="shared" si="131"/>
        <v>2015</v>
      </c>
      <c r="H1732" s="12">
        <f t="shared" si="132"/>
        <v>9</v>
      </c>
      <c r="I1732" s="11">
        <f t="shared" si="133"/>
        <v>57</v>
      </c>
      <c r="J1732" s="11"/>
    </row>
    <row r="1733" spans="1:10" x14ac:dyDescent="0.25">
      <c r="A1733" s="2">
        <v>42271</v>
      </c>
      <c r="B1733" s="3">
        <v>693</v>
      </c>
      <c r="C1733" s="4">
        <v>325710</v>
      </c>
      <c r="D1733" s="3">
        <v>248</v>
      </c>
      <c r="E1733" s="4">
        <v>181040</v>
      </c>
      <c r="G1733" s="12">
        <f t="shared" si="131"/>
        <v>2015</v>
      </c>
      <c r="H1733" s="12">
        <f t="shared" si="132"/>
        <v>9</v>
      </c>
      <c r="I1733" s="11">
        <f t="shared" si="133"/>
        <v>57</v>
      </c>
      <c r="J1733" s="11"/>
    </row>
    <row r="1734" spans="1:10" x14ac:dyDescent="0.25">
      <c r="A1734" s="2">
        <v>42272</v>
      </c>
      <c r="B1734" s="3">
        <v>729</v>
      </c>
      <c r="C1734" s="4">
        <v>342630</v>
      </c>
      <c r="D1734" s="3">
        <v>338</v>
      </c>
      <c r="E1734" s="4">
        <v>246740</v>
      </c>
      <c r="G1734" s="12">
        <f t="shared" ref="G1734:G1797" si="134">+YEAR(A1734)</f>
        <v>2015</v>
      </c>
      <c r="H1734" s="12">
        <f t="shared" ref="H1734:H1797" si="135">+MONTH(A1734)</f>
        <v>9</v>
      </c>
      <c r="I1734" s="11">
        <f t="shared" si="133"/>
        <v>57</v>
      </c>
      <c r="J1734" s="11"/>
    </row>
    <row r="1735" spans="1:10" x14ac:dyDescent="0.25">
      <c r="A1735" s="2">
        <v>42273</v>
      </c>
      <c r="B1735" s="3">
        <v>717</v>
      </c>
      <c r="C1735" s="4">
        <v>336990</v>
      </c>
      <c r="D1735" s="3">
        <v>285</v>
      </c>
      <c r="E1735" s="4">
        <v>208050</v>
      </c>
      <c r="G1735" s="12">
        <f t="shared" si="134"/>
        <v>2015</v>
      </c>
      <c r="H1735" s="12">
        <f t="shared" si="135"/>
        <v>9</v>
      </c>
      <c r="I1735" s="11">
        <f t="shared" ref="I1735:I1798" si="136">+H1735+(G1735-2011)*12</f>
        <v>57</v>
      </c>
      <c r="J1735" s="11"/>
    </row>
    <row r="1736" spans="1:10" x14ac:dyDescent="0.25">
      <c r="A1736" s="2">
        <v>42274</v>
      </c>
      <c r="B1736" s="3">
        <v>783</v>
      </c>
      <c r="C1736" s="4">
        <v>368010</v>
      </c>
      <c r="D1736" s="3">
        <v>277</v>
      </c>
      <c r="E1736" s="4">
        <v>202210</v>
      </c>
      <c r="G1736" s="12">
        <f t="shared" si="134"/>
        <v>2015</v>
      </c>
      <c r="H1736" s="12">
        <f t="shared" si="135"/>
        <v>9</v>
      </c>
      <c r="I1736" s="11">
        <f t="shared" si="136"/>
        <v>57</v>
      </c>
      <c r="J1736" s="11"/>
    </row>
    <row r="1737" spans="1:10" x14ac:dyDescent="0.25">
      <c r="A1737" s="2">
        <v>42275</v>
      </c>
      <c r="B1737" s="3">
        <v>583</v>
      </c>
      <c r="C1737" s="4">
        <v>274010</v>
      </c>
      <c r="D1737" s="3">
        <v>286</v>
      </c>
      <c r="E1737" s="4">
        <v>208780</v>
      </c>
      <c r="G1737" s="12">
        <f t="shared" si="134"/>
        <v>2015</v>
      </c>
      <c r="H1737" s="12">
        <f t="shared" si="135"/>
        <v>9</v>
      </c>
      <c r="I1737" s="11">
        <f t="shared" si="136"/>
        <v>57</v>
      </c>
      <c r="J1737" s="11"/>
    </row>
    <row r="1738" spans="1:10" x14ac:dyDescent="0.25">
      <c r="A1738" s="2">
        <v>42276</v>
      </c>
      <c r="B1738" s="3">
        <v>653</v>
      </c>
      <c r="C1738" s="4">
        <v>306910</v>
      </c>
      <c r="D1738" s="3">
        <v>278</v>
      </c>
      <c r="E1738" s="4">
        <v>202940</v>
      </c>
      <c r="G1738" s="12">
        <f t="shared" si="134"/>
        <v>2015</v>
      </c>
      <c r="H1738" s="12">
        <f t="shared" si="135"/>
        <v>9</v>
      </c>
      <c r="I1738" s="11">
        <f t="shared" si="136"/>
        <v>57</v>
      </c>
      <c r="J1738" s="11"/>
    </row>
    <row r="1739" spans="1:10" x14ac:dyDescent="0.25">
      <c r="A1739" s="2">
        <v>42277</v>
      </c>
      <c r="B1739" s="3">
        <v>798</v>
      </c>
      <c r="C1739" s="4">
        <v>375060</v>
      </c>
      <c r="D1739" s="3">
        <v>299</v>
      </c>
      <c r="E1739" s="4">
        <v>218270</v>
      </c>
      <c r="G1739" s="12">
        <f t="shared" si="134"/>
        <v>2015</v>
      </c>
      <c r="H1739" s="12">
        <f t="shared" si="135"/>
        <v>9</v>
      </c>
      <c r="I1739" s="11">
        <f t="shared" si="136"/>
        <v>57</v>
      </c>
      <c r="J1739" s="11"/>
    </row>
    <row r="1740" spans="1:10" x14ac:dyDescent="0.25">
      <c r="A1740" s="2">
        <v>42278</v>
      </c>
      <c r="B1740" s="3">
        <v>645</v>
      </c>
      <c r="C1740" s="4">
        <v>189468.75</v>
      </c>
      <c r="D1740" s="3">
        <v>245</v>
      </c>
      <c r="E1740" s="4">
        <v>178850</v>
      </c>
      <c r="G1740" s="12">
        <f t="shared" si="134"/>
        <v>2015</v>
      </c>
      <c r="H1740" s="12">
        <f t="shared" si="135"/>
        <v>10</v>
      </c>
      <c r="I1740" s="11">
        <f t="shared" si="136"/>
        <v>58</v>
      </c>
      <c r="J1740" s="11"/>
    </row>
    <row r="1741" spans="1:10" x14ac:dyDescent="0.25">
      <c r="A1741" s="2">
        <v>42279</v>
      </c>
      <c r="B1741" s="3">
        <v>584</v>
      </c>
      <c r="C1741" s="4">
        <v>171550</v>
      </c>
      <c r="D1741" s="3">
        <v>269</v>
      </c>
      <c r="E1741" s="4">
        <v>196370</v>
      </c>
      <c r="G1741" s="12">
        <f t="shared" si="134"/>
        <v>2015</v>
      </c>
      <c r="H1741" s="12">
        <f t="shared" si="135"/>
        <v>10</v>
      </c>
      <c r="I1741" s="11">
        <f t="shared" si="136"/>
        <v>58</v>
      </c>
      <c r="J1741" s="11"/>
    </row>
    <row r="1742" spans="1:10" x14ac:dyDescent="0.25">
      <c r="A1742" s="2">
        <v>42280</v>
      </c>
      <c r="B1742" s="3">
        <v>616</v>
      </c>
      <c r="C1742" s="4">
        <v>180950</v>
      </c>
      <c r="D1742" s="3">
        <v>309</v>
      </c>
      <c r="E1742" s="4">
        <v>225570</v>
      </c>
      <c r="G1742" s="12">
        <f t="shared" si="134"/>
        <v>2015</v>
      </c>
      <c r="H1742" s="12">
        <f t="shared" si="135"/>
        <v>10</v>
      </c>
      <c r="I1742" s="11">
        <f t="shared" si="136"/>
        <v>58</v>
      </c>
      <c r="J1742" s="11"/>
    </row>
    <row r="1743" spans="1:10" x14ac:dyDescent="0.25">
      <c r="A1743" s="2">
        <v>42281</v>
      </c>
      <c r="B1743" s="3">
        <v>597</v>
      </c>
      <c r="C1743" s="4">
        <v>175368.75</v>
      </c>
      <c r="D1743" s="3">
        <v>270</v>
      </c>
      <c r="E1743" s="4">
        <v>197100</v>
      </c>
      <c r="G1743" s="12">
        <f t="shared" si="134"/>
        <v>2015</v>
      </c>
      <c r="H1743" s="12">
        <f t="shared" si="135"/>
        <v>10</v>
      </c>
      <c r="I1743" s="11">
        <f t="shared" si="136"/>
        <v>58</v>
      </c>
      <c r="J1743" s="11"/>
    </row>
    <row r="1744" spans="1:10" x14ac:dyDescent="0.25">
      <c r="A1744" s="2">
        <v>42282</v>
      </c>
      <c r="B1744" s="3">
        <v>546</v>
      </c>
      <c r="C1744" s="4">
        <v>160387.5</v>
      </c>
      <c r="D1744" s="3">
        <v>285</v>
      </c>
      <c r="E1744" s="4">
        <v>208050</v>
      </c>
      <c r="G1744" s="12">
        <f t="shared" si="134"/>
        <v>2015</v>
      </c>
      <c r="H1744" s="12">
        <f t="shared" si="135"/>
        <v>10</v>
      </c>
      <c r="I1744" s="11">
        <f t="shared" si="136"/>
        <v>58</v>
      </c>
      <c r="J1744" s="11"/>
    </row>
    <row r="1745" spans="1:10" x14ac:dyDescent="0.25">
      <c r="A1745" s="2">
        <v>42283</v>
      </c>
      <c r="B1745" s="3">
        <v>531</v>
      </c>
      <c r="C1745" s="4">
        <v>155981.25</v>
      </c>
      <c r="D1745" s="3">
        <v>318</v>
      </c>
      <c r="E1745" s="4">
        <v>232140</v>
      </c>
      <c r="G1745" s="12">
        <f t="shared" si="134"/>
        <v>2015</v>
      </c>
      <c r="H1745" s="12">
        <f t="shared" si="135"/>
        <v>10</v>
      </c>
      <c r="I1745" s="11">
        <f t="shared" si="136"/>
        <v>58</v>
      </c>
      <c r="J1745" s="11"/>
    </row>
    <row r="1746" spans="1:10" x14ac:dyDescent="0.25">
      <c r="A1746" s="2">
        <v>42284</v>
      </c>
      <c r="B1746" s="3">
        <v>479</v>
      </c>
      <c r="C1746" s="4">
        <v>140706.25</v>
      </c>
      <c r="D1746" s="3">
        <v>302</v>
      </c>
      <c r="E1746" s="4">
        <v>220460</v>
      </c>
      <c r="G1746" s="12">
        <f t="shared" si="134"/>
        <v>2015</v>
      </c>
      <c r="H1746" s="12">
        <f t="shared" si="135"/>
        <v>10</v>
      </c>
      <c r="I1746" s="11">
        <f t="shared" si="136"/>
        <v>58</v>
      </c>
      <c r="J1746" s="11"/>
    </row>
    <row r="1747" spans="1:10" x14ac:dyDescent="0.25">
      <c r="A1747" s="2">
        <v>42285</v>
      </c>
      <c r="B1747" s="3">
        <v>608</v>
      </c>
      <c r="C1747" s="4">
        <v>178600</v>
      </c>
      <c r="D1747" s="3">
        <v>283</v>
      </c>
      <c r="E1747" s="4">
        <v>206590</v>
      </c>
      <c r="G1747" s="12">
        <f t="shared" si="134"/>
        <v>2015</v>
      </c>
      <c r="H1747" s="12">
        <f t="shared" si="135"/>
        <v>10</v>
      </c>
      <c r="I1747" s="11">
        <f t="shared" si="136"/>
        <v>58</v>
      </c>
      <c r="J1747" s="11"/>
    </row>
    <row r="1748" spans="1:10" x14ac:dyDescent="0.25">
      <c r="A1748" s="2">
        <v>42286</v>
      </c>
      <c r="B1748" s="3">
        <v>541</v>
      </c>
      <c r="C1748" s="4">
        <v>158918.75</v>
      </c>
      <c r="D1748" s="3">
        <v>305</v>
      </c>
      <c r="E1748" s="4">
        <v>222650</v>
      </c>
      <c r="G1748" s="12">
        <f t="shared" si="134"/>
        <v>2015</v>
      </c>
      <c r="H1748" s="12">
        <f t="shared" si="135"/>
        <v>10</v>
      </c>
      <c r="I1748" s="11">
        <f t="shared" si="136"/>
        <v>58</v>
      </c>
      <c r="J1748" s="11"/>
    </row>
    <row r="1749" spans="1:10" x14ac:dyDescent="0.25">
      <c r="A1749" s="2">
        <v>42287</v>
      </c>
      <c r="B1749" s="3">
        <v>539</v>
      </c>
      <c r="C1749" s="4">
        <v>158331.25</v>
      </c>
      <c r="D1749" s="3">
        <v>284</v>
      </c>
      <c r="E1749" s="4">
        <v>207320</v>
      </c>
      <c r="G1749" s="12">
        <f t="shared" si="134"/>
        <v>2015</v>
      </c>
      <c r="H1749" s="12">
        <f t="shared" si="135"/>
        <v>10</v>
      </c>
      <c r="I1749" s="11">
        <f t="shared" si="136"/>
        <v>58</v>
      </c>
      <c r="J1749" s="11"/>
    </row>
    <row r="1750" spans="1:10" x14ac:dyDescent="0.25">
      <c r="A1750" s="2">
        <v>42288</v>
      </c>
      <c r="B1750" s="3">
        <v>501</v>
      </c>
      <c r="C1750" s="4">
        <v>147168.75</v>
      </c>
      <c r="D1750" s="3">
        <v>241</v>
      </c>
      <c r="E1750" s="4">
        <v>175930</v>
      </c>
      <c r="G1750" s="12">
        <f t="shared" si="134"/>
        <v>2015</v>
      </c>
      <c r="H1750" s="12">
        <f t="shared" si="135"/>
        <v>10</v>
      </c>
      <c r="I1750" s="11">
        <f t="shared" si="136"/>
        <v>58</v>
      </c>
      <c r="J1750" s="11"/>
    </row>
    <row r="1751" spans="1:10" x14ac:dyDescent="0.25">
      <c r="A1751" s="2">
        <v>42289</v>
      </c>
      <c r="B1751" s="3">
        <v>627</v>
      </c>
      <c r="C1751" s="4">
        <v>184181.25</v>
      </c>
      <c r="D1751" s="3">
        <v>278</v>
      </c>
      <c r="E1751" s="4">
        <v>202940</v>
      </c>
      <c r="G1751" s="12">
        <f t="shared" si="134"/>
        <v>2015</v>
      </c>
      <c r="H1751" s="12">
        <f t="shared" si="135"/>
        <v>10</v>
      </c>
      <c r="I1751" s="11">
        <f t="shared" si="136"/>
        <v>58</v>
      </c>
      <c r="J1751" s="11"/>
    </row>
    <row r="1752" spans="1:10" x14ac:dyDescent="0.25">
      <c r="A1752" s="2">
        <v>42290</v>
      </c>
      <c r="B1752" s="3">
        <v>527</v>
      </c>
      <c r="C1752" s="4">
        <v>154806.25</v>
      </c>
      <c r="D1752" s="3">
        <v>326</v>
      </c>
      <c r="E1752" s="4">
        <v>237980</v>
      </c>
      <c r="G1752" s="12">
        <f t="shared" si="134"/>
        <v>2015</v>
      </c>
      <c r="H1752" s="12">
        <f t="shared" si="135"/>
        <v>10</v>
      </c>
      <c r="I1752" s="11">
        <f t="shared" si="136"/>
        <v>58</v>
      </c>
      <c r="J1752" s="11"/>
    </row>
    <row r="1753" spans="1:10" x14ac:dyDescent="0.25">
      <c r="A1753" s="2">
        <v>42291</v>
      </c>
      <c r="B1753" s="3">
        <v>576</v>
      </c>
      <c r="C1753" s="4">
        <v>169200</v>
      </c>
      <c r="D1753" s="3">
        <v>280</v>
      </c>
      <c r="E1753" s="4">
        <v>204400</v>
      </c>
      <c r="G1753" s="12">
        <f t="shared" si="134"/>
        <v>2015</v>
      </c>
      <c r="H1753" s="12">
        <f t="shared" si="135"/>
        <v>10</v>
      </c>
      <c r="I1753" s="11">
        <f t="shared" si="136"/>
        <v>58</v>
      </c>
      <c r="J1753" s="11"/>
    </row>
    <row r="1754" spans="1:10" x14ac:dyDescent="0.25">
      <c r="A1754" s="2">
        <v>42292</v>
      </c>
      <c r="B1754" s="3">
        <v>555</v>
      </c>
      <c r="C1754" s="4">
        <v>163031.25</v>
      </c>
      <c r="D1754" s="3">
        <v>305</v>
      </c>
      <c r="E1754" s="4">
        <v>222650</v>
      </c>
      <c r="G1754" s="12">
        <f t="shared" si="134"/>
        <v>2015</v>
      </c>
      <c r="H1754" s="12">
        <f t="shared" si="135"/>
        <v>10</v>
      </c>
      <c r="I1754" s="11">
        <f t="shared" si="136"/>
        <v>58</v>
      </c>
      <c r="J1754" s="11"/>
    </row>
    <row r="1755" spans="1:10" x14ac:dyDescent="0.25">
      <c r="A1755" s="2">
        <v>42293</v>
      </c>
      <c r="B1755" s="3">
        <v>531</v>
      </c>
      <c r="C1755" s="4">
        <v>155981.25</v>
      </c>
      <c r="D1755" s="3">
        <v>354</v>
      </c>
      <c r="E1755" s="4">
        <v>258420</v>
      </c>
      <c r="G1755" s="12">
        <f t="shared" si="134"/>
        <v>2015</v>
      </c>
      <c r="H1755" s="12">
        <f t="shared" si="135"/>
        <v>10</v>
      </c>
      <c r="I1755" s="11">
        <f t="shared" si="136"/>
        <v>58</v>
      </c>
      <c r="J1755" s="11"/>
    </row>
    <row r="1756" spans="1:10" x14ac:dyDescent="0.25">
      <c r="A1756" s="2">
        <v>42294</v>
      </c>
      <c r="B1756" s="3">
        <v>689</v>
      </c>
      <c r="C1756" s="4">
        <v>202393.75</v>
      </c>
      <c r="D1756" s="3">
        <v>291</v>
      </c>
      <c r="E1756" s="4">
        <v>212430</v>
      </c>
      <c r="G1756" s="12">
        <f t="shared" si="134"/>
        <v>2015</v>
      </c>
      <c r="H1756" s="12">
        <f t="shared" si="135"/>
        <v>10</v>
      </c>
      <c r="I1756" s="11">
        <f t="shared" si="136"/>
        <v>58</v>
      </c>
      <c r="J1756" s="11"/>
    </row>
    <row r="1757" spans="1:10" x14ac:dyDescent="0.25">
      <c r="A1757" s="2">
        <v>42295</v>
      </c>
      <c r="B1757" s="3">
        <v>650</v>
      </c>
      <c r="C1757" s="4">
        <v>190937.5</v>
      </c>
      <c r="D1757" s="3">
        <v>296</v>
      </c>
      <c r="E1757" s="4">
        <v>216080</v>
      </c>
      <c r="G1757" s="12">
        <f t="shared" si="134"/>
        <v>2015</v>
      </c>
      <c r="H1757" s="12">
        <f t="shared" si="135"/>
        <v>10</v>
      </c>
      <c r="I1757" s="11">
        <f t="shared" si="136"/>
        <v>58</v>
      </c>
      <c r="J1757" s="11"/>
    </row>
    <row r="1758" spans="1:10" x14ac:dyDescent="0.25">
      <c r="A1758" s="2">
        <v>42296</v>
      </c>
      <c r="B1758" s="3">
        <v>536</v>
      </c>
      <c r="C1758" s="4">
        <v>157450</v>
      </c>
      <c r="D1758" s="3">
        <v>292</v>
      </c>
      <c r="E1758" s="4">
        <v>213160</v>
      </c>
      <c r="G1758" s="12">
        <f t="shared" si="134"/>
        <v>2015</v>
      </c>
      <c r="H1758" s="12">
        <f t="shared" si="135"/>
        <v>10</v>
      </c>
      <c r="I1758" s="11">
        <f t="shared" si="136"/>
        <v>58</v>
      </c>
      <c r="J1758" s="11"/>
    </row>
    <row r="1759" spans="1:10" x14ac:dyDescent="0.25">
      <c r="A1759" s="2">
        <v>42297</v>
      </c>
      <c r="B1759" s="3">
        <v>569</v>
      </c>
      <c r="C1759" s="4">
        <v>167143.75</v>
      </c>
      <c r="D1759" s="3">
        <v>285</v>
      </c>
      <c r="E1759" s="4">
        <v>208050</v>
      </c>
      <c r="G1759" s="12">
        <f t="shared" si="134"/>
        <v>2015</v>
      </c>
      <c r="H1759" s="12">
        <f t="shared" si="135"/>
        <v>10</v>
      </c>
      <c r="I1759" s="11">
        <f t="shared" si="136"/>
        <v>58</v>
      </c>
      <c r="J1759" s="11"/>
    </row>
    <row r="1760" spans="1:10" x14ac:dyDescent="0.25">
      <c r="A1760" s="2">
        <v>42298</v>
      </c>
      <c r="B1760" s="3">
        <v>628</v>
      </c>
      <c r="C1760" s="4">
        <v>184475</v>
      </c>
      <c r="D1760" s="3">
        <v>292</v>
      </c>
      <c r="E1760" s="4">
        <v>213160</v>
      </c>
      <c r="G1760" s="12">
        <f t="shared" si="134"/>
        <v>2015</v>
      </c>
      <c r="H1760" s="12">
        <f t="shared" si="135"/>
        <v>10</v>
      </c>
      <c r="I1760" s="11">
        <f t="shared" si="136"/>
        <v>58</v>
      </c>
      <c r="J1760" s="11"/>
    </row>
    <row r="1761" spans="1:10" x14ac:dyDescent="0.25">
      <c r="A1761" s="2">
        <v>42299</v>
      </c>
      <c r="B1761" s="3">
        <v>625</v>
      </c>
      <c r="C1761" s="4">
        <v>183593.75</v>
      </c>
      <c r="D1761" s="3">
        <v>239</v>
      </c>
      <c r="E1761" s="4">
        <v>174470</v>
      </c>
      <c r="G1761" s="12">
        <f t="shared" si="134"/>
        <v>2015</v>
      </c>
      <c r="H1761" s="12">
        <f t="shared" si="135"/>
        <v>10</v>
      </c>
      <c r="I1761" s="11">
        <f t="shared" si="136"/>
        <v>58</v>
      </c>
      <c r="J1761" s="11"/>
    </row>
    <row r="1762" spans="1:10" x14ac:dyDescent="0.25">
      <c r="A1762" s="2">
        <v>42300</v>
      </c>
      <c r="B1762" s="3">
        <v>648</v>
      </c>
      <c r="C1762" s="4">
        <v>190350</v>
      </c>
      <c r="D1762" s="3">
        <v>289</v>
      </c>
      <c r="E1762" s="4">
        <v>210970</v>
      </c>
      <c r="G1762" s="12">
        <f t="shared" si="134"/>
        <v>2015</v>
      </c>
      <c r="H1762" s="12">
        <f t="shared" si="135"/>
        <v>10</v>
      </c>
      <c r="I1762" s="11">
        <f t="shared" si="136"/>
        <v>58</v>
      </c>
      <c r="J1762" s="11"/>
    </row>
    <row r="1763" spans="1:10" x14ac:dyDescent="0.25">
      <c r="A1763" s="2">
        <v>42301</v>
      </c>
      <c r="B1763" s="3">
        <v>517</v>
      </c>
      <c r="C1763" s="4">
        <v>151868.75</v>
      </c>
      <c r="D1763" s="3">
        <v>277</v>
      </c>
      <c r="E1763" s="4">
        <v>202210</v>
      </c>
      <c r="G1763" s="12">
        <f t="shared" si="134"/>
        <v>2015</v>
      </c>
      <c r="H1763" s="12">
        <f t="shared" si="135"/>
        <v>10</v>
      </c>
      <c r="I1763" s="11">
        <f t="shared" si="136"/>
        <v>58</v>
      </c>
      <c r="J1763" s="11"/>
    </row>
    <row r="1764" spans="1:10" x14ac:dyDescent="0.25">
      <c r="A1764" s="2">
        <v>42302</v>
      </c>
      <c r="B1764" s="3">
        <v>541</v>
      </c>
      <c r="C1764" s="4">
        <v>158918.75</v>
      </c>
      <c r="D1764" s="3">
        <v>299</v>
      </c>
      <c r="E1764" s="4">
        <v>218270</v>
      </c>
      <c r="G1764" s="12">
        <f t="shared" si="134"/>
        <v>2015</v>
      </c>
      <c r="H1764" s="12">
        <f t="shared" si="135"/>
        <v>10</v>
      </c>
      <c r="I1764" s="11">
        <f t="shared" si="136"/>
        <v>58</v>
      </c>
      <c r="J1764" s="11"/>
    </row>
    <row r="1765" spans="1:10" x14ac:dyDescent="0.25">
      <c r="A1765" s="2">
        <v>42303</v>
      </c>
      <c r="B1765" s="3">
        <v>577</v>
      </c>
      <c r="C1765" s="4">
        <v>169493.75</v>
      </c>
      <c r="D1765" s="3">
        <v>308</v>
      </c>
      <c r="E1765" s="4">
        <v>224840</v>
      </c>
      <c r="G1765" s="12">
        <f t="shared" si="134"/>
        <v>2015</v>
      </c>
      <c r="H1765" s="12">
        <f t="shared" si="135"/>
        <v>10</v>
      </c>
      <c r="I1765" s="11">
        <f t="shared" si="136"/>
        <v>58</v>
      </c>
      <c r="J1765" s="11"/>
    </row>
    <row r="1766" spans="1:10" x14ac:dyDescent="0.25">
      <c r="A1766" s="2">
        <v>42304</v>
      </c>
      <c r="B1766" s="3">
        <v>557</v>
      </c>
      <c r="C1766" s="4">
        <v>163618.75</v>
      </c>
      <c r="D1766" s="3">
        <v>274</v>
      </c>
      <c r="E1766" s="4">
        <v>200020</v>
      </c>
      <c r="G1766" s="12">
        <f t="shared" si="134"/>
        <v>2015</v>
      </c>
      <c r="H1766" s="12">
        <f t="shared" si="135"/>
        <v>10</v>
      </c>
      <c r="I1766" s="11">
        <f t="shared" si="136"/>
        <v>58</v>
      </c>
      <c r="J1766" s="11"/>
    </row>
    <row r="1767" spans="1:10" x14ac:dyDescent="0.25">
      <c r="A1767" s="2">
        <v>42305</v>
      </c>
      <c r="B1767" s="3">
        <v>620</v>
      </c>
      <c r="C1767" s="4">
        <v>182125</v>
      </c>
      <c r="D1767" s="3">
        <v>299</v>
      </c>
      <c r="E1767" s="4">
        <v>218270</v>
      </c>
      <c r="G1767" s="12">
        <f t="shared" si="134"/>
        <v>2015</v>
      </c>
      <c r="H1767" s="12">
        <f t="shared" si="135"/>
        <v>10</v>
      </c>
      <c r="I1767" s="11">
        <f t="shared" si="136"/>
        <v>58</v>
      </c>
      <c r="J1767" s="11"/>
    </row>
    <row r="1768" spans="1:10" x14ac:dyDescent="0.25">
      <c r="A1768" s="2">
        <v>42306</v>
      </c>
      <c r="B1768" s="3">
        <v>666</v>
      </c>
      <c r="C1768" s="4">
        <v>195637.5</v>
      </c>
      <c r="D1768" s="3">
        <v>309</v>
      </c>
      <c r="E1768" s="4">
        <v>225570</v>
      </c>
      <c r="G1768" s="12">
        <f t="shared" si="134"/>
        <v>2015</v>
      </c>
      <c r="H1768" s="12">
        <f t="shared" si="135"/>
        <v>10</v>
      </c>
      <c r="I1768" s="11">
        <f t="shared" si="136"/>
        <v>58</v>
      </c>
      <c r="J1768" s="11"/>
    </row>
    <row r="1769" spans="1:10" x14ac:dyDescent="0.25">
      <c r="A1769" s="2">
        <v>42307</v>
      </c>
      <c r="B1769" s="3">
        <v>635</v>
      </c>
      <c r="C1769" s="4">
        <v>186531.25</v>
      </c>
      <c r="D1769" s="3">
        <v>292</v>
      </c>
      <c r="E1769" s="4">
        <v>213160</v>
      </c>
      <c r="G1769" s="12">
        <f t="shared" si="134"/>
        <v>2015</v>
      </c>
      <c r="H1769" s="12">
        <f t="shared" si="135"/>
        <v>10</v>
      </c>
      <c r="I1769" s="11">
        <f t="shared" si="136"/>
        <v>58</v>
      </c>
      <c r="J1769" s="11"/>
    </row>
    <row r="1770" spans="1:10" x14ac:dyDescent="0.25">
      <c r="A1770" s="2">
        <v>42308</v>
      </c>
      <c r="B1770" s="3">
        <v>561</v>
      </c>
      <c r="C1770" s="4">
        <v>164793.75</v>
      </c>
      <c r="D1770" s="3">
        <v>267</v>
      </c>
      <c r="E1770" s="4">
        <v>194910</v>
      </c>
      <c r="G1770" s="12">
        <f t="shared" si="134"/>
        <v>2015</v>
      </c>
      <c r="H1770" s="12">
        <f t="shared" si="135"/>
        <v>10</v>
      </c>
      <c r="I1770" s="11">
        <f t="shared" si="136"/>
        <v>58</v>
      </c>
      <c r="J1770" s="11"/>
    </row>
    <row r="1771" spans="1:10" x14ac:dyDescent="0.25">
      <c r="A1771" s="2">
        <v>42309</v>
      </c>
      <c r="B1771" s="3">
        <v>514</v>
      </c>
      <c r="C1771" s="4">
        <v>241580</v>
      </c>
      <c r="D1771" s="3">
        <v>300</v>
      </c>
      <c r="E1771" s="4">
        <v>219000</v>
      </c>
      <c r="G1771" s="12">
        <f t="shared" si="134"/>
        <v>2015</v>
      </c>
      <c r="H1771" s="12">
        <f t="shared" si="135"/>
        <v>11</v>
      </c>
      <c r="I1771" s="11">
        <f t="shared" si="136"/>
        <v>59</v>
      </c>
      <c r="J1771" s="11"/>
    </row>
    <row r="1772" spans="1:10" x14ac:dyDescent="0.25">
      <c r="A1772" s="2">
        <v>42310</v>
      </c>
      <c r="B1772" s="3">
        <v>526</v>
      </c>
      <c r="C1772" s="4">
        <v>247220</v>
      </c>
      <c r="D1772" s="3">
        <v>268</v>
      </c>
      <c r="E1772" s="4">
        <v>195640</v>
      </c>
      <c r="G1772" s="12">
        <f t="shared" si="134"/>
        <v>2015</v>
      </c>
      <c r="H1772" s="12">
        <f t="shared" si="135"/>
        <v>11</v>
      </c>
      <c r="I1772" s="11">
        <f t="shared" si="136"/>
        <v>59</v>
      </c>
      <c r="J1772" s="11"/>
    </row>
    <row r="1773" spans="1:10" x14ac:dyDescent="0.25">
      <c r="A1773" s="2">
        <v>42311</v>
      </c>
      <c r="B1773" s="3">
        <v>444</v>
      </c>
      <c r="C1773" s="4">
        <v>208680</v>
      </c>
      <c r="D1773" s="3">
        <v>358</v>
      </c>
      <c r="E1773" s="4">
        <v>261340</v>
      </c>
      <c r="G1773" s="12">
        <f t="shared" si="134"/>
        <v>2015</v>
      </c>
      <c r="H1773" s="12">
        <f t="shared" si="135"/>
        <v>11</v>
      </c>
      <c r="I1773" s="11">
        <f t="shared" si="136"/>
        <v>59</v>
      </c>
      <c r="J1773" s="11"/>
    </row>
    <row r="1774" spans="1:10" x14ac:dyDescent="0.25">
      <c r="A1774" s="2">
        <v>42312</v>
      </c>
      <c r="B1774" s="3">
        <v>430</v>
      </c>
      <c r="C1774" s="4">
        <v>202100</v>
      </c>
      <c r="D1774" s="3">
        <v>318</v>
      </c>
      <c r="E1774" s="4">
        <v>232140</v>
      </c>
      <c r="G1774" s="12">
        <f t="shared" si="134"/>
        <v>2015</v>
      </c>
      <c r="H1774" s="12">
        <f t="shared" si="135"/>
        <v>11</v>
      </c>
      <c r="I1774" s="11">
        <f t="shared" si="136"/>
        <v>59</v>
      </c>
      <c r="J1774" s="11"/>
    </row>
    <row r="1775" spans="1:10" x14ac:dyDescent="0.25">
      <c r="A1775" s="2">
        <v>42313</v>
      </c>
      <c r="B1775" s="3">
        <v>436</v>
      </c>
      <c r="C1775" s="4">
        <v>204920</v>
      </c>
      <c r="D1775" s="3">
        <v>311</v>
      </c>
      <c r="E1775" s="4">
        <v>227030</v>
      </c>
      <c r="G1775" s="12">
        <f t="shared" si="134"/>
        <v>2015</v>
      </c>
      <c r="H1775" s="12">
        <f t="shared" si="135"/>
        <v>11</v>
      </c>
      <c r="I1775" s="11">
        <f t="shared" si="136"/>
        <v>59</v>
      </c>
      <c r="J1775" s="11"/>
    </row>
    <row r="1776" spans="1:10" x14ac:dyDescent="0.25">
      <c r="A1776" s="2">
        <v>42314</v>
      </c>
      <c r="B1776" s="3">
        <v>469</v>
      </c>
      <c r="C1776" s="4">
        <v>220430</v>
      </c>
      <c r="D1776" s="3">
        <v>323</v>
      </c>
      <c r="E1776" s="4">
        <v>235790</v>
      </c>
      <c r="G1776" s="12">
        <f t="shared" si="134"/>
        <v>2015</v>
      </c>
      <c r="H1776" s="12">
        <f t="shared" si="135"/>
        <v>11</v>
      </c>
      <c r="I1776" s="11">
        <f t="shared" si="136"/>
        <v>59</v>
      </c>
      <c r="J1776" s="11"/>
    </row>
    <row r="1777" spans="1:10" x14ac:dyDescent="0.25">
      <c r="A1777" s="2">
        <v>42315</v>
      </c>
      <c r="B1777" s="3">
        <v>520</v>
      </c>
      <c r="C1777" s="4">
        <v>244400</v>
      </c>
      <c r="D1777" s="3">
        <v>313</v>
      </c>
      <c r="E1777" s="4">
        <v>228490</v>
      </c>
      <c r="G1777" s="12">
        <f t="shared" si="134"/>
        <v>2015</v>
      </c>
      <c r="H1777" s="12">
        <f t="shared" si="135"/>
        <v>11</v>
      </c>
      <c r="I1777" s="11">
        <f t="shared" si="136"/>
        <v>59</v>
      </c>
      <c r="J1777" s="11"/>
    </row>
    <row r="1778" spans="1:10" x14ac:dyDescent="0.25">
      <c r="A1778" s="2">
        <v>42316</v>
      </c>
      <c r="B1778" s="3">
        <v>418</v>
      </c>
      <c r="C1778" s="4">
        <v>196460</v>
      </c>
      <c r="D1778" s="3">
        <v>236</v>
      </c>
      <c r="E1778" s="4">
        <v>172280</v>
      </c>
      <c r="G1778" s="12">
        <f t="shared" si="134"/>
        <v>2015</v>
      </c>
      <c r="H1778" s="12">
        <f t="shared" si="135"/>
        <v>11</v>
      </c>
      <c r="I1778" s="11">
        <f t="shared" si="136"/>
        <v>59</v>
      </c>
      <c r="J1778" s="11"/>
    </row>
    <row r="1779" spans="1:10" x14ac:dyDescent="0.25">
      <c r="A1779" s="2">
        <v>42317</v>
      </c>
      <c r="B1779" s="3">
        <v>501</v>
      </c>
      <c r="C1779" s="4">
        <v>235470</v>
      </c>
      <c r="D1779" s="3">
        <v>239</v>
      </c>
      <c r="E1779" s="4">
        <v>174470</v>
      </c>
      <c r="G1779" s="12">
        <f t="shared" si="134"/>
        <v>2015</v>
      </c>
      <c r="H1779" s="12">
        <f t="shared" si="135"/>
        <v>11</v>
      </c>
      <c r="I1779" s="11">
        <f t="shared" si="136"/>
        <v>59</v>
      </c>
      <c r="J1779" s="11"/>
    </row>
    <row r="1780" spans="1:10" x14ac:dyDescent="0.25">
      <c r="A1780" s="2">
        <v>42318</v>
      </c>
      <c r="B1780" s="3">
        <v>415</v>
      </c>
      <c r="C1780" s="4">
        <v>195050</v>
      </c>
      <c r="D1780" s="3">
        <v>281</v>
      </c>
      <c r="E1780" s="4">
        <v>205130</v>
      </c>
      <c r="G1780" s="12">
        <f t="shared" si="134"/>
        <v>2015</v>
      </c>
      <c r="H1780" s="12">
        <f t="shared" si="135"/>
        <v>11</v>
      </c>
      <c r="I1780" s="11">
        <f t="shared" si="136"/>
        <v>59</v>
      </c>
      <c r="J1780" s="11"/>
    </row>
    <row r="1781" spans="1:10" x14ac:dyDescent="0.25">
      <c r="A1781" s="2">
        <v>42319</v>
      </c>
      <c r="B1781" s="3">
        <v>455</v>
      </c>
      <c r="C1781" s="4">
        <v>213850</v>
      </c>
      <c r="D1781" s="3">
        <v>248</v>
      </c>
      <c r="E1781" s="4">
        <v>181040</v>
      </c>
      <c r="G1781" s="12">
        <f t="shared" si="134"/>
        <v>2015</v>
      </c>
      <c r="H1781" s="12">
        <f t="shared" si="135"/>
        <v>11</v>
      </c>
      <c r="I1781" s="11">
        <f t="shared" si="136"/>
        <v>59</v>
      </c>
      <c r="J1781" s="11"/>
    </row>
    <row r="1782" spans="1:10" x14ac:dyDescent="0.25">
      <c r="A1782" s="2">
        <v>42320</v>
      </c>
      <c r="B1782" s="3">
        <v>407</v>
      </c>
      <c r="C1782" s="4">
        <v>191290</v>
      </c>
      <c r="D1782" s="3">
        <v>278</v>
      </c>
      <c r="E1782" s="4">
        <v>202940</v>
      </c>
      <c r="G1782" s="12">
        <f t="shared" si="134"/>
        <v>2015</v>
      </c>
      <c r="H1782" s="12">
        <f t="shared" si="135"/>
        <v>11</v>
      </c>
      <c r="I1782" s="11">
        <f t="shared" si="136"/>
        <v>59</v>
      </c>
      <c r="J1782" s="11"/>
    </row>
    <row r="1783" spans="1:10" x14ac:dyDescent="0.25">
      <c r="A1783" s="2">
        <v>42321</v>
      </c>
      <c r="B1783" s="3">
        <v>442</v>
      </c>
      <c r="C1783" s="4">
        <v>207740</v>
      </c>
      <c r="D1783" s="3">
        <v>279</v>
      </c>
      <c r="E1783" s="4">
        <v>203670</v>
      </c>
      <c r="G1783" s="12">
        <f t="shared" si="134"/>
        <v>2015</v>
      </c>
      <c r="H1783" s="12">
        <f t="shared" si="135"/>
        <v>11</v>
      </c>
      <c r="I1783" s="11">
        <f t="shared" si="136"/>
        <v>59</v>
      </c>
      <c r="J1783" s="11"/>
    </row>
    <row r="1784" spans="1:10" x14ac:dyDescent="0.25">
      <c r="A1784" s="2">
        <v>42322</v>
      </c>
      <c r="B1784" s="3">
        <v>527</v>
      </c>
      <c r="C1784" s="4">
        <v>247690</v>
      </c>
      <c r="D1784" s="3">
        <v>302</v>
      </c>
      <c r="E1784" s="4">
        <v>220460</v>
      </c>
      <c r="G1784" s="12">
        <f t="shared" si="134"/>
        <v>2015</v>
      </c>
      <c r="H1784" s="12">
        <f t="shared" si="135"/>
        <v>11</v>
      </c>
      <c r="I1784" s="11">
        <f t="shared" si="136"/>
        <v>59</v>
      </c>
      <c r="J1784" s="11"/>
    </row>
    <row r="1785" spans="1:10" x14ac:dyDescent="0.25">
      <c r="A1785" s="2">
        <v>42323</v>
      </c>
      <c r="B1785" s="3">
        <v>439</v>
      </c>
      <c r="C1785" s="4">
        <v>206330</v>
      </c>
      <c r="D1785" s="3">
        <v>244</v>
      </c>
      <c r="E1785" s="4">
        <v>178120</v>
      </c>
      <c r="G1785" s="12">
        <f t="shared" si="134"/>
        <v>2015</v>
      </c>
      <c r="H1785" s="12">
        <f t="shared" si="135"/>
        <v>11</v>
      </c>
      <c r="I1785" s="11">
        <f t="shared" si="136"/>
        <v>59</v>
      </c>
      <c r="J1785" s="11"/>
    </row>
    <row r="1786" spans="1:10" x14ac:dyDescent="0.25">
      <c r="A1786" s="2">
        <v>42324</v>
      </c>
      <c r="B1786" s="3">
        <v>476</v>
      </c>
      <c r="C1786" s="4">
        <v>223720</v>
      </c>
      <c r="D1786" s="3">
        <v>291</v>
      </c>
      <c r="E1786" s="4">
        <v>212430</v>
      </c>
      <c r="G1786" s="12">
        <f t="shared" si="134"/>
        <v>2015</v>
      </c>
      <c r="H1786" s="12">
        <f t="shared" si="135"/>
        <v>11</v>
      </c>
      <c r="I1786" s="11">
        <f t="shared" si="136"/>
        <v>59</v>
      </c>
      <c r="J1786" s="11"/>
    </row>
    <row r="1787" spans="1:10" x14ac:dyDescent="0.25">
      <c r="A1787" s="2">
        <v>42325</v>
      </c>
      <c r="B1787" s="3">
        <v>385</v>
      </c>
      <c r="C1787" s="4">
        <v>180950</v>
      </c>
      <c r="D1787" s="3">
        <v>317</v>
      </c>
      <c r="E1787" s="4">
        <v>231410</v>
      </c>
      <c r="G1787" s="12">
        <f t="shared" si="134"/>
        <v>2015</v>
      </c>
      <c r="H1787" s="12">
        <f t="shared" si="135"/>
        <v>11</v>
      </c>
      <c r="I1787" s="11">
        <f t="shared" si="136"/>
        <v>59</v>
      </c>
      <c r="J1787" s="11"/>
    </row>
    <row r="1788" spans="1:10" x14ac:dyDescent="0.25">
      <c r="A1788" s="2">
        <v>42326</v>
      </c>
      <c r="B1788" s="3">
        <v>412</v>
      </c>
      <c r="C1788" s="4">
        <v>193640</v>
      </c>
      <c r="D1788" s="3">
        <v>292</v>
      </c>
      <c r="E1788" s="4">
        <v>213160</v>
      </c>
      <c r="G1788" s="12">
        <f t="shared" si="134"/>
        <v>2015</v>
      </c>
      <c r="H1788" s="12">
        <f t="shared" si="135"/>
        <v>11</v>
      </c>
      <c r="I1788" s="11">
        <f t="shared" si="136"/>
        <v>59</v>
      </c>
      <c r="J1788" s="11"/>
    </row>
    <row r="1789" spans="1:10" x14ac:dyDescent="0.25">
      <c r="A1789" s="2">
        <v>42327</v>
      </c>
      <c r="B1789" s="3">
        <v>453</v>
      </c>
      <c r="C1789" s="4">
        <v>212910</v>
      </c>
      <c r="D1789" s="3">
        <v>335</v>
      </c>
      <c r="E1789" s="4">
        <v>244550</v>
      </c>
      <c r="G1789" s="12">
        <f t="shared" si="134"/>
        <v>2015</v>
      </c>
      <c r="H1789" s="12">
        <f t="shared" si="135"/>
        <v>11</v>
      </c>
      <c r="I1789" s="11">
        <f t="shared" si="136"/>
        <v>59</v>
      </c>
      <c r="J1789" s="11"/>
    </row>
    <row r="1790" spans="1:10" x14ac:dyDescent="0.25">
      <c r="A1790" s="2">
        <v>42328</v>
      </c>
      <c r="B1790" s="3">
        <v>411</v>
      </c>
      <c r="C1790" s="4">
        <v>193170</v>
      </c>
      <c r="D1790" s="3">
        <v>314</v>
      </c>
      <c r="E1790" s="4">
        <v>229220</v>
      </c>
      <c r="G1790" s="12">
        <f t="shared" si="134"/>
        <v>2015</v>
      </c>
      <c r="H1790" s="12">
        <f t="shared" si="135"/>
        <v>11</v>
      </c>
      <c r="I1790" s="11">
        <f t="shared" si="136"/>
        <v>59</v>
      </c>
      <c r="J1790" s="11"/>
    </row>
    <row r="1791" spans="1:10" x14ac:dyDescent="0.25">
      <c r="A1791" s="2">
        <v>42329</v>
      </c>
      <c r="B1791" s="3">
        <v>432</v>
      </c>
      <c r="C1791" s="4">
        <v>203040</v>
      </c>
      <c r="D1791" s="3">
        <v>251</v>
      </c>
      <c r="E1791" s="4">
        <v>183230</v>
      </c>
      <c r="G1791" s="12">
        <f t="shared" si="134"/>
        <v>2015</v>
      </c>
      <c r="H1791" s="12">
        <f t="shared" si="135"/>
        <v>11</v>
      </c>
      <c r="I1791" s="11">
        <f t="shared" si="136"/>
        <v>59</v>
      </c>
      <c r="J1791" s="11"/>
    </row>
    <row r="1792" spans="1:10" x14ac:dyDescent="0.25">
      <c r="A1792" s="2">
        <v>42330</v>
      </c>
      <c r="B1792" s="3">
        <v>372</v>
      </c>
      <c r="C1792" s="4">
        <v>174840</v>
      </c>
      <c r="D1792" s="3">
        <v>293</v>
      </c>
      <c r="E1792" s="4">
        <v>213890</v>
      </c>
      <c r="G1792" s="12">
        <f t="shared" si="134"/>
        <v>2015</v>
      </c>
      <c r="H1792" s="12">
        <f t="shared" si="135"/>
        <v>11</v>
      </c>
      <c r="I1792" s="11">
        <f t="shared" si="136"/>
        <v>59</v>
      </c>
      <c r="J1792" s="11"/>
    </row>
    <row r="1793" spans="1:10" x14ac:dyDescent="0.25">
      <c r="A1793" s="2">
        <v>42331</v>
      </c>
      <c r="B1793" s="3">
        <v>480</v>
      </c>
      <c r="C1793" s="4">
        <v>225600</v>
      </c>
      <c r="D1793" s="3">
        <v>296</v>
      </c>
      <c r="E1793" s="4">
        <v>216080</v>
      </c>
      <c r="G1793" s="12">
        <f t="shared" si="134"/>
        <v>2015</v>
      </c>
      <c r="H1793" s="12">
        <f t="shared" si="135"/>
        <v>11</v>
      </c>
      <c r="I1793" s="11">
        <f t="shared" si="136"/>
        <v>59</v>
      </c>
      <c r="J1793" s="11"/>
    </row>
    <row r="1794" spans="1:10" x14ac:dyDescent="0.25">
      <c r="A1794" s="2">
        <v>42332</v>
      </c>
      <c r="B1794" s="3">
        <v>526</v>
      </c>
      <c r="C1794" s="4">
        <v>247220</v>
      </c>
      <c r="D1794" s="3">
        <v>326</v>
      </c>
      <c r="E1794" s="4">
        <v>237980</v>
      </c>
      <c r="G1794" s="12">
        <f t="shared" si="134"/>
        <v>2015</v>
      </c>
      <c r="H1794" s="12">
        <f t="shared" si="135"/>
        <v>11</v>
      </c>
      <c r="I1794" s="11">
        <f t="shared" si="136"/>
        <v>59</v>
      </c>
      <c r="J1794" s="11"/>
    </row>
    <row r="1795" spans="1:10" x14ac:dyDescent="0.25">
      <c r="A1795" s="2">
        <v>42333</v>
      </c>
      <c r="B1795" s="3">
        <v>473</v>
      </c>
      <c r="C1795" s="4">
        <v>222310</v>
      </c>
      <c r="D1795" s="3">
        <v>331</v>
      </c>
      <c r="E1795" s="4">
        <v>241630</v>
      </c>
      <c r="G1795" s="12">
        <f t="shared" si="134"/>
        <v>2015</v>
      </c>
      <c r="H1795" s="12">
        <f t="shared" si="135"/>
        <v>11</v>
      </c>
      <c r="I1795" s="11">
        <f t="shared" si="136"/>
        <v>59</v>
      </c>
      <c r="J1795" s="11"/>
    </row>
    <row r="1796" spans="1:10" x14ac:dyDescent="0.25">
      <c r="A1796" s="2">
        <v>42334</v>
      </c>
      <c r="B1796" s="3">
        <v>395</v>
      </c>
      <c r="C1796" s="4">
        <v>185650</v>
      </c>
      <c r="D1796" s="3">
        <v>319</v>
      </c>
      <c r="E1796" s="4">
        <v>232870</v>
      </c>
      <c r="G1796" s="12">
        <f t="shared" si="134"/>
        <v>2015</v>
      </c>
      <c r="H1796" s="12">
        <f t="shared" si="135"/>
        <v>11</v>
      </c>
      <c r="I1796" s="11">
        <f t="shared" si="136"/>
        <v>59</v>
      </c>
      <c r="J1796" s="11"/>
    </row>
    <row r="1797" spans="1:10" x14ac:dyDescent="0.25">
      <c r="A1797" s="2">
        <v>42335</v>
      </c>
      <c r="B1797" s="3">
        <v>466</v>
      </c>
      <c r="C1797" s="4">
        <v>219020</v>
      </c>
      <c r="D1797" s="3">
        <v>261</v>
      </c>
      <c r="E1797" s="4">
        <v>190530</v>
      </c>
      <c r="G1797" s="12">
        <f t="shared" si="134"/>
        <v>2015</v>
      </c>
      <c r="H1797" s="12">
        <f t="shared" si="135"/>
        <v>11</v>
      </c>
      <c r="I1797" s="11">
        <f t="shared" si="136"/>
        <v>59</v>
      </c>
      <c r="J1797" s="11"/>
    </row>
    <row r="1798" spans="1:10" x14ac:dyDescent="0.25">
      <c r="A1798" s="2">
        <v>42336</v>
      </c>
      <c r="B1798" s="3">
        <v>490</v>
      </c>
      <c r="C1798" s="4">
        <v>230300</v>
      </c>
      <c r="D1798" s="3">
        <v>353</v>
      </c>
      <c r="E1798" s="4">
        <v>257690</v>
      </c>
      <c r="G1798" s="12">
        <f t="shared" ref="G1798:G1861" si="137">+YEAR(A1798)</f>
        <v>2015</v>
      </c>
      <c r="H1798" s="12">
        <f t="shared" ref="H1798:H1861" si="138">+MONTH(A1798)</f>
        <v>11</v>
      </c>
      <c r="I1798" s="11">
        <f t="shared" si="136"/>
        <v>59</v>
      </c>
      <c r="J1798" s="11"/>
    </row>
    <row r="1799" spans="1:10" x14ac:dyDescent="0.25">
      <c r="A1799" s="2">
        <v>42337</v>
      </c>
      <c r="B1799" s="3">
        <v>385</v>
      </c>
      <c r="C1799" s="4">
        <v>180950</v>
      </c>
      <c r="D1799" s="3">
        <v>308</v>
      </c>
      <c r="E1799" s="4">
        <v>224840</v>
      </c>
      <c r="G1799" s="12">
        <f t="shared" si="137"/>
        <v>2015</v>
      </c>
      <c r="H1799" s="12">
        <f t="shared" si="138"/>
        <v>11</v>
      </c>
      <c r="I1799" s="11">
        <f t="shared" ref="I1799:I1862" si="139">+H1799+(G1799-2011)*12</f>
        <v>59</v>
      </c>
      <c r="J1799" s="11"/>
    </row>
    <row r="1800" spans="1:10" x14ac:dyDescent="0.25">
      <c r="A1800" s="2">
        <v>42338</v>
      </c>
      <c r="B1800" s="3">
        <v>524</v>
      </c>
      <c r="C1800" s="4">
        <v>246280</v>
      </c>
      <c r="D1800" s="3">
        <v>255</v>
      </c>
      <c r="E1800" s="4">
        <v>186150</v>
      </c>
      <c r="G1800" s="12">
        <f t="shared" si="137"/>
        <v>2015</v>
      </c>
      <c r="H1800" s="12">
        <f t="shared" si="138"/>
        <v>11</v>
      </c>
      <c r="I1800" s="11">
        <f t="shared" si="139"/>
        <v>59</v>
      </c>
      <c r="J1800" s="11"/>
    </row>
    <row r="1801" spans="1:10" x14ac:dyDescent="0.25">
      <c r="A1801" s="2">
        <v>42339</v>
      </c>
      <c r="B1801" s="3">
        <v>547</v>
      </c>
      <c r="C1801" s="4">
        <v>257090</v>
      </c>
      <c r="D1801" s="3">
        <v>329</v>
      </c>
      <c r="E1801" s="4">
        <v>240170</v>
      </c>
      <c r="G1801" s="12">
        <f t="shared" si="137"/>
        <v>2015</v>
      </c>
      <c r="H1801" s="12">
        <f t="shared" si="138"/>
        <v>12</v>
      </c>
      <c r="I1801" s="11">
        <f t="shared" si="139"/>
        <v>60</v>
      </c>
      <c r="J1801" s="11"/>
    </row>
    <row r="1802" spans="1:10" x14ac:dyDescent="0.25">
      <c r="A1802" s="2">
        <v>42340</v>
      </c>
      <c r="B1802" s="3">
        <v>474</v>
      </c>
      <c r="C1802" s="4">
        <v>222780</v>
      </c>
      <c r="D1802" s="3">
        <v>342</v>
      </c>
      <c r="E1802" s="4">
        <v>249660</v>
      </c>
      <c r="G1802" s="12">
        <f t="shared" si="137"/>
        <v>2015</v>
      </c>
      <c r="H1802" s="12">
        <f t="shared" si="138"/>
        <v>12</v>
      </c>
      <c r="I1802" s="11">
        <f t="shared" si="139"/>
        <v>60</v>
      </c>
      <c r="J1802" s="11"/>
    </row>
    <row r="1803" spans="1:10" x14ac:dyDescent="0.25">
      <c r="A1803" s="2">
        <v>42341</v>
      </c>
      <c r="B1803" s="3">
        <v>453</v>
      </c>
      <c r="C1803" s="4">
        <v>212910</v>
      </c>
      <c r="D1803" s="3">
        <v>286</v>
      </c>
      <c r="E1803" s="4">
        <v>208780</v>
      </c>
      <c r="G1803" s="12">
        <f t="shared" si="137"/>
        <v>2015</v>
      </c>
      <c r="H1803" s="12">
        <f t="shared" si="138"/>
        <v>12</v>
      </c>
      <c r="I1803" s="11">
        <f t="shared" si="139"/>
        <v>60</v>
      </c>
      <c r="J1803" s="11"/>
    </row>
    <row r="1804" spans="1:10" x14ac:dyDescent="0.25">
      <c r="A1804" s="2">
        <v>42342</v>
      </c>
      <c r="B1804" s="3">
        <v>517</v>
      </c>
      <c r="C1804" s="4">
        <v>242990</v>
      </c>
      <c r="D1804" s="3">
        <v>319</v>
      </c>
      <c r="E1804" s="4">
        <v>232870</v>
      </c>
      <c r="G1804" s="12">
        <f t="shared" si="137"/>
        <v>2015</v>
      </c>
      <c r="H1804" s="12">
        <f t="shared" si="138"/>
        <v>12</v>
      </c>
      <c r="I1804" s="11">
        <f t="shared" si="139"/>
        <v>60</v>
      </c>
      <c r="J1804" s="11"/>
    </row>
    <row r="1805" spans="1:10" x14ac:dyDescent="0.25">
      <c r="A1805" s="2">
        <v>42343</v>
      </c>
      <c r="B1805" s="3">
        <v>391</v>
      </c>
      <c r="C1805" s="4">
        <v>183770</v>
      </c>
      <c r="D1805" s="3">
        <v>297</v>
      </c>
      <c r="E1805" s="4">
        <v>216810</v>
      </c>
      <c r="G1805" s="12">
        <f t="shared" si="137"/>
        <v>2015</v>
      </c>
      <c r="H1805" s="12">
        <f t="shared" si="138"/>
        <v>12</v>
      </c>
      <c r="I1805" s="11">
        <f t="shared" si="139"/>
        <v>60</v>
      </c>
      <c r="J1805" s="11"/>
    </row>
    <row r="1806" spans="1:10" x14ac:dyDescent="0.25">
      <c r="A1806" s="2">
        <v>42344</v>
      </c>
      <c r="B1806" s="3">
        <v>572</v>
      </c>
      <c r="C1806" s="4">
        <v>268840</v>
      </c>
      <c r="D1806" s="3">
        <v>332</v>
      </c>
      <c r="E1806" s="4">
        <v>242360</v>
      </c>
      <c r="G1806" s="12">
        <f t="shared" si="137"/>
        <v>2015</v>
      </c>
      <c r="H1806" s="12">
        <f t="shared" si="138"/>
        <v>12</v>
      </c>
      <c r="I1806" s="11">
        <f t="shared" si="139"/>
        <v>60</v>
      </c>
      <c r="J1806" s="11"/>
    </row>
    <row r="1807" spans="1:10" x14ac:dyDescent="0.25">
      <c r="A1807" s="2">
        <v>42345</v>
      </c>
      <c r="B1807" s="3">
        <v>473</v>
      </c>
      <c r="C1807" s="4">
        <v>222310</v>
      </c>
      <c r="D1807" s="3">
        <v>348</v>
      </c>
      <c r="E1807" s="4">
        <v>254040</v>
      </c>
      <c r="G1807" s="12">
        <f t="shared" si="137"/>
        <v>2015</v>
      </c>
      <c r="H1807" s="12">
        <f t="shared" si="138"/>
        <v>12</v>
      </c>
      <c r="I1807" s="11">
        <f t="shared" si="139"/>
        <v>60</v>
      </c>
      <c r="J1807" s="11"/>
    </row>
    <row r="1808" spans="1:10" x14ac:dyDescent="0.25">
      <c r="A1808" s="2">
        <v>42346</v>
      </c>
      <c r="B1808" s="3">
        <v>491</v>
      </c>
      <c r="C1808" s="4">
        <v>230770</v>
      </c>
      <c r="D1808" s="3">
        <v>343</v>
      </c>
      <c r="E1808" s="4">
        <v>250390</v>
      </c>
      <c r="G1808" s="12">
        <f t="shared" si="137"/>
        <v>2015</v>
      </c>
      <c r="H1808" s="12">
        <f t="shared" si="138"/>
        <v>12</v>
      </c>
      <c r="I1808" s="11">
        <f t="shared" si="139"/>
        <v>60</v>
      </c>
      <c r="J1808" s="11"/>
    </row>
    <row r="1809" spans="1:10" x14ac:dyDescent="0.25">
      <c r="A1809" s="2">
        <v>42347</v>
      </c>
      <c r="B1809" s="3">
        <v>472</v>
      </c>
      <c r="C1809" s="4">
        <v>221840</v>
      </c>
      <c r="D1809" s="3">
        <v>264</v>
      </c>
      <c r="E1809" s="4">
        <v>192720</v>
      </c>
      <c r="G1809" s="12">
        <f t="shared" si="137"/>
        <v>2015</v>
      </c>
      <c r="H1809" s="12">
        <f t="shared" si="138"/>
        <v>12</v>
      </c>
      <c r="I1809" s="11">
        <f t="shared" si="139"/>
        <v>60</v>
      </c>
      <c r="J1809" s="11"/>
    </row>
    <row r="1810" spans="1:10" x14ac:dyDescent="0.25">
      <c r="A1810" s="2">
        <v>42348</v>
      </c>
      <c r="B1810" s="3">
        <v>499</v>
      </c>
      <c r="C1810" s="4">
        <v>234530</v>
      </c>
      <c r="D1810" s="3">
        <v>326</v>
      </c>
      <c r="E1810" s="4">
        <v>237980</v>
      </c>
      <c r="G1810" s="12">
        <f t="shared" si="137"/>
        <v>2015</v>
      </c>
      <c r="H1810" s="12">
        <f t="shared" si="138"/>
        <v>12</v>
      </c>
      <c r="I1810" s="11">
        <f t="shared" si="139"/>
        <v>60</v>
      </c>
      <c r="J1810" s="11"/>
    </row>
    <row r="1811" spans="1:10" x14ac:dyDescent="0.25">
      <c r="A1811" s="2">
        <v>42349</v>
      </c>
      <c r="B1811" s="3">
        <v>522</v>
      </c>
      <c r="C1811" s="4">
        <v>245340</v>
      </c>
      <c r="D1811" s="3">
        <v>278</v>
      </c>
      <c r="E1811" s="4">
        <v>202940</v>
      </c>
      <c r="G1811" s="12">
        <f t="shared" si="137"/>
        <v>2015</v>
      </c>
      <c r="H1811" s="12">
        <f t="shared" si="138"/>
        <v>12</v>
      </c>
      <c r="I1811" s="11">
        <f t="shared" si="139"/>
        <v>60</v>
      </c>
      <c r="J1811" s="11"/>
    </row>
    <row r="1812" spans="1:10" x14ac:dyDescent="0.25">
      <c r="A1812" s="2">
        <v>42350</v>
      </c>
      <c r="B1812" s="3">
        <v>412</v>
      </c>
      <c r="C1812" s="4">
        <v>193640</v>
      </c>
      <c r="D1812" s="3">
        <v>320</v>
      </c>
      <c r="E1812" s="4">
        <v>233600</v>
      </c>
      <c r="G1812" s="12">
        <f t="shared" si="137"/>
        <v>2015</v>
      </c>
      <c r="H1812" s="12">
        <f t="shared" si="138"/>
        <v>12</v>
      </c>
      <c r="I1812" s="11">
        <f t="shared" si="139"/>
        <v>60</v>
      </c>
      <c r="J1812" s="11"/>
    </row>
    <row r="1813" spans="1:10" x14ac:dyDescent="0.25">
      <c r="A1813" s="2">
        <v>42351</v>
      </c>
      <c r="B1813" s="3">
        <v>536</v>
      </c>
      <c r="C1813" s="4">
        <v>251920</v>
      </c>
      <c r="D1813" s="3">
        <v>339</v>
      </c>
      <c r="E1813" s="4">
        <v>247470</v>
      </c>
      <c r="G1813" s="12">
        <f t="shared" si="137"/>
        <v>2015</v>
      </c>
      <c r="H1813" s="12">
        <f t="shared" si="138"/>
        <v>12</v>
      </c>
      <c r="I1813" s="11">
        <f t="shared" si="139"/>
        <v>60</v>
      </c>
      <c r="J1813" s="11"/>
    </row>
    <row r="1814" spans="1:10" x14ac:dyDescent="0.25">
      <c r="A1814" s="2">
        <v>42352</v>
      </c>
      <c r="B1814" s="3">
        <v>542</v>
      </c>
      <c r="C1814" s="4">
        <v>254740</v>
      </c>
      <c r="D1814" s="3">
        <v>263</v>
      </c>
      <c r="E1814" s="4">
        <v>191990</v>
      </c>
      <c r="G1814" s="12">
        <f t="shared" si="137"/>
        <v>2015</v>
      </c>
      <c r="H1814" s="12">
        <f t="shared" si="138"/>
        <v>12</v>
      </c>
      <c r="I1814" s="11">
        <f t="shared" si="139"/>
        <v>60</v>
      </c>
      <c r="J1814" s="11"/>
    </row>
    <row r="1815" spans="1:10" x14ac:dyDescent="0.25">
      <c r="A1815" s="2">
        <v>42353</v>
      </c>
      <c r="B1815" s="3">
        <v>394</v>
      </c>
      <c r="C1815" s="4">
        <v>185180</v>
      </c>
      <c r="D1815" s="3">
        <v>362</v>
      </c>
      <c r="E1815" s="4">
        <v>264260</v>
      </c>
      <c r="G1815" s="12">
        <f t="shared" si="137"/>
        <v>2015</v>
      </c>
      <c r="H1815" s="12">
        <f t="shared" si="138"/>
        <v>12</v>
      </c>
      <c r="I1815" s="11">
        <f t="shared" si="139"/>
        <v>60</v>
      </c>
      <c r="J1815" s="11"/>
    </row>
    <row r="1816" spans="1:10" x14ac:dyDescent="0.25">
      <c r="A1816" s="2">
        <v>42354</v>
      </c>
      <c r="B1816" s="3">
        <v>448</v>
      </c>
      <c r="C1816" s="4">
        <v>210560</v>
      </c>
      <c r="D1816" s="3">
        <v>266</v>
      </c>
      <c r="E1816" s="4">
        <v>194180</v>
      </c>
      <c r="G1816" s="12">
        <f t="shared" si="137"/>
        <v>2015</v>
      </c>
      <c r="H1816" s="12">
        <f t="shared" si="138"/>
        <v>12</v>
      </c>
      <c r="I1816" s="11">
        <f t="shared" si="139"/>
        <v>60</v>
      </c>
      <c r="J1816" s="11"/>
    </row>
    <row r="1817" spans="1:10" x14ac:dyDescent="0.25">
      <c r="A1817" s="2">
        <v>42355</v>
      </c>
      <c r="B1817" s="3">
        <v>485</v>
      </c>
      <c r="C1817" s="4">
        <v>227950</v>
      </c>
      <c r="D1817" s="3">
        <v>289</v>
      </c>
      <c r="E1817" s="4">
        <v>210970</v>
      </c>
      <c r="G1817" s="12">
        <f t="shared" si="137"/>
        <v>2015</v>
      </c>
      <c r="H1817" s="12">
        <f t="shared" si="138"/>
        <v>12</v>
      </c>
      <c r="I1817" s="11">
        <f t="shared" si="139"/>
        <v>60</v>
      </c>
      <c r="J1817" s="11"/>
    </row>
    <row r="1818" spans="1:10" x14ac:dyDescent="0.25">
      <c r="A1818" s="2">
        <v>42356</v>
      </c>
      <c r="B1818" s="3">
        <v>421</v>
      </c>
      <c r="C1818" s="4">
        <v>197870</v>
      </c>
      <c r="D1818" s="3">
        <v>277</v>
      </c>
      <c r="E1818" s="4">
        <v>202210</v>
      </c>
      <c r="G1818" s="12">
        <f t="shared" si="137"/>
        <v>2015</v>
      </c>
      <c r="H1818" s="12">
        <f t="shared" si="138"/>
        <v>12</v>
      </c>
      <c r="I1818" s="11">
        <f t="shared" si="139"/>
        <v>60</v>
      </c>
      <c r="J1818" s="11"/>
    </row>
    <row r="1819" spans="1:10" x14ac:dyDescent="0.25">
      <c r="A1819" s="2">
        <v>42357</v>
      </c>
      <c r="B1819" s="3">
        <v>486</v>
      </c>
      <c r="C1819" s="4">
        <v>228420</v>
      </c>
      <c r="D1819" s="3">
        <v>307</v>
      </c>
      <c r="E1819" s="4">
        <v>224110</v>
      </c>
      <c r="G1819" s="12">
        <f t="shared" si="137"/>
        <v>2015</v>
      </c>
      <c r="H1819" s="12">
        <f t="shared" si="138"/>
        <v>12</v>
      </c>
      <c r="I1819" s="11">
        <f t="shared" si="139"/>
        <v>60</v>
      </c>
      <c r="J1819" s="11"/>
    </row>
    <row r="1820" spans="1:10" x14ac:dyDescent="0.25">
      <c r="A1820" s="2">
        <v>42358</v>
      </c>
      <c r="B1820" s="3">
        <v>456</v>
      </c>
      <c r="C1820" s="4">
        <v>214320</v>
      </c>
      <c r="D1820" s="3">
        <v>333</v>
      </c>
      <c r="E1820" s="4">
        <v>243090</v>
      </c>
      <c r="G1820" s="12">
        <f t="shared" si="137"/>
        <v>2015</v>
      </c>
      <c r="H1820" s="12">
        <f t="shared" si="138"/>
        <v>12</v>
      </c>
      <c r="I1820" s="11">
        <f t="shared" si="139"/>
        <v>60</v>
      </c>
      <c r="J1820" s="11"/>
    </row>
    <row r="1821" spans="1:10" x14ac:dyDescent="0.25">
      <c r="A1821" s="2">
        <v>42359</v>
      </c>
      <c r="B1821" s="3">
        <v>438</v>
      </c>
      <c r="C1821" s="4">
        <v>205860</v>
      </c>
      <c r="D1821" s="3">
        <v>250</v>
      </c>
      <c r="E1821" s="4">
        <v>182500</v>
      </c>
      <c r="G1821" s="12">
        <f t="shared" si="137"/>
        <v>2015</v>
      </c>
      <c r="H1821" s="12">
        <f t="shared" si="138"/>
        <v>12</v>
      </c>
      <c r="I1821" s="11">
        <f t="shared" si="139"/>
        <v>60</v>
      </c>
      <c r="J1821" s="11"/>
    </row>
    <row r="1822" spans="1:10" x14ac:dyDescent="0.25">
      <c r="A1822" s="2">
        <v>42360</v>
      </c>
      <c r="B1822" s="3">
        <v>528</v>
      </c>
      <c r="C1822" s="4">
        <v>248160</v>
      </c>
      <c r="D1822" s="3">
        <v>304</v>
      </c>
      <c r="E1822" s="4">
        <v>221920</v>
      </c>
      <c r="G1822" s="12">
        <f t="shared" si="137"/>
        <v>2015</v>
      </c>
      <c r="H1822" s="12">
        <f t="shared" si="138"/>
        <v>12</v>
      </c>
      <c r="I1822" s="11">
        <f t="shared" si="139"/>
        <v>60</v>
      </c>
      <c r="J1822" s="11"/>
    </row>
    <row r="1823" spans="1:10" x14ac:dyDescent="0.25">
      <c r="A1823" s="2">
        <v>42361</v>
      </c>
      <c r="B1823" s="3">
        <v>490</v>
      </c>
      <c r="C1823" s="4">
        <v>230300</v>
      </c>
      <c r="D1823" s="3">
        <v>350</v>
      </c>
      <c r="E1823" s="4">
        <v>255500</v>
      </c>
      <c r="G1823" s="12">
        <f t="shared" si="137"/>
        <v>2015</v>
      </c>
      <c r="H1823" s="12">
        <f t="shared" si="138"/>
        <v>12</v>
      </c>
      <c r="I1823" s="11">
        <f t="shared" si="139"/>
        <v>60</v>
      </c>
      <c r="J1823" s="11"/>
    </row>
    <row r="1824" spans="1:10" x14ac:dyDescent="0.25">
      <c r="A1824" s="2">
        <v>42362</v>
      </c>
      <c r="B1824" s="3">
        <v>453</v>
      </c>
      <c r="C1824" s="4">
        <v>212910</v>
      </c>
      <c r="D1824" s="3">
        <v>297</v>
      </c>
      <c r="E1824" s="4">
        <v>216810</v>
      </c>
      <c r="G1824" s="12">
        <f t="shared" si="137"/>
        <v>2015</v>
      </c>
      <c r="H1824" s="12">
        <f t="shared" si="138"/>
        <v>12</v>
      </c>
      <c r="I1824" s="11">
        <f t="shared" si="139"/>
        <v>60</v>
      </c>
      <c r="J1824" s="11"/>
    </row>
    <row r="1825" spans="1:10" x14ac:dyDescent="0.25">
      <c r="A1825" s="2">
        <v>42363</v>
      </c>
      <c r="B1825" s="3">
        <v>495</v>
      </c>
      <c r="C1825" s="4">
        <v>232650</v>
      </c>
      <c r="D1825" s="3">
        <v>282</v>
      </c>
      <c r="E1825" s="4">
        <v>205860</v>
      </c>
      <c r="G1825" s="12">
        <f t="shared" si="137"/>
        <v>2015</v>
      </c>
      <c r="H1825" s="12">
        <f t="shared" si="138"/>
        <v>12</v>
      </c>
      <c r="I1825" s="11">
        <f t="shared" si="139"/>
        <v>60</v>
      </c>
      <c r="J1825" s="11"/>
    </row>
    <row r="1826" spans="1:10" x14ac:dyDescent="0.25">
      <c r="A1826" s="2">
        <v>42364</v>
      </c>
      <c r="B1826" s="3">
        <v>459</v>
      </c>
      <c r="C1826" s="4">
        <v>215730</v>
      </c>
      <c r="D1826" s="3">
        <v>308</v>
      </c>
      <c r="E1826" s="4">
        <v>224840</v>
      </c>
      <c r="G1826" s="12">
        <f t="shared" si="137"/>
        <v>2015</v>
      </c>
      <c r="H1826" s="12">
        <f t="shared" si="138"/>
        <v>12</v>
      </c>
      <c r="I1826" s="11">
        <f t="shared" si="139"/>
        <v>60</v>
      </c>
      <c r="J1826" s="11"/>
    </row>
    <row r="1827" spans="1:10" x14ac:dyDescent="0.25">
      <c r="A1827" s="2">
        <v>42365</v>
      </c>
      <c r="B1827" s="3">
        <v>486</v>
      </c>
      <c r="C1827" s="4">
        <v>228420</v>
      </c>
      <c r="D1827" s="3">
        <v>356</v>
      </c>
      <c r="E1827" s="4">
        <v>259880</v>
      </c>
      <c r="G1827" s="12">
        <f t="shared" si="137"/>
        <v>2015</v>
      </c>
      <c r="H1827" s="12">
        <f t="shared" si="138"/>
        <v>12</v>
      </c>
      <c r="I1827" s="11">
        <f t="shared" si="139"/>
        <v>60</v>
      </c>
      <c r="J1827" s="11"/>
    </row>
    <row r="1828" spans="1:10" x14ac:dyDescent="0.25">
      <c r="A1828" s="2">
        <v>42366</v>
      </c>
      <c r="B1828" s="3">
        <v>508</v>
      </c>
      <c r="C1828" s="4">
        <v>238760</v>
      </c>
      <c r="D1828" s="3">
        <v>288</v>
      </c>
      <c r="E1828" s="4">
        <v>210240</v>
      </c>
      <c r="G1828" s="12">
        <f t="shared" si="137"/>
        <v>2015</v>
      </c>
      <c r="H1828" s="12">
        <f t="shared" si="138"/>
        <v>12</v>
      </c>
      <c r="I1828" s="11">
        <f t="shared" si="139"/>
        <v>60</v>
      </c>
      <c r="J1828" s="11"/>
    </row>
    <row r="1829" spans="1:10" x14ac:dyDescent="0.25">
      <c r="A1829" s="2">
        <v>42367</v>
      </c>
      <c r="B1829" s="3">
        <v>407</v>
      </c>
      <c r="C1829" s="4">
        <v>191290</v>
      </c>
      <c r="D1829" s="3">
        <v>287</v>
      </c>
      <c r="E1829" s="4">
        <v>209510</v>
      </c>
      <c r="G1829" s="12">
        <f t="shared" si="137"/>
        <v>2015</v>
      </c>
      <c r="H1829" s="12">
        <f t="shared" si="138"/>
        <v>12</v>
      </c>
      <c r="I1829" s="11">
        <f t="shared" si="139"/>
        <v>60</v>
      </c>
      <c r="J1829" s="11"/>
    </row>
    <row r="1830" spans="1:10" x14ac:dyDescent="0.25">
      <c r="A1830" s="2">
        <v>42368</v>
      </c>
      <c r="B1830" s="3">
        <v>527</v>
      </c>
      <c r="C1830" s="4">
        <v>247690</v>
      </c>
      <c r="D1830" s="3">
        <v>280</v>
      </c>
      <c r="E1830" s="4">
        <v>204400</v>
      </c>
      <c r="G1830" s="12">
        <f t="shared" si="137"/>
        <v>2015</v>
      </c>
      <c r="H1830" s="12">
        <f t="shared" si="138"/>
        <v>12</v>
      </c>
      <c r="I1830" s="11">
        <f t="shared" si="139"/>
        <v>60</v>
      </c>
      <c r="J1830" s="11"/>
    </row>
    <row r="1831" spans="1:10" x14ac:dyDescent="0.25">
      <c r="A1831" s="2">
        <v>42369</v>
      </c>
      <c r="B1831" s="3">
        <v>452</v>
      </c>
      <c r="C1831" s="4">
        <v>212440</v>
      </c>
      <c r="D1831" s="3">
        <v>297</v>
      </c>
      <c r="E1831" s="4">
        <v>216810</v>
      </c>
      <c r="G1831" s="12">
        <f t="shared" si="137"/>
        <v>2015</v>
      </c>
      <c r="H1831" s="12">
        <f t="shared" si="138"/>
        <v>12</v>
      </c>
      <c r="I1831" s="11">
        <f t="shared" si="139"/>
        <v>60</v>
      </c>
      <c r="J1831" s="11"/>
    </row>
    <row r="1832" spans="1:10" x14ac:dyDescent="0.25">
      <c r="A1832" s="2">
        <v>42370</v>
      </c>
      <c r="B1832" s="3">
        <v>427</v>
      </c>
      <c r="C1832" s="4">
        <v>200690</v>
      </c>
      <c r="D1832" s="3">
        <v>345</v>
      </c>
      <c r="E1832" s="4">
        <v>251850</v>
      </c>
      <c r="G1832" s="12">
        <f t="shared" si="137"/>
        <v>2016</v>
      </c>
      <c r="H1832" s="12">
        <f t="shared" si="138"/>
        <v>1</v>
      </c>
      <c r="I1832" s="11">
        <f t="shared" si="139"/>
        <v>61</v>
      </c>
      <c r="J1832" s="11"/>
    </row>
    <row r="1833" spans="1:10" x14ac:dyDescent="0.25">
      <c r="A1833" s="2">
        <v>42371</v>
      </c>
      <c r="B1833" s="3">
        <v>531</v>
      </c>
      <c r="C1833" s="4">
        <v>249570</v>
      </c>
      <c r="D1833" s="3">
        <v>287</v>
      </c>
      <c r="E1833" s="4">
        <v>209510</v>
      </c>
      <c r="G1833" s="12">
        <f t="shared" si="137"/>
        <v>2016</v>
      </c>
      <c r="H1833" s="12">
        <f t="shared" si="138"/>
        <v>1</v>
      </c>
      <c r="I1833" s="11">
        <f t="shared" si="139"/>
        <v>61</v>
      </c>
      <c r="J1833" s="11"/>
    </row>
    <row r="1834" spans="1:10" x14ac:dyDescent="0.25">
      <c r="A1834" s="2">
        <v>42372</v>
      </c>
      <c r="B1834" s="3">
        <v>480</v>
      </c>
      <c r="C1834" s="4">
        <v>225600</v>
      </c>
      <c r="D1834" s="3">
        <v>330</v>
      </c>
      <c r="E1834" s="4">
        <v>240900</v>
      </c>
      <c r="G1834" s="12">
        <f t="shared" si="137"/>
        <v>2016</v>
      </c>
      <c r="H1834" s="12">
        <f t="shared" si="138"/>
        <v>1</v>
      </c>
      <c r="I1834" s="11">
        <f t="shared" si="139"/>
        <v>61</v>
      </c>
      <c r="J1834" s="11"/>
    </row>
    <row r="1835" spans="1:10" x14ac:dyDescent="0.25">
      <c r="A1835" s="2">
        <v>42373</v>
      </c>
      <c r="B1835" s="3">
        <v>404</v>
      </c>
      <c r="C1835" s="4">
        <v>189880</v>
      </c>
      <c r="D1835" s="3">
        <v>336</v>
      </c>
      <c r="E1835" s="4">
        <v>245280</v>
      </c>
      <c r="G1835" s="12">
        <f t="shared" si="137"/>
        <v>2016</v>
      </c>
      <c r="H1835" s="12">
        <f t="shared" si="138"/>
        <v>1</v>
      </c>
      <c r="I1835" s="11">
        <f t="shared" si="139"/>
        <v>61</v>
      </c>
      <c r="J1835" s="11"/>
    </row>
    <row r="1836" spans="1:10" x14ac:dyDescent="0.25">
      <c r="A1836" s="2">
        <v>42374</v>
      </c>
      <c r="B1836" s="3">
        <v>432</v>
      </c>
      <c r="C1836" s="4">
        <v>203040</v>
      </c>
      <c r="D1836" s="3">
        <v>387</v>
      </c>
      <c r="E1836" s="4">
        <v>282510</v>
      </c>
      <c r="G1836" s="12">
        <f t="shared" si="137"/>
        <v>2016</v>
      </c>
      <c r="H1836" s="12">
        <f t="shared" si="138"/>
        <v>1</v>
      </c>
      <c r="I1836" s="11">
        <f t="shared" si="139"/>
        <v>61</v>
      </c>
      <c r="J1836" s="11"/>
    </row>
    <row r="1837" spans="1:10" x14ac:dyDescent="0.25">
      <c r="A1837" s="2">
        <v>42375</v>
      </c>
      <c r="B1837" s="3">
        <v>510</v>
      </c>
      <c r="C1837" s="4">
        <v>239700</v>
      </c>
      <c r="D1837" s="3">
        <v>290</v>
      </c>
      <c r="E1837" s="4">
        <v>211700</v>
      </c>
      <c r="G1837" s="12">
        <f t="shared" si="137"/>
        <v>2016</v>
      </c>
      <c r="H1837" s="12">
        <f t="shared" si="138"/>
        <v>1</v>
      </c>
      <c r="I1837" s="11">
        <f t="shared" si="139"/>
        <v>61</v>
      </c>
      <c r="J1837" s="11"/>
    </row>
    <row r="1838" spans="1:10" x14ac:dyDescent="0.25">
      <c r="A1838" s="2">
        <v>42376</v>
      </c>
      <c r="B1838" s="3">
        <v>512</v>
      </c>
      <c r="C1838" s="4">
        <v>240640</v>
      </c>
      <c r="D1838" s="3">
        <v>290</v>
      </c>
      <c r="E1838" s="4">
        <v>211700</v>
      </c>
      <c r="G1838" s="12">
        <f t="shared" si="137"/>
        <v>2016</v>
      </c>
      <c r="H1838" s="12">
        <f t="shared" si="138"/>
        <v>1</v>
      </c>
      <c r="I1838" s="11">
        <f t="shared" si="139"/>
        <v>61</v>
      </c>
      <c r="J1838" s="11"/>
    </row>
    <row r="1839" spans="1:10" x14ac:dyDescent="0.25">
      <c r="A1839" s="2">
        <v>42377</v>
      </c>
      <c r="B1839" s="3">
        <v>478</v>
      </c>
      <c r="C1839" s="4">
        <v>224660</v>
      </c>
      <c r="D1839" s="3">
        <v>329</v>
      </c>
      <c r="E1839" s="4">
        <v>240170</v>
      </c>
      <c r="G1839" s="12">
        <f t="shared" si="137"/>
        <v>2016</v>
      </c>
      <c r="H1839" s="12">
        <f t="shared" si="138"/>
        <v>1</v>
      </c>
      <c r="I1839" s="11">
        <f t="shared" si="139"/>
        <v>61</v>
      </c>
      <c r="J1839" s="11"/>
    </row>
    <row r="1840" spans="1:10" x14ac:dyDescent="0.25">
      <c r="A1840" s="2">
        <v>42378</v>
      </c>
      <c r="B1840" s="3">
        <v>482</v>
      </c>
      <c r="C1840" s="4">
        <v>226540</v>
      </c>
      <c r="D1840" s="3">
        <v>274</v>
      </c>
      <c r="E1840" s="4">
        <v>200020</v>
      </c>
      <c r="G1840" s="12">
        <f t="shared" si="137"/>
        <v>2016</v>
      </c>
      <c r="H1840" s="12">
        <f t="shared" si="138"/>
        <v>1</v>
      </c>
      <c r="I1840" s="11">
        <f t="shared" si="139"/>
        <v>61</v>
      </c>
      <c r="J1840" s="11"/>
    </row>
    <row r="1841" spans="1:10" x14ac:dyDescent="0.25">
      <c r="A1841" s="2">
        <v>42379</v>
      </c>
      <c r="B1841" s="3">
        <v>409</v>
      </c>
      <c r="C1841" s="4">
        <v>192230</v>
      </c>
      <c r="D1841" s="3">
        <v>333</v>
      </c>
      <c r="E1841" s="4">
        <v>243090</v>
      </c>
      <c r="G1841" s="12">
        <f t="shared" si="137"/>
        <v>2016</v>
      </c>
      <c r="H1841" s="12">
        <f t="shared" si="138"/>
        <v>1</v>
      </c>
      <c r="I1841" s="11">
        <f t="shared" si="139"/>
        <v>61</v>
      </c>
      <c r="J1841" s="11"/>
    </row>
    <row r="1842" spans="1:10" x14ac:dyDescent="0.25">
      <c r="A1842" s="2">
        <v>42380</v>
      </c>
      <c r="B1842" s="3">
        <v>539</v>
      </c>
      <c r="C1842" s="4">
        <v>253330</v>
      </c>
      <c r="D1842" s="3">
        <v>337</v>
      </c>
      <c r="E1842" s="4">
        <v>246010</v>
      </c>
      <c r="G1842" s="12">
        <f t="shared" si="137"/>
        <v>2016</v>
      </c>
      <c r="H1842" s="12">
        <f t="shared" si="138"/>
        <v>1</v>
      </c>
      <c r="I1842" s="11">
        <f t="shared" si="139"/>
        <v>61</v>
      </c>
      <c r="J1842" s="11"/>
    </row>
    <row r="1843" spans="1:10" x14ac:dyDescent="0.25">
      <c r="A1843" s="2">
        <v>42381</v>
      </c>
      <c r="B1843" s="3">
        <v>456</v>
      </c>
      <c r="C1843" s="4">
        <v>214320</v>
      </c>
      <c r="D1843" s="3">
        <v>276</v>
      </c>
      <c r="E1843" s="4">
        <v>201480</v>
      </c>
      <c r="G1843" s="12">
        <f t="shared" si="137"/>
        <v>2016</v>
      </c>
      <c r="H1843" s="12">
        <f t="shared" si="138"/>
        <v>1</v>
      </c>
      <c r="I1843" s="11">
        <f t="shared" si="139"/>
        <v>61</v>
      </c>
      <c r="J1843" s="11"/>
    </row>
    <row r="1844" spans="1:10" x14ac:dyDescent="0.25">
      <c r="A1844" s="2">
        <v>42382</v>
      </c>
      <c r="B1844" s="3">
        <v>445</v>
      </c>
      <c r="C1844" s="4">
        <v>209150</v>
      </c>
      <c r="D1844" s="3">
        <v>334</v>
      </c>
      <c r="E1844" s="4">
        <v>243820</v>
      </c>
      <c r="G1844" s="12">
        <f t="shared" si="137"/>
        <v>2016</v>
      </c>
      <c r="H1844" s="12">
        <f t="shared" si="138"/>
        <v>1</v>
      </c>
      <c r="I1844" s="11">
        <f t="shared" si="139"/>
        <v>61</v>
      </c>
      <c r="J1844" s="11"/>
    </row>
    <row r="1845" spans="1:10" x14ac:dyDescent="0.25">
      <c r="A1845" s="2">
        <v>42383</v>
      </c>
      <c r="B1845" s="3">
        <v>457</v>
      </c>
      <c r="C1845" s="4">
        <v>214790</v>
      </c>
      <c r="D1845" s="3">
        <v>316</v>
      </c>
      <c r="E1845" s="4">
        <v>230680</v>
      </c>
      <c r="G1845" s="12">
        <f t="shared" si="137"/>
        <v>2016</v>
      </c>
      <c r="H1845" s="12">
        <f t="shared" si="138"/>
        <v>1</v>
      </c>
      <c r="I1845" s="11">
        <f t="shared" si="139"/>
        <v>61</v>
      </c>
      <c r="J1845" s="11"/>
    </row>
    <row r="1846" spans="1:10" x14ac:dyDescent="0.25">
      <c r="A1846" s="2">
        <v>42384</v>
      </c>
      <c r="B1846" s="3">
        <v>480</v>
      </c>
      <c r="C1846" s="4">
        <v>225600</v>
      </c>
      <c r="D1846" s="3">
        <v>307</v>
      </c>
      <c r="E1846" s="4">
        <v>224110</v>
      </c>
      <c r="G1846" s="12">
        <f t="shared" si="137"/>
        <v>2016</v>
      </c>
      <c r="H1846" s="12">
        <f t="shared" si="138"/>
        <v>1</v>
      </c>
      <c r="I1846" s="11">
        <f t="shared" si="139"/>
        <v>61</v>
      </c>
      <c r="J1846" s="11"/>
    </row>
    <row r="1847" spans="1:10" x14ac:dyDescent="0.25">
      <c r="A1847" s="2">
        <v>42385</v>
      </c>
      <c r="B1847" s="3">
        <v>428</v>
      </c>
      <c r="C1847" s="4">
        <v>201160</v>
      </c>
      <c r="D1847" s="3">
        <v>294</v>
      </c>
      <c r="E1847" s="4">
        <v>214620</v>
      </c>
      <c r="G1847" s="12">
        <f t="shared" si="137"/>
        <v>2016</v>
      </c>
      <c r="H1847" s="12">
        <f t="shared" si="138"/>
        <v>1</v>
      </c>
      <c r="I1847" s="11">
        <f t="shared" si="139"/>
        <v>61</v>
      </c>
      <c r="J1847" s="11"/>
    </row>
    <row r="1848" spans="1:10" x14ac:dyDescent="0.25">
      <c r="A1848" s="2">
        <v>42386</v>
      </c>
      <c r="B1848" s="3">
        <v>483</v>
      </c>
      <c r="C1848" s="4">
        <v>227010</v>
      </c>
      <c r="D1848" s="3">
        <v>272</v>
      </c>
      <c r="E1848" s="4">
        <v>198560</v>
      </c>
      <c r="G1848" s="12">
        <f t="shared" si="137"/>
        <v>2016</v>
      </c>
      <c r="H1848" s="12">
        <f t="shared" si="138"/>
        <v>1</v>
      </c>
      <c r="I1848" s="11">
        <f t="shared" si="139"/>
        <v>61</v>
      </c>
      <c r="J1848" s="11"/>
    </row>
    <row r="1849" spans="1:10" x14ac:dyDescent="0.25">
      <c r="A1849" s="2">
        <v>42387</v>
      </c>
      <c r="B1849" s="3">
        <v>539</v>
      </c>
      <c r="C1849" s="4">
        <v>253330</v>
      </c>
      <c r="D1849" s="3">
        <v>287</v>
      </c>
      <c r="E1849" s="4">
        <v>209510</v>
      </c>
      <c r="G1849" s="12">
        <f t="shared" si="137"/>
        <v>2016</v>
      </c>
      <c r="H1849" s="12">
        <f t="shared" si="138"/>
        <v>1</v>
      </c>
      <c r="I1849" s="11">
        <f t="shared" si="139"/>
        <v>61</v>
      </c>
      <c r="J1849" s="11"/>
    </row>
    <row r="1850" spans="1:10" x14ac:dyDescent="0.25">
      <c r="A1850" s="2">
        <v>42388</v>
      </c>
      <c r="B1850" s="3">
        <v>447</v>
      </c>
      <c r="C1850" s="4">
        <v>210090</v>
      </c>
      <c r="D1850" s="3">
        <v>320</v>
      </c>
      <c r="E1850" s="4">
        <v>233600</v>
      </c>
      <c r="G1850" s="12">
        <f t="shared" si="137"/>
        <v>2016</v>
      </c>
      <c r="H1850" s="12">
        <f t="shared" si="138"/>
        <v>1</v>
      </c>
      <c r="I1850" s="11">
        <f t="shared" si="139"/>
        <v>61</v>
      </c>
      <c r="J1850" s="11"/>
    </row>
    <row r="1851" spans="1:10" x14ac:dyDescent="0.25">
      <c r="A1851" s="2">
        <v>42389</v>
      </c>
      <c r="B1851" s="3">
        <v>452</v>
      </c>
      <c r="C1851" s="4">
        <v>212440</v>
      </c>
      <c r="D1851" s="3">
        <v>257</v>
      </c>
      <c r="E1851" s="4">
        <v>187610</v>
      </c>
      <c r="G1851" s="12">
        <f t="shared" si="137"/>
        <v>2016</v>
      </c>
      <c r="H1851" s="12">
        <f t="shared" si="138"/>
        <v>1</v>
      </c>
      <c r="I1851" s="11">
        <f t="shared" si="139"/>
        <v>61</v>
      </c>
      <c r="J1851" s="11"/>
    </row>
    <row r="1852" spans="1:10" x14ac:dyDescent="0.25">
      <c r="A1852" s="2">
        <v>42390</v>
      </c>
      <c r="B1852" s="3">
        <v>490</v>
      </c>
      <c r="C1852" s="4">
        <v>230300</v>
      </c>
      <c r="D1852" s="3">
        <v>289</v>
      </c>
      <c r="E1852" s="4">
        <v>210970</v>
      </c>
      <c r="G1852" s="12">
        <f t="shared" si="137"/>
        <v>2016</v>
      </c>
      <c r="H1852" s="12">
        <f t="shared" si="138"/>
        <v>1</v>
      </c>
      <c r="I1852" s="11">
        <f t="shared" si="139"/>
        <v>61</v>
      </c>
      <c r="J1852" s="11"/>
    </row>
    <row r="1853" spans="1:10" x14ac:dyDescent="0.25">
      <c r="A1853" s="2">
        <v>42391</v>
      </c>
      <c r="B1853" s="3">
        <v>468</v>
      </c>
      <c r="C1853" s="4">
        <v>219960</v>
      </c>
      <c r="D1853" s="3">
        <v>282</v>
      </c>
      <c r="E1853" s="4">
        <v>205860</v>
      </c>
      <c r="G1853" s="12">
        <f t="shared" si="137"/>
        <v>2016</v>
      </c>
      <c r="H1853" s="12">
        <f t="shared" si="138"/>
        <v>1</v>
      </c>
      <c r="I1853" s="11">
        <f t="shared" si="139"/>
        <v>61</v>
      </c>
      <c r="J1853" s="11"/>
    </row>
    <row r="1854" spans="1:10" x14ac:dyDescent="0.25">
      <c r="A1854" s="2">
        <v>42392</v>
      </c>
      <c r="B1854" s="3">
        <v>462</v>
      </c>
      <c r="C1854" s="4">
        <v>217140</v>
      </c>
      <c r="D1854" s="3">
        <v>335</v>
      </c>
      <c r="E1854" s="4">
        <v>244550</v>
      </c>
      <c r="G1854" s="12">
        <f t="shared" si="137"/>
        <v>2016</v>
      </c>
      <c r="H1854" s="12">
        <f t="shared" si="138"/>
        <v>1</v>
      </c>
      <c r="I1854" s="11">
        <f t="shared" si="139"/>
        <v>61</v>
      </c>
      <c r="J1854" s="11"/>
    </row>
    <row r="1855" spans="1:10" x14ac:dyDescent="0.25">
      <c r="A1855" s="2">
        <v>42393</v>
      </c>
      <c r="B1855" s="3">
        <v>507</v>
      </c>
      <c r="C1855" s="4">
        <v>238290</v>
      </c>
      <c r="D1855" s="3">
        <v>294</v>
      </c>
      <c r="E1855" s="4">
        <v>214620</v>
      </c>
      <c r="G1855" s="12">
        <f t="shared" si="137"/>
        <v>2016</v>
      </c>
      <c r="H1855" s="12">
        <f t="shared" si="138"/>
        <v>1</v>
      </c>
      <c r="I1855" s="11">
        <f t="shared" si="139"/>
        <v>61</v>
      </c>
      <c r="J1855" s="11"/>
    </row>
    <row r="1856" spans="1:10" x14ac:dyDescent="0.25">
      <c r="A1856" s="2">
        <v>42394</v>
      </c>
      <c r="B1856" s="3">
        <v>501</v>
      </c>
      <c r="C1856" s="4">
        <v>235470</v>
      </c>
      <c r="D1856" s="3">
        <v>303</v>
      </c>
      <c r="E1856" s="4">
        <v>221190</v>
      </c>
      <c r="G1856" s="12">
        <f t="shared" si="137"/>
        <v>2016</v>
      </c>
      <c r="H1856" s="12">
        <f t="shared" si="138"/>
        <v>1</v>
      </c>
      <c r="I1856" s="11">
        <f t="shared" si="139"/>
        <v>61</v>
      </c>
      <c r="J1856" s="11"/>
    </row>
    <row r="1857" spans="1:10" x14ac:dyDescent="0.25">
      <c r="A1857" s="2">
        <v>42395</v>
      </c>
      <c r="B1857" s="3">
        <v>467</v>
      </c>
      <c r="C1857" s="4">
        <v>219490</v>
      </c>
      <c r="D1857" s="3">
        <v>256</v>
      </c>
      <c r="E1857" s="4">
        <v>186880</v>
      </c>
      <c r="G1857" s="12">
        <f t="shared" si="137"/>
        <v>2016</v>
      </c>
      <c r="H1857" s="12">
        <f t="shared" si="138"/>
        <v>1</v>
      </c>
      <c r="I1857" s="11">
        <f t="shared" si="139"/>
        <v>61</v>
      </c>
      <c r="J1857" s="11"/>
    </row>
    <row r="1858" spans="1:10" x14ac:dyDescent="0.25">
      <c r="A1858" s="2">
        <v>42396</v>
      </c>
      <c r="B1858" s="3">
        <v>355</v>
      </c>
      <c r="C1858" s="4">
        <v>166850</v>
      </c>
      <c r="D1858" s="3">
        <v>353</v>
      </c>
      <c r="E1858" s="4">
        <v>257690</v>
      </c>
      <c r="G1858" s="12">
        <f t="shared" si="137"/>
        <v>2016</v>
      </c>
      <c r="H1858" s="12">
        <f t="shared" si="138"/>
        <v>1</v>
      </c>
      <c r="I1858" s="11">
        <f t="shared" si="139"/>
        <v>61</v>
      </c>
      <c r="J1858" s="11"/>
    </row>
    <row r="1859" spans="1:10" x14ac:dyDescent="0.25">
      <c r="A1859" s="2">
        <v>42397</v>
      </c>
      <c r="B1859" s="3">
        <v>473</v>
      </c>
      <c r="C1859" s="4">
        <v>222310</v>
      </c>
      <c r="D1859" s="3">
        <v>291</v>
      </c>
      <c r="E1859" s="4">
        <v>212430</v>
      </c>
      <c r="G1859" s="12">
        <f t="shared" si="137"/>
        <v>2016</v>
      </c>
      <c r="H1859" s="12">
        <f t="shared" si="138"/>
        <v>1</v>
      </c>
      <c r="I1859" s="11">
        <f t="shared" si="139"/>
        <v>61</v>
      </c>
      <c r="J1859" s="11"/>
    </row>
    <row r="1860" spans="1:10" x14ac:dyDescent="0.25">
      <c r="A1860" s="2">
        <v>42398</v>
      </c>
      <c r="B1860" s="3">
        <v>479</v>
      </c>
      <c r="C1860" s="4">
        <v>225130</v>
      </c>
      <c r="D1860" s="3">
        <v>241</v>
      </c>
      <c r="E1860" s="4">
        <v>175930</v>
      </c>
      <c r="G1860" s="12">
        <f t="shared" si="137"/>
        <v>2016</v>
      </c>
      <c r="H1860" s="12">
        <f t="shared" si="138"/>
        <v>1</v>
      </c>
      <c r="I1860" s="11">
        <f t="shared" si="139"/>
        <v>61</v>
      </c>
      <c r="J1860" s="11"/>
    </row>
    <row r="1861" spans="1:10" x14ac:dyDescent="0.25">
      <c r="A1861" s="2">
        <v>42399</v>
      </c>
      <c r="B1861" s="3">
        <v>415</v>
      </c>
      <c r="C1861" s="4">
        <v>195050</v>
      </c>
      <c r="D1861" s="3">
        <v>292</v>
      </c>
      <c r="E1861" s="4">
        <v>213160</v>
      </c>
      <c r="G1861" s="12">
        <f t="shared" si="137"/>
        <v>2016</v>
      </c>
      <c r="H1861" s="12">
        <f t="shared" si="138"/>
        <v>1</v>
      </c>
      <c r="I1861" s="11">
        <f t="shared" si="139"/>
        <v>61</v>
      </c>
      <c r="J1861" s="11"/>
    </row>
    <row r="1862" spans="1:10" x14ac:dyDescent="0.25">
      <c r="A1862" s="2">
        <v>42400</v>
      </c>
      <c r="B1862" s="3">
        <v>402</v>
      </c>
      <c r="C1862" s="4">
        <v>188940</v>
      </c>
      <c r="D1862" s="3">
        <v>258</v>
      </c>
      <c r="E1862" s="4">
        <v>188340</v>
      </c>
      <c r="G1862" s="12">
        <f t="shared" ref="G1862:G1925" si="140">+YEAR(A1862)</f>
        <v>2016</v>
      </c>
      <c r="H1862" s="12">
        <f t="shared" ref="H1862:H1925" si="141">+MONTH(A1862)</f>
        <v>1</v>
      </c>
      <c r="I1862" s="11">
        <f t="shared" si="139"/>
        <v>61</v>
      </c>
      <c r="J1862" s="11"/>
    </row>
    <row r="1863" spans="1:10" x14ac:dyDescent="0.25">
      <c r="A1863" s="2">
        <v>42401</v>
      </c>
      <c r="B1863" s="3">
        <v>423</v>
      </c>
      <c r="C1863" s="4">
        <v>198810</v>
      </c>
      <c r="D1863" s="3">
        <v>332</v>
      </c>
      <c r="E1863" s="4">
        <v>242360</v>
      </c>
      <c r="G1863" s="12">
        <f t="shared" si="140"/>
        <v>2016</v>
      </c>
      <c r="H1863" s="12">
        <f t="shared" si="141"/>
        <v>2</v>
      </c>
      <c r="I1863" s="11">
        <f t="shared" ref="I1863:I1926" si="142">+H1863+(G1863-2011)*12</f>
        <v>62</v>
      </c>
      <c r="J1863" s="11"/>
    </row>
    <row r="1864" spans="1:10" x14ac:dyDescent="0.25">
      <c r="A1864" s="2">
        <v>42402</v>
      </c>
      <c r="B1864" s="3">
        <v>505</v>
      </c>
      <c r="C1864" s="4">
        <v>237350</v>
      </c>
      <c r="D1864" s="3">
        <v>306</v>
      </c>
      <c r="E1864" s="4">
        <v>223380</v>
      </c>
      <c r="G1864" s="12">
        <f t="shared" si="140"/>
        <v>2016</v>
      </c>
      <c r="H1864" s="12">
        <f t="shared" si="141"/>
        <v>2</v>
      </c>
      <c r="I1864" s="11">
        <f t="shared" si="142"/>
        <v>62</v>
      </c>
      <c r="J1864" s="11"/>
    </row>
    <row r="1865" spans="1:10" x14ac:dyDescent="0.25">
      <c r="A1865" s="2">
        <v>42403</v>
      </c>
      <c r="B1865" s="3">
        <v>420</v>
      </c>
      <c r="C1865" s="4">
        <v>197400</v>
      </c>
      <c r="D1865" s="3">
        <v>311</v>
      </c>
      <c r="E1865" s="4">
        <v>227030</v>
      </c>
      <c r="G1865" s="12">
        <f t="shared" si="140"/>
        <v>2016</v>
      </c>
      <c r="H1865" s="12">
        <f t="shared" si="141"/>
        <v>2</v>
      </c>
      <c r="I1865" s="11">
        <f t="shared" si="142"/>
        <v>62</v>
      </c>
      <c r="J1865" s="11"/>
    </row>
    <row r="1866" spans="1:10" x14ac:dyDescent="0.25">
      <c r="A1866" s="2">
        <v>42404</v>
      </c>
      <c r="B1866" s="3">
        <v>437</v>
      </c>
      <c r="C1866" s="4">
        <v>205390</v>
      </c>
      <c r="D1866" s="3">
        <v>281</v>
      </c>
      <c r="E1866" s="4">
        <v>205130</v>
      </c>
      <c r="G1866" s="12">
        <f t="shared" si="140"/>
        <v>2016</v>
      </c>
      <c r="H1866" s="12">
        <f t="shared" si="141"/>
        <v>2</v>
      </c>
      <c r="I1866" s="11">
        <f t="shared" si="142"/>
        <v>62</v>
      </c>
      <c r="J1866" s="11"/>
    </row>
    <row r="1867" spans="1:10" x14ac:dyDescent="0.25">
      <c r="A1867" s="2">
        <v>42405</v>
      </c>
      <c r="B1867" s="3">
        <v>502</v>
      </c>
      <c r="C1867" s="4">
        <v>235940</v>
      </c>
      <c r="D1867" s="3">
        <v>274</v>
      </c>
      <c r="E1867" s="4">
        <v>200020</v>
      </c>
      <c r="G1867" s="12">
        <f t="shared" si="140"/>
        <v>2016</v>
      </c>
      <c r="H1867" s="12">
        <f t="shared" si="141"/>
        <v>2</v>
      </c>
      <c r="I1867" s="11">
        <f t="shared" si="142"/>
        <v>62</v>
      </c>
      <c r="J1867" s="11"/>
    </row>
    <row r="1868" spans="1:10" x14ac:dyDescent="0.25">
      <c r="A1868" s="2">
        <v>42406</v>
      </c>
      <c r="B1868" s="3">
        <v>431</v>
      </c>
      <c r="C1868" s="4">
        <v>202570</v>
      </c>
      <c r="D1868" s="3">
        <v>215</v>
      </c>
      <c r="E1868" s="4">
        <v>156950</v>
      </c>
      <c r="G1868" s="12">
        <f t="shared" si="140"/>
        <v>2016</v>
      </c>
      <c r="H1868" s="12">
        <f t="shared" si="141"/>
        <v>2</v>
      </c>
      <c r="I1868" s="11">
        <f t="shared" si="142"/>
        <v>62</v>
      </c>
      <c r="J1868" s="11"/>
    </row>
    <row r="1869" spans="1:10" x14ac:dyDescent="0.25">
      <c r="A1869" s="2">
        <v>42407</v>
      </c>
      <c r="B1869" s="3">
        <v>422</v>
      </c>
      <c r="C1869" s="4">
        <v>198340</v>
      </c>
      <c r="D1869" s="3">
        <v>297</v>
      </c>
      <c r="E1869" s="4">
        <v>216810</v>
      </c>
      <c r="G1869" s="12">
        <f t="shared" si="140"/>
        <v>2016</v>
      </c>
      <c r="H1869" s="12">
        <f t="shared" si="141"/>
        <v>2</v>
      </c>
      <c r="I1869" s="11">
        <f t="shared" si="142"/>
        <v>62</v>
      </c>
      <c r="J1869" s="11"/>
    </row>
    <row r="1870" spans="1:10" x14ac:dyDescent="0.25">
      <c r="A1870" s="2">
        <v>42408</v>
      </c>
      <c r="B1870" s="3">
        <v>484</v>
      </c>
      <c r="C1870" s="4">
        <v>227480</v>
      </c>
      <c r="D1870" s="3">
        <v>269</v>
      </c>
      <c r="E1870" s="4">
        <v>196370</v>
      </c>
      <c r="G1870" s="12">
        <f t="shared" si="140"/>
        <v>2016</v>
      </c>
      <c r="H1870" s="12">
        <f t="shared" si="141"/>
        <v>2</v>
      </c>
      <c r="I1870" s="11">
        <f t="shared" si="142"/>
        <v>62</v>
      </c>
      <c r="J1870" s="11"/>
    </row>
    <row r="1871" spans="1:10" x14ac:dyDescent="0.25">
      <c r="A1871" s="2">
        <v>42409</v>
      </c>
      <c r="B1871" s="3">
        <v>396</v>
      </c>
      <c r="C1871" s="4">
        <v>186120</v>
      </c>
      <c r="D1871" s="3">
        <v>320</v>
      </c>
      <c r="E1871" s="4">
        <v>233600</v>
      </c>
      <c r="G1871" s="12">
        <f t="shared" si="140"/>
        <v>2016</v>
      </c>
      <c r="H1871" s="12">
        <f t="shared" si="141"/>
        <v>2</v>
      </c>
      <c r="I1871" s="11">
        <f t="shared" si="142"/>
        <v>62</v>
      </c>
      <c r="J1871" s="11"/>
    </row>
    <row r="1872" spans="1:10" x14ac:dyDescent="0.25">
      <c r="A1872" s="2">
        <v>42410</v>
      </c>
      <c r="B1872" s="3">
        <v>473</v>
      </c>
      <c r="C1872" s="4">
        <v>222310</v>
      </c>
      <c r="D1872" s="3">
        <v>292</v>
      </c>
      <c r="E1872" s="4">
        <v>213160</v>
      </c>
      <c r="G1872" s="12">
        <f t="shared" si="140"/>
        <v>2016</v>
      </c>
      <c r="H1872" s="12">
        <f t="shared" si="141"/>
        <v>2</v>
      </c>
      <c r="I1872" s="11">
        <f t="shared" si="142"/>
        <v>62</v>
      </c>
      <c r="J1872" s="11"/>
    </row>
    <row r="1873" spans="1:10" x14ac:dyDescent="0.25">
      <c r="A1873" s="2">
        <v>42411</v>
      </c>
      <c r="B1873" s="3">
        <v>562</v>
      </c>
      <c r="C1873" s="4">
        <v>264140</v>
      </c>
      <c r="D1873" s="3">
        <v>340</v>
      </c>
      <c r="E1873" s="4">
        <v>248200</v>
      </c>
      <c r="G1873" s="12">
        <f t="shared" si="140"/>
        <v>2016</v>
      </c>
      <c r="H1873" s="12">
        <f t="shared" si="141"/>
        <v>2</v>
      </c>
      <c r="I1873" s="11">
        <f t="shared" si="142"/>
        <v>62</v>
      </c>
      <c r="J1873" s="11"/>
    </row>
    <row r="1874" spans="1:10" x14ac:dyDescent="0.25">
      <c r="A1874" s="2">
        <v>42412</v>
      </c>
      <c r="B1874" s="3">
        <v>485</v>
      </c>
      <c r="C1874" s="4">
        <v>227950</v>
      </c>
      <c r="D1874" s="3">
        <v>267</v>
      </c>
      <c r="E1874" s="4">
        <v>194910</v>
      </c>
      <c r="G1874" s="12">
        <f t="shared" si="140"/>
        <v>2016</v>
      </c>
      <c r="H1874" s="12">
        <f t="shared" si="141"/>
        <v>2</v>
      </c>
      <c r="I1874" s="11">
        <f t="shared" si="142"/>
        <v>62</v>
      </c>
      <c r="J1874" s="11"/>
    </row>
    <row r="1875" spans="1:10" x14ac:dyDescent="0.25">
      <c r="A1875" s="2">
        <v>42413</v>
      </c>
      <c r="B1875" s="3">
        <v>467</v>
      </c>
      <c r="C1875" s="4">
        <v>219490</v>
      </c>
      <c r="D1875" s="3">
        <v>355</v>
      </c>
      <c r="E1875" s="4">
        <v>259150</v>
      </c>
      <c r="G1875" s="12">
        <f t="shared" si="140"/>
        <v>2016</v>
      </c>
      <c r="H1875" s="12">
        <f t="shared" si="141"/>
        <v>2</v>
      </c>
      <c r="I1875" s="11">
        <f t="shared" si="142"/>
        <v>62</v>
      </c>
      <c r="J1875" s="11"/>
    </row>
    <row r="1876" spans="1:10" x14ac:dyDescent="0.25">
      <c r="A1876" s="2">
        <v>42414</v>
      </c>
      <c r="B1876" s="3">
        <v>421</v>
      </c>
      <c r="C1876" s="4">
        <v>197870</v>
      </c>
      <c r="D1876" s="3">
        <v>273</v>
      </c>
      <c r="E1876" s="4">
        <v>199290</v>
      </c>
      <c r="G1876" s="12">
        <f t="shared" si="140"/>
        <v>2016</v>
      </c>
      <c r="H1876" s="12">
        <f t="shared" si="141"/>
        <v>2</v>
      </c>
      <c r="I1876" s="11">
        <f t="shared" si="142"/>
        <v>62</v>
      </c>
      <c r="J1876" s="11"/>
    </row>
    <row r="1877" spans="1:10" x14ac:dyDescent="0.25">
      <c r="A1877" s="2">
        <v>42415</v>
      </c>
      <c r="B1877" s="3">
        <v>489</v>
      </c>
      <c r="C1877" s="4">
        <v>229830</v>
      </c>
      <c r="D1877" s="3">
        <v>310</v>
      </c>
      <c r="E1877" s="4">
        <v>226300</v>
      </c>
      <c r="G1877" s="12">
        <f t="shared" si="140"/>
        <v>2016</v>
      </c>
      <c r="H1877" s="12">
        <f t="shared" si="141"/>
        <v>2</v>
      </c>
      <c r="I1877" s="11">
        <f t="shared" si="142"/>
        <v>62</v>
      </c>
      <c r="J1877" s="11"/>
    </row>
    <row r="1878" spans="1:10" x14ac:dyDescent="0.25">
      <c r="A1878" s="2">
        <v>42416</v>
      </c>
      <c r="B1878" s="3">
        <v>459</v>
      </c>
      <c r="C1878" s="4">
        <v>215730</v>
      </c>
      <c r="D1878" s="3">
        <v>283</v>
      </c>
      <c r="E1878" s="4">
        <v>206590</v>
      </c>
      <c r="G1878" s="12">
        <f t="shared" si="140"/>
        <v>2016</v>
      </c>
      <c r="H1878" s="12">
        <f t="shared" si="141"/>
        <v>2</v>
      </c>
      <c r="I1878" s="11">
        <f t="shared" si="142"/>
        <v>62</v>
      </c>
      <c r="J1878" s="11"/>
    </row>
    <row r="1879" spans="1:10" x14ac:dyDescent="0.25">
      <c r="A1879" s="2">
        <v>42417</v>
      </c>
      <c r="B1879" s="3">
        <v>485</v>
      </c>
      <c r="C1879" s="4">
        <v>227950</v>
      </c>
      <c r="D1879" s="3">
        <v>307</v>
      </c>
      <c r="E1879" s="4">
        <v>224110</v>
      </c>
      <c r="G1879" s="12">
        <f t="shared" si="140"/>
        <v>2016</v>
      </c>
      <c r="H1879" s="12">
        <f t="shared" si="141"/>
        <v>2</v>
      </c>
      <c r="I1879" s="11">
        <f t="shared" si="142"/>
        <v>62</v>
      </c>
      <c r="J1879" s="11"/>
    </row>
    <row r="1880" spans="1:10" x14ac:dyDescent="0.25">
      <c r="A1880" s="2">
        <v>42418</v>
      </c>
      <c r="B1880" s="3">
        <v>468</v>
      </c>
      <c r="C1880" s="4">
        <v>219960</v>
      </c>
      <c r="D1880" s="3">
        <v>275</v>
      </c>
      <c r="E1880" s="4">
        <v>200750</v>
      </c>
      <c r="G1880" s="12">
        <f t="shared" si="140"/>
        <v>2016</v>
      </c>
      <c r="H1880" s="12">
        <f t="shared" si="141"/>
        <v>2</v>
      </c>
      <c r="I1880" s="11">
        <f t="shared" si="142"/>
        <v>62</v>
      </c>
      <c r="J1880" s="11"/>
    </row>
    <row r="1881" spans="1:10" x14ac:dyDescent="0.25">
      <c r="A1881" s="2">
        <v>42419</v>
      </c>
      <c r="B1881" s="3">
        <v>427</v>
      </c>
      <c r="C1881" s="4">
        <v>200690</v>
      </c>
      <c r="D1881" s="3">
        <v>284</v>
      </c>
      <c r="E1881" s="4">
        <v>207320</v>
      </c>
      <c r="G1881" s="12">
        <f t="shared" si="140"/>
        <v>2016</v>
      </c>
      <c r="H1881" s="12">
        <f t="shared" si="141"/>
        <v>2</v>
      </c>
      <c r="I1881" s="11">
        <f t="shared" si="142"/>
        <v>62</v>
      </c>
      <c r="J1881" s="11"/>
    </row>
    <row r="1882" spans="1:10" x14ac:dyDescent="0.25">
      <c r="A1882" s="2">
        <v>42420</v>
      </c>
      <c r="B1882" s="3">
        <v>476</v>
      </c>
      <c r="C1882" s="4">
        <v>223720</v>
      </c>
      <c r="D1882" s="3">
        <v>273</v>
      </c>
      <c r="E1882" s="4">
        <v>199290</v>
      </c>
      <c r="G1882" s="12">
        <f t="shared" si="140"/>
        <v>2016</v>
      </c>
      <c r="H1882" s="12">
        <f t="shared" si="141"/>
        <v>2</v>
      </c>
      <c r="I1882" s="11">
        <f t="shared" si="142"/>
        <v>62</v>
      </c>
      <c r="J1882" s="11"/>
    </row>
    <row r="1883" spans="1:10" x14ac:dyDescent="0.25">
      <c r="A1883" s="2">
        <v>42421</v>
      </c>
      <c r="B1883" s="3">
        <v>421</v>
      </c>
      <c r="C1883" s="4">
        <v>197870</v>
      </c>
      <c r="D1883" s="3">
        <v>297</v>
      </c>
      <c r="E1883" s="4">
        <v>216810</v>
      </c>
      <c r="G1883" s="12">
        <f t="shared" si="140"/>
        <v>2016</v>
      </c>
      <c r="H1883" s="12">
        <f t="shared" si="141"/>
        <v>2</v>
      </c>
      <c r="I1883" s="11">
        <f t="shared" si="142"/>
        <v>62</v>
      </c>
      <c r="J1883" s="11"/>
    </row>
    <row r="1884" spans="1:10" x14ac:dyDescent="0.25">
      <c r="A1884" s="2">
        <v>42422</v>
      </c>
      <c r="B1884" s="3">
        <v>457</v>
      </c>
      <c r="C1884" s="4">
        <v>214790</v>
      </c>
      <c r="D1884" s="3">
        <v>293</v>
      </c>
      <c r="E1884" s="4">
        <v>213890</v>
      </c>
      <c r="G1884" s="12">
        <f t="shared" si="140"/>
        <v>2016</v>
      </c>
      <c r="H1884" s="12">
        <f t="shared" si="141"/>
        <v>2</v>
      </c>
      <c r="I1884" s="11">
        <f t="shared" si="142"/>
        <v>62</v>
      </c>
      <c r="J1884" s="11"/>
    </row>
    <row r="1885" spans="1:10" x14ac:dyDescent="0.25">
      <c r="A1885" s="2">
        <v>42423</v>
      </c>
      <c r="B1885" s="3">
        <v>520</v>
      </c>
      <c r="C1885" s="4">
        <v>244400</v>
      </c>
      <c r="D1885" s="3">
        <v>345</v>
      </c>
      <c r="E1885" s="4">
        <v>251850</v>
      </c>
      <c r="G1885" s="12">
        <f t="shared" si="140"/>
        <v>2016</v>
      </c>
      <c r="H1885" s="12">
        <f t="shared" si="141"/>
        <v>2</v>
      </c>
      <c r="I1885" s="11">
        <f t="shared" si="142"/>
        <v>62</v>
      </c>
      <c r="J1885" s="11"/>
    </row>
    <row r="1886" spans="1:10" x14ac:dyDescent="0.25">
      <c r="A1886" s="2">
        <v>42424</v>
      </c>
      <c r="B1886" s="3">
        <v>455</v>
      </c>
      <c r="C1886" s="4">
        <v>213850</v>
      </c>
      <c r="D1886" s="3">
        <v>302</v>
      </c>
      <c r="E1886" s="4">
        <v>220460</v>
      </c>
      <c r="G1886" s="12">
        <f t="shared" si="140"/>
        <v>2016</v>
      </c>
      <c r="H1886" s="12">
        <f t="shared" si="141"/>
        <v>2</v>
      </c>
      <c r="I1886" s="11">
        <f t="shared" si="142"/>
        <v>62</v>
      </c>
      <c r="J1886" s="11"/>
    </row>
    <row r="1887" spans="1:10" x14ac:dyDescent="0.25">
      <c r="A1887" s="2">
        <v>42425</v>
      </c>
      <c r="B1887" s="3">
        <v>505</v>
      </c>
      <c r="C1887" s="4">
        <v>237350</v>
      </c>
      <c r="D1887" s="3">
        <v>319</v>
      </c>
      <c r="E1887" s="4">
        <v>232870</v>
      </c>
      <c r="G1887" s="12">
        <f t="shared" si="140"/>
        <v>2016</v>
      </c>
      <c r="H1887" s="12">
        <f t="shared" si="141"/>
        <v>2</v>
      </c>
      <c r="I1887" s="11">
        <f t="shared" si="142"/>
        <v>62</v>
      </c>
      <c r="J1887" s="11"/>
    </row>
    <row r="1888" spans="1:10" x14ac:dyDescent="0.25">
      <c r="A1888" s="2">
        <v>42426</v>
      </c>
      <c r="B1888" s="3">
        <v>413</v>
      </c>
      <c r="C1888" s="4">
        <v>194110</v>
      </c>
      <c r="D1888" s="3">
        <v>306</v>
      </c>
      <c r="E1888" s="4">
        <v>223380</v>
      </c>
      <c r="G1888" s="12">
        <f t="shared" si="140"/>
        <v>2016</v>
      </c>
      <c r="H1888" s="12">
        <f t="shared" si="141"/>
        <v>2</v>
      </c>
      <c r="I1888" s="11">
        <f t="shared" si="142"/>
        <v>62</v>
      </c>
      <c r="J1888" s="11"/>
    </row>
    <row r="1889" spans="1:10" x14ac:dyDescent="0.25">
      <c r="A1889" s="2">
        <v>42427</v>
      </c>
      <c r="B1889" s="3">
        <v>396</v>
      </c>
      <c r="C1889" s="4">
        <v>186120</v>
      </c>
      <c r="D1889" s="3">
        <v>329</v>
      </c>
      <c r="E1889" s="4">
        <v>240170</v>
      </c>
      <c r="G1889" s="12">
        <f t="shared" si="140"/>
        <v>2016</v>
      </c>
      <c r="H1889" s="12">
        <f t="shared" si="141"/>
        <v>2</v>
      </c>
      <c r="I1889" s="11">
        <f t="shared" si="142"/>
        <v>62</v>
      </c>
      <c r="J1889" s="11"/>
    </row>
    <row r="1890" spans="1:10" x14ac:dyDescent="0.25">
      <c r="A1890" s="2">
        <v>42428</v>
      </c>
      <c r="B1890" s="3">
        <v>503</v>
      </c>
      <c r="C1890" s="4">
        <v>236410</v>
      </c>
      <c r="D1890" s="3">
        <v>307</v>
      </c>
      <c r="E1890" s="4">
        <v>224110</v>
      </c>
      <c r="G1890" s="12">
        <f t="shared" si="140"/>
        <v>2016</v>
      </c>
      <c r="H1890" s="12">
        <f t="shared" si="141"/>
        <v>2</v>
      </c>
      <c r="I1890" s="11">
        <f t="shared" si="142"/>
        <v>62</v>
      </c>
      <c r="J1890" s="11"/>
    </row>
    <row r="1891" spans="1:10" x14ac:dyDescent="0.25">
      <c r="A1891" s="2">
        <v>42429</v>
      </c>
      <c r="B1891" s="3">
        <v>500</v>
      </c>
      <c r="C1891" s="4">
        <v>235000</v>
      </c>
      <c r="D1891" s="3">
        <v>229</v>
      </c>
      <c r="E1891" s="4">
        <v>167170</v>
      </c>
      <c r="G1891" s="12">
        <f t="shared" si="140"/>
        <v>2016</v>
      </c>
      <c r="H1891" s="12">
        <f t="shared" si="141"/>
        <v>2</v>
      </c>
      <c r="I1891" s="11">
        <f t="shared" si="142"/>
        <v>62</v>
      </c>
      <c r="J1891" s="11"/>
    </row>
    <row r="1892" spans="1:10" x14ac:dyDescent="0.25">
      <c r="A1892" s="2">
        <v>42430</v>
      </c>
      <c r="B1892" s="3">
        <v>497</v>
      </c>
      <c r="C1892" s="4">
        <v>233590</v>
      </c>
      <c r="D1892" s="3">
        <v>299</v>
      </c>
      <c r="E1892" s="4">
        <v>218270</v>
      </c>
      <c r="G1892" s="12">
        <f t="shared" si="140"/>
        <v>2016</v>
      </c>
      <c r="H1892" s="12">
        <f t="shared" si="141"/>
        <v>3</v>
      </c>
      <c r="I1892" s="11">
        <f t="shared" si="142"/>
        <v>63</v>
      </c>
      <c r="J1892" s="11"/>
    </row>
    <row r="1893" spans="1:10" x14ac:dyDescent="0.25">
      <c r="A1893" s="2">
        <v>42431</v>
      </c>
      <c r="B1893" s="3">
        <v>329</v>
      </c>
      <c r="C1893" s="4">
        <v>154630</v>
      </c>
      <c r="D1893" s="3">
        <v>276</v>
      </c>
      <c r="E1893" s="4">
        <v>201480</v>
      </c>
      <c r="G1893" s="12">
        <f t="shared" si="140"/>
        <v>2016</v>
      </c>
      <c r="H1893" s="12">
        <f t="shared" si="141"/>
        <v>3</v>
      </c>
      <c r="I1893" s="11">
        <f t="shared" si="142"/>
        <v>63</v>
      </c>
      <c r="J1893" s="11"/>
    </row>
    <row r="1894" spans="1:10" x14ac:dyDescent="0.25">
      <c r="A1894" s="2">
        <v>42432</v>
      </c>
      <c r="B1894" s="3">
        <v>507</v>
      </c>
      <c r="C1894" s="4">
        <v>238290</v>
      </c>
      <c r="D1894" s="3">
        <v>250</v>
      </c>
      <c r="E1894" s="4">
        <v>182500</v>
      </c>
      <c r="G1894" s="12">
        <f t="shared" si="140"/>
        <v>2016</v>
      </c>
      <c r="H1894" s="12">
        <f t="shared" si="141"/>
        <v>3</v>
      </c>
      <c r="I1894" s="11">
        <f t="shared" si="142"/>
        <v>63</v>
      </c>
      <c r="J1894" s="11"/>
    </row>
    <row r="1895" spans="1:10" x14ac:dyDescent="0.25">
      <c r="A1895" s="2">
        <v>42433</v>
      </c>
      <c r="B1895" s="3">
        <v>524</v>
      </c>
      <c r="C1895" s="4">
        <v>246280</v>
      </c>
      <c r="D1895" s="3">
        <v>313</v>
      </c>
      <c r="E1895" s="4">
        <v>228490</v>
      </c>
      <c r="G1895" s="12">
        <f t="shared" si="140"/>
        <v>2016</v>
      </c>
      <c r="H1895" s="12">
        <f t="shared" si="141"/>
        <v>3</v>
      </c>
      <c r="I1895" s="11">
        <f t="shared" si="142"/>
        <v>63</v>
      </c>
      <c r="J1895" s="11"/>
    </row>
    <row r="1896" spans="1:10" x14ac:dyDescent="0.25">
      <c r="A1896" s="2">
        <v>42434</v>
      </c>
      <c r="B1896" s="3">
        <v>541</v>
      </c>
      <c r="C1896" s="4">
        <v>254270</v>
      </c>
      <c r="D1896" s="3">
        <v>250</v>
      </c>
      <c r="E1896" s="4">
        <v>182500</v>
      </c>
      <c r="G1896" s="12">
        <f t="shared" si="140"/>
        <v>2016</v>
      </c>
      <c r="H1896" s="12">
        <f t="shared" si="141"/>
        <v>3</v>
      </c>
      <c r="I1896" s="11">
        <f t="shared" si="142"/>
        <v>63</v>
      </c>
      <c r="J1896" s="11"/>
    </row>
    <row r="1897" spans="1:10" x14ac:dyDescent="0.25">
      <c r="A1897" s="2">
        <v>42435</v>
      </c>
      <c r="B1897" s="3">
        <v>487</v>
      </c>
      <c r="C1897" s="4">
        <v>228890</v>
      </c>
      <c r="D1897" s="3">
        <v>295</v>
      </c>
      <c r="E1897" s="4">
        <v>215350</v>
      </c>
      <c r="G1897" s="12">
        <f t="shared" si="140"/>
        <v>2016</v>
      </c>
      <c r="H1897" s="12">
        <f t="shared" si="141"/>
        <v>3</v>
      </c>
      <c r="I1897" s="11">
        <f t="shared" si="142"/>
        <v>63</v>
      </c>
      <c r="J1897" s="11"/>
    </row>
    <row r="1898" spans="1:10" x14ac:dyDescent="0.25">
      <c r="A1898" s="2">
        <v>42436</v>
      </c>
      <c r="B1898" s="3">
        <v>412</v>
      </c>
      <c r="C1898" s="4">
        <v>193640</v>
      </c>
      <c r="D1898" s="3">
        <v>280</v>
      </c>
      <c r="E1898" s="4">
        <v>204400</v>
      </c>
      <c r="G1898" s="12">
        <f t="shared" si="140"/>
        <v>2016</v>
      </c>
      <c r="H1898" s="12">
        <f t="shared" si="141"/>
        <v>3</v>
      </c>
      <c r="I1898" s="11">
        <f t="shared" si="142"/>
        <v>63</v>
      </c>
      <c r="J1898" s="11"/>
    </row>
    <row r="1899" spans="1:10" x14ac:dyDescent="0.25">
      <c r="A1899" s="2">
        <v>42437</v>
      </c>
      <c r="B1899" s="3">
        <v>470</v>
      </c>
      <c r="C1899" s="4">
        <v>220900</v>
      </c>
      <c r="D1899" s="3">
        <v>315</v>
      </c>
      <c r="E1899" s="4">
        <v>229950</v>
      </c>
      <c r="G1899" s="12">
        <f t="shared" si="140"/>
        <v>2016</v>
      </c>
      <c r="H1899" s="12">
        <f t="shared" si="141"/>
        <v>3</v>
      </c>
      <c r="I1899" s="11">
        <f t="shared" si="142"/>
        <v>63</v>
      </c>
      <c r="J1899" s="11"/>
    </row>
    <row r="1900" spans="1:10" x14ac:dyDescent="0.25">
      <c r="A1900" s="2">
        <v>42438</v>
      </c>
      <c r="B1900" s="3">
        <v>411</v>
      </c>
      <c r="C1900" s="4">
        <v>193170</v>
      </c>
      <c r="D1900" s="3">
        <v>358</v>
      </c>
      <c r="E1900" s="4">
        <v>261340</v>
      </c>
      <c r="G1900" s="12">
        <f t="shared" si="140"/>
        <v>2016</v>
      </c>
      <c r="H1900" s="12">
        <f t="shared" si="141"/>
        <v>3</v>
      </c>
      <c r="I1900" s="11">
        <f t="shared" si="142"/>
        <v>63</v>
      </c>
      <c r="J1900" s="11"/>
    </row>
    <row r="1901" spans="1:10" x14ac:dyDescent="0.25">
      <c r="A1901" s="2">
        <v>42439</v>
      </c>
      <c r="B1901" s="3">
        <v>405</v>
      </c>
      <c r="C1901" s="4">
        <v>190350</v>
      </c>
      <c r="D1901" s="3">
        <v>258</v>
      </c>
      <c r="E1901" s="4">
        <v>188340</v>
      </c>
      <c r="G1901" s="12">
        <f t="shared" si="140"/>
        <v>2016</v>
      </c>
      <c r="H1901" s="12">
        <f t="shared" si="141"/>
        <v>3</v>
      </c>
      <c r="I1901" s="11">
        <f t="shared" si="142"/>
        <v>63</v>
      </c>
      <c r="J1901" s="11"/>
    </row>
    <row r="1902" spans="1:10" x14ac:dyDescent="0.25">
      <c r="A1902" s="2">
        <v>42440</v>
      </c>
      <c r="B1902" s="3">
        <v>410</v>
      </c>
      <c r="C1902" s="4">
        <v>192700</v>
      </c>
      <c r="D1902" s="3">
        <v>283</v>
      </c>
      <c r="E1902" s="4">
        <v>206590</v>
      </c>
      <c r="G1902" s="12">
        <f t="shared" si="140"/>
        <v>2016</v>
      </c>
      <c r="H1902" s="12">
        <f t="shared" si="141"/>
        <v>3</v>
      </c>
      <c r="I1902" s="11">
        <f t="shared" si="142"/>
        <v>63</v>
      </c>
      <c r="J1902" s="11"/>
    </row>
    <row r="1903" spans="1:10" x14ac:dyDescent="0.25">
      <c r="A1903" s="2">
        <v>42441</v>
      </c>
      <c r="B1903" s="3">
        <v>589</v>
      </c>
      <c r="C1903" s="4">
        <v>276830</v>
      </c>
      <c r="D1903" s="3">
        <v>299</v>
      </c>
      <c r="E1903" s="4">
        <v>218270</v>
      </c>
      <c r="G1903" s="12">
        <f t="shared" si="140"/>
        <v>2016</v>
      </c>
      <c r="H1903" s="12">
        <f t="shared" si="141"/>
        <v>3</v>
      </c>
      <c r="I1903" s="11">
        <f t="shared" si="142"/>
        <v>63</v>
      </c>
      <c r="J1903" s="11"/>
    </row>
    <row r="1904" spans="1:10" x14ac:dyDescent="0.25">
      <c r="A1904" s="2">
        <v>42442</v>
      </c>
      <c r="B1904" s="3">
        <v>531</v>
      </c>
      <c r="C1904" s="4">
        <v>249570</v>
      </c>
      <c r="D1904" s="3">
        <v>330</v>
      </c>
      <c r="E1904" s="4">
        <v>240900</v>
      </c>
      <c r="G1904" s="12">
        <f t="shared" si="140"/>
        <v>2016</v>
      </c>
      <c r="H1904" s="12">
        <f t="shared" si="141"/>
        <v>3</v>
      </c>
      <c r="I1904" s="11">
        <f t="shared" si="142"/>
        <v>63</v>
      </c>
      <c r="J1904" s="11"/>
    </row>
    <row r="1905" spans="1:10" x14ac:dyDescent="0.25">
      <c r="A1905" s="2">
        <v>42443</v>
      </c>
      <c r="B1905" s="3">
        <v>457</v>
      </c>
      <c r="C1905" s="4">
        <v>214790</v>
      </c>
      <c r="D1905" s="3">
        <v>285</v>
      </c>
      <c r="E1905" s="4">
        <v>208050</v>
      </c>
      <c r="G1905" s="12">
        <f t="shared" si="140"/>
        <v>2016</v>
      </c>
      <c r="H1905" s="12">
        <f t="shared" si="141"/>
        <v>3</v>
      </c>
      <c r="I1905" s="11">
        <f t="shared" si="142"/>
        <v>63</v>
      </c>
      <c r="J1905" s="11"/>
    </row>
    <row r="1906" spans="1:10" x14ac:dyDescent="0.25">
      <c r="A1906" s="2">
        <v>42444</v>
      </c>
      <c r="B1906" s="3">
        <v>490</v>
      </c>
      <c r="C1906" s="4">
        <v>230300</v>
      </c>
      <c r="D1906" s="3">
        <v>312</v>
      </c>
      <c r="E1906" s="4">
        <v>227760</v>
      </c>
      <c r="G1906" s="12">
        <f t="shared" si="140"/>
        <v>2016</v>
      </c>
      <c r="H1906" s="12">
        <f t="shared" si="141"/>
        <v>3</v>
      </c>
      <c r="I1906" s="11">
        <f t="shared" si="142"/>
        <v>63</v>
      </c>
      <c r="J1906" s="11"/>
    </row>
    <row r="1907" spans="1:10" x14ac:dyDescent="0.25">
      <c r="A1907" s="2">
        <v>42445</v>
      </c>
      <c r="B1907" s="3">
        <v>425</v>
      </c>
      <c r="C1907" s="4">
        <v>199750</v>
      </c>
      <c r="D1907" s="3">
        <v>326</v>
      </c>
      <c r="E1907" s="4">
        <v>237980</v>
      </c>
      <c r="G1907" s="12">
        <f t="shared" si="140"/>
        <v>2016</v>
      </c>
      <c r="H1907" s="12">
        <f t="shared" si="141"/>
        <v>3</v>
      </c>
      <c r="I1907" s="11">
        <f t="shared" si="142"/>
        <v>63</v>
      </c>
      <c r="J1907" s="11"/>
    </row>
    <row r="1908" spans="1:10" x14ac:dyDescent="0.25">
      <c r="A1908" s="2">
        <v>42446</v>
      </c>
      <c r="B1908" s="3">
        <v>428</v>
      </c>
      <c r="C1908" s="4">
        <v>201160</v>
      </c>
      <c r="D1908" s="3">
        <v>297</v>
      </c>
      <c r="E1908" s="4">
        <v>216810</v>
      </c>
      <c r="G1908" s="12">
        <f t="shared" si="140"/>
        <v>2016</v>
      </c>
      <c r="H1908" s="12">
        <f t="shared" si="141"/>
        <v>3</v>
      </c>
      <c r="I1908" s="11">
        <f t="shared" si="142"/>
        <v>63</v>
      </c>
      <c r="J1908" s="11"/>
    </row>
    <row r="1909" spans="1:10" x14ac:dyDescent="0.25">
      <c r="A1909" s="2">
        <v>42447</v>
      </c>
      <c r="B1909" s="3">
        <v>520</v>
      </c>
      <c r="C1909" s="4">
        <v>244400</v>
      </c>
      <c r="D1909" s="3">
        <v>357</v>
      </c>
      <c r="E1909" s="4">
        <v>260610</v>
      </c>
      <c r="G1909" s="12">
        <f t="shared" si="140"/>
        <v>2016</v>
      </c>
      <c r="H1909" s="12">
        <f t="shared" si="141"/>
        <v>3</v>
      </c>
      <c r="I1909" s="11">
        <f t="shared" si="142"/>
        <v>63</v>
      </c>
      <c r="J1909" s="11"/>
    </row>
    <row r="1910" spans="1:10" x14ac:dyDescent="0.25">
      <c r="A1910" s="2">
        <v>42448</v>
      </c>
      <c r="B1910" s="3">
        <v>487</v>
      </c>
      <c r="C1910" s="4">
        <v>228890</v>
      </c>
      <c r="D1910" s="3">
        <v>302</v>
      </c>
      <c r="E1910" s="4">
        <v>220460</v>
      </c>
      <c r="G1910" s="12">
        <f t="shared" si="140"/>
        <v>2016</v>
      </c>
      <c r="H1910" s="12">
        <f t="shared" si="141"/>
        <v>3</v>
      </c>
      <c r="I1910" s="11">
        <f t="shared" si="142"/>
        <v>63</v>
      </c>
      <c r="J1910" s="11"/>
    </row>
    <row r="1911" spans="1:10" x14ac:dyDescent="0.25">
      <c r="A1911" s="2">
        <v>42449</v>
      </c>
      <c r="B1911" s="3">
        <v>433</v>
      </c>
      <c r="C1911" s="4">
        <v>203510</v>
      </c>
      <c r="D1911" s="3">
        <v>323</v>
      </c>
      <c r="E1911" s="4">
        <v>235790</v>
      </c>
      <c r="G1911" s="12">
        <f t="shared" si="140"/>
        <v>2016</v>
      </c>
      <c r="H1911" s="12">
        <f t="shared" si="141"/>
        <v>3</v>
      </c>
      <c r="I1911" s="11">
        <f t="shared" si="142"/>
        <v>63</v>
      </c>
      <c r="J1911" s="11"/>
    </row>
    <row r="1912" spans="1:10" x14ac:dyDescent="0.25">
      <c r="A1912" s="2">
        <v>42450</v>
      </c>
      <c r="B1912" s="3">
        <v>532</v>
      </c>
      <c r="C1912" s="4">
        <v>250040</v>
      </c>
      <c r="D1912" s="3">
        <v>320</v>
      </c>
      <c r="E1912" s="4">
        <v>233600</v>
      </c>
      <c r="G1912" s="12">
        <f t="shared" si="140"/>
        <v>2016</v>
      </c>
      <c r="H1912" s="12">
        <f t="shared" si="141"/>
        <v>3</v>
      </c>
      <c r="I1912" s="11">
        <f t="shared" si="142"/>
        <v>63</v>
      </c>
      <c r="J1912" s="11"/>
    </row>
    <row r="1913" spans="1:10" x14ac:dyDescent="0.25">
      <c r="A1913" s="2">
        <v>42451</v>
      </c>
      <c r="B1913" s="3">
        <v>516</v>
      </c>
      <c r="C1913" s="4">
        <v>242520</v>
      </c>
      <c r="D1913" s="3">
        <v>308</v>
      </c>
      <c r="E1913" s="4">
        <v>224840</v>
      </c>
      <c r="G1913" s="12">
        <f t="shared" si="140"/>
        <v>2016</v>
      </c>
      <c r="H1913" s="12">
        <f t="shared" si="141"/>
        <v>3</v>
      </c>
      <c r="I1913" s="11">
        <f t="shared" si="142"/>
        <v>63</v>
      </c>
      <c r="J1913" s="11"/>
    </row>
    <row r="1914" spans="1:10" x14ac:dyDescent="0.25">
      <c r="A1914" s="2">
        <v>42452</v>
      </c>
      <c r="B1914" s="3">
        <v>431</v>
      </c>
      <c r="C1914" s="4">
        <v>202570</v>
      </c>
      <c r="D1914" s="3">
        <v>292</v>
      </c>
      <c r="E1914" s="4">
        <v>213160</v>
      </c>
      <c r="G1914" s="12">
        <f t="shared" si="140"/>
        <v>2016</v>
      </c>
      <c r="H1914" s="12">
        <f t="shared" si="141"/>
        <v>3</v>
      </c>
      <c r="I1914" s="11">
        <f t="shared" si="142"/>
        <v>63</v>
      </c>
      <c r="J1914" s="11"/>
    </row>
    <row r="1915" spans="1:10" x14ac:dyDescent="0.25">
      <c r="A1915" s="2">
        <v>42453</v>
      </c>
      <c r="B1915" s="3">
        <v>453</v>
      </c>
      <c r="C1915" s="4">
        <v>212910</v>
      </c>
      <c r="D1915" s="3">
        <v>307</v>
      </c>
      <c r="E1915" s="4">
        <v>224110</v>
      </c>
      <c r="G1915" s="12">
        <f t="shared" si="140"/>
        <v>2016</v>
      </c>
      <c r="H1915" s="12">
        <f t="shared" si="141"/>
        <v>3</v>
      </c>
      <c r="I1915" s="11">
        <f t="shared" si="142"/>
        <v>63</v>
      </c>
      <c r="J1915" s="11"/>
    </row>
    <row r="1916" spans="1:10" x14ac:dyDescent="0.25">
      <c r="A1916" s="2">
        <v>42454</v>
      </c>
      <c r="B1916" s="3">
        <v>484</v>
      </c>
      <c r="C1916" s="4">
        <v>227480</v>
      </c>
      <c r="D1916" s="3">
        <v>308</v>
      </c>
      <c r="E1916" s="4">
        <v>224840</v>
      </c>
      <c r="G1916" s="12">
        <f t="shared" si="140"/>
        <v>2016</v>
      </c>
      <c r="H1916" s="12">
        <f t="shared" si="141"/>
        <v>3</v>
      </c>
      <c r="I1916" s="11">
        <f t="shared" si="142"/>
        <v>63</v>
      </c>
      <c r="J1916" s="11"/>
    </row>
    <row r="1917" spans="1:10" x14ac:dyDescent="0.25">
      <c r="A1917" s="2">
        <v>42455</v>
      </c>
      <c r="B1917" s="3">
        <v>446</v>
      </c>
      <c r="C1917" s="4">
        <v>209620</v>
      </c>
      <c r="D1917" s="3">
        <v>303</v>
      </c>
      <c r="E1917" s="4">
        <v>221190</v>
      </c>
      <c r="G1917" s="12">
        <f t="shared" si="140"/>
        <v>2016</v>
      </c>
      <c r="H1917" s="12">
        <f t="shared" si="141"/>
        <v>3</v>
      </c>
      <c r="I1917" s="11">
        <f t="shared" si="142"/>
        <v>63</v>
      </c>
      <c r="J1917" s="11"/>
    </row>
    <row r="1918" spans="1:10" x14ac:dyDescent="0.25">
      <c r="A1918" s="2">
        <v>42456</v>
      </c>
      <c r="B1918" s="3">
        <v>432</v>
      </c>
      <c r="C1918" s="4">
        <v>203040</v>
      </c>
      <c r="D1918" s="3">
        <v>288</v>
      </c>
      <c r="E1918" s="4">
        <v>210240</v>
      </c>
      <c r="G1918" s="12">
        <f t="shared" si="140"/>
        <v>2016</v>
      </c>
      <c r="H1918" s="12">
        <f t="shared" si="141"/>
        <v>3</v>
      </c>
      <c r="I1918" s="11">
        <f t="shared" si="142"/>
        <v>63</v>
      </c>
      <c r="J1918" s="11"/>
    </row>
    <row r="1919" spans="1:10" x14ac:dyDescent="0.25">
      <c r="A1919" s="2">
        <v>42457</v>
      </c>
      <c r="B1919" s="3">
        <v>490</v>
      </c>
      <c r="C1919" s="4">
        <v>230300</v>
      </c>
      <c r="D1919" s="3">
        <v>253</v>
      </c>
      <c r="E1919" s="4">
        <v>184690</v>
      </c>
      <c r="G1919" s="12">
        <f t="shared" si="140"/>
        <v>2016</v>
      </c>
      <c r="H1919" s="12">
        <f t="shared" si="141"/>
        <v>3</v>
      </c>
      <c r="I1919" s="11">
        <f t="shared" si="142"/>
        <v>63</v>
      </c>
      <c r="J1919" s="11"/>
    </row>
    <row r="1920" spans="1:10" x14ac:dyDescent="0.25">
      <c r="A1920" s="2">
        <v>42458</v>
      </c>
      <c r="B1920" s="3">
        <v>465</v>
      </c>
      <c r="C1920" s="4">
        <v>218550</v>
      </c>
      <c r="D1920" s="3">
        <v>322</v>
      </c>
      <c r="E1920" s="4">
        <v>235060</v>
      </c>
      <c r="G1920" s="12">
        <f t="shared" si="140"/>
        <v>2016</v>
      </c>
      <c r="H1920" s="12">
        <f t="shared" si="141"/>
        <v>3</v>
      </c>
      <c r="I1920" s="11">
        <f t="shared" si="142"/>
        <v>63</v>
      </c>
      <c r="J1920" s="11"/>
    </row>
    <row r="1921" spans="1:10" x14ac:dyDescent="0.25">
      <c r="A1921" s="2">
        <v>42459</v>
      </c>
      <c r="B1921" s="3">
        <v>451</v>
      </c>
      <c r="C1921" s="4">
        <v>211970</v>
      </c>
      <c r="D1921" s="3">
        <v>300</v>
      </c>
      <c r="E1921" s="4">
        <v>219000</v>
      </c>
      <c r="G1921" s="12">
        <f t="shared" si="140"/>
        <v>2016</v>
      </c>
      <c r="H1921" s="12">
        <f t="shared" si="141"/>
        <v>3</v>
      </c>
      <c r="I1921" s="11">
        <f t="shared" si="142"/>
        <v>63</v>
      </c>
      <c r="J1921" s="11"/>
    </row>
    <row r="1922" spans="1:10" x14ac:dyDescent="0.25">
      <c r="A1922" s="2">
        <v>42460</v>
      </c>
      <c r="B1922" s="3">
        <v>524</v>
      </c>
      <c r="C1922" s="4">
        <v>246280</v>
      </c>
      <c r="D1922" s="3">
        <v>281</v>
      </c>
      <c r="E1922" s="4">
        <v>205130</v>
      </c>
      <c r="G1922" s="12">
        <f t="shared" si="140"/>
        <v>2016</v>
      </c>
      <c r="H1922" s="12">
        <f t="shared" si="141"/>
        <v>3</v>
      </c>
      <c r="I1922" s="11">
        <f t="shared" si="142"/>
        <v>63</v>
      </c>
      <c r="J1922" s="11"/>
    </row>
    <row r="1923" spans="1:10" x14ac:dyDescent="0.25">
      <c r="A1923" s="2">
        <v>42461</v>
      </c>
      <c r="B1923" s="3">
        <v>473</v>
      </c>
      <c r="C1923" s="4">
        <v>222310</v>
      </c>
      <c r="D1923" s="3">
        <v>639</v>
      </c>
      <c r="E1923" s="4">
        <v>466470</v>
      </c>
      <c r="G1923" s="12">
        <f t="shared" si="140"/>
        <v>2016</v>
      </c>
      <c r="H1923" s="12">
        <f t="shared" si="141"/>
        <v>4</v>
      </c>
      <c r="I1923" s="11">
        <f t="shared" si="142"/>
        <v>64</v>
      </c>
      <c r="J1923" s="11"/>
    </row>
    <row r="1924" spans="1:10" x14ac:dyDescent="0.25">
      <c r="A1924" s="2">
        <v>42462</v>
      </c>
      <c r="B1924" s="3">
        <v>481</v>
      </c>
      <c r="C1924" s="4">
        <v>226070</v>
      </c>
      <c r="D1924" s="3">
        <v>646</v>
      </c>
      <c r="E1924" s="4">
        <v>471580</v>
      </c>
      <c r="G1924" s="12">
        <f t="shared" si="140"/>
        <v>2016</v>
      </c>
      <c r="H1924" s="12">
        <f t="shared" si="141"/>
        <v>4</v>
      </c>
      <c r="I1924" s="11">
        <f t="shared" si="142"/>
        <v>64</v>
      </c>
      <c r="J1924" s="11"/>
    </row>
    <row r="1925" spans="1:10" x14ac:dyDescent="0.25">
      <c r="A1925" s="2">
        <v>42463</v>
      </c>
      <c r="B1925" s="3">
        <v>514</v>
      </c>
      <c r="C1925" s="4">
        <v>241580</v>
      </c>
      <c r="D1925" s="3">
        <v>706</v>
      </c>
      <c r="E1925" s="4">
        <v>515380</v>
      </c>
      <c r="G1925" s="12">
        <f t="shared" si="140"/>
        <v>2016</v>
      </c>
      <c r="H1925" s="12">
        <f t="shared" si="141"/>
        <v>4</v>
      </c>
      <c r="I1925" s="11">
        <f t="shared" si="142"/>
        <v>64</v>
      </c>
      <c r="J1925" s="11"/>
    </row>
    <row r="1926" spans="1:10" x14ac:dyDescent="0.25">
      <c r="A1926" s="2">
        <v>42464</v>
      </c>
      <c r="B1926" s="3">
        <v>493</v>
      </c>
      <c r="C1926" s="4">
        <v>231710</v>
      </c>
      <c r="D1926" s="3">
        <v>546</v>
      </c>
      <c r="E1926" s="4">
        <v>398580</v>
      </c>
      <c r="G1926" s="12">
        <f t="shared" ref="G1926:G1989" si="143">+YEAR(A1926)</f>
        <v>2016</v>
      </c>
      <c r="H1926" s="12">
        <f t="shared" ref="H1926:H1989" si="144">+MONTH(A1926)</f>
        <v>4</v>
      </c>
      <c r="I1926" s="11">
        <f t="shared" si="142"/>
        <v>64</v>
      </c>
      <c r="J1926" s="11"/>
    </row>
    <row r="1927" spans="1:10" x14ac:dyDescent="0.25">
      <c r="A1927" s="2">
        <v>42465</v>
      </c>
      <c r="B1927" s="3">
        <v>407</v>
      </c>
      <c r="C1927" s="4">
        <v>191290</v>
      </c>
      <c r="D1927" s="3">
        <v>618</v>
      </c>
      <c r="E1927" s="4">
        <v>451140</v>
      </c>
      <c r="G1927" s="12">
        <f t="shared" si="143"/>
        <v>2016</v>
      </c>
      <c r="H1927" s="12">
        <f t="shared" si="144"/>
        <v>4</v>
      </c>
      <c r="I1927" s="11">
        <f t="shared" ref="I1927:I1990" si="145">+H1927+(G1927-2011)*12</f>
        <v>64</v>
      </c>
      <c r="J1927" s="11"/>
    </row>
    <row r="1928" spans="1:10" x14ac:dyDescent="0.25">
      <c r="A1928" s="2">
        <v>42466</v>
      </c>
      <c r="B1928" s="3">
        <v>413</v>
      </c>
      <c r="C1928" s="4">
        <v>194110</v>
      </c>
      <c r="D1928" s="3">
        <v>739</v>
      </c>
      <c r="E1928" s="4">
        <v>539470</v>
      </c>
      <c r="G1928" s="12">
        <f t="shared" si="143"/>
        <v>2016</v>
      </c>
      <c r="H1928" s="12">
        <f t="shared" si="144"/>
        <v>4</v>
      </c>
      <c r="I1928" s="11">
        <f t="shared" si="145"/>
        <v>64</v>
      </c>
      <c r="J1928" s="11"/>
    </row>
    <row r="1929" spans="1:10" x14ac:dyDescent="0.25">
      <c r="A1929" s="2">
        <v>42467</v>
      </c>
      <c r="B1929" s="3">
        <v>420</v>
      </c>
      <c r="C1929" s="4">
        <v>197400</v>
      </c>
      <c r="D1929" s="3">
        <v>571</v>
      </c>
      <c r="E1929" s="4">
        <v>416830</v>
      </c>
      <c r="G1929" s="12">
        <f t="shared" si="143"/>
        <v>2016</v>
      </c>
      <c r="H1929" s="12">
        <f t="shared" si="144"/>
        <v>4</v>
      </c>
      <c r="I1929" s="11">
        <f t="shared" si="145"/>
        <v>64</v>
      </c>
      <c r="J1929" s="11"/>
    </row>
    <row r="1930" spans="1:10" x14ac:dyDescent="0.25">
      <c r="A1930" s="2">
        <v>42468</v>
      </c>
      <c r="B1930" s="3">
        <v>428</v>
      </c>
      <c r="C1930" s="4">
        <v>201160</v>
      </c>
      <c r="D1930" s="3">
        <v>601</v>
      </c>
      <c r="E1930" s="4">
        <v>438730</v>
      </c>
      <c r="G1930" s="12">
        <f t="shared" si="143"/>
        <v>2016</v>
      </c>
      <c r="H1930" s="12">
        <f t="shared" si="144"/>
        <v>4</v>
      </c>
      <c r="I1930" s="11">
        <f t="shared" si="145"/>
        <v>64</v>
      </c>
      <c r="J1930" s="11"/>
    </row>
    <row r="1931" spans="1:10" x14ac:dyDescent="0.25">
      <c r="A1931" s="2">
        <v>42469</v>
      </c>
      <c r="B1931" s="3">
        <v>463</v>
      </c>
      <c r="C1931" s="4">
        <v>217610</v>
      </c>
      <c r="D1931" s="3">
        <v>705</v>
      </c>
      <c r="E1931" s="4">
        <v>514650</v>
      </c>
      <c r="G1931" s="12">
        <f t="shared" si="143"/>
        <v>2016</v>
      </c>
      <c r="H1931" s="12">
        <f t="shared" si="144"/>
        <v>4</v>
      </c>
      <c r="I1931" s="11">
        <f t="shared" si="145"/>
        <v>64</v>
      </c>
      <c r="J1931" s="11"/>
    </row>
    <row r="1932" spans="1:10" x14ac:dyDescent="0.25">
      <c r="A1932" s="2">
        <v>42470</v>
      </c>
      <c r="B1932" s="3">
        <v>473</v>
      </c>
      <c r="C1932" s="4">
        <v>222310</v>
      </c>
      <c r="D1932" s="3">
        <v>685</v>
      </c>
      <c r="E1932" s="4">
        <v>500050</v>
      </c>
      <c r="G1932" s="12">
        <f t="shared" si="143"/>
        <v>2016</v>
      </c>
      <c r="H1932" s="12">
        <f t="shared" si="144"/>
        <v>4</v>
      </c>
      <c r="I1932" s="11">
        <f t="shared" si="145"/>
        <v>64</v>
      </c>
      <c r="J1932" s="11"/>
    </row>
    <row r="1933" spans="1:10" x14ac:dyDescent="0.25">
      <c r="A1933" s="2">
        <v>42471</v>
      </c>
      <c r="B1933" s="3">
        <v>396</v>
      </c>
      <c r="C1933" s="4">
        <v>186120</v>
      </c>
      <c r="D1933" s="3">
        <v>653</v>
      </c>
      <c r="E1933" s="4">
        <v>476690</v>
      </c>
      <c r="G1933" s="12">
        <f t="shared" si="143"/>
        <v>2016</v>
      </c>
      <c r="H1933" s="12">
        <f t="shared" si="144"/>
        <v>4</v>
      </c>
      <c r="I1933" s="11">
        <f t="shared" si="145"/>
        <v>64</v>
      </c>
      <c r="J1933" s="11"/>
    </row>
    <row r="1934" spans="1:10" x14ac:dyDescent="0.25">
      <c r="A1934" s="2">
        <v>42472</v>
      </c>
      <c r="B1934" s="3">
        <v>616</v>
      </c>
      <c r="C1934" s="4">
        <v>289520</v>
      </c>
      <c r="D1934" s="3">
        <v>664</v>
      </c>
      <c r="E1934" s="4">
        <v>484720</v>
      </c>
      <c r="G1934" s="12">
        <f t="shared" si="143"/>
        <v>2016</v>
      </c>
      <c r="H1934" s="12">
        <f t="shared" si="144"/>
        <v>4</v>
      </c>
      <c r="I1934" s="11">
        <f t="shared" si="145"/>
        <v>64</v>
      </c>
      <c r="J1934" s="11"/>
    </row>
    <row r="1935" spans="1:10" x14ac:dyDescent="0.25">
      <c r="A1935" s="2">
        <v>42473</v>
      </c>
      <c r="B1935" s="3">
        <v>413</v>
      </c>
      <c r="C1935" s="4">
        <v>194110</v>
      </c>
      <c r="D1935" s="3">
        <v>707</v>
      </c>
      <c r="E1935" s="4">
        <v>516110</v>
      </c>
      <c r="G1935" s="12">
        <f t="shared" si="143"/>
        <v>2016</v>
      </c>
      <c r="H1935" s="12">
        <f t="shared" si="144"/>
        <v>4</v>
      </c>
      <c r="I1935" s="11">
        <f t="shared" si="145"/>
        <v>64</v>
      </c>
      <c r="J1935" s="11"/>
    </row>
    <row r="1936" spans="1:10" x14ac:dyDescent="0.25">
      <c r="A1936" s="2">
        <v>42474</v>
      </c>
      <c r="B1936" s="3">
        <v>511</v>
      </c>
      <c r="C1936" s="4">
        <v>240170</v>
      </c>
      <c r="D1936" s="3">
        <v>588</v>
      </c>
      <c r="E1936" s="4">
        <v>429240</v>
      </c>
      <c r="G1936" s="12">
        <f t="shared" si="143"/>
        <v>2016</v>
      </c>
      <c r="H1936" s="12">
        <f t="shared" si="144"/>
        <v>4</v>
      </c>
      <c r="I1936" s="11">
        <f t="shared" si="145"/>
        <v>64</v>
      </c>
      <c r="J1936" s="11"/>
    </row>
    <row r="1937" spans="1:10" x14ac:dyDescent="0.25">
      <c r="A1937" s="2">
        <v>42475</v>
      </c>
      <c r="B1937" s="3">
        <v>401</v>
      </c>
      <c r="C1937" s="4">
        <v>188470</v>
      </c>
      <c r="D1937" s="3">
        <v>761</v>
      </c>
      <c r="E1937" s="4">
        <v>555530</v>
      </c>
      <c r="G1937" s="12">
        <f t="shared" si="143"/>
        <v>2016</v>
      </c>
      <c r="H1937" s="12">
        <f t="shared" si="144"/>
        <v>4</v>
      </c>
      <c r="I1937" s="11">
        <f t="shared" si="145"/>
        <v>64</v>
      </c>
      <c r="J1937" s="11"/>
    </row>
    <row r="1938" spans="1:10" x14ac:dyDescent="0.25">
      <c r="A1938" s="2">
        <v>42476</v>
      </c>
      <c r="B1938" s="3">
        <v>418</v>
      </c>
      <c r="C1938" s="4">
        <v>196460</v>
      </c>
      <c r="D1938" s="3">
        <v>715</v>
      </c>
      <c r="E1938" s="4">
        <v>521950</v>
      </c>
      <c r="G1938" s="12">
        <f t="shared" si="143"/>
        <v>2016</v>
      </c>
      <c r="H1938" s="12">
        <f t="shared" si="144"/>
        <v>4</v>
      </c>
      <c r="I1938" s="11">
        <f t="shared" si="145"/>
        <v>64</v>
      </c>
      <c r="J1938" s="11"/>
    </row>
    <row r="1939" spans="1:10" x14ac:dyDescent="0.25">
      <c r="A1939" s="2">
        <v>42477</v>
      </c>
      <c r="B1939" s="3">
        <v>435</v>
      </c>
      <c r="C1939" s="4">
        <v>204450</v>
      </c>
      <c r="D1939" s="3">
        <v>657</v>
      </c>
      <c r="E1939" s="4">
        <v>479610</v>
      </c>
      <c r="G1939" s="12">
        <f t="shared" si="143"/>
        <v>2016</v>
      </c>
      <c r="H1939" s="12">
        <f t="shared" si="144"/>
        <v>4</v>
      </c>
      <c r="I1939" s="11">
        <f t="shared" si="145"/>
        <v>64</v>
      </c>
      <c r="J1939" s="11"/>
    </row>
    <row r="1940" spans="1:10" x14ac:dyDescent="0.25">
      <c r="A1940" s="2">
        <v>42478</v>
      </c>
      <c r="B1940" s="3">
        <v>384</v>
      </c>
      <c r="C1940" s="4">
        <v>180480</v>
      </c>
      <c r="D1940" s="3">
        <v>691</v>
      </c>
      <c r="E1940" s="4">
        <v>504430</v>
      </c>
      <c r="G1940" s="12">
        <f t="shared" si="143"/>
        <v>2016</v>
      </c>
      <c r="H1940" s="12">
        <f t="shared" si="144"/>
        <v>4</v>
      </c>
      <c r="I1940" s="11">
        <f t="shared" si="145"/>
        <v>64</v>
      </c>
      <c r="J1940" s="11"/>
    </row>
    <row r="1941" spans="1:10" x14ac:dyDescent="0.25">
      <c r="A1941" s="2">
        <v>42479</v>
      </c>
      <c r="B1941" s="3">
        <v>430</v>
      </c>
      <c r="C1941" s="4">
        <v>202100</v>
      </c>
      <c r="D1941" s="3">
        <v>772</v>
      </c>
      <c r="E1941" s="4">
        <v>563560</v>
      </c>
      <c r="G1941" s="12">
        <f t="shared" si="143"/>
        <v>2016</v>
      </c>
      <c r="H1941" s="12">
        <f t="shared" si="144"/>
        <v>4</v>
      </c>
      <c r="I1941" s="11">
        <f t="shared" si="145"/>
        <v>64</v>
      </c>
      <c r="J1941" s="11"/>
    </row>
    <row r="1942" spans="1:10" x14ac:dyDescent="0.25">
      <c r="A1942" s="2">
        <v>42480</v>
      </c>
      <c r="B1942" s="3">
        <v>514</v>
      </c>
      <c r="C1942" s="4">
        <v>241580</v>
      </c>
      <c r="D1942" s="3">
        <v>572</v>
      </c>
      <c r="E1942" s="4">
        <v>417560</v>
      </c>
      <c r="G1942" s="12">
        <f t="shared" si="143"/>
        <v>2016</v>
      </c>
      <c r="H1942" s="12">
        <f t="shared" si="144"/>
        <v>4</v>
      </c>
      <c r="I1942" s="11">
        <f t="shared" si="145"/>
        <v>64</v>
      </c>
      <c r="J1942" s="11"/>
    </row>
    <row r="1943" spans="1:10" x14ac:dyDescent="0.25">
      <c r="A1943" s="2">
        <v>42481</v>
      </c>
      <c r="B1943" s="3">
        <v>492</v>
      </c>
      <c r="C1943" s="4">
        <v>231240</v>
      </c>
      <c r="D1943" s="3">
        <v>638</v>
      </c>
      <c r="E1943" s="4">
        <v>465740</v>
      </c>
      <c r="G1943" s="12">
        <f t="shared" si="143"/>
        <v>2016</v>
      </c>
      <c r="H1943" s="12">
        <f t="shared" si="144"/>
        <v>4</v>
      </c>
      <c r="I1943" s="11">
        <f t="shared" si="145"/>
        <v>64</v>
      </c>
      <c r="J1943" s="11"/>
    </row>
    <row r="1944" spans="1:10" x14ac:dyDescent="0.25">
      <c r="A1944" s="2">
        <v>42482</v>
      </c>
      <c r="B1944" s="3">
        <v>436</v>
      </c>
      <c r="C1944" s="4">
        <v>204920</v>
      </c>
      <c r="D1944" s="3">
        <v>600</v>
      </c>
      <c r="E1944" s="4">
        <v>438000</v>
      </c>
      <c r="G1944" s="12">
        <f t="shared" si="143"/>
        <v>2016</v>
      </c>
      <c r="H1944" s="12">
        <f t="shared" si="144"/>
        <v>4</v>
      </c>
      <c r="I1944" s="11">
        <f t="shared" si="145"/>
        <v>64</v>
      </c>
      <c r="J1944" s="11"/>
    </row>
    <row r="1945" spans="1:10" x14ac:dyDescent="0.25">
      <c r="A1945" s="2">
        <v>42483</v>
      </c>
      <c r="B1945" s="3">
        <v>531</v>
      </c>
      <c r="C1945" s="4">
        <v>249570</v>
      </c>
      <c r="D1945" s="3">
        <v>638</v>
      </c>
      <c r="E1945" s="4">
        <v>465740</v>
      </c>
      <c r="G1945" s="12">
        <f t="shared" si="143"/>
        <v>2016</v>
      </c>
      <c r="H1945" s="12">
        <f t="shared" si="144"/>
        <v>4</v>
      </c>
      <c r="I1945" s="11">
        <f t="shared" si="145"/>
        <v>64</v>
      </c>
      <c r="J1945" s="11"/>
    </row>
    <row r="1946" spans="1:10" x14ac:dyDescent="0.25">
      <c r="A1946" s="2">
        <v>42484</v>
      </c>
      <c r="B1946" s="3">
        <v>405</v>
      </c>
      <c r="C1946" s="4">
        <v>190350</v>
      </c>
      <c r="D1946" s="3">
        <v>689</v>
      </c>
      <c r="E1946" s="4">
        <v>502970</v>
      </c>
      <c r="G1946" s="12">
        <f t="shared" si="143"/>
        <v>2016</v>
      </c>
      <c r="H1946" s="12">
        <f t="shared" si="144"/>
        <v>4</v>
      </c>
      <c r="I1946" s="11">
        <f t="shared" si="145"/>
        <v>64</v>
      </c>
      <c r="J1946" s="11"/>
    </row>
    <row r="1947" spans="1:10" x14ac:dyDescent="0.25">
      <c r="A1947" s="2">
        <v>42485</v>
      </c>
      <c r="B1947" s="3">
        <v>467</v>
      </c>
      <c r="C1947" s="4">
        <v>219490</v>
      </c>
      <c r="D1947" s="3">
        <v>662</v>
      </c>
      <c r="E1947" s="4">
        <v>483260</v>
      </c>
      <c r="G1947" s="12">
        <f t="shared" si="143"/>
        <v>2016</v>
      </c>
      <c r="H1947" s="12">
        <f t="shared" si="144"/>
        <v>4</v>
      </c>
      <c r="I1947" s="11">
        <f t="shared" si="145"/>
        <v>64</v>
      </c>
      <c r="J1947" s="11"/>
    </row>
    <row r="1948" spans="1:10" x14ac:dyDescent="0.25">
      <c r="A1948" s="2">
        <v>42486</v>
      </c>
      <c r="B1948" s="3">
        <v>495</v>
      </c>
      <c r="C1948" s="4">
        <v>232650</v>
      </c>
      <c r="D1948" s="3">
        <v>646</v>
      </c>
      <c r="E1948" s="4">
        <v>471580</v>
      </c>
      <c r="G1948" s="12">
        <f t="shared" si="143"/>
        <v>2016</v>
      </c>
      <c r="H1948" s="12">
        <f t="shared" si="144"/>
        <v>4</v>
      </c>
      <c r="I1948" s="11">
        <f t="shared" si="145"/>
        <v>64</v>
      </c>
      <c r="J1948" s="11"/>
    </row>
    <row r="1949" spans="1:10" x14ac:dyDescent="0.25">
      <c r="A1949" s="2">
        <v>42487</v>
      </c>
      <c r="B1949" s="3">
        <v>461</v>
      </c>
      <c r="C1949" s="4">
        <v>216670</v>
      </c>
      <c r="D1949" s="3">
        <v>655</v>
      </c>
      <c r="E1949" s="4">
        <v>478150</v>
      </c>
      <c r="G1949" s="12">
        <f t="shared" si="143"/>
        <v>2016</v>
      </c>
      <c r="H1949" s="12">
        <f t="shared" si="144"/>
        <v>4</v>
      </c>
      <c r="I1949" s="11">
        <f t="shared" si="145"/>
        <v>64</v>
      </c>
      <c r="J1949" s="11"/>
    </row>
    <row r="1950" spans="1:10" x14ac:dyDescent="0.25">
      <c r="A1950" s="2">
        <v>42488</v>
      </c>
      <c r="B1950" s="3">
        <v>490</v>
      </c>
      <c r="C1950" s="4">
        <v>230300</v>
      </c>
      <c r="D1950" s="3">
        <v>596</v>
      </c>
      <c r="E1950" s="4">
        <v>435080</v>
      </c>
      <c r="G1950" s="12">
        <f t="shared" si="143"/>
        <v>2016</v>
      </c>
      <c r="H1950" s="12">
        <f t="shared" si="144"/>
        <v>4</v>
      </c>
      <c r="I1950" s="11">
        <f t="shared" si="145"/>
        <v>64</v>
      </c>
      <c r="J1950" s="11"/>
    </row>
    <row r="1951" spans="1:10" x14ac:dyDescent="0.25">
      <c r="A1951" s="2">
        <v>42489</v>
      </c>
      <c r="B1951" s="3">
        <v>556</v>
      </c>
      <c r="C1951" s="4">
        <v>261320</v>
      </c>
      <c r="D1951" s="3">
        <v>578</v>
      </c>
      <c r="E1951" s="4">
        <v>421940</v>
      </c>
      <c r="G1951" s="12">
        <f t="shared" si="143"/>
        <v>2016</v>
      </c>
      <c r="H1951" s="12">
        <f t="shared" si="144"/>
        <v>4</v>
      </c>
      <c r="I1951" s="11">
        <f t="shared" si="145"/>
        <v>64</v>
      </c>
      <c r="J1951" s="11"/>
    </row>
    <row r="1952" spans="1:10" x14ac:dyDescent="0.25">
      <c r="A1952" s="2">
        <v>42490</v>
      </c>
      <c r="B1952" s="3">
        <v>420</v>
      </c>
      <c r="C1952" s="4">
        <v>197400</v>
      </c>
      <c r="D1952" s="3">
        <v>629</v>
      </c>
      <c r="E1952" s="4">
        <v>459170</v>
      </c>
      <c r="G1952" s="12">
        <f t="shared" si="143"/>
        <v>2016</v>
      </c>
      <c r="H1952" s="12">
        <f t="shared" si="144"/>
        <v>4</v>
      </c>
      <c r="I1952" s="11">
        <f t="shared" si="145"/>
        <v>64</v>
      </c>
      <c r="J1952" s="11"/>
    </row>
    <row r="1953" spans="1:10" x14ac:dyDescent="0.25">
      <c r="A1953" s="2">
        <v>42491</v>
      </c>
      <c r="B1953" s="3">
        <v>489</v>
      </c>
      <c r="C1953" s="4">
        <v>229830</v>
      </c>
      <c r="D1953" s="3">
        <v>802</v>
      </c>
      <c r="E1953" s="4">
        <v>585460</v>
      </c>
      <c r="G1953" s="12">
        <f t="shared" si="143"/>
        <v>2016</v>
      </c>
      <c r="H1953" s="12">
        <f t="shared" si="144"/>
        <v>5</v>
      </c>
      <c r="I1953" s="11">
        <f t="shared" si="145"/>
        <v>65</v>
      </c>
      <c r="J1953" s="11"/>
    </row>
    <row r="1954" spans="1:10" x14ac:dyDescent="0.25">
      <c r="A1954" s="2">
        <v>42492</v>
      </c>
      <c r="B1954" s="3">
        <v>486</v>
      </c>
      <c r="C1954" s="4">
        <v>228420</v>
      </c>
      <c r="D1954" s="3">
        <v>596</v>
      </c>
      <c r="E1954" s="4">
        <v>435080</v>
      </c>
      <c r="G1954" s="12">
        <f t="shared" si="143"/>
        <v>2016</v>
      </c>
      <c r="H1954" s="12">
        <f t="shared" si="144"/>
        <v>5</v>
      </c>
      <c r="I1954" s="11">
        <f t="shared" si="145"/>
        <v>65</v>
      </c>
      <c r="J1954" s="11"/>
    </row>
    <row r="1955" spans="1:10" x14ac:dyDescent="0.25">
      <c r="A1955" s="2">
        <v>42493</v>
      </c>
      <c r="B1955" s="3">
        <v>529</v>
      </c>
      <c r="C1955" s="4">
        <v>248630</v>
      </c>
      <c r="D1955" s="3">
        <v>771</v>
      </c>
      <c r="E1955" s="4">
        <v>562830</v>
      </c>
      <c r="G1955" s="12">
        <f t="shared" si="143"/>
        <v>2016</v>
      </c>
      <c r="H1955" s="12">
        <f t="shared" si="144"/>
        <v>5</v>
      </c>
      <c r="I1955" s="11">
        <f t="shared" si="145"/>
        <v>65</v>
      </c>
      <c r="J1955" s="11"/>
    </row>
    <row r="1956" spans="1:10" x14ac:dyDescent="0.25">
      <c r="A1956" s="2">
        <v>42494</v>
      </c>
      <c r="B1956" s="3">
        <v>439</v>
      </c>
      <c r="C1956" s="4">
        <v>206330</v>
      </c>
      <c r="D1956" s="3">
        <v>686</v>
      </c>
      <c r="E1956" s="4">
        <v>500780</v>
      </c>
      <c r="G1956" s="12">
        <f t="shared" si="143"/>
        <v>2016</v>
      </c>
      <c r="H1956" s="12">
        <f t="shared" si="144"/>
        <v>5</v>
      </c>
      <c r="I1956" s="11">
        <f t="shared" si="145"/>
        <v>65</v>
      </c>
      <c r="J1956" s="11"/>
    </row>
    <row r="1957" spans="1:10" x14ac:dyDescent="0.25">
      <c r="A1957" s="2">
        <v>42495</v>
      </c>
      <c r="B1957" s="3">
        <v>515</v>
      </c>
      <c r="C1957" s="4">
        <v>242050</v>
      </c>
      <c r="D1957" s="3">
        <v>631</v>
      </c>
      <c r="E1957" s="4">
        <v>460630</v>
      </c>
      <c r="G1957" s="12">
        <f t="shared" si="143"/>
        <v>2016</v>
      </c>
      <c r="H1957" s="12">
        <f t="shared" si="144"/>
        <v>5</v>
      </c>
      <c r="I1957" s="11">
        <f t="shared" si="145"/>
        <v>65</v>
      </c>
      <c r="J1957" s="11"/>
    </row>
    <row r="1958" spans="1:10" x14ac:dyDescent="0.25">
      <c r="A1958" s="2">
        <v>42496</v>
      </c>
      <c r="B1958" s="3">
        <v>435</v>
      </c>
      <c r="C1958" s="4">
        <v>204450</v>
      </c>
      <c r="D1958" s="3">
        <v>667</v>
      </c>
      <c r="E1958" s="4">
        <v>486910</v>
      </c>
      <c r="G1958" s="12">
        <f t="shared" si="143"/>
        <v>2016</v>
      </c>
      <c r="H1958" s="12">
        <f t="shared" si="144"/>
        <v>5</v>
      </c>
      <c r="I1958" s="11">
        <f t="shared" si="145"/>
        <v>65</v>
      </c>
      <c r="J1958" s="11"/>
    </row>
    <row r="1959" spans="1:10" x14ac:dyDescent="0.25">
      <c r="A1959" s="2">
        <v>42497</v>
      </c>
      <c r="B1959" s="3">
        <v>522</v>
      </c>
      <c r="C1959" s="4">
        <v>245340</v>
      </c>
      <c r="D1959" s="3">
        <v>676</v>
      </c>
      <c r="E1959" s="4">
        <v>493480</v>
      </c>
      <c r="G1959" s="12">
        <f t="shared" si="143"/>
        <v>2016</v>
      </c>
      <c r="H1959" s="12">
        <f t="shared" si="144"/>
        <v>5</v>
      </c>
      <c r="I1959" s="11">
        <f t="shared" si="145"/>
        <v>65</v>
      </c>
      <c r="J1959" s="11"/>
    </row>
    <row r="1960" spans="1:10" x14ac:dyDescent="0.25">
      <c r="A1960" s="2">
        <v>42498</v>
      </c>
      <c r="B1960" s="3">
        <v>403</v>
      </c>
      <c r="C1960" s="4">
        <v>189410</v>
      </c>
      <c r="D1960" s="3">
        <v>558</v>
      </c>
      <c r="E1960" s="4">
        <v>407340</v>
      </c>
      <c r="G1960" s="12">
        <f t="shared" si="143"/>
        <v>2016</v>
      </c>
      <c r="H1960" s="12">
        <f t="shared" si="144"/>
        <v>5</v>
      </c>
      <c r="I1960" s="11">
        <f t="shared" si="145"/>
        <v>65</v>
      </c>
      <c r="J1960" s="11"/>
    </row>
    <row r="1961" spans="1:10" x14ac:dyDescent="0.25">
      <c r="A1961" s="2">
        <v>42499</v>
      </c>
      <c r="B1961" s="3">
        <v>444</v>
      </c>
      <c r="C1961" s="4">
        <v>208680</v>
      </c>
      <c r="D1961" s="3">
        <v>658</v>
      </c>
      <c r="E1961" s="4">
        <v>480340</v>
      </c>
      <c r="G1961" s="12">
        <f t="shared" si="143"/>
        <v>2016</v>
      </c>
      <c r="H1961" s="12">
        <f t="shared" si="144"/>
        <v>5</v>
      </c>
      <c r="I1961" s="11">
        <f t="shared" si="145"/>
        <v>65</v>
      </c>
      <c r="J1961" s="11"/>
    </row>
    <row r="1962" spans="1:10" x14ac:dyDescent="0.25">
      <c r="A1962" s="2">
        <v>42500</v>
      </c>
      <c r="B1962" s="3">
        <v>454</v>
      </c>
      <c r="C1962" s="4">
        <v>213380</v>
      </c>
      <c r="D1962" s="3">
        <v>651</v>
      </c>
      <c r="E1962" s="4">
        <v>475230</v>
      </c>
      <c r="G1962" s="12">
        <f t="shared" si="143"/>
        <v>2016</v>
      </c>
      <c r="H1962" s="12">
        <f t="shared" si="144"/>
        <v>5</v>
      </c>
      <c r="I1962" s="11">
        <f t="shared" si="145"/>
        <v>65</v>
      </c>
      <c r="J1962" s="11"/>
    </row>
    <row r="1963" spans="1:10" x14ac:dyDescent="0.25">
      <c r="A1963" s="2">
        <v>42501</v>
      </c>
      <c r="B1963" s="3">
        <v>488</v>
      </c>
      <c r="C1963" s="4">
        <v>229360</v>
      </c>
      <c r="D1963" s="3">
        <v>648</v>
      </c>
      <c r="E1963" s="4">
        <v>473040</v>
      </c>
      <c r="G1963" s="12">
        <f t="shared" si="143"/>
        <v>2016</v>
      </c>
      <c r="H1963" s="12">
        <f t="shared" si="144"/>
        <v>5</v>
      </c>
      <c r="I1963" s="11">
        <f t="shared" si="145"/>
        <v>65</v>
      </c>
      <c r="J1963" s="11"/>
    </row>
    <row r="1964" spans="1:10" x14ac:dyDescent="0.25">
      <c r="A1964" s="2">
        <v>42502</v>
      </c>
      <c r="B1964" s="3">
        <v>431</v>
      </c>
      <c r="C1964" s="4">
        <v>202570</v>
      </c>
      <c r="D1964" s="3">
        <v>677</v>
      </c>
      <c r="E1964" s="4">
        <v>494210</v>
      </c>
      <c r="G1964" s="12">
        <f t="shared" si="143"/>
        <v>2016</v>
      </c>
      <c r="H1964" s="12">
        <f t="shared" si="144"/>
        <v>5</v>
      </c>
      <c r="I1964" s="11">
        <f t="shared" si="145"/>
        <v>65</v>
      </c>
      <c r="J1964" s="11"/>
    </row>
    <row r="1965" spans="1:10" x14ac:dyDescent="0.25">
      <c r="A1965" s="2">
        <v>42503</v>
      </c>
      <c r="B1965" s="3">
        <v>466</v>
      </c>
      <c r="C1965" s="4">
        <v>219020</v>
      </c>
      <c r="D1965" s="3">
        <v>571</v>
      </c>
      <c r="E1965" s="4">
        <v>416830</v>
      </c>
      <c r="G1965" s="12">
        <f t="shared" si="143"/>
        <v>2016</v>
      </c>
      <c r="H1965" s="12">
        <f t="shared" si="144"/>
        <v>5</v>
      </c>
      <c r="I1965" s="11">
        <f t="shared" si="145"/>
        <v>65</v>
      </c>
      <c r="J1965" s="11"/>
    </row>
    <row r="1966" spans="1:10" x14ac:dyDescent="0.25">
      <c r="A1966" s="2">
        <v>42504</v>
      </c>
      <c r="B1966" s="3">
        <v>378</v>
      </c>
      <c r="C1966" s="4">
        <v>177660</v>
      </c>
      <c r="D1966" s="3">
        <v>730</v>
      </c>
      <c r="E1966" s="4">
        <v>532900</v>
      </c>
      <c r="G1966" s="12">
        <f t="shared" si="143"/>
        <v>2016</v>
      </c>
      <c r="H1966" s="12">
        <f t="shared" si="144"/>
        <v>5</v>
      </c>
      <c r="I1966" s="11">
        <f t="shared" si="145"/>
        <v>65</v>
      </c>
      <c r="J1966" s="11"/>
    </row>
    <row r="1967" spans="1:10" x14ac:dyDescent="0.25">
      <c r="A1967" s="2">
        <v>42505</v>
      </c>
      <c r="B1967" s="3">
        <v>453</v>
      </c>
      <c r="C1967" s="4">
        <v>212910</v>
      </c>
      <c r="D1967" s="3">
        <v>736</v>
      </c>
      <c r="E1967" s="4">
        <v>537280</v>
      </c>
      <c r="G1967" s="12">
        <f t="shared" si="143"/>
        <v>2016</v>
      </c>
      <c r="H1967" s="12">
        <f t="shared" si="144"/>
        <v>5</v>
      </c>
      <c r="I1967" s="11">
        <f t="shared" si="145"/>
        <v>65</v>
      </c>
      <c r="J1967" s="11"/>
    </row>
    <row r="1968" spans="1:10" x14ac:dyDescent="0.25">
      <c r="A1968" s="2">
        <v>42506</v>
      </c>
      <c r="B1968" s="3">
        <v>503</v>
      </c>
      <c r="C1968" s="4">
        <v>236410</v>
      </c>
      <c r="D1968" s="3">
        <v>673</v>
      </c>
      <c r="E1968" s="4">
        <v>491290</v>
      </c>
      <c r="G1968" s="12">
        <f t="shared" si="143"/>
        <v>2016</v>
      </c>
      <c r="H1968" s="12">
        <f t="shared" si="144"/>
        <v>5</v>
      </c>
      <c r="I1968" s="11">
        <f t="shared" si="145"/>
        <v>65</v>
      </c>
      <c r="J1968" s="11"/>
    </row>
    <row r="1969" spans="1:10" x14ac:dyDescent="0.25">
      <c r="A1969" s="2">
        <v>42507</v>
      </c>
      <c r="B1969" s="3">
        <v>452</v>
      </c>
      <c r="C1969" s="4">
        <v>212440</v>
      </c>
      <c r="D1969" s="3">
        <v>713</v>
      </c>
      <c r="E1969" s="4">
        <v>520490</v>
      </c>
      <c r="G1969" s="12">
        <f t="shared" si="143"/>
        <v>2016</v>
      </c>
      <c r="H1969" s="12">
        <f t="shared" si="144"/>
        <v>5</v>
      </c>
      <c r="I1969" s="11">
        <f t="shared" si="145"/>
        <v>65</v>
      </c>
      <c r="J1969" s="11"/>
    </row>
    <row r="1970" spans="1:10" x14ac:dyDescent="0.25">
      <c r="A1970" s="2">
        <v>42508</v>
      </c>
      <c r="B1970" s="3">
        <v>442</v>
      </c>
      <c r="C1970" s="4">
        <v>207740</v>
      </c>
      <c r="D1970" s="3">
        <v>808</v>
      </c>
      <c r="E1970" s="4">
        <v>589840</v>
      </c>
      <c r="G1970" s="12">
        <f t="shared" si="143"/>
        <v>2016</v>
      </c>
      <c r="H1970" s="12">
        <f t="shared" si="144"/>
        <v>5</v>
      </c>
      <c r="I1970" s="11">
        <f t="shared" si="145"/>
        <v>65</v>
      </c>
      <c r="J1970" s="11"/>
    </row>
    <row r="1971" spans="1:10" x14ac:dyDescent="0.25">
      <c r="A1971" s="2">
        <v>42509</v>
      </c>
      <c r="B1971" s="3">
        <v>454</v>
      </c>
      <c r="C1971" s="4">
        <v>213380</v>
      </c>
      <c r="D1971" s="3">
        <v>656</v>
      </c>
      <c r="E1971" s="4">
        <v>478880</v>
      </c>
      <c r="G1971" s="12">
        <f t="shared" si="143"/>
        <v>2016</v>
      </c>
      <c r="H1971" s="12">
        <f t="shared" si="144"/>
        <v>5</v>
      </c>
      <c r="I1971" s="11">
        <f t="shared" si="145"/>
        <v>65</v>
      </c>
      <c r="J1971" s="11"/>
    </row>
    <row r="1972" spans="1:10" x14ac:dyDescent="0.25">
      <c r="A1972" s="2">
        <v>42510</v>
      </c>
      <c r="B1972" s="3">
        <v>454</v>
      </c>
      <c r="C1972" s="4">
        <v>213380</v>
      </c>
      <c r="D1972" s="3">
        <v>711</v>
      </c>
      <c r="E1972" s="4">
        <v>519030</v>
      </c>
      <c r="G1972" s="12">
        <f t="shared" si="143"/>
        <v>2016</v>
      </c>
      <c r="H1972" s="12">
        <f t="shared" si="144"/>
        <v>5</v>
      </c>
      <c r="I1972" s="11">
        <f t="shared" si="145"/>
        <v>65</v>
      </c>
      <c r="J1972" s="11"/>
    </row>
    <row r="1973" spans="1:10" x14ac:dyDescent="0.25">
      <c r="A1973" s="2">
        <v>42511</v>
      </c>
      <c r="B1973" s="3">
        <v>457</v>
      </c>
      <c r="C1973" s="4">
        <v>214790</v>
      </c>
      <c r="D1973" s="3">
        <v>599</v>
      </c>
      <c r="E1973" s="4">
        <v>437270</v>
      </c>
      <c r="G1973" s="12">
        <f t="shared" si="143"/>
        <v>2016</v>
      </c>
      <c r="H1973" s="12">
        <f t="shared" si="144"/>
        <v>5</v>
      </c>
      <c r="I1973" s="11">
        <f t="shared" si="145"/>
        <v>65</v>
      </c>
      <c r="J1973" s="11"/>
    </row>
    <row r="1974" spans="1:10" x14ac:dyDescent="0.25">
      <c r="A1974" s="2">
        <v>42512</v>
      </c>
      <c r="B1974" s="3">
        <v>476</v>
      </c>
      <c r="C1974" s="4">
        <v>223720</v>
      </c>
      <c r="D1974" s="3">
        <v>630</v>
      </c>
      <c r="E1974" s="4">
        <v>459900</v>
      </c>
      <c r="G1974" s="12">
        <f t="shared" si="143"/>
        <v>2016</v>
      </c>
      <c r="H1974" s="12">
        <f t="shared" si="144"/>
        <v>5</v>
      </c>
      <c r="I1974" s="11">
        <f t="shared" si="145"/>
        <v>65</v>
      </c>
      <c r="J1974" s="11"/>
    </row>
    <row r="1975" spans="1:10" x14ac:dyDescent="0.25">
      <c r="A1975" s="2">
        <v>42513</v>
      </c>
      <c r="B1975" s="3">
        <v>495</v>
      </c>
      <c r="C1975" s="4">
        <v>232650</v>
      </c>
      <c r="D1975" s="3">
        <v>800</v>
      </c>
      <c r="E1975" s="4">
        <v>584000</v>
      </c>
      <c r="G1975" s="12">
        <f t="shared" si="143"/>
        <v>2016</v>
      </c>
      <c r="H1975" s="12">
        <f t="shared" si="144"/>
        <v>5</v>
      </c>
      <c r="I1975" s="11">
        <f t="shared" si="145"/>
        <v>65</v>
      </c>
      <c r="J1975" s="11"/>
    </row>
    <row r="1976" spans="1:10" x14ac:dyDescent="0.25">
      <c r="A1976" s="2">
        <v>42514</v>
      </c>
      <c r="B1976" s="3">
        <v>522</v>
      </c>
      <c r="C1976" s="4">
        <v>245340</v>
      </c>
      <c r="D1976" s="3">
        <v>716</v>
      </c>
      <c r="E1976" s="4">
        <v>522680</v>
      </c>
      <c r="G1976" s="12">
        <f t="shared" si="143"/>
        <v>2016</v>
      </c>
      <c r="H1976" s="12">
        <f t="shared" si="144"/>
        <v>5</v>
      </c>
      <c r="I1976" s="11">
        <f t="shared" si="145"/>
        <v>65</v>
      </c>
      <c r="J1976" s="11"/>
    </row>
    <row r="1977" spans="1:10" x14ac:dyDescent="0.25">
      <c r="A1977" s="2">
        <v>42515</v>
      </c>
      <c r="B1977" s="3">
        <v>502</v>
      </c>
      <c r="C1977" s="4">
        <v>235940</v>
      </c>
      <c r="D1977" s="3">
        <v>775</v>
      </c>
      <c r="E1977" s="4">
        <v>565750</v>
      </c>
      <c r="G1977" s="12">
        <f t="shared" si="143"/>
        <v>2016</v>
      </c>
      <c r="H1977" s="12">
        <f t="shared" si="144"/>
        <v>5</v>
      </c>
      <c r="I1977" s="11">
        <f t="shared" si="145"/>
        <v>65</v>
      </c>
      <c r="J1977" s="11"/>
    </row>
    <row r="1978" spans="1:10" x14ac:dyDescent="0.25">
      <c r="A1978" s="2">
        <v>42516</v>
      </c>
      <c r="B1978" s="3">
        <v>554</v>
      </c>
      <c r="C1978" s="4">
        <v>260380</v>
      </c>
      <c r="D1978" s="3">
        <v>702</v>
      </c>
      <c r="E1978" s="4">
        <v>512460</v>
      </c>
      <c r="G1978" s="12">
        <f t="shared" si="143"/>
        <v>2016</v>
      </c>
      <c r="H1978" s="12">
        <f t="shared" si="144"/>
        <v>5</v>
      </c>
      <c r="I1978" s="11">
        <f t="shared" si="145"/>
        <v>65</v>
      </c>
      <c r="J1978" s="11"/>
    </row>
    <row r="1979" spans="1:10" x14ac:dyDescent="0.25">
      <c r="A1979" s="2">
        <v>42517</v>
      </c>
      <c r="B1979" s="3">
        <v>430</v>
      </c>
      <c r="C1979" s="4">
        <v>202100</v>
      </c>
      <c r="D1979" s="3">
        <v>800</v>
      </c>
      <c r="E1979" s="4">
        <v>584000</v>
      </c>
      <c r="G1979" s="12">
        <f t="shared" si="143"/>
        <v>2016</v>
      </c>
      <c r="H1979" s="12">
        <f t="shared" si="144"/>
        <v>5</v>
      </c>
      <c r="I1979" s="11">
        <f t="shared" si="145"/>
        <v>65</v>
      </c>
      <c r="J1979" s="11"/>
    </row>
    <row r="1980" spans="1:10" x14ac:dyDescent="0.25">
      <c r="A1980" s="2">
        <v>42518</v>
      </c>
      <c r="B1980" s="3">
        <v>478</v>
      </c>
      <c r="C1980" s="4">
        <v>224660</v>
      </c>
      <c r="D1980" s="3">
        <v>787</v>
      </c>
      <c r="E1980" s="4">
        <v>574510</v>
      </c>
      <c r="G1980" s="12">
        <f t="shared" si="143"/>
        <v>2016</v>
      </c>
      <c r="H1980" s="12">
        <f t="shared" si="144"/>
        <v>5</v>
      </c>
      <c r="I1980" s="11">
        <f t="shared" si="145"/>
        <v>65</v>
      </c>
      <c r="J1980" s="11"/>
    </row>
    <row r="1981" spans="1:10" x14ac:dyDescent="0.25">
      <c r="A1981" s="2">
        <v>42519</v>
      </c>
      <c r="B1981" s="3">
        <v>494</v>
      </c>
      <c r="C1981" s="4">
        <v>232180</v>
      </c>
      <c r="D1981" s="3">
        <v>752</v>
      </c>
      <c r="E1981" s="4">
        <v>548960</v>
      </c>
      <c r="G1981" s="12">
        <f t="shared" si="143"/>
        <v>2016</v>
      </c>
      <c r="H1981" s="12">
        <f t="shared" si="144"/>
        <v>5</v>
      </c>
      <c r="I1981" s="11">
        <f t="shared" si="145"/>
        <v>65</v>
      </c>
      <c r="J1981" s="11"/>
    </row>
    <row r="1982" spans="1:10" x14ac:dyDescent="0.25">
      <c r="A1982" s="2">
        <v>42520</v>
      </c>
      <c r="B1982" s="3">
        <v>459</v>
      </c>
      <c r="C1982" s="4">
        <v>215730</v>
      </c>
      <c r="D1982" s="3">
        <v>565</v>
      </c>
      <c r="E1982" s="4">
        <v>412450</v>
      </c>
      <c r="G1982" s="12">
        <f t="shared" si="143"/>
        <v>2016</v>
      </c>
      <c r="H1982" s="12">
        <f t="shared" si="144"/>
        <v>5</v>
      </c>
      <c r="I1982" s="11">
        <f t="shared" si="145"/>
        <v>65</v>
      </c>
      <c r="J1982" s="11"/>
    </row>
    <row r="1983" spans="1:10" x14ac:dyDescent="0.25">
      <c r="A1983" s="2">
        <v>42521</v>
      </c>
      <c r="B1983" s="3">
        <v>430</v>
      </c>
      <c r="C1983" s="4">
        <v>202100</v>
      </c>
      <c r="D1983" s="3">
        <v>629</v>
      </c>
      <c r="E1983" s="4">
        <v>459170</v>
      </c>
      <c r="G1983" s="12">
        <f t="shared" si="143"/>
        <v>2016</v>
      </c>
      <c r="H1983" s="12">
        <f t="shared" si="144"/>
        <v>5</v>
      </c>
      <c r="I1983" s="11">
        <f t="shared" si="145"/>
        <v>65</v>
      </c>
      <c r="J1983" s="11"/>
    </row>
    <row r="1984" spans="1:10" x14ac:dyDescent="0.25">
      <c r="A1984" s="2">
        <v>42522</v>
      </c>
      <c r="B1984" s="3">
        <v>504</v>
      </c>
      <c r="C1984" s="4">
        <v>236880</v>
      </c>
      <c r="D1984" s="3">
        <v>615</v>
      </c>
      <c r="E1984" s="4">
        <v>179580</v>
      </c>
      <c r="G1984" s="12">
        <f t="shared" si="143"/>
        <v>2016</v>
      </c>
      <c r="H1984" s="12">
        <f t="shared" si="144"/>
        <v>6</v>
      </c>
      <c r="I1984" s="11">
        <f t="shared" si="145"/>
        <v>66</v>
      </c>
      <c r="J1984" s="11"/>
    </row>
    <row r="1985" spans="1:10" x14ac:dyDescent="0.25">
      <c r="A1985" s="2">
        <v>42523</v>
      </c>
      <c r="B1985" s="3">
        <v>446</v>
      </c>
      <c r="C1985" s="4">
        <v>209620</v>
      </c>
      <c r="D1985" s="3">
        <v>661</v>
      </c>
      <c r="E1985" s="4">
        <v>193012</v>
      </c>
      <c r="G1985" s="12">
        <f t="shared" si="143"/>
        <v>2016</v>
      </c>
      <c r="H1985" s="12">
        <f t="shared" si="144"/>
        <v>6</v>
      </c>
      <c r="I1985" s="11">
        <f t="shared" si="145"/>
        <v>66</v>
      </c>
      <c r="J1985" s="11"/>
    </row>
    <row r="1986" spans="1:10" x14ac:dyDescent="0.25">
      <c r="A1986" s="2">
        <v>42524</v>
      </c>
      <c r="B1986" s="3">
        <v>397</v>
      </c>
      <c r="C1986" s="4">
        <v>186590</v>
      </c>
      <c r="D1986" s="3">
        <v>741</v>
      </c>
      <c r="E1986" s="4">
        <v>216372</v>
      </c>
      <c r="G1986" s="12">
        <f t="shared" si="143"/>
        <v>2016</v>
      </c>
      <c r="H1986" s="12">
        <f t="shared" si="144"/>
        <v>6</v>
      </c>
      <c r="I1986" s="11">
        <f t="shared" si="145"/>
        <v>66</v>
      </c>
      <c r="J1986" s="11"/>
    </row>
    <row r="1987" spans="1:10" x14ac:dyDescent="0.25">
      <c r="A1987" s="2">
        <v>42525</v>
      </c>
      <c r="B1987" s="3">
        <v>524</v>
      </c>
      <c r="C1987" s="4">
        <v>246280</v>
      </c>
      <c r="D1987" s="3">
        <v>881</v>
      </c>
      <c r="E1987" s="4">
        <v>257252</v>
      </c>
      <c r="G1987" s="12">
        <f t="shared" si="143"/>
        <v>2016</v>
      </c>
      <c r="H1987" s="12">
        <f t="shared" si="144"/>
        <v>6</v>
      </c>
      <c r="I1987" s="11">
        <f t="shared" si="145"/>
        <v>66</v>
      </c>
      <c r="J1987" s="11"/>
    </row>
    <row r="1988" spans="1:10" x14ac:dyDescent="0.25">
      <c r="A1988" s="2">
        <v>42526</v>
      </c>
      <c r="B1988" s="3">
        <v>410</v>
      </c>
      <c r="C1988" s="4">
        <v>192700</v>
      </c>
      <c r="D1988" s="3">
        <v>832</v>
      </c>
      <c r="E1988" s="4">
        <v>242944</v>
      </c>
      <c r="G1988" s="12">
        <f t="shared" si="143"/>
        <v>2016</v>
      </c>
      <c r="H1988" s="12">
        <f t="shared" si="144"/>
        <v>6</v>
      </c>
      <c r="I1988" s="11">
        <f t="shared" si="145"/>
        <v>66</v>
      </c>
      <c r="J1988" s="11"/>
    </row>
    <row r="1989" spans="1:10" x14ac:dyDescent="0.25">
      <c r="A1989" s="2">
        <v>42527</v>
      </c>
      <c r="B1989" s="3">
        <v>555</v>
      </c>
      <c r="C1989" s="4">
        <v>260850</v>
      </c>
      <c r="D1989" s="3">
        <v>769</v>
      </c>
      <c r="E1989" s="4">
        <v>224548</v>
      </c>
      <c r="G1989" s="12">
        <f t="shared" si="143"/>
        <v>2016</v>
      </c>
      <c r="H1989" s="12">
        <f t="shared" si="144"/>
        <v>6</v>
      </c>
      <c r="I1989" s="11">
        <f t="shared" si="145"/>
        <v>66</v>
      </c>
      <c r="J1989" s="11"/>
    </row>
    <row r="1990" spans="1:10" x14ac:dyDescent="0.25">
      <c r="A1990" s="2">
        <v>42528</v>
      </c>
      <c r="B1990" s="3">
        <v>520</v>
      </c>
      <c r="C1990" s="4">
        <v>244400</v>
      </c>
      <c r="D1990" s="3">
        <v>784</v>
      </c>
      <c r="E1990" s="4">
        <v>228928</v>
      </c>
      <c r="G1990" s="12">
        <f t="shared" ref="G1990:G2053" si="146">+YEAR(A1990)</f>
        <v>2016</v>
      </c>
      <c r="H1990" s="12">
        <f t="shared" ref="H1990:H2053" si="147">+MONTH(A1990)</f>
        <v>6</v>
      </c>
      <c r="I1990" s="11">
        <f t="shared" si="145"/>
        <v>66</v>
      </c>
      <c r="J1990" s="11"/>
    </row>
    <row r="1991" spans="1:10" x14ac:dyDescent="0.25">
      <c r="A1991" s="2">
        <v>42529</v>
      </c>
      <c r="B1991" s="3">
        <v>514</v>
      </c>
      <c r="C1991" s="4">
        <v>241580</v>
      </c>
      <c r="D1991" s="3">
        <v>706</v>
      </c>
      <c r="E1991" s="4">
        <v>206152</v>
      </c>
      <c r="G1991" s="12">
        <f t="shared" si="146"/>
        <v>2016</v>
      </c>
      <c r="H1991" s="12">
        <f t="shared" si="147"/>
        <v>6</v>
      </c>
      <c r="I1991" s="11">
        <f t="shared" ref="I1991:I2054" si="148">+H1991+(G1991-2011)*12</f>
        <v>66</v>
      </c>
      <c r="J1991" s="11"/>
    </row>
    <row r="1992" spans="1:10" x14ac:dyDescent="0.25">
      <c r="A1992" s="2">
        <v>42530</v>
      </c>
      <c r="B1992" s="3">
        <v>513</v>
      </c>
      <c r="C1992" s="4">
        <v>241110</v>
      </c>
      <c r="D1992" s="3">
        <v>637</v>
      </c>
      <c r="E1992" s="4">
        <v>186004</v>
      </c>
      <c r="G1992" s="12">
        <f t="shared" si="146"/>
        <v>2016</v>
      </c>
      <c r="H1992" s="12">
        <f t="shared" si="147"/>
        <v>6</v>
      </c>
      <c r="I1992" s="11">
        <f t="shared" si="148"/>
        <v>66</v>
      </c>
      <c r="J1992" s="11"/>
    </row>
    <row r="1993" spans="1:10" x14ac:dyDescent="0.25">
      <c r="A1993" s="2">
        <v>42531</v>
      </c>
      <c r="B1993" s="3">
        <v>422</v>
      </c>
      <c r="C1993" s="4">
        <v>198340</v>
      </c>
      <c r="D1993" s="3">
        <v>891</v>
      </c>
      <c r="E1993" s="4">
        <v>260172</v>
      </c>
      <c r="G1993" s="12">
        <f t="shared" si="146"/>
        <v>2016</v>
      </c>
      <c r="H1993" s="12">
        <f t="shared" si="147"/>
        <v>6</v>
      </c>
      <c r="I1993" s="11">
        <f t="shared" si="148"/>
        <v>66</v>
      </c>
      <c r="J1993" s="11"/>
    </row>
    <row r="1994" spans="1:10" x14ac:dyDescent="0.25">
      <c r="A1994" s="2">
        <v>42532</v>
      </c>
      <c r="B1994" s="3">
        <v>421</v>
      </c>
      <c r="C1994" s="4">
        <v>197870</v>
      </c>
      <c r="D1994" s="3">
        <v>791</v>
      </c>
      <c r="E1994" s="4">
        <v>230972</v>
      </c>
      <c r="G1994" s="12">
        <f t="shared" si="146"/>
        <v>2016</v>
      </c>
      <c r="H1994" s="12">
        <f t="shared" si="147"/>
        <v>6</v>
      </c>
      <c r="I1994" s="11">
        <f t="shared" si="148"/>
        <v>66</v>
      </c>
      <c r="J1994" s="11"/>
    </row>
    <row r="1995" spans="1:10" x14ac:dyDescent="0.25">
      <c r="A1995" s="2">
        <v>42533</v>
      </c>
      <c r="B1995" s="3">
        <v>403</v>
      </c>
      <c r="C1995" s="4">
        <v>189410</v>
      </c>
      <c r="D1995" s="3">
        <v>826</v>
      </c>
      <c r="E1995" s="4">
        <v>241192</v>
      </c>
      <c r="G1995" s="12">
        <f t="shared" si="146"/>
        <v>2016</v>
      </c>
      <c r="H1995" s="12">
        <f t="shared" si="147"/>
        <v>6</v>
      </c>
      <c r="I1995" s="11">
        <f t="shared" si="148"/>
        <v>66</v>
      </c>
      <c r="J1995" s="11"/>
    </row>
    <row r="1996" spans="1:10" x14ac:dyDescent="0.25">
      <c r="A1996" s="2">
        <v>42534</v>
      </c>
      <c r="B1996" s="3">
        <v>449</v>
      </c>
      <c r="C1996" s="4">
        <v>211030</v>
      </c>
      <c r="D1996" s="3">
        <v>654</v>
      </c>
      <c r="E1996" s="4">
        <v>190968</v>
      </c>
      <c r="G1996" s="12">
        <f t="shared" si="146"/>
        <v>2016</v>
      </c>
      <c r="H1996" s="12">
        <f t="shared" si="147"/>
        <v>6</v>
      </c>
      <c r="I1996" s="11">
        <f t="shared" si="148"/>
        <v>66</v>
      </c>
      <c r="J1996" s="11"/>
    </row>
    <row r="1997" spans="1:10" x14ac:dyDescent="0.25">
      <c r="A1997" s="2">
        <v>42535</v>
      </c>
      <c r="B1997" s="3">
        <v>467</v>
      </c>
      <c r="C1997" s="4">
        <v>219490</v>
      </c>
      <c r="D1997" s="3">
        <v>753</v>
      </c>
      <c r="E1997" s="4">
        <v>219876</v>
      </c>
      <c r="G1997" s="12">
        <f t="shared" si="146"/>
        <v>2016</v>
      </c>
      <c r="H1997" s="12">
        <f t="shared" si="147"/>
        <v>6</v>
      </c>
      <c r="I1997" s="11">
        <f t="shared" si="148"/>
        <v>66</v>
      </c>
      <c r="J1997" s="11"/>
    </row>
    <row r="1998" spans="1:10" x14ac:dyDescent="0.25">
      <c r="A1998" s="2">
        <v>42536</v>
      </c>
      <c r="B1998" s="3">
        <v>451</v>
      </c>
      <c r="C1998" s="4">
        <v>211970</v>
      </c>
      <c r="D1998" s="3">
        <v>739</v>
      </c>
      <c r="E1998" s="4">
        <v>215788</v>
      </c>
      <c r="G1998" s="12">
        <f t="shared" si="146"/>
        <v>2016</v>
      </c>
      <c r="H1998" s="12">
        <f t="shared" si="147"/>
        <v>6</v>
      </c>
      <c r="I1998" s="11">
        <f t="shared" si="148"/>
        <v>66</v>
      </c>
      <c r="J1998" s="11"/>
    </row>
    <row r="1999" spans="1:10" x14ac:dyDescent="0.25">
      <c r="A1999" s="2">
        <v>42537</v>
      </c>
      <c r="B1999" s="3">
        <v>460</v>
      </c>
      <c r="C1999" s="4">
        <v>216200</v>
      </c>
      <c r="D1999" s="3">
        <v>728</v>
      </c>
      <c r="E1999" s="4">
        <v>212576</v>
      </c>
      <c r="G1999" s="12">
        <f t="shared" si="146"/>
        <v>2016</v>
      </c>
      <c r="H1999" s="12">
        <f t="shared" si="147"/>
        <v>6</v>
      </c>
      <c r="I1999" s="11">
        <f t="shared" si="148"/>
        <v>66</v>
      </c>
      <c r="J1999" s="11"/>
    </row>
    <row r="2000" spans="1:10" x14ac:dyDescent="0.25">
      <c r="A2000" s="2">
        <v>42538</v>
      </c>
      <c r="B2000" s="3">
        <v>586</v>
      </c>
      <c r="C2000" s="4">
        <v>275420</v>
      </c>
      <c r="D2000" s="3">
        <v>770</v>
      </c>
      <c r="E2000" s="4">
        <v>224840</v>
      </c>
      <c r="G2000" s="12">
        <f t="shared" si="146"/>
        <v>2016</v>
      </c>
      <c r="H2000" s="12">
        <f t="shared" si="147"/>
        <v>6</v>
      </c>
      <c r="I2000" s="11">
        <f t="shared" si="148"/>
        <v>66</v>
      </c>
      <c r="J2000" s="11"/>
    </row>
    <row r="2001" spans="1:10" x14ac:dyDescent="0.25">
      <c r="A2001" s="2">
        <v>42539</v>
      </c>
      <c r="B2001" s="3">
        <v>425</v>
      </c>
      <c r="C2001" s="4">
        <v>199750</v>
      </c>
      <c r="D2001" s="3">
        <v>621</v>
      </c>
      <c r="E2001" s="4">
        <v>181332</v>
      </c>
      <c r="G2001" s="12">
        <f t="shared" si="146"/>
        <v>2016</v>
      </c>
      <c r="H2001" s="12">
        <f t="shared" si="147"/>
        <v>6</v>
      </c>
      <c r="I2001" s="11">
        <f t="shared" si="148"/>
        <v>66</v>
      </c>
      <c r="J2001" s="11"/>
    </row>
    <row r="2002" spans="1:10" x14ac:dyDescent="0.25">
      <c r="A2002" s="2">
        <v>42540</v>
      </c>
      <c r="B2002" s="3">
        <v>446</v>
      </c>
      <c r="C2002" s="4">
        <v>209620</v>
      </c>
      <c r="D2002" s="3">
        <v>713</v>
      </c>
      <c r="E2002" s="4">
        <v>208196</v>
      </c>
      <c r="G2002" s="12">
        <f t="shared" si="146"/>
        <v>2016</v>
      </c>
      <c r="H2002" s="12">
        <f t="shared" si="147"/>
        <v>6</v>
      </c>
      <c r="I2002" s="11">
        <f t="shared" si="148"/>
        <v>66</v>
      </c>
      <c r="J2002" s="11"/>
    </row>
    <row r="2003" spans="1:10" x14ac:dyDescent="0.25">
      <c r="A2003" s="2">
        <v>42541</v>
      </c>
      <c r="B2003" s="3">
        <v>424</v>
      </c>
      <c r="C2003" s="4">
        <v>199280</v>
      </c>
      <c r="D2003" s="3">
        <v>743</v>
      </c>
      <c r="E2003" s="4">
        <v>216956</v>
      </c>
      <c r="G2003" s="12">
        <f t="shared" si="146"/>
        <v>2016</v>
      </c>
      <c r="H2003" s="12">
        <f t="shared" si="147"/>
        <v>6</v>
      </c>
      <c r="I2003" s="11">
        <f t="shared" si="148"/>
        <v>66</v>
      </c>
      <c r="J2003" s="11"/>
    </row>
    <row r="2004" spans="1:10" x14ac:dyDescent="0.25">
      <c r="A2004" s="2">
        <v>42542</v>
      </c>
      <c r="B2004" s="3">
        <v>474</v>
      </c>
      <c r="C2004" s="4">
        <v>222780</v>
      </c>
      <c r="D2004" s="3">
        <v>674</v>
      </c>
      <c r="E2004" s="4">
        <v>196808</v>
      </c>
      <c r="G2004" s="12">
        <f t="shared" si="146"/>
        <v>2016</v>
      </c>
      <c r="H2004" s="12">
        <f t="shared" si="147"/>
        <v>6</v>
      </c>
      <c r="I2004" s="11">
        <f t="shared" si="148"/>
        <v>66</v>
      </c>
      <c r="J2004" s="11"/>
    </row>
    <row r="2005" spans="1:10" x14ac:dyDescent="0.25">
      <c r="A2005" s="2">
        <v>42543</v>
      </c>
      <c r="B2005" s="3">
        <v>473</v>
      </c>
      <c r="C2005" s="4">
        <v>222310</v>
      </c>
      <c r="D2005" s="3">
        <v>834</v>
      </c>
      <c r="E2005" s="4">
        <v>243528</v>
      </c>
      <c r="G2005" s="12">
        <f t="shared" si="146"/>
        <v>2016</v>
      </c>
      <c r="H2005" s="12">
        <f t="shared" si="147"/>
        <v>6</v>
      </c>
      <c r="I2005" s="11">
        <f t="shared" si="148"/>
        <v>66</v>
      </c>
      <c r="J2005" s="11"/>
    </row>
    <row r="2006" spans="1:10" x14ac:dyDescent="0.25">
      <c r="A2006" s="2">
        <v>42544</v>
      </c>
      <c r="B2006" s="3">
        <v>446</v>
      </c>
      <c r="C2006" s="4">
        <v>209620</v>
      </c>
      <c r="D2006" s="3">
        <v>814</v>
      </c>
      <c r="E2006" s="4">
        <v>237688</v>
      </c>
      <c r="G2006" s="12">
        <f t="shared" si="146"/>
        <v>2016</v>
      </c>
      <c r="H2006" s="12">
        <f t="shared" si="147"/>
        <v>6</v>
      </c>
      <c r="I2006" s="11">
        <f t="shared" si="148"/>
        <v>66</v>
      </c>
      <c r="J2006" s="11"/>
    </row>
    <row r="2007" spans="1:10" x14ac:dyDescent="0.25">
      <c r="A2007" s="2">
        <v>42545</v>
      </c>
      <c r="B2007" s="3">
        <v>452</v>
      </c>
      <c r="C2007" s="4">
        <v>212440</v>
      </c>
      <c r="D2007" s="3">
        <v>689</v>
      </c>
      <c r="E2007" s="4">
        <v>201188</v>
      </c>
      <c r="G2007" s="12">
        <f t="shared" si="146"/>
        <v>2016</v>
      </c>
      <c r="H2007" s="12">
        <f t="shared" si="147"/>
        <v>6</v>
      </c>
      <c r="I2007" s="11">
        <f t="shared" si="148"/>
        <v>66</v>
      </c>
      <c r="J2007" s="11"/>
    </row>
    <row r="2008" spans="1:10" x14ac:dyDescent="0.25">
      <c r="A2008" s="2">
        <v>42546</v>
      </c>
      <c r="B2008" s="3">
        <v>523</v>
      </c>
      <c r="C2008" s="4">
        <v>245810</v>
      </c>
      <c r="D2008" s="3">
        <v>739</v>
      </c>
      <c r="E2008" s="4">
        <v>215788</v>
      </c>
      <c r="G2008" s="12">
        <f t="shared" si="146"/>
        <v>2016</v>
      </c>
      <c r="H2008" s="12">
        <f t="shared" si="147"/>
        <v>6</v>
      </c>
      <c r="I2008" s="11">
        <f t="shared" si="148"/>
        <v>66</v>
      </c>
      <c r="J2008" s="11"/>
    </row>
    <row r="2009" spans="1:10" x14ac:dyDescent="0.25">
      <c r="A2009" s="2">
        <v>42547</v>
      </c>
      <c r="B2009" s="3">
        <v>385</v>
      </c>
      <c r="C2009" s="4">
        <v>180950</v>
      </c>
      <c r="D2009" s="3">
        <v>738</v>
      </c>
      <c r="E2009" s="4">
        <v>215496</v>
      </c>
      <c r="G2009" s="12">
        <f t="shared" si="146"/>
        <v>2016</v>
      </c>
      <c r="H2009" s="12">
        <f t="shared" si="147"/>
        <v>6</v>
      </c>
      <c r="I2009" s="11">
        <f t="shared" si="148"/>
        <v>66</v>
      </c>
      <c r="J2009" s="11"/>
    </row>
    <row r="2010" spans="1:10" x14ac:dyDescent="0.25">
      <c r="A2010" s="2">
        <v>42548</v>
      </c>
      <c r="B2010" s="3">
        <v>466</v>
      </c>
      <c r="C2010" s="4">
        <v>219020</v>
      </c>
      <c r="D2010" s="3">
        <v>707</v>
      </c>
      <c r="E2010" s="4">
        <v>206444</v>
      </c>
      <c r="G2010" s="12">
        <f t="shared" si="146"/>
        <v>2016</v>
      </c>
      <c r="H2010" s="12">
        <f t="shared" si="147"/>
        <v>6</v>
      </c>
      <c r="I2010" s="11">
        <f t="shared" si="148"/>
        <v>66</v>
      </c>
      <c r="J2010" s="11"/>
    </row>
    <row r="2011" spans="1:10" x14ac:dyDescent="0.25">
      <c r="A2011" s="2">
        <v>42549</v>
      </c>
      <c r="B2011" s="3">
        <v>463</v>
      </c>
      <c r="C2011" s="4">
        <v>217610</v>
      </c>
      <c r="D2011" s="3">
        <v>795</v>
      </c>
      <c r="E2011" s="4">
        <v>232140</v>
      </c>
      <c r="G2011" s="12">
        <f t="shared" si="146"/>
        <v>2016</v>
      </c>
      <c r="H2011" s="12">
        <f t="shared" si="147"/>
        <v>6</v>
      </c>
      <c r="I2011" s="11">
        <f t="shared" si="148"/>
        <v>66</v>
      </c>
      <c r="J2011" s="11"/>
    </row>
    <row r="2012" spans="1:10" x14ac:dyDescent="0.25">
      <c r="A2012" s="2">
        <v>42550</v>
      </c>
      <c r="B2012" s="3">
        <v>503</v>
      </c>
      <c r="C2012" s="4">
        <v>236410</v>
      </c>
      <c r="D2012" s="3">
        <v>627</v>
      </c>
      <c r="E2012" s="4">
        <v>183084</v>
      </c>
      <c r="G2012" s="12">
        <f t="shared" si="146"/>
        <v>2016</v>
      </c>
      <c r="H2012" s="12">
        <f t="shared" si="147"/>
        <v>6</v>
      </c>
      <c r="I2012" s="11">
        <f t="shared" si="148"/>
        <v>66</v>
      </c>
      <c r="J2012" s="11"/>
    </row>
    <row r="2013" spans="1:10" x14ac:dyDescent="0.25">
      <c r="A2013" s="2">
        <v>42551</v>
      </c>
      <c r="B2013" s="3">
        <v>449</v>
      </c>
      <c r="C2013" s="4">
        <v>211030</v>
      </c>
      <c r="D2013" s="3">
        <v>720</v>
      </c>
      <c r="E2013" s="4">
        <v>210240</v>
      </c>
      <c r="G2013" s="12">
        <f t="shared" si="146"/>
        <v>2016</v>
      </c>
      <c r="H2013" s="12">
        <f t="shared" si="147"/>
        <v>6</v>
      </c>
      <c r="I2013" s="11">
        <f t="shared" si="148"/>
        <v>66</v>
      </c>
      <c r="J2013" s="11"/>
    </row>
    <row r="2014" spans="1:10" x14ac:dyDescent="0.25">
      <c r="A2014" s="2">
        <v>42552</v>
      </c>
      <c r="B2014" s="3">
        <v>454</v>
      </c>
      <c r="C2014" s="4">
        <v>213380</v>
      </c>
      <c r="D2014" s="3">
        <v>264</v>
      </c>
      <c r="E2014" s="4">
        <v>192720</v>
      </c>
      <c r="G2014" s="12">
        <f t="shared" si="146"/>
        <v>2016</v>
      </c>
      <c r="H2014" s="12">
        <f t="shared" si="147"/>
        <v>7</v>
      </c>
      <c r="I2014" s="11">
        <f t="shared" si="148"/>
        <v>67</v>
      </c>
      <c r="J2014" s="11"/>
    </row>
    <row r="2015" spans="1:10" x14ac:dyDescent="0.25">
      <c r="A2015" s="2">
        <v>42553</v>
      </c>
      <c r="B2015" s="3">
        <v>443</v>
      </c>
      <c r="C2015" s="4">
        <v>208210</v>
      </c>
      <c r="D2015" s="3">
        <v>284</v>
      </c>
      <c r="E2015" s="4">
        <v>207320</v>
      </c>
      <c r="G2015" s="12">
        <f t="shared" si="146"/>
        <v>2016</v>
      </c>
      <c r="H2015" s="12">
        <f t="shared" si="147"/>
        <v>7</v>
      </c>
      <c r="I2015" s="11">
        <f t="shared" si="148"/>
        <v>67</v>
      </c>
      <c r="J2015" s="11"/>
    </row>
    <row r="2016" spans="1:10" x14ac:dyDescent="0.25">
      <c r="A2016" s="2">
        <v>42554</v>
      </c>
      <c r="B2016" s="3">
        <v>494</v>
      </c>
      <c r="C2016" s="4">
        <v>232180</v>
      </c>
      <c r="D2016" s="3">
        <v>260</v>
      </c>
      <c r="E2016" s="4">
        <v>189800</v>
      </c>
      <c r="G2016" s="12">
        <f t="shared" si="146"/>
        <v>2016</v>
      </c>
      <c r="H2016" s="12">
        <f t="shared" si="147"/>
        <v>7</v>
      </c>
      <c r="I2016" s="11">
        <f t="shared" si="148"/>
        <v>67</v>
      </c>
      <c r="J2016" s="11"/>
    </row>
    <row r="2017" spans="1:10" x14ac:dyDescent="0.25">
      <c r="A2017" s="2">
        <v>42555</v>
      </c>
      <c r="B2017" s="3">
        <v>419</v>
      </c>
      <c r="C2017" s="4">
        <v>196930</v>
      </c>
      <c r="D2017" s="3">
        <v>334</v>
      </c>
      <c r="E2017" s="4">
        <v>243820</v>
      </c>
      <c r="G2017" s="12">
        <f t="shared" si="146"/>
        <v>2016</v>
      </c>
      <c r="H2017" s="12">
        <f t="shared" si="147"/>
        <v>7</v>
      </c>
      <c r="I2017" s="11">
        <f t="shared" si="148"/>
        <v>67</v>
      </c>
      <c r="J2017" s="11"/>
    </row>
    <row r="2018" spans="1:10" x14ac:dyDescent="0.25">
      <c r="A2018" s="2">
        <v>42556</v>
      </c>
      <c r="B2018" s="3">
        <v>441</v>
      </c>
      <c r="C2018" s="4">
        <v>207270</v>
      </c>
      <c r="D2018" s="3">
        <v>271</v>
      </c>
      <c r="E2018" s="4">
        <v>197830</v>
      </c>
      <c r="G2018" s="12">
        <f t="shared" si="146"/>
        <v>2016</v>
      </c>
      <c r="H2018" s="12">
        <f t="shared" si="147"/>
        <v>7</v>
      </c>
      <c r="I2018" s="11">
        <f t="shared" si="148"/>
        <v>67</v>
      </c>
      <c r="J2018" s="11"/>
    </row>
    <row r="2019" spans="1:10" x14ac:dyDescent="0.25">
      <c r="A2019" s="2">
        <v>42557</v>
      </c>
      <c r="B2019" s="3">
        <v>479</v>
      </c>
      <c r="C2019" s="4">
        <v>225130</v>
      </c>
      <c r="D2019" s="3">
        <v>298</v>
      </c>
      <c r="E2019" s="4">
        <v>217540</v>
      </c>
      <c r="G2019" s="12">
        <f t="shared" si="146"/>
        <v>2016</v>
      </c>
      <c r="H2019" s="12">
        <f t="shared" si="147"/>
        <v>7</v>
      </c>
      <c r="I2019" s="11">
        <f t="shared" si="148"/>
        <v>67</v>
      </c>
      <c r="J2019" s="11"/>
    </row>
    <row r="2020" spans="1:10" x14ac:dyDescent="0.25">
      <c r="A2020" s="2">
        <v>42558</v>
      </c>
      <c r="B2020" s="3">
        <v>536</v>
      </c>
      <c r="C2020" s="4">
        <v>251920</v>
      </c>
      <c r="D2020" s="3">
        <v>252</v>
      </c>
      <c r="E2020" s="4">
        <v>183960</v>
      </c>
      <c r="G2020" s="12">
        <f t="shared" si="146"/>
        <v>2016</v>
      </c>
      <c r="H2020" s="12">
        <f t="shared" si="147"/>
        <v>7</v>
      </c>
      <c r="I2020" s="11">
        <f t="shared" si="148"/>
        <v>67</v>
      </c>
      <c r="J2020" s="11"/>
    </row>
    <row r="2021" spans="1:10" x14ac:dyDescent="0.25">
      <c r="A2021" s="2">
        <v>42559</v>
      </c>
      <c r="B2021" s="3">
        <v>483</v>
      </c>
      <c r="C2021" s="4">
        <v>227010</v>
      </c>
      <c r="D2021" s="3">
        <v>281</v>
      </c>
      <c r="E2021" s="4">
        <v>205130</v>
      </c>
      <c r="G2021" s="12">
        <f t="shared" si="146"/>
        <v>2016</v>
      </c>
      <c r="H2021" s="12">
        <f t="shared" si="147"/>
        <v>7</v>
      </c>
      <c r="I2021" s="11">
        <f t="shared" si="148"/>
        <v>67</v>
      </c>
      <c r="J2021" s="11"/>
    </row>
    <row r="2022" spans="1:10" x14ac:dyDescent="0.25">
      <c r="A2022" s="2">
        <v>42560</v>
      </c>
      <c r="B2022" s="3">
        <v>504</v>
      </c>
      <c r="C2022" s="4">
        <v>236880</v>
      </c>
      <c r="D2022" s="3">
        <v>297</v>
      </c>
      <c r="E2022" s="4">
        <v>216810</v>
      </c>
      <c r="G2022" s="12">
        <f t="shared" si="146"/>
        <v>2016</v>
      </c>
      <c r="H2022" s="12">
        <f t="shared" si="147"/>
        <v>7</v>
      </c>
      <c r="I2022" s="11">
        <f t="shared" si="148"/>
        <v>67</v>
      </c>
      <c r="J2022" s="11"/>
    </row>
    <row r="2023" spans="1:10" x14ac:dyDescent="0.25">
      <c r="A2023" s="2">
        <v>42561</v>
      </c>
      <c r="B2023" s="3">
        <v>504</v>
      </c>
      <c r="C2023" s="4">
        <v>236880</v>
      </c>
      <c r="D2023" s="3">
        <v>276</v>
      </c>
      <c r="E2023" s="4">
        <v>201480</v>
      </c>
      <c r="G2023" s="12">
        <f t="shared" si="146"/>
        <v>2016</v>
      </c>
      <c r="H2023" s="12">
        <f t="shared" si="147"/>
        <v>7</v>
      </c>
      <c r="I2023" s="11">
        <f t="shared" si="148"/>
        <v>67</v>
      </c>
      <c r="J2023" s="11"/>
    </row>
    <row r="2024" spans="1:10" x14ac:dyDescent="0.25">
      <c r="A2024" s="2">
        <v>42562</v>
      </c>
      <c r="B2024" s="3">
        <v>444</v>
      </c>
      <c r="C2024" s="4">
        <v>208680</v>
      </c>
      <c r="D2024" s="3">
        <v>298</v>
      </c>
      <c r="E2024" s="4">
        <v>217540</v>
      </c>
      <c r="G2024" s="12">
        <f t="shared" si="146"/>
        <v>2016</v>
      </c>
      <c r="H2024" s="12">
        <f t="shared" si="147"/>
        <v>7</v>
      </c>
      <c r="I2024" s="11">
        <f t="shared" si="148"/>
        <v>67</v>
      </c>
      <c r="J2024" s="11"/>
    </row>
    <row r="2025" spans="1:10" x14ac:dyDescent="0.25">
      <c r="A2025" s="2">
        <v>42563</v>
      </c>
      <c r="B2025" s="3">
        <v>483</v>
      </c>
      <c r="C2025" s="4">
        <v>227010</v>
      </c>
      <c r="D2025" s="3">
        <v>323</v>
      </c>
      <c r="E2025" s="4">
        <v>235790</v>
      </c>
      <c r="G2025" s="12">
        <f t="shared" si="146"/>
        <v>2016</v>
      </c>
      <c r="H2025" s="12">
        <f t="shared" si="147"/>
        <v>7</v>
      </c>
      <c r="I2025" s="11">
        <f t="shared" si="148"/>
        <v>67</v>
      </c>
      <c r="J2025" s="11"/>
    </row>
    <row r="2026" spans="1:10" x14ac:dyDescent="0.25">
      <c r="A2026" s="2">
        <v>42564</v>
      </c>
      <c r="B2026" s="3">
        <v>512</v>
      </c>
      <c r="C2026" s="4">
        <v>240640</v>
      </c>
      <c r="D2026" s="3">
        <v>309</v>
      </c>
      <c r="E2026" s="4">
        <v>225570</v>
      </c>
      <c r="G2026" s="12">
        <f t="shared" si="146"/>
        <v>2016</v>
      </c>
      <c r="H2026" s="12">
        <f t="shared" si="147"/>
        <v>7</v>
      </c>
      <c r="I2026" s="11">
        <f t="shared" si="148"/>
        <v>67</v>
      </c>
      <c r="J2026" s="11"/>
    </row>
    <row r="2027" spans="1:10" x14ac:dyDescent="0.25">
      <c r="A2027" s="2">
        <v>42565</v>
      </c>
      <c r="B2027" s="3">
        <v>511</v>
      </c>
      <c r="C2027" s="4">
        <v>240170</v>
      </c>
      <c r="D2027" s="3">
        <v>314</v>
      </c>
      <c r="E2027" s="4">
        <v>229220</v>
      </c>
      <c r="G2027" s="12">
        <f t="shared" si="146"/>
        <v>2016</v>
      </c>
      <c r="H2027" s="12">
        <f t="shared" si="147"/>
        <v>7</v>
      </c>
      <c r="I2027" s="11">
        <f t="shared" si="148"/>
        <v>67</v>
      </c>
      <c r="J2027" s="11"/>
    </row>
    <row r="2028" spans="1:10" x14ac:dyDescent="0.25">
      <c r="A2028" s="2">
        <v>42566</v>
      </c>
      <c r="B2028" s="3">
        <v>438</v>
      </c>
      <c r="C2028" s="4">
        <v>205860</v>
      </c>
      <c r="D2028" s="3">
        <v>300</v>
      </c>
      <c r="E2028" s="4">
        <v>219000</v>
      </c>
      <c r="G2028" s="12">
        <f t="shared" si="146"/>
        <v>2016</v>
      </c>
      <c r="H2028" s="12">
        <f t="shared" si="147"/>
        <v>7</v>
      </c>
      <c r="I2028" s="11">
        <f t="shared" si="148"/>
        <v>67</v>
      </c>
      <c r="J2028" s="11"/>
    </row>
    <row r="2029" spans="1:10" x14ac:dyDescent="0.25">
      <c r="A2029" s="2">
        <v>42567</v>
      </c>
      <c r="B2029" s="3">
        <v>520</v>
      </c>
      <c r="C2029" s="4">
        <v>244400</v>
      </c>
      <c r="D2029" s="3">
        <v>324</v>
      </c>
      <c r="E2029" s="4">
        <v>236520</v>
      </c>
      <c r="G2029" s="12">
        <f t="shared" si="146"/>
        <v>2016</v>
      </c>
      <c r="H2029" s="12">
        <f t="shared" si="147"/>
        <v>7</v>
      </c>
      <c r="I2029" s="11">
        <f t="shared" si="148"/>
        <v>67</v>
      </c>
      <c r="J2029" s="11"/>
    </row>
    <row r="2030" spans="1:10" x14ac:dyDescent="0.25">
      <c r="A2030" s="2">
        <v>42568</v>
      </c>
      <c r="B2030" s="3">
        <v>410</v>
      </c>
      <c r="C2030" s="4">
        <v>192700</v>
      </c>
      <c r="D2030" s="3">
        <v>324</v>
      </c>
      <c r="E2030" s="4">
        <v>236520</v>
      </c>
      <c r="G2030" s="12">
        <f t="shared" si="146"/>
        <v>2016</v>
      </c>
      <c r="H2030" s="12">
        <f t="shared" si="147"/>
        <v>7</v>
      </c>
      <c r="I2030" s="11">
        <f t="shared" si="148"/>
        <v>67</v>
      </c>
      <c r="J2030" s="11"/>
    </row>
    <row r="2031" spans="1:10" x14ac:dyDescent="0.25">
      <c r="A2031" s="2">
        <v>42569</v>
      </c>
      <c r="B2031" s="3">
        <v>531</v>
      </c>
      <c r="C2031" s="4">
        <v>249570</v>
      </c>
      <c r="D2031" s="3">
        <v>260</v>
      </c>
      <c r="E2031" s="4">
        <v>189800</v>
      </c>
      <c r="G2031" s="12">
        <f t="shared" si="146"/>
        <v>2016</v>
      </c>
      <c r="H2031" s="12">
        <f t="shared" si="147"/>
        <v>7</v>
      </c>
      <c r="I2031" s="11">
        <f t="shared" si="148"/>
        <v>67</v>
      </c>
      <c r="J2031" s="11"/>
    </row>
    <row r="2032" spans="1:10" x14ac:dyDescent="0.25">
      <c r="A2032" s="2">
        <v>42570</v>
      </c>
      <c r="B2032" s="3">
        <v>578</v>
      </c>
      <c r="C2032" s="4">
        <v>271660</v>
      </c>
      <c r="D2032" s="3">
        <v>317</v>
      </c>
      <c r="E2032" s="4">
        <v>231410</v>
      </c>
      <c r="G2032" s="12">
        <f t="shared" si="146"/>
        <v>2016</v>
      </c>
      <c r="H2032" s="12">
        <f t="shared" si="147"/>
        <v>7</v>
      </c>
      <c r="I2032" s="11">
        <f t="shared" si="148"/>
        <v>67</v>
      </c>
      <c r="J2032" s="11"/>
    </row>
    <row r="2033" spans="1:10" x14ac:dyDescent="0.25">
      <c r="A2033" s="2">
        <v>42571</v>
      </c>
      <c r="B2033" s="3">
        <v>488</v>
      </c>
      <c r="C2033" s="4">
        <v>229360</v>
      </c>
      <c r="D2033" s="3">
        <v>340</v>
      </c>
      <c r="E2033" s="4">
        <v>248200</v>
      </c>
      <c r="G2033" s="12">
        <f t="shared" si="146"/>
        <v>2016</v>
      </c>
      <c r="H2033" s="12">
        <f t="shared" si="147"/>
        <v>7</v>
      </c>
      <c r="I2033" s="11">
        <f t="shared" si="148"/>
        <v>67</v>
      </c>
      <c r="J2033" s="11"/>
    </row>
    <row r="2034" spans="1:10" x14ac:dyDescent="0.25">
      <c r="A2034" s="2">
        <v>42572</v>
      </c>
      <c r="B2034" s="3">
        <v>485</v>
      </c>
      <c r="C2034" s="4">
        <v>227950</v>
      </c>
      <c r="D2034" s="3">
        <v>307</v>
      </c>
      <c r="E2034" s="4">
        <v>224110</v>
      </c>
      <c r="G2034" s="12">
        <f t="shared" si="146"/>
        <v>2016</v>
      </c>
      <c r="H2034" s="12">
        <f t="shared" si="147"/>
        <v>7</v>
      </c>
      <c r="I2034" s="11">
        <f t="shared" si="148"/>
        <v>67</v>
      </c>
      <c r="J2034" s="11"/>
    </row>
    <row r="2035" spans="1:10" x14ac:dyDescent="0.25">
      <c r="A2035" s="2">
        <v>42573</v>
      </c>
      <c r="B2035" s="3">
        <v>467</v>
      </c>
      <c r="C2035" s="4">
        <v>219490</v>
      </c>
      <c r="D2035" s="3">
        <v>304</v>
      </c>
      <c r="E2035" s="4">
        <v>221920</v>
      </c>
      <c r="G2035" s="12">
        <f t="shared" si="146"/>
        <v>2016</v>
      </c>
      <c r="H2035" s="12">
        <f t="shared" si="147"/>
        <v>7</v>
      </c>
      <c r="I2035" s="11">
        <f t="shared" si="148"/>
        <v>67</v>
      </c>
      <c r="J2035" s="11"/>
    </row>
    <row r="2036" spans="1:10" x14ac:dyDescent="0.25">
      <c r="A2036" s="2">
        <v>42574</v>
      </c>
      <c r="B2036" s="3">
        <v>411</v>
      </c>
      <c r="C2036" s="4">
        <v>193170</v>
      </c>
      <c r="D2036" s="3">
        <v>325</v>
      </c>
      <c r="E2036" s="4">
        <v>237250</v>
      </c>
      <c r="G2036" s="12">
        <f t="shared" si="146"/>
        <v>2016</v>
      </c>
      <c r="H2036" s="12">
        <f t="shared" si="147"/>
        <v>7</v>
      </c>
      <c r="I2036" s="11">
        <f t="shared" si="148"/>
        <v>67</v>
      </c>
      <c r="J2036" s="11"/>
    </row>
    <row r="2037" spans="1:10" x14ac:dyDescent="0.25">
      <c r="A2037" s="2">
        <v>42575</v>
      </c>
      <c r="B2037" s="3">
        <v>476</v>
      </c>
      <c r="C2037" s="4">
        <v>223720</v>
      </c>
      <c r="D2037" s="3">
        <v>321</v>
      </c>
      <c r="E2037" s="4">
        <v>234330</v>
      </c>
      <c r="G2037" s="12">
        <f t="shared" si="146"/>
        <v>2016</v>
      </c>
      <c r="H2037" s="12">
        <f t="shared" si="147"/>
        <v>7</v>
      </c>
      <c r="I2037" s="11">
        <f t="shared" si="148"/>
        <v>67</v>
      </c>
      <c r="J2037" s="11"/>
    </row>
    <row r="2038" spans="1:10" x14ac:dyDescent="0.25">
      <c r="A2038" s="2">
        <v>42576</v>
      </c>
      <c r="B2038" s="3">
        <v>396</v>
      </c>
      <c r="C2038" s="4">
        <v>186120</v>
      </c>
      <c r="D2038" s="3">
        <v>353</v>
      </c>
      <c r="E2038" s="4">
        <v>257690</v>
      </c>
      <c r="G2038" s="12">
        <f t="shared" si="146"/>
        <v>2016</v>
      </c>
      <c r="H2038" s="12">
        <f t="shared" si="147"/>
        <v>7</v>
      </c>
      <c r="I2038" s="11">
        <f t="shared" si="148"/>
        <v>67</v>
      </c>
      <c r="J2038" s="11"/>
    </row>
    <row r="2039" spans="1:10" x14ac:dyDescent="0.25">
      <c r="A2039" s="2">
        <v>42577</v>
      </c>
      <c r="B2039" s="3">
        <v>454</v>
      </c>
      <c r="C2039" s="4">
        <v>213380</v>
      </c>
      <c r="D2039" s="3">
        <v>353</v>
      </c>
      <c r="E2039" s="4">
        <v>257690</v>
      </c>
      <c r="G2039" s="12">
        <f t="shared" si="146"/>
        <v>2016</v>
      </c>
      <c r="H2039" s="12">
        <f t="shared" si="147"/>
        <v>7</v>
      </c>
      <c r="I2039" s="11">
        <f t="shared" si="148"/>
        <v>67</v>
      </c>
      <c r="J2039" s="11"/>
    </row>
    <row r="2040" spans="1:10" x14ac:dyDescent="0.25">
      <c r="A2040" s="2">
        <v>42578</v>
      </c>
      <c r="B2040" s="3">
        <v>524</v>
      </c>
      <c r="C2040" s="4">
        <v>246280</v>
      </c>
      <c r="D2040" s="3">
        <v>312</v>
      </c>
      <c r="E2040" s="4">
        <v>227760</v>
      </c>
      <c r="G2040" s="12">
        <f t="shared" si="146"/>
        <v>2016</v>
      </c>
      <c r="H2040" s="12">
        <f t="shared" si="147"/>
        <v>7</v>
      </c>
      <c r="I2040" s="11">
        <f t="shared" si="148"/>
        <v>67</v>
      </c>
      <c r="J2040" s="11"/>
    </row>
    <row r="2041" spans="1:10" x14ac:dyDescent="0.25">
      <c r="A2041" s="2">
        <v>42579</v>
      </c>
      <c r="B2041" s="3">
        <v>575</v>
      </c>
      <c r="C2041" s="4">
        <v>270250</v>
      </c>
      <c r="D2041" s="3">
        <v>332</v>
      </c>
      <c r="E2041" s="4">
        <v>242360</v>
      </c>
      <c r="G2041" s="12">
        <f t="shared" si="146"/>
        <v>2016</v>
      </c>
      <c r="H2041" s="12">
        <f t="shared" si="147"/>
        <v>7</v>
      </c>
      <c r="I2041" s="11">
        <f t="shared" si="148"/>
        <v>67</v>
      </c>
      <c r="J2041" s="11"/>
    </row>
    <row r="2042" spans="1:10" x14ac:dyDescent="0.25">
      <c r="A2042" s="2">
        <v>42580</v>
      </c>
      <c r="B2042" s="3">
        <v>471</v>
      </c>
      <c r="C2042" s="4">
        <v>221370</v>
      </c>
      <c r="D2042" s="3">
        <v>243</v>
      </c>
      <c r="E2042" s="4">
        <v>177390</v>
      </c>
      <c r="G2042" s="12">
        <f t="shared" si="146"/>
        <v>2016</v>
      </c>
      <c r="H2042" s="12">
        <f t="shared" si="147"/>
        <v>7</v>
      </c>
      <c r="I2042" s="11">
        <f t="shared" si="148"/>
        <v>67</v>
      </c>
      <c r="J2042" s="11"/>
    </row>
    <row r="2043" spans="1:10" x14ac:dyDescent="0.25">
      <c r="A2043" s="2">
        <v>42581</v>
      </c>
      <c r="B2043" s="3">
        <v>370</v>
      </c>
      <c r="C2043" s="4">
        <v>173900</v>
      </c>
      <c r="D2043" s="3">
        <v>265</v>
      </c>
      <c r="E2043" s="4">
        <v>193450</v>
      </c>
      <c r="G2043" s="12">
        <f t="shared" si="146"/>
        <v>2016</v>
      </c>
      <c r="H2043" s="12">
        <f t="shared" si="147"/>
        <v>7</v>
      </c>
      <c r="I2043" s="11">
        <f t="shared" si="148"/>
        <v>67</v>
      </c>
      <c r="J2043" s="11"/>
    </row>
    <row r="2044" spans="1:10" x14ac:dyDescent="0.25">
      <c r="A2044" s="2">
        <v>42582</v>
      </c>
      <c r="B2044" s="3">
        <v>451</v>
      </c>
      <c r="C2044" s="4">
        <v>211970</v>
      </c>
      <c r="D2044" s="3">
        <v>320</v>
      </c>
      <c r="E2044" s="4">
        <v>233600</v>
      </c>
      <c r="G2044" s="12">
        <f t="shared" si="146"/>
        <v>2016</v>
      </c>
      <c r="H2044" s="12">
        <f t="shared" si="147"/>
        <v>7</v>
      </c>
      <c r="I2044" s="11">
        <f t="shared" si="148"/>
        <v>67</v>
      </c>
      <c r="J2044" s="11"/>
    </row>
    <row r="2045" spans="1:10" x14ac:dyDescent="0.25">
      <c r="A2045" s="2">
        <v>42583</v>
      </c>
      <c r="B2045" s="3">
        <v>654</v>
      </c>
      <c r="C2045" s="4">
        <v>307380</v>
      </c>
      <c r="D2045" s="3">
        <v>235</v>
      </c>
      <c r="E2045" s="4">
        <v>171550</v>
      </c>
      <c r="G2045" s="12">
        <f t="shared" si="146"/>
        <v>2016</v>
      </c>
      <c r="H2045" s="12">
        <f t="shared" si="147"/>
        <v>8</v>
      </c>
      <c r="I2045" s="11">
        <f t="shared" si="148"/>
        <v>68</v>
      </c>
      <c r="J2045" s="11"/>
    </row>
    <row r="2046" spans="1:10" x14ac:dyDescent="0.25">
      <c r="A2046" s="2">
        <v>42584</v>
      </c>
      <c r="B2046" s="3">
        <v>626</v>
      </c>
      <c r="C2046" s="4">
        <v>294220</v>
      </c>
      <c r="D2046" s="3">
        <v>255</v>
      </c>
      <c r="E2046" s="4">
        <v>186150</v>
      </c>
      <c r="G2046" s="12">
        <f t="shared" si="146"/>
        <v>2016</v>
      </c>
      <c r="H2046" s="12">
        <f t="shared" si="147"/>
        <v>8</v>
      </c>
      <c r="I2046" s="11">
        <f t="shared" si="148"/>
        <v>68</v>
      </c>
      <c r="J2046" s="11"/>
    </row>
    <row r="2047" spans="1:10" x14ac:dyDescent="0.25">
      <c r="A2047" s="2">
        <v>42585</v>
      </c>
      <c r="B2047" s="3">
        <v>778</v>
      </c>
      <c r="C2047" s="4">
        <v>365660</v>
      </c>
      <c r="D2047" s="3">
        <v>209</v>
      </c>
      <c r="E2047" s="4">
        <v>152570</v>
      </c>
      <c r="G2047" s="12">
        <f t="shared" si="146"/>
        <v>2016</v>
      </c>
      <c r="H2047" s="12">
        <f t="shared" si="147"/>
        <v>8</v>
      </c>
      <c r="I2047" s="11">
        <f t="shared" si="148"/>
        <v>68</v>
      </c>
      <c r="J2047" s="11"/>
    </row>
    <row r="2048" spans="1:10" x14ac:dyDescent="0.25">
      <c r="A2048" s="2">
        <v>42586</v>
      </c>
      <c r="B2048" s="3">
        <v>647</v>
      </c>
      <c r="C2048" s="4">
        <v>304090</v>
      </c>
      <c r="D2048" s="3">
        <v>304</v>
      </c>
      <c r="E2048" s="4">
        <v>221920</v>
      </c>
      <c r="G2048" s="12">
        <f t="shared" si="146"/>
        <v>2016</v>
      </c>
      <c r="H2048" s="12">
        <f t="shared" si="147"/>
        <v>8</v>
      </c>
      <c r="I2048" s="11">
        <f t="shared" si="148"/>
        <v>68</v>
      </c>
      <c r="J2048" s="11"/>
    </row>
    <row r="2049" spans="1:10" x14ac:dyDescent="0.25">
      <c r="A2049" s="2">
        <v>42587</v>
      </c>
      <c r="B2049" s="3">
        <v>861</v>
      </c>
      <c r="C2049" s="4">
        <v>404670</v>
      </c>
      <c r="D2049" s="3">
        <v>312</v>
      </c>
      <c r="E2049" s="4">
        <v>227760</v>
      </c>
      <c r="G2049" s="12">
        <f t="shared" si="146"/>
        <v>2016</v>
      </c>
      <c r="H2049" s="12">
        <f t="shared" si="147"/>
        <v>8</v>
      </c>
      <c r="I2049" s="11">
        <f t="shared" si="148"/>
        <v>68</v>
      </c>
      <c r="J2049" s="11"/>
    </row>
    <row r="2050" spans="1:10" x14ac:dyDescent="0.25">
      <c r="A2050" s="2">
        <v>42588</v>
      </c>
      <c r="B2050" s="3">
        <v>715</v>
      </c>
      <c r="C2050" s="4">
        <v>336050</v>
      </c>
      <c r="D2050" s="3">
        <v>289</v>
      </c>
      <c r="E2050" s="4">
        <v>210970</v>
      </c>
      <c r="G2050" s="12">
        <f t="shared" si="146"/>
        <v>2016</v>
      </c>
      <c r="H2050" s="12">
        <f t="shared" si="147"/>
        <v>8</v>
      </c>
      <c r="I2050" s="11">
        <f t="shared" si="148"/>
        <v>68</v>
      </c>
      <c r="J2050" s="11"/>
    </row>
    <row r="2051" spans="1:10" x14ac:dyDescent="0.25">
      <c r="A2051" s="2">
        <v>42589</v>
      </c>
      <c r="B2051" s="3">
        <v>723</v>
      </c>
      <c r="C2051" s="4">
        <v>339810</v>
      </c>
      <c r="D2051" s="3">
        <v>260</v>
      </c>
      <c r="E2051" s="4">
        <v>189800</v>
      </c>
      <c r="G2051" s="12">
        <f t="shared" si="146"/>
        <v>2016</v>
      </c>
      <c r="H2051" s="12">
        <f t="shared" si="147"/>
        <v>8</v>
      </c>
      <c r="I2051" s="11">
        <f t="shared" si="148"/>
        <v>68</v>
      </c>
      <c r="J2051" s="11"/>
    </row>
    <row r="2052" spans="1:10" x14ac:dyDescent="0.25">
      <c r="A2052" s="2">
        <v>42590</v>
      </c>
      <c r="B2052" s="3">
        <v>767</v>
      </c>
      <c r="C2052" s="4">
        <v>360490</v>
      </c>
      <c r="D2052" s="3">
        <v>288</v>
      </c>
      <c r="E2052" s="4">
        <v>210240</v>
      </c>
      <c r="G2052" s="12">
        <f t="shared" si="146"/>
        <v>2016</v>
      </c>
      <c r="H2052" s="12">
        <f t="shared" si="147"/>
        <v>8</v>
      </c>
      <c r="I2052" s="11">
        <f t="shared" si="148"/>
        <v>68</v>
      </c>
      <c r="J2052" s="11"/>
    </row>
    <row r="2053" spans="1:10" x14ac:dyDescent="0.25">
      <c r="A2053" s="2">
        <v>42591</v>
      </c>
      <c r="B2053" s="3">
        <v>753</v>
      </c>
      <c r="C2053" s="4">
        <v>353910</v>
      </c>
      <c r="D2053" s="3">
        <v>314</v>
      </c>
      <c r="E2053" s="4">
        <v>229220</v>
      </c>
      <c r="G2053" s="12">
        <f t="shared" si="146"/>
        <v>2016</v>
      </c>
      <c r="H2053" s="12">
        <f t="shared" si="147"/>
        <v>8</v>
      </c>
      <c r="I2053" s="11">
        <f t="shared" si="148"/>
        <v>68</v>
      </c>
      <c r="J2053" s="11"/>
    </row>
    <row r="2054" spans="1:10" x14ac:dyDescent="0.25">
      <c r="A2054" s="2">
        <v>42592</v>
      </c>
      <c r="B2054" s="3">
        <v>737</v>
      </c>
      <c r="C2054" s="4">
        <v>346390</v>
      </c>
      <c r="D2054" s="3">
        <v>275</v>
      </c>
      <c r="E2054" s="4">
        <v>200750</v>
      </c>
      <c r="G2054" s="12">
        <f t="shared" ref="G2054:G2117" si="149">+YEAR(A2054)</f>
        <v>2016</v>
      </c>
      <c r="H2054" s="12">
        <f t="shared" ref="H2054:H2117" si="150">+MONTH(A2054)</f>
        <v>8</v>
      </c>
      <c r="I2054" s="11">
        <f t="shared" si="148"/>
        <v>68</v>
      </c>
      <c r="J2054" s="11"/>
    </row>
    <row r="2055" spans="1:10" x14ac:dyDescent="0.25">
      <c r="A2055" s="2">
        <v>42593</v>
      </c>
      <c r="B2055" s="3">
        <v>688</v>
      </c>
      <c r="C2055" s="4">
        <v>323360</v>
      </c>
      <c r="D2055" s="3">
        <v>317</v>
      </c>
      <c r="E2055" s="4">
        <v>231410</v>
      </c>
      <c r="G2055" s="12">
        <f t="shared" si="149"/>
        <v>2016</v>
      </c>
      <c r="H2055" s="12">
        <f t="shared" si="150"/>
        <v>8</v>
      </c>
      <c r="I2055" s="11">
        <f t="shared" ref="I2055:I2118" si="151">+H2055+(G2055-2011)*12</f>
        <v>68</v>
      </c>
      <c r="J2055" s="11"/>
    </row>
    <row r="2056" spans="1:10" x14ac:dyDescent="0.25">
      <c r="A2056" s="2">
        <v>42594</v>
      </c>
      <c r="B2056" s="3">
        <v>766</v>
      </c>
      <c r="C2056" s="4">
        <v>360020</v>
      </c>
      <c r="D2056" s="3">
        <v>274</v>
      </c>
      <c r="E2056" s="4">
        <v>200020</v>
      </c>
      <c r="G2056" s="12">
        <f t="shared" si="149"/>
        <v>2016</v>
      </c>
      <c r="H2056" s="12">
        <f t="shared" si="150"/>
        <v>8</v>
      </c>
      <c r="I2056" s="11">
        <f t="shared" si="151"/>
        <v>68</v>
      </c>
      <c r="J2056" s="11"/>
    </row>
    <row r="2057" spans="1:10" x14ac:dyDescent="0.25">
      <c r="A2057" s="2">
        <v>42595</v>
      </c>
      <c r="B2057" s="3">
        <v>659</v>
      </c>
      <c r="C2057" s="4">
        <v>309730</v>
      </c>
      <c r="D2057" s="3">
        <v>336</v>
      </c>
      <c r="E2057" s="4">
        <v>245280</v>
      </c>
      <c r="G2057" s="12">
        <f t="shared" si="149"/>
        <v>2016</v>
      </c>
      <c r="H2057" s="12">
        <f t="shared" si="150"/>
        <v>8</v>
      </c>
      <c r="I2057" s="11">
        <f t="shared" si="151"/>
        <v>68</v>
      </c>
      <c r="J2057" s="11"/>
    </row>
    <row r="2058" spans="1:10" x14ac:dyDescent="0.25">
      <c r="A2058" s="2">
        <v>42596</v>
      </c>
      <c r="B2058" s="3">
        <v>738</v>
      </c>
      <c r="C2058" s="4">
        <v>346860</v>
      </c>
      <c r="D2058" s="3">
        <v>333</v>
      </c>
      <c r="E2058" s="4">
        <v>243090</v>
      </c>
      <c r="G2058" s="12">
        <f t="shared" si="149"/>
        <v>2016</v>
      </c>
      <c r="H2058" s="12">
        <f t="shared" si="150"/>
        <v>8</v>
      </c>
      <c r="I2058" s="11">
        <f t="shared" si="151"/>
        <v>68</v>
      </c>
      <c r="J2058" s="11"/>
    </row>
    <row r="2059" spans="1:10" x14ac:dyDescent="0.25">
      <c r="A2059" s="2">
        <v>42597</v>
      </c>
      <c r="B2059" s="3">
        <v>775</v>
      </c>
      <c r="C2059" s="4">
        <v>364250</v>
      </c>
      <c r="D2059" s="3">
        <v>378</v>
      </c>
      <c r="E2059" s="4">
        <v>275940</v>
      </c>
      <c r="G2059" s="12">
        <f t="shared" si="149"/>
        <v>2016</v>
      </c>
      <c r="H2059" s="12">
        <f t="shared" si="150"/>
        <v>8</v>
      </c>
      <c r="I2059" s="11">
        <f t="shared" si="151"/>
        <v>68</v>
      </c>
      <c r="J2059" s="11"/>
    </row>
    <row r="2060" spans="1:10" x14ac:dyDescent="0.25">
      <c r="A2060" s="2">
        <v>42598</v>
      </c>
      <c r="B2060" s="3">
        <v>725</v>
      </c>
      <c r="C2060" s="4">
        <v>340750</v>
      </c>
      <c r="D2060" s="3">
        <v>328</v>
      </c>
      <c r="E2060" s="4">
        <v>239440</v>
      </c>
      <c r="G2060" s="12">
        <f t="shared" si="149"/>
        <v>2016</v>
      </c>
      <c r="H2060" s="12">
        <f t="shared" si="150"/>
        <v>8</v>
      </c>
      <c r="I2060" s="11">
        <f t="shared" si="151"/>
        <v>68</v>
      </c>
      <c r="J2060" s="11"/>
    </row>
    <row r="2061" spans="1:10" x14ac:dyDescent="0.25">
      <c r="A2061" s="2">
        <v>42599</v>
      </c>
      <c r="B2061" s="3">
        <v>642</v>
      </c>
      <c r="C2061" s="4">
        <v>301740</v>
      </c>
      <c r="D2061" s="3">
        <v>305</v>
      </c>
      <c r="E2061" s="4">
        <v>222650</v>
      </c>
      <c r="G2061" s="12">
        <f t="shared" si="149"/>
        <v>2016</v>
      </c>
      <c r="H2061" s="12">
        <f t="shared" si="150"/>
        <v>8</v>
      </c>
      <c r="I2061" s="11">
        <f t="shared" si="151"/>
        <v>68</v>
      </c>
      <c r="J2061" s="11"/>
    </row>
    <row r="2062" spans="1:10" x14ac:dyDescent="0.25">
      <c r="A2062" s="2">
        <v>42600</v>
      </c>
      <c r="B2062" s="3">
        <v>800</v>
      </c>
      <c r="C2062" s="4">
        <v>376000</v>
      </c>
      <c r="D2062" s="3">
        <v>335</v>
      </c>
      <c r="E2062" s="4">
        <v>244550</v>
      </c>
      <c r="G2062" s="12">
        <f t="shared" si="149"/>
        <v>2016</v>
      </c>
      <c r="H2062" s="12">
        <f t="shared" si="150"/>
        <v>8</v>
      </c>
      <c r="I2062" s="11">
        <f t="shared" si="151"/>
        <v>68</v>
      </c>
      <c r="J2062" s="11"/>
    </row>
    <row r="2063" spans="1:10" x14ac:dyDescent="0.25">
      <c r="A2063" s="2">
        <v>42601</v>
      </c>
      <c r="B2063" s="3">
        <v>621</v>
      </c>
      <c r="C2063" s="4">
        <v>291870</v>
      </c>
      <c r="D2063" s="3">
        <v>339</v>
      </c>
      <c r="E2063" s="4">
        <v>247470</v>
      </c>
      <c r="G2063" s="12">
        <f t="shared" si="149"/>
        <v>2016</v>
      </c>
      <c r="H2063" s="12">
        <f t="shared" si="150"/>
        <v>8</v>
      </c>
      <c r="I2063" s="11">
        <f t="shared" si="151"/>
        <v>68</v>
      </c>
      <c r="J2063" s="11"/>
    </row>
    <row r="2064" spans="1:10" x14ac:dyDescent="0.25">
      <c r="A2064" s="2">
        <v>42602</v>
      </c>
      <c r="B2064" s="3">
        <v>575</v>
      </c>
      <c r="C2064" s="4">
        <v>270250</v>
      </c>
      <c r="D2064" s="3">
        <v>309</v>
      </c>
      <c r="E2064" s="4">
        <v>225570</v>
      </c>
      <c r="G2064" s="12">
        <f t="shared" si="149"/>
        <v>2016</v>
      </c>
      <c r="H2064" s="12">
        <f t="shared" si="150"/>
        <v>8</v>
      </c>
      <c r="I2064" s="11">
        <f t="shared" si="151"/>
        <v>68</v>
      </c>
      <c r="J2064" s="11"/>
    </row>
    <row r="2065" spans="1:10" x14ac:dyDescent="0.25">
      <c r="A2065" s="2">
        <v>42603</v>
      </c>
      <c r="B2065" s="3">
        <v>680</v>
      </c>
      <c r="C2065" s="4">
        <v>319600</v>
      </c>
      <c r="D2065" s="3">
        <v>291</v>
      </c>
      <c r="E2065" s="4">
        <v>212430</v>
      </c>
      <c r="G2065" s="12">
        <f t="shared" si="149"/>
        <v>2016</v>
      </c>
      <c r="H2065" s="12">
        <f t="shared" si="150"/>
        <v>8</v>
      </c>
      <c r="I2065" s="11">
        <f t="shared" si="151"/>
        <v>68</v>
      </c>
      <c r="J2065" s="11"/>
    </row>
    <row r="2066" spans="1:10" x14ac:dyDescent="0.25">
      <c r="A2066" s="2">
        <v>42604</v>
      </c>
      <c r="B2066" s="3">
        <v>634</v>
      </c>
      <c r="C2066" s="4">
        <v>297980</v>
      </c>
      <c r="D2066" s="3">
        <v>341</v>
      </c>
      <c r="E2066" s="4">
        <v>248930</v>
      </c>
      <c r="G2066" s="12">
        <f t="shared" si="149"/>
        <v>2016</v>
      </c>
      <c r="H2066" s="12">
        <f t="shared" si="150"/>
        <v>8</v>
      </c>
      <c r="I2066" s="11">
        <f t="shared" si="151"/>
        <v>68</v>
      </c>
      <c r="J2066" s="11"/>
    </row>
    <row r="2067" spans="1:10" x14ac:dyDescent="0.25">
      <c r="A2067" s="2">
        <v>42605</v>
      </c>
      <c r="B2067" s="3">
        <v>748</v>
      </c>
      <c r="C2067" s="4">
        <v>351560</v>
      </c>
      <c r="D2067" s="3">
        <v>281</v>
      </c>
      <c r="E2067" s="4">
        <v>205130</v>
      </c>
      <c r="G2067" s="12">
        <f t="shared" si="149"/>
        <v>2016</v>
      </c>
      <c r="H2067" s="12">
        <f t="shared" si="150"/>
        <v>8</v>
      </c>
      <c r="I2067" s="11">
        <f t="shared" si="151"/>
        <v>68</v>
      </c>
      <c r="J2067" s="11"/>
    </row>
    <row r="2068" spans="1:10" x14ac:dyDescent="0.25">
      <c r="A2068" s="2">
        <v>42606</v>
      </c>
      <c r="B2068" s="3">
        <v>645</v>
      </c>
      <c r="C2068" s="4">
        <v>303150</v>
      </c>
      <c r="D2068" s="3">
        <v>286</v>
      </c>
      <c r="E2068" s="4">
        <v>208780</v>
      </c>
      <c r="G2068" s="12">
        <f t="shared" si="149"/>
        <v>2016</v>
      </c>
      <c r="H2068" s="12">
        <f t="shared" si="150"/>
        <v>8</v>
      </c>
      <c r="I2068" s="11">
        <f t="shared" si="151"/>
        <v>68</v>
      </c>
      <c r="J2068" s="11"/>
    </row>
    <row r="2069" spans="1:10" x14ac:dyDescent="0.25">
      <c r="A2069" s="2">
        <v>42607</v>
      </c>
      <c r="B2069" s="3">
        <v>711</v>
      </c>
      <c r="C2069" s="4">
        <v>334170</v>
      </c>
      <c r="D2069" s="3">
        <v>268</v>
      </c>
      <c r="E2069" s="4">
        <v>195640</v>
      </c>
      <c r="G2069" s="12">
        <f t="shared" si="149"/>
        <v>2016</v>
      </c>
      <c r="H2069" s="12">
        <f t="shared" si="150"/>
        <v>8</v>
      </c>
      <c r="I2069" s="11">
        <f t="shared" si="151"/>
        <v>68</v>
      </c>
      <c r="J2069" s="11"/>
    </row>
    <row r="2070" spans="1:10" x14ac:dyDescent="0.25">
      <c r="A2070" s="2">
        <v>42608</v>
      </c>
      <c r="B2070" s="3">
        <v>677</v>
      </c>
      <c r="C2070" s="4">
        <v>318190</v>
      </c>
      <c r="D2070" s="3">
        <v>334</v>
      </c>
      <c r="E2070" s="4">
        <v>243820</v>
      </c>
      <c r="G2070" s="12">
        <f t="shared" si="149"/>
        <v>2016</v>
      </c>
      <c r="H2070" s="12">
        <f t="shared" si="150"/>
        <v>8</v>
      </c>
      <c r="I2070" s="11">
        <f t="shared" si="151"/>
        <v>68</v>
      </c>
      <c r="J2070" s="11"/>
    </row>
    <row r="2071" spans="1:10" x14ac:dyDescent="0.25">
      <c r="A2071" s="2">
        <v>42609</v>
      </c>
      <c r="B2071" s="3">
        <v>903</v>
      </c>
      <c r="C2071" s="4">
        <v>424410</v>
      </c>
      <c r="D2071" s="3">
        <v>302</v>
      </c>
      <c r="E2071" s="4">
        <v>220460</v>
      </c>
      <c r="G2071" s="12">
        <f t="shared" si="149"/>
        <v>2016</v>
      </c>
      <c r="H2071" s="12">
        <f t="shared" si="150"/>
        <v>8</v>
      </c>
      <c r="I2071" s="11">
        <f t="shared" si="151"/>
        <v>68</v>
      </c>
      <c r="J2071" s="11"/>
    </row>
    <row r="2072" spans="1:10" x14ac:dyDescent="0.25">
      <c r="A2072" s="2">
        <v>42610</v>
      </c>
      <c r="B2072" s="3">
        <v>816</v>
      </c>
      <c r="C2072" s="4">
        <v>383520</v>
      </c>
      <c r="D2072" s="3">
        <v>313</v>
      </c>
      <c r="E2072" s="4">
        <v>228490</v>
      </c>
      <c r="G2072" s="12">
        <f t="shared" si="149"/>
        <v>2016</v>
      </c>
      <c r="H2072" s="12">
        <f t="shared" si="150"/>
        <v>8</v>
      </c>
      <c r="I2072" s="11">
        <f t="shared" si="151"/>
        <v>68</v>
      </c>
      <c r="J2072" s="11"/>
    </row>
    <row r="2073" spans="1:10" x14ac:dyDescent="0.25">
      <c r="A2073" s="2">
        <v>42611</v>
      </c>
      <c r="B2073" s="3">
        <v>559</v>
      </c>
      <c r="C2073" s="4">
        <v>262730</v>
      </c>
      <c r="D2073" s="3">
        <v>300</v>
      </c>
      <c r="E2073" s="4">
        <v>219000</v>
      </c>
      <c r="G2073" s="12">
        <f t="shared" si="149"/>
        <v>2016</v>
      </c>
      <c r="H2073" s="12">
        <f t="shared" si="150"/>
        <v>8</v>
      </c>
      <c r="I2073" s="11">
        <f t="shared" si="151"/>
        <v>68</v>
      </c>
      <c r="J2073" s="11"/>
    </row>
    <row r="2074" spans="1:10" x14ac:dyDescent="0.25">
      <c r="A2074" s="2">
        <v>42612</v>
      </c>
      <c r="B2074" s="3">
        <v>773</v>
      </c>
      <c r="C2074" s="4">
        <v>363310</v>
      </c>
      <c r="D2074" s="3">
        <v>310</v>
      </c>
      <c r="E2074" s="4">
        <v>226300</v>
      </c>
      <c r="G2074" s="12">
        <f t="shared" si="149"/>
        <v>2016</v>
      </c>
      <c r="H2074" s="12">
        <f t="shared" si="150"/>
        <v>8</v>
      </c>
      <c r="I2074" s="11">
        <f t="shared" si="151"/>
        <v>68</v>
      </c>
      <c r="J2074" s="11"/>
    </row>
    <row r="2075" spans="1:10" x14ac:dyDescent="0.25">
      <c r="A2075" s="2">
        <v>42613</v>
      </c>
      <c r="B2075" s="3">
        <v>696</v>
      </c>
      <c r="C2075" s="4">
        <v>327120</v>
      </c>
      <c r="D2075" s="3">
        <v>259</v>
      </c>
      <c r="E2075" s="4">
        <v>189070</v>
      </c>
      <c r="G2075" s="12">
        <f t="shared" si="149"/>
        <v>2016</v>
      </c>
      <c r="H2075" s="12">
        <f t="shared" si="150"/>
        <v>8</v>
      </c>
      <c r="I2075" s="11">
        <f t="shared" si="151"/>
        <v>68</v>
      </c>
      <c r="J2075" s="11"/>
    </row>
    <row r="2076" spans="1:10" x14ac:dyDescent="0.25">
      <c r="A2076" s="2">
        <v>42614</v>
      </c>
      <c r="B2076" s="3">
        <v>718</v>
      </c>
      <c r="C2076" s="4">
        <v>337460</v>
      </c>
      <c r="D2076" s="3">
        <v>317</v>
      </c>
      <c r="E2076" s="4">
        <v>231410</v>
      </c>
      <c r="G2076" s="12">
        <f t="shared" si="149"/>
        <v>2016</v>
      </c>
      <c r="H2076" s="12">
        <f t="shared" si="150"/>
        <v>9</v>
      </c>
      <c r="I2076" s="11">
        <f t="shared" si="151"/>
        <v>69</v>
      </c>
      <c r="J2076" s="11"/>
    </row>
    <row r="2077" spans="1:10" x14ac:dyDescent="0.25">
      <c r="A2077" s="2">
        <v>42615</v>
      </c>
      <c r="B2077" s="3">
        <v>683</v>
      </c>
      <c r="C2077" s="4">
        <v>321010</v>
      </c>
      <c r="D2077" s="3">
        <v>269</v>
      </c>
      <c r="E2077" s="4">
        <v>196370</v>
      </c>
      <c r="G2077" s="12">
        <f t="shared" si="149"/>
        <v>2016</v>
      </c>
      <c r="H2077" s="12">
        <f t="shared" si="150"/>
        <v>9</v>
      </c>
      <c r="I2077" s="11">
        <f t="shared" si="151"/>
        <v>69</v>
      </c>
      <c r="J2077" s="11"/>
    </row>
    <row r="2078" spans="1:10" x14ac:dyDescent="0.25">
      <c r="A2078" s="2">
        <v>42616</v>
      </c>
      <c r="B2078" s="3">
        <v>677</v>
      </c>
      <c r="C2078" s="4">
        <v>318190</v>
      </c>
      <c r="D2078" s="3">
        <v>304</v>
      </c>
      <c r="E2078" s="4">
        <v>221920</v>
      </c>
      <c r="G2078" s="12">
        <f t="shared" si="149"/>
        <v>2016</v>
      </c>
      <c r="H2078" s="12">
        <f t="shared" si="150"/>
        <v>9</v>
      </c>
      <c r="I2078" s="11">
        <f t="shared" si="151"/>
        <v>69</v>
      </c>
      <c r="J2078" s="11"/>
    </row>
    <row r="2079" spans="1:10" x14ac:dyDescent="0.25">
      <c r="A2079" s="2">
        <v>42617</v>
      </c>
      <c r="B2079" s="3">
        <v>729</v>
      </c>
      <c r="C2079" s="4">
        <v>342630</v>
      </c>
      <c r="D2079" s="3">
        <v>267</v>
      </c>
      <c r="E2079" s="4">
        <v>194910</v>
      </c>
      <c r="G2079" s="12">
        <f t="shared" si="149"/>
        <v>2016</v>
      </c>
      <c r="H2079" s="12">
        <f t="shared" si="150"/>
        <v>9</v>
      </c>
      <c r="I2079" s="11">
        <f t="shared" si="151"/>
        <v>69</v>
      </c>
      <c r="J2079" s="11"/>
    </row>
    <row r="2080" spans="1:10" x14ac:dyDescent="0.25">
      <c r="A2080" s="2">
        <v>42618</v>
      </c>
      <c r="B2080" s="3">
        <v>789</v>
      </c>
      <c r="C2080" s="4">
        <v>370830</v>
      </c>
      <c r="D2080" s="3">
        <v>314</v>
      </c>
      <c r="E2080" s="4">
        <v>229220</v>
      </c>
      <c r="G2080" s="12">
        <f t="shared" si="149"/>
        <v>2016</v>
      </c>
      <c r="H2080" s="12">
        <f t="shared" si="150"/>
        <v>9</v>
      </c>
      <c r="I2080" s="11">
        <f t="shared" si="151"/>
        <v>69</v>
      </c>
      <c r="J2080" s="11"/>
    </row>
    <row r="2081" spans="1:10" x14ac:dyDescent="0.25">
      <c r="A2081" s="2">
        <v>42619</v>
      </c>
      <c r="B2081" s="3">
        <v>777</v>
      </c>
      <c r="C2081" s="4">
        <v>365190</v>
      </c>
      <c r="D2081" s="3">
        <v>295</v>
      </c>
      <c r="E2081" s="4">
        <v>215350</v>
      </c>
      <c r="G2081" s="12">
        <f t="shared" si="149"/>
        <v>2016</v>
      </c>
      <c r="H2081" s="12">
        <f t="shared" si="150"/>
        <v>9</v>
      </c>
      <c r="I2081" s="11">
        <f t="shared" si="151"/>
        <v>69</v>
      </c>
      <c r="J2081" s="11"/>
    </row>
    <row r="2082" spans="1:10" x14ac:dyDescent="0.25">
      <c r="A2082" s="2">
        <v>42620</v>
      </c>
      <c r="B2082" s="3">
        <v>712</v>
      </c>
      <c r="C2082" s="4">
        <v>334640</v>
      </c>
      <c r="D2082" s="3">
        <v>332</v>
      </c>
      <c r="E2082" s="4">
        <v>242360</v>
      </c>
      <c r="G2082" s="12">
        <f t="shared" si="149"/>
        <v>2016</v>
      </c>
      <c r="H2082" s="12">
        <f t="shared" si="150"/>
        <v>9</v>
      </c>
      <c r="I2082" s="11">
        <f t="shared" si="151"/>
        <v>69</v>
      </c>
      <c r="J2082" s="11"/>
    </row>
    <row r="2083" spans="1:10" x14ac:dyDescent="0.25">
      <c r="A2083" s="2">
        <v>42621</v>
      </c>
      <c r="B2083" s="3">
        <v>741</v>
      </c>
      <c r="C2083" s="4">
        <v>348270</v>
      </c>
      <c r="D2083" s="3">
        <v>250</v>
      </c>
      <c r="E2083" s="4">
        <v>182500</v>
      </c>
      <c r="G2083" s="12">
        <f t="shared" si="149"/>
        <v>2016</v>
      </c>
      <c r="H2083" s="12">
        <f t="shared" si="150"/>
        <v>9</v>
      </c>
      <c r="I2083" s="11">
        <f t="shared" si="151"/>
        <v>69</v>
      </c>
      <c r="J2083" s="11"/>
    </row>
    <row r="2084" spans="1:10" x14ac:dyDescent="0.25">
      <c r="A2084" s="2">
        <v>42622</v>
      </c>
      <c r="B2084" s="3">
        <v>620</v>
      </c>
      <c r="C2084" s="4">
        <v>291400</v>
      </c>
      <c r="D2084" s="3">
        <v>318</v>
      </c>
      <c r="E2084" s="4">
        <v>232140</v>
      </c>
      <c r="G2084" s="12">
        <f t="shared" si="149"/>
        <v>2016</v>
      </c>
      <c r="H2084" s="12">
        <f t="shared" si="150"/>
        <v>9</v>
      </c>
      <c r="I2084" s="11">
        <f t="shared" si="151"/>
        <v>69</v>
      </c>
      <c r="J2084" s="11"/>
    </row>
    <row r="2085" spans="1:10" x14ac:dyDescent="0.25">
      <c r="A2085" s="2">
        <v>42623</v>
      </c>
      <c r="B2085" s="3">
        <v>707</v>
      </c>
      <c r="C2085" s="4">
        <v>332290</v>
      </c>
      <c r="D2085" s="3">
        <v>305</v>
      </c>
      <c r="E2085" s="4">
        <v>222650</v>
      </c>
      <c r="G2085" s="12">
        <f t="shared" si="149"/>
        <v>2016</v>
      </c>
      <c r="H2085" s="12">
        <f t="shared" si="150"/>
        <v>9</v>
      </c>
      <c r="I2085" s="11">
        <f t="shared" si="151"/>
        <v>69</v>
      </c>
      <c r="J2085" s="11"/>
    </row>
    <row r="2086" spans="1:10" x14ac:dyDescent="0.25">
      <c r="A2086" s="2">
        <v>42624</v>
      </c>
      <c r="B2086" s="3">
        <v>643</v>
      </c>
      <c r="C2086" s="4">
        <v>302210</v>
      </c>
      <c r="D2086" s="3">
        <v>270</v>
      </c>
      <c r="E2086" s="4">
        <v>197100</v>
      </c>
      <c r="G2086" s="12">
        <f t="shared" si="149"/>
        <v>2016</v>
      </c>
      <c r="H2086" s="12">
        <f t="shared" si="150"/>
        <v>9</v>
      </c>
      <c r="I2086" s="11">
        <f t="shared" si="151"/>
        <v>69</v>
      </c>
      <c r="J2086" s="11"/>
    </row>
    <row r="2087" spans="1:10" x14ac:dyDescent="0.25">
      <c r="A2087" s="2">
        <v>42625</v>
      </c>
      <c r="B2087" s="3">
        <v>737</v>
      </c>
      <c r="C2087" s="4">
        <v>346390</v>
      </c>
      <c r="D2087" s="3">
        <v>337</v>
      </c>
      <c r="E2087" s="4">
        <v>246010</v>
      </c>
      <c r="G2087" s="12">
        <f t="shared" si="149"/>
        <v>2016</v>
      </c>
      <c r="H2087" s="12">
        <f t="shared" si="150"/>
        <v>9</v>
      </c>
      <c r="I2087" s="11">
        <f t="shared" si="151"/>
        <v>69</v>
      </c>
      <c r="J2087" s="11"/>
    </row>
    <row r="2088" spans="1:10" x14ac:dyDescent="0.25">
      <c r="A2088" s="2">
        <v>42626</v>
      </c>
      <c r="B2088" s="3">
        <v>565</v>
      </c>
      <c r="C2088" s="4">
        <v>265550</v>
      </c>
      <c r="D2088" s="3">
        <v>287</v>
      </c>
      <c r="E2088" s="4">
        <v>209510</v>
      </c>
      <c r="G2088" s="12">
        <f t="shared" si="149"/>
        <v>2016</v>
      </c>
      <c r="H2088" s="12">
        <f t="shared" si="150"/>
        <v>9</v>
      </c>
      <c r="I2088" s="11">
        <f t="shared" si="151"/>
        <v>69</v>
      </c>
      <c r="J2088" s="11"/>
    </row>
    <row r="2089" spans="1:10" x14ac:dyDescent="0.25">
      <c r="A2089" s="2">
        <v>42627</v>
      </c>
      <c r="B2089" s="3">
        <v>748</v>
      </c>
      <c r="C2089" s="4">
        <v>351560</v>
      </c>
      <c r="D2089" s="3">
        <v>330</v>
      </c>
      <c r="E2089" s="4">
        <v>240900</v>
      </c>
      <c r="G2089" s="12">
        <f t="shared" si="149"/>
        <v>2016</v>
      </c>
      <c r="H2089" s="12">
        <f t="shared" si="150"/>
        <v>9</v>
      </c>
      <c r="I2089" s="11">
        <f t="shared" si="151"/>
        <v>69</v>
      </c>
      <c r="J2089" s="11"/>
    </row>
    <row r="2090" spans="1:10" x14ac:dyDescent="0.25">
      <c r="A2090" s="2">
        <v>42628</v>
      </c>
      <c r="B2090" s="3">
        <v>615</v>
      </c>
      <c r="C2090" s="4">
        <v>289050</v>
      </c>
      <c r="D2090" s="3">
        <v>284</v>
      </c>
      <c r="E2090" s="4">
        <v>207320</v>
      </c>
      <c r="G2090" s="12">
        <f t="shared" si="149"/>
        <v>2016</v>
      </c>
      <c r="H2090" s="12">
        <f t="shared" si="150"/>
        <v>9</v>
      </c>
      <c r="I2090" s="11">
        <f t="shared" si="151"/>
        <v>69</v>
      </c>
      <c r="J2090" s="11"/>
    </row>
    <row r="2091" spans="1:10" x14ac:dyDescent="0.25">
      <c r="A2091" s="2">
        <v>42629</v>
      </c>
      <c r="B2091" s="3">
        <v>738</v>
      </c>
      <c r="C2091" s="4">
        <v>346860</v>
      </c>
      <c r="D2091" s="3">
        <v>300</v>
      </c>
      <c r="E2091" s="4">
        <v>219000</v>
      </c>
      <c r="G2091" s="12">
        <f t="shared" si="149"/>
        <v>2016</v>
      </c>
      <c r="H2091" s="12">
        <f t="shared" si="150"/>
        <v>9</v>
      </c>
      <c r="I2091" s="11">
        <f t="shared" si="151"/>
        <v>69</v>
      </c>
      <c r="J2091" s="11"/>
    </row>
    <row r="2092" spans="1:10" x14ac:dyDescent="0.25">
      <c r="A2092" s="2">
        <v>42630</v>
      </c>
      <c r="B2092" s="3">
        <v>667</v>
      </c>
      <c r="C2092" s="4">
        <v>313490</v>
      </c>
      <c r="D2092" s="3">
        <v>306</v>
      </c>
      <c r="E2092" s="4">
        <v>223380</v>
      </c>
      <c r="G2092" s="12">
        <f t="shared" si="149"/>
        <v>2016</v>
      </c>
      <c r="H2092" s="12">
        <f t="shared" si="150"/>
        <v>9</v>
      </c>
      <c r="I2092" s="11">
        <f t="shared" si="151"/>
        <v>69</v>
      </c>
      <c r="J2092" s="11"/>
    </row>
    <row r="2093" spans="1:10" x14ac:dyDescent="0.25">
      <c r="A2093" s="2">
        <v>42631</v>
      </c>
      <c r="B2093" s="3">
        <v>656</v>
      </c>
      <c r="C2093" s="4">
        <v>308320</v>
      </c>
      <c r="D2093" s="3">
        <v>296</v>
      </c>
      <c r="E2093" s="4">
        <v>216080</v>
      </c>
      <c r="G2093" s="12">
        <f t="shared" si="149"/>
        <v>2016</v>
      </c>
      <c r="H2093" s="12">
        <f t="shared" si="150"/>
        <v>9</v>
      </c>
      <c r="I2093" s="11">
        <f t="shared" si="151"/>
        <v>69</v>
      </c>
      <c r="J2093" s="11"/>
    </row>
    <row r="2094" spans="1:10" x14ac:dyDescent="0.25">
      <c r="A2094" s="2">
        <v>42632</v>
      </c>
      <c r="B2094" s="3">
        <v>710</v>
      </c>
      <c r="C2094" s="4">
        <v>333700</v>
      </c>
      <c r="D2094" s="3">
        <v>281</v>
      </c>
      <c r="E2094" s="4">
        <v>205130</v>
      </c>
      <c r="G2094" s="12">
        <f t="shared" si="149"/>
        <v>2016</v>
      </c>
      <c r="H2094" s="12">
        <f t="shared" si="150"/>
        <v>9</v>
      </c>
      <c r="I2094" s="11">
        <f t="shared" si="151"/>
        <v>69</v>
      </c>
      <c r="J2094" s="11"/>
    </row>
    <row r="2095" spans="1:10" x14ac:dyDescent="0.25">
      <c r="A2095" s="2">
        <v>42633</v>
      </c>
      <c r="B2095" s="3">
        <v>688</v>
      </c>
      <c r="C2095" s="4">
        <v>323360</v>
      </c>
      <c r="D2095" s="3">
        <v>301</v>
      </c>
      <c r="E2095" s="4">
        <v>219730</v>
      </c>
      <c r="G2095" s="12">
        <f t="shared" si="149"/>
        <v>2016</v>
      </c>
      <c r="H2095" s="12">
        <f t="shared" si="150"/>
        <v>9</v>
      </c>
      <c r="I2095" s="11">
        <f t="shared" si="151"/>
        <v>69</v>
      </c>
      <c r="J2095" s="11"/>
    </row>
    <row r="2096" spans="1:10" x14ac:dyDescent="0.25">
      <c r="A2096" s="2">
        <v>42634</v>
      </c>
      <c r="B2096" s="3">
        <v>651</v>
      </c>
      <c r="C2096" s="4">
        <v>305970</v>
      </c>
      <c r="D2096" s="3">
        <v>325</v>
      </c>
      <c r="E2096" s="4">
        <v>237250</v>
      </c>
      <c r="G2096" s="12">
        <f t="shared" si="149"/>
        <v>2016</v>
      </c>
      <c r="H2096" s="12">
        <f t="shared" si="150"/>
        <v>9</v>
      </c>
      <c r="I2096" s="11">
        <f t="shared" si="151"/>
        <v>69</v>
      </c>
      <c r="J2096" s="11"/>
    </row>
    <row r="2097" spans="1:10" x14ac:dyDescent="0.25">
      <c r="A2097" s="2">
        <v>42635</v>
      </c>
      <c r="B2097" s="3">
        <v>728</v>
      </c>
      <c r="C2097" s="4">
        <v>342160</v>
      </c>
      <c r="D2097" s="3">
        <v>282</v>
      </c>
      <c r="E2097" s="4">
        <v>205860</v>
      </c>
      <c r="G2097" s="12">
        <f t="shared" si="149"/>
        <v>2016</v>
      </c>
      <c r="H2097" s="12">
        <f t="shared" si="150"/>
        <v>9</v>
      </c>
      <c r="I2097" s="11">
        <f t="shared" si="151"/>
        <v>69</v>
      </c>
      <c r="J2097" s="11"/>
    </row>
    <row r="2098" spans="1:10" x14ac:dyDescent="0.25">
      <c r="A2098" s="2">
        <v>42636</v>
      </c>
      <c r="B2098" s="3">
        <v>779</v>
      </c>
      <c r="C2098" s="4">
        <v>366130</v>
      </c>
      <c r="D2098" s="3">
        <v>335</v>
      </c>
      <c r="E2098" s="4">
        <v>244550</v>
      </c>
      <c r="G2098" s="12">
        <f t="shared" si="149"/>
        <v>2016</v>
      </c>
      <c r="H2098" s="12">
        <f t="shared" si="150"/>
        <v>9</v>
      </c>
      <c r="I2098" s="11">
        <f t="shared" si="151"/>
        <v>69</v>
      </c>
      <c r="J2098" s="11"/>
    </row>
    <row r="2099" spans="1:10" x14ac:dyDescent="0.25">
      <c r="A2099" s="2">
        <v>42637</v>
      </c>
      <c r="B2099" s="3">
        <v>752</v>
      </c>
      <c r="C2099" s="4">
        <v>353440</v>
      </c>
      <c r="D2099" s="3">
        <v>304</v>
      </c>
      <c r="E2099" s="4">
        <v>221920</v>
      </c>
      <c r="G2099" s="12">
        <f t="shared" si="149"/>
        <v>2016</v>
      </c>
      <c r="H2099" s="12">
        <f t="shared" si="150"/>
        <v>9</v>
      </c>
      <c r="I2099" s="11">
        <f t="shared" si="151"/>
        <v>69</v>
      </c>
      <c r="J2099" s="11"/>
    </row>
    <row r="2100" spans="1:10" x14ac:dyDescent="0.25">
      <c r="A2100" s="2">
        <v>42638</v>
      </c>
      <c r="B2100" s="3">
        <v>719</v>
      </c>
      <c r="C2100" s="4">
        <v>337930</v>
      </c>
      <c r="D2100" s="3">
        <v>326</v>
      </c>
      <c r="E2100" s="4">
        <v>237980</v>
      </c>
      <c r="G2100" s="12">
        <f t="shared" si="149"/>
        <v>2016</v>
      </c>
      <c r="H2100" s="12">
        <f t="shared" si="150"/>
        <v>9</v>
      </c>
      <c r="I2100" s="11">
        <f t="shared" si="151"/>
        <v>69</v>
      </c>
      <c r="J2100" s="11"/>
    </row>
    <row r="2101" spans="1:10" x14ac:dyDescent="0.25">
      <c r="A2101" s="2">
        <v>42639</v>
      </c>
      <c r="B2101" s="3">
        <v>693</v>
      </c>
      <c r="C2101" s="4">
        <v>325710</v>
      </c>
      <c r="D2101" s="3">
        <v>317</v>
      </c>
      <c r="E2101" s="4">
        <v>231410</v>
      </c>
      <c r="G2101" s="12">
        <f t="shared" si="149"/>
        <v>2016</v>
      </c>
      <c r="H2101" s="12">
        <f t="shared" si="150"/>
        <v>9</v>
      </c>
      <c r="I2101" s="11">
        <f t="shared" si="151"/>
        <v>69</v>
      </c>
      <c r="J2101" s="11"/>
    </row>
    <row r="2102" spans="1:10" x14ac:dyDescent="0.25">
      <c r="A2102" s="2">
        <v>42640</v>
      </c>
      <c r="B2102" s="3">
        <v>604</v>
      </c>
      <c r="C2102" s="4">
        <v>283880</v>
      </c>
      <c r="D2102" s="3">
        <v>291</v>
      </c>
      <c r="E2102" s="4">
        <v>212430</v>
      </c>
      <c r="G2102" s="12">
        <f t="shared" si="149"/>
        <v>2016</v>
      </c>
      <c r="H2102" s="12">
        <f t="shared" si="150"/>
        <v>9</v>
      </c>
      <c r="I2102" s="11">
        <f t="shared" si="151"/>
        <v>69</v>
      </c>
      <c r="J2102" s="11"/>
    </row>
    <row r="2103" spans="1:10" x14ac:dyDescent="0.25">
      <c r="A2103" s="2">
        <v>42641</v>
      </c>
      <c r="B2103" s="3">
        <v>729</v>
      </c>
      <c r="C2103" s="4">
        <v>342630</v>
      </c>
      <c r="D2103" s="3">
        <v>292</v>
      </c>
      <c r="E2103" s="4">
        <v>213160</v>
      </c>
      <c r="G2103" s="12">
        <f t="shared" si="149"/>
        <v>2016</v>
      </c>
      <c r="H2103" s="12">
        <f t="shared" si="150"/>
        <v>9</v>
      </c>
      <c r="I2103" s="11">
        <f t="shared" si="151"/>
        <v>69</v>
      </c>
      <c r="J2103" s="11"/>
    </row>
    <row r="2104" spans="1:10" x14ac:dyDescent="0.25">
      <c r="A2104" s="2">
        <v>42642</v>
      </c>
      <c r="B2104" s="3">
        <v>678</v>
      </c>
      <c r="C2104" s="4">
        <v>318660</v>
      </c>
      <c r="D2104" s="3">
        <v>316</v>
      </c>
      <c r="E2104" s="4">
        <v>230680</v>
      </c>
      <c r="G2104" s="12">
        <f t="shared" si="149"/>
        <v>2016</v>
      </c>
      <c r="H2104" s="12">
        <f t="shared" si="150"/>
        <v>9</v>
      </c>
      <c r="I2104" s="11">
        <f t="shared" si="151"/>
        <v>69</v>
      </c>
      <c r="J2104" s="11"/>
    </row>
    <row r="2105" spans="1:10" x14ac:dyDescent="0.25">
      <c r="A2105" s="2">
        <v>42643</v>
      </c>
      <c r="B2105" s="3">
        <v>634</v>
      </c>
      <c r="C2105" s="4">
        <v>297980</v>
      </c>
      <c r="D2105" s="3">
        <v>282</v>
      </c>
      <c r="E2105" s="4">
        <v>205860</v>
      </c>
      <c r="G2105" s="12">
        <f t="shared" si="149"/>
        <v>2016</v>
      </c>
      <c r="H2105" s="12">
        <f t="shared" si="150"/>
        <v>9</v>
      </c>
      <c r="I2105" s="11">
        <f t="shared" si="151"/>
        <v>69</v>
      </c>
      <c r="J2105" s="11"/>
    </row>
    <row r="2106" spans="1:10" x14ac:dyDescent="0.25">
      <c r="A2106" s="2">
        <v>42644</v>
      </c>
      <c r="B2106" s="3">
        <v>581</v>
      </c>
      <c r="C2106" s="4">
        <v>170668.75</v>
      </c>
      <c r="D2106" s="3">
        <v>279</v>
      </c>
      <c r="E2106" s="4">
        <v>203670</v>
      </c>
      <c r="G2106" s="12">
        <f t="shared" si="149"/>
        <v>2016</v>
      </c>
      <c r="H2106" s="12">
        <f t="shared" si="150"/>
        <v>10</v>
      </c>
      <c r="I2106" s="11">
        <f t="shared" si="151"/>
        <v>70</v>
      </c>
      <c r="J2106" s="11"/>
    </row>
    <row r="2107" spans="1:10" x14ac:dyDescent="0.25">
      <c r="A2107" s="2">
        <v>42645</v>
      </c>
      <c r="B2107" s="3">
        <v>601</v>
      </c>
      <c r="C2107" s="4">
        <v>176543.75</v>
      </c>
      <c r="D2107" s="3">
        <v>316</v>
      </c>
      <c r="E2107" s="4">
        <v>230680</v>
      </c>
      <c r="G2107" s="12">
        <f t="shared" si="149"/>
        <v>2016</v>
      </c>
      <c r="H2107" s="12">
        <f t="shared" si="150"/>
        <v>10</v>
      </c>
      <c r="I2107" s="11">
        <f t="shared" si="151"/>
        <v>70</v>
      </c>
      <c r="J2107" s="11"/>
    </row>
    <row r="2108" spans="1:10" x14ac:dyDescent="0.25">
      <c r="A2108" s="2">
        <v>42646</v>
      </c>
      <c r="B2108" s="3">
        <v>515</v>
      </c>
      <c r="C2108" s="4">
        <v>151281.25</v>
      </c>
      <c r="D2108" s="3">
        <v>228</v>
      </c>
      <c r="E2108" s="4">
        <v>166440</v>
      </c>
      <c r="G2108" s="12">
        <f t="shared" si="149"/>
        <v>2016</v>
      </c>
      <c r="H2108" s="12">
        <f t="shared" si="150"/>
        <v>10</v>
      </c>
      <c r="I2108" s="11">
        <f t="shared" si="151"/>
        <v>70</v>
      </c>
      <c r="J2108" s="11"/>
    </row>
    <row r="2109" spans="1:10" x14ac:dyDescent="0.25">
      <c r="A2109" s="2">
        <v>42647</v>
      </c>
      <c r="B2109" s="3">
        <v>626</v>
      </c>
      <c r="C2109" s="4">
        <v>183887.5</v>
      </c>
      <c r="D2109" s="3">
        <v>275</v>
      </c>
      <c r="E2109" s="4">
        <v>200750</v>
      </c>
      <c r="G2109" s="12">
        <f t="shared" si="149"/>
        <v>2016</v>
      </c>
      <c r="H2109" s="12">
        <f t="shared" si="150"/>
        <v>10</v>
      </c>
      <c r="I2109" s="11">
        <f t="shared" si="151"/>
        <v>70</v>
      </c>
      <c r="J2109" s="11"/>
    </row>
    <row r="2110" spans="1:10" x14ac:dyDescent="0.25">
      <c r="A2110" s="2">
        <v>42648</v>
      </c>
      <c r="B2110" s="3">
        <v>682</v>
      </c>
      <c r="C2110" s="4">
        <v>200337.5</v>
      </c>
      <c r="D2110" s="3">
        <v>293</v>
      </c>
      <c r="E2110" s="4">
        <v>213890</v>
      </c>
      <c r="G2110" s="12">
        <f t="shared" si="149"/>
        <v>2016</v>
      </c>
      <c r="H2110" s="12">
        <f t="shared" si="150"/>
        <v>10</v>
      </c>
      <c r="I2110" s="11">
        <f t="shared" si="151"/>
        <v>70</v>
      </c>
      <c r="J2110" s="11"/>
    </row>
    <row r="2111" spans="1:10" x14ac:dyDescent="0.25">
      <c r="A2111" s="2">
        <v>42649</v>
      </c>
      <c r="B2111" s="3">
        <v>474</v>
      </c>
      <c r="C2111" s="4">
        <v>139237.5</v>
      </c>
      <c r="D2111" s="3">
        <v>332</v>
      </c>
      <c r="E2111" s="4">
        <v>242360</v>
      </c>
      <c r="G2111" s="12">
        <f t="shared" si="149"/>
        <v>2016</v>
      </c>
      <c r="H2111" s="12">
        <f t="shared" si="150"/>
        <v>10</v>
      </c>
      <c r="I2111" s="11">
        <f t="shared" si="151"/>
        <v>70</v>
      </c>
      <c r="J2111" s="11"/>
    </row>
    <row r="2112" spans="1:10" x14ac:dyDescent="0.25">
      <c r="A2112" s="2">
        <v>42650</v>
      </c>
      <c r="B2112" s="3">
        <v>581</v>
      </c>
      <c r="C2112" s="4">
        <v>170668.75</v>
      </c>
      <c r="D2112" s="3">
        <v>342</v>
      </c>
      <c r="E2112" s="4">
        <v>249660</v>
      </c>
      <c r="G2112" s="12">
        <f t="shared" si="149"/>
        <v>2016</v>
      </c>
      <c r="H2112" s="12">
        <f t="shared" si="150"/>
        <v>10</v>
      </c>
      <c r="I2112" s="11">
        <f t="shared" si="151"/>
        <v>70</v>
      </c>
      <c r="J2112" s="11"/>
    </row>
    <row r="2113" spans="1:10" x14ac:dyDescent="0.25">
      <c r="A2113" s="2">
        <v>42651</v>
      </c>
      <c r="B2113" s="3">
        <v>603</v>
      </c>
      <c r="C2113" s="4">
        <v>177131.25</v>
      </c>
      <c r="D2113" s="3">
        <v>269</v>
      </c>
      <c r="E2113" s="4">
        <v>196370</v>
      </c>
      <c r="G2113" s="12">
        <f t="shared" si="149"/>
        <v>2016</v>
      </c>
      <c r="H2113" s="12">
        <f t="shared" si="150"/>
        <v>10</v>
      </c>
      <c r="I2113" s="11">
        <f t="shared" si="151"/>
        <v>70</v>
      </c>
      <c r="J2113" s="11"/>
    </row>
    <row r="2114" spans="1:10" x14ac:dyDescent="0.25">
      <c r="A2114" s="2">
        <v>42652</v>
      </c>
      <c r="B2114" s="3">
        <v>618</v>
      </c>
      <c r="C2114" s="4">
        <v>181537.5</v>
      </c>
      <c r="D2114" s="3">
        <v>340</v>
      </c>
      <c r="E2114" s="4">
        <v>248200</v>
      </c>
      <c r="G2114" s="12">
        <f t="shared" si="149"/>
        <v>2016</v>
      </c>
      <c r="H2114" s="12">
        <f t="shared" si="150"/>
        <v>10</v>
      </c>
      <c r="I2114" s="11">
        <f t="shared" si="151"/>
        <v>70</v>
      </c>
      <c r="J2114" s="11"/>
    </row>
    <row r="2115" spans="1:10" x14ac:dyDescent="0.25">
      <c r="A2115" s="2">
        <v>42653</v>
      </c>
      <c r="B2115" s="3">
        <v>586</v>
      </c>
      <c r="C2115" s="4">
        <v>172137.5</v>
      </c>
      <c r="D2115" s="3">
        <v>338</v>
      </c>
      <c r="E2115" s="4">
        <v>246740</v>
      </c>
      <c r="G2115" s="12">
        <f t="shared" si="149"/>
        <v>2016</v>
      </c>
      <c r="H2115" s="12">
        <f t="shared" si="150"/>
        <v>10</v>
      </c>
      <c r="I2115" s="11">
        <f t="shared" si="151"/>
        <v>70</v>
      </c>
      <c r="J2115" s="11"/>
    </row>
    <row r="2116" spans="1:10" x14ac:dyDescent="0.25">
      <c r="A2116" s="2">
        <v>42654</v>
      </c>
      <c r="B2116" s="3">
        <v>610</v>
      </c>
      <c r="C2116" s="4">
        <v>179187.5</v>
      </c>
      <c r="D2116" s="3">
        <v>311</v>
      </c>
      <c r="E2116" s="4">
        <v>227030</v>
      </c>
      <c r="G2116" s="12">
        <f t="shared" si="149"/>
        <v>2016</v>
      </c>
      <c r="H2116" s="12">
        <f t="shared" si="150"/>
        <v>10</v>
      </c>
      <c r="I2116" s="11">
        <f t="shared" si="151"/>
        <v>70</v>
      </c>
      <c r="J2116" s="11"/>
    </row>
    <row r="2117" spans="1:10" x14ac:dyDescent="0.25">
      <c r="A2117" s="2">
        <v>42655</v>
      </c>
      <c r="B2117" s="3">
        <v>559</v>
      </c>
      <c r="C2117" s="4">
        <v>164206.25</v>
      </c>
      <c r="D2117" s="3">
        <v>323</v>
      </c>
      <c r="E2117" s="4">
        <v>235790</v>
      </c>
      <c r="G2117" s="12">
        <f t="shared" si="149"/>
        <v>2016</v>
      </c>
      <c r="H2117" s="12">
        <f t="shared" si="150"/>
        <v>10</v>
      </c>
      <c r="I2117" s="11">
        <f t="shared" si="151"/>
        <v>70</v>
      </c>
      <c r="J2117" s="11"/>
    </row>
    <row r="2118" spans="1:10" x14ac:dyDescent="0.25">
      <c r="A2118" s="2">
        <v>42656</v>
      </c>
      <c r="B2118" s="3">
        <v>611</v>
      </c>
      <c r="C2118" s="4">
        <v>179481.25</v>
      </c>
      <c r="D2118" s="3">
        <v>257</v>
      </c>
      <c r="E2118" s="4">
        <v>187610</v>
      </c>
      <c r="G2118" s="12">
        <f t="shared" ref="G2118:G2181" si="152">+YEAR(A2118)</f>
        <v>2016</v>
      </c>
      <c r="H2118" s="12">
        <f t="shared" ref="H2118:H2181" si="153">+MONTH(A2118)</f>
        <v>10</v>
      </c>
      <c r="I2118" s="11">
        <f t="shared" si="151"/>
        <v>70</v>
      </c>
      <c r="J2118" s="11"/>
    </row>
    <row r="2119" spans="1:10" x14ac:dyDescent="0.25">
      <c r="A2119" s="2">
        <v>42657</v>
      </c>
      <c r="B2119" s="3">
        <v>655</v>
      </c>
      <c r="C2119" s="4">
        <v>192406.25</v>
      </c>
      <c r="D2119" s="3">
        <v>297</v>
      </c>
      <c r="E2119" s="4">
        <v>216810</v>
      </c>
      <c r="G2119" s="12">
        <f t="shared" si="152"/>
        <v>2016</v>
      </c>
      <c r="H2119" s="12">
        <f t="shared" si="153"/>
        <v>10</v>
      </c>
      <c r="I2119" s="11">
        <f t="shared" ref="I2119:I2182" si="154">+H2119+(G2119-2011)*12</f>
        <v>70</v>
      </c>
      <c r="J2119" s="11"/>
    </row>
    <row r="2120" spans="1:10" x14ac:dyDescent="0.25">
      <c r="A2120" s="2">
        <v>42658</v>
      </c>
      <c r="B2120" s="3">
        <v>518</v>
      </c>
      <c r="C2120" s="4">
        <v>152162.5</v>
      </c>
      <c r="D2120" s="3">
        <v>313</v>
      </c>
      <c r="E2120" s="4">
        <v>228490</v>
      </c>
      <c r="G2120" s="12">
        <f t="shared" si="152"/>
        <v>2016</v>
      </c>
      <c r="H2120" s="12">
        <f t="shared" si="153"/>
        <v>10</v>
      </c>
      <c r="I2120" s="11">
        <f t="shared" si="154"/>
        <v>70</v>
      </c>
      <c r="J2120" s="11"/>
    </row>
    <row r="2121" spans="1:10" x14ac:dyDescent="0.25">
      <c r="A2121" s="2">
        <v>42659</v>
      </c>
      <c r="B2121" s="3">
        <v>668</v>
      </c>
      <c r="C2121" s="4">
        <v>196225</v>
      </c>
      <c r="D2121" s="3">
        <v>297</v>
      </c>
      <c r="E2121" s="4">
        <v>216810</v>
      </c>
      <c r="G2121" s="12">
        <f t="shared" si="152"/>
        <v>2016</v>
      </c>
      <c r="H2121" s="12">
        <f t="shared" si="153"/>
        <v>10</v>
      </c>
      <c r="I2121" s="11">
        <f t="shared" si="154"/>
        <v>70</v>
      </c>
      <c r="J2121" s="11"/>
    </row>
    <row r="2122" spans="1:10" x14ac:dyDescent="0.25">
      <c r="A2122" s="2">
        <v>42660</v>
      </c>
      <c r="B2122" s="3">
        <v>566</v>
      </c>
      <c r="C2122" s="4">
        <v>166262.5</v>
      </c>
      <c r="D2122" s="3">
        <v>275</v>
      </c>
      <c r="E2122" s="4">
        <v>200750</v>
      </c>
      <c r="G2122" s="12">
        <f t="shared" si="152"/>
        <v>2016</v>
      </c>
      <c r="H2122" s="12">
        <f t="shared" si="153"/>
        <v>10</v>
      </c>
      <c r="I2122" s="11">
        <f t="shared" si="154"/>
        <v>70</v>
      </c>
      <c r="J2122" s="11"/>
    </row>
    <row r="2123" spans="1:10" x14ac:dyDescent="0.25">
      <c r="A2123" s="2">
        <v>42661</v>
      </c>
      <c r="B2123" s="3">
        <v>605</v>
      </c>
      <c r="C2123" s="4">
        <v>177718.75</v>
      </c>
      <c r="D2123" s="3">
        <v>270</v>
      </c>
      <c r="E2123" s="4">
        <v>197100</v>
      </c>
      <c r="G2123" s="12">
        <f t="shared" si="152"/>
        <v>2016</v>
      </c>
      <c r="H2123" s="12">
        <f t="shared" si="153"/>
        <v>10</v>
      </c>
      <c r="I2123" s="11">
        <f t="shared" si="154"/>
        <v>70</v>
      </c>
      <c r="J2123" s="11"/>
    </row>
    <row r="2124" spans="1:10" x14ac:dyDescent="0.25">
      <c r="A2124" s="2">
        <v>42662</v>
      </c>
      <c r="B2124" s="3">
        <v>597</v>
      </c>
      <c r="C2124" s="4">
        <v>175368.75</v>
      </c>
      <c r="D2124" s="3">
        <v>303</v>
      </c>
      <c r="E2124" s="4">
        <v>221190</v>
      </c>
      <c r="G2124" s="12">
        <f t="shared" si="152"/>
        <v>2016</v>
      </c>
      <c r="H2124" s="12">
        <f t="shared" si="153"/>
        <v>10</v>
      </c>
      <c r="I2124" s="11">
        <f t="shared" si="154"/>
        <v>70</v>
      </c>
      <c r="J2124" s="11"/>
    </row>
    <row r="2125" spans="1:10" x14ac:dyDescent="0.25">
      <c r="A2125" s="2">
        <v>42663</v>
      </c>
      <c r="B2125" s="3">
        <v>610</v>
      </c>
      <c r="C2125" s="4">
        <v>179187.5</v>
      </c>
      <c r="D2125" s="3">
        <v>265</v>
      </c>
      <c r="E2125" s="4">
        <v>193450</v>
      </c>
      <c r="G2125" s="12">
        <f t="shared" si="152"/>
        <v>2016</v>
      </c>
      <c r="H2125" s="12">
        <f t="shared" si="153"/>
        <v>10</v>
      </c>
      <c r="I2125" s="11">
        <f t="shared" si="154"/>
        <v>70</v>
      </c>
      <c r="J2125" s="11"/>
    </row>
    <row r="2126" spans="1:10" x14ac:dyDescent="0.25">
      <c r="A2126" s="2">
        <v>42664</v>
      </c>
      <c r="B2126" s="3">
        <v>614</v>
      </c>
      <c r="C2126" s="4">
        <v>180362.5</v>
      </c>
      <c r="D2126" s="3">
        <v>292</v>
      </c>
      <c r="E2126" s="4">
        <v>213160</v>
      </c>
      <c r="G2126" s="12">
        <f t="shared" si="152"/>
        <v>2016</v>
      </c>
      <c r="H2126" s="12">
        <f t="shared" si="153"/>
        <v>10</v>
      </c>
      <c r="I2126" s="11">
        <f t="shared" si="154"/>
        <v>70</v>
      </c>
      <c r="J2126" s="11"/>
    </row>
    <row r="2127" spans="1:10" x14ac:dyDescent="0.25">
      <c r="A2127" s="2">
        <v>42665</v>
      </c>
      <c r="B2127" s="3">
        <v>527</v>
      </c>
      <c r="C2127" s="4">
        <v>154806.25</v>
      </c>
      <c r="D2127" s="3">
        <v>351</v>
      </c>
      <c r="E2127" s="4">
        <v>256230</v>
      </c>
      <c r="G2127" s="12">
        <f t="shared" si="152"/>
        <v>2016</v>
      </c>
      <c r="H2127" s="12">
        <f t="shared" si="153"/>
        <v>10</v>
      </c>
      <c r="I2127" s="11">
        <f t="shared" si="154"/>
        <v>70</v>
      </c>
      <c r="J2127" s="11"/>
    </row>
    <row r="2128" spans="1:10" x14ac:dyDescent="0.25">
      <c r="A2128" s="2">
        <v>42666</v>
      </c>
      <c r="B2128" s="3">
        <v>653</v>
      </c>
      <c r="C2128" s="4">
        <v>191818.75</v>
      </c>
      <c r="D2128" s="3">
        <v>219</v>
      </c>
      <c r="E2128" s="4">
        <v>159870</v>
      </c>
      <c r="G2128" s="12">
        <f t="shared" si="152"/>
        <v>2016</v>
      </c>
      <c r="H2128" s="12">
        <f t="shared" si="153"/>
        <v>10</v>
      </c>
      <c r="I2128" s="11">
        <f t="shared" si="154"/>
        <v>70</v>
      </c>
      <c r="J2128" s="11"/>
    </row>
    <row r="2129" spans="1:10" x14ac:dyDescent="0.25">
      <c r="A2129" s="2">
        <v>42667</v>
      </c>
      <c r="B2129" s="3">
        <v>591</v>
      </c>
      <c r="C2129" s="4">
        <v>173606.25</v>
      </c>
      <c r="D2129" s="3">
        <v>303</v>
      </c>
      <c r="E2129" s="4">
        <v>221190</v>
      </c>
      <c r="G2129" s="12">
        <f t="shared" si="152"/>
        <v>2016</v>
      </c>
      <c r="H2129" s="12">
        <f t="shared" si="153"/>
        <v>10</v>
      </c>
      <c r="I2129" s="11">
        <f t="shared" si="154"/>
        <v>70</v>
      </c>
      <c r="J2129" s="11"/>
    </row>
    <row r="2130" spans="1:10" x14ac:dyDescent="0.25">
      <c r="A2130" s="2">
        <v>42668</v>
      </c>
      <c r="B2130" s="3">
        <v>605</v>
      </c>
      <c r="C2130" s="4">
        <v>177718.75</v>
      </c>
      <c r="D2130" s="3">
        <v>317</v>
      </c>
      <c r="E2130" s="4">
        <v>231410</v>
      </c>
      <c r="G2130" s="12">
        <f t="shared" si="152"/>
        <v>2016</v>
      </c>
      <c r="H2130" s="12">
        <f t="shared" si="153"/>
        <v>10</v>
      </c>
      <c r="I2130" s="11">
        <f t="shared" si="154"/>
        <v>70</v>
      </c>
      <c r="J2130" s="11"/>
    </row>
    <row r="2131" spans="1:10" x14ac:dyDescent="0.25">
      <c r="A2131" s="2">
        <v>42669</v>
      </c>
      <c r="B2131" s="3">
        <v>571</v>
      </c>
      <c r="C2131" s="4">
        <v>167731.25</v>
      </c>
      <c r="D2131" s="3">
        <v>270</v>
      </c>
      <c r="E2131" s="4">
        <v>197100</v>
      </c>
      <c r="G2131" s="12">
        <f t="shared" si="152"/>
        <v>2016</v>
      </c>
      <c r="H2131" s="12">
        <f t="shared" si="153"/>
        <v>10</v>
      </c>
      <c r="I2131" s="11">
        <f t="shared" si="154"/>
        <v>70</v>
      </c>
      <c r="J2131" s="11"/>
    </row>
    <row r="2132" spans="1:10" x14ac:dyDescent="0.25">
      <c r="A2132" s="2">
        <v>42670</v>
      </c>
      <c r="B2132" s="3">
        <v>599</v>
      </c>
      <c r="C2132" s="4">
        <v>175956.25</v>
      </c>
      <c r="D2132" s="3">
        <v>262</v>
      </c>
      <c r="E2132" s="4">
        <v>191260</v>
      </c>
      <c r="G2132" s="12">
        <f t="shared" si="152"/>
        <v>2016</v>
      </c>
      <c r="H2132" s="12">
        <f t="shared" si="153"/>
        <v>10</v>
      </c>
      <c r="I2132" s="11">
        <f t="shared" si="154"/>
        <v>70</v>
      </c>
      <c r="J2132" s="11"/>
    </row>
    <row r="2133" spans="1:10" x14ac:dyDescent="0.25">
      <c r="A2133" s="2">
        <v>42671</v>
      </c>
      <c r="B2133" s="3">
        <v>579</v>
      </c>
      <c r="C2133" s="4">
        <v>170081.25</v>
      </c>
      <c r="D2133" s="3">
        <v>257</v>
      </c>
      <c r="E2133" s="4">
        <v>187610</v>
      </c>
      <c r="G2133" s="12">
        <f t="shared" si="152"/>
        <v>2016</v>
      </c>
      <c r="H2133" s="12">
        <f t="shared" si="153"/>
        <v>10</v>
      </c>
      <c r="I2133" s="11">
        <f t="shared" si="154"/>
        <v>70</v>
      </c>
      <c r="J2133" s="11"/>
    </row>
    <row r="2134" spans="1:10" x14ac:dyDescent="0.25">
      <c r="A2134" s="2">
        <v>42672</v>
      </c>
      <c r="B2134" s="3">
        <v>698</v>
      </c>
      <c r="C2134" s="4">
        <v>205037.5</v>
      </c>
      <c r="D2134" s="3">
        <v>340</v>
      </c>
      <c r="E2134" s="4">
        <v>248200</v>
      </c>
      <c r="G2134" s="12">
        <f t="shared" si="152"/>
        <v>2016</v>
      </c>
      <c r="H2134" s="12">
        <f t="shared" si="153"/>
        <v>10</v>
      </c>
      <c r="I2134" s="11">
        <f t="shared" si="154"/>
        <v>70</v>
      </c>
      <c r="J2134" s="11"/>
    </row>
    <row r="2135" spans="1:10" x14ac:dyDescent="0.25">
      <c r="A2135" s="2">
        <v>42673</v>
      </c>
      <c r="B2135" s="3">
        <v>563</v>
      </c>
      <c r="C2135" s="4">
        <v>165381.25</v>
      </c>
      <c r="D2135" s="3">
        <v>309</v>
      </c>
      <c r="E2135" s="4">
        <v>225570</v>
      </c>
      <c r="G2135" s="12">
        <f t="shared" si="152"/>
        <v>2016</v>
      </c>
      <c r="H2135" s="12">
        <f t="shared" si="153"/>
        <v>10</v>
      </c>
      <c r="I2135" s="11">
        <f t="shared" si="154"/>
        <v>70</v>
      </c>
      <c r="J2135" s="11"/>
    </row>
    <row r="2136" spans="1:10" x14ac:dyDescent="0.25">
      <c r="A2136" s="2">
        <v>42674</v>
      </c>
      <c r="B2136" s="3">
        <v>657</v>
      </c>
      <c r="C2136" s="4">
        <v>192993.75</v>
      </c>
      <c r="D2136" s="3">
        <v>341</v>
      </c>
      <c r="E2136" s="4">
        <v>248930</v>
      </c>
      <c r="G2136" s="12">
        <f t="shared" si="152"/>
        <v>2016</v>
      </c>
      <c r="H2136" s="12">
        <f t="shared" si="153"/>
        <v>10</v>
      </c>
      <c r="I2136" s="11">
        <f t="shared" si="154"/>
        <v>70</v>
      </c>
      <c r="J2136" s="11"/>
    </row>
    <row r="2137" spans="1:10" x14ac:dyDescent="0.25">
      <c r="A2137" s="2">
        <v>42675</v>
      </c>
      <c r="B2137" s="3">
        <v>405</v>
      </c>
      <c r="C2137" s="4">
        <v>190350</v>
      </c>
      <c r="D2137" s="3">
        <v>247</v>
      </c>
      <c r="E2137" s="4">
        <v>180310</v>
      </c>
      <c r="G2137" s="12">
        <f t="shared" si="152"/>
        <v>2016</v>
      </c>
      <c r="H2137" s="12">
        <f t="shared" si="153"/>
        <v>11</v>
      </c>
      <c r="I2137" s="11">
        <f t="shared" si="154"/>
        <v>71</v>
      </c>
      <c r="J2137" s="11"/>
    </row>
    <row r="2138" spans="1:10" x14ac:dyDescent="0.25">
      <c r="A2138" s="2">
        <v>42676</v>
      </c>
      <c r="B2138" s="3">
        <v>453</v>
      </c>
      <c r="C2138" s="4">
        <v>212910</v>
      </c>
      <c r="D2138" s="3">
        <v>264</v>
      </c>
      <c r="E2138" s="4">
        <v>192720</v>
      </c>
      <c r="G2138" s="12">
        <f t="shared" si="152"/>
        <v>2016</v>
      </c>
      <c r="H2138" s="12">
        <f t="shared" si="153"/>
        <v>11</v>
      </c>
      <c r="I2138" s="11">
        <f t="shared" si="154"/>
        <v>71</v>
      </c>
      <c r="J2138" s="11"/>
    </row>
    <row r="2139" spans="1:10" x14ac:dyDescent="0.25">
      <c r="A2139" s="2">
        <v>42677</v>
      </c>
      <c r="B2139" s="3">
        <v>407</v>
      </c>
      <c r="C2139" s="4">
        <v>191290</v>
      </c>
      <c r="D2139" s="3">
        <v>308</v>
      </c>
      <c r="E2139" s="4">
        <v>224840</v>
      </c>
      <c r="G2139" s="12">
        <f t="shared" si="152"/>
        <v>2016</v>
      </c>
      <c r="H2139" s="12">
        <f t="shared" si="153"/>
        <v>11</v>
      </c>
      <c r="I2139" s="11">
        <f t="shared" si="154"/>
        <v>71</v>
      </c>
      <c r="J2139" s="11"/>
    </row>
    <row r="2140" spans="1:10" x14ac:dyDescent="0.25">
      <c r="A2140" s="2">
        <v>42678</v>
      </c>
      <c r="B2140" s="3">
        <v>347</v>
      </c>
      <c r="C2140" s="4">
        <v>163090</v>
      </c>
      <c r="D2140" s="3">
        <v>317</v>
      </c>
      <c r="E2140" s="4">
        <v>231410</v>
      </c>
      <c r="G2140" s="12">
        <f t="shared" si="152"/>
        <v>2016</v>
      </c>
      <c r="H2140" s="12">
        <f t="shared" si="153"/>
        <v>11</v>
      </c>
      <c r="I2140" s="11">
        <f t="shared" si="154"/>
        <v>71</v>
      </c>
      <c r="J2140" s="11"/>
    </row>
    <row r="2141" spans="1:10" x14ac:dyDescent="0.25">
      <c r="A2141" s="2">
        <v>42679</v>
      </c>
      <c r="B2141" s="3">
        <v>492</v>
      </c>
      <c r="C2141" s="4">
        <v>231240</v>
      </c>
      <c r="D2141" s="3">
        <v>312</v>
      </c>
      <c r="E2141" s="4">
        <v>227760</v>
      </c>
      <c r="G2141" s="12">
        <f t="shared" si="152"/>
        <v>2016</v>
      </c>
      <c r="H2141" s="12">
        <f t="shared" si="153"/>
        <v>11</v>
      </c>
      <c r="I2141" s="11">
        <f t="shared" si="154"/>
        <v>71</v>
      </c>
      <c r="J2141" s="11"/>
    </row>
    <row r="2142" spans="1:10" x14ac:dyDescent="0.25">
      <c r="A2142" s="2">
        <v>42680</v>
      </c>
      <c r="B2142" s="3">
        <v>443</v>
      </c>
      <c r="C2142" s="4">
        <v>208210</v>
      </c>
      <c r="D2142" s="3">
        <v>311</v>
      </c>
      <c r="E2142" s="4">
        <v>227030</v>
      </c>
      <c r="G2142" s="12">
        <f t="shared" si="152"/>
        <v>2016</v>
      </c>
      <c r="H2142" s="12">
        <f t="shared" si="153"/>
        <v>11</v>
      </c>
      <c r="I2142" s="11">
        <f t="shared" si="154"/>
        <v>71</v>
      </c>
      <c r="J2142" s="11"/>
    </row>
    <row r="2143" spans="1:10" x14ac:dyDescent="0.25">
      <c r="A2143" s="2">
        <v>42681</v>
      </c>
      <c r="B2143" s="3">
        <v>443</v>
      </c>
      <c r="C2143" s="4">
        <v>208210</v>
      </c>
      <c r="D2143" s="3">
        <v>301</v>
      </c>
      <c r="E2143" s="4">
        <v>219730</v>
      </c>
      <c r="G2143" s="12">
        <f t="shared" si="152"/>
        <v>2016</v>
      </c>
      <c r="H2143" s="12">
        <f t="shared" si="153"/>
        <v>11</v>
      </c>
      <c r="I2143" s="11">
        <f t="shared" si="154"/>
        <v>71</v>
      </c>
      <c r="J2143" s="11"/>
    </row>
    <row r="2144" spans="1:10" x14ac:dyDescent="0.25">
      <c r="A2144" s="2">
        <v>42682</v>
      </c>
      <c r="B2144" s="3">
        <v>434</v>
      </c>
      <c r="C2144" s="4">
        <v>203980</v>
      </c>
      <c r="D2144" s="3">
        <v>248</v>
      </c>
      <c r="E2144" s="4">
        <v>181040</v>
      </c>
      <c r="G2144" s="12">
        <f t="shared" si="152"/>
        <v>2016</v>
      </c>
      <c r="H2144" s="12">
        <f t="shared" si="153"/>
        <v>11</v>
      </c>
      <c r="I2144" s="11">
        <f t="shared" si="154"/>
        <v>71</v>
      </c>
      <c r="J2144" s="11"/>
    </row>
    <row r="2145" spans="1:10" x14ac:dyDescent="0.25">
      <c r="A2145" s="2">
        <v>42683</v>
      </c>
      <c r="B2145" s="3">
        <v>475</v>
      </c>
      <c r="C2145" s="4">
        <v>223250</v>
      </c>
      <c r="D2145" s="3">
        <v>270</v>
      </c>
      <c r="E2145" s="4">
        <v>197100</v>
      </c>
      <c r="G2145" s="12">
        <f t="shared" si="152"/>
        <v>2016</v>
      </c>
      <c r="H2145" s="12">
        <f t="shared" si="153"/>
        <v>11</v>
      </c>
      <c r="I2145" s="11">
        <f t="shared" si="154"/>
        <v>71</v>
      </c>
      <c r="J2145" s="11"/>
    </row>
    <row r="2146" spans="1:10" x14ac:dyDescent="0.25">
      <c r="A2146" s="2">
        <v>42684</v>
      </c>
      <c r="B2146" s="3">
        <v>395</v>
      </c>
      <c r="C2146" s="4">
        <v>185650</v>
      </c>
      <c r="D2146" s="3">
        <v>325</v>
      </c>
      <c r="E2146" s="4">
        <v>237250</v>
      </c>
      <c r="G2146" s="12">
        <f t="shared" si="152"/>
        <v>2016</v>
      </c>
      <c r="H2146" s="12">
        <f t="shared" si="153"/>
        <v>11</v>
      </c>
      <c r="I2146" s="11">
        <f t="shared" si="154"/>
        <v>71</v>
      </c>
      <c r="J2146" s="11"/>
    </row>
    <row r="2147" spans="1:10" x14ac:dyDescent="0.25">
      <c r="A2147" s="2">
        <v>42685</v>
      </c>
      <c r="B2147" s="3">
        <v>452</v>
      </c>
      <c r="C2147" s="4">
        <v>212440</v>
      </c>
      <c r="D2147" s="3">
        <v>286</v>
      </c>
      <c r="E2147" s="4">
        <v>208780</v>
      </c>
      <c r="G2147" s="12">
        <f t="shared" si="152"/>
        <v>2016</v>
      </c>
      <c r="H2147" s="12">
        <f t="shared" si="153"/>
        <v>11</v>
      </c>
      <c r="I2147" s="11">
        <f t="shared" si="154"/>
        <v>71</v>
      </c>
      <c r="J2147" s="11"/>
    </row>
    <row r="2148" spans="1:10" x14ac:dyDescent="0.25">
      <c r="A2148" s="2">
        <v>42686</v>
      </c>
      <c r="B2148" s="3">
        <v>468</v>
      </c>
      <c r="C2148" s="4">
        <v>219960</v>
      </c>
      <c r="D2148" s="3">
        <v>263</v>
      </c>
      <c r="E2148" s="4">
        <v>191990</v>
      </c>
      <c r="G2148" s="12">
        <f t="shared" si="152"/>
        <v>2016</v>
      </c>
      <c r="H2148" s="12">
        <f t="shared" si="153"/>
        <v>11</v>
      </c>
      <c r="I2148" s="11">
        <f t="shared" si="154"/>
        <v>71</v>
      </c>
      <c r="J2148" s="11"/>
    </row>
    <row r="2149" spans="1:10" x14ac:dyDescent="0.25">
      <c r="A2149" s="2">
        <v>42687</v>
      </c>
      <c r="B2149" s="3">
        <v>475</v>
      </c>
      <c r="C2149" s="4">
        <v>223250</v>
      </c>
      <c r="D2149" s="3">
        <v>280</v>
      </c>
      <c r="E2149" s="4">
        <v>204400</v>
      </c>
      <c r="G2149" s="12">
        <f t="shared" si="152"/>
        <v>2016</v>
      </c>
      <c r="H2149" s="12">
        <f t="shared" si="153"/>
        <v>11</v>
      </c>
      <c r="I2149" s="11">
        <f t="shared" si="154"/>
        <v>71</v>
      </c>
      <c r="J2149" s="11"/>
    </row>
    <row r="2150" spans="1:10" x14ac:dyDescent="0.25">
      <c r="A2150" s="2">
        <v>42688</v>
      </c>
      <c r="B2150" s="3">
        <v>443</v>
      </c>
      <c r="C2150" s="4">
        <v>208210</v>
      </c>
      <c r="D2150" s="3">
        <v>366</v>
      </c>
      <c r="E2150" s="4">
        <v>267180</v>
      </c>
      <c r="G2150" s="12">
        <f t="shared" si="152"/>
        <v>2016</v>
      </c>
      <c r="H2150" s="12">
        <f t="shared" si="153"/>
        <v>11</v>
      </c>
      <c r="I2150" s="11">
        <f t="shared" si="154"/>
        <v>71</v>
      </c>
      <c r="J2150" s="11"/>
    </row>
    <row r="2151" spans="1:10" x14ac:dyDescent="0.25">
      <c r="A2151" s="2">
        <v>42689</v>
      </c>
      <c r="B2151" s="3">
        <v>556</v>
      </c>
      <c r="C2151" s="4">
        <v>261320</v>
      </c>
      <c r="D2151" s="3">
        <v>282</v>
      </c>
      <c r="E2151" s="4">
        <v>205860</v>
      </c>
      <c r="G2151" s="12">
        <f t="shared" si="152"/>
        <v>2016</v>
      </c>
      <c r="H2151" s="12">
        <f t="shared" si="153"/>
        <v>11</v>
      </c>
      <c r="I2151" s="11">
        <f t="shared" si="154"/>
        <v>71</v>
      </c>
      <c r="J2151" s="11"/>
    </row>
    <row r="2152" spans="1:10" x14ac:dyDescent="0.25">
      <c r="A2152" s="2">
        <v>42690</v>
      </c>
      <c r="B2152" s="3">
        <v>409</v>
      </c>
      <c r="C2152" s="4">
        <v>192230</v>
      </c>
      <c r="D2152" s="3">
        <v>271</v>
      </c>
      <c r="E2152" s="4">
        <v>197830</v>
      </c>
      <c r="G2152" s="12">
        <f t="shared" si="152"/>
        <v>2016</v>
      </c>
      <c r="H2152" s="12">
        <f t="shared" si="153"/>
        <v>11</v>
      </c>
      <c r="I2152" s="11">
        <f t="shared" si="154"/>
        <v>71</v>
      </c>
      <c r="J2152" s="11"/>
    </row>
    <row r="2153" spans="1:10" x14ac:dyDescent="0.25">
      <c r="A2153" s="2">
        <v>42691</v>
      </c>
      <c r="B2153" s="3">
        <v>489</v>
      </c>
      <c r="C2153" s="4">
        <v>229830</v>
      </c>
      <c r="D2153" s="3">
        <v>332</v>
      </c>
      <c r="E2153" s="4">
        <v>242360</v>
      </c>
      <c r="G2153" s="12">
        <f t="shared" si="152"/>
        <v>2016</v>
      </c>
      <c r="H2153" s="12">
        <f t="shared" si="153"/>
        <v>11</v>
      </c>
      <c r="I2153" s="11">
        <f t="shared" si="154"/>
        <v>71</v>
      </c>
      <c r="J2153" s="11"/>
    </row>
    <row r="2154" spans="1:10" x14ac:dyDescent="0.25">
      <c r="A2154" s="2">
        <v>42692</v>
      </c>
      <c r="B2154" s="3">
        <v>537</v>
      </c>
      <c r="C2154" s="4">
        <v>252390</v>
      </c>
      <c r="D2154" s="3">
        <v>312</v>
      </c>
      <c r="E2154" s="4">
        <v>227760</v>
      </c>
      <c r="G2154" s="12">
        <f t="shared" si="152"/>
        <v>2016</v>
      </c>
      <c r="H2154" s="12">
        <f t="shared" si="153"/>
        <v>11</v>
      </c>
      <c r="I2154" s="11">
        <f t="shared" si="154"/>
        <v>71</v>
      </c>
      <c r="J2154" s="11"/>
    </row>
    <row r="2155" spans="1:10" x14ac:dyDescent="0.25">
      <c r="A2155" s="2">
        <v>42693</v>
      </c>
      <c r="B2155" s="3">
        <v>542</v>
      </c>
      <c r="C2155" s="4">
        <v>254740</v>
      </c>
      <c r="D2155" s="3">
        <v>286</v>
      </c>
      <c r="E2155" s="4">
        <v>208780</v>
      </c>
      <c r="G2155" s="12">
        <f t="shared" si="152"/>
        <v>2016</v>
      </c>
      <c r="H2155" s="12">
        <f t="shared" si="153"/>
        <v>11</v>
      </c>
      <c r="I2155" s="11">
        <f t="shared" si="154"/>
        <v>71</v>
      </c>
      <c r="J2155" s="11"/>
    </row>
    <row r="2156" spans="1:10" x14ac:dyDescent="0.25">
      <c r="A2156" s="2">
        <v>42694</v>
      </c>
      <c r="B2156" s="3">
        <v>456</v>
      </c>
      <c r="C2156" s="4">
        <v>214320</v>
      </c>
      <c r="D2156" s="3">
        <v>317</v>
      </c>
      <c r="E2156" s="4">
        <v>231410</v>
      </c>
      <c r="G2156" s="12">
        <f t="shared" si="152"/>
        <v>2016</v>
      </c>
      <c r="H2156" s="12">
        <f t="shared" si="153"/>
        <v>11</v>
      </c>
      <c r="I2156" s="11">
        <f t="shared" si="154"/>
        <v>71</v>
      </c>
      <c r="J2156" s="11"/>
    </row>
    <row r="2157" spans="1:10" x14ac:dyDescent="0.25">
      <c r="A2157" s="2">
        <v>42695</v>
      </c>
      <c r="B2157" s="3">
        <v>456</v>
      </c>
      <c r="C2157" s="4">
        <v>214320</v>
      </c>
      <c r="D2157" s="3">
        <v>317</v>
      </c>
      <c r="E2157" s="4">
        <v>231410</v>
      </c>
      <c r="G2157" s="12">
        <f t="shared" si="152"/>
        <v>2016</v>
      </c>
      <c r="H2157" s="12">
        <f t="shared" si="153"/>
        <v>11</v>
      </c>
      <c r="I2157" s="11">
        <f t="shared" si="154"/>
        <v>71</v>
      </c>
      <c r="J2157" s="11"/>
    </row>
    <row r="2158" spans="1:10" x14ac:dyDescent="0.25">
      <c r="A2158" s="2">
        <v>42696</v>
      </c>
      <c r="B2158" s="3">
        <v>485</v>
      </c>
      <c r="C2158" s="4">
        <v>227950</v>
      </c>
      <c r="D2158" s="3">
        <v>273</v>
      </c>
      <c r="E2158" s="4">
        <v>199290</v>
      </c>
      <c r="G2158" s="12">
        <f t="shared" si="152"/>
        <v>2016</v>
      </c>
      <c r="H2158" s="12">
        <f t="shared" si="153"/>
        <v>11</v>
      </c>
      <c r="I2158" s="11">
        <f t="shared" si="154"/>
        <v>71</v>
      </c>
      <c r="J2158" s="11"/>
    </row>
    <row r="2159" spans="1:10" x14ac:dyDescent="0.25">
      <c r="A2159" s="2">
        <v>42697</v>
      </c>
      <c r="B2159" s="3">
        <v>458</v>
      </c>
      <c r="C2159" s="4">
        <v>215260</v>
      </c>
      <c r="D2159" s="3">
        <v>273</v>
      </c>
      <c r="E2159" s="4">
        <v>199290</v>
      </c>
      <c r="G2159" s="12">
        <f t="shared" si="152"/>
        <v>2016</v>
      </c>
      <c r="H2159" s="12">
        <f t="shared" si="153"/>
        <v>11</v>
      </c>
      <c r="I2159" s="11">
        <f t="shared" si="154"/>
        <v>71</v>
      </c>
      <c r="J2159" s="11"/>
    </row>
    <row r="2160" spans="1:10" x14ac:dyDescent="0.25">
      <c r="A2160" s="2">
        <v>42698</v>
      </c>
      <c r="B2160" s="3">
        <v>487</v>
      </c>
      <c r="C2160" s="4">
        <v>228890</v>
      </c>
      <c r="D2160" s="3">
        <v>291</v>
      </c>
      <c r="E2160" s="4">
        <v>212430</v>
      </c>
      <c r="G2160" s="12">
        <f t="shared" si="152"/>
        <v>2016</v>
      </c>
      <c r="H2160" s="12">
        <f t="shared" si="153"/>
        <v>11</v>
      </c>
      <c r="I2160" s="11">
        <f t="shared" si="154"/>
        <v>71</v>
      </c>
      <c r="J2160" s="11"/>
    </row>
    <row r="2161" spans="1:10" x14ac:dyDescent="0.25">
      <c r="A2161" s="2">
        <v>42699</v>
      </c>
      <c r="B2161" s="3">
        <v>462</v>
      </c>
      <c r="C2161" s="4">
        <v>217140</v>
      </c>
      <c r="D2161" s="3">
        <v>274</v>
      </c>
      <c r="E2161" s="4">
        <v>200020</v>
      </c>
      <c r="G2161" s="12">
        <f t="shared" si="152"/>
        <v>2016</v>
      </c>
      <c r="H2161" s="12">
        <f t="shared" si="153"/>
        <v>11</v>
      </c>
      <c r="I2161" s="11">
        <f t="shared" si="154"/>
        <v>71</v>
      </c>
      <c r="J2161" s="11"/>
    </row>
    <row r="2162" spans="1:10" x14ac:dyDescent="0.25">
      <c r="A2162" s="2">
        <v>42700</v>
      </c>
      <c r="B2162" s="3">
        <v>417</v>
      </c>
      <c r="C2162" s="4">
        <v>195990</v>
      </c>
      <c r="D2162" s="3">
        <v>304</v>
      </c>
      <c r="E2162" s="4">
        <v>221920</v>
      </c>
      <c r="G2162" s="12">
        <f t="shared" si="152"/>
        <v>2016</v>
      </c>
      <c r="H2162" s="12">
        <f t="shared" si="153"/>
        <v>11</v>
      </c>
      <c r="I2162" s="11">
        <f t="shared" si="154"/>
        <v>71</v>
      </c>
      <c r="J2162" s="11"/>
    </row>
    <row r="2163" spans="1:10" x14ac:dyDescent="0.25">
      <c r="A2163" s="2">
        <v>42701</v>
      </c>
      <c r="B2163" s="3">
        <v>506</v>
      </c>
      <c r="C2163" s="4">
        <v>237820</v>
      </c>
      <c r="D2163" s="3">
        <v>263</v>
      </c>
      <c r="E2163" s="4">
        <v>191990</v>
      </c>
      <c r="G2163" s="12">
        <f t="shared" si="152"/>
        <v>2016</v>
      </c>
      <c r="H2163" s="12">
        <f t="shared" si="153"/>
        <v>11</v>
      </c>
      <c r="I2163" s="11">
        <f t="shared" si="154"/>
        <v>71</v>
      </c>
      <c r="J2163" s="11"/>
    </row>
    <row r="2164" spans="1:10" x14ac:dyDescent="0.25">
      <c r="A2164" s="2">
        <v>42702</v>
      </c>
      <c r="B2164" s="3">
        <v>506</v>
      </c>
      <c r="C2164" s="4">
        <v>237820</v>
      </c>
      <c r="D2164" s="3">
        <v>304</v>
      </c>
      <c r="E2164" s="4">
        <v>221920</v>
      </c>
      <c r="G2164" s="12">
        <f t="shared" si="152"/>
        <v>2016</v>
      </c>
      <c r="H2164" s="12">
        <f t="shared" si="153"/>
        <v>11</v>
      </c>
      <c r="I2164" s="11">
        <f t="shared" si="154"/>
        <v>71</v>
      </c>
      <c r="J2164" s="11"/>
    </row>
    <row r="2165" spans="1:10" x14ac:dyDescent="0.25">
      <c r="A2165" s="2">
        <v>42703</v>
      </c>
      <c r="B2165" s="3">
        <v>502</v>
      </c>
      <c r="C2165" s="4">
        <v>235940</v>
      </c>
      <c r="D2165" s="3">
        <v>322</v>
      </c>
      <c r="E2165" s="4">
        <v>235060</v>
      </c>
      <c r="G2165" s="12">
        <f t="shared" si="152"/>
        <v>2016</v>
      </c>
      <c r="H2165" s="12">
        <f t="shared" si="153"/>
        <v>11</v>
      </c>
      <c r="I2165" s="11">
        <f t="shared" si="154"/>
        <v>71</v>
      </c>
      <c r="J2165" s="11"/>
    </row>
    <row r="2166" spans="1:10" x14ac:dyDescent="0.25">
      <c r="A2166" s="2">
        <v>42704</v>
      </c>
      <c r="B2166" s="3">
        <v>572</v>
      </c>
      <c r="C2166" s="4">
        <v>268840</v>
      </c>
      <c r="D2166" s="3">
        <v>344</v>
      </c>
      <c r="E2166" s="4">
        <v>251120</v>
      </c>
      <c r="G2166" s="12">
        <f t="shared" si="152"/>
        <v>2016</v>
      </c>
      <c r="H2166" s="12">
        <f t="shared" si="153"/>
        <v>11</v>
      </c>
      <c r="I2166" s="11">
        <f t="shared" si="154"/>
        <v>71</v>
      </c>
      <c r="J2166" s="11"/>
    </row>
    <row r="2167" spans="1:10" x14ac:dyDescent="0.25">
      <c r="A2167" s="2">
        <v>42705</v>
      </c>
      <c r="B2167" s="3">
        <v>378</v>
      </c>
      <c r="C2167" s="4">
        <v>177660</v>
      </c>
      <c r="D2167" s="3">
        <v>305</v>
      </c>
      <c r="E2167" s="4">
        <v>222650</v>
      </c>
      <c r="G2167" s="12">
        <f t="shared" si="152"/>
        <v>2016</v>
      </c>
      <c r="H2167" s="12">
        <f t="shared" si="153"/>
        <v>12</v>
      </c>
      <c r="I2167" s="11">
        <f t="shared" si="154"/>
        <v>72</v>
      </c>
      <c r="J2167" s="11"/>
    </row>
    <row r="2168" spans="1:10" x14ac:dyDescent="0.25">
      <c r="A2168" s="2">
        <v>42706</v>
      </c>
      <c r="B2168" s="3">
        <v>491</v>
      </c>
      <c r="C2168" s="4">
        <v>230770</v>
      </c>
      <c r="D2168" s="3">
        <v>282</v>
      </c>
      <c r="E2168" s="4">
        <v>205860</v>
      </c>
      <c r="G2168" s="12">
        <f t="shared" si="152"/>
        <v>2016</v>
      </c>
      <c r="H2168" s="12">
        <f t="shared" si="153"/>
        <v>12</v>
      </c>
      <c r="I2168" s="11">
        <f t="shared" si="154"/>
        <v>72</v>
      </c>
      <c r="J2168" s="11"/>
    </row>
    <row r="2169" spans="1:10" x14ac:dyDescent="0.25">
      <c r="A2169" s="2">
        <v>42707</v>
      </c>
      <c r="B2169" s="3">
        <v>506</v>
      </c>
      <c r="C2169" s="4">
        <v>237820</v>
      </c>
      <c r="D2169" s="3">
        <v>316</v>
      </c>
      <c r="E2169" s="4">
        <v>230680</v>
      </c>
      <c r="G2169" s="12">
        <f t="shared" si="152"/>
        <v>2016</v>
      </c>
      <c r="H2169" s="12">
        <f t="shared" si="153"/>
        <v>12</v>
      </c>
      <c r="I2169" s="11">
        <f t="shared" si="154"/>
        <v>72</v>
      </c>
      <c r="J2169" s="11"/>
    </row>
    <row r="2170" spans="1:10" x14ac:dyDescent="0.25">
      <c r="A2170" s="2">
        <v>42708</v>
      </c>
      <c r="B2170" s="3">
        <v>443</v>
      </c>
      <c r="C2170" s="4">
        <v>208210</v>
      </c>
      <c r="D2170" s="3">
        <v>327</v>
      </c>
      <c r="E2170" s="4">
        <v>238710</v>
      </c>
      <c r="G2170" s="12">
        <f t="shared" si="152"/>
        <v>2016</v>
      </c>
      <c r="H2170" s="12">
        <f t="shared" si="153"/>
        <v>12</v>
      </c>
      <c r="I2170" s="11">
        <f t="shared" si="154"/>
        <v>72</v>
      </c>
      <c r="J2170" s="11"/>
    </row>
    <row r="2171" spans="1:10" x14ac:dyDescent="0.25">
      <c r="A2171" s="2">
        <v>42709</v>
      </c>
      <c r="B2171" s="3">
        <v>468</v>
      </c>
      <c r="C2171" s="4">
        <v>219960</v>
      </c>
      <c r="D2171" s="3">
        <v>298</v>
      </c>
      <c r="E2171" s="4">
        <v>217540</v>
      </c>
      <c r="G2171" s="12">
        <f t="shared" si="152"/>
        <v>2016</v>
      </c>
      <c r="H2171" s="12">
        <f t="shared" si="153"/>
        <v>12</v>
      </c>
      <c r="I2171" s="11">
        <f t="shared" si="154"/>
        <v>72</v>
      </c>
      <c r="J2171" s="11"/>
    </row>
    <row r="2172" spans="1:10" x14ac:dyDescent="0.25">
      <c r="A2172" s="2">
        <v>42710</v>
      </c>
      <c r="B2172" s="3">
        <v>494</v>
      </c>
      <c r="C2172" s="4">
        <v>232180</v>
      </c>
      <c r="D2172" s="3">
        <v>337</v>
      </c>
      <c r="E2172" s="4">
        <v>246010</v>
      </c>
      <c r="G2172" s="12">
        <f t="shared" si="152"/>
        <v>2016</v>
      </c>
      <c r="H2172" s="12">
        <f t="shared" si="153"/>
        <v>12</v>
      </c>
      <c r="I2172" s="11">
        <f t="shared" si="154"/>
        <v>72</v>
      </c>
      <c r="J2172" s="11"/>
    </row>
    <row r="2173" spans="1:10" x14ac:dyDescent="0.25">
      <c r="A2173" s="2">
        <v>42711</v>
      </c>
      <c r="B2173" s="3">
        <v>531</v>
      </c>
      <c r="C2173" s="4">
        <v>249570</v>
      </c>
      <c r="D2173" s="3">
        <v>321</v>
      </c>
      <c r="E2173" s="4">
        <v>234330</v>
      </c>
      <c r="G2173" s="12">
        <f t="shared" si="152"/>
        <v>2016</v>
      </c>
      <c r="H2173" s="12">
        <f t="shared" si="153"/>
        <v>12</v>
      </c>
      <c r="I2173" s="11">
        <f t="shared" si="154"/>
        <v>72</v>
      </c>
      <c r="J2173" s="11"/>
    </row>
    <row r="2174" spans="1:10" x14ac:dyDescent="0.25">
      <c r="A2174" s="2">
        <v>42712</v>
      </c>
      <c r="B2174" s="3">
        <v>526</v>
      </c>
      <c r="C2174" s="4">
        <v>247220</v>
      </c>
      <c r="D2174" s="3">
        <v>231</v>
      </c>
      <c r="E2174" s="4">
        <v>168630</v>
      </c>
      <c r="G2174" s="12">
        <f t="shared" si="152"/>
        <v>2016</v>
      </c>
      <c r="H2174" s="12">
        <f t="shared" si="153"/>
        <v>12</v>
      </c>
      <c r="I2174" s="11">
        <f t="shared" si="154"/>
        <v>72</v>
      </c>
      <c r="J2174" s="11"/>
    </row>
    <row r="2175" spans="1:10" x14ac:dyDescent="0.25">
      <c r="A2175" s="2">
        <v>42713</v>
      </c>
      <c r="B2175" s="3">
        <v>476</v>
      </c>
      <c r="C2175" s="4">
        <v>223720</v>
      </c>
      <c r="D2175" s="3">
        <v>269</v>
      </c>
      <c r="E2175" s="4">
        <v>196370</v>
      </c>
      <c r="G2175" s="12">
        <f t="shared" si="152"/>
        <v>2016</v>
      </c>
      <c r="H2175" s="12">
        <f t="shared" si="153"/>
        <v>12</v>
      </c>
      <c r="I2175" s="11">
        <f t="shared" si="154"/>
        <v>72</v>
      </c>
      <c r="J2175" s="11"/>
    </row>
    <row r="2176" spans="1:10" x14ac:dyDescent="0.25">
      <c r="A2176" s="2">
        <v>42714</v>
      </c>
      <c r="B2176" s="3">
        <v>488</v>
      </c>
      <c r="C2176" s="4">
        <v>229360</v>
      </c>
      <c r="D2176" s="3">
        <v>362</v>
      </c>
      <c r="E2176" s="4">
        <v>264260</v>
      </c>
      <c r="G2176" s="12">
        <f t="shared" si="152"/>
        <v>2016</v>
      </c>
      <c r="H2176" s="12">
        <f t="shared" si="153"/>
        <v>12</v>
      </c>
      <c r="I2176" s="11">
        <f t="shared" si="154"/>
        <v>72</v>
      </c>
      <c r="J2176" s="11"/>
    </row>
    <row r="2177" spans="1:10" x14ac:dyDescent="0.25">
      <c r="A2177" s="2">
        <v>42715</v>
      </c>
      <c r="B2177" s="3">
        <v>471</v>
      </c>
      <c r="C2177" s="4">
        <v>221370</v>
      </c>
      <c r="D2177" s="3">
        <v>343</v>
      </c>
      <c r="E2177" s="4">
        <v>250390</v>
      </c>
      <c r="G2177" s="12">
        <f t="shared" si="152"/>
        <v>2016</v>
      </c>
      <c r="H2177" s="12">
        <f t="shared" si="153"/>
        <v>12</v>
      </c>
      <c r="I2177" s="11">
        <f t="shared" si="154"/>
        <v>72</v>
      </c>
      <c r="J2177" s="11"/>
    </row>
    <row r="2178" spans="1:10" x14ac:dyDescent="0.25">
      <c r="A2178" s="2">
        <v>42716</v>
      </c>
      <c r="B2178" s="3">
        <v>469</v>
      </c>
      <c r="C2178" s="4">
        <v>220430</v>
      </c>
      <c r="D2178" s="3">
        <v>327</v>
      </c>
      <c r="E2178" s="4">
        <v>238710</v>
      </c>
      <c r="G2178" s="12">
        <f t="shared" si="152"/>
        <v>2016</v>
      </c>
      <c r="H2178" s="12">
        <f t="shared" si="153"/>
        <v>12</v>
      </c>
      <c r="I2178" s="11">
        <f t="shared" si="154"/>
        <v>72</v>
      </c>
      <c r="J2178" s="11"/>
    </row>
    <row r="2179" spans="1:10" x14ac:dyDescent="0.25">
      <c r="A2179" s="2">
        <v>42717</v>
      </c>
      <c r="B2179" s="3">
        <v>479</v>
      </c>
      <c r="C2179" s="4">
        <v>225130</v>
      </c>
      <c r="D2179" s="3">
        <v>325</v>
      </c>
      <c r="E2179" s="4">
        <v>237250</v>
      </c>
      <c r="G2179" s="12">
        <f t="shared" si="152"/>
        <v>2016</v>
      </c>
      <c r="H2179" s="12">
        <f t="shared" si="153"/>
        <v>12</v>
      </c>
      <c r="I2179" s="11">
        <f t="shared" si="154"/>
        <v>72</v>
      </c>
      <c r="J2179" s="11"/>
    </row>
    <row r="2180" spans="1:10" x14ac:dyDescent="0.25">
      <c r="A2180" s="2">
        <v>42718</v>
      </c>
      <c r="B2180" s="3">
        <v>494</v>
      </c>
      <c r="C2180" s="4">
        <v>232180</v>
      </c>
      <c r="D2180" s="3">
        <v>325</v>
      </c>
      <c r="E2180" s="4">
        <v>237250</v>
      </c>
      <c r="G2180" s="12">
        <f t="shared" si="152"/>
        <v>2016</v>
      </c>
      <c r="H2180" s="12">
        <f t="shared" si="153"/>
        <v>12</v>
      </c>
      <c r="I2180" s="11">
        <f t="shared" si="154"/>
        <v>72</v>
      </c>
      <c r="J2180" s="11"/>
    </row>
    <row r="2181" spans="1:10" x14ac:dyDescent="0.25">
      <c r="A2181" s="2">
        <v>42719</v>
      </c>
      <c r="B2181" s="3">
        <v>437</v>
      </c>
      <c r="C2181" s="4">
        <v>205390</v>
      </c>
      <c r="D2181" s="3">
        <v>298</v>
      </c>
      <c r="E2181" s="4">
        <v>217540</v>
      </c>
      <c r="G2181" s="12">
        <f t="shared" si="152"/>
        <v>2016</v>
      </c>
      <c r="H2181" s="12">
        <f t="shared" si="153"/>
        <v>12</v>
      </c>
      <c r="I2181" s="11">
        <f t="shared" si="154"/>
        <v>72</v>
      </c>
      <c r="J2181" s="11"/>
    </row>
    <row r="2182" spans="1:10" x14ac:dyDescent="0.25">
      <c r="A2182" s="2">
        <v>42720</v>
      </c>
      <c r="B2182" s="3">
        <v>356</v>
      </c>
      <c r="C2182" s="4">
        <v>167320</v>
      </c>
      <c r="D2182" s="3">
        <v>303</v>
      </c>
      <c r="E2182" s="4">
        <v>221190</v>
      </c>
      <c r="G2182" s="12">
        <f t="shared" ref="G2182:G2245" si="155">+YEAR(A2182)</f>
        <v>2016</v>
      </c>
      <c r="H2182" s="12">
        <f t="shared" ref="H2182:H2245" si="156">+MONTH(A2182)</f>
        <v>12</v>
      </c>
      <c r="I2182" s="11">
        <f t="shared" si="154"/>
        <v>72</v>
      </c>
      <c r="J2182" s="11"/>
    </row>
    <row r="2183" spans="1:10" x14ac:dyDescent="0.25">
      <c r="A2183" s="2">
        <v>42721</v>
      </c>
      <c r="B2183" s="3">
        <v>481</v>
      </c>
      <c r="C2183" s="4">
        <v>226070</v>
      </c>
      <c r="D2183" s="3">
        <v>347</v>
      </c>
      <c r="E2183" s="4">
        <v>253310</v>
      </c>
      <c r="G2183" s="12">
        <f t="shared" si="155"/>
        <v>2016</v>
      </c>
      <c r="H2183" s="12">
        <f t="shared" si="156"/>
        <v>12</v>
      </c>
      <c r="I2183" s="11">
        <f t="shared" ref="I2183:I2246" si="157">+H2183+(G2183-2011)*12</f>
        <v>72</v>
      </c>
      <c r="J2183" s="11"/>
    </row>
    <row r="2184" spans="1:10" x14ac:dyDescent="0.25">
      <c r="A2184" s="2">
        <v>42722</v>
      </c>
      <c r="B2184" s="3">
        <v>529</v>
      </c>
      <c r="C2184" s="4">
        <v>248630</v>
      </c>
      <c r="D2184" s="3">
        <v>317</v>
      </c>
      <c r="E2184" s="4">
        <v>231410</v>
      </c>
      <c r="G2184" s="12">
        <f t="shared" si="155"/>
        <v>2016</v>
      </c>
      <c r="H2184" s="12">
        <f t="shared" si="156"/>
        <v>12</v>
      </c>
      <c r="I2184" s="11">
        <f t="shared" si="157"/>
        <v>72</v>
      </c>
      <c r="J2184" s="11"/>
    </row>
    <row r="2185" spans="1:10" x14ac:dyDescent="0.25">
      <c r="A2185" s="2">
        <v>42723</v>
      </c>
      <c r="B2185" s="3">
        <v>448</v>
      </c>
      <c r="C2185" s="4">
        <v>210560</v>
      </c>
      <c r="D2185" s="3">
        <v>341</v>
      </c>
      <c r="E2185" s="4">
        <v>248930</v>
      </c>
      <c r="G2185" s="12">
        <f t="shared" si="155"/>
        <v>2016</v>
      </c>
      <c r="H2185" s="12">
        <f t="shared" si="156"/>
        <v>12</v>
      </c>
      <c r="I2185" s="11">
        <f t="shared" si="157"/>
        <v>72</v>
      </c>
      <c r="J2185" s="11"/>
    </row>
    <row r="2186" spans="1:10" x14ac:dyDescent="0.25">
      <c r="A2186" s="2">
        <v>42724</v>
      </c>
      <c r="B2186" s="3">
        <v>429</v>
      </c>
      <c r="C2186" s="4">
        <v>201630</v>
      </c>
      <c r="D2186" s="3">
        <v>233</v>
      </c>
      <c r="E2186" s="4">
        <v>170090</v>
      </c>
      <c r="G2186" s="12">
        <f t="shared" si="155"/>
        <v>2016</v>
      </c>
      <c r="H2186" s="12">
        <f t="shared" si="156"/>
        <v>12</v>
      </c>
      <c r="I2186" s="11">
        <f t="shared" si="157"/>
        <v>72</v>
      </c>
      <c r="J2186" s="11"/>
    </row>
    <row r="2187" spans="1:10" x14ac:dyDescent="0.25">
      <c r="A2187" s="2">
        <v>42725</v>
      </c>
      <c r="B2187" s="3">
        <v>495</v>
      </c>
      <c r="C2187" s="4">
        <v>232650</v>
      </c>
      <c r="D2187" s="3">
        <v>267</v>
      </c>
      <c r="E2187" s="4">
        <v>194910</v>
      </c>
      <c r="G2187" s="12">
        <f t="shared" si="155"/>
        <v>2016</v>
      </c>
      <c r="H2187" s="12">
        <f t="shared" si="156"/>
        <v>12</v>
      </c>
      <c r="I2187" s="11">
        <f t="shared" si="157"/>
        <v>72</v>
      </c>
      <c r="J2187" s="11"/>
    </row>
    <row r="2188" spans="1:10" x14ac:dyDescent="0.25">
      <c r="A2188" s="2">
        <v>42726</v>
      </c>
      <c r="B2188" s="3">
        <v>442</v>
      </c>
      <c r="C2188" s="4">
        <v>207740</v>
      </c>
      <c r="D2188" s="3">
        <v>298</v>
      </c>
      <c r="E2188" s="4">
        <v>217540</v>
      </c>
      <c r="G2188" s="12">
        <f t="shared" si="155"/>
        <v>2016</v>
      </c>
      <c r="H2188" s="12">
        <f t="shared" si="156"/>
        <v>12</v>
      </c>
      <c r="I2188" s="11">
        <f t="shared" si="157"/>
        <v>72</v>
      </c>
      <c r="J2188" s="11"/>
    </row>
    <row r="2189" spans="1:10" x14ac:dyDescent="0.25">
      <c r="A2189" s="2">
        <v>42727</v>
      </c>
      <c r="B2189" s="3">
        <v>391</v>
      </c>
      <c r="C2189" s="4">
        <v>183770</v>
      </c>
      <c r="D2189" s="3">
        <v>335</v>
      </c>
      <c r="E2189" s="4">
        <v>244550</v>
      </c>
      <c r="G2189" s="12">
        <f t="shared" si="155"/>
        <v>2016</v>
      </c>
      <c r="H2189" s="12">
        <f t="shared" si="156"/>
        <v>12</v>
      </c>
      <c r="I2189" s="11">
        <f t="shared" si="157"/>
        <v>72</v>
      </c>
      <c r="J2189" s="11"/>
    </row>
    <row r="2190" spans="1:10" x14ac:dyDescent="0.25">
      <c r="A2190" s="2">
        <v>42728</v>
      </c>
      <c r="B2190" s="3">
        <v>492</v>
      </c>
      <c r="C2190" s="4">
        <v>231240</v>
      </c>
      <c r="D2190" s="3">
        <v>241</v>
      </c>
      <c r="E2190" s="4">
        <v>175930</v>
      </c>
      <c r="G2190" s="12">
        <f t="shared" si="155"/>
        <v>2016</v>
      </c>
      <c r="H2190" s="12">
        <f t="shared" si="156"/>
        <v>12</v>
      </c>
      <c r="I2190" s="11">
        <f t="shared" si="157"/>
        <v>72</v>
      </c>
      <c r="J2190" s="11"/>
    </row>
    <row r="2191" spans="1:10" x14ac:dyDescent="0.25">
      <c r="A2191" s="2">
        <v>42729</v>
      </c>
      <c r="B2191" s="3">
        <v>493</v>
      </c>
      <c r="C2191" s="4">
        <v>231710</v>
      </c>
      <c r="D2191" s="3">
        <v>316</v>
      </c>
      <c r="E2191" s="4">
        <v>230680</v>
      </c>
      <c r="G2191" s="12">
        <f t="shared" si="155"/>
        <v>2016</v>
      </c>
      <c r="H2191" s="12">
        <f t="shared" si="156"/>
        <v>12</v>
      </c>
      <c r="I2191" s="11">
        <f t="shared" si="157"/>
        <v>72</v>
      </c>
      <c r="J2191" s="11"/>
    </row>
    <row r="2192" spans="1:10" x14ac:dyDescent="0.25">
      <c r="A2192" s="2">
        <v>42730</v>
      </c>
      <c r="B2192" s="3">
        <v>492</v>
      </c>
      <c r="C2192" s="4">
        <v>231240</v>
      </c>
      <c r="D2192" s="3">
        <v>275</v>
      </c>
      <c r="E2192" s="4">
        <v>200750</v>
      </c>
      <c r="G2192" s="12">
        <f t="shared" si="155"/>
        <v>2016</v>
      </c>
      <c r="H2192" s="12">
        <f t="shared" si="156"/>
        <v>12</v>
      </c>
      <c r="I2192" s="11">
        <f t="shared" si="157"/>
        <v>72</v>
      </c>
      <c r="J2192" s="11"/>
    </row>
    <row r="2193" spans="1:10" x14ac:dyDescent="0.25">
      <c r="A2193" s="2">
        <v>42731</v>
      </c>
      <c r="B2193" s="3">
        <v>414</v>
      </c>
      <c r="C2193" s="4">
        <v>194580</v>
      </c>
      <c r="D2193" s="3">
        <v>223</v>
      </c>
      <c r="E2193" s="4">
        <v>162790</v>
      </c>
      <c r="G2193" s="12">
        <f t="shared" si="155"/>
        <v>2016</v>
      </c>
      <c r="H2193" s="12">
        <f t="shared" si="156"/>
        <v>12</v>
      </c>
      <c r="I2193" s="11">
        <f t="shared" si="157"/>
        <v>72</v>
      </c>
      <c r="J2193" s="11"/>
    </row>
    <row r="2194" spans="1:10" x14ac:dyDescent="0.25">
      <c r="A2194" s="2">
        <v>42732</v>
      </c>
      <c r="B2194" s="3">
        <v>481</v>
      </c>
      <c r="C2194" s="4">
        <v>226070</v>
      </c>
      <c r="D2194" s="3">
        <v>276</v>
      </c>
      <c r="E2194" s="4">
        <v>201480</v>
      </c>
      <c r="G2194" s="12">
        <f t="shared" si="155"/>
        <v>2016</v>
      </c>
      <c r="H2194" s="12">
        <f t="shared" si="156"/>
        <v>12</v>
      </c>
      <c r="I2194" s="11">
        <f t="shared" si="157"/>
        <v>72</v>
      </c>
      <c r="J2194" s="11"/>
    </row>
    <row r="2195" spans="1:10" x14ac:dyDescent="0.25">
      <c r="A2195" s="2">
        <v>42733</v>
      </c>
      <c r="B2195" s="3">
        <v>481</v>
      </c>
      <c r="C2195" s="4">
        <v>226070</v>
      </c>
      <c r="D2195" s="3">
        <v>239</v>
      </c>
      <c r="E2195" s="4">
        <v>174470</v>
      </c>
      <c r="G2195" s="12">
        <f t="shared" si="155"/>
        <v>2016</v>
      </c>
      <c r="H2195" s="12">
        <f t="shared" si="156"/>
        <v>12</v>
      </c>
      <c r="I2195" s="11">
        <f t="shared" si="157"/>
        <v>72</v>
      </c>
      <c r="J2195" s="11"/>
    </row>
    <row r="2196" spans="1:10" x14ac:dyDescent="0.25">
      <c r="A2196" s="2">
        <v>42734</v>
      </c>
      <c r="B2196" s="3">
        <v>547</v>
      </c>
      <c r="C2196" s="4">
        <v>257090</v>
      </c>
      <c r="D2196" s="3">
        <v>309</v>
      </c>
      <c r="E2196" s="4">
        <v>225570</v>
      </c>
      <c r="G2196" s="12">
        <f t="shared" si="155"/>
        <v>2016</v>
      </c>
      <c r="H2196" s="12">
        <f t="shared" si="156"/>
        <v>12</v>
      </c>
      <c r="I2196" s="11">
        <f t="shared" si="157"/>
        <v>72</v>
      </c>
      <c r="J2196" s="11"/>
    </row>
    <row r="2197" spans="1:10" x14ac:dyDescent="0.25">
      <c r="A2197" s="2">
        <v>42735</v>
      </c>
      <c r="B2197" s="3">
        <v>502</v>
      </c>
      <c r="C2197" s="4">
        <v>235940</v>
      </c>
      <c r="D2197" s="3">
        <v>297</v>
      </c>
      <c r="E2197" s="4">
        <v>216810</v>
      </c>
      <c r="G2197" s="12">
        <f t="shared" si="155"/>
        <v>2016</v>
      </c>
      <c r="H2197" s="12">
        <f t="shared" si="156"/>
        <v>12</v>
      </c>
      <c r="I2197" s="11">
        <f t="shared" si="157"/>
        <v>72</v>
      </c>
      <c r="J2197" s="11"/>
    </row>
    <row r="2198" spans="1:10" x14ac:dyDescent="0.25">
      <c r="A2198" s="2">
        <v>42736</v>
      </c>
      <c r="B2198" s="3">
        <v>390</v>
      </c>
      <c r="C2198" s="4">
        <v>183300</v>
      </c>
      <c r="D2198" s="3">
        <v>316</v>
      </c>
      <c r="E2198" s="4">
        <v>230680</v>
      </c>
      <c r="G2198" s="12">
        <f t="shared" si="155"/>
        <v>2017</v>
      </c>
      <c r="H2198" s="12">
        <f t="shared" si="156"/>
        <v>1</v>
      </c>
      <c r="I2198" s="11">
        <f t="shared" si="157"/>
        <v>73</v>
      </c>
      <c r="J2198" s="11"/>
    </row>
    <row r="2199" spans="1:10" x14ac:dyDescent="0.25">
      <c r="A2199" s="2">
        <v>42737</v>
      </c>
      <c r="B2199" s="3">
        <v>478</v>
      </c>
      <c r="C2199" s="4">
        <v>224660</v>
      </c>
      <c r="D2199" s="3">
        <v>306</v>
      </c>
      <c r="E2199" s="4">
        <v>223380</v>
      </c>
      <c r="G2199" s="12">
        <f t="shared" si="155"/>
        <v>2017</v>
      </c>
      <c r="H2199" s="12">
        <f t="shared" si="156"/>
        <v>1</v>
      </c>
      <c r="I2199" s="11">
        <f t="shared" si="157"/>
        <v>73</v>
      </c>
      <c r="J2199" s="11"/>
    </row>
    <row r="2200" spans="1:10" x14ac:dyDescent="0.25">
      <c r="A2200" s="2">
        <v>42738</v>
      </c>
      <c r="B2200" s="3">
        <v>440</v>
      </c>
      <c r="C2200" s="4">
        <v>206800</v>
      </c>
      <c r="D2200" s="3">
        <v>274</v>
      </c>
      <c r="E2200" s="4">
        <v>200020</v>
      </c>
      <c r="G2200" s="12">
        <f t="shared" si="155"/>
        <v>2017</v>
      </c>
      <c r="H2200" s="12">
        <f t="shared" si="156"/>
        <v>1</v>
      </c>
      <c r="I2200" s="11">
        <f t="shared" si="157"/>
        <v>73</v>
      </c>
      <c r="J2200" s="11"/>
    </row>
    <row r="2201" spans="1:10" x14ac:dyDescent="0.25">
      <c r="A2201" s="2">
        <v>42739</v>
      </c>
      <c r="B2201" s="3">
        <v>459</v>
      </c>
      <c r="C2201" s="4">
        <v>215730</v>
      </c>
      <c r="D2201" s="3">
        <v>322</v>
      </c>
      <c r="E2201" s="4">
        <v>235060</v>
      </c>
      <c r="G2201" s="12">
        <f t="shared" si="155"/>
        <v>2017</v>
      </c>
      <c r="H2201" s="12">
        <f t="shared" si="156"/>
        <v>1</v>
      </c>
      <c r="I2201" s="11">
        <f t="shared" si="157"/>
        <v>73</v>
      </c>
      <c r="J2201" s="11"/>
    </row>
    <row r="2202" spans="1:10" x14ac:dyDescent="0.25">
      <c r="A2202" s="2">
        <v>42740</v>
      </c>
      <c r="B2202" s="3">
        <v>467</v>
      </c>
      <c r="C2202" s="4">
        <v>219490</v>
      </c>
      <c r="D2202" s="3">
        <v>315</v>
      </c>
      <c r="E2202" s="4">
        <v>229950</v>
      </c>
      <c r="G2202" s="12">
        <f t="shared" si="155"/>
        <v>2017</v>
      </c>
      <c r="H2202" s="12">
        <f t="shared" si="156"/>
        <v>1</v>
      </c>
      <c r="I2202" s="11">
        <f t="shared" si="157"/>
        <v>73</v>
      </c>
      <c r="J2202" s="11"/>
    </row>
    <row r="2203" spans="1:10" x14ac:dyDescent="0.25">
      <c r="A2203" s="2">
        <v>42741</v>
      </c>
      <c r="B2203" s="3">
        <v>464</v>
      </c>
      <c r="C2203" s="4">
        <v>218080</v>
      </c>
      <c r="D2203" s="3">
        <v>323</v>
      </c>
      <c r="E2203" s="4">
        <v>235790</v>
      </c>
      <c r="G2203" s="12">
        <f t="shared" si="155"/>
        <v>2017</v>
      </c>
      <c r="H2203" s="12">
        <f t="shared" si="156"/>
        <v>1</v>
      </c>
      <c r="I2203" s="11">
        <f t="shared" si="157"/>
        <v>73</v>
      </c>
      <c r="J2203" s="11"/>
    </row>
    <row r="2204" spans="1:10" x14ac:dyDescent="0.25">
      <c r="A2204" s="2">
        <v>42742</v>
      </c>
      <c r="B2204" s="3">
        <v>548</v>
      </c>
      <c r="C2204" s="4">
        <v>257560</v>
      </c>
      <c r="D2204" s="3">
        <v>322</v>
      </c>
      <c r="E2204" s="4">
        <v>235060</v>
      </c>
      <c r="G2204" s="12">
        <f t="shared" si="155"/>
        <v>2017</v>
      </c>
      <c r="H2204" s="12">
        <f t="shared" si="156"/>
        <v>1</v>
      </c>
      <c r="I2204" s="11">
        <f t="shared" si="157"/>
        <v>73</v>
      </c>
      <c r="J2204" s="11"/>
    </row>
    <row r="2205" spans="1:10" x14ac:dyDescent="0.25">
      <c r="A2205" s="2">
        <v>42743</v>
      </c>
      <c r="B2205" s="3">
        <v>450</v>
      </c>
      <c r="C2205" s="4">
        <v>211500</v>
      </c>
      <c r="D2205" s="3">
        <v>313</v>
      </c>
      <c r="E2205" s="4">
        <v>228490</v>
      </c>
      <c r="G2205" s="12">
        <f t="shared" si="155"/>
        <v>2017</v>
      </c>
      <c r="H2205" s="12">
        <f t="shared" si="156"/>
        <v>1</v>
      </c>
      <c r="I2205" s="11">
        <f t="shared" si="157"/>
        <v>73</v>
      </c>
      <c r="J2205" s="11"/>
    </row>
    <row r="2206" spans="1:10" x14ac:dyDescent="0.25">
      <c r="A2206" s="2">
        <v>42744</v>
      </c>
      <c r="B2206" s="3">
        <v>506</v>
      </c>
      <c r="C2206" s="4">
        <v>237820</v>
      </c>
      <c r="D2206" s="3">
        <v>284</v>
      </c>
      <c r="E2206" s="4">
        <v>207320</v>
      </c>
      <c r="G2206" s="12">
        <f t="shared" si="155"/>
        <v>2017</v>
      </c>
      <c r="H2206" s="12">
        <f t="shared" si="156"/>
        <v>1</v>
      </c>
      <c r="I2206" s="11">
        <f t="shared" si="157"/>
        <v>73</v>
      </c>
      <c r="J2206" s="11"/>
    </row>
    <row r="2207" spans="1:10" x14ac:dyDescent="0.25">
      <c r="A2207" s="2">
        <v>42745</v>
      </c>
      <c r="B2207" s="3">
        <v>529</v>
      </c>
      <c r="C2207" s="4">
        <v>248630</v>
      </c>
      <c r="D2207" s="3">
        <v>315</v>
      </c>
      <c r="E2207" s="4">
        <v>229950</v>
      </c>
      <c r="G2207" s="12">
        <f t="shared" si="155"/>
        <v>2017</v>
      </c>
      <c r="H2207" s="12">
        <f t="shared" si="156"/>
        <v>1</v>
      </c>
      <c r="I2207" s="11">
        <f t="shared" si="157"/>
        <v>73</v>
      </c>
      <c r="J2207" s="11"/>
    </row>
    <row r="2208" spans="1:10" x14ac:dyDescent="0.25">
      <c r="A2208" s="2">
        <v>42746</v>
      </c>
      <c r="B2208" s="3">
        <v>473</v>
      </c>
      <c r="C2208" s="4">
        <v>222310</v>
      </c>
      <c r="D2208" s="3">
        <v>345</v>
      </c>
      <c r="E2208" s="4">
        <v>251850</v>
      </c>
      <c r="G2208" s="12">
        <f t="shared" si="155"/>
        <v>2017</v>
      </c>
      <c r="H2208" s="12">
        <f t="shared" si="156"/>
        <v>1</v>
      </c>
      <c r="I2208" s="11">
        <f t="shared" si="157"/>
        <v>73</v>
      </c>
      <c r="J2208" s="11"/>
    </row>
    <row r="2209" spans="1:10" x14ac:dyDescent="0.25">
      <c r="A2209" s="2">
        <v>42747</v>
      </c>
      <c r="B2209" s="3">
        <v>452</v>
      </c>
      <c r="C2209" s="4">
        <v>212440</v>
      </c>
      <c r="D2209" s="3">
        <v>304</v>
      </c>
      <c r="E2209" s="4">
        <v>221920</v>
      </c>
      <c r="G2209" s="12">
        <f t="shared" si="155"/>
        <v>2017</v>
      </c>
      <c r="H2209" s="12">
        <f t="shared" si="156"/>
        <v>1</v>
      </c>
      <c r="I2209" s="11">
        <f t="shared" si="157"/>
        <v>73</v>
      </c>
      <c r="J2209" s="11"/>
    </row>
    <row r="2210" spans="1:10" x14ac:dyDescent="0.25">
      <c r="A2210" s="2">
        <v>42748</v>
      </c>
      <c r="B2210" s="3">
        <v>469</v>
      </c>
      <c r="C2210" s="4">
        <v>220430</v>
      </c>
      <c r="D2210" s="3">
        <v>321</v>
      </c>
      <c r="E2210" s="4">
        <v>234330</v>
      </c>
      <c r="G2210" s="12">
        <f t="shared" si="155"/>
        <v>2017</v>
      </c>
      <c r="H2210" s="12">
        <f t="shared" si="156"/>
        <v>1</v>
      </c>
      <c r="I2210" s="11">
        <f t="shared" si="157"/>
        <v>73</v>
      </c>
      <c r="J2210" s="11"/>
    </row>
    <row r="2211" spans="1:10" x14ac:dyDescent="0.25">
      <c r="A2211" s="2">
        <v>42749</v>
      </c>
      <c r="B2211" s="3">
        <v>564</v>
      </c>
      <c r="C2211" s="4">
        <v>265080</v>
      </c>
      <c r="D2211" s="3">
        <v>287</v>
      </c>
      <c r="E2211" s="4">
        <v>209510</v>
      </c>
      <c r="G2211" s="12">
        <f t="shared" si="155"/>
        <v>2017</v>
      </c>
      <c r="H2211" s="12">
        <f t="shared" si="156"/>
        <v>1</v>
      </c>
      <c r="I2211" s="11">
        <f t="shared" si="157"/>
        <v>73</v>
      </c>
      <c r="J2211" s="11"/>
    </row>
    <row r="2212" spans="1:10" x14ac:dyDescent="0.25">
      <c r="A2212" s="2">
        <v>42750</v>
      </c>
      <c r="B2212" s="3">
        <v>532</v>
      </c>
      <c r="C2212" s="4">
        <v>250040</v>
      </c>
      <c r="D2212" s="3">
        <v>331</v>
      </c>
      <c r="E2212" s="4">
        <v>241630</v>
      </c>
      <c r="G2212" s="12">
        <f t="shared" si="155"/>
        <v>2017</v>
      </c>
      <c r="H2212" s="12">
        <f t="shared" si="156"/>
        <v>1</v>
      </c>
      <c r="I2212" s="11">
        <f t="shared" si="157"/>
        <v>73</v>
      </c>
      <c r="J2212" s="11"/>
    </row>
    <row r="2213" spans="1:10" x14ac:dyDescent="0.25">
      <c r="A2213" s="2">
        <v>42751</v>
      </c>
      <c r="B2213" s="3">
        <v>365</v>
      </c>
      <c r="C2213" s="4">
        <v>171550</v>
      </c>
      <c r="D2213" s="3">
        <v>313</v>
      </c>
      <c r="E2213" s="4">
        <v>228490</v>
      </c>
      <c r="G2213" s="12">
        <f t="shared" si="155"/>
        <v>2017</v>
      </c>
      <c r="H2213" s="12">
        <f t="shared" si="156"/>
        <v>1</v>
      </c>
      <c r="I2213" s="11">
        <f t="shared" si="157"/>
        <v>73</v>
      </c>
      <c r="J2213" s="11"/>
    </row>
    <row r="2214" spans="1:10" x14ac:dyDescent="0.25">
      <c r="A2214" s="2">
        <v>42752</v>
      </c>
      <c r="B2214" s="3">
        <v>504</v>
      </c>
      <c r="C2214" s="4">
        <v>236880</v>
      </c>
      <c r="D2214" s="3">
        <v>290</v>
      </c>
      <c r="E2214" s="4">
        <v>211700</v>
      </c>
      <c r="G2214" s="12">
        <f t="shared" si="155"/>
        <v>2017</v>
      </c>
      <c r="H2214" s="12">
        <f t="shared" si="156"/>
        <v>1</v>
      </c>
      <c r="I2214" s="11">
        <f t="shared" si="157"/>
        <v>73</v>
      </c>
      <c r="J2214" s="11"/>
    </row>
    <row r="2215" spans="1:10" x14ac:dyDescent="0.25">
      <c r="A2215" s="2">
        <v>42753</v>
      </c>
      <c r="B2215" s="3">
        <v>468</v>
      </c>
      <c r="C2215" s="4">
        <v>219960</v>
      </c>
      <c r="D2215" s="3">
        <v>272</v>
      </c>
      <c r="E2215" s="4">
        <v>198560</v>
      </c>
      <c r="G2215" s="12">
        <f t="shared" si="155"/>
        <v>2017</v>
      </c>
      <c r="H2215" s="12">
        <f t="shared" si="156"/>
        <v>1</v>
      </c>
      <c r="I2215" s="11">
        <f t="shared" si="157"/>
        <v>73</v>
      </c>
      <c r="J2215" s="11"/>
    </row>
    <row r="2216" spans="1:10" x14ac:dyDescent="0.25">
      <c r="A2216" s="2">
        <v>42754</v>
      </c>
      <c r="B2216" s="3">
        <v>452</v>
      </c>
      <c r="C2216" s="4">
        <v>212440</v>
      </c>
      <c r="D2216" s="3">
        <v>288</v>
      </c>
      <c r="E2216" s="4">
        <v>210240</v>
      </c>
      <c r="G2216" s="12">
        <f t="shared" si="155"/>
        <v>2017</v>
      </c>
      <c r="H2216" s="12">
        <f t="shared" si="156"/>
        <v>1</v>
      </c>
      <c r="I2216" s="11">
        <f t="shared" si="157"/>
        <v>73</v>
      </c>
      <c r="J2216" s="11"/>
    </row>
    <row r="2217" spans="1:10" x14ac:dyDescent="0.25">
      <c r="A2217" s="2">
        <v>42755</v>
      </c>
      <c r="B2217" s="3">
        <v>477</v>
      </c>
      <c r="C2217" s="4">
        <v>224190</v>
      </c>
      <c r="D2217" s="3">
        <v>328</v>
      </c>
      <c r="E2217" s="4">
        <v>239440</v>
      </c>
      <c r="G2217" s="12">
        <f t="shared" si="155"/>
        <v>2017</v>
      </c>
      <c r="H2217" s="12">
        <f t="shared" si="156"/>
        <v>1</v>
      </c>
      <c r="I2217" s="11">
        <f t="shared" si="157"/>
        <v>73</v>
      </c>
      <c r="J2217" s="11"/>
    </row>
    <row r="2218" spans="1:10" x14ac:dyDescent="0.25">
      <c r="A2218" s="2">
        <v>42756</v>
      </c>
      <c r="B2218" s="3">
        <v>521</v>
      </c>
      <c r="C2218" s="4">
        <v>244870</v>
      </c>
      <c r="D2218" s="3">
        <v>379</v>
      </c>
      <c r="E2218" s="4">
        <v>276670</v>
      </c>
      <c r="G2218" s="12">
        <f t="shared" si="155"/>
        <v>2017</v>
      </c>
      <c r="H2218" s="12">
        <f t="shared" si="156"/>
        <v>1</v>
      </c>
      <c r="I2218" s="11">
        <f t="shared" si="157"/>
        <v>73</v>
      </c>
      <c r="J2218" s="11"/>
    </row>
    <row r="2219" spans="1:10" x14ac:dyDescent="0.25">
      <c r="A2219" s="2">
        <v>42757</v>
      </c>
      <c r="B2219" s="3">
        <v>532</v>
      </c>
      <c r="C2219" s="4">
        <v>250040</v>
      </c>
      <c r="D2219" s="3">
        <v>298</v>
      </c>
      <c r="E2219" s="4">
        <v>217540</v>
      </c>
      <c r="G2219" s="12">
        <f t="shared" si="155"/>
        <v>2017</v>
      </c>
      <c r="H2219" s="12">
        <f t="shared" si="156"/>
        <v>1</v>
      </c>
      <c r="I2219" s="11">
        <f t="shared" si="157"/>
        <v>73</v>
      </c>
      <c r="J2219" s="11"/>
    </row>
    <row r="2220" spans="1:10" x14ac:dyDescent="0.25">
      <c r="A2220" s="2">
        <v>42758</v>
      </c>
      <c r="B2220" s="3">
        <v>521</v>
      </c>
      <c r="C2220" s="4">
        <v>244870</v>
      </c>
      <c r="D2220" s="3">
        <v>327</v>
      </c>
      <c r="E2220" s="4">
        <v>238710</v>
      </c>
      <c r="G2220" s="12">
        <f t="shared" si="155"/>
        <v>2017</v>
      </c>
      <c r="H2220" s="12">
        <f t="shared" si="156"/>
        <v>1</v>
      </c>
      <c r="I2220" s="11">
        <f t="shared" si="157"/>
        <v>73</v>
      </c>
      <c r="J2220" s="11"/>
    </row>
    <row r="2221" spans="1:10" x14ac:dyDescent="0.25">
      <c r="A2221" s="2">
        <v>42759</v>
      </c>
      <c r="B2221" s="3">
        <v>513</v>
      </c>
      <c r="C2221" s="4">
        <v>241110</v>
      </c>
      <c r="D2221" s="3">
        <v>325</v>
      </c>
      <c r="E2221" s="4">
        <v>237250</v>
      </c>
      <c r="G2221" s="12">
        <f t="shared" si="155"/>
        <v>2017</v>
      </c>
      <c r="H2221" s="12">
        <f t="shared" si="156"/>
        <v>1</v>
      </c>
      <c r="I2221" s="11">
        <f t="shared" si="157"/>
        <v>73</v>
      </c>
      <c r="J2221" s="11"/>
    </row>
    <row r="2222" spans="1:10" x14ac:dyDescent="0.25">
      <c r="A2222" s="2">
        <v>42760</v>
      </c>
      <c r="B2222" s="3">
        <v>429</v>
      </c>
      <c r="C2222" s="4">
        <v>201630</v>
      </c>
      <c r="D2222" s="3">
        <v>284</v>
      </c>
      <c r="E2222" s="4">
        <v>207320</v>
      </c>
      <c r="G2222" s="12">
        <f t="shared" si="155"/>
        <v>2017</v>
      </c>
      <c r="H2222" s="12">
        <f t="shared" si="156"/>
        <v>1</v>
      </c>
      <c r="I2222" s="11">
        <f t="shared" si="157"/>
        <v>73</v>
      </c>
      <c r="J2222" s="11"/>
    </row>
    <row r="2223" spans="1:10" x14ac:dyDescent="0.25">
      <c r="A2223" s="2">
        <v>42761</v>
      </c>
      <c r="B2223" s="3">
        <v>473</v>
      </c>
      <c r="C2223" s="4">
        <v>222310</v>
      </c>
      <c r="D2223" s="3">
        <v>337</v>
      </c>
      <c r="E2223" s="4">
        <v>246010</v>
      </c>
      <c r="G2223" s="12">
        <f t="shared" si="155"/>
        <v>2017</v>
      </c>
      <c r="H2223" s="12">
        <f t="shared" si="156"/>
        <v>1</v>
      </c>
      <c r="I2223" s="11">
        <f t="shared" si="157"/>
        <v>73</v>
      </c>
      <c r="J2223" s="11"/>
    </row>
    <row r="2224" spans="1:10" x14ac:dyDescent="0.25">
      <c r="A2224" s="2">
        <v>42762</v>
      </c>
      <c r="B2224" s="3">
        <v>520</v>
      </c>
      <c r="C2224" s="4">
        <v>244400</v>
      </c>
      <c r="D2224" s="3">
        <v>347</v>
      </c>
      <c r="E2224" s="4">
        <v>253310</v>
      </c>
      <c r="G2224" s="12">
        <f t="shared" si="155"/>
        <v>2017</v>
      </c>
      <c r="H2224" s="12">
        <f t="shared" si="156"/>
        <v>1</v>
      </c>
      <c r="I2224" s="11">
        <f t="shared" si="157"/>
        <v>73</v>
      </c>
      <c r="J2224" s="11"/>
    </row>
    <row r="2225" spans="1:10" x14ac:dyDescent="0.25">
      <c r="A2225" s="2">
        <v>42763</v>
      </c>
      <c r="B2225" s="3">
        <v>561</v>
      </c>
      <c r="C2225" s="4">
        <v>263670</v>
      </c>
      <c r="D2225" s="3">
        <v>276</v>
      </c>
      <c r="E2225" s="4">
        <v>201480</v>
      </c>
      <c r="G2225" s="12">
        <f t="shared" si="155"/>
        <v>2017</v>
      </c>
      <c r="H2225" s="12">
        <f t="shared" si="156"/>
        <v>1</v>
      </c>
      <c r="I2225" s="11">
        <f t="shared" si="157"/>
        <v>73</v>
      </c>
      <c r="J2225" s="11"/>
    </row>
    <row r="2226" spans="1:10" x14ac:dyDescent="0.25">
      <c r="A2226" s="2">
        <v>42764</v>
      </c>
      <c r="B2226" s="3">
        <v>416</v>
      </c>
      <c r="C2226" s="4">
        <v>195520</v>
      </c>
      <c r="D2226" s="3">
        <v>340</v>
      </c>
      <c r="E2226" s="4">
        <v>248200</v>
      </c>
      <c r="G2226" s="12">
        <f t="shared" si="155"/>
        <v>2017</v>
      </c>
      <c r="H2226" s="12">
        <f t="shared" si="156"/>
        <v>1</v>
      </c>
      <c r="I2226" s="11">
        <f t="shared" si="157"/>
        <v>73</v>
      </c>
      <c r="J2226" s="11"/>
    </row>
    <row r="2227" spans="1:10" x14ac:dyDescent="0.25">
      <c r="A2227" s="2">
        <v>42765</v>
      </c>
      <c r="B2227" s="3">
        <v>501</v>
      </c>
      <c r="C2227" s="4">
        <v>235470</v>
      </c>
      <c r="D2227" s="3">
        <v>295</v>
      </c>
      <c r="E2227" s="4">
        <v>215350</v>
      </c>
      <c r="G2227" s="12">
        <f t="shared" si="155"/>
        <v>2017</v>
      </c>
      <c r="H2227" s="12">
        <f t="shared" si="156"/>
        <v>1</v>
      </c>
      <c r="I2227" s="11">
        <f t="shared" si="157"/>
        <v>73</v>
      </c>
      <c r="J2227" s="11"/>
    </row>
    <row r="2228" spans="1:10" x14ac:dyDescent="0.25">
      <c r="A2228" s="2">
        <v>42766</v>
      </c>
      <c r="B2228" s="3">
        <v>529</v>
      </c>
      <c r="C2228" s="4">
        <v>248630</v>
      </c>
      <c r="D2228" s="3">
        <v>358</v>
      </c>
      <c r="E2228" s="4">
        <v>261340</v>
      </c>
      <c r="G2228" s="12">
        <f t="shared" si="155"/>
        <v>2017</v>
      </c>
      <c r="H2228" s="12">
        <f t="shared" si="156"/>
        <v>1</v>
      </c>
      <c r="I2228" s="11">
        <f t="shared" si="157"/>
        <v>73</v>
      </c>
      <c r="J2228" s="11"/>
    </row>
    <row r="2229" spans="1:10" x14ac:dyDescent="0.25">
      <c r="A2229" s="2">
        <v>42767</v>
      </c>
      <c r="B2229" s="3">
        <v>480</v>
      </c>
      <c r="C2229" s="4">
        <v>225600</v>
      </c>
      <c r="D2229" s="3">
        <v>311</v>
      </c>
      <c r="E2229" s="4">
        <v>227030</v>
      </c>
      <c r="G2229" s="12">
        <f t="shared" si="155"/>
        <v>2017</v>
      </c>
      <c r="H2229" s="12">
        <f t="shared" si="156"/>
        <v>2</v>
      </c>
      <c r="I2229" s="11">
        <f t="shared" si="157"/>
        <v>74</v>
      </c>
      <c r="J2229" s="11"/>
    </row>
    <row r="2230" spans="1:10" x14ac:dyDescent="0.25">
      <c r="A2230" s="2">
        <v>42768</v>
      </c>
      <c r="B2230" s="3">
        <v>386</v>
      </c>
      <c r="C2230" s="4">
        <v>181420</v>
      </c>
      <c r="D2230" s="3">
        <v>276</v>
      </c>
      <c r="E2230" s="4">
        <v>201480</v>
      </c>
      <c r="G2230" s="12">
        <f t="shared" si="155"/>
        <v>2017</v>
      </c>
      <c r="H2230" s="12">
        <f t="shared" si="156"/>
        <v>2</v>
      </c>
      <c r="I2230" s="11">
        <f t="shared" si="157"/>
        <v>74</v>
      </c>
      <c r="J2230" s="11"/>
    </row>
    <row r="2231" spans="1:10" x14ac:dyDescent="0.25">
      <c r="A2231" s="2">
        <v>42769</v>
      </c>
      <c r="B2231" s="3">
        <v>431</v>
      </c>
      <c r="C2231" s="4">
        <v>202570</v>
      </c>
      <c r="D2231" s="3">
        <v>270</v>
      </c>
      <c r="E2231" s="4">
        <v>197100</v>
      </c>
      <c r="G2231" s="12">
        <f t="shared" si="155"/>
        <v>2017</v>
      </c>
      <c r="H2231" s="12">
        <f t="shared" si="156"/>
        <v>2</v>
      </c>
      <c r="I2231" s="11">
        <f t="shared" si="157"/>
        <v>74</v>
      </c>
      <c r="J2231" s="11"/>
    </row>
    <row r="2232" spans="1:10" x14ac:dyDescent="0.25">
      <c r="A2232" s="2">
        <v>42770</v>
      </c>
      <c r="B2232" s="3">
        <v>455</v>
      </c>
      <c r="C2232" s="4">
        <v>213850</v>
      </c>
      <c r="D2232" s="3">
        <v>316</v>
      </c>
      <c r="E2232" s="4">
        <v>230680</v>
      </c>
      <c r="G2232" s="12">
        <f t="shared" si="155"/>
        <v>2017</v>
      </c>
      <c r="H2232" s="12">
        <f t="shared" si="156"/>
        <v>2</v>
      </c>
      <c r="I2232" s="11">
        <f t="shared" si="157"/>
        <v>74</v>
      </c>
      <c r="J2232" s="11"/>
    </row>
    <row r="2233" spans="1:10" x14ac:dyDescent="0.25">
      <c r="A2233" s="2">
        <v>42771</v>
      </c>
      <c r="B2233" s="3">
        <v>474</v>
      </c>
      <c r="C2233" s="4">
        <v>222780</v>
      </c>
      <c r="D2233" s="3">
        <v>330</v>
      </c>
      <c r="E2233" s="4">
        <v>240900</v>
      </c>
      <c r="G2233" s="12">
        <f t="shared" si="155"/>
        <v>2017</v>
      </c>
      <c r="H2233" s="12">
        <f t="shared" si="156"/>
        <v>2</v>
      </c>
      <c r="I2233" s="11">
        <f t="shared" si="157"/>
        <v>74</v>
      </c>
      <c r="J2233" s="11"/>
    </row>
    <row r="2234" spans="1:10" x14ac:dyDescent="0.25">
      <c r="A2234" s="2">
        <v>42772</v>
      </c>
      <c r="B2234" s="3">
        <v>451</v>
      </c>
      <c r="C2234" s="4">
        <v>211970</v>
      </c>
      <c r="D2234" s="3">
        <v>301</v>
      </c>
      <c r="E2234" s="4">
        <v>219730</v>
      </c>
      <c r="G2234" s="12">
        <f t="shared" si="155"/>
        <v>2017</v>
      </c>
      <c r="H2234" s="12">
        <f t="shared" si="156"/>
        <v>2</v>
      </c>
      <c r="I2234" s="11">
        <f t="shared" si="157"/>
        <v>74</v>
      </c>
      <c r="J2234" s="11"/>
    </row>
    <row r="2235" spans="1:10" x14ac:dyDescent="0.25">
      <c r="A2235" s="2">
        <v>42773</v>
      </c>
      <c r="B2235" s="3">
        <v>412</v>
      </c>
      <c r="C2235" s="4">
        <v>193640</v>
      </c>
      <c r="D2235" s="3">
        <v>229</v>
      </c>
      <c r="E2235" s="4">
        <v>167170</v>
      </c>
      <c r="G2235" s="12">
        <f t="shared" si="155"/>
        <v>2017</v>
      </c>
      <c r="H2235" s="12">
        <f t="shared" si="156"/>
        <v>2</v>
      </c>
      <c r="I2235" s="11">
        <f t="shared" si="157"/>
        <v>74</v>
      </c>
      <c r="J2235" s="11"/>
    </row>
    <row r="2236" spans="1:10" x14ac:dyDescent="0.25">
      <c r="A2236" s="2">
        <v>42774</v>
      </c>
      <c r="B2236" s="3">
        <v>422</v>
      </c>
      <c r="C2236" s="4">
        <v>198340</v>
      </c>
      <c r="D2236" s="3">
        <v>329</v>
      </c>
      <c r="E2236" s="4">
        <v>240170</v>
      </c>
      <c r="G2236" s="12">
        <f t="shared" si="155"/>
        <v>2017</v>
      </c>
      <c r="H2236" s="12">
        <f t="shared" si="156"/>
        <v>2</v>
      </c>
      <c r="I2236" s="11">
        <f t="shared" si="157"/>
        <v>74</v>
      </c>
      <c r="J2236" s="11"/>
    </row>
    <row r="2237" spans="1:10" x14ac:dyDescent="0.25">
      <c r="A2237" s="2">
        <v>42775</v>
      </c>
      <c r="B2237" s="3">
        <v>468</v>
      </c>
      <c r="C2237" s="4">
        <v>219960</v>
      </c>
      <c r="D2237" s="3">
        <v>282</v>
      </c>
      <c r="E2237" s="4">
        <v>205860</v>
      </c>
      <c r="G2237" s="12">
        <f t="shared" si="155"/>
        <v>2017</v>
      </c>
      <c r="H2237" s="12">
        <f t="shared" si="156"/>
        <v>2</v>
      </c>
      <c r="I2237" s="11">
        <f t="shared" si="157"/>
        <v>74</v>
      </c>
      <c r="J2237" s="11"/>
    </row>
    <row r="2238" spans="1:10" x14ac:dyDescent="0.25">
      <c r="A2238" s="2">
        <v>42776</v>
      </c>
      <c r="B2238" s="3">
        <v>449</v>
      </c>
      <c r="C2238" s="4">
        <v>211030</v>
      </c>
      <c r="D2238" s="3">
        <v>283</v>
      </c>
      <c r="E2238" s="4">
        <v>206590</v>
      </c>
      <c r="G2238" s="12">
        <f t="shared" si="155"/>
        <v>2017</v>
      </c>
      <c r="H2238" s="12">
        <f t="shared" si="156"/>
        <v>2</v>
      </c>
      <c r="I2238" s="11">
        <f t="shared" si="157"/>
        <v>74</v>
      </c>
      <c r="J2238" s="11"/>
    </row>
    <row r="2239" spans="1:10" x14ac:dyDescent="0.25">
      <c r="A2239" s="2">
        <v>42777</v>
      </c>
      <c r="B2239" s="3">
        <v>486</v>
      </c>
      <c r="C2239" s="4">
        <v>228420</v>
      </c>
      <c r="D2239" s="3">
        <v>305</v>
      </c>
      <c r="E2239" s="4">
        <v>222650</v>
      </c>
      <c r="G2239" s="12">
        <f t="shared" si="155"/>
        <v>2017</v>
      </c>
      <c r="H2239" s="12">
        <f t="shared" si="156"/>
        <v>2</v>
      </c>
      <c r="I2239" s="11">
        <f t="shared" si="157"/>
        <v>74</v>
      </c>
      <c r="J2239" s="11"/>
    </row>
    <row r="2240" spans="1:10" x14ac:dyDescent="0.25">
      <c r="A2240" s="2">
        <v>42778</v>
      </c>
      <c r="B2240" s="3">
        <v>473</v>
      </c>
      <c r="C2240" s="4">
        <v>222310</v>
      </c>
      <c r="D2240" s="3">
        <v>290</v>
      </c>
      <c r="E2240" s="4">
        <v>211700</v>
      </c>
      <c r="G2240" s="12">
        <f t="shared" si="155"/>
        <v>2017</v>
      </c>
      <c r="H2240" s="12">
        <f t="shared" si="156"/>
        <v>2</v>
      </c>
      <c r="I2240" s="11">
        <f t="shared" si="157"/>
        <v>74</v>
      </c>
      <c r="J2240" s="11"/>
    </row>
    <row r="2241" spans="1:10" x14ac:dyDescent="0.25">
      <c r="A2241" s="2">
        <v>42779</v>
      </c>
      <c r="B2241" s="3">
        <v>479</v>
      </c>
      <c r="C2241" s="4">
        <v>225130</v>
      </c>
      <c r="D2241" s="3">
        <v>308</v>
      </c>
      <c r="E2241" s="4">
        <v>224840</v>
      </c>
      <c r="G2241" s="12">
        <f t="shared" si="155"/>
        <v>2017</v>
      </c>
      <c r="H2241" s="12">
        <f t="shared" si="156"/>
        <v>2</v>
      </c>
      <c r="I2241" s="11">
        <f t="shared" si="157"/>
        <v>74</v>
      </c>
      <c r="J2241" s="11"/>
    </row>
    <row r="2242" spans="1:10" x14ac:dyDescent="0.25">
      <c r="A2242" s="2">
        <v>42780</v>
      </c>
      <c r="B2242" s="3">
        <v>429</v>
      </c>
      <c r="C2242" s="4">
        <v>201630</v>
      </c>
      <c r="D2242" s="3">
        <v>304</v>
      </c>
      <c r="E2242" s="4">
        <v>221920</v>
      </c>
      <c r="G2242" s="12">
        <f t="shared" si="155"/>
        <v>2017</v>
      </c>
      <c r="H2242" s="12">
        <f t="shared" si="156"/>
        <v>2</v>
      </c>
      <c r="I2242" s="11">
        <f t="shared" si="157"/>
        <v>74</v>
      </c>
      <c r="J2242" s="11"/>
    </row>
    <row r="2243" spans="1:10" x14ac:dyDescent="0.25">
      <c r="A2243" s="2">
        <v>42781</v>
      </c>
      <c r="B2243" s="3">
        <v>426</v>
      </c>
      <c r="C2243" s="4">
        <v>200220</v>
      </c>
      <c r="D2243" s="3">
        <v>328</v>
      </c>
      <c r="E2243" s="4">
        <v>239440</v>
      </c>
      <c r="G2243" s="12">
        <f t="shared" si="155"/>
        <v>2017</v>
      </c>
      <c r="H2243" s="12">
        <f t="shared" si="156"/>
        <v>2</v>
      </c>
      <c r="I2243" s="11">
        <f t="shared" si="157"/>
        <v>74</v>
      </c>
      <c r="J2243" s="11"/>
    </row>
    <row r="2244" spans="1:10" x14ac:dyDescent="0.25">
      <c r="A2244" s="2">
        <v>42782</v>
      </c>
      <c r="B2244" s="3">
        <v>454</v>
      </c>
      <c r="C2244" s="4">
        <v>213380</v>
      </c>
      <c r="D2244" s="3">
        <v>266</v>
      </c>
      <c r="E2244" s="4">
        <v>194180</v>
      </c>
      <c r="G2244" s="12">
        <f t="shared" si="155"/>
        <v>2017</v>
      </c>
      <c r="H2244" s="12">
        <f t="shared" si="156"/>
        <v>2</v>
      </c>
      <c r="I2244" s="11">
        <f t="shared" si="157"/>
        <v>74</v>
      </c>
      <c r="J2244" s="11"/>
    </row>
    <row r="2245" spans="1:10" x14ac:dyDescent="0.25">
      <c r="A2245" s="2">
        <v>42783</v>
      </c>
      <c r="B2245" s="3">
        <v>450</v>
      </c>
      <c r="C2245" s="4">
        <v>211500</v>
      </c>
      <c r="D2245" s="3">
        <v>261</v>
      </c>
      <c r="E2245" s="4">
        <v>190530</v>
      </c>
      <c r="G2245" s="12">
        <f t="shared" si="155"/>
        <v>2017</v>
      </c>
      <c r="H2245" s="12">
        <f t="shared" si="156"/>
        <v>2</v>
      </c>
      <c r="I2245" s="11">
        <f t="shared" si="157"/>
        <v>74</v>
      </c>
      <c r="J2245" s="11"/>
    </row>
    <row r="2246" spans="1:10" x14ac:dyDescent="0.25">
      <c r="A2246" s="2">
        <v>42784</v>
      </c>
      <c r="B2246" s="3">
        <v>400</v>
      </c>
      <c r="C2246" s="4">
        <v>188000</v>
      </c>
      <c r="D2246" s="3">
        <v>312</v>
      </c>
      <c r="E2246" s="4">
        <v>227760</v>
      </c>
      <c r="G2246" s="12">
        <f t="shared" ref="G2246:G2309" si="158">+YEAR(A2246)</f>
        <v>2017</v>
      </c>
      <c r="H2246" s="12">
        <f t="shared" ref="H2246:H2309" si="159">+MONTH(A2246)</f>
        <v>2</v>
      </c>
      <c r="I2246" s="11">
        <f t="shared" si="157"/>
        <v>74</v>
      </c>
      <c r="J2246" s="11"/>
    </row>
    <row r="2247" spans="1:10" x14ac:dyDescent="0.25">
      <c r="A2247" s="2">
        <v>42785</v>
      </c>
      <c r="B2247" s="3">
        <v>444</v>
      </c>
      <c r="C2247" s="4">
        <v>208680</v>
      </c>
      <c r="D2247" s="3">
        <v>293</v>
      </c>
      <c r="E2247" s="4">
        <v>213890</v>
      </c>
      <c r="G2247" s="12">
        <f t="shared" si="158"/>
        <v>2017</v>
      </c>
      <c r="H2247" s="12">
        <f t="shared" si="159"/>
        <v>2</v>
      </c>
      <c r="I2247" s="11">
        <f t="shared" ref="I2247:I2310" si="160">+H2247+(G2247-2011)*12</f>
        <v>74</v>
      </c>
      <c r="J2247" s="11"/>
    </row>
    <row r="2248" spans="1:10" x14ac:dyDescent="0.25">
      <c r="A2248" s="2">
        <v>42786</v>
      </c>
      <c r="B2248" s="3">
        <v>472</v>
      </c>
      <c r="C2248" s="4">
        <v>221840</v>
      </c>
      <c r="D2248" s="3">
        <v>306</v>
      </c>
      <c r="E2248" s="4">
        <v>223380</v>
      </c>
      <c r="G2248" s="12">
        <f t="shared" si="158"/>
        <v>2017</v>
      </c>
      <c r="H2248" s="12">
        <f t="shared" si="159"/>
        <v>2</v>
      </c>
      <c r="I2248" s="11">
        <f t="shared" si="160"/>
        <v>74</v>
      </c>
      <c r="J2248" s="11"/>
    </row>
    <row r="2249" spans="1:10" x14ac:dyDescent="0.25">
      <c r="A2249" s="2">
        <v>42787</v>
      </c>
      <c r="B2249" s="3">
        <v>439</v>
      </c>
      <c r="C2249" s="4">
        <v>206330</v>
      </c>
      <c r="D2249" s="3">
        <v>340</v>
      </c>
      <c r="E2249" s="4">
        <v>248200</v>
      </c>
      <c r="G2249" s="12">
        <f t="shared" si="158"/>
        <v>2017</v>
      </c>
      <c r="H2249" s="12">
        <f t="shared" si="159"/>
        <v>2</v>
      </c>
      <c r="I2249" s="11">
        <f t="shared" si="160"/>
        <v>74</v>
      </c>
      <c r="J2249" s="11"/>
    </row>
    <row r="2250" spans="1:10" x14ac:dyDescent="0.25">
      <c r="A2250" s="2">
        <v>42788</v>
      </c>
      <c r="B2250" s="3">
        <v>491</v>
      </c>
      <c r="C2250" s="4">
        <v>230770</v>
      </c>
      <c r="D2250" s="3">
        <v>286</v>
      </c>
      <c r="E2250" s="4">
        <v>208780</v>
      </c>
      <c r="G2250" s="12">
        <f t="shared" si="158"/>
        <v>2017</v>
      </c>
      <c r="H2250" s="12">
        <f t="shared" si="159"/>
        <v>2</v>
      </c>
      <c r="I2250" s="11">
        <f t="shared" si="160"/>
        <v>74</v>
      </c>
      <c r="J2250" s="11"/>
    </row>
    <row r="2251" spans="1:10" x14ac:dyDescent="0.25">
      <c r="A2251" s="2">
        <v>42789</v>
      </c>
      <c r="B2251" s="3">
        <v>286</v>
      </c>
      <c r="C2251" s="4">
        <v>134420</v>
      </c>
      <c r="D2251" s="3">
        <v>269</v>
      </c>
      <c r="E2251" s="4">
        <v>196370</v>
      </c>
      <c r="G2251" s="12">
        <f t="shared" si="158"/>
        <v>2017</v>
      </c>
      <c r="H2251" s="12">
        <f t="shared" si="159"/>
        <v>2</v>
      </c>
      <c r="I2251" s="11">
        <f t="shared" si="160"/>
        <v>74</v>
      </c>
      <c r="J2251" s="11"/>
    </row>
    <row r="2252" spans="1:10" x14ac:dyDescent="0.25">
      <c r="A2252" s="2">
        <v>42790</v>
      </c>
      <c r="B2252" s="3">
        <v>553</v>
      </c>
      <c r="C2252" s="4">
        <v>259910</v>
      </c>
      <c r="D2252" s="3">
        <v>276</v>
      </c>
      <c r="E2252" s="4">
        <v>201480</v>
      </c>
      <c r="G2252" s="12">
        <f t="shared" si="158"/>
        <v>2017</v>
      </c>
      <c r="H2252" s="12">
        <f t="shared" si="159"/>
        <v>2</v>
      </c>
      <c r="I2252" s="11">
        <f t="shared" si="160"/>
        <v>74</v>
      </c>
      <c r="J2252" s="11"/>
    </row>
    <row r="2253" spans="1:10" x14ac:dyDescent="0.25">
      <c r="A2253" s="2">
        <v>42791</v>
      </c>
      <c r="B2253" s="3">
        <v>369</v>
      </c>
      <c r="C2253" s="4">
        <v>173430</v>
      </c>
      <c r="D2253" s="3">
        <v>289</v>
      </c>
      <c r="E2253" s="4">
        <v>210970</v>
      </c>
      <c r="G2253" s="12">
        <f t="shared" si="158"/>
        <v>2017</v>
      </c>
      <c r="H2253" s="12">
        <f t="shared" si="159"/>
        <v>2</v>
      </c>
      <c r="I2253" s="11">
        <f t="shared" si="160"/>
        <v>74</v>
      </c>
      <c r="J2253" s="11"/>
    </row>
    <row r="2254" spans="1:10" x14ac:dyDescent="0.25">
      <c r="A2254" s="2">
        <v>42792</v>
      </c>
      <c r="B2254" s="3">
        <v>472</v>
      </c>
      <c r="C2254" s="4">
        <v>221840</v>
      </c>
      <c r="D2254" s="3">
        <v>300</v>
      </c>
      <c r="E2254" s="4">
        <v>219000</v>
      </c>
      <c r="G2254" s="12">
        <f t="shared" si="158"/>
        <v>2017</v>
      </c>
      <c r="H2254" s="12">
        <f t="shared" si="159"/>
        <v>2</v>
      </c>
      <c r="I2254" s="11">
        <f t="shared" si="160"/>
        <v>74</v>
      </c>
      <c r="J2254" s="11"/>
    </row>
    <row r="2255" spans="1:10" x14ac:dyDescent="0.25">
      <c r="A2255" s="2">
        <v>42793</v>
      </c>
      <c r="B2255" s="3">
        <v>466</v>
      </c>
      <c r="C2255" s="4">
        <v>219020</v>
      </c>
      <c r="D2255" s="3">
        <v>314</v>
      </c>
      <c r="E2255" s="4">
        <v>229220</v>
      </c>
      <c r="G2255" s="12">
        <f t="shared" si="158"/>
        <v>2017</v>
      </c>
      <c r="H2255" s="12">
        <f t="shared" si="159"/>
        <v>2</v>
      </c>
      <c r="I2255" s="11">
        <f t="shared" si="160"/>
        <v>74</v>
      </c>
      <c r="J2255" s="11"/>
    </row>
    <row r="2256" spans="1:10" x14ac:dyDescent="0.25">
      <c r="A2256" s="2">
        <v>42794</v>
      </c>
      <c r="B2256" s="3">
        <v>497</v>
      </c>
      <c r="C2256" s="4">
        <v>233590</v>
      </c>
      <c r="D2256" s="3">
        <v>289</v>
      </c>
      <c r="E2256" s="4">
        <v>210970</v>
      </c>
      <c r="G2256" s="12">
        <f t="shared" si="158"/>
        <v>2017</v>
      </c>
      <c r="H2256" s="12">
        <f t="shared" si="159"/>
        <v>2</v>
      </c>
      <c r="I2256" s="11">
        <f t="shared" si="160"/>
        <v>74</v>
      </c>
      <c r="J2256" s="11"/>
    </row>
    <row r="2257" spans="1:10" x14ac:dyDescent="0.25">
      <c r="A2257" s="2">
        <v>42795</v>
      </c>
      <c r="B2257" s="3">
        <v>427</v>
      </c>
      <c r="C2257" s="4">
        <v>200690</v>
      </c>
      <c r="D2257" s="3">
        <v>330</v>
      </c>
      <c r="E2257" s="4">
        <v>240900</v>
      </c>
      <c r="G2257" s="12">
        <f t="shared" si="158"/>
        <v>2017</v>
      </c>
      <c r="H2257" s="12">
        <f t="shared" si="159"/>
        <v>3</v>
      </c>
      <c r="I2257" s="11">
        <f t="shared" si="160"/>
        <v>75</v>
      </c>
      <c r="J2257" s="11"/>
    </row>
    <row r="2258" spans="1:10" x14ac:dyDescent="0.25">
      <c r="A2258" s="2">
        <v>42796</v>
      </c>
      <c r="B2258" s="3">
        <v>409</v>
      </c>
      <c r="C2258" s="4">
        <v>192230</v>
      </c>
      <c r="D2258" s="3">
        <v>346</v>
      </c>
      <c r="E2258" s="4">
        <v>252580</v>
      </c>
      <c r="G2258" s="12">
        <f t="shared" si="158"/>
        <v>2017</v>
      </c>
      <c r="H2258" s="12">
        <f t="shared" si="159"/>
        <v>3</v>
      </c>
      <c r="I2258" s="11">
        <f t="shared" si="160"/>
        <v>75</v>
      </c>
      <c r="J2258" s="11"/>
    </row>
    <row r="2259" spans="1:10" x14ac:dyDescent="0.25">
      <c r="A2259" s="2">
        <v>42797</v>
      </c>
      <c r="B2259" s="3">
        <v>468</v>
      </c>
      <c r="C2259" s="4">
        <v>219960</v>
      </c>
      <c r="D2259" s="3">
        <v>255</v>
      </c>
      <c r="E2259" s="4">
        <v>186150</v>
      </c>
      <c r="G2259" s="12">
        <f t="shared" si="158"/>
        <v>2017</v>
      </c>
      <c r="H2259" s="12">
        <f t="shared" si="159"/>
        <v>3</v>
      </c>
      <c r="I2259" s="11">
        <f t="shared" si="160"/>
        <v>75</v>
      </c>
      <c r="J2259" s="11"/>
    </row>
    <row r="2260" spans="1:10" x14ac:dyDescent="0.25">
      <c r="A2260" s="2">
        <v>42798</v>
      </c>
      <c r="B2260" s="3">
        <v>409</v>
      </c>
      <c r="C2260" s="4">
        <v>192230</v>
      </c>
      <c r="D2260" s="3">
        <v>303</v>
      </c>
      <c r="E2260" s="4">
        <v>221190</v>
      </c>
      <c r="G2260" s="12">
        <f t="shared" si="158"/>
        <v>2017</v>
      </c>
      <c r="H2260" s="12">
        <f t="shared" si="159"/>
        <v>3</v>
      </c>
      <c r="I2260" s="11">
        <f t="shared" si="160"/>
        <v>75</v>
      </c>
      <c r="J2260" s="11"/>
    </row>
    <row r="2261" spans="1:10" x14ac:dyDescent="0.25">
      <c r="A2261" s="2">
        <v>42799</v>
      </c>
      <c r="B2261" s="3">
        <v>553</v>
      </c>
      <c r="C2261" s="4">
        <v>259910</v>
      </c>
      <c r="D2261" s="3">
        <v>260</v>
      </c>
      <c r="E2261" s="4">
        <v>189800</v>
      </c>
      <c r="G2261" s="12">
        <f t="shared" si="158"/>
        <v>2017</v>
      </c>
      <c r="H2261" s="12">
        <f t="shared" si="159"/>
        <v>3</v>
      </c>
      <c r="I2261" s="11">
        <f t="shared" si="160"/>
        <v>75</v>
      </c>
      <c r="J2261" s="11"/>
    </row>
    <row r="2262" spans="1:10" x14ac:dyDescent="0.25">
      <c r="A2262" s="2">
        <v>42800</v>
      </c>
      <c r="B2262" s="3">
        <v>405</v>
      </c>
      <c r="C2262" s="4">
        <v>190350</v>
      </c>
      <c r="D2262" s="3">
        <v>311</v>
      </c>
      <c r="E2262" s="4">
        <v>227030</v>
      </c>
      <c r="G2262" s="12">
        <f t="shared" si="158"/>
        <v>2017</v>
      </c>
      <c r="H2262" s="12">
        <f t="shared" si="159"/>
        <v>3</v>
      </c>
      <c r="I2262" s="11">
        <f t="shared" si="160"/>
        <v>75</v>
      </c>
      <c r="J2262" s="11"/>
    </row>
    <row r="2263" spans="1:10" x14ac:dyDescent="0.25">
      <c r="A2263" s="2">
        <v>42801</v>
      </c>
      <c r="B2263" s="3">
        <v>438</v>
      </c>
      <c r="C2263" s="4">
        <v>205860</v>
      </c>
      <c r="D2263" s="3">
        <v>293</v>
      </c>
      <c r="E2263" s="4">
        <v>213890</v>
      </c>
      <c r="G2263" s="12">
        <f t="shared" si="158"/>
        <v>2017</v>
      </c>
      <c r="H2263" s="12">
        <f t="shared" si="159"/>
        <v>3</v>
      </c>
      <c r="I2263" s="11">
        <f t="shared" si="160"/>
        <v>75</v>
      </c>
      <c r="J2263" s="11"/>
    </row>
    <row r="2264" spans="1:10" x14ac:dyDescent="0.25">
      <c r="A2264" s="2">
        <v>42802</v>
      </c>
      <c r="B2264" s="3">
        <v>511</v>
      </c>
      <c r="C2264" s="4">
        <v>240170</v>
      </c>
      <c r="D2264" s="3">
        <v>302</v>
      </c>
      <c r="E2264" s="4">
        <v>220460</v>
      </c>
      <c r="G2264" s="12">
        <f t="shared" si="158"/>
        <v>2017</v>
      </c>
      <c r="H2264" s="12">
        <f t="shared" si="159"/>
        <v>3</v>
      </c>
      <c r="I2264" s="11">
        <f t="shared" si="160"/>
        <v>75</v>
      </c>
      <c r="J2264" s="11"/>
    </row>
    <row r="2265" spans="1:10" x14ac:dyDescent="0.25">
      <c r="A2265" s="2">
        <v>42803</v>
      </c>
      <c r="B2265" s="3">
        <v>501</v>
      </c>
      <c r="C2265" s="4">
        <v>235470</v>
      </c>
      <c r="D2265" s="3">
        <v>256</v>
      </c>
      <c r="E2265" s="4">
        <v>186880</v>
      </c>
      <c r="G2265" s="12">
        <f t="shared" si="158"/>
        <v>2017</v>
      </c>
      <c r="H2265" s="12">
        <f t="shared" si="159"/>
        <v>3</v>
      </c>
      <c r="I2265" s="11">
        <f t="shared" si="160"/>
        <v>75</v>
      </c>
      <c r="J2265" s="11"/>
    </row>
    <row r="2266" spans="1:10" x14ac:dyDescent="0.25">
      <c r="A2266" s="2">
        <v>42804</v>
      </c>
      <c r="B2266" s="3">
        <v>477</v>
      </c>
      <c r="C2266" s="4">
        <v>224190</v>
      </c>
      <c r="D2266" s="3">
        <v>309</v>
      </c>
      <c r="E2266" s="4">
        <v>225570</v>
      </c>
      <c r="G2266" s="12">
        <f t="shared" si="158"/>
        <v>2017</v>
      </c>
      <c r="H2266" s="12">
        <f t="shared" si="159"/>
        <v>3</v>
      </c>
      <c r="I2266" s="11">
        <f t="shared" si="160"/>
        <v>75</v>
      </c>
      <c r="J2266" s="11"/>
    </row>
    <row r="2267" spans="1:10" x14ac:dyDescent="0.25">
      <c r="A2267" s="2">
        <v>42805</v>
      </c>
      <c r="B2267" s="3">
        <v>422</v>
      </c>
      <c r="C2267" s="4">
        <v>198340</v>
      </c>
      <c r="D2267" s="3">
        <v>329</v>
      </c>
      <c r="E2267" s="4">
        <v>240170</v>
      </c>
      <c r="G2267" s="12">
        <f t="shared" si="158"/>
        <v>2017</v>
      </c>
      <c r="H2267" s="12">
        <f t="shared" si="159"/>
        <v>3</v>
      </c>
      <c r="I2267" s="11">
        <f t="shared" si="160"/>
        <v>75</v>
      </c>
      <c r="J2267" s="11"/>
    </row>
    <row r="2268" spans="1:10" x14ac:dyDescent="0.25">
      <c r="A2268" s="2">
        <v>42806</v>
      </c>
      <c r="B2268" s="3">
        <v>410</v>
      </c>
      <c r="C2268" s="4">
        <v>192700</v>
      </c>
      <c r="D2268" s="3">
        <v>314</v>
      </c>
      <c r="E2268" s="4">
        <v>229220</v>
      </c>
      <c r="G2268" s="12">
        <f t="shared" si="158"/>
        <v>2017</v>
      </c>
      <c r="H2268" s="12">
        <f t="shared" si="159"/>
        <v>3</v>
      </c>
      <c r="I2268" s="11">
        <f t="shared" si="160"/>
        <v>75</v>
      </c>
      <c r="J2268" s="11"/>
    </row>
    <row r="2269" spans="1:10" x14ac:dyDescent="0.25">
      <c r="A2269" s="2">
        <v>42807</v>
      </c>
      <c r="B2269" s="3">
        <v>442</v>
      </c>
      <c r="C2269" s="4">
        <v>207740</v>
      </c>
      <c r="D2269" s="3">
        <v>243</v>
      </c>
      <c r="E2269" s="4">
        <v>177390</v>
      </c>
      <c r="G2269" s="12">
        <f t="shared" si="158"/>
        <v>2017</v>
      </c>
      <c r="H2269" s="12">
        <f t="shared" si="159"/>
        <v>3</v>
      </c>
      <c r="I2269" s="11">
        <f t="shared" si="160"/>
        <v>75</v>
      </c>
      <c r="J2269" s="11"/>
    </row>
    <row r="2270" spans="1:10" x14ac:dyDescent="0.25">
      <c r="A2270" s="2">
        <v>42808</v>
      </c>
      <c r="B2270" s="3">
        <v>489</v>
      </c>
      <c r="C2270" s="4">
        <v>229830</v>
      </c>
      <c r="D2270" s="3">
        <v>296</v>
      </c>
      <c r="E2270" s="4">
        <v>216080</v>
      </c>
      <c r="G2270" s="12">
        <f t="shared" si="158"/>
        <v>2017</v>
      </c>
      <c r="H2270" s="12">
        <f t="shared" si="159"/>
        <v>3</v>
      </c>
      <c r="I2270" s="11">
        <f t="shared" si="160"/>
        <v>75</v>
      </c>
      <c r="J2270" s="11"/>
    </row>
    <row r="2271" spans="1:10" x14ac:dyDescent="0.25">
      <c r="A2271" s="2">
        <v>42809</v>
      </c>
      <c r="B2271" s="3">
        <v>465</v>
      </c>
      <c r="C2271" s="4">
        <v>218550</v>
      </c>
      <c r="D2271" s="3">
        <v>275</v>
      </c>
      <c r="E2271" s="4">
        <v>200750</v>
      </c>
      <c r="G2271" s="12">
        <f t="shared" si="158"/>
        <v>2017</v>
      </c>
      <c r="H2271" s="12">
        <f t="shared" si="159"/>
        <v>3</v>
      </c>
      <c r="I2271" s="11">
        <f t="shared" si="160"/>
        <v>75</v>
      </c>
      <c r="J2271" s="11"/>
    </row>
    <row r="2272" spans="1:10" x14ac:dyDescent="0.25">
      <c r="A2272" s="2">
        <v>42810</v>
      </c>
      <c r="B2272" s="3">
        <v>469</v>
      </c>
      <c r="C2272" s="4">
        <v>220430</v>
      </c>
      <c r="D2272" s="3">
        <v>299</v>
      </c>
      <c r="E2272" s="4">
        <v>218270</v>
      </c>
      <c r="G2272" s="12">
        <f t="shared" si="158"/>
        <v>2017</v>
      </c>
      <c r="H2272" s="12">
        <f t="shared" si="159"/>
        <v>3</v>
      </c>
      <c r="I2272" s="11">
        <f t="shared" si="160"/>
        <v>75</v>
      </c>
      <c r="J2272" s="11"/>
    </row>
    <row r="2273" spans="1:10" x14ac:dyDescent="0.25">
      <c r="A2273" s="2">
        <v>42811</v>
      </c>
      <c r="B2273" s="3">
        <v>417</v>
      </c>
      <c r="C2273" s="4">
        <v>195990</v>
      </c>
      <c r="D2273" s="3">
        <v>291</v>
      </c>
      <c r="E2273" s="4">
        <v>212430</v>
      </c>
      <c r="G2273" s="12">
        <f t="shared" si="158"/>
        <v>2017</v>
      </c>
      <c r="H2273" s="12">
        <f t="shared" si="159"/>
        <v>3</v>
      </c>
      <c r="I2273" s="11">
        <f t="shared" si="160"/>
        <v>75</v>
      </c>
      <c r="J2273" s="11"/>
    </row>
    <row r="2274" spans="1:10" x14ac:dyDescent="0.25">
      <c r="A2274" s="2">
        <v>42812</v>
      </c>
      <c r="B2274" s="3">
        <v>457</v>
      </c>
      <c r="C2274" s="4">
        <v>214790</v>
      </c>
      <c r="D2274" s="3">
        <v>325</v>
      </c>
      <c r="E2274" s="4">
        <v>237250</v>
      </c>
      <c r="G2274" s="12">
        <f t="shared" si="158"/>
        <v>2017</v>
      </c>
      <c r="H2274" s="12">
        <f t="shared" si="159"/>
        <v>3</v>
      </c>
      <c r="I2274" s="11">
        <f t="shared" si="160"/>
        <v>75</v>
      </c>
      <c r="J2274" s="11"/>
    </row>
    <row r="2275" spans="1:10" x14ac:dyDescent="0.25">
      <c r="A2275" s="2">
        <v>42813</v>
      </c>
      <c r="B2275" s="3">
        <v>472</v>
      </c>
      <c r="C2275" s="4">
        <v>221840</v>
      </c>
      <c r="D2275" s="3">
        <v>329</v>
      </c>
      <c r="E2275" s="4">
        <v>240170</v>
      </c>
      <c r="G2275" s="12">
        <f t="shared" si="158"/>
        <v>2017</v>
      </c>
      <c r="H2275" s="12">
        <f t="shared" si="159"/>
        <v>3</v>
      </c>
      <c r="I2275" s="11">
        <f t="shared" si="160"/>
        <v>75</v>
      </c>
      <c r="J2275" s="11"/>
    </row>
    <row r="2276" spans="1:10" x14ac:dyDescent="0.25">
      <c r="A2276" s="2">
        <v>42814</v>
      </c>
      <c r="B2276" s="3">
        <v>454</v>
      </c>
      <c r="C2276" s="4">
        <v>213380</v>
      </c>
      <c r="D2276" s="3">
        <v>271</v>
      </c>
      <c r="E2276" s="4">
        <v>197830</v>
      </c>
      <c r="G2276" s="12">
        <f t="shared" si="158"/>
        <v>2017</v>
      </c>
      <c r="H2276" s="12">
        <f t="shared" si="159"/>
        <v>3</v>
      </c>
      <c r="I2276" s="11">
        <f t="shared" si="160"/>
        <v>75</v>
      </c>
      <c r="J2276" s="11"/>
    </row>
    <row r="2277" spans="1:10" x14ac:dyDescent="0.25">
      <c r="A2277" s="2">
        <v>42815</v>
      </c>
      <c r="B2277" s="3">
        <v>496</v>
      </c>
      <c r="C2277" s="4">
        <v>233120</v>
      </c>
      <c r="D2277" s="3">
        <v>320</v>
      </c>
      <c r="E2277" s="4">
        <v>233600</v>
      </c>
      <c r="G2277" s="12">
        <f t="shared" si="158"/>
        <v>2017</v>
      </c>
      <c r="H2277" s="12">
        <f t="shared" si="159"/>
        <v>3</v>
      </c>
      <c r="I2277" s="11">
        <f t="shared" si="160"/>
        <v>75</v>
      </c>
      <c r="J2277" s="11"/>
    </row>
    <row r="2278" spans="1:10" x14ac:dyDescent="0.25">
      <c r="A2278" s="2">
        <v>42816</v>
      </c>
      <c r="B2278" s="3">
        <v>505</v>
      </c>
      <c r="C2278" s="4">
        <v>237350</v>
      </c>
      <c r="D2278" s="3">
        <v>329</v>
      </c>
      <c r="E2278" s="4">
        <v>240170</v>
      </c>
      <c r="G2278" s="12">
        <f t="shared" si="158"/>
        <v>2017</v>
      </c>
      <c r="H2278" s="12">
        <f t="shared" si="159"/>
        <v>3</v>
      </c>
      <c r="I2278" s="11">
        <f t="shared" si="160"/>
        <v>75</v>
      </c>
      <c r="J2278" s="11"/>
    </row>
    <row r="2279" spans="1:10" x14ac:dyDescent="0.25">
      <c r="A2279" s="2">
        <v>42817</v>
      </c>
      <c r="B2279" s="3">
        <v>513</v>
      </c>
      <c r="C2279" s="4">
        <v>241110</v>
      </c>
      <c r="D2279" s="3">
        <v>323</v>
      </c>
      <c r="E2279" s="4">
        <v>235790</v>
      </c>
      <c r="G2279" s="12">
        <f t="shared" si="158"/>
        <v>2017</v>
      </c>
      <c r="H2279" s="12">
        <f t="shared" si="159"/>
        <v>3</v>
      </c>
      <c r="I2279" s="11">
        <f t="shared" si="160"/>
        <v>75</v>
      </c>
      <c r="J2279" s="11"/>
    </row>
    <row r="2280" spans="1:10" x14ac:dyDescent="0.25">
      <c r="A2280" s="2">
        <v>42818</v>
      </c>
      <c r="B2280" s="3">
        <v>538</v>
      </c>
      <c r="C2280" s="4">
        <v>252860</v>
      </c>
      <c r="D2280" s="3">
        <v>321</v>
      </c>
      <c r="E2280" s="4">
        <v>234330</v>
      </c>
      <c r="G2280" s="12">
        <f t="shared" si="158"/>
        <v>2017</v>
      </c>
      <c r="H2280" s="12">
        <f t="shared" si="159"/>
        <v>3</v>
      </c>
      <c r="I2280" s="11">
        <f t="shared" si="160"/>
        <v>75</v>
      </c>
      <c r="J2280" s="11"/>
    </row>
    <row r="2281" spans="1:10" x14ac:dyDescent="0.25">
      <c r="A2281" s="2">
        <v>42819</v>
      </c>
      <c r="B2281" s="3">
        <v>398</v>
      </c>
      <c r="C2281" s="4">
        <v>187060</v>
      </c>
      <c r="D2281" s="3">
        <v>245</v>
      </c>
      <c r="E2281" s="4">
        <v>178850</v>
      </c>
      <c r="G2281" s="12">
        <f t="shared" si="158"/>
        <v>2017</v>
      </c>
      <c r="H2281" s="12">
        <f t="shared" si="159"/>
        <v>3</v>
      </c>
      <c r="I2281" s="11">
        <f t="shared" si="160"/>
        <v>75</v>
      </c>
      <c r="J2281" s="11"/>
    </row>
    <row r="2282" spans="1:10" x14ac:dyDescent="0.25">
      <c r="A2282" s="2">
        <v>42820</v>
      </c>
      <c r="B2282" s="3">
        <v>372</v>
      </c>
      <c r="C2282" s="4">
        <v>174840</v>
      </c>
      <c r="D2282" s="3">
        <v>341</v>
      </c>
      <c r="E2282" s="4">
        <v>248930</v>
      </c>
      <c r="G2282" s="12">
        <f t="shared" si="158"/>
        <v>2017</v>
      </c>
      <c r="H2282" s="12">
        <f t="shared" si="159"/>
        <v>3</v>
      </c>
      <c r="I2282" s="11">
        <f t="shared" si="160"/>
        <v>75</v>
      </c>
      <c r="J2282" s="11"/>
    </row>
    <row r="2283" spans="1:10" x14ac:dyDescent="0.25">
      <c r="A2283" s="2">
        <v>42821</v>
      </c>
      <c r="B2283" s="3">
        <v>502</v>
      </c>
      <c r="C2283" s="4">
        <v>235940</v>
      </c>
      <c r="D2283" s="3">
        <v>346</v>
      </c>
      <c r="E2283" s="4">
        <v>252580</v>
      </c>
      <c r="G2283" s="12">
        <f t="shared" si="158"/>
        <v>2017</v>
      </c>
      <c r="H2283" s="12">
        <f t="shared" si="159"/>
        <v>3</v>
      </c>
      <c r="I2283" s="11">
        <f t="shared" si="160"/>
        <v>75</v>
      </c>
      <c r="J2283" s="11"/>
    </row>
    <row r="2284" spans="1:10" x14ac:dyDescent="0.25">
      <c r="A2284" s="2">
        <v>42822</v>
      </c>
      <c r="B2284" s="3">
        <v>526</v>
      </c>
      <c r="C2284" s="4">
        <v>247220</v>
      </c>
      <c r="D2284" s="3">
        <v>242</v>
      </c>
      <c r="E2284" s="4">
        <v>176660</v>
      </c>
      <c r="G2284" s="12">
        <f t="shared" si="158"/>
        <v>2017</v>
      </c>
      <c r="H2284" s="12">
        <f t="shared" si="159"/>
        <v>3</v>
      </c>
      <c r="I2284" s="11">
        <f t="shared" si="160"/>
        <v>75</v>
      </c>
      <c r="J2284" s="11"/>
    </row>
    <row r="2285" spans="1:10" x14ac:dyDescent="0.25">
      <c r="A2285" s="2">
        <v>42823</v>
      </c>
      <c r="B2285" s="3">
        <v>379</v>
      </c>
      <c r="C2285" s="4">
        <v>178130</v>
      </c>
      <c r="D2285" s="3">
        <v>261</v>
      </c>
      <c r="E2285" s="4">
        <v>190530</v>
      </c>
      <c r="G2285" s="12">
        <f t="shared" si="158"/>
        <v>2017</v>
      </c>
      <c r="H2285" s="12">
        <f t="shared" si="159"/>
        <v>3</v>
      </c>
      <c r="I2285" s="11">
        <f t="shared" si="160"/>
        <v>75</v>
      </c>
      <c r="J2285" s="11"/>
    </row>
    <row r="2286" spans="1:10" x14ac:dyDescent="0.25">
      <c r="A2286" s="2">
        <v>42824</v>
      </c>
      <c r="B2286" s="3">
        <v>411</v>
      </c>
      <c r="C2286" s="4">
        <v>193170</v>
      </c>
      <c r="D2286" s="3">
        <v>335</v>
      </c>
      <c r="E2286" s="4">
        <v>244550</v>
      </c>
      <c r="G2286" s="12">
        <f t="shared" si="158"/>
        <v>2017</v>
      </c>
      <c r="H2286" s="12">
        <f t="shared" si="159"/>
        <v>3</v>
      </c>
      <c r="I2286" s="11">
        <f t="shared" si="160"/>
        <v>75</v>
      </c>
      <c r="J2286" s="11"/>
    </row>
    <row r="2287" spans="1:10" x14ac:dyDescent="0.25">
      <c r="A2287" s="2">
        <v>42825</v>
      </c>
      <c r="B2287" s="3">
        <v>453</v>
      </c>
      <c r="C2287" s="4">
        <v>212910</v>
      </c>
      <c r="D2287" s="3">
        <v>298</v>
      </c>
      <c r="E2287" s="4">
        <v>217540</v>
      </c>
      <c r="G2287" s="12">
        <f t="shared" si="158"/>
        <v>2017</v>
      </c>
      <c r="H2287" s="12">
        <f t="shared" si="159"/>
        <v>3</v>
      </c>
      <c r="I2287" s="11">
        <f t="shared" si="160"/>
        <v>75</v>
      </c>
      <c r="J2287" s="11"/>
    </row>
    <row r="2288" spans="1:10" x14ac:dyDescent="0.25">
      <c r="A2288" s="2">
        <v>42826</v>
      </c>
      <c r="B2288" s="3">
        <v>473</v>
      </c>
      <c r="C2288" s="4">
        <v>222310</v>
      </c>
      <c r="D2288" s="3">
        <v>802</v>
      </c>
      <c r="E2288" s="4">
        <v>585460</v>
      </c>
      <c r="G2288" s="12">
        <f t="shared" si="158"/>
        <v>2017</v>
      </c>
      <c r="H2288" s="12">
        <f t="shared" si="159"/>
        <v>4</v>
      </c>
      <c r="I2288" s="11">
        <f t="shared" si="160"/>
        <v>76</v>
      </c>
      <c r="J2288" s="11"/>
    </row>
    <row r="2289" spans="1:10" x14ac:dyDescent="0.25">
      <c r="A2289" s="2">
        <v>42827</v>
      </c>
      <c r="B2289" s="3">
        <v>482</v>
      </c>
      <c r="C2289" s="4">
        <v>226540</v>
      </c>
      <c r="D2289" s="3">
        <v>762</v>
      </c>
      <c r="E2289" s="4">
        <v>556260</v>
      </c>
      <c r="G2289" s="12">
        <f t="shared" si="158"/>
        <v>2017</v>
      </c>
      <c r="H2289" s="12">
        <f t="shared" si="159"/>
        <v>4</v>
      </c>
      <c r="I2289" s="11">
        <f t="shared" si="160"/>
        <v>76</v>
      </c>
      <c r="J2289" s="11"/>
    </row>
    <row r="2290" spans="1:10" x14ac:dyDescent="0.25">
      <c r="A2290" s="2">
        <v>42828</v>
      </c>
      <c r="B2290" s="3">
        <v>566</v>
      </c>
      <c r="C2290" s="4">
        <v>266020</v>
      </c>
      <c r="D2290" s="3">
        <v>696</v>
      </c>
      <c r="E2290" s="4">
        <v>508080</v>
      </c>
      <c r="G2290" s="12">
        <f t="shared" si="158"/>
        <v>2017</v>
      </c>
      <c r="H2290" s="12">
        <f t="shared" si="159"/>
        <v>4</v>
      </c>
      <c r="I2290" s="11">
        <f t="shared" si="160"/>
        <v>76</v>
      </c>
      <c r="J2290" s="11"/>
    </row>
    <row r="2291" spans="1:10" x14ac:dyDescent="0.25">
      <c r="A2291" s="2">
        <v>42829</v>
      </c>
      <c r="B2291" s="3">
        <v>468</v>
      </c>
      <c r="C2291" s="4">
        <v>219960</v>
      </c>
      <c r="D2291" s="3">
        <v>639</v>
      </c>
      <c r="E2291" s="4">
        <v>466470</v>
      </c>
      <c r="G2291" s="12">
        <f t="shared" si="158"/>
        <v>2017</v>
      </c>
      <c r="H2291" s="12">
        <f t="shared" si="159"/>
        <v>4</v>
      </c>
      <c r="I2291" s="11">
        <f t="shared" si="160"/>
        <v>76</v>
      </c>
      <c r="J2291" s="11"/>
    </row>
    <row r="2292" spans="1:10" x14ac:dyDescent="0.25">
      <c r="A2292" s="2">
        <v>42830</v>
      </c>
      <c r="B2292" s="3">
        <v>434</v>
      </c>
      <c r="C2292" s="4">
        <v>203980</v>
      </c>
      <c r="D2292" s="3">
        <v>632</v>
      </c>
      <c r="E2292" s="4">
        <v>461360</v>
      </c>
      <c r="G2292" s="12">
        <f t="shared" si="158"/>
        <v>2017</v>
      </c>
      <c r="H2292" s="12">
        <f t="shared" si="159"/>
        <v>4</v>
      </c>
      <c r="I2292" s="11">
        <f t="shared" si="160"/>
        <v>76</v>
      </c>
      <c r="J2292" s="11"/>
    </row>
    <row r="2293" spans="1:10" x14ac:dyDescent="0.25">
      <c r="A2293" s="2">
        <v>42831</v>
      </c>
      <c r="B2293" s="3">
        <v>468</v>
      </c>
      <c r="C2293" s="4">
        <v>219960</v>
      </c>
      <c r="D2293" s="3">
        <v>688</v>
      </c>
      <c r="E2293" s="4">
        <v>502240</v>
      </c>
      <c r="G2293" s="12">
        <f t="shared" si="158"/>
        <v>2017</v>
      </c>
      <c r="H2293" s="12">
        <f t="shared" si="159"/>
        <v>4</v>
      </c>
      <c r="I2293" s="11">
        <f t="shared" si="160"/>
        <v>76</v>
      </c>
      <c r="J2293" s="11"/>
    </row>
    <row r="2294" spans="1:10" x14ac:dyDescent="0.25">
      <c r="A2294" s="2">
        <v>42832</v>
      </c>
      <c r="B2294" s="3">
        <v>367</v>
      </c>
      <c r="C2294" s="4">
        <v>172490</v>
      </c>
      <c r="D2294" s="3">
        <v>727</v>
      </c>
      <c r="E2294" s="4">
        <v>530710</v>
      </c>
      <c r="G2294" s="12">
        <f t="shared" si="158"/>
        <v>2017</v>
      </c>
      <c r="H2294" s="12">
        <f t="shared" si="159"/>
        <v>4</v>
      </c>
      <c r="I2294" s="11">
        <f t="shared" si="160"/>
        <v>76</v>
      </c>
      <c r="J2294" s="11"/>
    </row>
    <row r="2295" spans="1:10" x14ac:dyDescent="0.25">
      <c r="A2295" s="2">
        <v>42833</v>
      </c>
      <c r="B2295" s="3">
        <v>400</v>
      </c>
      <c r="C2295" s="4">
        <v>188000</v>
      </c>
      <c r="D2295" s="3">
        <v>653</v>
      </c>
      <c r="E2295" s="4">
        <v>476690</v>
      </c>
      <c r="G2295" s="12">
        <f t="shared" si="158"/>
        <v>2017</v>
      </c>
      <c r="H2295" s="12">
        <f t="shared" si="159"/>
        <v>4</v>
      </c>
      <c r="I2295" s="11">
        <f t="shared" si="160"/>
        <v>76</v>
      </c>
      <c r="J2295" s="11"/>
    </row>
    <row r="2296" spans="1:10" x14ac:dyDescent="0.25">
      <c r="A2296" s="2">
        <v>42834</v>
      </c>
      <c r="B2296" s="3">
        <v>476</v>
      </c>
      <c r="C2296" s="4">
        <v>223720</v>
      </c>
      <c r="D2296" s="3">
        <v>670</v>
      </c>
      <c r="E2296" s="4">
        <v>489100</v>
      </c>
      <c r="G2296" s="12">
        <f t="shared" si="158"/>
        <v>2017</v>
      </c>
      <c r="H2296" s="12">
        <f t="shared" si="159"/>
        <v>4</v>
      </c>
      <c r="I2296" s="11">
        <f t="shared" si="160"/>
        <v>76</v>
      </c>
      <c r="J2296" s="11"/>
    </row>
    <row r="2297" spans="1:10" x14ac:dyDescent="0.25">
      <c r="A2297" s="2">
        <v>42835</v>
      </c>
      <c r="B2297" s="3">
        <v>556</v>
      </c>
      <c r="C2297" s="4">
        <v>261320</v>
      </c>
      <c r="D2297" s="3">
        <v>651</v>
      </c>
      <c r="E2297" s="4">
        <v>475230</v>
      </c>
      <c r="G2297" s="12">
        <f t="shared" si="158"/>
        <v>2017</v>
      </c>
      <c r="H2297" s="12">
        <f t="shared" si="159"/>
        <v>4</v>
      </c>
      <c r="I2297" s="11">
        <f t="shared" si="160"/>
        <v>76</v>
      </c>
      <c r="J2297" s="11"/>
    </row>
    <row r="2298" spans="1:10" x14ac:dyDescent="0.25">
      <c r="A2298" s="2">
        <v>42836</v>
      </c>
      <c r="B2298" s="3">
        <v>423</v>
      </c>
      <c r="C2298" s="4">
        <v>198810</v>
      </c>
      <c r="D2298" s="3">
        <v>704</v>
      </c>
      <c r="E2298" s="4">
        <v>513920</v>
      </c>
      <c r="G2298" s="12">
        <f t="shared" si="158"/>
        <v>2017</v>
      </c>
      <c r="H2298" s="12">
        <f t="shared" si="159"/>
        <v>4</v>
      </c>
      <c r="I2298" s="11">
        <f t="shared" si="160"/>
        <v>76</v>
      </c>
      <c r="J2298" s="11"/>
    </row>
    <row r="2299" spans="1:10" x14ac:dyDescent="0.25">
      <c r="A2299" s="2">
        <v>42837</v>
      </c>
      <c r="B2299" s="3">
        <v>484</v>
      </c>
      <c r="C2299" s="4">
        <v>227480</v>
      </c>
      <c r="D2299" s="3">
        <v>598</v>
      </c>
      <c r="E2299" s="4">
        <v>436540</v>
      </c>
      <c r="G2299" s="12">
        <f t="shared" si="158"/>
        <v>2017</v>
      </c>
      <c r="H2299" s="12">
        <f t="shared" si="159"/>
        <v>4</v>
      </c>
      <c r="I2299" s="11">
        <f t="shared" si="160"/>
        <v>76</v>
      </c>
      <c r="J2299" s="11"/>
    </row>
    <row r="2300" spans="1:10" x14ac:dyDescent="0.25">
      <c r="A2300" s="2">
        <v>42838</v>
      </c>
      <c r="B2300" s="3">
        <v>431</v>
      </c>
      <c r="C2300" s="4">
        <v>202570</v>
      </c>
      <c r="D2300" s="3">
        <v>629</v>
      </c>
      <c r="E2300" s="4">
        <v>459170</v>
      </c>
      <c r="G2300" s="12">
        <f t="shared" si="158"/>
        <v>2017</v>
      </c>
      <c r="H2300" s="12">
        <f t="shared" si="159"/>
        <v>4</v>
      </c>
      <c r="I2300" s="11">
        <f t="shared" si="160"/>
        <v>76</v>
      </c>
      <c r="J2300" s="11"/>
    </row>
    <row r="2301" spans="1:10" x14ac:dyDescent="0.25">
      <c r="A2301" s="2">
        <v>42839</v>
      </c>
      <c r="B2301" s="3">
        <v>385</v>
      </c>
      <c r="C2301" s="4">
        <v>180950</v>
      </c>
      <c r="D2301" s="3">
        <v>749</v>
      </c>
      <c r="E2301" s="4">
        <v>546770</v>
      </c>
      <c r="G2301" s="12">
        <f t="shared" si="158"/>
        <v>2017</v>
      </c>
      <c r="H2301" s="12">
        <f t="shared" si="159"/>
        <v>4</v>
      </c>
      <c r="I2301" s="11">
        <f t="shared" si="160"/>
        <v>76</v>
      </c>
      <c r="J2301" s="11"/>
    </row>
    <row r="2302" spans="1:10" x14ac:dyDescent="0.25">
      <c r="A2302" s="2">
        <v>42840</v>
      </c>
      <c r="B2302" s="3">
        <v>470</v>
      </c>
      <c r="C2302" s="4">
        <v>220900</v>
      </c>
      <c r="D2302" s="3">
        <v>678</v>
      </c>
      <c r="E2302" s="4">
        <v>494940</v>
      </c>
      <c r="G2302" s="12">
        <f t="shared" si="158"/>
        <v>2017</v>
      </c>
      <c r="H2302" s="12">
        <f t="shared" si="159"/>
        <v>4</v>
      </c>
      <c r="I2302" s="11">
        <f t="shared" si="160"/>
        <v>76</v>
      </c>
      <c r="J2302" s="11"/>
    </row>
    <row r="2303" spans="1:10" x14ac:dyDescent="0.25">
      <c r="A2303" s="2">
        <v>42841</v>
      </c>
      <c r="B2303" s="3">
        <v>454</v>
      </c>
      <c r="C2303" s="4">
        <v>213380</v>
      </c>
      <c r="D2303" s="3">
        <v>698</v>
      </c>
      <c r="E2303" s="4">
        <v>509540</v>
      </c>
      <c r="G2303" s="12">
        <f t="shared" si="158"/>
        <v>2017</v>
      </c>
      <c r="H2303" s="12">
        <f t="shared" si="159"/>
        <v>4</v>
      </c>
      <c r="I2303" s="11">
        <f t="shared" si="160"/>
        <v>76</v>
      </c>
      <c r="J2303" s="11"/>
    </row>
    <row r="2304" spans="1:10" x14ac:dyDescent="0.25">
      <c r="A2304" s="2">
        <v>42842</v>
      </c>
      <c r="B2304" s="3">
        <v>488</v>
      </c>
      <c r="C2304" s="4">
        <v>229360</v>
      </c>
      <c r="D2304" s="3">
        <v>737</v>
      </c>
      <c r="E2304" s="4">
        <v>538010</v>
      </c>
      <c r="G2304" s="12">
        <f t="shared" si="158"/>
        <v>2017</v>
      </c>
      <c r="H2304" s="12">
        <f t="shared" si="159"/>
        <v>4</v>
      </c>
      <c r="I2304" s="11">
        <f t="shared" si="160"/>
        <v>76</v>
      </c>
      <c r="J2304" s="11"/>
    </row>
    <row r="2305" spans="1:10" x14ac:dyDescent="0.25">
      <c r="A2305" s="2">
        <v>42843</v>
      </c>
      <c r="B2305" s="3">
        <v>371</v>
      </c>
      <c r="C2305" s="4">
        <v>174370</v>
      </c>
      <c r="D2305" s="3">
        <v>567</v>
      </c>
      <c r="E2305" s="4">
        <v>413910</v>
      </c>
      <c r="G2305" s="12">
        <f t="shared" si="158"/>
        <v>2017</v>
      </c>
      <c r="H2305" s="12">
        <f t="shared" si="159"/>
        <v>4</v>
      </c>
      <c r="I2305" s="11">
        <f t="shared" si="160"/>
        <v>76</v>
      </c>
      <c r="J2305" s="11"/>
    </row>
    <row r="2306" spans="1:10" x14ac:dyDescent="0.25">
      <c r="A2306" s="2">
        <v>42844</v>
      </c>
      <c r="B2306" s="3">
        <v>417</v>
      </c>
      <c r="C2306" s="4">
        <v>195990</v>
      </c>
      <c r="D2306" s="3">
        <v>708</v>
      </c>
      <c r="E2306" s="4">
        <v>516840</v>
      </c>
      <c r="G2306" s="12">
        <f t="shared" si="158"/>
        <v>2017</v>
      </c>
      <c r="H2306" s="12">
        <f t="shared" si="159"/>
        <v>4</v>
      </c>
      <c r="I2306" s="11">
        <f t="shared" si="160"/>
        <v>76</v>
      </c>
      <c r="J2306" s="11"/>
    </row>
    <row r="2307" spans="1:10" x14ac:dyDescent="0.25">
      <c r="A2307" s="2">
        <v>42845</v>
      </c>
      <c r="B2307" s="3">
        <v>509</v>
      </c>
      <c r="C2307" s="4">
        <v>239230</v>
      </c>
      <c r="D2307" s="3">
        <v>574</v>
      </c>
      <c r="E2307" s="4">
        <v>419020</v>
      </c>
      <c r="G2307" s="12">
        <f t="shared" si="158"/>
        <v>2017</v>
      </c>
      <c r="H2307" s="12">
        <f t="shared" si="159"/>
        <v>4</v>
      </c>
      <c r="I2307" s="11">
        <f t="shared" si="160"/>
        <v>76</v>
      </c>
      <c r="J2307" s="11"/>
    </row>
    <row r="2308" spans="1:10" x14ac:dyDescent="0.25">
      <c r="A2308" s="2">
        <v>42846</v>
      </c>
      <c r="B2308" s="3">
        <v>503</v>
      </c>
      <c r="C2308" s="4">
        <v>236410</v>
      </c>
      <c r="D2308" s="3">
        <v>496</v>
      </c>
      <c r="E2308" s="4">
        <v>362080</v>
      </c>
      <c r="G2308" s="12">
        <f t="shared" si="158"/>
        <v>2017</v>
      </c>
      <c r="H2308" s="12">
        <f t="shared" si="159"/>
        <v>4</v>
      </c>
      <c r="I2308" s="11">
        <f t="shared" si="160"/>
        <v>76</v>
      </c>
      <c r="J2308" s="11"/>
    </row>
    <row r="2309" spans="1:10" x14ac:dyDescent="0.25">
      <c r="A2309" s="2">
        <v>42847</v>
      </c>
      <c r="B2309" s="3">
        <v>510</v>
      </c>
      <c r="C2309" s="4">
        <v>239700</v>
      </c>
      <c r="D2309" s="3">
        <v>591</v>
      </c>
      <c r="E2309" s="4">
        <v>431430</v>
      </c>
      <c r="G2309" s="12">
        <f t="shared" si="158"/>
        <v>2017</v>
      </c>
      <c r="H2309" s="12">
        <f t="shared" si="159"/>
        <v>4</v>
      </c>
      <c r="I2309" s="11">
        <f t="shared" si="160"/>
        <v>76</v>
      </c>
      <c r="J2309" s="11"/>
    </row>
    <row r="2310" spans="1:10" x14ac:dyDescent="0.25">
      <c r="A2310" s="2">
        <v>42848</v>
      </c>
      <c r="B2310" s="3">
        <v>480</v>
      </c>
      <c r="C2310" s="4">
        <v>225600</v>
      </c>
      <c r="D2310" s="3">
        <v>597</v>
      </c>
      <c r="E2310" s="4">
        <v>435810</v>
      </c>
      <c r="G2310" s="12">
        <f t="shared" ref="G2310:G2373" si="161">+YEAR(A2310)</f>
        <v>2017</v>
      </c>
      <c r="H2310" s="12">
        <f t="shared" ref="H2310:H2373" si="162">+MONTH(A2310)</f>
        <v>4</v>
      </c>
      <c r="I2310" s="11">
        <f t="shared" si="160"/>
        <v>76</v>
      </c>
      <c r="J2310" s="11"/>
    </row>
    <row r="2311" spans="1:10" x14ac:dyDescent="0.25">
      <c r="A2311" s="2">
        <v>42849</v>
      </c>
      <c r="B2311" s="3">
        <v>464</v>
      </c>
      <c r="C2311" s="4">
        <v>218080</v>
      </c>
      <c r="D2311" s="3">
        <v>728</v>
      </c>
      <c r="E2311" s="4">
        <v>531440</v>
      </c>
      <c r="G2311" s="12">
        <f t="shared" si="161"/>
        <v>2017</v>
      </c>
      <c r="H2311" s="12">
        <f t="shared" si="162"/>
        <v>4</v>
      </c>
      <c r="I2311" s="11">
        <f t="shared" ref="I2311:I2374" si="163">+H2311+(G2311-2011)*12</f>
        <v>76</v>
      </c>
      <c r="J2311" s="11"/>
    </row>
    <row r="2312" spans="1:10" x14ac:dyDescent="0.25">
      <c r="A2312" s="2">
        <v>42850</v>
      </c>
      <c r="B2312" s="3">
        <v>539</v>
      </c>
      <c r="C2312" s="4">
        <v>253330</v>
      </c>
      <c r="D2312" s="3">
        <v>614</v>
      </c>
      <c r="E2312" s="4">
        <v>448220</v>
      </c>
      <c r="G2312" s="12">
        <f t="shared" si="161"/>
        <v>2017</v>
      </c>
      <c r="H2312" s="12">
        <f t="shared" si="162"/>
        <v>4</v>
      </c>
      <c r="I2312" s="11">
        <f t="shared" si="163"/>
        <v>76</v>
      </c>
      <c r="J2312" s="11"/>
    </row>
    <row r="2313" spans="1:10" x14ac:dyDescent="0.25">
      <c r="A2313" s="2">
        <v>42851</v>
      </c>
      <c r="B2313" s="3">
        <v>382</v>
      </c>
      <c r="C2313" s="4">
        <v>179540</v>
      </c>
      <c r="D2313" s="3">
        <v>696</v>
      </c>
      <c r="E2313" s="4">
        <v>508080</v>
      </c>
      <c r="G2313" s="12">
        <f t="shared" si="161"/>
        <v>2017</v>
      </c>
      <c r="H2313" s="12">
        <f t="shared" si="162"/>
        <v>4</v>
      </c>
      <c r="I2313" s="11">
        <f t="shared" si="163"/>
        <v>76</v>
      </c>
      <c r="J2313" s="11"/>
    </row>
    <row r="2314" spans="1:10" x14ac:dyDescent="0.25">
      <c r="A2314" s="2">
        <v>42852</v>
      </c>
      <c r="B2314" s="3">
        <v>444</v>
      </c>
      <c r="C2314" s="4">
        <v>208680</v>
      </c>
      <c r="D2314" s="3">
        <v>779</v>
      </c>
      <c r="E2314" s="4">
        <v>568670</v>
      </c>
      <c r="G2314" s="12">
        <f t="shared" si="161"/>
        <v>2017</v>
      </c>
      <c r="H2314" s="12">
        <f t="shared" si="162"/>
        <v>4</v>
      </c>
      <c r="I2314" s="11">
        <f t="shared" si="163"/>
        <v>76</v>
      </c>
      <c r="J2314" s="11"/>
    </row>
    <row r="2315" spans="1:10" x14ac:dyDescent="0.25">
      <c r="A2315" s="2">
        <v>42853</v>
      </c>
      <c r="B2315" s="3">
        <v>469</v>
      </c>
      <c r="C2315" s="4">
        <v>220430</v>
      </c>
      <c r="D2315" s="3">
        <v>679</v>
      </c>
      <c r="E2315" s="4">
        <v>495670</v>
      </c>
      <c r="G2315" s="12">
        <f t="shared" si="161"/>
        <v>2017</v>
      </c>
      <c r="H2315" s="12">
        <f t="shared" si="162"/>
        <v>4</v>
      </c>
      <c r="I2315" s="11">
        <f t="shared" si="163"/>
        <v>76</v>
      </c>
      <c r="J2315" s="11"/>
    </row>
    <row r="2316" spans="1:10" x14ac:dyDescent="0.25">
      <c r="A2316" s="2">
        <v>42854</v>
      </c>
      <c r="B2316" s="3">
        <v>442</v>
      </c>
      <c r="C2316" s="4">
        <v>207740</v>
      </c>
      <c r="D2316" s="3">
        <v>677</v>
      </c>
      <c r="E2316" s="4">
        <v>494210</v>
      </c>
      <c r="G2316" s="12">
        <f t="shared" si="161"/>
        <v>2017</v>
      </c>
      <c r="H2316" s="12">
        <f t="shared" si="162"/>
        <v>4</v>
      </c>
      <c r="I2316" s="11">
        <f t="shared" si="163"/>
        <v>76</v>
      </c>
      <c r="J2316" s="11"/>
    </row>
    <row r="2317" spans="1:10" x14ac:dyDescent="0.25">
      <c r="A2317" s="2">
        <v>42855</v>
      </c>
      <c r="B2317" s="3">
        <v>513</v>
      </c>
      <c r="C2317" s="4">
        <v>241110</v>
      </c>
      <c r="D2317" s="3">
        <v>585</v>
      </c>
      <c r="E2317" s="4">
        <v>427050</v>
      </c>
      <c r="G2317" s="12">
        <f t="shared" si="161"/>
        <v>2017</v>
      </c>
      <c r="H2317" s="12">
        <f t="shared" si="162"/>
        <v>4</v>
      </c>
      <c r="I2317" s="11">
        <f t="shared" si="163"/>
        <v>76</v>
      </c>
      <c r="J2317" s="11"/>
    </row>
    <row r="2318" spans="1:10" x14ac:dyDescent="0.25">
      <c r="A2318" s="2">
        <v>42856</v>
      </c>
      <c r="B2318" s="3">
        <v>472</v>
      </c>
      <c r="C2318" s="4">
        <v>221840</v>
      </c>
      <c r="D2318" s="3">
        <v>666</v>
      </c>
      <c r="E2318" s="4">
        <v>486180</v>
      </c>
      <c r="G2318" s="12">
        <f t="shared" si="161"/>
        <v>2017</v>
      </c>
      <c r="H2318" s="12">
        <f t="shared" si="162"/>
        <v>5</v>
      </c>
      <c r="I2318" s="11">
        <f t="shared" si="163"/>
        <v>77</v>
      </c>
      <c r="J2318" s="11"/>
    </row>
    <row r="2319" spans="1:10" x14ac:dyDescent="0.25">
      <c r="A2319" s="2">
        <v>42857</v>
      </c>
      <c r="B2319" s="3">
        <v>417</v>
      </c>
      <c r="C2319" s="4">
        <v>195990</v>
      </c>
      <c r="D2319" s="3">
        <v>602</v>
      </c>
      <c r="E2319" s="4">
        <v>439460</v>
      </c>
      <c r="G2319" s="12">
        <f t="shared" si="161"/>
        <v>2017</v>
      </c>
      <c r="H2319" s="12">
        <f t="shared" si="162"/>
        <v>5</v>
      </c>
      <c r="I2319" s="11">
        <f t="shared" si="163"/>
        <v>77</v>
      </c>
      <c r="J2319" s="11"/>
    </row>
    <row r="2320" spans="1:10" x14ac:dyDescent="0.25">
      <c r="A2320" s="2">
        <v>42858</v>
      </c>
      <c r="B2320" s="3">
        <v>372</v>
      </c>
      <c r="C2320" s="4">
        <v>174840</v>
      </c>
      <c r="D2320" s="3">
        <v>632</v>
      </c>
      <c r="E2320" s="4">
        <v>461360</v>
      </c>
      <c r="G2320" s="12">
        <f t="shared" si="161"/>
        <v>2017</v>
      </c>
      <c r="H2320" s="12">
        <f t="shared" si="162"/>
        <v>5</v>
      </c>
      <c r="I2320" s="11">
        <f t="shared" si="163"/>
        <v>77</v>
      </c>
      <c r="J2320" s="11"/>
    </row>
    <row r="2321" spans="1:10" x14ac:dyDescent="0.25">
      <c r="A2321" s="2">
        <v>42859</v>
      </c>
      <c r="B2321" s="3">
        <v>472</v>
      </c>
      <c r="C2321" s="4">
        <v>221840</v>
      </c>
      <c r="D2321" s="3">
        <v>643</v>
      </c>
      <c r="E2321" s="4">
        <v>469390</v>
      </c>
      <c r="G2321" s="12">
        <f t="shared" si="161"/>
        <v>2017</v>
      </c>
      <c r="H2321" s="12">
        <f t="shared" si="162"/>
        <v>5</v>
      </c>
      <c r="I2321" s="11">
        <f t="shared" si="163"/>
        <v>77</v>
      </c>
      <c r="J2321" s="11"/>
    </row>
    <row r="2322" spans="1:10" x14ac:dyDescent="0.25">
      <c r="A2322" s="2">
        <v>42860</v>
      </c>
      <c r="B2322" s="3">
        <v>427</v>
      </c>
      <c r="C2322" s="4">
        <v>200690</v>
      </c>
      <c r="D2322" s="3">
        <v>599</v>
      </c>
      <c r="E2322" s="4">
        <v>437270</v>
      </c>
      <c r="G2322" s="12">
        <f t="shared" si="161"/>
        <v>2017</v>
      </c>
      <c r="H2322" s="12">
        <f t="shared" si="162"/>
        <v>5</v>
      </c>
      <c r="I2322" s="11">
        <f t="shared" si="163"/>
        <v>77</v>
      </c>
      <c r="J2322" s="11"/>
    </row>
    <row r="2323" spans="1:10" x14ac:dyDescent="0.25">
      <c r="A2323" s="2">
        <v>42861</v>
      </c>
      <c r="B2323" s="3">
        <v>493</v>
      </c>
      <c r="C2323" s="4">
        <v>231710</v>
      </c>
      <c r="D2323" s="3">
        <v>607</v>
      </c>
      <c r="E2323" s="4">
        <v>443110</v>
      </c>
      <c r="G2323" s="12">
        <f t="shared" si="161"/>
        <v>2017</v>
      </c>
      <c r="H2323" s="12">
        <f t="shared" si="162"/>
        <v>5</v>
      </c>
      <c r="I2323" s="11">
        <f t="shared" si="163"/>
        <v>77</v>
      </c>
      <c r="J2323" s="11"/>
    </row>
    <row r="2324" spans="1:10" x14ac:dyDescent="0.25">
      <c r="A2324" s="2">
        <v>42862</v>
      </c>
      <c r="B2324" s="3">
        <v>367</v>
      </c>
      <c r="C2324" s="4">
        <v>172490</v>
      </c>
      <c r="D2324" s="3">
        <v>691</v>
      </c>
      <c r="E2324" s="4">
        <v>504430</v>
      </c>
      <c r="G2324" s="12">
        <f t="shared" si="161"/>
        <v>2017</v>
      </c>
      <c r="H2324" s="12">
        <f t="shared" si="162"/>
        <v>5</v>
      </c>
      <c r="I2324" s="11">
        <f t="shared" si="163"/>
        <v>77</v>
      </c>
      <c r="J2324" s="11"/>
    </row>
    <row r="2325" spans="1:10" x14ac:dyDescent="0.25">
      <c r="A2325" s="2">
        <v>42863</v>
      </c>
      <c r="B2325" s="3">
        <v>484</v>
      </c>
      <c r="C2325" s="4">
        <v>227480</v>
      </c>
      <c r="D2325" s="3">
        <v>561</v>
      </c>
      <c r="E2325" s="4">
        <v>409530</v>
      </c>
      <c r="G2325" s="12">
        <f t="shared" si="161"/>
        <v>2017</v>
      </c>
      <c r="H2325" s="12">
        <f t="shared" si="162"/>
        <v>5</v>
      </c>
      <c r="I2325" s="11">
        <f t="shared" si="163"/>
        <v>77</v>
      </c>
      <c r="J2325" s="11"/>
    </row>
    <row r="2326" spans="1:10" x14ac:dyDescent="0.25">
      <c r="A2326" s="2">
        <v>42864</v>
      </c>
      <c r="B2326" s="3">
        <v>507</v>
      </c>
      <c r="C2326" s="4">
        <v>238290</v>
      </c>
      <c r="D2326" s="3">
        <v>657</v>
      </c>
      <c r="E2326" s="4">
        <v>479610</v>
      </c>
      <c r="G2326" s="12">
        <f t="shared" si="161"/>
        <v>2017</v>
      </c>
      <c r="H2326" s="12">
        <f t="shared" si="162"/>
        <v>5</v>
      </c>
      <c r="I2326" s="11">
        <f t="shared" si="163"/>
        <v>77</v>
      </c>
      <c r="J2326" s="11"/>
    </row>
    <row r="2327" spans="1:10" x14ac:dyDescent="0.25">
      <c r="A2327" s="2">
        <v>42865</v>
      </c>
      <c r="B2327" s="3">
        <v>520</v>
      </c>
      <c r="C2327" s="4">
        <v>244400</v>
      </c>
      <c r="D2327" s="3">
        <v>664</v>
      </c>
      <c r="E2327" s="4">
        <v>484720</v>
      </c>
      <c r="G2327" s="12">
        <f t="shared" si="161"/>
        <v>2017</v>
      </c>
      <c r="H2327" s="12">
        <f t="shared" si="162"/>
        <v>5</v>
      </c>
      <c r="I2327" s="11">
        <f t="shared" si="163"/>
        <v>77</v>
      </c>
      <c r="J2327" s="11"/>
    </row>
    <row r="2328" spans="1:10" x14ac:dyDescent="0.25">
      <c r="A2328" s="2">
        <v>42866</v>
      </c>
      <c r="B2328" s="3">
        <v>504</v>
      </c>
      <c r="C2328" s="4">
        <v>236880</v>
      </c>
      <c r="D2328" s="3">
        <v>670</v>
      </c>
      <c r="E2328" s="4">
        <v>489100</v>
      </c>
      <c r="G2328" s="12">
        <f t="shared" si="161"/>
        <v>2017</v>
      </c>
      <c r="H2328" s="12">
        <f t="shared" si="162"/>
        <v>5</v>
      </c>
      <c r="I2328" s="11">
        <f t="shared" si="163"/>
        <v>77</v>
      </c>
      <c r="J2328" s="11"/>
    </row>
    <row r="2329" spans="1:10" x14ac:dyDescent="0.25">
      <c r="A2329" s="2">
        <v>42867</v>
      </c>
      <c r="B2329" s="3">
        <v>480</v>
      </c>
      <c r="C2329" s="4">
        <v>225600</v>
      </c>
      <c r="D2329" s="3">
        <v>597</v>
      </c>
      <c r="E2329" s="4">
        <v>435810</v>
      </c>
      <c r="G2329" s="12">
        <f t="shared" si="161"/>
        <v>2017</v>
      </c>
      <c r="H2329" s="12">
        <f t="shared" si="162"/>
        <v>5</v>
      </c>
      <c r="I2329" s="11">
        <f t="shared" si="163"/>
        <v>77</v>
      </c>
      <c r="J2329" s="11"/>
    </row>
    <row r="2330" spans="1:10" x14ac:dyDescent="0.25">
      <c r="A2330" s="2">
        <v>42868</v>
      </c>
      <c r="B2330" s="3">
        <v>436</v>
      </c>
      <c r="C2330" s="4">
        <v>204920</v>
      </c>
      <c r="D2330" s="3">
        <v>686</v>
      </c>
      <c r="E2330" s="4">
        <v>500780</v>
      </c>
      <c r="G2330" s="12">
        <f t="shared" si="161"/>
        <v>2017</v>
      </c>
      <c r="H2330" s="12">
        <f t="shared" si="162"/>
        <v>5</v>
      </c>
      <c r="I2330" s="11">
        <f t="shared" si="163"/>
        <v>77</v>
      </c>
      <c r="J2330" s="11"/>
    </row>
    <row r="2331" spans="1:10" x14ac:dyDescent="0.25">
      <c r="A2331" s="2">
        <v>42869</v>
      </c>
      <c r="B2331" s="3">
        <v>524</v>
      </c>
      <c r="C2331" s="4">
        <v>246280</v>
      </c>
      <c r="D2331" s="3">
        <v>617</v>
      </c>
      <c r="E2331" s="4">
        <v>450410</v>
      </c>
      <c r="G2331" s="12">
        <f t="shared" si="161"/>
        <v>2017</v>
      </c>
      <c r="H2331" s="12">
        <f t="shared" si="162"/>
        <v>5</v>
      </c>
      <c r="I2331" s="11">
        <f t="shared" si="163"/>
        <v>77</v>
      </c>
      <c r="J2331" s="11"/>
    </row>
    <row r="2332" spans="1:10" x14ac:dyDescent="0.25">
      <c r="A2332" s="2">
        <v>42870</v>
      </c>
      <c r="B2332" s="3">
        <v>420</v>
      </c>
      <c r="C2332" s="4">
        <v>197400</v>
      </c>
      <c r="D2332" s="3">
        <v>587</v>
      </c>
      <c r="E2332" s="4">
        <v>428510</v>
      </c>
      <c r="G2332" s="12">
        <f t="shared" si="161"/>
        <v>2017</v>
      </c>
      <c r="H2332" s="12">
        <f t="shared" si="162"/>
        <v>5</v>
      </c>
      <c r="I2332" s="11">
        <f t="shared" si="163"/>
        <v>77</v>
      </c>
      <c r="J2332" s="11"/>
    </row>
    <row r="2333" spans="1:10" x14ac:dyDescent="0.25">
      <c r="A2333" s="2">
        <v>42871</v>
      </c>
      <c r="B2333" s="3">
        <v>477</v>
      </c>
      <c r="C2333" s="4">
        <v>224190</v>
      </c>
      <c r="D2333" s="3">
        <v>660</v>
      </c>
      <c r="E2333" s="4">
        <v>481800</v>
      </c>
      <c r="G2333" s="12">
        <f t="shared" si="161"/>
        <v>2017</v>
      </c>
      <c r="H2333" s="12">
        <f t="shared" si="162"/>
        <v>5</v>
      </c>
      <c r="I2333" s="11">
        <f t="shared" si="163"/>
        <v>77</v>
      </c>
      <c r="J2333" s="11"/>
    </row>
    <row r="2334" spans="1:10" x14ac:dyDescent="0.25">
      <c r="A2334" s="2">
        <v>42872</v>
      </c>
      <c r="B2334" s="3">
        <v>502</v>
      </c>
      <c r="C2334" s="4">
        <v>235940</v>
      </c>
      <c r="D2334" s="3">
        <v>751</v>
      </c>
      <c r="E2334" s="4">
        <v>548230</v>
      </c>
      <c r="G2334" s="12">
        <f t="shared" si="161"/>
        <v>2017</v>
      </c>
      <c r="H2334" s="12">
        <f t="shared" si="162"/>
        <v>5</v>
      </c>
      <c r="I2334" s="11">
        <f t="shared" si="163"/>
        <v>77</v>
      </c>
      <c r="J2334" s="11"/>
    </row>
    <row r="2335" spans="1:10" x14ac:dyDescent="0.25">
      <c r="A2335" s="2">
        <v>42873</v>
      </c>
      <c r="B2335" s="3">
        <v>427</v>
      </c>
      <c r="C2335" s="4">
        <v>200690</v>
      </c>
      <c r="D2335" s="3">
        <v>654</v>
      </c>
      <c r="E2335" s="4">
        <v>477420</v>
      </c>
      <c r="G2335" s="12">
        <f t="shared" si="161"/>
        <v>2017</v>
      </c>
      <c r="H2335" s="12">
        <f t="shared" si="162"/>
        <v>5</v>
      </c>
      <c r="I2335" s="11">
        <f t="shared" si="163"/>
        <v>77</v>
      </c>
      <c r="J2335" s="11"/>
    </row>
    <row r="2336" spans="1:10" x14ac:dyDescent="0.25">
      <c r="A2336" s="2">
        <v>42874</v>
      </c>
      <c r="B2336" s="3">
        <v>437</v>
      </c>
      <c r="C2336" s="4">
        <v>205390</v>
      </c>
      <c r="D2336" s="3">
        <v>761</v>
      </c>
      <c r="E2336" s="4">
        <v>555530</v>
      </c>
      <c r="G2336" s="12">
        <f t="shared" si="161"/>
        <v>2017</v>
      </c>
      <c r="H2336" s="12">
        <f t="shared" si="162"/>
        <v>5</v>
      </c>
      <c r="I2336" s="11">
        <f t="shared" si="163"/>
        <v>77</v>
      </c>
      <c r="J2336" s="11"/>
    </row>
    <row r="2337" spans="1:10" x14ac:dyDescent="0.25">
      <c r="A2337" s="2">
        <v>42875</v>
      </c>
      <c r="B2337" s="3">
        <v>469</v>
      </c>
      <c r="C2337" s="4">
        <v>220430</v>
      </c>
      <c r="D2337" s="3">
        <v>616</v>
      </c>
      <c r="E2337" s="4">
        <v>449680</v>
      </c>
      <c r="G2337" s="12">
        <f t="shared" si="161"/>
        <v>2017</v>
      </c>
      <c r="H2337" s="12">
        <f t="shared" si="162"/>
        <v>5</v>
      </c>
      <c r="I2337" s="11">
        <f t="shared" si="163"/>
        <v>77</v>
      </c>
      <c r="J2337" s="11"/>
    </row>
    <row r="2338" spans="1:10" x14ac:dyDescent="0.25">
      <c r="A2338" s="2">
        <v>42876</v>
      </c>
      <c r="B2338" s="3">
        <v>496</v>
      </c>
      <c r="C2338" s="4">
        <v>233120</v>
      </c>
      <c r="D2338" s="3">
        <v>651</v>
      </c>
      <c r="E2338" s="4">
        <v>475230</v>
      </c>
      <c r="G2338" s="12">
        <f t="shared" si="161"/>
        <v>2017</v>
      </c>
      <c r="H2338" s="12">
        <f t="shared" si="162"/>
        <v>5</v>
      </c>
      <c r="I2338" s="11">
        <f t="shared" si="163"/>
        <v>77</v>
      </c>
      <c r="J2338" s="11"/>
    </row>
    <row r="2339" spans="1:10" x14ac:dyDescent="0.25">
      <c r="A2339" s="2">
        <v>42877</v>
      </c>
      <c r="B2339" s="3">
        <v>467</v>
      </c>
      <c r="C2339" s="4">
        <v>219490</v>
      </c>
      <c r="D2339" s="3">
        <v>648</v>
      </c>
      <c r="E2339" s="4">
        <v>473040</v>
      </c>
      <c r="G2339" s="12">
        <f t="shared" si="161"/>
        <v>2017</v>
      </c>
      <c r="H2339" s="12">
        <f t="shared" si="162"/>
        <v>5</v>
      </c>
      <c r="I2339" s="11">
        <f t="shared" si="163"/>
        <v>77</v>
      </c>
      <c r="J2339" s="11"/>
    </row>
    <row r="2340" spans="1:10" x14ac:dyDescent="0.25">
      <c r="A2340" s="2">
        <v>42878</v>
      </c>
      <c r="B2340" s="3">
        <v>486</v>
      </c>
      <c r="C2340" s="4">
        <v>228420</v>
      </c>
      <c r="D2340" s="3">
        <v>591</v>
      </c>
      <c r="E2340" s="4">
        <v>431430</v>
      </c>
      <c r="G2340" s="12">
        <f t="shared" si="161"/>
        <v>2017</v>
      </c>
      <c r="H2340" s="12">
        <f t="shared" si="162"/>
        <v>5</v>
      </c>
      <c r="I2340" s="11">
        <f t="shared" si="163"/>
        <v>77</v>
      </c>
      <c r="J2340" s="11"/>
    </row>
    <row r="2341" spans="1:10" x14ac:dyDescent="0.25">
      <c r="A2341" s="2">
        <v>42879</v>
      </c>
      <c r="B2341" s="3">
        <v>386</v>
      </c>
      <c r="C2341" s="4">
        <v>181420</v>
      </c>
      <c r="D2341" s="3">
        <v>639</v>
      </c>
      <c r="E2341" s="4">
        <v>466470</v>
      </c>
      <c r="G2341" s="12">
        <f t="shared" si="161"/>
        <v>2017</v>
      </c>
      <c r="H2341" s="12">
        <f t="shared" si="162"/>
        <v>5</v>
      </c>
      <c r="I2341" s="11">
        <f t="shared" si="163"/>
        <v>77</v>
      </c>
      <c r="J2341" s="11"/>
    </row>
    <row r="2342" spans="1:10" x14ac:dyDescent="0.25">
      <c r="A2342" s="2">
        <v>42880</v>
      </c>
      <c r="B2342" s="3">
        <v>529</v>
      </c>
      <c r="C2342" s="4">
        <v>248630</v>
      </c>
      <c r="D2342" s="3">
        <v>656</v>
      </c>
      <c r="E2342" s="4">
        <v>478880</v>
      </c>
      <c r="G2342" s="12">
        <f t="shared" si="161"/>
        <v>2017</v>
      </c>
      <c r="H2342" s="12">
        <f t="shared" si="162"/>
        <v>5</v>
      </c>
      <c r="I2342" s="11">
        <f t="shared" si="163"/>
        <v>77</v>
      </c>
      <c r="J2342" s="11"/>
    </row>
    <row r="2343" spans="1:10" x14ac:dyDescent="0.25">
      <c r="A2343" s="2">
        <v>42881</v>
      </c>
      <c r="B2343" s="3">
        <v>496</v>
      </c>
      <c r="C2343" s="4">
        <v>233120</v>
      </c>
      <c r="D2343" s="3">
        <v>601</v>
      </c>
      <c r="E2343" s="4">
        <v>438730</v>
      </c>
      <c r="G2343" s="12">
        <f t="shared" si="161"/>
        <v>2017</v>
      </c>
      <c r="H2343" s="12">
        <f t="shared" si="162"/>
        <v>5</v>
      </c>
      <c r="I2343" s="11">
        <f t="shared" si="163"/>
        <v>77</v>
      </c>
      <c r="J2343" s="11"/>
    </row>
    <row r="2344" spans="1:10" x14ac:dyDescent="0.25">
      <c r="A2344" s="2">
        <v>42882</v>
      </c>
      <c r="B2344" s="3">
        <v>404</v>
      </c>
      <c r="C2344" s="4">
        <v>189880</v>
      </c>
      <c r="D2344" s="3">
        <v>713</v>
      </c>
      <c r="E2344" s="4">
        <v>520490</v>
      </c>
      <c r="G2344" s="12">
        <f t="shared" si="161"/>
        <v>2017</v>
      </c>
      <c r="H2344" s="12">
        <f t="shared" si="162"/>
        <v>5</v>
      </c>
      <c r="I2344" s="11">
        <f t="shared" si="163"/>
        <v>77</v>
      </c>
      <c r="J2344" s="11"/>
    </row>
    <row r="2345" spans="1:10" x14ac:dyDescent="0.25">
      <c r="A2345" s="2">
        <v>42883</v>
      </c>
      <c r="B2345" s="3">
        <v>535</v>
      </c>
      <c r="C2345" s="4">
        <v>251450</v>
      </c>
      <c r="D2345" s="3">
        <v>632</v>
      </c>
      <c r="E2345" s="4">
        <v>461360</v>
      </c>
      <c r="G2345" s="12">
        <f t="shared" si="161"/>
        <v>2017</v>
      </c>
      <c r="H2345" s="12">
        <f t="shared" si="162"/>
        <v>5</v>
      </c>
      <c r="I2345" s="11">
        <f t="shared" si="163"/>
        <v>77</v>
      </c>
      <c r="J2345" s="11"/>
    </row>
    <row r="2346" spans="1:10" x14ac:dyDescent="0.25">
      <c r="A2346" s="2">
        <v>42884</v>
      </c>
      <c r="B2346" s="3">
        <v>430</v>
      </c>
      <c r="C2346" s="4">
        <v>202100</v>
      </c>
      <c r="D2346" s="3">
        <v>577</v>
      </c>
      <c r="E2346" s="4">
        <v>421210</v>
      </c>
      <c r="G2346" s="12">
        <f t="shared" si="161"/>
        <v>2017</v>
      </c>
      <c r="H2346" s="12">
        <f t="shared" si="162"/>
        <v>5</v>
      </c>
      <c r="I2346" s="11">
        <f t="shared" si="163"/>
        <v>77</v>
      </c>
      <c r="J2346" s="11"/>
    </row>
    <row r="2347" spans="1:10" x14ac:dyDescent="0.25">
      <c r="A2347" s="2">
        <v>42885</v>
      </c>
      <c r="B2347" s="3">
        <v>390</v>
      </c>
      <c r="C2347" s="4">
        <v>183300</v>
      </c>
      <c r="D2347" s="3">
        <v>600</v>
      </c>
      <c r="E2347" s="4">
        <v>438000</v>
      </c>
      <c r="G2347" s="12">
        <f t="shared" si="161"/>
        <v>2017</v>
      </c>
      <c r="H2347" s="12">
        <f t="shared" si="162"/>
        <v>5</v>
      </c>
      <c r="I2347" s="11">
        <f t="shared" si="163"/>
        <v>77</v>
      </c>
      <c r="J2347" s="11"/>
    </row>
    <row r="2348" spans="1:10" x14ac:dyDescent="0.25">
      <c r="A2348" s="2">
        <v>42886</v>
      </c>
      <c r="B2348" s="3">
        <v>496</v>
      </c>
      <c r="C2348" s="4">
        <v>233120</v>
      </c>
      <c r="D2348" s="3">
        <v>634</v>
      </c>
      <c r="E2348" s="4">
        <v>462820</v>
      </c>
      <c r="G2348" s="12">
        <f t="shared" si="161"/>
        <v>2017</v>
      </c>
      <c r="H2348" s="12">
        <f t="shared" si="162"/>
        <v>5</v>
      </c>
      <c r="I2348" s="11">
        <f t="shared" si="163"/>
        <v>77</v>
      </c>
      <c r="J2348" s="11"/>
    </row>
    <row r="2349" spans="1:10" x14ac:dyDescent="0.25">
      <c r="A2349" s="2">
        <v>42887</v>
      </c>
      <c r="B2349" s="3">
        <v>477</v>
      </c>
      <c r="C2349" s="4">
        <v>224190</v>
      </c>
      <c r="D2349" s="3">
        <v>718</v>
      </c>
      <c r="E2349" s="4">
        <v>209656</v>
      </c>
      <c r="G2349" s="12">
        <f t="shared" si="161"/>
        <v>2017</v>
      </c>
      <c r="H2349" s="12">
        <f t="shared" si="162"/>
        <v>6</v>
      </c>
      <c r="I2349" s="11">
        <f t="shared" si="163"/>
        <v>78</v>
      </c>
      <c r="J2349" s="11"/>
    </row>
    <row r="2350" spans="1:10" x14ac:dyDescent="0.25">
      <c r="A2350" s="2">
        <v>42888</v>
      </c>
      <c r="B2350" s="3">
        <v>540</v>
      </c>
      <c r="C2350" s="4">
        <v>253800</v>
      </c>
      <c r="D2350" s="3">
        <v>802</v>
      </c>
      <c r="E2350" s="4">
        <v>234184</v>
      </c>
      <c r="G2350" s="12">
        <f t="shared" si="161"/>
        <v>2017</v>
      </c>
      <c r="H2350" s="12">
        <f t="shared" si="162"/>
        <v>6</v>
      </c>
      <c r="I2350" s="11">
        <f t="shared" si="163"/>
        <v>78</v>
      </c>
      <c r="J2350" s="11"/>
    </row>
    <row r="2351" spans="1:10" x14ac:dyDescent="0.25">
      <c r="A2351" s="2">
        <v>42889</v>
      </c>
      <c r="B2351" s="3">
        <v>343</v>
      </c>
      <c r="C2351" s="4">
        <v>161210</v>
      </c>
      <c r="D2351" s="3">
        <v>609</v>
      </c>
      <c r="E2351" s="4">
        <v>177828</v>
      </c>
      <c r="G2351" s="12">
        <f t="shared" si="161"/>
        <v>2017</v>
      </c>
      <c r="H2351" s="12">
        <f t="shared" si="162"/>
        <v>6</v>
      </c>
      <c r="I2351" s="11">
        <f t="shared" si="163"/>
        <v>78</v>
      </c>
      <c r="J2351" s="11"/>
    </row>
    <row r="2352" spans="1:10" x14ac:dyDescent="0.25">
      <c r="A2352" s="2">
        <v>42890</v>
      </c>
      <c r="B2352" s="3">
        <v>375</v>
      </c>
      <c r="C2352" s="4">
        <v>176250</v>
      </c>
      <c r="D2352" s="3">
        <v>727</v>
      </c>
      <c r="E2352" s="4">
        <v>212284</v>
      </c>
      <c r="G2352" s="12">
        <f t="shared" si="161"/>
        <v>2017</v>
      </c>
      <c r="H2352" s="12">
        <f t="shared" si="162"/>
        <v>6</v>
      </c>
      <c r="I2352" s="11">
        <f t="shared" si="163"/>
        <v>78</v>
      </c>
      <c r="J2352" s="11"/>
    </row>
    <row r="2353" spans="1:10" x14ac:dyDescent="0.25">
      <c r="A2353" s="2">
        <v>42891</v>
      </c>
      <c r="B2353" s="3">
        <v>493</v>
      </c>
      <c r="C2353" s="4">
        <v>231710</v>
      </c>
      <c r="D2353" s="3">
        <v>847</v>
      </c>
      <c r="E2353" s="4">
        <v>247324</v>
      </c>
      <c r="G2353" s="12">
        <f t="shared" si="161"/>
        <v>2017</v>
      </c>
      <c r="H2353" s="12">
        <f t="shared" si="162"/>
        <v>6</v>
      </c>
      <c r="I2353" s="11">
        <f t="shared" si="163"/>
        <v>78</v>
      </c>
      <c r="J2353" s="11"/>
    </row>
    <row r="2354" spans="1:10" x14ac:dyDescent="0.25">
      <c r="A2354" s="2">
        <v>42892</v>
      </c>
      <c r="B2354" s="3">
        <v>459</v>
      </c>
      <c r="C2354" s="4">
        <v>215730</v>
      </c>
      <c r="D2354" s="3">
        <v>794</v>
      </c>
      <c r="E2354" s="4">
        <v>231848</v>
      </c>
      <c r="G2354" s="12">
        <f t="shared" si="161"/>
        <v>2017</v>
      </c>
      <c r="H2354" s="12">
        <f t="shared" si="162"/>
        <v>6</v>
      </c>
      <c r="I2354" s="11">
        <f t="shared" si="163"/>
        <v>78</v>
      </c>
      <c r="J2354" s="11"/>
    </row>
    <row r="2355" spans="1:10" x14ac:dyDescent="0.25">
      <c r="A2355" s="2">
        <v>42893</v>
      </c>
      <c r="B2355" s="3">
        <v>435</v>
      </c>
      <c r="C2355" s="4">
        <v>204450</v>
      </c>
      <c r="D2355" s="3">
        <v>789</v>
      </c>
      <c r="E2355" s="4">
        <v>230388</v>
      </c>
      <c r="G2355" s="12">
        <f t="shared" si="161"/>
        <v>2017</v>
      </c>
      <c r="H2355" s="12">
        <f t="shared" si="162"/>
        <v>6</v>
      </c>
      <c r="I2355" s="11">
        <f t="shared" si="163"/>
        <v>78</v>
      </c>
      <c r="J2355" s="11"/>
    </row>
    <row r="2356" spans="1:10" x14ac:dyDescent="0.25">
      <c r="A2356" s="2">
        <v>42894</v>
      </c>
      <c r="B2356" s="3">
        <v>441</v>
      </c>
      <c r="C2356" s="4">
        <v>207270</v>
      </c>
      <c r="D2356" s="3">
        <v>736</v>
      </c>
      <c r="E2356" s="4">
        <v>214912</v>
      </c>
      <c r="G2356" s="12">
        <f t="shared" si="161"/>
        <v>2017</v>
      </c>
      <c r="H2356" s="12">
        <f t="shared" si="162"/>
        <v>6</v>
      </c>
      <c r="I2356" s="11">
        <f t="shared" si="163"/>
        <v>78</v>
      </c>
      <c r="J2356" s="11"/>
    </row>
    <row r="2357" spans="1:10" x14ac:dyDescent="0.25">
      <c r="A2357" s="2">
        <v>42895</v>
      </c>
      <c r="B2357" s="3">
        <v>445</v>
      </c>
      <c r="C2357" s="4">
        <v>209150</v>
      </c>
      <c r="D2357" s="3">
        <v>745</v>
      </c>
      <c r="E2357" s="4">
        <v>217540</v>
      </c>
      <c r="G2357" s="12">
        <f t="shared" si="161"/>
        <v>2017</v>
      </c>
      <c r="H2357" s="12">
        <f t="shared" si="162"/>
        <v>6</v>
      </c>
      <c r="I2357" s="11">
        <f t="shared" si="163"/>
        <v>78</v>
      </c>
      <c r="J2357" s="11"/>
    </row>
    <row r="2358" spans="1:10" x14ac:dyDescent="0.25">
      <c r="A2358" s="2">
        <v>42896</v>
      </c>
      <c r="B2358" s="3">
        <v>568</v>
      </c>
      <c r="C2358" s="4">
        <v>266960</v>
      </c>
      <c r="D2358" s="3">
        <v>636</v>
      </c>
      <c r="E2358" s="4">
        <v>185712</v>
      </c>
      <c r="G2358" s="12">
        <f t="shared" si="161"/>
        <v>2017</v>
      </c>
      <c r="H2358" s="12">
        <f t="shared" si="162"/>
        <v>6</v>
      </c>
      <c r="I2358" s="11">
        <f t="shared" si="163"/>
        <v>78</v>
      </c>
      <c r="J2358" s="11"/>
    </row>
    <row r="2359" spans="1:10" x14ac:dyDescent="0.25">
      <c r="A2359" s="2">
        <v>42897</v>
      </c>
      <c r="B2359" s="3">
        <v>493</v>
      </c>
      <c r="C2359" s="4">
        <v>231710</v>
      </c>
      <c r="D2359" s="3">
        <v>621</v>
      </c>
      <c r="E2359" s="4">
        <v>181332</v>
      </c>
      <c r="G2359" s="12">
        <f t="shared" si="161"/>
        <v>2017</v>
      </c>
      <c r="H2359" s="12">
        <f t="shared" si="162"/>
        <v>6</v>
      </c>
      <c r="I2359" s="11">
        <f t="shared" si="163"/>
        <v>78</v>
      </c>
      <c r="J2359" s="11"/>
    </row>
    <row r="2360" spans="1:10" x14ac:dyDescent="0.25">
      <c r="A2360" s="2">
        <v>42898</v>
      </c>
      <c r="B2360" s="3">
        <v>400</v>
      </c>
      <c r="C2360" s="4">
        <v>188000</v>
      </c>
      <c r="D2360" s="3">
        <v>695</v>
      </c>
      <c r="E2360" s="4">
        <v>202940</v>
      </c>
      <c r="G2360" s="12">
        <f t="shared" si="161"/>
        <v>2017</v>
      </c>
      <c r="H2360" s="12">
        <f t="shared" si="162"/>
        <v>6</v>
      </c>
      <c r="I2360" s="11">
        <f t="shared" si="163"/>
        <v>78</v>
      </c>
      <c r="J2360" s="11"/>
    </row>
    <row r="2361" spans="1:10" x14ac:dyDescent="0.25">
      <c r="A2361" s="2">
        <v>42899</v>
      </c>
      <c r="B2361" s="3">
        <v>411</v>
      </c>
      <c r="C2361" s="4">
        <v>193170</v>
      </c>
      <c r="D2361" s="3">
        <v>848</v>
      </c>
      <c r="E2361" s="4">
        <v>247616</v>
      </c>
      <c r="G2361" s="12">
        <f t="shared" si="161"/>
        <v>2017</v>
      </c>
      <c r="H2361" s="12">
        <f t="shared" si="162"/>
        <v>6</v>
      </c>
      <c r="I2361" s="11">
        <f t="shared" si="163"/>
        <v>78</v>
      </c>
      <c r="J2361" s="11"/>
    </row>
    <row r="2362" spans="1:10" x14ac:dyDescent="0.25">
      <c r="A2362" s="2">
        <v>42900</v>
      </c>
      <c r="B2362" s="3">
        <v>456</v>
      </c>
      <c r="C2362" s="4">
        <v>214320</v>
      </c>
      <c r="D2362" s="3">
        <v>708</v>
      </c>
      <c r="E2362" s="4">
        <v>206736</v>
      </c>
      <c r="G2362" s="12">
        <f t="shared" si="161"/>
        <v>2017</v>
      </c>
      <c r="H2362" s="12">
        <f t="shared" si="162"/>
        <v>6</v>
      </c>
      <c r="I2362" s="11">
        <f t="shared" si="163"/>
        <v>78</v>
      </c>
      <c r="J2362" s="11"/>
    </row>
    <row r="2363" spans="1:10" x14ac:dyDescent="0.25">
      <c r="A2363" s="2">
        <v>42901</v>
      </c>
      <c r="B2363" s="3">
        <v>508</v>
      </c>
      <c r="C2363" s="4">
        <v>238760</v>
      </c>
      <c r="D2363" s="3">
        <v>684</v>
      </c>
      <c r="E2363" s="4">
        <v>199728</v>
      </c>
      <c r="G2363" s="12">
        <f t="shared" si="161"/>
        <v>2017</v>
      </c>
      <c r="H2363" s="12">
        <f t="shared" si="162"/>
        <v>6</v>
      </c>
      <c r="I2363" s="11">
        <f t="shared" si="163"/>
        <v>78</v>
      </c>
      <c r="J2363" s="11"/>
    </row>
    <row r="2364" spans="1:10" x14ac:dyDescent="0.25">
      <c r="A2364" s="2">
        <v>42902</v>
      </c>
      <c r="B2364" s="3">
        <v>459</v>
      </c>
      <c r="C2364" s="4">
        <v>215730</v>
      </c>
      <c r="D2364" s="3">
        <v>790</v>
      </c>
      <c r="E2364" s="4">
        <v>230680</v>
      </c>
      <c r="G2364" s="12">
        <f t="shared" si="161"/>
        <v>2017</v>
      </c>
      <c r="H2364" s="12">
        <f t="shared" si="162"/>
        <v>6</v>
      </c>
      <c r="I2364" s="11">
        <f t="shared" si="163"/>
        <v>78</v>
      </c>
      <c r="J2364" s="11"/>
    </row>
    <row r="2365" spans="1:10" x14ac:dyDescent="0.25">
      <c r="A2365" s="2">
        <v>42903</v>
      </c>
      <c r="B2365" s="3">
        <v>442</v>
      </c>
      <c r="C2365" s="4">
        <v>207740</v>
      </c>
      <c r="D2365" s="3">
        <v>620</v>
      </c>
      <c r="E2365" s="4">
        <v>181040</v>
      </c>
      <c r="G2365" s="12">
        <f t="shared" si="161"/>
        <v>2017</v>
      </c>
      <c r="H2365" s="12">
        <f t="shared" si="162"/>
        <v>6</v>
      </c>
      <c r="I2365" s="11">
        <f t="shared" si="163"/>
        <v>78</v>
      </c>
      <c r="J2365" s="11"/>
    </row>
    <row r="2366" spans="1:10" x14ac:dyDescent="0.25">
      <c r="A2366" s="2">
        <v>42904</v>
      </c>
      <c r="B2366" s="3">
        <v>435</v>
      </c>
      <c r="C2366" s="4">
        <v>204450</v>
      </c>
      <c r="D2366" s="3">
        <v>756</v>
      </c>
      <c r="E2366" s="4">
        <v>220752</v>
      </c>
      <c r="G2366" s="12">
        <f t="shared" si="161"/>
        <v>2017</v>
      </c>
      <c r="H2366" s="12">
        <f t="shared" si="162"/>
        <v>6</v>
      </c>
      <c r="I2366" s="11">
        <f t="shared" si="163"/>
        <v>78</v>
      </c>
      <c r="J2366" s="11"/>
    </row>
    <row r="2367" spans="1:10" x14ac:dyDescent="0.25">
      <c r="A2367" s="2">
        <v>42905</v>
      </c>
      <c r="B2367" s="3">
        <v>445</v>
      </c>
      <c r="C2367" s="4">
        <v>209150</v>
      </c>
      <c r="D2367" s="3">
        <v>715</v>
      </c>
      <c r="E2367" s="4">
        <v>208780</v>
      </c>
      <c r="G2367" s="12">
        <f t="shared" si="161"/>
        <v>2017</v>
      </c>
      <c r="H2367" s="12">
        <f t="shared" si="162"/>
        <v>6</v>
      </c>
      <c r="I2367" s="11">
        <f t="shared" si="163"/>
        <v>78</v>
      </c>
      <c r="J2367" s="11"/>
    </row>
    <row r="2368" spans="1:10" x14ac:dyDescent="0.25">
      <c r="A2368" s="2">
        <v>42906</v>
      </c>
      <c r="B2368" s="3">
        <v>546</v>
      </c>
      <c r="C2368" s="4">
        <v>256620</v>
      </c>
      <c r="D2368" s="3">
        <v>750</v>
      </c>
      <c r="E2368" s="4">
        <v>219000</v>
      </c>
      <c r="G2368" s="12">
        <f t="shared" si="161"/>
        <v>2017</v>
      </c>
      <c r="H2368" s="12">
        <f t="shared" si="162"/>
        <v>6</v>
      </c>
      <c r="I2368" s="11">
        <f t="shared" si="163"/>
        <v>78</v>
      </c>
      <c r="J2368" s="11"/>
    </row>
    <row r="2369" spans="1:10" x14ac:dyDescent="0.25">
      <c r="A2369" s="2">
        <v>42907</v>
      </c>
      <c r="B2369" s="3">
        <v>530</v>
      </c>
      <c r="C2369" s="4">
        <v>249100</v>
      </c>
      <c r="D2369" s="3">
        <v>803</v>
      </c>
      <c r="E2369" s="4">
        <v>234476</v>
      </c>
      <c r="G2369" s="12">
        <f t="shared" si="161"/>
        <v>2017</v>
      </c>
      <c r="H2369" s="12">
        <f t="shared" si="162"/>
        <v>6</v>
      </c>
      <c r="I2369" s="11">
        <f t="shared" si="163"/>
        <v>78</v>
      </c>
      <c r="J2369" s="11"/>
    </row>
    <row r="2370" spans="1:10" x14ac:dyDescent="0.25">
      <c r="A2370" s="2">
        <v>42908</v>
      </c>
      <c r="B2370" s="3">
        <v>465</v>
      </c>
      <c r="C2370" s="4">
        <v>218550</v>
      </c>
      <c r="D2370" s="3">
        <v>701</v>
      </c>
      <c r="E2370" s="4">
        <v>204692</v>
      </c>
      <c r="G2370" s="12">
        <f t="shared" si="161"/>
        <v>2017</v>
      </c>
      <c r="H2370" s="12">
        <f t="shared" si="162"/>
        <v>6</v>
      </c>
      <c r="I2370" s="11">
        <f t="shared" si="163"/>
        <v>78</v>
      </c>
      <c r="J2370" s="11"/>
    </row>
    <row r="2371" spans="1:10" x14ac:dyDescent="0.25">
      <c r="A2371" s="2">
        <v>42909</v>
      </c>
      <c r="B2371" s="3">
        <v>434</v>
      </c>
      <c r="C2371" s="4">
        <v>203980</v>
      </c>
      <c r="D2371" s="3">
        <v>726</v>
      </c>
      <c r="E2371" s="4">
        <v>211992</v>
      </c>
      <c r="G2371" s="12">
        <f t="shared" si="161"/>
        <v>2017</v>
      </c>
      <c r="H2371" s="12">
        <f t="shared" si="162"/>
        <v>6</v>
      </c>
      <c r="I2371" s="11">
        <f t="shared" si="163"/>
        <v>78</v>
      </c>
      <c r="J2371" s="11"/>
    </row>
    <row r="2372" spans="1:10" x14ac:dyDescent="0.25">
      <c r="A2372" s="2">
        <v>42910</v>
      </c>
      <c r="B2372" s="3">
        <v>466</v>
      </c>
      <c r="C2372" s="4">
        <v>219020</v>
      </c>
      <c r="D2372" s="3">
        <v>942</v>
      </c>
      <c r="E2372" s="4">
        <v>275064</v>
      </c>
      <c r="G2372" s="12">
        <f t="shared" si="161"/>
        <v>2017</v>
      </c>
      <c r="H2372" s="12">
        <f t="shared" si="162"/>
        <v>6</v>
      </c>
      <c r="I2372" s="11">
        <f t="shared" si="163"/>
        <v>78</v>
      </c>
      <c r="J2372" s="11"/>
    </row>
    <row r="2373" spans="1:10" x14ac:dyDescent="0.25">
      <c r="A2373" s="2">
        <v>42911</v>
      </c>
      <c r="B2373" s="3">
        <v>377</v>
      </c>
      <c r="C2373" s="4">
        <v>177190</v>
      </c>
      <c r="D2373" s="3">
        <v>773</v>
      </c>
      <c r="E2373" s="4">
        <v>225716</v>
      </c>
      <c r="G2373" s="12">
        <f t="shared" si="161"/>
        <v>2017</v>
      </c>
      <c r="H2373" s="12">
        <f t="shared" si="162"/>
        <v>6</v>
      </c>
      <c r="I2373" s="11">
        <f t="shared" si="163"/>
        <v>78</v>
      </c>
      <c r="J2373" s="11"/>
    </row>
    <row r="2374" spans="1:10" x14ac:dyDescent="0.25">
      <c r="A2374" s="2">
        <v>42912</v>
      </c>
      <c r="B2374" s="3">
        <v>422</v>
      </c>
      <c r="C2374" s="4">
        <v>198340</v>
      </c>
      <c r="D2374" s="3">
        <v>782</v>
      </c>
      <c r="E2374" s="4">
        <v>228344</v>
      </c>
      <c r="G2374" s="12">
        <f t="shared" ref="G2374:G2437" si="164">+YEAR(A2374)</f>
        <v>2017</v>
      </c>
      <c r="H2374" s="12">
        <f t="shared" ref="H2374:H2437" si="165">+MONTH(A2374)</f>
        <v>6</v>
      </c>
      <c r="I2374" s="11">
        <f t="shared" si="163"/>
        <v>78</v>
      </c>
      <c r="J2374" s="11"/>
    </row>
    <row r="2375" spans="1:10" x14ac:dyDescent="0.25">
      <c r="A2375" s="2">
        <v>42913</v>
      </c>
      <c r="B2375" s="3">
        <v>422</v>
      </c>
      <c r="C2375" s="4">
        <v>198340</v>
      </c>
      <c r="D2375" s="3">
        <v>776</v>
      </c>
      <c r="E2375" s="4">
        <v>226592</v>
      </c>
      <c r="G2375" s="12">
        <f t="shared" si="164"/>
        <v>2017</v>
      </c>
      <c r="H2375" s="12">
        <f t="shared" si="165"/>
        <v>6</v>
      </c>
      <c r="I2375" s="11">
        <f t="shared" ref="I2375:I2438" si="166">+H2375+(G2375-2011)*12</f>
        <v>78</v>
      </c>
      <c r="J2375" s="11"/>
    </row>
    <row r="2376" spans="1:10" x14ac:dyDescent="0.25">
      <c r="A2376" s="2">
        <v>42914</v>
      </c>
      <c r="B2376" s="3">
        <v>415</v>
      </c>
      <c r="C2376" s="4">
        <v>195050</v>
      </c>
      <c r="D2376" s="3">
        <v>802</v>
      </c>
      <c r="E2376" s="4">
        <v>234184</v>
      </c>
      <c r="G2376" s="12">
        <f t="shared" si="164"/>
        <v>2017</v>
      </c>
      <c r="H2376" s="12">
        <f t="shared" si="165"/>
        <v>6</v>
      </c>
      <c r="I2376" s="11">
        <f t="shared" si="166"/>
        <v>78</v>
      </c>
      <c r="J2376" s="11"/>
    </row>
    <row r="2377" spans="1:10" x14ac:dyDescent="0.25">
      <c r="A2377" s="2">
        <v>42915</v>
      </c>
      <c r="B2377" s="3">
        <v>461</v>
      </c>
      <c r="C2377" s="4">
        <v>216670</v>
      </c>
      <c r="D2377" s="3">
        <v>792</v>
      </c>
      <c r="E2377" s="4">
        <v>231264</v>
      </c>
      <c r="G2377" s="12">
        <f t="shared" si="164"/>
        <v>2017</v>
      </c>
      <c r="H2377" s="12">
        <f t="shared" si="165"/>
        <v>6</v>
      </c>
      <c r="I2377" s="11">
        <f t="shared" si="166"/>
        <v>78</v>
      </c>
      <c r="J2377" s="11"/>
    </row>
    <row r="2378" spans="1:10" x14ac:dyDescent="0.25">
      <c r="A2378" s="2">
        <v>42916</v>
      </c>
      <c r="B2378" s="3">
        <v>493</v>
      </c>
      <c r="C2378" s="4">
        <v>231710</v>
      </c>
      <c r="D2378" s="3">
        <v>695</v>
      </c>
      <c r="E2378" s="4">
        <v>202940</v>
      </c>
      <c r="G2378" s="12">
        <f t="shared" si="164"/>
        <v>2017</v>
      </c>
      <c r="H2378" s="12">
        <f t="shared" si="165"/>
        <v>6</v>
      </c>
      <c r="I2378" s="11">
        <f t="shared" si="166"/>
        <v>78</v>
      </c>
      <c r="J2378" s="11"/>
    </row>
    <row r="2379" spans="1:10" x14ac:dyDescent="0.25">
      <c r="A2379" s="2">
        <v>42917</v>
      </c>
      <c r="B2379" s="3">
        <v>430</v>
      </c>
      <c r="C2379" s="4">
        <v>202100</v>
      </c>
      <c r="D2379" s="3">
        <v>297</v>
      </c>
      <c r="E2379" s="4">
        <v>216810</v>
      </c>
      <c r="G2379" s="12">
        <f t="shared" si="164"/>
        <v>2017</v>
      </c>
      <c r="H2379" s="12">
        <f t="shared" si="165"/>
        <v>7</v>
      </c>
      <c r="I2379" s="11">
        <f t="shared" si="166"/>
        <v>79</v>
      </c>
      <c r="J2379" s="11"/>
    </row>
    <row r="2380" spans="1:10" x14ac:dyDescent="0.25">
      <c r="A2380" s="2">
        <v>42918</v>
      </c>
      <c r="B2380" s="3">
        <v>441</v>
      </c>
      <c r="C2380" s="4">
        <v>207270</v>
      </c>
      <c r="D2380" s="3">
        <v>259</v>
      </c>
      <c r="E2380" s="4">
        <v>189070</v>
      </c>
      <c r="G2380" s="12">
        <f t="shared" si="164"/>
        <v>2017</v>
      </c>
      <c r="H2380" s="12">
        <f t="shared" si="165"/>
        <v>7</v>
      </c>
      <c r="I2380" s="11">
        <f t="shared" si="166"/>
        <v>79</v>
      </c>
      <c r="J2380" s="11"/>
    </row>
    <row r="2381" spans="1:10" x14ac:dyDescent="0.25">
      <c r="A2381" s="2">
        <v>42919</v>
      </c>
      <c r="B2381" s="3">
        <v>486</v>
      </c>
      <c r="C2381" s="4">
        <v>228420</v>
      </c>
      <c r="D2381" s="3">
        <v>314</v>
      </c>
      <c r="E2381" s="4">
        <v>229220</v>
      </c>
      <c r="G2381" s="12">
        <f t="shared" si="164"/>
        <v>2017</v>
      </c>
      <c r="H2381" s="12">
        <f t="shared" si="165"/>
        <v>7</v>
      </c>
      <c r="I2381" s="11">
        <f t="shared" si="166"/>
        <v>79</v>
      </c>
      <c r="J2381" s="11"/>
    </row>
    <row r="2382" spans="1:10" x14ac:dyDescent="0.25">
      <c r="A2382" s="2">
        <v>42920</v>
      </c>
      <c r="B2382" s="3">
        <v>487</v>
      </c>
      <c r="C2382" s="4">
        <v>228890</v>
      </c>
      <c r="D2382" s="3">
        <v>314</v>
      </c>
      <c r="E2382" s="4">
        <v>229220</v>
      </c>
      <c r="G2382" s="12">
        <f t="shared" si="164"/>
        <v>2017</v>
      </c>
      <c r="H2382" s="12">
        <f t="shared" si="165"/>
        <v>7</v>
      </c>
      <c r="I2382" s="11">
        <f t="shared" si="166"/>
        <v>79</v>
      </c>
      <c r="J2382" s="11"/>
    </row>
    <row r="2383" spans="1:10" x14ac:dyDescent="0.25">
      <c r="A2383" s="2">
        <v>42921</v>
      </c>
      <c r="B2383" s="3">
        <v>508</v>
      </c>
      <c r="C2383" s="4">
        <v>238760</v>
      </c>
      <c r="D2383" s="3">
        <v>355</v>
      </c>
      <c r="E2383" s="4">
        <v>259150</v>
      </c>
      <c r="G2383" s="12">
        <f t="shared" si="164"/>
        <v>2017</v>
      </c>
      <c r="H2383" s="12">
        <f t="shared" si="165"/>
        <v>7</v>
      </c>
      <c r="I2383" s="11">
        <f t="shared" si="166"/>
        <v>79</v>
      </c>
      <c r="J2383" s="11"/>
    </row>
    <row r="2384" spans="1:10" x14ac:dyDescent="0.25">
      <c r="A2384" s="2">
        <v>42922</v>
      </c>
      <c r="B2384" s="3">
        <v>516</v>
      </c>
      <c r="C2384" s="4">
        <v>242520</v>
      </c>
      <c r="D2384" s="3">
        <v>294</v>
      </c>
      <c r="E2384" s="4">
        <v>214620</v>
      </c>
      <c r="G2384" s="12">
        <f t="shared" si="164"/>
        <v>2017</v>
      </c>
      <c r="H2384" s="12">
        <f t="shared" si="165"/>
        <v>7</v>
      </c>
      <c r="I2384" s="11">
        <f t="shared" si="166"/>
        <v>79</v>
      </c>
      <c r="J2384" s="11"/>
    </row>
    <row r="2385" spans="1:10" x14ac:dyDescent="0.25">
      <c r="A2385" s="2">
        <v>42923</v>
      </c>
      <c r="B2385" s="3">
        <v>528</v>
      </c>
      <c r="C2385" s="4">
        <v>248160</v>
      </c>
      <c r="D2385" s="3">
        <v>329</v>
      </c>
      <c r="E2385" s="4">
        <v>240170</v>
      </c>
      <c r="G2385" s="12">
        <f t="shared" si="164"/>
        <v>2017</v>
      </c>
      <c r="H2385" s="12">
        <f t="shared" si="165"/>
        <v>7</v>
      </c>
      <c r="I2385" s="11">
        <f t="shared" si="166"/>
        <v>79</v>
      </c>
      <c r="J2385" s="11"/>
    </row>
    <row r="2386" spans="1:10" x14ac:dyDescent="0.25">
      <c r="A2386" s="2">
        <v>42924</v>
      </c>
      <c r="B2386" s="3">
        <v>503</v>
      </c>
      <c r="C2386" s="4">
        <v>236410</v>
      </c>
      <c r="D2386" s="3">
        <v>314</v>
      </c>
      <c r="E2386" s="4">
        <v>229220</v>
      </c>
      <c r="G2386" s="12">
        <f t="shared" si="164"/>
        <v>2017</v>
      </c>
      <c r="H2386" s="12">
        <f t="shared" si="165"/>
        <v>7</v>
      </c>
      <c r="I2386" s="11">
        <f t="shared" si="166"/>
        <v>79</v>
      </c>
      <c r="J2386" s="11"/>
    </row>
    <row r="2387" spans="1:10" x14ac:dyDescent="0.25">
      <c r="A2387" s="2">
        <v>42925</v>
      </c>
      <c r="B2387" s="3">
        <v>541</v>
      </c>
      <c r="C2387" s="4">
        <v>254270</v>
      </c>
      <c r="D2387" s="3">
        <v>320</v>
      </c>
      <c r="E2387" s="4">
        <v>233600</v>
      </c>
      <c r="G2387" s="12">
        <f t="shared" si="164"/>
        <v>2017</v>
      </c>
      <c r="H2387" s="12">
        <f t="shared" si="165"/>
        <v>7</v>
      </c>
      <c r="I2387" s="11">
        <f t="shared" si="166"/>
        <v>79</v>
      </c>
      <c r="J2387" s="11"/>
    </row>
    <row r="2388" spans="1:10" x14ac:dyDescent="0.25">
      <c r="A2388" s="2">
        <v>42926</v>
      </c>
      <c r="B2388" s="3">
        <v>453</v>
      </c>
      <c r="C2388" s="4">
        <v>212910</v>
      </c>
      <c r="D2388" s="3">
        <v>276</v>
      </c>
      <c r="E2388" s="4">
        <v>201480</v>
      </c>
      <c r="G2388" s="12">
        <f t="shared" si="164"/>
        <v>2017</v>
      </c>
      <c r="H2388" s="12">
        <f t="shared" si="165"/>
        <v>7</v>
      </c>
      <c r="I2388" s="11">
        <f t="shared" si="166"/>
        <v>79</v>
      </c>
      <c r="J2388" s="11"/>
    </row>
    <row r="2389" spans="1:10" x14ac:dyDescent="0.25">
      <c r="A2389" s="2">
        <v>42927</v>
      </c>
      <c r="B2389" s="3">
        <v>487</v>
      </c>
      <c r="C2389" s="4">
        <v>228890</v>
      </c>
      <c r="D2389" s="3">
        <v>315</v>
      </c>
      <c r="E2389" s="4">
        <v>229950</v>
      </c>
      <c r="G2389" s="12">
        <f t="shared" si="164"/>
        <v>2017</v>
      </c>
      <c r="H2389" s="12">
        <f t="shared" si="165"/>
        <v>7</v>
      </c>
      <c r="I2389" s="11">
        <f t="shared" si="166"/>
        <v>79</v>
      </c>
      <c r="J2389" s="11"/>
    </row>
    <row r="2390" spans="1:10" x14ac:dyDescent="0.25">
      <c r="A2390" s="2">
        <v>42928</v>
      </c>
      <c r="B2390" s="3">
        <v>475</v>
      </c>
      <c r="C2390" s="4">
        <v>223250</v>
      </c>
      <c r="D2390" s="3">
        <v>287</v>
      </c>
      <c r="E2390" s="4">
        <v>209510</v>
      </c>
      <c r="G2390" s="12">
        <f t="shared" si="164"/>
        <v>2017</v>
      </c>
      <c r="H2390" s="12">
        <f t="shared" si="165"/>
        <v>7</v>
      </c>
      <c r="I2390" s="11">
        <f t="shared" si="166"/>
        <v>79</v>
      </c>
      <c r="J2390" s="11"/>
    </row>
    <row r="2391" spans="1:10" x14ac:dyDescent="0.25">
      <c r="A2391" s="2">
        <v>42929</v>
      </c>
      <c r="B2391" s="3">
        <v>461</v>
      </c>
      <c r="C2391" s="4">
        <v>216670</v>
      </c>
      <c r="D2391" s="3">
        <v>281</v>
      </c>
      <c r="E2391" s="4">
        <v>205130</v>
      </c>
      <c r="G2391" s="12">
        <f t="shared" si="164"/>
        <v>2017</v>
      </c>
      <c r="H2391" s="12">
        <f t="shared" si="165"/>
        <v>7</v>
      </c>
      <c r="I2391" s="11">
        <f t="shared" si="166"/>
        <v>79</v>
      </c>
      <c r="J2391" s="11"/>
    </row>
    <row r="2392" spans="1:10" x14ac:dyDescent="0.25">
      <c r="A2392" s="2">
        <v>42930</v>
      </c>
      <c r="B2392" s="3">
        <v>468</v>
      </c>
      <c r="C2392" s="4">
        <v>219960</v>
      </c>
      <c r="D2392" s="3">
        <v>317</v>
      </c>
      <c r="E2392" s="4">
        <v>231410</v>
      </c>
      <c r="G2392" s="12">
        <f t="shared" si="164"/>
        <v>2017</v>
      </c>
      <c r="H2392" s="12">
        <f t="shared" si="165"/>
        <v>7</v>
      </c>
      <c r="I2392" s="11">
        <f t="shared" si="166"/>
        <v>79</v>
      </c>
      <c r="J2392" s="11"/>
    </row>
    <row r="2393" spans="1:10" x14ac:dyDescent="0.25">
      <c r="A2393" s="2">
        <v>42931</v>
      </c>
      <c r="B2393" s="3">
        <v>462</v>
      </c>
      <c r="C2393" s="4">
        <v>217140</v>
      </c>
      <c r="D2393" s="3">
        <v>304</v>
      </c>
      <c r="E2393" s="4">
        <v>221920</v>
      </c>
      <c r="G2393" s="12">
        <f t="shared" si="164"/>
        <v>2017</v>
      </c>
      <c r="H2393" s="12">
        <f t="shared" si="165"/>
        <v>7</v>
      </c>
      <c r="I2393" s="11">
        <f t="shared" si="166"/>
        <v>79</v>
      </c>
      <c r="J2393" s="11"/>
    </row>
    <row r="2394" spans="1:10" x14ac:dyDescent="0.25">
      <c r="A2394" s="2">
        <v>42932</v>
      </c>
      <c r="B2394" s="3">
        <v>440</v>
      </c>
      <c r="C2394" s="4">
        <v>206800</v>
      </c>
      <c r="D2394" s="3">
        <v>275</v>
      </c>
      <c r="E2394" s="4">
        <v>200750</v>
      </c>
      <c r="G2394" s="12">
        <f t="shared" si="164"/>
        <v>2017</v>
      </c>
      <c r="H2394" s="12">
        <f t="shared" si="165"/>
        <v>7</v>
      </c>
      <c r="I2394" s="11">
        <f t="shared" si="166"/>
        <v>79</v>
      </c>
      <c r="J2394" s="11"/>
    </row>
    <row r="2395" spans="1:10" x14ac:dyDescent="0.25">
      <c r="A2395" s="2">
        <v>42933</v>
      </c>
      <c r="B2395" s="3">
        <v>455</v>
      </c>
      <c r="C2395" s="4">
        <v>213850</v>
      </c>
      <c r="D2395" s="3">
        <v>334</v>
      </c>
      <c r="E2395" s="4">
        <v>243820</v>
      </c>
      <c r="G2395" s="12">
        <f t="shared" si="164"/>
        <v>2017</v>
      </c>
      <c r="H2395" s="12">
        <f t="shared" si="165"/>
        <v>7</v>
      </c>
      <c r="I2395" s="11">
        <f t="shared" si="166"/>
        <v>79</v>
      </c>
      <c r="J2395" s="11"/>
    </row>
    <row r="2396" spans="1:10" x14ac:dyDescent="0.25">
      <c r="A2396" s="2">
        <v>42934</v>
      </c>
      <c r="B2396" s="3">
        <v>371</v>
      </c>
      <c r="C2396" s="4">
        <v>174370</v>
      </c>
      <c r="D2396" s="3">
        <v>289</v>
      </c>
      <c r="E2396" s="4">
        <v>210970</v>
      </c>
      <c r="G2396" s="12">
        <f t="shared" si="164"/>
        <v>2017</v>
      </c>
      <c r="H2396" s="12">
        <f t="shared" si="165"/>
        <v>7</v>
      </c>
      <c r="I2396" s="11">
        <f t="shared" si="166"/>
        <v>79</v>
      </c>
      <c r="J2396" s="11"/>
    </row>
    <row r="2397" spans="1:10" x14ac:dyDescent="0.25">
      <c r="A2397" s="2">
        <v>42935</v>
      </c>
      <c r="B2397" s="3">
        <v>397</v>
      </c>
      <c r="C2397" s="4">
        <v>186590</v>
      </c>
      <c r="D2397" s="3">
        <v>312</v>
      </c>
      <c r="E2397" s="4">
        <v>227760</v>
      </c>
      <c r="G2397" s="12">
        <f t="shared" si="164"/>
        <v>2017</v>
      </c>
      <c r="H2397" s="12">
        <f t="shared" si="165"/>
        <v>7</v>
      </c>
      <c r="I2397" s="11">
        <f t="shared" si="166"/>
        <v>79</v>
      </c>
      <c r="J2397" s="11"/>
    </row>
    <row r="2398" spans="1:10" x14ac:dyDescent="0.25">
      <c r="A2398" s="2">
        <v>42936</v>
      </c>
      <c r="B2398" s="3">
        <v>461</v>
      </c>
      <c r="C2398" s="4">
        <v>216670</v>
      </c>
      <c r="D2398" s="3">
        <v>308</v>
      </c>
      <c r="E2398" s="4">
        <v>224840</v>
      </c>
      <c r="G2398" s="12">
        <f t="shared" si="164"/>
        <v>2017</v>
      </c>
      <c r="H2398" s="12">
        <f t="shared" si="165"/>
        <v>7</v>
      </c>
      <c r="I2398" s="11">
        <f t="shared" si="166"/>
        <v>79</v>
      </c>
      <c r="J2398" s="11"/>
    </row>
    <row r="2399" spans="1:10" x14ac:dyDescent="0.25">
      <c r="A2399" s="2">
        <v>42937</v>
      </c>
      <c r="B2399" s="3">
        <v>430</v>
      </c>
      <c r="C2399" s="4">
        <v>202100</v>
      </c>
      <c r="D2399" s="3">
        <v>284</v>
      </c>
      <c r="E2399" s="4">
        <v>207320</v>
      </c>
      <c r="G2399" s="12">
        <f t="shared" si="164"/>
        <v>2017</v>
      </c>
      <c r="H2399" s="12">
        <f t="shared" si="165"/>
        <v>7</v>
      </c>
      <c r="I2399" s="11">
        <f t="shared" si="166"/>
        <v>79</v>
      </c>
      <c r="J2399" s="11"/>
    </row>
    <row r="2400" spans="1:10" x14ac:dyDescent="0.25">
      <c r="A2400" s="2">
        <v>42938</v>
      </c>
      <c r="B2400" s="3">
        <v>439</v>
      </c>
      <c r="C2400" s="4">
        <v>206330</v>
      </c>
      <c r="D2400" s="3">
        <v>353</v>
      </c>
      <c r="E2400" s="4">
        <v>257690</v>
      </c>
      <c r="G2400" s="12">
        <f t="shared" si="164"/>
        <v>2017</v>
      </c>
      <c r="H2400" s="12">
        <f t="shared" si="165"/>
        <v>7</v>
      </c>
      <c r="I2400" s="11">
        <f t="shared" si="166"/>
        <v>79</v>
      </c>
      <c r="J2400" s="11"/>
    </row>
    <row r="2401" spans="1:10" x14ac:dyDescent="0.25">
      <c r="A2401" s="2">
        <v>42939</v>
      </c>
      <c r="B2401" s="3">
        <v>434</v>
      </c>
      <c r="C2401" s="4">
        <v>203980</v>
      </c>
      <c r="D2401" s="3">
        <v>277</v>
      </c>
      <c r="E2401" s="4">
        <v>202210</v>
      </c>
      <c r="G2401" s="12">
        <f t="shared" si="164"/>
        <v>2017</v>
      </c>
      <c r="H2401" s="12">
        <f t="shared" si="165"/>
        <v>7</v>
      </c>
      <c r="I2401" s="11">
        <f t="shared" si="166"/>
        <v>79</v>
      </c>
      <c r="J2401" s="11"/>
    </row>
    <row r="2402" spans="1:10" x14ac:dyDescent="0.25">
      <c r="A2402" s="2">
        <v>42940</v>
      </c>
      <c r="B2402" s="3">
        <v>539</v>
      </c>
      <c r="C2402" s="4">
        <v>253330</v>
      </c>
      <c r="D2402" s="3">
        <v>283</v>
      </c>
      <c r="E2402" s="4">
        <v>206590</v>
      </c>
      <c r="G2402" s="12">
        <f t="shared" si="164"/>
        <v>2017</v>
      </c>
      <c r="H2402" s="12">
        <f t="shared" si="165"/>
        <v>7</v>
      </c>
      <c r="I2402" s="11">
        <f t="shared" si="166"/>
        <v>79</v>
      </c>
      <c r="J2402" s="11"/>
    </row>
    <row r="2403" spans="1:10" x14ac:dyDescent="0.25">
      <c r="A2403" s="2">
        <v>42941</v>
      </c>
      <c r="B2403" s="3">
        <v>514</v>
      </c>
      <c r="C2403" s="4">
        <v>241580</v>
      </c>
      <c r="D2403" s="3">
        <v>303</v>
      </c>
      <c r="E2403" s="4">
        <v>221190</v>
      </c>
      <c r="G2403" s="12">
        <f t="shared" si="164"/>
        <v>2017</v>
      </c>
      <c r="H2403" s="12">
        <f t="shared" si="165"/>
        <v>7</v>
      </c>
      <c r="I2403" s="11">
        <f t="shared" si="166"/>
        <v>79</v>
      </c>
      <c r="J2403" s="11"/>
    </row>
    <row r="2404" spans="1:10" x14ac:dyDescent="0.25">
      <c r="A2404" s="2">
        <v>42942</v>
      </c>
      <c r="B2404" s="3">
        <v>460</v>
      </c>
      <c r="C2404" s="4">
        <v>216200</v>
      </c>
      <c r="D2404" s="3">
        <v>277</v>
      </c>
      <c r="E2404" s="4">
        <v>202210</v>
      </c>
      <c r="G2404" s="12">
        <f t="shared" si="164"/>
        <v>2017</v>
      </c>
      <c r="H2404" s="12">
        <f t="shared" si="165"/>
        <v>7</v>
      </c>
      <c r="I2404" s="11">
        <f t="shared" si="166"/>
        <v>79</v>
      </c>
      <c r="J2404" s="11"/>
    </row>
    <row r="2405" spans="1:10" x14ac:dyDescent="0.25">
      <c r="A2405" s="2">
        <v>42943</v>
      </c>
      <c r="B2405" s="3">
        <v>507</v>
      </c>
      <c r="C2405" s="4">
        <v>238290</v>
      </c>
      <c r="D2405" s="3">
        <v>275</v>
      </c>
      <c r="E2405" s="4">
        <v>200750</v>
      </c>
      <c r="G2405" s="12">
        <f t="shared" si="164"/>
        <v>2017</v>
      </c>
      <c r="H2405" s="12">
        <f t="shared" si="165"/>
        <v>7</v>
      </c>
      <c r="I2405" s="11">
        <f t="shared" si="166"/>
        <v>79</v>
      </c>
      <c r="J2405" s="11"/>
    </row>
    <row r="2406" spans="1:10" x14ac:dyDescent="0.25">
      <c r="A2406" s="2">
        <v>42944</v>
      </c>
      <c r="B2406" s="3">
        <v>425</v>
      </c>
      <c r="C2406" s="4">
        <v>199750</v>
      </c>
      <c r="D2406" s="3">
        <v>339</v>
      </c>
      <c r="E2406" s="4">
        <v>247470</v>
      </c>
      <c r="G2406" s="12">
        <f t="shared" si="164"/>
        <v>2017</v>
      </c>
      <c r="H2406" s="12">
        <f t="shared" si="165"/>
        <v>7</v>
      </c>
      <c r="I2406" s="11">
        <f t="shared" si="166"/>
        <v>79</v>
      </c>
      <c r="J2406" s="11"/>
    </row>
    <row r="2407" spans="1:10" x14ac:dyDescent="0.25">
      <c r="A2407" s="2">
        <v>42945</v>
      </c>
      <c r="B2407" s="3">
        <v>466</v>
      </c>
      <c r="C2407" s="4">
        <v>219020</v>
      </c>
      <c r="D2407" s="3">
        <v>274</v>
      </c>
      <c r="E2407" s="4">
        <v>200020</v>
      </c>
      <c r="G2407" s="12">
        <f t="shared" si="164"/>
        <v>2017</v>
      </c>
      <c r="H2407" s="12">
        <f t="shared" si="165"/>
        <v>7</v>
      </c>
      <c r="I2407" s="11">
        <f t="shared" si="166"/>
        <v>79</v>
      </c>
      <c r="J2407" s="11"/>
    </row>
    <row r="2408" spans="1:10" x14ac:dyDescent="0.25">
      <c r="A2408" s="2">
        <v>42946</v>
      </c>
      <c r="B2408" s="3">
        <v>470</v>
      </c>
      <c r="C2408" s="4">
        <v>220900</v>
      </c>
      <c r="D2408" s="3">
        <v>297</v>
      </c>
      <c r="E2408" s="4">
        <v>216810</v>
      </c>
      <c r="G2408" s="12">
        <f t="shared" si="164"/>
        <v>2017</v>
      </c>
      <c r="H2408" s="12">
        <f t="shared" si="165"/>
        <v>7</v>
      </c>
      <c r="I2408" s="11">
        <f t="shared" si="166"/>
        <v>79</v>
      </c>
      <c r="J2408" s="11"/>
    </row>
    <row r="2409" spans="1:10" x14ac:dyDescent="0.25">
      <c r="A2409" s="2">
        <v>42947</v>
      </c>
      <c r="B2409" s="3">
        <v>453</v>
      </c>
      <c r="C2409" s="4">
        <v>212910</v>
      </c>
      <c r="D2409" s="3">
        <v>295</v>
      </c>
      <c r="E2409" s="4">
        <v>215350</v>
      </c>
      <c r="G2409" s="12">
        <f t="shared" si="164"/>
        <v>2017</v>
      </c>
      <c r="H2409" s="12">
        <f t="shared" si="165"/>
        <v>7</v>
      </c>
      <c r="I2409" s="11">
        <f t="shared" si="166"/>
        <v>79</v>
      </c>
      <c r="J2409" s="11"/>
    </row>
    <row r="2410" spans="1:10" x14ac:dyDescent="0.25">
      <c r="A2410" s="2">
        <v>42948</v>
      </c>
      <c r="B2410" s="3">
        <v>692</v>
      </c>
      <c r="C2410" s="4">
        <v>325240</v>
      </c>
      <c r="D2410" s="3">
        <v>364</v>
      </c>
      <c r="E2410" s="4">
        <v>265720</v>
      </c>
      <c r="G2410" s="12">
        <f t="shared" si="164"/>
        <v>2017</v>
      </c>
      <c r="H2410" s="12">
        <f t="shared" si="165"/>
        <v>8</v>
      </c>
      <c r="I2410" s="11">
        <f t="shared" si="166"/>
        <v>80</v>
      </c>
      <c r="J2410" s="11"/>
    </row>
    <row r="2411" spans="1:10" x14ac:dyDescent="0.25">
      <c r="A2411" s="2">
        <v>42949</v>
      </c>
      <c r="B2411" s="3">
        <v>741</v>
      </c>
      <c r="C2411" s="4">
        <v>348270</v>
      </c>
      <c r="D2411" s="3">
        <v>284</v>
      </c>
      <c r="E2411" s="4">
        <v>207320</v>
      </c>
      <c r="G2411" s="12">
        <f t="shared" si="164"/>
        <v>2017</v>
      </c>
      <c r="H2411" s="12">
        <f t="shared" si="165"/>
        <v>8</v>
      </c>
      <c r="I2411" s="11">
        <f t="shared" si="166"/>
        <v>80</v>
      </c>
      <c r="J2411" s="11"/>
    </row>
    <row r="2412" spans="1:10" x14ac:dyDescent="0.25">
      <c r="A2412" s="2">
        <v>42950</v>
      </c>
      <c r="B2412" s="3">
        <v>791</v>
      </c>
      <c r="C2412" s="4">
        <v>371770</v>
      </c>
      <c r="D2412" s="3">
        <v>286</v>
      </c>
      <c r="E2412" s="4">
        <v>208780</v>
      </c>
      <c r="G2412" s="12">
        <f t="shared" si="164"/>
        <v>2017</v>
      </c>
      <c r="H2412" s="12">
        <f t="shared" si="165"/>
        <v>8</v>
      </c>
      <c r="I2412" s="11">
        <f t="shared" si="166"/>
        <v>80</v>
      </c>
      <c r="J2412" s="11"/>
    </row>
    <row r="2413" spans="1:10" x14ac:dyDescent="0.25">
      <c r="A2413" s="2">
        <v>42951</v>
      </c>
      <c r="B2413" s="3">
        <v>671</v>
      </c>
      <c r="C2413" s="4">
        <v>315370</v>
      </c>
      <c r="D2413" s="3">
        <v>290</v>
      </c>
      <c r="E2413" s="4">
        <v>211700</v>
      </c>
      <c r="G2413" s="12">
        <f t="shared" si="164"/>
        <v>2017</v>
      </c>
      <c r="H2413" s="12">
        <f t="shared" si="165"/>
        <v>8</v>
      </c>
      <c r="I2413" s="11">
        <f t="shared" si="166"/>
        <v>80</v>
      </c>
      <c r="J2413" s="11"/>
    </row>
    <row r="2414" spans="1:10" x14ac:dyDescent="0.25">
      <c r="A2414" s="2">
        <v>42952</v>
      </c>
      <c r="B2414" s="3">
        <v>662</v>
      </c>
      <c r="C2414" s="4">
        <v>311140</v>
      </c>
      <c r="D2414" s="3">
        <v>341</v>
      </c>
      <c r="E2414" s="4">
        <v>248930</v>
      </c>
      <c r="G2414" s="12">
        <f t="shared" si="164"/>
        <v>2017</v>
      </c>
      <c r="H2414" s="12">
        <f t="shared" si="165"/>
        <v>8</v>
      </c>
      <c r="I2414" s="11">
        <f t="shared" si="166"/>
        <v>80</v>
      </c>
      <c r="J2414" s="11"/>
    </row>
    <row r="2415" spans="1:10" x14ac:dyDescent="0.25">
      <c r="A2415" s="2">
        <v>42953</v>
      </c>
      <c r="B2415" s="3">
        <v>653</v>
      </c>
      <c r="C2415" s="4">
        <v>306910</v>
      </c>
      <c r="D2415" s="3">
        <v>372</v>
      </c>
      <c r="E2415" s="4">
        <v>271560</v>
      </c>
      <c r="G2415" s="12">
        <f t="shared" si="164"/>
        <v>2017</v>
      </c>
      <c r="H2415" s="12">
        <f t="shared" si="165"/>
        <v>8</v>
      </c>
      <c r="I2415" s="11">
        <f t="shared" si="166"/>
        <v>80</v>
      </c>
      <c r="J2415" s="11"/>
    </row>
    <row r="2416" spans="1:10" x14ac:dyDescent="0.25">
      <c r="A2416" s="2">
        <v>42954</v>
      </c>
      <c r="B2416" s="3">
        <v>635</v>
      </c>
      <c r="C2416" s="4">
        <v>298450</v>
      </c>
      <c r="D2416" s="3">
        <v>329</v>
      </c>
      <c r="E2416" s="4">
        <v>240170</v>
      </c>
      <c r="G2416" s="12">
        <f t="shared" si="164"/>
        <v>2017</v>
      </c>
      <c r="H2416" s="12">
        <f t="shared" si="165"/>
        <v>8</v>
      </c>
      <c r="I2416" s="11">
        <f t="shared" si="166"/>
        <v>80</v>
      </c>
      <c r="J2416" s="11"/>
    </row>
    <row r="2417" spans="1:10" x14ac:dyDescent="0.25">
      <c r="A2417" s="2">
        <v>42955</v>
      </c>
      <c r="B2417" s="3">
        <v>787</v>
      </c>
      <c r="C2417" s="4">
        <v>369890</v>
      </c>
      <c r="D2417" s="3">
        <v>290</v>
      </c>
      <c r="E2417" s="4">
        <v>211700</v>
      </c>
      <c r="G2417" s="12">
        <f t="shared" si="164"/>
        <v>2017</v>
      </c>
      <c r="H2417" s="12">
        <f t="shared" si="165"/>
        <v>8</v>
      </c>
      <c r="I2417" s="11">
        <f t="shared" si="166"/>
        <v>80</v>
      </c>
      <c r="J2417" s="11"/>
    </row>
    <row r="2418" spans="1:10" x14ac:dyDescent="0.25">
      <c r="A2418" s="2">
        <v>42956</v>
      </c>
      <c r="B2418" s="3">
        <v>640</v>
      </c>
      <c r="C2418" s="4">
        <v>300800</v>
      </c>
      <c r="D2418" s="3">
        <v>284</v>
      </c>
      <c r="E2418" s="4">
        <v>207320</v>
      </c>
      <c r="G2418" s="12">
        <f t="shared" si="164"/>
        <v>2017</v>
      </c>
      <c r="H2418" s="12">
        <f t="shared" si="165"/>
        <v>8</v>
      </c>
      <c r="I2418" s="11">
        <f t="shared" si="166"/>
        <v>80</v>
      </c>
      <c r="J2418" s="11"/>
    </row>
    <row r="2419" spans="1:10" x14ac:dyDescent="0.25">
      <c r="A2419" s="2">
        <v>42957</v>
      </c>
      <c r="B2419" s="3">
        <v>648</v>
      </c>
      <c r="C2419" s="4">
        <v>304560</v>
      </c>
      <c r="D2419" s="3">
        <v>321</v>
      </c>
      <c r="E2419" s="4">
        <v>234330</v>
      </c>
      <c r="G2419" s="12">
        <f t="shared" si="164"/>
        <v>2017</v>
      </c>
      <c r="H2419" s="12">
        <f t="shared" si="165"/>
        <v>8</v>
      </c>
      <c r="I2419" s="11">
        <f t="shared" si="166"/>
        <v>80</v>
      </c>
      <c r="J2419" s="11"/>
    </row>
    <row r="2420" spans="1:10" x14ac:dyDescent="0.25">
      <c r="A2420" s="2">
        <v>42958</v>
      </c>
      <c r="B2420" s="3">
        <v>717</v>
      </c>
      <c r="C2420" s="4">
        <v>336990</v>
      </c>
      <c r="D2420" s="3">
        <v>282</v>
      </c>
      <c r="E2420" s="4">
        <v>205860</v>
      </c>
      <c r="G2420" s="12">
        <f t="shared" si="164"/>
        <v>2017</v>
      </c>
      <c r="H2420" s="12">
        <f t="shared" si="165"/>
        <v>8</v>
      </c>
      <c r="I2420" s="11">
        <f t="shared" si="166"/>
        <v>80</v>
      </c>
      <c r="J2420" s="11"/>
    </row>
    <row r="2421" spans="1:10" x14ac:dyDescent="0.25">
      <c r="A2421" s="2">
        <v>42959</v>
      </c>
      <c r="B2421" s="3">
        <v>626</v>
      </c>
      <c r="C2421" s="4">
        <v>294220</v>
      </c>
      <c r="D2421" s="3">
        <v>346</v>
      </c>
      <c r="E2421" s="4">
        <v>252580</v>
      </c>
      <c r="G2421" s="12">
        <f t="shared" si="164"/>
        <v>2017</v>
      </c>
      <c r="H2421" s="12">
        <f t="shared" si="165"/>
        <v>8</v>
      </c>
      <c r="I2421" s="11">
        <f t="shared" si="166"/>
        <v>80</v>
      </c>
      <c r="J2421" s="11"/>
    </row>
    <row r="2422" spans="1:10" x14ac:dyDescent="0.25">
      <c r="A2422" s="2">
        <v>42960</v>
      </c>
      <c r="B2422" s="3">
        <v>726</v>
      </c>
      <c r="C2422" s="4">
        <v>341220</v>
      </c>
      <c r="D2422" s="3">
        <v>293</v>
      </c>
      <c r="E2422" s="4">
        <v>213890</v>
      </c>
      <c r="G2422" s="12">
        <f t="shared" si="164"/>
        <v>2017</v>
      </c>
      <c r="H2422" s="12">
        <f t="shared" si="165"/>
        <v>8</v>
      </c>
      <c r="I2422" s="11">
        <f t="shared" si="166"/>
        <v>80</v>
      </c>
      <c r="J2422" s="11"/>
    </row>
    <row r="2423" spans="1:10" x14ac:dyDescent="0.25">
      <c r="A2423" s="2">
        <v>42961</v>
      </c>
      <c r="B2423" s="3">
        <v>718</v>
      </c>
      <c r="C2423" s="4">
        <v>337460</v>
      </c>
      <c r="D2423" s="3">
        <v>281</v>
      </c>
      <c r="E2423" s="4">
        <v>205130</v>
      </c>
      <c r="G2423" s="12">
        <f t="shared" si="164"/>
        <v>2017</v>
      </c>
      <c r="H2423" s="12">
        <f t="shared" si="165"/>
        <v>8</v>
      </c>
      <c r="I2423" s="11">
        <f t="shared" si="166"/>
        <v>80</v>
      </c>
      <c r="J2423" s="11"/>
    </row>
    <row r="2424" spans="1:10" x14ac:dyDescent="0.25">
      <c r="A2424" s="2">
        <v>42962</v>
      </c>
      <c r="B2424" s="3">
        <v>829</v>
      </c>
      <c r="C2424" s="4">
        <v>389630</v>
      </c>
      <c r="D2424" s="3">
        <v>269</v>
      </c>
      <c r="E2424" s="4">
        <v>196370</v>
      </c>
      <c r="G2424" s="12">
        <f t="shared" si="164"/>
        <v>2017</v>
      </c>
      <c r="H2424" s="12">
        <f t="shared" si="165"/>
        <v>8</v>
      </c>
      <c r="I2424" s="11">
        <f t="shared" si="166"/>
        <v>80</v>
      </c>
      <c r="J2424" s="11"/>
    </row>
    <row r="2425" spans="1:10" x14ac:dyDescent="0.25">
      <c r="A2425" s="2">
        <v>42963</v>
      </c>
      <c r="B2425" s="3">
        <v>803</v>
      </c>
      <c r="C2425" s="4">
        <v>377410</v>
      </c>
      <c r="D2425" s="3">
        <v>307</v>
      </c>
      <c r="E2425" s="4">
        <v>224110</v>
      </c>
      <c r="G2425" s="12">
        <f t="shared" si="164"/>
        <v>2017</v>
      </c>
      <c r="H2425" s="12">
        <f t="shared" si="165"/>
        <v>8</v>
      </c>
      <c r="I2425" s="11">
        <f t="shared" si="166"/>
        <v>80</v>
      </c>
      <c r="J2425" s="11"/>
    </row>
    <row r="2426" spans="1:10" x14ac:dyDescent="0.25">
      <c r="A2426" s="2">
        <v>42964</v>
      </c>
      <c r="B2426" s="3">
        <v>859</v>
      </c>
      <c r="C2426" s="4">
        <v>403730</v>
      </c>
      <c r="D2426" s="3">
        <v>316</v>
      </c>
      <c r="E2426" s="4">
        <v>230680</v>
      </c>
      <c r="G2426" s="12">
        <f t="shared" si="164"/>
        <v>2017</v>
      </c>
      <c r="H2426" s="12">
        <f t="shared" si="165"/>
        <v>8</v>
      </c>
      <c r="I2426" s="11">
        <f t="shared" si="166"/>
        <v>80</v>
      </c>
      <c r="J2426" s="11"/>
    </row>
    <row r="2427" spans="1:10" x14ac:dyDescent="0.25">
      <c r="A2427" s="2">
        <v>42965</v>
      </c>
      <c r="B2427" s="3">
        <v>711</v>
      </c>
      <c r="C2427" s="4">
        <v>334170</v>
      </c>
      <c r="D2427" s="3">
        <v>305</v>
      </c>
      <c r="E2427" s="4">
        <v>222650</v>
      </c>
      <c r="G2427" s="12">
        <f t="shared" si="164"/>
        <v>2017</v>
      </c>
      <c r="H2427" s="12">
        <f t="shared" si="165"/>
        <v>8</v>
      </c>
      <c r="I2427" s="11">
        <f t="shared" si="166"/>
        <v>80</v>
      </c>
      <c r="J2427" s="11"/>
    </row>
    <row r="2428" spans="1:10" x14ac:dyDescent="0.25">
      <c r="A2428" s="2">
        <v>42966</v>
      </c>
      <c r="B2428" s="3">
        <v>795</v>
      </c>
      <c r="C2428" s="4">
        <v>373650</v>
      </c>
      <c r="D2428" s="3">
        <v>307</v>
      </c>
      <c r="E2428" s="4">
        <v>224110</v>
      </c>
      <c r="G2428" s="12">
        <f t="shared" si="164"/>
        <v>2017</v>
      </c>
      <c r="H2428" s="12">
        <f t="shared" si="165"/>
        <v>8</v>
      </c>
      <c r="I2428" s="11">
        <f t="shared" si="166"/>
        <v>80</v>
      </c>
      <c r="J2428" s="11"/>
    </row>
    <row r="2429" spans="1:10" x14ac:dyDescent="0.25">
      <c r="A2429" s="2">
        <v>42967</v>
      </c>
      <c r="B2429" s="3">
        <v>688</v>
      </c>
      <c r="C2429" s="4">
        <v>323360</v>
      </c>
      <c r="D2429" s="3">
        <v>274</v>
      </c>
      <c r="E2429" s="4">
        <v>200020</v>
      </c>
      <c r="G2429" s="12">
        <f t="shared" si="164"/>
        <v>2017</v>
      </c>
      <c r="H2429" s="12">
        <f t="shared" si="165"/>
        <v>8</v>
      </c>
      <c r="I2429" s="11">
        <f t="shared" si="166"/>
        <v>80</v>
      </c>
      <c r="J2429" s="11"/>
    </row>
    <row r="2430" spans="1:10" x14ac:dyDescent="0.25">
      <c r="A2430" s="2">
        <v>42968</v>
      </c>
      <c r="B2430" s="3">
        <v>764</v>
      </c>
      <c r="C2430" s="4">
        <v>359080</v>
      </c>
      <c r="D2430" s="3">
        <v>297</v>
      </c>
      <c r="E2430" s="4">
        <v>216810</v>
      </c>
      <c r="G2430" s="12">
        <f t="shared" si="164"/>
        <v>2017</v>
      </c>
      <c r="H2430" s="12">
        <f t="shared" si="165"/>
        <v>8</v>
      </c>
      <c r="I2430" s="11">
        <f t="shared" si="166"/>
        <v>80</v>
      </c>
      <c r="J2430" s="11"/>
    </row>
    <row r="2431" spans="1:10" x14ac:dyDescent="0.25">
      <c r="A2431" s="2">
        <v>42969</v>
      </c>
      <c r="B2431" s="3">
        <v>634</v>
      </c>
      <c r="C2431" s="4">
        <v>297980</v>
      </c>
      <c r="D2431" s="3">
        <v>300</v>
      </c>
      <c r="E2431" s="4">
        <v>219000</v>
      </c>
      <c r="G2431" s="12">
        <f t="shared" si="164"/>
        <v>2017</v>
      </c>
      <c r="H2431" s="12">
        <f t="shared" si="165"/>
        <v>8</v>
      </c>
      <c r="I2431" s="11">
        <f t="shared" si="166"/>
        <v>80</v>
      </c>
      <c r="J2431" s="11"/>
    </row>
    <row r="2432" spans="1:10" x14ac:dyDescent="0.25">
      <c r="A2432" s="2">
        <v>42970</v>
      </c>
      <c r="B2432" s="3">
        <v>677</v>
      </c>
      <c r="C2432" s="4">
        <v>318190</v>
      </c>
      <c r="D2432" s="3">
        <v>304</v>
      </c>
      <c r="E2432" s="4">
        <v>221920</v>
      </c>
      <c r="G2432" s="12">
        <f t="shared" si="164"/>
        <v>2017</v>
      </c>
      <c r="H2432" s="12">
        <f t="shared" si="165"/>
        <v>8</v>
      </c>
      <c r="I2432" s="11">
        <f t="shared" si="166"/>
        <v>80</v>
      </c>
      <c r="J2432" s="11"/>
    </row>
    <row r="2433" spans="1:10" x14ac:dyDescent="0.25">
      <c r="A2433" s="2">
        <v>42971</v>
      </c>
      <c r="B2433" s="3">
        <v>813</v>
      </c>
      <c r="C2433" s="4">
        <v>382110</v>
      </c>
      <c r="D2433" s="3">
        <v>291</v>
      </c>
      <c r="E2433" s="4">
        <v>212430</v>
      </c>
      <c r="G2433" s="12">
        <f t="shared" si="164"/>
        <v>2017</v>
      </c>
      <c r="H2433" s="12">
        <f t="shared" si="165"/>
        <v>8</v>
      </c>
      <c r="I2433" s="11">
        <f t="shared" si="166"/>
        <v>80</v>
      </c>
      <c r="J2433" s="11"/>
    </row>
    <row r="2434" spans="1:10" x14ac:dyDescent="0.25">
      <c r="A2434" s="2">
        <v>42972</v>
      </c>
      <c r="B2434" s="3">
        <v>656</v>
      </c>
      <c r="C2434" s="4">
        <v>308320</v>
      </c>
      <c r="D2434" s="3">
        <v>325</v>
      </c>
      <c r="E2434" s="4">
        <v>237250</v>
      </c>
      <c r="G2434" s="12">
        <f t="shared" si="164"/>
        <v>2017</v>
      </c>
      <c r="H2434" s="12">
        <f t="shared" si="165"/>
        <v>8</v>
      </c>
      <c r="I2434" s="11">
        <f t="shared" si="166"/>
        <v>80</v>
      </c>
      <c r="J2434" s="11"/>
    </row>
    <row r="2435" spans="1:10" x14ac:dyDescent="0.25">
      <c r="A2435" s="2">
        <v>42973</v>
      </c>
      <c r="B2435" s="3">
        <v>717</v>
      </c>
      <c r="C2435" s="4">
        <v>336990</v>
      </c>
      <c r="D2435" s="3">
        <v>296</v>
      </c>
      <c r="E2435" s="4">
        <v>216080</v>
      </c>
      <c r="G2435" s="12">
        <f t="shared" si="164"/>
        <v>2017</v>
      </c>
      <c r="H2435" s="12">
        <f t="shared" si="165"/>
        <v>8</v>
      </c>
      <c r="I2435" s="11">
        <f t="shared" si="166"/>
        <v>80</v>
      </c>
      <c r="J2435" s="11"/>
    </row>
    <row r="2436" spans="1:10" x14ac:dyDescent="0.25">
      <c r="A2436" s="2">
        <v>42974</v>
      </c>
      <c r="B2436" s="3">
        <v>724</v>
      </c>
      <c r="C2436" s="4">
        <v>340280</v>
      </c>
      <c r="D2436" s="3">
        <v>335</v>
      </c>
      <c r="E2436" s="4">
        <v>244550</v>
      </c>
      <c r="G2436" s="12">
        <f t="shared" si="164"/>
        <v>2017</v>
      </c>
      <c r="H2436" s="12">
        <f t="shared" si="165"/>
        <v>8</v>
      </c>
      <c r="I2436" s="11">
        <f t="shared" si="166"/>
        <v>80</v>
      </c>
      <c r="J2436" s="11"/>
    </row>
    <row r="2437" spans="1:10" x14ac:dyDescent="0.25">
      <c r="A2437" s="2">
        <v>42975</v>
      </c>
      <c r="B2437" s="3">
        <v>789</v>
      </c>
      <c r="C2437" s="4">
        <v>370830</v>
      </c>
      <c r="D2437" s="3">
        <v>329</v>
      </c>
      <c r="E2437" s="4">
        <v>240170</v>
      </c>
      <c r="G2437" s="12">
        <f t="shared" si="164"/>
        <v>2017</v>
      </c>
      <c r="H2437" s="12">
        <f t="shared" si="165"/>
        <v>8</v>
      </c>
      <c r="I2437" s="11">
        <f t="shared" si="166"/>
        <v>80</v>
      </c>
      <c r="J2437" s="11"/>
    </row>
    <row r="2438" spans="1:10" x14ac:dyDescent="0.25">
      <c r="A2438" s="2">
        <v>42976</v>
      </c>
      <c r="B2438" s="3">
        <v>699</v>
      </c>
      <c r="C2438" s="4">
        <v>328530</v>
      </c>
      <c r="D2438" s="3">
        <v>291</v>
      </c>
      <c r="E2438" s="4">
        <v>212430</v>
      </c>
      <c r="G2438" s="12">
        <f t="shared" ref="G2438:G2501" si="167">+YEAR(A2438)</f>
        <v>2017</v>
      </c>
      <c r="H2438" s="12">
        <f t="shared" ref="H2438:H2501" si="168">+MONTH(A2438)</f>
        <v>8</v>
      </c>
      <c r="I2438" s="11">
        <f t="shared" si="166"/>
        <v>80</v>
      </c>
      <c r="J2438" s="11"/>
    </row>
    <row r="2439" spans="1:10" x14ac:dyDescent="0.25">
      <c r="A2439" s="2">
        <v>42977</v>
      </c>
      <c r="B2439" s="3">
        <v>792</v>
      </c>
      <c r="C2439" s="4">
        <v>372240</v>
      </c>
      <c r="D2439" s="3">
        <v>336</v>
      </c>
      <c r="E2439" s="4">
        <v>245280</v>
      </c>
      <c r="G2439" s="12">
        <f t="shared" si="167"/>
        <v>2017</v>
      </c>
      <c r="H2439" s="12">
        <f t="shared" si="168"/>
        <v>8</v>
      </c>
      <c r="I2439" s="11">
        <f t="shared" ref="I2439:I2502" si="169">+H2439+(G2439-2011)*12</f>
        <v>80</v>
      </c>
      <c r="J2439" s="11"/>
    </row>
    <row r="2440" spans="1:10" x14ac:dyDescent="0.25">
      <c r="A2440" s="2">
        <v>42978</v>
      </c>
      <c r="B2440" s="3">
        <v>807</v>
      </c>
      <c r="C2440" s="4">
        <v>379290</v>
      </c>
      <c r="D2440" s="3">
        <v>292</v>
      </c>
      <c r="E2440" s="4">
        <v>213160</v>
      </c>
      <c r="G2440" s="12">
        <f t="shared" si="167"/>
        <v>2017</v>
      </c>
      <c r="H2440" s="12">
        <f t="shared" si="168"/>
        <v>8</v>
      </c>
      <c r="I2440" s="11">
        <f t="shared" si="169"/>
        <v>80</v>
      </c>
      <c r="J2440" s="11"/>
    </row>
    <row r="2441" spans="1:10" x14ac:dyDescent="0.25">
      <c r="A2441" s="2">
        <v>42979</v>
      </c>
      <c r="B2441" s="3">
        <v>738</v>
      </c>
      <c r="C2441" s="4">
        <v>346860</v>
      </c>
      <c r="D2441" s="3">
        <v>326</v>
      </c>
      <c r="E2441" s="4">
        <v>237980</v>
      </c>
      <c r="G2441" s="12">
        <f t="shared" si="167"/>
        <v>2017</v>
      </c>
      <c r="H2441" s="12">
        <f t="shared" si="168"/>
        <v>9</v>
      </c>
      <c r="I2441" s="11">
        <f t="shared" si="169"/>
        <v>81</v>
      </c>
      <c r="J2441" s="11"/>
    </row>
    <row r="2442" spans="1:10" x14ac:dyDescent="0.25">
      <c r="A2442" s="2">
        <v>42980</v>
      </c>
      <c r="B2442" s="3">
        <v>721</v>
      </c>
      <c r="C2442" s="4">
        <v>338870</v>
      </c>
      <c r="D2442" s="3">
        <v>321</v>
      </c>
      <c r="E2442" s="4">
        <v>234330</v>
      </c>
      <c r="G2442" s="12">
        <f t="shared" si="167"/>
        <v>2017</v>
      </c>
      <c r="H2442" s="12">
        <f t="shared" si="168"/>
        <v>9</v>
      </c>
      <c r="I2442" s="11">
        <f t="shared" si="169"/>
        <v>81</v>
      </c>
      <c r="J2442" s="11"/>
    </row>
    <row r="2443" spans="1:10" x14ac:dyDescent="0.25">
      <c r="A2443" s="2">
        <v>42981</v>
      </c>
      <c r="B2443" s="3">
        <v>680</v>
      </c>
      <c r="C2443" s="4">
        <v>319600</v>
      </c>
      <c r="D2443" s="3">
        <v>275</v>
      </c>
      <c r="E2443" s="4">
        <v>200750</v>
      </c>
      <c r="G2443" s="12">
        <f t="shared" si="167"/>
        <v>2017</v>
      </c>
      <c r="H2443" s="12">
        <f t="shared" si="168"/>
        <v>9</v>
      </c>
      <c r="I2443" s="11">
        <f t="shared" si="169"/>
        <v>81</v>
      </c>
      <c r="J2443" s="11"/>
    </row>
    <row r="2444" spans="1:10" x14ac:dyDescent="0.25">
      <c r="A2444" s="2">
        <v>42982</v>
      </c>
      <c r="B2444" s="3">
        <v>694</v>
      </c>
      <c r="C2444" s="4">
        <v>326180</v>
      </c>
      <c r="D2444" s="3">
        <v>280</v>
      </c>
      <c r="E2444" s="4">
        <v>204400</v>
      </c>
      <c r="G2444" s="12">
        <f t="shared" si="167"/>
        <v>2017</v>
      </c>
      <c r="H2444" s="12">
        <f t="shared" si="168"/>
        <v>9</v>
      </c>
      <c r="I2444" s="11">
        <f t="shared" si="169"/>
        <v>81</v>
      </c>
      <c r="J2444" s="11"/>
    </row>
    <row r="2445" spans="1:10" x14ac:dyDescent="0.25">
      <c r="A2445" s="2">
        <v>42983</v>
      </c>
      <c r="B2445" s="3">
        <v>671</v>
      </c>
      <c r="C2445" s="4">
        <v>315370</v>
      </c>
      <c r="D2445" s="3">
        <v>314</v>
      </c>
      <c r="E2445" s="4">
        <v>229220</v>
      </c>
      <c r="G2445" s="12">
        <f t="shared" si="167"/>
        <v>2017</v>
      </c>
      <c r="H2445" s="12">
        <f t="shared" si="168"/>
        <v>9</v>
      </c>
      <c r="I2445" s="11">
        <f t="shared" si="169"/>
        <v>81</v>
      </c>
      <c r="J2445" s="11"/>
    </row>
    <row r="2446" spans="1:10" x14ac:dyDescent="0.25">
      <c r="A2446" s="2">
        <v>42984</v>
      </c>
      <c r="B2446" s="3">
        <v>645</v>
      </c>
      <c r="C2446" s="4">
        <v>303150</v>
      </c>
      <c r="D2446" s="3">
        <v>289</v>
      </c>
      <c r="E2446" s="4">
        <v>210970</v>
      </c>
      <c r="G2446" s="12">
        <f t="shared" si="167"/>
        <v>2017</v>
      </c>
      <c r="H2446" s="12">
        <f t="shared" si="168"/>
        <v>9</v>
      </c>
      <c r="I2446" s="11">
        <f t="shared" si="169"/>
        <v>81</v>
      </c>
      <c r="J2446" s="11"/>
    </row>
    <row r="2447" spans="1:10" x14ac:dyDescent="0.25">
      <c r="A2447" s="2">
        <v>42985</v>
      </c>
      <c r="B2447" s="3">
        <v>687</v>
      </c>
      <c r="C2447" s="4">
        <v>322890</v>
      </c>
      <c r="D2447" s="3">
        <v>279</v>
      </c>
      <c r="E2447" s="4">
        <v>203670</v>
      </c>
      <c r="G2447" s="12">
        <f t="shared" si="167"/>
        <v>2017</v>
      </c>
      <c r="H2447" s="12">
        <f t="shared" si="168"/>
        <v>9</v>
      </c>
      <c r="I2447" s="11">
        <f t="shared" si="169"/>
        <v>81</v>
      </c>
      <c r="J2447" s="11"/>
    </row>
    <row r="2448" spans="1:10" x14ac:dyDescent="0.25">
      <c r="A2448" s="2">
        <v>42986</v>
      </c>
      <c r="B2448" s="3">
        <v>604</v>
      </c>
      <c r="C2448" s="4">
        <v>283880</v>
      </c>
      <c r="D2448" s="3">
        <v>346</v>
      </c>
      <c r="E2448" s="4">
        <v>252580</v>
      </c>
      <c r="G2448" s="12">
        <f t="shared" si="167"/>
        <v>2017</v>
      </c>
      <c r="H2448" s="12">
        <f t="shared" si="168"/>
        <v>9</v>
      </c>
      <c r="I2448" s="11">
        <f t="shared" si="169"/>
        <v>81</v>
      </c>
      <c r="J2448" s="11"/>
    </row>
    <row r="2449" spans="1:10" x14ac:dyDescent="0.25">
      <c r="A2449" s="2">
        <v>42987</v>
      </c>
      <c r="B2449" s="3">
        <v>685</v>
      </c>
      <c r="C2449" s="4">
        <v>321950</v>
      </c>
      <c r="D2449" s="3">
        <v>335</v>
      </c>
      <c r="E2449" s="4">
        <v>244550</v>
      </c>
      <c r="G2449" s="12">
        <f t="shared" si="167"/>
        <v>2017</v>
      </c>
      <c r="H2449" s="12">
        <f t="shared" si="168"/>
        <v>9</v>
      </c>
      <c r="I2449" s="11">
        <f t="shared" si="169"/>
        <v>81</v>
      </c>
      <c r="J2449" s="11"/>
    </row>
    <row r="2450" spans="1:10" x14ac:dyDescent="0.25">
      <c r="A2450" s="2">
        <v>42988</v>
      </c>
      <c r="B2450" s="3">
        <v>825</v>
      </c>
      <c r="C2450" s="4">
        <v>387750</v>
      </c>
      <c r="D2450" s="3">
        <v>340</v>
      </c>
      <c r="E2450" s="4">
        <v>248200</v>
      </c>
      <c r="G2450" s="12">
        <f t="shared" si="167"/>
        <v>2017</v>
      </c>
      <c r="H2450" s="12">
        <f t="shared" si="168"/>
        <v>9</v>
      </c>
      <c r="I2450" s="11">
        <f t="shared" si="169"/>
        <v>81</v>
      </c>
      <c r="J2450" s="11"/>
    </row>
    <row r="2451" spans="1:10" x14ac:dyDescent="0.25">
      <c r="A2451" s="2">
        <v>42989</v>
      </c>
      <c r="B2451" s="3">
        <v>856</v>
      </c>
      <c r="C2451" s="4">
        <v>402320</v>
      </c>
      <c r="D2451" s="3">
        <v>310</v>
      </c>
      <c r="E2451" s="4">
        <v>226300</v>
      </c>
      <c r="G2451" s="12">
        <f t="shared" si="167"/>
        <v>2017</v>
      </c>
      <c r="H2451" s="12">
        <f t="shared" si="168"/>
        <v>9</v>
      </c>
      <c r="I2451" s="11">
        <f t="shared" si="169"/>
        <v>81</v>
      </c>
      <c r="J2451" s="11"/>
    </row>
    <row r="2452" spans="1:10" x14ac:dyDescent="0.25">
      <c r="A2452" s="2">
        <v>42990</v>
      </c>
      <c r="B2452" s="3">
        <v>642</v>
      </c>
      <c r="C2452" s="4">
        <v>301740</v>
      </c>
      <c r="D2452" s="3">
        <v>276</v>
      </c>
      <c r="E2452" s="4">
        <v>201480</v>
      </c>
      <c r="G2452" s="12">
        <f t="shared" si="167"/>
        <v>2017</v>
      </c>
      <c r="H2452" s="12">
        <f t="shared" si="168"/>
        <v>9</v>
      </c>
      <c r="I2452" s="11">
        <f t="shared" si="169"/>
        <v>81</v>
      </c>
      <c r="J2452" s="11"/>
    </row>
    <row r="2453" spans="1:10" x14ac:dyDescent="0.25">
      <c r="A2453" s="2">
        <v>42991</v>
      </c>
      <c r="B2453" s="3">
        <v>727</v>
      </c>
      <c r="C2453" s="4">
        <v>341690</v>
      </c>
      <c r="D2453" s="3">
        <v>305</v>
      </c>
      <c r="E2453" s="4">
        <v>222650</v>
      </c>
      <c r="G2453" s="12">
        <f t="shared" si="167"/>
        <v>2017</v>
      </c>
      <c r="H2453" s="12">
        <f t="shared" si="168"/>
        <v>9</v>
      </c>
      <c r="I2453" s="11">
        <f t="shared" si="169"/>
        <v>81</v>
      </c>
      <c r="J2453" s="11"/>
    </row>
    <row r="2454" spans="1:10" x14ac:dyDescent="0.25">
      <c r="A2454" s="2">
        <v>42992</v>
      </c>
      <c r="B2454" s="3">
        <v>763</v>
      </c>
      <c r="C2454" s="4">
        <v>358610</v>
      </c>
      <c r="D2454" s="3">
        <v>278</v>
      </c>
      <c r="E2454" s="4">
        <v>202940</v>
      </c>
      <c r="G2454" s="12">
        <f t="shared" si="167"/>
        <v>2017</v>
      </c>
      <c r="H2454" s="12">
        <f t="shared" si="168"/>
        <v>9</v>
      </c>
      <c r="I2454" s="11">
        <f t="shared" si="169"/>
        <v>81</v>
      </c>
      <c r="J2454" s="11"/>
    </row>
    <row r="2455" spans="1:10" x14ac:dyDescent="0.25">
      <c r="A2455" s="2">
        <v>42993</v>
      </c>
      <c r="B2455" s="3">
        <v>705</v>
      </c>
      <c r="C2455" s="4">
        <v>331350</v>
      </c>
      <c r="D2455" s="3">
        <v>303</v>
      </c>
      <c r="E2455" s="4">
        <v>221190</v>
      </c>
      <c r="G2455" s="12">
        <f t="shared" si="167"/>
        <v>2017</v>
      </c>
      <c r="H2455" s="12">
        <f t="shared" si="168"/>
        <v>9</v>
      </c>
      <c r="I2455" s="11">
        <f t="shared" si="169"/>
        <v>81</v>
      </c>
      <c r="J2455" s="11"/>
    </row>
    <row r="2456" spans="1:10" x14ac:dyDescent="0.25">
      <c r="A2456" s="2">
        <v>42994</v>
      </c>
      <c r="B2456" s="3">
        <v>745</v>
      </c>
      <c r="C2456" s="4">
        <v>350150</v>
      </c>
      <c r="D2456" s="3">
        <v>300</v>
      </c>
      <c r="E2456" s="4">
        <v>219000</v>
      </c>
      <c r="G2456" s="12">
        <f t="shared" si="167"/>
        <v>2017</v>
      </c>
      <c r="H2456" s="12">
        <f t="shared" si="168"/>
        <v>9</v>
      </c>
      <c r="I2456" s="11">
        <f t="shared" si="169"/>
        <v>81</v>
      </c>
      <c r="J2456" s="11"/>
    </row>
    <row r="2457" spans="1:10" x14ac:dyDescent="0.25">
      <c r="A2457" s="2">
        <v>42995</v>
      </c>
      <c r="B2457" s="3">
        <v>770</v>
      </c>
      <c r="C2457" s="4">
        <v>361900</v>
      </c>
      <c r="D2457" s="3">
        <v>292</v>
      </c>
      <c r="E2457" s="4">
        <v>213160</v>
      </c>
      <c r="G2457" s="12">
        <f t="shared" si="167"/>
        <v>2017</v>
      </c>
      <c r="H2457" s="12">
        <f t="shared" si="168"/>
        <v>9</v>
      </c>
      <c r="I2457" s="11">
        <f t="shared" si="169"/>
        <v>81</v>
      </c>
      <c r="J2457" s="11"/>
    </row>
    <row r="2458" spans="1:10" x14ac:dyDescent="0.25">
      <c r="A2458" s="2">
        <v>42996</v>
      </c>
      <c r="B2458" s="3">
        <v>667</v>
      </c>
      <c r="C2458" s="4">
        <v>313490</v>
      </c>
      <c r="D2458" s="3">
        <v>322</v>
      </c>
      <c r="E2458" s="4">
        <v>235060</v>
      </c>
      <c r="G2458" s="12">
        <f t="shared" si="167"/>
        <v>2017</v>
      </c>
      <c r="H2458" s="12">
        <f t="shared" si="168"/>
        <v>9</v>
      </c>
      <c r="I2458" s="11">
        <f t="shared" si="169"/>
        <v>81</v>
      </c>
      <c r="J2458" s="11"/>
    </row>
    <row r="2459" spans="1:10" x14ac:dyDescent="0.25">
      <c r="A2459" s="2">
        <v>42997</v>
      </c>
      <c r="B2459" s="3">
        <v>683</v>
      </c>
      <c r="C2459" s="4">
        <v>321010</v>
      </c>
      <c r="D2459" s="3">
        <v>309</v>
      </c>
      <c r="E2459" s="4">
        <v>225570</v>
      </c>
      <c r="G2459" s="12">
        <f t="shared" si="167"/>
        <v>2017</v>
      </c>
      <c r="H2459" s="12">
        <f t="shared" si="168"/>
        <v>9</v>
      </c>
      <c r="I2459" s="11">
        <f t="shared" si="169"/>
        <v>81</v>
      </c>
      <c r="J2459" s="11"/>
    </row>
    <row r="2460" spans="1:10" x14ac:dyDescent="0.25">
      <c r="A2460" s="2">
        <v>42998</v>
      </c>
      <c r="B2460" s="3">
        <v>689</v>
      </c>
      <c r="C2460" s="4">
        <v>323830</v>
      </c>
      <c r="D2460" s="3">
        <v>328</v>
      </c>
      <c r="E2460" s="4">
        <v>239440</v>
      </c>
      <c r="G2460" s="12">
        <f t="shared" si="167"/>
        <v>2017</v>
      </c>
      <c r="H2460" s="12">
        <f t="shared" si="168"/>
        <v>9</v>
      </c>
      <c r="I2460" s="11">
        <f t="shared" si="169"/>
        <v>81</v>
      </c>
      <c r="J2460" s="11"/>
    </row>
    <row r="2461" spans="1:10" x14ac:dyDescent="0.25">
      <c r="A2461" s="2">
        <v>42999</v>
      </c>
      <c r="B2461" s="3">
        <v>647</v>
      </c>
      <c r="C2461" s="4">
        <v>304090</v>
      </c>
      <c r="D2461" s="3">
        <v>331</v>
      </c>
      <c r="E2461" s="4">
        <v>241630</v>
      </c>
      <c r="G2461" s="12">
        <f t="shared" si="167"/>
        <v>2017</v>
      </c>
      <c r="H2461" s="12">
        <f t="shared" si="168"/>
        <v>9</v>
      </c>
      <c r="I2461" s="11">
        <f t="shared" si="169"/>
        <v>81</v>
      </c>
      <c r="J2461" s="11"/>
    </row>
    <row r="2462" spans="1:10" x14ac:dyDescent="0.25">
      <c r="A2462" s="2">
        <v>43000</v>
      </c>
      <c r="B2462" s="3">
        <v>943</v>
      </c>
      <c r="C2462" s="4">
        <v>443210</v>
      </c>
      <c r="D2462" s="3">
        <v>345</v>
      </c>
      <c r="E2462" s="4">
        <v>251850</v>
      </c>
      <c r="G2462" s="12">
        <f t="shared" si="167"/>
        <v>2017</v>
      </c>
      <c r="H2462" s="12">
        <f t="shared" si="168"/>
        <v>9</v>
      </c>
      <c r="I2462" s="11">
        <f t="shared" si="169"/>
        <v>81</v>
      </c>
      <c r="J2462" s="11"/>
    </row>
    <row r="2463" spans="1:10" x14ac:dyDescent="0.25">
      <c r="A2463" s="2">
        <v>43001</v>
      </c>
      <c r="B2463" s="3">
        <v>712</v>
      </c>
      <c r="C2463" s="4">
        <v>334640</v>
      </c>
      <c r="D2463" s="3">
        <v>325</v>
      </c>
      <c r="E2463" s="4">
        <v>237250</v>
      </c>
      <c r="G2463" s="12">
        <f t="shared" si="167"/>
        <v>2017</v>
      </c>
      <c r="H2463" s="12">
        <f t="shared" si="168"/>
        <v>9</v>
      </c>
      <c r="I2463" s="11">
        <f t="shared" si="169"/>
        <v>81</v>
      </c>
      <c r="J2463" s="11"/>
    </row>
    <row r="2464" spans="1:10" x14ac:dyDescent="0.25">
      <c r="A2464" s="2">
        <v>43002</v>
      </c>
      <c r="B2464" s="3">
        <v>812</v>
      </c>
      <c r="C2464" s="4">
        <v>381640</v>
      </c>
      <c r="D2464" s="3">
        <v>317</v>
      </c>
      <c r="E2464" s="4">
        <v>231410</v>
      </c>
      <c r="G2464" s="12">
        <f t="shared" si="167"/>
        <v>2017</v>
      </c>
      <c r="H2464" s="12">
        <f t="shared" si="168"/>
        <v>9</v>
      </c>
      <c r="I2464" s="11">
        <f t="shared" si="169"/>
        <v>81</v>
      </c>
      <c r="J2464" s="11"/>
    </row>
    <row r="2465" spans="1:10" x14ac:dyDescent="0.25">
      <c r="A2465" s="2">
        <v>43003</v>
      </c>
      <c r="B2465" s="3">
        <v>679</v>
      </c>
      <c r="C2465" s="4">
        <v>319130</v>
      </c>
      <c r="D2465" s="3">
        <v>291</v>
      </c>
      <c r="E2465" s="4">
        <v>212430</v>
      </c>
      <c r="G2465" s="12">
        <f t="shared" si="167"/>
        <v>2017</v>
      </c>
      <c r="H2465" s="12">
        <f t="shared" si="168"/>
        <v>9</v>
      </c>
      <c r="I2465" s="11">
        <f t="shared" si="169"/>
        <v>81</v>
      </c>
      <c r="J2465" s="11"/>
    </row>
    <row r="2466" spans="1:10" x14ac:dyDescent="0.25">
      <c r="A2466" s="2">
        <v>43004</v>
      </c>
      <c r="B2466" s="3">
        <v>768</v>
      </c>
      <c r="C2466" s="4">
        <v>360960</v>
      </c>
      <c r="D2466" s="3">
        <v>291</v>
      </c>
      <c r="E2466" s="4">
        <v>212430</v>
      </c>
      <c r="G2466" s="12">
        <f t="shared" si="167"/>
        <v>2017</v>
      </c>
      <c r="H2466" s="12">
        <f t="shared" si="168"/>
        <v>9</v>
      </c>
      <c r="I2466" s="11">
        <f t="shared" si="169"/>
        <v>81</v>
      </c>
      <c r="J2466" s="11"/>
    </row>
    <row r="2467" spans="1:10" x14ac:dyDescent="0.25">
      <c r="A2467" s="2">
        <v>43005</v>
      </c>
      <c r="B2467" s="3">
        <v>586</v>
      </c>
      <c r="C2467" s="4">
        <v>275420</v>
      </c>
      <c r="D2467" s="3">
        <v>305</v>
      </c>
      <c r="E2467" s="4">
        <v>222650</v>
      </c>
      <c r="G2467" s="12">
        <f t="shared" si="167"/>
        <v>2017</v>
      </c>
      <c r="H2467" s="12">
        <f t="shared" si="168"/>
        <v>9</v>
      </c>
      <c r="I2467" s="11">
        <f t="shared" si="169"/>
        <v>81</v>
      </c>
      <c r="J2467" s="11"/>
    </row>
    <row r="2468" spans="1:10" x14ac:dyDescent="0.25">
      <c r="A2468" s="2">
        <v>43006</v>
      </c>
      <c r="B2468" s="3">
        <v>745</v>
      </c>
      <c r="C2468" s="4">
        <v>350150</v>
      </c>
      <c r="D2468" s="3">
        <v>306</v>
      </c>
      <c r="E2468" s="4">
        <v>223380</v>
      </c>
      <c r="G2468" s="12">
        <f t="shared" si="167"/>
        <v>2017</v>
      </c>
      <c r="H2468" s="12">
        <f t="shared" si="168"/>
        <v>9</v>
      </c>
      <c r="I2468" s="11">
        <f t="shared" si="169"/>
        <v>81</v>
      </c>
      <c r="J2468" s="11"/>
    </row>
    <row r="2469" spans="1:10" x14ac:dyDescent="0.25">
      <c r="A2469" s="2">
        <v>43007</v>
      </c>
      <c r="B2469" s="3">
        <v>692</v>
      </c>
      <c r="C2469" s="4">
        <v>325240</v>
      </c>
      <c r="D2469" s="3">
        <v>267</v>
      </c>
      <c r="E2469" s="4">
        <v>194910</v>
      </c>
      <c r="G2469" s="12">
        <f t="shared" si="167"/>
        <v>2017</v>
      </c>
      <c r="H2469" s="12">
        <f t="shared" si="168"/>
        <v>9</v>
      </c>
      <c r="I2469" s="11">
        <f t="shared" si="169"/>
        <v>81</v>
      </c>
      <c r="J2469" s="11"/>
    </row>
    <row r="2470" spans="1:10" x14ac:dyDescent="0.25">
      <c r="A2470" s="2">
        <v>43008</v>
      </c>
      <c r="B2470" s="3">
        <v>681</v>
      </c>
      <c r="C2470" s="4">
        <v>320070</v>
      </c>
      <c r="D2470" s="3">
        <v>263</v>
      </c>
      <c r="E2470" s="4">
        <v>191990</v>
      </c>
      <c r="G2470" s="12">
        <f t="shared" si="167"/>
        <v>2017</v>
      </c>
      <c r="H2470" s="12">
        <f t="shared" si="168"/>
        <v>9</v>
      </c>
      <c r="I2470" s="11">
        <f t="shared" si="169"/>
        <v>81</v>
      </c>
      <c r="J2470" s="11"/>
    </row>
    <row r="2471" spans="1:10" x14ac:dyDescent="0.25">
      <c r="A2471" s="2">
        <v>43009</v>
      </c>
      <c r="B2471" s="3">
        <v>577</v>
      </c>
      <c r="C2471" s="4">
        <v>169493.75</v>
      </c>
      <c r="D2471" s="3">
        <v>329</v>
      </c>
      <c r="E2471" s="4">
        <v>240170</v>
      </c>
      <c r="G2471" s="12">
        <f t="shared" si="167"/>
        <v>2017</v>
      </c>
      <c r="H2471" s="12">
        <f t="shared" si="168"/>
        <v>10</v>
      </c>
      <c r="I2471" s="11">
        <f t="shared" si="169"/>
        <v>82</v>
      </c>
      <c r="J2471" s="11"/>
    </row>
    <row r="2472" spans="1:10" x14ac:dyDescent="0.25">
      <c r="A2472" s="2">
        <v>43010</v>
      </c>
      <c r="B2472" s="3">
        <v>564</v>
      </c>
      <c r="C2472" s="4">
        <v>165675</v>
      </c>
      <c r="D2472" s="3">
        <v>358</v>
      </c>
      <c r="E2472" s="4">
        <v>261340</v>
      </c>
      <c r="G2472" s="12">
        <f t="shared" si="167"/>
        <v>2017</v>
      </c>
      <c r="H2472" s="12">
        <f t="shared" si="168"/>
        <v>10</v>
      </c>
      <c r="I2472" s="11">
        <f t="shared" si="169"/>
        <v>82</v>
      </c>
      <c r="J2472" s="11"/>
    </row>
    <row r="2473" spans="1:10" x14ac:dyDescent="0.25">
      <c r="A2473" s="2">
        <v>43011</v>
      </c>
      <c r="B2473" s="3">
        <v>559</v>
      </c>
      <c r="C2473" s="4">
        <v>164206.25</v>
      </c>
      <c r="D2473" s="3">
        <v>280</v>
      </c>
      <c r="E2473" s="4">
        <v>204400</v>
      </c>
      <c r="G2473" s="12">
        <f t="shared" si="167"/>
        <v>2017</v>
      </c>
      <c r="H2473" s="12">
        <f t="shared" si="168"/>
        <v>10</v>
      </c>
      <c r="I2473" s="11">
        <f t="shared" si="169"/>
        <v>82</v>
      </c>
      <c r="J2473" s="11"/>
    </row>
    <row r="2474" spans="1:10" x14ac:dyDescent="0.25">
      <c r="A2474" s="2">
        <v>43012</v>
      </c>
      <c r="B2474" s="3">
        <v>502</v>
      </c>
      <c r="C2474" s="4">
        <v>147462.5</v>
      </c>
      <c r="D2474" s="3">
        <v>338</v>
      </c>
      <c r="E2474" s="4">
        <v>246740</v>
      </c>
      <c r="G2474" s="12">
        <f t="shared" si="167"/>
        <v>2017</v>
      </c>
      <c r="H2474" s="12">
        <f t="shared" si="168"/>
        <v>10</v>
      </c>
      <c r="I2474" s="11">
        <f t="shared" si="169"/>
        <v>82</v>
      </c>
      <c r="J2474" s="11"/>
    </row>
    <row r="2475" spans="1:10" x14ac:dyDescent="0.25">
      <c r="A2475" s="2">
        <v>43013</v>
      </c>
      <c r="B2475" s="3">
        <v>560</v>
      </c>
      <c r="C2475" s="4">
        <v>164500</v>
      </c>
      <c r="D2475" s="3">
        <v>307</v>
      </c>
      <c r="E2475" s="4">
        <v>224110</v>
      </c>
      <c r="G2475" s="12">
        <f t="shared" si="167"/>
        <v>2017</v>
      </c>
      <c r="H2475" s="12">
        <f t="shared" si="168"/>
        <v>10</v>
      </c>
      <c r="I2475" s="11">
        <f t="shared" si="169"/>
        <v>82</v>
      </c>
      <c r="J2475" s="11"/>
    </row>
    <row r="2476" spans="1:10" x14ac:dyDescent="0.25">
      <c r="A2476" s="2">
        <v>43014</v>
      </c>
      <c r="B2476" s="3">
        <v>552</v>
      </c>
      <c r="C2476" s="4">
        <v>162150</v>
      </c>
      <c r="D2476" s="3">
        <v>269</v>
      </c>
      <c r="E2476" s="4">
        <v>196370</v>
      </c>
      <c r="G2476" s="12">
        <f t="shared" si="167"/>
        <v>2017</v>
      </c>
      <c r="H2476" s="12">
        <f t="shared" si="168"/>
        <v>10</v>
      </c>
      <c r="I2476" s="11">
        <f t="shared" si="169"/>
        <v>82</v>
      </c>
      <c r="J2476" s="11"/>
    </row>
    <row r="2477" spans="1:10" x14ac:dyDescent="0.25">
      <c r="A2477" s="2">
        <v>43015</v>
      </c>
      <c r="B2477" s="3">
        <v>583</v>
      </c>
      <c r="C2477" s="4">
        <v>171256.25</v>
      </c>
      <c r="D2477" s="3">
        <v>328</v>
      </c>
      <c r="E2477" s="4">
        <v>239440</v>
      </c>
      <c r="G2477" s="12">
        <f t="shared" si="167"/>
        <v>2017</v>
      </c>
      <c r="H2477" s="12">
        <f t="shared" si="168"/>
        <v>10</v>
      </c>
      <c r="I2477" s="11">
        <f t="shared" si="169"/>
        <v>82</v>
      </c>
      <c r="J2477" s="11"/>
    </row>
    <row r="2478" spans="1:10" x14ac:dyDescent="0.25">
      <c r="A2478" s="2">
        <v>43016</v>
      </c>
      <c r="B2478" s="3">
        <v>559</v>
      </c>
      <c r="C2478" s="4">
        <v>164206.25</v>
      </c>
      <c r="D2478" s="3">
        <v>297</v>
      </c>
      <c r="E2478" s="4">
        <v>216810</v>
      </c>
      <c r="G2478" s="12">
        <f t="shared" si="167"/>
        <v>2017</v>
      </c>
      <c r="H2478" s="12">
        <f t="shared" si="168"/>
        <v>10</v>
      </c>
      <c r="I2478" s="11">
        <f t="shared" si="169"/>
        <v>82</v>
      </c>
      <c r="J2478" s="11"/>
    </row>
    <row r="2479" spans="1:10" x14ac:dyDescent="0.25">
      <c r="A2479" s="2">
        <v>43017</v>
      </c>
      <c r="B2479" s="3">
        <v>557</v>
      </c>
      <c r="C2479" s="4">
        <v>163618.75</v>
      </c>
      <c r="D2479" s="3">
        <v>323</v>
      </c>
      <c r="E2479" s="4">
        <v>235790</v>
      </c>
      <c r="G2479" s="12">
        <f t="shared" si="167"/>
        <v>2017</v>
      </c>
      <c r="H2479" s="12">
        <f t="shared" si="168"/>
        <v>10</v>
      </c>
      <c r="I2479" s="11">
        <f t="shared" si="169"/>
        <v>82</v>
      </c>
      <c r="J2479" s="11"/>
    </row>
    <row r="2480" spans="1:10" x14ac:dyDescent="0.25">
      <c r="A2480" s="2">
        <v>43018</v>
      </c>
      <c r="B2480" s="3">
        <v>523</v>
      </c>
      <c r="C2480" s="4">
        <v>153631.25</v>
      </c>
      <c r="D2480" s="3">
        <v>301</v>
      </c>
      <c r="E2480" s="4">
        <v>219730</v>
      </c>
      <c r="G2480" s="12">
        <f t="shared" si="167"/>
        <v>2017</v>
      </c>
      <c r="H2480" s="12">
        <f t="shared" si="168"/>
        <v>10</v>
      </c>
      <c r="I2480" s="11">
        <f t="shared" si="169"/>
        <v>82</v>
      </c>
      <c r="J2480" s="11"/>
    </row>
    <row r="2481" spans="1:10" x14ac:dyDescent="0.25">
      <c r="A2481" s="2">
        <v>43019</v>
      </c>
      <c r="B2481" s="3">
        <v>603</v>
      </c>
      <c r="C2481" s="4">
        <v>177131.25</v>
      </c>
      <c r="D2481" s="3">
        <v>348</v>
      </c>
      <c r="E2481" s="4">
        <v>254040</v>
      </c>
      <c r="G2481" s="12">
        <f t="shared" si="167"/>
        <v>2017</v>
      </c>
      <c r="H2481" s="12">
        <f t="shared" si="168"/>
        <v>10</v>
      </c>
      <c r="I2481" s="11">
        <f t="shared" si="169"/>
        <v>82</v>
      </c>
      <c r="J2481" s="11"/>
    </row>
    <row r="2482" spans="1:10" x14ac:dyDescent="0.25">
      <c r="A2482" s="2">
        <v>43020</v>
      </c>
      <c r="B2482" s="3">
        <v>629</v>
      </c>
      <c r="C2482" s="4">
        <v>184768.75</v>
      </c>
      <c r="D2482" s="3">
        <v>314</v>
      </c>
      <c r="E2482" s="4">
        <v>229220</v>
      </c>
      <c r="G2482" s="12">
        <f t="shared" si="167"/>
        <v>2017</v>
      </c>
      <c r="H2482" s="12">
        <f t="shared" si="168"/>
        <v>10</v>
      </c>
      <c r="I2482" s="11">
        <f t="shared" si="169"/>
        <v>82</v>
      </c>
      <c r="J2482" s="11"/>
    </row>
    <row r="2483" spans="1:10" x14ac:dyDescent="0.25">
      <c r="A2483" s="2">
        <v>43021</v>
      </c>
      <c r="B2483" s="3">
        <v>596</v>
      </c>
      <c r="C2483" s="4">
        <v>175075</v>
      </c>
      <c r="D2483" s="3">
        <v>293</v>
      </c>
      <c r="E2483" s="4">
        <v>213890</v>
      </c>
      <c r="G2483" s="12">
        <f t="shared" si="167"/>
        <v>2017</v>
      </c>
      <c r="H2483" s="12">
        <f t="shared" si="168"/>
        <v>10</v>
      </c>
      <c r="I2483" s="11">
        <f t="shared" si="169"/>
        <v>82</v>
      </c>
      <c r="J2483" s="11"/>
    </row>
    <row r="2484" spans="1:10" x14ac:dyDescent="0.25">
      <c r="A2484" s="2">
        <v>43022</v>
      </c>
      <c r="B2484" s="3">
        <v>544</v>
      </c>
      <c r="C2484" s="4">
        <v>159800</v>
      </c>
      <c r="D2484" s="3">
        <v>261</v>
      </c>
      <c r="E2484" s="4">
        <v>190530</v>
      </c>
      <c r="G2484" s="12">
        <f t="shared" si="167"/>
        <v>2017</v>
      </c>
      <c r="H2484" s="12">
        <f t="shared" si="168"/>
        <v>10</v>
      </c>
      <c r="I2484" s="11">
        <f t="shared" si="169"/>
        <v>82</v>
      </c>
      <c r="J2484" s="11"/>
    </row>
    <row r="2485" spans="1:10" x14ac:dyDescent="0.25">
      <c r="A2485" s="2">
        <v>43023</v>
      </c>
      <c r="B2485" s="3">
        <v>613</v>
      </c>
      <c r="C2485" s="4">
        <v>180068.75</v>
      </c>
      <c r="D2485" s="3">
        <v>285</v>
      </c>
      <c r="E2485" s="4">
        <v>208050</v>
      </c>
      <c r="G2485" s="12">
        <f t="shared" si="167"/>
        <v>2017</v>
      </c>
      <c r="H2485" s="12">
        <f t="shared" si="168"/>
        <v>10</v>
      </c>
      <c r="I2485" s="11">
        <f t="shared" si="169"/>
        <v>82</v>
      </c>
      <c r="J2485" s="11"/>
    </row>
    <row r="2486" spans="1:10" x14ac:dyDescent="0.25">
      <c r="A2486" s="2">
        <v>43024</v>
      </c>
      <c r="B2486" s="3">
        <v>602</v>
      </c>
      <c r="C2486" s="4">
        <v>176837.5</v>
      </c>
      <c r="D2486" s="3">
        <v>338</v>
      </c>
      <c r="E2486" s="4">
        <v>246740</v>
      </c>
      <c r="G2486" s="12">
        <f t="shared" si="167"/>
        <v>2017</v>
      </c>
      <c r="H2486" s="12">
        <f t="shared" si="168"/>
        <v>10</v>
      </c>
      <c r="I2486" s="11">
        <f t="shared" si="169"/>
        <v>82</v>
      </c>
      <c r="J2486" s="11"/>
    </row>
    <row r="2487" spans="1:10" x14ac:dyDescent="0.25">
      <c r="A2487" s="2">
        <v>43025</v>
      </c>
      <c r="B2487" s="3">
        <v>631</v>
      </c>
      <c r="C2487" s="4">
        <v>185356.25</v>
      </c>
      <c r="D2487" s="3">
        <v>311</v>
      </c>
      <c r="E2487" s="4">
        <v>227030</v>
      </c>
      <c r="G2487" s="12">
        <f t="shared" si="167"/>
        <v>2017</v>
      </c>
      <c r="H2487" s="12">
        <f t="shared" si="168"/>
        <v>10</v>
      </c>
      <c r="I2487" s="11">
        <f t="shared" si="169"/>
        <v>82</v>
      </c>
      <c r="J2487" s="11"/>
    </row>
    <row r="2488" spans="1:10" x14ac:dyDescent="0.25">
      <c r="A2488" s="2">
        <v>43026</v>
      </c>
      <c r="B2488" s="3">
        <v>620</v>
      </c>
      <c r="C2488" s="4">
        <v>182125</v>
      </c>
      <c r="D2488" s="3">
        <v>279</v>
      </c>
      <c r="E2488" s="4">
        <v>203670</v>
      </c>
      <c r="G2488" s="12">
        <f t="shared" si="167"/>
        <v>2017</v>
      </c>
      <c r="H2488" s="12">
        <f t="shared" si="168"/>
        <v>10</v>
      </c>
      <c r="I2488" s="11">
        <f t="shared" si="169"/>
        <v>82</v>
      </c>
      <c r="J2488" s="11"/>
    </row>
    <row r="2489" spans="1:10" x14ac:dyDescent="0.25">
      <c r="A2489" s="2">
        <v>43027</v>
      </c>
      <c r="B2489" s="3">
        <v>601</v>
      </c>
      <c r="C2489" s="4">
        <v>176543.75</v>
      </c>
      <c r="D2489" s="3">
        <v>279</v>
      </c>
      <c r="E2489" s="4">
        <v>203670</v>
      </c>
      <c r="G2489" s="12">
        <f t="shared" si="167"/>
        <v>2017</v>
      </c>
      <c r="H2489" s="12">
        <f t="shared" si="168"/>
        <v>10</v>
      </c>
      <c r="I2489" s="11">
        <f t="shared" si="169"/>
        <v>82</v>
      </c>
      <c r="J2489" s="11"/>
    </row>
    <row r="2490" spans="1:10" x14ac:dyDescent="0.25">
      <c r="A2490" s="2">
        <v>43028</v>
      </c>
      <c r="B2490" s="3">
        <v>519</v>
      </c>
      <c r="C2490" s="4">
        <v>152456.25</v>
      </c>
      <c r="D2490" s="3">
        <v>247</v>
      </c>
      <c r="E2490" s="4">
        <v>180310</v>
      </c>
      <c r="G2490" s="12">
        <f t="shared" si="167"/>
        <v>2017</v>
      </c>
      <c r="H2490" s="12">
        <f t="shared" si="168"/>
        <v>10</v>
      </c>
      <c r="I2490" s="11">
        <f t="shared" si="169"/>
        <v>82</v>
      </c>
      <c r="J2490" s="11"/>
    </row>
    <row r="2491" spans="1:10" x14ac:dyDescent="0.25">
      <c r="A2491" s="2">
        <v>43029</v>
      </c>
      <c r="B2491" s="3">
        <v>562</v>
      </c>
      <c r="C2491" s="4">
        <v>165087.5</v>
      </c>
      <c r="D2491" s="3">
        <v>276</v>
      </c>
      <c r="E2491" s="4">
        <v>201480</v>
      </c>
      <c r="G2491" s="12">
        <f t="shared" si="167"/>
        <v>2017</v>
      </c>
      <c r="H2491" s="12">
        <f t="shared" si="168"/>
        <v>10</v>
      </c>
      <c r="I2491" s="11">
        <f t="shared" si="169"/>
        <v>82</v>
      </c>
      <c r="J2491" s="11"/>
    </row>
    <row r="2492" spans="1:10" x14ac:dyDescent="0.25">
      <c r="A2492" s="2">
        <v>43030</v>
      </c>
      <c r="B2492" s="3">
        <v>593</v>
      </c>
      <c r="C2492" s="4">
        <v>174193.75</v>
      </c>
      <c r="D2492" s="3">
        <v>247</v>
      </c>
      <c r="E2492" s="4">
        <v>180310</v>
      </c>
      <c r="G2492" s="12">
        <f t="shared" si="167"/>
        <v>2017</v>
      </c>
      <c r="H2492" s="12">
        <f t="shared" si="168"/>
        <v>10</v>
      </c>
      <c r="I2492" s="11">
        <f t="shared" si="169"/>
        <v>82</v>
      </c>
      <c r="J2492" s="11"/>
    </row>
    <row r="2493" spans="1:10" x14ac:dyDescent="0.25">
      <c r="A2493" s="2">
        <v>43031</v>
      </c>
      <c r="B2493" s="3">
        <v>587</v>
      </c>
      <c r="C2493" s="4">
        <v>172431.25</v>
      </c>
      <c r="D2493" s="3">
        <v>332</v>
      </c>
      <c r="E2493" s="4">
        <v>242360</v>
      </c>
      <c r="G2493" s="12">
        <f t="shared" si="167"/>
        <v>2017</v>
      </c>
      <c r="H2493" s="12">
        <f t="shared" si="168"/>
        <v>10</v>
      </c>
      <c r="I2493" s="11">
        <f t="shared" si="169"/>
        <v>82</v>
      </c>
      <c r="J2493" s="11"/>
    </row>
    <row r="2494" spans="1:10" x14ac:dyDescent="0.25">
      <c r="A2494" s="2">
        <v>43032</v>
      </c>
      <c r="B2494" s="3">
        <v>635</v>
      </c>
      <c r="C2494" s="4">
        <v>186531.25</v>
      </c>
      <c r="D2494" s="3">
        <v>323</v>
      </c>
      <c r="E2494" s="4">
        <v>235790</v>
      </c>
      <c r="G2494" s="12">
        <f t="shared" si="167"/>
        <v>2017</v>
      </c>
      <c r="H2494" s="12">
        <f t="shared" si="168"/>
        <v>10</v>
      </c>
      <c r="I2494" s="11">
        <f t="shared" si="169"/>
        <v>82</v>
      </c>
      <c r="J2494" s="11"/>
    </row>
    <row r="2495" spans="1:10" x14ac:dyDescent="0.25">
      <c r="A2495" s="2">
        <v>43033</v>
      </c>
      <c r="B2495" s="3">
        <v>733</v>
      </c>
      <c r="C2495" s="4">
        <v>215318.75</v>
      </c>
      <c r="D2495" s="3">
        <v>297</v>
      </c>
      <c r="E2495" s="4">
        <v>216810</v>
      </c>
      <c r="G2495" s="12">
        <f t="shared" si="167"/>
        <v>2017</v>
      </c>
      <c r="H2495" s="12">
        <f t="shared" si="168"/>
        <v>10</v>
      </c>
      <c r="I2495" s="11">
        <f t="shared" si="169"/>
        <v>82</v>
      </c>
      <c r="J2495" s="11"/>
    </row>
    <row r="2496" spans="1:10" x14ac:dyDescent="0.25">
      <c r="A2496" s="2">
        <v>43034</v>
      </c>
      <c r="B2496" s="3">
        <v>778</v>
      </c>
      <c r="C2496" s="4">
        <v>228537.5</v>
      </c>
      <c r="D2496" s="3">
        <v>287</v>
      </c>
      <c r="E2496" s="4">
        <v>209510</v>
      </c>
      <c r="G2496" s="12">
        <f t="shared" si="167"/>
        <v>2017</v>
      </c>
      <c r="H2496" s="12">
        <f t="shared" si="168"/>
        <v>10</v>
      </c>
      <c r="I2496" s="11">
        <f t="shared" si="169"/>
        <v>82</v>
      </c>
      <c r="J2496" s="11"/>
    </row>
    <row r="2497" spans="1:10" x14ac:dyDescent="0.25">
      <c r="A2497" s="2">
        <v>43035</v>
      </c>
      <c r="B2497" s="3">
        <v>584</v>
      </c>
      <c r="C2497" s="4">
        <v>171550</v>
      </c>
      <c r="D2497" s="3">
        <v>277</v>
      </c>
      <c r="E2497" s="4">
        <v>202210</v>
      </c>
      <c r="G2497" s="12">
        <f t="shared" si="167"/>
        <v>2017</v>
      </c>
      <c r="H2497" s="12">
        <f t="shared" si="168"/>
        <v>10</v>
      </c>
      <c r="I2497" s="11">
        <f t="shared" si="169"/>
        <v>82</v>
      </c>
      <c r="J2497" s="11"/>
    </row>
    <row r="2498" spans="1:10" x14ac:dyDescent="0.25">
      <c r="A2498" s="2">
        <v>43036</v>
      </c>
      <c r="B2498" s="3">
        <v>631</v>
      </c>
      <c r="C2498" s="4">
        <v>185356.25</v>
      </c>
      <c r="D2498" s="3">
        <v>277</v>
      </c>
      <c r="E2498" s="4">
        <v>202210</v>
      </c>
      <c r="G2498" s="12">
        <f t="shared" si="167"/>
        <v>2017</v>
      </c>
      <c r="H2498" s="12">
        <f t="shared" si="168"/>
        <v>10</v>
      </c>
      <c r="I2498" s="11">
        <f t="shared" si="169"/>
        <v>82</v>
      </c>
      <c r="J2498" s="11"/>
    </row>
    <row r="2499" spans="1:10" x14ac:dyDescent="0.25">
      <c r="A2499" s="2">
        <v>43037</v>
      </c>
      <c r="B2499" s="3">
        <v>557</v>
      </c>
      <c r="C2499" s="4">
        <v>163618.75</v>
      </c>
      <c r="D2499" s="3">
        <v>297</v>
      </c>
      <c r="E2499" s="4">
        <v>216810</v>
      </c>
      <c r="G2499" s="12">
        <f t="shared" si="167"/>
        <v>2017</v>
      </c>
      <c r="H2499" s="12">
        <f t="shared" si="168"/>
        <v>10</v>
      </c>
      <c r="I2499" s="11">
        <f t="shared" si="169"/>
        <v>82</v>
      </c>
      <c r="J2499" s="11"/>
    </row>
    <row r="2500" spans="1:10" x14ac:dyDescent="0.25">
      <c r="A2500" s="2">
        <v>43038</v>
      </c>
      <c r="B2500" s="3">
        <v>546</v>
      </c>
      <c r="C2500" s="4">
        <v>160387.5</v>
      </c>
      <c r="D2500" s="3">
        <v>310</v>
      </c>
      <c r="E2500" s="4">
        <v>226300</v>
      </c>
      <c r="G2500" s="12">
        <f t="shared" si="167"/>
        <v>2017</v>
      </c>
      <c r="H2500" s="12">
        <f t="shared" si="168"/>
        <v>10</v>
      </c>
      <c r="I2500" s="11">
        <f t="shared" si="169"/>
        <v>82</v>
      </c>
      <c r="J2500" s="11"/>
    </row>
    <row r="2501" spans="1:10" x14ac:dyDescent="0.25">
      <c r="A2501" s="2">
        <v>43039</v>
      </c>
      <c r="B2501" s="3">
        <v>501</v>
      </c>
      <c r="C2501" s="4">
        <v>147168.75</v>
      </c>
      <c r="D2501" s="3">
        <v>281</v>
      </c>
      <c r="E2501" s="4">
        <v>205130</v>
      </c>
      <c r="G2501" s="12">
        <f t="shared" si="167"/>
        <v>2017</v>
      </c>
      <c r="H2501" s="12">
        <f t="shared" si="168"/>
        <v>10</v>
      </c>
      <c r="I2501" s="11">
        <f t="shared" si="169"/>
        <v>82</v>
      </c>
      <c r="J2501" s="11"/>
    </row>
    <row r="2502" spans="1:10" x14ac:dyDescent="0.25">
      <c r="A2502" s="2">
        <v>43040</v>
      </c>
      <c r="B2502" s="3">
        <v>458</v>
      </c>
      <c r="C2502" s="4">
        <v>215260</v>
      </c>
      <c r="D2502" s="3">
        <v>305</v>
      </c>
      <c r="E2502" s="4">
        <v>222650</v>
      </c>
      <c r="G2502" s="12">
        <f t="shared" ref="G2502:G2565" si="170">+YEAR(A2502)</f>
        <v>2017</v>
      </c>
      <c r="H2502" s="12">
        <f t="shared" ref="H2502:H2565" si="171">+MONTH(A2502)</f>
        <v>11</v>
      </c>
      <c r="I2502" s="11">
        <f t="shared" si="169"/>
        <v>83</v>
      </c>
      <c r="J2502" s="11"/>
    </row>
    <row r="2503" spans="1:10" x14ac:dyDescent="0.25">
      <c r="A2503" s="2">
        <v>43041</v>
      </c>
      <c r="B2503" s="3">
        <v>482</v>
      </c>
      <c r="C2503" s="4">
        <v>226540</v>
      </c>
      <c r="D2503" s="3">
        <v>341</v>
      </c>
      <c r="E2503" s="4">
        <v>248930</v>
      </c>
      <c r="G2503" s="12">
        <f t="shared" si="170"/>
        <v>2017</v>
      </c>
      <c r="H2503" s="12">
        <f t="shared" si="171"/>
        <v>11</v>
      </c>
      <c r="I2503" s="11">
        <f t="shared" ref="I2503:I2566" si="172">+H2503+(G2503-2011)*12</f>
        <v>83</v>
      </c>
      <c r="J2503" s="11"/>
    </row>
    <row r="2504" spans="1:10" x14ac:dyDescent="0.25">
      <c r="A2504" s="2">
        <v>43042</v>
      </c>
      <c r="B2504" s="3">
        <v>461</v>
      </c>
      <c r="C2504" s="4">
        <v>216670</v>
      </c>
      <c r="D2504" s="3">
        <v>258</v>
      </c>
      <c r="E2504" s="4">
        <v>188340</v>
      </c>
      <c r="G2504" s="12">
        <f t="shared" si="170"/>
        <v>2017</v>
      </c>
      <c r="H2504" s="12">
        <f t="shared" si="171"/>
        <v>11</v>
      </c>
      <c r="I2504" s="11">
        <f t="shared" si="172"/>
        <v>83</v>
      </c>
      <c r="J2504" s="11"/>
    </row>
    <row r="2505" spans="1:10" x14ac:dyDescent="0.25">
      <c r="A2505" s="2">
        <v>43043</v>
      </c>
      <c r="B2505" s="3">
        <v>437</v>
      </c>
      <c r="C2505" s="4">
        <v>205390</v>
      </c>
      <c r="D2505" s="3">
        <v>348</v>
      </c>
      <c r="E2505" s="4">
        <v>254040</v>
      </c>
      <c r="G2505" s="12">
        <f t="shared" si="170"/>
        <v>2017</v>
      </c>
      <c r="H2505" s="12">
        <f t="shared" si="171"/>
        <v>11</v>
      </c>
      <c r="I2505" s="11">
        <f t="shared" si="172"/>
        <v>83</v>
      </c>
      <c r="J2505" s="11"/>
    </row>
    <row r="2506" spans="1:10" x14ac:dyDescent="0.25">
      <c r="A2506" s="2">
        <v>43044</v>
      </c>
      <c r="B2506" s="3">
        <v>531</v>
      </c>
      <c r="C2506" s="4">
        <v>249570</v>
      </c>
      <c r="D2506" s="3">
        <v>246</v>
      </c>
      <c r="E2506" s="4">
        <v>179580</v>
      </c>
      <c r="G2506" s="12">
        <f t="shared" si="170"/>
        <v>2017</v>
      </c>
      <c r="H2506" s="12">
        <f t="shared" si="171"/>
        <v>11</v>
      </c>
      <c r="I2506" s="11">
        <f t="shared" si="172"/>
        <v>83</v>
      </c>
      <c r="J2506" s="11"/>
    </row>
    <row r="2507" spans="1:10" x14ac:dyDescent="0.25">
      <c r="A2507" s="2">
        <v>43045</v>
      </c>
      <c r="B2507" s="3">
        <v>458</v>
      </c>
      <c r="C2507" s="4">
        <v>215260</v>
      </c>
      <c r="D2507" s="3">
        <v>291</v>
      </c>
      <c r="E2507" s="4">
        <v>212430</v>
      </c>
      <c r="G2507" s="12">
        <f t="shared" si="170"/>
        <v>2017</v>
      </c>
      <c r="H2507" s="12">
        <f t="shared" si="171"/>
        <v>11</v>
      </c>
      <c r="I2507" s="11">
        <f t="shared" si="172"/>
        <v>83</v>
      </c>
      <c r="J2507" s="11"/>
    </row>
    <row r="2508" spans="1:10" x14ac:dyDescent="0.25">
      <c r="A2508" s="2">
        <v>43046</v>
      </c>
      <c r="B2508" s="3">
        <v>419</v>
      </c>
      <c r="C2508" s="4">
        <v>196930</v>
      </c>
      <c r="D2508" s="3">
        <v>285</v>
      </c>
      <c r="E2508" s="4">
        <v>208050</v>
      </c>
      <c r="G2508" s="12">
        <f t="shared" si="170"/>
        <v>2017</v>
      </c>
      <c r="H2508" s="12">
        <f t="shared" si="171"/>
        <v>11</v>
      </c>
      <c r="I2508" s="11">
        <f t="shared" si="172"/>
        <v>83</v>
      </c>
      <c r="J2508" s="11"/>
    </row>
    <row r="2509" spans="1:10" x14ac:dyDescent="0.25">
      <c r="A2509" s="2">
        <v>43047</v>
      </c>
      <c r="B2509" s="3">
        <v>486</v>
      </c>
      <c r="C2509" s="4">
        <v>228420</v>
      </c>
      <c r="D2509" s="3">
        <v>233</v>
      </c>
      <c r="E2509" s="4">
        <v>170090</v>
      </c>
      <c r="G2509" s="12">
        <f t="shared" si="170"/>
        <v>2017</v>
      </c>
      <c r="H2509" s="12">
        <f t="shared" si="171"/>
        <v>11</v>
      </c>
      <c r="I2509" s="11">
        <f t="shared" si="172"/>
        <v>83</v>
      </c>
      <c r="J2509" s="11"/>
    </row>
    <row r="2510" spans="1:10" x14ac:dyDescent="0.25">
      <c r="A2510" s="2">
        <v>43048</v>
      </c>
      <c r="B2510" s="3">
        <v>436</v>
      </c>
      <c r="C2510" s="4">
        <v>204920</v>
      </c>
      <c r="D2510" s="3">
        <v>302</v>
      </c>
      <c r="E2510" s="4">
        <v>220460</v>
      </c>
      <c r="G2510" s="12">
        <f t="shared" si="170"/>
        <v>2017</v>
      </c>
      <c r="H2510" s="12">
        <f t="shared" si="171"/>
        <v>11</v>
      </c>
      <c r="I2510" s="11">
        <f t="shared" si="172"/>
        <v>83</v>
      </c>
      <c r="J2510" s="11"/>
    </row>
    <row r="2511" spans="1:10" x14ac:dyDescent="0.25">
      <c r="A2511" s="2">
        <v>43049</v>
      </c>
      <c r="B2511" s="3">
        <v>414</v>
      </c>
      <c r="C2511" s="4">
        <v>194580</v>
      </c>
      <c r="D2511" s="3">
        <v>313</v>
      </c>
      <c r="E2511" s="4">
        <v>228490</v>
      </c>
      <c r="G2511" s="12">
        <f t="shared" si="170"/>
        <v>2017</v>
      </c>
      <c r="H2511" s="12">
        <f t="shared" si="171"/>
        <v>11</v>
      </c>
      <c r="I2511" s="11">
        <f t="shared" si="172"/>
        <v>83</v>
      </c>
      <c r="J2511" s="11"/>
    </row>
    <row r="2512" spans="1:10" x14ac:dyDescent="0.25">
      <c r="A2512" s="2">
        <v>43050</v>
      </c>
      <c r="B2512" s="3">
        <v>569</v>
      </c>
      <c r="C2512" s="4">
        <v>267430</v>
      </c>
      <c r="D2512" s="3">
        <v>274</v>
      </c>
      <c r="E2512" s="4">
        <v>200020</v>
      </c>
      <c r="G2512" s="12">
        <f t="shared" si="170"/>
        <v>2017</v>
      </c>
      <c r="H2512" s="12">
        <f t="shared" si="171"/>
        <v>11</v>
      </c>
      <c r="I2512" s="11">
        <f t="shared" si="172"/>
        <v>83</v>
      </c>
      <c r="J2512" s="11"/>
    </row>
    <row r="2513" spans="1:10" x14ac:dyDescent="0.25">
      <c r="A2513" s="2">
        <v>43051</v>
      </c>
      <c r="B2513" s="3">
        <v>523</v>
      </c>
      <c r="C2513" s="4">
        <v>245810</v>
      </c>
      <c r="D2513" s="3">
        <v>280</v>
      </c>
      <c r="E2513" s="4">
        <v>204400</v>
      </c>
      <c r="G2513" s="12">
        <f t="shared" si="170"/>
        <v>2017</v>
      </c>
      <c r="H2513" s="12">
        <f t="shared" si="171"/>
        <v>11</v>
      </c>
      <c r="I2513" s="11">
        <f t="shared" si="172"/>
        <v>83</v>
      </c>
      <c r="J2513" s="11"/>
    </row>
    <row r="2514" spans="1:10" x14ac:dyDescent="0.25">
      <c r="A2514" s="2">
        <v>43052</v>
      </c>
      <c r="B2514" s="3">
        <v>459</v>
      </c>
      <c r="C2514" s="4">
        <v>215730</v>
      </c>
      <c r="D2514" s="3">
        <v>359</v>
      </c>
      <c r="E2514" s="4">
        <v>262070</v>
      </c>
      <c r="G2514" s="12">
        <f t="shared" si="170"/>
        <v>2017</v>
      </c>
      <c r="H2514" s="12">
        <f t="shared" si="171"/>
        <v>11</v>
      </c>
      <c r="I2514" s="11">
        <f t="shared" si="172"/>
        <v>83</v>
      </c>
      <c r="J2514" s="11"/>
    </row>
    <row r="2515" spans="1:10" x14ac:dyDescent="0.25">
      <c r="A2515" s="2">
        <v>43053</v>
      </c>
      <c r="B2515" s="3">
        <v>441</v>
      </c>
      <c r="C2515" s="4">
        <v>207270</v>
      </c>
      <c r="D2515" s="3">
        <v>316</v>
      </c>
      <c r="E2515" s="4">
        <v>230680</v>
      </c>
      <c r="G2515" s="12">
        <f t="shared" si="170"/>
        <v>2017</v>
      </c>
      <c r="H2515" s="12">
        <f t="shared" si="171"/>
        <v>11</v>
      </c>
      <c r="I2515" s="11">
        <f t="shared" si="172"/>
        <v>83</v>
      </c>
      <c r="J2515" s="11"/>
    </row>
    <row r="2516" spans="1:10" x14ac:dyDescent="0.25">
      <c r="A2516" s="2">
        <v>43054</v>
      </c>
      <c r="B2516" s="3">
        <v>431</v>
      </c>
      <c r="C2516" s="4">
        <v>202570</v>
      </c>
      <c r="D2516" s="3">
        <v>311</v>
      </c>
      <c r="E2516" s="4">
        <v>227030</v>
      </c>
      <c r="G2516" s="12">
        <f t="shared" si="170"/>
        <v>2017</v>
      </c>
      <c r="H2516" s="12">
        <f t="shared" si="171"/>
        <v>11</v>
      </c>
      <c r="I2516" s="11">
        <f t="shared" si="172"/>
        <v>83</v>
      </c>
      <c r="J2516" s="11"/>
    </row>
    <row r="2517" spans="1:10" x14ac:dyDescent="0.25">
      <c r="A2517" s="2">
        <v>43055</v>
      </c>
      <c r="B2517" s="3">
        <v>532</v>
      </c>
      <c r="C2517" s="4">
        <v>250040</v>
      </c>
      <c r="D2517" s="3">
        <v>281</v>
      </c>
      <c r="E2517" s="4">
        <v>205130</v>
      </c>
      <c r="G2517" s="12">
        <f t="shared" si="170"/>
        <v>2017</v>
      </c>
      <c r="H2517" s="12">
        <f t="shared" si="171"/>
        <v>11</v>
      </c>
      <c r="I2517" s="11">
        <f t="shared" si="172"/>
        <v>83</v>
      </c>
      <c r="J2517" s="11"/>
    </row>
    <row r="2518" spans="1:10" x14ac:dyDescent="0.25">
      <c r="A2518" s="2">
        <v>43056</v>
      </c>
      <c r="B2518" s="3">
        <v>431</v>
      </c>
      <c r="C2518" s="4">
        <v>202570</v>
      </c>
      <c r="D2518" s="3">
        <v>299</v>
      </c>
      <c r="E2518" s="4">
        <v>218270</v>
      </c>
      <c r="G2518" s="12">
        <f t="shared" si="170"/>
        <v>2017</v>
      </c>
      <c r="H2518" s="12">
        <f t="shared" si="171"/>
        <v>11</v>
      </c>
      <c r="I2518" s="11">
        <f t="shared" si="172"/>
        <v>83</v>
      </c>
      <c r="J2518" s="11"/>
    </row>
    <row r="2519" spans="1:10" x14ac:dyDescent="0.25">
      <c r="A2519" s="2">
        <v>43057</v>
      </c>
      <c r="B2519" s="3">
        <v>378</v>
      </c>
      <c r="C2519" s="4">
        <v>177660</v>
      </c>
      <c r="D2519" s="3">
        <v>345</v>
      </c>
      <c r="E2519" s="4">
        <v>251850</v>
      </c>
      <c r="G2519" s="12">
        <f t="shared" si="170"/>
        <v>2017</v>
      </c>
      <c r="H2519" s="12">
        <f t="shared" si="171"/>
        <v>11</v>
      </c>
      <c r="I2519" s="11">
        <f t="shared" si="172"/>
        <v>83</v>
      </c>
      <c r="J2519" s="11"/>
    </row>
    <row r="2520" spans="1:10" x14ac:dyDescent="0.25">
      <c r="A2520" s="2">
        <v>43058</v>
      </c>
      <c r="B2520" s="3">
        <v>463</v>
      </c>
      <c r="C2520" s="4">
        <v>217610</v>
      </c>
      <c r="D2520" s="3">
        <v>271</v>
      </c>
      <c r="E2520" s="4">
        <v>197830</v>
      </c>
      <c r="G2520" s="12">
        <f t="shared" si="170"/>
        <v>2017</v>
      </c>
      <c r="H2520" s="12">
        <f t="shared" si="171"/>
        <v>11</v>
      </c>
      <c r="I2520" s="11">
        <f t="shared" si="172"/>
        <v>83</v>
      </c>
      <c r="J2520" s="11"/>
    </row>
    <row r="2521" spans="1:10" x14ac:dyDescent="0.25">
      <c r="A2521" s="2">
        <v>43059</v>
      </c>
      <c r="B2521" s="3">
        <v>457</v>
      </c>
      <c r="C2521" s="4">
        <v>214790</v>
      </c>
      <c r="D2521" s="3">
        <v>316</v>
      </c>
      <c r="E2521" s="4">
        <v>230680</v>
      </c>
      <c r="G2521" s="12">
        <f t="shared" si="170"/>
        <v>2017</v>
      </c>
      <c r="H2521" s="12">
        <f t="shared" si="171"/>
        <v>11</v>
      </c>
      <c r="I2521" s="11">
        <f t="shared" si="172"/>
        <v>83</v>
      </c>
      <c r="J2521" s="11"/>
    </row>
    <row r="2522" spans="1:10" x14ac:dyDescent="0.25">
      <c r="A2522" s="2">
        <v>43060</v>
      </c>
      <c r="B2522" s="3">
        <v>477</v>
      </c>
      <c r="C2522" s="4">
        <v>224190</v>
      </c>
      <c r="D2522" s="3">
        <v>287</v>
      </c>
      <c r="E2522" s="4">
        <v>209510</v>
      </c>
      <c r="G2522" s="12">
        <f t="shared" si="170"/>
        <v>2017</v>
      </c>
      <c r="H2522" s="12">
        <f t="shared" si="171"/>
        <v>11</v>
      </c>
      <c r="I2522" s="11">
        <f t="shared" si="172"/>
        <v>83</v>
      </c>
      <c r="J2522" s="11"/>
    </row>
    <row r="2523" spans="1:10" x14ac:dyDescent="0.25">
      <c r="A2523" s="2">
        <v>43061</v>
      </c>
      <c r="B2523" s="3">
        <v>490</v>
      </c>
      <c r="C2523" s="4">
        <v>230300</v>
      </c>
      <c r="D2523" s="3">
        <v>276</v>
      </c>
      <c r="E2523" s="4">
        <v>201480</v>
      </c>
      <c r="G2523" s="12">
        <f t="shared" si="170"/>
        <v>2017</v>
      </c>
      <c r="H2523" s="12">
        <f t="shared" si="171"/>
        <v>11</v>
      </c>
      <c r="I2523" s="11">
        <f t="shared" si="172"/>
        <v>83</v>
      </c>
      <c r="J2523" s="11"/>
    </row>
    <row r="2524" spans="1:10" x14ac:dyDescent="0.25">
      <c r="A2524" s="2">
        <v>43062</v>
      </c>
      <c r="B2524" s="3">
        <v>485</v>
      </c>
      <c r="C2524" s="4">
        <v>227950</v>
      </c>
      <c r="D2524" s="3">
        <v>335</v>
      </c>
      <c r="E2524" s="4">
        <v>244550</v>
      </c>
      <c r="G2524" s="12">
        <f t="shared" si="170"/>
        <v>2017</v>
      </c>
      <c r="H2524" s="12">
        <f t="shared" si="171"/>
        <v>11</v>
      </c>
      <c r="I2524" s="11">
        <f t="shared" si="172"/>
        <v>83</v>
      </c>
      <c r="J2524" s="11"/>
    </row>
    <row r="2525" spans="1:10" x14ac:dyDescent="0.25">
      <c r="A2525" s="2">
        <v>43063</v>
      </c>
      <c r="B2525" s="3">
        <v>498</v>
      </c>
      <c r="C2525" s="4">
        <v>234060</v>
      </c>
      <c r="D2525" s="3">
        <v>320</v>
      </c>
      <c r="E2525" s="4">
        <v>233600</v>
      </c>
      <c r="G2525" s="12">
        <f t="shared" si="170"/>
        <v>2017</v>
      </c>
      <c r="H2525" s="12">
        <f t="shared" si="171"/>
        <v>11</v>
      </c>
      <c r="I2525" s="11">
        <f t="shared" si="172"/>
        <v>83</v>
      </c>
      <c r="J2525" s="11"/>
    </row>
    <row r="2526" spans="1:10" x14ac:dyDescent="0.25">
      <c r="A2526" s="2">
        <v>43064</v>
      </c>
      <c r="B2526" s="3">
        <v>443</v>
      </c>
      <c r="C2526" s="4">
        <v>208210</v>
      </c>
      <c r="D2526" s="3">
        <v>340</v>
      </c>
      <c r="E2526" s="4">
        <v>248200</v>
      </c>
      <c r="G2526" s="12">
        <f t="shared" si="170"/>
        <v>2017</v>
      </c>
      <c r="H2526" s="12">
        <f t="shared" si="171"/>
        <v>11</v>
      </c>
      <c r="I2526" s="11">
        <f t="shared" si="172"/>
        <v>83</v>
      </c>
      <c r="J2526" s="11"/>
    </row>
    <row r="2527" spans="1:10" x14ac:dyDescent="0.25">
      <c r="A2527" s="2">
        <v>43065</v>
      </c>
      <c r="B2527" s="3">
        <v>446</v>
      </c>
      <c r="C2527" s="4">
        <v>209620</v>
      </c>
      <c r="D2527" s="3">
        <v>330</v>
      </c>
      <c r="E2527" s="4">
        <v>240900</v>
      </c>
      <c r="G2527" s="12">
        <f t="shared" si="170"/>
        <v>2017</v>
      </c>
      <c r="H2527" s="12">
        <f t="shared" si="171"/>
        <v>11</v>
      </c>
      <c r="I2527" s="11">
        <f t="shared" si="172"/>
        <v>83</v>
      </c>
      <c r="J2527" s="11"/>
    </row>
    <row r="2528" spans="1:10" x14ac:dyDescent="0.25">
      <c r="A2528" s="2">
        <v>43066</v>
      </c>
      <c r="B2528" s="3">
        <v>605</v>
      </c>
      <c r="C2528" s="4">
        <v>284350</v>
      </c>
      <c r="D2528" s="3">
        <v>250</v>
      </c>
      <c r="E2528" s="4">
        <v>182500</v>
      </c>
      <c r="G2528" s="12">
        <f t="shared" si="170"/>
        <v>2017</v>
      </c>
      <c r="H2528" s="12">
        <f t="shared" si="171"/>
        <v>11</v>
      </c>
      <c r="I2528" s="11">
        <f t="shared" si="172"/>
        <v>83</v>
      </c>
      <c r="J2528" s="11"/>
    </row>
    <row r="2529" spans="1:10" x14ac:dyDescent="0.25">
      <c r="A2529" s="2">
        <v>43067</v>
      </c>
      <c r="B2529" s="3">
        <v>524</v>
      </c>
      <c r="C2529" s="4">
        <v>246280</v>
      </c>
      <c r="D2529" s="3">
        <v>257</v>
      </c>
      <c r="E2529" s="4">
        <v>187610</v>
      </c>
      <c r="G2529" s="12">
        <f t="shared" si="170"/>
        <v>2017</v>
      </c>
      <c r="H2529" s="12">
        <f t="shared" si="171"/>
        <v>11</v>
      </c>
      <c r="I2529" s="11">
        <f t="shared" si="172"/>
        <v>83</v>
      </c>
      <c r="J2529" s="11"/>
    </row>
    <row r="2530" spans="1:10" x14ac:dyDescent="0.25">
      <c r="A2530" s="2">
        <v>43068</v>
      </c>
      <c r="B2530" s="3">
        <v>499</v>
      </c>
      <c r="C2530" s="4">
        <v>234530</v>
      </c>
      <c r="D2530" s="3">
        <v>271</v>
      </c>
      <c r="E2530" s="4">
        <v>197830</v>
      </c>
      <c r="G2530" s="12">
        <f t="shared" si="170"/>
        <v>2017</v>
      </c>
      <c r="H2530" s="12">
        <f t="shared" si="171"/>
        <v>11</v>
      </c>
      <c r="I2530" s="11">
        <f t="shared" si="172"/>
        <v>83</v>
      </c>
      <c r="J2530" s="11"/>
    </row>
    <row r="2531" spans="1:10" x14ac:dyDescent="0.25">
      <c r="A2531" s="2">
        <v>43069</v>
      </c>
      <c r="B2531" s="3">
        <v>557</v>
      </c>
      <c r="C2531" s="4">
        <v>261790</v>
      </c>
      <c r="D2531" s="3">
        <v>290</v>
      </c>
      <c r="E2531" s="4">
        <v>211700</v>
      </c>
      <c r="G2531" s="12">
        <f t="shared" si="170"/>
        <v>2017</v>
      </c>
      <c r="H2531" s="12">
        <f t="shared" si="171"/>
        <v>11</v>
      </c>
      <c r="I2531" s="11">
        <f t="shared" si="172"/>
        <v>83</v>
      </c>
      <c r="J2531" s="11"/>
    </row>
    <row r="2532" spans="1:10" x14ac:dyDescent="0.25">
      <c r="A2532" s="2">
        <v>43070</v>
      </c>
      <c r="B2532" s="3">
        <v>504</v>
      </c>
      <c r="C2532" s="4">
        <v>236880</v>
      </c>
      <c r="D2532" s="3">
        <v>299</v>
      </c>
      <c r="E2532" s="4">
        <v>218270</v>
      </c>
      <c r="G2532" s="12">
        <f t="shared" si="170"/>
        <v>2017</v>
      </c>
      <c r="H2532" s="12">
        <f t="shared" si="171"/>
        <v>12</v>
      </c>
      <c r="I2532" s="11">
        <f t="shared" si="172"/>
        <v>84</v>
      </c>
      <c r="J2532" s="11"/>
    </row>
    <row r="2533" spans="1:10" x14ac:dyDescent="0.25">
      <c r="A2533" s="2">
        <v>43071</v>
      </c>
      <c r="B2533" s="3">
        <v>434</v>
      </c>
      <c r="C2533" s="4">
        <v>203980</v>
      </c>
      <c r="D2533" s="3">
        <v>316</v>
      </c>
      <c r="E2533" s="4">
        <v>230680</v>
      </c>
      <c r="G2533" s="12">
        <f t="shared" si="170"/>
        <v>2017</v>
      </c>
      <c r="H2533" s="12">
        <f t="shared" si="171"/>
        <v>12</v>
      </c>
      <c r="I2533" s="11">
        <f t="shared" si="172"/>
        <v>84</v>
      </c>
      <c r="J2533" s="11"/>
    </row>
    <row r="2534" spans="1:10" x14ac:dyDescent="0.25">
      <c r="A2534" s="2">
        <v>43072</v>
      </c>
      <c r="B2534" s="3">
        <v>489</v>
      </c>
      <c r="C2534" s="4">
        <v>229830</v>
      </c>
      <c r="D2534" s="3">
        <v>263</v>
      </c>
      <c r="E2534" s="4">
        <v>191990</v>
      </c>
      <c r="G2534" s="12">
        <f t="shared" si="170"/>
        <v>2017</v>
      </c>
      <c r="H2534" s="12">
        <f t="shared" si="171"/>
        <v>12</v>
      </c>
      <c r="I2534" s="11">
        <f t="shared" si="172"/>
        <v>84</v>
      </c>
      <c r="J2534" s="11"/>
    </row>
    <row r="2535" spans="1:10" x14ac:dyDescent="0.25">
      <c r="A2535" s="2">
        <v>43073</v>
      </c>
      <c r="B2535" s="3">
        <v>507</v>
      </c>
      <c r="C2535" s="4">
        <v>238290</v>
      </c>
      <c r="D2535" s="3">
        <v>261</v>
      </c>
      <c r="E2535" s="4">
        <v>190530</v>
      </c>
      <c r="G2535" s="12">
        <f t="shared" si="170"/>
        <v>2017</v>
      </c>
      <c r="H2535" s="12">
        <f t="shared" si="171"/>
        <v>12</v>
      </c>
      <c r="I2535" s="11">
        <f t="shared" si="172"/>
        <v>84</v>
      </c>
      <c r="J2535" s="11"/>
    </row>
    <row r="2536" spans="1:10" x14ac:dyDescent="0.25">
      <c r="A2536" s="2">
        <v>43074</v>
      </c>
      <c r="B2536" s="3">
        <v>496</v>
      </c>
      <c r="C2536" s="4">
        <v>233120</v>
      </c>
      <c r="D2536" s="3">
        <v>258</v>
      </c>
      <c r="E2536" s="4">
        <v>188340</v>
      </c>
      <c r="G2536" s="12">
        <f t="shared" si="170"/>
        <v>2017</v>
      </c>
      <c r="H2536" s="12">
        <f t="shared" si="171"/>
        <v>12</v>
      </c>
      <c r="I2536" s="11">
        <f t="shared" si="172"/>
        <v>84</v>
      </c>
      <c r="J2536" s="11"/>
    </row>
    <row r="2537" spans="1:10" x14ac:dyDescent="0.25">
      <c r="A2537" s="2">
        <v>43075</v>
      </c>
      <c r="B2537" s="3">
        <v>455</v>
      </c>
      <c r="C2537" s="4">
        <v>213850</v>
      </c>
      <c r="D2537" s="3">
        <v>319</v>
      </c>
      <c r="E2537" s="4">
        <v>232870</v>
      </c>
      <c r="G2537" s="12">
        <f t="shared" si="170"/>
        <v>2017</v>
      </c>
      <c r="H2537" s="12">
        <f t="shared" si="171"/>
        <v>12</v>
      </c>
      <c r="I2537" s="11">
        <f t="shared" si="172"/>
        <v>84</v>
      </c>
      <c r="J2537" s="11"/>
    </row>
    <row r="2538" spans="1:10" x14ac:dyDescent="0.25">
      <c r="A2538" s="2">
        <v>43076</v>
      </c>
      <c r="B2538" s="3">
        <v>479</v>
      </c>
      <c r="C2538" s="4">
        <v>225130</v>
      </c>
      <c r="D2538" s="3">
        <v>329</v>
      </c>
      <c r="E2538" s="4">
        <v>240170</v>
      </c>
      <c r="G2538" s="12">
        <f t="shared" si="170"/>
        <v>2017</v>
      </c>
      <c r="H2538" s="12">
        <f t="shared" si="171"/>
        <v>12</v>
      </c>
      <c r="I2538" s="11">
        <f t="shared" si="172"/>
        <v>84</v>
      </c>
      <c r="J2538" s="11"/>
    </row>
    <row r="2539" spans="1:10" x14ac:dyDescent="0.25">
      <c r="A2539" s="2">
        <v>43077</v>
      </c>
      <c r="B2539" s="3">
        <v>464</v>
      </c>
      <c r="C2539" s="4">
        <v>218080</v>
      </c>
      <c r="D2539" s="3">
        <v>216</v>
      </c>
      <c r="E2539" s="4">
        <v>157680</v>
      </c>
      <c r="G2539" s="12">
        <f t="shared" si="170"/>
        <v>2017</v>
      </c>
      <c r="H2539" s="12">
        <f t="shared" si="171"/>
        <v>12</v>
      </c>
      <c r="I2539" s="11">
        <f t="shared" si="172"/>
        <v>84</v>
      </c>
      <c r="J2539" s="11"/>
    </row>
    <row r="2540" spans="1:10" x14ac:dyDescent="0.25">
      <c r="A2540" s="2">
        <v>43078</v>
      </c>
      <c r="B2540" s="3">
        <v>502</v>
      </c>
      <c r="C2540" s="4">
        <v>235940</v>
      </c>
      <c r="D2540" s="3">
        <v>300</v>
      </c>
      <c r="E2540" s="4">
        <v>219000</v>
      </c>
      <c r="G2540" s="12">
        <f t="shared" si="170"/>
        <v>2017</v>
      </c>
      <c r="H2540" s="12">
        <f t="shared" si="171"/>
        <v>12</v>
      </c>
      <c r="I2540" s="11">
        <f t="shared" si="172"/>
        <v>84</v>
      </c>
      <c r="J2540" s="11"/>
    </row>
    <row r="2541" spans="1:10" x14ac:dyDescent="0.25">
      <c r="A2541" s="2">
        <v>43079</v>
      </c>
      <c r="B2541" s="3">
        <v>433</v>
      </c>
      <c r="C2541" s="4">
        <v>203510</v>
      </c>
      <c r="D2541" s="3">
        <v>303</v>
      </c>
      <c r="E2541" s="4">
        <v>221190</v>
      </c>
      <c r="G2541" s="12">
        <f t="shared" si="170"/>
        <v>2017</v>
      </c>
      <c r="H2541" s="12">
        <f t="shared" si="171"/>
        <v>12</v>
      </c>
      <c r="I2541" s="11">
        <f t="shared" si="172"/>
        <v>84</v>
      </c>
      <c r="J2541" s="11"/>
    </row>
    <row r="2542" spans="1:10" x14ac:dyDescent="0.25">
      <c r="A2542" s="2">
        <v>43080</v>
      </c>
      <c r="B2542" s="3">
        <v>412</v>
      </c>
      <c r="C2542" s="4">
        <v>193640</v>
      </c>
      <c r="D2542" s="3">
        <v>340</v>
      </c>
      <c r="E2542" s="4">
        <v>248200</v>
      </c>
      <c r="G2542" s="12">
        <f t="shared" si="170"/>
        <v>2017</v>
      </c>
      <c r="H2542" s="12">
        <f t="shared" si="171"/>
        <v>12</v>
      </c>
      <c r="I2542" s="11">
        <f t="shared" si="172"/>
        <v>84</v>
      </c>
      <c r="J2542" s="11"/>
    </row>
    <row r="2543" spans="1:10" x14ac:dyDescent="0.25">
      <c r="A2543" s="2">
        <v>43081</v>
      </c>
      <c r="B2543" s="3">
        <v>407</v>
      </c>
      <c r="C2543" s="4">
        <v>191290</v>
      </c>
      <c r="D2543" s="3">
        <v>323</v>
      </c>
      <c r="E2543" s="4">
        <v>235790</v>
      </c>
      <c r="G2543" s="12">
        <f t="shared" si="170"/>
        <v>2017</v>
      </c>
      <c r="H2543" s="12">
        <f t="shared" si="171"/>
        <v>12</v>
      </c>
      <c r="I2543" s="11">
        <f t="shared" si="172"/>
        <v>84</v>
      </c>
      <c r="J2543" s="11"/>
    </row>
    <row r="2544" spans="1:10" x14ac:dyDescent="0.25">
      <c r="A2544" s="2">
        <v>43082</v>
      </c>
      <c r="B2544" s="3">
        <v>554</v>
      </c>
      <c r="C2544" s="4">
        <v>260380</v>
      </c>
      <c r="D2544" s="3">
        <v>343</v>
      </c>
      <c r="E2544" s="4">
        <v>250390</v>
      </c>
      <c r="G2544" s="12">
        <f t="shared" si="170"/>
        <v>2017</v>
      </c>
      <c r="H2544" s="12">
        <f t="shared" si="171"/>
        <v>12</v>
      </c>
      <c r="I2544" s="11">
        <f t="shared" si="172"/>
        <v>84</v>
      </c>
      <c r="J2544" s="11"/>
    </row>
    <row r="2545" spans="1:10" x14ac:dyDescent="0.25">
      <c r="A2545" s="2">
        <v>43083</v>
      </c>
      <c r="B2545" s="3">
        <v>462</v>
      </c>
      <c r="C2545" s="4">
        <v>217140</v>
      </c>
      <c r="D2545" s="3">
        <v>304</v>
      </c>
      <c r="E2545" s="4">
        <v>221920</v>
      </c>
      <c r="G2545" s="12">
        <f t="shared" si="170"/>
        <v>2017</v>
      </c>
      <c r="H2545" s="12">
        <f t="shared" si="171"/>
        <v>12</v>
      </c>
      <c r="I2545" s="11">
        <f t="shared" si="172"/>
        <v>84</v>
      </c>
      <c r="J2545" s="11"/>
    </row>
    <row r="2546" spans="1:10" x14ac:dyDescent="0.25">
      <c r="A2546" s="2">
        <v>43084</v>
      </c>
      <c r="B2546" s="3">
        <v>435</v>
      </c>
      <c r="C2546" s="4">
        <v>204450</v>
      </c>
      <c r="D2546" s="3">
        <v>324</v>
      </c>
      <c r="E2546" s="4">
        <v>236520</v>
      </c>
      <c r="G2546" s="12">
        <f t="shared" si="170"/>
        <v>2017</v>
      </c>
      <c r="H2546" s="12">
        <f t="shared" si="171"/>
        <v>12</v>
      </c>
      <c r="I2546" s="11">
        <f t="shared" si="172"/>
        <v>84</v>
      </c>
      <c r="J2546" s="11"/>
    </row>
    <row r="2547" spans="1:10" x14ac:dyDescent="0.25">
      <c r="A2547" s="2">
        <v>43085</v>
      </c>
      <c r="B2547" s="3">
        <v>489</v>
      </c>
      <c r="C2547" s="4">
        <v>229830</v>
      </c>
      <c r="D2547" s="3">
        <v>313</v>
      </c>
      <c r="E2547" s="4">
        <v>228490</v>
      </c>
      <c r="G2547" s="12">
        <f t="shared" si="170"/>
        <v>2017</v>
      </c>
      <c r="H2547" s="12">
        <f t="shared" si="171"/>
        <v>12</v>
      </c>
      <c r="I2547" s="11">
        <f t="shared" si="172"/>
        <v>84</v>
      </c>
      <c r="J2547" s="11"/>
    </row>
    <row r="2548" spans="1:10" x14ac:dyDescent="0.25">
      <c r="A2548" s="2">
        <v>43086</v>
      </c>
      <c r="B2548" s="3">
        <v>505</v>
      </c>
      <c r="C2548" s="4">
        <v>237350</v>
      </c>
      <c r="D2548" s="3">
        <v>229</v>
      </c>
      <c r="E2548" s="4">
        <v>167170</v>
      </c>
      <c r="G2548" s="12">
        <f t="shared" si="170"/>
        <v>2017</v>
      </c>
      <c r="H2548" s="12">
        <f t="shared" si="171"/>
        <v>12</v>
      </c>
      <c r="I2548" s="11">
        <f t="shared" si="172"/>
        <v>84</v>
      </c>
      <c r="J2548" s="11"/>
    </row>
    <row r="2549" spans="1:10" x14ac:dyDescent="0.25">
      <c r="A2549" s="2">
        <v>43087</v>
      </c>
      <c r="B2549" s="3">
        <v>504</v>
      </c>
      <c r="C2549" s="4">
        <v>236880</v>
      </c>
      <c r="D2549" s="3">
        <v>324</v>
      </c>
      <c r="E2549" s="4">
        <v>236520</v>
      </c>
      <c r="G2549" s="12">
        <f t="shared" si="170"/>
        <v>2017</v>
      </c>
      <c r="H2549" s="12">
        <f t="shared" si="171"/>
        <v>12</v>
      </c>
      <c r="I2549" s="11">
        <f t="shared" si="172"/>
        <v>84</v>
      </c>
      <c r="J2549" s="11"/>
    </row>
    <row r="2550" spans="1:10" x14ac:dyDescent="0.25">
      <c r="A2550" s="2">
        <v>43088</v>
      </c>
      <c r="B2550" s="3">
        <v>493</v>
      </c>
      <c r="C2550" s="4">
        <v>231710</v>
      </c>
      <c r="D2550" s="3">
        <v>365</v>
      </c>
      <c r="E2550" s="4">
        <v>266450</v>
      </c>
      <c r="G2550" s="12">
        <f t="shared" si="170"/>
        <v>2017</v>
      </c>
      <c r="H2550" s="12">
        <f t="shared" si="171"/>
        <v>12</v>
      </c>
      <c r="I2550" s="11">
        <f t="shared" si="172"/>
        <v>84</v>
      </c>
      <c r="J2550" s="11"/>
    </row>
    <row r="2551" spans="1:10" x14ac:dyDescent="0.25">
      <c r="A2551" s="2">
        <v>43089</v>
      </c>
      <c r="B2551" s="3">
        <v>537</v>
      </c>
      <c r="C2551" s="4">
        <v>252390</v>
      </c>
      <c r="D2551" s="3">
        <v>315</v>
      </c>
      <c r="E2551" s="4">
        <v>229950</v>
      </c>
      <c r="G2551" s="12">
        <f t="shared" si="170"/>
        <v>2017</v>
      </c>
      <c r="H2551" s="12">
        <f t="shared" si="171"/>
        <v>12</v>
      </c>
      <c r="I2551" s="11">
        <f t="shared" si="172"/>
        <v>84</v>
      </c>
      <c r="J2551" s="11"/>
    </row>
    <row r="2552" spans="1:10" x14ac:dyDescent="0.25">
      <c r="A2552" s="2">
        <v>43090</v>
      </c>
      <c r="B2552" s="3">
        <v>410</v>
      </c>
      <c r="C2552" s="4">
        <v>192700</v>
      </c>
      <c r="D2552" s="3">
        <v>360</v>
      </c>
      <c r="E2552" s="4">
        <v>262800</v>
      </c>
      <c r="G2552" s="12">
        <f t="shared" si="170"/>
        <v>2017</v>
      </c>
      <c r="H2552" s="12">
        <f t="shared" si="171"/>
        <v>12</v>
      </c>
      <c r="I2552" s="11">
        <f t="shared" si="172"/>
        <v>84</v>
      </c>
      <c r="J2552" s="11"/>
    </row>
    <row r="2553" spans="1:10" x14ac:dyDescent="0.25">
      <c r="A2553" s="2">
        <v>43091</v>
      </c>
      <c r="B2553" s="3">
        <v>559</v>
      </c>
      <c r="C2553" s="4">
        <v>262730</v>
      </c>
      <c r="D2553" s="3">
        <v>328</v>
      </c>
      <c r="E2553" s="4">
        <v>239440</v>
      </c>
      <c r="G2553" s="12">
        <f t="shared" si="170"/>
        <v>2017</v>
      </c>
      <c r="H2553" s="12">
        <f t="shared" si="171"/>
        <v>12</v>
      </c>
      <c r="I2553" s="11">
        <f t="shared" si="172"/>
        <v>84</v>
      </c>
      <c r="J2553" s="11"/>
    </row>
    <row r="2554" spans="1:10" x14ac:dyDescent="0.25">
      <c r="A2554" s="2">
        <v>43092</v>
      </c>
      <c r="B2554" s="3">
        <v>515</v>
      </c>
      <c r="C2554" s="4">
        <v>242050</v>
      </c>
      <c r="D2554" s="3">
        <v>284</v>
      </c>
      <c r="E2554" s="4">
        <v>207320</v>
      </c>
      <c r="G2554" s="12">
        <f t="shared" si="170"/>
        <v>2017</v>
      </c>
      <c r="H2554" s="12">
        <f t="shared" si="171"/>
        <v>12</v>
      </c>
      <c r="I2554" s="11">
        <f t="shared" si="172"/>
        <v>84</v>
      </c>
      <c r="J2554" s="11"/>
    </row>
    <row r="2555" spans="1:10" x14ac:dyDescent="0.25">
      <c r="A2555" s="2">
        <v>43093</v>
      </c>
      <c r="B2555" s="3">
        <v>535</v>
      </c>
      <c r="C2555" s="4">
        <v>251450</v>
      </c>
      <c r="D2555" s="3">
        <v>287</v>
      </c>
      <c r="E2555" s="4">
        <v>209510</v>
      </c>
      <c r="G2555" s="12">
        <f t="shared" si="170"/>
        <v>2017</v>
      </c>
      <c r="H2555" s="12">
        <f t="shared" si="171"/>
        <v>12</v>
      </c>
      <c r="I2555" s="11">
        <f t="shared" si="172"/>
        <v>84</v>
      </c>
      <c r="J2555" s="11"/>
    </row>
    <row r="2556" spans="1:10" x14ac:dyDescent="0.25">
      <c r="A2556" s="2">
        <v>43094</v>
      </c>
      <c r="B2556" s="3">
        <v>472</v>
      </c>
      <c r="C2556" s="4">
        <v>221840</v>
      </c>
      <c r="D2556" s="3">
        <v>303</v>
      </c>
      <c r="E2556" s="4">
        <v>221190</v>
      </c>
      <c r="G2556" s="12">
        <f t="shared" si="170"/>
        <v>2017</v>
      </c>
      <c r="H2556" s="12">
        <f t="shared" si="171"/>
        <v>12</v>
      </c>
      <c r="I2556" s="11">
        <f t="shared" si="172"/>
        <v>84</v>
      </c>
      <c r="J2556" s="11"/>
    </row>
    <row r="2557" spans="1:10" x14ac:dyDescent="0.25">
      <c r="A2557" s="2">
        <v>43095</v>
      </c>
      <c r="B2557" s="3">
        <v>547</v>
      </c>
      <c r="C2557" s="4">
        <v>257090</v>
      </c>
      <c r="D2557" s="3">
        <v>296</v>
      </c>
      <c r="E2557" s="4">
        <v>216080</v>
      </c>
      <c r="G2557" s="12">
        <f t="shared" si="170"/>
        <v>2017</v>
      </c>
      <c r="H2557" s="12">
        <f t="shared" si="171"/>
        <v>12</v>
      </c>
      <c r="I2557" s="11">
        <f t="shared" si="172"/>
        <v>84</v>
      </c>
      <c r="J2557" s="11"/>
    </row>
    <row r="2558" spans="1:10" x14ac:dyDescent="0.25">
      <c r="A2558" s="2">
        <v>43096</v>
      </c>
      <c r="B2558" s="3">
        <v>440</v>
      </c>
      <c r="C2558" s="4">
        <v>206800</v>
      </c>
      <c r="D2558" s="3">
        <v>329</v>
      </c>
      <c r="E2558" s="4">
        <v>240170</v>
      </c>
      <c r="G2558" s="12">
        <f t="shared" si="170"/>
        <v>2017</v>
      </c>
      <c r="H2558" s="12">
        <f t="shared" si="171"/>
        <v>12</v>
      </c>
      <c r="I2558" s="11">
        <f t="shared" si="172"/>
        <v>84</v>
      </c>
      <c r="J2558" s="11"/>
    </row>
    <row r="2559" spans="1:10" x14ac:dyDescent="0.25">
      <c r="A2559" s="2">
        <v>43097</v>
      </c>
      <c r="B2559" s="3">
        <v>518</v>
      </c>
      <c r="C2559" s="4">
        <v>243460</v>
      </c>
      <c r="D2559" s="3">
        <v>312</v>
      </c>
      <c r="E2559" s="4">
        <v>227760</v>
      </c>
      <c r="G2559" s="12">
        <f t="shared" si="170"/>
        <v>2017</v>
      </c>
      <c r="H2559" s="12">
        <f t="shared" si="171"/>
        <v>12</v>
      </c>
      <c r="I2559" s="11">
        <f t="shared" si="172"/>
        <v>84</v>
      </c>
      <c r="J2559" s="11"/>
    </row>
    <row r="2560" spans="1:10" x14ac:dyDescent="0.25">
      <c r="A2560" s="2">
        <v>43098</v>
      </c>
      <c r="B2560" s="3">
        <v>426</v>
      </c>
      <c r="C2560" s="4">
        <v>200220</v>
      </c>
      <c r="D2560" s="3">
        <v>317</v>
      </c>
      <c r="E2560" s="4">
        <v>231410</v>
      </c>
      <c r="G2560" s="12">
        <f t="shared" si="170"/>
        <v>2017</v>
      </c>
      <c r="H2560" s="12">
        <f t="shared" si="171"/>
        <v>12</v>
      </c>
      <c r="I2560" s="11">
        <f t="shared" si="172"/>
        <v>84</v>
      </c>
      <c r="J2560" s="11"/>
    </row>
    <row r="2561" spans="1:10" x14ac:dyDescent="0.25">
      <c r="A2561" s="2">
        <v>43099</v>
      </c>
      <c r="B2561" s="3">
        <v>582</v>
      </c>
      <c r="C2561" s="4">
        <v>273540</v>
      </c>
      <c r="D2561" s="3">
        <v>301</v>
      </c>
      <c r="E2561" s="4">
        <v>219730</v>
      </c>
      <c r="G2561" s="12">
        <f t="shared" si="170"/>
        <v>2017</v>
      </c>
      <c r="H2561" s="12">
        <f t="shared" si="171"/>
        <v>12</v>
      </c>
      <c r="I2561" s="11">
        <f t="shared" si="172"/>
        <v>84</v>
      </c>
      <c r="J2561" s="11"/>
    </row>
    <row r="2562" spans="1:10" x14ac:dyDescent="0.25">
      <c r="A2562" s="2">
        <v>43100</v>
      </c>
      <c r="B2562" s="3">
        <v>418</v>
      </c>
      <c r="C2562" s="4">
        <v>196460</v>
      </c>
      <c r="D2562" s="3">
        <v>326</v>
      </c>
      <c r="E2562" s="4">
        <v>237980</v>
      </c>
      <c r="G2562" s="12">
        <f t="shared" si="170"/>
        <v>2017</v>
      </c>
      <c r="H2562" s="12">
        <f t="shared" si="171"/>
        <v>12</v>
      </c>
      <c r="I2562" s="11">
        <f t="shared" si="172"/>
        <v>84</v>
      </c>
      <c r="J2562" s="11"/>
    </row>
    <row r="2563" spans="1:10" x14ac:dyDescent="0.25">
      <c r="A2563" s="2">
        <v>43101</v>
      </c>
      <c r="B2563" s="3">
        <v>444</v>
      </c>
      <c r="C2563" s="4">
        <v>208680</v>
      </c>
      <c r="D2563" s="3">
        <v>310</v>
      </c>
      <c r="E2563" s="4">
        <v>226300</v>
      </c>
      <c r="G2563" s="12">
        <f t="shared" si="170"/>
        <v>2018</v>
      </c>
      <c r="H2563" s="12">
        <f t="shared" si="171"/>
        <v>1</v>
      </c>
      <c r="I2563" s="11">
        <f t="shared" si="172"/>
        <v>85</v>
      </c>
      <c r="J2563" s="11"/>
    </row>
    <row r="2564" spans="1:10" x14ac:dyDescent="0.25">
      <c r="A2564" s="2">
        <v>43102</v>
      </c>
      <c r="B2564" s="3">
        <v>493</v>
      </c>
      <c r="C2564" s="4">
        <v>231710</v>
      </c>
      <c r="D2564" s="3">
        <v>338</v>
      </c>
      <c r="E2564" s="4">
        <v>246740</v>
      </c>
      <c r="G2564" s="12">
        <f t="shared" si="170"/>
        <v>2018</v>
      </c>
      <c r="H2564" s="12">
        <f t="shared" si="171"/>
        <v>1</v>
      </c>
      <c r="I2564" s="11">
        <f t="shared" si="172"/>
        <v>85</v>
      </c>
      <c r="J2564" s="11"/>
    </row>
    <row r="2565" spans="1:10" x14ac:dyDescent="0.25">
      <c r="A2565" s="2">
        <v>43103</v>
      </c>
      <c r="B2565" s="3">
        <v>469</v>
      </c>
      <c r="C2565" s="4">
        <v>220430</v>
      </c>
      <c r="D2565" s="3">
        <v>288</v>
      </c>
      <c r="E2565" s="4">
        <v>210240</v>
      </c>
      <c r="G2565" s="12">
        <f t="shared" si="170"/>
        <v>2018</v>
      </c>
      <c r="H2565" s="12">
        <f t="shared" si="171"/>
        <v>1</v>
      </c>
      <c r="I2565" s="11">
        <f t="shared" si="172"/>
        <v>85</v>
      </c>
      <c r="J2565" s="11"/>
    </row>
    <row r="2566" spans="1:10" x14ac:dyDescent="0.25">
      <c r="A2566" s="2">
        <v>43104</v>
      </c>
      <c r="B2566" s="3">
        <v>427</v>
      </c>
      <c r="C2566" s="4">
        <v>200690</v>
      </c>
      <c r="D2566" s="3">
        <v>319</v>
      </c>
      <c r="E2566" s="4">
        <v>232870</v>
      </c>
      <c r="G2566" s="12">
        <f t="shared" ref="G2566:G2629" si="173">+YEAR(A2566)</f>
        <v>2018</v>
      </c>
      <c r="H2566" s="12">
        <f t="shared" ref="H2566:H2629" si="174">+MONTH(A2566)</f>
        <v>1</v>
      </c>
      <c r="I2566" s="11">
        <f t="shared" si="172"/>
        <v>85</v>
      </c>
      <c r="J2566" s="11"/>
    </row>
    <row r="2567" spans="1:10" x14ac:dyDescent="0.25">
      <c r="A2567" s="2">
        <v>43105</v>
      </c>
      <c r="B2567" s="3">
        <v>425</v>
      </c>
      <c r="C2567" s="4">
        <v>199750</v>
      </c>
      <c r="D2567" s="3">
        <v>322</v>
      </c>
      <c r="E2567" s="4">
        <v>235060</v>
      </c>
      <c r="G2567" s="12">
        <f t="shared" si="173"/>
        <v>2018</v>
      </c>
      <c r="H2567" s="12">
        <f t="shared" si="174"/>
        <v>1</v>
      </c>
      <c r="I2567" s="11">
        <f t="shared" ref="I2567:I2630" si="175">+H2567+(G2567-2011)*12</f>
        <v>85</v>
      </c>
      <c r="J2567" s="11"/>
    </row>
    <row r="2568" spans="1:10" x14ac:dyDescent="0.25">
      <c r="A2568" s="2">
        <v>43106</v>
      </c>
      <c r="B2568" s="3">
        <v>477</v>
      </c>
      <c r="C2568" s="4">
        <v>224190</v>
      </c>
      <c r="D2568" s="3">
        <v>314</v>
      </c>
      <c r="E2568" s="4">
        <v>229220</v>
      </c>
      <c r="G2568" s="12">
        <f t="shared" si="173"/>
        <v>2018</v>
      </c>
      <c r="H2568" s="12">
        <f t="shared" si="174"/>
        <v>1</v>
      </c>
      <c r="I2568" s="11">
        <f t="shared" si="175"/>
        <v>85</v>
      </c>
      <c r="J2568" s="11"/>
    </row>
    <row r="2569" spans="1:10" x14ac:dyDescent="0.25">
      <c r="A2569" s="2">
        <v>43107</v>
      </c>
      <c r="B2569" s="3">
        <v>443</v>
      </c>
      <c r="C2569" s="4">
        <v>208210</v>
      </c>
      <c r="D2569" s="3">
        <v>273</v>
      </c>
      <c r="E2569" s="4">
        <v>199290</v>
      </c>
      <c r="G2569" s="12">
        <f t="shared" si="173"/>
        <v>2018</v>
      </c>
      <c r="H2569" s="12">
        <f t="shared" si="174"/>
        <v>1</v>
      </c>
      <c r="I2569" s="11">
        <f t="shared" si="175"/>
        <v>85</v>
      </c>
      <c r="J2569" s="11"/>
    </row>
    <row r="2570" spans="1:10" x14ac:dyDescent="0.25">
      <c r="A2570" s="2">
        <v>43108</v>
      </c>
      <c r="B2570" s="3">
        <v>459</v>
      </c>
      <c r="C2570" s="4">
        <v>215730</v>
      </c>
      <c r="D2570" s="3">
        <v>319</v>
      </c>
      <c r="E2570" s="4">
        <v>232870</v>
      </c>
      <c r="G2570" s="12">
        <f t="shared" si="173"/>
        <v>2018</v>
      </c>
      <c r="H2570" s="12">
        <f t="shared" si="174"/>
        <v>1</v>
      </c>
      <c r="I2570" s="11">
        <f t="shared" si="175"/>
        <v>85</v>
      </c>
      <c r="J2570" s="11"/>
    </row>
    <row r="2571" spans="1:10" x14ac:dyDescent="0.25">
      <c r="A2571" s="2">
        <v>43109</v>
      </c>
      <c r="B2571" s="3">
        <v>466</v>
      </c>
      <c r="C2571" s="4">
        <v>219020</v>
      </c>
      <c r="D2571" s="3">
        <v>343</v>
      </c>
      <c r="E2571" s="4">
        <v>250390</v>
      </c>
      <c r="G2571" s="12">
        <f t="shared" si="173"/>
        <v>2018</v>
      </c>
      <c r="H2571" s="12">
        <f t="shared" si="174"/>
        <v>1</v>
      </c>
      <c r="I2571" s="11">
        <f t="shared" si="175"/>
        <v>85</v>
      </c>
      <c r="J2571" s="11"/>
    </row>
    <row r="2572" spans="1:10" x14ac:dyDescent="0.25">
      <c r="A2572" s="2">
        <v>43110</v>
      </c>
      <c r="B2572" s="3">
        <v>437</v>
      </c>
      <c r="C2572" s="4">
        <v>205390</v>
      </c>
      <c r="D2572" s="3">
        <v>288</v>
      </c>
      <c r="E2572" s="4">
        <v>210240</v>
      </c>
      <c r="G2572" s="12">
        <f t="shared" si="173"/>
        <v>2018</v>
      </c>
      <c r="H2572" s="12">
        <f t="shared" si="174"/>
        <v>1</v>
      </c>
      <c r="I2572" s="11">
        <f t="shared" si="175"/>
        <v>85</v>
      </c>
      <c r="J2572" s="11"/>
    </row>
    <row r="2573" spans="1:10" x14ac:dyDescent="0.25">
      <c r="A2573" s="2">
        <v>43111</v>
      </c>
      <c r="B2573" s="3">
        <v>479</v>
      </c>
      <c r="C2573" s="4">
        <v>225130</v>
      </c>
      <c r="D2573" s="3">
        <v>254</v>
      </c>
      <c r="E2573" s="4">
        <v>185420</v>
      </c>
      <c r="G2573" s="12">
        <f t="shared" si="173"/>
        <v>2018</v>
      </c>
      <c r="H2573" s="12">
        <f t="shared" si="174"/>
        <v>1</v>
      </c>
      <c r="I2573" s="11">
        <f t="shared" si="175"/>
        <v>85</v>
      </c>
      <c r="J2573" s="11"/>
    </row>
    <row r="2574" spans="1:10" x14ac:dyDescent="0.25">
      <c r="A2574" s="2">
        <v>43112</v>
      </c>
      <c r="B2574" s="3">
        <v>440</v>
      </c>
      <c r="C2574" s="4">
        <v>206800</v>
      </c>
      <c r="D2574" s="3">
        <v>359</v>
      </c>
      <c r="E2574" s="4">
        <v>262070</v>
      </c>
      <c r="G2574" s="12">
        <f t="shared" si="173"/>
        <v>2018</v>
      </c>
      <c r="H2574" s="12">
        <f t="shared" si="174"/>
        <v>1</v>
      </c>
      <c r="I2574" s="11">
        <f t="shared" si="175"/>
        <v>85</v>
      </c>
      <c r="J2574" s="11"/>
    </row>
    <row r="2575" spans="1:10" x14ac:dyDescent="0.25">
      <c r="A2575" s="2">
        <v>43113</v>
      </c>
      <c r="B2575" s="3">
        <v>382</v>
      </c>
      <c r="C2575" s="4">
        <v>179540</v>
      </c>
      <c r="D2575" s="3">
        <v>323</v>
      </c>
      <c r="E2575" s="4">
        <v>235790</v>
      </c>
      <c r="G2575" s="12">
        <f t="shared" si="173"/>
        <v>2018</v>
      </c>
      <c r="H2575" s="12">
        <f t="shared" si="174"/>
        <v>1</v>
      </c>
      <c r="I2575" s="11">
        <f t="shared" si="175"/>
        <v>85</v>
      </c>
      <c r="J2575" s="11"/>
    </row>
    <row r="2576" spans="1:10" x14ac:dyDescent="0.25">
      <c r="A2576" s="2">
        <v>43114</v>
      </c>
      <c r="B2576" s="3">
        <v>399</v>
      </c>
      <c r="C2576" s="4">
        <v>187530</v>
      </c>
      <c r="D2576" s="3">
        <v>261</v>
      </c>
      <c r="E2576" s="4">
        <v>190530</v>
      </c>
      <c r="G2576" s="12">
        <f t="shared" si="173"/>
        <v>2018</v>
      </c>
      <c r="H2576" s="12">
        <f t="shared" si="174"/>
        <v>1</v>
      </c>
      <c r="I2576" s="11">
        <f t="shared" si="175"/>
        <v>85</v>
      </c>
      <c r="J2576" s="11"/>
    </row>
    <row r="2577" spans="1:10" x14ac:dyDescent="0.25">
      <c r="A2577" s="2">
        <v>43115</v>
      </c>
      <c r="B2577" s="3">
        <v>473</v>
      </c>
      <c r="C2577" s="4">
        <v>222310</v>
      </c>
      <c r="D2577" s="3">
        <v>311</v>
      </c>
      <c r="E2577" s="4">
        <v>227030</v>
      </c>
      <c r="G2577" s="12">
        <f t="shared" si="173"/>
        <v>2018</v>
      </c>
      <c r="H2577" s="12">
        <f t="shared" si="174"/>
        <v>1</v>
      </c>
      <c r="I2577" s="11">
        <f t="shared" si="175"/>
        <v>85</v>
      </c>
      <c r="J2577" s="11"/>
    </row>
    <row r="2578" spans="1:10" x14ac:dyDescent="0.25">
      <c r="A2578" s="2">
        <v>43116</v>
      </c>
      <c r="B2578" s="3">
        <v>481</v>
      </c>
      <c r="C2578" s="4">
        <v>226070</v>
      </c>
      <c r="D2578" s="3">
        <v>287</v>
      </c>
      <c r="E2578" s="4">
        <v>209510</v>
      </c>
      <c r="G2578" s="12">
        <f t="shared" si="173"/>
        <v>2018</v>
      </c>
      <c r="H2578" s="12">
        <f t="shared" si="174"/>
        <v>1</v>
      </c>
      <c r="I2578" s="11">
        <f t="shared" si="175"/>
        <v>85</v>
      </c>
      <c r="J2578" s="11"/>
    </row>
    <row r="2579" spans="1:10" x14ac:dyDescent="0.25">
      <c r="A2579" s="2">
        <v>43117</v>
      </c>
      <c r="B2579" s="3">
        <v>494</v>
      </c>
      <c r="C2579" s="4">
        <v>232180</v>
      </c>
      <c r="D2579" s="3">
        <v>276</v>
      </c>
      <c r="E2579" s="4">
        <v>201480</v>
      </c>
      <c r="G2579" s="12">
        <f t="shared" si="173"/>
        <v>2018</v>
      </c>
      <c r="H2579" s="12">
        <f t="shared" si="174"/>
        <v>1</v>
      </c>
      <c r="I2579" s="11">
        <f t="shared" si="175"/>
        <v>85</v>
      </c>
      <c r="J2579" s="11"/>
    </row>
    <row r="2580" spans="1:10" x14ac:dyDescent="0.25">
      <c r="A2580" s="2">
        <v>43118</v>
      </c>
      <c r="B2580" s="3">
        <v>491</v>
      </c>
      <c r="C2580" s="4">
        <v>230770</v>
      </c>
      <c r="D2580" s="3">
        <v>268</v>
      </c>
      <c r="E2580" s="4">
        <v>195640</v>
      </c>
      <c r="G2580" s="12">
        <f t="shared" si="173"/>
        <v>2018</v>
      </c>
      <c r="H2580" s="12">
        <f t="shared" si="174"/>
        <v>1</v>
      </c>
      <c r="I2580" s="11">
        <f t="shared" si="175"/>
        <v>85</v>
      </c>
      <c r="J2580" s="11"/>
    </row>
    <row r="2581" spans="1:10" x14ac:dyDescent="0.25">
      <c r="A2581" s="2">
        <v>43119</v>
      </c>
      <c r="B2581" s="3">
        <v>508</v>
      </c>
      <c r="C2581" s="4">
        <v>238760</v>
      </c>
      <c r="D2581" s="3">
        <v>227</v>
      </c>
      <c r="E2581" s="4">
        <v>165710</v>
      </c>
      <c r="G2581" s="12">
        <f t="shared" si="173"/>
        <v>2018</v>
      </c>
      <c r="H2581" s="12">
        <f t="shared" si="174"/>
        <v>1</v>
      </c>
      <c r="I2581" s="11">
        <f t="shared" si="175"/>
        <v>85</v>
      </c>
      <c r="J2581" s="11"/>
    </row>
    <row r="2582" spans="1:10" x14ac:dyDescent="0.25">
      <c r="A2582" s="2">
        <v>43120</v>
      </c>
      <c r="B2582" s="3">
        <v>420</v>
      </c>
      <c r="C2582" s="4">
        <v>197400</v>
      </c>
      <c r="D2582" s="3">
        <v>274</v>
      </c>
      <c r="E2582" s="4">
        <v>200020</v>
      </c>
      <c r="G2582" s="12">
        <f t="shared" si="173"/>
        <v>2018</v>
      </c>
      <c r="H2582" s="12">
        <f t="shared" si="174"/>
        <v>1</v>
      </c>
      <c r="I2582" s="11">
        <f t="shared" si="175"/>
        <v>85</v>
      </c>
      <c r="J2582" s="11"/>
    </row>
    <row r="2583" spans="1:10" x14ac:dyDescent="0.25">
      <c r="A2583" s="2">
        <v>43121</v>
      </c>
      <c r="B2583" s="3">
        <v>548</v>
      </c>
      <c r="C2583" s="4">
        <v>257560</v>
      </c>
      <c r="D2583" s="3">
        <v>274</v>
      </c>
      <c r="E2583" s="4">
        <v>200020</v>
      </c>
      <c r="G2583" s="12">
        <f t="shared" si="173"/>
        <v>2018</v>
      </c>
      <c r="H2583" s="12">
        <f t="shared" si="174"/>
        <v>1</v>
      </c>
      <c r="I2583" s="11">
        <f t="shared" si="175"/>
        <v>85</v>
      </c>
      <c r="J2583" s="11"/>
    </row>
    <row r="2584" spans="1:10" x14ac:dyDescent="0.25">
      <c r="A2584" s="2">
        <v>43122</v>
      </c>
      <c r="B2584" s="3">
        <v>469</v>
      </c>
      <c r="C2584" s="4">
        <v>220430</v>
      </c>
      <c r="D2584" s="3">
        <v>253</v>
      </c>
      <c r="E2584" s="4">
        <v>184690</v>
      </c>
      <c r="G2584" s="12">
        <f t="shared" si="173"/>
        <v>2018</v>
      </c>
      <c r="H2584" s="12">
        <f t="shared" si="174"/>
        <v>1</v>
      </c>
      <c r="I2584" s="11">
        <f t="shared" si="175"/>
        <v>85</v>
      </c>
      <c r="J2584" s="11"/>
    </row>
    <row r="2585" spans="1:10" x14ac:dyDescent="0.25">
      <c r="A2585" s="2">
        <v>43123</v>
      </c>
      <c r="B2585" s="3">
        <v>409</v>
      </c>
      <c r="C2585" s="4">
        <v>192230</v>
      </c>
      <c r="D2585" s="3">
        <v>316</v>
      </c>
      <c r="E2585" s="4">
        <v>230680</v>
      </c>
      <c r="G2585" s="12">
        <f t="shared" si="173"/>
        <v>2018</v>
      </c>
      <c r="H2585" s="12">
        <f t="shared" si="174"/>
        <v>1</v>
      </c>
      <c r="I2585" s="11">
        <f t="shared" si="175"/>
        <v>85</v>
      </c>
      <c r="J2585" s="11"/>
    </row>
    <row r="2586" spans="1:10" x14ac:dyDescent="0.25">
      <c r="A2586" s="2">
        <v>43124</v>
      </c>
      <c r="B2586" s="3">
        <v>525</v>
      </c>
      <c r="C2586" s="4">
        <v>246750</v>
      </c>
      <c r="D2586" s="3">
        <v>353</v>
      </c>
      <c r="E2586" s="4">
        <v>257690</v>
      </c>
      <c r="G2586" s="12">
        <f t="shared" si="173"/>
        <v>2018</v>
      </c>
      <c r="H2586" s="12">
        <f t="shared" si="174"/>
        <v>1</v>
      </c>
      <c r="I2586" s="11">
        <f t="shared" si="175"/>
        <v>85</v>
      </c>
      <c r="J2586" s="11"/>
    </row>
    <row r="2587" spans="1:10" x14ac:dyDescent="0.25">
      <c r="A2587" s="2">
        <v>43125</v>
      </c>
      <c r="B2587" s="3">
        <v>477</v>
      </c>
      <c r="C2587" s="4">
        <v>224190</v>
      </c>
      <c r="D2587" s="3">
        <v>309</v>
      </c>
      <c r="E2587" s="4">
        <v>225570</v>
      </c>
      <c r="G2587" s="12">
        <f t="shared" si="173"/>
        <v>2018</v>
      </c>
      <c r="H2587" s="12">
        <f t="shared" si="174"/>
        <v>1</v>
      </c>
      <c r="I2587" s="11">
        <f t="shared" si="175"/>
        <v>85</v>
      </c>
      <c r="J2587" s="11"/>
    </row>
    <row r="2588" spans="1:10" x14ac:dyDescent="0.25">
      <c r="A2588" s="2">
        <v>43126</v>
      </c>
      <c r="B2588" s="3">
        <v>542</v>
      </c>
      <c r="C2588" s="4">
        <v>254740</v>
      </c>
      <c r="D2588" s="3">
        <v>311</v>
      </c>
      <c r="E2588" s="4">
        <v>227030</v>
      </c>
      <c r="G2588" s="12">
        <f t="shared" si="173"/>
        <v>2018</v>
      </c>
      <c r="H2588" s="12">
        <f t="shared" si="174"/>
        <v>1</v>
      </c>
      <c r="I2588" s="11">
        <f t="shared" si="175"/>
        <v>85</v>
      </c>
      <c r="J2588" s="11"/>
    </row>
    <row r="2589" spans="1:10" x14ac:dyDescent="0.25">
      <c r="A2589" s="2">
        <v>43127</v>
      </c>
      <c r="B2589" s="3">
        <v>463</v>
      </c>
      <c r="C2589" s="4">
        <v>217610</v>
      </c>
      <c r="D2589" s="3">
        <v>375</v>
      </c>
      <c r="E2589" s="4">
        <v>273750</v>
      </c>
      <c r="G2589" s="12">
        <f t="shared" si="173"/>
        <v>2018</v>
      </c>
      <c r="H2589" s="12">
        <f t="shared" si="174"/>
        <v>1</v>
      </c>
      <c r="I2589" s="11">
        <f t="shared" si="175"/>
        <v>85</v>
      </c>
      <c r="J2589" s="11"/>
    </row>
    <row r="2590" spans="1:10" x14ac:dyDescent="0.25">
      <c r="A2590" s="2">
        <v>43128</v>
      </c>
      <c r="B2590" s="3">
        <v>408</v>
      </c>
      <c r="C2590" s="4">
        <v>191760</v>
      </c>
      <c r="D2590" s="3">
        <v>315</v>
      </c>
      <c r="E2590" s="4">
        <v>229950</v>
      </c>
      <c r="G2590" s="12">
        <f t="shared" si="173"/>
        <v>2018</v>
      </c>
      <c r="H2590" s="12">
        <f t="shared" si="174"/>
        <v>1</v>
      </c>
      <c r="I2590" s="11">
        <f t="shared" si="175"/>
        <v>85</v>
      </c>
      <c r="J2590" s="11"/>
    </row>
    <row r="2591" spans="1:10" x14ac:dyDescent="0.25">
      <c r="A2591" s="2">
        <v>43129</v>
      </c>
      <c r="B2591" s="3">
        <v>438</v>
      </c>
      <c r="C2591" s="4">
        <v>205860</v>
      </c>
      <c r="D2591" s="3">
        <v>309</v>
      </c>
      <c r="E2591" s="4">
        <v>225570</v>
      </c>
      <c r="G2591" s="12">
        <f t="shared" si="173"/>
        <v>2018</v>
      </c>
      <c r="H2591" s="12">
        <f t="shared" si="174"/>
        <v>1</v>
      </c>
      <c r="I2591" s="11">
        <f t="shared" si="175"/>
        <v>85</v>
      </c>
      <c r="J2591" s="11"/>
    </row>
    <row r="2592" spans="1:10" x14ac:dyDescent="0.25">
      <c r="A2592" s="2">
        <v>43130</v>
      </c>
      <c r="B2592" s="3">
        <v>504</v>
      </c>
      <c r="C2592" s="4">
        <v>236880</v>
      </c>
      <c r="D2592" s="3">
        <v>319</v>
      </c>
      <c r="E2592" s="4">
        <v>232870</v>
      </c>
      <c r="G2592" s="12">
        <f t="shared" si="173"/>
        <v>2018</v>
      </c>
      <c r="H2592" s="12">
        <f t="shared" si="174"/>
        <v>1</v>
      </c>
      <c r="I2592" s="11">
        <f t="shared" si="175"/>
        <v>85</v>
      </c>
      <c r="J2592" s="11"/>
    </row>
    <row r="2593" spans="1:10" x14ac:dyDescent="0.25">
      <c r="A2593" s="2">
        <v>43131</v>
      </c>
      <c r="B2593" s="3">
        <v>477</v>
      </c>
      <c r="C2593" s="4">
        <v>224190</v>
      </c>
      <c r="D2593" s="3">
        <v>328</v>
      </c>
      <c r="E2593" s="4">
        <v>239440</v>
      </c>
      <c r="G2593" s="12">
        <f t="shared" si="173"/>
        <v>2018</v>
      </c>
      <c r="H2593" s="12">
        <f t="shared" si="174"/>
        <v>1</v>
      </c>
      <c r="I2593" s="11">
        <f t="shared" si="175"/>
        <v>85</v>
      </c>
      <c r="J2593" s="11"/>
    </row>
    <row r="2594" spans="1:10" x14ac:dyDescent="0.25">
      <c r="A2594" s="2">
        <v>43132</v>
      </c>
      <c r="B2594" s="3">
        <v>518</v>
      </c>
      <c r="C2594" s="4">
        <v>243460</v>
      </c>
      <c r="D2594" s="3">
        <v>329</v>
      </c>
      <c r="E2594" s="4">
        <v>240170</v>
      </c>
      <c r="G2594" s="12">
        <f t="shared" si="173"/>
        <v>2018</v>
      </c>
      <c r="H2594" s="12">
        <f t="shared" si="174"/>
        <v>2</v>
      </c>
      <c r="I2594" s="11">
        <f t="shared" si="175"/>
        <v>86</v>
      </c>
      <c r="J2594" s="11"/>
    </row>
    <row r="2595" spans="1:10" x14ac:dyDescent="0.25">
      <c r="A2595" s="2">
        <v>43133</v>
      </c>
      <c r="B2595" s="3">
        <v>501</v>
      </c>
      <c r="C2595" s="4">
        <v>235470</v>
      </c>
      <c r="D2595" s="3">
        <v>279</v>
      </c>
      <c r="E2595" s="4">
        <v>203670</v>
      </c>
      <c r="G2595" s="12">
        <f t="shared" si="173"/>
        <v>2018</v>
      </c>
      <c r="H2595" s="12">
        <f t="shared" si="174"/>
        <v>2</v>
      </c>
      <c r="I2595" s="11">
        <f t="shared" si="175"/>
        <v>86</v>
      </c>
      <c r="J2595" s="11"/>
    </row>
    <row r="2596" spans="1:10" x14ac:dyDescent="0.25">
      <c r="A2596" s="2">
        <v>43134</v>
      </c>
      <c r="B2596" s="3">
        <v>476</v>
      </c>
      <c r="C2596" s="4">
        <v>223720</v>
      </c>
      <c r="D2596" s="3">
        <v>294</v>
      </c>
      <c r="E2596" s="4">
        <v>214620</v>
      </c>
      <c r="G2596" s="12">
        <f t="shared" si="173"/>
        <v>2018</v>
      </c>
      <c r="H2596" s="12">
        <f t="shared" si="174"/>
        <v>2</v>
      </c>
      <c r="I2596" s="11">
        <f t="shared" si="175"/>
        <v>86</v>
      </c>
      <c r="J2596" s="11"/>
    </row>
    <row r="2597" spans="1:10" x14ac:dyDescent="0.25">
      <c r="A2597" s="2">
        <v>43135</v>
      </c>
      <c r="B2597" s="3">
        <v>460</v>
      </c>
      <c r="C2597" s="4">
        <v>216200</v>
      </c>
      <c r="D2597" s="3">
        <v>266</v>
      </c>
      <c r="E2597" s="4">
        <v>194180</v>
      </c>
      <c r="G2597" s="12">
        <f t="shared" si="173"/>
        <v>2018</v>
      </c>
      <c r="H2597" s="12">
        <f t="shared" si="174"/>
        <v>2</v>
      </c>
      <c r="I2597" s="11">
        <f t="shared" si="175"/>
        <v>86</v>
      </c>
      <c r="J2597" s="11"/>
    </row>
    <row r="2598" spans="1:10" x14ac:dyDescent="0.25">
      <c r="A2598" s="2">
        <v>43136</v>
      </c>
      <c r="B2598" s="3">
        <v>460</v>
      </c>
      <c r="C2598" s="4">
        <v>216200</v>
      </c>
      <c r="D2598" s="3">
        <v>253</v>
      </c>
      <c r="E2598" s="4">
        <v>184690</v>
      </c>
      <c r="G2598" s="12">
        <f t="shared" si="173"/>
        <v>2018</v>
      </c>
      <c r="H2598" s="12">
        <f t="shared" si="174"/>
        <v>2</v>
      </c>
      <c r="I2598" s="11">
        <f t="shared" si="175"/>
        <v>86</v>
      </c>
      <c r="J2598" s="11"/>
    </row>
    <row r="2599" spans="1:10" x14ac:dyDescent="0.25">
      <c r="A2599" s="2">
        <v>43137</v>
      </c>
      <c r="B2599" s="3">
        <v>482</v>
      </c>
      <c r="C2599" s="4">
        <v>226540</v>
      </c>
      <c r="D2599" s="3">
        <v>294</v>
      </c>
      <c r="E2599" s="4">
        <v>214620</v>
      </c>
      <c r="G2599" s="12">
        <f t="shared" si="173"/>
        <v>2018</v>
      </c>
      <c r="H2599" s="12">
        <f t="shared" si="174"/>
        <v>2</v>
      </c>
      <c r="I2599" s="11">
        <f t="shared" si="175"/>
        <v>86</v>
      </c>
      <c r="J2599" s="11"/>
    </row>
    <row r="2600" spans="1:10" x14ac:dyDescent="0.25">
      <c r="A2600" s="2">
        <v>43138</v>
      </c>
      <c r="B2600" s="3">
        <v>436</v>
      </c>
      <c r="C2600" s="4">
        <v>204920</v>
      </c>
      <c r="D2600" s="3">
        <v>337</v>
      </c>
      <c r="E2600" s="4">
        <v>246010</v>
      </c>
      <c r="G2600" s="12">
        <f t="shared" si="173"/>
        <v>2018</v>
      </c>
      <c r="H2600" s="12">
        <f t="shared" si="174"/>
        <v>2</v>
      </c>
      <c r="I2600" s="11">
        <f t="shared" si="175"/>
        <v>86</v>
      </c>
      <c r="J2600" s="11"/>
    </row>
    <row r="2601" spans="1:10" x14ac:dyDescent="0.25">
      <c r="A2601" s="2">
        <v>43139</v>
      </c>
      <c r="B2601" s="3">
        <v>531</v>
      </c>
      <c r="C2601" s="4">
        <v>249570</v>
      </c>
      <c r="D2601" s="3">
        <v>265</v>
      </c>
      <c r="E2601" s="4">
        <v>193450</v>
      </c>
      <c r="G2601" s="12">
        <f t="shared" si="173"/>
        <v>2018</v>
      </c>
      <c r="H2601" s="12">
        <f t="shared" si="174"/>
        <v>2</v>
      </c>
      <c r="I2601" s="11">
        <f t="shared" si="175"/>
        <v>86</v>
      </c>
      <c r="J2601" s="11"/>
    </row>
    <row r="2602" spans="1:10" x14ac:dyDescent="0.25">
      <c r="A2602" s="2">
        <v>43140</v>
      </c>
      <c r="B2602" s="3">
        <v>433</v>
      </c>
      <c r="C2602" s="4">
        <v>203510</v>
      </c>
      <c r="D2602" s="3">
        <v>280</v>
      </c>
      <c r="E2602" s="4">
        <v>204400</v>
      </c>
      <c r="G2602" s="12">
        <f t="shared" si="173"/>
        <v>2018</v>
      </c>
      <c r="H2602" s="12">
        <f t="shared" si="174"/>
        <v>2</v>
      </c>
      <c r="I2602" s="11">
        <f t="shared" si="175"/>
        <v>86</v>
      </c>
      <c r="J2602" s="11"/>
    </row>
    <row r="2603" spans="1:10" x14ac:dyDescent="0.25">
      <c r="A2603" s="2">
        <v>43141</v>
      </c>
      <c r="B2603" s="3">
        <v>490</v>
      </c>
      <c r="C2603" s="4">
        <v>230300</v>
      </c>
      <c r="D2603" s="3">
        <v>310</v>
      </c>
      <c r="E2603" s="4">
        <v>226300</v>
      </c>
      <c r="G2603" s="12">
        <f t="shared" si="173"/>
        <v>2018</v>
      </c>
      <c r="H2603" s="12">
        <f t="shared" si="174"/>
        <v>2</v>
      </c>
      <c r="I2603" s="11">
        <f t="shared" si="175"/>
        <v>86</v>
      </c>
      <c r="J2603" s="11"/>
    </row>
    <row r="2604" spans="1:10" x14ac:dyDescent="0.25">
      <c r="A2604" s="2">
        <v>43142</v>
      </c>
      <c r="B2604" s="3">
        <v>463</v>
      </c>
      <c r="C2604" s="4">
        <v>217610</v>
      </c>
      <c r="D2604" s="3">
        <v>297</v>
      </c>
      <c r="E2604" s="4">
        <v>216810</v>
      </c>
      <c r="G2604" s="12">
        <f t="shared" si="173"/>
        <v>2018</v>
      </c>
      <c r="H2604" s="12">
        <f t="shared" si="174"/>
        <v>2</v>
      </c>
      <c r="I2604" s="11">
        <f t="shared" si="175"/>
        <v>86</v>
      </c>
      <c r="J2604" s="11"/>
    </row>
    <row r="2605" spans="1:10" x14ac:dyDescent="0.25">
      <c r="A2605" s="2">
        <v>43143</v>
      </c>
      <c r="B2605" s="3">
        <v>533</v>
      </c>
      <c r="C2605" s="4">
        <v>250510</v>
      </c>
      <c r="D2605" s="3">
        <v>317</v>
      </c>
      <c r="E2605" s="4">
        <v>231410</v>
      </c>
      <c r="G2605" s="12">
        <f t="shared" si="173"/>
        <v>2018</v>
      </c>
      <c r="H2605" s="12">
        <f t="shared" si="174"/>
        <v>2</v>
      </c>
      <c r="I2605" s="11">
        <f t="shared" si="175"/>
        <v>86</v>
      </c>
      <c r="J2605" s="11"/>
    </row>
    <row r="2606" spans="1:10" x14ac:dyDescent="0.25">
      <c r="A2606" s="2">
        <v>43144</v>
      </c>
      <c r="B2606" s="3">
        <v>462</v>
      </c>
      <c r="C2606" s="4">
        <v>217140</v>
      </c>
      <c r="D2606" s="3">
        <v>326</v>
      </c>
      <c r="E2606" s="4">
        <v>237980</v>
      </c>
      <c r="G2606" s="12">
        <f t="shared" si="173"/>
        <v>2018</v>
      </c>
      <c r="H2606" s="12">
        <f t="shared" si="174"/>
        <v>2</v>
      </c>
      <c r="I2606" s="11">
        <f t="shared" si="175"/>
        <v>86</v>
      </c>
      <c r="J2606" s="11"/>
    </row>
    <row r="2607" spans="1:10" x14ac:dyDescent="0.25">
      <c r="A2607" s="2">
        <v>43145</v>
      </c>
      <c r="B2607" s="3">
        <v>424</v>
      </c>
      <c r="C2607" s="4">
        <v>199280</v>
      </c>
      <c r="D2607" s="3">
        <v>288</v>
      </c>
      <c r="E2607" s="4">
        <v>210240</v>
      </c>
      <c r="G2607" s="12">
        <f t="shared" si="173"/>
        <v>2018</v>
      </c>
      <c r="H2607" s="12">
        <f t="shared" si="174"/>
        <v>2</v>
      </c>
      <c r="I2607" s="11">
        <f t="shared" si="175"/>
        <v>86</v>
      </c>
      <c r="J2607" s="11"/>
    </row>
    <row r="2608" spans="1:10" x14ac:dyDescent="0.25">
      <c r="A2608" s="2">
        <v>43146</v>
      </c>
      <c r="B2608" s="3">
        <v>505</v>
      </c>
      <c r="C2608" s="4">
        <v>237350</v>
      </c>
      <c r="D2608" s="3">
        <v>270</v>
      </c>
      <c r="E2608" s="4">
        <v>197100</v>
      </c>
      <c r="G2608" s="12">
        <f t="shared" si="173"/>
        <v>2018</v>
      </c>
      <c r="H2608" s="12">
        <f t="shared" si="174"/>
        <v>2</v>
      </c>
      <c r="I2608" s="11">
        <f t="shared" si="175"/>
        <v>86</v>
      </c>
      <c r="J2608" s="11"/>
    </row>
    <row r="2609" spans="1:10" x14ac:dyDescent="0.25">
      <c r="A2609" s="2">
        <v>43147</v>
      </c>
      <c r="B2609" s="3">
        <v>469</v>
      </c>
      <c r="C2609" s="4">
        <v>220430</v>
      </c>
      <c r="D2609" s="3">
        <v>293</v>
      </c>
      <c r="E2609" s="4">
        <v>213890</v>
      </c>
      <c r="G2609" s="12">
        <f t="shared" si="173"/>
        <v>2018</v>
      </c>
      <c r="H2609" s="12">
        <f t="shared" si="174"/>
        <v>2</v>
      </c>
      <c r="I2609" s="11">
        <f t="shared" si="175"/>
        <v>86</v>
      </c>
      <c r="J2609" s="11"/>
    </row>
    <row r="2610" spans="1:10" x14ac:dyDescent="0.25">
      <c r="A2610" s="2">
        <v>43148</v>
      </c>
      <c r="B2610" s="3">
        <v>512</v>
      </c>
      <c r="C2610" s="4">
        <v>240640</v>
      </c>
      <c r="D2610" s="3">
        <v>288</v>
      </c>
      <c r="E2610" s="4">
        <v>210240</v>
      </c>
      <c r="G2610" s="12">
        <f t="shared" si="173"/>
        <v>2018</v>
      </c>
      <c r="H2610" s="12">
        <f t="shared" si="174"/>
        <v>2</v>
      </c>
      <c r="I2610" s="11">
        <f t="shared" si="175"/>
        <v>86</v>
      </c>
      <c r="J2610" s="11"/>
    </row>
    <row r="2611" spans="1:10" x14ac:dyDescent="0.25">
      <c r="A2611" s="2">
        <v>43149</v>
      </c>
      <c r="B2611" s="3">
        <v>458</v>
      </c>
      <c r="C2611" s="4">
        <v>215260</v>
      </c>
      <c r="D2611" s="3">
        <v>287</v>
      </c>
      <c r="E2611" s="4">
        <v>209510</v>
      </c>
      <c r="G2611" s="12">
        <f t="shared" si="173"/>
        <v>2018</v>
      </c>
      <c r="H2611" s="12">
        <f t="shared" si="174"/>
        <v>2</v>
      </c>
      <c r="I2611" s="11">
        <f t="shared" si="175"/>
        <v>86</v>
      </c>
      <c r="J2611" s="11"/>
    </row>
    <row r="2612" spans="1:10" x14ac:dyDescent="0.25">
      <c r="A2612" s="2">
        <v>43150</v>
      </c>
      <c r="B2612" s="3">
        <v>483</v>
      </c>
      <c r="C2612" s="4">
        <v>227010</v>
      </c>
      <c r="D2612" s="3">
        <v>273</v>
      </c>
      <c r="E2612" s="4">
        <v>199290</v>
      </c>
      <c r="G2612" s="12">
        <f t="shared" si="173"/>
        <v>2018</v>
      </c>
      <c r="H2612" s="12">
        <f t="shared" si="174"/>
        <v>2</v>
      </c>
      <c r="I2612" s="11">
        <f t="shared" si="175"/>
        <v>86</v>
      </c>
      <c r="J2612" s="11"/>
    </row>
    <row r="2613" spans="1:10" x14ac:dyDescent="0.25">
      <c r="A2613" s="2">
        <v>43151</v>
      </c>
      <c r="B2613" s="3">
        <v>492</v>
      </c>
      <c r="C2613" s="4">
        <v>231240</v>
      </c>
      <c r="D2613" s="3">
        <v>317</v>
      </c>
      <c r="E2613" s="4">
        <v>231410</v>
      </c>
      <c r="G2613" s="12">
        <f t="shared" si="173"/>
        <v>2018</v>
      </c>
      <c r="H2613" s="12">
        <f t="shared" si="174"/>
        <v>2</v>
      </c>
      <c r="I2613" s="11">
        <f t="shared" si="175"/>
        <v>86</v>
      </c>
      <c r="J2613" s="11"/>
    </row>
    <row r="2614" spans="1:10" x14ac:dyDescent="0.25">
      <c r="A2614" s="2">
        <v>43152</v>
      </c>
      <c r="B2614" s="3">
        <v>421</v>
      </c>
      <c r="C2614" s="4">
        <v>197870</v>
      </c>
      <c r="D2614" s="3">
        <v>335</v>
      </c>
      <c r="E2614" s="4">
        <v>244550</v>
      </c>
      <c r="G2614" s="12">
        <f t="shared" si="173"/>
        <v>2018</v>
      </c>
      <c r="H2614" s="12">
        <f t="shared" si="174"/>
        <v>2</v>
      </c>
      <c r="I2614" s="11">
        <f t="shared" si="175"/>
        <v>86</v>
      </c>
      <c r="J2614" s="11"/>
    </row>
    <row r="2615" spans="1:10" x14ac:dyDescent="0.25">
      <c r="A2615" s="2">
        <v>43153</v>
      </c>
      <c r="B2615" s="3">
        <v>498</v>
      </c>
      <c r="C2615" s="4">
        <v>234060</v>
      </c>
      <c r="D2615" s="3">
        <v>274</v>
      </c>
      <c r="E2615" s="4">
        <v>200020</v>
      </c>
      <c r="G2615" s="12">
        <f t="shared" si="173"/>
        <v>2018</v>
      </c>
      <c r="H2615" s="12">
        <f t="shared" si="174"/>
        <v>2</v>
      </c>
      <c r="I2615" s="11">
        <f t="shared" si="175"/>
        <v>86</v>
      </c>
      <c r="J2615" s="11"/>
    </row>
    <row r="2616" spans="1:10" x14ac:dyDescent="0.25">
      <c r="A2616" s="2">
        <v>43154</v>
      </c>
      <c r="B2616" s="3">
        <v>530</v>
      </c>
      <c r="C2616" s="4">
        <v>249100</v>
      </c>
      <c r="D2616" s="3">
        <v>254</v>
      </c>
      <c r="E2616" s="4">
        <v>185420</v>
      </c>
      <c r="G2616" s="12">
        <f t="shared" si="173"/>
        <v>2018</v>
      </c>
      <c r="H2616" s="12">
        <f t="shared" si="174"/>
        <v>2</v>
      </c>
      <c r="I2616" s="11">
        <f t="shared" si="175"/>
        <v>86</v>
      </c>
      <c r="J2616" s="11"/>
    </row>
    <row r="2617" spans="1:10" x14ac:dyDescent="0.25">
      <c r="A2617" s="2">
        <v>43155</v>
      </c>
      <c r="B2617" s="3">
        <v>456</v>
      </c>
      <c r="C2617" s="4">
        <v>214320</v>
      </c>
      <c r="D2617" s="3">
        <v>340</v>
      </c>
      <c r="E2617" s="4">
        <v>248200</v>
      </c>
      <c r="G2617" s="12">
        <f t="shared" si="173"/>
        <v>2018</v>
      </c>
      <c r="H2617" s="12">
        <f t="shared" si="174"/>
        <v>2</v>
      </c>
      <c r="I2617" s="11">
        <f t="shared" si="175"/>
        <v>86</v>
      </c>
      <c r="J2617" s="11"/>
    </row>
    <row r="2618" spans="1:10" x14ac:dyDescent="0.25">
      <c r="A2618" s="2">
        <v>43156</v>
      </c>
      <c r="B2618" s="3">
        <v>439</v>
      </c>
      <c r="C2618" s="4">
        <v>206330</v>
      </c>
      <c r="D2618" s="3">
        <v>312</v>
      </c>
      <c r="E2618" s="4">
        <v>227760</v>
      </c>
      <c r="G2618" s="12">
        <f t="shared" si="173"/>
        <v>2018</v>
      </c>
      <c r="H2618" s="12">
        <f t="shared" si="174"/>
        <v>2</v>
      </c>
      <c r="I2618" s="11">
        <f t="shared" si="175"/>
        <v>86</v>
      </c>
      <c r="J2618" s="11"/>
    </row>
    <row r="2619" spans="1:10" x14ac:dyDescent="0.25">
      <c r="A2619" s="2">
        <v>43157</v>
      </c>
      <c r="B2619" s="3">
        <v>529</v>
      </c>
      <c r="C2619" s="4">
        <v>248630</v>
      </c>
      <c r="D2619" s="3">
        <v>278</v>
      </c>
      <c r="E2619" s="4">
        <v>202940</v>
      </c>
      <c r="G2619" s="12">
        <f t="shared" si="173"/>
        <v>2018</v>
      </c>
      <c r="H2619" s="12">
        <f t="shared" si="174"/>
        <v>2</v>
      </c>
      <c r="I2619" s="11">
        <f t="shared" si="175"/>
        <v>86</v>
      </c>
      <c r="J2619" s="11"/>
    </row>
    <row r="2620" spans="1:10" x14ac:dyDescent="0.25">
      <c r="A2620" s="2">
        <v>43158</v>
      </c>
      <c r="B2620" s="3">
        <v>492</v>
      </c>
      <c r="C2620" s="4">
        <v>231240</v>
      </c>
      <c r="D2620" s="3">
        <v>280</v>
      </c>
      <c r="E2620" s="4">
        <v>204400</v>
      </c>
      <c r="G2620" s="12">
        <f t="shared" si="173"/>
        <v>2018</v>
      </c>
      <c r="H2620" s="12">
        <f t="shared" si="174"/>
        <v>2</v>
      </c>
      <c r="I2620" s="11">
        <f t="shared" si="175"/>
        <v>86</v>
      </c>
      <c r="J2620" s="11"/>
    </row>
    <row r="2621" spans="1:10" x14ac:dyDescent="0.25">
      <c r="A2621" s="2">
        <v>43159</v>
      </c>
      <c r="B2621" s="3">
        <v>509</v>
      </c>
      <c r="C2621" s="4">
        <v>239230</v>
      </c>
      <c r="D2621" s="3">
        <v>289</v>
      </c>
      <c r="E2621" s="4">
        <v>210970</v>
      </c>
      <c r="G2621" s="12">
        <f t="shared" si="173"/>
        <v>2018</v>
      </c>
      <c r="H2621" s="12">
        <f t="shared" si="174"/>
        <v>2</v>
      </c>
      <c r="I2621" s="11">
        <f t="shared" si="175"/>
        <v>86</v>
      </c>
      <c r="J2621" s="11"/>
    </row>
    <row r="2622" spans="1:10" x14ac:dyDescent="0.25">
      <c r="A2622" s="2">
        <v>43160</v>
      </c>
      <c r="B2622" s="3">
        <v>550</v>
      </c>
      <c r="C2622" s="4">
        <v>258500</v>
      </c>
      <c r="D2622" s="3">
        <v>292</v>
      </c>
      <c r="E2622" s="4">
        <v>213160</v>
      </c>
      <c r="G2622" s="12">
        <f t="shared" si="173"/>
        <v>2018</v>
      </c>
      <c r="H2622" s="12">
        <f t="shared" si="174"/>
        <v>3</v>
      </c>
      <c r="I2622" s="11">
        <f t="shared" si="175"/>
        <v>87</v>
      </c>
      <c r="J2622" s="11"/>
    </row>
    <row r="2623" spans="1:10" x14ac:dyDescent="0.25">
      <c r="A2623" s="2">
        <v>43161</v>
      </c>
      <c r="B2623" s="3">
        <v>496</v>
      </c>
      <c r="C2623" s="4">
        <v>233120</v>
      </c>
      <c r="D2623" s="3">
        <v>314</v>
      </c>
      <c r="E2623" s="4">
        <v>229220</v>
      </c>
      <c r="G2623" s="12">
        <f t="shared" si="173"/>
        <v>2018</v>
      </c>
      <c r="H2623" s="12">
        <f t="shared" si="174"/>
        <v>3</v>
      </c>
      <c r="I2623" s="11">
        <f t="shared" si="175"/>
        <v>87</v>
      </c>
      <c r="J2623" s="11"/>
    </row>
    <row r="2624" spans="1:10" x14ac:dyDescent="0.25">
      <c r="A2624" s="2">
        <v>43162</v>
      </c>
      <c r="B2624" s="3">
        <v>498</v>
      </c>
      <c r="C2624" s="4">
        <v>234060</v>
      </c>
      <c r="D2624" s="3">
        <v>338</v>
      </c>
      <c r="E2624" s="4">
        <v>246740</v>
      </c>
      <c r="G2624" s="12">
        <f t="shared" si="173"/>
        <v>2018</v>
      </c>
      <c r="H2624" s="12">
        <f t="shared" si="174"/>
        <v>3</v>
      </c>
      <c r="I2624" s="11">
        <f t="shared" si="175"/>
        <v>87</v>
      </c>
      <c r="J2624" s="11"/>
    </row>
    <row r="2625" spans="1:10" x14ac:dyDescent="0.25">
      <c r="A2625" s="2">
        <v>43163</v>
      </c>
      <c r="B2625" s="3">
        <v>480</v>
      </c>
      <c r="C2625" s="4">
        <v>225600</v>
      </c>
      <c r="D2625" s="3">
        <v>305</v>
      </c>
      <c r="E2625" s="4">
        <v>222650</v>
      </c>
      <c r="G2625" s="12">
        <f t="shared" si="173"/>
        <v>2018</v>
      </c>
      <c r="H2625" s="12">
        <f t="shared" si="174"/>
        <v>3</v>
      </c>
      <c r="I2625" s="11">
        <f t="shared" si="175"/>
        <v>87</v>
      </c>
      <c r="J2625" s="11"/>
    </row>
    <row r="2626" spans="1:10" x14ac:dyDescent="0.25">
      <c r="A2626" s="2">
        <v>43164</v>
      </c>
      <c r="B2626" s="3">
        <v>448</v>
      </c>
      <c r="C2626" s="4">
        <v>210560</v>
      </c>
      <c r="D2626" s="3">
        <v>301</v>
      </c>
      <c r="E2626" s="4">
        <v>219730</v>
      </c>
      <c r="G2626" s="12">
        <f t="shared" si="173"/>
        <v>2018</v>
      </c>
      <c r="H2626" s="12">
        <f t="shared" si="174"/>
        <v>3</v>
      </c>
      <c r="I2626" s="11">
        <f t="shared" si="175"/>
        <v>87</v>
      </c>
      <c r="J2626" s="11"/>
    </row>
    <row r="2627" spans="1:10" x14ac:dyDescent="0.25">
      <c r="A2627" s="2">
        <v>43165</v>
      </c>
      <c r="B2627" s="3">
        <v>510</v>
      </c>
      <c r="C2627" s="4">
        <v>239700</v>
      </c>
      <c r="D2627" s="3">
        <v>284</v>
      </c>
      <c r="E2627" s="4">
        <v>207320</v>
      </c>
      <c r="G2627" s="12">
        <f t="shared" si="173"/>
        <v>2018</v>
      </c>
      <c r="H2627" s="12">
        <f t="shared" si="174"/>
        <v>3</v>
      </c>
      <c r="I2627" s="11">
        <f t="shared" si="175"/>
        <v>87</v>
      </c>
      <c r="J2627" s="11"/>
    </row>
    <row r="2628" spans="1:10" x14ac:dyDescent="0.25">
      <c r="A2628" s="2">
        <v>43166</v>
      </c>
      <c r="B2628" s="3">
        <v>530</v>
      </c>
      <c r="C2628" s="4">
        <v>249100</v>
      </c>
      <c r="D2628" s="3">
        <v>281</v>
      </c>
      <c r="E2628" s="4">
        <v>205130</v>
      </c>
      <c r="G2628" s="12">
        <f t="shared" si="173"/>
        <v>2018</v>
      </c>
      <c r="H2628" s="12">
        <f t="shared" si="174"/>
        <v>3</v>
      </c>
      <c r="I2628" s="11">
        <f t="shared" si="175"/>
        <v>87</v>
      </c>
      <c r="J2628" s="11"/>
    </row>
    <row r="2629" spans="1:10" x14ac:dyDescent="0.25">
      <c r="A2629" s="2">
        <v>43167</v>
      </c>
      <c r="B2629" s="3">
        <v>403</v>
      </c>
      <c r="C2629" s="4">
        <v>189410</v>
      </c>
      <c r="D2629" s="3">
        <v>294</v>
      </c>
      <c r="E2629" s="4">
        <v>214620</v>
      </c>
      <c r="G2629" s="12">
        <f t="shared" si="173"/>
        <v>2018</v>
      </c>
      <c r="H2629" s="12">
        <f t="shared" si="174"/>
        <v>3</v>
      </c>
      <c r="I2629" s="11">
        <f t="shared" si="175"/>
        <v>87</v>
      </c>
      <c r="J2629" s="11"/>
    </row>
    <row r="2630" spans="1:10" x14ac:dyDescent="0.25">
      <c r="A2630" s="2">
        <v>43168</v>
      </c>
      <c r="B2630" s="3">
        <v>537</v>
      </c>
      <c r="C2630" s="4">
        <v>252390</v>
      </c>
      <c r="D2630" s="3">
        <v>301</v>
      </c>
      <c r="E2630" s="4">
        <v>219730</v>
      </c>
      <c r="G2630" s="12">
        <f t="shared" ref="G2630:G2693" si="176">+YEAR(A2630)</f>
        <v>2018</v>
      </c>
      <c r="H2630" s="12">
        <f t="shared" ref="H2630:H2693" si="177">+MONTH(A2630)</f>
        <v>3</v>
      </c>
      <c r="I2630" s="11">
        <f t="shared" si="175"/>
        <v>87</v>
      </c>
      <c r="J2630" s="11"/>
    </row>
    <row r="2631" spans="1:10" x14ac:dyDescent="0.25">
      <c r="A2631" s="2">
        <v>43169</v>
      </c>
      <c r="B2631" s="3">
        <v>494</v>
      </c>
      <c r="C2631" s="4">
        <v>232180</v>
      </c>
      <c r="D2631" s="3">
        <v>317</v>
      </c>
      <c r="E2631" s="4">
        <v>231410</v>
      </c>
      <c r="G2631" s="12">
        <f t="shared" si="176"/>
        <v>2018</v>
      </c>
      <c r="H2631" s="12">
        <f t="shared" si="177"/>
        <v>3</v>
      </c>
      <c r="I2631" s="11">
        <f t="shared" ref="I2631:I2694" si="178">+H2631+(G2631-2011)*12</f>
        <v>87</v>
      </c>
      <c r="J2631" s="11"/>
    </row>
    <row r="2632" spans="1:10" x14ac:dyDescent="0.25">
      <c r="A2632" s="2">
        <v>43170</v>
      </c>
      <c r="B2632" s="3">
        <v>462</v>
      </c>
      <c r="C2632" s="4">
        <v>217140</v>
      </c>
      <c r="D2632" s="3">
        <v>236</v>
      </c>
      <c r="E2632" s="4">
        <v>172280</v>
      </c>
      <c r="G2632" s="12">
        <f t="shared" si="176"/>
        <v>2018</v>
      </c>
      <c r="H2632" s="12">
        <f t="shared" si="177"/>
        <v>3</v>
      </c>
      <c r="I2632" s="11">
        <f t="shared" si="178"/>
        <v>87</v>
      </c>
      <c r="J2632" s="11"/>
    </row>
    <row r="2633" spans="1:10" x14ac:dyDescent="0.25">
      <c r="A2633" s="2">
        <v>43171</v>
      </c>
      <c r="B2633" s="3">
        <v>416</v>
      </c>
      <c r="C2633" s="4">
        <v>195520</v>
      </c>
      <c r="D2633" s="3">
        <v>321</v>
      </c>
      <c r="E2633" s="4">
        <v>234330</v>
      </c>
      <c r="G2633" s="12">
        <f t="shared" si="176"/>
        <v>2018</v>
      </c>
      <c r="H2633" s="12">
        <f t="shared" si="177"/>
        <v>3</v>
      </c>
      <c r="I2633" s="11">
        <f t="shared" si="178"/>
        <v>87</v>
      </c>
      <c r="J2633" s="11"/>
    </row>
    <row r="2634" spans="1:10" x14ac:dyDescent="0.25">
      <c r="A2634" s="2">
        <v>43172</v>
      </c>
      <c r="B2634" s="3">
        <v>472</v>
      </c>
      <c r="C2634" s="4">
        <v>221840</v>
      </c>
      <c r="D2634" s="3">
        <v>250</v>
      </c>
      <c r="E2634" s="4">
        <v>182500</v>
      </c>
      <c r="G2634" s="12">
        <f t="shared" si="176"/>
        <v>2018</v>
      </c>
      <c r="H2634" s="12">
        <f t="shared" si="177"/>
        <v>3</v>
      </c>
      <c r="I2634" s="11">
        <f t="shared" si="178"/>
        <v>87</v>
      </c>
      <c r="J2634" s="11"/>
    </row>
    <row r="2635" spans="1:10" x14ac:dyDescent="0.25">
      <c r="A2635" s="2">
        <v>43173</v>
      </c>
      <c r="B2635" s="3">
        <v>434</v>
      </c>
      <c r="C2635" s="4">
        <v>203980</v>
      </c>
      <c r="D2635" s="3">
        <v>329</v>
      </c>
      <c r="E2635" s="4">
        <v>240170</v>
      </c>
      <c r="G2635" s="12">
        <f t="shared" si="176"/>
        <v>2018</v>
      </c>
      <c r="H2635" s="12">
        <f t="shared" si="177"/>
        <v>3</v>
      </c>
      <c r="I2635" s="11">
        <f t="shared" si="178"/>
        <v>87</v>
      </c>
      <c r="J2635" s="11"/>
    </row>
    <row r="2636" spans="1:10" x14ac:dyDescent="0.25">
      <c r="A2636" s="2">
        <v>43174</v>
      </c>
      <c r="B2636" s="3">
        <v>535</v>
      </c>
      <c r="C2636" s="4">
        <v>251450</v>
      </c>
      <c r="D2636" s="3">
        <v>297</v>
      </c>
      <c r="E2636" s="4">
        <v>216810</v>
      </c>
      <c r="G2636" s="12">
        <f t="shared" si="176"/>
        <v>2018</v>
      </c>
      <c r="H2636" s="12">
        <f t="shared" si="177"/>
        <v>3</v>
      </c>
      <c r="I2636" s="11">
        <f t="shared" si="178"/>
        <v>87</v>
      </c>
      <c r="J2636" s="11"/>
    </row>
    <row r="2637" spans="1:10" x14ac:dyDescent="0.25">
      <c r="A2637" s="2">
        <v>43175</v>
      </c>
      <c r="B2637" s="3">
        <v>495</v>
      </c>
      <c r="C2637" s="4">
        <v>232650</v>
      </c>
      <c r="D2637" s="3">
        <v>331</v>
      </c>
      <c r="E2637" s="4">
        <v>241630</v>
      </c>
      <c r="G2637" s="12">
        <f t="shared" si="176"/>
        <v>2018</v>
      </c>
      <c r="H2637" s="12">
        <f t="shared" si="177"/>
        <v>3</v>
      </c>
      <c r="I2637" s="11">
        <f t="shared" si="178"/>
        <v>87</v>
      </c>
      <c r="J2637" s="11"/>
    </row>
    <row r="2638" spans="1:10" x14ac:dyDescent="0.25">
      <c r="A2638" s="2">
        <v>43176</v>
      </c>
      <c r="B2638" s="3">
        <v>482</v>
      </c>
      <c r="C2638" s="4">
        <v>226540</v>
      </c>
      <c r="D2638" s="3">
        <v>322</v>
      </c>
      <c r="E2638" s="4">
        <v>235060</v>
      </c>
      <c r="G2638" s="12">
        <f t="shared" si="176"/>
        <v>2018</v>
      </c>
      <c r="H2638" s="12">
        <f t="shared" si="177"/>
        <v>3</v>
      </c>
      <c r="I2638" s="11">
        <f t="shared" si="178"/>
        <v>87</v>
      </c>
      <c r="J2638" s="11"/>
    </row>
    <row r="2639" spans="1:10" x14ac:dyDescent="0.25">
      <c r="A2639" s="2">
        <v>43177</v>
      </c>
      <c r="B2639" s="3">
        <v>470</v>
      </c>
      <c r="C2639" s="4">
        <v>220900</v>
      </c>
      <c r="D2639" s="3">
        <v>296</v>
      </c>
      <c r="E2639" s="4">
        <v>216080</v>
      </c>
      <c r="G2639" s="12">
        <f t="shared" si="176"/>
        <v>2018</v>
      </c>
      <c r="H2639" s="12">
        <f t="shared" si="177"/>
        <v>3</v>
      </c>
      <c r="I2639" s="11">
        <f t="shared" si="178"/>
        <v>87</v>
      </c>
      <c r="J2639" s="11"/>
    </row>
    <row r="2640" spans="1:10" x14ac:dyDescent="0.25">
      <c r="A2640" s="2">
        <v>43178</v>
      </c>
      <c r="B2640" s="3">
        <v>480</v>
      </c>
      <c r="C2640" s="4">
        <v>225600</v>
      </c>
      <c r="D2640" s="3">
        <v>334</v>
      </c>
      <c r="E2640" s="4">
        <v>243820</v>
      </c>
      <c r="G2640" s="12">
        <f t="shared" si="176"/>
        <v>2018</v>
      </c>
      <c r="H2640" s="12">
        <f t="shared" si="177"/>
        <v>3</v>
      </c>
      <c r="I2640" s="11">
        <f t="shared" si="178"/>
        <v>87</v>
      </c>
      <c r="J2640" s="11"/>
    </row>
    <row r="2641" spans="1:10" x14ac:dyDescent="0.25">
      <c r="A2641" s="2">
        <v>43179</v>
      </c>
      <c r="B2641" s="3">
        <v>536</v>
      </c>
      <c r="C2641" s="4">
        <v>251920</v>
      </c>
      <c r="D2641" s="3">
        <v>285</v>
      </c>
      <c r="E2641" s="4">
        <v>208050</v>
      </c>
      <c r="G2641" s="12">
        <f t="shared" si="176"/>
        <v>2018</v>
      </c>
      <c r="H2641" s="12">
        <f t="shared" si="177"/>
        <v>3</v>
      </c>
      <c r="I2641" s="11">
        <f t="shared" si="178"/>
        <v>87</v>
      </c>
      <c r="J2641" s="11"/>
    </row>
    <row r="2642" spans="1:10" x14ac:dyDescent="0.25">
      <c r="A2642" s="2">
        <v>43180</v>
      </c>
      <c r="B2642" s="3">
        <v>394</v>
      </c>
      <c r="C2642" s="4">
        <v>185180</v>
      </c>
      <c r="D2642" s="3">
        <v>192</v>
      </c>
      <c r="E2642" s="4">
        <v>140160</v>
      </c>
      <c r="G2642" s="12">
        <f t="shared" si="176"/>
        <v>2018</v>
      </c>
      <c r="H2642" s="12">
        <f t="shared" si="177"/>
        <v>3</v>
      </c>
      <c r="I2642" s="11">
        <f t="shared" si="178"/>
        <v>87</v>
      </c>
      <c r="J2642" s="11"/>
    </row>
    <row r="2643" spans="1:10" x14ac:dyDescent="0.25">
      <c r="A2643" s="2">
        <v>43181</v>
      </c>
      <c r="B2643" s="3">
        <v>491</v>
      </c>
      <c r="C2643" s="4">
        <v>230770</v>
      </c>
      <c r="D2643" s="3">
        <v>322</v>
      </c>
      <c r="E2643" s="4">
        <v>235060</v>
      </c>
      <c r="G2643" s="12">
        <f t="shared" si="176"/>
        <v>2018</v>
      </c>
      <c r="H2643" s="12">
        <f t="shared" si="177"/>
        <v>3</v>
      </c>
      <c r="I2643" s="11">
        <f t="shared" si="178"/>
        <v>87</v>
      </c>
      <c r="J2643" s="11"/>
    </row>
    <row r="2644" spans="1:10" x14ac:dyDescent="0.25">
      <c r="A2644" s="2">
        <v>43182</v>
      </c>
      <c r="B2644" s="3">
        <v>435</v>
      </c>
      <c r="C2644" s="4">
        <v>204450</v>
      </c>
      <c r="D2644" s="3">
        <v>280</v>
      </c>
      <c r="E2644" s="4">
        <v>204400</v>
      </c>
      <c r="G2644" s="12">
        <f t="shared" si="176"/>
        <v>2018</v>
      </c>
      <c r="H2644" s="12">
        <f t="shared" si="177"/>
        <v>3</v>
      </c>
      <c r="I2644" s="11">
        <f t="shared" si="178"/>
        <v>87</v>
      </c>
      <c r="J2644" s="11"/>
    </row>
    <row r="2645" spans="1:10" x14ac:dyDescent="0.25">
      <c r="A2645" s="2">
        <v>43183</v>
      </c>
      <c r="B2645" s="3">
        <v>462</v>
      </c>
      <c r="C2645" s="4">
        <v>217140</v>
      </c>
      <c r="D2645" s="3">
        <v>298</v>
      </c>
      <c r="E2645" s="4">
        <v>217540</v>
      </c>
      <c r="G2645" s="12">
        <f t="shared" si="176"/>
        <v>2018</v>
      </c>
      <c r="H2645" s="12">
        <f t="shared" si="177"/>
        <v>3</v>
      </c>
      <c r="I2645" s="11">
        <f t="shared" si="178"/>
        <v>87</v>
      </c>
      <c r="J2645" s="11"/>
    </row>
    <row r="2646" spans="1:10" x14ac:dyDescent="0.25">
      <c r="A2646" s="2">
        <v>43184</v>
      </c>
      <c r="B2646" s="3">
        <v>476</v>
      </c>
      <c r="C2646" s="4">
        <v>223720</v>
      </c>
      <c r="D2646" s="3">
        <v>308</v>
      </c>
      <c r="E2646" s="4">
        <v>224840</v>
      </c>
      <c r="G2646" s="12">
        <f t="shared" si="176"/>
        <v>2018</v>
      </c>
      <c r="H2646" s="12">
        <f t="shared" si="177"/>
        <v>3</v>
      </c>
      <c r="I2646" s="11">
        <f t="shared" si="178"/>
        <v>87</v>
      </c>
      <c r="J2646" s="11"/>
    </row>
    <row r="2647" spans="1:10" x14ac:dyDescent="0.25">
      <c r="A2647" s="2">
        <v>43185</v>
      </c>
      <c r="B2647" s="3">
        <v>365</v>
      </c>
      <c r="C2647" s="4">
        <v>171550</v>
      </c>
      <c r="D2647" s="3">
        <v>295</v>
      </c>
      <c r="E2647" s="4">
        <v>215350</v>
      </c>
      <c r="G2647" s="12">
        <f t="shared" si="176"/>
        <v>2018</v>
      </c>
      <c r="H2647" s="12">
        <f t="shared" si="177"/>
        <v>3</v>
      </c>
      <c r="I2647" s="11">
        <f t="shared" si="178"/>
        <v>87</v>
      </c>
      <c r="J2647" s="11"/>
    </row>
    <row r="2648" spans="1:10" x14ac:dyDescent="0.25">
      <c r="A2648" s="2">
        <v>43186</v>
      </c>
      <c r="B2648" s="3">
        <v>420</v>
      </c>
      <c r="C2648" s="4">
        <v>197400</v>
      </c>
      <c r="D2648" s="3">
        <v>315</v>
      </c>
      <c r="E2648" s="4">
        <v>229950</v>
      </c>
      <c r="G2648" s="12">
        <f t="shared" si="176"/>
        <v>2018</v>
      </c>
      <c r="H2648" s="12">
        <f t="shared" si="177"/>
        <v>3</v>
      </c>
      <c r="I2648" s="11">
        <f t="shared" si="178"/>
        <v>87</v>
      </c>
      <c r="J2648" s="11"/>
    </row>
    <row r="2649" spans="1:10" x14ac:dyDescent="0.25">
      <c r="A2649" s="2">
        <v>43187</v>
      </c>
      <c r="B2649" s="3">
        <v>512</v>
      </c>
      <c r="C2649" s="4">
        <v>240640</v>
      </c>
      <c r="D2649" s="3">
        <v>309</v>
      </c>
      <c r="E2649" s="4">
        <v>225570</v>
      </c>
      <c r="G2649" s="12">
        <f t="shared" si="176"/>
        <v>2018</v>
      </c>
      <c r="H2649" s="12">
        <f t="shared" si="177"/>
        <v>3</v>
      </c>
      <c r="I2649" s="11">
        <f t="shared" si="178"/>
        <v>87</v>
      </c>
      <c r="J2649" s="11"/>
    </row>
    <row r="2650" spans="1:10" x14ac:dyDescent="0.25">
      <c r="A2650" s="2">
        <v>43188</v>
      </c>
      <c r="B2650" s="3">
        <v>475</v>
      </c>
      <c r="C2650" s="4">
        <v>223250</v>
      </c>
      <c r="D2650" s="3">
        <v>325</v>
      </c>
      <c r="E2650" s="4">
        <v>237250</v>
      </c>
      <c r="G2650" s="12">
        <f t="shared" si="176"/>
        <v>2018</v>
      </c>
      <c r="H2650" s="12">
        <f t="shared" si="177"/>
        <v>3</v>
      </c>
      <c r="I2650" s="11">
        <f t="shared" si="178"/>
        <v>87</v>
      </c>
      <c r="J2650" s="11"/>
    </row>
    <row r="2651" spans="1:10" x14ac:dyDescent="0.25">
      <c r="A2651" s="2">
        <v>43189</v>
      </c>
      <c r="B2651" s="3">
        <v>411</v>
      </c>
      <c r="C2651" s="4">
        <v>193170</v>
      </c>
      <c r="D2651" s="3">
        <v>286</v>
      </c>
      <c r="E2651" s="4">
        <v>208780</v>
      </c>
      <c r="G2651" s="12">
        <f t="shared" si="176"/>
        <v>2018</v>
      </c>
      <c r="H2651" s="12">
        <f t="shared" si="177"/>
        <v>3</v>
      </c>
      <c r="I2651" s="11">
        <f t="shared" si="178"/>
        <v>87</v>
      </c>
      <c r="J2651" s="11"/>
    </row>
    <row r="2652" spans="1:10" x14ac:dyDescent="0.25">
      <c r="A2652" s="2">
        <v>43190</v>
      </c>
      <c r="B2652" s="3">
        <v>493</v>
      </c>
      <c r="C2652" s="4">
        <v>231710</v>
      </c>
      <c r="D2652" s="3">
        <v>270</v>
      </c>
      <c r="E2652" s="4">
        <v>197100</v>
      </c>
      <c r="G2652" s="12">
        <f t="shared" si="176"/>
        <v>2018</v>
      </c>
      <c r="H2652" s="12">
        <f t="shared" si="177"/>
        <v>3</v>
      </c>
      <c r="I2652" s="11">
        <f t="shared" si="178"/>
        <v>87</v>
      </c>
      <c r="J2652" s="11"/>
    </row>
    <row r="2653" spans="1:10" x14ac:dyDescent="0.25">
      <c r="A2653" s="2">
        <v>43191</v>
      </c>
      <c r="B2653" s="3">
        <v>551</v>
      </c>
      <c r="C2653" s="4">
        <v>258970</v>
      </c>
      <c r="D2653" s="3">
        <v>628</v>
      </c>
      <c r="E2653" s="4">
        <v>458440</v>
      </c>
      <c r="G2653" s="12">
        <f t="shared" si="176"/>
        <v>2018</v>
      </c>
      <c r="H2653" s="12">
        <f t="shared" si="177"/>
        <v>4</v>
      </c>
      <c r="I2653" s="11">
        <f t="shared" si="178"/>
        <v>88</v>
      </c>
      <c r="J2653" s="11"/>
    </row>
    <row r="2654" spans="1:10" x14ac:dyDescent="0.25">
      <c r="A2654" s="2">
        <v>43192</v>
      </c>
      <c r="B2654" s="3">
        <v>552</v>
      </c>
      <c r="C2654" s="4">
        <v>259440</v>
      </c>
      <c r="D2654" s="3">
        <v>720</v>
      </c>
      <c r="E2654" s="4">
        <v>525600</v>
      </c>
      <c r="G2654" s="12">
        <f t="shared" si="176"/>
        <v>2018</v>
      </c>
      <c r="H2654" s="12">
        <f t="shared" si="177"/>
        <v>4</v>
      </c>
      <c r="I2654" s="11">
        <f t="shared" si="178"/>
        <v>88</v>
      </c>
      <c r="J2654" s="11"/>
    </row>
    <row r="2655" spans="1:10" x14ac:dyDescent="0.25">
      <c r="A2655" s="2">
        <v>43193</v>
      </c>
      <c r="B2655" s="3">
        <v>402</v>
      </c>
      <c r="C2655" s="4">
        <v>188940</v>
      </c>
      <c r="D2655" s="3">
        <v>707</v>
      </c>
      <c r="E2655" s="4">
        <v>516110</v>
      </c>
      <c r="G2655" s="12">
        <f t="shared" si="176"/>
        <v>2018</v>
      </c>
      <c r="H2655" s="12">
        <f t="shared" si="177"/>
        <v>4</v>
      </c>
      <c r="I2655" s="11">
        <f t="shared" si="178"/>
        <v>88</v>
      </c>
      <c r="J2655" s="11"/>
    </row>
    <row r="2656" spans="1:10" x14ac:dyDescent="0.25">
      <c r="A2656" s="2">
        <v>43194</v>
      </c>
      <c r="B2656" s="3">
        <v>488</v>
      </c>
      <c r="C2656" s="4">
        <v>229360</v>
      </c>
      <c r="D2656" s="3">
        <v>662</v>
      </c>
      <c r="E2656" s="4">
        <v>483260</v>
      </c>
      <c r="G2656" s="12">
        <f t="shared" si="176"/>
        <v>2018</v>
      </c>
      <c r="H2656" s="12">
        <f t="shared" si="177"/>
        <v>4</v>
      </c>
      <c r="I2656" s="11">
        <f t="shared" si="178"/>
        <v>88</v>
      </c>
      <c r="J2656" s="11"/>
    </row>
    <row r="2657" spans="1:10" x14ac:dyDescent="0.25">
      <c r="A2657" s="2">
        <v>43195</v>
      </c>
      <c r="B2657" s="3">
        <v>540</v>
      </c>
      <c r="C2657" s="4">
        <v>253800</v>
      </c>
      <c r="D2657" s="3">
        <v>714</v>
      </c>
      <c r="E2657" s="4">
        <v>521220</v>
      </c>
      <c r="G2657" s="12">
        <f t="shared" si="176"/>
        <v>2018</v>
      </c>
      <c r="H2657" s="12">
        <f t="shared" si="177"/>
        <v>4</v>
      </c>
      <c r="I2657" s="11">
        <f t="shared" si="178"/>
        <v>88</v>
      </c>
      <c r="J2657" s="11"/>
    </row>
    <row r="2658" spans="1:10" x14ac:dyDescent="0.25">
      <c r="A2658" s="2">
        <v>43196</v>
      </c>
      <c r="B2658" s="3">
        <v>552</v>
      </c>
      <c r="C2658" s="4">
        <v>259440</v>
      </c>
      <c r="D2658" s="3">
        <v>693</v>
      </c>
      <c r="E2658" s="4">
        <v>505890</v>
      </c>
      <c r="G2658" s="12">
        <f t="shared" si="176"/>
        <v>2018</v>
      </c>
      <c r="H2658" s="12">
        <f t="shared" si="177"/>
        <v>4</v>
      </c>
      <c r="I2658" s="11">
        <f t="shared" si="178"/>
        <v>88</v>
      </c>
      <c r="J2658" s="11"/>
    </row>
    <row r="2659" spans="1:10" x14ac:dyDescent="0.25">
      <c r="A2659" s="2">
        <v>43197</v>
      </c>
      <c r="B2659" s="3">
        <v>439</v>
      </c>
      <c r="C2659" s="4">
        <v>206330</v>
      </c>
      <c r="D2659" s="3">
        <v>646</v>
      </c>
      <c r="E2659" s="4">
        <v>471580</v>
      </c>
      <c r="G2659" s="12">
        <f t="shared" si="176"/>
        <v>2018</v>
      </c>
      <c r="H2659" s="12">
        <f t="shared" si="177"/>
        <v>4</v>
      </c>
      <c r="I2659" s="11">
        <f t="shared" si="178"/>
        <v>88</v>
      </c>
      <c r="J2659" s="11"/>
    </row>
    <row r="2660" spans="1:10" x14ac:dyDescent="0.25">
      <c r="A2660" s="2">
        <v>43198</v>
      </c>
      <c r="B2660" s="3">
        <v>429</v>
      </c>
      <c r="C2660" s="4">
        <v>201630</v>
      </c>
      <c r="D2660" s="3">
        <v>670</v>
      </c>
      <c r="E2660" s="4">
        <v>489100</v>
      </c>
      <c r="G2660" s="12">
        <f t="shared" si="176"/>
        <v>2018</v>
      </c>
      <c r="H2660" s="12">
        <f t="shared" si="177"/>
        <v>4</v>
      </c>
      <c r="I2660" s="11">
        <f t="shared" si="178"/>
        <v>88</v>
      </c>
      <c r="J2660" s="11"/>
    </row>
    <row r="2661" spans="1:10" x14ac:dyDescent="0.25">
      <c r="A2661" s="2">
        <v>43199</v>
      </c>
      <c r="B2661" s="3">
        <v>439</v>
      </c>
      <c r="C2661" s="4">
        <v>206330</v>
      </c>
      <c r="D2661" s="3">
        <v>580</v>
      </c>
      <c r="E2661" s="4">
        <v>423400</v>
      </c>
      <c r="G2661" s="12">
        <f t="shared" si="176"/>
        <v>2018</v>
      </c>
      <c r="H2661" s="12">
        <f t="shared" si="177"/>
        <v>4</v>
      </c>
      <c r="I2661" s="11">
        <f t="shared" si="178"/>
        <v>88</v>
      </c>
      <c r="J2661" s="11"/>
    </row>
    <row r="2662" spans="1:10" x14ac:dyDescent="0.25">
      <c r="A2662" s="2">
        <v>43200</v>
      </c>
      <c r="B2662" s="3">
        <v>423</v>
      </c>
      <c r="C2662" s="4">
        <v>198810</v>
      </c>
      <c r="D2662" s="3">
        <v>598</v>
      </c>
      <c r="E2662" s="4">
        <v>436540</v>
      </c>
      <c r="G2662" s="12">
        <f t="shared" si="176"/>
        <v>2018</v>
      </c>
      <c r="H2662" s="12">
        <f t="shared" si="177"/>
        <v>4</v>
      </c>
      <c r="I2662" s="11">
        <f t="shared" si="178"/>
        <v>88</v>
      </c>
      <c r="J2662" s="11"/>
    </row>
    <row r="2663" spans="1:10" x14ac:dyDescent="0.25">
      <c r="A2663" s="2">
        <v>43201</v>
      </c>
      <c r="B2663" s="3">
        <v>491</v>
      </c>
      <c r="C2663" s="4">
        <v>230770</v>
      </c>
      <c r="D2663" s="3">
        <v>662</v>
      </c>
      <c r="E2663" s="4">
        <v>483260</v>
      </c>
      <c r="G2663" s="12">
        <f t="shared" si="176"/>
        <v>2018</v>
      </c>
      <c r="H2663" s="12">
        <f t="shared" si="177"/>
        <v>4</v>
      </c>
      <c r="I2663" s="11">
        <f t="shared" si="178"/>
        <v>88</v>
      </c>
      <c r="J2663" s="11"/>
    </row>
    <row r="2664" spans="1:10" x14ac:dyDescent="0.25">
      <c r="A2664" s="2">
        <v>43202</v>
      </c>
      <c r="B2664" s="3">
        <v>471</v>
      </c>
      <c r="C2664" s="4">
        <v>221370</v>
      </c>
      <c r="D2664" s="3">
        <v>682</v>
      </c>
      <c r="E2664" s="4">
        <v>497860</v>
      </c>
      <c r="G2664" s="12">
        <f t="shared" si="176"/>
        <v>2018</v>
      </c>
      <c r="H2664" s="12">
        <f t="shared" si="177"/>
        <v>4</v>
      </c>
      <c r="I2664" s="11">
        <f t="shared" si="178"/>
        <v>88</v>
      </c>
      <c r="J2664" s="11"/>
    </row>
    <row r="2665" spans="1:10" x14ac:dyDescent="0.25">
      <c r="A2665" s="2">
        <v>43203</v>
      </c>
      <c r="B2665" s="3">
        <v>469</v>
      </c>
      <c r="C2665" s="4">
        <v>220430</v>
      </c>
      <c r="D2665" s="3">
        <v>629</v>
      </c>
      <c r="E2665" s="4">
        <v>459170</v>
      </c>
      <c r="G2665" s="12">
        <f t="shared" si="176"/>
        <v>2018</v>
      </c>
      <c r="H2665" s="12">
        <f t="shared" si="177"/>
        <v>4</v>
      </c>
      <c r="I2665" s="11">
        <f t="shared" si="178"/>
        <v>88</v>
      </c>
      <c r="J2665" s="11"/>
    </row>
    <row r="2666" spans="1:10" x14ac:dyDescent="0.25">
      <c r="A2666" s="2">
        <v>43204</v>
      </c>
      <c r="B2666" s="3">
        <v>417</v>
      </c>
      <c r="C2666" s="4">
        <v>195990</v>
      </c>
      <c r="D2666" s="3">
        <v>767</v>
      </c>
      <c r="E2666" s="4">
        <v>559910</v>
      </c>
      <c r="G2666" s="12">
        <f t="shared" si="176"/>
        <v>2018</v>
      </c>
      <c r="H2666" s="12">
        <f t="shared" si="177"/>
        <v>4</v>
      </c>
      <c r="I2666" s="11">
        <f t="shared" si="178"/>
        <v>88</v>
      </c>
      <c r="J2666" s="11"/>
    </row>
    <row r="2667" spans="1:10" x14ac:dyDescent="0.25">
      <c r="A2667" s="2">
        <v>43205</v>
      </c>
      <c r="B2667" s="3">
        <v>541</v>
      </c>
      <c r="C2667" s="4">
        <v>254270</v>
      </c>
      <c r="D2667" s="3">
        <v>607</v>
      </c>
      <c r="E2667" s="4">
        <v>443110</v>
      </c>
      <c r="G2667" s="12">
        <f t="shared" si="176"/>
        <v>2018</v>
      </c>
      <c r="H2667" s="12">
        <f t="shared" si="177"/>
        <v>4</v>
      </c>
      <c r="I2667" s="11">
        <f t="shared" si="178"/>
        <v>88</v>
      </c>
      <c r="J2667" s="11"/>
    </row>
    <row r="2668" spans="1:10" x14ac:dyDescent="0.25">
      <c r="A2668" s="2">
        <v>43206</v>
      </c>
      <c r="B2668" s="3">
        <v>499</v>
      </c>
      <c r="C2668" s="4">
        <v>234530</v>
      </c>
      <c r="D2668" s="3">
        <v>516</v>
      </c>
      <c r="E2668" s="4">
        <v>376680</v>
      </c>
      <c r="G2668" s="12">
        <f t="shared" si="176"/>
        <v>2018</v>
      </c>
      <c r="H2668" s="12">
        <f t="shared" si="177"/>
        <v>4</v>
      </c>
      <c r="I2668" s="11">
        <f t="shared" si="178"/>
        <v>88</v>
      </c>
      <c r="J2668" s="11"/>
    </row>
    <row r="2669" spans="1:10" x14ac:dyDescent="0.25">
      <c r="A2669" s="2">
        <v>43207</v>
      </c>
      <c r="B2669" s="3">
        <v>514</v>
      </c>
      <c r="C2669" s="4">
        <v>241580</v>
      </c>
      <c r="D2669" s="3">
        <v>655</v>
      </c>
      <c r="E2669" s="4">
        <v>478150</v>
      </c>
      <c r="G2669" s="12">
        <f t="shared" si="176"/>
        <v>2018</v>
      </c>
      <c r="H2669" s="12">
        <f t="shared" si="177"/>
        <v>4</v>
      </c>
      <c r="I2669" s="11">
        <f t="shared" si="178"/>
        <v>88</v>
      </c>
      <c r="J2669" s="11"/>
    </row>
    <row r="2670" spans="1:10" x14ac:dyDescent="0.25">
      <c r="A2670" s="2">
        <v>43208</v>
      </c>
      <c r="B2670" s="3">
        <v>424</v>
      </c>
      <c r="C2670" s="4">
        <v>199280</v>
      </c>
      <c r="D2670" s="3">
        <v>669</v>
      </c>
      <c r="E2670" s="4">
        <v>488370</v>
      </c>
      <c r="G2670" s="12">
        <f t="shared" si="176"/>
        <v>2018</v>
      </c>
      <c r="H2670" s="12">
        <f t="shared" si="177"/>
        <v>4</v>
      </c>
      <c r="I2670" s="11">
        <f t="shared" si="178"/>
        <v>88</v>
      </c>
      <c r="J2670" s="11"/>
    </row>
    <row r="2671" spans="1:10" x14ac:dyDescent="0.25">
      <c r="A2671" s="2">
        <v>43209</v>
      </c>
      <c r="B2671" s="3">
        <v>456</v>
      </c>
      <c r="C2671" s="4">
        <v>214320</v>
      </c>
      <c r="D2671" s="3">
        <v>624</v>
      </c>
      <c r="E2671" s="4">
        <v>455520</v>
      </c>
      <c r="G2671" s="12">
        <f t="shared" si="176"/>
        <v>2018</v>
      </c>
      <c r="H2671" s="12">
        <f t="shared" si="177"/>
        <v>4</v>
      </c>
      <c r="I2671" s="11">
        <f t="shared" si="178"/>
        <v>88</v>
      </c>
      <c r="J2671" s="11"/>
    </row>
    <row r="2672" spans="1:10" x14ac:dyDescent="0.25">
      <c r="A2672" s="2">
        <v>43210</v>
      </c>
      <c r="B2672" s="3">
        <v>477</v>
      </c>
      <c r="C2672" s="4">
        <v>224190</v>
      </c>
      <c r="D2672" s="3">
        <v>639</v>
      </c>
      <c r="E2672" s="4">
        <v>466470</v>
      </c>
      <c r="G2672" s="12">
        <f t="shared" si="176"/>
        <v>2018</v>
      </c>
      <c r="H2672" s="12">
        <f t="shared" si="177"/>
        <v>4</v>
      </c>
      <c r="I2672" s="11">
        <f t="shared" si="178"/>
        <v>88</v>
      </c>
      <c r="J2672" s="11"/>
    </row>
    <row r="2673" spans="1:10" x14ac:dyDescent="0.25">
      <c r="A2673" s="2">
        <v>43211</v>
      </c>
      <c r="B2673" s="3">
        <v>530</v>
      </c>
      <c r="C2673" s="4">
        <v>249100</v>
      </c>
      <c r="D2673" s="3">
        <v>731</v>
      </c>
      <c r="E2673" s="4">
        <v>533630</v>
      </c>
      <c r="G2673" s="12">
        <f t="shared" si="176"/>
        <v>2018</v>
      </c>
      <c r="H2673" s="12">
        <f t="shared" si="177"/>
        <v>4</v>
      </c>
      <c r="I2673" s="11">
        <f t="shared" si="178"/>
        <v>88</v>
      </c>
      <c r="J2673" s="11"/>
    </row>
    <row r="2674" spans="1:10" x14ac:dyDescent="0.25">
      <c r="A2674" s="2">
        <v>43212</v>
      </c>
      <c r="B2674" s="3">
        <v>397</v>
      </c>
      <c r="C2674" s="4">
        <v>186590</v>
      </c>
      <c r="D2674" s="3">
        <v>584</v>
      </c>
      <c r="E2674" s="4">
        <v>426320</v>
      </c>
      <c r="G2674" s="12">
        <f t="shared" si="176"/>
        <v>2018</v>
      </c>
      <c r="H2674" s="12">
        <f t="shared" si="177"/>
        <v>4</v>
      </c>
      <c r="I2674" s="11">
        <f t="shared" si="178"/>
        <v>88</v>
      </c>
      <c r="J2674" s="11"/>
    </row>
    <row r="2675" spans="1:10" x14ac:dyDescent="0.25">
      <c r="A2675" s="2">
        <v>43213</v>
      </c>
      <c r="B2675" s="3">
        <v>481</v>
      </c>
      <c r="C2675" s="4">
        <v>226070</v>
      </c>
      <c r="D2675" s="3">
        <v>681</v>
      </c>
      <c r="E2675" s="4">
        <v>497130</v>
      </c>
      <c r="G2675" s="12">
        <f t="shared" si="176"/>
        <v>2018</v>
      </c>
      <c r="H2675" s="12">
        <f t="shared" si="177"/>
        <v>4</v>
      </c>
      <c r="I2675" s="11">
        <f t="shared" si="178"/>
        <v>88</v>
      </c>
      <c r="J2675" s="11"/>
    </row>
    <row r="2676" spans="1:10" x14ac:dyDescent="0.25">
      <c r="A2676" s="2">
        <v>43214</v>
      </c>
      <c r="B2676" s="3">
        <v>512</v>
      </c>
      <c r="C2676" s="4">
        <v>240640</v>
      </c>
      <c r="D2676" s="3">
        <v>660</v>
      </c>
      <c r="E2676" s="4">
        <v>481800</v>
      </c>
      <c r="G2676" s="12">
        <f t="shared" si="176"/>
        <v>2018</v>
      </c>
      <c r="H2676" s="12">
        <f t="shared" si="177"/>
        <v>4</v>
      </c>
      <c r="I2676" s="11">
        <f t="shared" si="178"/>
        <v>88</v>
      </c>
      <c r="J2676" s="11"/>
    </row>
    <row r="2677" spans="1:10" x14ac:dyDescent="0.25">
      <c r="A2677" s="2">
        <v>43215</v>
      </c>
      <c r="B2677" s="3">
        <v>503</v>
      </c>
      <c r="C2677" s="4">
        <v>236410</v>
      </c>
      <c r="D2677" s="3">
        <v>734</v>
      </c>
      <c r="E2677" s="4">
        <v>535820</v>
      </c>
      <c r="G2677" s="12">
        <f t="shared" si="176"/>
        <v>2018</v>
      </c>
      <c r="H2677" s="12">
        <f t="shared" si="177"/>
        <v>4</v>
      </c>
      <c r="I2677" s="11">
        <f t="shared" si="178"/>
        <v>88</v>
      </c>
      <c r="J2677" s="11"/>
    </row>
    <row r="2678" spans="1:10" x14ac:dyDescent="0.25">
      <c r="A2678" s="2">
        <v>43216</v>
      </c>
      <c r="B2678" s="3">
        <v>450</v>
      </c>
      <c r="C2678" s="4">
        <v>211500</v>
      </c>
      <c r="D2678" s="3">
        <v>683</v>
      </c>
      <c r="E2678" s="4">
        <v>498590</v>
      </c>
      <c r="G2678" s="12">
        <f t="shared" si="176"/>
        <v>2018</v>
      </c>
      <c r="H2678" s="12">
        <f t="shared" si="177"/>
        <v>4</v>
      </c>
      <c r="I2678" s="11">
        <f t="shared" si="178"/>
        <v>88</v>
      </c>
      <c r="J2678" s="11"/>
    </row>
    <row r="2679" spans="1:10" x14ac:dyDescent="0.25">
      <c r="A2679" s="2">
        <v>43217</v>
      </c>
      <c r="B2679" s="3">
        <v>483</v>
      </c>
      <c r="C2679" s="4">
        <v>227010</v>
      </c>
      <c r="D2679" s="3">
        <v>662</v>
      </c>
      <c r="E2679" s="4">
        <v>483260</v>
      </c>
      <c r="G2679" s="12">
        <f t="shared" si="176"/>
        <v>2018</v>
      </c>
      <c r="H2679" s="12">
        <f t="shared" si="177"/>
        <v>4</v>
      </c>
      <c r="I2679" s="11">
        <f t="shared" si="178"/>
        <v>88</v>
      </c>
      <c r="J2679" s="11"/>
    </row>
    <row r="2680" spans="1:10" x14ac:dyDescent="0.25">
      <c r="A2680" s="2">
        <v>43218</v>
      </c>
      <c r="B2680" s="3">
        <v>370</v>
      </c>
      <c r="C2680" s="4">
        <v>173900</v>
      </c>
      <c r="D2680" s="3">
        <v>573</v>
      </c>
      <c r="E2680" s="4">
        <v>418290</v>
      </c>
      <c r="G2680" s="12">
        <f t="shared" si="176"/>
        <v>2018</v>
      </c>
      <c r="H2680" s="12">
        <f t="shared" si="177"/>
        <v>4</v>
      </c>
      <c r="I2680" s="11">
        <f t="shared" si="178"/>
        <v>88</v>
      </c>
      <c r="J2680" s="11"/>
    </row>
    <row r="2681" spans="1:10" x14ac:dyDescent="0.25">
      <c r="A2681" s="2">
        <v>43219</v>
      </c>
      <c r="B2681" s="3">
        <v>518</v>
      </c>
      <c r="C2681" s="4">
        <v>243460</v>
      </c>
      <c r="D2681" s="3">
        <v>711</v>
      </c>
      <c r="E2681" s="4">
        <v>519030</v>
      </c>
      <c r="G2681" s="12">
        <f t="shared" si="176"/>
        <v>2018</v>
      </c>
      <c r="H2681" s="12">
        <f t="shared" si="177"/>
        <v>4</v>
      </c>
      <c r="I2681" s="11">
        <f t="shared" si="178"/>
        <v>88</v>
      </c>
      <c r="J2681" s="11"/>
    </row>
    <row r="2682" spans="1:10" x14ac:dyDescent="0.25">
      <c r="A2682" s="2">
        <v>43220</v>
      </c>
      <c r="B2682" s="3">
        <v>410</v>
      </c>
      <c r="C2682" s="4">
        <v>192700</v>
      </c>
      <c r="D2682" s="3">
        <v>637</v>
      </c>
      <c r="E2682" s="4">
        <v>465010</v>
      </c>
      <c r="G2682" s="12">
        <f t="shared" si="176"/>
        <v>2018</v>
      </c>
      <c r="H2682" s="12">
        <f t="shared" si="177"/>
        <v>4</v>
      </c>
      <c r="I2682" s="11">
        <f t="shared" si="178"/>
        <v>88</v>
      </c>
      <c r="J2682" s="11"/>
    </row>
    <row r="2683" spans="1:10" x14ac:dyDescent="0.25">
      <c r="A2683" s="2">
        <v>43221</v>
      </c>
      <c r="B2683" s="3">
        <v>442</v>
      </c>
      <c r="C2683" s="4">
        <v>207740</v>
      </c>
      <c r="D2683" s="3">
        <v>624</v>
      </c>
      <c r="E2683" s="4">
        <v>455520</v>
      </c>
      <c r="G2683" s="12">
        <f t="shared" si="176"/>
        <v>2018</v>
      </c>
      <c r="H2683" s="12">
        <f t="shared" si="177"/>
        <v>5</v>
      </c>
      <c r="I2683" s="11">
        <f t="shared" si="178"/>
        <v>89</v>
      </c>
      <c r="J2683" s="11"/>
    </row>
    <row r="2684" spans="1:10" x14ac:dyDescent="0.25">
      <c r="A2684" s="2">
        <v>43222</v>
      </c>
      <c r="B2684" s="3">
        <v>450</v>
      </c>
      <c r="C2684" s="4">
        <v>211500</v>
      </c>
      <c r="D2684" s="3">
        <v>568</v>
      </c>
      <c r="E2684" s="4">
        <v>414640</v>
      </c>
      <c r="G2684" s="12">
        <f t="shared" si="176"/>
        <v>2018</v>
      </c>
      <c r="H2684" s="12">
        <f t="shared" si="177"/>
        <v>5</v>
      </c>
      <c r="I2684" s="11">
        <f t="shared" si="178"/>
        <v>89</v>
      </c>
      <c r="J2684" s="11"/>
    </row>
    <row r="2685" spans="1:10" x14ac:dyDescent="0.25">
      <c r="A2685" s="2">
        <v>43223</v>
      </c>
      <c r="B2685" s="3">
        <v>487</v>
      </c>
      <c r="C2685" s="4">
        <v>228890</v>
      </c>
      <c r="D2685" s="3">
        <v>798</v>
      </c>
      <c r="E2685" s="4">
        <v>582540</v>
      </c>
      <c r="G2685" s="12">
        <f t="shared" si="176"/>
        <v>2018</v>
      </c>
      <c r="H2685" s="12">
        <f t="shared" si="177"/>
        <v>5</v>
      </c>
      <c r="I2685" s="11">
        <f t="shared" si="178"/>
        <v>89</v>
      </c>
      <c r="J2685" s="11"/>
    </row>
    <row r="2686" spans="1:10" x14ac:dyDescent="0.25">
      <c r="A2686" s="2">
        <v>43224</v>
      </c>
      <c r="B2686" s="3">
        <v>508</v>
      </c>
      <c r="C2686" s="4">
        <v>238760</v>
      </c>
      <c r="D2686" s="3">
        <v>596</v>
      </c>
      <c r="E2686" s="4">
        <v>435080</v>
      </c>
      <c r="G2686" s="12">
        <f t="shared" si="176"/>
        <v>2018</v>
      </c>
      <c r="H2686" s="12">
        <f t="shared" si="177"/>
        <v>5</v>
      </c>
      <c r="I2686" s="11">
        <f t="shared" si="178"/>
        <v>89</v>
      </c>
      <c r="J2686" s="11"/>
    </row>
    <row r="2687" spans="1:10" x14ac:dyDescent="0.25">
      <c r="A2687" s="2">
        <v>43225</v>
      </c>
      <c r="B2687" s="3">
        <v>480</v>
      </c>
      <c r="C2687" s="4">
        <v>225600</v>
      </c>
      <c r="D2687" s="3">
        <v>611</v>
      </c>
      <c r="E2687" s="4">
        <v>446030</v>
      </c>
      <c r="G2687" s="12">
        <f t="shared" si="176"/>
        <v>2018</v>
      </c>
      <c r="H2687" s="12">
        <f t="shared" si="177"/>
        <v>5</v>
      </c>
      <c r="I2687" s="11">
        <f t="shared" si="178"/>
        <v>89</v>
      </c>
      <c r="J2687" s="11"/>
    </row>
    <row r="2688" spans="1:10" x14ac:dyDescent="0.25">
      <c r="A2688" s="2">
        <v>43226</v>
      </c>
      <c r="B2688" s="3">
        <v>437</v>
      </c>
      <c r="C2688" s="4">
        <v>205390</v>
      </c>
      <c r="D2688" s="3">
        <v>615</v>
      </c>
      <c r="E2688" s="4">
        <v>448950</v>
      </c>
      <c r="G2688" s="12">
        <f t="shared" si="176"/>
        <v>2018</v>
      </c>
      <c r="H2688" s="12">
        <f t="shared" si="177"/>
        <v>5</v>
      </c>
      <c r="I2688" s="11">
        <f t="shared" si="178"/>
        <v>89</v>
      </c>
      <c r="J2688" s="11"/>
    </row>
    <row r="2689" spans="1:10" x14ac:dyDescent="0.25">
      <c r="A2689" s="2">
        <v>43227</v>
      </c>
      <c r="B2689" s="3">
        <v>456</v>
      </c>
      <c r="C2689" s="4">
        <v>214320</v>
      </c>
      <c r="D2689" s="3">
        <v>635</v>
      </c>
      <c r="E2689" s="4">
        <v>463550</v>
      </c>
      <c r="G2689" s="12">
        <f t="shared" si="176"/>
        <v>2018</v>
      </c>
      <c r="H2689" s="12">
        <f t="shared" si="177"/>
        <v>5</v>
      </c>
      <c r="I2689" s="11">
        <f t="shared" si="178"/>
        <v>89</v>
      </c>
      <c r="J2689" s="11"/>
    </row>
    <row r="2690" spans="1:10" x14ac:dyDescent="0.25">
      <c r="A2690" s="2">
        <v>43228</v>
      </c>
      <c r="B2690" s="3">
        <v>450</v>
      </c>
      <c r="C2690" s="4">
        <v>211500</v>
      </c>
      <c r="D2690" s="3">
        <v>700</v>
      </c>
      <c r="E2690" s="4">
        <v>511000</v>
      </c>
      <c r="G2690" s="12">
        <f t="shared" si="176"/>
        <v>2018</v>
      </c>
      <c r="H2690" s="12">
        <f t="shared" si="177"/>
        <v>5</v>
      </c>
      <c r="I2690" s="11">
        <f t="shared" si="178"/>
        <v>89</v>
      </c>
      <c r="J2690" s="11"/>
    </row>
    <row r="2691" spans="1:10" x14ac:dyDescent="0.25">
      <c r="A2691" s="2">
        <v>43229</v>
      </c>
      <c r="B2691" s="3">
        <v>592</v>
      </c>
      <c r="C2691" s="4">
        <v>278240</v>
      </c>
      <c r="D2691" s="3">
        <v>613</v>
      </c>
      <c r="E2691" s="4">
        <v>447490</v>
      </c>
      <c r="G2691" s="12">
        <f t="shared" si="176"/>
        <v>2018</v>
      </c>
      <c r="H2691" s="12">
        <f t="shared" si="177"/>
        <v>5</v>
      </c>
      <c r="I2691" s="11">
        <f t="shared" si="178"/>
        <v>89</v>
      </c>
      <c r="J2691" s="11"/>
    </row>
    <row r="2692" spans="1:10" x14ac:dyDescent="0.25">
      <c r="A2692" s="2">
        <v>43230</v>
      </c>
      <c r="B2692" s="3">
        <v>420</v>
      </c>
      <c r="C2692" s="4">
        <v>197400</v>
      </c>
      <c r="D2692" s="3">
        <v>755</v>
      </c>
      <c r="E2692" s="4">
        <v>551150</v>
      </c>
      <c r="G2692" s="12">
        <f t="shared" si="176"/>
        <v>2018</v>
      </c>
      <c r="H2692" s="12">
        <f t="shared" si="177"/>
        <v>5</v>
      </c>
      <c r="I2692" s="11">
        <f t="shared" si="178"/>
        <v>89</v>
      </c>
      <c r="J2692" s="11"/>
    </row>
    <row r="2693" spans="1:10" x14ac:dyDescent="0.25">
      <c r="A2693" s="2">
        <v>43231</v>
      </c>
      <c r="B2693" s="3">
        <v>537</v>
      </c>
      <c r="C2693" s="4">
        <v>252390</v>
      </c>
      <c r="D2693" s="3">
        <v>625</v>
      </c>
      <c r="E2693" s="4">
        <v>456250</v>
      </c>
      <c r="G2693" s="12">
        <f t="shared" si="176"/>
        <v>2018</v>
      </c>
      <c r="H2693" s="12">
        <f t="shared" si="177"/>
        <v>5</v>
      </c>
      <c r="I2693" s="11">
        <f t="shared" si="178"/>
        <v>89</v>
      </c>
      <c r="J2693" s="11"/>
    </row>
    <row r="2694" spans="1:10" x14ac:dyDescent="0.25">
      <c r="A2694" s="2">
        <v>43232</v>
      </c>
      <c r="B2694" s="3">
        <v>542</v>
      </c>
      <c r="C2694" s="4">
        <v>254740</v>
      </c>
      <c r="D2694" s="3">
        <v>780</v>
      </c>
      <c r="E2694" s="4">
        <v>569400</v>
      </c>
      <c r="G2694" s="12">
        <f t="shared" ref="G2694:G2757" si="179">+YEAR(A2694)</f>
        <v>2018</v>
      </c>
      <c r="H2694" s="12">
        <f t="shared" ref="H2694:H2757" si="180">+MONTH(A2694)</f>
        <v>5</v>
      </c>
      <c r="I2694" s="11">
        <f t="shared" si="178"/>
        <v>89</v>
      </c>
      <c r="J2694" s="11"/>
    </row>
    <row r="2695" spans="1:10" x14ac:dyDescent="0.25">
      <c r="A2695" s="2">
        <v>43233</v>
      </c>
      <c r="B2695" s="3">
        <v>417</v>
      </c>
      <c r="C2695" s="4">
        <v>195990</v>
      </c>
      <c r="D2695" s="3">
        <v>610</v>
      </c>
      <c r="E2695" s="4">
        <v>445300</v>
      </c>
      <c r="G2695" s="12">
        <f t="shared" si="179"/>
        <v>2018</v>
      </c>
      <c r="H2695" s="12">
        <f t="shared" si="180"/>
        <v>5</v>
      </c>
      <c r="I2695" s="11">
        <f t="shared" ref="I2695:I2758" si="181">+H2695+(G2695-2011)*12</f>
        <v>89</v>
      </c>
      <c r="J2695" s="11"/>
    </row>
    <row r="2696" spans="1:10" x14ac:dyDescent="0.25">
      <c r="A2696" s="2">
        <v>43234</v>
      </c>
      <c r="B2696" s="3">
        <v>464</v>
      </c>
      <c r="C2696" s="4">
        <v>218080</v>
      </c>
      <c r="D2696" s="3">
        <v>619</v>
      </c>
      <c r="E2696" s="4">
        <v>451870</v>
      </c>
      <c r="G2696" s="12">
        <f t="shared" si="179"/>
        <v>2018</v>
      </c>
      <c r="H2696" s="12">
        <f t="shared" si="180"/>
        <v>5</v>
      </c>
      <c r="I2696" s="11">
        <f t="shared" si="181"/>
        <v>89</v>
      </c>
      <c r="J2696" s="11"/>
    </row>
    <row r="2697" spans="1:10" x14ac:dyDescent="0.25">
      <c r="A2697" s="2">
        <v>43235</v>
      </c>
      <c r="B2697" s="3">
        <v>482</v>
      </c>
      <c r="C2697" s="4">
        <v>226540</v>
      </c>
      <c r="D2697" s="3">
        <v>658</v>
      </c>
      <c r="E2697" s="4">
        <v>480340</v>
      </c>
      <c r="G2697" s="12">
        <f t="shared" si="179"/>
        <v>2018</v>
      </c>
      <c r="H2697" s="12">
        <f t="shared" si="180"/>
        <v>5</v>
      </c>
      <c r="I2697" s="11">
        <f t="shared" si="181"/>
        <v>89</v>
      </c>
      <c r="J2697" s="11"/>
    </row>
    <row r="2698" spans="1:10" x14ac:dyDescent="0.25">
      <c r="A2698" s="2">
        <v>43236</v>
      </c>
      <c r="B2698" s="3">
        <v>437</v>
      </c>
      <c r="C2698" s="4">
        <v>205390</v>
      </c>
      <c r="D2698" s="3">
        <v>748</v>
      </c>
      <c r="E2698" s="4">
        <v>546040</v>
      </c>
      <c r="G2698" s="12">
        <f t="shared" si="179"/>
        <v>2018</v>
      </c>
      <c r="H2698" s="12">
        <f t="shared" si="180"/>
        <v>5</v>
      </c>
      <c r="I2698" s="11">
        <f t="shared" si="181"/>
        <v>89</v>
      </c>
      <c r="J2698" s="11"/>
    </row>
    <row r="2699" spans="1:10" x14ac:dyDescent="0.25">
      <c r="A2699" s="2">
        <v>43237</v>
      </c>
      <c r="B2699" s="3">
        <v>493</v>
      </c>
      <c r="C2699" s="4">
        <v>231710</v>
      </c>
      <c r="D2699" s="3">
        <v>666</v>
      </c>
      <c r="E2699" s="4">
        <v>486180</v>
      </c>
      <c r="G2699" s="12">
        <f t="shared" si="179"/>
        <v>2018</v>
      </c>
      <c r="H2699" s="12">
        <f t="shared" si="180"/>
        <v>5</v>
      </c>
      <c r="I2699" s="11">
        <f t="shared" si="181"/>
        <v>89</v>
      </c>
      <c r="J2699" s="11"/>
    </row>
    <row r="2700" spans="1:10" x14ac:dyDescent="0.25">
      <c r="A2700" s="2">
        <v>43238</v>
      </c>
      <c r="B2700" s="3">
        <v>446</v>
      </c>
      <c r="C2700" s="4">
        <v>209620</v>
      </c>
      <c r="D2700" s="3">
        <v>746</v>
      </c>
      <c r="E2700" s="4">
        <v>544580</v>
      </c>
      <c r="G2700" s="12">
        <f t="shared" si="179"/>
        <v>2018</v>
      </c>
      <c r="H2700" s="12">
        <f t="shared" si="180"/>
        <v>5</v>
      </c>
      <c r="I2700" s="11">
        <f t="shared" si="181"/>
        <v>89</v>
      </c>
      <c r="J2700" s="11"/>
    </row>
    <row r="2701" spans="1:10" x14ac:dyDescent="0.25">
      <c r="A2701" s="2">
        <v>43239</v>
      </c>
      <c r="B2701" s="3">
        <v>463</v>
      </c>
      <c r="C2701" s="4">
        <v>217610</v>
      </c>
      <c r="D2701" s="3">
        <v>591</v>
      </c>
      <c r="E2701" s="4">
        <v>431430</v>
      </c>
      <c r="G2701" s="12">
        <f t="shared" si="179"/>
        <v>2018</v>
      </c>
      <c r="H2701" s="12">
        <f t="shared" si="180"/>
        <v>5</v>
      </c>
      <c r="I2701" s="11">
        <f t="shared" si="181"/>
        <v>89</v>
      </c>
      <c r="J2701" s="11"/>
    </row>
    <row r="2702" spans="1:10" x14ac:dyDescent="0.25">
      <c r="A2702" s="2">
        <v>43240</v>
      </c>
      <c r="B2702" s="3">
        <v>467</v>
      </c>
      <c r="C2702" s="4">
        <v>219490</v>
      </c>
      <c r="D2702" s="3">
        <v>744</v>
      </c>
      <c r="E2702" s="4">
        <v>543120</v>
      </c>
      <c r="G2702" s="12">
        <f t="shared" si="179"/>
        <v>2018</v>
      </c>
      <c r="H2702" s="12">
        <f t="shared" si="180"/>
        <v>5</v>
      </c>
      <c r="I2702" s="11">
        <f t="shared" si="181"/>
        <v>89</v>
      </c>
      <c r="J2702" s="11"/>
    </row>
    <row r="2703" spans="1:10" x14ac:dyDescent="0.25">
      <c r="A2703" s="2">
        <v>43241</v>
      </c>
      <c r="B2703" s="3">
        <v>440</v>
      </c>
      <c r="C2703" s="4">
        <v>206800</v>
      </c>
      <c r="D2703" s="3">
        <v>769</v>
      </c>
      <c r="E2703" s="4">
        <v>561370</v>
      </c>
      <c r="G2703" s="12">
        <f t="shared" si="179"/>
        <v>2018</v>
      </c>
      <c r="H2703" s="12">
        <f t="shared" si="180"/>
        <v>5</v>
      </c>
      <c r="I2703" s="11">
        <f t="shared" si="181"/>
        <v>89</v>
      </c>
      <c r="J2703" s="11"/>
    </row>
    <row r="2704" spans="1:10" x14ac:dyDescent="0.25">
      <c r="A2704" s="2">
        <v>43242</v>
      </c>
      <c r="B2704" s="3">
        <v>429</v>
      </c>
      <c r="C2704" s="4">
        <v>201630</v>
      </c>
      <c r="D2704" s="3">
        <v>728</v>
      </c>
      <c r="E2704" s="4">
        <v>531440</v>
      </c>
      <c r="G2704" s="12">
        <f t="shared" si="179"/>
        <v>2018</v>
      </c>
      <c r="H2704" s="12">
        <f t="shared" si="180"/>
        <v>5</v>
      </c>
      <c r="I2704" s="11">
        <f t="shared" si="181"/>
        <v>89</v>
      </c>
      <c r="J2704" s="11"/>
    </row>
    <row r="2705" spans="1:10" x14ac:dyDescent="0.25">
      <c r="A2705" s="2">
        <v>43243</v>
      </c>
      <c r="B2705" s="3">
        <v>521</v>
      </c>
      <c r="C2705" s="4">
        <v>244870</v>
      </c>
      <c r="D2705" s="3">
        <v>676</v>
      </c>
      <c r="E2705" s="4">
        <v>493480</v>
      </c>
      <c r="G2705" s="12">
        <f t="shared" si="179"/>
        <v>2018</v>
      </c>
      <c r="H2705" s="12">
        <f t="shared" si="180"/>
        <v>5</v>
      </c>
      <c r="I2705" s="11">
        <f t="shared" si="181"/>
        <v>89</v>
      </c>
      <c r="J2705" s="11"/>
    </row>
    <row r="2706" spans="1:10" x14ac:dyDescent="0.25">
      <c r="A2706" s="2">
        <v>43244</v>
      </c>
      <c r="B2706" s="3">
        <v>521</v>
      </c>
      <c r="C2706" s="4">
        <v>244870</v>
      </c>
      <c r="D2706" s="3">
        <v>631</v>
      </c>
      <c r="E2706" s="4">
        <v>460630</v>
      </c>
      <c r="G2706" s="12">
        <f t="shared" si="179"/>
        <v>2018</v>
      </c>
      <c r="H2706" s="12">
        <f t="shared" si="180"/>
        <v>5</v>
      </c>
      <c r="I2706" s="11">
        <f t="shared" si="181"/>
        <v>89</v>
      </c>
      <c r="J2706" s="11"/>
    </row>
    <row r="2707" spans="1:10" x14ac:dyDescent="0.25">
      <c r="A2707" s="2">
        <v>43245</v>
      </c>
      <c r="B2707" s="3">
        <v>513</v>
      </c>
      <c r="C2707" s="4">
        <v>241110</v>
      </c>
      <c r="D2707" s="3">
        <v>695</v>
      </c>
      <c r="E2707" s="4">
        <v>507350</v>
      </c>
      <c r="G2707" s="12">
        <f t="shared" si="179"/>
        <v>2018</v>
      </c>
      <c r="H2707" s="12">
        <f t="shared" si="180"/>
        <v>5</v>
      </c>
      <c r="I2707" s="11">
        <f t="shared" si="181"/>
        <v>89</v>
      </c>
      <c r="J2707" s="11"/>
    </row>
    <row r="2708" spans="1:10" x14ac:dyDescent="0.25">
      <c r="A2708" s="2">
        <v>43246</v>
      </c>
      <c r="B2708" s="3">
        <v>439</v>
      </c>
      <c r="C2708" s="4">
        <v>206330</v>
      </c>
      <c r="D2708" s="3">
        <v>699</v>
      </c>
      <c r="E2708" s="4">
        <v>510270</v>
      </c>
      <c r="G2708" s="12">
        <f t="shared" si="179"/>
        <v>2018</v>
      </c>
      <c r="H2708" s="12">
        <f t="shared" si="180"/>
        <v>5</v>
      </c>
      <c r="I2708" s="11">
        <f t="shared" si="181"/>
        <v>89</v>
      </c>
      <c r="J2708" s="11"/>
    </row>
    <row r="2709" spans="1:10" x14ac:dyDescent="0.25">
      <c r="A2709" s="2">
        <v>43247</v>
      </c>
      <c r="B2709" s="3">
        <v>512</v>
      </c>
      <c r="C2709" s="4">
        <v>240640</v>
      </c>
      <c r="D2709" s="3">
        <v>626</v>
      </c>
      <c r="E2709" s="4">
        <v>456980</v>
      </c>
      <c r="G2709" s="12">
        <f t="shared" si="179"/>
        <v>2018</v>
      </c>
      <c r="H2709" s="12">
        <f t="shared" si="180"/>
        <v>5</v>
      </c>
      <c r="I2709" s="11">
        <f t="shared" si="181"/>
        <v>89</v>
      </c>
      <c r="J2709" s="11"/>
    </row>
    <row r="2710" spans="1:10" x14ac:dyDescent="0.25">
      <c r="A2710" s="2">
        <v>43248</v>
      </c>
      <c r="B2710" s="3">
        <v>516</v>
      </c>
      <c r="C2710" s="4">
        <v>242520</v>
      </c>
      <c r="D2710" s="3">
        <v>638</v>
      </c>
      <c r="E2710" s="4">
        <v>465740</v>
      </c>
      <c r="G2710" s="12">
        <f t="shared" si="179"/>
        <v>2018</v>
      </c>
      <c r="H2710" s="12">
        <f t="shared" si="180"/>
        <v>5</v>
      </c>
      <c r="I2710" s="11">
        <f t="shared" si="181"/>
        <v>89</v>
      </c>
      <c r="J2710" s="11"/>
    </row>
    <row r="2711" spans="1:10" x14ac:dyDescent="0.25">
      <c r="A2711" s="2">
        <v>43249</v>
      </c>
      <c r="B2711" s="3">
        <v>404</v>
      </c>
      <c r="C2711" s="4">
        <v>189880</v>
      </c>
      <c r="D2711" s="3">
        <v>598</v>
      </c>
      <c r="E2711" s="4">
        <v>436540</v>
      </c>
      <c r="G2711" s="12">
        <f t="shared" si="179"/>
        <v>2018</v>
      </c>
      <c r="H2711" s="12">
        <f t="shared" si="180"/>
        <v>5</v>
      </c>
      <c r="I2711" s="11">
        <f t="shared" si="181"/>
        <v>89</v>
      </c>
      <c r="J2711" s="11"/>
    </row>
    <row r="2712" spans="1:10" x14ac:dyDescent="0.25">
      <c r="A2712" s="2">
        <v>43250</v>
      </c>
      <c r="B2712" s="3">
        <v>485</v>
      </c>
      <c r="C2712" s="4">
        <v>227950</v>
      </c>
      <c r="D2712" s="3">
        <v>791</v>
      </c>
      <c r="E2712" s="4">
        <v>577430</v>
      </c>
      <c r="G2712" s="12">
        <f t="shared" si="179"/>
        <v>2018</v>
      </c>
      <c r="H2712" s="12">
        <f t="shared" si="180"/>
        <v>5</v>
      </c>
      <c r="I2712" s="11">
        <f t="shared" si="181"/>
        <v>89</v>
      </c>
      <c r="J2712" s="11"/>
    </row>
    <row r="2713" spans="1:10" x14ac:dyDescent="0.25">
      <c r="A2713" s="2">
        <v>43251</v>
      </c>
      <c r="B2713" s="3">
        <v>448</v>
      </c>
      <c r="C2713" s="4">
        <v>210560</v>
      </c>
      <c r="D2713" s="3">
        <v>646</v>
      </c>
      <c r="E2713" s="4">
        <v>471580</v>
      </c>
      <c r="G2713" s="12">
        <f t="shared" si="179"/>
        <v>2018</v>
      </c>
      <c r="H2713" s="12">
        <f t="shared" si="180"/>
        <v>5</v>
      </c>
      <c r="I2713" s="11">
        <f t="shared" si="181"/>
        <v>89</v>
      </c>
      <c r="J2713" s="11"/>
    </row>
    <row r="2714" spans="1:10" x14ac:dyDescent="0.25">
      <c r="A2714" s="2">
        <v>43252</v>
      </c>
      <c r="B2714" s="3">
        <v>468</v>
      </c>
      <c r="C2714" s="4">
        <v>219960</v>
      </c>
      <c r="D2714" s="3">
        <v>670</v>
      </c>
      <c r="E2714" s="4">
        <v>195640</v>
      </c>
      <c r="G2714" s="12">
        <f t="shared" si="179"/>
        <v>2018</v>
      </c>
      <c r="H2714" s="12">
        <f t="shared" si="180"/>
        <v>6</v>
      </c>
      <c r="I2714" s="11">
        <f t="shared" si="181"/>
        <v>90</v>
      </c>
      <c r="J2714" s="11"/>
    </row>
    <row r="2715" spans="1:10" x14ac:dyDescent="0.25">
      <c r="A2715" s="2">
        <v>43253</v>
      </c>
      <c r="B2715" s="3">
        <v>508</v>
      </c>
      <c r="C2715" s="4">
        <v>238760</v>
      </c>
      <c r="D2715" s="3">
        <v>710</v>
      </c>
      <c r="E2715" s="4">
        <v>207320</v>
      </c>
      <c r="G2715" s="12">
        <f t="shared" si="179"/>
        <v>2018</v>
      </c>
      <c r="H2715" s="12">
        <f t="shared" si="180"/>
        <v>6</v>
      </c>
      <c r="I2715" s="11">
        <f t="shared" si="181"/>
        <v>90</v>
      </c>
      <c r="J2715" s="11"/>
    </row>
    <row r="2716" spans="1:10" x14ac:dyDescent="0.25">
      <c r="A2716" s="2">
        <v>43254</v>
      </c>
      <c r="B2716" s="3">
        <v>475</v>
      </c>
      <c r="C2716" s="4">
        <v>223250</v>
      </c>
      <c r="D2716" s="3">
        <v>514</v>
      </c>
      <c r="E2716" s="4">
        <v>150088</v>
      </c>
      <c r="G2716" s="12">
        <f t="shared" si="179"/>
        <v>2018</v>
      </c>
      <c r="H2716" s="12">
        <f t="shared" si="180"/>
        <v>6</v>
      </c>
      <c r="I2716" s="11">
        <f t="shared" si="181"/>
        <v>90</v>
      </c>
      <c r="J2716" s="11"/>
    </row>
    <row r="2717" spans="1:10" x14ac:dyDescent="0.25">
      <c r="A2717" s="2">
        <v>43255</v>
      </c>
      <c r="B2717" s="3">
        <v>471</v>
      </c>
      <c r="C2717" s="4">
        <v>221370</v>
      </c>
      <c r="D2717" s="3">
        <v>743</v>
      </c>
      <c r="E2717" s="4">
        <v>216956</v>
      </c>
      <c r="G2717" s="12">
        <f t="shared" si="179"/>
        <v>2018</v>
      </c>
      <c r="H2717" s="12">
        <f t="shared" si="180"/>
        <v>6</v>
      </c>
      <c r="I2717" s="11">
        <f t="shared" si="181"/>
        <v>90</v>
      </c>
      <c r="J2717" s="11"/>
    </row>
    <row r="2718" spans="1:10" x14ac:dyDescent="0.25">
      <c r="A2718" s="2">
        <v>43256</v>
      </c>
      <c r="B2718" s="3">
        <v>460</v>
      </c>
      <c r="C2718" s="4">
        <v>216200</v>
      </c>
      <c r="D2718" s="3">
        <v>713</v>
      </c>
      <c r="E2718" s="4">
        <v>208196</v>
      </c>
      <c r="G2718" s="12">
        <f t="shared" si="179"/>
        <v>2018</v>
      </c>
      <c r="H2718" s="12">
        <f t="shared" si="180"/>
        <v>6</v>
      </c>
      <c r="I2718" s="11">
        <f t="shared" si="181"/>
        <v>90</v>
      </c>
      <c r="J2718" s="11"/>
    </row>
    <row r="2719" spans="1:10" x14ac:dyDescent="0.25">
      <c r="A2719" s="2">
        <v>43257</v>
      </c>
      <c r="B2719" s="3">
        <v>428</v>
      </c>
      <c r="C2719" s="4">
        <v>201160</v>
      </c>
      <c r="D2719" s="3">
        <v>674</v>
      </c>
      <c r="E2719" s="4">
        <v>196808</v>
      </c>
      <c r="G2719" s="12">
        <f t="shared" si="179"/>
        <v>2018</v>
      </c>
      <c r="H2719" s="12">
        <f t="shared" si="180"/>
        <v>6</v>
      </c>
      <c r="I2719" s="11">
        <f t="shared" si="181"/>
        <v>90</v>
      </c>
      <c r="J2719" s="11"/>
    </row>
    <row r="2720" spans="1:10" x14ac:dyDescent="0.25">
      <c r="A2720" s="2">
        <v>43258</v>
      </c>
      <c r="B2720" s="3">
        <v>423</v>
      </c>
      <c r="C2720" s="4">
        <v>198810</v>
      </c>
      <c r="D2720" s="3">
        <v>673</v>
      </c>
      <c r="E2720" s="4">
        <v>196516</v>
      </c>
      <c r="G2720" s="12">
        <f t="shared" si="179"/>
        <v>2018</v>
      </c>
      <c r="H2720" s="12">
        <f t="shared" si="180"/>
        <v>6</v>
      </c>
      <c r="I2720" s="11">
        <f t="shared" si="181"/>
        <v>90</v>
      </c>
      <c r="J2720" s="11"/>
    </row>
    <row r="2721" spans="1:10" x14ac:dyDescent="0.25">
      <c r="A2721" s="2">
        <v>43259</v>
      </c>
      <c r="B2721" s="3">
        <v>539</v>
      </c>
      <c r="C2721" s="4">
        <v>253330</v>
      </c>
      <c r="D2721" s="3">
        <v>750</v>
      </c>
      <c r="E2721" s="4">
        <v>219000</v>
      </c>
      <c r="G2721" s="12">
        <f t="shared" si="179"/>
        <v>2018</v>
      </c>
      <c r="H2721" s="12">
        <f t="shared" si="180"/>
        <v>6</v>
      </c>
      <c r="I2721" s="11">
        <f t="shared" si="181"/>
        <v>90</v>
      </c>
      <c r="J2721" s="11"/>
    </row>
    <row r="2722" spans="1:10" x14ac:dyDescent="0.25">
      <c r="A2722" s="2">
        <v>43260</v>
      </c>
      <c r="B2722" s="3">
        <v>446</v>
      </c>
      <c r="C2722" s="4">
        <v>209620</v>
      </c>
      <c r="D2722" s="3">
        <v>674</v>
      </c>
      <c r="E2722" s="4">
        <v>196808</v>
      </c>
      <c r="G2722" s="12">
        <f t="shared" si="179"/>
        <v>2018</v>
      </c>
      <c r="H2722" s="12">
        <f t="shared" si="180"/>
        <v>6</v>
      </c>
      <c r="I2722" s="11">
        <f t="shared" si="181"/>
        <v>90</v>
      </c>
      <c r="J2722" s="11"/>
    </row>
    <row r="2723" spans="1:10" x14ac:dyDescent="0.25">
      <c r="A2723" s="2">
        <v>43261</v>
      </c>
      <c r="B2723" s="3">
        <v>395</v>
      </c>
      <c r="C2723" s="4">
        <v>185650</v>
      </c>
      <c r="D2723" s="3">
        <v>702</v>
      </c>
      <c r="E2723" s="4">
        <v>204984</v>
      </c>
      <c r="G2723" s="12">
        <f t="shared" si="179"/>
        <v>2018</v>
      </c>
      <c r="H2723" s="12">
        <f t="shared" si="180"/>
        <v>6</v>
      </c>
      <c r="I2723" s="11">
        <f t="shared" si="181"/>
        <v>90</v>
      </c>
      <c r="J2723" s="11"/>
    </row>
    <row r="2724" spans="1:10" x14ac:dyDescent="0.25">
      <c r="A2724" s="2">
        <v>43262</v>
      </c>
      <c r="B2724" s="3">
        <v>503</v>
      </c>
      <c r="C2724" s="4">
        <v>236410</v>
      </c>
      <c r="D2724" s="3">
        <v>683</v>
      </c>
      <c r="E2724" s="4">
        <v>199436</v>
      </c>
      <c r="G2724" s="12">
        <f t="shared" si="179"/>
        <v>2018</v>
      </c>
      <c r="H2724" s="12">
        <f t="shared" si="180"/>
        <v>6</v>
      </c>
      <c r="I2724" s="11">
        <f t="shared" si="181"/>
        <v>90</v>
      </c>
      <c r="J2724" s="11"/>
    </row>
    <row r="2725" spans="1:10" x14ac:dyDescent="0.25">
      <c r="A2725" s="2">
        <v>43263</v>
      </c>
      <c r="B2725" s="3">
        <v>419</v>
      </c>
      <c r="C2725" s="4">
        <v>196930</v>
      </c>
      <c r="D2725" s="3">
        <v>718</v>
      </c>
      <c r="E2725" s="4">
        <v>209656</v>
      </c>
      <c r="G2725" s="12">
        <f t="shared" si="179"/>
        <v>2018</v>
      </c>
      <c r="H2725" s="12">
        <f t="shared" si="180"/>
        <v>6</v>
      </c>
      <c r="I2725" s="11">
        <f t="shared" si="181"/>
        <v>90</v>
      </c>
      <c r="J2725" s="11"/>
    </row>
    <row r="2726" spans="1:10" x14ac:dyDescent="0.25">
      <c r="A2726" s="2">
        <v>43264</v>
      </c>
      <c r="B2726" s="3">
        <v>497</v>
      </c>
      <c r="C2726" s="4">
        <v>233590</v>
      </c>
      <c r="D2726" s="3">
        <v>832</v>
      </c>
      <c r="E2726" s="4">
        <v>242944</v>
      </c>
      <c r="G2726" s="12">
        <f t="shared" si="179"/>
        <v>2018</v>
      </c>
      <c r="H2726" s="12">
        <f t="shared" si="180"/>
        <v>6</v>
      </c>
      <c r="I2726" s="11">
        <f t="shared" si="181"/>
        <v>90</v>
      </c>
      <c r="J2726" s="11"/>
    </row>
    <row r="2727" spans="1:10" x14ac:dyDescent="0.25">
      <c r="A2727" s="2">
        <v>43265</v>
      </c>
      <c r="B2727" s="3">
        <v>450</v>
      </c>
      <c r="C2727" s="4">
        <v>211500</v>
      </c>
      <c r="D2727" s="3">
        <v>621</v>
      </c>
      <c r="E2727" s="4">
        <v>181332</v>
      </c>
      <c r="G2727" s="12">
        <f t="shared" si="179"/>
        <v>2018</v>
      </c>
      <c r="H2727" s="12">
        <f t="shared" si="180"/>
        <v>6</v>
      </c>
      <c r="I2727" s="11">
        <f t="shared" si="181"/>
        <v>90</v>
      </c>
      <c r="J2727" s="11"/>
    </row>
    <row r="2728" spans="1:10" x14ac:dyDescent="0.25">
      <c r="A2728" s="2">
        <v>43266</v>
      </c>
      <c r="B2728" s="3">
        <v>462</v>
      </c>
      <c r="C2728" s="4">
        <v>217140</v>
      </c>
      <c r="D2728" s="3">
        <v>854</v>
      </c>
      <c r="E2728" s="4">
        <v>249368</v>
      </c>
      <c r="G2728" s="12">
        <f t="shared" si="179"/>
        <v>2018</v>
      </c>
      <c r="H2728" s="12">
        <f t="shared" si="180"/>
        <v>6</v>
      </c>
      <c r="I2728" s="11">
        <f t="shared" si="181"/>
        <v>90</v>
      </c>
      <c r="J2728" s="11"/>
    </row>
    <row r="2729" spans="1:10" x14ac:dyDescent="0.25">
      <c r="A2729" s="2">
        <v>43267</v>
      </c>
      <c r="B2729" s="3">
        <v>480</v>
      </c>
      <c r="C2729" s="4">
        <v>225600</v>
      </c>
      <c r="D2729" s="3">
        <v>670</v>
      </c>
      <c r="E2729" s="4">
        <v>195640</v>
      </c>
      <c r="G2729" s="12">
        <f t="shared" si="179"/>
        <v>2018</v>
      </c>
      <c r="H2729" s="12">
        <f t="shared" si="180"/>
        <v>6</v>
      </c>
      <c r="I2729" s="11">
        <f t="shared" si="181"/>
        <v>90</v>
      </c>
      <c r="J2729" s="11"/>
    </row>
    <row r="2730" spans="1:10" x14ac:dyDescent="0.25">
      <c r="A2730" s="2">
        <v>43268</v>
      </c>
      <c r="B2730" s="3">
        <v>497</v>
      </c>
      <c r="C2730" s="4">
        <v>233590</v>
      </c>
      <c r="D2730" s="3">
        <v>750</v>
      </c>
      <c r="E2730" s="4">
        <v>219000</v>
      </c>
      <c r="G2730" s="12">
        <f t="shared" si="179"/>
        <v>2018</v>
      </c>
      <c r="H2730" s="12">
        <f t="shared" si="180"/>
        <v>6</v>
      </c>
      <c r="I2730" s="11">
        <f t="shared" si="181"/>
        <v>90</v>
      </c>
      <c r="J2730" s="11"/>
    </row>
    <row r="2731" spans="1:10" x14ac:dyDescent="0.25">
      <c r="A2731" s="2">
        <v>43269</v>
      </c>
      <c r="B2731" s="3">
        <v>449</v>
      </c>
      <c r="C2731" s="4">
        <v>211030</v>
      </c>
      <c r="D2731" s="3">
        <v>686</v>
      </c>
      <c r="E2731" s="4">
        <v>200312</v>
      </c>
      <c r="G2731" s="12">
        <f t="shared" si="179"/>
        <v>2018</v>
      </c>
      <c r="H2731" s="12">
        <f t="shared" si="180"/>
        <v>6</v>
      </c>
      <c r="I2731" s="11">
        <f t="shared" si="181"/>
        <v>90</v>
      </c>
      <c r="J2731" s="11"/>
    </row>
    <row r="2732" spans="1:10" x14ac:dyDescent="0.25">
      <c r="A2732" s="2">
        <v>43270</v>
      </c>
      <c r="B2732" s="3">
        <v>524</v>
      </c>
      <c r="C2732" s="4">
        <v>246280</v>
      </c>
      <c r="D2732" s="3">
        <v>710</v>
      </c>
      <c r="E2732" s="4">
        <v>207320</v>
      </c>
      <c r="G2732" s="12">
        <f t="shared" si="179"/>
        <v>2018</v>
      </c>
      <c r="H2732" s="12">
        <f t="shared" si="180"/>
        <v>6</v>
      </c>
      <c r="I2732" s="11">
        <f t="shared" si="181"/>
        <v>90</v>
      </c>
      <c r="J2732" s="11"/>
    </row>
    <row r="2733" spans="1:10" x14ac:dyDescent="0.25">
      <c r="A2733" s="2">
        <v>43271</v>
      </c>
      <c r="B2733" s="3">
        <v>490</v>
      </c>
      <c r="C2733" s="4">
        <v>230300</v>
      </c>
      <c r="D2733" s="3">
        <v>797</v>
      </c>
      <c r="E2733" s="4">
        <v>232724</v>
      </c>
      <c r="G2733" s="12">
        <f t="shared" si="179"/>
        <v>2018</v>
      </c>
      <c r="H2733" s="12">
        <f t="shared" si="180"/>
        <v>6</v>
      </c>
      <c r="I2733" s="11">
        <f t="shared" si="181"/>
        <v>90</v>
      </c>
      <c r="J2733" s="11"/>
    </row>
    <row r="2734" spans="1:10" x14ac:dyDescent="0.25">
      <c r="A2734" s="2">
        <v>43272</v>
      </c>
      <c r="B2734" s="3">
        <v>456</v>
      </c>
      <c r="C2734" s="4">
        <v>214320</v>
      </c>
      <c r="D2734" s="3">
        <v>614</v>
      </c>
      <c r="E2734" s="4">
        <v>179288</v>
      </c>
      <c r="G2734" s="12">
        <f t="shared" si="179"/>
        <v>2018</v>
      </c>
      <c r="H2734" s="12">
        <f t="shared" si="180"/>
        <v>6</v>
      </c>
      <c r="I2734" s="11">
        <f t="shared" si="181"/>
        <v>90</v>
      </c>
      <c r="J2734" s="11"/>
    </row>
    <row r="2735" spans="1:10" x14ac:dyDescent="0.25">
      <c r="A2735" s="2">
        <v>43273</v>
      </c>
      <c r="B2735" s="3">
        <v>498</v>
      </c>
      <c r="C2735" s="4">
        <v>234060</v>
      </c>
      <c r="D2735" s="3">
        <v>729</v>
      </c>
      <c r="E2735" s="4">
        <v>212868</v>
      </c>
      <c r="G2735" s="12">
        <f t="shared" si="179"/>
        <v>2018</v>
      </c>
      <c r="H2735" s="12">
        <f t="shared" si="180"/>
        <v>6</v>
      </c>
      <c r="I2735" s="11">
        <f t="shared" si="181"/>
        <v>90</v>
      </c>
      <c r="J2735" s="11"/>
    </row>
    <row r="2736" spans="1:10" x14ac:dyDescent="0.25">
      <c r="A2736" s="2">
        <v>43274</v>
      </c>
      <c r="B2736" s="3">
        <v>443</v>
      </c>
      <c r="C2736" s="4">
        <v>208210</v>
      </c>
      <c r="D2736" s="3">
        <v>775</v>
      </c>
      <c r="E2736" s="4">
        <v>226300</v>
      </c>
      <c r="G2736" s="12">
        <f t="shared" si="179"/>
        <v>2018</v>
      </c>
      <c r="H2736" s="12">
        <f t="shared" si="180"/>
        <v>6</v>
      </c>
      <c r="I2736" s="11">
        <f t="shared" si="181"/>
        <v>90</v>
      </c>
      <c r="J2736" s="11"/>
    </row>
    <row r="2737" spans="1:10" x14ac:dyDescent="0.25">
      <c r="A2737" s="2">
        <v>43275</v>
      </c>
      <c r="B2737" s="3">
        <v>489</v>
      </c>
      <c r="C2737" s="4">
        <v>229830</v>
      </c>
      <c r="D2737" s="3">
        <v>743</v>
      </c>
      <c r="E2737" s="4">
        <v>216956</v>
      </c>
      <c r="G2737" s="12">
        <f t="shared" si="179"/>
        <v>2018</v>
      </c>
      <c r="H2737" s="12">
        <f t="shared" si="180"/>
        <v>6</v>
      </c>
      <c r="I2737" s="11">
        <f t="shared" si="181"/>
        <v>90</v>
      </c>
      <c r="J2737" s="11"/>
    </row>
    <row r="2738" spans="1:10" x14ac:dyDescent="0.25">
      <c r="A2738" s="2">
        <v>43276</v>
      </c>
      <c r="B2738" s="3">
        <v>449</v>
      </c>
      <c r="C2738" s="4">
        <v>211030</v>
      </c>
      <c r="D2738" s="3">
        <v>774</v>
      </c>
      <c r="E2738" s="4">
        <v>226008</v>
      </c>
      <c r="G2738" s="12">
        <f t="shared" si="179"/>
        <v>2018</v>
      </c>
      <c r="H2738" s="12">
        <f t="shared" si="180"/>
        <v>6</v>
      </c>
      <c r="I2738" s="11">
        <f t="shared" si="181"/>
        <v>90</v>
      </c>
      <c r="J2738" s="11"/>
    </row>
    <row r="2739" spans="1:10" x14ac:dyDescent="0.25">
      <c r="A2739" s="2">
        <v>43277</v>
      </c>
      <c r="B2739" s="3">
        <v>500</v>
      </c>
      <c r="C2739" s="4">
        <v>235000</v>
      </c>
      <c r="D2739" s="3">
        <v>702</v>
      </c>
      <c r="E2739" s="4">
        <v>204984</v>
      </c>
      <c r="G2739" s="12">
        <f t="shared" si="179"/>
        <v>2018</v>
      </c>
      <c r="H2739" s="12">
        <f t="shared" si="180"/>
        <v>6</v>
      </c>
      <c r="I2739" s="11">
        <f t="shared" si="181"/>
        <v>90</v>
      </c>
      <c r="J2739" s="11"/>
    </row>
    <row r="2740" spans="1:10" x14ac:dyDescent="0.25">
      <c r="A2740" s="2">
        <v>43278</v>
      </c>
      <c r="B2740" s="3">
        <v>494</v>
      </c>
      <c r="C2740" s="4">
        <v>232180</v>
      </c>
      <c r="D2740" s="3">
        <v>625</v>
      </c>
      <c r="E2740" s="4">
        <v>182500</v>
      </c>
      <c r="G2740" s="12">
        <f t="shared" si="179"/>
        <v>2018</v>
      </c>
      <c r="H2740" s="12">
        <f t="shared" si="180"/>
        <v>6</v>
      </c>
      <c r="I2740" s="11">
        <f t="shared" si="181"/>
        <v>90</v>
      </c>
      <c r="J2740" s="11"/>
    </row>
    <row r="2741" spans="1:10" x14ac:dyDescent="0.25">
      <c r="A2741" s="2">
        <v>43279</v>
      </c>
      <c r="B2741" s="3">
        <v>530</v>
      </c>
      <c r="C2741" s="4">
        <v>249100</v>
      </c>
      <c r="D2741" s="3">
        <v>875</v>
      </c>
      <c r="E2741" s="4">
        <v>255500</v>
      </c>
      <c r="G2741" s="12">
        <f t="shared" si="179"/>
        <v>2018</v>
      </c>
      <c r="H2741" s="12">
        <f t="shared" si="180"/>
        <v>6</v>
      </c>
      <c r="I2741" s="11">
        <f t="shared" si="181"/>
        <v>90</v>
      </c>
      <c r="J2741" s="11"/>
    </row>
    <row r="2742" spans="1:10" x14ac:dyDescent="0.25">
      <c r="A2742" s="2">
        <v>43280</v>
      </c>
      <c r="B2742" s="3">
        <v>436</v>
      </c>
      <c r="C2742" s="4">
        <v>204920</v>
      </c>
      <c r="D2742" s="3">
        <v>726</v>
      </c>
      <c r="E2742" s="4">
        <v>211992</v>
      </c>
      <c r="G2742" s="12">
        <f t="shared" si="179"/>
        <v>2018</v>
      </c>
      <c r="H2742" s="12">
        <f t="shared" si="180"/>
        <v>6</v>
      </c>
      <c r="I2742" s="11">
        <f t="shared" si="181"/>
        <v>90</v>
      </c>
      <c r="J2742" s="11"/>
    </row>
    <row r="2743" spans="1:10" x14ac:dyDescent="0.25">
      <c r="A2743" s="2">
        <v>43281</v>
      </c>
      <c r="B2743" s="3">
        <v>425</v>
      </c>
      <c r="C2743" s="4">
        <v>199750</v>
      </c>
      <c r="D2743" s="3">
        <v>735</v>
      </c>
      <c r="E2743" s="4">
        <v>214620</v>
      </c>
      <c r="G2743" s="12">
        <f t="shared" si="179"/>
        <v>2018</v>
      </c>
      <c r="H2743" s="12">
        <f t="shared" si="180"/>
        <v>6</v>
      </c>
      <c r="I2743" s="11">
        <f t="shared" si="181"/>
        <v>90</v>
      </c>
      <c r="J2743" s="11"/>
    </row>
    <row r="2744" spans="1:10" x14ac:dyDescent="0.25">
      <c r="A2744" s="2">
        <v>43282</v>
      </c>
      <c r="B2744" s="3">
        <v>499</v>
      </c>
      <c r="C2744" s="4">
        <v>234530</v>
      </c>
      <c r="D2744" s="3">
        <v>364</v>
      </c>
      <c r="E2744" s="4">
        <v>265720</v>
      </c>
      <c r="G2744" s="12">
        <f t="shared" si="179"/>
        <v>2018</v>
      </c>
      <c r="H2744" s="12">
        <f t="shared" si="180"/>
        <v>7</v>
      </c>
      <c r="I2744" s="11">
        <f t="shared" si="181"/>
        <v>91</v>
      </c>
      <c r="J2744" s="11"/>
    </row>
    <row r="2745" spans="1:10" x14ac:dyDescent="0.25">
      <c r="A2745" s="2">
        <v>43283</v>
      </c>
      <c r="B2745" s="3">
        <v>482</v>
      </c>
      <c r="C2745" s="4">
        <v>226540</v>
      </c>
      <c r="D2745" s="3">
        <v>298</v>
      </c>
      <c r="E2745" s="4">
        <v>217540</v>
      </c>
      <c r="G2745" s="12">
        <f t="shared" si="179"/>
        <v>2018</v>
      </c>
      <c r="H2745" s="12">
        <f t="shared" si="180"/>
        <v>7</v>
      </c>
      <c r="I2745" s="11">
        <f t="shared" si="181"/>
        <v>91</v>
      </c>
      <c r="J2745" s="11"/>
    </row>
    <row r="2746" spans="1:10" x14ac:dyDescent="0.25">
      <c r="A2746" s="2">
        <v>43284</v>
      </c>
      <c r="B2746" s="3">
        <v>450</v>
      </c>
      <c r="C2746" s="4">
        <v>211500</v>
      </c>
      <c r="D2746" s="3">
        <v>283</v>
      </c>
      <c r="E2746" s="4">
        <v>206590</v>
      </c>
      <c r="G2746" s="12">
        <f t="shared" si="179"/>
        <v>2018</v>
      </c>
      <c r="H2746" s="12">
        <f t="shared" si="180"/>
        <v>7</v>
      </c>
      <c r="I2746" s="11">
        <f t="shared" si="181"/>
        <v>91</v>
      </c>
      <c r="J2746" s="11"/>
    </row>
    <row r="2747" spans="1:10" x14ac:dyDescent="0.25">
      <c r="A2747" s="2">
        <v>43285</v>
      </c>
      <c r="B2747" s="3">
        <v>531</v>
      </c>
      <c r="C2747" s="4">
        <v>249570</v>
      </c>
      <c r="D2747" s="3">
        <v>297</v>
      </c>
      <c r="E2747" s="4">
        <v>216810</v>
      </c>
      <c r="G2747" s="12">
        <f t="shared" si="179"/>
        <v>2018</v>
      </c>
      <c r="H2747" s="12">
        <f t="shared" si="180"/>
        <v>7</v>
      </c>
      <c r="I2747" s="11">
        <f t="shared" si="181"/>
        <v>91</v>
      </c>
      <c r="J2747" s="11"/>
    </row>
    <row r="2748" spans="1:10" x14ac:dyDescent="0.25">
      <c r="A2748" s="2">
        <v>43286</v>
      </c>
      <c r="B2748" s="3">
        <v>487</v>
      </c>
      <c r="C2748" s="4">
        <v>228890</v>
      </c>
      <c r="D2748" s="3">
        <v>275</v>
      </c>
      <c r="E2748" s="4">
        <v>200750</v>
      </c>
      <c r="G2748" s="12">
        <f t="shared" si="179"/>
        <v>2018</v>
      </c>
      <c r="H2748" s="12">
        <f t="shared" si="180"/>
        <v>7</v>
      </c>
      <c r="I2748" s="11">
        <f t="shared" si="181"/>
        <v>91</v>
      </c>
      <c r="J2748" s="11"/>
    </row>
    <row r="2749" spans="1:10" x14ac:dyDescent="0.25">
      <c r="A2749" s="2">
        <v>43287</v>
      </c>
      <c r="B2749" s="3">
        <v>543</v>
      </c>
      <c r="C2749" s="4">
        <v>255210</v>
      </c>
      <c r="D2749" s="3">
        <v>304</v>
      </c>
      <c r="E2749" s="4">
        <v>221920</v>
      </c>
      <c r="G2749" s="12">
        <f t="shared" si="179"/>
        <v>2018</v>
      </c>
      <c r="H2749" s="12">
        <f t="shared" si="180"/>
        <v>7</v>
      </c>
      <c r="I2749" s="11">
        <f t="shared" si="181"/>
        <v>91</v>
      </c>
      <c r="J2749" s="11"/>
    </row>
    <row r="2750" spans="1:10" x14ac:dyDescent="0.25">
      <c r="A2750" s="2">
        <v>43288</v>
      </c>
      <c r="B2750" s="3">
        <v>496</v>
      </c>
      <c r="C2750" s="4">
        <v>233120</v>
      </c>
      <c r="D2750" s="3">
        <v>283</v>
      </c>
      <c r="E2750" s="4">
        <v>206590</v>
      </c>
      <c r="G2750" s="12">
        <f t="shared" si="179"/>
        <v>2018</v>
      </c>
      <c r="H2750" s="12">
        <f t="shared" si="180"/>
        <v>7</v>
      </c>
      <c r="I2750" s="11">
        <f t="shared" si="181"/>
        <v>91</v>
      </c>
      <c r="J2750" s="11"/>
    </row>
    <row r="2751" spans="1:10" x14ac:dyDescent="0.25">
      <c r="A2751" s="2">
        <v>43289</v>
      </c>
      <c r="B2751" s="3">
        <v>450</v>
      </c>
      <c r="C2751" s="4">
        <v>211500</v>
      </c>
      <c r="D2751" s="3">
        <v>290</v>
      </c>
      <c r="E2751" s="4">
        <v>211700</v>
      </c>
      <c r="G2751" s="12">
        <f t="shared" si="179"/>
        <v>2018</v>
      </c>
      <c r="H2751" s="12">
        <f t="shared" si="180"/>
        <v>7</v>
      </c>
      <c r="I2751" s="11">
        <f t="shared" si="181"/>
        <v>91</v>
      </c>
      <c r="J2751" s="11"/>
    </row>
    <row r="2752" spans="1:10" x14ac:dyDescent="0.25">
      <c r="A2752" s="2">
        <v>43290</v>
      </c>
      <c r="B2752" s="3">
        <v>550</v>
      </c>
      <c r="C2752" s="4">
        <v>258500</v>
      </c>
      <c r="D2752" s="3">
        <v>321</v>
      </c>
      <c r="E2752" s="4">
        <v>234330</v>
      </c>
      <c r="G2752" s="12">
        <f t="shared" si="179"/>
        <v>2018</v>
      </c>
      <c r="H2752" s="12">
        <f t="shared" si="180"/>
        <v>7</v>
      </c>
      <c r="I2752" s="11">
        <f t="shared" si="181"/>
        <v>91</v>
      </c>
      <c r="J2752" s="11"/>
    </row>
    <row r="2753" spans="1:10" x14ac:dyDescent="0.25">
      <c r="A2753" s="2">
        <v>43291</v>
      </c>
      <c r="B2753" s="3">
        <v>463</v>
      </c>
      <c r="C2753" s="4">
        <v>217610</v>
      </c>
      <c r="D2753" s="3">
        <v>311</v>
      </c>
      <c r="E2753" s="4">
        <v>227030</v>
      </c>
      <c r="G2753" s="12">
        <f t="shared" si="179"/>
        <v>2018</v>
      </c>
      <c r="H2753" s="12">
        <f t="shared" si="180"/>
        <v>7</v>
      </c>
      <c r="I2753" s="11">
        <f t="shared" si="181"/>
        <v>91</v>
      </c>
      <c r="J2753" s="11"/>
    </row>
    <row r="2754" spans="1:10" x14ac:dyDescent="0.25">
      <c r="A2754" s="2">
        <v>43292</v>
      </c>
      <c r="B2754" s="3">
        <v>416</v>
      </c>
      <c r="C2754" s="4">
        <v>195520</v>
      </c>
      <c r="D2754" s="3">
        <v>335</v>
      </c>
      <c r="E2754" s="4">
        <v>244550</v>
      </c>
      <c r="G2754" s="12">
        <f t="shared" si="179"/>
        <v>2018</v>
      </c>
      <c r="H2754" s="12">
        <f t="shared" si="180"/>
        <v>7</v>
      </c>
      <c r="I2754" s="11">
        <f t="shared" si="181"/>
        <v>91</v>
      </c>
      <c r="J2754" s="11"/>
    </row>
    <row r="2755" spans="1:10" x14ac:dyDescent="0.25">
      <c r="A2755" s="2">
        <v>43293</v>
      </c>
      <c r="B2755" s="3">
        <v>547</v>
      </c>
      <c r="C2755" s="4">
        <v>257090</v>
      </c>
      <c r="D2755" s="3">
        <v>288</v>
      </c>
      <c r="E2755" s="4">
        <v>210240</v>
      </c>
      <c r="G2755" s="12">
        <f t="shared" si="179"/>
        <v>2018</v>
      </c>
      <c r="H2755" s="12">
        <f t="shared" si="180"/>
        <v>7</v>
      </c>
      <c r="I2755" s="11">
        <f t="shared" si="181"/>
        <v>91</v>
      </c>
      <c r="J2755" s="11"/>
    </row>
    <row r="2756" spans="1:10" x14ac:dyDescent="0.25">
      <c r="A2756" s="2">
        <v>43294</v>
      </c>
      <c r="B2756" s="3">
        <v>396</v>
      </c>
      <c r="C2756" s="4">
        <v>186120</v>
      </c>
      <c r="D2756" s="3">
        <v>318</v>
      </c>
      <c r="E2756" s="4">
        <v>232140</v>
      </c>
      <c r="G2756" s="12">
        <f t="shared" si="179"/>
        <v>2018</v>
      </c>
      <c r="H2756" s="12">
        <f t="shared" si="180"/>
        <v>7</v>
      </c>
      <c r="I2756" s="11">
        <f t="shared" si="181"/>
        <v>91</v>
      </c>
      <c r="J2756" s="11"/>
    </row>
    <row r="2757" spans="1:10" x14ac:dyDescent="0.25">
      <c r="A2757" s="2">
        <v>43295</v>
      </c>
      <c r="B2757" s="3">
        <v>395</v>
      </c>
      <c r="C2757" s="4">
        <v>185650</v>
      </c>
      <c r="D2757" s="3">
        <v>278</v>
      </c>
      <c r="E2757" s="4">
        <v>202940</v>
      </c>
      <c r="G2757" s="12">
        <f t="shared" si="179"/>
        <v>2018</v>
      </c>
      <c r="H2757" s="12">
        <f t="shared" si="180"/>
        <v>7</v>
      </c>
      <c r="I2757" s="11">
        <f t="shared" si="181"/>
        <v>91</v>
      </c>
      <c r="J2757" s="11"/>
    </row>
    <row r="2758" spans="1:10" x14ac:dyDescent="0.25">
      <c r="A2758" s="2">
        <v>43296</v>
      </c>
      <c r="B2758" s="3">
        <v>476</v>
      </c>
      <c r="C2758" s="4">
        <v>223720</v>
      </c>
      <c r="D2758" s="3">
        <v>317</v>
      </c>
      <c r="E2758" s="4">
        <v>231410</v>
      </c>
      <c r="G2758" s="12">
        <f t="shared" ref="G2758:G2821" si="182">+YEAR(A2758)</f>
        <v>2018</v>
      </c>
      <c r="H2758" s="12">
        <f t="shared" ref="H2758:H2821" si="183">+MONTH(A2758)</f>
        <v>7</v>
      </c>
      <c r="I2758" s="11">
        <f t="shared" si="181"/>
        <v>91</v>
      </c>
      <c r="J2758" s="11"/>
    </row>
    <row r="2759" spans="1:10" x14ac:dyDescent="0.25">
      <c r="A2759" s="2">
        <v>43297</v>
      </c>
      <c r="B2759" s="3">
        <v>491</v>
      </c>
      <c r="C2759" s="4">
        <v>230770</v>
      </c>
      <c r="D2759" s="3">
        <v>278</v>
      </c>
      <c r="E2759" s="4">
        <v>202940</v>
      </c>
      <c r="G2759" s="12">
        <f t="shared" si="182"/>
        <v>2018</v>
      </c>
      <c r="H2759" s="12">
        <f t="shared" si="183"/>
        <v>7</v>
      </c>
      <c r="I2759" s="11">
        <f t="shared" ref="I2759:I2822" si="184">+H2759+(G2759-2011)*12</f>
        <v>91</v>
      </c>
      <c r="J2759" s="11"/>
    </row>
    <row r="2760" spans="1:10" x14ac:dyDescent="0.25">
      <c r="A2760" s="2">
        <v>43298</v>
      </c>
      <c r="B2760" s="3">
        <v>492</v>
      </c>
      <c r="C2760" s="4">
        <v>231240</v>
      </c>
      <c r="D2760" s="3">
        <v>277</v>
      </c>
      <c r="E2760" s="4">
        <v>202210</v>
      </c>
      <c r="G2760" s="12">
        <f t="shared" si="182"/>
        <v>2018</v>
      </c>
      <c r="H2760" s="12">
        <f t="shared" si="183"/>
        <v>7</v>
      </c>
      <c r="I2760" s="11">
        <f t="shared" si="184"/>
        <v>91</v>
      </c>
      <c r="J2760" s="11"/>
    </row>
    <row r="2761" spans="1:10" x14ac:dyDescent="0.25">
      <c r="A2761" s="2">
        <v>43299</v>
      </c>
      <c r="B2761" s="3">
        <v>410</v>
      </c>
      <c r="C2761" s="4">
        <v>192700</v>
      </c>
      <c r="D2761" s="3">
        <v>278</v>
      </c>
      <c r="E2761" s="4">
        <v>202940</v>
      </c>
      <c r="G2761" s="12">
        <f t="shared" si="182"/>
        <v>2018</v>
      </c>
      <c r="H2761" s="12">
        <f t="shared" si="183"/>
        <v>7</v>
      </c>
      <c r="I2761" s="11">
        <f t="shared" si="184"/>
        <v>91</v>
      </c>
      <c r="J2761" s="11"/>
    </row>
    <row r="2762" spans="1:10" x14ac:dyDescent="0.25">
      <c r="A2762" s="2">
        <v>43300</v>
      </c>
      <c r="B2762" s="3">
        <v>481</v>
      </c>
      <c r="C2762" s="4">
        <v>226070</v>
      </c>
      <c r="D2762" s="3">
        <v>331</v>
      </c>
      <c r="E2762" s="4">
        <v>241630</v>
      </c>
      <c r="G2762" s="12">
        <f t="shared" si="182"/>
        <v>2018</v>
      </c>
      <c r="H2762" s="12">
        <f t="shared" si="183"/>
        <v>7</v>
      </c>
      <c r="I2762" s="11">
        <f t="shared" si="184"/>
        <v>91</v>
      </c>
      <c r="J2762" s="11"/>
    </row>
    <row r="2763" spans="1:10" x14ac:dyDescent="0.25">
      <c r="A2763" s="2">
        <v>43301</v>
      </c>
      <c r="B2763" s="3">
        <v>424</v>
      </c>
      <c r="C2763" s="4">
        <v>199280</v>
      </c>
      <c r="D2763" s="3">
        <v>299</v>
      </c>
      <c r="E2763" s="4">
        <v>218270</v>
      </c>
      <c r="G2763" s="12">
        <f t="shared" si="182"/>
        <v>2018</v>
      </c>
      <c r="H2763" s="12">
        <f t="shared" si="183"/>
        <v>7</v>
      </c>
      <c r="I2763" s="11">
        <f t="shared" si="184"/>
        <v>91</v>
      </c>
      <c r="J2763" s="11"/>
    </row>
    <row r="2764" spans="1:10" x14ac:dyDescent="0.25">
      <c r="A2764" s="2">
        <v>43302</v>
      </c>
      <c r="B2764" s="3">
        <v>411</v>
      </c>
      <c r="C2764" s="4">
        <v>193170</v>
      </c>
      <c r="D2764" s="3">
        <v>386</v>
      </c>
      <c r="E2764" s="4">
        <v>281780</v>
      </c>
      <c r="G2764" s="12">
        <f t="shared" si="182"/>
        <v>2018</v>
      </c>
      <c r="H2764" s="12">
        <f t="shared" si="183"/>
        <v>7</v>
      </c>
      <c r="I2764" s="11">
        <f t="shared" si="184"/>
        <v>91</v>
      </c>
      <c r="J2764" s="11"/>
    </row>
    <row r="2765" spans="1:10" x14ac:dyDescent="0.25">
      <c r="A2765" s="2">
        <v>43303</v>
      </c>
      <c r="B2765" s="3">
        <v>525</v>
      </c>
      <c r="C2765" s="4">
        <v>246750</v>
      </c>
      <c r="D2765" s="3">
        <v>269</v>
      </c>
      <c r="E2765" s="4">
        <v>196370</v>
      </c>
      <c r="G2765" s="12">
        <f t="shared" si="182"/>
        <v>2018</v>
      </c>
      <c r="H2765" s="12">
        <f t="shared" si="183"/>
        <v>7</v>
      </c>
      <c r="I2765" s="11">
        <f t="shared" si="184"/>
        <v>91</v>
      </c>
      <c r="J2765" s="11"/>
    </row>
    <row r="2766" spans="1:10" x14ac:dyDescent="0.25">
      <c r="A2766" s="2">
        <v>43304</v>
      </c>
      <c r="B2766" s="3">
        <v>450</v>
      </c>
      <c r="C2766" s="4">
        <v>211500</v>
      </c>
      <c r="D2766" s="3">
        <v>262</v>
      </c>
      <c r="E2766" s="4">
        <v>191260</v>
      </c>
      <c r="G2766" s="12">
        <f t="shared" si="182"/>
        <v>2018</v>
      </c>
      <c r="H2766" s="12">
        <f t="shared" si="183"/>
        <v>7</v>
      </c>
      <c r="I2766" s="11">
        <f t="shared" si="184"/>
        <v>91</v>
      </c>
      <c r="J2766" s="11"/>
    </row>
    <row r="2767" spans="1:10" x14ac:dyDescent="0.25">
      <c r="A2767" s="2">
        <v>43305</v>
      </c>
      <c r="B2767" s="3">
        <v>525</v>
      </c>
      <c r="C2767" s="4">
        <v>246750</v>
      </c>
      <c r="D2767" s="3">
        <v>342</v>
      </c>
      <c r="E2767" s="4">
        <v>249660</v>
      </c>
      <c r="G2767" s="12">
        <f t="shared" si="182"/>
        <v>2018</v>
      </c>
      <c r="H2767" s="12">
        <f t="shared" si="183"/>
        <v>7</v>
      </c>
      <c r="I2767" s="11">
        <f t="shared" si="184"/>
        <v>91</v>
      </c>
      <c r="J2767" s="11"/>
    </row>
    <row r="2768" spans="1:10" x14ac:dyDescent="0.25">
      <c r="A2768" s="2">
        <v>43306</v>
      </c>
      <c r="B2768" s="3">
        <v>425</v>
      </c>
      <c r="C2768" s="4">
        <v>199750</v>
      </c>
      <c r="D2768" s="3">
        <v>323</v>
      </c>
      <c r="E2768" s="4">
        <v>235790</v>
      </c>
      <c r="G2768" s="12">
        <f t="shared" si="182"/>
        <v>2018</v>
      </c>
      <c r="H2768" s="12">
        <f t="shared" si="183"/>
        <v>7</v>
      </c>
      <c r="I2768" s="11">
        <f t="shared" si="184"/>
        <v>91</v>
      </c>
      <c r="J2768" s="11"/>
    </row>
    <row r="2769" spans="1:10" x14ac:dyDescent="0.25">
      <c r="A2769" s="2">
        <v>43307</v>
      </c>
      <c r="B2769" s="3">
        <v>500</v>
      </c>
      <c r="C2769" s="4">
        <v>235000</v>
      </c>
      <c r="D2769" s="3">
        <v>230</v>
      </c>
      <c r="E2769" s="4">
        <v>167900</v>
      </c>
      <c r="G2769" s="12">
        <f t="shared" si="182"/>
        <v>2018</v>
      </c>
      <c r="H2769" s="12">
        <f t="shared" si="183"/>
        <v>7</v>
      </c>
      <c r="I2769" s="11">
        <f t="shared" si="184"/>
        <v>91</v>
      </c>
      <c r="J2769" s="11"/>
    </row>
    <row r="2770" spans="1:10" x14ac:dyDescent="0.25">
      <c r="A2770" s="2">
        <v>43308</v>
      </c>
      <c r="B2770" s="3">
        <v>430</v>
      </c>
      <c r="C2770" s="4">
        <v>202100</v>
      </c>
      <c r="D2770" s="3">
        <v>273</v>
      </c>
      <c r="E2770" s="4">
        <v>199290</v>
      </c>
      <c r="G2770" s="12">
        <f t="shared" si="182"/>
        <v>2018</v>
      </c>
      <c r="H2770" s="12">
        <f t="shared" si="183"/>
        <v>7</v>
      </c>
      <c r="I2770" s="11">
        <f t="shared" si="184"/>
        <v>91</v>
      </c>
      <c r="J2770" s="11"/>
    </row>
    <row r="2771" spans="1:10" x14ac:dyDescent="0.25">
      <c r="A2771" s="2">
        <v>43309</v>
      </c>
      <c r="B2771" s="3">
        <v>512</v>
      </c>
      <c r="C2771" s="4">
        <v>240640</v>
      </c>
      <c r="D2771" s="3">
        <v>268</v>
      </c>
      <c r="E2771" s="4">
        <v>195640</v>
      </c>
      <c r="G2771" s="12">
        <f t="shared" si="182"/>
        <v>2018</v>
      </c>
      <c r="H2771" s="12">
        <f t="shared" si="183"/>
        <v>7</v>
      </c>
      <c r="I2771" s="11">
        <f t="shared" si="184"/>
        <v>91</v>
      </c>
      <c r="J2771" s="11"/>
    </row>
    <row r="2772" spans="1:10" x14ac:dyDescent="0.25">
      <c r="A2772" s="2">
        <v>43310</v>
      </c>
      <c r="B2772" s="3">
        <v>513</v>
      </c>
      <c r="C2772" s="4">
        <v>241110</v>
      </c>
      <c r="D2772" s="3">
        <v>311</v>
      </c>
      <c r="E2772" s="4">
        <v>227030</v>
      </c>
      <c r="G2772" s="12">
        <f t="shared" si="182"/>
        <v>2018</v>
      </c>
      <c r="H2772" s="12">
        <f t="shared" si="183"/>
        <v>7</v>
      </c>
      <c r="I2772" s="11">
        <f t="shared" si="184"/>
        <v>91</v>
      </c>
      <c r="J2772" s="11"/>
    </row>
    <row r="2773" spans="1:10" x14ac:dyDescent="0.25">
      <c r="A2773" s="2">
        <v>43311</v>
      </c>
      <c r="B2773" s="3">
        <v>474</v>
      </c>
      <c r="C2773" s="4">
        <v>222780</v>
      </c>
      <c r="D2773" s="3">
        <v>297</v>
      </c>
      <c r="E2773" s="4">
        <v>216810</v>
      </c>
      <c r="G2773" s="12">
        <f t="shared" si="182"/>
        <v>2018</v>
      </c>
      <c r="H2773" s="12">
        <f t="shared" si="183"/>
        <v>7</v>
      </c>
      <c r="I2773" s="11">
        <f t="shared" si="184"/>
        <v>91</v>
      </c>
      <c r="J2773" s="11"/>
    </row>
    <row r="2774" spans="1:10" x14ac:dyDescent="0.25">
      <c r="A2774" s="2">
        <v>43312</v>
      </c>
      <c r="B2774" s="3">
        <v>421</v>
      </c>
      <c r="C2774" s="4">
        <v>197870</v>
      </c>
      <c r="D2774" s="3">
        <v>323</v>
      </c>
      <c r="E2774" s="4">
        <v>235790</v>
      </c>
      <c r="G2774" s="12">
        <f t="shared" si="182"/>
        <v>2018</v>
      </c>
      <c r="H2774" s="12">
        <f t="shared" si="183"/>
        <v>7</v>
      </c>
      <c r="I2774" s="11">
        <f t="shared" si="184"/>
        <v>91</v>
      </c>
      <c r="J2774" s="11"/>
    </row>
    <row r="2775" spans="1:10" x14ac:dyDescent="0.25">
      <c r="A2775" s="2">
        <v>43313</v>
      </c>
      <c r="B2775" s="3">
        <v>714</v>
      </c>
      <c r="C2775" s="4">
        <v>335580</v>
      </c>
      <c r="D2775" s="3">
        <v>374</v>
      </c>
      <c r="E2775" s="4">
        <v>273020</v>
      </c>
      <c r="G2775" s="12">
        <f t="shared" si="182"/>
        <v>2018</v>
      </c>
      <c r="H2775" s="12">
        <f t="shared" si="183"/>
        <v>8</v>
      </c>
      <c r="I2775" s="11">
        <f t="shared" si="184"/>
        <v>92</v>
      </c>
      <c r="J2775" s="11"/>
    </row>
    <row r="2776" spans="1:10" x14ac:dyDescent="0.25">
      <c r="A2776" s="2">
        <v>43314</v>
      </c>
      <c r="B2776" s="3">
        <v>673</v>
      </c>
      <c r="C2776" s="4">
        <v>316310</v>
      </c>
      <c r="D2776" s="3">
        <v>332</v>
      </c>
      <c r="E2776" s="4">
        <v>242360</v>
      </c>
      <c r="G2776" s="12">
        <f t="shared" si="182"/>
        <v>2018</v>
      </c>
      <c r="H2776" s="12">
        <f t="shared" si="183"/>
        <v>8</v>
      </c>
      <c r="I2776" s="11">
        <f t="shared" si="184"/>
        <v>92</v>
      </c>
      <c r="J2776" s="11"/>
    </row>
    <row r="2777" spans="1:10" x14ac:dyDescent="0.25">
      <c r="A2777" s="2">
        <v>43315</v>
      </c>
      <c r="B2777" s="3">
        <v>626</v>
      </c>
      <c r="C2777" s="4">
        <v>294220</v>
      </c>
      <c r="D2777" s="3">
        <v>354</v>
      </c>
      <c r="E2777" s="4">
        <v>258420</v>
      </c>
      <c r="G2777" s="12">
        <f t="shared" si="182"/>
        <v>2018</v>
      </c>
      <c r="H2777" s="12">
        <f t="shared" si="183"/>
        <v>8</v>
      </c>
      <c r="I2777" s="11">
        <f t="shared" si="184"/>
        <v>92</v>
      </c>
      <c r="J2777" s="11"/>
    </row>
    <row r="2778" spans="1:10" x14ac:dyDescent="0.25">
      <c r="A2778" s="2">
        <v>43316</v>
      </c>
      <c r="B2778" s="3">
        <v>660</v>
      </c>
      <c r="C2778" s="4">
        <v>310200</v>
      </c>
      <c r="D2778" s="3">
        <v>317</v>
      </c>
      <c r="E2778" s="4">
        <v>231410</v>
      </c>
      <c r="G2778" s="12">
        <f t="shared" si="182"/>
        <v>2018</v>
      </c>
      <c r="H2778" s="12">
        <f t="shared" si="183"/>
        <v>8</v>
      </c>
      <c r="I2778" s="11">
        <f t="shared" si="184"/>
        <v>92</v>
      </c>
      <c r="J2778" s="11"/>
    </row>
    <row r="2779" spans="1:10" x14ac:dyDescent="0.25">
      <c r="A2779" s="2">
        <v>43317</v>
      </c>
      <c r="B2779" s="3">
        <v>723</v>
      </c>
      <c r="C2779" s="4">
        <v>339810</v>
      </c>
      <c r="D2779" s="3">
        <v>254</v>
      </c>
      <c r="E2779" s="4">
        <v>185420</v>
      </c>
      <c r="G2779" s="12">
        <f t="shared" si="182"/>
        <v>2018</v>
      </c>
      <c r="H2779" s="12">
        <f t="shared" si="183"/>
        <v>8</v>
      </c>
      <c r="I2779" s="11">
        <f t="shared" si="184"/>
        <v>92</v>
      </c>
      <c r="J2779" s="11"/>
    </row>
    <row r="2780" spans="1:10" x14ac:dyDescent="0.25">
      <c r="A2780" s="2">
        <v>43318</v>
      </c>
      <c r="B2780" s="3">
        <v>679</v>
      </c>
      <c r="C2780" s="4">
        <v>319130</v>
      </c>
      <c r="D2780" s="3">
        <v>268</v>
      </c>
      <c r="E2780" s="4">
        <v>195640</v>
      </c>
      <c r="G2780" s="12">
        <f t="shared" si="182"/>
        <v>2018</v>
      </c>
      <c r="H2780" s="12">
        <f t="shared" si="183"/>
        <v>8</v>
      </c>
      <c r="I2780" s="11">
        <f t="shared" si="184"/>
        <v>92</v>
      </c>
      <c r="J2780" s="11"/>
    </row>
    <row r="2781" spans="1:10" x14ac:dyDescent="0.25">
      <c r="A2781" s="2">
        <v>43319</v>
      </c>
      <c r="B2781" s="3">
        <v>657</v>
      </c>
      <c r="C2781" s="4">
        <v>308790</v>
      </c>
      <c r="D2781" s="3">
        <v>310</v>
      </c>
      <c r="E2781" s="4">
        <v>226300</v>
      </c>
      <c r="G2781" s="12">
        <f t="shared" si="182"/>
        <v>2018</v>
      </c>
      <c r="H2781" s="12">
        <f t="shared" si="183"/>
        <v>8</v>
      </c>
      <c r="I2781" s="11">
        <f t="shared" si="184"/>
        <v>92</v>
      </c>
      <c r="J2781" s="11"/>
    </row>
    <row r="2782" spans="1:10" x14ac:dyDescent="0.25">
      <c r="A2782" s="2">
        <v>43320</v>
      </c>
      <c r="B2782" s="3">
        <v>690</v>
      </c>
      <c r="C2782" s="4">
        <v>324300</v>
      </c>
      <c r="D2782" s="3">
        <v>277</v>
      </c>
      <c r="E2782" s="4">
        <v>202210</v>
      </c>
      <c r="G2782" s="12">
        <f t="shared" si="182"/>
        <v>2018</v>
      </c>
      <c r="H2782" s="12">
        <f t="shared" si="183"/>
        <v>8</v>
      </c>
      <c r="I2782" s="11">
        <f t="shared" si="184"/>
        <v>92</v>
      </c>
      <c r="J2782" s="11"/>
    </row>
    <row r="2783" spans="1:10" x14ac:dyDescent="0.25">
      <c r="A2783" s="2">
        <v>43321</v>
      </c>
      <c r="B2783" s="3">
        <v>698</v>
      </c>
      <c r="C2783" s="4">
        <v>328060</v>
      </c>
      <c r="D2783" s="3">
        <v>325</v>
      </c>
      <c r="E2783" s="4">
        <v>237250</v>
      </c>
      <c r="G2783" s="12">
        <f t="shared" si="182"/>
        <v>2018</v>
      </c>
      <c r="H2783" s="12">
        <f t="shared" si="183"/>
        <v>8</v>
      </c>
      <c r="I2783" s="11">
        <f t="shared" si="184"/>
        <v>92</v>
      </c>
      <c r="J2783" s="11"/>
    </row>
    <row r="2784" spans="1:10" x14ac:dyDescent="0.25">
      <c r="A2784" s="2">
        <v>43322</v>
      </c>
      <c r="B2784" s="3">
        <v>732</v>
      </c>
      <c r="C2784" s="4">
        <v>344040</v>
      </c>
      <c r="D2784" s="3">
        <v>240</v>
      </c>
      <c r="E2784" s="4">
        <v>175200</v>
      </c>
      <c r="G2784" s="12">
        <f t="shared" si="182"/>
        <v>2018</v>
      </c>
      <c r="H2784" s="12">
        <f t="shared" si="183"/>
        <v>8</v>
      </c>
      <c r="I2784" s="11">
        <f t="shared" si="184"/>
        <v>92</v>
      </c>
      <c r="J2784" s="11"/>
    </row>
    <row r="2785" spans="1:10" x14ac:dyDescent="0.25">
      <c r="A2785" s="2">
        <v>43323</v>
      </c>
      <c r="B2785" s="3">
        <v>620</v>
      </c>
      <c r="C2785" s="4">
        <v>291400</v>
      </c>
      <c r="D2785" s="3">
        <v>253</v>
      </c>
      <c r="E2785" s="4">
        <v>184690</v>
      </c>
      <c r="G2785" s="12">
        <f t="shared" si="182"/>
        <v>2018</v>
      </c>
      <c r="H2785" s="12">
        <f t="shared" si="183"/>
        <v>8</v>
      </c>
      <c r="I2785" s="11">
        <f t="shared" si="184"/>
        <v>92</v>
      </c>
      <c r="J2785" s="11"/>
    </row>
    <row r="2786" spans="1:10" x14ac:dyDescent="0.25">
      <c r="A2786" s="2">
        <v>43324</v>
      </c>
      <c r="B2786" s="3">
        <v>837</v>
      </c>
      <c r="C2786" s="4">
        <v>393390</v>
      </c>
      <c r="D2786" s="3">
        <v>255</v>
      </c>
      <c r="E2786" s="4">
        <v>186150</v>
      </c>
      <c r="G2786" s="12">
        <f t="shared" si="182"/>
        <v>2018</v>
      </c>
      <c r="H2786" s="12">
        <f t="shared" si="183"/>
        <v>8</v>
      </c>
      <c r="I2786" s="11">
        <f t="shared" si="184"/>
        <v>92</v>
      </c>
      <c r="J2786" s="11"/>
    </row>
    <row r="2787" spans="1:10" x14ac:dyDescent="0.25">
      <c r="A2787" s="2">
        <v>43325</v>
      </c>
      <c r="B2787" s="3">
        <v>674</v>
      </c>
      <c r="C2787" s="4">
        <v>316780</v>
      </c>
      <c r="D2787" s="3">
        <v>318</v>
      </c>
      <c r="E2787" s="4">
        <v>232140</v>
      </c>
      <c r="G2787" s="12">
        <f t="shared" si="182"/>
        <v>2018</v>
      </c>
      <c r="H2787" s="12">
        <f t="shared" si="183"/>
        <v>8</v>
      </c>
      <c r="I2787" s="11">
        <f t="shared" si="184"/>
        <v>92</v>
      </c>
      <c r="J2787" s="11"/>
    </row>
    <row r="2788" spans="1:10" x14ac:dyDescent="0.25">
      <c r="A2788" s="2">
        <v>43326</v>
      </c>
      <c r="B2788" s="3">
        <v>776</v>
      </c>
      <c r="C2788" s="4">
        <v>364720</v>
      </c>
      <c r="D2788" s="3">
        <v>298</v>
      </c>
      <c r="E2788" s="4">
        <v>217540</v>
      </c>
      <c r="G2788" s="12">
        <f t="shared" si="182"/>
        <v>2018</v>
      </c>
      <c r="H2788" s="12">
        <f t="shared" si="183"/>
        <v>8</v>
      </c>
      <c r="I2788" s="11">
        <f t="shared" si="184"/>
        <v>92</v>
      </c>
      <c r="J2788" s="11"/>
    </row>
    <row r="2789" spans="1:10" x14ac:dyDescent="0.25">
      <c r="A2789" s="2">
        <v>43327</v>
      </c>
      <c r="B2789" s="3">
        <v>592</v>
      </c>
      <c r="C2789" s="4">
        <v>278240</v>
      </c>
      <c r="D2789" s="3">
        <v>288</v>
      </c>
      <c r="E2789" s="4">
        <v>210240</v>
      </c>
      <c r="G2789" s="12">
        <f t="shared" si="182"/>
        <v>2018</v>
      </c>
      <c r="H2789" s="12">
        <f t="shared" si="183"/>
        <v>8</v>
      </c>
      <c r="I2789" s="11">
        <f t="shared" si="184"/>
        <v>92</v>
      </c>
      <c r="J2789" s="11"/>
    </row>
    <row r="2790" spans="1:10" x14ac:dyDescent="0.25">
      <c r="A2790" s="2">
        <v>43328</v>
      </c>
      <c r="B2790" s="3">
        <v>724</v>
      </c>
      <c r="C2790" s="4">
        <v>340280</v>
      </c>
      <c r="D2790" s="3">
        <v>343</v>
      </c>
      <c r="E2790" s="4">
        <v>250390</v>
      </c>
      <c r="G2790" s="12">
        <f t="shared" si="182"/>
        <v>2018</v>
      </c>
      <c r="H2790" s="12">
        <f t="shared" si="183"/>
        <v>8</v>
      </c>
      <c r="I2790" s="11">
        <f t="shared" si="184"/>
        <v>92</v>
      </c>
      <c r="J2790" s="11"/>
    </row>
    <row r="2791" spans="1:10" x14ac:dyDescent="0.25">
      <c r="A2791" s="2">
        <v>43329</v>
      </c>
      <c r="B2791" s="3">
        <v>699</v>
      </c>
      <c r="C2791" s="4">
        <v>328530</v>
      </c>
      <c r="D2791" s="3">
        <v>349</v>
      </c>
      <c r="E2791" s="4">
        <v>254770</v>
      </c>
      <c r="G2791" s="12">
        <f t="shared" si="182"/>
        <v>2018</v>
      </c>
      <c r="H2791" s="12">
        <f t="shared" si="183"/>
        <v>8</v>
      </c>
      <c r="I2791" s="11">
        <f t="shared" si="184"/>
        <v>92</v>
      </c>
      <c r="J2791" s="11"/>
    </row>
    <row r="2792" spans="1:10" x14ac:dyDescent="0.25">
      <c r="A2792" s="2">
        <v>43330</v>
      </c>
      <c r="B2792" s="3">
        <v>611</v>
      </c>
      <c r="C2792" s="4">
        <v>287170</v>
      </c>
      <c r="D2792" s="3">
        <v>332</v>
      </c>
      <c r="E2792" s="4">
        <v>242360</v>
      </c>
      <c r="G2792" s="12">
        <f t="shared" si="182"/>
        <v>2018</v>
      </c>
      <c r="H2792" s="12">
        <f t="shared" si="183"/>
        <v>8</v>
      </c>
      <c r="I2792" s="11">
        <f t="shared" si="184"/>
        <v>92</v>
      </c>
      <c r="J2792" s="11"/>
    </row>
    <row r="2793" spans="1:10" x14ac:dyDescent="0.25">
      <c r="A2793" s="2">
        <v>43331</v>
      </c>
      <c r="B2793" s="3">
        <v>643</v>
      </c>
      <c r="C2793" s="4">
        <v>302210</v>
      </c>
      <c r="D2793" s="3">
        <v>292</v>
      </c>
      <c r="E2793" s="4">
        <v>213160</v>
      </c>
      <c r="G2793" s="12">
        <f t="shared" si="182"/>
        <v>2018</v>
      </c>
      <c r="H2793" s="12">
        <f t="shared" si="183"/>
        <v>8</v>
      </c>
      <c r="I2793" s="11">
        <f t="shared" si="184"/>
        <v>92</v>
      </c>
      <c r="J2793" s="11"/>
    </row>
    <row r="2794" spans="1:10" x14ac:dyDescent="0.25">
      <c r="A2794" s="2">
        <v>43332</v>
      </c>
      <c r="B2794" s="3">
        <v>796</v>
      </c>
      <c r="C2794" s="4">
        <v>374120</v>
      </c>
      <c r="D2794" s="3">
        <v>315</v>
      </c>
      <c r="E2794" s="4">
        <v>229950</v>
      </c>
      <c r="G2794" s="12">
        <f t="shared" si="182"/>
        <v>2018</v>
      </c>
      <c r="H2794" s="12">
        <f t="shared" si="183"/>
        <v>8</v>
      </c>
      <c r="I2794" s="11">
        <f t="shared" si="184"/>
        <v>92</v>
      </c>
      <c r="J2794" s="11"/>
    </row>
    <row r="2795" spans="1:10" x14ac:dyDescent="0.25">
      <c r="A2795" s="2">
        <v>43333</v>
      </c>
      <c r="B2795" s="3">
        <v>557</v>
      </c>
      <c r="C2795" s="4">
        <v>261790</v>
      </c>
      <c r="D2795" s="3">
        <v>281</v>
      </c>
      <c r="E2795" s="4">
        <v>205130</v>
      </c>
      <c r="G2795" s="12">
        <f t="shared" si="182"/>
        <v>2018</v>
      </c>
      <c r="H2795" s="12">
        <f t="shared" si="183"/>
        <v>8</v>
      </c>
      <c r="I2795" s="11">
        <f t="shared" si="184"/>
        <v>92</v>
      </c>
      <c r="J2795" s="11"/>
    </row>
    <row r="2796" spans="1:10" x14ac:dyDescent="0.25">
      <c r="A2796" s="2">
        <v>43334</v>
      </c>
      <c r="B2796" s="3">
        <v>733</v>
      </c>
      <c r="C2796" s="4">
        <v>344510</v>
      </c>
      <c r="D2796" s="3">
        <v>307</v>
      </c>
      <c r="E2796" s="4">
        <v>224110</v>
      </c>
      <c r="G2796" s="12">
        <f t="shared" si="182"/>
        <v>2018</v>
      </c>
      <c r="H2796" s="12">
        <f t="shared" si="183"/>
        <v>8</v>
      </c>
      <c r="I2796" s="11">
        <f t="shared" si="184"/>
        <v>92</v>
      </c>
      <c r="J2796" s="11"/>
    </row>
    <row r="2797" spans="1:10" x14ac:dyDescent="0.25">
      <c r="A2797" s="2">
        <v>43335</v>
      </c>
      <c r="B2797" s="3">
        <v>755</v>
      </c>
      <c r="C2797" s="4">
        <v>354850</v>
      </c>
      <c r="D2797" s="3">
        <v>347</v>
      </c>
      <c r="E2797" s="4">
        <v>253310</v>
      </c>
      <c r="G2797" s="12">
        <f t="shared" si="182"/>
        <v>2018</v>
      </c>
      <c r="H2797" s="12">
        <f t="shared" si="183"/>
        <v>8</v>
      </c>
      <c r="I2797" s="11">
        <f t="shared" si="184"/>
        <v>92</v>
      </c>
      <c r="J2797" s="11"/>
    </row>
    <row r="2798" spans="1:10" x14ac:dyDescent="0.25">
      <c r="A2798" s="2">
        <v>43336</v>
      </c>
      <c r="B2798" s="3">
        <v>732</v>
      </c>
      <c r="C2798" s="4">
        <v>344040</v>
      </c>
      <c r="D2798" s="3">
        <v>281</v>
      </c>
      <c r="E2798" s="4">
        <v>205130</v>
      </c>
      <c r="G2798" s="12">
        <f t="shared" si="182"/>
        <v>2018</v>
      </c>
      <c r="H2798" s="12">
        <f t="shared" si="183"/>
        <v>8</v>
      </c>
      <c r="I2798" s="11">
        <f t="shared" si="184"/>
        <v>92</v>
      </c>
      <c r="J2798" s="11"/>
    </row>
    <row r="2799" spans="1:10" x14ac:dyDescent="0.25">
      <c r="A2799" s="2">
        <v>43337</v>
      </c>
      <c r="B2799" s="3">
        <v>738</v>
      </c>
      <c r="C2799" s="4">
        <v>346860</v>
      </c>
      <c r="D2799" s="3">
        <v>256</v>
      </c>
      <c r="E2799" s="4">
        <v>186880</v>
      </c>
      <c r="G2799" s="12">
        <f t="shared" si="182"/>
        <v>2018</v>
      </c>
      <c r="H2799" s="12">
        <f t="shared" si="183"/>
        <v>8</v>
      </c>
      <c r="I2799" s="11">
        <f t="shared" si="184"/>
        <v>92</v>
      </c>
      <c r="J2799" s="11"/>
    </row>
    <row r="2800" spans="1:10" x14ac:dyDescent="0.25">
      <c r="A2800" s="2">
        <v>43338</v>
      </c>
      <c r="B2800" s="3">
        <v>811</v>
      </c>
      <c r="C2800" s="4">
        <v>381170</v>
      </c>
      <c r="D2800" s="3">
        <v>322</v>
      </c>
      <c r="E2800" s="4">
        <v>235060</v>
      </c>
      <c r="G2800" s="12">
        <f t="shared" si="182"/>
        <v>2018</v>
      </c>
      <c r="H2800" s="12">
        <f t="shared" si="183"/>
        <v>8</v>
      </c>
      <c r="I2800" s="11">
        <f t="shared" si="184"/>
        <v>92</v>
      </c>
      <c r="J2800" s="11"/>
    </row>
    <row r="2801" spans="1:10" x14ac:dyDescent="0.25">
      <c r="A2801" s="2">
        <v>43339</v>
      </c>
      <c r="B2801" s="3">
        <v>706</v>
      </c>
      <c r="C2801" s="4">
        <v>331820</v>
      </c>
      <c r="D2801" s="3">
        <v>327</v>
      </c>
      <c r="E2801" s="4">
        <v>238710</v>
      </c>
      <c r="G2801" s="12">
        <f t="shared" si="182"/>
        <v>2018</v>
      </c>
      <c r="H2801" s="12">
        <f t="shared" si="183"/>
        <v>8</v>
      </c>
      <c r="I2801" s="11">
        <f t="shared" si="184"/>
        <v>92</v>
      </c>
      <c r="J2801" s="11"/>
    </row>
    <row r="2802" spans="1:10" x14ac:dyDescent="0.25">
      <c r="A2802" s="2">
        <v>43340</v>
      </c>
      <c r="B2802" s="3">
        <v>668</v>
      </c>
      <c r="C2802" s="4">
        <v>313960</v>
      </c>
      <c r="D2802" s="3">
        <v>250</v>
      </c>
      <c r="E2802" s="4">
        <v>182500</v>
      </c>
      <c r="G2802" s="12">
        <f t="shared" si="182"/>
        <v>2018</v>
      </c>
      <c r="H2802" s="12">
        <f t="shared" si="183"/>
        <v>8</v>
      </c>
      <c r="I2802" s="11">
        <f t="shared" si="184"/>
        <v>92</v>
      </c>
      <c r="J2802" s="11"/>
    </row>
    <row r="2803" spans="1:10" x14ac:dyDescent="0.25">
      <c r="A2803" s="2">
        <v>43341</v>
      </c>
      <c r="B2803" s="3">
        <v>704</v>
      </c>
      <c r="C2803" s="4">
        <v>330880</v>
      </c>
      <c r="D2803" s="3">
        <v>304</v>
      </c>
      <c r="E2803" s="4">
        <v>221920</v>
      </c>
      <c r="G2803" s="12">
        <f t="shared" si="182"/>
        <v>2018</v>
      </c>
      <c r="H2803" s="12">
        <f t="shared" si="183"/>
        <v>8</v>
      </c>
      <c r="I2803" s="11">
        <f t="shared" si="184"/>
        <v>92</v>
      </c>
      <c r="J2803" s="11"/>
    </row>
    <row r="2804" spans="1:10" x14ac:dyDescent="0.25">
      <c r="A2804" s="2">
        <v>43342</v>
      </c>
      <c r="B2804" s="3">
        <v>726</v>
      </c>
      <c r="C2804" s="4">
        <v>341220</v>
      </c>
      <c r="D2804" s="3">
        <v>251</v>
      </c>
      <c r="E2804" s="4">
        <v>183230</v>
      </c>
      <c r="G2804" s="12">
        <f t="shared" si="182"/>
        <v>2018</v>
      </c>
      <c r="H2804" s="12">
        <f t="shared" si="183"/>
        <v>8</v>
      </c>
      <c r="I2804" s="11">
        <f t="shared" si="184"/>
        <v>92</v>
      </c>
      <c r="J2804" s="11"/>
    </row>
    <row r="2805" spans="1:10" x14ac:dyDescent="0.25">
      <c r="A2805" s="2">
        <v>43343</v>
      </c>
      <c r="B2805" s="3">
        <v>723</v>
      </c>
      <c r="C2805" s="4">
        <v>339810</v>
      </c>
      <c r="D2805" s="3">
        <v>325</v>
      </c>
      <c r="E2805" s="4">
        <v>237250</v>
      </c>
      <c r="G2805" s="12">
        <f t="shared" si="182"/>
        <v>2018</v>
      </c>
      <c r="H2805" s="12">
        <f t="shared" si="183"/>
        <v>8</v>
      </c>
      <c r="I2805" s="11">
        <f t="shared" si="184"/>
        <v>92</v>
      </c>
      <c r="J2805" s="11"/>
    </row>
    <row r="2806" spans="1:10" x14ac:dyDescent="0.25">
      <c r="A2806" s="2">
        <v>43344</v>
      </c>
      <c r="B2806" s="3">
        <v>675</v>
      </c>
      <c r="C2806" s="4">
        <v>317250</v>
      </c>
      <c r="D2806" s="3">
        <v>296</v>
      </c>
      <c r="E2806" s="4">
        <v>216080</v>
      </c>
      <c r="G2806" s="12">
        <f t="shared" si="182"/>
        <v>2018</v>
      </c>
      <c r="H2806" s="12">
        <f t="shared" si="183"/>
        <v>9</v>
      </c>
      <c r="I2806" s="11">
        <f t="shared" si="184"/>
        <v>93</v>
      </c>
      <c r="J2806" s="11"/>
    </row>
    <row r="2807" spans="1:10" x14ac:dyDescent="0.25">
      <c r="A2807" s="2">
        <v>43345</v>
      </c>
      <c r="B2807" s="3">
        <v>708</v>
      </c>
      <c r="C2807" s="4">
        <v>332760</v>
      </c>
      <c r="D2807" s="3">
        <v>239</v>
      </c>
      <c r="E2807" s="4">
        <v>174470</v>
      </c>
      <c r="G2807" s="12">
        <f t="shared" si="182"/>
        <v>2018</v>
      </c>
      <c r="H2807" s="12">
        <f t="shared" si="183"/>
        <v>9</v>
      </c>
      <c r="I2807" s="11">
        <f t="shared" si="184"/>
        <v>93</v>
      </c>
      <c r="J2807" s="11"/>
    </row>
    <row r="2808" spans="1:10" x14ac:dyDescent="0.25">
      <c r="A2808" s="2">
        <v>43346</v>
      </c>
      <c r="B2808" s="3">
        <v>713</v>
      </c>
      <c r="C2808" s="4">
        <v>335110</v>
      </c>
      <c r="D2808" s="3">
        <v>296</v>
      </c>
      <c r="E2808" s="4">
        <v>216080</v>
      </c>
      <c r="G2808" s="12">
        <f t="shared" si="182"/>
        <v>2018</v>
      </c>
      <c r="H2808" s="12">
        <f t="shared" si="183"/>
        <v>9</v>
      </c>
      <c r="I2808" s="11">
        <f t="shared" si="184"/>
        <v>93</v>
      </c>
      <c r="J2808" s="11"/>
    </row>
    <row r="2809" spans="1:10" x14ac:dyDescent="0.25">
      <c r="A2809" s="2">
        <v>43347</v>
      </c>
      <c r="B2809" s="3">
        <v>726</v>
      </c>
      <c r="C2809" s="4">
        <v>341220</v>
      </c>
      <c r="D2809" s="3">
        <v>386</v>
      </c>
      <c r="E2809" s="4">
        <v>281780</v>
      </c>
      <c r="G2809" s="12">
        <f t="shared" si="182"/>
        <v>2018</v>
      </c>
      <c r="H2809" s="12">
        <f t="shared" si="183"/>
        <v>9</v>
      </c>
      <c r="I2809" s="11">
        <f t="shared" si="184"/>
        <v>93</v>
      </c>
      <c r="J2809" s="11"/>
    </row>
    <row r="2810" spans="1:10" x14ac:dyDescent="0.25">
      <c r="A2810" s="2">
        <v>43348</v>
      </c>
      <c r="B2810" s="3">
        <v>626</v>
      </c>
      <c r="C2810" s="4">
        <v>294220</v>
      </c>
      <c r="D2810" s="3">
        <v>294</v>
      </c>
      <c r="E2810" s="4">
        <v>214620</v>
      </c>
      <c r="G2810" s="12">
        <f t="shared" si="182"/>
        <v>2018</v>
      </c>
      <c r="H2810" s="12">
        <f t="shared" si="183"/>
        <v>9</v>
      </c>
      <c r="I2810" s="11">
        <f t="shared" si="184"/>
        <v>93</v>
      </c>
      <c r="J2810" s="11"/>
    </row>
    <row r="2811" spans="1:10" x14ac:dyDescent="0.25">
      <c r="A2811" s="2">
        <v>43349</v>
      </c>
      <c r="B2811" s="3">
        <v>833</v>
      </c>
      <c r="C2811" s="4">
        <v>391510</v>
      </c>
      <c r="D2811" s="3">
        <v>304</v>
      </c>
      <c r="E2811" s="4">
        <v>221920</v>
      </c>
      <c r="G2811" s="12">
        <f t="shared" si="182"/>
        <v>2018</v>
      </c>
      <c r="H2811" s="12">
        <f t="shared" si="183"/>
        <v>9</v>
      </c>
      <c r="I2811" s="11">
        <f t="shared" si="184"/>
        <v>93</v>
      </c>
      <c r="J2811" s="11"/>
    </row>
    <row r="2812" spans="1:10" x14ac:dyDescent="0.25">
      <c r="A2812" s="2">
        <v>43350</v>
      </c>
      <c r="B2812" s="3">
        <v>703</v>
      </c>
      <c r="C2812" s="4">
        <v>330410</v>
      </c>
      <c r="D2812" s="3">
        <v>279</v>
      </c>
      <c r="E2812" s="4">
        <v>203670</v>
      </c>
      <c r="G2812" s="12">
        <f t="shared" si="182"/>
        <v>2018</v>
      </c>
      <c r="H2812" s="12">
        <f t="shared" si="183"/>
        <v>9</v>
      </c>
      <c r="I2812" s="11">
        <f t="shared" si="184"/>
        <v>93</v>
      </c>
      <c r="J2812" s="11"/>
    </row>
    <row r="2813" spans="1:10" x14ac:dyDescent="0.25">
      <c r="A2813" s="2">
        <v>43351</v>
      </c>
      <c r="B2813" s="3">
        <v>673</v>
      </c>
      <c r="C2813" s="4">
        <v>316310</v>
      </c>
      <c r="D2813" s="3">
        <v>285</v>
      </c>
      <c r="E2813" s="4">
        <v>208050</v>
      </c>
      <c r="G2813" s="12">
        <f t="shared" si="182"/>
        <v>2018</v>
      </c>
      <c r="H2813" s="12">
        <f t="shared" si="183"/>
        <v>9</v>
      </c>
      <c r="I2813" s="11">
        <f t="shared" si="184"/>
        <v>93</v>
      </c>
      <c r="J2813" s="11"/>
    </row>
    <row r="2814" spans="1:10" x14ac:dyDescent="0.25">
      <c r="A2814" s="2">
        <v>43352</v>
      </c>
      <c r="B2814" s="3">
        <v>775</v>
      </c>
      <c r="C2814" s="4">
        <v>364250</v>
      </c>
      <c r="D2814" s="3">
        <v>317</v>
      </c>
      <c r="E2814" s="4">
        <v>231410</v>
      </c>
      <c r="G2814" s="12">
        <f t="shared" si="182"/>
        <v>2018</v>
      </c>
      <c r="H2814" s="12">
        <f t="shared" si="183"/>
        <v>9</v>
      </c>
      <c r="I2814" s="11">
        <f t="shared" si="184"/>
        <v>93</v>
      </c>
      <c r="J2814" s="11"/>
    </row>
    <row r="2815" spans="1:10" x14ac:dyDescent="0.25">
      <c r="A2815" s="2">
        <v>43353</v>
      </c>
      <c r="B2815" s="3">
        <v>751</v>
      </c>
      <c r="C2815" s="4">
        <v>352970</v>
      </c>
      <c r="D2815" s="3">
        <v>260</v>
      </c>
      <c r="E2815" s="4">
        <v>189800</v>
      </c>
      <c r="G2815" s="12">
        <f t="shared" si="182"/>
        <v>2018</v>
      </c>
      <c r="H2815" s="12">
        <f t="shared" si="183"/>
        <v>9</v>
      </c>
      <c r="I2815" s="11">
        <f t="shared" si="184"/>
        <v>93</v>
      </c>
      <c r="J2815" s="11"/>
    </row>
    <row r="2816" spans="1:10" x14ac:dyDescent="0.25">
      <c r="A2816" s="2">
        <v>43354</v>
      </c>
      <c r="B2816" s="3">
        <v>631</v>
      </c>
      <c r="C2816" s="4">
        <v>296570</v>
      </c>
      <c r="D2816" s="3">
        <v>293</v>
      </c>
      <c r="E2816" s="4">
        <v>213890</v>
      </c>
      <c r="G2816" s="12">
        <f t="shared" si="182"/>
        <v>2018</v>
      </c>
      <c r="H2816" s="12">
        <f t="shared" si="183"/>
        <v>9</v>
      </c>
      <c r="I2816" s="11">
        <f t="shared" si="184"/>
        <v>93</v>
      </c>
      <c r="J2816" s="11"/>
    </row>
    <row r="2817" spans="1:10" x14ac:dyDescent="0.25">
      <c r="A2817" s="2">
        <v>43355</v>
      </c>
      <c r="B2817" s="3">
        <v>719</v>
      </c>
      <c r="C2817" s="4">
        <v>337930</v>
      </c>
      <c r="D2817" s="3">
        <v>355</v>
      </c>
      <c r="E2817" s="4">
        <v>259150</v>
      </c>
      <c r="G2817" s="12">
        <f t="shared" si="182"/>
        <v>2018</v>
      </c>
      <c r="H2817" s="12">
        <f t="shared" si="183"/>
        <v>9</v>
      </c>
      <c r="I2817" s="11">
        <f t="shared" si="184"/>
        <v>93</v>
      </c>
      <c r="J2817" s="11"/>
    </row>
    <row r="2818" spans="1:10" x14ac:dyDescent="0.25">
      <c r="A2818" s="2">
        <v>43356</v>
      </c>
      <c r="B2818" s="3">
        <v>611</v>
      </c>
      <c r="C2818" s="4">
        <v>287170</v>
      </c>
      <c r="D2818" s="3">
        <v>300</v>
      </c>
      <c r="E2818" s="4">
        <v>219000</v>
      </c>
      <c r="G2818" s="12">
        <f t="shared" si="182"/>
        <v>2018</v>
      </c>
      <c r="H2818" s="12">
        <f t="shared" si="183"/>
        <v>9</v>
      </c>
      <c r="I2818" s="11">
        <f t="shared" si="184"/>
        <v>93</v>
      </c>
      <c r="J2818" s="11"/>
    </row>
    <row r="2819" spans="1:10" x14ac:dyDescent="0.25">
      <c r="A2819" s="2">
        <v>43357</v>
      </c>
      <c r="B2819" s="3">
        <v>788</v>
      </c>
      <c r="C2819" s="4">
        <v>370360</v>
      </c>
      <c r="D2819" s="3">
        <v>279</v>
      </c>
      <c r="E2819" s="4">
        <v>203670</v>
      </c>
      <c r="G2819" s="12">
        <f t="shared" si="182"/>
        <v>2018</v>
      </c>
      <c r="H2819" s="12">
        <f t="shared" si="183"/>
        <v>9</v>
      </c>
      <c r="I2819" s="11">
        <f t="shared" si="184"/>
        <v>93</v>
      </c>
      <c r="J2819" s="11"/>
    </row>
    <row r="2820" spans="1:10" x14ac:dyDescent="0.25">
      <c r="A2820" s="2">
        <v>43358</v>
      </c>
      <c r="B2820" s="3">
        <v>804</v>
      </c>
      <c r="C2820" s="4">
        <v>377880</v>
      </c>
      <c r="D2820" s="3">
        <v>308</v>
      </c>
      <c r="E2820" s="4">
        <v>224840</v>
      </c>
      <c r="G2820" s="12">
        <f t="shared" si="182"/>
        <v>2018</v>
      </c>
      <c r="H2820" s="12">
        <f t="shared" si="183"/>
        <v>9</v>
      </c>
      <c r="I2820" s="11">
        <f t="shared" si="184"/>
        <v>93</v>
      </c>
      <c r="J2820" s="11"/>
    </row>
    <row r="2821" spans="1:10" x14ac:dyDescent="0.25">
      <c r="A2821" s="2">
        <v>43359</v>
      </c>
      <c r="B2821" s="3">
        <v>599</v>
      </c>
      <c r="C2821" s="4">
        <v>281530</v>
      </c>
      <c r="D2821" s="3">
        <v>310</v>
      </c>
      <c r="E2821" s="4">
        <v>226300</v>
      </c>
      <c r="G2821" s="12">
        <f t="shared" si="182"/>
        <v>2018</v>
      </c>
      <c r="H2821" s="12">
        <f t="shared" si="183"/>
        <v>9</v>
      </c>
      <c r="I2821" s="11">
        <f t="shared" si="184"/>
        <v>93</v>
      </c>
      <c r="J2821" s="11"/>
    </row>
    <row r="2822" spans="1:10" x14ac:dyDescent="0.25">
      <c r="A2822" s="2">
        <v>43360</v>
      </c>
      <c r="B2822" s="3">
        <v>590</v>
      </c>
      <c r="C2822" s="4">
        <v>277300</v>
      </c>
      <c r="D2822" s="3">
        <v>291</v>
      </c>
      <c r="E2822" s="4">
        <v>212430</v>
      </c>
      <c r="G2822" s="12">
        <f t="shared" ref="G2822:G2885" si="185">+YEAR(A2822)</f>
        <v>2018</v>
      </c>
      <c r="H2822" s="12">
        <f t="shared" ref="H2822:H2885" si="186">+MONTH(A2822)</f>
        <v>9</v>
      </c>
      <c r="I2822" s="11">
        <f t="shared" si="184"/>
        <v>93</v>
      </c>
      <c r="J2822" s="11"/>
    </row>
    <row r="2823" spans="1:10" x14ac:dyDescent="0.25">
      <c r="A2823" s="2">
        <v>43361</v>
      </c>
      <c r="B2823" s="3">
        <v>714</v>
      </c>
      <c r="C2823" s="4">
        <v>335580</v>
      </c>
      <c r="D2823" s="3">
        <v>329</v>
      </c>
      <c r="E2823" s="4">
        <v>240170</v>
      </c>
      <c r="G2823" s="12">
        <f t="shared" si="185"/>
        <v>2018</v>
      </c>
      <c r="H2823" s="12">
        <f t="shared" si="186"/>
        <v>9</v>
      </c>
      <c r="I2823" s="11">
        <f t="shared" ref="I2823:I2886" si="187">+H2823+(G2823-2011)*12</f>
        <v>93</v>
      </c>
      <c r="J2823" s="11"/>
    </row>
    <row r="2824" spans="1:10" x14ac:dyDescent="0.25">
      <c r="A2824" s="2">
        <v>43362</v>
      </c>
      <c r="B2824" s="3">
        <v>798</v>
      </c>
      <c r="C2824" s="4">
        <v>375060</v>
      </c>
      <c r="D2824" s="3">
        <v>341</v>
      </c>
      <c r="E2824" s="4">
        <v>248930</v>
      </c>
      <c r="G2824" s="12">
        <f t="shared" si="185"/>
        <v>2018</v>
      </c>
      <c r="H2824" s="12">
        <f t="shared" si="186"/>
        <v>9</v>
      </c>
      <c r="I2824" s="11">
        <f t="shared" si="187"/>
        <v>93</v>
      </c>
      <c r="J2824" s="11"/>
    </row>
    <row r="2825" spans="1:10" x14ac:dyDescent="0.25">
      <c r="A2825" s="2">
        <v>43363</v>
      </c>
      <c r="B2825" s="3">
        <v>713</v>
      </c>
      <c r="C2825" s="4">
        <v>335110</v>
      </c>
      <c r="D2825" s="3">
        <v>317</v>
      </c>
      <c r="E2825" s="4">
        <v>231410</v>
      </c>
      <c r="G2825" s="12">
        <f t="shared" si="185"/>
        <v>2018</v>
      </c>
      <c r="H2825" s="12">
        <f t="shared" si="186"/>
        <v>9</v>
      </c>
      <c r="I2825" s="11">
        <f t="shared" si="187"/>
        <v>93</v>
      </c>
      <c r="J2825" s="11"/>
    </row>
    <row r="2826" spans="1:10" x14ac:dyDescent="0.25">
      <c r="A2826" s="2">
        <v>43364</v>
      </c>
      <c r="B2826" s="3">
        <v>710</v>
      </c>
      <c r="C2826" s="4">
        <v>333700</v>
      </c>
      <c r="D2826" s="3">
        <v>362</v>
      </c>
      <c r="E2826" s="4">
        <v>264260</v>
      </c>
      <c r="G2826" s="12">
        <f t="shared" si="185"/>
        <v>2018</v>
      </c>
      <c r="H2826" s="12">
        <f t="shared" si="186"/>
        <v>9</v>
      </c>
      <c r="I2826" s="11">
        <f t="shared" si="187"/>
        <v>93</v>
      </c>
      <c r="J2826" s="11"/>
    </row>
    <row r="2827" spans="1:10" x14ac:dyDescent="0.25">
      <c r="A2827" s="2">
        <v>43365</v>
      </c>
      <c r="B2827" s="3">
        <v>802</v>
      </c>
      <c r="C2827" s="4">
        <v>376940</v>
      </c>
      <c r="D2827" s="3">
        <v>274</v>
      </c>
      <c r="E2827" s="4">
        <v>200020</v>
      </c>
      <c r="G2827" s="12">
        <f t="shared" si="185"/>
        <v>2018</v>
      </c>
      <c r="H2827" s="12">
        <f t="shared" si="186"/>
        <v>9</v>
      </c>
      <c r="I2827" s="11">
        <f t="shared" si="187"/>
        <v>93</v>
      </c>
      <c r="J2827" s="11"/>
    </row>
    <row r="2828" spans="1:10" x14ac:dyDescent="0.25">
      <c r="A2828" s="2">
        <v>43366</v>
      </c>
      <c r="B2828" s="3">
        <v>807</v>
      </c>
      <c r="C2828" s="4">
        <v>379290</v>
      </c>
      <c r="D2828" s="3">
        <v>278</v>
      </c>
      <c r="E2828" s="4">
        <v>202940</v>
      </c>
      <c r="G2828" s="12">
        <f t="shared" si="185"/>
        <v>2018</v>
      </c>
      <c r="H2828" s="12">
        <f t="shared" si="186"/>
        <v>9</v>
      </c>
      <c r="I2828" s="11">
        <f t="shared" si="187"/>
        <v>93</v>
      </c>
      <c r="J2828" s="11"/>
    </row>
    <row r="2829" spans="1:10" x14ac:dyDescent="0.25">
      <c r="A2829" s="2">
        <v>43367</v>
      </c>
      <c r="B2829" s="3">
        <v>638</v>
      </c>
      <c r="C2829" s="4">
        <v>299860</v>
      </c>
      <c r="D2829" s="3">
        <v>227</v>
      </c>
      <c r="E2829" s="4">
        <v>165710</v>
      </c>
      <c r="G2829" s="12">
        <f t="shared" si="185"/>
        <v>2018</v>
      </c>
      <c r="H2829" s="12">
        <f t="shared" si="186"/>
        <v>9</v>
      </c>
      <c r="I2829" s="11">
        <f t="shared" si="187"/>
        <v>93</v>
      </c>
      <c r="J2829" s="11"/>
    </row>
    <row r="2830" spans="1:10" x14ac:dyDescent="0.25">
      <c r="A2830" s="2">
        <v>43368</v>
      </c>
      <c r="B2830" s="3">
        <v>756</v>
      </c>
      <c r="C2830" s="4">
        <v>355320</v>
      </c>
      <c r="D2830" s="3">
        <v>309</v>
      </c>
      <c r="E2830" s="4">
        <v>225570</v>
      </c>
      <c r="G2830" s="12">
        <f t="shared" si="185"/>
        <v>2018</v>
      </c>
      <c r="H2830" s="12">
        <f t="shared" si="186"/>
        <v>9</v>
      </c>
      <c r="I2830" s="11">
        <f t="shared" si="187"/>
        <v>93</v>
      </c>
      <c r="J2830" s="11"/>
    </row>
    <row r="2831" spans="1:10" x14ac:dyDescent="0.25">
      <c r="A2831" s="2">
        <v>43369</v>
      </c>
      <c r="B2831" s="3">
        <v>663</v>
      </c>
      <c r="C2831" s="4">
        <v>311610</v>
      </c>
      <c r="D2831" s="3">
        <v>322</v>
      </c>
      <c r="E2831" s="4">
        <v>235060</v>
      </c>
      <c r="G2831" s="12">
        <f t="shared" si="185"/>
        <v>2018</v>
      </c>
      <c r="H2831" s="12">
        <f t="shared" si="186"/>
        <v>9</v>
      </c>
      <c r="I2831" s="11">
        <f t="shared" si="187"/>
        <v>93</v>
      </c>
      <c r="J2831" s="11"/>
    </row>
    <row r="2832" spans="1:10" x14ac:dyDescent="0.25">
      <c r="A2832" s="2">
        <v>43370</v>
      </c>
      <c r="B2832" s="3">
        <v>645</v>
      </c>
      <c r="C2832" s="4">
        <v>303150</v>
      </c>
      <c r="D2832" s="3">
        <v>285</v>
      </c>
      <c r="E2832" s="4">
        <v>208050</v>
      </c>
      <c r="G2832" s="12">
        <f t="shared" si="185"/>
        <v>2018</v>
      </c>
      <c r="H2832" s="12">
        <f t="shared" si="186"/>
        <v>9</v>
      </c>
      <c r="I2832" s="11">
        <f t="shared" si="187"/>
        <v>93</v>
      </c>
      <c r="J2832" s="11"/>
    </row>
    <row r="2833" spans="1:10" x14ac:dyDescent="0.25">
      <c r="A2833" s="2">
        <v>43371</v>
      </c>
      <c r="B2833" s="3">
        <v>689</v>
      </c>
      <c r="C2833" s="4">
        <v>323830</v>
      </c>
      <c r="D2833" s="3">
        <v>312</v>
      </c>
      <c r="E2833" s="4">
        <v>227760</v>
      </c>
      <c r="G2833" s="12">
        <f t="shared" si="185"/>
        <v>2018</v>
      </c>
      <c r="H2833" s="12">
        <f t="shared" si="186"/>
        <v>9</v>
      </c>
      <c r="I2833" s="11">
        <f t="shared" si="187"/>
        <v>93</v>
      </c>
      <c r="J2833" s="11"/>
    </row>
    <row r="2834" spans="1:10" x14ac:dyDescent="0.25">
      <c r="A2834" s="2">
        <v>43372</v>
      </c>
      <c r="B2834" s="3">
        <v>655</v>
      </c>
      <c r="C2834" s="4">
        <v>307850</v>
      </c>
      <c r="D2834" s="3">
        <v>305</v>
      </c>
      <c r="E2834" s="4">
        <v>222650</v>
      </c>
      <c r="G2834" s="12">
        <f t="shared" si="185"/>
        <v>2018</v>
      </c>
      <c r="H2834" s="12">
        <f t="shared" si="186"/>
        <v>9</v>
      </c>
      <c r="I2834" s="11">
        <f t="shared" si="187"/>
        <v>93</v>
      </c>
      <c r="J2834" s="11"/>
    </row>
    <row r="2835" spans="1:10" x14ac:dyDescent="0.25">
      <c r="A2835" s="2">
        <v>43373</v>
      </c>
      <c r="B2835" s="3">
        <v>773</v>
      </c>
      <c r="C2835" s="4">
        <v>363310</v>
      </c>
      <c r="D2835" s="3">
        <v>326</v>
      </c>
      <c r="E2835" s="4">
        <v>237980</v>
      </c>
      <c r="G2835" s="12">
        <f t="shared" si="185"/>
        <v>2018</v>
      </c>
      <c r="H2835" s="12">
        <f t="shared" si="186"/>
        <v>9</v>
      </c>
      <c r="I2835" s="11">
        <f t="shared" si="187"/>
        <v>93</v>
      </c>
      <c r="J2835" s="11"/>
    </row>
    <row r="2836" spans="1:10" x14ac:dyDescent="0.25">
      <c r="A2836" s="2">
        <v>43374</v>
      </c>
      <c r="B2836" s="3">
        <v>569</v>
      </c>
      <c r="C2836" s="4">
        <v>167143.75</v>
      </c>
      <c r="D2836" s="3">
        <v>330</v>
      </c>
      <c r="E2836" s="4">
        <v>240900</v>
      </c>
      <c r="G2836" s="12">
        <f t="shared" si="185"/>
        <v>2018</v>
      </c>
      <c r="H2836" s="12">
        <f t="shared" si="186"/>
        <v>10</v>
      </c>
      <c r="I2836" s="11">
        <f t="shared" si="187"/>
        <v>94</v>
      </c>
      <c r="J2836" s="11"/>
    </row>
    <row r="2837" spans="1:10" x14ac:dyDescent="0.25">
      <c r="A2837" s="2">
        <v>43375</v>
      </c>
      <c r="B2837" s="3">
        <v>607</v>
      </c>
      <c r="C2837" s="4">
        <v>178306.25</v>
      </c>
      <c r="D2837" s="3">
        <v>262</v>
      </c>
      <c r="E2837" s="4">
        <v>191260</v>
      </c>
      <c r="G2837" s="12">
        <f t="shared" si="185"/>
        <v>2018</v>
      </c>
      <c r="H2837" s="12">
        <f t="shared" si="186"/>
        <v>10</v>
      </c>
      <c r="I2837" s="11">
        <f t="shared" si="187"/>
        <v>94</v>
      </c>
      <c r="J2837" s="11"/>
    </row>
    <row r="2838" spans="1:10" x14ac:dyDescent="0.25">
      <c r="A2838" s="2">
        <v>43376</v>
      </c>
      <c r="B2838" s="3">
        <v>589</v>
      </c>
      <c r="C2838" s="4">
        <v>173018.75</v>
      </c>
      <c r="D2838" s="3">
        <v>265</v>
      </c>
      <c r="E2838" s="4">
        <v>193450</v>
      </c>
      <c r="G2838" s="12">
        <f t="shared" si="185"/>
        <v>2018</v>
      </c>
      <c r="H2838" s="12">
        <f t="shared" si="186"/>
        <v>10</v>
      </c>
      <c r="I2838" s="11">
        <f t="shared" si="187"/>
        <v>94</v>
      </c>
      <c r="J2838" s="11"/>
    </row>
    <row r="2839" spans="1:10" x14ac:dyDescent="0.25">
      <c r="A2839" s="2">
        <v>43377</v>
      </c>
      <c r="B2839" s="3">
        <v>564</v>
      </c>
      <c r="C2839" s="4">
        <v>165675</v>
      </c>
      <c r="D2839" s="3">
        <v>320</v>
      </c>
      <c r="E2839" s="4">
        <v>233600</v>
      </c>
      <c r="G2839" s="12">
        <f t="shared" si="185"/>
        <v>2018</v>
      </c>
      <c r="H2839" s="12">
        <f t="shared" si="186"/>
        <v>10</v>
      </c>
      <c r="I2839" s="11">
        <f t="shared" si="187"/>
        <v>94</v>
      </c>
      <c r="J2839" s="11"/>
    </row>
    <row r="2840" spans="1:10" x14ac:dyDescent="0.25">
      <c r="A2840" s="2">
        <v>43378</v>
      </c>
      <c r="B2840" s="3">
        <v>566</v>
      </c>
      <c r="C2840" s="4">
        <v>166262.5</v>
      </c>
      <c r="D2840" s="3">
        <v>231</v>
      </c>
      <c r="E2840" s="4">
        <v>168630</v>
      </c>
      <c r="G2840" s="12">
        <f t="shared" si="185"/>
        <v>2018</v>
      </c>
      <c r="H2840" s="12">
        <f t="shared" si="186"/>
        <v>10</v>
      </c>
      <c r="I2840" s="11">
        <f t="shared" si="187"/>
        <v>94</v>
      </c>
      <c r="J2840" s="11"/>
    </row>
    <row r="2841" spans="1:10" x14ac:dyDescent="0.25">
      <c r="A2841" s="2">
        <v>43379</v>
      </c>
      <c r="B2841" s="3">
        <v>568</v>
      </c>
      <c r="C2841" s="4">
        <v>166850</v>
      </c>
      <c r="D2841" s="3">
        <v>273</v>
      </c>
      <c r="E2841" s="4">
        <v>199290</v>
      </c>
      <c r="G2841" s="12">
        <f t="shared" si="185"/>
        <v>2018</v>
      </c>
      <c r="H2841" s="12">
        <f t="shared" si="186"/>
        <v>10</v>
      </c>
      <c r="I2841" s="11">
        <f t="shared" si="187"/>
        <v>94</v>
      </c>
      <c r="J2841" s="11"/>
    </row>
    <row r="2842" spans="1:10" x14ac:dyDescent="0.25">
      <c r="A2842" s="2">
        <v>43380</v>
      </c>
      <c r="B2842" s="3">
        <v>544</v>
      </c>
      <c r="C2842" s="4">
        <v>159800</v>
      </c>
      <c r="D2842" s="3">
        <v>292</v>
      </c>
      <c r="E2842" s="4">
        <v>213160</v>
      </c>
      <c r="G2842" s="12">
        <f t="shared" si="185"/>
        <v>2018</v>
      </c>
      <c r="H2842" s="12">
        <f t="shared" si="186"/>
        <v>10</v>
      </c>
      <c r="I2842" s="11">
        <f t="shared" si="187"/>
        <v>94</v>
      </c>
      <c r="J2842" s="11"/>
    </row>
    <row r="2843" spans="1:10" x14ac:dyDescent="0.25">
      <c r="A2843" s="2">
        <v>43381</v>
      </c>
      <c r="B2843" s="3">
        <v>610</v>
      </c>
      <c r="C2843" s="4">
        <v>179187.5</v>
      </c>
      <c r="D2843" s="3">
        <v>277</v>
      </c>
      <c r="E2843" s="4">
        <v>202210</v>
      </c>
      <c r="G2843" s="12">
        <f t="shared" si="185"/>
        <v>2018</v>
      </c>
      <c r="H2843" s="12">
        <f t="shared" si="186"/>
        <v>10</v>
      </c>
      <c r="I2843" s="11">
        <f t="shared" si="187"/>
        <v>94</v>
      </c>
      <c r="J2843" s="11"/>
    </row>
    <row r="2844" spans="1:10" x14ac:dyDescent="0.25">
      <c r="A2844" s="2">
        <v>43382</v>
      </c>
      <c r="B2844" s="3">
        <v>625</v>
      </c>
      <c r="C2844" s="4">
        <v>183593.75</v>
      </c>
      <c r="D2844" s="3">
        <v>310</v>
      </c>
      <c r="E2844" s="4">
        <v>226300</v>
      </c>
      <c r="G2844" s="12">
        <f t="shared" si="185"/>
        <v>2018</v>
      </c>
      <c r="H2844" s="12">
        <f t="shared" si="186"/>
        <v>10</v>
      </c>
      <c r="I2844" s="11">
        <f t="shared" si="187"/>
        <v>94</v>
      </c>
      <c r="J2844" s="11"/>
    </row>
    <row r="2845" spans="1:10" x14ac:dyDescent="0.25">
      <c r="A2845" s="2">
        <v>43383</v>
      </c>
      <c r="B2845" s="3">
        <v>628</v>
      </c>
      <c r="C2845" s="4">
        <v>184475</v>
      </c>
      <c r="D2845" s="3">
        <v>315</v>
      </c>
      <c r="E2845" s="4">
        <v>229950</v>
      </c>
      <c r="G2845" s="12">
        <f t="shared" si="185"/>
        <v>2018</v>
      </c>
      <c r="H2845" s="12">
        <f t="shared" si="186"/>
        <v>10</v>
      </c>
      <c r="I2845" s="11">
        <f t="shared" si="187"/>
        <v>94</v>
      </c>
      <c r="J2845" s="11"/>
    </row>
    <row r="2846" spans="1:10" x14ac:dyDescent="0.25">
      <c r="A2846" s="2">
        <v>43384</v>
      </c>
      <c r="B2846" s="3">
        <v>611</v>
      </c>
      <c r="C2846" s="4">
        <v>179481.25</v>
      </c>
      <c r="D2846" s="3">
        <v>327</v>
      </c>
      <c r="E2846" s="4">
        <v>238710</v>
      </c>
      <c r="G2846" s="12">
        <f t="shared" si="185"/>
        <v>2018</v>
      </c>
      <c r="H2846" s="12">
        <f t="shared" si="186"/>
        <v>10</v>
      </c>
      <c r="I2846" s="11">
        <f t="shared" si="187"/>
        <v>94</v>
      </c>
      <c r="J2846" s="11"/>
    </row>
    <row r="2847" spans="1:10" x14ac:dyDescent="0.25">
      <c r="A2847" s="2">
        <v>43385</v>
      </c>
      <c r="B2847" s="3">
        <v>557</v>
      </c>
      <c r="C2847" s="4">
        <v>163618.75</v>
      </c>
      <c r="D2847" s="3">
        <v>330</v>
      </c>
      <c r="E2847" s="4">
        <v>240900</v>
      </c>
      <c r="G2847" s="12">
        <f t="shared" si="185"/>
        <v>2018</v>
      </c>
      <c r="H2847" s="12">
        <f t="shared" si="186"/>
        <v>10</v>
      </c>
      <c r="I2847" s="11">
        <f t="shared" si="187"/>
        <v>94</v>
      </c>
      <c r="J2847" s="11"/>
    </row>
    <row r="2848" spans="1:10" x14ac:dyDescent="0.25">
      <c r="A2848" s="2">
        <v>43386</v>
      </c>
      <c r="B2848" s="3">
        <v>628</v>
      </c>
      <c r="C2848" s="4">
        <v>184475</v>
      </c>
      <c r="D2848" s="3">
        <v>313</v>
      </c>
      <c r="E2848" s="4">
        <v>228490</v>
      </c>
      <c r="G2848" s="12">
        <f t="shared" si="185"/>
        <v>2018</v>
      </c>
      <c r="H2848" s="12">
        <f t="shared" si="186"/>
        <v>10</v>
      </c>
      <c r="I2848" s="11">
        <f t="shared" si="187"/>
        <v>94</v>
      </c>
      <c r="J2848" s="11"/>
    </row>
    <row r="2849" spans="1:10" x14ac:dyDescent="0.25">
      <c r="A2849" s="2">
        <v>43387</v>
      </c>
      <c r="B2849" s="3">
        <v>543</v>
      </c>
      <c r="C2849" s="4">
        <v>159506.25</v>
      </c>
      <c r="D2849" s="3">
        <v>292</v>
      </c>
      <c r="E2849" s="4">
        <v>213160</v>
      </c>
      <c r="G2849" s="12">
        <f t="shared" si="185"/>
        <v>2018</v>
      </c>
      <c r="H2849" s="12">
        <f t="shared" si="186"/>
        <v>10</v>
      </c>
      <c r="I2849" s="11">
        <f t="shared" si="187"/>
        <v>94</v>
      </c>
      <c r="J2849" s="11"/>
    </row>
    <row r="2850" spans="1:10" x14ac:dyDescent="0.25">
      <c r="A2850" s="2">
        <v>43388</v>
      </c>
      <c r="B2850" s="3">
        <v>508</v>
      </c>
      <c r="C2850" s="4">
        <v>149225</v>
      </c>
      <c r="D2850" s="3">
        <v>344</v>
      </c>
      <c r="E2850" s="4">
        <v>251120</v>
      </c>
      <c r="G2850" s="12">
        <f t="shared" si="185"/>
        <v>2018</v>
      </c>
      <c r="H2850" s="12">
        <f t="shared" si="186"/>
        <v>10</v>
      </c>
      <c r="I2850" s="11">
        <f t="shared" si="187"/>
        <v>94</v>
      </c>
      <c r="J2850" s="11"/>
    </row>
    <row r="2851" spans="1:10" x14ac:dyDescent="0.25">
      <c r="A2851" s="2">
        <v>43389</v>
      </c>
      <c r="B2851" s="3">
        <v>650</v>
      </c>
      <c r="C2851" s="4">
        <v>190937.5</v>
      </c>
      <c r="D2851" s="3">
        <v>328</v>
      </c>
      <c r="E2851" s="4">
        <v>239440</v>
      </c>
      <c r="G2851" s="12">
        <f t="shared" si="185"/>
        <v>2018</v>
      </c>
      <c r="H2851" s="12">
        <f t="shared" si="186"/>
        <v>10</v>
      </c>
      <c r="I2851" s="11">
        <f t="shared" si="187"/>
        <v>94</v>
      </c>
      <c r="J2851" s="11"/>
    </row>
    <row r="2852" spans="1:10" x14ac:dyDescent="0.25">
      <c r="A2852" s="2">
        <v>43390</v>
      </c>
      <c r="B2852" s="3">
        <v>532</v>
      </c>
      <c r="C2852" s="4">
        <v>156275</v>
      </c>
      <c r="D2852" s="3">
        <v>310</v>
      </c>
      <c r="E2852" s="4">
        <v>226300</v>
      </c>
      <c r="G2852" s="12">
        <f t="shared" si="185"/>
        <v>2018</v>
      </c>
      <c r="H2852" s="12">
        <f t="shared" si="186"/>
        <v>10</v>
      </c>
      <c r="I2852" s="11">
        <f t="shared" si="187"/>
        <v>94</v>
      </c>
      <c r="J2852" s="11"/>
    </row>
    <row r="2853" spans="1:10" x14ac:dyDescent="0.25">
      <c r="A2853" s="2">
        <v>43391</v>
      </c>
      <c r="B2853" s="3">
        <v>541</v>
      </c>
      <c r="C2853" s="4">
        <v>158918.75</v>
      </c>
      <c r="D2853" s="3">
        <v>330</v>
      </c>
      <c r="E2853" s="4">
        <v>240900</v>
      </c>
      <c r="G2853" s="12">
        <f t="shared" si="185"/>
        <v>2018</v>
      </c>
      <c r="H2853" s="12">
        <f t="shared" si="186"/>
        <v>10</v>
      </c>
      <c r="I2853" s="11">
        <f t="shared" si="187"/>
        <v>94</v>
      </c>
      <c r="J2853" s="11"/>
    </row>
    <row r="2854" spans="1:10" x14ac:dyDescent="0.25">
      <c r="A2854" s="2">
        <v>43392</v>
      </c>
      <c r="B2854" s="3">
        <v>697</v>
      </c>
      <c r="C2854" s="4">
        <v>204743.75</v>
      </c>
      <c r="D2854" s="3">
        <v>303</v>
      </c>
      <c r="E2854" s="4">
        <v>221190</v>
      </c>
      <c r="G2854" s="12">
        <f t="shared" si="185"/>
        <v>2018</v>
      </c>
      <c r="H2854" s="12">
        <f t="shared" si="186"/>
        <v>10</v>
      </c>
      <c r="I2854" s="11">
        <f t="shared" si="187"/>
        <v>94</v>
      </c>
      <c r="J2854" s="11"/>
    </row>
    <row r="2855" spans="1:10" x14ac:dyDescent="0.25">
      <c r="A2855" s="2">
        <v>43393</v>
      </c>
      <c r="B2855" s="3">
        <v>553</v>
      </c>
      <c r="C2855" s="4">
        <v>162443.75</v>
      </c>
      <c r="D2855" s="3">
        <v>315</v>
      </c>
      <c r="E2855" s="4">
        <v>229950</v>
      </c>
      <c r="G2855" s="12">
        <f t="shared" si="185"/>
        <v>2018</v>
      </c>
      <c r="H2855" s="12">
        <f t="shared" si="186"/>
        <v>10</v>
      </c>
      <c r="I2855" s="11">
        <f t="shared" si="187"/>
        <v>94</v>
      </c>
      <c r="J2855" s="11"/>
    </row>
    <row r="2856" spans="1:10" x14ac:dyDescent="0.25">
      <c r="A2856" s="2">
        <v>43394</v>
      </c>
      <c r="B2856" s="3">
        <v>608</v>
      </c>
      <c r="C2856" s="4">
        <v>178600</v>
      </c>
      <c r="D2856" s="3">
        <v>283</v>
      </c>
      <c r="E2856" s="4">
        <v>206590</v>
      </c>
      <c r="G2856" s="12">
        <f t="shared" si="185"/>
        <v>2018</v>
      </c>
      <c r="H2856" s="12">
        <f t="shared" si="186"/>
        <v>10</v>
      </c>
      <c r="I2856" s="11">
        <f t="shared" si="187"/>
        <v>94</v>
      </c>
      <c r="J2856" s="11"/>
    </row>
    <row r="2857" spans="1:10" x14ac:dyDescent="0.25">
      <c r="A2857" s="2">
        <v>43395</v>
      </c>
      <c r="B2857" s="3">
        <v>472</v>
      </c>
      <c r="C2857" s="4">
        <v>138650</v>
      </c>
      <c r="D2857" s="3">
        <v>327</v>
      </c>
      <c r="E2857" s="4">
        <v>238710</v>
      </c>
      <c r="G2857" s="12">
        <f t="shared" si="185"/>
        <v>2018</v>
      </c>
      <c r="H2857" s="12">
        <f t="shared" si="186"/>
        <v>10</v>
      </c>
      <c r="I2857" s="11">
        <f t="shared" si="187"/>
        <v>94</v>
      </c>
      <c r="J2857" s="11"/>
    </row>
    <row r="2858" spans="1:10" x14ac:dyDescent="0.25">
      <c r="A2858" s="2">
        <v>43396</v>
      </c>
      <c r="B2858" s="3">
        <v>557</v>
      </c>
      <c r="C2858" s="4">
        <v>163618.75</v>
      </c>
      <c r="D2858" s="3">
        <v>290</v>
      </c>
      <c r="E2858" s="4">
        <v>211700</v>
      </c>
      <c r="G2858" s="12">
        <f t="shared" si="185"/>
        <v>2018</v>
      </c>
      <c r="H2858" s="12">
        <f t="shared" si="186"/>
        <v>10</v>
      </c>
      <c r="I2858" s="11">
        <f t="shared" si="187"/>
        <v>94</v>
      </c>
      <c r="J2858" s="11"/>
    </row>
    <row r="2859" spans="1:10" x14ac:dyDescent="0.25">
      <c r="A2859" s="2">
        <v>43397</v>
      </c>
      <c r="B2859" s="3">
        <v>517</v>
      </c>
      <c r="C2859" s="4">
        <v>151868.75</v>
      </c>
      <c r="D2859" s="3">
        <v>329</v>
      </c>
      <c r="E2859" s="4">
        <v>240170</v>
      </c>
      <c r="G2859" s="12">
        <f t="shared" si="185"/>
        <v>2018</v>
      </c>
      <c r="H2859" s="12">
        <f t="shared" si="186"/>
        <v>10</v>
      </c>
      <c r="I2859" s="11">
        <f t="shared" si="187"/>
        <v>94</v>
      </c>
      <c r="J2859" s="11"/>
    </row>
    <row r="2860" spans="1:10" x14ac:dyDescent="0.25">
      <c r="A2860" s="2">
        <v>43398</v>
      </c>
      <c r="B2860" s="3">
        <v>572</v>
      </c>
      <c r="C2860" s="4">
        <v>168025</v>
      </c>
      <c r="D2860" s="3">
        <v>319</v>
      </c>
      <c r="E2860" s="4">
        <v>232870</v>
      </c>
      <c r="G2860" s="12">
        <f t="shared" si="185"/>
        <v>2018</v>
      </c>
      <c r="H2860" s="12">
        <f t="shared" si="186"/>
        <v>10</v>
      </c>
      <c r="I2860" s="11">
        <f t="shared" si="187"/>
        <v>94</v>
      </c>
      <c r="J2860" s="11"/>
    </row>
    <row r="2861" spans="1:10" x14ac:dyDescent="0.25">
      <c r="A2861" s="2">
        <v>43399</v>
      </c>
      <c r="B2861" s="3">
        <v>617</v>
      </c>
      <c r="C2861" s="4">
        <v>181243.75</v>
      </c>
      <c r="D2861" s="3">
        <v>294</v>
      </c>
      <c r="E2861" s="4">
        <v>214620</v>
      </c>
      <c r="G2861" s="12">
        <f t="shared" si="185"/>
        <v>2018</v>
      </c>
      <c r="H2861" s="12">
        <f t="shared" si="186"/>
        <v>10</v>
      </c>
      <c r="I2861" s="11">
        <f t="shared" si="187"/>
        <v>94</v>
      </c>
      <c r="J2861" s="11"/>
    </row>
    <row r="2862" spans="1:10" x14ac:dyDescent="0.25">
      <c r="A2862" s="2">
        <v>43400</v>
      </c>
      <c r="B2862" s="3">
        <v>549</v>
      </c>
      <c r="C2862" s="4">
        <v>161268.75</v>
      </c>
      <c r="D2862" s="3">
        <v>266</v>
      </c>
      <c r="E2862" s="4">
        <v>194180</v>
      </c>
      <c r="G2862" s="12">
        <f t="shared" si="185"/>
        <v>2018</v>
      </c>
      <c r="H2862" s="12">
        <f t="shared" si="186"/>
        <v>10</v>
      </c>
      <c r="I2862" s="11">
        <f t="shared" si="187"/>
        <v>94</v>
      </c>
      <c r="J2862" s="11"/>
    </row>
    <row r="2863" spans="1:10" x14ac:dyDescent="0.25">
      <c r="A2863" s="2">
        <v>43401</v>
      </c>
      <c r="B2863" s="3">
        <v>605</v>
      </c>
      <c r="C2863" s="4">
        <v>177718.75</v>
      </c>
      <c r="D2863" s="3">
        <v>331</v>
      </c>
      <c r="E2863" s="4">
        <v>241630</v>
      </c>
      <c r="G2863" s="12">
        <f t="shared" si="185"/>
        <v>2018</v>
      </c>
      <c r="H2863" s="12">
        <f t="shared" si="186"/>
        <v>10</v>
      </c>
      <c r="I2863" s="11">
        <f t="shared" si="187"/>
        <v>94</v>
      </c>
      <c r="J2863" s="11"/>
    </row>
    <row r="2864" spans="1:10" x14ac:dyDescent="0.25">
      <c r="A2864" s="2">
        <v>43402</v>
      </c>
      <c r="B2864" s="3">
        <v>582</v>
      </c>
      <c r="C2864" s="4">
        <v>170962.5</v>
      </c>
      <c r="D2864" s="3">
        <v>285</v>
      </c>
      <c r="E2864" s="4">
        <v>208050</v>
      </c>
      <c r="G2864" s="12">
        <f t="shared" si="185"/>
        <v>2018</v>
      </c>
      <c r="H2864" s="12">
        <f t="shared" si="186"/>
        <v>10</v>
      </c>
      <c r="I2864" s="11">
        <f t="shared" si="187"/>
        <v>94</v>
      </c>
      <c r="J2864" s="11"/>
    </row>
    <row r="2865" spans="1:10" x14ac:dyDescent="0.25">
      <c r="A2865" s="2">
        <v>43403</v>
      </c>
      <c r="B2865" s="3">
        <v>597</v>
      </c>
      <c r="C2865" s="4">
        <v>175368.75</v>
      </c>
      <c r="D2865" s="3">
        <v>315</v>
      </c>
      <c r="E2865" s="4">
        <v>229950</v>
      </c>
      <c r="G2865" s="12">
        <f t="shared" si="185"/>
        <v>2018</v>
      </c>
      <c r="H2865" s="12">
        <f t="shared" si="186"/>
        <v>10</v>
      </c>
      <c r="I2865" s="11">
        <f t="shared" si="187"/>
        <v>94</v>
      </c>
      <c r="J2865" s="11"/>
    </row>
    <row r="2866" spans="1:10" x14ac:dyDescent="0.25">
      <c r="A2866" s="2">
        <v>43404</v>
      </c>
      <c r="B2866" s="3">
        <v>581</v>
      </c>
      <c r="C2866" s="4">
        <v>170668.75</v>
      </c>
      <c r="D2866" s="3">
        <v>316</v>
      </c>
      <c r="E2866" s="4">
        <v>230680</v>
      </c>
      <c r="G2866" s="12">
        <f t="shared" si="185"/>
        <v>2018</v>
      </c>
      <c r="H2866" s="12">
        <f t="shared" si="186"/>
        <v>10</v>
      </c>
      <c r="I2866" s="11">
        <f t="shared" si="187"/>
        <v>94</v>
      </c>
      <c r="J2866" s="11"/>
    </row>
    <row r="2867" spans="1:10" x14ac:dyDescent="0.25">
      <c r="A2867" s="2">
        <v>43405</v>
      </c>
      <c r="B2867" s="3">
        <v>508</v>
      </c>
      <c r="C2867" s="4">
        <v>238760</v>
      </c>
      <c r="D2867" s="3">
        <v>292</v>
      </c>
      <c r="E2867" s="4">
        <v>213160</v>
      </c>
      <c r="G2867" s="12">
        <f t="shared" si="185"/>
        <v>2018</v>
      </c>
      <c r="H2867" s="12">
        <f t="shared" si="186"/>
        <v>11</v>
      </c>
      <c r="I2867" s="11">
        <f t="shared" si="187"/>
        <v>95</v>
      </c>
      <c r="J2867" s="11"/>
    </row>
    <row r="2868" spans="1:10" x14ac:dyDescent="0.25">
      <c r="A2868" s="2">
        <v>43406</v>
      </c>
      <c r="B2868" s="3">
        <v>528</v>
      </c>
      <c r="C2868" s="4">
        <v>248160</v>
      </c>
      <c r="D2868" s="3">
        <v>385</v>
      </c>
      <c r="E2868" s="4">
        <v>281050</v>
      </c>
      <c r="G2868" s="12">
        <f t="shared" si="185"/>
        <v>2018</v>
      </c>
      <c r="H2868" s="12">
        <f t="shared" si="186"/>
        <v>11</v>
      </c>
      <c r="I2868" s="11">
        <f t="shared" si="187"/>
        <v>95</v>
      </c>
      <c r="J2868" s="11"/>
    </row>
    <row r="2869" spans="1:10" x14ac:dyDescent="0.25">
      <c r="A2869" s="2">
        <v>43407</v>
      </c>
      <c r="B2869" s="3">
        <v>525</v>
      </c>
      <c r="C2869" s="4">
        <v>246750</v>
      </c>
      <c r="D2869" s="3">
        <v>289</v>
      </c>
      <c r="E2869" s="4">
        <v>210970</v>
      </c>
      <c r="G2869" s="12">
        <f t="shared" si="185"/>
        <v>2018</v>
      </c>
      <c r="H2869" s="12">
        <f t="shared" si="186"/>
        <v>11</v>
      </c>
      <c r="I2869" s="11">
        <f t="shared" si="187"/>
        <v>95</v>
      </c>
      <c r="J2869" s="11"/>
    </row>
    <row r="2870" spans="1:10" x14ac:dyDescent="0.25">
      <c r="A2870" s="2">
        <v>43408</v>
      </c>
      <c r="B2870" s="3">
        <v>480</v>
      </c>
      <c r="C2870" s="4">
        <v>225600</v>
      </c>
      <c r="D2870" s="3">
        <v>297</v>
      </c>
      <c r="E2870" s="4">
        <v>216810</v>
      </c>
      <c r="G2870" s="12">
        <f t="shared" si="185"/>
        <v>2018</v>
      </c>
      <c r="H2870" s="12">
        <f t="shared" si="186"/>
        <v>11</v>
      </c>
      <c r="I2870" s="11">
        <f t="shared" si="187"/>
        <v>95</v>
      </c>
      <c r="J2870" s="11"/>
    </row>
    <row r="2871" spans="1:10" x14ac:dyDescent="0.25">
      <c r="A2871" s="2">
        <v>43409</v>
      </c>
      <c r="B2871" s="3">
        <v>407</v>
      </c>
      <c r="C2871" s="4">
        <v>191290</v>
      </c>
      <c r="D2871" s="3">
        <v>338</v>
      </c>
      <c r="E2871" s="4">
        <v>246740</v>
      </c>
      <c r="G2871" s="12">
        <f t="shared" si="185"/>
        <v>2018</v>
      </c>
      <c r="H2871" s="12">
        <f t="shared" si="186"/>
        <v>11</v>
      </c>
      <c r="I2871" s="11">
        <f t="shared" si="187"/>
        <v>95</v>
      </c>
      <c r="J2871" s="11"/>
    </row>
    <row r="2872" spans="1:10" x14ac:dyDescent="0.25">
      <c r="A2872" s="2">
        <v>43410</v>
      </c>
      <c r="B2872" s="3">
        <v>499</v>
      </c>
      <c r="C2872" s="4">
        <v>234530</v>
      </c>
      <c r="D2872" s="3">
        <v>299</v>
      </c>
      <c r="E2872" s="4">
        <v>218270</v>
      </c>
      <c r="G2872" s="12">
        <f t="shared" si="185"/>
        <v>2018</v>
      </c>
      <c r="H2872" s="12">
        <f t="shared" si="186"/>
        <v>11</v>
      </c>
      <c r="I2872" s="11">
        <f t="shared" si="187"/>
        <v>95</v>
      </c>
      <c r="J2872" s="11"/>
    </row>
    <row r="2873" spans="1:10" x14ac:dyDescent="0.25">
      <c r="A2873" s="2">
        <v>43411</v>
      </c>
      <c r="B2873" s="3">
        <v>376</v>
      </c>
      <c r="C2873" s="4">
        <v>176720</v>
      </c>
      <c r="D2873" s="3">
        <v>272</v>
      </c>
      <c r="E2873" s="4">
        <v>198560</v>
      </c>
      <c r="G2873" s="12">
        <f t="shared" si="185"/>
        <v>2018</v>
      </c>
      <c r="H2873" s="12">
        <f t="shared" si="186"/>
        <v>11</v>
      </c>
      <c r="I2873" s="11">
        <f t="shared" si="187"/>
        <v>95</v>
      </c>
      <c r="J2873" s="11"/>
    </row>
    <row r="2874" spans="1:10" x14ac:dyDescent="0.25">
      <c r="A2874" s="2">
        <v>43412</v>
      </c>
      <c r="B2874" s="3">
        <v>509</v>
      </c>
      <c r="C2874" s="4">
        <v>239230</v>
      </c>
      <c r="D2874" s="3">
        <v>277</v>
      </c>
      <c r="E2874" s="4">
        <v>202210</v>
      </c>
      <c r="G2874" s="12">
        <f t="shared" si="185"/>
        <v>2018</v>
      </c>
      <c r="H2874" s="12">
        <f t="shared" si="186"/>
        <v>11</v>
      </c>
      <c r="I2874" s="11">
        <f t="shared" si="187"/>
        <v>95</v>
      </c>
      <c r="J2874" s="11"/>
    </row>
    <row r="2875" spans="1:10" x14ac:dyDescent="0.25">
      <c r="A2875" s="2">
        <v>43413</v>
      </c>
      <c r="B2875" s="3">
        <v>432</v>
      </c>
      <c r="C2875" s="4">
        <v>203040</v>
      </c>
      <c r="D2875" s="3">
        <v>269</v>
      </c>
      <c r="E2875" s="4">
        <v>196370</v>
      </c>
      <c r="G2875" s="12">
        <f t="shared" si="185"/>
        <v>2018</v>
      </c>
      <c r="H2875" s="12">
        <f t="shared" si="186"/>
        <v>11</v>
      </c>
      <c r="I2875" s="11">
        <f t="shared" si="187"/>
        <v>95</v>
      </c>
      <c r="J2875" s="11"/>
    </row>
    <row r="2876" spans="1:10" x14ac:dyDescent="0.25">
      <c r="A2876" s="2">
        <v>43414</v>
      </c>
      <c r="B2876" s="3">
        <v>468</v>
      </c>
      <c r="C2876" s="4">
        <v>219960</v>
      </c>
      <c r="D2876" s="3">
        <v>292</v>
      </c>
      <c r="E2876" s="4">
        <v>213160</v>
      </c>
      <c r="G2876" s="12">
        <f t="shared" si="185"/>
        <v>2018</v>
      </c>
      <c r="H2876" s="12">
        <f t="shared" si="186"/>
        <v>11</v>
      </c>
      <c r="I2876" s="11">
        <f t="shared" si="187"/>
        <v>95</v>
      </c>
      <c r="J2876" s="11"/>
    </row>
    <row r="2877" spans="1:10" x14ac:dyDescent="0.25">
      <c r="A2877" s="2">
        <v>43415</v>
      </c>
      <c r="B2877" s="3">
        <v>405</v>
      </c>
      <c r="C2877" s="4">
        <v>190350</v>
      </c>
      <c r="D2877" s="3">
        <v>327</v>
      </c>
      <c r="E2877" s="4">
        <v>238710</v>
      </c>
      <c r="G2877" s="12">
        <f t="shared" si="185"/>
        <v>2018</v>
      </c>
      <c r="H2877" s="12">
        <f t="shared" si="186"/>
        <v>11</v>
      </c>
      <c r="I2877" s="11">
        <f t="shared" si="187"/>
        <v>95</v>
      </c>
      <c r="J2877" s="11"/>
    </row>
    <row r="2878" spans="1:10" x14ac:dyDescent="0.25">
      <c r="A2878" s="2">
        <v>43416</v>
      </c>
      <c r="B2878" s="3">
        <v>437</v>
      </c>
      <c r="C2878" s="4">
        <v>205390</v>
      </c>
      <c r="D2878" s="3">
        <v>290</v>
      </c>
      <c r="E2878" s="4">
        <v>211700</v>
      </c>
      <c r="G2878" s="12">
        <f t="shared" si="185"/>
        <v>2018</v>
      </c>
      <c r="H2878" s="12">
        <f t="shared" si="186"/>
        <v>11</v>
      </c>
      <c r="I2878" s="11">
        <f t="shared" si="187"/>
        <v>95</v>
      </c>
      <c r="J2878" s="11"/>
    </row>
    <row r="2879" spans="1:10" x14ac:dyDescent="0.25">
      <c r="A2879" s="2">
        <v>43417</v>
      </c>
      <c r="B2879" s="3">
        <v>477</v>
      </c>
      <c r="C2879" s="4">
        <v>224190</v>
      </c>
      <c r="D2879" s="3">
        <v>300</v>
      </c>
      <c r="E2879" s="4">
        <v>219000</v>
      </c>
      <c r="G2879" s="12">
        <f t="shared" si="185"/>
        <v>2018</v>
      </c>
      <c r="H2879" s="12">
        <f t="shared" si="186"/>
        <v>11</v>
      </c>
      <c r="I2879" s="11">
        <f t="shared" si="187"/>
        <v>95</v>
      </c>
      <c r="J2879" s="11"/>
    </row>
    <row r="2880" spans="1:10" x14ac:dyDescent="0.25">
      <c r="A2880" s="2">
        <v>43418</v>
      </c>
      <c r="B2880" s="3">
        <v>399</v>
      </c>
      <c r="C2880" s="4">
        <v>187530</v>
      </c>
      <c r="D2880" s="3">
        <v>295</v>
      </c>
      <c r="E2880" s="4">
        <v>215350</v>
      </c>
      <c r="G2880" s="12">
        <f t="shared" si="185"/>
        <v>2018</v>
      </c>
      <c r="H2880" s="12">
        <f t="shared" si="186"/>
        <v>11</v>
      </c>
      <c r="I2880" s="11">
        <f t="shared" si="187"/>
        <v>95</v>
      </c>
      <c r="J2880" s="11"/>
    </row>
    <row r="2881" spans="1:10" x14ac:dyDescent="0.25">
      <c r="A2881" s="2">
        <v>43419</v>
      </c>
      <c r="B2881" s="3">
        <v>521</v>
      </c>
      <c r="C2881" s="4">
        <v>244870</v>
      </c>
      <c r="D2881" s="3">
        <v>292</v>
      </c>
      <c r="E2881" s="4">
        <v>213160</v>
      </c>
      <c r="G2881" s="12">
        <f t="shared" si="185"/>
        <v>2018</v>
      </c>
      <c r="H2881" s="12">
        <f t="shared" si="186"/>
        <v>11</v>
      </c>
      <c r="I2881" s="11">
        <f t="shared" si="187"/>
        <v>95</v>
      </c>
      <c r="J2881" s="11"/>
    </row>
    <row r="2882" spans="1:10" x14ac:dyDescent="0.25">
      <c r="A2882" s="2">
        <v>43420</v>
      </c>
      <c r="B2882" s="3">
        <v>449</v>
      </c>
      <c r="C2882" s="4">
        <v>211030</v>
      </c>
      <c r="D2882" s="3">
        <v>313</v>
      </c>
      <c r="E2882" s="4">
        <v>228490</v>
      </c>
      <c r="G2882" s="12">
        <f t="shared" si="185"/>
        <v>2018</v>
      </c>
      <c r="H2882" s="12">
        <f t="shared" si="186"/>
        <v>11</v>
      </c>
      <c r="I2882" s="11">
        <f t="shared" si="187"/>
        <v>95</v>
      </c>
      <c r="J2882" s="11"/>
    </row>
    <row r="2883" spans="1:10" x14ac:dyDescent="0.25">
      <c r="A2883" s="2">
        <v>43421</v>
      </c>
      <c r="B2883" s="3">
        <v>516</v>
      </c>
      <c r="C2883" s="4">
        <v>242520</v>
      </c>
      <c r="D2883" s="3">
        <v>264</v>
      </c>
      <c r="E2883" s="4">
        <v>192720</v>
      </c>
      <c r="G2883" s="12">
        <f t="shared" si="185"/>
        <v>2018</v>
      </c>
      <c r="H2883" s="12">
        <f t="shared" si="186"/>
        <v>11</v>
      </c>
      <c r="I2883" s="11">
        <f t="shared" si="187"/>
        <v>95</v>
      </c>
      <c r="J2883" s="11"/>
    </row>
    <row r="2884" spans="1:10" x14ac:dyDescent="0.25">
      <c r="A2884" s="2">
        <v>43422</v>
      </c>
      <c r="B2884" s="3">
        <v>486</v>
      </c>
      <c r="C2884" s="4">
        <v>228420</v>
      </c>
      <c r="D2884" s="3">
        <v>314</v>
      </c>
      <c r="E2884" s="4">
        <v>229220</v>
      </c>
      <c r="G2884" s="12">
        <f t="shared" si="185"/>
        <v>2018</v>
      </c>
      <c r="H2884" s="12">
        <f t="shared" si="186"/>
        <v>11</v>
      </c>
      <c r="I2884" s="11">
        <f t="shared" si="187"/>
        <v>95</v>
      </c>
      <c r="J2884" s="11"/>
    </row>
    <row r="2885" spans="1:10" x14ac:dyDescent="0.25">
      <c r="A2885" s="2">
        <v>43423</v>
      </c>
      <c r="B2885" s="3">
        <v>428</v>
      </c>
      <c r="C2885" s="4">
        <v>201160</v>
      </c>
      <c r="D2885" s="3">
        <v>319</v>
      </c>
      <c r="E2885" s="4">
        <v>232870</v>
      </c>
      <c r="G2885" s="12">
        <f t="shared" si="185"/>
        <v>2018</v>
      </c>
      <c r="H2885" s="12">
        <f t="shared" si="186"/>
        <v>11</v>
      </c>
      <c r="I2885" s="11">
        <f t="shared" si="187"/>
        <v>95</v>
      </c>
      <c r="J2885" s="11"/>
    </row>
    <row r="2886" spans="1:10" x14ac:dyDescent="0.25">
      <c r="A2886" s="2">
        <v>43424</v>
      </c>
      <c r="B2886" s="3">
        <v>403</v>
      </c>
      <c r="C2886" s="4">
        <v>189410</v>
      </c>
      <c r="D2886" s="3">
        <v>310</v>
      </c>
      <c r="E2886" s="4">
        <v>226300</v>
      </c>
      <c r="G2886" s="12">
        <f t="shared" ref="G2886:G2949" si="188">+YEAR(A2886)</f>
        <v>2018</v>
      </c>
      <c r="H2886" s="12">
        <f t="shared" ref="H2886:H2949" si="189">+MONTH(A2886)</f>
        <v>11</v>
      </c>
      <c r="I2886" s="11">
        <f t="shared" si="187"/>
        <v>95</v>
      </c>
      <c r="J2886" s="11"/>
    </row>
    <row r="2887" spans="1:10" x14ac:dyDescent="0.25">
      <c r="A2887" s="2">
        <v>43425</v>
      </c>
      <c r="B2887" s="3">
        <v>511</v>
      </c>
      <c r="C2887" s="4">
        <v>240170</v>
      </c>
      <c r="D2887" s="3">
        <v>295</v>
      </c>
      <c r="E2887" s="4">
        <v>215350</v>
      </c>
      <c r="G2887" s="12">
        <f t="shared" si="188"/>
        <v>2018</v>
      </c>
      <c r="H2887" s="12">
        <f t="shared" si="189"/>
        <v>11</v>
      </c>
      <c r="I2887" s="11">
        <f t="shared" ref="I2887:I2950" si="190">+H2887+(G2887-2011)*12</f>
        <v>95</v>
      </c>
      <c r="J2887" s="11"/>
    </row>
    <row r="2888" spans="1:10" x14ac:dyDescent="0.25">
      <c r="A2888" s="2">
        <v>43426</v>
      </c>
      <c r="B2888" s="3">
        <v>439</v>
      </c>
      <c r="C2888" s="4">
        <v>206330</v>
      </c>
      <c r="D2888" s="3">
        <v>312</v>
      </c>
      <c r="E2888" s="4">
        <v>227760</v>
      </c>
      <c r="G2888" s="12">
        <f t="shared" si="188"/>
        <v>2018</v>
      </c>
      <c r="H2888" s="12">
        <f t="shared" si="189"/>
        <v>11</v>
      </c>
      <c r="I2888" s="11">
        <f t="shared" si="190"/>
        <v>95</v>
      </c>
      <c r="J2888" s="11"/>
    </row>
    <row r="2889" spans="1:10" x14ac:dyDescent="0.25">
      <c r="A2889" s="2">
        <v>43427</v>
      </c>
      <c r="B2889" s="3">
        <v>503</v>
      </c>
      <c r="C2889" s="4">
        <v>236410</v>
      </c>
      <c r="D2889" s="3">
        <v>333</v>
      </c>
      <c r="E2889" s="4">
        <v>243090</v>
      </c>
      <c r="G2889" s="12">
        <f t="shared" si="188"/>
        <v>2018</v>
      </c>
      <c r="H2889" s="12">
        <f t="shared" si="189"/>
        <v>11</v>
      </c>
      <c r="I2889" s="11">
        <f t="shared" si="190"/>
        <v>95</v>
      </c>
      <c r="J2889" s="11"/>
    </row>
    <row r="2890" spans="1:10" x14ac:dyDescent="0.25">
      <c r="A2890" s="2">
        <v>43428</v>
      </c>
      <c r="B2890" s="3">
        <v>506</v>
      </c>
      <c r="C2890" s="4">
        <v>237820</v>
      </c>
      <c r="D2890" s="3">
        <v>285</v>
      </c>
      <c r="E2890" s="4">
        <v>208050</v>
      </c>
      <c r="G2890" s="12">
        <f t="shared" si="188"/>
        <v>2018</v>
      </c>
      <c r="H2890" s="12">
        <f t="shared" si="189"/>
        <v>11</v>
      </c>
      <c r="I2890" s="11">
        <f t="shared" si="190"/>
        <v>95</v>
      </c>
      <c r="J2890" s="11"/>
    </row>
    <row r="2891" spans="1:10" x14ac:dyDescent="0.25">
      <c r="A2891" s="2">
        <v>43429</v>
      </c>
      <c r="B2891" s="3">
        <v>424</v>
      </c>
      <c r="C2891" s="4">
        <v>199280</v>
      </c>
      <c r="D2891" s="3">
        <v>320</v>
      </c>
      <c r="E2891" s="4">
        <v>233600</v>
      </c>
      <c r="G2891" s="12">
        <f t="shared" si="188"/>
        <v>2018</v>
      </c>
      <c r="H2891" s="12">
        <f t="shared" si="189"/>
        <v>11</v>
      </c>
      <c r="I2891" s="11">
        <f t="shared" si="190"/>
        <v>95</v>
      </c>
      <c r="J2891" s="11"/>
    </row>
    <row r="2892" spans="1:10" x14ac:dyDescent="0.25">
      <c r="A2892" s="2">
        <v>43430</v>
      </c>
      <c r="B2892" s="3">
        <v>433</v>
      </c>
      <c r="C2892" s="4">
        <v>203510</v>
      </c>
      <c r="D2892" s="3">
        <v>291</v>
      </c>
      <c r="E2892" s="4">
        <v>212430</v>
      </c>
      <c r="G2892" s="12">
        <f t="shared" si="188"/>
        <v>2018</v>
      </c>
      <c r="H2892" s="12">
        <f t="shared" si="189"/>
        <v>11</v>
      </c>
      <c r="I2892" s="11">
        <f t="shared" si="190"/>
        <v>95</v>
      </c>
      <c r="J2892" s="11"/>
    </row>
    <row r="2893" spans="1:10" x14ac:dyDescent="0.25">
      <c r="A2893" s="2">
        <v>43431</v>
      </c>
      <c r="B2893" s="3">
        <v>478</v>
      </c>
      <c r="C2893" s="4">
        <v>224660</v>
      </c>
      <c r="D2893" s="3">
        <v>255</v>
      </c>
      <c r="E2893" s="4">
        <v>186150</v>
      </c>
      <c r="G2893" s="12">
        <f t="shared" si="188"/>
        <v>2018</v>
      </c>
      <c r="H2893" s="12">
        <f t="shared" si="189"/>
        <v>11</v>
      </c>
      <c r="I2893" s="11">
        <f t="shared" si="190"/>
        <v>95</v>
      </c>
      <c r="J2893" s="11"/>
    </row>
    <row r="2894" spans="1:10" x14ac:dyDescent="0.25">
      <c r="A2894" s="2">
        <v>43432</v>
      </c>
      <c r="B2894" s="3">
        <v>522</v>
      </c>
      <c r="C2894" s="4">
        <v>245340</v>
      </c>
      <c r="D2894" s="3">
        <v>281</v>
      </c>
      <c r="E2894" s="4">
        <v>205130</v>
      </c>
      <c r="G2894" s="12">
        <f t="shared" si="188"/>
        <v>2018</v>
      </c>
      <c r="H2894" s="12">
        <f t="shared" si="189"/>
        <v>11</v>
      </c>
      <c r="I2894" s="11">
        <f t="shared" si="190"/>
        <v>95</v>
      </c>
      <c r="J2894" s="11"/>
    </row>
    <row r="2895" spans="1:10" x14ac:dyDescent="0.25">
      <c r="A2895" s="2">
        <v>43433</v>
      </c>
      <c r="B2895" s="3">
        <v>518</v>
      </c>
      <c r="C2895" s="4">
        <v>243460</v>
      </c>
      <c r="D2895" s="3">
        <v>333</v>
      </c>
      <c r="E2895" s="4">
        <v>243090</v>
      </c>
      <c r="G2895" s="12">
        <f t="shared" si="188"/>
        <v>2018</v>
      </c>
      <c r="H2895" s="12">
        <f t="shared" si="189"/>
        <v>11</v>
      </c>
      <c r="I2895" s="11">
        <f t="shared" si="190"/>
        <v>95</v>
      </c>
      <c r="J2895" s="11"/>
    </row>
    <row r="2896" spans="1:10" x14ac:dyDescent="0.25">
      <c r="A2896" s="2">
        <v>43434</v>
      </c>
      <c r="B2896" s="3">
        <v>525</v>
      </c>
      <c r="C2896" s="4">
        <v>246750</v>
      </c>
      <c r="D2896" s="3">
        <v>267</v>
      </c>
      <c r="E2896" s="4">
        <v>194910</v>
      </c>
      <c r="G2896" s="12">
        <f t="shared" si="188"/>
        <v>2018</v>
      </c>
      <c r="H2896" s="12">
        <f t="shared" si="189"/>
        <v>11</v>
      </c>
      <c r="I2896" s="11">
        <f t="shared" si="190"/>
        <v>95</v>
      </c>
      <c r="J2896" s="11"/>
    </row>
    <row r="2897" spans="1:10" x14ac:dyDescent="0.25">
      <c r="A2897" s="2">
        <v>43435</v>
      </c>
      <c r="B2897" s="3">
        <v>461</v>
      </c>
      <c r="C2897" s="4">
        <v>216670</v>
      </c>
      <c r="D2897" s="3">
        <v>318</v>
      </c>
      <c r="E2897" s="4">
        <v>232140</v>
      </c>
      <c r="G2897" s="12">
        <f t="shared" si="188"/>
        <v>2018</v>
      </c>
      <c r="H2897" s="12">
        <f t="shared" si="189"/>
        <v>12</v>
      </c>
      <c r="I2897" s="11">
        <f t="shared" si="190"/>
        <v>96</v>
      </c>
      <c r="J2897" s="11"/>
    </row>
    <row r="2898" spans="1:10" x14ac:dyDescent="0.25">
      <c r="A2898" s="2">
        <v>43436</v>
      </c>
      <c r="B2898" s="3">
        <v>386</v>
      </c>
      <c r="C2898" s="4">
        <v>181420</v>
      </c>
      <c r="D2898" s="3">
        <v>313</v>
      </c>
      <c r="E2898" s="4">
        <v>228490</v>
      </c>
      <c r="G2898" s="12">
        <f t="shared" si="188"/>
        <v>2018</v>
      </c>
      <c r="H2898" s="12">
        <f t="shared" si="189"/>
        <v>12</v>
      </c>
      <c r="I2898" s="11">
        <f t="shared" si="190"/>
        <v>96</v>
      </c>
      <c r="J2898" s="11"/>
    </row>
    <row r="2899" spans="1:10" x14ac:dyDescent="0.25">
      <c r="A2899" s="2">
        <v>43437</v>
      </c>
      <c r="B2899" s="3">
        <v>441</v>
      </c>
      <c r="C2899" s="4">
        <v>207270</v>
      </c>
      <c r="D2899" s="3">
        <v>341</v>
      </c>
      <c r="E2899" s="4">
        <v>248930</v>
      </c>
      <c r="G2899" s="12">
        <f t="shared" si="188"/>
        <v>2018</v>
      </c>
      <c r="H2899" s="12">
        <f t="shared" si="189"/>
        <v>12</v>
      </c>
      <c r="I2899" s="11">
        <f t="shared" si="190"/>
        <v>96</v>
      </c>
      <c r="J2899" s="11"/>
    </row>
    <row r="2900" spans="1:10" x14ac:dyDescent="0.25">
      <c r="A2900" s="2">
        <v>43438</v>
      </c>
      <c r="B2900" s="3">
        <v>424</v>
      </c>
      <c r="C2900" s="4">
        <v>199280</v>
      </c>
      <c r="D2900" s="3">
        <v>256</v>
      </c>
      <c r="E2900" s="4">
        <v>186880</v>
      </c>
      <c r="G2900" s="12">
        <f t="shared" si="188"/>
        <v>2018</v>
      </c>
      <c r="H2900" s="12">
        <f t="shared" si="189"/>
        <v>12</v>
      </c>
      <c r="I2900" s="11">
        <f t="shared" si="190"/>
        <v>96</v>
      </c>
      <c r="J2900" s="11"/>
    </row>
    <row r="2901" spans="1:10" x14ac:dyDescent="0.25">
      <c r="A2901" s="2">
        <v>43439</v>
      </c>
      <c r="B2901" s="3">
        <v>428</v>
      </c>
      <c r="C2901" s="4">
        <v>201160</v>
      </c>
      <c r="D2901" s="3">
        <v>329</v>
      </c>
      <c r="E2901" s="4">
        <v>240170</v>
      </c>
      <c r="G2901" s="12">
        <f t="shared" si="188"/>
        <v>2018</v>
      </c>
      <c r="H2901" s="12">
        <f t="shared" si="189"/>
        <v>12</v>
      </c>
      <c r="I2901" s="11">
        <f t="shared" si="190"/>
        <v>96</v>
      </c>
      <c r="J2901" s="11"/>
    </row>
    <row r="2902" spans="1:10" x14ac:dyDescent="0.25">
      <c r="A2902" s="2">
        <v>43440</v>
      </c>
      <c r="B2902" s="3">
        <v>504</v>
      </c>
      <c r="C2902" s="4">
        <v>236880</v>
      </c>
      <c r="D2902" s="3">
        <v>291</v>
      </c>
      <c r="E2902" s="4">
        <v>212430</v>
      </c>
      <c r="G2902" s="12">
        <f t="shared" si="188"/>
        <v>2018</v>
      </c>
      <c r="H2902" s="12">
        <f t="shared" si="189"/>
        <v>12</v>
      </c>
      <c r="I2902" s="11">
        <f t="shared" si="190"/>
        <v>96</v>
      </c>
      <c r="J2902" s="11"/>
    </row>
    <row r="2903" spans="1:10" x14ac:dyDescent="0.25">
      <c r="A2903" s="2">
        <v>43441</v>
      </c>
      <c r="B2903" s="3">
        <v>506</v>
      </c>
      <c r="C2903" s="4">
        <v>237820</v>
      </c>
      <c r="D2903" s="3">
        <v>320</v>
      </c>
      <c r="E2903" s="4">
        <v>233600</v>
      </c>
      <c r="G2903" s="12">
        <f t="shared" si="188"/>
        <v>2018</v>
      </c>
      <c r="H2903" s="12">
        <f t="shared" si="189"/>
        <v>12</v>
      </c>
      <c r="I2903" s="11">
        <f t="shared" si="190"/>
        <v>96</v>
      </c>
      <c r="J2903" s="11"/>
    </row>
    <row r="2904" spans="1:10" x14ac:dyDescent="0.25">
      <c r="A2904" s="2">
        <v>43442</v>
      </c>
      <c r="B2904" s="3">
        <v>459</v>
      </c>
      <c r="C2904" s="4">
        <v>215730</v>
      </c>
      <c r="D2904" s="3">
        <v>299</v>
      </c>
      <c r="E2904" s="4">
        <v>218270</v>
      </c>
      <c r="G2904" s="12">
        <f t="shared" si="188"/>
        <v>2018</v>
      </c>
      <c r="H2904" s="12">
        <f t="shared" si="189"/>
        <v>12</v>
      </c>
      <c r="I2904" s="11">
        <f t="shared" si="190"/>
        <v>96</v>
      </c>
      <c r="J2904" s="11"/>
    </row>
    <row r="2905" spans="1:10" x14ac:dyDescent="0.25">
      <c r="A2905" s="2">
        <v>43443</v>
      </c>
      <c r="B2905" s="3">
        <v>518</v>
      </c>
      <c r="C2905" s="4">
        <v>243460</v>
      </c>
      <c r="D2905" s="3">
        <v>315</v>
      </c>
      <c r="E2905" s="4">
        <v>229950</v>
      </c>
      <c r="G2905" s="12">
        <f t="shared" si="188"/>
        <v>2018</v>
      </c>
      <c r="H2905" s="12">
        <f t="shared" si="189"/>
        <v>12</v>
      </c>
      <c r="I2905" s="11">
        <f t="shared" si="190"/>
        <v>96</v>
      </c>
      <c r="J2905" s="11"/>
    </row>
    <row r="2906" spans="1:10" x14ac:dyDescent="0.25">
      <c r="A2906" s="2">
        <v>43444</v>
      </c>
      <c r="B2906" s="3">
        <v>487</v>
      </c>
      <c r="C2906" s="4">
        <v>228890</v>
      </c>
      <c r="D2906" s="3">
        <v>302</v>
      </c>
      <c r="E2906" s="4">
        <v>220460</v>
      </c>
      <c r="G2906" s="12">
        <f t="shared" si="188"/>
        <v>2018</v>
      </c>
      <c r="H2906" s="12">
        <f t="shared" si="189"/>
        <v>12</v>
      </c>
      <c r="I2906" s="11">
        <f t="shared" si="190"/>
        <v>96</v>
      </c>
      <c r="J2906" s="11"/>
    </row>
    <row r="2907" spans="1:10" x14ac:dyDescent="0.25">
      <c r="A2907" s="2">
        <v>43445</v>
      </c>
      <c r="B2907" s="3">
        <v>543</v>
      </c>
      <c r="C2907" s="4">
        <v>255210</v>
      </c>
      <c r="D2907" s="3">
        <v>248</v>
      </c>
      <c r="E2907" s="4">
        <v>181040</v>
      </c>
      <c r="G2907" s="12">
        <f t="shared" si="188"/>
        <v>2018</v>
      </c>
      <c r="H2907" s="12">
        <f t="shared" si="189"/>
        <v>12</v>
      </c>
      <c r="I2907" s="11">
        <f t="shared" si="190"/>
        <v>96</v>
      </c>
      <c r="J2907" s="11"/>
    </row>
    <row r="2908" spans="1:10" x14ac:dyDescent="0.25">
      <c r="A2908" s="2">
        <v>43446</v>
      </c>
      <c r="B2908" s="3">
        <v>414</v>
      </c>
      <c r="C2908" s="4">
        <v>194580</v>
      </c>
      <c r="D2908" s="3">
        <v>312</v>
      </c>
      <c r="E2908" s="4">
        <v>227760</v>
      </c>
      <c r="G2908" s="12">
        <f t="shared" si="188"/>
        <v>2018</v>
      </c>
      <c r="H2908" s="12">
        <f t="shared" si="189"/>
        <v>12</v>
      </c>
      <c r="I2908" s="11">
        <f t="shared" si="190"/>
        <v>96</v>
      </c>
      <c r="J2908" s="11"/>
    </row>
    <row r="2909" spans="1:10" x14ac:dyDescent="0.25">
      <c r="A2909" s="2">
        <v>43447</v>
      </c>
      <c r="B2909" s="3">
        <v>472</v>
      </c>
      <c r="C2909" s="4">
        <v>221840</v>
      </c>
      <c r="D2909" s="3">
        <v>255</v>
      </c>
      <c r="E2909" s="4">
        <v>186150</v>
      </c>
      <c r="G2909" s="12">
        <f t="shared" si="188"/>
        <v>2018</v>
      </c>
      <c r="H2909" s="12">
        <f t="shared" si="189"/>
        <v>12</v>
      </c>
      <c r="I2909" s="11">
        <f t="shared" si="190"/>
        <v>96</v>
      </c>
      <c r="J2909" s="11"/>
    </row>
    <row r="2910" spans="1:10" x14ac:dyDescent="0.25">
      <c r="A2910" s="2">
        <v>43448</v>
      </c>
      <c r="B2910" s="3">
        <v>395</v>
      </c>
      <c r="C2910" s="4">
        <v>185650</v>
      </c>
      <c r="D2910" s="3">
        <v>318</v>
      </c>
      <c r="E2910" s="4">
        <v>232140</v>
      </c>
      <c r="G2910" s="12">
        <f t="shared" si="188"/>
        <v>2018</v>
      </c>
      <c r="H2910" s="12">
        <f t="shared" si="189"/>
        <v>12</v>
      </c>
      <c r="I2910" s="11">
        <f t="shared" si="190"/>
        <v>96</v>
      </c>
      <c r="J2910" s="11"/>
    </row>
    <row r="2911" spans="1:10" x14ac:dyDescent="0.25">
      <c r="A2911" s="2">
        <v>43449</v>
      </c>
      <c r="B2911" s="3">
        <v>477</v>
      </c>
      <c r="C2911" s="4">
        <v>224190</v>
      </c>
      <c r="D2911" s="3">
        <v>337</v>
      </c>
      <c r="E2911" s="4">
        <v>246010</v>
      </c>
      <c r="G2911" s="12">
        <f t="shared" si="188"/>
        <v>2018</v>
      </c>
      <c r="H2911" s="12">
        <f t="shared" si="189"/>
        <v>12</v>
      </c>
      <c r="I2911" s="11">
        <f t="shared" si="190"/>
        <v>96</v>
      </c>
      <c r="J2911" s="11"/>
    </row>
    <row r="2912" spans="1:10" x14ac:dyDescent="0.25">
      <c r="A2912" s="2">
        <v>43450</v>
      </c>
      <c r="B2912" s="3">
        <v>428</v>
      </c>
      <c r="C2912" s="4">
        <v>201160</v>
      </c>
      <c r="D2912" s="3">
        <v>305</v>
      </c>
      <c r="E2912" s="4">
        <v>222650</v>
      </c>
      <c r="G2912" s="12">
        <f t="shared" si="188"/>
        <v>2018</v>
      </c>
      <c r="H2912" s="12">
        <f t="shared" si="189"/>
        <v>12</v>
      </c>
      <c r="I2912" s="11">
        <f t="shared" si="190"/>
        <v>96</v>
      </c>
      <c r="J2912" s="11"/>
    </row>
    <row r="2913" spans="1:10" x14ac:dyDescent="0.25">
      <c r="A2913" s="2">
        <v>43451</v>
      </c>
      <c r="B2913" s="3">
        <v>422</v>
      </c>
      <c r="C2913" s="4">
        <v>198340</v>
      </c>
      <c r="D2913" s="3">
        <v>291</v>
      </c>
      <c r="E2913" s="4">
        <v>212430</v>
      </c>
      <c r="G2913" s="12">
        <f t="shared" si="188"/>
        <v>2018</v>
      </c>
      <c r="H2913" s="12">
        <f t="shared" si="189"/>
        <v>12</v>
      </c>
      <c r="I2913" s="11">
        <f t="shared" si="190"/>
        <v>96</v>
      </c>
      <c r="J2913" s="11"/>
    </row>
    <row r="2914" spans="1:10" x14ac:dyDescent="0.25">
      <c r="A2914" s="2">
        <v>43452</v>
      </c>
      <c r="B2914" s="3">
        <v>487</v>
      </c>
      <c r="C2914" s="4">
        <v>228890</v>
      </c>
      <c r="D2914" s="3">
        <v>296</v>
      </c>
      <c r="E2914" s="4">
        <v>216080</v>
      </c>
      <c r="G2914" s="12">
        <f t="shared" si="188"/>
        <v>2018</v>
      </c>
      <c r="H2914" s="12">
        <f t="shared" si="189"/>
        <v>12</v>
      </c>
      <c r="I2914" s="11">
        <f t="shared" si="190"/>
        <v>96</v>
      </c>
      <c r="J2914" s="11"/>
    </row>
    <row r="2915" spans="1:10" x14ac:dyDescent="0.25">
      <c r="A2915" s="2">
        <v>43453</v>
      </c>
      <c r="B2915" s="3">
        <v>429</v>
      </c>
      <c r="C2915" s="4">
        <v>201630</v>
      </c>
      <c r="D2915" s="3">
        <v>305</v>
      </c>
      <c r="E2915" s="4">
        <v>222650</v>
      </c>
      <c r="G2915" s="12">
        <f t="shared" si="188"/>
        <v>2018</v>
      </c>
      <c r="H2915" s="12">
        <f t="shared" si="189"/>
        <v>12</v>
      </c>
      <c r="I2915" s="11">
        <f t="shared" si="190"/>
        <v>96</v>
      </c>
      <c r="J2915" s="11"/>
    </row>
    <row r="2916" spans="1:10" x14ac:dyDescent="0.25">
      <c r="A2916" s="2">
        <v>43454</v>
      </c>
      <c r="B2916" s="3">
        <v>488</v>
      </c>
      <c r="C2916" s="4">
        <v>229360</v>
      </c>
      <c r="D2916" s="3">
        <v>290</v>
      </c>
      <c r="E2916" s="4">
        <v>211700</v>
      </c>
      <c r="G2916" s="12">
        <f t="shared" si="188"/>
        <v>2018</v>
      </c>
      <c r="H2916" s="12">
        <f t="shared" si="189"/>
        <v>12</v>
      </c>
      <c r="I2916" s="11">
        <f t="shared" si="190"/>
        <v>96</v>
      </c>
      <c r="J2916" s="11"/>
    </row>
    <row r="2917" spans="1:10" x14ac:dyDescent="0.25">
      <c r="A2917" s="2">
        <v>43455</v>
      </c>
      <c r="B2917" s="3">
        <v>455</v>
      </c>
      <c r="C2917" s="4">
        <v>213850</v>
      </c>
      <c r="D2917" s="3">
        <v>303</v>
      </c>
      <c r="E2917" s="4">
        <v>221190</v>
      </c>
      <c r="G2917" s="12">
        <f t="shared" si="188"/>
        <v>2018</v>
      </c>
      <c r="H2917" s="12">
        <f t="shared" si="189"/>
        <v>12</v>
      </c>
      <c r="I2917" s="11">
        <f t="shared" si="190"/>
        <v>96</v>
      </c>
      <c r="J2917" s="11"/>
    </row>
    <row r="2918" spans="1:10" x14ac:dyDescent="0.25">
      <c r="A2918" s="2">
        <v>43456</v>
      </c>
      <c r="B2918" s="3">
        <v>441</v>
      </c>
      <c r="C2918" s="4">
        <v>207270</v>
      </c>
      <c r="D2918" s="3">
        <v>264</v>
      </c>
      <c r="E2918" s="4">
        <v>192720</v>
      </c>
      <c r="G2918" s="12">
        <f t="shared" si="188"/>
        <v>2018</v>
      </c>
      <c r="H2918" s="12">
        <f t="shared" si="189"/>
        <v>12</v>
      </c>
      <c r="I2918" s="11">
        <f t="shared" si="190"/>
        <v>96</v>
      </c>
      <c r="J2918" s="11"/>
    </row>
    <row r="2919" spans="1:10" x14ac:dyDescent="0.25">
      <c r="A2919" s="2">
        <v>43457</v>
      </c>
      <c r="B2919" s="3">
        <v>402</v>
      </c>
      <c r="C2919" s="4">
        <v>188940</v>
      </c>
      <c r="D2919" s="3">
        <v>272</v>
      </c>
      <c r="E2919" s="4">
        <v>198560</v>
      </c>
      <c r="G2919" s="12">
        <f t="shared" si="188"/>
        <v>2018</v>
      </c>
      <c r="H2919" s="12">
        <f t="shared" si="189"/>
        <v>12</v>
      </c>
      <c r="I2919" s="11">
        <f t="shared" si="190"/>
        <v>96</v>
      </c>
      <c r="J2919" s="11"/>
    </row>
    <row r="2920" spans="1:10" x14ac:dyDescent="0.25">
      <c r="A2920" s="2">
        <v>43458</v>
      </c>
      <c r="B2920" s="3">
        <v>488</v>
      </c>
      <c r="C2920" s="4">
        <v>229360</v>
      </c>
      <c r="D2920" s="3">
        <v>282</v>
      </c>
      <c r="E2920" s="4">
        <v>205860</v>
      </c>
      <c r="G2920" s="12">
        <f t="shared" si="188"/>
        <v>2018</v>
      </c>
      <c r="H2920" s="12">
        <f t="shared" si="189"/>
        <v>12</v>
      </c>
      <c r="I2920" s="11">
        <f t="shared" si="190"/>
        <v>96</v>
      </c>
      <c r="J2920" s="11"/>
    </row>
    <row r="2921" spans="1:10" x14ac:dyDescent="0.25">
      <c r="A2921" s="2">
        <v>43459</v>
      </c>
      <c r="B2921" s="3">
        <v>418</v>
      </c>
      <c r="C2921" s="4">
        <v>196460</v>
      </c>
      <c r="D2921" s="3">
        <v>271</v>
      </c>
      <c r="E2921" s="4">
        <v>197830</v>
      </c>
      <c r="G2921" s="12">
        <f t="shared" si="188"/>
        <v>2018</v>
      </c>
      <c r="H2921" s="12">
        <f t="shared" si="189"/>
        <v>12</v>
      </c>
      <c r="I2921" s="11">
        <f t="shared" si="190"/>
        <v>96</v>
      </c>
      <c r="J2921" s="11"/>
    </row>
    <row r="2922" spans="1:10" x14ac:dyDescent="0.25">
      <c r="A2922" s="2">
        <v>43460</v>
      </c>
      <c r="B2922" s="3">
        <v>463</v>
      </c>
      <c r="C2922" s="4">
        <v>217610</v>
      </c>
      <c r="D2922" s="3">
        <v>261</v>
      </c>
      <c r="E2922" s="4">
        <v>190530</v>
      </c>
      <c r="G2922" s="12">
        <f t="shared" si="188"/>
        <v>2018</v>
      </c>
      <c r="H2922" s="12">
        <f t="shared" si="189"/>
        <v>12</v>
      </c>
      <c r="I2922" s="11">
        <f t="shared" si="190"/>
        <v>96</v>
      </c>
      <c r="J2922" s="11"/>
    </row>
    <row r="2923" spans="1:10" x14ac:dyDescent="0.25">
      <c r="A2923" s="2">
        <v>43461</v>
      </c>
      <c r="B2923" s="3">
        <v>451</v>
      </c>
      <c r="C2923" s="4">
        <v>211970</v>
      </c>
      <c r="D2923" s="3">
        <v>309</v>
      </c>
      <c r="E2923" s="4">
        <v>225570</v>
      </c>
      <c r="G2923" s="12">
        <f t="shared" si="188"/>
        <v>2018</v>
      </c>
      <c r="H2923" s="12">
        <f t="shared" si="189"/>
        <v>12</v>
      </c>
      <c r="I2923" s="11">
        <f t="shared" si="190"/>
        <v>96</v>
      </c>
      <c r="J2923" s="11"/>
    </row>
    <row r="2924" spans="1:10" x14ac:dyDescent="0.25">
      <c r="A2924" s="2">
        <v>43462</v>
      </c>
      <c r="B2924" s="3">
        <v>465</v>
      </c>
      <c r="C2924" s="4">
        <v>218550</v>
      </c>
      <c r="D2924" s="3">
        <v>308</v>
      </c>
      <c r="E2924" s="4">
        <v>224840</v>
      </c>
      <c r="G2924" s="12">
        <f t="shared" si="188"/>
        <v>2018</v>
      </c>
      <c r="H2924" s="12">
        <f t="shared" si="189"/>
        <v>12</v>
      </c>
      <c r="I2924" s="11">
        <f t="shared" si="190"/>
        <v>96</v>
      </c>
      <c r="J2924" s="11"/>
    </row>
    <row r="2925" spans="1:10" x14ac:dyDescent="0.25">
      <c r="A2925" s="2">
        <v>43463</v>
      </c>
      <c r="B2925" s="3">
        <v>477</v>
      </c>
      <c r="C2925" s="4">
        <v>224190</v>
      </c>
      <c r="D2925" s="3">
        <v>271</v>
      </c>
      <c r="E2925" s="4">
        <v>197830</v>
      </c>
      <c r="G2925" s="12">
        <f t="shared" si="188"/>
        <v>2018</v>
      </c>
      <c r="H2925" s="12">
        <f t="shared" si="189"/>
        <v>12</v>
      </c>
      <c r="I2925" s="11">
        <f t="shared" si="190"/>
        <v>96</v>
      </c>
      <c r="J2925" s="11"/>
    </row>
    <row r="2926" spans="1:10" x14ac:dyDescent="0.25">
      <c r="A2926" s="2">
        <v>43464</v>
      </c>
      <c r="B2926" s="3">
        <v>463</v>
      </c>
      <c r="C2926" s="4">
        <v>217610</v>
      </c>
      <c r="D2926" s="3">
        <v>300</v>
      </c>
      <c r="E2926" s="4">
        <v>219000</v>
      </c>
      <c r="G2926" s="12">
        <f t="shared" si="188"/>
        <v>2018</v>
      </c>
      <c r="H2926" s="12">
        <f t="shared" si="189"/>
        <v>12</v>
      </c>
      <c r="I2926" s="11">
        <f t="shared" si="190"/>
        <v>96</v>
      </c>
      <c r="J2926" s="11"/>
    </row>
    <row r="2927" spans="1:10" x14ac:dyDescent="0.25">
      <c r="A2927" s="2">
        <v>43465</v>
      </c>
      <c r="B2927" s="3">
        <v>484</v>
      </c>
      <c r="C2927" s="4">
        <v>227480</v>
      </c>
      <c r="D2927" s="3">
        <v>272</v>
      </c>
      <c r="E2927" s="4">
        <v>198560</v>
      </c>
      <c r="G2927" s="12">
        <f t="shared" si="188"/>
        <v>2018</v>
      </c>
      <c r="H2927" s="12">
        <f t="shared" si="189"/>
        <v>12</v>
      </c>
      <c r="I2927" s="11">
        <f t="shared" si="190"/>
        <v>96</v>
      </c>
      <c r="J2927" s="11"/>
    </row>
    <row r="2928" spans="1:10" x14ac:dyDescent="0.25">
      <c r="A2928" s="2">
        <v>43466</v>
      </c>
      <c r="B2928" s="3">
        <v>424</v>
      </c>
      <c r="C2928" s="4">
        <v>199280</v>
      </c>
      <c r="D2928" s="3">
        <v>323</v>
      </c>
      <c r="E2928" s="4">
        <v>235790</v>
      </c>
      <c r="G2928" s="12">
        <f t="shared" si="188"/>
        <v>2019</v>
      </c>
      <c r="H2928" s="12">
        <f t="shared" si="189"/>
        <v>1</v>
      </c>
      <c r="I2928" s="11">
        <f t="shared" si="190"/>
        <v>97</v>
      </c>
      <c r="J2928" s="11"/>
    </row>
    <row r="2929" spans="1:10" x14ac:dyDescent="0.25">
      <c r="A2929" s="2">
        <v>43467</v>
      </c>
      <c r="B2929" s="3">
        <v>404</v>
      </c>
      <c r="C2929" s="4">
        <v>189880</v>
      </c>
      <c r="D2929" s="3">
        <v>273</v>
      </c>
      <c r="E2929" s="4">
        <v>199290</v>
      </c>
      <c r="G2929" s="12">
        <f t="shared" si="188"/>
        <v>2019</v>
      </c>
      <c r="H2929" s="12">
        <f t="shared" si="189"/>
        <v>1</v>
      </c>
      <c r="I2929" s="11">
        <f t="shared" si="190"/>
        <v>97</v>
      </c>
      <c r="J2929" s="11"/>
    </row>
    <row r="2930" spans="1:10" x14ac:dyDescent="0.25">
      <c r="A2930" s="2">
        <v>43468</v>
      </c>
      <c r="B2930" s="3">
        <v>481</v>
      </c>
      <c r="C2930" s="4">
        <v>226070</v>
      </c>
      <c r="D2930" s="3">
        <v>336</v>
      </c>
      <c r="E2930" s="4">
        <v>245280</v>
      </c>
      <c r="G2930" s="12">
        <f t="shared" si="188"/>
        <v>2019</v>
      </c>
      <c r="H2930" s="12">
        <f t="shared" si="189"/>
        <v>1</v>
      </c>
      <c r="I2930" s="11">
        <f t="shared" si="190"/>
        <v>97</v>
      </c>
      <c r="J2930" s="11"/>
    </row>
    <row r="2931" spans="1:10" x14ac:dyDescent="0.25">
      <c r="A2931" s="2">
        <v>43469</v>
      </c>
      <c r="B2931" s="3">
        <v>388</v>
      </c>
      <c r="C2931" s="4">
        <v>182360</v>
      </c>
      <c r="D2931" s="3">
        <v>327</v>
      </c>
      <c r="E2931" s="4">
        <v>238710</v>
      </c>
      <c r="G2931" s="12">
        <f t="shared" si="188"/>
        <v>2019</v>
      </c>
      <c r="H2931" s="12">
        <f t="shared" si="189"/>
        <v>1</v>
      </c>
      <c r="I2931" s="11">
        <f t="shared" si="190"/>
        <v>97</v>
      </c>
      <c r="J2931" s="11"/>
    </row>
    <row r="2932" spans="1:10" x14ac:dyDescent="0.25">
      <c r="A2932" s="2">
        <v>43470</v>
      </c>
      <c r="B2932" s="3">
        <v>408</v>
      </c>
      <c r="C2932" s="4">
        <v>191760</v>
      </c>
      <c r="D2932" s="3">
        <v>296</v>
      </c>
      <c r="E2932" s="4">
        <v>216080</v>
      </c>
      <c r="G2932" s="12">
        <f t="shared" si="188"/>
        <v>2019</v>
      </c>
      <c r="H2932" s="12">
        <f t="shared" si="189"/>
        <v>1</v>
      </c>
      <c r="I2932" s="11">
        <f t="shared" si="190"/>
        <v>97</v>
      </c>
      <c r="J2932" s="11"/>
    </row>
    <row r="2933" spans="1:10" x14ac:dyDescent="0.25">
      <c r="A2933" s="2">
        <v>43471</v>
      </c>
      <c r="B2933" s="3">
        <v>462</v>
      </c>
      <c r="C2933" s="4">
        <v>217140</v>
      </c>
      <c r="D2933" s="3">
        <v>293</v>
      </c>
      <c r="E2933" s="4">
        <v>213890</v>
      </c>
      <c r="G2933" s="12">
        <f t="shared" si="188"/>
        <v>2019</v>
      </c>
      <c r="H2933" s="12">
        <f t="shared" si="189"/>
        <v>1</v>
      </c>
      <c r="I2933" s="11">
        <f t="shared" si="190"/>
        <v>97</v>
      </c>
      <c r="J2933" s="11"/>
    </row>
    <row r="2934" spans="1:10" x14ac:dyDescent="0.25">
      <c r="A2934" s="2">
        <v>43472</v>
      </c>
      <c r="B2934" s="3">
        <v>457</v>
      </c>
      <c r="C2934" s="4">
        <v>214790</v>
      </c>
      <c r="D2934" s="3">
        <v>260</v>
      </c>
      <c r="E2934" s="4">
        <v>189800</v>
      </c>
      <c r="G2934" s="12">
        <f t="shared" si="188"/>
        <v>2019</v>
      </c>
      <c r="H2934" s="12">
        <f t="shared" si="189"/>
        <v>1</v>
      </c>
      <c r="I2934" s="11">
        <f t="shared" si="190"/>
        <v>97</v>
      </c>
      <c r="J2934" s="11"/>
    </row>
    <row r="2935" spans="1:10" x14ac:dyDescent="0.25">
      <c r="A2935" s="2">
        <v>43473</v>
      </c>
      <c r="B2935" s="3">
        <v>502</v>
      </c>
      <c r="C2935" s="4">
        <v>235940</v>
      </c>
      <c r="D2935" s="3">
        <v>335</v>
      </c>
      <c r="E2935" s="4">
        <v>244550</v>
      </c>
      <c r="G2935" s="12">
        <f t="shared" si="188"/>
        <v>2019</v>
      </c>
      <c r="H2935" s="12">
        <f t="shared" si="189"/>
        <v>1</v>
      </c>
      <c r="I2935" s="11">
        <f t="shared" si="190"/>
        <v>97</v>
      </c>
      <c r="J2935" s="11"/>
    </row>
    <row r="2936" spans="1:10" x14ac:dyDescent="0.25">
      <c r="A2936" s="2">
        <v>43474</v>
      </c>
      <c r="B2936" s="3">
        <v>511</v>
      </c>
      <c r="C2936" s="4">
        <v>240170</v>
      </c>
      <c r="D2936" s="3">
        <v>266</v>
      </c>
      <c r="E2936" s="4">
        <v>194180</v>
      </c>
      <c r="G2936" s="12">
        <f t="shared" si="188"/>
        <v>2019</v>
      </c>
      <c r="H2936" s="12">
        <f t="shared" si="189"/>
        <v>1</v>
      </c>
      <c r="I2936" s="11">
        <f t="shared" si="190"/>
        <v>97</v>
      </c>
      <c r="J2936" s="11"/>
    </row>
    <row r="2937" spans="1:10" x14ac:dyDescent="0.25">
      <c r="A2937" s="2">
        <v>43475</v>
      </c>
      <c r="B2937" s="3">
        <v>411</v>
      </c>
      <c r="C2937" s="4">
        <v>193170</v>
      </c>
      <c r="D2937" s="3">
        <v>304</v>
      </c>
      <c r="E2937" s="4">
        <v>221920</v>
      </c>
      <c r="G2937" s="12">
        <f t="shared" si="188"/>
        <v>2019</v>
      </c>
      <c r="H2937" s="12">
        <f t="shared" si="189"/>
        <v>1</v>
      </c>
      <c r="I2937" s="11">
        <f t="shared" si="190"/>
        <v>97</v>
      </c>
      <c r="J2937" s="11"/>
    </row>
    <row r="2938" spans="1:10" x14ac:dyDescent="0.25">
      <c r="A2938" s="2">
        <v>43476</v>
      </c>
      <c r="B2938" s="3">
        <v>443</v>
      </c>
      <c r="C2938" s="4">
        <v>208210</v>
      </c>
      <c r="D2938" s="3">
        <v>338</v>
      </c>
      <c r="E2938" s="4">
        <v>246740</v>
      </c>
      <c r="G2938" s="12">
        <f t="shared" si="188"/>
        <v>2019</v>
      </c>
      <c r="H2938" s="12">
        <f t="shared" si="189"/>
        <v>1</v>
      </c>
      <c r="I2938" s="11">
        <f t="shared" si="190"/>
        <v>97</v>
      </c>
      <c r="J2938" s="11"/>
    </row>
    <row r="2939" spans="1:10" x14ac:dyDescent="0.25">
      <c r="A2939" s="2">
        <v>43477</v>
      </c>
      <c r="B2939" s="3">
        <v>529</v>
      </c>
      <c r="C2939" s="4">
        <v>248630</v>
      </c>
      <c r="D2939" s="3">
        <v>232</v>
      </c>
      <c r="E2939" s="4">
        <v>169360</v>
      </c>
      <c r="G2939" s="12">
        <f t="shared" si="188"/>
        <v>2019</v>
      </c>
      <c r="H2939" s="12">
        <f t="shared" si="189"/>
        <v>1</v>
      </c>
      <c r="I2939" s="11">
        <f t="shared" si="190"/>
        <v>97</v>
      </c>
      <c r="J2939" s="11"/>
    </row>
    <row r="2940" spans="1:10" x14ac:dyDescent="0.25">
      <c r="A2940" s="2">
        <v>43478</v>
      </c>
      <c r="B2940" s="3">
        <v>478</v>
      </c>
      <c r="C2940" s="4">
        <v>224660</v>
      </c>
      <c r="D2940" s="3">
        <v>301</v>
      </c>
      <c r="E2940" s="4">
        <v>219730</v>
      </c>
      <c r="G2940" s="12">
        <f t="shared" si="188"/>
        <v>2019</v>
      </c>
      <c r="H2940" s="12">
        <f t="shared" si="189"/>
        <v>1</v>
      </c>
      <c r="I2940" s="11">
        <f t="shared" si="190"/>
        <v>97</v>
      </c>
      <c r="J2940" s="11"/>
    </row>
    <row r="2941" spans="1:10" x14ac:dyDescent="0.25">
      <c r="A2941" s="2">
        <v>43479</v>
      </c>
      <c r="B2941" s="3">
        <v>440</v>
      </c>
      <c r="C2941" s="4">
        <v>206800</v>
      </c>
      <c r="D2941" s="3">
        <v>247</v>
      </c>
      <c r="E2941" s="4">
        <v>180310</v>
      </c>
      <c r="G2941" s="12">
        <f t="shared" si="188"/>
        <v>2019</v>
      </c>
      <c r="H2941" s="12">
        <f t="shared" si="189"/>
        <v>1</v>
      </c>
      <c r="I2941" s="11">
        <f t="shared" si="190"/>
        <v>97</v>
      </c>
      <c r="J2941" s="11"/>
    </row>
    <row r="2942" spans="1:10" x14ac:dyDescent="0.25">
      <c r="A2942" s="2">
        <v>43480</v>
      </c>
      <c r="B2942" s="3">
        <v>486</v>
      </c>
      <c r="C2942" s="4">
        <v>228420</v>
      </c>
      <c r="D2942" s="3">
        <v>296</v>
      </c>
      <c r="E2942" s="4">
        <v>216080</v>
      </c>
      <c r="G2942" s="12">
        <f t="shared" si="188"/>
        <v>2019</v>
      </c>
      <c r="H2942" s="12">
        <f t="shared" si="189"/>
        <v>1</v>
      </c>
      <c r="I2942" s="11">
        <f t="shared" si="190"/>
        <v>97</v>
      </c>
      <c r="J2942" s="11"/>
    </row>
    <row r="2943" spans="1:10" x14ac:dyDescent="0.25">
      <c r="A2943" s="2">
        <v>43481</v>
      </c>
      <c r="B2943" s="3">
        <v>491</v>
      </c>
      <c r="C2943" s="4">
        <v>230770</v>
      </c>
      <c r="D2943" s="3">
        <v>289</v>
      </c>
      <c r="E2943" s="4">
        <v>210970</v>
      </c>
      <c r="G2943" s="12">
        <f t="shared" si="188"/>
        <v>2019</v>
      </c>
      <c r="H2943" s="12">
        <f t="shared" si="189"/>
        <v>1</v>
      </c>
      <c r="I2943" s="11">
        <f t="shared" si="190"/>
        <v>97</v>
      </c>
      <c r="J2943" s="11"/>
    </row>
    <row r="2944" spans="1:10" x14ac:dyDescent="0.25">
      <c r="A2944" s="2">
        <v>43482</v>
      </c>
      <c r="B2944" s="3">
        <v>540</v>
      </c>
      <c r="C2944" s="4">
        <v>253800</v>
      </c>
      <c r="D2944" s="3">
        <v>297</v>
      </c>
      <c r="E2944" s="4">
        <v>216810</v>
      </c>
      <c r="G2944" s="12">
        <f t="shared" si="188"/>
        <v>2019</v>
      </c>
      <c r="H2944" s="12">
        <f t="shared" si="189"/>
        <v>1</v>
      </c>
      <c r="I2944" s="11">
        <f t="shared" si="190"/>
        <v>97</v>
      </c>
      <c r="J2944" s="11"/>
    </row>
    <row r="2945" spans="1:10" x14ac:dyDescent="0.25">
      <c r="A2945" s="2">
        <v>43483</v>
      </c>
      <c r="B2945" s="3">
        <v>544</v>
      </c>
      <c r="C2945" s="4">
        <v>255680</v>
      </c>
      <c r="D2945" s="3">
        <v>319</v>
      </c>
      <c r="E2945" s="4">
        <v>232870</v>
      </c>
      <c r="G2945" s="12">
        <f t="shared" si="188"/>
        <v>2019</v>
      </c>
      <c r="H2945" s="12">
        <f t="shared" si="189"/>
        <v>1</v>
      </c>
      <c r="I2945" s="11">
        <f t="shared" si="190"/>
        <v>97</v>
      </c>
      <c r="J2945" s="11"/>
    </row>
    <row r="2946" spans="1:10" x14ac:dyDescent="0.25">
      <c r="A2946" s="2">
        <v>43484</v>
      </c>
      <c r="B2946" s="3">
        <v>466</v>
      </c>
      <c r="C2946" s="4">
        <v>219020</v>
      </c>
      <c r="D2946" s="3">
        <v>248</v>
      </c>
      <c r="E2946" s="4">
        <v>181040</v>
      </c>
      <c r="G2946" s="12">
        <f t="shared" si="188"/>
        <v>2019</v>
      </c>
      <c r="H2946" s="12">
        <f t="shared" si="189"/>
        <v>1</v>
      </c>
      <c r="I2946" s="11">
        <f t="shared" si="190"/>
        <v>97</v>
      </c>
      <c r="J2946" s="11"/>
    </row>
    <row r="2947" spans="1:10" x14ac:dyDescent="0.25">
      <c r="A2947" s="2">
        <v>43485</v>
      </c>
      <c r="B2947" s="3">
        <v>532</v>
      </c>
      <c r="C2947" s="4">
        <v>250040</v>
      </c>
      <c r="D2947" s="3">
        <v>335</v>
      </c>
      <c r="E2947" s="4">
        <v>244550</v>
      </c>
      <c r="G2947" s="12">
        <f t="shared" si="188"/>
        <v>2019</v>
      </c>
      <c r="H2947" s="12">
        <f t="shared" si="189"/>
        <v>1</v>
      </c>
      <c r="I2947" s="11">
        <f t="shared" si="190"/>
        <v>97</v>
      </c>
      <c r="J2947" s="11"/>
    </row>
    <row r="2948" spans="1:10" x14ac:dyDescent="0.25">
      <c r="A2948" s="2">
        <v>43486</v>
      </c>
      <c r="B2948" s="3">
        <v>538</v>
      </c>
      <c r="C2948" s="4">
        <v>252860</v>
      </c>
      <c r="D2948" s="3">
        <v>274</v>
      </c>
      <c r="E2948" s="4">
        <v>200020</v>
      </c>
      <c r="G2948" s="12">
        <f t="shared" si="188"/>
        <v>2019</v>
      </c>
      <c r="H2948" s="12">
        <f t="shared" si="189"/>
        <v>1</v>
      </c>
      <c r="I2948" s="11">
        <f t="shared" si="190"/>
        <v>97</v>
      </c>
      <c r="J2948" s="11"/>
    </row>
    <row r="2949" spans="1:10" x14ac:dyDescent="0.25">
      <c r="A2949" s="2">
        <v>43487</v>
      </c>
      <c r="B2949" s="3">
        <v>437</v>
      </c>
      <c r="C2949" s="4">
        <v>205390</v>
      </c>
      <c r="D2949" s="3">
        <v>243</v>
      </c>
      <c r="E2949" s="4">
        <v>177390</v>
      </c>
      <c r="G2949" s="12">
        <f t="shared" si="188"/>
        <v>2019</v>
      </c>
      <c r="H2949" s="12">
        <f t="shared" si="189"/>
        <v>1</v>
      </c>
      <c r="I2949" s="11">
        <f t="shared" si="190"/>
        <v>97</v>
      </c>
      <c r="J2949" s="11"/>
    </row>
    <row r="2950" spans="1:10" x14ac:dyDescent="0.25">
      <c r="A2950" s="2">
        <v>43488</v>
      </c>
      <c r="B2950" s="3">
        <v>437</v>
      </c>
      <c r="C2950" s="4">
        <v>205390</v>
      </c>
      <c r="D2950" s="3">
        <v>330</v>
      </c>
      <c r="E2950" s="4">
        <v>240900</v>
      </c>
      <c r="G2950" s="12">
        <f t="shared" ref="G2950:G3013" si="191">+YEAR(A2950)</f>
        <v>2019</v>
      </c>
      <c r="H2950" s="12">
        <f t="shared" ref="H2950:H3013" si="192">+MONTH(A2950)</f>
        <v>1</v>
      </c>
      <c r="I2950" s="11">
        <f t="shared" si="190"/>
        <v>97</v>
      </c>
      <c r="J2950" s="11"/>
    </row>
    <row r="2951" spans="1:10" x14ac:dyDescent="0.25">
      <c r="A2951" s="2">
        <v>43489</v>
      </c>
      <c r="B2951" s="3">
        <v>430</v>
      </c>
      <c r="C2951" s="4">
        <v>202100</v>
      </c>
      <c r="D2951" s="3">
        <v>322</v>
      </c>
      <c r="E2951" s="4">
        <v>235060</v>
      </c>
      <c r="G2951" s="12">
        <f t="shared" si="191"/>
        <v>2019</v>
      </c>
      <c r="H2951" s="12">
        <f t="shared" si="192"/>
        <v>1</v>
      </c>
      <c r="I2951" s="11">
        <f t="shared" ref="I2951:I3014" si="193">+H2951+(G2951-2011)*12</f>
        <v>97</v>
      </c>
      <c r="J2951" s="11"/>
    </row>
    <row r="2952" spans="1:10" x14ac:dyDescent="0.25">
      <c r="A2952" s="2">
        <v>43490</v>
      </c>
      <c r="B2952" s="3">
        <v>512</v>
      </c>
      <c r="C2952" s="4">
        <v>240640</v>
      </c>
      <c r="D2952" s="3">
        <v>326</v>
      </c>
      <c r="E2952" s="4">
        <v>237980</v>
      </c>
      <c r="G2952" s="12">
        <f t="shared" si="191"/>
        <v>2019</v>
      </c>
      <c r="H2952" s="12">
        <f t="shared" si="192"/>
        <v>1</v>
      </c>
      <c r="I2952" s="11">
        <f t="shared" si="193"/>
        <v>97</v>
      </c>
      <c r="J2952" s="11"/>
    </row>
    <row r="2953" spans="1:10" x14ac:dyDescent="0.25">
      <c r="A2953" s="2">
        <v>43491</v>
      </c>
      <c r="B2953" s="3">
        <v>519</v>
      </c>
      <c r="C2953" s="4">
        <v>243930</v>
      </c>
      <c r="D2953" s="3">
        <v>356</v>
      </c>
      <c r="E2953" s="4">
        <v>259880</v>
      </c>
      <c r="G2953" s="12">
        <f t="shared" si="191"/>
        <v>2019</v>
      </c>
      <c r="H2953" s="12">
        <f t="shared" si="192"/>
        <v>1</v>
      </c>
      <c r="I2953" s="11">
        <f t="shared" si="193"/>
        <v>97</v>
      </c>
      <c r="J2953" s="11"/>
    </row>
    <row r="2954" spans="1:10" x14ac:dyDescent="0.25">
      <c r="A2954" s="2">
        <v>43492</v>
      </c>
      <c r="B2954" s="3">
        <v>476</v>
      </c>
      <c r="C2954" s="4">
        <v>223720</v>
      </c>
      <c r="D2954" s="3">
        <v>335</v>
      </c>
      <c r="E2954" s="4">
        <v>244550</v>
      </c>
      <c r="G2954" s="12">
        <f t="shared" si="191"/>
        <v>2019</v>
      </c>
      <c r="H2954" s="12">
        <f t="shared" si="192"/>
        <v>1</v>
      </c>
      <c r="I2954" s="11">
        <f t="shared" si="193"/>
        <v>97</v>
      </c>
      <c r="J2954" s="11"/>
    </row>
    <row r="2955" spans="1:10" x14ac:dyDescent="0.25">
      <c r="A2955" s="2">
        <v>43493</v>
      </c>
      <c r="B2955" s="3">
        <v>449</v>
      </c>
      <c r="C2955" s="4">
        <v>211030</v>
      </c>
      <c r="D2955" s="3">
        <v>363</v>
      </c>
      <c r="E2955" s="4">
        <v>264990</v>
      </c>
      <c r="G2955" s="12">
        <f t="shared" si="191"/>
        <v>2019</v>
      </c>
      <c r="H2955" s="12">
        <f t="shared" si="192"/>
        <v>1</v>
      </c>
      <c r="I2955" s="11">
        <f t="shared" si="193"/>
        <v>97</v>
      </c>
      <c r="J2955" s="11"/>
    </row>
    <row r="2956" spans="1:10" x14ac:dyDescent="0.25">
      <c r="A2956" s="2">
        <v>43494</v>
      </c>
      <c r="B2956" s="3">
        <v>503</v>
      </c>
      <c r="C2956" s="4">
        <v>236410</v>
      </c>
      <c r="D2956" s="3">
        <v>272</v>
      </c>
      <c r="E2956" s="4">
        <v>198560</v>
      </c>
      <c r="G2956" s="12">
        <f t="shared" si="191"/>
        <v>2019</v>
      </c>
      <c r="H2956" s="12">
        <f t="shared" si="192"/>
        <v>1</v>
      </c>
      <c r="I2956" s="11">
        <f t="shared" si="193"/>
        <v>97</v>
      </c>
      <c r="J2956" s="11"/>
    </row>
    <row r="2957" spans="1:10" x14ac:dyDescent="0.25">
      <c r="A2957" s="2">
        <v>43495</v>
      </c>
      <c r="B2957" s="3">
        <v>444</v>
      </c>
      <c r="C2957" s="4">
        <v>208680</v>
      </c>
      <c r="D2957" s="3">
        <v>322</v>
      </c>
      <c r="E2957" s="4">
        <v>235060</v>
      </c>
      <c r="G2957" s="12">
        <f t="shared" si="191"/>
        <v>2019</v>
      </c>
      <c r="H2957" s="12">
        <f t="shared" si="192"/>
        <v>1</v>
      </c>
      <c r="I2957" s="11">
        <f t="shared" si="193"/>
        <v>97</v>
      </c>
      <c r="J2957" s="11"/>
    </row>
    <row r="2958" spans="1:10" x14ac:dyDescent="0.25">
      <c r="A2958" s="2">
        <v>43496</v>
      </c>
      <c r="B2958" s="3">
        <v>423</v>
      </c>
      <c r="C2958" s="4">
        <v>198810</v>
      </c>
      <c r="D2958" s="3">
        <v>307</v>
      </c>
      <c r="E2958" s="4">
        <v>224110</v>
      </c>
      <c r="G2958" s="12">
        <f t="shared" si="191"/>
        <v>2019</v>
      </c>
      <c r="H2958" s="12">
        <f t="shared" si="192"/>
        <v>1</v>
      </c>
      <c r="I2958" s="11">
        <f t="shared" si="193"/>
        <v>97</v>
      </c>
      <c r="J2958" s="11"/>
    </row>
    <row r="2959" spans="1:10" x14ac:dyDescent="0.25">
      <c r="A2959" s="2">
        <v>43497</v>
      </c>
      <c r="B2959" s="3">
        <v>442</v>
      </c>
      <c r="C2959" s="4">
        <v>207740</v>
      </c>
      <c r="D2959" s="3">
        <v>340</v>
      </c>
      <c r="E2959" s="4">
        <v>248200</v>
      </c>
      <c r="G2959" s="12">
        <f t="shared" si="191"/>
        <v>2019</v>
      </c>
      <c r="H2959" s="12">
        <f t="shared" si="192"/>
        <v>2</v>
      </c>
      <c r="I2959" s="11">
        <f t="shared" si="193"/>
        <v>98</v>
      </c>
      <c r="J2959" s="11"/>
    </row>
    <row r="2960" spans="1:10" x14ac:dyDescent="0.25">
      <c r="A2960" s="2">
        <v>43498</v>
      </c>
      <c r="B2960" s="3">
        <v>340</v>
      </c>
      <c r="C2960" s="4">
        <v>159800</v>
      </c>
      <c r="D2960" s="3">
        <v>240</v>
      </c>
      <c r="E2960" s="4">
        <v>175200</v>
      </c>
      <c r="G2960" s="12">
        <f t="shared" si="191"/>
        <v>2019</v>
      </c>
      <c r="H2960" s="12">
        <f t="shared" si="192"/>
        <v>2</v>
      </c>
      <c r="I2960" s="11">
        <f t="shared" si="193"/>
        <v>98</v>
      </c>
      <c r="J2960" s="11"/>
    </row>
    <row r="2961" spans="1:10" x14ac:dyDescent="0.25">
      <c r="A2961" s="2">
        <v>43499</v>
      </c>
      <c r="B2961" s="3">
        <v>429</v>
      </c>
      <c r="C2961" s="4">
        <v>201630</v>
      </c>
      <c r="D2961" s="3">
        <v>195</v>
      </c>
      <c r="E2961" s="4">
        <v>142350</v>
      </c>
      <c r="G2961" s="12">
        <f t="shared" si="191"/>
        <v>2019</v>
      </c>
      <c r="H2961" s="12">
        <f t="shared" si="192"/>
        <v>2</v>
      </c>
      <c r="I2961" s="11">
        <f t="shared" si="193"/>
        <v>98</v>
      </c>
      <c r="J2961" s="11"/>
    </row>
    <row r="2962" spans="1:10" x14ac:dyDescent="0.25">
      <c r="A2962" s="2">
        <v>43500</v>
      </c>
      <c r="B2962" s="3">
        <v>538</v>
      </c>
      <c r="C2962" s="4">
        <v>252860</v>
      </c>
      <c r="D2962" s="3">
        <v>277</v>
      </c>
      <c r="E2962" s="4">
        <v>202210</v>
      </c>
      <c r="G2962" s="12">
        <f t="shared" si="191"/>
        <v>2019</v>
      </c>
      <c r="H2962" s="12">
        <f t="shared" si="192"/>
        <v>2</v>
      </c>
      <c r="I2962" s="11">
        <f t="shared" si="193"/>
        <v>98</v>
      </c>
      <c r="J2962" s="11"/>
    </row>
    <row r="2963" spans="1:10" x14ac:dyDescent="0.25">
      <c r="A2963" s="2">
        <v>43501</v>
      </c>
      <c r="B2963" s="3">
        <v>494</v>
      </c>
      <c r="C2963" s="4">
        <v>232180</v>
      </c>
      <c r="D2963" s="3">
        <v>262</v>
      </c>
      <c r="E2963" s="4">
        <v>191260</v>
      </c>
      <c r="G2963" s="12">
        <f t="shared" si="191"/>
        <v>2019</v>
      </c>
      <c r="H2963" s="12">
        <f t="shared" si="192"/>
        <v>2</v>
      </c>
      <c r="I2963" s="11">
        <f t="shared" si="193"/>
        <v>98</v>
      </c>
      <c r="J2963" s="11"/>
    </row>
    <row r="2964" spans="1:10" x14ac:dyDescent="0.25">
      <c r="A2964" s="2">
        <v>43502</v>
      </c>
      <c r="B2964" s="3">
        <v>404</v>
      </c>
      <c r="C2964" s="4">
        <v>189880</v>
      </c>
      <c r="D2964" s="3">
        <v>222</v>
      </c>
      <c r="E2964" s="4">
        <v>162060</v>
      </c>
      <c r="G2964" s="12">
        <f t="shared" si="191"/>
        <v>2019</v>
      </c>
      <c r="H2964" s="12">
        <f t="shared" si="192"/>
        <v>2</v>
      </c>
      <c r="I2964" s="11">
        <f t="shared" si="193"/>
        <v>98</v>
      </c>
      <c r="J2964" s="11"/>
    </row>
    <row r="2965" spans="1:10" x14ac:dyDescent="0.25">
      <c r="A2965" s="2">
        <v>43503</v>
      </c>
      <c r="B2965" s="3">
        <v>471</v>
      </c>
      <c r="C2965" s="4">
        <v>221370</v>
      </c>
      <c r="D2965" s="3">
        <v>315</v>
      </c>
      <c r="E2965" s="4">
        <v>229950</v>
      </c>
      <c r="G2965" s="12">
        <f t="shared" si="191"/>
        <v>2019</v>
      </c>
      <c r="H2965" s="12">
        <f t="shared" si="192"/>
        <v>2</v>
      </c>
      <c r="I2965" s="11">
        <f t="shared" si="193"/>
        <v>98</v>
      </c>
      <c r="J2965" s="11"/>
    </row>
    <row r="2966" spans="1:10" x14ac:dyDescent="0.25">
      <c r="A2966" s="2">
        <v>43504</v>
      </c>
      <c r="B2966" s="3">
        <v>449</v>
      </c>
      <c r="C2966" s="4">
        <v>211030</v>
      </c>
      <c r="D2966" s="3">
        <v>359</v>
      </c>
      <c r="E2966" s="4">
        <v>262070</v>
      </c>
      <c r="G2966" s="12">
        <f t="shared" si="191"/>
        <v>2019</v>
      </c>
      <c r="H2966" s="12">
        <f t="shared" si="192"/>
        <v>2</v>
      </c>
      <c r="I2966" s="11">
        <f t="shared" si="193"/>
        <v>98</v>
      </c>
      <c r="J2966" s="11"/>
    </row>
    <row r="2967" spans="1:10" x14ac:dyDescent="0.25">
      <c r="A2967" s="2">
        <v>43505</v>
      </c>
      <c r="B2967" s="3">
        <v>437</v>
      </c>
      <c r="C2967" s="4">
        <v>205390</v>
      </c>
      <c r="D2967" s="3">
        <v>329</v>
      </c>
      <c r="E2967" s="4">
        <v>240170</v>
      </c>
      <c r="G2967" s="12">
        <f t="shared" si="191"/>
        <v>2019</v>
      </c>
      <c r="H2967" s="12">
        <f t="shared" si="192"/>
        <v>2</v>
      </c>
      <c r="I2967" s="11">
        <f t="shared" si="193"/>
        <v>98</v>
      </c>
      <c r="J2967" s="11"/>
    </row>
    <row r="2968" spans="1:10" x14ac:dyDescent="0.25">
      <c r="A2968" s="2">
        <v>43506</v>
      </c>
      <c r="B2968" s="3">
        <v>485</v>
      </c>
      <c r="C2968" s="4">
        <v>227950</v>
      </c>
      <c r="D2968" s="3">
        <v>323</v>
      </c>
      <c r="E2968" s="4">
        <v>235790</v>
      </c>
      <c r="G2968" s="12">
        <f t="shared" si="191"/>
        <v>2019</v>
      </c>
      <c r="H2968" s="12">
        <f t="shared" si="192"/>
        <v>2</v>
      </c>
      <c r="I2968" s="11">
        <f t="shared" si="193"/>
        <v>98</v>
      </c>
      <c r="J2968" s="11"/>
    </row>
    <row r="2969" spans="1:10" x14ac:dyDescent="0.25">
      <c r="A2969" s="2">
        <v>43507</v>
      </c>
      <c r="B2969" s="3">
        <v>399</v>
      </c>
      <c r="C2969" s="4">
        <v>187530</v>
      </c>
      <c r="D2969" s="3">
        <v>281</v>
      </c>
      <c r="E2969" s="4">
        <v>205130</v>
      </c>
      <c r="G2969" s="12">
        <f t="shared" si="191"/>
        <v>2019</v>
      </c>
      <c r="H2969" s="12">
        <f t="shared" si="192"/>
        <v>2</v>
      </c>
      <c r="I2969" s="11">
        <f t="shared" si="193"/>
        <v>98</v>
      </c>
      <c r="J2969" s="11"/>
    </row>
    <row r="2970" spans="1:10" x14ac:dyDescent="0.25">
      <c r="A2970" s="2">
        <v>43508</v>
      </c>
      <c r="B2970" s="3">
        <v>468</v>
      </c>
      <c r="C2970" s="4">
        <v>219960</v>
      </c>
      <c r="D2970" s="3">
        <v>381</v>
      </c>
      <c r="E2970" s="4">
        <v>278130</v>
      </c>
      <c r="G2970" s="12">
        <f t="shared" si="191"/>
        <v>2019</v>
      </c>
      <c r="H2970" s="12">
        <f t="shared" si="192"/>
        <v>2</v>
      </c>
      <c r="I2970" s="11">
        <f t="shared" si="193"/>
        <v>98</v>
      </c>
      <c r="J2970" s="11"/>
    </row>
    <row r="2971" spans="1:10" x14ac:dyDescent="0.25">
      <c r="A2971" s="2">
        <v>43509</v>
      </c>
      <c r="B2971" s="3">
        <v>476</v>
      </c>
      <c r="C2971" s="4">
        <v>223720</v>
      </c>
      <c r="D2971" s="3">
        <v>347</v>
      </c>
      <c r="E2971" s="4">
        <v>253310</v>
      </c>
      <c r="G2971" s="12">
        <f t="shared" si="191"/>
        <v>2019</v>
      </c>
      <c r="H2971" s="12">
        <f t="shared" si="192"/>
        <v>2</v>
      </c>
      <c r="I2971" s="11">
        <f t="shared" si="193"/>
        <v>98</v>
      </c>
      <c r="J2971" s="11"/>
    </row>
    <row r="2972" spans="1:10" x14ac:dyDescent="0.25">
      <c r="A2972" s="2">
        <v>43510</v>
      </c>
      <c r="B2972" s="3">
        <v>395</v>
      </c>
      <c r="C2972" s="4">
        <v>185650</v>
      </c>
      <c r="D2972" s="3">
        <v>306</v>
      </c>
      <c r="E2972" s="4">
        <v>223380</v>
      </c>
      <c r="G2972" s="12">
        <f t="shared" si="191"/>
        <v>2019</v>
      </c>
      <c r="H2972" s="12">
        <f t="shared" si="192"/>
        <v>2</v>
      </c>
      <c r="I2972" s="11">
        <f t="shared" si="193"/>
        <v>98</v>
      </c>
      <c r="J2972" s="11"/>
    </row>
    <row r="2973" spans="1:10" x14ac:dyDescent="0.25">
      <c r="A2973" s="2">
        <v>43511</v>
      </c>
      <c r="B2973" s="3">
        <v>409</v>
      </c>
      <c r="C2973" s="4">
        <v>192230</v>
      </c>
      <c r="D2973" s="3">
        <v>268</v>
      </c>
      <c r="E2973" s="4">
        <v>195640</v>
      </c>
      <c r="G2973" s="12">
        <f t="shared" si="191"/>
        <v>2019</v>
      </c>
      <c r="H2973" s="12">
        <f t="shared" si="192"/>
        <v>2</v>
      </c>
      <c r="I2973" s="11">
        <f t="shared" si="193"/>
        <v>98</v>
      </c>
      <c r="J2973" s="11"/>
    </row>
    <row r="2974" spans="1:10" x14ac:dyDescent="0.25">
      <c r="A2974" s="2">
        <v>43512</v>
      </c>
      <c r="B2974" s="3">
        <v>485</v>
      </c>
      <c r="C2974" s="4">
        <v>227950</v>
      </c>
      <c r="D2974" s="3">
        <v>332</v>
      </c>
      <c r="E2974" s="4">
        <v>242360</v>
      </c>
      <c r="G2974" s="12">
        <f t="shared" si="191"/>
        <v>2019</v>
      </c>
      <c r="H2974" s="12">
        <f t="shared" si="192"/>
        <v>2</v>
      </c>
      <c r="I2974" s="11">
        <f t="shared" si="193"/>
        <v>98</v>
      </c>
      <c r="J2974" s="11"/>
    </row>
    <row r="2975" spans="1:10" x14ac:dyDescent="0.25">
      <c r="A2975" s="2">
        <v>43513</v>
      </c>
      <c r="B2975" s="3">
        <v>463</v>
      </c>
      <c r="C2975" s="4">
        <v>217610</v>
      </c>
      <c r="D2975" s="3">
        <v>224</v>
      </c>
      <c r="E2975" s="4">
        <v>163520</v>
      </c>
      <c r="G2975" s="12">
        <f t="shared" si="191"/>
        <v>2019</v>
      </c>
      <c r="H2975" s="12">
        <f t="shared" si="192"/>
        <v>2</v>
      </c>
      <c r="I2975" s="11">
        <f t="shared" si="193"/>
        <v>98</v>
      </c>
      <c r="J2975" s="11"/>
    </row>
    <row r="2976" spans="1:10" x14ac:dyDescent="0.25">
      <c r="A2976" s="2">
        <v>43514</v>
      </c>
      <c r="B2976" s="3">
        <v>432</v>
      </c>
      <c r="C2976" s="4">
        <v>203040</v>
      </c>
      <c r="D2976" s="3">
        <v>334</v>
      </c>
      <c r="E2976" s="4">
        <v>243820</v>
      </c>
      <c r="G2976" s="12">
        <f t="shared" si="191"/>
        <v>2019</v>
      </c>
      <c r="H2976" s="12">
        <f t="shared" si="192"/>
        <v>2</v>
      </c>
      <c r="I2976" s="11">
        <f t="shared" si="193"/>
        <v>98</v>
      </c>
      <c r="J2976" s="11"/>
    </row>
    <row r="2977" spans="1:10" x14ac:dyDescent="0.25">
      <c r="A2977" s="2">
        <v>43515</v>
      </c>
      <c r="B2977" s="3">
        <v>432</v>
      </c>
      <c r="C2977" s="4">
        <v>203040</v>
      </c>
      <c r="D2977" s="3">
        <v>300</v>
      </c>
      <c r="E2977" s="4">
        <v>219000</v>
      </c>
      <c r="G2977" s="12">
        <f t="shared" si="191"/>
        <v>2019</v>
      </c>
      <c r="H2977" s="12">
        <f t="shared" si="192"/>
        <v>2</v>
      </c>
      <c r="I2977" s="11">
        <f t="shared" si="193"/>
        <v>98</v>
      </c>
      <c r="J2977" s="11"/>
    </row>
    <row r="2978" spans="1:10" x14ac:dyDescent="0.25">
      <c r="A2978" s="2">
        <v>43516</v>
      </c>
      <c r="B2978" s="3">
        <v>525</v>
      </c>
      <c r="C2978" s="4">
        <v>246750</v>
      </c>
      <c r="D2978" s="3">
        <v>301</v>
      </c>
      <c r="E2978" s="4">
        <v>219730</v>
      </c>
      <c r="G2978" s="12">
        <f t="shared" si="191"/>
        <v>2019</v>
      </c>
      <c r="H2978" s="12">
        <f t="shared" si="192"/>
        <v>2</v>
      </c>
      <c r="I2978" s="11">
        <f t="shared" si="193"/>
        <v>98</v>
      </c>
      <c r="J2978" s="11"/>
    </row>
    <row r="2979" spans="1:10" x14ac:dyDescent="0.25">
      <c r="A2979" s="2">
        <v>43517</v>
      </c>
      <c r="B2979" s="3">
        <v>460</v>
      </c>
      <c r="C2979" s="4">
        <v>216200</v>
      </c>
      <c r="D2979" s="3">
        <v>313</v>
      </c>
      <c r="E2979" s="4">
        <v>228490</v>
      </c>
      <c r="G2979" s="12">
        <f t="shared" si="191"/>
        <v>2019</v>
      </c>
      <c r="H2979" s="12">
        <f t="shared" si="192"/>
        <v>2</v>
      </c>
      <c r="I2979" s="11">
        <f t="shared" si="193"/>
        <v>98</v>
      </c>
      <c r="J2979" s="11"/>
    </row>
    <row r="2980" spans="1:10" x14ac:dyDescent="0.25">
      <c r="A2980" s="2">
        <v>43518</v>
      </c>
      <c r="B2980" s="3">
        <v>473</v>
      </c>
      <c r="C2980" s="4">
        <v>222310</v>
      </c>
      <c r="D2980" s="3">
        <v>275</v>
      </c>
      <c r="E2980" s="4">
        <v>200750</v>
      </c>
      <c r="G2980" s="12">
        <f t="shared" si="191"/>
        <v>2019</v>
      </c>
      <c r="H2980" s="12">
        <f t="shared" si="192"/>
        <v>2</v>
      </c>
      <c r="I2980" s="11">
        <f t="shared" si="193"/>
        <v>98</v>
      </c>
      <c r="J2980" s="11"/>
    </row>
    <row r="2981" spans="1:10" x14ac:dyDescent="0.25">
      <c r="A2981" s="2">
        <v>43519</v>
      </c>
      <c r="B2981" s="3">
        <v>528</v>
      </c>
      <c r="C2981" s="4">
        <v>248160</v>
      </c>
      <c r="D2981" s="3">
        <v>349</v>
      </c>
      <c r="E2981" s="4">
        <v>254770</v>
      </c>
      <c r="G2981" s="12">
        <f t="shared" si="191"/>
        <v>2019</v>
      </c>
      <c r="H2981" s="12">
        <f t="shared" si="192"/>
        <v>2</v>
      </c>
      <c r="I2981" s="11">
        <f t="shared" si="193"/>
        <v>98</v>
      </c>
      <c r="J2981" s="11"/>
    </row>
    <row r="2982" spans="1:10" x14ac:dyDescent="0.25">
      <c r="A2982" s="2">
        <v>43520</v>
      </c>
      <c r="B2982" s="3">
        <v>494</v>
      </c>
      <c r="C2982" s="4">
        <v>232180</v>
      </c>
      <c r="D2982" s="3">
        <v>269</v>
      </c>
      <c r="E2982" s="4">
        <v>196370</v>
      </c>
      <c r="G2982" s="12">
        <f t="shared" si="191"/>
        <v>2019</v>
      </c>
      <c r="H2982" s="12">
        <f t="shared" si="192"/>
        <v>2</v>
      </c>
      <c r="I2982" s="11">
        <f t="shared" si="193"/>
        <v>98</v>
      </c>
      <c r="J2982" s="11"/>
    </row>
    <row r="2983" spans="1:10" x14ac:dyDescent="0.25">
      <c r="A2983" s="2">
        <v>43521</v>
      </c>
      <c r="B2983" s="3">
        <v>468</v>
      </c>
      <c r="C2983" s="4">
        <v>219960</v>
      </c>
      <c r="D2983" s="3">
        <v>301</v>
      </c>
      <c r="E2983" s="4">
        <v>219730</v>
      </c>
      <c r="G2983" s="12">
        <f t="shared" si="191"/>
        <v>2019</v>
      </c>
      <c r="H2983" s="12">
        <f t="shared" si="192"/>
        <v>2</v>
      </c>
      <c r="I2983" s="11">
        <f t="shared" si="193"/>
        <v>98</v>
      </c>
      <c r="J2983" s="11"/>
    </row>
    <row r="2984" spans="1:10" x14ac:dyDescent="0.25">
      <c r="A2984" s="2">
        <v>43522</v>
      </c>
      <c r="B2984" s="3">
        <v>518</v>
      </c>
      <c r="C2984" s="4">
        <v>243460</v>
      </c>
      <c r="D2984" s="3">
        <v>316</v>
      </c>
      <c r="E2984" s="4">
        <v>230680</v>
      </c>
      <c r="G2984" s="12">
        <f t="shared" si="191"/>
        <v>2019</v>
      </c>
      <c r="H2984" s="12">
        <f t="shared" si="192"/>
        <v>2</v>
      </c>
      <c r="I2984" s="11">
        <f t="shared" si="193"/>
        <v>98</v>
      </c>
      <c r="J2984" s="11"/>
    </row>
    <row r="2985" spans="1:10" x14ac:dyDescent="0.25">
      <c r="A2985" s="2">
        <v>43523</v>
      </c>
      <c r="B2985" s="3">
        <v>513</v>
      </c>
      <c r="C2985" s="4">
        <v>241110</v>
      </c>
      <c r="D2985" s="3">
        <v>308</v>
      </c>
      <c r="E2985" s="4">
        <v>224840</v>
      </c>
      <c r="G2985" s="12">
        <f t="shared" si="191"/>
        <v>2019</v>
      </c>
      <c r="H2985" s="12">
        <f t="shared" si="192"/>
        <v>2</v>
      </c>
      <c r="I2985" s="11">
        <f t="shared" si="193"/>
        <v>98</v>
      </c>
      <c r="J2985" s="11"/>
    </row>
    <row r="2986" spans="1:10" x14ac:dyDescent="0.25">
      <c r="A2986" s="2">
        <v>43524</v>
      </c>
      <c r="B2986" s="3">
        <v>415</v>
      </c>
      <c r="C2986" s="4">
        <v>195050</v>
      </c>
      <c r="D2986" s="3">
        <v>388</v>
      </c>
      <c r="E2986" s="4">
        <v>283240</v>
      </c>
      <c r="G2986" s="12">
        <f t="shared" si="191"/>
        <v>2019</v>
      </c>
      <c r="H2986" s="12">
        <f t="shared" si="192"/>
        <v>2</v>
      </c>
      <c r="I2986" s="11">
        <f t="shared" si="193"/>
        <v>98</v>
      </c>
      <c r="J2986" s="11"/>
    </row>
    <row r="2987" spans="1:10" x14ac:dyDescent="0.25">
      <c r="A2987" s="2">
        <v>43525</v>
      </c>
      <c r="B2987" s="3">
        <v>461</v>
      </c>
      <c r="C2987" s="4">
        <v>216670</v>
      </c>
      <c r="D2987" s="3">
        <v>298</v>
      </c>
      <c r="E2987" s="4">
        <v>217540</v>
      </c>
      <c r="G2987" s="12">
        <f t="shared" si="191"/>
        <v>2019</v>
      </c>
      <c r="H2987" s="12">
        <f t="shared" si="192"/>
        <v>3</v>
      </c>
      <c r="I2987" s="11">
        <f t="shared" si="193"/>
        <v>99</v>
      </c>
      <c r="J2987" s="11"/>
    </row>
    <row r="2988" spans="1:10" x14ac:dyDescent="0.25">
      <c r="A2988" s="2">
        <v>43526</v>
      </c>
      <c r="B2988" s="3">
        <v>363</v>
      </c>
      <c r="C2988" s="4">
        <v>170610</v>
      </c>
      <c r="D2988" s="3">
        <v>367</v>
      </c>
      <c r="E2988" s="4">
        <v>267910</v>
      </c>
      <c r="G2988" s="12">
        <f t="shared" si="191"/>
        <v>2019</v>
      </c>
      <c r="H2988" s="12">
        <f t="shared" si="192"/>
        <v>3</v>
      </c>
      <c r="I2988" s="11">
        <f t="shared" si="193"/>
        <v>99</v>
      </c>
      <c r="J2988" s="11"/>
    </row>
    <row r="2989" spans="1:10" x14ac:dyDescent="0.25">
      <c r="A2989" s="2">
        <v>43527</v>
      </c>
      <c r="B2989" s="3">
        <v>448</v>
      </c>
      <c r="C2989" s="4">
        <v>210560</v>
      </c>
      <c r="D2989" s="3">
        <v>353</v>
      </c>
      <c r="E2989" s="4">
        <v>257690</v>
      </c>
      <c r="G2989" s="12">
        <f t="shared" si="191"/>
        <v>2019</v>
      </c>
      <c r="H2989" s="12">
        <f t="shared" si="192"/>
        <v>3</v>
      </c>
      <c r="I2989" s="11">
        <f t="shared" si="193"/>
        <v>99</v>
      </c>
      <c r="J2989" s="11"/>
    </row>
    <row r="2990" spans="1:10" x14ac:dyDescent="0.25">
      <c r="A2990" s="2">
        <v>43528</v>
      </c>
      <c r="B2990" s="3">
        <v>451</v>
      </c>
      <c r="C2990" s="4">
        <v>211970</v>
      </c>
      <c r="D2990" s="3">
        <v>267</v>
      </c>
      <c r="E2990" s="4">
        <v>194910</v>
      </c>
      <c r="G2990" s="12">
        <f t="shared" si="191"/>
        <v>2019</v>
      </c>
      <c r="H2990" s="12">
        <f t="shared" si="192"/>
        <v>3</v>
      </c>
      <c r="I2990" s="11">
        <f t="shared" si="193"/>
        <v>99</v>
      </c>
      <c r="J2990" s="11"/>
    </row>
    <row r="2991" spans="1:10" x14ac:dyDescent="0.25">
      <c r="A2991" s="2">
        <v>43529</v>
      </c>
      <c r="B2991" s="3">
        <v>460</v>
      </c>
      <c r="C2991" s="4">
        <v>216200</v>
      </c>
      <c r="D2991" s="3">
        <v>300</v>
      </c>
      <c r="E2991" s="4">
        <v>219000</v>
      </c>
      <c r="G2991" s="12">
        <f t="shared" si="191"/>
        <v>2019</v>
      </c>
      <c r="H2991" s="12">
        <f t="shared" si="192"/>
        <v>3</v>
      </c>
      <c r="I2991" s="11">
        <f t="shared" si="193"/>
        <v>99</v>
      </c>
      <c r="J2991" s="11"/>
    </row>
    <row r="2992" spans="1:10" x14ac:dyDescent="0.25">
      <c r="A2992" s="2">
        <v>43530</v>
      </c>
      <c r="B2992" s="3">
        <v>476</v>
      </c>
      <c r="C2992" s="4">
        <v>223720</v>
      </c>
      <c r="D2992" s="3">
        <v>291</v>
      </c>
      <c r="E2992" s="4">
        <v>212430</v>
      </c>
      <c r="G2992" s="12">
        <f t="shared" si="191"/>
        <v>2019</v>
      </c>
      <c r="H2992" s="12">
        <f t="shared" si="192"/>
        <v>3</v>
      </c>
      <c r="I2992" s="11">
        <f t="shared" si="193"/>
        <v>99</v>
      </c>
      <c r="J2992" s="11"/>
    </row>
    <row r="2993" spans="1:10" x14ac:dyDescent="0.25">
      <c r="A2993" s="2">
        <v>43531</v>
      </c>
      <c r="B2993" s="3">
        <v>458</v>
      </c>
      <c r="C2993" s="4">
        <v>215260</v>
      </c>
      <c r="D2993" s="3">
        <v>322</v>
      </c>
      <c r="E2993" s="4">
        <v>235060</v>
      </c>
      <c r="G2993" s="12">
        <f t="shared" si="191"/>
        <v>2019</v>
      </c>
      <c r="H2993" s="12">
        <f t="shared" si="192"/>
        <v>3</v>
      </c>
      <c r="I2993" s="11">
        <f t="shared" si="193"/>
        <v>99</v>
      </c>
      <c r="J2993" s="11"/>
    </row>
    <row r="2994" spans="1:10" x14ac:dyDescent="0.25">
      <c r="A2994" s="2">
        <v>43532</v>
      </c>
      <c r="B2994" s="3">
        <v>473</v>
      </c>
      <c r="C2994" s="4">
        <v>222310</v>
      </c>
      <c r="D2994" s="3">
        <v>302</v>
      </c>
      <c r="E2994" s="4">
        <v>220460</v>
      </c>
      <c r="G2994" s="12">
        <f t="shared" si="191"/>
        <v>2019</v>
      </c>
      <c r="H2994" s="12">
        <f t="shared" si="192"/>
        <v>3</v>
      </c>
      <c r="I2994" s="11">
        <f t="shared" si="193"/>
        <v>99</v>
      </c>
      <c r="J2994" s="11"/>
    </row>
    <row r="2995" spans="1:10" x14ac:dyDescent="0.25">
      <c r="A2995" s="2">
        <v>43533</v>
      </c>
      <c r="B2995" s="3">
        <v>500</v>
      </c>
      <c r="C2995" s="4">
        <v>235000</v>
      </c>
      <c r="D2995" s="3">
        <v>276</v>
      </c>
      <c r="E2995" s="4">
        <v>201480</v>
      </c>
      <c r="G2995" s="12">
        <f t="shared" si="191"/>
        <v>2019</v>
      </c>
      <c r="H2995" s="12">
        <f t="shared" si="192"/>
        <v>3</v>
      </c>
      <c r="I2995" s="11">
        <f t="shared" si="193"/>
        <v>99</v>
      </c>
      <c r="J2995" s="11"/>
    </row>
    <row r="2996" spans="1:10" x14ac:dyDescent="0.25">
      <c r="A2996" s="2">
        <v>43534</v>
      </c>
      <c r="B2996" s="3">
        <v>455</v>
      </c>
      <c r="C2996" s="4">
        <v>213850</v>
      </c>
      <c r="D2996" s="3">
        <v>246</v>
      </c>
      <c r="E2996" s="4">
        <v>179580</v>
      </c>
      <c r="G2996" s="12">
        <f t="shared" si="191"/>
        <v>2019</v>
      </c>
      <c r="H2996" s="12">
        <f t="shared" si="192"/>
        <v>3</v>
      </c>
      <c r="I2996" s="11">
        <f t="shared" si="193"/>
        <v>99</v>
      </c>
      <c r="J2996" s="11"/>
    </row>
    <row r="2997" spans="1:10" x14ac:dyDescent="0.25">
      <c r="A2997" s="2">
        <v>43535</v>
      </c>
      <c r="B2997" s="3">
        <v>435</v>
      </c>
      <c r="C2997" s="4">
        <v>204450</v>
      </c>
      <c r="D2997" s="3">
        <v>283</v>
      </c>
      <c r="E2997" s="4">
        <v>206590</v>
      </c>
      <c r="G2997" s="12">
        <f t="shared" si="191"/>
        <v>2019</v>
      </c>
      <c r="H2997" s="12">
        <f t="shared" si="192"/>
        <v>3</v>
      </c>
      <c r="I2997" s="11">
        <f t="shared" si="193"/>
        <v>99</v>
      </c>
      <c r="J2997" s="11"/>
    </row>
    <row r="2998" spans="1:10" x14ac:dyDescent="0.25">
      <c r="A2998" s="2">
        <v>43536</v>
      </c>
      <c r="B2998" s="3">
        <v>454</v>
      </c>
      <c r="C2998" s="4">
        <v>213380</v>
      </c>
      <c r="D2998" s="3">
        <v>325</v>
      </c>
      <c r="E2998" s="4">
        <v>237250</v>
      </c>
      <c r="G2998" s="12">
        <f t="shared" si="191"/>
        <v>2019</v>
      </c>
      <c r="H2998" s="12">
        <f t="shared" si="192"/>
        <v>3</v>
      </c>
      <c r="I2998" s="11">
        <f t="shared" si="193"/>
        <v>99</v>
      </c>
      <c r="J2998" s="11"/>
    </row>
    <row r="2999" spans="1:10" x14ac:dyDescent="0.25">
      <c r="A2999" s="2">
        <v>43537</v>
      </c>
      <c r="B2999" s="3">
        <v>427</v>
      </c>
      <c r="C2999" s="4">
        <v>200690</v>
      </c>
      <c r="D2999" s="3">
        <v>324</v>
      </c>
      <c r="E2999" s="4">
        <v>236520</v>
      </c>
      <c r="G2999" s="12">
        <f t="shared" si="191"/>
        <v>2019</v>
      </c>
      <c r="H2999" s="12">
        <f t="shared" si="192"/>
        <v>3</v>
      </c>
      <c r="I2999" s="11">
        <f t="shared" si="193"/>
        <v>99</v>
      </c>
      <c r="J2999" s="11"/>
    </row>
    <row r="3000" spans="1:10" x14ac:dyDescent="0.25">
      <c r="A3000" s="2">
        <v>43538</v>
      </c>
      <c r="B3000" s="3">
        <v>559</v>
      </c>
      <c r="C3000" s="4">
        <v>262730</v>
      </c>
      <c r="D3000" s="3">
        <v>293</v>
      </c>
      <c r="E3000" s="4">
        <v>213890</v>
      </c>
      <c r="G3000" s="12">
        <f t="shared" si="191"/>
        <v>2019</v>
      </c>
      <c r="H3000" s="12">
        <f t="shared" si="192"/>
        <v>3</v>
      </c>
      <c r="I3000" s="11">
        <f t="shared" si="193"/>
        <v>99</v>
      </c>
      <c r="J3000" s="11"/>
    </row>
    <row r="3001" spans="1:10" x14ac:dyDescent="0.25">
      <c r="A3001" s="2">
        <v>43539</v>
      </c>
      <c r="B3001" s="3">
        <v>429</v>
      </c>
      <c r="C3001" s="4">
        <v>201630</v>
      </c>
      <c r="D3001" s="3">
        <v>305</v>
      </c>
      <c r="E3001" s="4">
        <v>222650</v>
      </c>
      <c r="G3001" s="12">
        <f t="shared" si="191"/>
        <v>2019</v>
      </c>
      <c r="H3001" s="12">
        <f t="shared" si="192"/>
        <v>3</v>
      </c>
      <c r="I3001" s="11">
        <f t="shared" si="193"/>
        <v>99</v>
      </c>
      <c r="J3001" s="11"/>
    </row>
    <row r="3002" spans="1:10" x14ac:dyDescent="0.25">
      <c r="A3002" s="2">
        <v>43540</v>
      </c>
      <c r="B3002" s="3">
        <v>466</v>
      </c>
      <c r="C3002" s="4">
        <v>219020</v>
      </c>
      <c r="D3002" s="3">
        <v>268</v>
      </c>
      <c r="E3002" s="4">
        <v>195640</v>
      </c>
      <c r="G3002" s="12">
        <f t="shared" si="191"/>
        <v>2019</v>
      </c>
      <c r="H3002" s="12">
        <f t="shared" si="192"/>
        <v>3</v>
      </c>
      <c r="I3002" s="11">
        <f t="shared" si="193"/>
        <v>99</v>
      </c>
      <c r="J3002" s="11"/>
    </row>
    <row r="3003" spans="1:10" x14ac:dyDescent="0.25">
      <c r="A3003" s="2">
        <v>43541</v>
      </c>
      <c r="B3003" s="3">
        <v>470</v>
      </c>
      <c r="C3003" s="4">
        <v>220900</v>
      </c>
      <c r="D3003" s="3">
        <v>316</v>
      </c>
      <c r="E3003" s="4">
        <v>230680</v>
      </c>
      <c r="G3003" s="12">
        <f t="shared" si="191"/>
        <v>2019</v>
      </c>
      <c r="H3003" s="12">
        <f t="shared" si="192"/>
        <v>3</v>
      </c>
      <c r="I3003" s="11">
        <f t="shared" si="193"/>
        <v>99</v>
      </c>
      <c r="J3003" s="11"/>
    </row>
    <row r="3004" spans="1:10" x14ac:dyDescent="0.25">
      <c r="A3004" s="2">
        <v>43542</v>
      </c>
      <c r="B3004" s="3">
        <v>489</v>
      </c>
      <c r="C3004" s="4">
        <v>229830</v>
      </c>
      <c r="D3004" s="3">
        <v>246</v>
      </c>
      <c r="E3004" s="4">
        <v>179580</v>
      </c>
      <c r="G3004" s="12">
        <f t="shared" si="191"/>
        <v>2019</v>
      </c>
      <c r="H3004" s="12">
        <f t="shared" si="192"/>
        <v>3</v>
      </c>
      <c r="I3004" s="11">
        <f t="shared" si="193"/>
        <v>99</v>
      </c>
      <c r="J3004" s="11"/>
    </row>
    <row r="3005" spans="1:10" x14ac:dyDescent="0.25">
      <c r="A3005" s="2">
        <v>43543</v>
      </c>
      <c r="B3005" s="3">
        <v>389</v>
      </c>
      <c r="C3005" s="4">
        <v>182830</v>
      </c>
      <c r="D3005" s="3">
        <v>275</v>
      </c>
      <c r="E3005" s="4">
        <v>200750</v>
      </c>
      <c r="G3005" s="12">
        <f t="shared" si="191"/>
        <v>2019</v>
      </c>
      <c r="H3005" s="12">
        <f t="shared" si="192"/>
        <v>3</v>
      </c>
      <c r="I3005" s="11">
        <f t="shared" si="193"/>
        <v>99</v>
      </c>
      <c r="J3005" s="11"/>
    </row>
    <row r="3006" spans="1:10" x14ac:dyDescent="0.25">
      <c r="A3006" s="2">
        <v>43544</v>
      </c>
      <c r="B3006" s="3">
        <v>430</v>
      </c>
      <c r="C3006" s="4">
        <v>202100</v>
      </c>
      <c r="D3006" s="3">
        <v>273</v>
      </c>
      <c r="E3006" s="4">
        <v>199290</v>
      </c>
      <c r="G3006" s="12">
        <f t="shared" si="191"/>
        <v>2019</v>
      </c>
      <c r="H3006" s="12">
        <f t="shared" si="192"/>
        <v>3</v>
      </c>
      <c r="I3006" s="11">
        <f t="shared" si="193"/>
        <v>99</v>
      </c>
      <c r="J3006" s="11"/>
    </row>
    <row r="3007" spans="1:10" x14ac:dyDescent="0.25">
      <c r="A3007" s="2">
        <v>43545</v>
      </c>
      <c r="B3007" s="3">
        <v>441</v>
      </c>
      <c r="C3007" s="4">
        <v>207270</v>
      </c>
      <c r="D3007" s="3">
        <v>321</v>
      </c>
      <c r="E3007" s="4">
        <v>234330</v>
      </c>
      <c r="G3007" s="12">
        <f t="shared" si="191"/>
        <v>2019</v>
      </c>
      <c r="H3007" s="12">
        <f t="shared" si="192"/>
        <v>3</v>
      </c>
      <c r="I3007" s="11">
        <f t="shared" si="193"/>
        <v>99</v>
      </c>
      <c r="J3007" s="11"/>
    </row>
    <row r="3008" spans="1:10" x14ac:dyDescent="0.25">
      <c r="A3008" s="2">
        <v>43546</v>
      </c>
      <c r="B3008" s="3">
        <v>462</v>
      </c>
      <c r="C3008" s="4">
        <v>217140</v>
      </c>
      <c r="D3008" s="3">
        <v>293</v>
      </c>
      <c r="E3008" s="4">
        <v>213890</v>
      </c>
      <c r="G3008" s="12">
        <f t="shared" si="191"/>
        <v>2019</v>
      </c>
      <c r="H3008" s="12">
        <f t="shared" si="192"/>
        <v>3</v>
      </c>
      <c r="I3008" s="11">
        <f t="shared" si="193"/>
        <v>99</v>
      </c>
      <c r="J3008" s="11"/>
    </row>
    <row r="3009" spans="1:10" x14ac:dyDescent="0.25">
      <c r="A3009" s="2">
        <v>43547</v>
      </c>
      <c r="B3009" s="3">
        <v>557</v>
      </c>
      <c r="C3009" s="4">
        <v>261790</v>
      </c>
      <c r="D3009" s="3">
        <v>290</v>
      </c>
      <c r="E3009" s="4">
        <v>211700</v>
      </c>
      <c r="G3009" s="12">
        <f t="shared" si="191"/>
        <v>2019</v>
      </c>
      <c r="H3009" s="12">
        <f t="shared" si="192"/>
        <v>3</v>
      </c>
      <c r="I3009" s="11">
        <f t="shared" si="193"/>
        <v>99</v>
      </c>
      <c r="J3009" s="11"/>
    </row>
    <row r="3010" spans="1:10" x14ac:dyDescent="0.25">
      <c r="A3010" s="2">
        <v>43548</v>
      </c>
      <c r="B3010" s="3">
        <v>546</v>
      </c>
      <c r="C3010" s="4">
        <v>256620</v>
      </c>
      <c r="D3010" s="3">
        <v>324</v>
      </c>
      <c r="E3010" s="4">
        <v>236520</v>
      </c>
      <c r="G3010" s="12">
        <f t="shared" si="191"/>
        <v>2019</v>
      </c>
      <c r="H3010" s="12">
        <f t="shared" si="192"/>
        <v>3</v>
      </c>
      <c r="I3010" s="11">
        <f t="shared" si="193"/>
        <v>99</v>
      </c>
      <c r="J3010" s="11"/>
    </row>
    <row r="3011" spans="1:10" x14ac:dyDescent="0.25">
      <c r="A3011" s="2">
        <v>43549</v>
      </c>
      <c r="B3011" s="3">
        <v>435</v>
      </c>
      <c r="C3011" s="4">
        <v>204450</v>
      </c>
      <c r="D3011" s="3">
        <v>372</v>
      </c>
      <c r="E3011" s="4">
        <v>271560</v>
      </c>
      <c r="G3011" s="12">
        <f t="shared" si="191"/>
        <v>2019</v>
      </c>
      <c r="H3011" s="12">
        <f t="shared" si="192"/>
        <v>3</v>
      </c>
      <c r="I3011" s="11">
        <f t="shared" si="193"/>
        <v>99</v>
      </c>
      <c r="J3011" s="11"/>
    </row>
    <row r="3012" spans="1:10" x14ac:dyDescent="0.25">
      <c r="A3012" s="2">
        <v>43550</v>
      </c>
      <c r="B3012" s="3">
        <v>480</v>
      </c>
      <c r="C3012" s="4">
        <v>225600</v>
      </c>
      <c r="D3012" s="3">
        <v>326</v>
      </c>
      <c r="E3012" s="4">
        <v>237980</v>
      </c>
      <c r="G3012" s="12">
        <f t="shared" si="191"/>
        <v>2019</v>
      </c>
      <c r="H3012" s="12">
        <f t="shared" si="192"/>
        <v>3</v>
      </c>
      <c r="I3012" s="11">
        <f t="shared" si="193"/>
        <v>99</v>
      </c>
      <c r="J3012" s="11"/>
    </row>
    <row r="3013" spans="1:10" x14ac:dyDescent="0.25">
      <c r="A3013" s="2">
        <v>43551</v>
      </c>
      <c r="B3013" s="3">
        <v>438</v>
      </c>
      <c r="C3013" s="4">
        <v>205860</v>
      </c>
      <c r="D3013" s="3">
        <v>241</v>
      </c>
      <c r="E3013" s="4">
        <v>175930</v>
      </c>
      <c r="G3013" s="12">
        <f t="shared" si="191"/>
        <v>2019</v>
      </c>
      <c r="H3013" s="12">
        <f t="shared" si="192"/>
        <v>3</v>
      </c>
      <c r="I3013" s="11">
        <f t="shared" si="193"/>
        <v>99</v>
      </c>
      <c r="J3013" s="11"/>
    </row>
    <row r="3014" spans="1:10" x14ac:dyDescent="0.25">
      <c r="A3014" s="2">
        <v>43552</v>
      </c>
      <c r="B3014" s="3">
        <v>430</v>
      </c>
      <c r="C3014" s="4">
        <v>202100</v>
      </c>
      <c r="D3014" s="3">
        <v>333</v>
      </c>
      <c r="E3014" s="4">
        <v>243090</v>
      </c>
      <c r="G3014" s="12">
        <f t="shared" ref="G3014:G3077" si="194">+YEAR(A3014)</f>
        <v>2019</v>
      </c>
      <c r="H3014" s="12">
        <f t="shared" ref="H3014:H3077" si="195">+MONTH(A3014)</f>
        <v>3</v>
      </c>
      <c r="I3014" s="11">
        <f t="shared" si="193"/>
        <v>99</v>
      </c>
      <c r="J3014" s="11"/>
    </row>
    <row r="3015" spans="1:10" x14ac:dyDescent="0.25">
      <c r="A3015" s="2">
        <v>43553</v>
      </c>
      <c r="B3015" s="3">
        <v>494</v>
      </c>
      <c r="C3015" s="4">
        <v>232180</v>
      </c>
      <c r="D3015" s="3">
        <v>262</v>
      </c>
      <c r="E3015" s="4">
        <v>191260</v>
      </c>
      <c r="G3015" s="12">
        <f t="shared" si="194"/>
        <v>2019</v>
      </c>
      <c r="H3015" s="12">
        <f t="shared" si="195"/>
        <v>3</v>
      </c>
      <c r="I3015" s="11">
        <f t="shared" ref="I3015:I3078" si="196">+H3015+(G3015-2011)*12</f>
        <v>99</v>
      </c>
      <c r="J3015" s="11"/>
    </row>
    <row r="3016" spans="1:10" x14ac:dyDescent="0.25">
      <c r="A3016" s="2">
        <v>43554</v>
      </c>
      <c r="B3016" s="3">
        <v>456</v>
      </c>
      <c r="C3016" s="4">
        <v>214320</v>
      </c>
      <c r="D3016" s="3">
        <v>274</v>
      </c>
      <c r="E3016" s="4">
        <v>200020</v>
      </c>
      <c r="G3016" s="12">
        <f t="shared" si="194"/>
        <v>2019</v>
      </c>
      <c r="H3016" s="12">
        <f t="shared" si="195"/>
        <v>3</v>
      </c>
      <c r="I3016" s="11">
        <f t="shared" si="196"/>
        <v>99</v>
      </c>
      <c r="J3016" s="11"/>
    </row>
    <row r="3017" spans="1:10" x14ac:dyDescent="0.25">
      <c r="A3017" s="2">
        <v>43555</v>
      </c>
      <c r="B3017" s="3">
        <v>544</v>
      </c>
      <c r="C3017" s="4">
        <v>255680</v>
      </c>
      <c r="D3017" s="3">
        <v>309</v>
      </c>
      <c r="E3017" s="4">
        <v>225570</v>
      </c>
      <c r="G3017" s="12">
        <f t="shared" si="194"/>
        <v>2019</v>
      </c>
      <c r="H3017" s="12">
        <f t="shared" si="195"/>
        <v>3</v>
      </c>
      <c r="I3017" s="11">
        <f t="shared" si="196"/>
        <v>99</v>
      </c>
      <c r="J3017" s="11"/>
    </row>
    <row r="3018" spans="1:10" x14ac:dyDescent="0.25">
      <c r="A3018" s="2">
        <v>43556</v>
      </c>
      <c r="B3018" s="3">
        <v>405</v>
      </c>
      <c r="C3018" s="4">
        <v>190350</v>
      </c>
      <c r="D3018" s="3">
        <v>661</v>
      </c>
      <c r="E3018" s="4">
        <v>482530</v>
      </c>
      <c r="G3018" s="12">
        <f t="shared" si="194"/>
        <v>2019</v>
      </c>
      <c r="H3018" s="12">
        <f t="shared" si="195"/>
        <v>4</v>
      </c>
      <c r="I3018" s="11">
        <f t="shared" si="196"/>
        <v>100</v>
      </c>
      <c r="J3018" s="11"/>
    </row>
    <row r="3019" spans="1:10" x14ac:dyDescent="0.25">
      <c r="A3019" s="2">
        <v>43557</v>
      </c>
      <c r="B3019" s="3">
        <v>448</v>
      </c>
      <c r="C3019" s="4">
        <v>210560</v>
      </c>
      <c r="D3019" s="3">
        <v>610</v>
      </c>
      <c r="E3019" s="4">
        <v>445300</v>
      </c>
      <c r="G3019" s="12">
        <f t="shared" si="194"/>
        <v>2019</v>
      </c>
      <c r="H3019" s="12">
        <f t="shared" si="195"/>
        <v>4</v>
      </c>
      <c r="I3019" s="11">
        <f t="shared" si="196"/>
        <v>100</v>
      </c>
      <c r="J3019" s="11"/>
    </row>
    <row r="3020" spans="1:10" x14ac:dyDescent="0.25">
      <c r="A3020" s="2">
        <v>43558</v>
      </c>
      <c r="B3020" s="3">
        <v>443</v>
      </c>
      <c r="C3020" s="4">
        <v>208210</v>
      </c>
      <c r="D3020" s="3">
        <v>699</v>
      </c>
      <c r="E3020" s="4">
        <v>510270</v>
      </c>
      <c r="G3020" s="12">
        <f t="shared" si="194"/>
        <v>2019</v>
      </c>
      <c r="H3020" s="12">
        <f t="shared" si="195"/>
        <v>4</v>
      </c>
      <c r="I3020" s="11">
        <f t="shared" si="196"/>
        <v>100</v>
      </c>
      <c r="J3020" s="11"/>
    </row>
    <row r="3021" spans="1:10" x14ac:dyDescent="0.25">
      <c r="A3021" s="2">
        <v>43559</v>
      </c>
      <c r="B3021" s="3">
        <v>449</v>
      </c>
      <c r="C3021" s="4">
        <v>211030</v>
      </c>
      <c r="D3021" s="3">
        <v>591</v>
      </c>
      <c r="E3021" s="4">
        <v>431430</v>
      </c>
      <c r="G3021" s="12">
        <f t="shared" si="194"/>
        <v>2019</v>
      </c>
      <c r="H3021" s="12">
        <f t="shared" si="195"/>
        <v>4</v>
      </c>
      <c r="I3021" s="11">
        <f t="shared" si="196"/>
        <v>100</v>
      </c>
      <c r="J3021" s="11"/>
    </row>
    <row r="3022" spans="1:10" x14ac:dyDescent="0.25">
      <c r="A3022" s="2">
        <v>43560</v>
      </c>
      <c r="B3022" s="3">
        <v>502</v>
      </c>
      <c r="C3022" s="4">
        <v>235940</v>
      </c>
      <c r="D3022" s="3">
        <v>612</v>
      </c>
      <c r="E3022" s="4">
        <v>446760</v>
      </c>
      <c r="G3022" s="12">
        <f t="shared" si="194"/>
        <v>2019</v>
      </c>
      <c r="H3022" s="12">
        <f t="shared" si="195"/>
        <v>4</v>
      </c>
      <c r="I3022" s="11">
        <f t="shared" si="196"/>
        <v>100</v>
      </c>
      <c r="J3022" s="11"/>
    </row>
    <row r="3023" spans="1:10" x14ac:dyDescent="0.25">
      <c r="A3023" s="2">
        <v>43561</v>
      </c>
      <c r="B3023" s="3">
        <v>514</v>
      </c>
      <c r="C3023" s="4">
        <v>241580</v>
      </c>
      <c r="D3023" s="3">
        <v>719</v>
      </c>
      <c r="E3023" s="4">
        <v>524870</v>
      </c>
      <c r="G3023" s="12">
        <f t="shared" si="194"/>
        <v>2019</v>
      </c>
      <c r="H3023" s="12">
        <f t="shared" si="195"/>
        <v>4</v>
      </c>
      <c r="I3023" s="11">
        <f t="shared" si="196"/>
        <v>100</v>
      </c>
      <c r="J3023" s="11"/>
    </row>
    <row r="3024" spans="1:10" x14ac:dyDescent="0.25">
      <c r="A3024" s="2">
        <v>43562</v>
      </c>
      <c r="B3024" s="3">
        <v>425</v>
      </c>
      <c r="C3024" s="4">
        <v>199750</v>
      </c>
      <c r="D3024" s="3">
        <v>692</v>
      </c>
      <c r="E3024" s="4">
        <v>505160</v>
      </c>
      <c r="G3024" s="12">
        <f t="shared" si="194"/>
        <v>2019</v>
      </c>
      <c r="H3024" s="12">
        <f t="shared" si="195"/>
        <v>4</v>
      </c>
      <c r="I3024" s="11">
        <f t="shared" si="196"/>
        <v>100</v>
      </c>
      <c r="J3024" s="11"/>
    </row>
    <row r="3025" spans="1:10" x14ac:dyDescent="0.25">
      <c r="A3025" s="2">
        <v>43563</v>
      </c>
      <c r="B3025" s="3">
        <v>457</v>
      </c>
      <c r="C3025" s="4">
        <v>214790</v>
      </c>
      <c r="D3025" s="3">
        <v>678</v>
      </c>
      <c r="E3025" s="4">
        <v>494940</v>
      </c>
      <c r="G3025" s="12">
        <f t="shared" si="194"/>
        <v>2019</v>
      </c>
      <c r="H3025" s="12">
        <f t="shared" si="195"/>
        <v>4</v>
      </c>
      <c r="I3025" s="11">
        <f t="shared" si="196"/>
        <v>100</v>
      </c>
      <c r="J3025" s="11"/>
    </row>
    <row r="3026" spans="1:10" x14ac:dyDescent="0.25">
      <c r="A3026" s="2">
        <v>43564</v>
      </c>
      <c r="B3026" s="3">
        <v>445</v>
      </c>
      <c r="C3026" s="4">
        <v>209150</v>
      </c>
      <c r="D3026" s="3">
        <v>672</v>
      </c>
      <c r="E3026" s="4">
        <v>490560</v>
      </c>
      <c r="G3026" s="12">
        <f t="shared" si="194"/>
        <v>2019</v>
      </c>
      <c r="H3026" s="12">
        <f t="shared" si="195"/>
        <v>4</v>
      </c>
      <c r="I3026" s="11">
        <f t="shared" si="196"/>
        <v>100</v>
      </c>
      <c r="J3026" s="11"/>
    </row>
    <row r="3027" spans="1:10" x14ac:dyDescent="0.25">
      <c r="A3027" s="2">
        <v>43565</v>
      </c>
      <c r="B3027" s="3">
        <v>490</v>
      </c>
      <c r="C3027" s="4">
        <v>230300</v>
      </c>
      <c r="D3027" s="3">
        <v>633</v>
      </c>
      <c r="E3027" s="4">
        <v>462090</v>
      </c>
      <c r="G3027" s="12">
        <f t="shared" si="194"/>
        <v>2019</v>
      </c>
      <c r="H3027" s="12">
        <f t="shared" si="195"/>
        <v>4</v>
      </c>
      <c r="I3027" s="11">
        <f t="shared" si="196"/>
        <v>100</v>
      </c>
      <c r="J3027" s="11"/>
    </row>
    <row r="3028" spans="1:10" x14ac:dyDescent="0.25">
      <c r="A3028" s="2">
        <v>43566</v>
      </c>
      <c r="B3028" s="3">
        <v>427</v>
      </c>
      <c r="C3028" s="4">
        <v>200690</v>
      </c>
      <c r="D3028" s="3">
        <v>732</v>
      </c>
      <c r="E3028" s="4">
        <v>534360</v>
      </c>
      <c r="G3028" s="12">
        <f t="shared" si="194"/>
        <v>2019</v>
      </c>
      <c r="H3028" s="12">
        <f t="shared" si="195"/>
        <v>4</v>
      </c>
      <c r="I3028" s="11">
        <f t="shared" si="196"/>
        <v>100</v>
      </c>
      <c r="J3028" s="11"/>
    </row>
    <row r="3029" spans="1:10" x14ac:dyDescent="0.25">
      <c r="A3029" s="2">
        <v>43567</v>
      </c>
      <c r="B3029" s="3">
        <v>369</v>
      </c>
      <c r="C3029" s="4">
        <v>173430</v>
      </c>
      <c r="D3029" s="3">
        <v>577</v>
      </c>
      <c r="E3029" s="4">
        <v>421210</v>
      </c>
      <c r="G3029" s="12">
        <f t="shared" si="194"/>
        <v>2019</v>
      </c>
      <c r="H3029" s="12">
        <f t="shared" si="195"/>
        <v>4</v>
      </c>
      <c r="I3029" s="11">
        <f t="shared" si="196"/>
        <v>100</v>
      </c>
      <c r="J3029" s="11"/>
    </row>
    <row r="3030" spans="1:10" x14ac:dyDescent="0.25">
      <c r="A3030" s="2">
        <v>43568</v>
      </c>
      <c r="B3030" s="3">
        <v>372</v>
      </c>
      <c r="C3030" s="4">
        <v>174840</v>
      </c>
      <c r="D3030" s="3">
        <v>636</v>
      </c>
      <c r="E3030" s="4">
        <v>464280</v>
      </c>
      <c r="G3030" s="12">
        <f t="shared" si="194"/>
        <v>2019</v>
      </c>
      <c r="H3030" s="12">
        <f t="shared" si="195"/>
        <v>4</v>
      </c>
      <c r="I3030" s="11">
        <f t="shared" si="196"/>
        <v>100</v>
      </c>
      <c r="J3030" s="11"/>
    </row>
    <row r="3031" spans="1:10" x14ac:dyDescent="0.25">
      <c r="A3031" s="2">
        <v>43569</v>
      </c>
      <c r="B3031" s="3">
        <v>484</v>
      </c>
      <c r="C3031" s="4">
        <v>227480</v>
      </c>
      <c r="D3031" s="3">
        <v>668</v>
      </c>
      <c r="E3031" s="4">
        <v>487640</v>
      </c>
      <c r="G3031" s="12">
        <f t="shared" si="194"/>
        <v>2019</v>
      </c>
      <c r="H3031" s="12">
        <f t="shared" si="195"/>
        <v>4</v>
      </c>
      <c r="I3031" s="11">
        <f t="shared" si="196"/>
        <v>100</v>
      </c>
      <c r="J3031" s="11"/>
    </row>
    <row r="3032" spans="1:10" x14ac:dyDescent="0.25">
      <c r="A3032" s="2">
        <v>43570</v>
      </c>
      <c r="B3032" s="3">
        <v>545</v>
      </c>
      <c r="C3032" s="4">
        <v>256150</v>
      </c>
      <c r="D3032" s="3">
        <v>609</v>
      </c>
      <c r="E3032" s="4">
        <v>444570</v>
      </c>
      <c r="G3032" s="12">
        <f t="shared" si="194"/>
        <v>2019</v>
      </c>
      <c r="H3032" s="12">
        <f t="shared" si="195"/>
        <v>4</v>
      </c>
      <c r="I3032" s="11">
        <f t="shared" si="196"/>
        <v>100</v>
      </c>
      <c r="J3032" s="11"/>
    </row>
    <row r="3033" spans="1:10" x14ac:dyDescent="0.25">
      <c r="A3033" s="2">
        <v>43571</v>
      </c>
      <c r="B3033" s="3">
        <v>422</v>
      </c>
      <c r="C3033" s="4">
        <v>198340</v>
      </c>
      <c r="D3033" s="3">
        <v>702</v>
      </c>
      <c r="E3033" s="4">
        <v>512460</v>
      </c>
      <c r="G3033" s="12">
        <f t="shared" si="194"/>
        <v>2019</v>
      </c>
      <c r="H3033" s="12">
        <f t="shared" si="195"/>
        <v>4</v>
      </c>
      <c r="I3033" s="11">
        <f t="shared" si="196"/>
        <v>100</v>
      </c>
      <c r="J3033" s="11"/>
    </row>
    <row r="3034" spans="1:10" x14ac:dyDescent="0.25">
      <c r="A3034" s="2">
        <v>43572</v>
      </c>
      <c r="B3034" s="3">
        <v>537</v>
      </c>
      <c r="C3034" s="4">
        <v>252390</v>
      </c>
      <c r="D3034" s="3">
        <v>651</v>
      </c>
      <c r="E3034" s="4">
        <v>475230</v>
      </c>
      <c r="G3034" s="12">
        <f t="shared" si="194"/>
        <v>2019</v>
      </c>
      <c r="H3034" s="12">
        <f t="shared" si="195"/>
        <v>4</v>
      </c>
      <c r="I3034" s="11">
        <f t="shared" si="196"/>
        <v>100</v>
      </c>
      <c r="J3034" s="11"/>
    </row>
    <row r="3035" spans="1:10" x14ac:dyDescent="0.25">
      <c r="A3035" s="2">
        <v>43573</v>
      </c>
      <c r="B3035" s="3">
        <v>440</v>
      </c>
      <c r="C3035" s="4">
        <v>206800</v>
      </c>
      <c r="D3035" s="3">
        <v>841</v>
      </c>
      <c r="E3035" s="4">
        <v>613930</v>
      </c>
      <c r="G3035" s="12">
        <f t="shared" si="194"/>
        <v>2019</v>
      </c>
      <c r="H3035" s="12">
        <f t="shared" si="195"/>
        <v>4</v>
      </c>
      <c r="I3035" s="11">
        <f t="shared" si="196"/>
        <v>100</v>
      </c>
      <c r="J3035" s="11"/>
    </row>
    <row r="3036" spans="1:10" x14ac:dyDescent="0.25">
      <c r="A3036" s="2">
        <v>43574</v>
      </c>
      <c r="B3036" s="3">
        <v>558</v>
      </c>
      <c r="C3036" s="4">
        <v>262260</v>
      </c>
      <c r="D3036" s="3">
        <v>609</v>
      </c>
      <c r="E3036" s="4">
        <v>444570</v>
      </c>
      <c r="G3036" s="12">
        <f t="shared" si="194"/>
        <v>2019</v>
      </c>
      <c r="H3036" s="12">
        <f t="shared" si="195"/>
        <v>4</v>
      </c>
      <c r="I3036" s="11">
        <f t="shared" si="196"/>
        <v>100</v>
      </c>
      <c r="J3036" s="11"/>
    </row>
    <row r="3037" spans="1:10" x14ac:dyDescent="0.25">
      <c r="A3037" s="2">
        <v>43575</v>
      </c>
      <c r="B3037" s="3">
        <v>416</v>
      </c>
      <c r="C3037" s="4">
        <v>195520</v>
      </c>
      <c r="D3037" s="3">
        <v>490</v>
      </c>
      <c r="E3037" s="4">
        <v>357700</v>
      </c>
      <c r="G3037" s="12">
        <f t="shared" si="194"/>
        <v>2019</v>
      </c>
      <c r="H3037" s="12">
        <f t="shared" si="195"/>
        <v>4</v>
      </c>
      <c r="I3037" s="11">
        <f t="shared" si="196"/>
        <v>100</v>
      </c>
      <c r="J3037" s="11"/>
    </row>
    <row r="3038" spans="1:10" x14ac:dyDescent="0.25">
      <c r="A3038" s="2">
        <v>43576</v>
      </c>
      <c r="B3038" s="3">
        <v>569</v>
      </c>
      <c r="C3038" s="4">
        <v>267430</v>
      </c>
      <c r="D3038" s="3">
        <v>703</v>
      </c>
      <c r="E3038" s="4">
        <v>513190</v>
      </c>
      <c r="G3038" s="12">
        <f t="shared" si="194"/>
        <v>2019</v>
      </c>
      <c r="H3038" s="12">
        <f t="shared" si="195"/>
        <v>4</v>
      </c>
      <c r="I3038" s="11">
        <f t="shared" si="196"/>
        <v>100</v>
      </c>
      <c r="J3038" s="11"/>
    </row>
    <row r="3039" spans="1:10" x14ac:dyDescent="0.25">
      <c r="A3039" s="2">
        <v>43577</v>
      </c>
      <c r="B3039" s="3">
        <v>498</v>
      </c>
      <c r="C3039" s="4">
        <v>234060</v>
      </c>
      <c r="D3039" s="3">
        <v>602</v>
      </c>
      <c r="E3039" s="4">
        <v>439460</v>
      </c>
      <c r="G3039" s="12">
        <f t="shared" si="194"/>
        <v>2019</v>
      </c>
      <c r="H3039" s="12">
        <f t="shared" si="195"/>
        <v>4</v>
      </c>
      <c r="I3039" s="11">
        <f t="shared" si="196"/>
        <v>100</v>
      </c>
      <c r="J3039" s="11"/>
    </row>
    <row r="3040" spans="1:10" x14ac:dyDescent="0.25">
      <c r="A3040" s="2">
        <v>43578</v>
      </c>
      <c r="B3040" s="3">
        <v>436</v>
      </c>
      <c r="C3040" s="4">
        <v>204920</v>
      </c>
      <c r="D3040" s="3">
        <v>680</v>
      </c>
      <c r="E3040" s="4">
        <v>496400</v>
      </c>
      <c r="G3040" s="12">
        <f t="shared" si="194"/>
        <v>2019</v>
      </c>
      <c r="H3040" s="12">
        <f t="shared" si="195"/>
        <v>4</v>
      </c>
      <c r="I3040" s="11">
        <f t="shared" si="196"/>
        <v>100</v>
      </c>
      <c r="J3040" s="11"/>
    </row>
    <row r="3041" spans="1:10" x14ac:dyDescent="0.25">
      <c r="A3041" s="2">
        <v>43579</v>
      </c>
      <c r="B3041" s="3">
        <v>433</v>
      </c>
      <c r="C3041" s="4">
        <v>203510</v>
      </c>
      <c r="D3041" s="3">
        <v>649</v>
      </c>
      <c r="E3041" s="4">
        <v>473770</v>
      </c>
      <c r="G3041" s="12">
        <f t="shared" si="194"/>
        <v>2019</v>
      </c>
      <c r="H3041" s="12">
        <f t="shared" si="195"/>
        <v>4</v>
      </c>
      <c r="I3041" s="11">
        <f t="shared" si="196"/>
        <v>100</v>
      </c>
      <c r="J3041" s="11"/>
    </row>
    <row r="3042" spans="1:10" x14ac:dyDescent="0.25">
      <c r="A3042" s="2">
        <v>43580</v>
      </c>
      <c r="B3042" s="3">
        <v>476</v>
      </c>
      <c r="C3042" s="4">
        <v>223720</v>
      </c>
      <c r="D3042" s="3">
        <v>715</v>
      </c>
      <c r="E3042" s="4">
        <v>521950</v>
      </c>
      <c r="G3042" s="12">
        <f t="shared" si="194"/>
        <v>2019</v>
      </c>
      <c r="H3042" s="12">
        <f t="shared" si="195"/>
        <v>4</v>
      </c>
      <c r="I3042" s="11">
        <f t="shared" si="196"/>
        <v>100</v>
      </c>
      <c r="J3042" s="11"/>
    </row>
    <row r="3043" spans="1:10" x14ac:dyDescent="0.25">
      <c r="A3043" s="2">
        <v>43581</v>
      </c>
      <c r="B3043" s="3">
        <v>473</v>
      </c>
      <c r="C3043" s="4">
        <v>222310</v>
      </c>
      <c r="D3043" s="3">
        <v>673</v>
      </c>
      <c r="E3043" s="4">
        <v>491290</v>
      </c>
      <c r="G3043" s="12">
        <f t="shared" si="194"/>
        <v>2019</v>
      </c>
      <c r="H3043" s="12">
        <f t="shared" si="195"/>
        <v>4</v>
      </c>
      <c r="I3043" s="11">
        <f t="shared" si="196"/>
        <v>100</v>
      </c>
      <c r="J3043" s="11"/>
    </row>
    <row r="3044" spans="1:10" x14ac:dyDescent="0.25">
      <c r="A3044" s="2">
        <v>43582</v>
      </c>
      <c r="B3044" s="3">
        <v>477</v>
      </c>
      <c r="C3044" s="4">
        <v>224190</v>
      </c>
      <c r="D3044" s="3">
        <v>722</v>
      </c>
      <c r="E3044" s="4">
        <v>527060</v>
      </c>
      <c r="G3044" s="12">
        <f t="shared" si="194"/>
        <v>2019</v>
      </c>
      <c r="H3044" s="12">
        <f t="shared" si="195"/>
        <v>4</v>
      </c>
      <c r="I3044" s="11">
        <f t="shared" si="196"/>
        <v>100</v>
      </c>
      <c r="J3044" s="11"/>
    </row>
    <row r="3045" spans="1:10" x14ac:dyDescent="0.25">
      <c r="A3045" s="2">
        <v>43583</v>
      </c>
      <c r="B3045" s="3">
        <v>452</v>
      </c>
      <c r="C3045" s="4">
        <v>212440</v>
      </c>
      <c r="D3045" s="3">
        <v>627</v>
      </c>
      <c r="E3045" s="4">
        <v>457710</v>
      </c>
      <c r="G3045" s="12">
        <f t="shared" si="194"/>
        <v>2019</v>
      </c>
      <c r="H3045" s="12">
        <f t="shared" si="195"/>
        <v>4</v>
      </c>
      <c r="I3045" s="11">
        <f t="shared" si="196"/>
        <v>100</v>
      </c>
      <c r="J3045" s="11"/>
    </row>
    <row r="3046" spans="1:10" x14ac:dyDescent="0.25">
      <c r="A3046" s="2">
        <v>43584</v>
      </c>
      <c r="B3046" s="3">
        <v>524</v>
      </c>
      <c r="C3046" s="4">
        <v>246280</v>
      </c>
      <c r="D3046" s="3">
        <v>603</v>
      </c>
      <c r="E3046" s="4">
        <v>440190</v>
      </c>
      <c r="G3046" s="12">
        <f t="shared" si="194"/>
        <v>2019</v>
      </c>
      <c r="H3046" s="12">
        <f t="shared" si="195"/>
        <v>4</v>
      </c>
      <c r="I3046" s="11">
        <f t="shared" si="196"/>
        <v>100</v>
      </c>
      <c r="J3046" s="11"/>
    </row>
    <row r="3047" spans="1:10" x14ac:dyDescent="0.25">
      <c r="A3047" s="2">
        <v>43585</v>
      </c>
      <c r="B3047" s="3">
        <v>498</v>
      </c>
      <c r="C3047" s="4">
        <v>234060</v>
      </c>
      <c r="D3047" s="3">
        <v>710</v>
      </c>
      <c r="E3047" s="4">
        <v>518300</v>
      </c>
      <c r="G3047" s="12">
        <f t="shared" si="194"/>
        <v>2019</v>
      </c>
      <c r="H3047" s="12">
        <f t="shared" si="195"/>
        <v>4</v>
      </c>
      <c r="I3047" s="11">
        <f t="shared" si="196"/>
        <v>100</v>
      </c>
      <c r="J3047" s="11"/>
    </row>
    <row r="3048" spans="1:10" x14ac:dyDescent="0.25">
      <c r="A3048" s="2">
        <v>43586</v>
      </c>
      <c r="B3048" s="3">
        <v>512</v>
      </c>
      <c r="C3048" s="4">
        <v>240640</v>
      </c>
      <c r="D3048" s="3">
        <v>684</v>
      </c>
      <c r="E3048" s="4">
        <v>499320</v>
      </c>
      <c r="G3048" s="12">
        <f t="shared" si="194"/>
        <v>2019</v>
      </c>
      <c r="H3048" s="12">
        <f t="shared" si="195"/>
        <v>5</v>
      </c>
      <c r="I3048" s="11">
        <f t="shared" si="196"/>
        <v>101</v>
      </c>
      <c r="J3048" s="11"/>
    </row>
    <row r="3049" spans="1:10" x14ac:dyDescent="0.25">
      <c r="A3049" s="2">
        <v>43587</v>
      </c>
      <c r="B3049" s="3">
        <v>476</v>
      </c>
      <c r="C3049" s="4">
        <v>223720</v>
      </c>
      <c r="D3049" s="3">
        <v>668</v>
      </c>
      <c r="E3049" s="4">
        <v>487640</v>
      </c>
      <c r="G3049" s="12">
        <f t="shared" si="194"/>
        <v>2019</v>
      </c>
      <c r="H3049" s="12">
        <f t="shared" si="195"/>
        <v>5</v>
      </c>
      <c r="I3049" s="11">
        <f t="shared" si="196"/>
        <v>101</v>
      </c>
      <c r="J3049" s="11"/>
    </row>
    <row r="3050" spans="1:10" x14ac:dyDescent="0.25">
      <c r="A3050" s="2">
        <v>43588</v>
      </c>
      <c r="B3050" s="3">
        <v>526</v>
      </c>
      <c r="C3050" s="4">
        <v>247220</v>
      </c>
      <c r="D3050" s="3">
        <v>619</v>
      </c>
      <c r="E3050" s="4">
        <v>451870</v>
      </c>
      <c r="G3050" s="12">
        <f t="shared" si="194"/>
        <v>2019</v>
      </c>
      <c r="H3050" s="12">
        <f t="shared" si="195"/>
        <v>5</v>
      </c>
      <c r="I3050" s="11">
        <f t="shared" si="196"/>
        <v>101</v>
      </c>
      <c r="J3050" s="11"/>
    </row>
    <row r="3051" spans="1:10" x14ac:dyDescent="0.25">
      <c r="A3051" s="2">
        <v>43589</v>
      </c>
      <c r="B3051" s="3">
        <v>456</v>
      </c>
      <c r="C3051" s="4">
        <v>214320</v>
      </c>
      <c r="D3051" s="3">
        <v>771</v>
      </c>
      <c r="E3051" s="4">
        <v>562830</v>
      </c>
      <c r="G3051" s="12">
        <f t="shared" si="194"/>
        <v>2019</v>
      </c>
      <c r="H3051" s="12">
        <f t="shared" si="195"/>
        <v>5</v>
      </c>
      <c r="I3051" s="11">
        <f t="shared" si="196"/>
        <v>101</v>
      </c>
      <c r="J3051" s="11"/>
    </row>
    <row r="3052" spans="1:10" x14ac:dyDescent="0.25">
      <c r="A3052" s="2">
        <v>43590</v>
      </c>
      <c r="B3052" s="3">
        <v>493</v>
      </c>
      <c r="C3052" s="4">
        <v>231710</v>
      </c>
      <c r="D3052" s="3">
        <v>703</v>
      </c>
      <c r="E3052" s="4">
        <v>513190</v>
      </c>
      <c r="G3052" s="12">
        <f t="shared" si="194"/>
        <v>2019</v>
      </c>
      <c r="H3052" s="12">
        <f t="shared" si="195"/>
        <v>5</v>
      </c>
      <c r="I3052" s="11">
        <f t="shared" si="196"/>
        <v>101</v>
      </c>
      <c r="J3052" s="11"/>
    </row>
    <row r="3053" spans="1:10" x14ac:dyDescent="0.25">
      <c r="A3053" s="2">
        <v>43591</v>
      </c>
      <c r="B3053" s="3">
        <v>507</v>
      </c>
      <c r="C3053" s="4">
        <v>238290</v>
      </c>
      <c r="D3053" s="3">
        <v>666</v>
      </c>
      <c r="E3053" s="4">
        <v>486180</v>
      </c>
      <c r="G3053" s="12">
        <f t="shared" si="194"/>
        <v>2019</v>
      </c>
      <c r="H3053" s="12">
        <f t="shared" si="195"/>
        <v>5</v>
      </c>
      <c r="I3053" s="11">
        <f t="shared" si="196"/>
        <v>101</v>
      </c>
      <c r="J3053" s="11"/>
    </row>
    <row r="3054" spans="1:10" x14ac:dyDescent="0.25">
      <c r="A3054" s="2">
        <v>43592</v>
      </c>
      <c r="B3054" s="3">
        <v>518</v>
      </c>
      <c r="C3054" s="4">
        <v>243460</v>
      </c>
      <c r="D3054" s="3">
        <v>648</v>
      </c>
      <c r="E3054" s="4">
        <v>473040</v>
      </c>
      <c r="G3054" s="12">
        <f t="shared" si="194"/>
        <v>2019</v>
      </c>
      <c r="H3054" s="12">
        <f t="shared" si="195"/>
        <v>5</v>
      </c>
      <c r="I3054" s="11">
        <f t="shared" si="196"/>
        <v>101</v>
      </c>
      <c r="J3054" s="11"/>
    </row>
    <row r="3055" spans="1:10" x14ac:dyDescent="0.25">
      <c r="A3055" s="2">
        <v>43593</v>
      </c>
      <c r="B3055" s="3">
        <v>433</v>
      </c>
      <c r="C3055" s="4">
        <v>203510</v>
      </c>
      <c r="D3055" s="3">
        <v>719</v>
      </c>
      <c r="E3055" s="4">
        <v>524870</v>
      </c>
      <c r="G3055" s="12">
        <f t="shared" si="194"/>
        <v>2019</v>
      </c>
      <c r="H3055" s="12">
        <f t="shared" si="195"/>
        <v>5</v>
      </c>
      <c r="I3055" s="11">
        <f t="shared" si="196"/>
        <v>101</v>
      </c>
      <c r="J3055" s="11"/>
    </row>
    <row r="3056" spans="1:10" x14ac:dyDescent="0.25">
      <c r="A3056" s="2">
        <v>43594</v>
      </c>
      <c r="B3056" s="3">
        <v>510</v>
      </c>
      <c r="C3056" s="4">
        <v>239700</v>
      </c>
      <c r="D3056" s="3">
        <v>723</v>
      </c>
      <c r="E3056" s="4">
        <v>527790</v>
      </c>
      <c r="G3056" s="12">
        <f t="shared" si="194"/>
        <v>2019</v>
      </c>
      <c r="H3056" s="12">
        <f t="shared" si="195"/>
        <v>5</v>
      </c>
      <c r="I3056" s="11">
        <f t="shared" si="196"/>
        <v>101</v>
      </c>
      <c r="J3056" s="11"/>
    </row>
    <row r="3057" spans="1:10" x14ac:dyDescent="0.25">
      <c r="A3057" s="2">
        <v>43595</v>
      </c>
      <c r="B3057" s="3">
        <v>482</v>
      </c>
      <c r="C3057" s="4">
        <v>226540</v>
      </c>
      <c r="D3057" s="3">
        <v>703</v>
      </c>
      <c r="E3057" s="4">
        <v>513190</v>
      </c>
      <c r="G3057" s="12">
        <f t="shared" si="194"/>
        <v>2019</v>
      </c>
      <c r="H3057" s="12">
        <f t="shared" si="195"/>
        <v>5</v>
      </c>
      <c r="I3057" s="11">
        <f t="shared" si="196"/>
        <v>101</v>
      </c>
      <c r="J3057" s="11"/>
    </row>
    <row r="3058" spans="1:10" x14ac:dyDescent="0.25">
      <c r="A3058" s="2">
        <v>43596</v>
      </c>
      <c r="B3058" s="3">
        <v>495</v>
      </c>
      <c r="C3058" s="4">
        <v>232650</v>
      </c>
      <c r="D3058" s="3">
        <v>564</v>
      </c>
      <c r="E3058" s="4">
        <v>411720</v>
      </c>
      <c r="G3058" s="12">
        <f t="shared" si="194"/>
        <v>2019</v>
      </c>
      <c r="H3058" s="12">
        <f t="shared" si="195"/>
        <v>5</v>
      </c>
      <c r="I3058" s="11">
        <f t="shared" si="196"/>
        <v>101</v>
      </c>
      <c r="J3058" s="11"/>
    </row>
    <row r="3059" spans="1:10" x14ac:dyDescent="0.25">
      <c r="A3059" s="2">
        <v>43597</v>
      </c>
      <c r="B3059" s="3">
        <v>425</v>
      </c>
      <c r="C3059" s="4">
        <v>199750</v>
      </c>
      <c r="D3059" s="3">
        <v>583</v>
      </c>
      <c r="E3059" s="4">
        <v>425590</v>
      </c>
      <c r="G3059" s="12">
        <f t="shared" si="194"/>
        <v>2019</v>
      </c>
      <c r="H3059" s="12">
        <f t="shared" si="195"/>
        <v>5</v>
      </c>
      <c r="I3059" s="11">
        <f t="shared" si="196"/>
        <v>101</v>
      </c>
      <c r="J3059" s="11"/>
    </row>
    <row r="3060" spans="1:10" x14ac:dyDescent="0.25">
      <c r="A3060" s="2">
        <v>43598</v>
      </c>
      <c r="B3060" s="3">
        <v>479</v>
      </c>
      <c r="C3060" s="4">
        <v>225130</v>
      </c>
      <c r="D3060" s="3">
        <v>691</v>
      </c>
      <c r="E3060" s="4">
        <v>504430</v>
      </c>
      <c r="G3060" s="12">
        <f t="shared" si="194"/>
        <v>2019</v>
      </c>
      <c r="H3060" s="12">
        <f t="shared" si="195"/>
        <v>5</v>
      </c>
      <c r="I3060" s="11">
        <f t="shared" si="196"/>
        <v>101</v>
      </c>
      <c r="J3060" s="11"/>
    </row>
    <row r="3061" spans="1:10" x14ac:dyDescent="0.25">
      <c r="A3061" s="2">
        <v>43599</v>
      </c>
      <c r="B3061" s="3">
        <v>467</v>
      </c>
      <c r="C3061" s="4">
        <v>219490</v>
      </c>
      <c r="D3061" s="3">
        <v>669</v>
      </c>
      <c r="E3061" s="4">
        <v>488370</v>
      </c>
      <c r="G3061" s="12">
        <f t="shared" si="194"/>
        <v>2019</v>
      </c>
      <c r="H3061" s="12">
        <f t="shared" si="195"/>
        <v>5</v>
      </c>
      <c r="I3061" s="11">
        <f t="shared" si="196"/>
        <v>101</v>
      </c>
      <c r="J3061" s="11"/>
    </row>
    <row r="3062" spans="1:10" x14ac:dyDescent="0.25">
      <c r="A3062" s="2">
        <v>43600</v>
      </c>
      <c r="B3062" s="3">
        <v>389</v>
      </c>
      <c r="C3062" s="4">
        <v>182830</v>
      </c>
      <c r="D3062" s="3">
        <v>666</v>
      </c>
      <c r="E3062" s="4">
        <v>486180</v>
      </c>
      <c r="G3062" s="12">
        <f t="shared" si="194"/>
        <v>2019</v>
      </c>
      <c r="H3062" s="12">
        <f t="shared" si="195"/>
        <v>5</v>
      </c>
      <c r="I3062" s="11">
        <f t="shared" si="196"/>
        <v>101</v>
      </c>
      <c r="J3062" s="11"/>
    </row>
    <row r="3063" spans="1:10" x14ac:dyDescent="0.25">
      <c r="A3063" s="2">
        <v>43601</v>
      </c>
      <c r="B3063" s="3">
        <v>431</v>
      </c>
      <c r="C3063" s="4">
        <v>202570</v>
      </c>
      <c r="D3063" s="3">
        <v>605</v>
      </c>
      <c r="E3063" s="4">
        <v>441650</v>
      </c>
      <c r="G3063" s="12">
        <f t="shared" si="194"/>
        <v>2019</v>
      </c>
      <c r="H3063" s="12">
        <f t="shared" si="195"/>
        <v>5</v>
      </c>
      <c r="I3063" s="11">
        <f t="shared" si="196"/>
        <v>101</v>
      </c>
      <c r="J3063" s="11"/>
    </row>
    <row r="3064" spans="1:10" x14ac:dyDescent="0.25">
      <c r="A3064" s="2">
        <v>43602</v>
      </c>
      <c r="B3064" s="3">
        <v>493</v>
      </c>
      <c r="C3064" s="4">
        <v>231710</v>
      </c>
      <c r="D3064" s="3">
        <v>616</v>
      </c>
      <c r="E3064" s="4">
        <v>449680</v>
      </c>
      <c r="G3064" s="12">
        <f t="shared" si="194"/>
        <v>2019</v>
      </c>
      <c r="H3064" s="12">
        <f t="shared" si="195"/>
        <v>5</v>
      </c>
      <c r="I3064" s="11">
        <f t="shared" si="196"/>
        <v>101</v>
      </c>
      <c r="J3064" s="11"/>
    </row>
    <row r="3065" spans="1:10" x14ac:dyDescent="0.25">
      <c r="A3065" s="2">
        <v>43603</v>
      </c>
      <c r="B3065" s="3">
        <v>495</v>
      </c>
      <c r="C3065" s="4">
        <v>232650</v>
      </c>
      <c r="D3065" s="3">
        <v>605</v>
      </c>
      <c r="E3065" s="4">
        <v>441650</v>
      </c>
      <c r="G3065" s="12">
        <f t="shared" si="194"/>
        <v>2019</v>
      </c>
      <c r="H3065" s="12">
        <f t="shared" si="195"/>
        <v>5</v>
      </c>
      <c r="I3065" s="11">
        <f t="shared" si="196"/>
        <v>101</v>
      </c>
      <c r="J3065" s="11"/>
    </row>
    <row r="3066" spans="1:10" x14ac:dyDescent="0.25">
      <c r="A3066" s="2">
        <v>43604</v>
      </c>
      <c r="B3066" s="3">
        <v>414</v>
      </c>
      <c r="C3066" s="4">
        <v>194580</v>
      </c>
      <c r="D3066" s="3">
        <v>660</v>
      </c>
      <c r="E3066" s="4">
        <v>481800</v>
      </c>
      <c r="G3066" s="12">
        <f t="shared" si="194"/>
        <v>2019</v>
      </c>
      <c r="H3066" s="12">
        <f t="shared" si="195"/>
        <v>5</v>
      </c>
      <c r="I3066" s="11">
        <f t="shared" si="196"/>
        <v>101</v>
      </c>
      <c r="J3066" s="11"/>
    </row>
    <row r="3067" spans="1:10" x14ac:dyDescent="0.25">
      <c r="A3067" s="2">
        <v>43605</v>
      </c>
      <c r="B3067" s="3">
        <v>430</v>
      </c>
      <c r="C3067" s="4">
        <v>202100</v>
      </c>
      <c r="D3067" s="3">
        <v>672</v>
      </c>
      <c r="E3067" s="4">
        <v>490560</v>
      </c>
      <c r="G3067" s="12">
        <f t="shared" si="194"/>
        <v>2019</v>
      </c>
      <c r="H3067" s="12">
        <f t="shared" si="195"/>
        <v>5</v>
      </c>
      <c r="I3067" s="11">
        <f t="shared" si="196"/>
        <v>101</v>
      </c>
      <c r="J3067" s="11"/>
    </row>
    <row r="3068" spans="1:10" x14ac:dyDescent="0.25">
      <c r="A3068" s="2">
        <v>43606</v>
      </c>
      <c r="B3068" s="3">
        <v>540</v>
      </c>
      <c r="C3068" s="4">
        <v>253800</v>
      </c>
      <c r="D3068" s="3">
        <v>729</v>
      </c>
      <c r="E3068" s="4">
        <v>532170</v>
      </c>
      <c r="G3068" s="12">
        <f t="shared" si="194"/>
        <v>2019</v>
      </c>
      <c r="H3068" s="12">
        <f t="shared" si="195"/>
        <v>5</v>
      </c>
      <c r="I3068" s="11">
        <f t="shared" si="196"/>
        <v>101</v>
      </c>
      <c r="J3068" s="11"/>
    </row>
    <row r="3069" spans="1:10" x14ac:dyDescent="0.25">
      <c r="A3069" s="2">
        <v>43607</v>
      </c>
      <c r="B3069" s="3">
        <v>519</v>
      </c>
      <c r="C3069" s="4">
        <v>243930</v>
      </c>
      <c r="D3069" s="3">
        <v>688</v>
      </c>
      <c r="E3069" s="4">
        <v>502240</v>
      </c>
      <c r="G3069" s="12">
        <f t="shared" si="194"/>
        <v>2019</v>
      </c>
      <c r="H3069" s="12">
        <f t="shared" si="195"/>
        <v>5</v>
      </c>
      <c r="I3069" s="11">
        <f t="shared" si="196"/>
        <v>101</v>
      </c>
      <c r="J3069" s="11"/>
    </row>
    <row r="3070" spans="1:10" x14ac:dyDescent="0.25">
      <c r="A3070" s="2">
        <v>43608</v>
      </c>
      <c r="B3070" s="3">
        <v>425</v>
      </c>
      <c r="C3070" s="4">
        <v>199750</v>
      </c>
      <c r="D3070" s="3">
        <v>721</v>
      </c>
      <c r="E3070" s="4">
        <v>526330</v>
      </c>
      <c r="G3070" s="12">
        <f t="shared" si="194"/>
        <v>2019</v>
      </c>
      <c r="H3070" s="12">
        <f t="shared" si="195"/>
        <v>5</v>
      </c>
      <c r="I3070" s="11">
        <f t="shared" si="196"/>
        <v>101</v>
      </c>
      <c r="J3070" s="11"/>
    </row>
    <row r="3071" spans="1:10" x14ac:dyDescent="0.25">
      <c r="A3071" s="2">
        <v>43609</v>
      </c>
      <c r="B3071" s="3">
        <v>433</v>
      </c>
      <c r="C3071" s="4">
        <v>203510</v>
      </c>
      <c r="D3071" s="3">
        <v>650</v>
      </c>
      <c r="E3071" s="4">
        <v>474500</v>
      </c>
      <c r="G3071" s="12">
        <f t="shared" si="194"/>
        <v>2019</v>
      </c>
      <c r="H3071" s="12">
        <f t="shared" si="195"/>
        <v>5</v>
      </c>
      <c r="I3071" s="11">
        <f t="shared" si="196"/>
        <v>101</v>
      </c>
      <c r="J3071" s="11"/>
    </row>
    <row r="3072" spans="1:10" x14ac:dyDescent="0.25">
      <c r="A3072" s="2">
        <v>43610</v>
      </c>
      <c r="B3072" s="3">
        <v>433</v>
      </c>
      <c r="C3072" s="4">
        <v>203510</v>
      </c>
      <c r="D3072" s="3">
        <v>611</v>
      </c>
      <c r="E3072" s="4">
        <v>446030</v>
      </c>
      <c r="G3072" s="12">
        <f t="shared" si="194"/>
        <v>2019</v>
      </c>
      <c r="H3072" s="12">
        <f t="shared" si="195"/>
        <v>5</v>
      </c>
      <c r="I3072" s="11">
        <f t="shared" si="196"/>
        <v>101</v>
      </c>
      <c r="J3072" s="11"/>
    </row>
    <row r="3073" spans="1:10" x14ac:dyDescent="0.25">
      <c r="A3073" s="2">
        <v>43611</v>
      </c>
      <c r="B3073" s="3">
        <v>474</v>
      </c>
      <c r="C3073" s="4">
        <v>222780</v>
      </c>
      <c r="D3073" s="3">
        <v>619</v>
      </c>
      <c r="E3073" s="4">
        <v>451870</v>
      </c>
      <c r="G3073" s="12">
        <f t="shared" si="194"/>
        <v>2019</v>
      </c>
      <c r="H3073" s="12">
        <f t="shared" si="195"/>
        <v>5</v>
      </c>
      <c r="I3073" s="11">
        <f t="shared" si="196"/>
        <v>101</v>
      </c>
      <c r="J3073" s="11"/>
    </row>
    <row r="3074" spans="1:10" x14ac:dyDescent="0.25">
      <c r="A3074" s="2">
        <v>43612</v>
      </c>
      <c r="B3074" s="3">
        <v>413</v>
      </c>
      <c r="C3074" s="4">
        <v>194110</v>
      </c>
      <c r="D3074" s="3">
        <v>690</v>
      </c>
      <c r="E3074" s="4">
        <v>503700</v>
      </c>
      <c r="G3074" s="12">
        <f t="shared" si="194"/>
        <v>2019</v>
      </c>
      <c r="H3074" s="12">
        <f t="shared" si="195"/>
        <v>5</v>
      </c>
      <c r="I3074" s="11">
        <f t="shared" si="196"/>
        <v>101</v>
      </c>
      <c r="J3074" s="11"/>
    </row>
    <row r="3075" spans="1:10" x14ac:dyDescent="0.25">
      <c r="A3075" s="2">
        <v>43613</v>
      </c>
      <c r="B3075" s="3">
        <v>466</v>
      </c>
      <c r="C3075" s="4">
        <v>219020</v>
      </c>
      <c r="D3075" s="3">
        <v>677</v>
      </c>
      <c r="E3075" s="4">
        <v>494210</v>
      </c>
      <c r="G3075" s="12">
        <f t="shared" si="194"/>
        <v>2019</v>
      </c>
      <c r="H3075" s="12">
        <f t="shared" si="195"/>
        <v>5</v>
      </c>
      <c r="I3075" s="11">
        <f t="shared" si="196"/>
        <v>101</v>
      </c>
      <c r="J3075" s="11"/>
    </row>
    <row r="3076" spans="1:10" x14ac:dyDescent="0.25">
      <c r="A3076" s="2">
        <v>43614</v>
      </c>
      <c r="B3076" s="3">
        <v>475</v>
      </c>
      <c r="C3076" s="4">
        <v>223250</v>
      </c>
      <c r="D3076" s="3">
        <v>764</v>
      </c>
      <c r="E3076" s="4">
        <v>557720</v>
      </c>
      <c r="G3076" s="12">
        <f t="shared" si="194"/>
        <v>2019</v>
      </c>
      <c r="H3076" s="12">
        <f t="shared" si="195"/>
        <v>5</v>
      </c>
      <c r="I3076" s="11">
        <f t="shared" si="196"/>
        <v>101</v>
      </c>
      <c r="J3076" s="11"/>
    </row>
    <row r="3077" spans="1:10" x14ac:dyDescent="0.25">
      <c r="A3077" s="2">
        <v>43615</v>
      </c>
      <c r="B3077" s="3">
        <v>446</v>
      </c>
      <c r="C3077" s="4">
        <v>209620</v>
      </c>
      <c r="D3077" s="3">
        <v>708</v>
      </c>
      <c r="E3077" s="4">
        <v>516840</v>
      </c>
      <c r="G3077" s="12">
        <f t="shared" si="194"/>
        <v>2019</v>
      </c>
      <c r="H3077" s="12">
        <f t="shared" si="195"/>
        <v>5</v>
      </c>
      <c r="I3077" s="11">
        <f t="shared" si="196"/>
        <v>101</v>
      </c>
      <c r="J3077" s="11"/>
    </row>
    <row r="3078" spans="1:10" x14ac:dyDescent="0.25">
      <c r="A3078" s="2">
        <v>43616</v>
      </c>
      <c r="B3078" s="3">
        <v>480</v>
      </c>
      <c r="C3078" s="4">
        <v>225600</v>
      </c>
      <c r="D3078" s="3">
        <v>591</v>
      </c>
      <c r="E3078" s="4">
        <v>431430</v>
      </c>
      <c r="G3078" s="12">
        <f t="shared" ref="G3078:G3141" si="197">+YEAR(A3078)</f>
        <v>2019</v>
      </c>
      <c r="H3078" s="12">
        <f t="shared" ref="H3078:H3141" si="198">+MONTH(A3078)</f>
        <v>5</v>
      </c>
      <c r="I3078" s="11">
        <f t="shared" si="196"/>
        <v>101</v>
      </c>
      <c r="J3078" s="11"/>
    </row>
    <row r="3079" spans="1:10" x14ac:dyDescent="0.25">
      <c r="A3079" s="2">
        <v>43617</v>
      </c>
      <c r="B3079" s="3">
        <v>483</v>
      </c>
      <c r="C3079" s="4">
        <v>227010</v>
      </c>
      <c r="D3079" s="3">
        <v>698</v>
      </c>
      <c r="E3079" s="4">
        <v>203816</v>
      </c>
      <c r="G3079" s="12">
        <f t="shared" si="197"/>
        <v>2019</v>
      </c>
      <c r="H3079" s="12">
        <f t="shared" si="198"/>
        <v>6</v>
      </c>
      <c r="I3079" s="11">
        <f t="shared" ref="I3079:I3142" si="199">+H3079+(G3079-2011)*12</f>
        <v>102</v>
      </c>
      <c r="J3079" s="11"/>
    </row>
    <row r="3080" spans="1:10" x14ac:dyDescent="0.25">
      <c r="A3080" s="2">
        <v>43618</v>
      </c>
      <c r="B3080" s="3">
        <v>469</v>
      </c>
      <c r="C3080" s="4">
        <v>220430</v>
      </c>
      <c r="D3080" s="3">
        <v>704</v>
      </c>
      <c r="E3080" s="4">
        <v>205568</v>
      </c>
      <c r="G3080" s="12">
        <f t="shared" si="197"/>
        <v>2019</v>
      </c>
      <c r="H3080" s="12">
        <f t="shared" si="198"/>
        <v>6</v>
      </c>
      <c r="I3080" s="11">
        <f t="shared" si="199"/>
        <v>102</v>
      </c>
      <c r="J3080" s="11"/>
    </row>
    <row r="3081" spans="1:10" x14ac:dyDescent="0.25">
      <c r="A3081" s="2">
        <v>43619</v>
      </c>
      <c r="B3081" s="3">
        <v>459</v>
      </c>
      <c r="C3081" s="4">
        <v>215730</v>
      </c>
      <c r="D3081" s="3">
        <v>700</v>
      </c>
      <c r="E3081" s="4">
        <v>204400</v>
      </c>
      <c r="G3081" s="12">
        <f t="shared" si="197"/>
        <v>2019</v>
      </c>
      <c r="H3081" s="12">
        <f t="shared" si="198"/>
        <v>6</v>
      </c>
      <c r="I3081" s="11">
        <f t="shared" si="199"/>
        <v>102</v>
      </c>
      <c r="J3081" s="11"/>
    </row>
    <row r="3082" spans="1:10" x14ac:dyDescent="0.25">
      <c r="A3082" s="2">
        <v>43620</v>
      </c>
      <c r="B3082" s="3">
        <v>409</v>
      </c>
      <c r="C3082" s="4">
        <v>192230</v>
      </c>
      <c r="D3082" s="3">
        <v>729</v>
      </c>
      <c r="E3082" s="4">
        <v>212868</v>
      </c>
      <c r="G3082" s="12">
        <f t="shared" si="197"/>
        <v>2019</v>
      </c>
      <c r="H3082" s="12">
        <f t="shared" si="198"/>
        <v>6</v>
      </c>
      <c r="I3082" s="11">
        <f t="shared" si="199"/>
        <v>102</v>
      </c>
      <c r="J3082" s="11"/>
    </row>
    <row r="3083" spans="1:10" x14ac:dyDescent="0.25">
      <c r="A3083" s="2">
        <v>43621</v>
      </c>
      <c r="B3083" s="3">
        <v>541</v>
      </c>
      <c r="C3083" s="4">
        <v>254270</v>
      </c>
      <c r="D3083" s="3">
        <v>764</v>
      </c>
      <c r="E3083" s="4">
        <v>223088</v>
      </c>
      <c r="G3083" s="12">
        <f t="shared" si="197"/>
        <v>2019</v>
      </c>
      <c r="H3083" s="12">
        <f t="shared" si="198"/>
        <v>6</v>
      </c>
      <c r="I3083" s="11">
        <f t="shared" si="199"/>
        <v>102</v>
      </c>
      <c r="J3083" s="11"/>
    </row>
    <row r="3084" spans="1:10" x14ac:dyDescent="0.25">
      <c r="A3084" s="2">
        <v>43622</v>
      </c>
      <c r="B3084" s="3">
        <v>429</v>
      </c>
      <c r="C3084" s="4">
        <v>201630</v>
      </c>
      <c r="D3084" s="3">
        <v>653</v>
      </c>
      <c r="E3084" s="4">
        <v>190676</v>
      </c>
      <c r="G3084" s="12">
        <f t="shared" si="197"/>
        <v>2019</v>
      </c>
      <c r="H3084" s="12">
        <f t="shared" si="198"/>
        <v>6</v>
      </c>
      <c r="I3084" s="11">
        <f t="shared" si="199"/>
        <v>102</v>
      </c>
      <c r="J3084" s="11"/>
    </row>
    <row r="3085" spans="1:10" x14ac:dyDescent="0.25">
      <c r="A3085" s="2">
        <v>43623</v>
      </c>
      <c r="B3085" s="3">
        <v>446</v>
      </c>
      <c r="C3085" s="4">
        <v>209620</v>
      </c>
      <c r="D3085" s="3">
        <v>724</v>
      </c>
      <c r="E3085" s="4">
        <v>211408</v>
      </c>
      <c r="G3085" s="12">
        <f t="shared" si="197"/>
        <v>2019</v>
      </c>
      <c r="H3085" s="12">
        <f t="shared" si="198"/>
        <v>6</v>
      </c>
      <c r="I3085" s="11">
        <f t="shared" si="199"/>
        <v>102</v>
      </c>
      <c r="J3085" s="11"/>
    </row>
    <row r="3086" spans="1:10" x14ac:dyDescent="0.25">
      <c r="A3086" s="2">
        <v>43624</v>
      </c>
      <c r="B3086" s="3">
        <v>439</v>
      </c>
      <c r="C3086" s="4">
        <v>206330</v>
      </c>
      <c r="D3086" s="3">
        <v>564</v>
      </c>
      <c r="E3086" s="4">
        <v>164688</v>
      </c>
      <c r="G3086" s="12">
        <f t="shared" si="197"/>
        <v>2019</v>
      </c>
      <c r="H3086" s="12">
        <f t="shared" si="198"/>
        <v>6</v>
      </c>
      <c r="I3086" s="11">
        <f t="shared" si="199"/>
        <v>102</v>
      </c>
      <c r="J3086" s="11"/>
    </row>
    <row r="3087" spans="1:10" x14ac:dyDescent="0.25">
      <c r="A3087" s="2">
        <v>43625</v>
      </c>
      <c r="B3087" s="3">
        <v>420</v>
      </c>
      <c r="C3087" s="4">
        <v>197400</v>
      </c>
      <c r="D3087" s="3">
        <v>709</v>
      </c>
      <c r="E3087" s="4">
        <v>207028</v>
      </c>
      <c r="G3087" s="12">
        <f t="shared" si="197"/>
        <v>2019</v>
      </c>
      <c r="H3087" s="12">
        <f t="shared" si="198"/>
        <v>6</v>
      </c>
      <c r="I3087" s="11">
        <f t="shared" si="199"/>
        <v>102</v>
      </c>
      <c r="J3087" s="11"/>
    </row>
    <row r="3088" spans="1:10" x14ac:dyDescent="0.25">
      <c r="A3088" s="2">
        <v>43626</v>
      </c>
      <c r="B3088" s="3">
        <v>400</v>
      </c>
      <c r="C3088" s="4">
        <v>188000</v>
      </c>
      <c r="D3088" s="3">
        <v>682</v>
      </c>
      <c r="E3088" s="4">
        <v>199144</v>
      </c>
      <c r="G3088" s="12">
        <f t="shared" si="197"/>
        <v>2019</v>
      </c>
      <c r="H3088" s="12">
        <f t="shared" si="198"/>
        <v>6</v>
      </c>
      <c r="I3088" s="11">
        <f t="shared" si="199"/>
        <v>102</v>
      </c>
      <c r="J3088" s="11"/>
    </row>
    <row r="3089" spans="1:10" x14ac:dyDescent="0.25">
      <c r="A3089" s="2">
        <v>43627</v>
      </c>
      <c r="B3089" s="3">
        <v>472</v>
      </c>
      <c r="C3089" s="4">
        <v>221840</v>
      </c>
      <c r="D3089" s="3">
        <v>786</v>
      </c>
      <c r="E3089" s="4">
        <v>229512</v>
      </c>
      <c r="G3089" s="12">
        <f t="shared" si="197"/>
        <v>2019</v>
      </c>
      <c r="H3089" s="12">
        <f t="shared" si="198"/>
        <v>6</v>
      </c>
      <c r="I3089" s="11">
        <f t="shared" si="199"/>
        <v>102</v>
      </c>
      <c r="J3089" s="11"/>
    </row>
    <row r="3090" spans="1:10" x14ac:dyDescent="0.25">
      <c r="A3090" s="2">
        <v>43628</v>
      </c>
      <c r="B3090" s="3">
        <v>500</v>
      </c>
      <c r="C3090" s="4">
        <v>235000</v>
      </c>
      <c r="D3090" s="3">
        <v>696</v>
      </c>
      <c r="E3090" s="4">
        <v>203232</v>
      </c>
      <c r="G3090" s="12">
        <f t="shared" si="197"/>
        <v>2019</v>
      </c>
      <c r="H3090" s="12">
        <f t="shared" si="198"/>
        <v>6</v>
      </c>
      <c r="I3090" s="11">
        <f t="shared" si="199"/>
        <v>102</v>
      </c>
      <c r="J3090" s="11"/>
    </row>
    <row r="3091" spans="1:10" x14ac:dyDescent="0.25">
      <c r="A3091" s="2">
        <v>43629</v>
      </c>
      <c r="B3091" s="3">
        <v>487</v>
      </c>
      <c r="C3091" s="4">
        <v>228890</v>
      </c>
      <c r="D3091" s="3">
        <v>737</v>
      </c>
      <c r="E3091" s="4">
        <v>215204</v>
      </c>
      <c r="G3091" s="12">
        <f t="shared" si="197"/>
        <v>2019</v>
      </c>
      <c r="H3091" s="12">
        <f t="shared" si="198"/>
        <v>6</v>
      </c>
      <c r="I3091" s="11">
        <f t="shared" si="199"/>
        <v>102</v>
      </c>
      <c r="J3091" s="11"/>
    </row>
    <row r="3092" spans="1:10" x14ac:dyDescent="0.25">
      <c r="A3092" s="2">
        <v>43630</v>
      </c>
      <c r="B3092" s="3">
        <v>482</v>
      </c>
      <c r="C3092" s="4">
        <v>226540</v>
      </c>
      <c r="D3092" s="3">
        <v>633</v>
      </c>
      <c r="E3092" s="4">
        <v>184836</v>
      </c>
      <c r="G3092" s="12">
        <f t="shared" si="197"/>
        <v>2019</v>
      </c>
      <c r="H3092" s="12">
        <f t="shared" si="198"/>
        <v>6</v>
      </c>
      <c r="I3092" s="11">
        <f t="shared" si="199"/>
        <v>102</v>
      </c>
      <c r="J3092" s="11"/>
    </row>
    <row r="3093" spans="1:10" x14ac:dyDescent="0.25">
      <c r="A3093" s="2">
        <v>43631</v>
      </c>
      <c r="B3093" s="3">
        <v>471</v>
      </c>
      <c r="C3093" s="4">
        <v>221370</v>
      </c>
      <c r="D3093" s="3">
        <v>819</v>
      </c>
      <c r="E3093" s="4">
        <v>239148</v>
      </c>
      <c r="G3093" s="12">
        <f t="shared" si="197"/>
        <v>2019</v>
      </c>
      <c r="H3093" s="12">
        <f t="shared" si="198"/>
        <v>6</v>
      </c>
      <c r="I3093" s="11">
        <f t="shared" si="199"/>
        <v>102</v>
      </c>
      <c r="J3093" s="11"/>
    </row>
    <row r="3094" spans="1:10" x14ac:dyDescent="0.25">
      <c r="A3094" s="2">
        <v>43632</v>
      </c>
      <c r="B3094" s="3">
        <v>445</v>
      </c>
      <c r="C3094" s="4">
        <v>209150</v>
      </c>
      <c r="D3094" s="3">
        <v>660</v>
      </c>
      <c r="E3094" s="4">
        <v>192720</v>
      </c>
      <c r="G3094" s="12">
        <f t="shared" si="197"/>
        <v>2019</v>
      </c>
      <c r="H3094" s="12">
        <f t="shared" si="198"/>
        <v>6</v>
      </c>
      <c r="I3094" s="11">
        <f t="shared" si="199"/>
        <v>102</v>
      </c>
      <c r="J3094" s="11"/>
    </row>
    <row r="3095" spans="1:10" x14ac:dyDescent="0.25">
      <c r="A3095" s="2">
        <v>43633</v>
      </c>
      <c r="B3095" s="3">
        <v>461</v>
      </c>
      <c r="C3095" s="4">
        <v>216670</v>
      </c>
      <c r="D3095" s="3">
        <v>724</v>
      </c>
      <c r="E3095" s="4">
        <v>211408</v>
      </c>
      <c r="G3095" s="12">
        <f t="shared" si="197"/>
        <v>2019</v>
      </c>
      <c r="H3095" s="12">
        <f t="shared" si="198"/>
        <v>6</v>
      </c>
      <c r="I3095" s="11">
        <f t="shared" si="199"/>
        <v>102</v>
      </c>
      <c r="J3095" s="11"/>
    </row>
    <row r="3096" spans="1:10" x14ac:dyDescent="0.25">
      <c r="A3096" s="2">
        <v>43634</v>
      </c>
      <c r="B3096" s="3">
        <v>399</v>
      </c>
      <c r="C3096" s="4">
        <v>187530</v>
      </c>
      <c r="D3096" s="3">
        <v>718</v>
      </c>
      <c r="E3096" s="4">
        <v>209656</v>
      </c>
      <c r="G3096" s="12">
        <f t="shared" si="197"/>
        <v>2019</v>
      </c>
      <c r="H3096" s="12">
        <f t="shared" si="198"/>
        <v>6</v>
      </c>
      <c r="I3096" s="11">
        <f t="shared" si="199"/>
        <v>102</v>
      </c>
      <c r="J3096" s="11"/>
    </row>
    <row r="3097" spans="1:10" x14ac:dyDescent="0.25">
      <c r="A3097" s="2">
        <v>43635</v>
      </c>
      <c r="B3097" s="3">
        <v>389</v>
      </c>
      <c r="C3097" s="4">
        <v>182830</v>
      </c>
      <c r="D3097" s="3">
        <v>765</v>
      </c>
      <c r="E3097" s="4">
        <v>223380</v>
      </c>
      <c r="G3097" s="12">
        <f t="shared" si="197"/>
        <v>2019</v>
      </c>
      <c r="H3097" s="12">
        <f t="shared" si="198"/>
        <v>6</v>
      </c>
      <c r="I3097" s="11">
        <f t="shared" si="199"/>
        <v>102</v>
      </c>
      <c r="J3097" s="11"/>
    </row>
    <row r="3098" spans="1:10" x14ac:dyDescent="0.25">
      <c r="A3098" s="2">
        <v>43636</v>
      </c>
      <c r="B3098" s="3">
        <v>515</v>
      </c>
      <c r="C3098" s="4">
        <v>242050</v>
      </c>
      <c r="D3098" s="3">
        <v>708</v>
      </c>
      <c r="E3098" s="4">
        <v>206736</v>
      </c>
      <c r="G3098" s="12">
        <f t="shared" si="197"/>
        <v>2019</v>
      </c>
      <c r="H3098" s="12">
        <f t="shared" si="198"/>
        <v>6</v>
      </c>
      <c r="I3098" s="11">
        <f t="shared" si="199"/>
        <v>102</v>
      </c>
      <c r="J3098" s="11"/>
    </row>
    <row r="3099" spans="1:10" x14ac:dyDescent="0.25">
      <c r="A3099" s="2">
        <v>43637</v>
      </c>
      <c r="B3099" s="3">
        <v>399</v>
      </c>
      <c r="C3099" s="4">
        <v>187530</v>
      </c>
      <c r="D3099" s="3">
        <v>721</v>
      </c>
      <c r="E3099" s="4">
        <v>210532</v>
      </c>
      <c r="G3099" s="12">
        <f t="shared" si="197"/>
        <v>2019</v>
      </c>
      <c r="H3099" s="12">
        <f t="shared" si="198"/>
        <v>6</v>
      </c>
      <c r="I3099" s="11">
        <f t="shared" si="199"/>
        <v>102</v>
      </c>
      <c r="J3099" s="11"/>
    </row>
    <row r="3100" spans="1:10" x14ac:dyDescent="0.25">
      <c r="A3100" s="2">
        <v>43638</v>
      </c>
      <c r="B3100" s="3">
        <v>511</v>
      </c>
      <c r="C3100" s="4">
        <v>240170</v>
      </c>
      <c r="D3100" s="3">
        <v>750</v>
      </c>
      <c r="E3100" s="4">
        <v>219000</v>
      </c>
      <c r="G3100" s="12">
        <f t="shared" si="197"/>
        <v>2019</v>
      </c>
      <c r="H3100" s="12">
        <f t="shared" si="198"/>
        <v>6</v>
      </c>
      <c r="I3100" s="11">
        <f t="shared" si="199"/>
        <v>102</v>
      </c>
      <c r="J3100" s="11"/>
    </row>
    <row r="3101" spans="1:10" x14ac:dyDescent="0.25">
      <c r="A3101" s="2">
        <v>43639</v>
      </c>
      <c r="B3101" s="3">
        <v>554</v>
      </c>
      <c r="C3101" s="4">
        <v>260380</v>
      </c>
      <c r="D3101" s="3">
        <v>805</v>
      </c>
      <c r="E3101" s="4">
        <v>235060</v>
      </c>
      <c r="G3101" s="12">
        <f t="shared" si="197"/>
        <v>2019</v>
      </c>
      <c r="H3101" s="12">
        <f t="shared" si="198"/>
        <v>6</v>
      </c>
      <c r="I3101" s="11">
        <f t="shared" si="199"/>
        <v>102</v>
      </c>
      <c r="J3101" s="11"/>
    </row>
    <row r="3102" spans="1:10" x14ac:dyDescent="0.25">
      <c r="A3102" s="2">
        <v>43640</v>
      </c>
      <c r="B3102" s="3">
        <v>515</v>
      </c>
      <c r="C3102" s="4">
        <v>242050</v>
      </c>
      <c r="D3102" s="3">
        <v>713</v>
      </c>
      <c r="E3102" s="4">
        <v>208196</v>
      </c>
      <c r="G3102" s="12">
        <f t="shared" si="197"/>
        <v>2019</v>
      </c>
      <c r="H3102" s="12">
        <f t="shared" si="198"/>
        <v>6</v>
      </c>
      <c r="I3102" s="11">
        <f t="shared" si="199"/>
        <v>102</v>
      </c>
      <c r="J3102" s="11"/>
    </row>
    <row r="3103" spans="1:10" x14ac:dyDescent="0.25">
      <c r="A3103" s="2">
        <v>43641</v>
      </c>
      <c r="B3103" s="3">
        <v>433</v>
      </c>
      <c r="C3103" s="4">
        <v>203510</v>
      </c>
      <c r="D3103" s="3">
        <v>677</v>
      </c>
      <c r="E3103" s="4">
        <v>197684</v>
      </c>
      <c r="G3103" s="12">
        <f t="shared" si="197"/>
        <v>2019</v>
      </c>
      <c r="H3103" s="12">
        <f t="shared" si="198"/>
        <v>6</v>
      </c>
      <c r="I3103" s="11">
        <f t="shared" si="199"/>
        <v>102</v>
      </c>
      <c r="J3103" s="11"/>
    </row>
    <row r="3104" spans="1:10" x14ac:dyDescent="0.25">
      <c r="A3104" s="2">
        <v>43642</v>
      </c>
      <c r="B3104" s="3">
        <v>483</v>
      </c>
      <c r="C3104" s="4">
        <v>227010</v>
      </c>
      <c r="D3104" s="3">
        <v>712</v>
      </c>
      <c r="E3104" s="4">
        <v>207904</v>
      </c>
      <c r="G3104" s="12">
        <f t="shared" si="197"/>
        <v>2019</v>
      </c>
      <c r="H3104" s="12">
        <f t="shared" si="198"/>
        <v>6</v>
      </c>
      <c r="I3104" s="11">
        <f t="shared" si="199"/>
        <v>102</v>
      </c>
      <c r="J3104" s="11"/>
    </row>
    <row r="3105" spans="1:10" x14ac:dyDescent="0.25">
      <c r="A3105" s="2">
        <v>43643</v>
      </c>
      <c r="B3105" s="3">
        <v>449</v>
      </c>
      <c r="C3105" s="4">
        <v>211030</v>
      </c>
      <c r="D3105" s="3">
        <v>758</v>
      </c>
      <c r="E3105" s="4">
        <v>221336</v>
      </c>
      <c r="G3105" s="12">
        <f t="shared" si="197"/>
        <v>2019</v>
      </c>
      <c r="H3105" s="12">
        <f t="shared" si="198"/>
        <v>6</v>
      </c>
      <c r="I3105" s="11">
        <f t="shared" si="199"/>
        <v>102</v>
      </c>
      <c r="J3105" s="11"/>
    </row>
    <row r="3106" spans="1:10" x14ac:dyDescent="0.25">
      <c r="A3106" s="2">
        <v>43644</v>
      </c>
      <c r="B3106" s="3">
        <v>538</v>
      </c>
      <c r="C3106" s="4">
        <v>252860</v>
      </c>
      <c r="D3106" s="3">
        <v>797</v>
      </c>
      <c r="E3106" s="4">
        <v>232724</v>
      </c>
      <c r="G3106" s="12">
        <f t="shared" si="197"/>
        <v>2019</v>
      </c>
      <c r="H3106" s="12">
        <f t="shared" si="198"/>
        <v>6</v>
      </c>
      <c r="I3106" s="11">
        <f t="shared" si="199"/>
        <v>102</v>
      </c>
      <c r="J3106" s="11"/>
    </row>
    <row r="3107" spans="1:10" x14ac:dyDescent="0.25">
      <c r="A3107" s="2">
        <v>43645</v>
      </c>
      <c r="B3107" s="3">
        <v>382</v>
      </c>
      <c r="C3107" s="4">
        <v>179540</v>
      </c>
      <c r="D3107" s="3">
        <v>776</v>
      </c>
      <c r="E3107" s="4">
        <v>226592</v>
      </c>
      <c r="G3107" s="12">
        <f t="shared" si="197"/>
        <v>2019</v>
      </c>
      <c r="H3107" s="12">
        <f t="shared" si="198"/>
        <v>6</v>
      </c>
      <c r="I3107" s="11">
        <f t="shared" si="199"/>
        <v>102</v>
      </c>
      <c r="J3107" s="11"/>
    </row>
    <row r="3108" spans="1:10" x14ac:dyDescent="0.25">
      <c r="A3108" s="2">
        <v>43646</v>
      </c>
      <c r="B3108" s="3">
        <v>437</v>
      </c>
      <c r="C3108" s="4">
        <v>205390</v>
      </c>
      <c r="D3108" s="3">
        <v>754</v>
      </c>
      <c r="E3108" s="4">
        <v>220168</v>
      </c>
      <c r="G3108" s="12">
        <f t="shared" si="197"/>
        <v>2019</v>
      </c>
      <c r="H3108" s="12">
        <f t="shared" si="198"/>
        <v>6</v>
      </c>
      <c r="I3108" s="11">
        <f t="shared" si="199"/>
        <v>102</v>
      </c>
      <c r="J3108" s="11"/>
    </row>
    <row r="3109" spans="1:10" x14ac:dyDescent="0.25">
      <c r="A3109" s="2">
        <v>43647</v>
      </c>
      <c r="B3109" s="3">
        <v>421</v>
      </c>
      <c r="C3109" s="4">
        <v>197870</v>
      </c>
      <c r="D3109" s="3">
        <v>317</v>
      </c>
      <c r="E3109" s="4">
        <v>231410</v>
      </c>
      <c r="G3109" s="12">
        <f t="shared" si="197"/>
        <v>2019</v>
      </c>
      <c r="H3109" s="12">
        <f t="shared" si="198"/>
        <v>7</v>
      </c>
      <c r="I3109" s="11">
        <f t="shared" si="199"/>
        <v>103</v>
      </c>
      <c r="J3109" s="11"/>
    </row>
    <row r="3110" spans="1:10" x14ac:dyDescent="0.25">
      <c r="A3110" s="2">
        <v>43648</v>
      </c>
      <c r="B3110" s="3">
        <v>555</v>
      </c>
      <c r="C3110" s="4">
        <v>260850</v>
      </c>
      <c r="D3110" s="3">
        <v>322</v>
      </c>
      <c r="E3110" s="4">
        <v>235060</v>
      </c>
      <c r="G3110" s="12">
        <f t="shared" si="197"/>
        <v>2019</v>
      </c>
      <c r="H3110" s="12">
        <f t="shared" si="198"/>
        <v>7</v>
      </c>
      <c r="I3110" s="11">
        <f t="shared" si="199"/>
        <v>103</v>
      </c>
      <c r="J3110" s="11"/>
    </row>
    <row r="3111" spans="1:10" x14ac:dyDescent="0.25">
      <c r="A3111" s="2">
        <v>43649</v>
      </c>
      <c r="B3111" s="3">
        <v>370</v>
      </c>
      <c r="C3111" s="4">
        <v>173900</v>
      </c>
      <c r="D3111" s="3">
        <v>283</v>
      </c>
      <c r="E3111" s="4">
        <v>206590</v>
      </c>
      <c r="G3111" s="12">
        <f t="shared" si="197"/>
        <v>2019</v>
      </c>
      <c r="H3111" s="12">
        <f t="shared" si="198"/>
        <v>7</v>
      </c>
      <c r="I3111" s="11">
        <f t="shared" si="199"/>
        <v>103</v>
      </c>
      <c r="J3111" s="11"/>
    </row>
    <row r="3112" spans="1:10" x14ac:dyDescent="0.25">
      <c r="A3112" s="2">
        <v>43650</v>
      </c>
      <c r="B3112" s="3">
        <v>521</v>
      </c>
      <c r="C3112" s="4">
        <v>244870</v>
      </c>
      <c r="D3112" s="3">
        <v>317</v>
      </c>
      <c r="E3112" s="4">
        <v>231410</v>
      </c>
      <c r="G3112" s="12">
        <f t="shared" si="197"/>
        <v>2019</v>
      </c>
      <c r="H3112" s="12">
        <f t="shared" si="198"/>
        <v>7</v>
      </c>
      <c r="I3112" s="11">
        <f t="shared" si="199"/>
        <v>103</v>
      </c>
      <c r="J3112" s="11"/>
    </row>
    <row r="3113" spans="1:10" x14ac:dyDescent="0.25">
      <c r="A3113" s="2">
        <v>43651</v>
      </c>
      <c r="B3113" s="3">
        <v>414</v>
      </c>
      <c r="C3113" s="4">
        <v>194580</v>
      </c>
      <c r="D3113" s="3">
        <v>250</v>
      </c>
      <c r="E3113" s="4">
        <v>182500</v>
      </c>
      <c r="G3113" s="12">
        <f t="shared" si="197"/>
        <v>2019</v>
      </c>
      <c r="H3113" s="12">
        <f t="shared" si="198"/>
        <v>7</v>
      </c>
      <c r="I3113" s="11">
        <f t="shared" si="199"/>
        <v>103</v>
      </c>
      <c r="J3113" s="11"/>
    </row>
    <row r="3114" spans="1:10" x14ac:dyDescent="0.25">
      <c r="A3114" s="2">
        <v>43652</v>
      </c>
      <c r="B3114" s="3">
        <v>447</v>
      </c>
      <c r="C3114" s="4">
        <v>210090</v>
      </c>
      <c r="D3114" s="3">
        <v>239</v>
      </c>
      <c r="E3114" s="4">
        <v>174470</v>
      </c>
      <c r="G3114" s="12">
        <f t="shared" si="197"/>
        <v>2019</v>
      </c>
      <c r="H3114" s="12">
        <f t="shared" si="198"/>
        <v>7</v>
      </c>
      <c r="I3114" s="11">
        <f t="shared" si="199"/>
        <v>103</v>
      </c>
      <c r="J3114" s="11"/>
    </row>
    <row r="3115" spans="1:10" x14ac:dyDescent="0.25">
      <c r="A3115" s="2">
        <v>43653</v>
      </c>
      <c r="B3115" s="3">
        <v>485</v>
      </c>
      <c r="C3115" s="4">
        <v>227950</v>
      </c>
      <c r="D3115" s="3">
        <v>292</v>
      </c>
      <c r="E3115" s="4">
        <v>213160</v>
      </c>
      <c r="G3115" s="12">
        <f t="shared" si="197"/>
        <v>2019</v>
      </c>
      <c r="H3115" s="12">
        <f t="shared" si="198"/>
        <v>7</v>
      </c>
      <c r="I3115" s="11">
        <f t="shared" si="199"/>
        <v>103</v>
      </c>
      <c r="J3115" s="11"/>
    </row>
    <row r="3116" spans="1:10" x14ac:dyDescent="0.25">
      <c r="A3116" s="2">
        <v>43654</v>
      </c>
      <c r="B3116" s="3">
        <v>453</v>
      </c>
      <c r="C3116" s="4">
        <v>212910</v>
      </c>
      <c r="D3116" s="3">
        <v>324</v>
      </c>
      <c r="E3116" s="4">
        <v>236520</v>
      </c>
      <c r="G3116" s="12">
        <f t="shared" si="197"/>
        <v>2019</v>
      </c>
      <c r="H3116" s="12">
        <f t="shared" si="198"/>
        <v>7</v>
      </c>
      <c r="I3116" s="11">
        <f t="shared" si="199"/>
        <v>103</v>
      </c>
      <c r="J3116" s="11"/>
    </row>
    <row r="3117" spans="1:10" x14ac:dyDescent="0.25">
      <c r="A3117" s="2">
        <v>43655</v>
      </c>
      <c r="B3117" s="3">
        <v>465</v>
      </c>
      <c r="C3117" s="4">
        <v>218550</v>
      </c>
      <c r="D3117" s="3">
        <v>255</v>
      </c>
      <c r="E3117" s="4">
        <v>186150</v>
      </c>
      <c r="G3117" s="12">
        <f t="shared" si="197"/>
        <v>2019</v>
      </c>
      <c r="H3117" s="12">
        <f t="shared" si="198"/>
        <v>7</v>
      </c>
      <c r="I3117" s="11">
        <f t="shared" si="199"/>
        <v>103</v>
      </c>
      <c r="J3117" s="11"/>
    </row>
    <row r="3118" spans="1:10" x14ac:dyDescent="0.25">
      <c r="A3118" s="2">
        <v>43656</v>
      </c>
      <c r="B3118" s="3">
        <v>496</v>
      </c>
      <c r="C3118" s="4">
        <v>233120</v>
      </c>
      <c r="D3118" s="3">
        <v>346</v>
      </c>
      <c r="E3118" s="4">
        <v>252580</v>
      </c>
      <c r="G3118" s="12">
        <f t="shared" si="197"/>
        <v>2019</v>
      </c>
      <c r="H3118" s="12">
        <f t="shared" si="198"/>
        <v>7</v>
      </c>
      <c r="I3118" s="11">
        <f t="shared" si="199"/>
        <v>103</v>
      </c>
      <c r="J3118" s="11"/>
    </row>
    <row r="3119" spans="1:10" x14ac:dyDescent="0.25">
      <c r="A3119" s="2">
        <v>43657</v>
      </c>
      <c r="B3119" s="3">
        <v>483</v>
      </c>
      <c r="C3119" s="4">
        <v>227010</v>
      </c>
      <c r="D3119" s="3">
        <v>305</v>
      </c>
      <c r="E3119" s="4">
        <v>222650</v>
      </c>
      <c r="G3119" s="12">
        <f t="shared" si="197"/>
        <v>2019</v>
      </c>
      <c r="H3119" s="12">
        <f t="shared" si="198"/>
        <v>7</v>
      </c>
      <c r="I3119" s="11">
        <f t="shared" si="199"/>
        <v>103</v>
      </c>
      <c r="J3119" s="11"/>
    </row>
    <row r="3120" spans="1:10" x14ac:dyDescent="0.25">
      <c r="A3120" s="2">
        <v>43658</v>
      </c>
      <c r="B3120" s="3">
        <v>442</v>
      </c>
      <c r="C3120" s="4">
        <v>207740</v>
      </c>
      <c r="D3120" s="3">
        <v>312</v>
      </c>
      <c r="E3120" s="4">
        <v>227760</v>
      </c>
      <c r="G3120" s="12">
        <f t="shared" si="197"/>
        <v>2019</v>
      </c>
      <c r="H3120" s="12">
        <f t="shared" si="198"/>
        <v>7</v>
      </c>
      <c r="I3120" s="11">
        <f t="shared" si="199"/>
        <v>103</v>
      </c>
      <c r="J3120" s="11"/>
    </row>
    <row r="3121" spans="1:10" x14ac:dyDescent="0.25">
      <c r="A3121" s="2">
        <v>43659</v>
      </c>
      <c r="B3121" s="3">
        <v>428</v>
      </c>
      <c r="C3121" s="4">
        <v>201160</v>
      </c>
      <c r="D3121" s="3">
        <v>255</v>
      </c>
      <c r="E3121" s="4">
        <v>186150</v>
      </c>
      <c r="G3121" s="12">
        <f t="shared" si="197"/>
        <v>2019</v>
      </c>
      <c r="H3121" s="12">
        <f t="shared" si="198"/>
        <v>7</v>
      </c>
      <c r="I3121" s="11">
        <f t="shared" si="199"/>
        <v>103</v>
      </c>
      <c r="J3121" s="11"/>
    </row>
    <row r="3122" spans="1:10" x14ac:dyDescent="0.25">
      <c r="A3122" s="2">
        <v>43660</v>
      </c>
      <c r="B3122" s="3">
        <v>501</v>
      </c>
      <c r="C3122" s="4">
        <v>235470</v>
      </c>
      <c r="D3122" s="3">
        <v>289</v>
      </c>
      <c r="E3122" s="4">
        <v>210970</v>
      </c>
      <c r="G3122" s="12">
        <f t="shared" si="197"/>
        <v>2019</v>
      </c>
      <c r="H3122" s="12">
        <f t="shared" si="198"/>
        <v>7</v>
      </c>
      <c r="I3122" s="11">
        <f t="shared" si="199"/>
        <v>103</v>
      </c>
      <c r="J3122" s="11"/>
    </row>
    <row r="3123" spans="1:10" x14ac:dyDescent="0.25">
      <c r="A3123" s="2">
        <v>43661</v>
      </c>
      <c r="B3123" s="3">
        <v>493</v>
      </c>
      <c r="C3123" s="4">
        <v>231710</v>
      </c>
      <c r="D3123" s="3">
        <v>308</v>
      </c>
      <c r="E3123" s="4">
        <v>224840</v>
      </c>
      <c r="G3123" s="12">
        <f t="shared" si="197"/>
        <v>2019</v>
      </c>
      <c r="H3123" s="12">
        <f t="shared" si="198"/>
        <v>7</v>
      </c>
      <c r="I3123" s="11">
        <f t="shared" si="199"/>
        <v>103</v>
      </c>
      <c r="J3123" s="11"/>
    </row>
    <row r="3124" spans="1:10" x14ac:dyDescent="0.25">
      <c r="A3124" s="2">
        <v>43662</v>
      </c>
      <c r="B3124" s="3">
        <v>420</v>
      </c>
      <c r="C3124" s="4">
        <v>197400</v>
      </c>
      <c r="D3124" s="3">
        <v>296</v>
      </c>
      <c r="E3124" s="4">
        <v>216080</v>
      </c>
      <c r="G3124" s="12">
        <f t="shared" si="197"/>
        <v>2019</v>
      </c>
      <c r="H3124" s="12">
        <f t="shared" si="198"/>
        <v>7</v>
      </c>
      <c r="I3124" s="11">
        <f t="shared" si="199"/>
        <v>103</v>
      </c>
      <c r="J3124" s="11"/>
    </row>
    <row r="3125" spans="1:10" x14ac:dyDescent="0.25">
      <c r="A3125" s="2">
        <v>43663</v>
      </c>
      <c r="B3125" s="3">
        <v>433</v>
      </c>
      <c r="C3125" s="4">
        <v>203510</v>
      </c>
      <c r="D3125" s="3">
        <v>267</v>
      </c>
      <c r="E3125" s="4">
        <v>194910</v>
      </c>
      <c r="G3125" s="12">
        <f t="shared" si="197"/>
        <v>2019</v>
      </c>
      <c r="H3125" s="12">
        <f t="shared" si="198"/>
        <v>7</v>
      </c>
      <c r="I3125" s="11">
        <f t="shared" si="199"/>
        <v>103</v>
      </c>
      <c r="J3125" s="11"/>
    </row>
    <row r="3126" spans="1:10" x14ac:dyDescent="0.25">
      <c r="A3126" s="2">
        <v>43664</v>
      </c>
      <c r="B3126" s="3">
        <v>514</v>
      </c>
      <c r="C3126" s="4">
        <v>241580</v>
      </c>
      <c r="D3126" s="3">
        <v>308</v>
      </c>
      <c r="E3126" s="4">
        <v>224840</v>
      </c>
      <c r="G3126" s="12">
        <f t="shared" si="197"/>
        <v>2019</v>
      </c>
      <c r="H3126" s="12">
        <f t="shared" si="198"/>
        <v>7</v>
      </c>
      <c r="I3126" s="11">
        <f t="shared" si="199"/>
        <v>103</v>
      </c>
      <c r="J3126" s="11"/>
    </row>
    <row r="3127" spans="1:10" x14ac:dyDescent="0.25">
      <c r="A3127" s="2">
        <v>43665</v>
      </c>
      <c r="B3127" s="3">
        <v>511</v>
      </c>
      <c r="C3127" s="4">
        <v>240170</v>
      </c>
      <c r="D3127" s="3">
        <v>350</v>
      </c>
      <c r="E3127" s="4">
        <v>255500</v>
      </c>
      <c r="G3127" s="12">
        <f t="shared" si="197"/>
        <v>2019</v>
      </c>
      <c r="H3127" s="12">
        <f t="shared" si="198"/>
        <v>7</v>
      </c>
      <c r="I3127" s="11">
        <f t="shared" si="199"/>
        <v>103</v>
      </c>
      <c r="J3127" s="11"/>
    </row>
    <row r="3128" spans="1:10" x14ac:dyDescent="0.25">
      <c r="A3128" s="2">
        <v>43666</v>
      </c>
      <c r="B3128" s="3">
        <v>464</v>
      </c>
      <c r="C3128" s="4">
        <v>218080</v>
      </c>
      <c r="D3128" s="3">
        <v>318</v>
      </c>
      <c r="E3128" s="4">
        <v>232140</v>
      </c>
      <c r="G3128" s="12">
        <f t="shared" si="197"/>
        <v>2019</v>
      </c>
      <c r="H3128" s="12">
        <f t="shared" si="198"/>
        <v>7</v>
      </c>
      <c r="I3128" s="11">
        <f t="shared" si="199"/>
        <v>103</v>
      </c>
      <c r="J3128" s="11"/>
    </row>
    <row r="3129" spans="1:10" x14ac:dyDescent="0.25">
      <c r="A3129" s="2">
        <v>43667</v>
      </c>
      <c r="B3129" s="3">
        <v>505</v>
      </c>
      <c r="C3129" s="4">
        <v>237350</v>
      </c>
      <c r="D3129" s="3">
        <v>243</v>
      </c>
      <c r="E3129" s="4">
        <v>177390</v>
      </c>
      <c r="G3129" s="12">
        <f t="shared" si="197"/>
        <v>2019</v>
      </c>
      <c r="H3129" s="12">
        <f t="shared" si="198"/>
        <v>7</v>
      </c>
      <c r="I3129" s="11">
        <f t="shared" si="199"/>
        <v>103</v>
      </c>
      <c r="J3129" s="11"/>
    </row>
    <row r="3130" spans="1:10" x14ac:dyDescent="0.25">
      <c r="A3130" s="2">
        <v>43668</v>
      </c>
      <c r="B3130" s="3">
        <v>526</v>
      </c>
      <c r="C3130" s="4">
        <v>247220</v>
      </c>
      <c r="D3130" s="3">
        <v>265</v>
      </c>
      <c r="E3130" s="4">
        <v>193450</v>
      </c>
      <c r="G3130" s="12">
        <f t="shared" si="197"/>
        <v>2019</v>
      </c>
      <c r="H3130" s="12">
        <f t="shared" si="198"/>
        <v>7</v>
      </c>
      <c r="I3130" s="11">
        <f t="shared" si="199"/>
        <v>103</v>
      </c>
      <c r="J3130" s="11"/>
    </row>
    <row r="3131" spans="1:10" x14ac:dyDescent="0.25">
      <c r="A3131" s="2">
        <v>43669</v>
      </c>
      <c r="B3131" s="3">
        <v>517</v>
      </c>
      <c r="C3131" s="4">
        <v>242990</v>
      </c>
      <c r="D3131" s="3">
        <v>310</v>
      </c>
      <c r="E3131" s="4">
        <v>226300</v>
      </c>
      <c r="G3131" s="12">
        <f t="shared" si="197"/>
        <v>2019</v>
      </c>
      <c r="H3131" s="12">
        <f t="shared" si="198"/>
        <v>7</v>
      </c>
      <c r="I3131" s="11">
        <f t="shared" si="199"/>
        <v>103</v>
      </c>
      <c r="J3131" s="11"/>
    </row>
    <row r="3132" spans="1:10" x14ac:dyDescent="0.25">
      <c r="A3132" s="2">
        <v>43670</v>
      </c>
      <c r="B3132" s="3">
        <v>485</v>
      </c>
      <c r="C3132" s="4">
        <v>227950</v>
      </c>
      <c r="D3132" s="3">
        <v>288</v>
      </c>
      <c r="E3132" s="4">
        <v>210240</v>
      </c>
      <c r="G3132" s="12">
        <f t="shared" si="197"/>
        <v>2019</v>
      </c>
      <c r="H3132" s="12">
        <f t="shared" si="198"/>
        <v>7</v>
      </c>
      <c r="I3132" s="11">
        <f t="shared" si="199"/>
        <v>103</v>
      </c>
      <c r="J3132" s="11"/>
    </row>
    <row r="3133" spans="1:10" x14ac:dyDescent="0.25">
      <c r="A3133" s="2">
        <v>43671</v>
      </c>
      <c r="B3133" s="3">
        <v>448</v>
      </c>
      <c r="C3133" s="4">
        <v>210560</v>
      </c>
      <c r="D3133" s="3">
        <v>308</v>
      </c>
      <c r="E3133" s="4">
        <v>224840</v>
      </c>
      <c r="G3133" s="12">
        <f t="shared" si="197"/>
        <v>2019</v>
      </c>
      <c r="H3133" s="12">
        <f t="shared" si="198"/>
        <v>7</v>
      </c>
      <c r="I3133" s="11">
        <f t="shared" si="199"/>
        <v>103</v>
      </c>
      <c r="J3133" s="11"/>
    </row>
    <row r="3134" spans="1:10" x14ac:dyDescent="0.25">
      <c r="A3134" s="2">
        <v>43672</v>
      </c>
      <c r="B3134" s="3">
        <v>534</v>
      </c>
      <c r="C3134" s="4">
        <v>250980</v>
      </c>
      <c r="D3134" s="3">
        <v>336</v>
      </c>
      <c r="E3134" s="4">
        <v>245280</v>
      </c>
      <c r="G3134" s="12">
        <f t="shared" si="197"/>
        <v>2019</v>
      </c>
      <c r="H3134" s="12">
        <f t="shared" si="198"/>
        <v>7</v>
      </c>
      <c r="I3134" s="11">
        <f t="shared" si="199"/>
        <v>103</v>
      </c>
      <c r="J3134" s="11"/>
    </row>
    <row r="3135" spans="1:10" x14ac:dyDescent="0.25">
      <c r="A3135" s="2">
        <v>43673</v>
      </c>
      <c r="B3135" s="3">
        <v>496</v>
      </c>
      <c r="C3135" s="4">
        <v>233120</v>
      </c>
      <c r="D3135" s="3">
        <v>312</v>
      </c>
      <c r="E3135" s="4">
        <v>227760</v>
      </c>
      <c r="G3135" s="12">
        <f t="shared" si="197"/>
        <v>2019</v>
      </c>
      <c r="H3135" s="12">
        <f t="shared" si="198"/>
        <v>7</v>
      </c>
      <c r="I3135" s="11">
        <f t="shared" si="199"/>
        <v>103</v>
      </c>
      <c r="J3135" s="11"/>
    </row>
    <row r="3136" spans="1:10" x14ac:dyDescent="0.25">
      <c r="A3136" s="2">
        <v>43674</v>
      </c>
      <c r="B3136" s="3">
        <v>431</v>
      </c>
      <c r="C3136" s="4">
        <v>202570</v>
      </c>
      <c r="D3136" s="3">
        <v>323</v>
      </c>
      <c r="E3136" s="4">
        <v>235790</v>
      </c>
      <c r="G3136" s="12">
        <f t="shared" si="197"/>
        <v>2019</v>
      </c>
      <c r="H3136" s="12">
        <f t="shared" si="198"/>
        <v>7</v>
      </c>
      <c r="I3136" s="11">
        <f t="shared" si="199"/>
        <v>103</v>
      </c>
      <c r="J3136" s="11"/>
    </row>
    <row r="3137" spans="1:10" x14ac:dyDescent="0.25">
      <c r="A3137" s="2">
        <v>43675</v>
      </c>
      <c r="B3137" s="3">
        <v>518</v>
      </c>
      <c r="C3137" s="4">
        <v>243460</v>
      </c>
      <c r="D3137" s="3">
        <v>281</v>
      </c>
      <c r="E3137" s="4">
        <v>205130</v>
      </c>
      <c r="G3137" s="12">
        <f t="shared" si="197"/>
        <v>2019</v>
      </c>
      <c r="H3137" s="12">
        <f t="shared" si="198"/>
        <v>7</v>
      </c>
      <c r="I3137" s="11">
        <f t="shared" si="199"/>
        <v>103</v>
      </c>
      <c r="J3137" s="11"/>
    </row>
    <row r="3138" spans="1:10" x14ac:dyDescent="0.25">
      <c r="A3138" s="2">
        <v>43676</v>
      </c>
      <c r="B3138" s="3">
        <v>478</v>
      </c>
      <c r="C3138" s="4">
        <v>224660</v>
      </c>
      <c r="D3138" s="3">
        <v>307</v>
      </c>
      <c r="E3138" s="4">
        <v>224110</v>
      </c>
      <c r="G3138" s="12">
        <f t="shared" si="197"/>
        <v>2019</v>
      </c>
      <c r="H3138" s="12">
        <f t="shared" si="198"/>
        <v>7</v>
      </c>
      <c r="I3138" s="11">
        <f t="shared" si="199"/>
        <v>103</v>
      </c>
      <c r="J3138" s="11"/>
    </row>
    <row r="3139" spans="1:10" x14ac:dyDescent="0.25">
      <c r="A3139" s="2">
        <v>43677</v>
      </c>
      <c r="B3139" s="3">
        <v>477</v>
      </c>
      <c r="C3139" s="4">
        <v>224190</v>
      </c>
      <c r="D3139" s="3">
        <v>366</v>
      </c>
      <c r="E3139" s="4">
        <v>267180</v>
      </c>
      <c r="G3139" s="12">
        <f t="shared" si="197"/>
        <v>2019</v>
      </c>
      <c r="H3139" s="12">
        <f t="shared" si="198"/>
        <v>7</v>
      </c>
      <c r="I3139" s="11">
        <f t="shared" si="199"/>
        <v>103</v>
      </c>
      <c r="J3139" s="11"/>
    </row>
    <row r="3140" spans="1:10" x14ac:dyDescent="0.25">
      <c r="A3140" s="2">
        <v>43678</v>
      </c>
      <c r="B3140" s="3">
        <v>624</v>
      </c>
      <c r="C3140" s="4">
        <v>293280</v>
      </c>
      <c r="D3140" s="3">
        <v>310</v>
      </c>
      <c r="E3140" s="4">
        <v>226300</v>
      </c>
      <c r="G3140" s="12">
        <f t="shared" si="197"/>
        <v>2019</v>
      </c>
      <c r="H3140" s="12">
        <f t="shared" si="198"/>
        <v>8</v>
      </c>
      <c r="I3140" s="11">
        <f t="shared" si="199"/>
        <v>104</v>
      </c>
      <c r="J3140" s="11"/>
    </row>
    <row r="3141" spans="1:10" x14ac:dyDescent="0.25">
      <c r="A3141" s="2">
        <v>43679</v>
      </c>
      <c r="B3141" s="3">
        <v>614</v>
      </c>
      <c r="C3141" s="4">
        <v>288580</v>
      </c>
      <c r="D3141" s="3">
        <v>298</v>
      </c>
      <c r="E3141" s="4">
        <v>217540</v>
      </c>
      <c r="G3141" s="12">
        <f t="shared" si="197"/>
        <v>2019</v>
      </c>
      <c r="H3141" s="12">
        <f t="shared" si="198"/>
        <v>8</v>
      </c>
      <c r="I3141" s="11">
        <f t="shared" si="199"/>
        <v>104</v>
      </c>
      <c r="J3141" s="11"/>
    </row>
    <row r="3142" spans="1:10" x14ac:dyDescent="0.25">
      <c r="A3142" s="2">
        <v>43680</v>
      </c>
      <c r="B3142" s="3">
        <v>767</v>
      </c>
      <c r="C3142" s="4">
        <v>360490</v>
      </c>
      <c r="D3142" s="3">
        <v>320</v>
      </c>
      <c r="E3142" s="4">
        <v>233600</v>
      </c>
      <c r="G3142" s="12">
        <f t="shared" ref="G3142:G3205" si="200">+YEAR(A3142)</f>
        <v>2019</v>
      </c>
      <c r="H3142" s="12">
        <f t="shared" ref="H3142:H3205" si="201">+MONTH(A3142)</f>
        <v>8</v>
      </c>
      <c r="I3142" s="11">
        <f t="shared" si="199"/>
        <v>104</v>
      </c>
      <c r="J3142" s="11"/>
    </row>
    <row r="3143" spans="1:10" x14ac:dyDescent="0.25">
      <c r="A3143" s="2">
        <v>43681</v>
      </c>
      <c r="B3143" s="3">
        <v>648</v>
      </c>
      <c r="C3143" s="4">
        <v>304560</v>
      </c>
      <c r="D3143" s="3">
        <v>299</v>
      </c>
      <c r="E3143" s="4">
        <v>218270</v>
      </c>
      <c r="G3143" s="12">
        <f t="shared" si="200"/>
        <v>2019</v>
      </c>
      <c r="H3143" s="12">
        <f t="shared" si="201"/>
        <v>8</v>
      </c>
      <c r="I3143" s="11">
        <f t="shared" ref="I3143:I3206" si="202">+H3143+(G3143-2011)*12</f>
        <v>104</v>
      </c>
      <c r="J3143" s="11"/>
    </row>
    <row r="3144" spans="1:10" x14ac:dyDescent="0.25">
      <c r="A3144" s="2">
        <v>43682</v>
      </c>
      <c r="B3144" s="3">
        <v>729</v>
      </c>
      <c r="C3144" s="4">
        <v>342630</v>
      </c>
      <c r="D3144" s="3">
        <v>303</v>
      </c>
      <c r="E3144" s="4">
        <v>221190</v>
      </c>
      <c r="G3144" s="12">
        <f t="shared" si="200"/>
        <v>2019</v>
      </c>
      <c r="H3144" s="12">
        <f t="shared" si="201"/>
        <v>8</v>
      </c>
      <c r="I3144" s="11">
        <f t="shared" si="202"/>
        <v>104</v>
      </c>
      <c r="J3144" s="11"/>
    </row>
    <row r="3145" spans="1:10" x14ac:dyDescent="0.25">
      <c r="A3145" s="2">
        <v>43683</v>
      </c>
      <c r="B3145" s="3">
        <v>761</v>
      </c>
      <c r="C3145" s="4">
        <v>357670</v>
      </c>
      <c r="D3145" s="3">
        <v>282</v>
      </c>
      <c r="E3145" s="4">
        <v>205860</v>
      </c>
      <c r="G3145" s="12">
        <f t="shared" si="200"/>
        <v>2019</v>
      </c>
      <c r="H3145" s="12">
        <f t="shared" si="201"/>
        <v>8</v>
      </c>
      <c r="I3145" s="11">
        <f t="shared" si="202"/>
        <v>104</v>
      </c>
      <c r="J3145" s="11"/>
    </row>
    <row r="3146" spans="1:10" x14ac:dyDescent="0.25">
      <c r="A3146" s="2">
        <v>43684</v>
      </c>
      <c r="B3146" s="3">
        <v>761</v>
      </c>
      <c r="C3146" s="4">
        <v>357670</v>
      </c>
      <c r="D3146" s="3">
        <v>324</v>
      </c>
      <c r="E3146" s="4">
        <v>236520</v>
      </c>
      <c r="G3146" s="12">
        <f t="shared" si="200"/>
        <v>2019</v>
      </c>
      <c r="H3146" s="12">
        <f t="shared" si="201"/>
        <v>8</v>
      </c>
      <c r="I3146" s="11">
        <f t="shared" si="202"/>
        <v>104</v>
      </c>
      <c r="J3146" s="11"/>
    </row>
    <row r="3147" spans="1:10" x14ac:dyDescent="0.25">
      <c r="A3147" s="2">
        <v>43685</v>
      </c>
      <c r="B3147" s="3">
        <v>707</v>
      </c>
      <c r="C3147" s="4">
        <v>332290</v>
      </c>
      <c r="D3147" s="3">
        <v>301</v>
      </c>
      <c r="E3147" s="4">
        <v>219730</v>
      </c>
      <c r="G3147" s="12">
        <f t="shared" si="200"/>
        <v>2019</v>
      </c>
      <c r="H3147" s="12">
        <f t="shared" si="201"/>
        <v>8</v>
      </c>
      <c r="I3147" s="11">
        <f t="shared" si="202"/>
        <v>104</v>
      </c>
      <c r="J3147" s="11"/>
    </row>
    <row r="3148" spans="1:10" x14ac:dyDescent="0.25">
      <c r="A3148" s="2">
        <v>43686</v>
      </c>
      <c r="B3148" s="3">
        <v>663</v>
      </c>
      <c r="C3148" s="4">
        <v>311610</v>
      </c>
      <c r="D3148" s="3">
        <v>343</v>
      </c>
      <c r="E3148" s="4">
        <v>250390</v>
      </c>
      <c r="G3148" s="12">
        <f t="shared" si="200"/>
        <v>2019</v>
      </c>
      <c r="H3148" s="12">
        <f t="shared" si="201"/>
        <v>8</v>
      </c>
      <c r="I3148" s="11">
        <f t="shared" si="202"/>
        <v>104</v>
      </c>
      <c r="J3148" s="11"/>
    </row>
    <row r="3149" spans="1:10" x14ac:dyDescent="0.25">
      <c r="A3149" s="2">
        <v>43687</v>
      </c>
      <c r="B3149" s="3">
        <v>785</v>
      </c>
      <c r="C3149" s="4">
        <v>368950</v>
      </c>
      <c r="D3149" s="3">
        <v>312</v>
      </c>
      <c r="E3149" s="4">
        <v>227760</v>
      </c>
      <c r="G3149" s="12">
        <f t="shared" si="200"/>
        <v>2019</v>
      </c>
      <c r="H3149" s="12">
        <f t="shared" si="201"/>
        <v>8</v>
      </c>
      <c r="I3149" s="11">
        <f t="shared" si="202"/>
        <v>104</v>
      </c>
      <c r="J3149" s="11"/>
    </row>
    <row r="3150" spans="1:10" x14ac:dyDescent="0.25">
      <c r="A3150" s="2">
        <v>43688</v>
      </c>
      <c r="B3150" s="3">
        <v>735</v>
      </c>
      <c r="C3150" s="4">
        <v>345450</v>
      </c>
      <c r="D3150" s="3">
        <v>306</v>
      </c>
      <c r="E3150" s="4">
        <v>223380</v>
      </c>
      <c r="G3150" s="12">
        <f t="shared" si="200"/>
        <v>2019</v>
      </c>
      <c r="H3150" s="12">
        <f t="shared" si="201"/>
        <v>8</v>
      </c>
      <c r="I3150" s="11">
        <f t="shared" si="202"/>
        <v>104</v>
      </c>
      <c r="J3150" s="11"/>
    </row>
    <row r="3151" spans="1:10" x14ac:dyDescent="0.25">
      <c r="A3151" s="2">
        <v>43689</v>
      </c>
      <c r="B3151" s="3">
        <v>835</v>
      </c>
      <c r="C3151" s="4">
        <v>392450</v>
      </c>
      <c r="D3151" s="3">
        <v>266</v>
      </c>
      <c r="E3151" s="4">
        <v>194180</v>
      </c>
      <c r="G3151" s="12">
        <f t="shared" si="200"/>
        <v>2019</v>
      </c>
      <c r="H3151" s="12">
        <f t="shared" si="201"/>
        <v>8</v>
      </c>
      <c r="I3151" s="11">
        <f t="shared" si="202"/>
        <v>104</v>
      </c>
      <c r="J3151" s="11"/>
    </row>
    <row r="3152" spans="1:10" x14ac:dyDescent="0.25">
      <c r="A3152" s="2">
        <v>43690</v>
      </c>
      <c r="B3152" s="3">
        <v>689</v>
      </c>
      <c r="C3152" s="4">
        <v>323830</v>
      </c>
      <c r="D3152" s="3">
        <v>299</v>
      </c>
      <c r="E3152" s="4">
        <v>218270</v>
      </c>
      <c r="G3152" s="12">
        <f t="shared" si="200"/>
        <v>2019</v>
      </c>
      <c r="H3152" s="12">
        <f t="shared" si="201"/>
        <v>8</v>
      </c>
      <c r="I3152" s="11">
        <f t="shared" si="202"/>
        <v>104</v>
      </c>
      <c r="J3152" s="11"/>
    </row>
    <row r="3153" spans="1:10" x14ac:dyDescent="0.25">
      <c r="A3153" s="2">
        <v>43691</v>
      </c>
      <c r="B3153" s="3">
        <v>767</v>
      </c>
      <c r="C3153" s="4">
        <v>360490</v>
      </c>
      <c r="D3153" s="3">
        <v>257</v>
      </c>
      <c r="E3153" s="4">
        <v>187610</v>
      </c>
      <c r="G3153" s="12">
        <f t="shared" si="200"/>
        <v>2019</v>
      </c>
      <c r="H3153" s="12">
        <f t="shared" si="201"/>
        <v>8</v>
      </c>
      <c r="I3153" s="11">
        <f t="shared" si="202"/>
        <v>104</v>
      </c>
      <c r="J3153" s="11"/>
    </row>
    <row r="3154" spans="1:10" x14ac:dyDescent="0.25">
      <c r="A3154" s="2">
        <v>43692</v>
      </c>
      <c r="B3154" s="3">
        <v>764</v>
      </c>
      <c r="C3154" s="4">
        <v>359080</v>
      </c>
      <c r="D3154" s="3">
        <v>310</v>
      </c>
      <c r="E3154" s="4">
        <v>226300</v>
      </c>
      <c r="G3154" s="12">
        <f t="shared" si="200"/>
        <v>2019</v>
      </c>
      <c r="H3154" s="12">
        <f t="shared" si="201"/>
        <v>8</v>
      </c>
      <c r="I3154" s="11">
        <f t="shared" si="202"/>
        <v>104</v>
      </c>
      <c r="J3154" s="11"/>
    </row>
    <row r="3155" spans="1:10" x14ac:dyDescent="0.25">
      <c r="A3155" s="2">
        <v>43693</v>
      </c>
      <c r="B3155" s="3">
        <v>711</v>
      </c>
      <c r="C3155" s="4">
        <v>334170</v>
      </c>
      <c r="D3155" s="3">
        <v>317</v>
      </c>
      <c r="E3155" s="4">
        <v>231410</v>
      </c>
      <c r="G3155" s="12">
        <f t="shared" si="200"/>
        <v>2019</v>
      </c>
      <c r="H3155" s="12">
        <f t="shared" si="201"/>
        <v>8</v>
      </c>
      <c r="I3155" s="11">
        <f t="shared" si="202"/>
        <v>104</v>
      </c>
      <c r="J3155" s="11"/>
    </row>
    <row r="3156" spans="1:10" x14ac:dyDescent="0.25">
      <c r="A3156" s="2">
        <v>43694</v>
      </c>
      <c r="B3156" s="3">
        <v>667</v>
      </c>
      <c r="C3156" s="4">
        <v>313490</v>
      </c>
      <c r="D3156" s="3">
        <v>322</v>
      </c>
      <c r="E3156" s="4">
        <v>235060</v>
      </c>
      <c r="G3156" s="12">
        <f t="shared" si="200"/>
        <v>2019</v>
      </c>
      <c r="H3156" s="12">
        <f t="shared" si="201"/>
        <v>8</v>
      </c>
      <c r="I3156" s="11">
        <f t="shared" si="202"/>
        <v>104</v>
      </c>
      <c r="J3156" s="11"/>
    </row>
    <row r="3157" spans="1:10" x14ac:dyDescent="0.25">
      <c r="A3157" s="2">
        <v>43695</v>
      </c>
      <c r="B3157" s="3">
        <v>687</v>
      </c>
      <c r="C3157" s="4">
        <v>322890</v>
      </c>
      <c r="D3157" s="3">
        <v>376</v>
      </c>
      <c r="E3157" s="4">
        <v>274480</v>
      </c>
      <c r="G3157" s="12">
        <f t="shared" si="200"/>
        <v>2019</v>
      </c>
      <c r="H3157" s="12">
        <f t="shared" si="201"/>
        <v>8</v>
      </c>
      <c r="I3157" s="11">
        <f t="shared" si="202"/>
        <v>104</v>
      </c>
      <c r="J3157" s="11"/>
    </row>
    <row r="3158" spans="1:10" x14ac:dyDescent="0.25">
      <c r="A3158" s="2">
        <v>43696</v>
      </c>
      <c r="B3158" s="3">
        <v>674</v>
      </c>
      <c r="C3158" s="4">
        <v>316780</v>
      </c>
      <c r="D3158" s="3">
        <v>266</v>
      </c>
      <c r="E3158" s="4">
        <v>194180</v>
      </c>
      <c r="G3158" s="12">
        <f t="shared" si="200"/>
        <v>2019</v>
      </c>
      <c r="H3158" s="12">
        <f t="shared" si="201"/>
        <v>8</v>
      </c>
      <c r="I3158" s="11">
        <f t="shared" si="202"/>
        <v>104</v>
      </c>
      <c r="J3158" s="11"/>
    </row>
    <row r="3159" spans="1:10" x14ac:dyDescent="0.25">
      <c r="A3159" s="2">
        <v>43697</v>
      </c>
      <c r="B3159" s="3">
        <v>706</v>
      </c>
      <c r="C3159" s="4">
        <v>331820</v>
      </c>
      <c r="D3159" s="3">
        <v>321</v>
      </c>
      <c r="E3159" s="4">
        <v>234330</v>
      </c>
      <c r="G3159" s="12">
        <f t="shared" si="200"/>
        <v>2019</v>
      </c>
      <c r="H3159" s="12">
        <f t="shared" si="201"/>
        <v>8</v>
      </c>
      <c r="I3159" s="11">
        <f t="shared" si="202"/>
        <v>104</v>
      </c>
      <c r="J3159" s="11"/>
    </row>
    <row r="3160" spans="1:10" x14ac:dyDescent="0.25">
      <c r="A3160" s="2">
        <v>43698</v>
      </c>
      <c r="B3160" s="3">
        <v>692</v>
      </c>
      <c r="C3160" s="4">
        <v>325240</v>
      </c>
      <c r="D3160" s="3">
        <v>249</v>
      </c>
      <c r="E3160" s="4">
        <v>181770</v>
      </c>
      <c r="G3160" s="12">
        <f t="shared" si="200"/>
        <v>2019</v>
      </c>
      <c r="H3160" s="12">
        <f t="shared" si="201"/>
        <v>8</v>
      </c>
      <c r="I3160" s="11">
        <f t="shared" si="202"/>
        <v>104</v>
      </c>
      <c r="J3160" s="11"/>
    </row>
    <row r="3161" spans="1:10" x14ac:dyDescent="0.25">
      <c r="A3161" s="2">
        <v>43699</v>
      </c>
      <c r="B3161" s="3">
        <v>716</v>
      </c>
      <c r="C3161" s="4">
        <v>336520</v>
      </c>
      <c r="D3161" s="3">
        <v>293</v>
      </c>
      <c r="E3161" s="4">
        <v>213890</v>
      </c>
      <c r="G3161" s="12">
        <f t="shared" si="200"/>
        <v>2019</v>
      </c>
      <c r="H3161" s="12">
        <f t="shared" si="201"/>
        <v>8</v>
      </c>
      <c r="I3161" s="11">
        <f t="shared" si="202"/>
        <v>104</v>
      </c>
      <c r="J3161" s="11"/>
    </row>
    <row r="3162" spans="1:10" x14ac:dyDescent="0.25">
      <c r="A3162" s="2">
        <v>43700</v>
      </c>
      <c r="B3162" s="3">
        <v>733</v>
      </c>
      <c r="C3162" s="4">
        <v>344510</v>
      </c>
      <c r="D3162" s="3">
        <v>251</v>
      </c>
      <c r="E3162" s="4">
        <v>183230</v>
      </c>
      <c r="G3162" s="12">
        <f t="shared" si="200"/>
        <v>2019</v>
      </c>
      <c r="H3162" s="12">
        <f t="shared" si="201"/>
        <v>8</v>
      </c>
      <c r="I3162" s="11">
        <f t="shared" si="202"/>
        <v>104</v>
      </c>
      <c r="J3162" s="11"/>
    </row>
    <row r="3163" spans="1:10" x14ac:dyDescent="0.25">
      <c r="A3163" s="2">
        <v>43701</v>
      </c>
      <c r="B3163" s="3">
        <v>695</v>
      </c>
      <c r="C3163" s="4">
        <v>326650</v>
      </c>
      <c r="D3163" s="3">
        <v>303</v>
      </c>
      <c r="E3163" s="4">
        <v>221190</v>
      </c>
      <c r="G3163" s="12">
        <f t="shared" si="200"/>
        <v>2019</v>
      </c>
      <c r="H3163" s="12">
        <f t="shared" si="201"/>
        <v>8</v>
      </c>
      <c r="I3163" s="11">
        <f t="shared" si="202"/>
        <v>104</v>
      </c>
      <c r="J3163" s="11"/>
    </row>
    <row r="3164" spans="1:10" x14ac:dyDescent="0.25">
      <c r="A3164" s="2">
        <v>43702</v>
      </c>
      <c r="B3164" s="3">
        <v>689</v>
      </c>
      <c r="C3164" s="4">
        <v>323830</v>
      </c>
      <c r="D3164" s="3">
        <v>287</v>
      </c>
      <c r="E3164" s="4">
        <v>209510</v>
      </c>
      <c r="G3164" s="12">
        <f t="shared" si="200"/>
        <v>2019</v>
      </c>
      <c r="H3164" s="12">
        <f t="shared" si="201"/>
        <v>8</v>
      </c>
      <c r="I3164" s="11">
        <f t="shared" si="202"/>
        <v>104</v>
      </c>
      <c r="J3164" s="11"/>
    </row>
    <row r="3165" spans="1:10" x14ac:dyDescent="0.25">
      <c r="A3165" s="2">
        <v>43703</v>
      </c>
      <c r="B3165" s="3">
        <v>785</v>
      </c>
      <c r="C3165" s="4">
        <v>368950</v>
      </c>
      <c r="D3165" s="3">
        <v>263</v>
      </c>
      <c r="E3165" s="4">
        <v>191990</v>
      </c>
      <c r="G3165" s="12">
        <f t="shared" si="200"/>
        <v>2019</v>
      </c>
      <c r="H3165" s="12">
        <f t="shared" si="201"/>
        <v>8</v>
      </c>
      <c r="I3165" s="11">
        <f t="shared" si="202"/>
        <v>104</v>
      </c>
      <c r="J3165" s="11"/>
    </row>
    <row r="3166" spans="1:10" x14ac:dyDescent="0.25">
      <c r="A3166" s="2">
        <v>43704</v>
      </c>
      <c r="B3166" s="3">
        <v>805</v>
      </c>
      <c r="C3166" s="4">
        <v>378350</v>
      </c>
      <c r="D3166" s="3">
        <v>310</v>
      </c>
      <c r="E3166" s="4">
        <v>226300</v>
      </c>
      <c r="G3166" s="12">
        <f t="shared" si="200"/>
        <v>2019</v>
      </c>
      <c r="H3166" s="12">
        <f t="shared" si="201"/>
        <v>8</v>
      </c>
      <c r="I3166" s="11">
        <f t="shared" si="202"/>
        <v>104</v>
      </c>
      <c r="J3166" s="11"/>
    </row>
    <row r="3167" spans="1:10" x14ac:dyDescent="0.25">
      <c r="A3167" s="2">
        <v>43705</v>
      </c>
      <c r="B3167" s="3">
        <v>708</v>
      </c>
      <c r="C3167" s="4">
        <v>332760</v>
      </c>
      <c r="D3167" s="3">
        <v>285</v>
      </c>
      <c r="E3167" s="4">
        <v>208050</v>
      </c>
      <c r="G3167" s="12">
        <f t="shared" si="200"/>
        <v>2019</v>
      </c>
      <c r="H3167" s="12">
        <f t="shared" si="201"/>
        <v>8</v>
      </c>
      <c r="I3167" s="11">
        <f t="shared" si="202"/>
        <v>104</v>
      </c>
      <c r="J3167" s="11"/>
    </row>
    <row r="3168" spans="1:10" x14ac:dyDescent="0.25">
      <c r="A3168" s="2">
        <v>43706</v>
      </c>
      <c r="B3168" s="3">
        <v>682</v>
      </c>
      <c r="C3168" s="4">
        <v>320540</v>
      </c>
      <c r="D3168" s="3">
        <v>247</v>
      </c>
      <c r="E3168" s="4">
        <v>180310</v>
      </c>
      <c r="G3168" s="12">
        <f t="shared" si="200"/>
        <v>2019</v>
      </c>
      <c r="H3168" s="12">
        <f t="shared" si="201"/>
        <v>8</v>
      </c>
      <c r="I3168" s="11">
        <f t="shared" si="202"/>
        <v>104</v>
      </c>
      <c r="J3168" s="11"/>
    </row>
    <row r="3169" spans="1:10" x14ac:dyDescent="0.25">
      <c r="A3169" s="2">
        <v>43707</v>
      </c>
      <c r="B3169" s="3">
        <v>656</v>
      </c>
      <c r="C3169" s="4">
        <v>308320</v>
      </c>
      <c r="D3169" s="3">
        <v>319</v>
      </c>
      <c r="E3169" s="4">
        <v>232870</v>
      </c>
      <c r="G3169" s="12">
        <f t="shared" si="200"/>
        <v>2019</v>
      </c>
      <c r="H3169" s="12">
        <f t="shared" si="201"/>
        <v>8</v>
      </c>
      <c r="I3169" s="11">
        <f t="shared" si="202"/>
        <v>104</v>
      </c>
      <c r="J3169" s="11"/>
    </row>
    <row r="3170" spans="1:10" x14ac:dyDescent="0.25">
      <c r="A3170" s="2">
        <v>43708</v>
      </c>
      <c r="B3170" s="3">
        <v>780</v>
      </c>
      <c r="C3170" s="4">
        <v>366600</v>
      </c>
      <c r="D3170" s="3">
        <v>350</v>
      </c>
      <c r="E3170" s="4">
        <v>255500</v>
      </c>
      <c r="G3170" s="12">
        <f t="shared" si="200"/>
        <v>2019</v>
      </c>
      <c r="H3170" s="12">
        <f t="shared" si="201"/>
        <v>8</v>
      </c>
      <c r="I3170" s="11">
        <f t="shared" si="202"/>
        <v>104</v>
      </c>
      <c r="J3170" s="11"/>
    </row>
    <row r="3171" spans="1:10" x14ac:dyDescent="0.25">
      <c r="A3171" s="2">
        <v>43709</v>
      </c>
      <c r="B3171" s="3">
        <v>795</v>
      </c>
      <c r="C3171" s="4">
        <v>373650</v>
      </c>
      <c r="D3171" s="3">
        <v>311</v>
      </c>
      <c r="E3171" s="4">
        <v>227030</v>
      </c>
      <c r="G3171" s="12">
        <f t="shared" si="200"/>
        <v>2019</v>
      </c>
      <c r="H3171" s="12">
        <f t="shared" si="201"/>
        <v>9</v>
      </c>
      <c r="I3171" s="11">
        <f t="shared" si="202"/>
        <v>105</v>
      </c>
      <c r="J3171" s="11"/>
    </row>
    <row r="3172" spans="1:10" x14ac:dyDescent="0.25">
      <c r="A3172" s="2">
        <v>43710</v>
      </c>
      <c r="B3172" s="3">
        <v>621</v>
      </c>
      <c r="C3172" s="4">
        <v>291870</v>
      </c>
      <c r="D3172" s="3">
        <v>327</v>
      </c>
      <c r="E3172" s="4">
        <v>238710</v>
      </c>
      <c r="G3172" s="12">
        <f t="shared" si="200"/>
        <v>2019</v>
      </c>
      <c r="H3172" s="12">
        <f t="shared" si="201"/>
        <v>9</v>
      </c>
      <c r="I3172" s="11">
        <f t="shared" si="202"/>
        <v>105</v>
      </c>
      <c r="J3172" s="11"/>
    </row>
    <row r="3173" spans="1:10" x14ac:dyDescent="0.25">
      <c r="A3173" s="2">
        <v>43711</v>
      </c>
      <c r="B3173" s="3">
        <v>733</v>
      </c>
      <c r="C3173" s="4">
        <v>344510</v>
      </c>
      <c r="D3173" s="3">
        <v>285</v>
      </c>
      <c r="E3173" s="4">
        <v>208050</v>
      </c>
      <c r="G3173" s="12">
        <f t="shared" si="200"/>
        <v>2019</v>
      </c>
      <c r="H3173" s="12">
        <f t="shared" si="201"/>
        <v>9</v>
      </c>
      <c r="I3173" s="11">
        <f t="shared" si="202"/>
        <v>105</v>
      </c>
      <c r="J3173" s="11"/>
    </row>
    <row r="3174" spans="1:10" x14ac:dyDescent="0.25">
      <c r="A3174" s="2">
        <v>43712</v>
      </c>
      <c r="B3174" s="3">
        <v>570</v>
      </c>
      <c r="C3174" s="4">
        <v>267900</v>
      </c>
      <c r="D3174" s="3">
        <v>291</v>
      </c>
      <c r="E3174" s="4">
        <v>212430</v>
      </c>
      <c r="G3174" s="12">
        <f t="shared" si="200"/>
        <v>2019</v>
      </c>
      <c r="H3174" s="12">
        <f t="shared" si="201"/>
        <v>9</v>
      </c>
      <c r="I3174" s="11">
        <f t="shared" si="202"/>
        <v>105</v>
      </c>
      <c r="J3174" s="11"/>
    </row>
    <row r="3175" spans="1:10" x14ac:dyDescent="0.25">
      <c r="A3175" s="2">
        <v>43713</v>
      </c>
      <c r="B3175" s="3">
        <v>804</v>
      </c>
      <c r="C3175" s="4">
        <v>377880</v>
      </c>
      <c r="D3175" s="3">
        <v>323</v>
      </c>
      <c r="E3175" s="4">
        <v>235790</v>
      </c>
      <c r="G3175" s="12">
        <f t="shared" si="200"/>
        <v>2019</v>
      </c>
      <c r="H3175" s="12">
        <f t="shared" si="201"/>
        <v>9</v>
      </c>
      <c r="I3175" s="11">
        <f t="shared" si="202"/>
        <v>105</v>
      </c>
      <c r="J3175" s="11"/>
    </row>
    <row r="3176" spans="1:10" x14ac:dyDescent="0.25">
      <c r="A3176" s="2">
        <v>43714</v>
      </c>
      <c r="B3176" s="3">
        <v>622</v>
      </c>
      <c r="C3176" s="4">
        <v>292340</v>
      </c>
      <c r="D3176" s="3">
        <v>290</v>
      </c>
      <c r="E3176" s="4">
        <v>211700</v>
      </c>
      <c r="G3176" s="12">
        <f t="shared" si="200"/>
        <v>2019</v>
      </c>
      <c r="H3176" s="12">
        <f t="shared" si="201"/>
        <v>9</v>
      </c>
      <c r="I3176" s="11">
        <f t="shared" si="202"/>
        <v>105</v>
      </c>
      <c r="J3176" s="11"/>
    </row>
    <row r="3177" spans="1:10" x14ac:dyDescent="0.25">
      <c r="A3177" s="2">
        <v>43715</v>
      </c>
      <c r="B3177" s="3">
        <v>706</v>
      </c>
      <c r="C3177" s="4">
        <v>331820</v>
      </c>
      <c r="D3177" s="3">
        <v>225</v>
      </c>
      <c r="E3177" s="4">
        <v>164250</v>
      </c>
      <c r="G3177" s="12">
        <f t="shared" si="200"/>
        <v>2019</v>
      </c>
      <c r="H3177" s="12">
        <f t="shared" si="201"/>
        <v>9</v>
      </c>
      <c r="I3177" s="11">
        <f t="shared" si="202"/>
        <v>105</v>
      </c>
      <c r="J3177" s="11"/>
    </row>
    <row r="3178" spans="1:10" x14ac:dyDescent="0.25">
      <c r="A3178" s="2">
        <v>43716</v>
      </c>
      <c r="B3178" s="3">
        <v>756</v>
      </c>
      <c r="C3178" s="4">
        <v>355320</v>
      </c>
      <c r="D3178" s="3">
        <v>288</v>
      </c>
      <c r="E3178" s="4">
        <v>210240</v>
      </c>
      <c r="G3178" s="12">
        <f t="shared" si="200"/>
        <v>2019</v>
      </c>
      <c r="H3178" s="12">
        <f t="shared" si="201"/>
        <v>9</v>
      </c>
      <c r="I3178" s="11">
        <f t="shared" si="202"/>
        <v>105</v>
      </c>
      <c r="J3178" s="11"/>
    </row>
    <row r="3179" spans="1:10" x14ac:dyDescent="0.25">
      <c r="A3179" s="2">
        <v>43717</v>
      </c>
      <c r="B3179" s="3">
        <v>642</v>
      </c>
      <c r="C3179" s="4">
        <v>301740</v>
      </c>
      <c r="D3179" s="3">
        <v>300</v>
      </c>
      <c r="E3179" s="4">
        <v>219000</v>
      </c>
      <c r="G3179" s="12">
        <f t="shared" si="200"/>
        <v>2019</v>
      </c>
      <c r="H3179" s="12">
        <f t="shared" si="201"/>
        <v>9</v>
      </c>
      <c r="I3179" s="11">
        <f t="shared" si="202"/>
        <v>105</v>
      </c>
      <c r="J3179" s="11"/>
    </row>
    <row r="3180" spans="1:10" x14ac:dyDescent="0.25">
      <c r="A3180" s="2">
        <v>43718</v>
      </c>
      <c r="B3180" s="3">
        <v>609</v>
      </c>
      <c r="C3180" s="4">
        <v>286230</v>
      </c>
      <c r="D3180" s="3">
        <v>280</v>
      </c>
      <c r="E3180" s="4">
        <v>204400</v>
      </c>
      <c r="G3180" s="12">
        <f t="shared" si="200"/>
        <v>2019</v>
      </c>
      <c r="H3180" s="12">
        <f t="shared" si="201"/>
        <v>9</v>
      </c>
      <c r="I3180" s="11">
        <f t="shared" si="202"/>
        <v>105</v>
      </c>
      <c r="J3180" s="11"/>
    </row>
    <row r="3181" spans="1:10" x14ac:dyDescent="0.25">
      <c r="A3181" s="2">
        <v>43719</v>
      </c>
      <c r="B3181" s="3">
        <v>644</v>
      </c>
      <c r="C3181" s="4">
        <v>302680</v>
      </c>
      <c r="D3181" s="3">
        <v>303</v>
      </c>
      <c r="E3181" s="4">
        <v>221190</v>
      </c>
      <c r="G3181" s="12">
        <f t="shared" si="200"/>
        <v>2019</v>
      </c>
      <c r="H3181" s="12">
        <f t="shared" si="201"/>
        <v>9</v>
      </c>
      <c r="I3181" s="11">
        <f t="shared" si="202"/>
        <v>105</v>
      </c>
      <c r="J3181" s="11"/>
    </row>
    <row r="3182" spans="1:10" x14ac:dyDescent="0.25">
      <c r="A3182" s="2">
        <v>43720</v>
      </c>
      <c r="B3182" s="3">
        <v>630</v>
      </c>
      <c r="C3182" s="4">
        <v>296100</v>
      </c>
      <c r="D3182" s="3">
        <v>315</v>
      </c>
      <c r="E3182" s="4">
        <v>229950</v>
      </c>
      <c r="G3182" s="12">
        <f t="shared" si="200"/>
        <v>2019</v>
      </c>
      <c r="H3182" s="12">
        <f t="shared" si="201"/>
        <v>9</v>
      </c>
      <c r="I3182" s="11">
        <f t="shared" si="202"/>
        <v>105</v>
      </c>
      <c r="J3182" s="11"/>
    </row>
    <row r="3183" spans="1:10" x14ac:dyDescent="0.25">
      <c r="A3183" s="2">
        <v>43721</v>
      </c>
      <c r="B3183" s="3">
        <v>787</v>
      </c>
      <c r="C3183" s="4">
        <v>369890</v>
      </c>
      <c r="D3183" s="3">
        <v>279</v>
      </c>
      <c r="E3183" s="4">
        <v>203670</v>
      </c>
      <c r="G3183" s="12">
        <f t="shared" si="200"/>
        <v>2019</v>
      </c>
      <c r="H3183" s="12">
        <f t="shared" si="201"/>
        <v>9</v>
      </c>
      <c r="I3183" s="11">
        <f t="shared" si="202"/>
        <v>105</v>
      </c>
      <c r="J3183" s="11"/>
    </row>
    <row r="3184" spans="1:10" x14ac:dyDescent="0.25">
      <c r="A3184" s="2">
        <v>43722</v>
      </c>
      <c r="B3184" s="3">
        <v>716</v>
      </c>
      <c r="C3184" s="4">
        <v>336520</v>
      </c>
      <c r="D3184" s="3">
        <v>329</v>
      </c>
      <c r="E3184" s="4">
        <v>240170</v>
      </c>
      <c r="G3184" s="12">
        <f t="shared" si="200"/>
        <v>2019</v>
      </c>
      <c r="H3184" s="12">
        <f t="shared" si="201"/>
        <v>9</v>
      </c>
      <c r="I3184" s="11">
        <f t="shared" si="202"/>
        <v>105</v>
      </c>
      <c r="J3184" s="11"/>
    </row>
    <row r="3185" spans="1:10" x14ac:dyDescent="0.25">
      <c r="A3185" s="2">
        <v>43723</v>
      </c>
      <c r="B3185" s="3">
        <v>727</v>
      </c>
      <c r="C3185" s="4">
        <v>341690</v>
      </c>
      <c r="D3185" s="3">
        <v>287</v>
      </c>
      <c r="E3185" s="4">
        <v>209510</v>
      </c>
      <c r="G3185" s="12">
        <f t="shared" si="200"/>
        <v>2019</v>
      </c>
      <c r="H3185" s="12">
        <f t="shared" si="201"/>
        <v>9</v>
      </c>
      <c r="I3185" s="11">
        <f t="shared" si="202"/>
        <v>105</v>
      </c>
      <c r="J3185" s="11"/>
    </row>
    <row r="3186" spans="1:10" x14ac:dyDescent="0.25">
      <c r="A3186" s="2">
        <v>43724</v>
      </c>
      <c r="B3186" s="3">
        <v>662</v>
      </c>
      <c r="C3186" s="4">
        <v>311140</v>
      </c>
      <c r="D3186" s="3">
        <v>321</v>
      </c>
      <c r="E3186" s="4">
        <v>234330</v>
      </c>
      <c r="G3186" s="12">
        <f t="shared" si="200"/>
        <v>2019</v>
      </c>
      <c r="H3186" s="12">
        <f t="shared" si="201"/>
        <v>9</v>
      </c>
      <c r="I3186" s="11">
        <f t="shared" si="202"/>
        <v>105</v>
      </c>
      <c r="J3186" s="11"/>
    </row>
    <row r="3187" spans="1:10" x14ac:dyDescent="0.25">
      <c r="A3187" s="2">
        <v>43725</v>
      </c>
      <c r="B3187" s="3">
        <v>756</v>
      </c>
      <c r="C3187" s="4">
        <v>355320</v>
      </c>
      <c r="D3187" s="3">
        <v>302</v>
      </c>
      <c r="E3187" s="4">
        <v>220460</v>
      </c>
      <c r="G3187" s="12">
        <f t="shared" si="200"/>
        <v>2019</v>
      </c>
      <c r="H3187" s="12">
        <f t="shared" si="201"/>
        <v>9</v>
      </c>
      <c r="I3187" s="11">
        <f t="shared" si="202"/>
        <v>105</v>
      </c>
      <c r="J3187" s="11"/>
    </row>
    <row r="3188" spans="1:10" x14ac:dyDescent="0.25">
      <c r="A3188" s="2">
        <v>43726</v>
      </c>
      <c r="B3188" s="3">
        <v>682</v>
      </c>
      <c r="C3188" s="4">
        <v>320540</v>
      </c>
      <c r="D3188" s="3">
        <v>293</v>
      </c>
      <c r="E3188" s="4">
        <v>213890</v>
      </c>
      <c r="G3188" s="12">
        <f t="shared" si="200"/>
        <v>2019</v>
      </c>
      <c r="H3188" s="12">
        <f t="shared" si="201"/>
        <v>9</v>
      </c>
      <c r="I3188" s="11">
        <f t="shared" si="202"/>
        <v>105</v>
      </c>
      <c r="J3188" s="11"/>
    </row>
    <row r="3189" spans="1:10" x14ac:dyDescent="0.25">
      <c r="A3189" s="2">
        <v>43727</v>
      </c>
      <c r="B3189" s="3">
        <v>671</v>
      </c>
      <c r="C3189" s="4">
        <v>315370</v>
      </c>
      <c r="D3189" s="3">
        <v>304</v>
      </c>
      <c r="E3189" s="4">
        <v>221920</v>
      </c>
      <c r="G3189" s="12">
        <f t="shared" si="200"/>
        <v>2019</v>
      </c>
      <c r="H3189" s="12">
        <f t="shared" si="201"/>
        <v>9</v>
      </c>
      <c r="I3189" s="11">
        <f t="shared" si="202"/>
        <v>105</v>
      </c>
      <c r="J3189" s="11"/>
    </row>
    <row r="3190" spans="1:10" x14ac:dyDescent="0.25">
      <c r="A3190" s="2">
        <v>43728</v>
      </c>
      <c r="B3190" s="3">
        <v>764</v>
      </c>
      <c r="C3190" s="4">
        <v>359080</v>
      </c>
      <c r="D3190" s="3">
        <v>315</v>
      </c>
      <c r="E3190" s="4">
        <v>229950</v>
      </c>
      <c r="G3190" s="12">
        <f t="shared" si="200"/>
        <v>2019</v>
      </c>
      <c r="H3190" s="12">
        <f t="shared" si="201"/>
        <v>9</v>
      </c>
      <c r="I3190" s="11">
        <f t="shared" si="202"/>
        <v>105</v>
      </c>
      <c r="J3190" s="11"/>
    </row>
    <row r="3191" spans="1:10" x14ac:dyDescent="0.25">
      <c r="A3191" s="2">
        <v>43729</v>
      </c>
      <c r="B3191" s="3">
        <v>622</v>
      </c>
      <c r="C3191" s="4">
        <v>292340</v>
      </c>
      <c r="D3191" s="3">
        <v>340</v>
      </c>
      <c r="E3191" s="4">
        <v>248200</v>
      </c>
      <c r="G3191" s="12">
        <f t="shared" si="200"/>
        <v>2019</v>
      </c>
      <c r="H3191" s="12">
        <f t="shared" si="201"/>
        <v>9</v>
      </c>
      <c r="I3191" s="11">
        <f t="shared" si="202"/>
        <v>105</v>
      </c>
      <c r="J3191" s="11"/>
    </row>
    <row r="3192" spans="1:10" x14ac:dyDescent="0.25">
      <c r="A3192" s="2">
        <v>43730</v>
      </c>
      <c r="B3192" s="3">
        <v>817</v>
      </c>
      <c r="C3192" s="4">
        <v>383990</v>
      </c>
      <c r="D3192" s="3">
        <v>322</v>
      </c>
      <c r="E3192" s="4">
        <v>235060</v>
      </c>
      <c r="G3192" s="12">
        <f t="shared" si="200"/>
        <v>2019</v>
      </c>
      <c r="H3192" s="12">
        <f t="shared" si="201"/>
        <v>9</v>
      </c>
      <c r="I3192" s="11">
        <f t="shared" si="202"/>
        <v>105</v>
      </c>
      <c r="J3192" s="11"/>
    </row>
    <row r="3193" spans="1:10" x14ac:dyDescent="0.25">
      <c r="A3193" s="2">
        <v>43731</v>
      </c>
      <c r="B3193" s="3">
        <v>686</v>
      </c>
      <c r="C3193" s="4">
        <v>322420</v>
      </c>
      <c r="D3193" s="3">
        <v>309</v>
      </c>
      <c r="E3193" s="4">
        <v>225570</v>
      </c>
      <c r="G3193" s="12">
        <f t="shared" si="200"/>
        <v>2019</v>
      </c>
      <c r="H3193" s="12">
        <f t="shared" si="201"/>
        <v>9</v>
      </c>
      <c r="I3193" s="11">
        <f t="shared" si="202"/>
        <v>105</v>
      </c>
      <c r="J3193" s="11"/>
    </row>
    <row r="3194" spans="1:10" x14ac:dyDescent="0.25">
      <c r="A3194" s="2">
        <v>43732</v>
      </c>
      <c r="B3194" s="3">
        <v>806</v>
      </c>
      <c r="C3194" s="4">
        <v>378820</v>
      </c>
      <c r="D3194" s="3">
        <v>312</v>
      </c>
      <c r="E3194" s="4">
        <v>227760</v>
      </c>
      <c r="G3194" s="12">
        <f t="shared" si="200"/>
        <v>2019</v>
      </c>
      <c r="H3194" s="12">
        <f t="shared" si="201"/>
        <v>9</v>
      </c>
      <c r="I3194" s="11">
        <f t="shared" si="202"/>
        <v>105</v>
      </c>
      <c r="J3194" s="11"/>
    </row>
    <row r="3195" spans="1:10" x14ac:dyDescent="0.25">
      <c r="A3195" s="2">
        <v>43733</v>
      </c>
      <c r="B3195" s="3">
        <v>704</v>
      </c>
      <c r="C3195" s="4">
        <v>330880</v>
      </c>
      <c r="D3195" s="3">
        <v>307</v>
      </c>
      <c r="E3195" s="4">
        <v>224110</v>
      </c>
      <c r="G3195" s="12">
        <f t="shared" si="200"/>
        <v>2019</v>
      </c>
      <c r="H3195" s="12">
        <f t="shared" si="201"/>
        <v>9</v>
      </c>
      <c r="I3195" s="11">
        <f t="shared" si="202"/>
        <v>105</v>
      </c>
      <c r="J3195" s="11"/>
    </row>
    <row r="3196" spans="1:10" x14ac:dyDescent="0.25">
      <c r="A3196" s="2">
        <v>43734</v>
      </c>
      <c r="B3196" s="3">
        <v>755</v>
      </c>
      <c r="C3196" s="4">
        <v>354850</v>
      </c>
      <c r="D3196" s="3">
        <v>319</v>
      </c>
      <c r="E3196" s="4">
        <v>232870</v>
      </c>
      <c r="G3196" s="12">
        <f t="shared" si="200"/>
        <v>2019</v>
      </c>
      <c r="H3196" s="12">
        <f t="shared" si="201"/>
        <v>9</v>
      </c>
      <c r="I3196" s="11">
        <f t="shared" si="202"/>
        <v>105</v>
      </c>
      <c r="J3196" s="11"/>
    </row>
    <row r="3197" spans="1:10" x14ac:dyDescent="0.25">
      <c r="A3197" s="2">
        <v>43735</v>
      </c>
      <c r="B3197" s="3">
        <v>724</v>
      </c>
      <c r="C3197" s="4">
        <v>340280</v>
      </c>
      <c r="D3197" s="3">
        <v>264</v>
      </c>
      <c r="E3197" s="4">
        <v>192720</v>
      </c>
      <c r="G3197" s="12">
        <f t="shared" si="200"/>
        <v>2019</v>
      </c>
      <c r="H3197" s="12">
        <f t="shared" si="201"/>
        <v>9</v>
      </c>
      <c r="I3197" s="11">
        <f t="shared" si="202"/>
        <v>105</v>
      </c>
      <c r="J3197" s="11"/>
    </row>
    <row r="3198" spans="1:10" x14ac:dyDescent="0.25">
      <c r="A3198" s="2">
        <v>43736</v>
      </c>
      <c r="B3198" s="3">
        <v>707</v>
      </c>
      <c r="C3198" s="4">
        <v>332290</v>
      </c>
      <c r="D3198" s="3">
        <v>301</v>
      </c>
      <c r="E3198" s="4">
        <v>219730</v>
      </c>
      <c r="G3198" s="12">
        <f t="shared" si="200"/>
        <v>2019</v>
      </c>
      <c r="H3198" s="12">
        <f t="shared" si="201"/>
        <v>9</v>
      </c>
      <c r="I3198" s="11">
        <f t="shared" si="202"/>
        <v>105</v>
      </c>
      <c r="J3198" s="11"/>
    </row>
    <row r="3199" spans="1:10" x14ac:dyDescent="0.25">
      <c r="A3199" s="2">
        <v>43737</v>
      </c>
      <c r="B3199" s="3">
        <v>688</v>
      </c>
      <c r="C3199" s="4">
        <v>323360</v>
      </c>
      <c r="D3199" s="3">
        <v>341</v>
      </c>
      <c r="E3199" s="4">
        <v>248930</v>
      </c>
      <c r="G3199" s="12">
        <f t="shared" si="200"/>
        <v>2019</v>
      </c>
      <c r="H3199" s="12">
        <f t="shared" si="201"/>
        <v>9</v>
      </c>
      <c r="I3199" s="11">
        <f t="shared" si="202"/>
        <v>105</v>
      </c>
      <c r="J3199" s="11"/>
    </row>
    <row r="3200" spans="1:10" x14ac:dyDescent="0.25">
      <c r="A3200" s="2">
        <v>43738</v>
      </c>
      <c r="B3200" s="3">
        <v>689</v>
      </c>
      <c r="C3200" s="4">
        <v>323830</v>
      </c>
      <c r="D3200" s="3">
        <v>291</v>
      </c>
      <c r="E3200" s="4">
        <v>212430</v>
      </c>
      <c r="G3200" s="12">
        <f t="shared" si="200"/>
        <v>2019</v>
      </c>
      <c r="H3200" s="12">
        <f t="shared" si="201"/>
        <v>9</v>
      </c>
      <c r="I3200" s="11">
        <f t="shared" si="202"/>
        <v>105</v>
      </c>
      <c r="J3200" s="11"/>
    </row>
    <row r="3201" spans="1:10" x14ac:dyDescent="0.25">
      <c r="A3201" s="2">
        <v>43739</v>
      </c>
      <c r="B3201" s="3">
        <v>590</v>
      </c>
      <c r="C3201" s="4">
        <v>173312.5</v>
      </c>
      <c r="D3201" s="3">
        <v>293</v>
      </c>
      <c r="E3201" s="4">
        <v>213890</v>
      </c>
      <c r="G3201" s="12">
        <f t="shared" si="200"/>
        <v>2019</v>
      </c>
      <c r="H3201" s="12">
        <f t="shared" si="201"/>
        <v>10</v>
      </c>
      <c r="I3201" s="11">
        <f t="shared" si="202"/>
        <v>106</v>
      </c>
      <c r="J3201" s="11"/>
    </row>
    <row r="3202" spans="1:10" x14ac:dyDescent="0.25">
      <c r="A3202" s="2">
        <v>43740</v>
      </c>
      <c r="B3202" s="3">
        <v>645</v>
      </c>
      <c r="C3202" s="4">
        <v>189468.75</v>
      </c>
      <c r="D3202" s="3">
        <v>341</v>
      </c>
      <c r="E3202" s="4">
        <v>248930</v>
      </c>
      <c r="G3202" s="12">
        <f t="shared" si="200"/>
        <v>2019</v>
      </c>
      <c r="H3202" s="12">
        <f t="shared" si="201"/>
        <v>10</v>
      </c>
      <c r="I3202" s="11">
        <f t="shared" si="202"/>
        <v>106</v>
      </c>
      <c r="J3202" s="11"/>
    </row>
    <row r="3203" spans="1:10" x14ac:dyDescent="0.25">
      <c r="A3203" s="2">
        <v>43741</v>
      </c>
      <c r="B3203" s="3">
        <v>625</v>
      </c>
      <c r="C3203" s="4">
        <v>183593.75</v>
      </c>
      <c r="D3203" s="3">
        <v>267</v>
      </c>
      <c r="E3203" s="4">
        <v>194910</v>
      </c>
      <c r="G3203" s="12">
        <f t="shared" si="200"/>
        <v>2019</v>
      </c>
      <c r="H3203" s="12">
        <f t="shared" si="201"/>
        <v>10</v>
      </c>
      <c r="I3203" s="11">
        <f t="shared" si="202"/>
        <v>106</v>
      </c>
      <c r="J3203" s="11"/>
    </row>
    <row r="3204" spans="1:10" x14ac:dyDescent="0.25">
      <c r="A3204" s="2">
        <v>43742</v>
      </c>
      <c r="B3204" s="3">
        <v>607</v>
      </c>
      <c r="C3204" s="4">
        <v>178306.25</v>
      </c>
      <c r="D3204" s="3">
        <v>322</v>
      </c>
      <c r="E3204" s="4">
        <v>235060</v>
      </c>
      <c r="G3204" s="12">
        <f t="shared" si="200"/>
        <v>2019</v>
      </c>
      <c r="H3204" s="12">
        <f t="shared" si="201"/>
        <v>10</v>
      </c>
      <c r="I3204" s="11">
        <f t="shared" si="202"/>
        <v>106</v>
      </c>
      <c r="J3204" s="11"/>
    </row>
    <row r="3205" spans="1:10" x14ac:dyDescent="0.25">
      <c r="A3205" s="2">
        <v>43743</v>
      </c>
      <c r="B3205" s="3">
        <v>518</v>
      </c>
      <c r="C3205" s="4">
        <v>152162.5</v>
      </c>
      <c r="D3205" s="3">
        <v>233</v>
      </c>
      <c r="E3205" s="4">
        <v>170090</v>
      </c>
      <c r="G3205" s="12">
        <f t="shared" si="200"/>
        <v>2019</v>
      </c>
      <c r="H3205" s="12">
        <f t="shared" si="201"/>
        <v>10</v>
      </c>
      <c r="I3205" s="11">
        <f t="shared" si="202"/>
        <v>106</v>
      </c>
      <c r="J3205" s="11"/>
    </row>
    <row r="3206" spans="1:10" x14ac:dyDescent="0.25">
      <c r="A3206" s="2">
        <v>43744</v>
      </c>
      <c r="B3206" s="3">
        <v>554</v>
      </c>
      <c r="C3206" s="4">
        <v>162737.5</v>
      </c>
      <c r="D3206" s="3">
        <v>303</v>
      </c>
      <c r="E3206" s="4">
        <v>221190</v>
      </c>
      <c r="G3206" s="12">
        <f t="shared" ref="G3206:G3269" si="203">+YEAR(A3206)</f>
        <v>2019</v>
      </c>
      <c r="H3206" s="12">
        <f t="shared" ref="H3206:H3269" si="204">+MONTH(A3206)</f>
        <v>10</v>
      </c>
      <c r="I3206" s="11">
        <f t="shared" si="202"/>
        <v>106</v>
      </c>
      <c r="J3206" s="11"/>
    </row>
    <row r="3207" spans="1:10" x14ac:dyDescent="0.25">
      <c r="A3207" s="2">
        <v>43745</v>
      </c>
      <c r="B3207" s="3">
        <v>594</v>
      </c>
      <c r="C3207" s="4">
        <v>174487.5</v>
      </c>
      <c r="D3207" s="3">
        <v>324</v>
      </c>
      <c r="E3207" s="4">
        <v>236520</v>
      </c>
      <c r="G3207" s="12">
        <f t="shared" si="203"/>
        <v>2019</v>
      </c>
      <c r="H3207" s="12">
        <f t="shared" si="204"/>
        <v>10</v>
      </c>
      <c r="I3207" s="11">
        <f t="shared" ref="I3207:I3270" si="205">+H3207+(G3207-2011)*12</f>
        <v>106</v>
      </c>
      <c r="J3207" s="11"/>
    </row>
    <row r="3208" spans="1:10" x14ac:dyDescent="0.25">
      <c r="A3208" s="2">
        <v>43746</v>
      </c>
      <c r="B3208" s="3">
        <v>590</v>
      </c>
      <c r="C3208" s="4">
        <v>173312.5</v>
      </c>
      <c r="D3208" s="3">
        <v>315</v>
      </c>
      <c r="E3208" s="4">
        <v>229950</v>
      </c>
      <c r="G3208" s="12">
        <f t="shared" si="203"/>
        <v>2019</v>
      </c>
      <c r="H3208" s="12">
        <f t="shared" si="204"/>
        <v>10</v>
      </c>
      <c r="I3208" s="11">
        <f t="shared" si="205"/>
        <v>106</v>
      </c>
      <c r="J3208" s="11"/>
    </row>
    <row r="3209" spans="1:10" x14ac:dyDescent="0.25">
      <c r="A3209" s="2">
        <v>43747</v>
      </c>
      <c r="B3209" s="3">
        <v>659</v>
      </c>
      <c r="C3209" s="4">
        <v>193581.25</v>
      </c>
      <c r="D3209" s="3">
        <v>266</v>
      </c>
      <c r="E3209" s="4">
        <v>194180</v>
      </c>
      <c r="G3209" s="12">
        <f t="shared" si="203"/>
        <v>2019</v>
      </c>
      <c r="H3209" s="12">
        <f t="shared" si="204"/>
        <v>10</v>
      </c>
      <c r="I3209" s="11">
        <f t="shared" si="205"/>
        <v>106</v>
      </c>
      <c r="J3209" s="11"/>
    </row>
    <row r="3210" spans="1:10" x14ac:dyDescent="0.25">
      <c r="A3210" s="2">
        <v>43748</v>
      </c>
      <c r="B3210" s="3">
        <v>640</v>
      </c>
      <c r="C3210" s="4">
        <v>188000</v>
      </c>
      <c r="D3210" s="3">
        <v>266</v>
      </c>
      <c r="E3210" s="4">
        <v>194180</v>
      </c>
      <c r="G3210" s="12">
        <f t="shared" si="203"/>
        <v>2019</v>
      </c>
      <c r="H3210" s="12">
        <f t="shared" si="204"/>
        <v>10</v>
      </c>
      <c r="I3210" s="11">
        <f t="shared" si="205"/>
        <v>106</v>
      </c>
      <c r="J3210" s="11"/>
    </row>
    <row r="3211" spans="1:10" x14ac:dyDescent="0.25">
      <c r="A3211" s="2">
        <v>43749</v>
      </c>
      <c r="B3211" s="3">
        <v>621</v>
      </c>
      <c r="C3211" s="4">
        <v>182418.75</v>
      </c>
      <c r="D3211" s="3">
        <v>328</v>
      </c>
      <c r="E3211" s="4">
        <v>239440</v>
      </c>
      <c r="G3211" s="12">
        <f t="shared" si="203"/>
        <v>2019</v>
      </c>
      <c r="H3211" s="12">
        <f t="shared" si="204"/>
        <v>10</v>
      </c>
      <c r="I3211" s="11">
        <f t="shared" si="205"/>
        <v>106</v>
      </c>
      <c r="J3211" s="11"/>
    </row>
    <row r="3212" spans="1:10" x14ac:dyDescent="0.25">
      <c r="A3212" s="2">
        <v>43750</v>
      </c>
      <c r="B3212" s="3">
        <v>667</v>
      </c>
      <c r="C3212" s="4">
        <v>195931.25</v>
      </c>
      <c r="D3212" s="3">
        <v>355</v>
      </c>
      <c r="E3212" s="4">
        <v>259150</v>
      </c>
      <c r="G3212" s="12">
        <f t="shared" si="203"/>
        <v>2019</v>
      </c>
      <c r="H3212" s="12">
        <f t="shared" si="204"/>
        <v>10</v>
      </c>
      <c r="I3212" s="11">
        <f t="shared" si="205"/>
        <v>106</v>
      </c>
      <c r="J3212" s="11"/>
    </row>
    <row r="3213" spans="1:10" x14ac:dyDescent="0.25">
      <c r="A3213" s="2">
        <v>43751</v>
      </c>
      <c r="B3213" s="3">
        <v>643</v>
      </c>
      <c r="C3213" s="4">
        <v>188881.25</v>
      </c>
      <c r="D3213" s="3">
        <v>290</v>
      </c>
      <c r="E3213" s="4">
        <v>211700</v>
      </c>
      <c r="G3213" s="12">
        <f t="shared" si="203"/>
        <v>2019</v>
      </c>
      <c r="H3213" s="12">
        <f t="shared" si="204"/>
        <v>10</v>
      </c>
      <c r="I3213" s="11">
        <f t="shared" si="205"/>
        <v>106</v>
      </c>
      <c r="J3213" s="11"/>
    </row>
    <row r="3214" spans="1:10" x14ac:dyDescent="0.25">
      <c r="A3214" s="2">
        <v>43752</v>
      </c>
      <c r="B3214" s="3">
        <v>655</v>
      </c>
      <c r="C3214" s="4">
        <v>192406.25</v>
      </c>
      <c r="D3214" s="3">
        <v>306</v>
      </c>
      <c r="E3214" s="4">
        <v>223380</v>
      </c>
      <c r="G3214" s="12">
        <f t="shared" si="203"/>
        <v>2019</v>
      </c>
      <c r="H3214" s="12">
        <f t="shared" si="204"/>
        <v>10</v>
      </c>
      <c r="I3214" s="11">
        <f t="shared" si="205"/>
        <v>106</v>
      </c>
      <c r="J3214" s="11"/>
    </row>
    <row r="3215" spans="1:10" x14ac:dyDescent="0.25">
      <c r="A3215" s="2">
        <v>43753</v>
      </c>
      <c r="B3215" s="3">
        <v>621</v>
      </c>
      <c r="C3215" s="4">
        <v>182418.75</v>
      </c>
      <c r="D3215" s="3">
        <v>311</v>
      </c>
      <c r="E3215" s="4">
        <v>227030</v>
      </c>
      <c r="G3215" s="12">
        <f t="shared" si="203"/>
        <v>2019</v>
      </c>
      <c r="H3215" s="12">
        <f t="shared" si="204"/>
        <v>10</v>
      </c>
      <c r="I3215" s="11">
        <f t="shared" si="205"/>
        <v>106</v>
      </c>
      <c r="J3215" s="11"/>
    </row>
    <row r="3216" spans="1:10" x14ac:dyDescent="0.25">
      <c r="A3216" s="2">
        <v>43754</v>
      </c>
      <c r="B3216" s="3">
        <v>668</v>
      </c>
      <c r="C3216" s="4">
        <v>196225</v>
      </c>
      <c r="D3216" s="3">
        <v>263</v>
      </c>
      <c r="E3216" s="4">
        <v>191990</v>
      </c>
      <c r="G3216" s="12">
        <f t="shared" si="203"/>
        <v>2019</v>
      </c>
      <c r="H3216" s="12">
        <f t="shared" si="204"/>
        <v>10</v>
      </c>
      <c r="I3216" s="11">
        <f t="shared" si="205"/>
        <v>106</v>
      </c>
      <c r="J3216" s="11"/>
    </row>
    <row r="3217" spans="1:10" x14ac:dyDescent="0.25">
      <c r="A3217" s="2">
        <v>43755</v>
      </c>
      <c r="B3217" s="3">
        <v>621</v>
      </c>
      <c r="C3217" s="4">
        <v>182418.75</v>
      </c>
      <c r="D3217" s="3">
        <v>253</v>
      </c>
      <c r="E3217" s="4">
        <v>184690</v>
      </c>
      <c r="G3217" s="12">
        <f t="shared" si="203"/>
        <v>2019</v>
      </c>
      <c r="H3217" s="12">
        <f t="shared" si="204"/>
        <v>10</v>
      </c>
      <c r="I3217" s="11">
        <f t="shared" si="205"/>
        <v>106</v>
      </c>
      <c r="J3217" s="11"/>
    </row>
    <row r="3218" spans="1:10" x14ac:dyDescent="0.25">
      <c r="A3218" s="2">
        <v>43756</v>
      </c>
      <c r="B3218" s="3">
        <v>564</v>
      </c>
      <c r="C3218" s="4">
        <v>165675</v>
      </c>
      <c r="D3218" s="3">
        <v>298</v>
      </c>
      <c r="E3218" s="4">
        <v>217540</v>
      </c>
      <c r="G3218" s="12">
        <f t="shared" si="203"/>
        <v>2019</v>
      </c>
      <c r="H3218" s="12">
        <f t="shared" si="204"/>
        <v>10</v>
      </c>
      <c r="I3218" s="11">
        <f t="shared" si="205"/>
        <v>106</v>
      </c>
      <c r="J3218" s="11"/>
    </row>
    <row r="3219" spans="1:10" x14ac:dyDescent="0.25">
      <c r="A3219" s="2">
        <v>43757</v>
      </c>
      <c r="B3219" s="3">
        <v>487</v>
      </c>
      <c r="C3219" s="4">
        <v>143056.25</v>
      </c>
      <c r="D3219" s="3">
        <v>319</v>
      </c>
      <c r="E3219" s="4">
        <v>232870</v>
      </c>
      <c r="G3219" s="12">
        <f t="shared" si="203"/>
        <v>2019</v>
      </c>
      <c r="H3219" s="12">
        <f t="shared" si="204"/>
        <v>10</v>
      </c>
      <c r="I3219" s="11">
        <f t="shared" si="205"/>
        <v>106</v>
      </c>
      <c r="J3219" s="11"/>
    </row>
    <row r="3220" spans="1:10" x14ac:dyDescent="0.25">
      <c r="A3220" s="2">
        <v>43758</v>
      </c>
      <c r="B3220" s="3">
        <v>701</v>
      </c>
      <c r="C3220" s="4">
        <v>205918.75</v>
      </c>
      <c r="D3220" s="3">
        <v>279</v>
      </c>
      <c r="E3220" s="4">
        <v>203670</v>
      </c>
      <c r="G3220" s="12">
        <f t="shared" si="203"/>
        <v>2019</v>
      </c>
      <c r="H3220" s="12">
        <f t="shared" si="204"/>
        <v>10</v>
      </c>
      <c r="I3220" s="11">
        <f t="shared" si="205"/>
        <v>106</v>
      </c>
      <c r="J3220" s="11"/>
    </row>
    <row r="3221" spans="1:10" x14ac:dyDescent="0.25">
      <c r="A3221" s="2">
        <v>43759</v>
      </c>
      <c r="B3221" s="3">
        <v>514</v>
      </c>
      <c r="C3221" s="4">
        <v>150987.5</v>
      </c>
      <c r="D3221" s="3">
        <v>277</v>
      </c>
      <c r="E3221" s="4">
        <v>202210</v>
      </c>
      <c r="G3221" s="12">
        <f t="shared" si="203"/>
        <v>2019</v>
      </c>
      <c r="H3221" s="12">
        <f t="shared" si="204"/>
        <v>10</v>
      </c>
      <c r="I3221" s="11">
        <f t="shared" si="205"/>
        <v>106</v>
      </c>
      <c r="J3221" s="11"/>
    </row>
    <row r="3222" spans="1:10" x14ac:dyDescent="0.25">
      <c r="A3222" s="2">
        <v>43760</v>
      </c>
      <c r="B3222" s="3">
        <v>584</v>
      </c>
      <c r="C3222" s="4">
        <v>171550</v>
      </c>
      <c r="D3222" s="3">
        <v>280</v>
      </c>
      <c r="E3222" s="4">
        <v>204400</v>
      </c>
      <c r="G3222" s="12">
        <f t="shared" si="203"/>
        <v>2019</v>
      </c>
      <c r="H3222" s="12">
        <f t="shared" si="204"/>
        <v>10</v>
      </c>
      <c r="I3222" s="11">
        <f t="shared" si="205"/>
        <v>106</v>
      </c>
      <c r="J3222" s="11"/>
    </row>
    <row r="3223" spans="1:10" x14ac:dyDescent="0.25">
      <c r="A3223" s="2">
        <v>43761</v>
      </c>
      <c r="B3223" s="3">
        <v>602</v>
      </c>
      <c r="C3223" s="4">
        <v>176837.5</v>
      </c>
      <c r="D3223" s="3">
        <v>255</v>
      </c>
      <c r="E3223" s="4">
        <v>186150</v>
      </c>
      <c r="G3223" s="12">
        <f t="shared" si="203"/>
        <v>2019</v>
      </c>
      <c r="H3223" s="12">
        <f t="shared" si="204"/>
        <v>10</v>
      </c>
      <c r="I3223" s="11">
        <f t="shared" si="205"/>
        <v>106</v>
      </c>
      <c r="J3223" s="11"/>
    </row>
    <row r="3224" spans="1:10" x14ac:dyDescent="0.25">
      <c r="A3224" s="2">
        <v>43762</v>
      </c>
      <c r="B3224" s="3">
        <v>543</v>
      </c>
      <c r="C3224" s="4">
        <v>159506.25</v>
      </c>
      <c r="D3224" s="3">
        <v>308</v>
      </c>
      <c r="E3224" s="4">
        <v>224840</v>
      </c>
      <c r="G3224" s="12">
        <f t="shared" si="203"/>
        <v>2019</v>
      </c>
      <c r="H3224" s="12">
        <f t="shared" si="204"/>
        <v>10</v>
      </c>
      <c r="I3224" s="11">
        <f t="shared" si="205"/>
        <v>106</v>
      </c>
      <c r="J3224" s="11"/>
    </row>
    <row r="3225" spans="1:10" x14ac:dyDescent="0.25">
      <c r="A3225" s="2">
        <v>43763</v>
      </c>
      <c r="B3225" s="3">
        <v>473</v>
      </c>
      <c r="C3225" s="4">
        <v>138943.75</v>
      </c>
      <c r="D3225" s="3">
        <v>292</v>
      </c>
      <c r="E3225" s="4">
        <v>213160</v>
      </c>
      <c r="G3225" s="12">
        <f t="shared" si="203"/>
        <v>2019</v>
      </c>
      <c r="H3225" s="12">
        <f t="shared" si="204"/>
        <v>10</v>
      </c>
      <c r="I3225" s="11">
        <f t="shared" si="205"/>
        <v>106</v>
      </c>
      <c r="J3225" s="11"/>
    </row>
    <row r="3226" spans="1:10" x14ac:dyDescent="0.25">
      <c r="A3226" s="2">
        <v>43764</v>
      </c>
      <c r="B3226" s="3">
        <v>564</v>
      </c>
      <c r="C3226" s="4">
        <v>165675</v>
      </c>
      <c r="D3226" s="3">
        <v>294</v>
      </c>
      <c r="E3226" s="4">
        <v>214620</v>
      </c>
      <c r="G3226" s="12">
        <f t="shared" si="203"/>
        <v>2019</v>
      </c>
      <c r="H3226" s="12">
        <f t="shared" si="204"/>
        <v>10</v>
      </c>
      <c r="I3226" s="11">
        <f t="shared" si="205"/>
        <v>106</v>
      </c>
      <c r="J3226" s="11"/>
    </row>
    <row r="3227" spans="1:10" x14ac:dyDescent="0.25">
      <c r="A3227" s="2">
        <v>43765</v>
      </c>
      <c r="B3227" s="3">
        <v>688</v>
      </c>
      <c r="C3227" s="4">
        <v>202100</v>
      </c>
      <c r="D3227" s="3">
        <v>307</v>
      </c>
      <c r="E3227" s="4">
        <v>224110</v>
      </c>
      <c r="G3227" s="12">
        <f t="shared" si="203"/>
        <v>2019</v>
      </c>
      <c r="H3227" s="12">
        <f t="shared" si="204"/>
        <v>10</v>
      </c>
      <c r="I3227" s="11">
        <f t="shared" si="205"/>
        <v>106</v>
      </c>
      <c r="J3227" s="11"/>
    </row>
    <row r="3228" spans="1:10" x14ac:dyDescent="0.25">
      <c r="A3228" s="2">
        <v>43766</v>
      </c>
      <c r="B3228" s="3">
        <v>599</v>
      </c>
      <c r="C3228" s="4">
        <v>175956.25</v>
      </c>
      <c r="D3228" s="3">
        <v>239</v>
      </c>
      <c r="E3228" s="4">
        <v>174470</v>
      </c>
      <c r="G3228" s="12">
        <f t="shared" si="203"/>
        <v>2019</v>
      </c>
      <c r="H3228" s="12">
        <f t="shared" si="204"/>
        <v>10</v>
      </c>
      <c r="I3228" s="11">
        <f t="shared" si="205"/>
        <v>106</v>
      </c>
      <c r="J3228" s="11"/>
    </row>
    <row r="3229" spans="1:10" x14ac:dyDescent="0.25">
      <c r="A3229" s="2">
        <v>43767</v>
      </c>
      <c r="B3229" s="3">
        <v>649</v>
      </c>
      <c r="C3229" s="4">
        <v>190643.75</v>
      </c>
      <c r="D3229" s="3">
        <v>339</v>
      </c>
      <c r="E3229" s="4">
        <v>247470</v>
      </c>
      <c r="G3229" s="12">
        <f t="shared" si="203"/>
        <v>2019</v>
      </c>
      <c r="H3229" s="12">
        <f t="shared" si="204"/>
        <v>10</v>
      </c>
      <c r="I3229" s="11">
        <f t="shared" si="205"/>
        <v>106</v>
      </c>
      <c r="J3229" s="11"/>
    </row>
    <row r="3230" spans="1:10" x14ac:dyDescent="0.25">
      <c r="A3230" s="2">
        <v>43768</v>
      </c>
      <c r="B3230" s="3">
        <v>596</v>
      </c>
      <c r="C3230" s="4">
        <v>175075</v>
      </c>
      <c r="D3230" s="3">
        <v>278</v>
      </c>
      <c r="E3230" s="4">
        <v>202940</v>
      </c>
      <c r="G3230" s="12">
        <f t="shared" si="203"/>
        <v>2019</v>
      </c>
      <c r="H3230" s="12">
        <f t="shared" si="204"/>
        <v>10</v>
      </c>
      <c r="I3230" s="11">
        <f t="shared" si="205"/>
        <v>106</v>
      </c>
      <c r="J3230" s="11"/>
    </row>
    <row r="3231" spans="1:10" x14ac:dyDescent="0.25">
      <c r="A3231" s="2">
        <v>43769</v>
      </c>
      <c r="B3231" s="3">
        <v>616</v>
      </c>
      <c r="C3231" s="4">
        <v>180950</v>
      </c>
      <c r="D3231" s="3">
        <v>315</v>
      </c>
      <c r="E3231" s="4">
        <v>229950</v>
      </c>
      <c r="G3231" s="12">
        <f t="shared" si="203"/>
        <v>2019</v>
      </c>
      <c r="H3231" s="12">
        <f t="shared" si="204"/>
        <v>10</v>
      </c>
      <c r="I3231" s="11">
        <f t="shared" si="205"/>
        <v>106</v>
      </c>
      <c r="J3231" s="11"/>
    </row>
    <row r="3232" spans="1:10" x14ac:dyDescent="0.25">
      <c r="A3232" s="2">
        <v>43770</v>
      </c>
      <c r="B3232" s="3">
        <v>479</v>
      </c>
      <c r="C3232" s="4">
        <v>225130</v>
      </c>
      <c r="D3232" s="3">
        <v>297</v>
      </c>
      <c r="E3232" s="4">
        <v>216810</v>
      </c>
      <c r="G3232" s="12">
        <f t="shared" si="203"/>
        <v>2019</v>
      </c>
      <c r="H3232" s="12">
        <f t="shared" si="204"/>
        <v>11</v>
      </c>
      <c r="I3232" s="11">
        <f t="shared" si="205"/>
        <v>107</v>
      </c>
      <c r="J3232" s="11"/>
    </row>
    <row r="3233" spans="1:10" x14ac:dyDescent="0.25">
      <c r="A3233" s="2">
        <v>43771</v>
      </c>
      <c r="B3233" s="3">
        <v>504</v>
      </c>
      <c r="C3233" s="4">
        <v>236880</v>
      </c>
      <c r="D3233" s="3">
        <v>314</v>
      </c>
      <c r="E3233" s="4">
        <v>229220</v>
      </c>
      <c r="G3233" s="12">
        <f t="shared" si="203"/>
        <v>2019</v>
      </c>
      <c r="H3233" s="12">
        <f t="shared" si="204"/>
        <v>11</v>
      </c>
      <c r="I3233" s="11">
        <f t="shared" si="205"/>
        <v>107</v>
      </c>
      <c r="J3233" s="11"/>
    </row>
    <row r="3234" spans="1:10" x14ac:dyDescent="0.25">
      <c r="A3234" s="2">
        <v>43772</v>
      </c>
      <c r="B3234" s="3">
        <v>458</v>
      </c>
      <c r="C3234" s="4">
        <v>215260</v>
      </c>
      <c r="D3234" s="3">
        <v>350</v>
      </c>
      <c r="E3234" s="4">
        <v>255500</v>
      </c>
      <c r="G3234" s="12">
        <f t="shared" si="203"/>
        <v>2019</v>
      </c>
      <c r="H3234" s="12">
        <f t="shared" si="204"/>
        <v>11</v>
      </c>
      <c r="I3234" s="11">
        <f t="shared" si="205"/>
        <v>107</v>
      </c>
      <c r="J3234" s="11"/>
    </row>
    <row r="3235" spans="1:10" x14ac:dyDescent="0.25">
      <c r="A3235" s="2">
        <v>43773</v>
      </c>
      <c r="B3235" s="3">
        <v>387</v>
      </c>
      <c r="C3235" s="4">
        <v>181890</v>
      </c>
      <c r="D3235" s="3">
        <v>261</v>
      </c>
      <c r="E3235" s="4">
        <v>190530</v>
      </c>
      <c r="G3235" s="12">
        <f t="shared" si="203"/>
        <v>2019</v>
      </c>
      <c r="H3235" s="12">
        <f t="shared" si="204"/>
        <v>11</v>
      </c>
      <c r="I3235" s="11">
        <f t="shared" si="205"/>
        <v>107</v>
      </c>
      <c r="J3235" s="11"/>
    </row>
    <row r="3236" spans="1:10" x14ac:dyDescent="0.25">
      <c r="A3236" s="2">
        <v>43774</v>
      </c>
      <c r="B3236" s="3">
        <v>439</v>
      </c>
      <c r="C3236" s="4">
        <v>206330</v>
      </c>
      <c r="D3236" s="3">
        <v>283</v>
      </c>
      <c r="E3236" s="4">
        <v>206590</v>
      </c>
      <c r="G3236" s="12">
        <f t="shared" si="203"/>
        <v>2019</v>
      </c>
      <c r="H3236" s="12">
        <f t="shared" si="204"/>
        <v>11</v>
      </c>
      <c r="I3236" s="11">
        <f t="shared" si="205"/>
        <v>107</v>
      </c>
      <c r="J3236" s="11"/>
    </row>
    <row r="3237" spans="1:10" x14ac:dyDescent="0.25">
      <c r="A3237" s="2">
        <v>43775</v>
      </c>
      <c r="B3237" s="3">
        <v>489</v>
      </c>
      <c r="C3237" s="4">
        <v>229830</v>
      </c>
      <c r="D3237" s="3">
        <v>301</v>
      </c>
      <c r="E3237" s="4">
        <v>219730</v>
      </c>
      <c r="G3237" s="12">
        <f t="shared" si="203"/>
        <v>2019</v>
      </c>
      <c r="H3237" s="12">
        <f t="shared" si="204"/>
        <v>11</v>
      </c>
      <c r="I3237" s="11">
        <f t="shared" si="205"/>
        <v>107</v>
      </c>
      <c r="J3237" s="11"/>
    </row>
    <row r="3238" spans="1:10" x14ac:dyDescent="0.25">
      <c r="A3238" s="2">
        <v>43776</v>
      </c>
      <c r="B3238" s="3">
        <v>448</v>
      </c>
      <c r="C3238" s="4">
        <v>210560</v>
      </c>
      <c r="D3238" s="3">
        <v>261</v>
      </c>
      <c r="E3238" s="4">
        <v>190530</v>
      </c>
      <c r="G3238" s="12">
        <f t="shared" si="203"/>
        <v>2019</v>
      </c>
      <c r="H3238" s="12">
        <f t="shared" si="204"/>
        <v>11</v>
      </c>
      <c r="I3238" s="11">
        <f t="shared" si="205"/>
        <v>107</v>
      </c>
      <c r="J3238" s="11"/>
    </row>
    <row r="3239" spans="1:10" x14ac:dyDescent="0.25">
      <c r="A3239" s="2">
        <v>43777</v>
      </c>
      <c r="B3239" s="3">
        <v>466</v>
      </c>
      <c r="C3239" s="4">
        <v>219020</v>
      </c>
      <c r="D3239" s="3">
        <v>333</v>
      </c>
      <c r="E3239" s="4">
        <v>243090</v>
      </c>
      <c r="G3239" s="12">
        <f t="shared" si="203"/>
        <v>2019</v>
      </c>
      <c r="H3239" s="12">
        <f t="shared" si="204"/>
        <v>11</v>
      </c>
      <c r="I3239" s="11">
        <f t="shared" si="205"/>
        <v>107</v>
      </c>
      <c r="J3239" s="11"/>
    </row>
    <row r="3240" spans="1:10" x14ac:dyDescent="0.25">
      <c r="A3240" s="2">
        <v>43778</v>
      </c>
      <c r="B3240" s="3">
        <v>503</v>
      </c>
      <c r="C3240" s="4">
        <v>236410</v>
      </c>
      <c r="D3240" s="3">
        <v>302</v>
      </c>
      <c r="E3240" s="4">
        <v>220460</v>
      </c>
      <c r="G3240" s="12">
        <f t="shared" si="203"/>
        <v>2019</v>
      </c>
      <c r="H3240" s="12">
        <f t="shared" si="204"/>
        <v>11</v>
      </c>
      <c r="I3240" s="11">
        <f t="shared" si="205"/>
        <v>107</v>
      </c>
      <c r="J3240" s="11"/>
    </row>
    <row r="3241" spans="1:10" x14ac:dyDescent="0.25">
      <c r="A3241" s="2">
        <v>43779</v>
      </c>
      <c r="B3241" s="3">
        <v>465</v>
      </c>
      <c r="C3241" s="4">
        <v>218550</v>
      </c>
      <c r="D3241" s="3">
        <v>282</v>
      </c>
      <c r="E3241" s="4">
        <v>205860</v>
      </c>
      <c r="G3241" s="12">
        <f t="shared" si="203"/>
        <v>2019</v>
      </c>
      <c r="H3241" s="12">
        <f t="shared" si="204"/>
        <v>11</v>
      </c>
      <c r="I3241" s="11">
        <f t="shared" si="205"/>
        <v>107</v>
      </c>
      <c r="J3241" s="11"/>
    </row>
    <row r="3242" spans="1:10" x14ac:dyDescent="0.25">
      <c r="A3242" s="2">
        <v>43780</v>
      </c>
      <c r="B3242" s="3">
        <v>530</v>
      </c>
      <c r="C3242" s="4">
        <v>249100</v>
      </c>
      <c r="D3242" s="3">
        <v>252</v>
      </c>
      <c r="E3242" s="4">
        <v>183960</v>
      </c>
      <c r="G3242" s="12">
        <f t="shared" si="203"/>
        <v>2019</v>
      </c>
      <c r="H3242" s="12">
        <f t="shared" si="204"/>
        <v>11</v>
      </c>
      <c r="I3242" s="11">
        <f t="shared" si="205"/>
        <v>107</v>
      </c>
      <c r="J3242" s="11"/>
    </row>
    <row r="3243" spans="1:10" x14ac:dyDescent="0.25">
      <c r="A3243" s="2">
        <v>43781</v>
      </c>
      <c r="B3243" s="3">
        <v>360</v>
      </c>
      <c r="C3243" s="4">
        <v>169200</v>
      </c>
      <c r="D3243" s="3">
        <v>299</v>
      </c>
      <c r="E3243" s="4">
        <v>218270</v>
      </c>
      <c r="G3243" s="12">
        <f t="shared" si="203"/>
        <v>2019</v>
      </c>
      <c r="H3243" s="12">
        <f t="shared" si="204"/>
        <v>11</v>
      </c>
      <c r="I3243" s="11">
        <f t="shared" si="205"/>
        <v>107</v>
      </c>
      <c r="J3243" s="11"/>
    </row>
    <row r="3244" spans="1:10" x14ac:dyDescent="0.25">
      <c r="A3244" s="2">
        <v>43782</v>
      </c>
      <c r="B3244" s="3">
        <v>519</v>
      </c>
      <c r="C3244" s="4">
        <v>243930</v>
      </c>
      <c r="D3244" s="3">
        <v>292</v>
      </c>
      <c r="E3244" s="4">
        <v>213160</v>
      </c>
      <c r="G3244" s="12">
        <f t="shared" si="203"/>
        <v>2019</v>
      </c>
      <c r="H3244" s="12">
        <f t="shared" si="204"/>
        <v>11</v>
      </c>
      <c r="I3244" s="11">
        <f t="shared" si="205"/>
        <v>107</v>
      </c>
      <c r="J3244" s="11"/>
    </row>
    <row r="3245" spans="1:10" x14ac:dyDescent="0.25">
      <c r="A3245" s="2">
        <v>43783</v>
      </c>
      <c r="B3245" s="3">
        <v>389</v>
      </c>
      <c r="C3245" s="4">
        <v>182830</v>
      </c>
      <c r="D3245" s="3">
        <v>261</v>
      </c>
      <c r="E3245" s="4">
        <v>190530</v>
      </c>
      <c r="G3245" s="12">
        <f t="shared" si="203"/>
        <v>2019</v>
      </c>
      <c r="H3245" s="12">
        <f t="shared" si="204"/>
        <v>11</v>
      </c>
      <c r="I3245" s="11">
        <f t="shared" si="205"/>
        <v>107</v>
      </c>
      <c r="J3245" s="11"/>
    </row>
    <row r="3246" spans="1:10" x14ac:dyDescent="0.25">
      <c r="A3246" s="2">
        <v>43784</v>
      </c>
      <c r="B3246" s="3">
        <v>449</v>
      </c>
      <c r="C3246" s="4">
        <v>211030</v>
      </c>
      <c r="D3246" s="3">
        <v>229</v>
      </c>
      <c r="E3246" s="4">
        <v>167170</v>
      </c>
      <c r="G3246" s="12">
        <f t="shared" si="203"/>
        <v>2019</v>
      </c>
      <c r="H3246" s="12">
        <f t="shared" si="204"/>
        <v>11</v>
      </c>
      <c r="I3246" s="11">
        <f t="shared" si="205"/>
        <v>107</v>
      </c>
      <c r="J3246" s="11"/>
    </row>
    <row r="3247" spans="1:10" x14ac:dyDescent="0.25">
      <c r="A3247" s="2">
        <v>43785</v>
      </c>
      <c r="B3247" s="3">
        <v>515</v>
      </c>
      <c r="C3247" s="4">
        <v>242050</v>
      </c>
      <c r="D3247" s="3">
        <v>316</v>
      </c>
      <c r="E3247" s="4">
        <v>230680</v>
      </c>
      <c r="G3247" s="12">
        <f t="shared" si="203"/>
        <v>2019</v>
      </c>
      <c r="H3247" s="12">
        <f t="shared" si="204"/>
        <v>11</v>
      </c>
      <c r="I3247" s="11">
        <f t="shared" si="205"/>
        <v>107</v>
      </c>
      <c r="J3247" s="11"/>
    </row>
    <row r="3248" spans="1:10" x14ac:dyDescent="0.25">
      <c r="A3248" s="2">
        <v>43786</v>
      </c>
      <c r="B3248" s="3">
        <v>534</v>
      </c>
      <c r="C3248" s="4">
        <v>250980</v>
      </c>
      <c r="D3248" s="3">
        <v>283</v>
      </c>
      <c r="E3248" s="4">
        <v>206590</v>
      </c>
      <c r="G3248" s="12">
        <f t="shared" si="203"/>
        <v>2019</v>
      </c>
      <c r="H3248" s="12">
        <f t="shared" si="204"/>
        <v>11</v>
      </c>
      <c r="I3248" s="11">
        <f t="shared" si="205"/>
        <v>107</v>
      </c>
      <c r="J3248" s="11"/>
    </row>
    <row r="3249" spans="1:10" x14ac:dyDescent="0.25">
      <c r="A3249" s="2">
        <v>43787</v>
      </c>
      <c r="B3249" s="3">
        <v>488</v>
      </c>
      <c r="C3249" s="4">
        <v>229360</v>
      </c>
      <c r="D3249" s="3">
        <v>331</v>
      </c>
      <c r="E3249" s="4">
        <v>241630</v>
      </c>
      <c r="G3249" s="12">
        <f t="shared" si="203"/>
        <v>2019</v>
      </c>
      <c r="H3249" s="12">
        <f t="shared" si="204"/>
        <v>11</v>
      </c>
      <c r="I3249" s="11">
        <f t="shared" si="205"/>
        <v>107</v>
      </c>
      <c r="J3249" s="11"/>
    </row>
    <row r="3250" spans="1:10" x14ac:dyDescent="0.25">
      <c r="A3250" s="2">
        <v>43788</v>
      </c>
      <c r="B3250" s="3">
        <v>367</v>
      </c>
      <c r="C3250" s="4">
        <v>172490</v>
      </c>
      <c r="D3250" s="3">
        <v>300</v>
      </c>
      <c r="E3250" s="4">
        <v>219000</v>
      </c>
      <c r="G3250" s="12">
        <f t="shared" si="203"/>
        <v>2019</v>
      </c>
      <c r="H3250" s="12">
        <f t="shared" si="204"/>
        <v>11</v>
      </c>
      <c r="I3250" s="11">
        <f t="shared" si="205"/>
        <v>107</v>
      </c>
      <c r="J3250" s="11"/>
    </row>
    <row r="3251" spans="1:10" x14ac:dyDescent="0.25">
      <c r="A3251" s="2">
        <v>43789</v>
      </c>
      <c r="B3251" s="3">
        <v>385</v>
      </c>
      <c r="C3251" s="4">
        <v>180950</v>
      </c>
      <c r="D3251" s="3">
        <v>235</v>
      </c>
      <c r="E3251" s="4">
        <v>171550</v>
      </c>
      <c r="G3251" s="12">
        <f t="shared" si="203"/>
        <v>2019</v>
      </c>
      <c r="H3251" s="12">
        <f t="shared" si="204"/>
        <v>11</v>
      </c>
      <c r="I3251" s="11">
        <f t="shared" si="205"/>
        <v>107</v>
      </c>
      <c r="J3251" s="11"/>
    </row>
    <row r="3252" spans="1:10" x14ac:dyDescent="0.25">
      <c r="A3252" s="2">
        <v>43790</v>
      </c>
      <c r="B3252" s="3">
        <v>396</v>
      </c>
      <c r="C3252" s="4">
        <v>186120</v>
      </c>
      <c r="D3252" s="3">
        <v>302</v>
      </c>
      <c r="E3252" s="4">
        <v>220460</v>
      </c>
      <c r="G3252" s="12">
        <f t="shared" si="203"/>
        <v>2019</v>
      </c>
      <c r="H3252" s="12">
        <f t="shared" si="204"/>
        <v>11</v>
      </c>
      <c r="I3252" s="11">
        <f t="shared" si="205"/>
        <v>107</v>
      </c>
      <c r="J3252" s="11"/>
    </row>
    <row r="3253" spans="1:10" x14ac:dyDescent="0.25">
      <c r="A3253" s="2">
        <v>43791</v>
      </c>
      <c r="B3253" s="3">
        <v>407</v>
      </c>
      <c r="C3253" s="4">
        <v>191290</v>
      </c>
      <c r="D3253" s="3">
        <v>343</v>
      </c>
      <c r="E3253" s="4">
        <v>250390</v>
      </c>
      <c r="G3253" s="12">
        <f t="shared" si="203"/>
        <v>2019</v>
      </c>
      <c r="H3253" s="12">
        <f t="shared" si="204"/>
        <v>11</v>
      </c>
      <c r="I3253" s="11">
        <f t="shared" si="205"/>
        <v>107</v>
      </c>
      <c r="J3253" s="11"/>
    </row>
    <row r="3254" spans="1:10" x14ac:dyDescent="0.25">
      <c r="A3254" s="2">
        <v>43792</v>
      </c>
      <c r="B3254" s="3">
        <v>492</v>
      </c>
      <c r="C3254" s="4">
        <v>231240</v>
      </c>
      <c r="D3254" s="3">
        <v>294</v>
      </c>
      <c r="E3254" s="4">
        <v>214620</v>
      </c>
      <c r="G3254" s="12">
        <f t="shared" si="203"/>
        <v>2019</v>
      </c>
      <c r="H3254" s="12">
        <f t="shared" si="204"/>
        <v>11</v>
      </c>
      <c r="I3254" s="11">
        <f t="shared" si="205"/>
        <v>107</v>
      </c>
      <c r="J3254" s="11"/>
    </row>
    <row r="3255" spans="1:10" x14ac:dyDescent="0.25">
      <c r="A3255" s="2">
        <v>43793</v>
      </c>
      <c r="B3255" s="3">
        <v>558</v>
      </c>
      <c r="C3255" s="4">
        <v>262260</v>
      </c>
      <c r="D3255" s="3">
        <v>320</v>
      </c>
      <c r="E3255" s="4">
        <v>233600</v>
      </c>
      <c r="G3255" s="12">
        <f t="shared" si="203"/>
        <v>2019</v>
      </c>
      <c r="H3255" s="12">
        <f t="shared" si="204"/>
        <v>11</v>
      </c>
      <c r="I3255" s="11">
        <f t="shared" si="205"/>
        <v>107</v>
      </c>
      <c r="J3255" s="11"/>
    </row>
    <row r="3256" spans="1:10" x14ac:dyDescent="0.25">
      <c r="A3256" s="2">
        <v>43794</v>
      </c>
      <c r="B3256" s="3">
        <v>494</v>
      </c>
      <c r="C3256" s="4">
        <v>232180</v>
      </c>
      <c r="D3256" s="3">
        <v>316</v>
      </c>
      <c r="E3256" s="4">
        <v>230680</v>
      </c>
      <c r="G3256" s="12">
        <f t="shared" si="203"/>
        <v>2019</v>
      </c>
      <c r="H3256" s="12">
        <f t="shared" si="204"/>
        <v>11</v>
      </c>
      <c r="I3256" s="11">
        <f t="shared" si="205"/>
        <v>107</v>
      </c>
      <c r="J3256" s="11"/>
    </row>
    <row r="3257" spans="1:10" x14ac:dyDescent="0.25">
      <c r="A3257" s="2">
        <v>43795</v>
      </c>
      <c r="B3257" s="3">
        <v>449</v>
      </c>
      <c r="C3257" s="4">
        <v>211030</v>
      </c>
      <c r="D3257" s="3">
        <v>310</v>
      </c>
      <c r="E3257" s="4">
        <v>226300</v>
      </c>
      <c r="G3257" s="12">
        <f t="shared" si="203"/>
        <v>2019</v>
      </c>
      <c r="H3257" s="12">
        <f t="shared" si="204"/>
        <v>11</v>
      </c>
      <c r="I3257" s="11">
        <f t="shared" si="205"/>
        <v>107</v>
      </c>
      <c r="J3257" s="11"/>
    </row>
    <row r="3258" spans="1:10" x14ac:dyDescent="0.25">
      <c r="A3258" s="2">
        <v>43796</v>
      </c>
      <c r="B3258" s="3">
        <v>494</v>
      </c>
      <c r="C3258" s="4">
        <v>232180</v>
      </c>
      <c r="D3258" s="3">
        <v>338</v>
      </c>
      <c r="E3258" s="4">
        <v>246740</v>
      </c>
      <c r="G3258" s="12">
        <f t="shared" si="203"/>
        <v>2019</v>
      </c>
      <c r="H3258" s="12">
        <f t="shared" si="204"/>
        <v>11</v>
      </c>
      <c r="I3258" s="11">
        <f t="shared" si="205"/>
        <v>107</v>
      </c>
      <c r="J3258" s="11"/>
    </row>
    <row r="3259" spans="1:10" x14ac:dyDescent="0.25">
      <c r="A3259" s="2">
        <v>43797</v>
      </c>
      <c r="B3259" s="3">
        <v>434</v>
      </c>
      <c r="C3259" s="4">
        <v>203980</v>
      </c>
      <c r="D3259" s="3">
        <v>287</v>
      </c>
      <c r="E3259" s="4">
        <v>209510</v>
      </c>
      <c r="G3259" s="12">
        <f t="shared" si="203"/>
        <v>2019</v>
      </c>
      <c r="H3259" s="12">
        <f t="shared" si="204"/>
        <v>11</v>
      </c>
      <c r="I3259" s="11">
        <f t="shared" si="205"/>
        <v>107</v>
      </c>
      <c r="J3259" s="11"/>
    </row>
    <row r="3260" spans="1:10" x14ac:dyDescent="0.25">
      <c r="A3260" s="2">
        <v>43798</v>
      </c>
      <c r="B3260" s="3">
        <v>443</v>
      </c>
      <c r="C3260" s="4">
        <v>208210</v>
      </c>
      <c r="D3260" s="3">
        <v>294</v>
      </c>
      <c r="E3260" s="4">
        <v>214620</v>
      </c>
      <c r="G3260" s="12">
        <f t="shared" si="203"/>
        <v>2019</v>
      </c>
      <c r="H3260" s="12">
        <f t="shared" si="204"/>
        <v>11</v>
      </c>
      <c r="I3260" s="11">
        <f t="shared" si="205"/>
        <v>107</v>
      </c>
      <c r="J3260" s="11"/>
    </row>
    <row r="3261" spans="1:10" x14ac:dyDescent="0.25">
      <c r="A3261" s="2">
        <v>43799</v>
      </c>
      <c r="B3261" s="3">
        <v>475</v>
      </c>
      <c r="C3261" s="4">
        <v>223250</v>
      </c>
      <c r="D3261" s="3">
        <v>287</v>
      </c>
      <c r="E3261" s="4">
        <v>209510</v>
      </c>
      <c r="G3261" s="12">
        <f t="shared" si="203"/>
        <v>2019</v>
      </c>
      <c r="H3261" s="12">
        <f t="shared" si="204"/>
        <v>11</v>
      </c>
      <c r="I3261" s="11">
        <f t="shared" si="205"/>
        <v>107</v>
      </c>
      <c r="J3261" s="11"/>
    </row>
    <row r="3262" spans="1:10" x14ac:dyDescent="0.25">
      <c r="A3262" s="2">
        <v>43800</v>
      </c>
      <c r="B3262" s="3">
        <v>447</v>
      </c>
      <c r="C3262" s="4">
        <v>210090</v>
      </c>
      <c r="D3262" s="3">
        <v>285</v>
      </c>
      <c r="E3262" s="4">
        <v>208050</v>
      </c>
      <c r="G3262" s="12">
        <f t="shared" si="203"/>
        <v>2019</v>
      </c>
      <c r="H3262" s="12">
        <f t="shared" si="204"/>
        <v>12</v>
      </c>
      <c r="I3262" s="11">
        <f t="shared" si="205"/>
        <v>108</v>
      </c>
      <c r="J3262" s="11"/>
    </row>
    <row r="3263" spans="1:10" x14ac:dyDescent="0.25">
      <c r="A3263" s="2">
        <v>43801</v>
      </c>
      <c r="B3263" s="3">
        <v>492</v>
      </c>
      <c r="C3263" s="4">
        <v>231240</v>
      </c>
      <c r="D3263" s="3">
        <v>277</v>
      </c>
      <c r="E3263" s="4">
        <v>202210</v>
      </c>
      <c r="G3263" s="12">
        <f t="shared" si="203"/>
        <v>2019</v>
      </c>
      <c r="H3263" s="12">
        <f t="shared" si="204"/>
        <v>12</v>
      </c>
      <c r="I3263" s="11">
        <f t="shared" si="205"/>
        <v>108</v>
      </c>
      <c r="J3263" s="11"/>
    </row>
    <row r="3264" spans="1:10" x14ac:dyDescent="0.25">
      <c r="A3264" s="2">
        <v>43802</v>
      </c>
      <c r="B3264" s="3">
        <v>495</v>
      </c>
      <c r="C3264" s="4">
        <v>232650</v>
      </c>
      <c r="D3264" s="3">
        <v>286</v>
      </c>
      <c r="E3264" s="4">
        <v>208780</v>
      </c>
      <c r="G3264" s="12">
        <f t="shared" si="203"/>
        <v>2019</v>
      </c>
      <c r="H3264" s="12">
        <f t="shared" si="204"/>
        <v>12</v>
      </c>
      <c r="I3264" s="11">
        <f t="shared" si="205"/>
        <v>108</v>
      </c>
      <c r="J3264" s="11"/>
    </row>
    <row r="3265" spans="1:10" x14ac:dyDescent="0.25">
      <c r="A3265" s="2">
        <v>43803</v>
      </c>
      <c r="B3265" s="3">
        <v>431</v>
      </c>
      <c r="C3265" s="4">
        <v>202570</v>
      </c>
      <c r="D3265" s="3">
        <v>347</v>
      </c>
      <c r="E3265" s="4">
        <v>253310</v>
      </c>
      <c r="G3265" s="12">
        <f t="shared" si="203"/>
        <v>2019</v>
      </c>
      <c r="H3265" s="12">
        <f t="shared" si="204"/>
        <v>12</v>
      </c>
      <c r="I3265" s="11">
        <f t="shared" si="205"/>
        <v>108</v>
      </c>
      <c r="J3265" s="11"/>
    </row>
    <row r="3266" spans="1:10" x14ac:dyDescent="0.25">
      <c r="A3266" s="2">
        <v>43804</v>
      </c>
      <c r="B3266" s="3">
        <v>564</v>
      </c>
      <c r="C3266" s="4">
        <v>265080</v>
      </c>
      <c r="D3266" s="3">
        <v>244</v>
      </c>
      <c r="E3266" s="4">
        <v>178120</v>
      </c>
      <c r="G3266" s="12">
        <f t="shared" si="203"/>
        <v>2019</v>
      </c>
      <c r="H3266" s="12">
        <f t="shared" si="204"/>
        <v>12</v>
      </c>
      <c r="I3266" s="11">
        <f t="shared" si="205"/>
        <v>108</v>
      </c>
      <c r="J3266" s="11"/>
    </row>
    <row r="3267" spans="1:10" x14ac:dyDescent="0.25">
      <c r="A3267" s="2">
        <v>43805</v>
      </c>
      <c r="B3267" s="3">
        <v>421</v>
      </c>
      <c r="C3267" s="4">
        <v>197870</v>
      </c>
      <c r="D3267" s="3">
        <v>314</v>
      </c>
      <c r="E3267" s="4">
        <v>229220</v>
      </c>
      <c r="G3267" s="12">
        <f t="shared" si="203"/>
        <v>2019</v>
      </c>
      <c r="H3267" s="12">
        <f t="shared" si="204"/>
        <v>12</v>
      </c>
      <c r="I3267" s="11">
        <f t="shared" si="205"/>
        <v>108</v>
      </c>
      <c r="J3267" s="11"/>
    </row>
    <row r="3268" spans="1:10" x14ac:dyDescent="0.25">
      <c r="A3268" s="2">
        <v>43806</v>
      </c>
      <c r="B3268" s="3">
        <v>477</v>
      </c>
      <c r="C3268" s="4">
        <v>224190</v>
      </c>
      <c r="D3268" s="3">
        <v>292</v>
      </c>
      <c r="E3268" s="4">
        <v>213160</v>
      </c>
      <c r="G3268" s="12">
        <f t="shared" si="203"/>
        <v>2019</v>
      </c>
      <c r="H3268" s="12">
        <f t="shared" si="204"/>
        <v>12</v>
      </c>
      <c r="I3268" s="11">
        <f t="shared" si="205"/>
        <v>108</v>
      </c>
      <c r="J3268" s="11"/>
    </row>
    <row r="3269" spans="1:10" x14ac:dyDescent="0.25">
      <c r="A3269" s="2">
        <v>43807</v>
      </c>
      <c r="B3269" s="3">
        <v>560</v>
      </c>
      <c r="C3269" s="4">
        <v>263200</v>
      </c>
      <c r="D3269" s="3">
        <v>280</v>
      </c>
      <c r="E3269" s="4">
        <v>204400</v>
      </c>
      <c r="G3269" s="12">
        <f t="shared" si="203"/>
        <v>2019</v>
      </c>
      <c r="H3269" s="12">
        <f t="shared" si="204"/>
        <v>12</v>
      </c>
      <c r="I3269" s="11">
        <f t="shared" si="205"/>
        <v>108</v>
      </c>
      <c r="J3269" s="11"/>
    </row>
    <row r="3270" spans="1:10" x14ac:dyDescent="0.25">
      <c r="A3270" s="2">
        <v>43808</v>
      </c>
      <c r="B3270" s="3">
        <v>466</v>
      </c>
      <c r="C3270" s="4">
        <v>219020</v>
      </c>
      <c r="D3270" s="3">
        <v>272</v>
      </c>
      <c r="E3270" s="4">
        <v>198560</v>
      </c>
      <c r="G3270" s="12">
        <f t="shared" ref="G3270:G3333" si="206">+YEAR(A3270)</f>
        <v>2019</v>
      </c>
      <c r="H3270" s="12">
        <f t="shared" ref="H3270:H3333" si="207">+MONTH(A3270)</f>
        <v>12</v>
      </c>
      <c r="I3270" s="11">
        <f t="shared" si="205"/>
        <v>108</v>
      </c>
      <c r="J3270" s="11"/>
    </row>
    <row r="3271" spans="1:10" x14ac:dyDescent="0.25">
      <c r="A3271" s="2">
        <v>43809</v>
      </c>
      <c r="B3271" s="3">
        <v>424</v>
      </c>
      <c r="C3271" s="4">
        <v>199280</v>
      </c>
      <c r="D3271" s="3">
        <v>313</v>
      </c>
      <c r="E3271" s="4">
        <v>228490</v>
      </c>
      <c r="G3271" s="12">
        <f t="shared" si="206"/>
        <v>2019</v>
      </c>
      <c r="H3271" s="12">
        <f t="shared" si="207"/>
        <v>12</v>
      </c>
      <c r="I3271" s="11">
        <f t="shared" ref="I3271:I3334" si="208">+H3271+(G3271-2011)*12</f>
        <v>108</v>
      </c>
      <c r="J3271" s="11"/>
    </row>
    <row r="3272" spans="1:10" x14ac:dyDescent="0.25">
      <c r="A3272" s="2">
        <v>43810</v>
      </c>
      <c r="B3272" s="3">
        <v>506</v>
      </c>
      <c r="C3272" s="4">
        <v>237820</v>
      </c>
      <c r="D3272" s="3">
        <v>293</v>
      </c>
      <c r="E3272" s="4">
        <v>213890</v>
      </c>
      <c r="G3272" s="12">
        <f t="shared" si="206"/>
        <v>2019</v>
      </c>
      <c r="H3272" s="12">
        <f t="shared" si="207"/>
        <v>12</v>
      </c>
      <c r="I3272" s="11">
        <f t="shared" si="208"/>
        <v>108</v>
      </c>
      <c r="J3272" s="11"/>
    </row>
    <row r="3273" spans="1:10" x14ac:dyDescent="0.25">
      <c r="A3273" s="2">
        <v>43811</v>
      </c>
      <c r="B3273" s="3">
        <v>419</v>
      </c>
      <c r="C3273" s="4">
        <v>196930</v>
      </c>
      <c r="D3273" s="3">
        <v>312</v>
      </c>
      <c r="E3273" s="4">
        <v>227760</v>
      </c>
      <c r="G3273" s="12">
        <f t="shared" si="206"/>
        <v>2019</v>
      </c>
      <c r="H3273" s="12">
        <f t="shared" si="207"/>
        <v>12</v>
      </c>
      <c r="I3273" s="11">
        <f t="shared" si="208"/>
        <v>108</v>
      </c>
      <c r="J3273" s="11"/>
    </row>
    <row r="3274" spans="1:10" x14ac:dyDescent="0.25">
      <c r="A3274" s="2">
        <v>43812</v>
      </c>
      <c r="B3274" s="3">
        <v>473</v>
      </c>
      <c r="C3274" s="4">
        <v>222310</v>
      </c>
      <c r="D3274" s="3">
        <v>352</v>
      </c>
      <c r="E3274" s="4">
        <v>256960</v>
      </c>
      <c r="G3274" s="12">
        <f t="shared" si="206"/>
        <v>2019</v>
      </c>
      <c r="H3274" s="12">
        <f t="shared" si="207"/>
        <v>12</v>
      </c>
      <c r="I3274" s="11">
        <f t="shared" si="208"/>
        <v>108</v>
      </c>
      <c r="J3274" s="11"/>
    </row>
    <row r="3275" spans="1:10" x14ac:dyDescent="0.25">
      <c r="A3275" s="2">
        <v>43813</v>
      </c>
      <c r="B3275" s="3">
        <v>455</v>
      </c>
      <c r="C3275" s="4">
        <v>213850</v>
      </c>
      <c r="D3275" s="3">
        <v>349</v>
      </c>
      <c r="E3275" s="4">
        <v>254770</v>
      </c>
      <c r="G3275" s="12">
        <f t="shared" si="206"/>
        <v>2019</v>
      </c>
      <c r="H3275" s="12">
        <f t="shared" si="207"/>
        <v>12</v>
      </c>
      <c r="I3275" s="11">
        <f t="shared" si="208"/>
        <v>108</v>
      </c>
      <c r="J3275" s="11"/>
    </row>
    <row r="3276" spans="1:10" x14ac:dyDescent="0.25">
      <c r="A3276" s="2">
        <v>43814</v>
      </c>
      <c r="B3276" s="3">
        <v>393</v>
      </c>
      <c r="C3276" s="4">
        <v>184710</v>
      </c>
      <c r="D3276" s="3">
        <v>260</v>
      </c>
      <c r="E3276" s="4">
        <v>189800</v>
      </c>
      <c r="G3276" s="12">
        <f t="shared" si="206"/>
        <v>2019</v>
      </c>
      <c r="H3276" s="12">
        <f t="shared" si="207"/>
        <v>12</v>
      </c>
      <c r="I3276" s="11">
        <f t="shared" si="208"/>
        <v>108</v>
      </c>
      <c r="J3276" s="11"/>
    </row>
    <row r="3277" spans="1:10" x14ac:dyDescent="0.25">
      <c r="A3277" s="2">
        <v>43815</v>
      </c>
      <c r="B3277" s="3">
        <v>410</v>
      </c>
      <c r="C3277" s="4">
        <v>192700</v>
      </c>
      <c r="D3277" s="3">
        <v>312</v>
      </c>
      <c r="E3277" s="4">
        <v>227760</v>
      </c>
      <c r="G3277" s="12">
        <f t="shared" si="206"/>
        <v>2019</v>
      </c>
      <c r="H3277" s="12">
        <f t="shared" si="207"/>
        <v>12</v>
      </c>
      <c r="I3277" s="11">
        <f t="shared" si="208"/>
        <v>108</v>
      </c>
      <c r="J3277" s="11"/>
    </row>
    <row r="3278" spans="1:10" x14ac:dyDescent="0.25">
      <c r="A3278" s="2">
        <v>43816</v>
      </c>
      <c r="B3278" s="3">
        <v>499</v>
      </c>
      <c r="C3278" s="4">
        <v>234530</v>
      </c>
      <c r="D3278" s="3">
        <v>311</v>
      </c>
      <c r="E3278" s="4">
        <v>227030</v>
      </c>
      <c r="G3278" s="12">
        <f t="shared" si="206"/>
        <v>2019</v>
      </c>
      <c r="H3278" s="12">
        <f t="shared" si="207"/>
        <v>12</v>
      </c>
      <c r="I3278" s="11">
        <f t="shared" si="208"/>
        <v>108</v>
      </c>
      <c r="J3278" s="11"/>
    </row>
    <row r="3279" spans="1:10" x14ac:dyDescent="0.25">
      <c r="A3279" s="2">
        <v>43817</v>
      </c>
      <c r="B3279" s="3">
        <v>472</v>
      </c>
      <c r="C3279" s="4">
        <v>221840</v>
      </c>
      <c r="D3279" s="3">
        <v>292</v>
      </c>
      <c r="E3279" s="4">
        <v>213160</v>
      </c>
      <c r="G3279" s="12">
        <f t="shared" si="206"/>
        <v>2019</v>
      </c>
      <c r="H3279" s="12">
        <f t="shared" si="207"/>
        <v>12</v>
      </c>
      <c r="I3279" s="11">
        <f t="shared" si="208"/>
        <v>108</v>
      </c>
      <c r="J3279" s="11"/>
    </row>
    <row r="3280" spans="1:10" x14ac:dyDescent="0.25">
      <c r="A3280" s="2">
        <v>43818</v>
      </c>
      <c r="B3280" s="3">
        <v>452</v>
      </c>
      <c r="C3280" s="4">
        <v>212440</v>
      </c>
      <c r="D3280" s="3">
        <v>246</v>
      </c>
      <c r="E3280" s="4">
        <v>179580</v>
      </c>
      <c r="G3280" s="12">
        <f t="shared" si="206"/>
        <v>2019</v>
      </c>
      <c r="H3280" s="12">
        <f t="shared" si="207"/>
        <v>12</v>
      </c>
      <c r="I3280" s="11">
        <f t="shared" si="208"/>
        <v>108</v>
      </c>
      <c r="J3280" s="11"/>
    </row>
    <row r="3281" spans="1:10" x14ac:dyDescent="0.25">
      <c r="A3281" s="2">
        <v>43819</v>
      </c>
      <c r="B3281" s="3">
        <v>432</v>
      </c>
      <c r="C3281" s="4">
        <v>203040</v>
      </c>
      <c r="D3281" s="3">
        <v>320</v>
      </c>
      <c r="E3281" s="4">
        <v>233600</v>
      </c>
      <c r="G3281" s="12">
        <f t="shared" si="206"/>
        <v>2019</v>
      </c>
      <c r="H3281" s="12">
        <f t="shared" si="207"/>
        <v>12</v>
      </c>
      <c r="I3281" s="11">
        <f t="shared" si="208"/>
        <v>108</v>
      </c>
      <c r="J3281" s="11"/>
    </row>
    <row r="3282" spans="1:10" x14ac:dyDescent="0.25">
      <c r="A3282" s="2">
        <v>43820</v>
      </c>
      <c r="B3282" s="3">
        <v>548</v>
      </c>
      <c r="C3282" s="4">
        <v>257560</v>
      </c>
      <c r="D3282" s="3">
        <v>349</v>
      </c>
      <c r="E3282" s="4">
        <v>254770</v>
      </c>
      <c r="G3282" s="12">
        <f t="shared" si="206"/>
        <v>2019</v>
      </c>
      <c r="H3282" s="12">
        <f t="shared" si="207"/>
        <v>12</v>
      </c>
      <c r="I3282" s="11">
        <f t="shared" si="208"/>
        <v>108</v>
      </c>
      <c r="J3282" s="11"/>
    </row>
    <row r="3283" spans="1:10" x14ac:dyDescent="0.25">
      <c r="A3283" s="2">
        <v>43821</v>
      </c>
      <c r="B3283" s="3">
        <v>441</v>
      </c>
      <c r="C3283" s="4">
        <v>207270</v>
      </c>
      <c r="D3283" s="3">
        <v>334</v>
      </c>
      <c r="E3283" s="4">
        <v>243820</v>
      </c>
      <c r="G3283" s="12">
        <f t="shared" si="206"/>
        <v>2019</v>
      </c>
      <c r="H3283" s="12">
        <f t="shared" si="207"/>
        <v>12</v>
      </c>
      <c r="I3283" s="11">
        <f t="shared" si="208"/>
        <v>108</v>
      </c>
      <c r="J3283" s="11"/>
    </row>
    <row r="3284" spans="1:10" x14ac:dyDescent="0.25">
      <c r="A3284" s="2">
        <v>43822</v>
      </c>
      <c r="B3284" s="3">
        <v>500</v>
      </c>
      <c r="C3284" s="4">
        <v>235000</v>
      </c>
      <c r="D3284" s="3">
        <v>325</v>
      </c>
      <c r="E3284" s="4">
        <v>237250</v>
      </c>
      <c r="G3284" s="12">
        <f t="shared" si="206"/>
        <v>2019</v>
      </c>
      <c r="H3284" s="12">
        <f t="shared" si="207"/>
        <v>12</v>
      </c>
      <c r="I3284" s="11">
        <f t="shared" si="208"/>
        <v>108</v>
      </c>
      <c r="J3284" s="11"/>
    </row>
    <row r="3285" spans="1:10" x14ac:dyDescent="0.25">
      <c r="A3285" s="2">
        <v>43823</v>
      </c>
      <c r="B3285" s="3">
        <v>436</v>
      </c>
      <c r="C3285" s="4">
        <v>204920</v>
      </c>
      <c r="D3285" s="3">
        <v>306</v>
      </c>
      <c r="E3285" s="4">
        <v>223380</v>
      </c>
      <c r="G3285" s="12">
        <f t="shared" si="206"/>
        <v>2019</v>
      </c>
      <c r="H3285" s="12">
        <f t="shared" si="207"/>
        <v>12</v>
      </c>
      <c r="I3285" s="11">
        <f t="shared" si="208"/>
        <v>108</v>
      </c>
      <c r="J3285" s="11"/>
    </row>
    <row r="3286" spans="1:10" x14ac:dyDescent="0.25">
      <c r="A3286" s="2">
        <v>43824</v>
      </c>
      <c r="B3286" s="3">
        <v>485</v>
      </c>
      <c r="C3286" s="4">
        <v>227950</v>
      </c>
      <c r="D3286" s="3">
        <v>329</v>
      </c>
      <c r="E3286" s="4">
        <v>240170</v>
      </c>
      <c r="G3286" s="12">
        <f t="shared" si="206"/>
        <v>2019</v>
      </c>
      <c r="H3286" s="12">
        <f t="shared" si="207"/>
        <v>12</v>
      </c>
      <c r="I3286" s="11">
        <f t="shared" si="208"/>
        <v>108</v>
      </c>
      <c r="J3286" s="11"/>
    </row>
    <row r="3287" spans="1:10" x14ac:dyDescent="0.25">
      <c r="A3287" s="2">
        <v>43825</v>
      </c>
      <c r="B3287" s="3">
        <v>415</v>
      </c>
      <c r="C3287" s="4">
        <v>195050</v>
      </c>
      <c r="D3287" s="3">
        <v>272</v>
      </c>
      <c r="E3287" s="4">
        <v>198560</v>
      </c>
      <c r="G3287" s="12">
        <f t="shared" si="206"/>
        <v>2019</v>
      </c>
      <c r="H3287" s="12">
        <f t="shared" si="207"/>
        <v>12</v>
      </c>
      <c r="I3287" s="11">
        <f t="shared" si="208"/>
        <v>108</v>
      </c>
      <c r="J3287" s="11"/>
    </row>
    <row r="3288" spans="1:10" x14ac:dyDescent="0.25">
      <c r="A3288" s="2">
        <v>43826</v>
      </c>
      <c r="B3288" s="3">
        <v>565</v>
      </c>
      <c r="C3288" s="4">
        <v>265550</v>
      </c>
      <c r="D3288" s="3">
        <v>244</v>
      </c>
      <c r="E3288" s="4">
        <v>178120</v>
      </c>
      <c r="G3288" s="12">
        <f t="shared" si="206"/>
        <v>2019</v>
      </c>
      <c r="H3288" s="12">
        <f t="shared" si="207"/>
        <v>12</v>
      </c>
      <c r="I3288" s="11">
        <f t="shared" si="208"/>
        <v>108</v>
      </c>
      <c r="J3288" s="11"/>
    </row>
    <row r="3289" spans="1:10" x14ac:dyDescent="0.25">
      <c r="A3289" s="2">
        <v>43827</v>
      </c>
      <c r="B3289" s="3">
        <v>460</v>
      </c>
      <c r="C3289" s="4">
        <v>216200</v>
      </c>
      <c r="D3289" s="3">
        <v>374</v>
      </c>
      <c r="E3289" s="4">
        <v>273020</v>
      </c>
      <c r="G3289" s="12">
        <f t="shared" si="206"/>
        <v>2019</v>
      </c>
      <c r="H3289" s="12">
        <f t="shared" si="207"/>
        <v>12</v>
      </c>
      <c r="I3289" s="11">
        <f t="shared" si="208"/>
        <v>108</v>
      </c>
      <c r="J3289" s="11"/>
    </row>
    <row r="3290" spans="1:10" x14ac:dyDescent="0.25">
      <c r="A3290" s="2">
        <v>43828</v>
      </c>
      <c r="B3290" s="3">
        <v>471</v>
      </c>
      <c r="C3290" s="4">
        <v>221370</v>
      </c>
      <c r="D3290" s="3">
        <v>319</v>
      </c>
      <c r="E3290" s="4">
        <v>232870</v>
      </c>
      <c r="G3290" s="12">
        <f t="shared" si="206"/>
        <v>2019</v>
      </c>
      <c r="H3290" s="12">
        <f t="shared" si="207"/>
        <v>12</v>
      </c>
      <c r="I3290" s="11">
        <f t="shared" si="208"/>
        <v>108</v>
      </c>
      <c r="J3290" s="11"/>
    </row>
    <row r="3291" spans="1:10" x14ac:dyDescent="0.25">
      <c r="A3291" s="2">
        <v>43829</v>
      </c>
      <c r="B3291" s="3">
        <v>507</v>
      </c>
      <c r="C3291" s="4">
        <v>238290</v>
      </c>
      <c r="D3291" s="3">
        <v>328</v>
      </c>
      <c r="E3291" s="4">
        <v>239440</v>
      </c>
      <c r="G3291" s="12">
        <f t="shared" si="206"/>
        <v>2019</v>
      </c>
      <c r="H3291" s="12">
        <f t="shared" si="207"/>
        <v>12</v>
      </c>
      <c r="I3291" s="11">
        <f t="shared" si="208"/>
        <v>108</v>
      </c>
      <c r="J3291" s="11"/>
    </row>
    <row r="3292" spans="1:10" x14ac:dyDescent="0.25">
      <c r="A3292" s="2">
        <v>43830</v>
      </c>
      <c r="B3292" s="3">
        <v>389</v>
      </c>
      <c r="C3292" s="4">
        <v>182830</v>
      </c>
      <c r="D3292" s="3">
        <v>305</v>
      </c>
      <c r="E3292" s="4">
        <v>222650</v>
      </c>
      <c r="G3292" s="12">
        <f t="shared" si="206"/>
        <v>2019</v>
      </c>
      <c r="H3292" s="12">
        <f t="shared" si="207"/>
        <v>12</v>
      </c>
      <c r="I3292" s="11">
        <f t="shared" si="208"/>
        <v>108</v>
      </c>
      <c r="J3292" s="11"/>
    </row>
    <row r="3293" spans="1:10" x14ac:dyDescent="0.25">
      <c r="A3293" s="2">
        <v>43831</v>
      </c>
      <c r="B3293" s="3">
        <v>421</v>
      </c>
      <c r="C3293" s="4">
        <v>197870</v>
      </c>
      <c r="D3293" s="3">
        <v>350</v>
      </c>
      <c r="E3293" s="4">
        <v>255500</v>
      </c>
      <c r="G3293" s="12">
        <f t="shared" si="206"/>
        <v>2020</v>
      </c>
      <c r="H3293" s="12">
        <f t="shared" si="207"/>
        <v>1</v>
      </c>
      <c r="I3293" s="11">
        <f t="shared" si="208"/>
        <v>109</v>
      </c>
      <c r="J3293" s="11"/>
    </row>
    <row r="3294" spans="1:10" x14ac:dyDescent="0.25">
      <c r="A3294" s="2">
        <v>43832</v>
      </c>
      <c r="B3294" s="3">
        <v>435</v>
      </c>
      <c r="C3294" s="4">
        <v>204450</v>
      </c>
      <c r="D3294" s="3">
        <v>282</v>
      </c>
      <c r="E3294" s="4">
        <v>205860</v>
      </c>
      <c r="G3294" s="12">
        <f t="shared" si="206"/>
        <v>2020</v>
      </c>
      <c r="H3294" s="12">
        <f t="shared" si="207"/>
        <v>1</v>
      </c>
      <c r="I3294" s="11">
        <f t="shared" si="208"/>
        <v>109</v>
      </c>
      <c r="J3294" s="11"/>
    </row>
    <row r="3295" spans="1:10" x14ac:dyDescent="0.25">
      <c r="A3295" s="2">
        <v>43833</v>
      </c>
      <c r="B3295" s="3">
        <v>409</v>
      </c>
      <c r="C3295" s="4">
        <v>192230</v>
      </c>
      <c r="D3295" s="3">
        <v>276</v>
      </c>
      <c r="E3295" s="4">
        <v>201480</v>
      </c>
      <c r="G3295" s="12">
        <f t="shared" si="206"/>
        <v>2020</v>
      </c>
      <c r="H3295" s="12">
        <f t="shared" si="207"/>
        <v>1</v>
      </c>
      <c r="I3295" s="11">
        <f t="shared" si="208"/>
        <v>109</v>
      </c>
      <c r="J3295" s="11"/>
    </row>
    <row r="3296" spans="1:10" x14ac:dyDescent="0.25">
      <c r="A3296" s="2">
        <v>43834</v>
      </c>
      <c r="B3296" s="3">
        <v>468</v>
      </c>
      <c r="C3296" s="4">
        <v>219960</v>
      </c>
      <c r="D3296" s="3">
        <v>289</v>
      </c>
      <c r="E3296" s="4">
        <v>210970</v>
      </c>
      <c r="G3296" s="12">
        <f t="shared" si="206"/>
        <v>2020</v>
      </c>
      <c r="H3296" s="12">
        <f t="shared" si="207"/>
        <v>1</v>
      </c>
      <c r="I3296" s="11">
        <f t="shared" si="208"/>
        <v>109</v>
      </c>
      <c r="J3296" s="11"/>
    </row>
    <row r="3297" spans="1:10" x14ac:dyDescent="0.25">
      <c r="A3297" s="2">
        <v>43835</v>
      </c>
      <c r="B3297" s="3">
        <v>527</v>
      </c>
      <c r="C3297" s="4">
        <v>247690</v>
      </c>
      <c r="D3297" s="3">
        <v>310</v>
      </c>
      <c r="E3297" s="4">
        <v>226300</v>
      </c>
      <c r="G3297" s="12">
        <f t="shared" si="206"/>
        <v>2020</v>
      </c>
      <c r="H3297" s="12">
        <f t="shared" si="207"/>
        <v>1</v>
      </c>
      <c r="I3297" s="11">
        <f t="shared" si="208"/>
        <v>109</v>
      </c>
      <c r="J3297" s="11"/>
    </row>
    <row r="3298" spans="1:10" x14ac:dyDescent="0.25">
      <c r="A3298" s="2">
        <v>43836</v>
      </c>
      <c r="B3298" s="3">
        <v>456</v>
      </c>
      <c r="C3298" s="4">
        <v>214320</v>
      </c>
      <c r="D3298" s="3">
        <v>307</v>
      </c>
      <c r="E3298" s="4">
        <v>224110</v>
      </c>
      <c r="G3298" s="12">
        <f t="shared" si="206"/>
        <v>2020</v>
      </c>
      <c r="H3298" s="12">
        <f t="shared" si="207"/>
        <v>1</v>
      </c>
      <c r="I3298" s="11">
        <f t="shared" si="208"/>
        <v>109</v>
      </c>
      <c r="J3298" s="11"/>
    </row>
    <row r="3299" spans="1:10" x14ac:dyDescent="0.25">
      <c r="A3299" s="2">
        <v>43837</v>
      </c>
      <c r="B3299" s="3">
        <v>360</v>
      </c>
      <c r="C3299" s="4">
        <v>169200</v>
      </c>
      <c r="D3299" s="3">
        <v>309</v>
      </c>
      <c r="E3299" s="4">
        <v>225570</v>
      </c>
      <c r="G3299" s="12">
        <f t="shared" si="206"/>
        <v>2020</v>
      </c>
      <c r="H3299" s="12">
        <f t="shared" si="207"/>
        <v>1</v>
      </c>
      <c r="I3299" s="11">
        <f t="shared" si="208"/>
        <v>109</v>
      </c>
      <c r="J3299" s="11"/>
    </row>
    <row r="3300" spans="1:10" x14ac:dyDescent="0.25">
      <c r="A3300" s="2">
        <v>43838</v>
      </c>
      <c r="B3300" s="3">
        <v>465</v>
      </c>
      <c r="C3300" s="4">
        <v>218550</v>
      </c>
      <c r="D3300" s="3">
        <v>283</v>
      </c>
      <c r="E3300" s="4">
        <v>206590</v>
      </c>
      <c r="G3300" s="12">
        <f t="shared" si="206"/>
        <v>2020</v>
      </c>
      <c r="H3300" s="12">
        <f t="shared" si="207"/>
        <v>1</v>
      </c>
      <c r="I3300" s="11">
        <f t="shared" si="208"/>
        <v>109</v>
      </c>
      <c r="J3300" s="11"/>
    </row>
    <row r="3301" spans="1:10" x14ac:dyDescent="0.25">
      <c r="A3301" s="2">
        <v>43839</v>
      </c>
      <c r="B3301" s="3">
        <v>423</v>
      </c>
      <c r="C3301" s="4">
        <v>198810</v>
      </c>
      <c r="D3301" s="3">
        <v>286</v>
      </c>
      <c r="E3301" s="4">
        <v>208780</v>
      </c>
      <c r="G3301" s="12">
        <f t="shared" si="206"/>
        <v>2020</v>
      </c>
      <c r="H3301" s="12">
        <f t="shared" si="207"/>
        <v>1</v>
      </c>
      <c r="I3301" s="11">
        <f t="shared" si="208"/>
        <v>109</v>
      </c>
      <c r="J3301" s="11"/>
    </row>
    <row r="3302" spans="1:10" x14ac:dyDescent="0.25">
      <c r="A3302" s="2">
        <v>43840</v>
      </c>
      <c r="B3302" s="3">
        <v>438</v>
      </c>
      <c r="C3302" s="4">
        <v>205860</v>
      </c>
      <c r="D3302" s="3">
        <v>304</v>
      </c>
      <c r="E3302" s="4">
        <v>221920</v>
      </c>
      <c r="G3302" s="12">
        <f t="shared" si="206"/>
        <v>2020</v>
      </c>
      <c r="H3302" s="12">
        <f t="shared" si="207"/>
        <v>1</v>
      </c>
      <c r="I3302" s="11">
        <f t="shared" si="208"/>
        <v>109</v>
      </c>
      <c r="J3302" s="11"/>
    </row>
    <row r="3303" spans="1:10" x14ac:dyDescent="0.25">
      <c r="A3303" s="2">
        <v>43841</v>
      </c>
      <c r="B3303" s="3">
        <v>414</v>
      </c>
      <c r="C3303" s="4">
        <v>194580</v>
      </c>
      <c r="D3303" s="3">
        <v>299</v>
      </c>
      <c r="E3303" s="4">
        <v>218270</v>
      </c>
      <c r="G3303" s="12">
        <f t="shared" si="206"/>
        <v>2020</v>
      </c>
      <c r="H3303" s="12">
        <f t="shared" si="207"/>
        <v>1</v>
      </c>
      <c r="I3303" s="11">
        <f t="shared" si="208"/>
        <v>109</v>
      </c>
      <c r="J3303" s="11"/>
    </row>
    <row r="3304" spans="1:10" x14ac:dyDescent="0.25">
      <c r="A3304" s="2">
        <v>43842</v>
      </c>
      <c r="B3304" s="3">
        <v>487</v>
      </c>
      <c r="C3304" s="4">
        <v>228890</v>
      </c>
      <c r="D3304" s="3">
        <v>261</v>
      </c>
      <c r="E3304" s="4">
        <v>190530</v>
      </c>
      <c r="G3304" s="12">
        <f t="shared" si="206"/>
        <v>2020</v>
      </c>
      <c r="H3304" s="12">
        <f t="shared" si="207"/>
        <v>1</v>
      </c>
      <c r="I3304" s="11">
        <f t="shared" si="208"/>
        <v>109</v>
      </c>
      <c r="J3304" s="11"/>
    </row>
    <row r="3305" spans="1:10" x14ac:dyDescent="0.25">
      <c r="A3305" s="2">
        <v>43843</v>
      </c>
      <c r="B3305" s="3">
        <v>511</v>
      </c>
      <c r="C3305" s="4">
        <v>240170</v>
      </c>
      <c r="D3305" s="3">
        <v>315</v>
      </c>
      <c r="E3305" s="4">
        <v>229950</v>
      </c>
      <c r="G3305" s="12">
        <f t="shared" si="206"/>
        <v>2020</v>
      </c>
      <c r="H3305" s="12">
        <f t="shared" si="207"/>
        <v>1</v>
      </c>
      <c r="I3305" s="11">
        <f t="shared" si="208"/>
        <v>109</v>
      </c>
      <c r="J3305" s="11"/>
    </row>
    <row r="3306" spans="1:10" x14ac:dyDescent="0.25">
      <c r="A3306" s="2">
        <v>43844</v>
      </c>
      <c r="B3306" s="3">
        <v>449</v>
      </c>
      <c r="C3306" s="4">
        <v>211030</v>
      </c>
      <c r="D3306" s="3">
        <v>296</v>
      </c>
      <c r="E3306" s="4">
        <v>216080</v>
      </c>
      <c r="G3306" s="12">
        <f t="shared" si="206"/>
        <v>2020</v>
      </c>
      <c r="H3306" s="12">
        <f t="shared" si="207"/>
        <v>1</v>
      </c>
      <c r="I3306" s="11">
        <f t="shared" si="208"/>
        <v>109</v>
      </c>
      <c r="J3306" s="11"/>
    </row>
    <row r="3307" spans="1:10" x14ac:dyDescent="0.25">
      <c r="A3307" s="2">
        <v>43845</v>
      </c>
      <c r="B3307" s="3">
        <v>406</v>
      </c>
      <c r="C3307" s="4">
        <v>190820</v>
      </c>
      <c r="D3307" s="3">
        <v>343</v>
      </c>
      <c r="E3307" s="4">
        <v>250390</v>
      </c>
      <c r="G3307" s="12">
        <f t="shared" si="206"/>
        <v>2020</v>
      </c>
      <c r="H3307" s="12">
        <f t="shared" si="207"/>
        <v>1</v>
      </c>
      <c r="I3307" s="11">
        <f t="shared" si="208"/>
        <v>109</v>
      </c>
      <c r="J3307" s="11"/>
    </row>
    <row r="3308" spans="1:10" x14ac:dyDescent="0.25">
      <c r="A3308" s="2">
        <v>43846</v>
      </c>
      <c r="B3308" s="3">
        <v>473</v>
      </c>
      <c r="C3308" s="4">
        <v>222310</v>
      </c>
      <c r="D3308" s="3">
        <v>336</v>
      </c>
      <c r="E3308" s="4">
        <v>245280</v>
      </c>
      <c r="G3308" s="12">
        <f t="shared" si="206"/>
        <v>2020</v>
      </c>
      <c r="H3308" s="12">
        <f t="shared" si="207"/>
        <v>1</v>
      </c>
      <c r="I3308" s="11">
        <f t="shared" si="208"/>
        <v>109</v>
      </c>
      <c r="J3308" s="11"/>
    </row>
    <row r="3309" spans="1:10" x14ac:dyDescent="0.25">
      <c r="A3309" s="2">
        <v>43847</v>
      </c>
      <c r="B3309" s="3">
        <v>413</v>
      </c>
      <c r="C3309" s="4">
        <v>194110</v>
      </c>
      <c r="D3309" s="3">
        <v>269</v>
      </c>
      <c r="E3309" s="4">
        <v>196370</v>
      </c>
      <c r="G3309" s="12">
        <f t="shared" si="206"/>
        <v>2020</v>
      </c>
      <c r="H3309" s="12">
        <f t="shared" si="207"/>
        <v>1</v>
      </c>
      <c r="I3309" s="11">
        <f t="shared" si="208"/>
        <v>109</v>
      </c>
      <c r="J3309" s="11"/>
    </row>
    <row r="3310" spans="1:10" x14ac:dyDescent="0.25">
      <c r="A3310" s="2">
        <v>43848</v>
      </c>
      <c r="B3310" s="3">
        <v>454</v>
      </c>
      <c r="C3310" s="4">
        <v>213380</v>
      </c>
      <c r="D3310" s="3">
        <v>283</v>
      </c>
      <c r="E3310" s="4">
        <v>206590</v>
      </c>
      <c r="G3310" s="12">
        <f t="shared" si="206"/>
        <v>2020</v>
      </c>
      <c r="H3310" s="12">
        <f t="shared" si="207"/>
        <v>1</v>
      </c>
      <c r="I3310" s="11">
        <f t="shared" si="208"/>
        <v>109</v>
      </c>
      <c r="J3310" s="11"/>
    </row>
    <row r="3311" spans="1:10" x14ac:dyDescent="0.25">
      <c r="A3311" s="2">
        <v>43849</v>
      </c>
      <c r="B3311" s="3">
        <v>539</v>
      </c>
      <c r="C3311" s="4">
        <v>253330</v>
      </c>
      <c r="D3311" s="3">
        <v>309</v>
      </c>
      <c r="E3311" s="4">
        <v>225570</v>
      </c>
      <c r="G3311" s="12">
        <f t="shared" si="206"/>
        <v>2020</v>
      </c>
      <c r="H3311" s="12">
        <f t="shared" si="207"/>
        <v>1</v>
      </c>
      <c r="I3311" s="11">
        <f t="shared" si="208"/>
        <v>109</v>
      </c>
      <c r="J3311" s="11"/>
    </row>
    <row r="3312" spans="1:10" x14ac:dyDescent="0.25">
      <c r="A3312" s="2">
        <v>43850</v>
      </c>
      <c r="B3312" s="3">
        <v>497</v>
      </c>
      <c r="C3312" s="4">
        <v>233590</v>
      </c>
      <c r="D3312" s="3">
        <v>317</v>
      </c>
      <c r="E3312" s="4">
        <v>231410</v>
      </c>
      <c r="G3312" s="12">
        <f t="shared" si="206"/>
        <v>2020</v>
      </c>
      <c r="H3312" s="12">
        <f t="shared" si="207"/>
        <v>1</v>
      </c>
      <c r="I3312" s="11">
        <f t="shared" si="208"/>
        <v>109</v>
      </c>
      <c r="J3312" s="11"/>
    </row>
    <row r="3313" spans="1:10" x14ac:dyDescent="0.25">
      <c r="A3313" s="2">
        <v>43851</v>
      </c>
      <c r="B3313" s="3">
        <v>425</v>
      </c>
      <c r="C3313" s="4">
        <v>199750</v>
      </c>
      <c r="D3313" s="3">
        <v>315</v>
      </c>
      <c r="E3313" s="4">
        <v>229950</v>
      </c>
      <c r="G3313" s="12">
        <f t="shared" si="206"/>
        <v>2020</v>
      </c>
      <c r="H3313" s="12">
        <f t="shared" si="207"/>
        <v>1</v>
      </c>
      <c r="I3313" s="11">
        <f t="shared" si="208"/>
        <v>109</v>
      </c>
      <c r="J3313" s="11"/>
    </row>
    <row r="3314" spans="1:10" x14ac:dyDescent="0.25">
      <c r="A3314" s="2">
        <v>43852</v>
      </c>
      <c r="B3314" s="3">
        <v>474</v>
      </c>
      <c r="C3314" s="4">
        <v>222780</v>
      </c>
      <c r="D3314" s="3">
        <v>290</v>
      </c>
      <c r="E3314" s="4">
        <v>211700</v>
      </c>
      <c r="G3314" s="12">
        <f t="shared" si="206"/>
        <v>2020</v>
      </c>
      <c r="H3314" s="12">
        <f t="shared" si="207"/>
        <v>1</v>
      </c>
      <c r="I3314" s="11">
        <f t="shared" si="208"/>
        <v>109</v>
      </c>
      <c r="J3314" s="11"/>
    </row>
    <row r="3315" spans="1:10" x14ac:dyDescent="0.25">
      <c r="A3315" s="2">
        <v>43853</v>
      </c>
      <c r="B3315" s="3">
        <v>514</v>
      </c>
      <c r="C3315" s="4">
        <v>241580</v>
      </c>
      <c r="D3315" s="3">
        <v>326</v>
      </c>
      <c r="E3315" s="4">
        <v>237980</v>
      </c>
      <c r="G3315" s="12">
        <f t="shared" si="206"/>
        <v>2020</v>
      </c>
      <c r="H3315" s="12">
        <f t="shared" si="207"/>
        <v>1</v>
      </c>
      <c r="I3315" s="11">
        <f t="shared" si="208"/>
        <v>109</v>
      </c>
      <c r="J3315" s="11"/>
    </row>
    <row r="3316" spans="1:10" x14ac:dyDescent="0.25">
      <c r="A3316" s="2">
        <v>43854</v>
      </c>
      <c r="B3316" s="3">
        <v>477</v>
      </c>
      <c r="C3316" s="4">
        <v>224190</v>
      </c>
      <c r="D3316" s="3">
        <v>300</v>
      </c>
      <c r="E3316" s="4">
        <v>219000</v>
      </c>
      <c r="G3316" s="12">
        <f t="shared" si="206"/>
        <v>2020</v>
      </c>
      <c r="H3316" s="12">
        <f t="shared" si="207"/>
        <v>1</v>
      </c>
      <c r="I3316" s="11">
        <f t="shared" si="208"/>
        <v>109</v>
      </c>
      <c r="J3316" s="11"/>
    </row>
    <row r="3317" spans="1:10" x14ac:dyDescent="0.25">
      <c r="A3317" s="2">
        <v>43855</v>
      </c>
      <c r="B3317" s="3">
        <v>534</v>
      </c>
      <c r="C3317" s="4">
        <v>250980</v>
      </c>
      <c r="D3317" s="3">
        <v>283</v>
      </c>
      <c r="E3317" s="4">
        <v>206590</v>
      </c>
      <c r="G3317" s="12">
        <f t="shared" si="206"/>
        <v>2020</v>
      </c>
      <c r="H3317" s="12">
        <f t="shared" si="207"/>
        <v>1</v>
      </c>
      <c r="I3317" s="11">
        <f t="shared" si="208"/>
        <v>109</v>
      </c>
      <c r="J3317" s="11"/>
    </row>
    <row r="3318" spans="1:10" x14ac:dyDescent="0.25">
      <c r="A3318" s="2">
        <v>43856</v>
      </c>
      <c r="B3318" s="3">
        <v>428</v>
      </c>
      <c r="C3318" s="4">
        <v>201160</v>
      </c>
      <c r="D3318" s="3">
        <v>306</v>
      </c>
      <c r="E3318" s="4">
        <v>223380</v>
      </c>
      <c r="G3318" s="12">
        <f t="shared" si="206"/>
        <v>2020</v>
      </c>
      <c r="H3318" s="12">
        <f t="shared" si="207"/>
        <v>1</v>
      </c>
      <c r="I3318" s="11">
        <f t="shared" si="208"/>
        <v>109</v>
      </c>
      <c r="J3318" s="11"/>
    </row>
    <row r="3319" spans="1:10" x14ac:dyDescent="0.25">
      <c r="A3319" s="2">
        <v>43857</v>
      </c>
      <c r="B3319" s="3">
        <v>437</v>
      </c>
      <c r="C3319" s="4">
        <v>205390</v>
      </c>
      <c r="D3319" s="3">
        <v>286</v>
      </c>
      <c r="E3319" s="4">
        <v>208780</v>
      </c>
      <c r="G3319" s="12">
        <f t="shared" si="206"/>
        <v>2020</v>
      </c>
      <c r="H3319" s="12">
        <f t="shared" si="207"/>
        <v>1</v>
      </c>
      <c r="I3319" s="11">
        <f t="shared" si="208"/>
        <v>109</v>
      </c>
      <c r="J3319" s="11"/>
    </row>
    <row r="3320" spans="1:10" x14ac:dyDescent="0.25">
      <c r="A3320" s="2">
        <v>43858</v>
      </c>
      <c r="B3320" s="3">
        <v>476</v>
      </c>
      <c r="C3320" s="4">
        <v>223720</v>
      </c>
      <c r="D3320" s="3">
        <v>257</v>
      </c>
      <c r="E3320" s="4">
        <v>187610</v>
      </c>
      <c r="G3320" s="12">
        <f t="shared" si="206"/>
        <v>2020</v>
      </c>
      <c r="H3320" s="12">
        <f t="shared" si="207"/>
        <v>1</v>
      </c>
      <c r="I3320" s="11">
        <f t="shared" si="208"/>
        <v>109</v>
      </c>
      <c r="J3320" s="11"/>
    </row>
    <row r="3321" spans="1:10" x14ac:dyDescent="0.25">
      <c r="A3321" s="2">
        <v>43859</v>
      </c>
      <c r="B3321" s="3">
        <v>467</v>
      </c>
      <c r="C3321" s="4">
        <v>219490</v>
      </c>
      <c r="D3321" s="3">
        <v>334</v>
      </c>
      <c r="E3321" s="4">
        <v>243820</v>
      </c>
      <c r="G3321" s="12">
        <f t="shared" si="206"/>
        <v>2020</v>
      </c>
      <c r="H3321" s="12">
        <f t="shared" si="207"/>
        <v>1</v>
      </c>
      <c r="I3321" s="11">
        <f t="shared" si="208"/>
        <v>109</v>
      </c>
      <c r="J3321" s="11"/>
    </row>
    <row r="3322" spans="1:10" x14ac:dyDescent="0.25">
      <c r="A3322" s="2">
        <v>43860</v>
      </c>
      <c r="B3322" s="3">
        <v>453</v>
      </c>
      <c r="C3322" s="4">
        <v>212910</v>
      </c>
      <c r="D3322" s="3">
        <v>314</v>
      </c>
      <c r="E3322" s="4">
        <v>229220</v>
      </c>
      <c r="G3322" s="12">
        <f t="shared" si="206"/>
        <v>2020</v>
      </c>
      <c r="H3322" s="12">
        <f t="shared" si="207"/>
        <v>1</v>
      </c>
      <c r="I3322" s="11">
        <f t="shared" si="208"/>
        <v>109</v>
      </c>
      <c r="J3322" s="11"/>
    </row>
    <row r="3323" spans="1:10" x14ac:dyDescent="0.25">
      <c r="A3323" s="2">
        <v>43861</v>
      </c>
      <c r="B3323" s="3">
        <v>453</v>
      </c>
      <c r="C3323" s="4">
        <v>212910</v>
      </c>
      <c r="D3323" s="3">
        <v>327</v>
      </c>
      <c r="E3323" s="4">
        <v>238710</v>
      </c>
      <c r="G3323" s="12">
        <f t="shared" si="206"/>
        <v>2020</v>
      </c>
      <c r="H3323" s="12">
        <f t="shared" si="207"/>
        <v>1</v>
      </c>
      <c r="I3323" s="11">
        <f t="shared" si="208"/>
        <v>109</v>
      </c>
      <c r="J3323" s="11"/>
    </row>
    <row r="3324" spans="1:10" x14ac:dyDescent="0.25">
      <c r="A3324" s="2">
        <v>43862</v>
      </c>
      <c r="B3324" s="3">
        <v>484</v>
      </c>
      <c r="C3324" s="4">
        <v>227480</v>
      </c>
      <c r="D3324" s="3">
        <v>261</v>
      </c>
      <c r="E3324" s="4">
        <v>190530</v>
      </c>
      <c r="G3324" s="12">
        <f t="shared" si="206"/>
        <v>2020</v>
      </c>
      <c r="H3324" s="12">
        <f t="shared" si="207"/>
        <v>2</v>
      </c>
      <c r="I3324" s="11">
        <f t="shared" si="208"/>
        <v>110</v>
      </c>
      <c r="J3324" s="11"/>
    </row>
    <row r="3325" spans="1:10" x14ac:dyDescent="0.25">
      <c r="A3325" s="2">
        <v>43863</v>
      </c>
      <c r="B3325" s="3">
        <v>449</v>
      </c>
      <c r="C3325" s="4">
        <v>211030</v>
      </c>
      <c r="D3325" s="3">
        <v>341</v>
      </c>
      <c r="E3325" s="4">
        <v>248930</v>
      </c>
      <c r="G3325" s="12">
        <f t="shared" si="206"/>
        <v>2020</v>
      </c>
      <c r="H3325" s="12">
        <f t="shared" si="207"/>
        <v>2</v>
      </c>
      <c r="I3325" s="11">
        <f t="shared" si="208"/>
        <v>110</v>
      </c>
      <c r="J3325" s="11"/>
    </row>
    <row r="3326" spans="1:10" x14ac:dyDescent="0.25">
      <c r="A3326" s="2">
        <v>43864</v>
      </c>
      <c r="B3326" s="3">
        <v>482</v>
      </c>
      <c r="C3326" s="4">
        <v>226540</v>
      </c>
      <c r="D3326" s="3">
        <v>276</v>
      </c>
      <c r="E3326" s="4">
        <v>201480</v>
      </c>
      <c r="G3326" s="12">
        <f t="shared" si="206"/>
        <v>2020</v>
      </c>
      <c r="H3326" s="12">
        <f t="shared" si="207"/>
        <v>2</v>
      </c>
      <c r="I3326" s="11">
        <f t="shared" si="208"/>
        <v>110</v>
      </c>
      <c r="J3326" s="11"/>
    </row>
    <row r="3327" spans="1:10" x14ac:dyDescent="0.25">
      <c r="A3327" s="2">
        <v>43865</v>
      </c>
      <c r="B3327" s="3">
        <v>365</v>
      </c>
      <c r="C3327" s="4">
        <v>171550</v>
      </c>
      <c r="D3327" s="3">
        <v>312</v>
      </c>
      <c r="E3327" s="4">
        <v>227760</v>
      </c>
      <c r="G3327" s="12">
        <f t="shared" si="206"/>
        <v>2020</v>
      </c>
      <c r="H3327" s="12">
        <f t="shared" si="207"/>
        <v>2</v>
      </c>
      <c r="I3327" s="11">
        <f t="shared" si="208"/>
        <v>110</v>
      </c>
      <c r="J3327" s="11"/>
    </row>
    <row r="3328" spans="1:10" x14ac:dyDescent="0.25">
      <c r="A3328" s="2">
        <v>43866</v>
      </c>
      <c r="B3328" s="3">
        <v>449</v>
      </c>
      <c r="C3328" s="4">
        <v>211030</v>
      </c>
      <c r="D3328" s="3">
        <v>273</v>
      </c>
      <c r="E3328" s="4">
        <v>199290</v>
      </c>
      <c r="G3328" s="12">
        <f t="shared" si="206"/>
        <v>2020</v>
      </c>
      <c r="H3328" s="12">
        <f t="shared" si="207"/>
        <v>2</v>
      </c>
      <c r="I3328" s="11">
        <f t="shared" si="208"/>
        <v>110</v>
      </c>
      <c r="J3328" s="11"/>
    </row>
    <row r="3329" spans="1:10" x14ac:dyDescent="0.25">
      <c r="A3329" s="2">
        <v>43867</v>
      </c>
      <c r="B3329" s="3">
        <v>377</v>
      </c>
      <c r="C3329" s="4">
        <v>177190</v>
      </c>
      <c r="D3329" s="3">
        <v>272</v>
      </c>
      <c r="E3329" s="4">
        <v>198560</v>
      </c>
      <c r="G3329" s="12">
        <f t="shared" si="206"/>
        <v>2020</v>
      </c>
      <c r="H3329" s="12">
        <f t="shared" si="207"/>
        <v>2</v>
      </c>
      <c r="I3329" s="11">
        <f t="shared" si="208"/>
        <v>110</v>
      </c>
      <c r="J3329" s="11"/>
    </row>
    <row r="3330" spans="1:10" x14ac:dyDescent="0.25">
      <c r="A3330" s="2">
        <v>43868</v>
      </c>
      <c r="B3330" s="3">
        <v>538</v>
      </c>
      <c r="C3330" s="4">
        <v>252860</v>
      </c>
      <c r="D3330" s="3">
        <v>301</v>
      </c>
      <c r="E3330" s="4">
        <v>219730</v>
      </c>
      <c r="G3330" s="12">
        <f t="shared" si="206"/>
        <v>2020</v>
      </c>
      <c r="H3330" s="12">
        <f t="shared" si="207"/>
        <v>2</v>
      </c>
      <c r="I3330" s="11">
        <f t="shared" si="208"/>
        <v>110</v>
      </c>
      <c r="J3330" s="11"/>
    </row>
    <row r="3331" spans="1:10" x14ac:dyDescent="0.25">
      <c r="A3331" s="2">
        <v>43869</v>
      </c>
      <c r="B3331" s="3">
        <v>473</v>
      </c>
      <c r="C3331" s="4">
        <v>222310</v>
      </c>
      <c r="D3331" s="3">
        <v>297</v>
      </c>
      <c r="E3331" s="4">
        <v>216810</v>
      </c>
      <c r="G3331" s="12">
        <f t="shared" si="206"/>
        <v>2020</v>
      </c>
      <c r="H3331" s="12">
        <f t="shared" si="207"/>
        <v>2</v>
      </c>
      <c r="I3331" s="11">
        <f t="shared" si="208"/>
        <v>110</v>
      </c>
      <c r="J3331" s="11"/>
    </row>
    <row r="3332" spans="1:10" x14ac:dyDescent="0.25">
      <c r="A3332" s="2">
        <v>43870</v>
      </c>
      <c r="B3332" s="3">
        <v>470</v>
      </c>
      <c r="C3332" s="4">
        <v>220900</v>
      </c>
      <c r="D3332" s="3">
        <v>270</v>
      </c>
      <c r="E3332" s="4">
        <v>197100</v>
      </c>
      <c r="G3332" s="12">
        <f t="shared" si="206"/>
        <v>2020</v>
      </c>
      <c r="H3332" s="12">
        <f t="shared" si="207"/>
        <v>2</v>
      </c>
      <c r="I3332" s="11">
        <f t="shared" si="208"/>
        <v>110</v>
      </c>
      <c r="J3332" s="11"/>
    </row>
    <row r="3333" spans="1:10" x14ac:dyDescent="0.25">
      <c r="A3333" s="2">
        <v>43871</v>
      </c>
      <c r="B3333" s="3">
        <v>353</v>
      </c>
      <c r="C3333" s="4">
        <v>165910</v>
      </c>
      <c r="D3333" s="3">
        <v>329</v>
      </c>
      <c r="E3333" s="4">
        <v>240170</v>
      </c>
      <c r="G3333" s="12">
        <f t="shared" si="206"/>
        <v>2020</v>
      </c>
      <c r="H3333" s="12">
        <f t="shared" si="207"/>
        <v>2</v>
      </c>
      <c r="I3333" s="11">
        <f t="shared" si="208"/>
        <v>110</v>
      </c>
      <c r="J3333" s="11"/>
    </row>
    <row r="3334" spans="1:10" x14ac:dyDescent="0.25">
      <c r="A3334" s="2">
        <v>43872</v>
      </c>
      <c r="B3334" s="3">
        <v>459</v>
      </c>
      <c r="C3334" s="4">
        <v>215730</v>
      </c>
      <c r="D3334" s="3">
        <v>226</v>
      </c>
      <c r="E3334" s="4">
        <v>164980</v>
      </c>
      <c r="G3334" s="12">
        <f t="shared" ref="G3334:G3397" si="209">+YEAR(A3334)</f>
        <v>2020</v>
      </c>
      <c r="H3334" s="12">
        <f t="shared" ref="H3334:H3397" si="210">+MONTH(A3334)</f>
        <v>2</v>
      </c>
      <c r="I3334" s="11">
        <f t="shared" si="208"/>
        <v>110</v>
      </c>
      <c r="J3334" s="11"/>
    </row>
    <row r="3335" spans="1:10" x14ac:dyDescent="0.25">
      <c r="A3335" s="2">
        <v>43873</v>
      </c>
      <c r="B3335" s="3">
        <v>504</v>
      </c>
      <c r="C3335" s="4">
        <v>236880</v>
      </c>
      <c r="D3335" s="3">
        <v>283</v>
      </c>
      <c r="E3335" s="4">
        <v>206590</v>
      </c>
      <c r="G3335" s="12">
        <f t="shared" si="209"/>
        <v>2020</v>
      </c>
      <c r="H3335" s="12">
        <f t="shared" si="210"/>
        <v>2</v>
      </c>
      <c r="I3335" s="11">
        <f t="shared" ref="I3335:I3398" si="211">+H3335+(G3335-2011)*12</f>
        <v>110</v>
      </c>
      <c r="J3335" s="11"/>
    </row>
    <row r="3336" spans="1:10" x14ac:dyDescent="0.25">
      <c r="A3336" s="2">
        <v>43874</v>
      </c>
      <c r="B3336" s="3">
        <v>429</v>
      </c>
      <c r="C3336" s="4">
        <v>201630</v>
      </c>
      <c r="D3336" s="3">
        <v>340</v>
      </c>
      <c r="E3336" s="4">
        <v>248200</v>
      </c>
      <c r="G3336" s="12">
        <f t="shared" si="209"/>
        <v>2020</v>
      </c>
      <c r="H3336" s="12">
        <f t="shared" si="210"/>
        <v>2</v>
      </c>
      <c r="I3336" s="11">
        <f t="shared" si="211"/>
        <v>110</v>
      </c>
      <c r="J3336" s="11"/>
    </row>
    <row r="3337" spans="1:10" x14ac:dyDescent="0.25">
      <c r="A3337" s="2">
        <v>43875</v>
      </c>
      <c r="B3337" s="3">
        <v>413</v>
      </c>
      <c r="C3337" s="4">
        <v>194110</v>
      </c>
      <c r="D3337" s="3">
        <v>317</v>
      </c>
      <c r="E3337" s="4">
        <v>231410</v>
      </c>
      <c r="G3337" s="12">
        <f t="shared" si="209"/>
        <v>2020</v>
      </c>
      <c r="H3337" s="12">
        <f t="shared" si="210"/>
        <v>2</v>
      </c>
      <c r="I3337" s="11">
        <f t="shared" si="211"/>
        <v>110</v>
      </c>
      <c r="J3337" s="11"/>
    </row>
    <row r="3338" spans="1:10" x14ac:dyDescent="0.25">
      <c r="A3338" s="2">
        <v>43876</v>
      </c>
      <c r="B3338" s="3">
        <v>401</v>
      </c>
      <c r="C3338" s="4">
        <v>188470</v>
      </c>
      <c r="D3338" s="3">
        <v>342</v>
      </c>
      <c r="E3338" s="4">
        <v>249660</v>
      </c>
      <c r="G3338" s="12">
        <f t="shared" si="209"/>
        <v>2020</v>
      </c>
      <c r="H3338" s="12">
        <f t="shared" si="210"/>
        <v>2</v>
      </c>
      <c r="I3338" s="11">
        <f t="shared" si="211"/>
        <v>110</v>
      </c>
      <c r="J3338" s="11"/>
    </row>
    <row r="3339" spans="1:10" x14ac:dyDescent="0.25">
      <c r="A3339" s="2">
        <v>43877</v>
      </c>
      <c r="B3339" s="3">
        <v>459</v>
      </c>
      <c r="C3339" s="4">
        <v>215730</v>
      </c>
      <c r="D3339" s="3">
        <v>261</v>
      </c>
      <c r="E3339" s="4">
        <v>190530</v>
      </c>
      <c r="G3339" s="12">
        <f t="shared" si="209"/>
        <v>2020</v>
      </c>
      <c r="H3339" s="12">
        <f t="shared" si="210"/>
        <v>2</v>
      </c>
      <c r="I3339" s="11">
        <f t="shared" si="211"/>
        <v>110</v>
      </c>
      <c r="J3339" s="11"/>
    </row>
    <row r="3340" spans="1:10" x14ac:dyDescent="0.25">
      <c r="A3340" s="2">
        <v>43878</v>
      </c>
      <c r="B3340" s="3">
        <v>507</v>
      </c>
      <c r="C3340" s="4">
        <v>238290</v>
      </c>
      <c r="D3340" s="3">
        <v>330</v>
      </c>
      <c r="E3340" s="4">
        <v>240900</v>
      </c>
      <c r="G3340" s="12">
        <f t="shared" si="209"/>
        <v>2020</v>
      </c>
      <c r="H3340" s="12">
        <f t="shared" si="210"/>
        <v>2</v>
      </c>
      <c r="I3340" s="11">
        <f t="shared" si="211"/>
        <v>110</v>
      </c>
      <c r="J3340" s="11"/>
    </row>
    <row r="3341" spans="1:10" x14ac:dyDescent="0.25">
      <c r="A3341" s="2">
        <v>43879</v>
      </c>
      <c r="B3341" s="3">
        <v>470</v>
      </c>
      <c r="C3341" s="4">
        <v>220900</v>
      </c>
      <c r="D3341" s="3">
        <v>246</v>
      </c>
      <c r="E3341" s="4">
        <v>179580</v>
      </c>
      <c r="G3341" s="12">
        <f t="shared" si="209"/>
        <v>2020</v>
      </c>
      <c r="H3341" s="12">
        <f t="shared" si="210"/>
        <v>2</v>
      </c>
      <c r="I3341" s="11">
        <f t="shared" si="211"/>
        <v>110</v>
      </c>
      <c r="J3341" s="11"/>
    </row>
    <row r="3342" spans="1:10" x14ac:dyDescent="0.25">
      <c r="A3342" s="2">
        <v>43880</v>
      </c>
      <c r="B3342" s="3">
        <v>481</v>
      </c>
      <c r="C3342" s="4">
        <v>226070</v>
      </c>
      <c r="D3342" s="3">
        <v>312</v>
      </c>
      <c r="E3342" s="4">
        <v>227760</v>
      </c>
      <c r="G3342" s="12">
        <f t="shared" si="209"/>
        <v>2020</v>
      </c>
      <c r="H3342" s="12">
        <f t="shared" si="210"/>
        <v>2</v>
      </c>
      <c r="I3342" s="11">
        <f t="shared" si="211"/>
        <v>110</v>
      </c>
      <c r="J3342" s="11"/>
    </row>
    <row r="3343" spans="1:10" x14ac:dyDescent="0.25">
      <c r="A3343" s="2">
        <v>43881</v>
      </c>
      <c r="B3343" s="3">
        <v>411</v>
      </c>
      <c r="C3343" s="4">
        <v>193170</v>
      </c>
      <c r="D3343" s="3">
        <v>229</v>
      </c>
      <c r="E3343" s="4">
        <v>167170</v>
      </c>
      <c r="G3343" s="12">
        <f t="shared" si="209"/>
        <v>2020</v>
      </c>
      <c r="H3343" s="12">
        <f t="shared" si="210"/>
        <v>2</v>
      </c>
      <c r="I3343" s="11">
        <f t="shared" si="211"/>
        <v>110</v>
      </c>
      <c r="J3343" s="11"/>
    </row>
    <row r="3344" spans="1:10" x14ac:dyDescent="0.25">
      <c r="A3344" s="2">
        <v>43882</v>
      </c>
      <c r="B3344" s="3">
        <v>432</v>
      </c>
      <c r="C3344" s="4">
        <v>203040</v>
      </c>
      <c r="D3344" s="3">
        <v>279</v>
      </c>
      <c r="E3344" s="4">
        <v>203670</v>
      </c>
      <c r="G3344" s="12">
        <f t="shared" si="209"/>
        <v>2020</v>
      </c>
      <c r="H3344" s="12">
        <f t="shared" si="210"/>
        <v>2</v>
      </c>
      <c r="I3344" s="11">
        <f t="shared" si="211"/>
        <v>110</v>
      </c>
      <c r="J3344" s="11"/>
    </row>
    <row r="3345" spans="1:10" x14ac:dyDescent="0.25">
      <c r="A3345" s="2">
        <v>43883</v>
      </c>
      <c r="B3345" s="3">
        <v>429</v>
      </c>
      <c r="C3345" s="4">
        <v>201630</v>
      </c>
      <c r="D3345" s="3">
        <v>309</v>
      </c>
      <c r="E3345" s="4">
        <v>225570</v>
      </c>
      <c r="G3345" s="12">
        <f t="shared" si="209"/>
        <v>2020</v>
      </c>
      <c r="H3345" s="12">
        <f t="shared" si="210"/>
        <v>2</v>
      </c>
      <c r="I3345" s="11">
        <f t="shared" si="211"/>
        <v>110</v>
      </c>
      <c r="J3345" s="11"/>
    </row>
    <row r="3346" spans="1:10" x14ac:dyDescent="0.25">
      <c r="A3346" s="2">
        <v>43884</v>
      </c>
      <c r="B3346" s="3">
        <v>449</v>
      </c>
      <c r="C3346" s="4">
        <v>211030</v>
      </c>
      <c r="D3346" s="3">
        <v>315</v>
      </c>
      <c r="E3346" s="4">
        <v>229950</v>
      </c>
      <c r="G3346" s="12">
        <f t="shared" si="209"/>
        <v>2020</v>
      </c>
      <c r="H3346" s="12">
        <f t="shared" si="210"/>
        <v>2</v>
      </c>
      <c r="I3346" s="11">
        <f t="shared" si="211"/>
        <v>110</v>
      </c>
      <c r="J3346" s="11"/>
    </row>
    <row r="3347" spans="1:10" x14ac:dyDescent="0.25">
      <c r="A3347" s="2">
        <v>43885</v>
      </c>
      <c r="B3347" s="3">
        <v>537</v>
      </c>
      <c r="C3347" s="4">
        <v>252390</v>
      </c>
      <c r="D3347" s="3">
        <v>303</v>
      </c>
      <c r="E3347" s="4">
        <v>221190</v>
      </c>
      <c r="G3347" s="12">
        <f t="shared" si="209"/>
        <v>2020</v>
      </c>
      <c r="H3347" s="12">
        <f t="shared" si="210"/>
        <v>2</v>
      </c>
      <c r="I3347" s="11">
        <f t="shared" si="211"/>
        <v>110</v>
      </c>
      <c r="J3347" s="11"/>
    </row>
    <row r="3348" spans="1:10" x14ac:dyDescent="0.25">
      <c r="A3348" s="2">
        <v>43886</v>
      </c>
      <c r="B3348" s="3">
        <v>512</v>
      </c>
      <c r="C3348" s="4">
        <v>240640</v>
      </c>
      <c r="D3348" s="3">
        <v>303</v>
      </c>
      <c r="E3348" s="4">
        <v>221190</v>
      </c>
      <c r="G3348" s="12">
        <f t="shared" si="209"/>
        <v>2020</v>
      </c>
      <c r="H3348" s="12">
        <f t="shared" si="210"/>
        <v>2</v>
      </c>
      <c r="I3348" s="11">
        <f t="shared" si="211"/>
        <v>110</v>
      </c>
      <c r="J3348" s="11"/>
    </row>
    <row r="3349" spans="1:10" x14ac:dyDescent="0.25">
      <c r="A3349" s="2">
        <v>43887</v>
      </c>
      <c r="B3349" s="3">
        <v>430</v>
      </c>
      <c r="C3349" s="4">
        <v>202100</v>
      </c>
      <c r="D3349" s="3">
        <v>265</v>
      </c>
      <c r="E3349" s="4">
        <v>193450</v>
      </c>
      <c r="G3349" s="12">
        <f t="shared" si="209"/>
        <v>2020</v>
      </c>
      <c r="H3349" s="12">
        <f t="shared" si="210"/>
        <v>2</v>
      </c>
      <c r="I3349" s="11">
        <f t="shared" si="211"/>
        <v>110</v>
      </c>
      <c r="J3349" s="11"/>
    </row>
    <row r="3350" spans="1:10" x14ac:dyDescent="0.25">
      <c r="A3350" s="2">
        <v>43888</v>
      </c>
      <c r="B3350" s="3">
        <v>519</v>
      </c>
      <c r="C3350" s="4">
        <v>243930</v>
      </c>
      <c r="D3350" s="3">
        <v>330</v>
      </c>
      <c r="E3350" s="4">
        <v>240900</v>
      </c>
      <c r="G3350" s="12">
        <f t="shared" si="209"/>
        <v>2020</v>
      </c>
      <c r="H3350" s="12">
        <f t="shared" si="210"/>
        <v>2</v>
      </c>
      <c r="I3350" s="11">
        <f t="shared" si="211"/>
        <v>110</v>
      </c>
      <c r="J3350" s="11"/>
    </row>
    <row r="3351" spans="1:10" x14ac:dyDescent="0.25">
      <c r="A3351" s="2">
        <v>43889</v>
      </c>
      <c r="B3351" s="3">
        <v>477</v>
      </c>
      <c r="C3351" s="4">
        <v>224190</v>
      </c>
      <c r="D3351" s="3">
        <v>341</v>
      </c>
      <c r="E3351" s="4">
        <v>248930</v>
      </c>
      <c r="G3351" s="12">
        <f t="shared" si="209"/>
        <v>2020</v>
      </c>
      <c r="H3351" s="12">
        <f t="shared" si="210"/>
        <v>2</v>
      </c>
      <c r="I3351" s="11">
        <f t="shared" si="211"/>
        <v>110</v>
      </c>
      <c r="J3351" s="11"/>
    </row>
    <row r="3352" spans="1:10" x14ac:dyDescent="0.25">
      <c r="A3352" s="2">
        <v>43890</v>
      </c>
      <c r="B3352" s="3">
        <v>454</v>
      </c>
      <c r="C3352" s="4">
        <v>213380</v>
      </c>
      <c r="D3352" s="3">
        <v>355</v>
      </c>
      <c r="E3352" s="4">
        <v>259150</v>
      </c>
      <c r="G3352" s="12">
        <f t="shared" si="209"/>
        <v>2020</v>
      </c>
      <c r="H3352" s="12">
        <f t="shared" si="210"/>
        <v>2</v>
      </c>
      <c r="I3352" s="11">
        <f t="shared" si="211"/>
        <v>110</v>
      </c>
      <c r="J3352" s="11"/>
    </row>
    <row r="3353" spans="1:10" x14ac:dyDescent="0.25">
      <c r="A3353" s="2">
        <v>43891</v>
      </c>
      <c r="B3353" s="3">
        <v>461</v>
      </c>
      <c r="C3353" s="4">
        <v>216670</v>
      </c>
      <c r="D3353" s="3">
        <v>363</v>
      </c>
      <c r="E3353" s="4">
        <v>264990</v>
      </c>
      <c r="G3353" s="12">
        <f t="shared" si="209"/>
        <v>2020</v>
      </c>
      <c r="H3353" s="12">
        <f t="shared" si="210"/>
        <v>3</v>
      </c>
      <c r="I3353" s="11">
        <f t="shared" si="211"/>
        <v>111</v>
      </c>
      <c r="J3353" s="11"/>
    </row>
    <row r="3354" spans="1:10" x14ac:dyDescent="0.25">
      <c r="A3354" s="2">
        <v>43892</v>
      </c>
      <c r="B3354" s="3">
        <v>508</v>
      </c>
      <c r="C3354" s="4">
        <v>238760</v>
      </c>
      <c r="D3354" s="3">
        <v>301</v>
      </c>
      <c r="E3354" s="4">
        <v>219730</v>
      </c>
      <c r="G3354" s="12">
        <f t="shared" si="209"/>
        <v>2020</v>
      </c>
      <c r="H3354" s="12">
        <f t="shared" si="210"/>
        <v>3</v>
      </c>
      <c r="I3354" s="11">
        <f t="shared" si="211"/>
        <v>111</v>
      </c>
      <c r="J3354" s="11"/>
    </row>
    <row r="3355" spans="1:10" x14ac:dyDescent="0.25">
      <c r="A3355" s="2">
        <v>43893</v>
      </c>
      <c r="B3355" s="3">
        <v>457</v>
      </c>
      <c r="C3355" s="4">
        <v>214790</v>
      </c>
      <c r="D3355" s="3">
        <v>328</v>
      </c>
      <c r="E3355" s="4">
        <v>239440</v>
      </c>
      <c r="G3355" s="12">
        <f t="shared" si="209"/>
        <v>2020</v>
      </c>
      <c r="H3355" s="12">
        <f t="shared" si="210"/>
        <v>3</v>
      </c>
      <c r="I3355" s="11">
        <f t="shared" si="211"/>
        <v>111</v>
      </c>
      <c r="J3355" s="11"/>
    </row>
    <row r="3356" spans="1:10" x14ac:dyDescent="0.25">
      <c r="A3356" s="2">
        <v>43894</v>
      </c>
      <c r="B3356" s="3">
        <v>480</v>
      </c>
      <c r="C3356" s="4">
        <v>225600</v>
      </c>
      <c r="D3356" s="3">
        <v>304</v>
      </c>
      <c r="E3356" s="4">
        <v>221920</v>
      </c>
      <c r="G3356" s="12">
        <f t="shared" si="209"/>
        <v>2020</v>
      </c>
      <c r="H3356" s="12">
        <f t="shared" si="210"/>
        <v>3</v>
      </c>
      <c r="I3356" s="11">
        <f t="shared" si="211"/>
        <v>111</v>
      </c>
      <c r="J3356" s="11"/>
    </row>
    <row r="3357" spans="1:10" x14ac:dyDescent="0.25">
      <c r="A3357" s="2">
        <v>43895</v>
      </c>
      <c r="B3357" s="3">
        <v>448</v>
      </c>
      <c r="C3357" s="4">
        <v>210560</v>
      </c>
      <c r="D3357" s="3">
        <v>292</v>
      </c>
      <c r="E3357" s="4">
        <v>213160</v>
      </c>
      <c r="G3357" s="12">
        <f t="shared" si="209"/>
        <v>2020</v>
      </c>
      <c r="H3357" s="12">
        <f t="shared" si="210"/>
        <v>3</v>
      </c>
      <c r="I3357" s="11">
        <f t="shared" si="211"/>
        <v>111</v>
      </c>
      <c r="J3357" s="11"/>
    </row>
    <row r="3358" spans="1:10" x14ac:dyDescent="0.25">
      <c r="A3358" s="2">
        <v>43896</v>
      </c>
      <c r="B3358" s="3">
        <v>455</v>
      </c>
      <c r="C3358" s="4">
        <v>213850</v>
      </c>
      <c r="D3358" s="3">
        <v>286</v>
      </c>
      <c r="E3358" s="4">
        <v>208780</v>
      </c>
      <c r="G3358" s="12">
        <f t="shared" si="209"/>
        <v>2020</v>
      </c>
      <c r="H3358" s="12">
        <f t="shared" si="210"/>
        <v>3</v>
      </c>
      <c r="I3358" s="11">
        <f t="shared" si="211"/>
        <v>111</v>
      </c>
      <c r="J3358" s="11"/>
    </row>
    <row r="3359" spans="1:10" x14ac:dyDescent="0.25">
      <c r="A3359" s="2">
        <v>43897</v>
      </c>
      <c r="B3359" s="3">
        <v>497</v>
      </c>
      <c r="C3359" s="4">
        <v>233590</v>
      </c>
      <c r="D3359" s="3">
        <v>320</v>
      </c>
      <c r="E3359" s="4">
        <v>233600</v>
      </c>
      <c r="G3359" s="12">
        <f t="shared" si="209"/>
        <v>2020</v>
      </c>
      <c r="H3359" s="12">
        <f t="shared" si="210"/>
        <v>3</v>
      </c>
      <c r="I3359" s="11">
        <f t="shared" si="211"/>
        <v>111</v>
      </c>
      <c r="J3359" s="11"/>
    </row>
    <row r="3360" spans="1:10" x14ac:dyDescent="0.25">
      <c r="A3360" s="2">
        <v>43898</v>
      </c>
      <c r="B3360" s="3">
        <v>538</v>
      </c>
      <c r="C3360" s="4">
        <v>252860</v>
      </c>
      <c r="D3360" s="3">
        <v>336</v>
      </c>
      <c r="E3360" s="4">
        <v>245280</v>
      </c>
      <c r="G3360" s="12">
        <f t="shared" si="209"/>
        <v>2020</v>
      </c>
      <c r="H3360" s="12">
        <f t="shared" si="210"/>
        <v>3</v>
      </c>
      <c r="I3360" s="11">
        <f t="shared" si="211"/>
        <v>111</v>
      </c>
      <c r="J3360" s="11"/>
    </row>
    <row r="3361" spans="1:10" x14ac:dyDescent="0.25">
      <c r="A3361" s="2">
        <v>43899</v>
      </c>
      <c r="B3361" s="3">
        <v>470</v>
      </c>
      <c r="C3361" s="4">
        <v>220900</v>
      </c>
      <c r="D3361" s="3">
        <v>264</v>
      </c>
      <c r="E3361" s="4">
        <v>192720</v>
      </c>
      <c r="G3361" s="12">
        <f t="shared" si="209"/>
        <v>2020</v>
      </c>
      <c r="H3361" s="12">
        <f t="shared" si="210"/>
        <v>3</v>
      </c>
      <c r="I3361" s="11">
        <f t="shared" si="211"/>
        <v>111</v>
      </c>
      <c r="J3361" s="11"/>
    </row>
    <row r="3362" spans="1:10" x14ac:dyDescent="0.25">
      <c r="A3362" s="2">
        <v>43900</v>
      </c>
      <c r="B3362" s="3">
        <v>577</v>
      </c>
      <c r="C3362" s="4">
        <v>271190</v>
      </c>
      <c r="D3362" s="3">
        <v>304</v>
      </c>
      <c r="E3362" s="4">
        <v>221920</v>
      </c>
      <c r="G3362" s="12">
        <f t="shared" si="209"/>
        <v>2020</v>
      </c>
      <c r="H3362" s="12">
        <f t="shared" si="210"/>
        <v>3</v>
      </c>
      <c r="I3362" s="11">
        <f t="shared" si="211"/>
        <v>111</v>
      </c>
      <c r="J3362" s="11"/>
    </row>
    <row r="3363" spans="1:10" x14ac:dyDescent="0.25">
      <c r="A3363" s="2">
        <v>43901</v>
      </c>
      <c r="B3363" s="3">
        <v>496</v>
      </c>
      <c r="C3363" s="4">
        <v>233120</v>
      </c>
      <c r="D3363" s="3">
        <v>329</v>
      </c>
      <c r="E3363" s="4">
        <v>240170</v>
      </c>
      <c r="G3363" s="12">
        <f t="shared" si="209"/>
        <v>2020</v>
      </c>
      <c r="H3363" s="12">
        <f t="shared" si="210"/>
        <v>3</v>
      </c>
      <c r="I3363" s="11">
        <f t="shared" si="211"/>
        <v>111</v>
      </c>
      <c r="J3363" s="11"/>
    </row>
    <row r="3364" spans="1:10" x14ac:dyDescent="0.25">
      <c r="A3364" s="2">
        <v>43902</v>
      </c>
      <c r="B3364" s="3">
        <v>532</v>
      </c>
      <c r="C3364" s="4">
        <v>250040</v>
      </c>
      <c r="D3364" s="3">
        <v>322</v>
      </c>
      <c r="E3364" s="4">
        <v>235060</v>
      </c>
      <c r="G3364" s="12">
        <f t="shared" si="209"/>
        <v>2020</v>
      </c>
      <c r="H3364" s="12">
        <f t="shared" si="210"/>
        <v>3</v>
      </c>
      <c r="I3364" s="11">
        <f t="shared" si="211"/>
        <v>111</v>
      </c>
      <c r="J3364" s="11"/>
    </row>
    <row r="3365" spans="1:10" x14ac:dyDescent="0.25">
      <c r="A3365" s="2">
        <v>43903</v>
      </c>
      <c r="B3365" s="3">
        <v>397</v>
      </c>
      <c r="C3365" s="4">
        <v>186590</v>
      </c>
      <c r="D3365" s="3">
        <v>236</v>
      </c>
      <c r="E3365" s="4">
        <v>172280</v>
      </c>
      <c r="G3365" s="12">
        <f t="shared" si="209"/>
        <v>2020</v>
      </c>
      <c r="H3365" s="12">
        <f t="shared" si="210"/>
        <v>3</v>
      </c>
      <c r="I3365" s="11">
        <f t="shared" si="211"/>
        <v>111</v>
      </c>
      <c r="J3365" s="11"/>
    </row>
    <row r="3366" spans="1:10" x14ac:dyDescent="0.25">
      <c r="A3366" s="2">
        <v>43904</v>
      </c>
      <c r="B3366" s="3">
        <v>431</v>
      </c>
      <c r="C3366" s="4">
        <v>202570</v>
      </c>
      <c r="D3366" s="3">
        <v>282</v>
      </c>
      <c r="E3366" s="4">
        <v>205860</v>
      </c>
      <c r="G3366" s="12">
        <f t="shared" si="209"/>
        <v>2020</v>
      </c>
      <c r="H3366" s="12">
        <f t="shared" si="210"/>
        <v>3</v>
      </c>
      <c r="I3366" s="11">
        <f t="shared" si="211"/>
        <v>111</v>
      </c>
      <c r="J3366" s="11"/>
    </row>
    <row r="3367" spans="1:10" x14ac:dyDescent="0.25">
      <c r="A3367" s="2">
        <v>43905</v>
      </c>
      <c r="B3367" s="3">
        <v>461</v>
      </c>
      <c r="C3367" s="4">
        <v>216670</v>
      </c>
      <c r="D3367" s="3">
        <v>310</v>
      </c>
      <c r="E3367" s="4">
        <v>226300</v>
      </c>
      <c r="G3367" s="12">
        <f t="shared" si="209"/>
        <v>2020</v>
      </c>
      <c r="H3367" s="12">
        <f t="shared" si="210"/>
        <v>3</v>
      </c>
      <c r="I3367" s="11">
        <f t="shared" si="211"/>
        <v>111</v>
      </c>
      <c r="J3367" s="11"/>
    </row>
    <row r="3368" spans="1:10" x14ac:dyDescent="0.25">
      <c r="A3368" s="2">
        <v>43906</v>
      </c>
      <c r="B3368" s="3">
        <v>450</v>
      </c>
      <c r="C3368" s="4">
        <v>211500</v>
      </c>
      <c r="D3368" s="3">
        <v>323</v>
      </c>
      <c r="E3368" s="4">
        <v>235790</v>
      </c>
      <c r="G3368" s="12">
        <f t="shared" si="209"/>
        <v>2020</v>
      </c>
      <c r="H3368" s="12">
        <f t="shared" si="210"/>
        <v>3</v>
      </c>
      <c r="I3368" s="11">
        <f t="shared" si="211"/>
        <v>111</v>
      </c>
      <c r="J3368" s="11"/>
    </row>
    <row r="3369" spans="1:10" x14ac:dyDescent="0.25">
      <c r="A3369" s="2">
        <v>43907</v>
      </c>
      <c r="B3369" s="3">
        <v>496</v>
      </c>
      <c r="C3369" s="4">
        <v>233120</v>
      </c>
      <c r="D3369" s="3">
        <v>336</v>
      </c>
      <c r="E3369" s="4">
        <v>245280</v>
      </c>
      <c r="G3369" s="12">
        <f t="shared" si="209"/>
        <v>2020</v>
      </c>
      <c r="H3369" s="12">
        <f t="shared" si="210"/>
        <v>3</v>
      </c>
      <c r="I3369" s="11">
        <f t="shared" si="211"/>
        <v>111</v>
      </c>
      <c r="J3369" s="11"/>
    </row>
    <row r="3370" spans="1:10" x14ac:dyDescent="0.25">
      <c r="A3370" s="2">
        <v>43908</v>
      </c>
      <c r="B3370" s="3">
        <v>480</v>
      </c>
      <c r="C3370" s="4">
        <v>225600</v>
      </c>
      <c r="D3370" s="3">
        <v>287</v>
      </c>
      <c r="E3370" s="4">
        <v>209510</v>
      </c>
      <c r="G3370" s="12">
        <f t="shared" si="209"/>
        <v>2020</v>
      </c>
      <c r="H3370" s="12">
        <f t="shared" si="210"/>
        <v>3</v>
      </c>
      <c r="I3370" s="11">
        <f t="shared" si="211"/>
        <v>111</v>
      </c>
      <c r="J3370" s="11"/>
    </row>
    <row r="3371" spans="1:10" x14ac:dyDescent="0.25">
      <c r="A3371" s="2">
        <v>43909</v>
      </c>
      <c r="B3371" s="3">
        <v>474</v>
      </c>
      <c r="C3371" s="4">
        <v>222780</v>
      </c>
      <c r="D3371" s="3">
        <v>320</v>
      </c>
      <c r="E3371" s="4">
        <v>233600</v>
      </c>
      <c r="G3371" s="12">
        <f t="shared" si="209"/>
        <v>2020</v>
      </c>
      <c r="H3371" s="12">
        <f t="shared" si="210"/>
        <v>3</v>
      </c>
      <c r="I3371" s="11">
        <f t="shared" si="211"/>
        <v>111</v>
      </c>
      <c r="J3371" s="11"/>
    </row>
    <row r="3372" spans="1:10" x14ac:dyDescent="0.25">
      <c r="A3372" s="2">
        <v>43910</v>
      </c>
      <c r="B3372" s="3">
        <v>482</v>
      </c>
      <c r="C3372" s="4">
        <v>226540</v>
      </c>
      <c r="D3372" s="3">
        <v>292</v>
      </c>
      <c r="E3372" s="4">
        <v>213160</v>
      </c>
      <c r="G3372" s="12">
        <f t="shared" si="209"/>
        <v>2020</v>
      </c>
      <c r="H3372" s="12">
        <f t="shared" si="210"/>
        <v>3</v>
      </c>
      <c r="I3372" s="11">
        <f t="shared" si="211"/>
        <v>111</v>
      </c>
      <c r="J3372" s="11"/>
    </row>
    <row r="3373" spans="1:10" x14ac:dyDescent="0.25">
      <c r="A3373" s="2">
        <v>43911</v>
      </c>
      <c r="B3373" s="3">
        <v>472</v>
      </c>
      <c r="C3373" s="4">
        <v>221840</v>
      </c>
      <c r="D3373" s="3">
        <v>326</v>
      </c>
      <c r="E3373" s="4">
        <v>237980</v>
      </c>
      <c r="G3373" s="12">
        <f t="shared" si="209"/>
        <v>2020</v>
      </c>
      <c r="H3373" s="12">
        <f t="shared" si="210"/>
        <v>3</v>
      </c>
      <c r="I3373" s="11">
        <f t="shared" si="211"/>
        <v>111</v>
      </c>
      <c r="J3373" s="11"/>
    </row>
    <row r="3374" spans="1:10" x14ac:dyDescent="0.25">
      <c r="A3374" s="2">
        <v>43912</v>
      </c>
      <c r="B3374" s="3">
        <v>500</v>
      </c>
      <c r="C3374" s="4">
        <v>235000</v>
      </c>
      <c r="D3374" s="3">
        <v>320</v>
      </c>
      <c r="E3374" s="4">
        <v>233600</v>
      </c>
      <c r="G3374" s="12">
        <f t="shared" si="209"/>
        <v>2020</v>
      </c>
      <c r="H3374" s="12">
        <f t="shared" si="210"/>
        <v>3</v>
      </c>
      <c r="I3374" s="11">
        <f t="shared" si="211"/>
        <v>111</v>
      </c>
      <c r="J3374" s="11"/>
    </row>
    <row r="3375" spans="1:10" x14ac:dyDescent="0.25">
      <c r="A3375" s="2">
        <v>43913</v>
      </c>
      <c r="B3375" s="3">
        <v>446</v>
      </c>
      <c r="C3375" s="4">
        <v>209620</v>
      </c>
      <c r="D3375" s="3">
        <v>307</v>
      </c>
      <c r="E3375" s="4">
        <v>224110</v>
      </c>
      <c r="G3375" s="12">
        <f t="shared" si="209"/>
        <v>2020</v>
      </c>
      <c r="H3375" s="12">
        <f t="shared" si="210"/>
        <v>3</v>
      </c>
      <c r="I3375" s="11">
        <f t="shared" si="211"/>
        <v>111</v>
      </c>
      <c r="J3375" s="11"/>
    </row>
    <row r="3376" spans="1:10" x14ac:dyDescent="0.25">
      <c r="A3376" s="2">
        <v>43914</v>
      </c>
      <c r="B3376" s="3">
        <v>508</v>
      </c>
      <c r="C3376" s="4">
        <v>238760</v>
      </c>
      <c r="D3376" s="3">
        <v>292</v>
      </c>
      <c r="E3376" s="4">
        <v>213160</v>
      </c>
      <c r="G3376" s="12">
        <f t="shared" si="209"/>
        <v>2020</v>
      </c>
      <c r="H3376" s="12">
        <f t="shared" si="210"/>
        <v>3</v>
      </c>
      <c r="I3376" s="11">
        <f t="shared" si="211"/>
        <v>111</v>
      </c>
      <c r="J3376" s="11"/>
    </row>
    <row r="3377" spans="1:10" x14ac:dyDescent="0.25">
      <c r="A3377" s="2">
        <v>43915</v>
      </c>
      <c r="B3377" s="3">
        <v>471</v>
      </c>
      <c r="C3377" s="4">
        <v>221370</v>
      </c>
      <c r="D3377" s="3">
        <v>269</v>
      </c>
      <c r="E3377" s="4">
        <v>196370</v>
      </c>
      <c r="G3377" s="12">
        <f t="shared" si="209"/>
        <v>2020</v>
      </c>
      <c r="H3377" s="12">
        <f t="shared" si="210"/>
        <v>3</v>
      </c>
      <c r="I3377" s="11">
        <f t="shared" si="211"/>
        <v>111</v>
      </c>
      <c r="J3377" s="11"/>
    </row>
    <row r="3378" spans="1:10" x14ac:dyDescent="0.25">
      <c r="A3378" s="2">
        <v>43916</v>
      </c>
      <c r="B3378" s="3">
        <v>547</v>
      </c>
      <c r="C3378" s="4">
        <v>257090</v>
      </c>
      <c r="D3378" s="3">
        <v>295</v>
      </c>
      <c r="E3378" s="4">
        <v>215350</v>
      </c>
      <c r="G3378" s="12">
        <f t="shared" si="209"/>
        <v>2020</v>
      </c>
      <c r="H3378" s="12">
        <f t="shared" si="210"/>
        <v>3</v>
      </c>
      <c r="I3378" s="11">
        <f t="shared" si="211"/>
        <v>111</v>
      </c>
      <c r="J3378" s="11"/>
    </row>
    <row r="3379" spans="1:10" x14ac:dyDescent="0.25">
      <c r="A3379" s="2">
        <v>43917</v>
      </c>
      <c r="B3379" s="3">
        <v>421</v>
      </c>
      <c r="C3379" s="4">
        <v>197870</v>
      </c>
      <c r="D3379" s="3">
        <v>272</v>
      </c>
      <c r="E3379" s="4">
        <v>198560</v>
      </c>
      <c r="G3379" s="12">
        <f t="shared" si="209"/>
        <v>2020</v>
      </c>
      <c r="H3379" s="12">
        <f t="shared" si="210"/>
        <v>3</v>
      </c>
      <c r="I3379" s="11">
        <f t="shared" si="211"/>
        <v>111</v>
      </c>
      <c r="J3379" s="11"/>
    </row>
    <row r="3380" spans="1:10" x14ac:dyDescent="0.25">
      <c r="A3380" s="2">
        <v>43918</v>
      </c>
      <c r="B3380" s="3">
        <v>451</v>
      </c>
      <c r="C3380" s="4">
        <v>211970</v>
      </c>
      <c r="D3380" s="3">
        <v>296</v>
      </c>
      <c r="E3380" s="4">
        <v>216080</v>
      </c>
      <c r="G3380" s="12">
        <f t="shared" si="209"/>
        <v>2020</v>
      </c>
      <c r="H3380" s="12">
        <f t="shared" si="210"/>
        <v>3</v>
      </c>
      <c r="I3380" s="11">
        <f t="shared" si="211"/>
        <v>111</v>
      </c>
      <c r="J3380" s="11"/>
    </row>
    <row r="3381" spans="1:10" x14ac:dyDescent="0.25">
      <c r="A3381" s="2">
        <v>43919</v>
      </c>
      <c r="B3381" s="3">
        <v>479</v>
      </c>
      <c r="C3381" s="4">
        <v>225130</v>
      </c>
      <c r="D3381" s="3">
        <v>286</v>
      </c>
      <c r="E3381" s="4">
        <v>208780</v>
      </c>
      <c r="G3381" s="12">
        <f t="shared" si="209"/>
        <v>2020</v>
      </c>
      <c r="H3381" s="12">
        <f t="shared" si="210"/>
        <v>3</v>
      </c>
      <c r="I3381" s="11">
        <f t="shared" si="211"/>
        <v>111</v>
      </c>
      <c r="J3381" s="11"/>
    </row>
    <row r="3382" spans="1:10" x14ac:dyDescent="0.25">
      <c r="A3382" s="2">
        <v>43920</v>
      </c>
      <c r="B3382" s="3">
        <v>446</v>
      </c>
      <c r="C3382" s="4">
        <v>209620</v>
      </c>
      <c r="D3382" s="3">
        <v>294</v>
      </c>
      <c r="E3382" s="4">
        <v>214620</v>
      </c>
      <c r="G3382" s="12">
        <f t="shared" si="209"/>
        <v>2020</v>
      </c>
      <c r="H3382" s="12">
        <f t="shared" si="210"/>
        <v>3</v>
      </c>
      <c r="I3382" s="11">
        <f t="shared" si="211"/>
        <v>111</v>
      </c>
      <c r="J3382" s="11"/>
    </row>
    <row r="3383" spans="1:10" x14ac:dyDescent="0.25">
      <c r="A3383" s="2">
        <v>43921</v>
      </c>
      <c r="B3383" s="3">
        <v>427</v>
      </c>
      <c r="C3383" s="4">
        <v>200690</v>
      </c>
      <c r="D3383" s="3">
        <v>307</v>
      </c>
      <c r="E3383" s="4">
        <v>224110</v>
      </c>
      <c r="G3383" s="12">
        <f t="shared" si="209"/>
        <v>2020</v>
      </c>
      <c r="H3383" s="12">
        <f t="shared" si="210"/>
        <v>3</v>
      </c>
      <c r="I3383" s="11">
        <f t="shared" si="211"/>
        <v>111</v>
      </c>
      <c r="J3383" s="11"/>
    </row>
    <row r="3384" spans="1:10" x14ac:dyDescent="0.25">
      <c r="A3384" s="2">
        <v>43922</v>
      </c>
      <c r="B3384" s="3">
        <v>431</v>
      </c>
      <c r="C3384" s="4">
        <v>202570</v>
      </c>
      <c r="D3384" s="3">
        <v>609</v>
      </c>
      <c r="E3384" s="4">
        <v>444570</v>
      </c>
      <c r="G3384" s="12">
        <f t="shared" si="209"/>
        <v>2020</v>
      </c>
      <c r="H3384" s="12">
        <f t="shared" si="210"/>
        <v>4</v>
      </c>
      <c r="I3384" s="11">
        <f t="shared" si="211"/>
        <v>112</v>
      </c>
      <c r="J3384" s="11"/>
    </row>
    <row r="3385" spans="1:10" x14ac:dyDescent="0.25">
      <c r="A3385" s="2">
        <v>43923</v>
      </c>
      <c r="B3385" s="3">
        <v>436</v>
      </c>
      <c r="C3385" s="4">
        <v>204920</v>
      </c>
      <c r="D3385" s="3">
        <v>665</v>
      </c>
      <c r="E3385" s="4">
        <v>485450</v>
      </c>
      <c r="G3385" s="12">
        <f t="shared" si="209"/>
        <v>2020</v>
      </c>
      <c r="H3385" s="12">
        <f t="shared" si="210"/>
        <v>4</v>
      </c>
      <c r="I3385" s="11">
        <f t="shared" si="211"/>
        <v>112</v>
      </c>
      <c r="J3385" s="11"/>
    </row>
    <row r="3386" spans="1:10" x14ac:dyDescent="0.25">
      <c r="A3386" s="2">
        <v>43924</v>
      </c>
      <c r="B3386" s="3">
        <v>489</v>
      </c>
      <c r="C3386" s="4">
        <v>229830</v>
      </c>
      <c r="D3386" s="3">
        <v>665</v>
      </c>
      <c r="E3386" s="4">
        <v>485450</v>
      </c>
      <c r="G3386" s="12">
        <f t="shared" si="209"/>
        <v>2020</v>
      </c>
      <c r="H3386" s="12">
        <f t="shared" si="210"/>
        <v>4</v>
      </c>
      <c r="I3386" s="11">
        <f t="shared" si="211"/>
        <v>112</v>
      </c>
      <c r="J3386" s="11"/>
    </row>
    <row r="3387" spans="1:10" x14ac:dyDescent="0.25">
      <c r="A3387" s="2">
        <v>43925</v>
      </c>
      <c r="B3387" s="3">
        <v>438</v>
      </c>
      <c r="C3387" s="4">
        <v>205860</v>
      </c>
      <c r="D3387" s="3">
        <v>673</v>
      </c>
      <c r="E3387" s="4">
        <v>491290</v>
      </c>
      <c r="G3387" s="12">
        <f t="shared" si="209"/>
        <v>2020</v>
      </c>
      <c r="H3387" s="12">
        <f t="shared" si="210"/>
        <v>4</v>
      </c>
      <c r="I3387" s="11">
        <f t="shared" si="211"/>
        <v>112</v>
      </c>
      <c r="J3387" s="11"/>
    </row>
    <row r="3388" spans="1:10" x14ac:dyDescent="0.25">
      <c r="A3388" s="2">
        <v>43926</v>
      </c>
      <c r="B3388" s="3">
        <v>470</v>
      </c>
      <c r="C3388" s="4">
        <v>220900</v>
      </c>
      <c r="D3388" s="3">
        <v>710</v>
      </c>
      <c r="E3388" s="4">
        <v>518300</v>
      </c>
      <c r="G3388" s="12">
        <f t="shared" si="209"/>
        <v>2020</v>
      </c>
      <c r="H3388" s="12">
        <f t="shared" si="210"/>
        <v>4</v>
      </c>
      <c r="I3388" s="11">
        <f t="shared" si="211"/>
        <v>112</v>
      </c>
      <c r="J3388" s="11"/>
    </row>
    <row r="3389" spans="1:10" x14ac:dyDescent="0.25">
      <c r="A3389" s="2">
        <v>43927</v>
      </c>
      <c r="B3389" s="3">
        <v>472</v>
      </c>
      <c r="C3389" s="4">
        <v>221840</v>
      </c>
      <c r="D3389" s="3">
        <v>538</v>
      </c>
      <c r="E3389" s="4">
        <v>392740</v>
      </c>
      <c r="G3389" s="12">
        <f t="shared" si="209"/>
        <v>2020</v>
      </c>
      <c r="H3389" s="12">
        <f t="shared" si="210"/>
        <v>4</v>
      </c>
      <c r="I3389" s="11">
        <f t="shared" si="211"/>
        <v>112</v>
      </c>
      <c r="J3389" s="11"/>
    </row>
    <row r="3390" spans="1:10" x14ac:dyDescent="0.25">
      <c r="A3390" s="2">
        <v>43928</v>
      </c>
      <c r="B3390" s="3">
        <v>439</v>
      </c>
      <c r="C3390" s="4">
        <v>206330</v>
      </c>
      <c r="D3390" s="3">
        <v>648</v>
      </c>
      <c r="E3390" s="4">
        <v>473040</v>
      </c>
      <c r="G3390" s="12">
        <f t="shared" si="209"/>
        <v>2020</v>
      </c>
      <c r="H3390" s="12">
        <f t="shared" si="210"/>
        <v>4</v>
      </c>
      <c r="I3390" s="11">
        <f t="shared" si="211"/>
        <v>112</v>
      </c>
      <c r="J3390" s="11"/>
    </row>
    <row r="3391" spans="1:10" x14ac:dyDescent="0.25">
      <c r="A3391" s="2">
        <v>43929</v>
      </c>
      <c r="B3391" s="3">
        <v>448</v>
      </c>
      <c r="C3391" s="4">
        <v>210560</v>
      </c>
      <c r="D3391" s="3">
        <v>744</v>
      </c>
      <c r="E3391" s="4">
        <v>543120</v>
      </c>
      <c r="G3391" s="12">
        <f t="shared" si="209"/>
        <v>2020</v>
      </c>
      <c r="H3391" s="12">
        <f t="shared" si="210"/>
        <v>4</v>
      </c>
      <c r="I3391" s="11">
        <f t="shared" si="211"/>
        <v>112</v>
      </c>
      <c r="J3391" s="11"/>
    </row>
    <row r="3392" spans="1:10" x14ac:dyDescent="0.25">
      <c r="A3392" s="2">
        <v>43930</v>
      </c>
      <c r="B3392" s="3">
        <v>532</v>
      </c>
      <c r="C3392" s="4">
        <v>250040</v>
      </c>
      <c r="D3392" s="3">
        <v>619</v>
      </c>
      <c r="E3392" s="4">
        <v>451870</v>
      </c>
      <c r="G3392" s="12">
        <f t="shared" si="209"/>
        <v>2020</v>
      </c>
      <c r="H3392" s="12">
        <f t="shared" si="210"/>
        <v>4</v>
      </c>
      <c r="I3392" s="11">
        <f t="shared" si="211"/>
        <v>112</v>
      </c>
      <c r="J3392" s="11"/>
    </row>
    <row r="3393" spans="1:10" x14ac:dyDescent="0.25">
      <c r="A3393" s="2">
        <v>43931</v>
      </c>
      <c r="B3393" s="3">
        <v>521</v>
      </c>
      <c r="C3393" s="4">
        <v>244870</v>
      </c>
      <c r="D3393" s="3">
        <v>813</v>
      </c>
      <c r="E3393" s="4">
        <v>593490</v>
      </c>
      <c r="G3393" s="12">
        <f t="shared" si="209"/>
        <v>2020</v>
      </c>
      <c r="H3393" s="12">
        <f t="shared" si="210"/>
        <v>4</v>
      </c>
      <c r="I3393" s="11">
        <f t="shared" si="211"/>
        <v>112</v>
      </c>
      <c r="J3393" s="11"/>
    </row>
    <row r="3394" spans="1:10" x14ac:dyDescent="0.25">
      <c r="A3394" s="2">
        <v>43932</v>
      </c>
      <c r="B3394" s="3">
        <v>458</v>
      </c>
      <c r="C3394" s="4">
        <v>215260</v>
      </c>
      <c r="D3394" s="3">
        <v>662</v>
      </c>
      <c r="E3394" s="4">
        <v>483260</v>
      </c>
      <c r="G3394" s="12">
        <f t="shared" si="209"/>
        <v>2020</v>
      </c>
      <c r="H3394" s="12">
        <f t="shared" si="210"/>
        <v>4</v>
      </c>
      <c r="I3394" s="11">
        <f t="shared" si="211"/>
        <v>112</v>
      </c>
      <c r="J3394" s="11"/>
    </row>
    <row r="3395" spans="1:10" x14ac:dyDescent="0.25">
      <c r="A3395" s="2">
        <v>43933</v>
      </c>
      <c r="B3395" s="3">
        <v>458</v>
      </c>
      <c r="C3395" s="4">
        <v>215260</v>
      </c>
      <c r="D3395" s="3">
        <v>783</v>
      </c>
      <c r="E3395" s="4">
        <v>571590</v>
      </c>
      <c r="G3395" s="12">
        <f t="shared" si="209"/>
        <v>2020</v>
      </c>
      <c r="H3395" s="12">
        <f t="shared" si="210"/>
        <v>4</v>
      </c>
      <c r="I3395" s="11">
        <f t="shared" si="211"/>
        <v>112</v>
      </c>
      <c r="J3395" s="11"/>
    </row>
    <row r="3396" spans="1:10" x14ac:dyDescent="0.25">
      <c r="A3396" s="2">
        <v>43934</v>
      </c>
      <c r="B3396" s="3">
        <v>466</v>
      </c>
      <c r="C3396" s="4">
        <v>219020</v>
      </c>
      <c r="D3396" s="3">
        <v>604</v>
      </c>
      <c r="E3396" s="4">
        <v>440920</v>
      </c>
      <c r="G3396" s="12">
        <f t="shared" si="209"/>
        <v>2020</v>
      </c>
      <c r="H3396" s="12">
        <f t="shared" si="210"/>
        <v>4</v>
      </c>
      <c r="I3396" s="11">
        <f t="shared" si="211"/>
        <v>112</v>
      </c>
      <c r="J3396" s="11"/>
    </row>
    <row r="3397" spans="1:10" x14ac:dyDescent="0.25">
      <c r="A3397" s="2">
        <v>43935</v>
      </c>
      <c r="B3397" s="3">
        <v>387</v>
      </c>
      <c r="C3397" s="4">
        <v>181890</v>
      </c>
      <c r="D3397" s="3">
        <v>611</v>
      </c>
      <c r="E3397" s="4">
        <v>446030</v>
      </c>
      <c r="G3397" s="12">
        <f t="shared" si="209"/>
        <v>2020</v>
      </c>
      <c r="H3397" s="12">
        <f t="shared" si="210"/>
        <v>4</v>
      </c>
      <c r="I3397" s="11">
        <f t="shared" si="211"/>
        <v>112</v>
      </c>
      <c r="J3397" s="11"/>
    </row>
    <row r="3398" spans="1:10" x14ac:dyDescent="0.25">
      <c r="A3398" s="2">
        <v>43936</v>
      </c>
      <c r="B3398" s="3">
        <v>478</v>
      </c>
      <c r="C3398" s="4">
        <v>224660</v>
      </c>
      <c r="D3398" s="3">
        <v>673</v>
      </c>
      <c r="E3398" s="4">
        <v>491290</v>
      </c>
      <c r="G3398" s="12">
        <f t="shared" ref="G3398:G3461" si="212">+YEAR(A3398)</f>
        <v>2020</v>
      </c>
      <c r="H3398" s="12">
        <f t="shared" ref="H3398:H3461" si="213">+MONTH(A3398)</f>
        <v>4</v>
      </c>
      <c r="I3398" s="11">
        <f t="shared" si="211"/>
        <v>112</v>
      </c>
      <c r="J3398" s="11"/>
    </row>
    <row r="3399" spans="1:10" x14ac:dyDescent="0.25">
      <c r="A3399" s="2">
        <v>43937</v>
      </c>
      <c r="B3399" s="3">
        <v>585</v>
      </c>
      <c r="C3399" s="4">
        <v>274950</v>
      </c>
      <c r="D3399" s="3">
        <v>641</v>
      </c>
      <c r="E3399" s="4">
        <v>467930</v>
      </c>
      <c r="G3399" s="12">
        <f t="shared" si="212"/>
        <v>2020</v>
      </c>
      <c r="H3399" s="12">
        <f t="shared" si="213"/>
        <v>4</v>
      </c>
      <c r="I3399" s="11">
        <f t="shared" ref="I3399:I3462" si="214">+H3399+(G3399-2011)*12</f>
        <v>112</v>
      </c>
      <c r="J3399" s="11"/>
    </row>
    <row r="3400" spans="1:10" x14ac:dyDescent="0.25">
      <c r="A3400" s="2">
        <v>43938</v>
      </c>
      <c r="B3400" s="3">
        <v>492</v>
      </c>
      <c r="C3400" s="4">
        <v>231240</v>
      </c>
      <c r="D3400" s="3">
        <v>640</v>
      </c>
      <c r="E3400" s="4">
        <v>467200</v>
      </c>
      <c r="G3400" s="12">
        <f t="shared" si="212"/>
        <v>2020</v>
      </c>
      <c r="H3400" s="12">
        <f t="shared" si="213"/>
        <v>4</v>
      </c>
      <c r="I3400" s="11">
        <f t="shared" si="214"/>
        <v>112</v>
      </c>
      <c r="J3400" s="11"/>
    </row>
    <row r="3401" spans="1:10" x14ac:dyDescent="0.25">
      <c r="A3401" s="2">
        <v>43939</v>
      </c>
      <c r="B3401" s="3">
        <v>415</v>
      </c>
      <c r="C3401" s="4">
        <v>195050</v>
      </c>
      <c r="D3401" s="3">
        <v>708</v>
      </c>
      <c r="E3401" s="4">
        <v>516840</v>
      </c>
      <c r="G3401" s="12">
        <f t="shared" si="212"/>
        <v>2020</v>
      </c>
      <c r="H3401" s="12">
        <f t="shared" si="213"/>
        <v>4</v>
      </c>
      <c r="I3401" s="11">
        <f t="shared" si="214"/>
        <v>112</v>
      </c>
      <c r="J3401" s="11"/>
    </row>
    <row r="3402" spans="1:10" x14ac:dyDescent="0.25">
      <c r="A3402" s="2">
        <v>43940</v>
      </c>
      <c r="B3402" s="3">
        <v>480</v>
      </c>
      <c r="C3402" s="4">
        <v>225600</v>
      </c>
      <c r="D3402" s="3">
        <v>637</v>
      </c>
      <c r="E3402" s="4">
        <v>465010</v>
      </c>
      <c r="G3402" s="12">
        <f t="shared" si="212"/>
        <v>2020</v>
      </c>
      <c r="H3402" s="12">
        <f t="shared" si="213"/>
        <v>4</v>
      </c>
      <c r="I3402" s="11">
        <f t="shared" si="214"/>
        <v>112</v>
      </c>
      <c r="J3402" s="11"/>
    </row>
    <row r="3403" spans="1:10" x14ac:dyDescent="0.25">
      <c r="A3403" s="2">
        <v>43941</v>
      </c>
      <c r="B3403" s="3">
        <v>472</v>
      </c>
      <c r="C3403" s="4">
        <v>221840</v>
      </c>
      <c r="D3403" s="3">
        <v>684</v>
      </c>
      <c r="E3403" s="4">
        <v>499320</v>
      </c>
      <c r="G3403" s="12">
        <f t="shared" si="212"/>
        <v>2020</v>
      </c>
      <c r="H3403" s="12">
        <f t="shared" si="213"/>
        <v>4</v>
      </c>
      <c r="I3403" s="11">
        <f t="shared" si="214"/>
        <v>112</v>
      </c>
      <c r="J3403" s="11"/>
    </row>
    <row r="3404" spans="1:10" x14ac:dyDescent="0.25">
      <c r="A3404" s="2">
        <v>43942</v>
      </c>
      <c r="B3404" s="3">
        <v>479</v>
      </c>
      <c r="C3404" s="4">
        <v>225130</v>
      </c>
      <c r="D3404" s="3">
        <v>650</v>
      </c>
      <c r="E3404" s="4">
        <v>474500</v>
      </c>
      <c r="G3404" s="12">
        <f t="shared" si="212"/>
        <v>2020</v>
      </c>
      <c r="H3404" s="12">
        <f t="shared" si="213"/>
        <v>4</v>
      </c>
      <c r="I3404" s="11">
        <f t="shared" si="214"/>
        <v>112</v>
      </c>
      <c r="J3404" s="11"/>
    </row>
    <row r="3405" spans="1:10" x14ac:dyDescent="0.25">
      <c r="A3405" s="2">
        <v>43943</v>
      </c>
      <c r="B3405" s="3">
        <v>470</v>
      </c>
      <c r="C3405" s="4">
        <v>220900</v>
      </c>
      <c r="D3405" s="3">
        <v>733</v>
      </c>
      <c r="E3405" s="4">
        <v>535090</v>
      </c>
      <c r="G3405" s="12">
        <f t="shared" si="212"/>
        <v>2020</v>
      </c>
      <c r="H3405" s="12">
        <f t="shared" si="213"/>
        <v>4</v>
      </c>
      <c r="I3405" s="11">
        <f t="shared" si="214"/>
        <v>112</v>
      </c>
      <c r="J3405" s="11"/>
    </row>
    <row r="3406" spans="1:10" x14ac:dyDescent="0.25">
      <c r="A3406" s="2">
        <v>43944</v>
      </c>
      <c r="B3406" s="3">
        <v>499</v>
      </c>
      <c r="C3406" s="4">
        <v>234530</v>
      </c>
      <c r="D3406" s="3">
        <v>735</v>
      </c>
      <c r="E3406" s="4">
        <v>536550</v>
      </c>
      <c r="G3406" s="12">
        <f t="shared" si="212"/>
        <v>2020</v>
      </c>
      <c r="H3406" s="12">
        <f t="shared" si="213"/>
        <v>4</v>
      </c>
      <c r="I3406" s="11">
        <f t="shared" si="214"/>
        <v>112</v>
      </c>
      <c r="J3406" s="11"/>
    </row>
    <row r="3407" spans="1:10" x14ac:dyDescent="0.25">
      <c r="A3407" s="2">
        <v>43945</v>
      </c>
      <c r="B3407" s="3">
        <v>461</v>
      </c>
      <c r="C3407" s="4">
        <v>216670</v>
      </c>
      <c r="D3407" s="3">
        <v>682</v>
      </c>
      <c r="E3407" s="4">
        <v>497860</v>
      </c>
      <c r="G3407" s="12">
        <f t="shared" si="212"/>
        <v>2020</v>
      </c>
      <c r="H3407" s="12">
        <f t="shared" si="213"/>
        <v>4</v>
      </c>
      <c r="I3407" s="11">
        <f t="shared" si="214"/>
        <v>112</v>
      </c>
      <c r="J3407" s="11"/>
    </row>
    <row r="3408" spans="1:10" x14ac:dyDescent="0.25">
      <c r="A3408" s="2">
        <v>43946</v>
      </c>
      <c r="B3408" s="3">
        <v>590</v>
      </c>
      <c r="C3408" s="4">
        <v>277300</v>
      </c>
      <c r="D3408" s="3">
        <v>701</v>
      </c>
      <c r="E3408" s="4">
        <v>511730</v>
      </c>
      <c r="G3408" s="12">
        <f t="shared" si="212"/>
        <v>2020</v>
      </c>
      <c r="H3408" s="12">
        <f t="shared" si="213"/>
        <v>4</v>
      </c>
      <c r="I3408" s="11">
        <f t="shared" si="214"/>
        <v>112</v>
      </c>
      <c r="J3408" s="11"/>
    </row>
    <row r="3409" spans="1:10" x14ac:dyDescent="0.25">
      <c r="A3409" s="2">
        <v>43947</v>
      </c>
      <c r="B3409" s="3">
        <v>524</v>
      </c>
      <c r="C3409" s="4">
        <v>246280</v>
      </c>
      <c r="D3409" s="3">
        <v>660</v>
      </c>
      <c r="E3409" s="4">
        <v>481800</v>
      </c>
      <c r="G3409" s="12">
        <f t="shared" si="212"/>
        <v>2020</v>
      </c>
      <c r="H3409" s="12">
        <f t="shared" si="213"/>
        <v>4</v>
      </c>
      <c r="I3409" s="11">
        <f t="shared" si="214"/>
        <v>112</v>
      </c>
      <c r="J3409" s="11"/>
    </row>
    <row r="3410" spans="1:10" x14ac:dyDescent="0.25">
      <c r="A3410" s="2">
        <v>43948</v>
      </c>
      <c r="B3410" s="3">
        <v>485</v>
      </c>
      <c r="C3410" s="4">
        <v>227950</v>
      </c>
      <c r="D3410" s="3">
        <v>470</v>
      </c>
      <c r="E3410" s="4">
        <v>343100</v>
      </c>
      <c r="G3410" s="12">
        <f t="shared" si="212"/>
        <v>2020</v>
      </c>
      <c r="H3410" s="12">
        <f t="shared" si="213"/>
        <v>4</v>
      </c>
      <c r="I3410" s="11">
        <f t="shared" si="214"/>
        <v>112</v>
      </c>
      <c r="J3410" s="11"/>
    </row>
    <row r="3411" spans="1:10" x14ac:dyDescent="0.25">
      <c r="A3411" s="2">
        <v>43949</v>
      </c>
      <c r="B3411" s="3">
        <v>447</v>
      </c>
      <c r="C3411" s="4">
        <v>210090</v>
      </c>
      <c r="D3411" s="3">
        <v>701</v>
      </c>
      <c r="E3411" s="4">
        <v>511730</v>
      </c>
      <c r="G3411" s="12">
        <f t="shared" si="212"/>
        <v>2020</v>
      </c>
      <c r="H3411" s="12">
        <f t="shared" si="213"/>
        <v>4</v>
      </c>
      <c r="I3411" s="11">
        <f t="shared" si="214"/>
        <v>112</v>
      </c>
      <c r="J3411" s="11"/>
    </row>
    <row r="3412" spans="1:10" x14ac:dyDescent="0.25">
      <c r="A3412" s="2">
        <v>43950</v>
      </c>
      <c r="B3412" s="3">
        <v>487</v>
      </c>
      <c r="C3412" s="4">
        <v>228890</v>
      </c>
      <c r="D3412" s="3">
        <v>707</v>
      </c>
      <c r="E3412" s="4">
        <v>516110</v>
      </c>
      <c r="G3412" s="12">
        <f t="shared" si="212"/>
        <v>2020</v>
      </c>
      <c r="H3412" s="12">
        <f t="shared" si="213"/>
        <v>4</v>
      </c>
      <c r="I3412" s="11">
        <f t="shared" si="214"/>
        <v>112</v>
      </c>
      <c r="J3412" s="11"/>
    </row>
    <row r="3413" spans="1:10" x14ac:dyDescent="0.25">
      <c r="A3413" s="2">
        <v>43951</v>
      </c>
      <c r="B3413" s="3">
        <v>502</v>
      </c>
      <c r="C3413" s="4">
        <v>235940</v>
      </c>
      <c r="D3413" s="3">
        <v>575</v>
      </c>
      <c r="E3413" s="4">
        <v>419750</v>
      </c>
      <c r="G3413" s="12">
        <f t="shared" si="212"/>
        <v>2020</v>
      </c>
      <c r="H3413" s="12">
        <f t="shared" si="213"/>
        <v>4</v>
      </c>
      <c r="I3413" s="11">
        <f t="shared" si="214"/>
        <v>112</v>
      </c>
      <c r="J3413" s="11"/>
    </row>
    <row r="3414" spans="1:10" x14ac:dyDescent="0.25">
      <c r="A3414" s="2">
        <v>43952</v>
      </c>
      <c r="B3414" s="3">
        <v>437</v>
      </c>
      <c r="C3414" s="4">
        <v>205390</v>
      </c>
      <c r="D3414" s="3">
        <v>678</v>
      </c>
      <c r="E3414" s="4">
        <v>494940</v>
      </c>
      <c r="G3414" s="12">
        <f t="shared" si="212"/>
        <v>2020</v>
      </c>
      <c r="H3414" s="12">
        <f t="shared" si="213"/>
        <v>5</v>
      </c>
      <c r="I3414" s="11">
        <f t="shared" si="214"/>
        <v>113</v>
      </c>
      <c r="J3414" s="11"/>
    </row>
    <row r="3415" spans="1:10" x14ac:dyDescent="0.25">
      <c r="A3415" s="2">
        <v>43953</v>
      </c>
      <c r="B3415" s="3">
        <v>531</v>
      </c>
      <c r="C3415" s="4">
        <v>249570</v>
      </c>
      <c r="D3415" s="3">
        <v>615</v>
      </c>
      <c r="E3415" s="4">
        <v>448950</v>
      </c>
      <c r="G3415" s="12">
        <f t="shared" si="212"/>
        <v>2020</v>
      </c>
      <c r="H3415" s="12">
        <f t="shared" si="213"/>
        <v>5</v>
      </c>
      <c r="I3415" s="11">
        <f t="shared" si="214"/>
        <v>113</v>
      </c>
      <c r="J3415" s="11"/>
    </row>
    <row r="3416" spans="1:10" x14ac:dyDescent="0.25">
      <c r="A3416" s="2">
        <v>43954</v>
      </c>
      <c r="B3416" s="3">
        <v>556</v>
      </c>
      <c r="C3416" s="4">
        <v>261320</v>
      </c>
      <c r="D3416" s="3">
        <v>710</v>
      </c>
      <c r="E3416" s="4">
        <v>518300</v>
      </c>
      <c r="G3416" s="12">
        <f t="shared" si="212"/>
        <v>2020</v>
      </c>
      <c r="H3416" s="12">
        <f t="shared" si="213"/>
        <v>5</v>
      </c>
      <c r="I3416" s="11">
        <f t="shared" si="214"/>
        <v>113</v>
      </c>
      <c r="J3416" s="11"/>
    </row>
    <row r="3417" spans="1:10" x14ac:dyDescent="0.25">
      <c r="A3417" s="2">
        <v>43955</v>
      </c>
      <c r="B3417" s="3">
        <v>481</v>
      </c>
      <c r="C3417" s="4">
        <v>226070</v>
      </c>
      <c r="D3417" s="3">
        <v>646</v>
      </c>
      <c r="E3417" s="4">
        <v>471580</v>
      </c>
      <c r="G3417" s="12">
        <f t="shared" si="212"/>
        <v>2020</v>
      </c>
      <c r="H3417" s="12">
        <f t="shared" si="213"/>
        <v>5</v>
      </c>
      <c r="I3417" s="11">
        <f t="shared" si="214"/>
        <v>113</v>
      </c>
      <c r="J3417" s="11"/>
    </row>
    <row r="3418" spans="1:10" x14ac:dyDescent="0.25">
      <c r="A3418" s="2">
        <v>43956</v>
      </c>
      <c r="B3418" s="3">
        <v>454</v>
      </c>
      <c r="C3418" s="4">
        <v>213380</v>
      </c>
      <c r="D3418" s="3">
        <v>696</v>
      </c>
      <c r="E3418" s="4">
        <v>508080</v>
      </c>
      <c r="G3418" s="12">
        <f t="shared" si="212"/>
        <v>2020</v>
      </c>
      <c r="H3418" s="12">
        <f t="shared" si="213"/>
        <v>5</v>
      </c>
      <c r="I3418" s="11">
        <f t="shared" si="214"/>
        <v>113</v>
      </c>
      <c r="J3418" s="11"/>
    </row>
    <row r="3419" spans="1:10" x14ac:dyDescent="0.25">
      <c r="A3419" s="2">
        <v>43957</v>
      </c>
      <c r="B3419" s="3">
        <v>502</v>
      </c>
      <c r="C3419" s="4">
        <v>235940</v>
      </c>
      <c r="D3419" s="3">
        <v>592</v>
      </c>
      <c r="E3419" s="4">
        <v>432160</v>
      </c>
      <c r="G3419" s="12">
        <f t="shared" si="212"/>
        <v>2020</v>
      </c>
      <c r="H3419" s="12">
        <f t="shared" si="213"/>
        <v>5</v>
      </c>
      <c r="I3419" s="11">
        <f t="shared" si="214"/>
        <v>113</v>
      </c>
      <c r="J3419" s="11"/>
    </row>
    <row r="3420" spans="1:10" x14ac:dyDescent="0.25">
      <c r="A3420" s="2">
        <v>43958</v>
      </c>
      <c r="B3420" s="3">
        <v>452</v>
      </c>
      <c r="C3420" s="4">
        <v>212440</v>
      </c>
      <c r="D3420" s="3">
        <v>700</v>
      </c>
      <c r="E3420" s="4">
        <v>511000</v>
      </c>
      <c r="G3420" s="12">
        <f t="shared" si="212"/>
        <v>2020</v>
      </c>
      <c r="H3420" s="12">
        <f t="shared" si="213"/>
        <v>5</v>
      </c>
      <c r="I3420" s="11">
        <f t="shared" si="214"/>
        <v>113</v>
      </c>
      <c r="J3420" s="11"/>
    </row>
    <row r="3421" spans="1:10" x14ac:dyDescent="0.25">
      <c r="A3421" s="2">
        <v>43959</v>
      </c>
      <c r="B3421" s="3">
        <v>456</v>
      </c>
      <c r="C3421" s="4">
        <v>214320</v>
      </c>
      <c r="D3421" s="3">
        <v>703</v>
      </c>
      <c r="E3421" s="4">
        <v>513190</v>
      </c>
      <c r="G3421" s="12">
        <f t="shared" si="212"/>
        <v>2020</v>
      </c>
      <c r="H3421" s="12">
        <f t="shared" si="213"/>
        <v>5</v>
      </c>
      <c r="I3421" s="11">
        <f t="shared" si="214"/>
        <v>113</v>
      </c>
      <c r="J3421" s="11"/>
    </row>
    <row r="3422" spans="1:10" x14ac:dyDescent="0.25">
      <c r="A3422" s="2">
        <v>43960</v>
      </c>
      <c r="B3422" s="3">
        <v>523</v>
      </c>
      <c r="C3422" s="4">
        <v>245810</v>
      </c>
      <c r="D3422" s="3">
        <v>569</v>
      </c>
      <c r="E3422" s="4">
        <v>415370</v>
      </c>
      <c r="G3422" s="12">
        <f t="shared" si="212"/>
        <v>2020</v>
      </c>
      <c r="H3422" s="12">
        <f t="shared" si="213"/>
        <v>5</v>
      </c>
      <c r="I3422" s="11">
        <f t="shared" si="214"/>
        <v>113</v>
      </c>
      <c r="J3422" s="11"/>
    </row>
    <row r="3423" spans="1:10" x14ac:dyDescent="0.25">
      <c r="A3423" s="2">
        <v>43961</v>
      </c>
      <c r="B3423" s="3">
        <v>492</v>
      </c>
      <c r="C3423" s="4">
        <v>231240</v>
      </c>
      <c r="D3423" s="3">
        <v>595</v>
      </c>
      <c r="E3423" s="4">
        <v>434350</v>
      </c>
      <c r="G3423" s="12">
        <f t="shared" si="212"/>
        <v>2020</v>
      </c>
      <c r="H3423" s="12">
        <f t="shared" si="213"/>
        <v>5</v>
      </c>
      <c r="I3423" s="11">
        <f t="shared" si="214"/>
        <v>113</v>
      </c>
      <c r="J3423" s="11"/>
    </row>
    <row r="3424" spans="1:10" x14ac:dyDescent="0.25">
      <c r="A3424" s="2">
        <v>43962</v>
      </c>
      <c r="B3424" s="3">
        <v>436</v>
      </c>
      <c r="C3424" s="4">
        <v>204920</v>
      </c>
      <c r="D3424" s="3">
        <v>604</v>
      </c>
      <c r="E3424" s="4">
        <v>440920</v>
      </c>
      <c r="G3424" s="12">
        <f t="shared" si="212"/>
        <v>2020</v>
      </c>
      <c r="H3424" s="12">
        <f t="shared" si="213"/>
        <v>5</v>
      </c>
      <c r="I3424" s="11">
        <f t="shared" si="214"/>
        <v>113</v>
      </c>
      <c r="J3424" s="11"/>
    </row>
    <row r="3425" spans="1:10" x14ac:dyDescent="0.25">
      <c r="A3425" s="2">
        <v>43963</v>
      </c>
      <c r="B3425" s="3">
        <v>508</v>
      </c>
      <c r="C3425" s="4">
        <v>238760</v>
      </c>
      <c r="D3425" s="3">
        <v>752</v>
      </c>
      <c r="E3425" s="4">
        <v>548960</v>
      </c>
      <c r="G3425" s="12">
        <f t="shared" si="212"/>
        <v>2020</v>
      </c>
      <c r="H3425" s="12">
        <f t="shared" si="213"/>
        <v>5</v>
      </c>
      <c r="I3425" s="11">
        <f t="shared" si="214"/>
        <v>113</v>
      </c>
      <c r="J3425" s="11"/>
    </row>
    <row r="3426" spans="1:10" x14ac:dyDescent="0.25">
      <c r="A3426" s="2">
        <v>43964</v>
      </c>
      <c r="B3426" s="3">
        <v>499</v>
      </c>
      <c r="C3426" s="4">
        <v>234530</v>
      </c>
      <c r="D3426" s="3">
        <v>634</v>
      </c>
      <c r="E3426" s="4">
        <v>462820</v>
      </c>
      <c r="G3426" s="12">
        <f t="shared" si="212"/>
        <v>2020</v>
      </c>
      <c r="H3426" s="12">
        <f t="shared" si="213"/>
        <v>5</v>
      </c>
      <c r="I3426" s="11">
        <f t="shared" si="214"/>
        <v>113</v>
      </c>
      <c r="J3426" s="11"/>
    </row>
    <row r="3427" spans="1:10" x14ac:dyDescent="0.25">
      <c r="A3427" s="2">
        <v>43965</v>
      </c>
      <c r="B3427" s="3">
        <v>447</v>
      </c>
      <c r="C3427" s="4">
        <v>210090</v>
      </c>
      <c r="D3427" s="3">
        <v>702</v>
      </c>
      <c r="E3427" s="4">
        <v>512460</v>
      </c>
      <c r="G3427" s="12">
        <f t="shared" si="212"/>
        <v>2020</v>
      </c>
      <c r="H3427" s="12">
        <f t="shared" si="213"/>
        <v>5</v>
      </c>
      <c r="I3427" s="11">
        <f t="shared" si="214"/>
        <v>113</v>
      </c>
      <c r="J3427" s="11"/>
    </row>
    <row r="3428" spans="1:10" x14ac:dyDescent="0.25">
      <c r="A3428" s="2">
        <v>43966</v>
      </c>
      <c r="B3428" s="3">
        <v>449</v>
      </c>
      <c r="C3428" s="4">
        <v>211030</v>
      </c>
      <c r="D3428" s="3">
        <v>664</v>
      </c>
      <c r="E3428" s="4">
        <v>484720</v>
      </c>
      <c r="G3428" s="12">
        <f t="shared" si="212"/>
        <v>2020</v>
      </c>
      <c r="H3428" s="12">
        <f t="shared" si="213"/>
        <v>5</v>
      </c>
      <c r="I3428" s="11">
        <f t="shared" si="214"/>
        <v>113</v>
      </c>
      <c r="J3428" s="11"/>
    </row>
    <row r="3429" spans="1:10" x14ac:dyDescent="0.25">
      <c r="A3429" s="2">
        <v>43967</v>
      </c>
      <c r="B3429" s="3">
        <v>465</v>
      </c>
      <c r="C3429" s="4">
        <v>218550</v>
      </c>
      <c r="D3429" s="3">
        <v>637</v>
      </c>
      <c r="E3429" s="4">
        <v>465010</v>
      </c>
      <c r="G3429" s="12">
        <f t="shared" si="212"/>
        <v>2020</v>
      </c>
      <c r="H3429" s="12">
        <f t="shared" si="213"/>
        <v>5</v>
      </c>
      <c r="I3429" s="11">
        <f t="shared" si="214"/>
        <v>113</v>
      </c>
      <c r="J3429" s="11"/>
    </row>
    <row r="3430" spans="1:10" x14ac:dyDescent="0.25">
      <c r="A3430" s="2">
        <v>43968</v>
      </c>
      <c r="B3430" s="3">
        <v>492</v>
      </c>
      <c r="C3430" s="4">
        <v>231240</v>
      </c>
      <c r="D3430" s="3">
        <v>686</v>
      </c>
      <c r="E3430" s="4">
        <v>500780</v>
      </c>
      <c r="G3430" s="12">
        <f t="shared" si="212"/>
        <v>2020</v>
      </c>
      <c r="H3430" s="12">
        <f t="shared" si="213"/>
        <v>5</v>
      </c>
      <c r="I3430" s="11">
        <f t="shared" si="214"/>
        <v>113</v>
      </c>
      <c r="J3430" s="11"/>
    </row>
    <row r="3431" spans="1:10" x14ac:dyDescent="0.25">
      <c r="A3431" s="2">
        <v>43969</v>
      </c>
      <c r="B3431" s="3">
        <v>480</v>
      </c>
      <c r="C3431" s="4">
        <v>225600</v>
      </c>
      <c r="D3431" s="3">
        <v>852</v>
      </c>
      <c r="E3431" s="4">
        <v>621960</v>
      </c>
      <c r="G3431" s="12">
        <f t="shared" si="212"/>
        <v>2020</v>
      </c>
      <c r="H3431" s="12">
        <f t="shared" si="213"/>
        <v>5</v>
      </c>
      <c r="I3431" s="11">
        <f t="shared" si="214"/>
        <v>113</v>
      </c>
      <c r="J3431" s="11"/>
    </row>
    <row r="3432" spans="1:10" x14ac:dyDescent="0.25">
      <c r="A3432" s="2">
        <v>43970</v>
      </c>
      <c r="B3432" s="3">
        <v>489</v>
      </c>
      <c r="C3432" s="4">
        <v>229830</v>
      </c>
      <c r="D3432" s="3">
        <v>692</v>
      </c>
      <c r="E3432" s="4">
        <v>505160</v>
      </c>
      <c r="G3432" s="12">
        <f t="shared" si="212"/>
        <v>2020</v>
      </c>
      <c r="H3432" s="12">
        <f t="shared" si="213"/>
        <v>5</v>
      </c>
      <c r="I3432" s="11">
        <f t="shared" si="214"/>
        <v>113</v>
      </c>
      <c r="J3432" s="11"/>
    </row>
    <row r="3433" spans="1:10" x14ac:dyDescent="0.25">
      <c r="A3433" s="2">
        <v>43971</v>
      </c>
      <c r="B3433" s="3">
        <v>423</v>
      </c>
      <c r="C3433" s="4">
        <v>198810</v>
      </c>
      <c r="D3433" s="3">
        <v>727</v>
      </c>
      <c r="E3433" s="4">
        <v>530710</v>
      </c>
      <c r="G3433" s="12">
        <f t="shared" si="212"/>
        <v>2020</v>
      </c>
      <c r="H3433" s="12">
        <f t="shared" si="213"/>
        <v>5</v>
      </c>
      <c r="I3433" s="11">
        <f t="shared" si="214"/>
        <v>113</v>
      </c>
      <c r="J3433" s="11"/>
    </row>
    <row r="3434" spans="1:10" x14ac:dyDescent="0.25">
      <c r="A3434" s="2">
        <v>43972</v>
      </c>
      <c r="B3434" s="3">
        <v>442</v>
      </c>
      <c r="C3434" s="4">
        <v>207740</v>
      </c>
      <c r="D3434" s="3">
        <v>575</v>
      </c>
      <c r="E3434" s="4">
        <v>419750</v>
      </c>
      <c r="G3434" s="12">
        <f t="shared" si="212"/>
        <v>2020</v>
      </c>
      <c r="H3434" s="12">
        <f t="shared" si="213"/>
        <v>5</v>
      </c>
      <c r="I3434" s="11">
        <f t="shared" si="214"/>
        <v>113</v>
      </c>
      <c r="J3434" s="11"/>
    </row>
    <row r="3435" spans="1:10" x14ac:dyDescent="0.25">
      <c r="A3435" s="2">
        <v>43973</v>
      </c>
      <c r="B3435" s="3">
        <v>574</v>
      </c>
      <c r="C3435" s="4">
        <v>269780</v>
      </c>
      <c r="D3435" s="3">
        <v>624</v>
      </c>
      <c r="E3435" s="4">
        <v>455520</v>
      </c>
      <c r="G3435" s="12">
        <f t="shared" si="212"/>
        <v>2020</v>
      </c>
      <c r="H3435" s="12">
        <f t="shared" si="213"/>
        <v>5</v>
      </c>
      <c r="I3435" s="11">
        <f t="shared" si="214"/>
        <v>113</v>
      </c>
      <c r="J3435" s="11"/>
    </row>
    <row r="3436" spans="1:10" x14ac:dyDescent="0.25">
      <c r="A3436" s="2">
        <v>43974</v>
      </c>
      <c r="B3436" s="3">
        <v>443</v>
      </c>
      <c r="C3436" s="4">
        <v>208210</v>
      </c>
      <c r="D3436" s="3">
        <v>555</v>
      </c>
      <c r="E3436" s="4">
        <v>405150</v>
      </c>
      <c r="G3436" s="12">
        <f t="shared" si="212"/>
        <v>2020</v>
      </c>
      <c r="H3436" s="12">
        <f t="shared" si="213"/>
        <v>5</v>
      </c>
      <c r="I3436" s="11">
        <f t="shared" si="214"/>
        <v>113</v>
      </c>
      <c r="J3436" s="11"/>
    </row>
    <row r="3437" spans="1:10" x14ac:dyDescent="0.25">
      <c r="A3437" s="2">
        <v>43975</v>
      </c>
      <c r="B3437" s="3">
        <v>555</v>
      </c>
      <c r="C3437" s="4">
        <v>260850</v>
      </c>
      <c r="D3437" s="3">
        <v>728</v>
      </c>
      <c r="E3437" s="4">
        <v>531440</v>
      </c>
      <c r="G3437" s="12">
        <f t="shared" si="212"/>
        <v>2020</v>
      </c>
      <c r="H3437" s="12">
        <f t="shared" si="213"/>
        <v>5</v>
      </c>
      <c r="I3437" s="11">
        <f t="shared" si="214"/>
        <v>113</v>
      </c>
      <c r="J3437" s="11"/>
    </row>
    <row r="3438" spans="1:10" x14ac:dyDescent="0.25">
      <c r="A3438" s="2">
        <v>43976</v>
      </c>
      <c r="B3438" s="3">
        <v>529</v>
      </c>
      <c r="C3438" s="4">
        <v>248630</v>
      </c>
      <c r="D3438" s="3">
        <v>882</v>
      </c>
      <c r="E3438" s="4">
        <v>643860</v>
      </c>
      <c r="G3438" s="12">
        <f t="shared" si="212"/>
        <v>2020</v>
      </c>
      <c r="H3438" s="12">
        <f t="shared" si="213"/>
        <v>5</v>
      </c>
      <c r="I3438" s="11">
        <f t="shared" si="214"/>
        <v>113</v>
      </c>
      <c r="J3438" s="11"/>
    </row>
    <row r="3439" spans="1:10" x14ac:dyDescent="0.25">
      <c r="A3439" s="2">
        <v>43977</v>
      </c>
      <c r="B3439" s="3">
        <v>477</v>
      </c>
      <c r="C3439" s="4">
        <v>224190</v>
      </c>
      <c r="D3439" s="3">
        <v>631</v>
      </c>
      <c r="E3439" s="4">
        <v>460630</v>
      </c>
      <c r="G3439" s="12">
        <f t="shared" si="212"/>
        <v>2020</v>
      </c>
      <c r="H3439" s="12">
        <f t="shared" si="213"/>
        <v>5</v>
      </c>
      <c r="I3439" s="11">
        <f t="shared" si="214"/>
        <v>113</v>
      </c>
      <c r="J3439" s="11"/>
    </row>
    <row r="3440" spans="1:10" x14ac:dyDescent="0.25">
      <c r="A3440" s="2">
        <v>43978</v>
      </c>
      <c r="B3440" s="3">
        <v>423</v>
      </c>
      <c r="C3440" s="4">
        <v>198810</v>
      </c>
      <c r="D3440" s="3">
        <v>681</v>
      </c>
      <c r="E3440" s="4">
        <v>497130</v>
      </c>
      <c r="G3440" s="12">
        <f t="shared" si="212"/>
        <v>2020</v>
      </c>
      <c r="H3440" s="12">
        <f t="shared" si="213"/>
        <v>5</v>
      </c>
      <c r="I3440" s="11">
        <f t="shared" si="214"/>
        <v>113</v>
      </c>
      <c r="J3440" s="11"/>
    </row>
    <row r="3441" spans="1:10" x14ac:dyDescent="0.25">
      <c r="A3441" s="2">
        <v>43979</v>
      </c>
      <c r="B3441" s="3">
        <v>450</v>
      </c>
      <c r="C3441" s="4">
        <v>211500</v>
      </c>
      <c r="D3441" s="3">
        <v>681</v>
      </c>
      <c r="E3441" s="4">
        <v>497130</v>
      </c>
      <c r="G3441" s="12">
        <f t="shared" si="212"/>
        <v>2020</v>
      </c>
      <c r="H3441" s="12">
        <f t="shared" si="213"/>
        <v>5</v>
      </c>
      <c r="I3441" s="11">
        <f t="shared" si="214"/>
        <v>113</v>
      </c>
      <c r="J3441" s="11"/>
    </row>
    <row r="3442" spans="1:10" x14ac:dyDescent="0.25">
      <c r="A3442" s="2">
        <v>43980</v>
      </c>
      <c r="B3442" s="3">
        <v>524</v>
      </c>
      <c r="C3442" s="4">
        <v>246280</v>
      </c>
      <c r="D3442" s="3">
        <v>742</v>
      </c>
      <c r="E3442" s="4">
        <v>541660</v>
      </c>
      <c r="G3442" s="12">
        <f t="shared" si="212"/>
        <v>2020</v>
      </c>
      <c r="H3442" s="12">
        <f t="shared" si="213"/>
        <v>5</v>
      </c>
      <c r="I3442" s="11">
        <f t="shared" si="214"/>
        <v>113</v>
      </c>
      <c r="J3442" s="11"/>
    </row>
    <row r="3443" spans="1:10" x14ac:dyDescent="0.25">
      <c r="A3443" s="2">
        <v>43981</v>
      </c>
      <c r="B3443" s="3">
        <v>511</v>
      </c>
      <c r="C3443" s="4">
        <v>240170</v>
      </c>
      <c r="D3443" s="3">
        <v>759</v>
      </c>
      <c r="E3443" s="4">
        <v>554070</v>
      </c>
      <c r="G3443" s="12">
        <f t="shared" si="212"/>
        <v>2020</v>
      </c>
      <c r="H3443" s="12">
        <f t="shared" si="213"/>
        <v>5</v>
      </c>
      <c r="I3443" s="11">
        <f t="shared" si="214"/>
        <v>113</v>
      </c>
      <c r="J3443" s="11"/>
    </row>
    <row r="3444" spans="1:10" x14ac:dyDescent="0.25">
      <c r="A3444" s="2">
        <v>43982</v>
      </c>
      <c r="B3444" s="3">
        <v>501</v>
      </c>
      <c r="C3444" s="4">
        <v>235470</v>
      </c>
      <c r="D3444" s="3">
        <v>664</v>
      </c>
      <c r="E3444" s="4">
        <v>484720</v>
      </c>
      <c r="G3444" s="12">
        <f t="shared" si="212"/>
        <v>2020</v>
      </c>
      <c r="H3444" s="12">
        <f t="shared" si="213"/>
        <v>5</v>
      </c>
      <c r="I3444" s="11">
        <f t="shared" si="214"/>
        <v>113</v>
      </c>
      <c r="J3444" s="11"/>
    </row>
    <row r="3445" spans="1:10" x14ac:dyDescent="0.25">
      <c r="A3445" s="2">
        <v>43983</v>
      </c>
      <c r="B3445" s="3">
        <v>510</v>
      </c>
      <c r="C3445" s="4">
        <v>239700</v>
      </c>
      <c r="D3445" s="3">
        <v>757</v>
      </c>
      <c r="E3445" s="4">
        <v>221044</v>
      </c>
      <c r="G3445" s="12">
        <f t="shared" si="212"/>
        <v>2020</v>
      </c>
      <c r="H3445" s="12">
        <f t="shared" si="213"/>
        <v>6</v>
      </c>
      <c r="I3445" s="11">
        <f t="shared" si="214"/>
        <v>114</v>
      </c>
      <c r="J3445" s="11"/>
    </row>
    <row r="3446" spans="1:10" x14ac:dyDescent="0.25">
      <c r="A3446" s="2">
        <v>43984</v>
      </c>
      <c r="B3446" s="3">
        <v>528</v>
      </c>
      <c r="C3446" s="4">
        <v>248160</v>
      </c>
      <c r="D3446" s="3">
        <v>679</v>
      </c>
      <c r="E3446" s="4">
        <v>198268</v>
      </c>
      <c r="G3446" s="12">
        <f t="shared" si="212"/>
        <v>2020</v>
      </c>
      <c r="H3446" s="12">
        <f t="shared" si="213"/>
        <v>6</v>
      </c>
      <c r="I3446" s="11">
        <f t="shared" si="214"/>
        <v>114</v>
      </c>
      <c r="J3446" s="11"/>
    </row>
    <row r="3447" spans="1:10" x14ac:dyDescent="0.25">
      <c r="A3447" s="2">
        <v>43985</v>
      </c>
      <c r="B3447" s="3">
        <v>521</v>
      </c>
      <c r="C3447" s="4">
        <v>244870</v>
      </c>
      <c r="D3447" s="3">
        <v>796</v>
      </c>
      <c r="E3447" s="4">
        <v>232432</v>
      </c>
      <c r="G3447" s="12">
        <f t="shared" si="212"/>
        <v>2020</v>
      </c>
      <c r="H3447" s="12">
        <f t="shared" si="213"/>
        <v>6</v>
      </c>
      <c r="I3447" s="11">
        <f t="shared" si="214"/>
        <v>114</v>
      </c>
      <c r="J3447" s="11"/>
    </row>
    <row r="3448" spans="1:10" x14ac:dyDescent="0.25">
      <c r="A3448" s="2">
        <v>43986</v>
      </c>
      <c r="B3448" s="3">
        <v>522</v>
      </c>
      <c r="C3448" s="4">
        <v>245340</v>
      </c>
      <c r="D3448" s="3">
        <v>779</v>
      </c>
      <c r="E3448" s="4">
        <v>227468</v>
      </c>
      <c r="G3448" s="12">
        <f t="shared" si="212"/>
        <v>2020</v>
      </c>
      <c r="H3448" s="12">
        <f t="shared" si="213"/>
        <v>6</v>
      </c>
      <c r="I3448" s="11">
        <f t="shared" si="214"/>
        <v>114</v>
      </c>
      <c r="J3448" s="11"/>
    </row>
    <row r="3449" spans="1:10" x14ac:dyDescent="0.25">
      <c r="A3449" s="2">
        <v>43987</v>
      </c>
      <c r="B3449" s="3">
        <v>524</v>
      </c>
      <c r="C3449" s="4">
        <v>246280</v>
      </c>
      <c r="D3449" s="3">
        <v>697</v>
      </c>
      <c r="E3449" s="4">
        <v>203524</v>
      </c>
      <c r="G3449" s="12">
        <f t="shared" si="212"/>
        <v>2020</v>
      </c>
      <c r="H3449" s="12">
        <f t="shared" si="213"/>
        <v>6</v>
      </c>
      <c r="I3449" s="11">
        <f t="shared" si="214"/>
        <v>114</v>
      </c>
      <c r="J3449" s="11"/>
    </row>
    <row r="3450" spans="1:10" x14ac:dyDescent="0.25">
      <c r="A3450" s="2">
        <v>43988</v>
      </c>
      <c r="B3450" s="3">
        <v>480</v>
      </c>
      <c r="C3450" s="4">
        <v>225600</v>
      </c>
      <c r="D3450" s="3">
        <v>725</v>
      </c>
      <c r="E3450" s="4">
        <v>211700</v>
      </c>
      <c r="G3450" s="12">
        <f t="shared" si="212"/>
        <v>2020</v>
      </c>
      <c r="H3450" s="12">
        <f t="shared" si="213"/>
        <v>6</v>
      </c>
      <c r="I3450" s="11">
        <f t="shared" si="214"/>
        <v>114</v>
      </c>
      <c r="J3450" s="11"/>
    </row>
    <row r="3451" spans="1:10" x14ac:dyDescent="0.25">
      <c r="A3451" s="2">
        <v>43989</v>
      </c>
      <c r="B3451" s="3">
        <v>524</v>
      </c>
      <c r="C3451" s="4">
        <v>246280</v>
      </c>
      <c r="D3451" s="3">
        <v>714</v>
      </c>
      <c r="E3451" s="4">
        <v>208488</v>
      </c>
      <c r="G3451" s="12">
        <f t="shared" si="212"/>
        <v>2020</v>
      </c>
      <c r="H3451" s="12">
        <f t="shared" si="213"/>
        <v>6</v>
      </c>
      <c r="I3451" s="11">
        <f t="shared" si="214"/>
        <v>114</v>
      </c>
      <c r="J3451" s="11"/>
    </row>
    <row r="3452" spans="1:10" x14ac:dyDescent="0.25">
      <c r="A3452" s="2">
        <v>43990</v>
      </c>
      <c r="B3452" s="3">
        <v>530</v>
      </c>
      <c r="C3452" s="4">
        <v>249100</v>
      </c>
      <c r="D3452" s="3">
        <v>781</v>
      </c>
      <c r="E3452" s="4">
        <v>228052</v>
      </c>
      <c r="G3452" s="12">
        <f t="shared" si="212"/>
        <v>2020</v>
      </c>
      <c r="H3452" s="12">
        <f t="shared" si="213"/>
        <v>6</v>
      </c>
      <c r="I3452" s="11">
        <f t="shared" si="214"/>
        <v>114</v>
      </c>
      <c r="J3452" s="11"/>
    </row>
    <row r="3453" spans="1:10" x14ac:dyDescent="0.25">
      <c r="A3453" s="2">
        <v>43991</v>
      </c>
      <c r="B3453" s="3">
        <v>459</v>
      </c>
      <c r="C3453" s="4">
        <v>215730</v>
      </c>
      <c r="D3453" s="3">
        <v>726</v>
      </c>
      <c r="E3453" s="4">
        <v>211992</v>
      </c>
      <c r="G3453" s="12">
        <f t="shared" si="212"/>
        <v>2020</v>
      </c>
      <c r="H3453" s="12">
        <f t="shared" si="213"/>
        <v>6</v>
      </c>
      <c r="I3453" s="11">
        <f t="shared" si="214"/>
        <v>114</v>
      </c>
      <c r="J3453" s="11"/>
    </row>
    <row r="3454" spans="1:10" x14ac:dyDescent="0.25">
      <c r="A3454" s="2">
        <v>43992</v>
      </c>
      <c r="B3454" s="3">
        <v>368</v>
      </c>
      <c r="C3454" s="4">
        <v>172960</v>
      </c>
      <c r="D3454" s="3">
        <v>876</v>
      </c>
      <c r="E3454" s="4">
        <v>255792</v>
      </c>
      <c r="G3454" s="12">
        <f t="shared" si="212"/>
        <v>2020</v>
      </c>
      <c r="H3454" s="12">
        <f t="shared" si="213"/>
        <v>6</v>
      </c>
      <c r="I3454" s="11">
        <f t="shared" si="214"/>
        <v>114</v>
      </c>
      <c r="J3454" s="11"/>
    </row>
    <row r="3455" spans="1:10" x14ac:dyDescent="0.25">
      <c r="A3455" s="2">
        <v>43993</v>
      </c>
      <c r="B3455" s="3">
        <v>459</v>
      </c>
      <c r="C3455" s="4">
        <v>215730</v>
      </c>
      <c r="D3455" s="3">
        <v>831</v>
      </c>
      <c r="E3455" s="4">
        <v>242652</v>
      </c>
      <c r="G3455" s="12">
        <f t="shared" si="212"/>
        <v>2020</v>
      </c>
      <c r="H3455" s="12">
        <f t="shared" si="213"/>
        <v>6</v>
      </c>
      <c r="I3455" s="11">
        <f t="shared" si="214"/>
        <v>114</v>
      </c>
      <c r="J3455" s="11"/>
    </row>
    <row r="3456" spans="1:10" x14ac:dyDescent="0.25">
      <c r="A3456" s="2">
        <v>43994</v>
      </c>
      <c r="B3456" s="3">
        <v>557</v>
      </c>
      <c r="C3456" s="4">
        <v>261790</v>
      </c>
      <c r="D3456" s="3">
        <v>777</v>
      </c>
      <c r="E3456" s="4">
        <v>226884</v>
      </c>
      <c r="G3456" s="12">
        <f t="shared" si="212"/>
        <v>2020</v>
      </c>
      <c r="H3456" s="12">
        <f t="shared" si="213"/>
        <v>6</v>
      </c>
      <c r="I3456" s="11">
        <f t="shared" si="214"/>
        <v>114</v>
      </c>
      <c r="J3456" s="11"/>
    </row>
    <row r="3457" spans="1:10" x14ac:dyDescent="0.25">
      <c r="A3457" s="2">
        <v>43995</v>
      </c>
      <c r="B3457" s="3">
        <v>548</v>
      </c>
      <c r="C3457" s="4">
        <v>257560</v>
      </c>
      <c r="D3457" s="3">
        <v>759</v>
      </c>
      <c r="E3457" s="4">
        <v>221628</v>
      </c>
      <c r="G3457" s="12">
        <f t="shared" si="212"/>
        <v>2020</v>
      </c>
      <c r="H3457" s="12">
        <f t="shared" si="213"/>
        <v>6</v>
      </c>
      <c r="I3457" s="11">
        <f t="shared" si="214"/>
        <v>114</v>
      </c>
      <c r="J3457" s="11"/>
    </row>
    <row r="3458" spans="1:10" x14ac:dyDescent="0.25">
      <c r="A3458" s="2">
        <v>43996</v>
      </c>
      <c r="B3458" s="3">
        <v>473</v>
      </c>
      <c r="C3458" s="4">
        <v>222310</v>
      </c>
      <c r="D3458" s="3">
        <v>770</v>
      </c>
      <c r="E3458" s="4">
        <v>224840</v>
      </c>
      <c r="G3458" s="12">
        <f t="shared" si="212"/>
        <v>2020</v>
      </c>
      <c r="H3458" s="12">
        <f t="shared" si="213"/>
        <v>6</v>
      </c>
      <c r="I3458" s="11">
        <f t="shared" si="214"/>
        <v>114</v>
      </c>
      <c r="J3458" s="11"/>
    </row>
    <row r="3459" spans="1:10" x14ac:dyDescent="0.25">
      <c r="A3459" s="2">
        <v>43997</v>
      </c>
      <c r="B3459" s="3">
        <v>474</v>
      </c>
      <c r="C3459" s="4">
        <v>222780</v>
      </c>
      <c r="D3459" s="3">
        <v>832</v>
      </c>
      <c r="E3459" s="4">
        <v>242944</v>
      </c>
      <c r="G3459" s="12">
        <f t="shared" si="212"/>
        <v>2020</v>
      </c>
      <c r="H3459" s="12">
        <f t="shared" si="213"/>
        <v>6</v>
      </c>
      <c r="I3459" s="11">
        <f t="shared" si="214"/>
        <v>114</v>
      </c>
      <c r="J3459" s="11"/>
    </row>
    <row r="3460" spans="1:10" x14ac:dyDescent="0.25">
      <c r="A3460" s="2">
        <v>43998</v>
      </c>
      <c r="B3460" s="3">
        <v>521</v>
      </c>
      <c r="C3460" s="4">
        <v>244870</v>
      </c>
      <c r="D3460" s="3">
        <v>683</v>
      </c>
      <c r="E3460" s="4">
        <v>199436</v>
      </c>
      <c r="G3460" s="12">
        <f t="shared" si="212"/>
        <v>2020</v>
      </c>
      <c r="H3460" s="12">
        <f t="shared" si="213"/>
        <v>6</v>
      </c>
      <c r="I3460" s="11">
        <f t="shared" si="214"/>
        <v>114</v>
      </c>
      <c r="J3460" s="11"/>
    </row>
    <row r="3461" spans="1:10" x14ac:dyDescent="0.25">
      <c r="A3461" s="2">
        <v>43999</v>
      </c>
      <c r="B3461" s="3">
        <v>507</v>
      </c>
      <c r="C3461" s="4">
        <v>238290</v>
      </c>
      <c r="D3461" s="3">
        <v>816</v>
      </c>
      <c r="E3461" s="4">
        <v>238272</v>
      </c>
      <c r="G3461" s="12">
        <f t="shared" si="212"/>
        <v>2020</v>
      </c>
      <c r="H3461" s="12">
        <f t="shared" si="213"/>
        <v>6</v>
      </c>
      <c r="I3461" s="11">
        <f t="shared" si="214"/>
        <v>114</v>
      </c>
      <c r="J3461" s="11"/>
    </row>
    <row r="3462" spans="1:10" x14ac:dyDescent="0.25">
      <c r="A3462" s="2">
        <v>44000</v>
      </c>
      <c r="B3462" s="3">
        <v>469</v>
      </c>
      <c r="C3462" s="4">
        <v>220430</v>
      </c>
      <c r="D3462" s="3">
        <v>773</v>
      </c>
      <c r="E3462" s="4">
        <v>225716</v>
      </c>
      <c r="G3462" s="12">
        <f t="shared" ref="G3462:G3525" si="215">+YEAR(A3462)</f>
        <v>2020</v>
      </c>
      <c r="H3462" s="12">
        <f t="shared" ref="H3462:H3525" si="216">+MONTH(A3462)</f>
        <v>6</v>
      </c>
      <c r="I3462" s="11">
        <f t="shared" si="214"/>
        <v>114</v>
      </c>
      <c r="J3462" s="11"/>
    </row>
    <row r="3463" spans="1:10" x14ac:dyDescent="0.25">
      <c r="A3463" s="2">
        <v>44001</v>
      </c>
      <c r="B3463" s="3">
        <v>408</v>
      </c>
      <c r="C3463" s="4">
        <v>191760</v>
      </c>
      <c r="D3463" s="3">
        <v>689</v>
      </c>
      <c r="E3463" s="4">
        <v>201188</v>
      </c>
      <c r="G3463" s="12">
        <f t="shared" si="215"/>
        <v>2020</v>
      </c>
      <c r="H3463" s="12">
        <f t="shared" si="216"/>
        <v>6</v>
      </c>
      <c r="I3463" s="11">
        <f t="shared" ref="I3463:I3526" si="217">+H3463+(G3463-2011)*12</f>
        <v>114</v>
      </c>
      <c r="J3463" s="11"/>
    </row>
    <row r="3464" spans="1:10" x14ac:dyDescent="0.25">
      <c r="A3464" s="2">
        <v>44002</v>
      </c>
      <c r="B3464" s="3">
        <v>483</v>
      </c>
      <c r="C3464" s="4">
        <v>227010</v>
      </c>
      <c r="D3464" s="3">
        <v>714</v>
      </c>
      <c r="E3464" s="4">
        <v>208488</v>
      </c>
      <c r="G3464" s="12">
        <f t="shared" si="215"/>
        <v>2020</v>
      </c>
      <c r="H3464" s="12">
        <f t="shared" si="216"/>
        <v>6</v>
      </c>
      <c r="I3464" s="11">
        <f t="shared" si="217"/>
        <v>114</v>
      </c>
      <c r="J3464" s="11"/>
    </row>
    <row r="3465" spans="1:10" x14ac:dyDescent="0.25">
      <c r="A3465" s="2">
        <v>44003</v>
      </c>
      <c r="B3465" s="3">
        <v>559</v>
      </c>
      <c r="C3465" s="4">
        <v>262730</v>
      </c>
      <c r="D3465" s="3">
        <v>862</v>
      </c>
      <c r="E3465" s="4">
        <v>251704</v>
      </c>
      <c r="G3465" s="12">
        <f t="shared" si="215"/>
        <v>2020</v>
      </c>
      <c r="H3465" s="12">
        <f t="shared" si="216"/>
        <v>6</v>
      </c>
      <c r="I3465" s="11">
        <f t="shared" si="217"/>
        <v>114</v>
      </c>
      <c r="J3465" s="11"/>
    </row>
    <row r="3466" spans="1:10" x14ac:dyDescent="0.25">
      <c r="A3466" s="2">
        <v>44004</v>
      </c>
      <c r="B3466" s="3">
        <v>474</v>
      </c>
      <c r="C3466" s="4">
        <v>222780</v>
      </c>
      <c r="D3466" s="3">
        <v>621</v>
      </c>
      <c r="E3466" s="4">
        <v>181332</v>
      </c>
      <c r="G3466" s="12">
        <f t="shared" si="215"/>
        <v>2020</v>
      </c>
      <c r="H3466" s="12">
        <f t="shared" si="216"/>
        <v>6</v>
      </c>
      <c r="I3466" s="11">
        <f t="shared" si="217"/>
        <v>114</v>
      </c>
      <c r="J3466" s="11"/>
    </row>
    <row r="3467" spans="1:10" x14ac:dyDescent="0.25">
      <c r="A3467" s="2">
        <v>44005</v>
      </c>
      <c r="B3467" s="3">
        <v>514</v>
      </c>
      <c r="C3467" s="4">
        <v>241580</v>
      </c>
      <c r="D3467" s="3">
        <v>750</v>
      </c>
      <c r="E3467" s="4">
        <v>219000</v>
      </c>
      <c r="G3467" s="12">
        <f t="shared" si="215"/>
        <v>2020</v>
      </c>
      <c r="H3467" s="12">
        <f t="shared" si="216"/>
        <v>6</v>
      </c>
      <c r="I3467" s="11">
        <f t="shared" si="217"/>
        <v>114</v>
      </c>
      <c r="J3467" s="11"/>
    </row>
    <row r="3468" spans="1:10" x14ac:dyDescent="0.25">
      <c r="A3468" s="2">
        <v>44006</v>
      </c>
      <c r="B3468" s="3">
        <v>538</v>
      </c>
      <c r="C3468" s="4">
        <v>252860</v>
      </c>
      <c r="D3468" s="3">
        <v>724</v>
      </c>
      <c r="E3468" s="4">
        <v>211408</v>
      </c>
      <c r="G3468" s="12">
        <f t="shared" si="215"/>
        <v>2020</v>
      </c>
      <c r="H3468" s="12">
        <f t="shared" si="216"/>
        <v>6</v>
      </c>
      <c r="I3468" s="11">
        <f t="shared" si="217"/>
        <v>114</v>
      </c>
      <c r="J3468" s="11"/>
    </row>
    <row r="3469" spans="1:10" x14ac:dyDescent="0.25">
      <c r="A3469" s="2">
        <v>44007</v>
      </c>
      <c r="B3469" s="3">
        <v>500</v>
      </c>
      <c r="C3469" s="4">
        <v>235000</v>
      </c>
      <c r="D3469" s="3">
        <v>567</v>
      </c>
      <c r="E3469" s="4">
        <v>165564</v>
      </c>
      <c r="G3469" s="12">
        <f t="shared" si="215"/>
        <v>2020</v>
      </c>
      <c r="H3469" s="12">
        <f t="shared" si="216"/>
        <v>6</v>
      </c>
      <c r="I3469" s="11">
        <f t="shared" si="217"/>
        <v>114</v>
      </c>
      <c r="J3469" s="11"/>
    </row>
    <row r="3470" spans="1:10" x14ac:dyDescent="0.25">
      <c r="A3470" s="2">
        <v>44008</v>
      </c>
      <c r="B3470" s="3">
        <v>448</v>
      </c>
      <c r="C3470" s="4">
        <v>210560</v>
      </c>
      <c r="D3470" s="3">
        <v>765</v>
      </c>
      <c r="E3470" s="4">
        <v>223380</v>
      </c>
      <c r="G3470" s="12">
        <f t="shared" si="215"/>
        <v>2020</v>
      </c>
      <c r="H3470" s="12">
        <f t="shared" si="216"/>
        <v>6</v>
      </c>
      <c r="I3470" s="11">
        <f t="shared" si="217"/>
        <v>114</v>
      </c>
      <c r="J3470" s="11"/>
    </row>
    <row r="3471" spans="1:10" x14ac:dyDescent="0.25">
      <c r="A3471" s="2">
        <v>44009</v>
      </c>
      <c r="B3471" s="3">
        <v>468</v>
      </c>
      <c r="C3471" s="4">
        <v>219960</v>
      </c>
      <c r="D3471" s="3">
        <v>696</v>
      </c>
      <c r="E3471" s="4">
        <v>203232</v>
      </c>
      <c r="G3471" s="12">
        <f t="shared" si="215"/>
        <v>2020</v>
      </c>
      <c r="H3471" s="12">
        <f t="shared" si="216"/>
        <v>6</v>
      </c>
      <c r="I3471" s="11">
        <f t="shared" si="217"/>
        <v>114</v>
      </c>
      <c r="J3471" s="11"/>
    </row>
    <row r="3472" spans="1:10" x14ac:dyDescent="0.25">
      <c r="A3472" s="2">
        <v>44010</v>
      </c>
      <c r="B3472" s="3">
        <v>392</v>
      </c>
      <c r="C3472" s="4">
        <v>184240</v>
      </c>
      <c r="D3472" s="3">
        <v>683</v>
      </c>
      <c r="E3472" s="4">
        <v>199436</v>
      </c>
      <c r="G3472" s="12">
        <f t="shared" si="215"/>
        <v>2020</v>
      </c>
      <c r="H3472" s="12">
        <f t="shared" si="216"/>
        <v>6</v>
      </c>
      <c r="I3472" s="11">
        <f t="shared" si="217"/>
        <v>114</v>
      </c>
      <c r="J3472" s="11"/>
    </row>
    <row r="3473" spans="1:10" x14ac:dyDescent="0.25">
      <c r="A3473" s="2">
        <v>44011</v>
      </c>
      <c r="B3473" s="3">
        <v>515</v>
      </c>
      <c r="C3473" s="4">
        <v>242050</v>
      </c>
      <c r="D3473" s="3">
        <v>532</v>
      </c>
      <c r="E3473" s="4">
        <v>155344</v>
      </c>
      <c r="G3473" s="12">
        <f t="shared" si="215"/>
        <v>2020</v>
      </c>
      <c r="H3473" s="12">
        <f t="shared" si="216"/>
        <v>6</v>
      </c>
      <c r="I3473" s="11">
        <f t="shared" si="217"/>
        <v>114</v>
      </c>
      <c r="J3473" s="11"/>
    </row>
    <row r="3474" spans="1:10" x14ac:dyDescent="0.25">
      <c r="A3474" s="2">
        <v>44012</v>
      </c>
      <c r="B3474" s="3">
        <v>490</v>
      </c>
      <c r="C3474" s="4">
        <v>230300</v>
      </c>
      <c r="D3474" s="3">
        <v>771</v>
      </c>
      <c r="E3474" s="4">
        <v>225132</v>
      </c>
      <c r="G3474" s="12">
        <f t="shared" si="215"/>
        <v>2020</v>
      </c>
      <c r="H3474" s="12">
        <f t="shared" si="216"/>
        <v>6</v>
      </c>
      <c r="I3474" s="11">
        <f t="shared" si="217"/>
        <v>114</v>
      </c>
      <c r="J3474" s="11"/>
    </row>
    <row r="3475" spans="1:10" x14ac:dyDescent="0.25">
      <c r="A3475" s="2">
        <v>44013</v>
      </c>
      <c r="B3475" s="3">
        <v>563</v>
      </c>
      <c r="C3475" s="4">
        <v>264610</v>
      </c>
      <c r="D3475" s="3">
        <v>265</v>
      </c>
      <c r="E3475" s="4">
        <v>193450</v>
      </c>
      <c r="G3475" s="12">
        <f t="shared" si="215"/>
        <v>2020</v>
      </c>
      <c r="H3475" s="12">
        <f t="shared" si="216"/>
        <v>7</v>
      </c>
      <c r="I3475" s="11">
        <f t="shared" si="217"/>
        <v>115</v>
      </c>
      <c r="J3475" s="11"/>
    </row>
    <row r="3476" spans="1:10" x14ac:dyDescent="0.25">
      <c r="A3476" s="2">
        <v>44014</v>
      </c>
      <c r="B3476" s="3">
        <v>476</v>
      </c>
      <c r="C3476" s="4">
        <v>223720</v>
      </c>
      <c r="D3476" s="3">
        <v>270</v>
      </c>
      <c r="E3476" s="4">
        <v>197100</v>
      </c>
      <c r="G3476" s="12">
        <f t="shared" si="215"/>
        <v>2020</v>
      </c>
      <c r="H3476" s="12">
        <f t="shared" si="216"/>
        <v>7</v>
      </c>
      <c r="I3476" s="11">
        <f t="shared" si="217"/>
        <v>115</v>
      </c>
      <c r="J3476" s="11"/>
    </row>
    <row r="3477" spans="1:10" x14ac:dyDescent="0.25">
      <c r="A3477" s="2">
        <v>44015</v>
      </c>
      <c r="B3477" s="3">
        <v>529</v>
      </c>
      <c r="C3477" s="4">
        <v>248630</v>
      </c>
      <c r="D3477" s="3">
        <v>298</v>
      </c>
      <c r="E3477" s="4">
        <v>217540</v>
      </c>
      <c r="G3477" s="12">
        <f t="shared" si="215"/>
        <v>2020</v>
      </c>
      <c r="H3477" s="12">
        <f t="shared" si="216"/>
        <v>7</v>
      </c>
      <c r="I3477" s="11">
        <f t="shared" si="217"/>
        <v>115</v>
      </c>
      <c r="J3477" s="11"/>
    </row>
    <row r="3478" spans="1:10" x14ac:dyDescent="0.25">
      <c r="A3478" s="2">
        <v>44016</v>
      </c>
      <c r="B3478" s="3">
        <v>481</v>
      </c>
      <c r="C3478" s="4">
        <v>226070</v>
      </c>
      <c r="D3478" s="3">
        <v>317</v>
      </c>
      <c r="E3478" s="4">
        <v>231410</v>
      </c>
      <c r="G3478" s="12">
        <f t="shared" si="215"/>
        <v>2020</v>
      </c>
      <c r="H3478" s="12">
        <f t="shared" si="216"/>
        <v>7</v>
      </c>
      <c r="I3478" s="11">
        <f t="shared" si="217"/>
        <v>115</v>
      </c>
      <c r="J3478" s="11"/>
    </row>
    <row r="3479" spans="1:10" x14ac:dyDescent="0.25">
      <c r="A3479" s="2">
        <v>44017</v>
      </c>
      <c r="B3479" s="3">
        <v>442</v>
      </c>
      <c r="C3479" s="4">
        <v>207740</v>
      </c>
      <c r="D3479" s="3">
        <v>297</v>
      </c>
      <c r="E3479" s="4">
        <v>216810</v>
      </c>
      <c r="G3479" s="12">
        <f t="shared" si="215"/>
        <v>2020</v>
      </c>
      <c r="H3479" s="12">
        <f t="shared" si="216"/>
        <v>7</v>
      </c>
      <c r="I3479" s="11">
        <f t="shared" si="217"/>
        <v>115</v>
      </c>
      <c r="J3479" s="11"/>
    </row>
    <row r="3480" spans="1:10" x14ac:dyDescent="0.25">
      <c r="A3480" s="2">
        <v>44018</v>
      </c>
      <c r="B3480" s="3">
        <v>425</v>
      </c>
      <c r="C3480" s="4">
        <v>199750</v>
      </c>
      <c r="D3480" s="3">
        <v>279</v>
      </c>
      <c r="E3480" s="4">
        <v>203670</v>
      </c>
      <c r="G3480" s="12">
        <f t="shared" si="215"/>
        <v>2020</v>
      </c>
      <c r="H3480" s="12">
        <f t="shared" si="216"/>
        <v>7</v>
      </c>
      <c r="I3480" s="11">
        <f t="shared" si="217"/>
        <v>115</v>
      </c>
      <c r="J3480" s="11"/>
    </row>
    <row r="3481" spans="1:10" x14ac:dyDescent="0.25">
      <c r="A3481" s="2">
        <v>44019</v>
      </c>
      <c r="B3481" s="3">
        <v>436</v>
      </c>
      <c r="C3481" s="4">
        <v>204920</v>
      </c>
      <c r="D3481" s="3">
        <v>346</v>
      </c>
      <c r="E3481" s="4">
        <v>252580</v>
      </c>
      <c r="G3481" s="12">
        <f t="shared" si="215"/>
        <v>2020</v>
      </c>
      <c r="H3481" s="12">
        <f t="shared" si="216"/>
        <v>7</v>
      </c>
      <c r="I3481" s="11">
        <f t="shared" si="217"/>
        <v>115</v>
      </c>
      <c r="J3481" s="11"/>
    </row>
    <row r="3482" spans="1:10" x14ac:dyDescent="0.25">
      <c r="A3482" s="2">
        <v>44020</v>
      </c>
      <c r="B3482" s="3">
        <v>444</v>
      </c>
      <c r="C3482" s="4">
        <v>208680</v>
      </c>
      <c r="D3482" s="3">
        <v>316</v>
      </c>
      <c r="E3482" s="4">
        <v>230680</v>
      </c>
      <c r="G3482" s="12">
        <f t="shared" si="215"/>
        <v>2020</v>
      </c>
      <c r="H3482" s="12">
        <f t="shared" si="216"/>
        <v>7</v>
      </c>
      <c r="I3482" s="11">
        <f t="shared" si="217"/>
        <v>115</v>
      </c>
      <c r="J3482" s="11"/>
    </row>
    <row r="3483" spans="1:10" x14ac:dyDescent="0.25">
      <c r="A3483" s="2">
        <v>44021</v>
      </c>
      <c r="B3483" s="3">
        <v>478</v>
      </c>
      <c r="C3483" s="4">
        <v>224660</v>
      </c>
      <c r="D3483" s="3">
        <v>270</v>
      </c>
      <c r="E3483" s="4">
        <v>197100</v>
      </c>
      <c r="G3483" s="12">
        <f t="shared" si="215"/>
        <v>2020</v>
      </c>
      <c r="H3483" s="12">
        <f t="shared" si="216"/>
        <v>7</v>
      </c>
      <c r="I3483" s="11">
        <f t="shared" si="217"/>
        <v>115</v>
      </c>
      <c r="J3483" s="11"/>
    </row>
    <row r="3484" spans="1:10" x14ac:dyDescent="0.25">
      <c r="A3484" s="2">
        <v>44022</v>
      </c>
      <c r="B3484" s="3">
        <v>465</v>
      </c>
      <c r="C3484" s="4">
        <v>218550</v>
      </c>
      <c r="D3484" s="3">
        <v>307</v>
      </c>
      <c r="E3484" s="4">
        <v>224110</v>
      </c>
      <c r="G3484" s="12">
        <f t="shared" si="215"/>
        <v>2020</v>
      </c>
      <c r="H3484" s="12">
        <f t="shared" si="216"/>
        <v>7</v>
      </c>
      <c r="I3484" s="11">
        <f t="shared" si="217"/>
        <v>115</v>
      </c>
      <c r="J3484" s="11"/>
    </row>
    <row r="3485" spans="1:10" x14ac:dyDescent="0.25">
      <c r="A3485" s="2">
        <v>44023</v>
      </c>
      <c r="B3485" s="3">
        <v>534</v>
      </c>
      <c r="C3485" s="4">
        <v>250980</v>
      </c>
      <c r="D3485" s="3">
        <v>355</v>
      </c>
      <c r="E3485" s="4">
        <v>259150</v>
      </c>
      <c r="G3485" s="12">
        <f t="shared" si="215"/>
        <v>2020</v>
      </c>
      <c r="H3485" s="12">
        <f t="shared" si="216"/>
        <v>7</v>
      </c>
      <c r="I3485" s="11">
        <f t="shared" si="217"/>
        <v>115</v>
      </c>
      <c r="J3485" s="11"/>
    </row>
    <row r="3486" spans="1:10" x14ac:dyDescent="0.25">
      <c r="A3486" s="2">
        <v>44024</v>
      </c>
      <c r="B3486" s="3">
        <v>431</v>
      </c>
      <c r="C3486" s="4">
        <v>202570</v>
      </c>
      <c r="D3486" s="3">
        <v>275</v>
      </c>
      <c r="E3486" s="4">
        <v>200750</v>
      </c>
      <c r="G3486" s="12">
        <f t="shared" si="215"/>
        <v>2020</v>
      </c>
      <c r="H3486" s="12">
        <f t="shared" si="216"/>
        <v>7</v>
      </c>
      <c r="I3486" s="11">
        <f t="shared" si="217"/>
        <v>115</v>
      </c>
      <c r="J3486" s="11"/>
    </row>
    <row r="3487" spans="1:10" x14ac:dyDescent="0.25">
      <c r="A3487" s="2">
        <v>44025</v>
      </c>
      <c r="B3487" s="3">
        <v>461</v>
      </c>
      <c r="C3487" s="4">
        <v>216670</v>
      </c>
      <c r="D3487" s="3">
        <v>315</v>
      </c>
      <c r="E3487" s="4">
        <v>229950</v>
      </c>
      <c r="G3487" s="12">
        <f t="shared" si="215"/>
        <v>2020</v>
      </c>
      <c r="H3487" s="12">
        <f t="shared" si="216"/>
        <v>7</v>
      </c>
      <c r="I3487" s="11">
        <f t="shared" si="217"/>
        <v>115</v>
      </c>
      <c r="J3487" s="11"/>
    </row>
    <row r="3488" spans="1:10" x14ac:dyDescent="0.25">
      <c r="A3488" s="2">
        <v>44026</v>
      </c>
      <c r="B3488" s="3">
        <v>467</v>
      </c>
      <c r="C3488" s="4">
        <v>219490</v>
      </c>
      <c r="D3488" s="3">
        <v>282</v>
      </c>
      <c r="E3488" s="4">
        <v>205860</v>
      </c>
      <c r="G3488" s="12">
        <f t="shared" si="215"/>
        <v>2020</v>
      </c>
      <c r="H3488" s="12">
        <f t="shared" si="216"/>
        <v>7</v>
      </c>
      <c r="I3488" s="11">
        <f t="shared" si="217"/>
        <v>115</v>
      </c>
      <c r="J3488" s="11"/>
    </row>
    <row r="3489" spans="1:10" x14ac:dyDescent="0.25">
      <c r="A3489" s="2">
        <v>44027</v>
      </c>
      <c r="B3489" s="3">
        <v>458</v>
      </c>
      <c r="C3489" s="4">
        <v>215260</v>
      </c>
      <c r="D3489" s="3">
        <v>326</v>
      </c>
      <c r="E3489" s="4">
        <v>237980</v>
      </c>
      <c r="G3489" s="12">
        <f t="shared" si="215"/>
        <v>2020</v>
      </c>
      <c r="H3489" s="12">
        <f t="shared" si="216"/>
        <v>7</v>
      </c>
      <c r="I3489" s="11">
        <f t="shared" si="217"/>
        <v>115</v>
      </c>
      <c r="J3489" s="11"/>
    </row>
    <row r="3490" spans="1:10" x14ac:dyDescent="0.25">
      <c r="A3490" s="2">
        <v>44028</v>
      </c>
      <c r="B3490" s="3">
        <v>532</v>
      </c>
      <c r="C3490" s="4">
        <v>250040</v>
      </c>
      <c r="D3490" s="3">
        <v>314</v>
      </c>
      <c r="E3490" s="4">
        <v>229220</v>
      </c>
      <c r="G3490" s="12">
        <f t="shared" si="215"/>
        <v>2020</v>
      </c>
      <c r="H3490" s="12">
        <f t="shared" si="216"/>
        <v>7</v>
      </c>
      <c r="I3490" s="11">
        <f t="shared" si="217"/>
        <v>115</v>
      </c>
      <c r="J3490" s="11"/>
    </row>
    <row r="3491" spans="1:10" x14ac:dyDescent="0.25">
      <c r="A3491" s="2">
        <v>44029</v>
      </c>
      <c r="B3491" s="3">
        <v>420</v>
      </c>
      <c r="C3491" s="4">
        <v>197400</v>
      </c>
      <c r="D3491" s="3">
        <v>336</v>
      </c>
      <c r="E3491" s="4">
        <v>245280</v>
      </c>
      <c r="G3491" s="12">
        <f t="shared" si="215"/>
        <v>2020</v>
      </c>
      <c r="H3491" s="12">
        <f t="shared" si="216"/>
        <v>7</v>
      </c>
      <c r="I3491" s="11">
        <f t="shared" si="217"/>
        <v>115</v>
      </c>
      <c r="J3491" s="11"/>
    </row>
    <row r="3492" spans="1:10" x14ac:dyDescent="0.25">
      <c r="A3492" s="2">
        <v>44030</v>
      </c>
      <c r="B3492" s="3">
        <v>515</v>
      </c>
      <c r="C3492" s="4">
        <v>242050</v>
      </c>
      <c r="D3492" s="3">
        <v>301</v>
      </c>
      <c r="E3492" s="4">
        <v>219730</v>
      </c>
      <c r="G3492" s="12">
        <f t="shared" si="215"/>
        <v>2020</v>
      </c>
      <c r="H3492" s="12">
        <f t="shared" si="216"/>
        <v>7</v>
      </c>
      <c r="I3492" s="11">
        <f t="shared" si="217"/>
        <v>115</v>
      </c>
      <c r="J3492" s="11"/>
    </row>
    <row r="3493" spans="1:10" x14ac:dyDescent="0.25">
      <c r="A3493" s="2">
        <v>44031</v>
      </c>
      <c r="B3493" s="3">
        <v>408</v>
      </c>
      <c r="C3493" s="4">
        <v>191760</v>
      </c>
      <c r="D3493" s="3">
        <v>325</v>
      </c>
      <c r="E3493" s="4">
        <v>237250</v>
      </c>
      <c r="G3493" s="12">
        <f t="shared" si="215"/>
        <v>2020</v>
      </c>
      <c r="H3493" s="12">
        <f t="shared" si="216"/>
        <v>7</v>
      </c>
      <c r="I3493" s="11">
        <f t="shared" si="217"/>
        <v>115</v>
      </c>
      <c r="J3493" s="11"/>
    </row>
    <row r="3494" spans="1:10" x14ac:dyDescent="0.25">
      <c r="A3494" s="2">
        <v>44032</v>
      </c>
      <c r="B3494" s="3">
        <v>447</v>
      </c>
      <c r="C3494" s="4">
        <v>210090</v>
      </c>
      <c r="D3494" s="3">
        <v>343</v>
      </c>
      <c r="E3494" s="4">
        <v>250390</v>
      </c>
      <c r="G3494" s="12">
        <f t="shared" si="215"/>
        <v>2020</v>
      </c>
      <c r="H3494" s="12">
        <f t="shared" si="216"/>
        <v>7</v>
      </c>
      <c r="I3494" s="11">
        <f t="shared" si="217"/>
        <v>115</v>
      </c>
      <c r="J3494" s="11"/>
    </row>
    <row r="3495" spans="1:10" x14ac:dyDescent="0.25">
      <c r="A3495" s="2">
        <v>44033</v>
      </c>
      <c r="B3495" s="3">
        <v>411</v>
      </c>
      <c r="C3495" s="4">
        <v>193170</v>
      </c>
      <c r="D3495" s="3">
        <v>351</v>
      </c>
      <c r="E3495" s="4">
        <v>256230</v>
      </c>
      <c r="G3495" s="12">
        <f t="shared" si="215"/>
        <v>2020</v>
      </c>
      <c r="H3495" s="12">
        <f t="shared" si="216"/>
        <v>7</v>
      </c>
      <c r="I3495" s="11">
        <f t="shared" si="217"/>
        <v>115</v>
      </c>
      <c r="J3495" s="11"/>
    </row>
    <row r="3496" spans="1:10" x14ac:dyDescent="0.25">
      <c r="A3496" s="2">
        <v>44034</v>
      </c>
      <c r="B3496" s="3">
        <v>412</v>
      </c>
      <c r="C3496" s="4">
        <v>193640</v>
      </c>
      <c r="D3496" s="3">
        <v>291</v>
      </c>
      <c r="E3496" s="4">
        <v>212430</v>
      </c>
      <c r="G3496" s="12">
        <f t="shared" si="215"/>
        <v>2020</v>
      </c>
      <c r="H3496" s="12">
        <f t="shared" si="216"/>
        <v>7</v>
      </c>
      <c r="I3496" s="11">
        <f t="shared" si="217"/>
        <v>115</v>
      </c>
      <c r="J3496" s="11"/>
    </row>
    <row r="3497" spans="1:10" x14ac:dyDescent="0.25">
      <c r="A3497" s="2">
        <v>44035</v>
      </c>
      <c r="B3497" s="3">
        <v>413</v>
      </c>
      <c r="C3497" s="4">
        <v>194110</v>
      </c>
      <c r="D3497" s="3">
        <v>287</v>
      </c>
      <c r="E3497" s="4">
        <v>209510</v>
      </c>
      <c r="G3497" s="12">
        <f t="shared" si="215"/>
        <v>2020</v>
      </c>
      <c r="H3497" s="12">
        <f t="shared" si="216"/>
        <v>7</v>
      </c>
      <c r="I3497" s="11">
        <f t="shared" si="217"/>
        <v>115</v>
      </c>
      <c r="J3497" s="11"/>
    </row>
    <row r="3498" spans="1:10" x14ac:dyDescent="0.25">
      <c r="A3498" s="2">
        <v>44036</v>
      </c>
      <c r="B3498" s="3">
        <v>471</v>
      </c>
      <c r="C3498" s="4">
        <v>221370</v>
      </c>
      <c r="D3498" s="3">
        <v>257</v>
      </c>
      <c r="E3498" s="4">
        <v>187610</v>
      </c>
      <c r="G3498" s="12">
        <f t="shared" si="215"/>
        <v>2020</v>
      </c>
      <c r="H3498" s="12">
        <f t="shared" si="216"/>
        <v>7</v>
      </c>
      <c r="I3498" s="11">
        <f t="shared" si="217"/>
        <v>115</v>
      </c>
      <c r="J3498" s="11"/>
    </row>
    <row r="3499" spans="1:10" x14ac:dyDescent="0.25">
      <c r="A3499" s="2">
        <v>44037</v>
      </c>
      <c r="B3499" s="3">
        <v>452</v>
      </c>
      <c r="C3499" s="4">
        <v>212440</v>
      </c>
      <c r="D3499" s="3">
        <v>260</v>
      </c>
      <c r="E3499" s="4">
        <v>189800</v>
      </c>
      <c r="G3499" s="12">
        <f t="shared" si="215"/>
        <v>2020</v>
      </c>
      <c r="H3499" s="12">
        <f t="shared" si="216"/>
        <v>7</v>
      </c>
      <c r="I3499" s="11">
        <f t="shared" si="217"/>
        <v>115</v>
      </c>
      <c r="J3499" s="11"/>
    </row>
    <row r="3500" spans="1:10" x14ac:dyDescent="0.25">
      <c r="A3500" s="2">
        <v>44038</v>
      </c>
      <c r="B3500" s="3">
        <v>509</v>
      </c>
      <c r="C3500" s="4">
        <v>239230</v>
      </c>
      <c r="D3500" s="3">
        <v>296</v>
      </c>
      <c r="E3500" s="4">
        <v>216080</v>
      </c>
      <c r="G3500" s="12">
        <f t="shared" si="215"/>
        <v>2020</v>
      </c>
      <c r="H3500" s="12">
        <f t="shared" si="216"/>
        <v>7</v>
      </c>
      <c r="I3500" s="11">
        <f t="shared" si="217"/>
        <v>115</v>
      </c>
      <c r="J3500" s="11"/>
    </row>
    <row r="3501" spans="1:10" x14ac:dyDescent="0.25">
      <c r="A3501" s="2">
        <v>44039</v>
      </c>
      <c r="B3501" s="3">
        <v>451</v>
      </c>
      <c r="C3501" s="4">
        <v>211970</v>
      </c>
      <c r="D3501" s="3">
        <v>347</v>
      </c>
      <c r="E3501" s="4">
        <v>253310</v>
      </c>
      <c r="G3501" s="12">
        <f t="shared" si="215"/>
        <v>2020</v>
      </c>
      <c r="H3501" s="12">
        <f t="shared" si="216"/>
        <v>7</v>
      </c>
      <c r="I3501" s="11">
        <f t="shared" si="217"/>
        <v>115</v>
      </c>
      <c r="J3501" s="11"/>
    </row>
    <row r="3502" spans="1:10" x14ac:dyDescent="0.25">
      <c r="A3502" s="2">
        <v>44040</v>
      </c>
      <c r="B3502" s="3">
        <v>518</v>
      </c>
      <c r="C3502" s="4">
        <v>243460</v>
      </c>
      <c r="D3502" s="3">
        <v>324</v>
      </c>
      <c r="E3502" s="4">
        <v>236520</v>
      </c>
      <c r="G3502" s="12">
        <f t="shared" si="215"/>
        <v>2020</v>
      </c>
      <c r="H3502" s="12">
        <f t="shared" si="216"/>
        <v>7</v>
      </c>
      <c r="I3502" s="11">
        <f t="shared" si="217"/>
        <v>115</v>
      </c>
      <c r="J3502" s="11"/>
    </row>
    <row r="3503" spans="1:10" x14ac:dyDescent="0.25">
      <c r="A3503" s="2">
        <v>44041</v>
      </c>
      <c r="B3503" s="3">
        <v>460</v>
      </c>
      <c r="C3503" s="4">
        <v>216200</v>
      </c>
      <c r="D3503" s="3">
        <v>313</v>
      </c>
      <c r="E3503" s="4">
        <v>228490</v>
      </c>
      <c r="G3503" s="12">
        <f t="shared" si="215"/>
        <v>2020</v>
      </c>
      <c r="H3503" s="12">
        <f t="shared" si="216"/>
        <v>7</v>
      </c>
      <c r="I3503" s="11">
        <f t="shared" si="217"/>
        <v>115</v>
      </c>
      <c r="J3503" s="11"/>
    </row>
    <row r="3504" spans="1:10" x14ac:dyDescent="0.25">
      <c r="A3504" s="2">
        <v>44042</v>
      </c>
      <c r="B3504" s="3">
        <v>471</v>
      </c>
      <c r="C3504" s="4">
        <v>221370</v>
      </c>
      <c r="D3504" s="3">
        <v>292</v>
      </c>
      <c r="E3504" s="4">
        <v>213160</v>
      </c>
      <c r="G3504" s="12">
        <f t="shared" si="215"/>
        <v>2020</v>
      </c>
      <c r="H3504" s="12">
        <f t="shared" si="216"/>
        <v>7</v>
      </c>
      <c r="I3504" s="11">
        <f t="shared" si="217"/>
        <v>115</v>
      </c>
      <c r="J3504" s="11"/>
    </row>
    <row r="3505" spans="1:10" x14ac:dyDescent="0.25">
      <c r="A3505" s="2">
        <v>44043</v>
      </c>
      <c r="B3505" s="3">
        <v>501</v>
      </c>
      <c r="C3505" s="4">
        <v>235470</v>
      </c>
      <c r="D3505" s="3">
        <v>319</v>
      </c>
      <c r="E3505" s="4">
        <v>232870</v>
      </c>
      <c r="G3505" s="12">
        <f t="shared" si="215"/>
        <v>2020</v>
      </c>
      <c r="H3505" s="12">
        <f t="shared" si="216"/>
        <v>7</v>
      </c>
      <c r="I3505" s="11">
        <f t="shared" si="217"/>
        <v>115</v>
      </c>
      <c r="J3505" s="11"/>
    </row>
    <row r="3506" spans="1:10" x14ac:dyDescent="0.25">
      <c r="A3506" s="2">
        <v>44044</v>
      </c>
      <c r="B3506" s="3">
        <v>778</v>
      </c>
      <c r="C3506" s="4">
        <v>365660</v>
      </c>
      <c r="D3506" s="3">
        <v>284</v>
      </c>
      <c r="E3506" s="4">
        <v>207320</v>
      </c>
      <c r="G3506" s="12">
        <f t="shared" si="215"/>
        <v>2020</v>
      </c>
      <c r="H3506" s="12">
        <f t="shared" si="216"/>
        <v>8</v>
      </c>
      <c r="I3506" s="11">
        <f t="shared" si="217"/>
        <v>116</v>
      </c>
      <c r="J3506" s="11"/>
    </row>
    <row r="3507" spans="1:10" x14ac:dyDescent="0.25">
      <c r="A3507" s="2">
        <v>44045</v>
      </c>
      <c r="B3507" s="3">
        <v>819</v>
      </c>
      <c r="C3507" s="4">
        <v>384930</v>
      </c>
      <c r="D3507" s="3">
        <v>309</v>
      </c>
      <c r="E3507" s="4">
        <v>225570</v>
      </c>
      <c r="G3507" s="12">
        <f t="shared" si="215"/>
        <v>2020</v>
      </c>
      <c r="H3507" s="12">
        <f t="shared" si="216"/>
        <v>8</v>
      </c>
      <c r="I3507" s="11">
        <f t="shared" si="217"/>
        <v>116</v>
      </c>
      <c r="J3507" s="11"/>
    </row>
    <row r="3508" spans="1:10" x14ac:dyDescent="0.25">
      <c r="A3508" s="2">
        <v>44046</v>
      </c>
      <c r="B3508" s="3">
        <v>650</v>
      </c>
      <c r="C3508" s="4">
        <v>305500</v>
      </c>
      <c r="D3508" s="3">
        <v>231</v>
      </c>
      <c r="E3508" s="4">
        <v>168630</v>
      </c>
      <c r="G3508" s="12">
        <f t="shared" si="215"/>
        <v>2020</v>
      </c>
      <c r="H3508" s="12">
        <f t="shared" si="216"/>
        <v>8</v>
      </c>
      <c r="I3508" s="11">
        <f t="shared" si="217"/>
        <v>116</v>
      </c>
      <c r="J3508" s="11"/>
    </row>
    <row r="3509" spans="1:10" x14ac:dyDescent="0.25">
      <c r="A3509" s="2">
        <v>44047</v>
      </c>
      <c r="B3509" s="3">
        <v>713</v>
      </c>
      <c r="C3509" s="4">
        <v>335110</v>
      </c>
      <c r="D3509" s="3">
        <v>297</v>
      </c>
      <c r="E3509" s="4">
        <v>216810</v>
      </c>
      <c r="G3509" s="12">
        <f t="shared" si="215"/>
        <v>2020</v>
      </c>
      <c r="H3509" s="12">
        <f t="shared" si="216"/>
        <v>8</v>
      </c>
      <c r="I3509" s="11">
        <f t="shared" si="217"/>
        <v>116</v>
      </c>
      <c r="J3509" s="11"/>
    </row>
    <row r="3510" spans="1:10" x14ac:dyDescent="0.25">
      <c r="A3510" s="2">
        <v>44048</v>
      </c>
      <c r="B3510" s="3">
        <v>575</v>
      </c>
      <c r="C3510" s="4">
        <v>270250</v>
      </c>
      <c r="D3510" s="3">
        <v>254</v>
      </c>
      <c r="E3510" s="4">
        <v>185420</v>
      </c>
      <c r="G3510" s="12">
        <f t="shared" si="215"/>
        <v>2020</v>
      </c>
      <c r="H3510" s="12">
        <f t="shared" si="216"/>
        <v>8</v>
      </c>
      <c r="I3510" s="11">
        <f t="shared" si="217"/>
        <v>116</v>
      </c>
      <c r="J3510" s="11"/>
    </row>
    <row r="3511" spans="1:10" x14ac:dyDescent="0.25">
      <c r="A3511" s="2">
        <v>44049</v>
      </c>
      <c r="B3511" s="3">
        <v>678</v>
      </c>
      <c r="C3511" s="4">
        <v>318660</v>
      </c>
      <c r="D3511" s="3">
        <v>271</v>
      </c>
      <c r="E3511" s="4">
        <v>197830</v>
      </c>
      <c r="G3511" s="12">
        <f t="shared" si="215"/>
        <v>2020</v>
      </c>
      <c r="H3511" s="12">
        <f t="shared" si="216"/>
        <v>8</v>
      </c>
      <c r="I3511" s="11">
        <f t="shared" si="217"/>
        <v>116</v>
      </c>
      <c r="J3511" s="11"/>
    </row>
    <row r="3512" spans="1:10" x14ac:dyDescent="0.25">
      <c r="A3512" s="2">
        <v>44050</v>
      </c>
      <c r="B3512" s="3">
        <v>718</v>
      </c>
      <c r="C3512" s="4">
        <v>337460</v>
      </c>
      <c r="D3512" s="3">
        <v>292</v>
      </c>
      <c r="E3512" s="4">
        <v>213160</v>
      </c>
      <c r="G3512" s="12">
        <f t="shared" si="215"/>
        <v>2020</v>
      </c>
      <c r="H3512" s="12">
        <f t="shared" si="216"/>
        <v>8</v>
      </c>
      <c r="I3512" s="11">
        <f t="shared" si="217"/>
        <v>116</v>
      </c>
      <c r="J3512" s="11"/>
    </row>
    <row r="3513" spans="1:10" x14ac:dyDescent="0.25">
      <c r="A3513" s="2">
        <v>44051</v>
      </c>
      <c r="B3513" s="3">
        <v>772</v>
      </c>
      <c r="C3513" s="4">
        <v>362840</v>
      </c>
      <c r="D3513" s="3">
        <v>273</v>
      </c>
      <c r="E3513" s="4">
        <v>199290</v>
      </c>
      <c r="G3513" s="12">
        <f t="shared" si="215"/>
        <v>2020</v>
      </c>
      <c r="H3513" s="12">
        <f t="shared" si="216"/>
        <v>8</v>
      </c>
      <c r="I3513" s="11">
        <f t="shared" si="217"/>
        <v>116</v>
      </c>
      <c r="J3513" s="11"/>
    </row>
    <row r="3514" spans="1:10" x14ac:dyDescent="0.25">
      <c r="A3514" s="2">
        <v>44052</v>
      </c>
      <c r="B3514" s="3">
        <v>825</v>
      </c>
      <c r="C3514" s="4">
        <v>387750</v>
      </c>
      <c r="D3514" s="3">
        <v>290</v>
      </c>
      <c r="E3514" s="4">
        <v>211700</v>
      </c>
      <c r="G3514" s="12">
        <f t="shared" si="215"/>
        <v>2020</v>
      </c>
      <c r="H3514" s="12">
        <f t="shared" si="216"/>
        <v>8</v>
      </c>
      <c r="I3514" s="11">
        <f t="shared" si="217"/>
        <v>116</v>
      </c>
      <c r="J3514" s="11"/>
    </row>
    <row r="3515" spans="1:10" x14ac:dyDescent="0.25">
      <c r="A3515" s="2">
        <v>44053</v>
      </c>
      <c r="B3515" s="3">
        <v>778</v>
      </c>
      <c r="C3515" s="4">
        <v>365660</v>
      </c>
      <c r="D3515" s="3">
        <v>304</v>
      </c>
      <c r="E3515" s="4">
        <v>221920</v>
      </c>
      <c r="G3515" s="12">
        <f t="shared" si="215"/>
        <v>2020</v>
      </c>
      <c r="H3515" s="12">
        <f t="shared" si="216"/>
        <v>8</v>
      </c>
      <c r="I3515" s="11">
        <f t="shared" si="217"/>
        <v>116</v>
      </c>
      <c r="J3515" s="11"/>
    </row>
    <row r="3516" spans="1:10" x14ac:dyDescent="0.25">
      <c r="A3516" s="2">
        <v>44054</v>
      </c>
      <c r="B3516" s="3">
        <v>778</v>
      </c>
      <c r="C3516" s="4">
        <v>365660</v>
      </c>
      <c r="D3516" s="3">
        <v>282</v>
      </c>
      <c r="E3516" s="4">
        <v>205860</v>
      </c>
      <c r="G3516" s="12">
        <f t="shared" si="215"/>
        <v>2020</v>
      </c>
      <c r="H3516" s="12">
        <f t="shared" si="216"/>
        <v>8</v>
      </c>
      <c r="I3516" s="11">
        <f t="shared" si="217"/>
        <v>116</v>
      </c>
      <c r="J3516" s="11"/>
    </row>
    <row r="3517" spans="1:10" x14ac:dyDescent="0.25">
      <c r="A3517" s="2">
        <v>44055</v>
      </c>
      <c r="B3517" s="3">
        <v>649</v>
      </c>
      <c r="C3517" s="4">
        <v>305030</v>
      </c>
      <c r="D3517" s="3">
        <v>308</v>
      </c>
      <c r="E3517" s="4">
        <v>224840</v>
      </c>
      <c r="G3517" s="12">
        <f t="shared" si="215"/>
        <v>2020</v>
      </c>
      <c r="H3517" s="12">
        <f t="shared" si="216"/>
        <v>8</v>
      </c>
      <c r="I3517" s="11">
        <f t="shared" si="217"/>
        <v>116</v>
      </c>
      <c r="J3517" s="11"/>
    </row>
    <row r="3518" spans="1:10" x14ac:dyDescent="0.25">
      <c r="A3518" s="2">
        <v>44056</v>
      </c>
      <c r="B3518" s="3">
        <v>672</v>
      </c>
      <c r="C3518" s="4">
        <v>315840</v>
      </c>
      <c r="D3518" s="3">
        <v>262</v>
      </c>
      <c r="E3518" s="4">
        <v>191260</v>
      </c>
      <c r="G3518" s="12">
        <f t="shared" si="215"/>
        <v>2020</v>
      </c>
      <c r="H3518" s="12">
        <f t="shared" si="216"/>
        <v>8</v>
      </c>
      <c r="I3518" s="11">
        <f t="shared" si="217"/>
        <v>116</v>
      </c>
      <c r="J3518" s="11"/>
    </row>
    <row r="3519" spans="1:10" x14ac:dyDescent="0.25">
      <c r="A3519" s="2">
        <v>44057</v>
      </c>
      <c r="B3519" s="3">
        <v>719</v>
      </c>
      <c r="C3519" s="4">
        <v>337930</v>
      </c>
      <c r="D3519" s="3">
        <v>293</v>
      </c>
      <c r="E3519" s="4">
        <v>213890</v>
      </c>
      <c r="G3519" s="12">
        <f t="shared" si="215"/>
        <v>2020</v>
      </c>
      <c r="H3519" s="12">
        <f t="shared" si="216"/>
        <v>8</v>
      </c>
      <c r="I3519" s="11">
        <f t="shared" si="217"/>
        <v>116</v>
      </c>
      <c r="J3519" s="11"/>
    </row>
    <row r="3520" spans="1:10" x14ac:dyDescent="0.25">
      <c r="A3520" s="2">
        <v>44058</v>
      </c>
      <c r="B3520" s="3">
        <v>676</v>
      </c>
      <c r="C3520" s="4">
        <v>317720</v>
      </c>
      <c r="D3520" s="3">
        <v>306</v>
      </c>
      <c r="E3520" s="4">
        <v>223380</v>
      </c>
      <c r="G3520" s="12">
        <f t="shared" si="215"/>
        <v>2020</v>
      </c>
      <c r="H3520" s="12">
        <f t="shared" si="216"/>
        <v>8</v>
      </c>
      <c r="I3520" s="11">
        <f t="shared" si="217"/>
        <v>116</v>
      </c>
      <c r="J3520" s="11"/>
    </row>
    <row r="3521" spans="1:10" x14ac:dyDescent="0.25">
      <c r="A3521" s="2">
        <v>44059</v>
      </c>
      <c r="B3521" s="3">
        <v>832</v>
      </c>
      <c r="C3521" s="4">
        <v>391040</v>
      </c>
      <c r="D3521" s="3">
        <v>236</v>
      </c>
      <c r="E3521" s="4">
        <v>172280</v>
      </c>
      <c r="G3521" s="12">
        <f t="shared" si="215"/>
        <v>2020</v>
      </c>
      <c r="H3521" s="12">
        <f t="shared" si="216"/>
        <v>8</v>
      </c>
      <c r="I3521" s="11">
        <f t="shared" si="217"/>
        <v>116</v>
      </c>
      <c r="J3521" s="11"/>
    </row>
    <row r="3522" spans="1:10" x14ac:dyDescent="0.25">
      <c r="A3522" s="2">
        <v>44060</v>
      </c>
      <c r="B3522" s="3">
        <v>710</v>
      </c>
      <c r="C3522" s="4">
        <v>333700</v>
      </c>
      <c r="D3522" s="3">
        <v>281</v>
      </c>
      <c r="E3522" s="4">
        <v>205130</v>
      </c>
      <c r="G3522" s="12">
        <f t="shared" si="215"/>
        <v>2020</v>
      </c>
      <c r="H3522" s="12">
        <f t="shared" si="216"/>
        <v>8</v>
      </c>
      <c r="I3522" s="11">
        <f t="shared" si="217"/>
        <v>116</v>
      </c>
      <c r="J3522" s="11"/>
    </row>
    <row r="3523" spans="1:10" x14ac:dyDescent="0.25">
      <c r="A3523" s="2">
        <v>44061</v>
      </c>
      <c r="B3523" s="3">
        <v>692</v>
      </c>
      <c r="C3523" s="4">
        <v>325240</v>
      </c>
      <c r="D3523" s="3">
        <v>303</v>
      </c>
      <c r="E3523" s="4">
        <v>221190</v>
      </c>
      <c r="G3523" s="12">
        <f t="shared" si="215"/>
        <v>2020</v>
      </c>
      <c r="H3523" s="12">
        <f t="shared" si="216"/>
        <v>8</v>
      </c>
      <c r="I3523" s="11">
        <f t="shared" si="217"/>
        <v>116</v>
      </c>
      <c r="J3523" s="11"/>
    </row>
    <row r="3524" spans="1:10" x14ac:dyDescent="0.25">
      <c r="A3524" s="2">
        <v>44062</v>
      </c>
      <c r="B3524" s="3">
        <v>671</v>
      </c>
      <c r="C3524" s="4">
        <v>315370</v>
      </c>
      <c r="D3524" s="3">
        <v>342</v>
      </c>
      <c r="E3524" s="4">
        <v>249660</v>
      </c>
      <c r="G3524" s="12">
        <f t="shared" si="215"/>
        <v>2020</v>
      </c>
      <c r="H3524" s="12">
        <f t="shared" si="216"/>
        <v>8</v>
      </c>
      <c r="I3524" s="11">
        <f t="shared" si="217"/>
        <v>116</v>
      </c>
      <c r="J3524" s="11"/>
    </row>
    <row r="3525" spans="1:10" x14ac:dyDescent="0.25">
      <c r="A3525" s="2">
        <v>44063</v>
      </c>
      <c r="B3525" s="3">
        <v>733</v>
      </c>
      <c r="C3525" s="4">
        <v>344510</v>
      </c>
      <c r="D3525" s="3">
        <v>293</v>
      </c>
      <c r="E3525" s="4">
        <v>213890</v>
      </c>
      <c r="G3525" s="12">
        <f t="shared" si="215"/>
        <v>2020</v>
      </c>
      <c r="H3525" s="12">
        <f t="shared" si="216"/>
        <v>8</v>
      </c>
      <c r="I3525" s="11">
        <f t="shared" si="217"/>
        <v>116</v>
      </c>
      <c r="J3525" s="11"/>
    </row>
    <row r="3526" spans="1:10" x14ac:dyDescent="0.25">
      <c r="A3526" s="2">
        <v>44064</v>
      </c>
      <c r="B3526" s="3">
        <v>770</v>
      </c>
      <c r="C3526" s="4">
        <v>361900</v>
      </c>
      <c r="D3526" s="3">
        <v>347</v>
      </c>
      <c r="E3526" s="4">
        <v>253310</v>
      </c>
      <c r="G3526" s="12">
        <f t="shared" ref="G3526:G3589" si="218">+YEAR(A3526)</f>
        <v>2020</v>
      </c>
      <c r="H3526" s="12">
        <f t="shared" ref="H3526:H3589" si="219">+MONTH(A3526)</f>
        <v>8</v>
      </c>
      <c r="I3526" s="11">
        <f t="shared" si="217"/>
        <v>116</v>
      </c>
      <c r="J3526" s="11"/>
    </row>
    <row r="3527" spans="1:10" x14ac:dyDescent="0.25">
      <c r="A3527" s="2">
        <v>44065</v>
      </c>
      <c r="B3527" s="3">
        <v>698</v>
      </c>
      <c r="C3527" s="4">
        <v>328060</v>
      </c>
      <c r="D3527" s="3">
        <v>307</v>
      </c>
      <c r="E3527" s="4">
        <v>224110</v>
      </c>
      <c r="G3527" s="12">
        <f t="shared" si="218"/>
        <v>2020</v>
      </c>
      <c r="H3527" s="12">
        <f t="shared" si="219"/>
        <v>8</v>
      </c>
      <c r="I3527" s="11">
        <f t="shared" ref="I3527:I3590" si="220">+H3527+(G3527-2011)*12</f>
        <v>116</v>
      </c>
      <c r="J3527" s="11"/>
    </row>
    <row r="3528" spans="1:10" x14ac:dyDescent="0.25">
      <c r="A3528" s="2">
        <v>44066</v>
      </c>
      <c r="B3528" s="3">
        <v>565</v>
      </c>
      <c r="C3528" s="4">
        <v>265550</v>
      </c>
      <c r="D3528" s="3">
        <v>287</v>
      </c>
      <c r="E3528" s="4">
        <v>209510</v>
      </c>
      <c r="G3528" s="12">
        <f t="shared" si="218"/>
        <v>2020</v>
      </c>
      <c r="H3528" s="12">
        <f t="shared" si="219"/>
        <v>8</v>
      </c>
      <c r="I3528" s="11">
        <f t="shared" si="220"/>
        <v>116</v>
      </c>
      <c r="J3528" s="11"/>
    </row>
    <row r="3529" spans="1:10" x14ac:dyDescent="0.25">
      <c r="A3529" s="2">
        <v>44067</v>
      </c>
      <c r="B3529" s="3">
        <v>749</v>
      </c>
      <c r="C3529" s="4">
        <v>352030</v>
      </c>
      <c r="D3529" s="3">
        <v>252</v>
      </c>
      <c r="E3529" s="4">
        <v>183960</v>
      </c>
      <c r="G3529" s="12">
        <f t="shared" si="218"/>
        <v>2020</v>
      </c>
      <c r="H3529" s="12">
        <f t="shared" si="219"/>
        <v>8</v>
      </c>
      <c r="I3529" s="11">
        <f t="shared" si="220"/>
        <v>116</v>
      </c>
      <c r="J3529" s="11"/>
    </row>
    <row r="3530" spans="1:10" x14ac:dyDescent="0.25">
      <c r="A3530" s="2">
        <v>44068</v>
      </c>
      <c r="B3530" s="3">
        <v>707</v>
      </c>
      <c r="C3530" s="4">
        <v>332290</v>
      </c>
      <c r="D3530" s="3">
        <v>263</v>
      </c>
      <c r="E3530" s="4">
        <v>191990</v>
      </c>
      <c r="G3530" s="12">
        <f t="shared" si="218"/>
        <v>2020</v>
      </c>
      <c r="H3530" s="12">
        <f t="shared" si="219"/>
        <v>8</v>
      </c>
      <c r="I3530" s="11">
        <f t="shared" si="220"/>
        <v>116</v>
      </c>
      <c r="J3530" s="11"/>
    </row>
    <row r="3531" spans="1:10" x14ac:dyDescent="0.25">
      <c r="A3531" s="2">
        <v>44069</v>
      </c>
      <c r="B3531" s="3">
        <v>682</v>
      </c>
      <c r="C3531" s="4">
        <v>320540</v>
      </c>
      <c r="D3531" s="3">
        <v>304</v>
      </c>
      <c r="E3531" s="4">
        <v>221920</v>
      </c>
      <c r="G3531" s="12">
        <f t="shared" si="218"/>
        <v>2020</v>
      </c>
      <c r="H3531" s="12">
        <f t="shared" si="219"/>
        <v>8</v>
      </c>
      <c r="I3531" s="11">
        <f t="shared" si="220"/>
        <v>116</v>
      </c>
      <c r="J3531" s="11"/>
    </row>
    <row r="3532" spans="1:10" x14ac:dyDescent="0.25">
      <c r="A3532" s="2">
        <v>44070</v>
      </c>
      <c r="B3532" s="3">
        <v>763</v>
      </c>
      <c r="C3532" s="4">
        <v>358610</v>
      </c>
      <c r="D3532" s="3">
        <v>305</v>
      </c>
      <c r="E3532" s="4">
        <v>222650</v>
      </c>
      <c r="G3532" s="12">
        <f t="shared" si="218"/>
        <v>2020</v>
      </c>
      <c r="H3532" s="12">
        <f t="shared" si="219"/>
        <v>8</v>
      </c>
      <c r="I3532" s="11">
        <f t="shared" si="220"/>
        <v>116</v>
      </c>
      <c r="J3532" s="11"/>
    </row>
    <row r="3533" spans="1:10" x14ac:dyDescent="0.25">
      <c r="A3533" s="2">
        <v>44071</v>
      </c>
      <c r="B3533" s="3">
        <v>805</v>
      </c>
      <c r="C3533" s="4">
        <v>378350</v>
      </c>
      <c r="D3533" s="3">
        <v>297</v>
      </c>
      <c r="E3533" s="4">
        <v>216810</v>
      </c>
      <c r="G3533" s="12">
        <f t="shared" si="218"/>
        <v>2020</v>
      </c>
      <c r="H3533" s="12">
        <f t="shared" si="219"/>
        <v>8</v>
      </c>
      <c r="I3533" s="11">
        <f t="shared" si="220"/>
        <v>116</v>
      </c>
      <c r="J3533" s="11"/>
    </row>
    <row r="3534" spans="1:10" x14ac:dyDescent="0.25">
      <c r="A3534" s="2">
        <v>44072</v>
      </c>
      <c r="B3534" s="3">
        <v>718</v>
      </c>
      <c r="C3534" s="4">
        <v>337460</v>
      </c>
      <c r="D3534" s="3">
        <v>321</v>
      </c>
      <c r="E3534" s="4">
        <v>234330</v>
      </c>
      <c r="G3534" s="12">
        <f t="shared" si="218"/>
        <v>2020</v>
      </c>
      <c r="H3534" s="12">
        <f t="shared" si="219"/>
        <v>8</v>
      </c>
      <c r="I3534" s="11">
        <f t="shared" si="220"/>
        <v>116</v>
      </c>
      <c r="J3534" s="11"/>
    </row>
    <row r="3535" spans="1:10" x14ac:dyDescent="0.25">
      <c r="A3535" s="2">
        <v>44073</v>
      </c>
      <c r="B3535" s="3">
        <v>551</v>
      </c>
      <c r="C3535" s="4">
        <v>258970</v>
      </c>
      <c r="D3535" s="3">
        <v>329</v>
      </c>
      <c r="E3535" s="4">
        <v>240170</v>
      </c>
      <c r="G3535" s="12">
        <f t="shared" si="218"/>
        <v>2020</v>
      </c>
      <c r="H3535" s="12">
        <f t="shared" si="219"/>
        <v>8</v>
      </c>
      <c r="I3535" s="11">
        <f t="shared" si="220"/>
        <v>116</v>
      </c>
      <c r="J3535" s="11"/>
    </row>
    <row r="3536" spans="1:10" x14ac:dyDescent="0.25">
      <c r="A3536" s="2">
        <v>44074</v>
      </c>
      <c r="B3536" s="3">
        <v>697</v>
      </c>
      <c r="C3536" s="4">
        <v>327590</v>
      </c>
      <c r="D3536" s="3">
        <v>330</v>
      </c>
      <c r="E3536" s="4">
        <v>240900</v>
      </c>
      <c r="G3536" s="12">
        <f t="shared" si="218"/>
        <v>2020</v>
      </c>
      <c r="H3536" s="12">
        <f t="shared" si="219"/>
        <v>8</v>
      </c>
      <c r="I3536" s="11">
        <f t="shared" si="220"/>
        <v>116</v>
      </c>
      <c r="J3536" s="11"/>
    </row>
    <row r="3537" spans="1:10" x14ac:dyDescent="0.25">
      <c r="A3537" s="2">
        <v>44075</v>
      </c>
      <c r="B3537" s="3">
        <v>685</v>
      </c>
      <c r="C3537" s="4">
        <v>321950</v>
      </c>
      <c r="D3537" s="3">
        <v>298</v>
      </c>
      <c r="E3537" s="4">
        <v>217540</v>
      </c>
      <c r="G3537" s="12">
        <f t="shared" si="218"/>
        <v>2020</v>
      </c>
      <c r="H3537" s="12">
        <f t="shared" si="219"/>
        <v>9</v>
      </c>
      <c r="I3537" s="11">
        <f t="shared" si="220"/>
        <v>117</v>
      </c>
      <c r="J3537" s="11"/>
    </row>
    <row r="3538" spans="1:10" x14ac:dyDescent="0.25">
      <c r="A3538" s="2">
        <v>44076</v>
      </c>
      <c r="B3538" s="3">
        <v>599</v>
      </c>
      <c r="C3538" s="4">
        <v>281530</v>
      </c>
      <c r="D3538" s="3">
        <v>305</v>
      </c>
      <c r="E3538" s="4">
        <v>222650</v>
      </c>
      <c r="G3538" s="12">
        <f t="shared" si="218"/>
        <v>2020</v>
      </c>
      <c r="H3538" s="12">
        <f t="shared" si="219"/>
        <v>9</v>
      </c>
      <c r="I3538" s="11">
        <f t="shared" si="220"/>
        <v>117</v>
      </c>
      <c r="J3538" s="11"/>
    </row>
    <row r="3539" spans="1:10" x14ac:dyDescent="0.25">
      <c r="A3539" s="2">
        <v>44077</v>
      </c>
      <c r="B3539" s="3">
        <v>673</v>
      </c>
      <c r="C3539" s="4">
        <v>316310</v>
      </c>
      <c r="D3539" s="3">
        <v>354</v>
      </c>
      <c r="E3539" s="4">
        <v>258420</v>
      </c>
      <c r="G3539" s="12">
        <f t="shared" si="218"/>
        <v>2020</v>
      </c>
      <c r="H3539" s="12">
        <f t="shared" si="219"/>
        <v>9</v>
      </c>
      <c r="I3539" s="11">
        <f t="shared" si="220"/>
        <v>117</v>
      </c>
      <c r="J3539" s="11"/>
    </row>
    <row r="3540" spans="1:10" x14ac:dyDescent="0.25">
      <c r="A3540" s="2">
        <v>44078</v>
      </c>
      <c r="B3540" s="3">
        <v>754</v>
      </c>
      <c r="C3540" s="4">
        <v>354380</v>
      </c>
      <c r="D3540" s="3">
        <v>312</v>
      </c>
      <c r="E3540" s="4">
        <v>227760</v>
      </c>
      <c r="G3540" s="12">
        <f t="shared" si="218"/>
        <v>2020</v>
      </c>
      <c r="H3540" s="12">
        <f t="shared" si="219"/>
        <v>9</v>
      </c>
      <c r="I3540" s="11">
        <f t="shared" si="220"/>
        <v>117</v>
      </c>
      <c r="J3540" s="11"/>
    </row>
    <row r="3541" spans="1:10" x14ac:dyDescent="0.25">
      <c r="A3541" s="2">
        <v>44079</v>
      </c>
      <c r="B3541" s="3">
        <v>669</v>
      </c>
      <c r="C3541" s="4">
        <v>314430</v>
      </c>
      <c r="D3541" s="3">
        <v>308</v>
      </c>
      <c r="E3541" s="4">
        <v>224840</v>
      </c>
      <c r="G3541" s="12">
        <f t="shared" si="218"/>
        <v>2020</v>
      </c>
      <c r="H3541" s="12">
        <f t="shared" si="219"/>
        <v>9</v>
      </c>
      <c r="I3541" s="11">
        <f t="shared" si="220"/>
        <v>117</v>
      </c>
      <c r="J3541" s="11"/>
    </row>
    <row r="3542" spans="1:10" x14ac:dyDescent="0.25">
      <c r="A3542" s="2">
        <v>44080</v>
      </c>
      <c r="B3542" s="3">
        <v>687</v>
      </c>
      <c r="C3542" s="4">
        <v>322890</v>
      </c>
      <c r="D3542" s="3">
        <v>321</v>
      </c>
      <c r="E3542" s="4">
        <v>234330</v>
      </c>
      <c r="G3542" s="12">
        <f t="shared" si="218"/>
        <v>2020</v>
      </c>
      <c r="H3542" s="12">
        <f t="shared" si="219"/>
        <v>9</v>
      </c>
      <c r="I3542" s="11">
        <f t="shared" si="220"/>
        <v>117</v>
      </c>
      <c r="J3542" s="11"/>
    </row>
    <row r="3543" spans="1:10" x14ac:dyDescent="0.25">
      <c r="A3543" s="2">
        <v>44081</v>
      </c>
      <c r="B3543" s="3">
        <v>728</v>
      </c>
      <c r="C3543" s="4">
        <v>342160</v>
      </c>
      <c r="D3543" s="3">
        <v>276</v>
      </c>
      <c r="E3543" s="4">
        <v>201480</v>
      </c>
      <c r="G3543" s="12">
        <f t="shared" si="218"/>
        <v>2020</v>
      </c>
      <c r="H3543" s="12">
        <f t="shared" si="219"/>
        <v>9</v>
      </c>
      <c r="I3543" s="11">
        <f t="shared" si="220"/>
        <v>117</v>
      </c>
      <c r="J3543" s="11"/>
    </row>
    <row r="3544" spans="1:10" x14ac:dyDescent="0.25">
      <c r="A3544" s="2">
        <v>44082</v>
      </c>
      <c r="B3544" s="3">
        <v>792</v>
      </c>
      <c r="C3544" s="4">
        <v>372240</v>
      </c>
      <c r="D3544" s="3">
        <v>303</v>
      </c>
      <c r="E3544" s="4">
        <v>221190</v>
      </c>
      <c r="G3544" s="12">
        <f t="shared" si="218"/>
        <v>2020</v>
      </c>
      <c r="H3544" s="12">
        <f t="shared" si="219"/>
        <v>9</v>
      </c>
      <c r="I3544" s="11">
        <f t="shared" si="220"/>
        <v>117</v>
      </c>
      <c r="J3544" s="11"/>
    </row>
    <row r="3545" spans="1:10" x14ac:dyDescent="0.25">
      <c r="A3545" s="2">
        <v>44083</v>
      </c>
      <c r="B3545" s="3">
        <v>680</v>
      </c>
      <c r="C3545" s="4">
        <v>319600</v>
      </c>
      <c r="D3545" s="3">
        <v>295</v>
      </c>
      <c r="E3545" s="4">
        <v>215350</v>
      </c>
      <c r="G3545" s="12">
        <f t="shared" si="218"/>
        <v>2020</v>
      </c>
      <c r="H3545" s="12">
        <f t="shared" si="219"/>
        <v>9</v>
      </c>
      <c r="I3545" s="11">
        <f t="shared" si="220"/>
        <v>117</v>
      </c>
      <c r="J3545" s="11"/>
    </row>
    <row r="3546" spans="1:10" x14ac:dyDescent="0.25">
      <c r="A3546" s="2">
        <v>44084</v>
      </c>
      <c r="B3546" s="3">
        <v>681</v>
      </c>
      <c r="C3546" s="4">
        <v>320070</v>
      </c>
      <c r="D3546" s="3">
        <v>298</v>
      </c>
      <c r="E3546" s="4">
        <v>217540</v>
      </c>
      <c r="G3546" s="12">
        <f t="shared" si="218"/>
        <v>2020</v>
      </c>
      <c r="H3546" s="12">
        <f t="shared" si="219"/>
        <v>9</v>
      </c>
      <c r="I3546" s="11">
        <f t="shared" si="220"/>
        <v>117</v>
      </c>
      <c r="J3546" s="11"/>
    </row>
    <row r="3547" spans="1:10" x14ac:dyDescent="0.25">
      <c r="A3547" s="2">
        <v>44085</v>
      </c>
      <c r="B3547" s="3">
        <v>707</v>
      </c>
      <c r="C3547" s="4">
        <v>332290</v>
      </c>
      <c r="D3547" s="3">
        <v>320</v>
      </c>
      <c r="E3547" s="4">
        <v>233600</v>
      </c>
      <c r="G3547" s="12">
        <f t="shared" si="218"/>
        <v>2020</v>
      </c>
      <c r="H3547" s="12">
        <f t="shared" si="219"/>
        <v>9</v>
      </c>
      <c r="I3547" s="11">
        <f t="shared" si="220"/>
        <v>117</v>
      </c>
      <c r="J3547" s="11"/>
    </row>
    <row r="3548" spans="1:10" x14ac:dyDescent="0.25">
      <c r="A3548" s="2">
        <v>44086</v>
      </c>
      <c r="B3548" s="3">
        <v>725</v>
      </c>
      <c r="C3548" s="4">
        <v>340750</v>
      </c>
      <c r="D3548" s="3">
        <v>318</v>
      </c>
      <c r="E3548" s="4">
        <v>232140</v>
      </c>
      <c r="G3548" s="12">
        <f t="shared" si="218"/>
        <v>2020</v>
      </c>
      <c r="H3548" s="12">
        <f t="shared" si="219"/>
        <v>9</v>
      </c>
      <c r="I3548" s="11">
        <f t="shared" si="220"/>
        <v>117</v>
      </c>
      <c r="J3548" s="11"/>
    </row>
    <row r="3549" spans="1:10" x14ac:dyDescent="0.25">
      <c r="A3549" s="2">
        <v>44087</v>
      </c>
      <c r="B3549" s="3">
        <v>612</v>
      </c>
      <c r="C3549" s="4">
        <v>287640</v>
      </c>
      <c r="D3549" s="3">
        <v>243</v>
      </c>
      <c r="E3549" s="4">
        <v>177390</v>
      </c>
      <c r="G3549" s="12">
        <f t="shared" si="218"/>
        <v>2020</v>
      </c>
      <c r="H3549" s="12">
        <f t="shared" si="219"/>
        <v>9</v>
      </c>
      <c r="I3549" s="11">
        <f t="shared" si="220"/>
        <v>117</v>
      </c>
      <c r="J3549" s="11"/>
    </row>
    <row r="3550" spans="1:10" x14ac:dyDescent="0.25">
      <c r="A3550" s="2">
        <v>44088</v>
      </c>
      <c r="B3550" s="3">
        <v>680</v>
      </c>
      <c r="C3550" s="4">
        <v>319600</v>
      </c>
      <c r="D3550" s="3">
        <v>301</v>
      </c>
      <c r="E3550" s="4">
        <v>219730</v>
      </c>
      <c r="G3550" s="12">
        <f t="shared" si="218"/>
        <v>2020</v>
      </c>
      <c r="H3550" s="12">
        <f t="shared" si="219"/>
        <v>9</v>
      </c>
      <c r="I3550" s="11">
        <f t="shared" si="220"/>
        <v>117</v>
      </c>
      <c r="J3550" s="11"/>
    </row>
    <row r="3551" spans="1:10" x14ac:dyDescent="0.25">
      <c r="A3551" s="2">
        <v>44089</v>
      </c>
      <c r="B3551" s="3">
        <v>708</v>
      </c>
      <c r="C3551" s="4">
        <v>332760</v>
      </c>
      <c r="D3551" s="3">
        <v>300</v>
      </c>
      <c r="E3551" s="4">
        <v>219000</v>
      </c>
      <c r="G3551" s="12">
        <f t="shared" si="218"/>
        <v>2020</v>
      </c>
      <c r="H3551" s="12">
        <f t="shared" si="219"/>
        <v>9</v>
      </c>
      <c r="I3551" s="11">
        <f t="shared" si="220"/>
        <v>117</v>
      </c>
      <c r="J3551" s="11"/>
    </row>
    <row r="3552" spans="1:10" x14ac:dyDescent="0.25">
      <c r="A3552" s="2">
        <v>44090</v>
      </c>
      <c r="B3552" s="3">
        <v>634</v>
      </c>
      <c r="C3552" s="4">
        <v>297980</v>
      </c>
      <c r="D3552" s="3">
        <v>325</v>
      </c>
      <c r="E3552" s="4">
        <v>237250</v>
      </c>
      <c r="G3552" s="12">
        <f t="shared" si="218"/>
        <v>2020</v>
      </c>
      <c r="H3552" s="12">
        <f t="shared" si="219"/>
        <v>9</v>
      </c>
      <c r="I3552" s="11">
        <f t="shared" si="220"/>
        <v>117</v>
      </c>
      <c r="J3552" s="11"/>
    </row>
    <row r="3553" spans="1:10" x14ac:dyDescent="0.25">
      <c r="A3553" s="2">
        <v>44091</v>
      </c>
      <c r="B3553" s="3">
        <v>695</v>
      </c>
      <c r="C3553" s="4">
        <v>326650</v>
      </c>
      <c r="D3553" s="3">
        <v>288</v>
      </c>
      <c r="E3553" s="4">
        <v>210240</v>
      </c>
      <c r="G3553" s="12">
        <f t="shared" si="218"/>
        <v>2020</v>
      </c>
      <c r="H3553" s="12">
        <f t="shared" si="219"/>
        <v>9</v>
      </c>
      <c r="I3553" s="11">
        <f t="shared" si="220"/>
        <v>117</v>
      </c>
      <c r="J3553" s="11"/>
    </row>
    <row r="3554" spans="1:10" x14ac:dyDescent="0.25">
      <c r="A3554" s="2">
        <v>44092</v>
      </c>
      <c r="B3554" s="3">
        <v>677</v>
      </c>
      <c r="C3554" s="4">
        <v>318190</v>
      </c>
      <c r="D3554" s="3">
        <v>295</v>
      </c>
      <c r="E3554" s="4">
        <v>215350</v>
      </c>
      <c r="G3554" s="12">
        <f t="shared" si="218"/>
        <v>2020</v>
      </c>
      <c r="H3554" s="12">
        <f t="shared" si="219"/>
        <v>9</v>
      </c>
      <c r="I3554" s="11">
        <f t="shared" si="220"/>
        <v>117</v>
      </c>
      <c r="J3554" s="11"/>
    </row>
    <row r="3555" spans="1:10" x14ac:dyDescent="0.25">
      <c r="A3555" s="2">
        <v>44093</v>
      </c>
      <c r="B3555" s="3">
        <v>645</v>
      </c>
      <c r="C3555" s="4">
        <v>303150</v>
      </c>
      <c r="D3555" s="3">
        <v>338</v>
      </c>
      <c r="E3555" s="4">
        <v>246740</v>
      </c>
      <c r="G3555" s="12">
        <f t="shared" si="218"/>
        <v>2020</v>
      </c>
      <c r="H3555" s="12">
        <f t="shared" si="219"/>
        <v>9</v>
      </c>
      <c r="I3555" s="11">
        <f t="shared" si="220"/>
        <v>117</v>
      </c>
      <c r="J3555" s="11"/>
    </row>
    <row r="3556" spans="1:10" x14ac:dyDescent="0.25">
      <c r="A3556" s="2">
        <v>44094</v>
      </c>
      <c r="B3556" s="3">
        <v>791</v>
      </c>
      <c r="C3556" s="4">
        <v>371770</v>
      </c>
      <c r="D3556" s="3">
        <v>296</v>
      </c>
      <c r="E3556" s="4">
        <v>216080</v>
      </c>
      <c r="G3556" s="12">
        <f t="shared" si="218"/>
        <v>2020</v>
      </c>
      <c r="H3556" s="12">
        <f t="shared" si="219"/>
        <v>9</v>
      </c>
      <c r="I3556" s="11">
        <f t="shared" si="220"/>
        <v>117</v>
      </c>
      <c r="J3556" s="11"/>
    </row>
    <row r="3557" spans="1:10" x14ac:dyDescent="0.25">
      <c r="A3557" s="2">
        <v>44095</v>
      </c>
      <c r="B3557" s="3">
        <v>672</v>
      </c>
      <c r="C3557" s="4">
        <v>315840</v>
      </c>
      <c r="D3557" s="3">
        <v>344</v>
      </c>
      <c r="E3557" s="4">
        <v>251120</v>
      </c>
      <c r="G3557" s="12">
        <f t="shared" si="218"/>
        <v>2020</v>
      </c>
      <c r="H3557" s="12">
        <f t="shared" si="219"/>
        <v>9</v>
      </c>
      <c r="I3557" s="11">
        <f t="shared" si="220"/>
        <v>117</v>
      </c>
      <c r="J3557" s="11"/>
    </row>
    <row r="3558" spans="1:10" x14ac:dyDescent="0.25">
      <c r="A3558" s="2">
        <v>44096</v>
      </c>
      <c r="B3558" s="3">
        <v>779</v>
      </c>
      <c r="C3558" s="4">
        <v>366130</v>
      </c>
      <c r="D3558" s="3">
        <v>340</v>
      </c>
      <c r="E3558" s="4">
        <v>248200</v>
      </c>
      <c r="G3558" s="12">
        <f t="shared" si="218"/>
        <v>2020</v>
      </c>
      <c r="H3558" s="12">
        <f t="shared" si="219"/>
        <v>9</v>
      </c>
      <c r="I3558" s="11">
        <f t="shared" si="220"/>
        <v>117</v>
      </c>
      <c r="J3558" s="11"/>
    </row>
    <row r="3559" spans="1:10" x14ac:dyDescent="0.25">
      <c r="A3559" s="2">
        <v>44097</v>
      </c>
      <c r="B3559" s="3">
        <v>650</v>
      </c>
      <c r="C3559" s="4">
        <v>305500</v>
      </c>
      <c r="D3559" s="3">
        <v>313</v>
      </c>
      <c r="E3559" s="4">
        <v>228490</v>
      </c>
      <c r="G3559" s="12">
        <f t="shared" si="218"/>
        <v>2020</v>
      </c>
      <c r="H3559" s="12">
        <f t="shared" si="219"/>
        <v>9</v>
      </c>
      <c r="I3559" s="11">
        <f t="shared" si="220"/>
        <v>117</v>
      </c>
      <c r="J3559" s="11"/>
    </row>
    <row r="3560" spans="1:10" x14ac:dyDescent="0.25">
      <c r="A3560" s="2">
        <v>44098</v>
      </c>
      <c r="B3560" s="3">
        <v>681</v>
      </c>
      <c r="C3560" s="4">
        <v>320070</v>
      </c>
      <c r="D3560" s="3">
        <v>320</v>
      </c>
      <c r="E3560" s="4">
        <v>233600</v>
      </c>
      <c r="G3560" s="12">
        <f t="shared" si="218"/>
        <v>2020</v>
      </c>
      <c r="H3560" s="12">
        <f t="shared" si="219"/>
        <v>9</v>
      </c>
      <c r="I3560" s="11">
        <f t="shared" si="220"/>
        <v>117</v>
      </c>
      <c r="J3560" s="11"/>
    </row>
    <row r="3561" spans="1:10" x14ac:dyDescent="0.25">
      <c r="A3561" s="2">
        <v>44099</v>
      </c>
      <c r="B3561" s="3">
        <v>688</v>
      </c>
      <c r="C3561" s="4">
        <v>323360</v>
      </c>
      <c r="D3561" s="3">
        <v>327</v>
      </c>
      <c r="E3561" s="4">
        <v>238710</v>
      </c>
      <c r="G3561" s="12">
        <f t="shared" si="218"/>
        <v>2020</v>
      </c>
      <c r="H3561" s="12">
        <f t="shared" si="219"/>
        <v>9</v>
      </c>
      <c r="I3561" s="11">
        <f t="shared" si="220"/>
        <v>117</v>
      </c>
      <c r="J3561" s="11"/>
    </row>
    <row r="3562" spans="1:10" x14ac:dyDescent="0.25">
      <c r="A3562" s="2">
        <v>44100</v>
      </c>
      <c r="B3562" s="3">
        <v>752</v>
      </c>
      <c r="C3562" s="4">
        <v>353440</v>
      </c>
      <c r="D3562" s="3">
        <v>326</v>
      </c>
      <c r="E3562" s="4">
        <v>237980</v>
      </c>
      <c r="G3562" s="12">
        <f t="shared" si="218"/>
        <v>2020</v>
      </c>
      <c r="H3562" s="12">
        <f t="shared" si="219"/>
        <v>9</v>
      </c>
      <c r="I3562" s="11">
        <f t="shared" si="220"/>
        <v>117</v>
      </c>
      <c r="J3562" s="11"/>
    </row>
    <row r="3563" spans="1:10" x14ac:dyDescent="0.25">
      <c r="A3563" s="2">
        <v>44101</v>
      </c>
      <c r="B3563" s="3">
        <v>581</v>
      </c>
      <c r="C3563" s="4">
        <v>273070</v>
      </c>
      <c r="D3563" s="3">
        <v>310</v>
      </c>
      <c r="E3563" s="4">
        <v>226300</v>
      </c>
      <c r="G3563" s="12">
        <f t="shared" si="218"/>
        <v>2020</v>
      </c>
      <c r="H3563" s="12">
        <f t="shared" si="219"/>
        <v>9</v>
      </c>
      <c r="I3563" s="11">
        <f t="shared" si="220"/>
        <v>117</v>
      </c>
      <c r="J3563" s="11"/>
    </row>
    <row r="3564" spans="1:10" x14ac:dyDescent="0.25">
      <c r="A3564" s="2">
        <v>44102</v>
      </c>
      <c r="B3564" s="3">
        <v>765</v>
      </c>
      <c r="C3564" s="4">
        <v>359550</v>
      </c>
      <c r="D3564" s="3">
        <v>240</v>
      </c>
      <c r="E3564" s="4">
        <v>175200</v>
      </c>
      <c r="G3564" s="12">
        <f t="shared" si="218"/>
        <v>2020</v>
      </c>
      <c r="H3564" s="12">
        <f t="shared" si="219"/>
        <v>9</v>
      </c>
      <c r="I3564" s="11">
        <f t="shared" si="220"/>
        <v>117</v>
      </c>
      <c r="J3564" s="11"/>
    </row>
    <row r="3565" spans="1:10" x14ac:dyDescent="0.25">
      <c r="A3565" s="2">
        <v>44103</v>
      </c>
      <c r="B3565" s="3">
        <v>633</v>
      </c>
      <c r="C3565" s="4">
        <v>297510</v>
      </c>
      <c r="D3565" s="3">
        <v>273</v>
      </c>
      <c r="E3565" s="4">
        <v>199290</v>
      </c>
      <c r="G3565" s="12">
        <f t="shared" si="218"/>
        <v>2020</v>
      </c>
      <c r="H3565" s="12">
        <f t="shared" si="219"/>
        <v>9</v>
      </c>
      <c r="I3565" s="11">
        <f t="shared" si="220"/>
        <v>117</v>
      </c>
      <c r="J3565" s="11"/>
    </row>
    <row r="3566" spans="1:10" x14ac:dyDescent="0.25">
      <c r="A3566" s="2">
        <v>44104</v>
      </c>
      <c r="B3566" s="3">
        <v>750</v>
      </c>
      <c r="C3566" s="4">
        <v>352500</v>
      </c>
      <c r="D3566" s="3">
        <v>271</v>
      </c>
      <c r="E3566" s="4">
        <v>197830</v>
      </c>
      <c r="G3566" s="12">
        <f t="shared" si="218"/>
        <v>2020</v>
      </c>
      <c r="H3566" s="12">
        <f t="shared" si="219"/>
        <v>9</v>
      </c>
      <c r="I3566" s="11">
        <f t="shared" si="220"/>
        <v>117</v>
      </c>
      <c r="J3566" s="11"/>
    </row>
    <row r="3567" spans="1:10" x14ac:dyDescent="0.25">
      <c r="A3567" s="2">
        <v>44105</v>
      </c>
      <c r="B3567" s="3">
        <v>595</v>
      </c>
      <c r="C3567" s="4">
        <v>174781.25</v>
      </c>
      <c r="D3567" s="3">
        <v>295</v>
      </c>
      <c r="E3567" s="4">
        <v>215350</v>
      </c>
      <c r="G3567" s="12">
        <f t="shared" si="218"/>
        <v>2020</v>
      </c>
      <c r="H3567" s="12">
        <f t="shared" si="219"/>
        <v>10</v>
      </c>
      <c r="I3567" s="11">
        <f t="shared" si="220"/>
        <v>118</v>
      </c>
      <c r="J3567" s="11"/>
    </row>
    <row r="3568" spans="1:10" x14ac:dyDescent="0.25">
      <c r="A3568" s="2">
        <v>44106</v>
      </c>
      <c r="B3568" s="3">
        <v>599</v>
      </c>
      <c r="C3568" s="4">
        <v>175956.25</v>
      </c>
      <c r="D3568" s="3">
        <v>328</v>
      </c>
      <c r="E3568" s="4">
        <v>239440</v>
      </c>
      <c r="G3568" s="12">
        <f t="shared" si="218"/>
        <v>2020</v>
      </c>
      <c r="H3568" s="12">
        <f t="shared" si="219"/>
        <v>10</v>
      </c>
      <c r="I3568" s="11">
        <f t="shared" si="220"/>
        <v>118</v>
      </c>
      <c r="J3568" s="11"/>
    </row>
    <row r="3569" spans="1:10" x14ac:dyDescent="0.25">
      <c r="A3569" s="2">
        <v>44107</v>
      </c>
      <c r="B3569" s="3">
        <v>681</v>
      </c>
      <c r="C3569" s="4">
        <v>200043.75</v>
      </c>
      <c r="D3569" s="3">
        <v>298</v>
      </c>
      <c r="E3569" s="4">
        <v>217540</v>
      </c>
      <c r="G3569" s="12">
        <f t="shared" si="218"/>
        <v>2020</v>
      </c>
      <c r="H3569" s="12">
        <f t="shared" si="219"/>
        <v>10</v>
      </c>
      <c r="I3569" s="11">
        <f t="shared" si="220"/>
        <v>118</v>
      </c>
      <c r="J3569" s="11"/>
    </row>
    <row r="3570" spans="1:10" x14ac:dyDescent="0.25">
      <c r="A3570" s="2">
        <v>44108</v>
      </c>
      <c r="B3570" s="3">
        <v>467</v>
      </c>
      <c r="C3570" s="4">
        <v>137181.25</v>
      </c>
      <c r="D3570" s="3">
        <v>311</v>
      </c>
      <c r="E3570" s="4">
        <v>227030</v>
      </c>
      <c r="G3570" s="12">
        <f t="shared" si="218"/>
        <v>2020</v>
      </c>
      <c r="H3570" s="12">
        <f t="shared" si="219"/>
        <v>10</v>
      </c>
      <c r="I3570" s="11">
        <f t="shared" si="220"/>
        <v>118</v>
      </c>
      <c r="J3570" s="11"/>
    </row>
    <row r="3571" spans="1:10" x14ac:dyDescent="0.25">
      <c r="A3571" s="2">
        <v>44109</v>
      </c>
      <c r="B3571" s="3">
        <v>489</v>
      </c>
      <c r="C3571" s="4">
        <v>143643.75</v>
      </c>
      <c r="D3571" s="3">
        <v>310</v>
      </c>
      <c r="E3571" s="4">
        <v>226300</v>
      </c>
      <c r="G3571" s="12">
        <f t="shared" si="218"/>
        <v>2020</v>
      </c>
      <c r="H3571" s="12">
        <f t="shared" si="219"/>
        <v>10</v>
      </c>
      <c r="I3571" s="11">
        <f t="shared" si="220"/>
        <v>118</v>
      </c>
      <c r="J3571" s="11"/>
    </row>
    <row r="3572" spans="1:10" x14ac:dyDescent="0.25">
      <c r="A3572" s="2">
        <v>44110</v>
      </c>
      <c r="B3572" s="3">
        <v>539</v>
      </c>
      <c r="C3572" s="4">
        <v>158331.25</v>
      </c>
      <c r="D3572" s="3">
        <v>278</v>
      </c>
      <c r="E3572" s="4">
        <v>202940</v>
      </c>
      <c r="G3572" s="12">
        <f t="shared" si="218"/>
        <v>2020</v>
      </c>
      <c r="H3572" s="12">
        <f t="shared" si="219"/>
        <v>10</v>
      </c>
      <c r="I3572" s="11">
        <f t="shared" si="220"/>
        <v>118</v>
      </c>
      <c r="J3572" s="11"/>
    </row>
    <row r="3573" spans="1:10" x14ac:dyDescent="0.25">
      <c r="A3573" s="2">
        <v>44111</v>
      </c>
      <c r="B3573" s="3">
        <v>577</v>
      </c>
      <c r="C3573" s="4">
        <v>169493.75</v>
      </c>
      <c r="D3573" s="3">
        <v>312</v>
      </c>
      <c r="E3573" s="4">
        <v>227760</v>
      </c>
      <c r="G3573" s="12">
        <f t="shared" si="218"/>
        <v>2020</v>
      </c>
      <c r="H3573" s="12">
        <f t="shared" si="219"/>
        <v>10</v>
      </c>
      <c r="I3573" s="11">
        <f t="shared" si="220"/>
        <v>118</v>
      </c>
      <c r="J3573" s="11"/>
    </row>
    <row r="3574" spans="1:10" x14ac:dyDescent="0.25">
      <c r="A3574" s="2">
        <v>44112</v>
      </c>
      <c r="B3574" s="3">
        <v>493</v>
      </c>
      <c r="C3574" s="4">
        <v>144818.75</v>
      </c>
      <c r="D3574" s="3">
        <v>308</v>
      </c>
      <c r="E3574" s="4">
        <v>224840</v>
      </c>
      <c r="G3574" s="12">
        <f t="shared" si="218"/>
        <v>2020</v>
      </c>
      <c r="H3574" s="12">
        <f t="shared" si="219"/>
        <v>10</v>
      </c>
      <c r="I3574" s="11">
        <f t="shared" si="220"/>
        <v>118</v>
      </c>
      <c r="J3574" s="11"/>
    </row>
    <row r="3575" spans="1:10" x14ac:dyDescent="0.25">
      <c r="A3575" s="2">
        <v>44113</v>
      </c>
      <c r="B3575" s="3">
        <v>653</v>
      </c>
      <c r="C3575" s="4">
        <v>191818.75</v>
      </c>
      <c r="D3575" s="3">
        <v>301</v>
      </c>
      <c r="E3575" s="4">
        <v>219730</v>
      </c>
      <c r="G3575" s="12">
        <f t="shared" si="218"/>
        <v>2020</v>
      </c>
      <c r="H3575" s="12">
        <f t="shared" si="219"/>
        <v>10</v>
      </c>
      <c r="I3575" s="11">
        <f t="shared" si="220"/>
        <v>118</v>
      </c>
      <c r="J3575" s="11"/>
    </row>
    <row r="3576" spans="1:10" x14ac:dyDescent="0.25">
      <c r="A3576" s="2">
        <v>44114</v>
      </c>
      <c r="B3576" s="3">
        <v>474</v>
      </c>
      <c r="C3576" s="4">
        <v>139237.5</v>
      </c>
      <c r="D3576" s="3">
        <v>322</v>
      </c>
      <c r="E3576" s="4">
        <v>235060</v>
      </c>
      <c r="G3576" s="12">
        <f t="shared" si="218"/>
        <v>2020</v>
      </c>
      <c r="H3576" s="12">
        <f t="shared" si="219"/>
        <v>10</v>
      </c>
      <c r="I3576" s="11">
        <f t="shared" si="220"/>
        <v>118</v>
      </c>
      <c r="J3576" s="11"/>
    </row>
    <row r="3577" spans="1:10" x14ac:dyDescent="0.25">
      <c r="A3577" s="2">
        <v>44115</v>
      </c>
      <c r="B3577" s="3">
        <v>545</v>
      </c>
      <c r="C3577" s="4">
        <v>160093.75</v>
      </c>
      <c r="D3577" s="3">
        <v>320</v>
      </c>
      <c r="E3577" s="4">
        <v>233600</v>
      </c>
      <c r="G3577" s="12">
        <f t="shared" si="218"/>
        <v>2020</v>
      </c>
      <c r="H3577" s="12">
        <f t="shared" si="219"/>
        <v>10</v>
      </c>
      <c r="I3577" s="11">
        <f t="shared" si="220"/>
        <v>118</v>
      </c>
      <c r="J3577" s="11"/>
    </row>
    <row r="3578" spans="1:10" x14ac:dyDescent="0.25">
      <c r="A3578" s="2">
        <v>44116</v>
      </c>
      <c r="B3578" s="3">
        <v>600</v>
      </c>
      <c r="C3578" s="4">
        <v>176250</v>
      </c>
      <c r="D3578" s="3">
        <v>335</v>
      </c>
      <c r="E3578" s="4">
        <v>244550</v>
      </c>
      <c r="G3578" s="12">
        <f t="shared" si="218"/>
        <v>2020</v>
      </c>
      <c r="H3578" s="12">
        <f t="shared" si="219"/>
        <v>10</v>
      </c>
      <c r="I3578" s="11">
        <f t="shared" si="220"/>
        <v>118</v>
      </c>
      <c r="J3578" s="11"/>
    </row>
    <row r="3579" spans="1:10" x14ac:dyDescent="0.25">
      <c r="A3579" s="2">
        <v>44117</v>
      </c>
      <c r="B3579" s="3">
        <v>506</v>
      </c>
      <c r="C3579" s="4">
        <v>148637.5</v>
      </c>
      <c r="D3579" s="3">
        <v>328</v>
      </c>
      <c r="E3579" s="4">
        <v>239440</v>
      </c>
      <c r="G3579" s="12">
        <f t="shared" si="218"/>
        <v>2020</v>
      </c>
      <c r="H3579" s="12">
        <f t="shared" si="219"/>
        <v>10</v>
      </c>
      <c r="I3579" s="11">
        <f t="shared" si="220"/>
        <v>118</v>
      </c>
      <c r="J3579" s="11"/>
    </row>
    <row r="3580" spans="1:10" x14ac:dyDescent="0.25">
      <c r="A3580" s="2">
        <v>44118</v>
      </c>
      <c r="B3580" s="3">
        <v>599</v>
      </c>
      <c r="C3580" s="4">
        <v>175956.25</v>
      </c>
      <c r="D3580" s="3">
        <v>300</v>
      </c>
      <c r="E3580" s="4">
        <v>219000</v>
      </c>
      <c r="G3580" s="12">
        <f t="shared" si="218"/>
        <v>2020</v>
      </c>
      <c r="H3580" s="12">
        <f t="shared" si="219"/>
        <v>10</v>
      </c>
      <c r="I3580" s="11">
        <f t="shared" si="220"/>
        <v>118</v>
      </c>
      <c r="J3580" s="11"/>
    </row>
    <row r="3581" spans="1:10" x14ac:dyDescent="0.25">
      <c r="A3581" s="2">
        <v>44119</v>
      </c>
      <c r="B3581" s="3">
        <v>593</v>
      </c>
      <c r="C3581" s="4">
        <v>174193.75</v>
      </c>
      <c r="D3581" s="3">
        <v>321</v>
      </c>
      <c r="E3581" s="4">
        <v>234330</v>
      </c>
      <c r="G3581" s="12">
        <f t="shared" si="218"/>
        <v>2020</v>
      </c>
      <c r="H3581" s="12">
        <f t="shared" si="219"/>
        <v>10</v>
      </c>
      <c r="I3581" s="11">
        <f t="shared" si="220"/>
        <v>118</v>
      </c>
      <c r="J3581" s="11"/>
    </row>
    <row r="3582" spans="1:10" x14ac:dyDescent="0.25">
      <c r="A3582" s="2">
        <v>44120</v>
      </c>
      <c r="B3582" s="3">
        <v>666</v>
      </c>
      <c r="C3582" s="4">
        <v>195637.5</v>
      </c>
      <c r="D3582" s="3">
        <v>340</v>
      </c>
      <c r="E3582" s="4">
        <v>248200</v>
      </c>
      <c r="G3582" s="12">
        <f t="shared" si="218"/>
        <v>2020</v>
      </c>
      <c r="H3582" s="12">
        <f t="shared" si="219"/>
        <v>10</v>
      </c>
      <c r="I3582" s="11">
        <f t="shared" si="220"/>
        <v>118</v>
      </c>
      <c r="J3582" s="11"/>
    </row>
    <row r="3583" spans="1:10" x14ac:dyDescent="0.25">
      <c r="A3583" s="2">
        <v>44121</v>
      </c>
      <c r="B3583" s="3">
        <v>637</v>
      </c>
      <c r="C3583" s="4">
        <v>187118.75</v>
      </c>
      <c r="D3583" s="3">
        <v>246</v>
      </c>
      <c r="E3583" s="4">
        <v>179580</v>
      </c>
      <c r="G3583" s="12">
        <f t="shared" si="218"/>
        <v>2020</v>
      </c>
      <c r="H3583" s="12">
        <f t="shared" si="219"/>
        <v>10</v>
      </c>
      <c r="I3583" s="11">
        <f t="shared" si="220"/>
        <v>118</v>
      </c>
      <c r="J3583" s="11"/>
    </row>
    <row r="3584" spans="1:10" x14ac:dyDescent="0.25">
      <c r="A3584" s="2">
        <v>44122</v>
      </c>
      <c r="B3584" s="3">
        <v>593</v>
      </c>
      <c r="C3584" s="4">
        <v>174193.75</v>
      </c>
      <c r="D3584" s="3">
        <v>274</v>
      </c>
      <c r="E3584" s="4">
        <v>200020</v>
      </c>
      <c r="G3584" s="12">
        <f t="shared" si="218"/>
        <v>2020</v>
      </c>
      <c r="H3584" s="12">
        <f t="shared" si="219"/>
        <v>10</v>
      </c>
      <c r="I3584" s="11">
        <f t="shared" si="220"/>
        <v>118</v>
      </c>
      <c r="J3584" s="11"/>
    </row>
    <row r="3585" spans="1:10" x14ac:dyDescent="0.25">
      <c r="A3585" s="2">
        <v>44123</v>
      </c>
      <c r="B3585" s="3">
        <v>572</v>
      </c>
      <c r="C3585" s="4">
        <v>168025</v>
      </c>
      <c r="D3585" s="3">
        <v>268</v>
      </c>
      <c r="E3585" s="4">
        <v>195640</v>
      </c>
      <c r="G3585" s="12">
        <f t="shared" si="218"/>
        <v>2020</v>
      </c>
      <c r="H3585" s="12">
        <f t="shared" si="219"/>
        <v>10</v>
      </c>
      <c r="I3585" s="11">
        <f t="shared" si="220"/>
        <v>118</v>
      </c>
      <c r="J3585" s="11"/>
    </row>
    <row r="3586" spans="1:10" x14ac:dyDescent="0.25">
      <c r="A3586" s="2">
        <v>44124</v>
      </c>
      <c r="B3586" s="3">
        <v>587</v>
      </c>
      <c r="C3586" s="4">
        <v>172431.25</v>
      </c>
      <c r="D3586" s="3">
        <v>338</v>
      </c>
      <c r="E3586" s="4">
        <v>246740</v>
      </c>
      <c r="G3586" s="12">
        <f t="shared" si="218"/>
        <v>2020</v>
      </c>
      <c r="H3586" s="12">
        <f t="shared" si="219"/>
        <v>10</v>
      </c>
      <c r="I3586" s="11">
        <f t="shared" si="220"/>
        <v>118</v>
      </c>
      <c r="J3586" s="11"/>
    </row>
    <row r="3587" spans="1:10" x14ac:dyDescent="0.25">
      <c r="A3587" s="2">
        <v>44125</v>
      </c>
      <c r="B3587" s="3">
        <v>653</v>
      </c>
      <c r="C3587" s="4">
        <v>191818.75</v>
      </c>
      <c r="D3587" s="3">
        <v>336</v>
      </c>
      <c r="E3587" s="4">
        <v>245280</v>
      </c>
      <c r="G3587" s="12">
        <f t="shared" si="218"/>
        <v>2020</v>
      </c>
      <c r="H3587" s="12">
        <f t="shared" si="219"/>
        <v>10</v>
      </c>
      <c r="I3587" s="11">
        <f t="shared" si="220"/>
        <v>118</v>
      </c>
      <c r="J3587" s="11"/>
    </row>
    <row r="3588" spans="1:10" x14ac:dyDescent="0.25">
      <c r="A3588" s="2">
        <v>44126</v>
      </c>
      <c r="B3588" s="3">
        <v>636</v>
      </c>
      <c r="C3588" s="4">
        <v>186825</v>
      </c>
      <c r="D3588" s="3">
        <v>266</v>
      </c>
      <c r="E3588" s="4">
        <v>194180</v>
      </c>
      <c r="G3588" s="12">
        <f t="shared" si="218"/>
        <v>2020</v>
      </c>
      <c r="H3588" s="12">
        <f t="shared" si="219"/>
        <v>10</v>
      </c>
      <c r="I3588" s="11">
        <f t="shared" si="220"/>
        <v>118</v>
      </c>
      <c r="J3588" s="11"/>
    </row>
    <row r="3589" spans="1:10" x14ac:dyDescent="0.25">
      <c r="A3589" s="2">
        <v>44127</v>
      </c>
      <c r="B3589" s="3">
        <v>680</v>
      </c>
      <c r="C3589" s="4">
        <v>199750</v>
      </c>
      <c r="D3589" s="3">
        <v>305</v>
      </c>
      <c r="E3589" s="4">
        <v>222650</v>
      </c>
      <c r="G3589" s="12">
        <f t="shared" si="218"/>
        <v>2020</v>
      </c>
      <c r="H3589" s="12">
        <f t="shared" si="219"/>
        <v>10</v>
      </c>
      <c r="I3589" s="11">
        <f t="shared" si="220"/>
        <v>118</v>
      </c>
      <c r="J3589" s="11"/>
    </row>
    <row r="3590" spans="1:10" x14ac:dyDescent="0.25">
      <c r="A3590" s="2">
        <v>44128</v>
      </c>
      <c r="B3590" s="3">
        <v>577</v>
      </c>
      <c r="C3590" s="4">
        <v>169493.75</v>
      </c>
      <c r="D3590" s="3">
        <v>325</v>
      </c>
      <c r="E3590" s="4">
        <v>237250</v>
      </c>
      <c r="G3590" s="12">
        <f t="shared" ref="G3590:G3658" si="221">+YEAR(A3590)</f>
        <v>2020</v>
      </c>
      <c r="H3590" s="12">
        <f t="shared" ref="H3590:H3658" si="222">+MONTH(A3590)</f>
        <v>10</v>
      </c>
      <c r="I3590" s="11">
        <f t="shared" si="220"/>
        <v>118</v>
      </c>
      <c r="J3590" s="11"/>
    </row>
    <row r="3591" spans="1:10" x14ac:dyDescent="0.25">
      <c r="A3591" s="2">
        <v>44129</v>
      </c>
      <c r="B3591" s="3">
        <v>579</v>
      </c>
      <c r="C3591" s="4">
        <v>170081.25</v>
      </c>
      <c r="D3591" s="3">
        <v>254</v>
      </c>
      <c r="E3591" s="4">
        <v>185420</v>
      </c>
      <c r="G3591" s="12">
        <f t="shared" si="221"/>
        <v>2020</v>
      </c>
      <c r="H3591" s="12">
        <f t="shared" si="222"/>
        <v>10</v>
      </c>
      <c r="I3591" s="11">
        <f t="shared" ref="I3591:I3654" si="223">+H3591+(G3591-2011)*12</f>
        <v>118</v>
      </c>
      <c r="J3591" s="11"/>
    </row>
    <row r="3592" spans="1:10" x14ac:dyDescent="0.25">
      <c r="A3592" s="2">
        <v>44130</v>
      </c>
      <c r="B3592" s="3">
        <v>680</v>
      </c>
      <c r="C3592" s="4">
        <v>199750</v>
      </c>
      <c r="D3592" s="3">
        <v>331</v>
      </c>
      <c r="E3592" s="4">
        <v>241630</v>
      </c>
      <c r="G3592" s="12">
        <f t="shared" si="221"/>
        <v>2020</v>
      </c>
      <c r="H3592" s="12">
        <f t="shared" si="222"/>
        <v>10</v>
      </c>
      <c r="I3592" s="11">
        <f t="shared" si="223"/>
        <v>118</v>
      </c>
      <c r="J3592" s="11"/>
    </row>
    <row r="3593" spans="1:10" x14ac:dyDescent="0.25">
      <c r="A3593" s="2">
        <v>44131</v>
      </c>
      <c r="B3593" s="3">
        <v>566</v>
      </c>
      <c r="C3593" s="4">
        <v>166262.5</v>
      </c>
      <c r="D3593" s="3">
        <v>279</v>
      </c>
      <c r="E3593" s="4">
        <v>203670</v>
      </c>
      <c r="G3593" s="12">
        <f t="shared" si="221"/>
        <v>2020</v>
      </c>
      <c r="H3593" s="12">
        <f t="shared" si="222"/>
        <v>10</v>
      </c>
      <c r="I3593" s="11">
        <f t="shared" si="223"/>
        <v>118</v>
      </c>
      <c r="J3593" s="11"/>
    </row>
    <row r="3594" spans="1:10" x14ac:dyDescent="0.25">
      <c r="A3594" s="2">
        <v>44132</v>
      </c>
      <c r="B3594" s="3">
        <v>577</v>
      </c>
      <c r="C3594" s="4">
        <v>169493.75</v>
      </c>
      <c r="D3594" s="3">
        <v>295</v>
      </c>
      <c r="E3594" s="4">
        <v>215350</v>
      </c>
      <c r="G3594" s="12">
        <f t="shared" si="221"/>
        <v>2020</v>
      </c>
      <c r="H3594" s="12">
        <f t="shared" si="222"/>
        <v>10</v>
      </c>
      <c r="I3594" s="11">
        <f t="shared" si="223"/>
        <v>118</v>
      </c>
      <c r="J3594" s="11"/>
    </row>
    <row r="3595" spans="1:10" x14ac:dyDescent="0.25">
      <c r="A3595" s="2">
        <v>44133</v>
      </c>
      <c r="B3595" s="3">
        <v>600</v>
      </c>
      <c r="C3595" s="4">
        <v>176250</v>
      </c>
      <c r="D3595" s="3">
        <v>339</v>
      </c>
      <c r="E3595" s="4">
        <v>247470</v>
      </c>
      <c r="G3595" s="12">
        <f t="shared" si="221"/>
        <v>2020</v>
      </c>
      <c r="H3595" s="12">
        <f t="shared" si="222"/>
        <v>10</v>
      </c>
      <c r="I3595" s="11">
        <f t="shared" si="223"/>
        <v>118</v>
      </c>
      <c r="J3595" s="11"/>
    </row>
    <row r="3596" spans="1:10" x14ac:dyDescent="0.25">
      <c r="A3596" s="2">
        <v>44134</v>
      </c>
      <c r="B3596" s="3">
        <v>593</v>
      </c>
      <c r="C3596" s="4">
        <v>174193.75</v>
      </c>
      <c r="D3596" s="3">
        <v>317</v>
      </c>
      <c r="E3596" s="4">
        <v>231410</v>
      </c>
      <c r="G3596" s="12">
        <f t="shared" si="221"/>
        <v>2020</v>
      </c>
      <c r="H3596" s="12">
        <f t="shared" si="222"/>
        <v>10</v>
      </c>
      <c r="I3596" s="11">
        <f t="shared" si="223"/>
        <v>118</v>
      </c>
      <c r="J3596" s="11"/>
    </row>
    <row r="3597" spans="1:10" x14ac:dyDescent="0.25">
      <c r="A3597" s="2">
        <v>44135</v>
      </c>
      <c r="B3597" s="3">
        <v>622</v>
      </c>
      <c r="C3597" s="4">
        <v>182712.5</v>
      </c>
      <c r="D3597" s="3">
        <v>308</v>
      </c>
      <c r="E3597" s="4">
        <v>224840</v>
      </c>
      <c r="G3597" s="12">
        <f t="shared" si="221"/>
        <v>2020</v>
      </c>
      <c r="H3597" s="12">
        <f t="shared" si="222"/>
        <v>10</v>
      </c>
      <c r="I3597" s="11">
        <f t="shared" si="223"/>
        <v>118</v>
      </c>
      <c r="J3597" s="11"/>
    </row>
    <row r="3598" spans="1:10" x14ac:dyDescent="0.25">
      <c r="A3598" s="2">
        <v>44136</v>
      </c>
      <c r="B3598" s="3">
        <v>476</v>
      </c>
      <c r="C3598" s="4">
        <v>223720</v>
      </c>
      <c r="D3598" s="3">
        <v>243</v>
      </c>
      <c r="E3598" s="4">
        <v>177390</v>
      </c>
      <c r="G3598" s="12">
        <f t="shared" si="221"/>
        <v>2020</v>
      </c>
      <c r="H3598" s="12">
        <f t="shared" si="222"/>
        <v>11</v>
      </c>
      <c r="I3598" s="11">
        <f t="shared" si="223"/>
        <v>119</v>
      </c>
      <c r="J3598" s="11"/>
    </row>
    <row r="3599" spans="1:10" x14ac:dyDescent="0.25">
      <c r="A3599" s="2">
        <v>44137</v>
      </c>
      <c r="B3599" s="3">
        <v>524</v>
      </c>
      <c r="C3599" s="4">
        <v>246280</v>
      </c>
      <c r="D3599" s="3">
        <v>254</v>
      </c>
      <c r="E3599" s="4">
        <v>185420</v>
      </c>
      <c r="G3599" s="12">
        <f t="shared" si="221"/>
        <v>2020</v>
      </c>
      <c r="H3599" s="12">
        <f t="shared" si="222"/>
        <v>11</v>
      </c>
      <c r="I3599" s="11">
        <f t="shared" si="223"/>
        <v>119</v>
      </c>
      <c r="J3599" s="11"/>
    </row>
    <row r="3600" spans="1:10" x14ac:dyDescent="0.25">
      <c r="A3600" s="2">
        <v>44138</v>
      </c>
      <c r="B3600" s="3">
        <v>458</v>
      </c>
      <c r="C3600" s="4">
        <v>215260</v>
      </c>
      <c r="D3600" s="3">
        <v>219</v>
      </c>
      <c r="E3600" s="4">
        <v>159870</v>
      </c>
      <c r="G3600" s="12">
        <f t="shared" si="221"/>
        <v>2020</v>
      </c>
      <c r="H3600" s="12">
        <f t="shared" si="222"/>
        <v>11</v>
      </c>
      <c r="I3600" s="11">
        <f t="shared" si="223"/>
        <v>119</v>
      </c>
      <c r="J3600" s="11"/>
    </row>
    <row r="3601" spans="1:10" x14ac:dyDescent="0.25">
      <c r="A3601" s="2">
        <v>44139</v>
      </c>
      <c r="B3601" s="3">
        <v>533</v>
      </c>
      <c r="C3601" s="4">
        <v>250510</v>
      </c>
      <c r="D3601" s="3">
        <v>307</v>
      </c>
      <c r="E3601" s="4">
        <v>224110</v>
      </c>
      <c r="G3601" s="12">
        <f t="shared" si="221"/>
        <v>2020</v>
      </c>
      <c r="H3601" s="12">
        <f t="shared" si="222"/>
        <v>11</v>
      </c>
      <c r="I3601" s="11">
        <f t="shared" si="223"/>
        <v>119</v>
      </c>
      <c r="J3601" s="11"/>
    </row>
    <row r="3602" spans="1:10" x14ac:dyDescent="0.25">
      <c r="A3602" s="2">
        <v>44140</v>
      </c>
      <c r="B3602" s="3">
        <v>405</v>
      </c>
      <c r="C3602" s="4">
        <v>190350</v>
      </c>
      <c r="D3602" s="3">
        <v>369</v>
      </c>
      <c r="E3602" s="4">
        <v>269370</v>
      </c>
      <c r="G3602" s="12">
        <f t="shared" si="221"/>
        <v>2020</v>
      </c>
      <c r="H3602" s="12">
        <f t="shared" si="222"/>
        <v>11</v>
      </c>
      <c r="I3602" s="11">
        <f t="shared" si="223"/>
        <v>119</v>
      </c>
      <c r="J3602" s="11"/>
    </row>
    <row r="3603" spans="1:10" x14ac:dyDescent="0.25">
      <c r="A3603" s="2">
        <v>44141</v>
      </c>
      <c r="B3603" s="3">
        <v>426</v>
      </c>
      <c r="C3603" s="4">
        <v>200220</v>
      </c>
      <c r="D3603" s="3">
        <v>252</v>
      </c>
      <c r="E3603" s="4">
        <v>183960</v>
      </c>
      <c r="G3603" s="12">
        <f t="shared" si="221"/>
        <v>2020</v>
      </c>
      <c r="H3603" s="12">
        <f t="shared" si="222"/>
        <v>11</v>
      </c>
      <c r="I3603" s="11">
        <f t="shared" si="223"/>
        <v>119</v>
      </c>
      <c r="J3603" s="11"/>
    </row>
    <row r="3604" spans="1:10" x14ac:dyDescent="0.25">
      <c r="A3604" s="2">
        <v>44142</v>
      </c>
      <c r="B3604" s="3">
        <v>467</v>
      </c>
      <c r="C3604" s="4">
        <v>219490</v>
      </c>
      <c r="D3604" s="3">
        <v>311</v>
      </c>
      <c r="E3604" s="4">
        <v>227030</v>
      </c>
      <c r="G3604" s="12">
        <f t="shared" si="221"/>
        <v>2020</v>
      </c>
      <c r="H3604" s="12">
        <f t="shared" si="222"/>
        <v>11</v>
      </c>
      <c r="I3604" s="11">
        <f t="shared" si="223"/>
        <v>119</v>
      </c>
      <c r="J3604" s="11"/>
    </row>
    <row r="3605" spans="1:10" x14ac:dyDescent="0.25">
      <c r="A3605" s="2">
        <v>44143</v>
      </c>
      <c r="B3605" s="3">
        <v>530</v>
      </c>
      <c r="C3605" s="4">
        <v>249100</v>
      </c>
      <c r="D3605" s="3">
        <v>300</v>
      </c>
      <c r="E3605" s="4">
        <v>219000</v>
      </c>
      <c r="G3605" s="12">
        <f t="shared" si="221"/>
        <v>2020</v>
      </c>
      <c r="H3605" s="12">
        <f t="shared" si="222"/>
        <v>11</v>
      </c>
      <c r="I3605" s="11">
        <f t="shared" si="223"/>
        <v>119</v>
      </c>
      <c r="J3605" s="11"/>
    </row>
    <row r="3606" spans="1:10" x14ac:dyDescent="0.25">
      <c r="A3606" s="2">
        <v>44144</v>
      </c>
      <c r="B3606" s="3">
        <v>554</v>
      </c>
      <c r="C3606" s="4">
        <v>260380</v>
      </c>
      <c r="D3606" s="3">
        <v>297</v>
      </c>
      <c r="E3606" s="4">
        <v>216810</v>
      </c>
      <c r="G3606" s="12">
        <f t="shared" si="221"/>
        <v>2020</v>
      </c>
      <c r="H3606" s="12">
        <f t="shared" si="222"/>
        <v>11</v>
      </c>
      <c r="I3606" s="11">
        <f t="shared" si="223"/>
        <v>119</v>
      </c>
      <c r="J3606" s="11"/>
    </row>
    <row r="3607" spans="1:10" x14ac:dyDescent="0.25">
      <c r="A3607" s="2">
        <v>44145</v>
      </c>
      <c r="B3607" s="3">
        <v>487</v>
      </c>
      <c r="C3607" s="4">
        <v>228890</v>
      </c>
      <c r="D3607" s="3">
        <v>281</v>
      </c>
      <c r="E3607" s="4">
        <v>205130</v>
      </c>
      <c r="G3607" s="12">
        <f t="shared" si="221"/>
        <v>2020</v>
      </c>
      <c r="H3607" s="12">
        <f t="shared" si="222"/>
        <v>11</v>
      </c>
      <c r="I3607" s="11">
        <f t="shared" si="223"/>
        <v>119</v>
      </c>
      <c r="J3607" s="11"/>
    </row>
    <row r="3608" spans="1:10" x14ac:dyDescent="0.25">
      <c r="A3608" s="2">
        <v>44146</v>
      </c>
      <c r="B3608" s="3">
        <v>492</v>
      </c>
      <c r="C3608" s="4">
        <v>231240</v>
      </c>
      <c r="D3608" s="3">
        <v>289</v>
      </c>
      <c r="E3608" s="4">
        <v>210970</v>
      </c>
      <c r="G3608" s="12">
        <f t="shared" si="221"/>
        <v>2020</v>
      </c>
      <c r="H3608" s="12">
        <f t="shared" si="222"/>
        <v>11</v>
      </c>
      <c r="I3608" s="11">
        <f t="shared" si="223"/>
        <v>119</v>
      </c>
      <c r="J3608" s="11"/>
    </row>
    <row r="3609" spans="1:10" x14ac:dyDescent="0.25">
      <c r="A3609" s="2">
        <v>44147</v>
      </c>
      <c r="B3609" s="3">
        <v>457</v>
      </c>
      <c r="C3609" s="4">
        <v>214790</v>
      </c>
      <c r="D3609" s="3">
        <v>289</v>
      </c>
      <c r="E3609" s="4">
        <v>210970</v>
      </c>
      <c r="G3609" s="12">
        <f t="shared" si="221"/>
        <v>2020</v>
      </c>
      <c r="H3609" s="12">
        <f t="shared" si="222"/>
        <v>11</v>
      </c>
      <c r="I3609" s="11">
        <f t="shared" si="223"/>
        <v>119</v>
      </c>
      <c r="J3609" s="11"/>
    </row>
    <row r="3610" spans="1:10" x14ac:dyDescent="0.25">
      <c r="A3610" s="2">
        <v>44148</v>
      </c>
      <c r="B3610" s="3">
        <v>456</v>
      </c>
      <c r="C3610" s="4">
        <v>214320</v>
      </c>
      <c r="D3610" s="3">
        <v>344</v>
      </c>
      <c r="E3610" s="4">
        <v>251120</v>
      </c>
      <c r="G3610" s="12">
        <f t="shared" si="221"/>
        <v>2020</v>
      </c>
      <c r="H3610" s="12">
        <f t="shared" si="222"/>
        <v>11</v>
      </c>
      <c r="I3610" s="11">
        <f t="shared" si="223"/>
        <v>119</v>
      </c>
      <c r="J3610" s="11"/>
    </row>
    <row r="3611" spans="1:10" x14ac:dyDescent="0.25">
      <c r="A3611" s="2">
        <v>44149</v>
      </c>
      <c r="B3611" s="3">
        <v>508</v>
      </c>
      <c r="C3611" s="4">
        <v>238760</v>
      </c>
      <c r="D3611" s="3">
        <v>287</v>
      </c>
      <c r="E3611" s="4">
        <v>209510</v>
      </c>
      <c r="G3611" s="12">
        <f t="shared" si="221"/>
        <v>2020</v>
      </c>
      <c r="H3611" s="12">
        <f t="shared" si="222"/>
        <v>11</v>
      </c>
      <c r="I3611" s="11">
        <f t="shared" si="223"/>
        <v>119</v>
      </c>
      <c r="J3611" s="11"/>
    </row>
    <row r="3612" spans="1:10" x14ac:dyDescent="0.25">
      <c r="A3612" s="2">
        <v>44150</v>
      </c>
      <c r="B3612" s="3">
        <v>461</v>
      </c>
      <c r="C3612" s="4">
        <v>216670</v>
      </c>
      <c r="D3612" s="3">
        <v>215</v>
      </c>
      <c r="E3612" s="4">
        <v>156950</v>
      </c>
      <c r="G3612" s="12">
        <f t="shared" si="221"/>
        <v>2020</v>
      </c>
      <c r="H3612" s="12">
        <f t="shared" si="222"/>
        <v>11</v>
      </c>
      <c r="I3612" s="11">
        <f t="shared" si="223"/>
        <v>119</v>
      </c>
      <c r="J3612" s="11"/>
    </row>
    <row r="3613" spans="1:10" x14ac:dyDescent="0.25">
      <c r="A3613" s="2">
        <v>44151</v>
      </c>
      <c r="B3613" s="3">
        <v>496</v>
      </c>
      <c r="C3613" s="4">
        <v>233120</v>
      </c>
      <c r="D3613" s="3">
        <v>329</v>
      </c>
      <c r="E3613" s="4">
        <v>240170</v>
      </c>
      <c r="G3613" s="12">
        <f t="shared" si="221"/>
        <v>2020</v>
      </c>
      <c r="H3613" s="12">
        <f t="shared" si="222"/>
        <v>11</v>
      </c>
      <c r="I3613" s="11">
        <f t="shared" si="223"/>
        <v>119</v>
      </c>
      <c r="J3613" s="11"/>
    </row>
    <row r="3614" spans="1:10" x14ac:dyDescent="0.25">
      <c r="A3614" s="2">
        <v>44152</v>
      </c>
      <c r="B3614" s="3">
        <v>486</v>
      </c>
      <c r="C3614" s="4">
        <v>228420</v>
      </c>
      <c r="D3614" s="3">
        <v>343</v>
      </c>
      <c r="E3614" s="4">
        <v>250390</v>
      </c>
      <c r="G3614" s="12">
        <f t="shared" si="221"/>
        <v>2020</v>
      </c>
      <c r="H3614" s="12">
        <f t="shared" si="222"/>
        <v>11</v>
      </c>
      <c r="I3614" s="11">
        <f t="shared" si="223"/>
        <v>119</v>
      </c>
      <c r="J3614" s="11"/>
    </row>
    <row r="3615" spans="1:10" x14ac:dyDescent="0.25">
      <c r="A3615" s="2">
        <v>44153</v>
      </c>
      <c r="B3615" s="3">
        <v>421</v>
      </c>
      <c r="C3615" s="4">
        <v>197870</v>
      </c>
      <c r="D3615" s="3">
        <v>292</v>
      </c>
      <c r="E3615" s="4">
        <v>213160</v>
      </c>
      <c r="G3615" s="12">
        <f t="shared" si="221"/>
        <v>2020</v>
      </c>
      <c r="H3615" s="12">
        <f t="shared" si="222"/>
        <v>11</v>
      </c>
      <c r="I3615" s="11">
        <f t="shared" si="223"/>
        <v>119</v>
      </c>
      <c r="J3615" s="11"/>
    </row>
    <row r="3616" spans="1:10" x14ac:dyDescent="0.25">
      <c r="A3616" s="2">
        <v>44154</v>
      </c>
      <c r="B3616" s="3">
        <v>482</v>
      </c>
      <c r="C3616" s="4">
        <v>226540</v>
      </c>
      <c r="D3616" s="3">
        <v>325</v>
      </c>
      <c r="E3616" s="4">
        <v>237250</v>
      </c>
      <c r="G3616" s="12">
        <f t="shared" si="221"/>
        <v>2020</v>
      </c>
      <c r="H3616" s="12">
        <f t="shared" si="222"/>
        <v>11</v>
      </c>
      <c r="I3616" s="11">
        <f t="shared" si="223"/>
        <v>119</v>
      </c>
      <c r="J3616" s="11"/>
    </row>
    <row r="3617" spans="1:10" x14ac:dyDescent="0.25">
      <c r="A3617" s="2">
        <v>44155</v>
      </c>
      <c r="B3617" s="3">
        <v>431</v>
      </c>
      <c r="C3617" s="4">
        <v>202570</v>
      </c>
      <c r="D3617" s="3">
        <v>298</v>
      </c>
      <c r="E3617" s="4">
        <v>217540</v>
      </c>
      <c r="G3617" s="12">
        <f t="shared" si="221"/>
        <v>2020</v>
      </c>
      <c r="H3617" s="12">
        <f t="shared" si="222"/>
        <v>11</v>
      </c>
      <c r="I3617" s="11">
        <f t="shared" si="223"/>
        <v>119</v>
      </c>
      <c r="J3617" s="11"/>
    </row>
    <row r="3618" spans="1:10" x14ac:dyDescent="0.25">
      <c r="A3618" s="2">
        <v>44156</v>
      </c>
      <c r="B3618" s="3">
        <v>456</v>
      </c>
      <c r="C3618" s="4">
        <v>214320</v>
      </c>
      <c r="D3618" s="3">
        <v>254</v>
      </c>
      <c r="E3618" s="4">
        <v>185420</v>
      </c>
      <c r="G3618" s="12">
        <f t="shared" si="221"/>
        <v>2020</v>
      </c>
      <c r="H3618" s="12">
        <f t="shared" si="222"/>
        <v>11</v>
      </c>
      <c r="I3618" s="11">
        <f t="shared" si="223"/>
        <v>119</v>
      </c>
      <c r="J3618" s="11"/>
    </row>
    <row r="3619" spans="1:10" x14ac:dyDescent="0.25">
      <c r="A3619" s="2">
        <v>44157</v>
      </c>
      <c r="B3619" s="3">
        <v>431</v>
      </c>
      <c r="C3619" s="4">
        <v>202570</v>
      </c>
      <c r="D3619" s="3">
        <v>265</v>
      </c>
      <c r="E3619" s="4">
        <v>193450</v>
      </c>
      <c r="G3619" s="12">
        <f t="shared" si="221"/>
        <v>2020</v>
      </c>
      <c r="H3619" s="12">
        <f t="shared" si="222"/>
        <v>11</v>
      </c>
      <c r="I3619" s="11">
        <f t="shared" si="223"/>
        <v>119</v>
      </c>
      <c r="J3619" s="11"/>
    </row>
    <row r="3620" spans="1:10" x14ac:dyDescent="0.25">
      <c r="A3620" s="2">
        <v>44158</v>
      </c>
      <c r="B3620" s="3">
        <v>421</v>
      </c>
      <c r="C3620" s="4">
        <v>197870</v>
      </c>
      <c r="D3620" s="3">
        <v>268</v>
      </c>
      <c r="E3620" s="4">
        <v>195640</v>
      </c>
      <c r="G3620" s="12">
        <f t="shared" si="221"/>
        <v>2020</v>
      </c>
      <c r="H3620" s="12">
        <f t="shared" si="222"/>
        <v>11</v>
      </c>
      <c r="I3620" s="11">
        <f t="shared" si="223"/>
        <v>119</v>
      </c>
      <c r="J3620" s="11"/>
    </row>
    <row r="3621" spans="1:10" x14ac:dyDescent="0.25">
      <c r="A3621" s="2">
        <v>44159</v>
      </c>
      <c r="B3621" s="3">
        <v>544</v>
      </c>
      <c r="C3621" s="4">
        <v>255680</v>
      </c>
      <c r="D3621" s="3">
        <v>321</v>
      </c>
      <c r="E3621" s="4">
        <v>234330</v>
      </c>
      <c r="G3621" s="12">
        <f t="shared" si="221"/>
        <v>2020</v>
      </c>
      <c r="H3621" s="12">
        <f t="shared" si="222"/>
        <v>11</v>
      </c>
      <c r="I3621" s="11">
        <f t="shared" si="223"/>
        <v>119</v>
      </c>
      <c r="J3621" s="11"/>
    </row>
    <row r="3622" spans="1:10" x14ac:dyDescent="0.25">
      <c r="A3622" s="2">
        <v>44160</v>
      </c>
      <c r="B3622" s="3">
        <v>512</v>
      </c>
      <c r="C3622" s="4">
        <v>240640</v>
      </c>
      <c r="D3622" s="3">
        <v>288</v>
      </c>
      <c r="E3622" s="4">
        <v>210240</v>
      </c>
      <c r="G3622" s="12">
        <f t="shared" si="221"/>
        <v>2020</v>
      </c>
      <c r="H3622" s="12">
        <f t="shared" si="222"/>
        <v>11</v>
      </c>
      <c r="I3622" s="11">
        <f t="shared" si="223"/>
        <v>119</v>
      </c>
      <c r="J3622" s="11"/>
    </row>
    <row r="3623" spans="1:10" x14ac:dyDescent="0.25">
      <c r="A3623" s="2">
        <v>44161</v>
      </c>
      <c r="B3623" s="3">
        <v>449</v>
      </c>
      <c r="C3623" s="4">
        <v>211030</v>
      </c>
      <c r="D3623" s="3">
        <v>305</v>
      </c>
      <c r="E3623" s="4">
        <v>222650</v>
      </c>
      <c r="G3623" s="12">
        <f t="shared" si="221"/>
        <v>2020</v>
      </c>
      <c r="H3623" s="12">
        <f t="shared" si="222"/>
        <v>11</v>
      </c>
      <c r="I3623" s="11">
        <f t="shared" si="223"/>
        <v>119</v>
      </c>
      <c r="J3623" s="11"/>
    </row>
    <row r="3624" spans="1:10" x14ac:dyDescent="0.25">
      <c r="A3624" s="2">
        <v>44162</v>
      </c>
      <c r="B3624" s="3">
        <v>434</v>
      </c>
      <c r="C3624" s="4">
        <v>203980</v>
      </c>
      <c r="D3624" s="3">
        <v>291</v>
      </c>
      <c r="E3624" s="4">
        <v>212430</v>
      </c>
      <c r="G3624" s="12">
        <f t="shared" si="221"/>
        <v>2020</v>
      </c>
      <c r="H3624" s="12">
        <f t="shared" si="222"/>
        <v>11</v>
      </c>
      <c r="I3624" s="11">
        <f t="shared" si="223"/>
        <v>119</v>
      </c>
      <c r="J3624" s="11"/>
    </row>
    <row r="3625" spans="1:10" x14ac:dyDescent="0.25">
      <c r="A3625" s="2">
        <v>44163</v>
      </c>
      <c r="B3625" s="3">
        <v>435</v>
      </c>
      <c r="C3625" s="4">
        <v>204450</v>
      </c>
      <c r="D3625" s="3">
        <v>332</v>
      </c>
      <c r="E3625" s="4">
        <v>242360</v>
      </c>
      <c r="G3625" s="12">
        <f t="shared" si="221"/>
        <v>2020</v>
      </c>
      <c r="H3625" s="12">
        <f t="shared" si="222"/>
        <v>11</v>
      </c>
      <c r="I3625" s="11">
        <f t="shared" si="223"/>
        <v>119</v>
      </c>
      <c r="J3625" s="11"/>
    </row>
    <row r="3626" spans="1:10" x14ac:dyDescent="0.25">
      <c r="A3626" s="2">
        <v>44164</v>
      </c>
      <c r="B3626" s="3">
        <v>477</v>
      </c>
      <c r="C3626" s="4">
        <v>224190</v>
      </c>
      <c r="D3626" s="3">
        <v>305</v>
      </c>
      <c r="E3626" s="4">
        <v>222650</v>
      </c>
      <c r="G3626" s="12">
        <f t="shared" si="221"/>
        <v>2020</v>
      </c>
      <c r="H3626" s="12">
        <f t="shared" si="222"/>
        <v>11</v>
      </c>
      <c r="I3626" s="11">
        <f t="shared" si="223"/>
        <v>119</v>
      </c>
      <c r="J3626" s="11"/>
    </row>
    <row r="3627" spans="1:10" x14ac:dyDescent="0.25">
      <c r="A3627" s="2">
        <v>44165</v>
      </c>
      <c r="B3627" s="3">
        <v>523</v>
      </c>
      <c r="C3627" s="4">
        <v>245810</v>
      </c>
      <c r="D3627" s="3">
        <v>318</v>
      </c>
      <c r="E3627" s="4">
        <v>232140</v>
      </c>
      <c r="G3627" s="12">
        <f t="shared" si="221"/>
        <v>2020</v>
      </c>
      <c r="H3627" s="12">
        <f t="shared" si="222"/>
        <v>11</v>
      </c>
      <c r="I3627" s="11">
        <f t="shared" si="223"/>
        <v>119</v>
      </c>
      <c r="J3627" s="11"/>
    </row>
    <row r="3628" spans="1:10" x14ac:dyDescent="0.25">
      <c r="A3628" s="2">
        <v>44166</v>
      </c>
      <c r="B3628" s="3">
        <v>529</v>
      </c>
      <c r="C3628" s="4">
        <v>248630</v>
      </c>
      <c r="D3628" s="3">
        <v>277</v>
      </c>
      <c r="E3628" s="4">
        <v>202210</v>
      </c>
      <c r="G3628" s="12">
        <f t="shared" si="221"/>
        <v>2020</v>
      </c>
      <c r="H3628" s="12">
        <f t="shared" si="222"/>
        <v>12</v>
      </c>
      <c r="I3628" s="11">
        <f t="shared" si="223"/>
        <v>120</v>
      </c>
      <c r="J3628" s="11"/>
    </row>
    <row r="3629" spans="1:10" x14ac:dyDescent="0.25">
      <c r="A3629" s="2">
        <v>44167</v>
      </c>
      <c r="B3629" s="3">
        <v>499</v>
      </c>
      <c r="C3629" s="4">
        <v>234530</v>
      </c>
      <c r="D3629" s="3">
        <v>294</v>
      </c>
      <c r="E3629" s="4">
        <v>214620</v>
      </c>
      <c r="G3629" s="12">
        <f t="shared" si="221"/>
        <v>2020</v>
      </c>
      <c r="H3629" s="12">
        <f t="shared" si="222"/>
        <v>12</v>
      </c>
      <c r="I3629" s="11">
        <f t="shared" si="223"/>
        <v>120</v>
      </c>
      <c r="J3629" s="11"/>
    </row>
    <row r="3630" spans="1:10" x14ac:dyDescent="0.25">
      <c r="A3630" s="2">
        <v>44168</v>
      </c>
      <c r="B3630" s="3">
        <v>523</v>
      </c>
      <c r="C3630" s="4">
        <v>245810</v>
      </c>
      <c r="D3630" s="3">
        <v>241</v>
      </c>
      <c r="E3630" s="4">
        <v>175930</v>
      </c>
      <c r="G3630" s="12">
        <f t="shared" si="221"/>
        <v>2020</v>
      </c>
      <c r="H3630" s="12">
        <f t="shared" si="222"/>
        <v>12</v>
      </c>
      <c r="I3630" s="11">
        <f t="shared" si="223"/>
        <v>120</v>
      </c>
      <c r="J3630" s="11"/>
    </row>
    <row r="3631" spans="1:10" x14ac:dyDescent="0.25">
      <c r="A3631" s="2">
        <v>44169</v>
      </c>
      <c r="B3631" s="3">
        <v>516</v>
      </c>
      <c r="C3631" s="4">
        <v>242520</v>
      </c>
      <c r="D3631" s="3">
        <v>358</v>
      </c>
      <c r="E3631" s="4">
        <v>261340</v>
      </c>
      <c r="G3631" s="12">
        <f t="shared" si="221"/>
        <v>2020</v>
      </c>
      <c r="H3631" s="12">
        <f t="shared" si="222"/>
        <v>12</v>
      </c>
      <c r="I3631" s="11">
        <f t="shared" si="223"/>
        <v>120</v>
      </c>
      <c r="J3631" s="11"/>
    </row>
    <row r="3632" spans="1:10" x14ac:dyDescent="0.25">
      <c r="A3632" s="2">
        <v>44170</v>
      </c>
      <c r="B3632" s="3">
        <v>437</v>
      </c>
      <c r="C3632" s="4">
        <v>205390</v>
      </c>
      <c r="D3632" s="3">
        <v>311</v>
      </c>
      <c r="E3632" s="4">
        <v>227030</v>
      </c>
      <c r="G3632" s="12">
        <f t="shared" si="221"/>
        <v>2020</v>
      </c>
      <c r="H3632" s="12">
        <f t="shared" si="222"/>
        <v>12</v>
      </c>
      <c r="I3632" s="11">
        <f t="shared" si="223"/>
        <v>120</v>
      </c>
      <c r="J3632" s="11"/>
    </row>
    <row r="3633" spans="1:10" x14ac:dyDescent="0.25">
      <c r="A3633" s="2">
        <v>44171</v>
      </c>
      <c r="B3633" s="3">
        <v>455</v>
      </c>
      <c r="C3633" s="4">
        <v>213850</v>
      </c>
      <c r="D3633" s="3">
        <v>303</v>
      </c>
      <c r="E3633" s="4">
        <v>221190</v>
      </c>
      <c r="G3633" s="12">
        <f t="shared" si="221"/>
        <v>2020</v>
      </c>
      <c r="H3633" s="12">
        <f t="shared" si="222"/>
        <v>12</v>
      </c>
      <c r="I3633" s="11">
        <f t="shared" si="223"/>
        <v>120</v>
      </c>
      <c r="J3633" s="11"/>
    </row>
    <row r="3634" spans="1:10" x14ac:dyDescent="0.25">
      <c r="A3634" s="2">
        <v>44172</v>
      </c>
      <c r="B3634" s="3">
        <v>497</v>
      </c>
      <c r="C3634" s="4">
        <v>233590</v>
      </c>
      <c r="D3634" s="3">
        <v>260</v>
      </c>
      <c r="E3634" s="4">
        <v>189800</v>
      </c>
      <c r="G3634" s="12">
        <f t="shared" si="221"/>
        <v>2020</v>
      </c>
      <c r="H3634" s="12">
        <f t="shared" si="222"/>
        <v>12</v>
      </c>
      <c r="I3634" s="11">
        <f t="shared" si="223"/>
        <v>120</v>
      </c>
      <c r="J3634" s="11"/>
    </row>
    <row r="3635" spans="1:10" x14ac:dyDescent="0.25">
      <c r="A3635" s="2">
        <v>44173</v>
      </c>
      <c r="B3635" s="3">
        <v>549</v>
      </c>
      <c r="C3635" s="4">
        <v>258030</v>
      </c>
      <c r="D3635" s="3">
        <v>296</v>
      </c>
      <c r="E3635" s="4">
        <v>216080</v>
      </c>
      <c r="G3635" s="12">
        <f t="shared" si="221"/>
        <v>2020</v>
      </c>
      <c r="H3635" s="12">
        <f t="shared" si="222"/>
        <v>12</v>
      </c>
      <c r="I3635" s="11">
        <f t="shared" si="223"/>
        <v>120</v>
      </c>
      <c r="J3635" s="11"/>
    </row>
    <row r="3636" spans="1:10" x14ac:dyDescent="0.25">
      <c r="A3636" s="2">
        <v>44174</v>
      </c>
      <c r="B3636" s="3">
        <v>378</v>
      </c>
      <c r="C3636" s="4">
        <v>177660</v>
      </c>
      <c r="D3636" s="3">
        <v>284</v>
      </c>
      <c r="E3636" s="4">
        <v>207320</v>
      </c>
      <c r="G3636" s="12">
        <f t="shared" si="221"/>
        <v>2020</v>
      </c>
      <c r="H3636" s="12">
        <f t="shared" si="222"/>
        <v>12</v>
      </c>
      <c r="I3636" s="11">
        <f t="shared" si="223"/>
        <v>120</v>
      </c>
      <c r="J3636" s="11"/>
    </row>
    <row r="3637" spans="1:10" x14ac:dyDescent="0.25">
      <c r="A3637" s="2">
        <v>44175</v>
      </c>
      <c r="B3637" s="3">
        <v>559</v>
      </c>
      <c r="C3637" s="4">
        <v>262730</v>
      </c>
      <c r="D3637" s="3">
        <v>344</v>
      </c>
      <c r="E3637" s="4">
        <v>251120</v>
      </c>
      <c r="G3637" s="12">
        <f t="shared" si="221"/>
        <v>2020</v>
      </c>
      <c r="H3637" s="12">
        <f t="shared" si="222"/>
        <v>12</v>
      </c>
      <c r="I3637" s="11">
        <f t="shared" si="223"/>
        <v>120</v>
      </c>
      <c r="J3637" s="11"/>
    </row>
    <row r="3638" spans="1:10" x14ac:dyDescent="0.25">
      <c r="A3638" s="2">
        <v>44176</v>
      </c>
      <c r="B3638" s="3">
        <v>490</v>
      </c>
      <c r="C3638" s="4">
        <v>230300</v>
      </c>
      <c r="D3638" s="3">
        <v>239</v>
      </c>
      <c r="E3638" s="4">
        <v>174470</v>
      </c>
      <c r="G3638" s="12">
        <f t="shared" si="221"/>
        <v>2020</v>
      </c>
      <c r="H3638" s="12">
        <f t="shared" si="222"/>
        <v>12</v>
      </c>
      <c r="I3638" s="11">
        <f t="shared" si="223"/>
        <v>120</v>
      </c>
      <c r="J3638" s="11"/>
    </row>
    <row r="3639" spans="1:10" x14ac:dyDescent="0.25">
      <c r="A3639" s="2">
        <v>44177</v>
      </c>
      <c r="B3639" s="3">
        <v>519</v>
      </c>
      <c r="C3639" s="4">
        <v>243930</v>
      </c>
      <c r="D3639" s="3">
        <v>334</v>
      </c>
      <c r="E3639" s="4">
        <v>243820</v>
      </c>
      <c r="G3639" s="12">
        <f t="shared" si="221"/>
        <v>2020</v>
      </c>
      <c r="H3639" s="12">
        <f t="shared" si="222"/>
        <v>12</v>
      </c>
      <c r="I3639" s="11">
        <f t="shared" si="223"/>
        <v>120</v>
      </c>
      <c r="J3639" s="11"/>
    </row>
    <row r="3640" spans="1:10" x14ac:dyDescent="0.25">
      <c r="A3640" s="2">
        <v>44178</v>
      </c>
      <c r="B3640" s="3">
        <v>478</v>
      </c>
      <c r="C3640" s="4">
        <v>224660</v>
      </c>
      <c r="D3640" s="3">
        <v>317</v>
      </c>
      <c r="E3640" s="4">
        <v>231410</v>
      </c>
      <c r="G3640" s="12">
        <f t="shared" si="221"/>
        <v>2020</v>
      </c>
      <c r="H3640" s="12">
        <f t="shared" si="222"/>
        <v>12</v>
      </c>
      <c r="I3640" s="11">
        <f t="shared" si="223"/>
        <v>120</v>
      </c>
      <c r="J3640" s="11"/>
    </row>
    <row r="3641" spans="1:10" x14ac:dyDescent="0.25">
      <c r="A3641" s="2">
        <v>44179</v>
      </c>
      <c r="B3641" s="3">
        <v>395</v>
      </c>
      <c r="C3641" s="4">
        <v>185650</v>
      </c>
      <c r="D3641" s="3">
        <v>344</v>
      </c>
      <c r="E3641" s="4">
        <v>251120</v>
      </c>
      <c r="G3641" s="12">
        <f t="shared" si="221"/>
        <v>2020</v>
      </c>
      <c r="H3641" s="12">
        <f t="shared" si="222"/>
        <v>12</v>
      </c>
      <c r="I3641" s="11">
        <f t="shared" si="223"/>
        <v>120</v>
      </c>
      <c r="J3641" s="11"/>
    </row>
    <row r="3642" spans="1:10" x14ac:dyDescent="0.25">
      <c r="A3642" s="2">
        <v>44180</v>
      </c>
      <c r="B3642" s="3">
        <v>490</v>
      </c>
      <c r="C3642" s="4">
        <v>230300</v>
      </c>
      <c r="D3642" s="3">
        <v>266</v>
      </c>
      <c r="E3642" s="4">
        <v>194180</v>
      </c>
      <c r="G3642" s="12">
        <f t="shared" si="221"/>
        <v>2020</v>
      </c>
      <c r="H3642" s="12">
        <f t="shared" si="222"/>
        <v>12</v>
      </c>
      <c r="I3642" s="11">
        <f t="shared" si="223"/>
        <v>120</v>
      </c>
      <c r="J3642" s="11"/>
    </row>
    <row r="3643" spans="1:10" x14ac:dyDescent="0.25">
      <c r="A3643" s="2">
        <v>44181</v>
      </c>
      <c r="B3643" s="3">
        <v>525</v>
      </c>
      <c r="C3643" s="4">
        <v>246750</v>
      </c>
      <c r="D3643" s="3">
        <v>276</v>
      </c>
      <c r="E3643" s="4">
        <v>201480</v>
      </c>
      <c r="G3643" s="12">
        <f t="shared" si="221"/>
        <v>2020</v>
      </c>
      <c r="H3643" s="12">
        <f t="shared" si="222"/>
        <v>12</v>
      </c>
      <c r="I3643" s="11">
        <f t="shared" si="223"/>
        <v>120</v>
      </c>
      <c r="J3643" s="11"/>
    </row>
    <row r="3644" spans="1:10" x14ac:dyDescent="0.25">
      <c r="A3644" s="2">
        <v>44182</v>
      </c>
      <c r="B3644" s="3">
        <v>479</v>
      </c>
      <c r="C3644" s="4">
        <v>225130</v>
      </c>
      <c r="D3644" s="3">
        <v>291</v>
      </c>
      <c r="E3644" s="4">
        <v>212430</v>
      </c>
      <c r="G3644" s="12">
        <f t="shared" si="221"/>
        <v>2020</v>
      </c>
      <c r="H3644" s="12">
        <f t="shared" si="222"/>
        <v>12</v>
      </c>
      <c r="I3644" s="11">
        <f t="shared" si="223"/>
        <v>120</v>
      </c>
      <c r="J3644" s="11"/>
    </row>
    <row r="3645" spans="1:10" x14ac:dyDescent="0.25">
      <c r="A3645" s="2">
        <v>44183</v>
      </c>
      <c r="B3645" s="3">
        <v>414</v>
      </c>
      <c r="C3645" s="4">
        <v>194580</v>
      </c>
      <c r="D3645" s="3">
        <v>295</v>
      </c>
      <c r="E3645" s="4">
        <v>215350</v>
      </c>
      <c r="G3645" s="12">
        <f t="shared" si="221"/>
        <v>2020</v>
      </c>
      <c r="H3645" s="12">
        <f t="shared" si="222"/>
        <v>12</v>
      </c>
      <c r="I3645" s="11">
        <f t="shared" si="223"/>
        <v>120</v>
      </c>
      <c r="J3645" s="11"/>
    </row>
    <row r="3646" spans="1:10" x14ac:dyDescent="0.25">
      <c r="A3646" s="2">
        <v>44184</v>
      </c>
      <c r="B3646" s="3">
        <v>404</v>
      </c>
      <c r="C3646" s="4">
        <v>189880</v>
      </c>
      <c r="D3646" s="3">
        <v>280</v>
      </c>
      <c r="E3646" s="4">
        <v>204400</v>
      </c>
      <c r="G3646" s="12">
        <f t="shared" si="221"/>
        <v>2020</v>
      </c>
      <c r="H3646" s="12">
        <f t="shared" si="222"/>
        <v>12</v>
      </c>
      <c r="I3646" s="11">
        <f t="shared" si="223"/>
        <v>120</v>
      </c>
      <c r="J3646" s="11"/>
    </row>
    <row r="3647" spans="1:10" x14ac:dyDescent="0.25">
      <c r="A3647" s="2">
        <v>44185</v>
      </c>
      <c r="B3647" s="3">
        <v>466</v>
      </c>
      <c r="C3647" s="4">
        <v>219020</v>
      </c>
      <c r="D3647" s="3">
        <v>294</v>
      </c>
      <c r="E3647" s="4">
        <v>214620</v>
      </c>
      <c r="G3647" s="12">
        <f t="shared" si="221"/>
        <v>2020</v>
      </c>
      <c r="H3647" s="12">
        <f t="shared" si="222"/>
        <v>12</v>
      </c>
      <c r="I3647" s="11">
        <f t="shared" si="223"/>
        <v>120</v>
      </c>
      <c r="J3647" s="11"/>
    </row>
    <row r="3648" spans="1:10" x14ac:dyDescent="0.25">
      <c r="A3648" s="2">
        <v>44186</v>
      </c>
      <c r="B3648" s="3">
        <v>482</v>
      </c>
      <c r="C3648" s="4">
        <v>226540</v>
      </c>
      <c r="D3648" s="3">
        <v>261</v>
      </c>
      <c r="E3648" s="4">
        <v>190530</v>
      </c>
      <c r="G3648" s="12">
        <f t="shared" si="221"/>
        <v>2020</v>
      </c>
      <c r="H3648" s="12">
        <f t="shared" si="222"/>
        <v>12</v>
      </c>
      <c r="I3648" s="11">
        <f t="shared" si="223"/>
        <v>120</v>
      </c>
      <c r="J3648" s="11"/>
    </row>
    <row r="3649" spans="1:10" x14ac:dyDescent="0.25">
      <c r="A3649" s="2">
        <v>44187</v>
      </c>
      <c r="B3649" s="3">
        <v>435</v>
      </c>
      <c r="C3649" s="4">
        <v>204450</v>
      </c>
      <c r="D3649" s="3">
        <v>390</v>
      </c>
      <c r="E3649" s="4">
        <v>284700</v>
      </c>
      <c r="G3649" s="12">
        <f t="shared" si="221"/>
        <v>2020</v>
      </c>
      <c r="H3649" s="12">
        <f t="shared" si="222"/>
        <v>12</v>
      </c>
      <c r="I3649" s="11">
        <f t="shared" si="223"/>
        <v>120</v>
      </c>
      <c r="J3649" s="11"/>
    </row>
    <row r="3650" spans="1:10" x14ac:dyDescent="0.25">
      <c r="A3650" s="2">
        <v>44188</v>
      </c>
      <c r="B3650" s="3">
        <v>537</v>
      </c>
      <c r="C3650" s="4">
        <v>252390</v>
      </c>
      <c r="D3650" s="3">
        <v>334</v>
      </c>
      <c r="E3650" s="4">
        <v>243820</v>
      </c>
      <c r="G3650" s="12">
        <f t="shared" si="221"/>
        <v>2020</v>
      </c>
      <c r="H3650" s="12">
        <f t="shared" si="222"/>
        <v>12</v>
      </c>
      <c r="I3650" s="11">
        <f t="shared" si="223"/>
        <v>120</v>
      </c>
      <c r="J3650" s="11"/>
    </row>
    <row r="3651" spans="1:10" x14ac:dyDescent="0.25">
      <c r="A3651" s="2">
        <v>44189</v>
      </c>
      <c r="B3651" s="3">
        <v>489</v>
      </c>
      <c r="C3651" s="4">
        <v>229830</v>
      </c>
      <c r="D3651" s="3">
        <v>314</v>
      </c>
      <c r="E3651" s="4">
        <v>229220</v>
      </c>
      <c r="G3651" s="12">
        <f t="shared" si="221"/>
        <v>2020</v>
      </c>
      <c r="H3651" s="12">
        <f t="shared" si="222"/>
        <v>12</v>
      </c>
      <c r="I3651" s="11">
        <f t="shared" si="223"/>
        <v>120</v>
      </c>
      <c r="J3651" s="11"/>
    </row>
    <row r="3652" spans="1:10" x14ac:dyDescent="0.25">
      <c r="A3652" s="2">
        <v>44190</v>
      </c>
      <c r="B3652" s="3">
        <v>411</v>
      </c>
      <c r="C3652" s="4">
        <v>193170</v>
      </c>
      <c r="D3652" s="3">
        <v>300</v>
      </c>
      <c r="E3652" s="4">
        <v>219000</v>
      </c>
      <c r="G3652" s="12">
        <f t="shared" si="221"/>
        <v>2020</v>
      </c>
      <c r="H3652" s="12">
        <f t="shared" si="222"/>
        <v>12</v>
      </c>
      <c r="I3652" s="11">
        <f t="shared" si="223"/>
        <v>120</v>
      </c>
      <c r="J3652" s="11"/>
    </row>
    <row r="3653" spans="1:10" x14ac:dyDescent="0.25">
      <c r="A3653" s="2">
        <v>44191</v>
      </c>
      <c r="B3653" s="3">
        <v>416</v>
      </c>
      <c r="C3653" s="4">
        <v>195520</v>
      </c>
      <c r="D3653" s="3">
        <v>336</v>
      </c>
      <c r="E3653" s="4">
        <v>245280</v>
      </c>
      <c r="G3653" s="12">
        <f t="shared" si="221"/>
        <v>2020</v>
      </c>
      <c r="H3653" s="12">
        <f t="shared" si="222"/>
        <v>12</v>
      </c>
      <c r="I3653" s="11">
        <f t="shared" si="223"/>
        <v>120</v>
      </c>
      <c r="J3653" s="11"/>
    </row>
    <row r="3654" spans="1:10" x14ac:dyDescent="0.25">
      <c r="A3654" s="2">
        <v>44192</v>
      </c>
      <c r="B3654" s="3">
        <v>407</v>
      </c>
      <c r="C3654" s="4">
        <v>191290</v>
      </c>
      <c r="D3654" s="3">
        <v>304</v>
      </c>
      <c r="E3654" s="4">
        <v>221920</v>
      </c>
      <c r="G3654" s="12">
        <f t="shared" si="221"/>
        <v>2020</v>
      </c>
      <c r="H3654" s="12">
        <f t="shared" si="222"/>
        <v>12</v>
      </c>
      <c r="I3654" s="11">
        <f t="shared" si="223"/>
        <v>120</v>
      </c>
      <c r="J3654" s="11"/>
    </row>
    <row r="3655" spans="1:10" x14ac:dyDescent="0.25">
      <c r="A3655" s="2">
        <v>44193</v>
      </c>
      <c r="B3655" s="3">
        <v>476</v>
      </c>
      <c r="C3655" s="4">
        <v>223720</v>
      </c>
      <c r="D3655" s="3">
        <v>328</v>
      </c>
      <c r="E3655" s="4">
        <v>239440</v>
      </c>
      <c r="G3655" s="12">
        <f t="shared" si="221"/>
        <v>2020</v>
      </c>
      <c r="H3655" s="12">
        <f t="shared" si="222"/>
        <v>12</v>
      </c>
      <c r="I3655" s="11">
        <f t="shared" ref="I3655:I3658" si="224">+H3655+(G3655-2011)*12</f>
        <v>120</v>
      </c>
      <c r="J3655" s="11"/>
    </row>
    <row r="3656" spans="1:10" x14ac:dyDescent="0.25">
      <c r="A3656" s="2">
        <v>44194</v>
      </c>
      <c r="B3656" s="3">
        <v>455</v>
      </c>
      <c r="C3656" s="4">
        <v>213850</v>
      </c>
      <c r="D3656" s="3">
        <v>289</v>
      </c>
      <c r="E3656" s="4">
        <v>210970</v>
      </c>
      <c r="G3656" s="12">
        <f t="shared" si="221"/>
        <v>2020</v>
      </c>
      <c r="H3656" s="12">
        <f t="shared" si="222"/>
        <v>12</v>
      </c>
      <c r="I3656" s="11">
        <f t="shared" si="224"/>
        <v>120</v>
      </c>
      <c r="J3656" s="11"/>
    </row>
    <row r="3657" spans="1:10" x14ac:dyDescent="0.25">
      <c r="A3657" s="2">
        <v>44195</v>
      </c>
      <c r="B3657" s="3">
        <v>411</v>
      </c>
      <c r="C3657" s="4">
        <v>193170</v>
      </c>
      <c r="D3657" s="3">
        <v>310</v>
      </c>
      <c r="E3657" s="4">
        <v>226300</v>
      </c>
      <c r="G3657" s="12">
        <f t="shared" si="221"/>
        <v>2020</v>
      </c>
      <c r="H3657" s="12">
        <f t="shared" si="222"/>
        <v>12</v>
      </c>
      <c r="I3657" s="11">
        <f t="shared" si="224"/>
        <v>120</v>
      </c>
      <c r="J3657" s="11"/>
    </row>
    <row r="3658" spans="1:10" x14ac:dyDescent="0.25">
      <c r="A3658" s="2">
        <v>44196</v>
      </c>
      <c r="B3658" s="3">
        <v>423</v>
      </c>
      <c r="C3658" s="4">
        <v>198810</v>
      </c>
      <c r="D3658" s="3">
        <v>281</v>
      </c>
      <c r="E3658" s="4">
        <v>205130</v>
      </c>
      <c r="G3658" s="12">
        <f t="shared" si="221"/>
        <v>2020</v>
      </c>
      <c r="H3658" s="12">
        <f t="shared" si="222"/>
        <v>12</v>
      </c>
      <c r="I3658" s="11">
        <f t="shared" si="224"/>
        <v>120</v>
      </c>
      <c r="J3658" s="11"/>
    </row>
    <row r="3662" spans="1:10" x14ac:dyDescent="0.25">
      <c r="C3662" s="3"/>
      <c r="E3662" s="3"/>
    </row>
  </sheetData>
  <mergeCells count="4">
    <mergeCell ref="A2:E2"/>
    <mergeCell ref="A4:A5"/>
    <mergeCell ref="B4:C4"/>
    <mergeCell ref="D4:E4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2:M125"/>
  <sheetViews>
    <sheetView workbookViewId="0">
      <selection activeCell="F1" sqref="F1:G1048576"/>
    </sheetView>
  </sheetViews>
  <sheetFormatPr defaultRowHeight="15" x14ac:dyDescent="0.25"/>
  <cols>
    <col min="1" max="1" width="15.5703125" style="1" bestFit="1" customWidth="1"/>
    <col min="2" max="3" width="12.7109375" style="1" bestFit="1" customWidth="1"/>
    <col min="4" max="9" width="12" style="1" bestFit="1" customWidth="1"/>
    <col min="10" max="16384" width="9.140625" style="1"/>
  </cols>
  <sheetData>
    <row r="2" spans="1:13" ht="18.75" x14ac:dyDescent="0.3">
      <c r="A2" s="20" t="s">
        <v>9</v>
      </c>
      <c r="B2" s="20"/>
      <c r="C2" s="20"/>
      <c r="D2" s="20"/>
      <c r="E2" s="20"/>
      <c r="F2" s="13"/>
      <c r="G2" s="13"/>
      <c r="H2" s="13"/>
      <c r="I2" s="13"/>
    </row>
    <row r="3" spans="1:13" ht="6.95" customHeight="1" x14ac:dyDescent="0.25"/>
    <row r="4" spans="1:13" x14ac:dyDescent="0.25">
      <c r="A4" s="9" t="s">
        <v>0</v>
      </c>
      <c r="B4" s="21" t="s">
        <v>1</v>
      </c>
      <c r="C4" s="21"/>
      <c r="D4" s="21" t="s">
        <v>2</v>
      </c>
      <c r="E4" s="21"/>
      <c r="F4" s="21"/>
      <c r="G4" s="21"/>
      <c r="H4" s="21"/>
      <c r="I4" s="21"/>
    </row>
    <row r="5" spans="1:13" x14ac:dyDescent="0.25">
      <c r="A5" s="9" t="s">
        <v>7</v>
      </c>
      <c r="B5" s="10" t="s">
        <v>3</v>
      </c>
      <c r="C5" s="10" t="s">
        <v>4</v>
      </c>
      <c r="D5" s="10" t="s">
        <v>3</v>
      </c>
      <c r="E5" s="10" t="s">
        <v>4</v>
      </c>
      <c r="F5" s="10"/>
      <c r="G5" s="10"/>
      <c r="H5" s="10"/>
      <c r="I5" s="10"/>
    </row>
    <row r="6" spans="1:13" x14ac:dyDescent="0.25">
      <c r="A6" s="11" t="s" cm="1">
        <v>28</v>
      </c>
    </row>
    <row r="7" spans="1:13" x14ac:dyDescent="0.25">
      <c r="A7" s="11" t="s">
        <v>29</v>
      </c>
      <c r="B7" s="1">
        <v>1170</v>
      </c>
      <c r="D7" s="1">
        <v>575</v>
      </c>
      <c r="M7" s="12"/>
    </row>
    <row r="8" spans="1:13" x14ac:dyDescent="0.25">
      <c r="A8" s="11" t="s">
        <v>30</v>
      </c>
      <c r="B8" s="1">
        <v>1154</v>
      </c>
      <c r="C8" s="1">
        <v>641</v>
      </c>
      <c r="D8" s="1">
        <v>516</v>
      </c>
      <c r="E8" s="1">
        <v>442</v>
      </c>
      <c r="M8" s="12"/>
    </row>
    <row r="9" spans="1:13" x14ac:dyDescent="0.25">
      <c r="A9" s="11" t="s">
        <v>31</v>
      </c>
      <c r="B9" s="1">
        <v>1217</v>
      </c>
      <c r="C9" s="1">
        <v>603</v>
      </c>
      <c r="D9" s="1">
        <v>614</v>
      </c>
      <c r="E9" s="1">
        <v>426</v>
      </c>
    </row>
    <row r="10" spans="1:13" x14ac:dyDescent="0.25">
      <c r="A10" s="11" t="s">
        <v>32</v>
      </c>
      <c r="B10" s="1">
        <v>1282</v>
      </c>
      <c r="C10" s="1">
        <v>503</v>
      </c>
      <c r="D10" s="1">
        <v>1268</v>
      </c>
      <c r="E10" s="1">
        <v>445</v>
      </c>
    </row>
    <row r="11" spans="1:13" x14ac:dyDescent="0.25">
      <c r="A11" s="11" t="s">
        <v>33</v>
      </c>
      <c r="B11" s="1">
        <v>1173</v>
      </c>
      <c r="C11" s="1">
        <v>526</v>
      </c>
      <c r="D11" s="1">
        <v>1293</v>
      </c>
      <c r="E11" s="1">
        <v>958</v>
      </c>
    </row>
    <row r="12" spans="1:13" x14ac:dyDescent="0.25">
      <c r="A12" s="11" t="s">
        <v>34</v>
      </c>
      <c r="B12" s="1">
        <v>1161</v>
      </c>
      <c r="C12" s="1">
        <v>628</v>
      </c>
      <c r="D12" s="1">
        <v>0</v>
      </c>
      <c r="E12" s="1">
        <v>1005</v>
      </c>
    </row>
    <row r="13" spans="1:13" x14ac:dyDescent="0.25">
      <c r="A13" s="11" t="s">
        <v>35</v>
      </c>
      <c r="B13" s="1">
        <v>1124</v>
      </c>
      <c r="C13" s="1">
        <v>524</v>
      </c>
      <c r="D13" s="1">
        <v>622</v>
      </c>
      <c r="E13" s="1">
        <v>1137</v>
      </c>
    </row>
    <row r="14" spans="1:13" x14ac:dyDescent="0.25">
      <c r="A14" s="11" t="s">
        <v>36</v>
      </c>
      <c r="B14" s="1">
        <v>2034</v>
      </c>
      <c r="C14" s="1">
        <v>655</v>
      </c>
      <c r="D14" s="1">
        <v>613</v>
      </c>
      <c r="E14" s="1">
        <v>446</v>
      </c>
    </row>
    <row r="15" spans="1:13" x14ac:dyDescent="0.25">
      <c r="A15" s="11" t="s">
        <v>37</v>
      </c>
      <c r="B15" s="1">
        <v>1762</v>
      </c>
      <c r="C15" s="1">
        <v>994</v>
      </c>
      <c r="D15" s="1">
        <v>584</v>
      </c>
      <c r="E15" s="1">
        <v>451</v>
      </c>
    </row>
    <row r="16" spans="1:13" x14ac:dyDescent="0.25">
      <c r="A16" s="11" t="s">
        <v>38</v>
      </c>
      <c r="B16" s="1">
        <v>0</v>
      </c>
      <c r="C16" s="1">
        <v>895</v>
      </c>
      <c r="D16" s="1">
        <v>604</v>
      </c>
      <c r="E16" s="1">
        <v>394</v>
      </c>
    </row>
    <row r="17" spans="1:5" x14ac:dyDescent="0.25">
      <c r="A17" s="11" t="s">
        <v>39</v>
      </c>
      <c r="B17" s="1">
        <v>1170</v>
      </c>
      <c r="C17" s="1">
        <v>496</v>
      </c>
      <c r="D17" s="1">
        <v>508</v>
      </c>
      <c r="E17" s="1">
        <v>473</v>
      </c>
    </row>
    <row r="18" spans="1:5" x14ac:dyDescent="0.25">
      <c r="A18" s="11" t="s">
        <v>40</v>
      </c>
      <c r="B18" s="1">
        <v>1223</v>
      </c>
      <c r="C18" s="1">
        <v>472</v>
      </c>
      <c r="D18" s="1">
        <v>604</v>
      </c>
      <c r="E18" s="1">
        <v>466</v>
      </c>
    </row>
    <row r="19" spans="1:5" x14ac:dyDescent="0.25">
      <c r="A19" s="11" t="s">
        <v>41</v>
      </c>
      <c r="B19" s="1">
        <v>1119</v>
      </c>
      <c r="C19" s="1">
        <v>579</v>
      </c>
      <c r="D19" s="1">
        <v>650</v>
      </c>
      <c r="E19" s="1">
        <v>625</v>
      </c>
    </row>
    <row r="20" spans="1:5" x14ac:dyDescent="0.25">
      <c r="A20" s="11" t="s">
        <v>42</v>
      </c>
      <c r="B20" s="1">
        <v>1208</v>
      </c>
      <c r="C20" s="1">
        <v>502</v>
      </c>
      <c r="D20" s="1">
        <v>593</v>
      </c>
      <c r="E20" s="1">
        <v>346</v>
      </c>
    </row>
    <row r="21" spans="1:5" x14ac:dyDescent="0.25">
      <c r="A21" s="11" t="s">
        <v>43</v>
      </c>
      <c r="B21" s="1">
        <v>1240</v>
      </c>
      <c r="C21" s="1">
        <v>579</v>
      </c>
      <c r="D21" s="1">
        <v>527</v>
      </c>
      <c r="E21" s="1">
        <v>446</v>
      </c>
    </row>
    <row r="22" spans="1:5" x14ac:dyDescent="0.25">
      <c r="A22" s="11" t="s">
        <v>44</v>
      </c>
      <c r="B22" s="1">
        <v>1139</v>
      </c>
      <c r="C22" s="1">
        <v>687</v>
      </c>
      <c r="D22" s="1">
        <v>1168</v>
      </c>
      <c r="E22" s="1">
        <v>511</v>
      </c>
    </row>
    <row r="23" spans="1:5" x14ac:dyDescent="0.25">
      <c r="A23" s="11" t="s">
        <v>45</v>
      </c>
      <c r="B23" s="1">
        <v>1171</v>
      </c>
      <c r="C23" s="1">
        <v>533</v>
      </c>
      <c r="D23" s="1">
        <v>1313</v>
      </c>
      <c r="E23" s="1">
        <v>933</v>
      </c>
    </row>
    <row r="24" spans="1:5" x14ac:dyDescent="0.25">
      <c r="A24" s="11" t="s">
        <v>46</v>
      </c>
      <c r="B24" s="1">
        <v>1216</v>
      </c>
      <c r="C24" s="1">
        <v>536</v>
      </c>
      <c r="D24" s="1">
        <v>0</v>
      </c>
      <c r="E24" s="1">
        <v>977</v>
      </c>
    </row>
    <row r="25" spans="1:5" x14ac:dyDescent="0.25">
      <c r="A25" s="11" t="s">
        <v>47</v>
      </c>
      <c r="B25" s="1">
        <v>1307</v>
      </c>
      <c r="C25" s="1">
        <v>565</v>
      </c>
      <c r="D25" s="1">
        <v>596</v>
      </c>
      <c r="E25" s="1">
        <v>1082</v>
      </c>
    </row>
    <row r="26" spans="1:5" x14ac:dyDescent="0.25">
      <c r="A26" s="11" t="s">
        <v>48</v>
      </c>
      <c r="B26" s="1">
        <v>1700</v>
      </c>
      <c r="C26" s="1">
        <v>488</v>
      </c>
      <c r="D26" s="1">
        <v>581</v>
      </c>
      <c r="E26" s="1">
        <v>474</v>
      </c>
    </row>
    <row r="27" spans="1:5" x14ac:dyDescent="0.25">
      <c r="A27" s="11" t="s">
        <v>49</v>
      </c>
      <c r="B27" s="1">
        <v>1769</v>
      </c>
      <c r="C27" s="1">
        <v>809</v>
      </c>
      <c r="D27" s="1">
        <v>643</v>
      </c>
      <c r="E27" s="1">
        <v>443</v>
      </c>
    </row>
    <row r="28" spans="1:5" x14ac:dyDescent="0.25">
      <c r="A28" s="11" t="s">
        <v>50</v>
      </c>
      <c r="B28" s="1">
        <v>0</v>
      </c>
      <c r="C28" s="1">
        <v>657</v>
      </c>
      <c r="D28" s="1">
        <v>551</v>
      </c>
      <c r="E28" s="1">
        <v>395</v>
      </c>
    </row>
    <row r="29" spans="1:5" x14ac:dyDescent="0.25">
      <c r="A29" s="11" t="s">
        <v>51</v>
      </c>
      <c r="B29" s="1">
        <v>1025</v>
      </c>
      <c r="C29" s="1">
        <v>735</v>
      </c>
      <c r="D29" s="1">
        <v>474</v>
      </c>
      <c r="E29" s="1">
        <v>463</v>
      </c>
    </row>
    <row r="30" spans="1:5" x14ac:dyDescent="0.25">
      <c r="A30" s="11" t="s">
        <v>52</v>
      </c>
      <c r="B30" s="1">
        <v>1238</v>
      </c>
      <c r="C30" s="1">
        <v>535</v>
      </c>
      <c r="D30" s="1">
        <v>699</v>
      </c>
      <c r="E30" s="1">
        <v>424</v>
      </c>
    </row>
    <row r="31" spans="1:5" x14ac:dyDescent="0.25">
      <c r="A31" s="11" t="s">
        <v>53</v>
      </c>
      <c r="B31" s="1">
        <v>1207</v>
      </c>
      <c r="C31" s="1">
        <v>532</v>
      </c>
      <c r="D31" s="1">
        <v>637</v>
      </c>
      <c r="E31" s="1">
        <v>448</v>
      </c>
    </row>
    <row r="32" spans="1:5" x14ac:dyDescent="0.25">
      <c r="A32" s="11" t="s">
        <v>54</v>
      </c>
      <c r="B32" s="1">
        <v>1146</v>
      </c>
      <c r="C32" s="1">
        <v>645</v>
      </c>
      <c r="D32" s="1">
        <v>531</v>
      </c>
      <c r="E32" s="1">
        <v>428</v>
      </c>
    </row>
    <row r="33" spans="1:5" x14ac:dyDescent="0.25">
      <c r="A33" s="11" t="s">
        <v>55</v>
      </c>
      <c r="B33" s="1">
        <v>1182</v>
      </c>
      <c r="C33" s="1">
        <v>601</v>
      </c>
      <c r="D33" s="1">
        <v>631</v>
      </c>
      <c r="E33" s="1">
        <v>389</v>
      </c>
    </row>
    <row r="34" spans="1:5" x14ac:dyDescent="0.25">
      <c r="A34" s="11" t="s">
        <v>56</v>
      </c>
      <c r="B34" s="1">
        <v>1262</v>
      </c>
      <c r="C34" s="1">
        <v>593</v>
      </c>
      <c r="D34" s="1">
        <v>1261</v>
      </c>
      <c r="E34" s="1">
        <v>430</v>
      </c>
    </row>
    <row r="35" spans="1:5" x14ac:dyDescent="0.25">
      <c r="A35" s="11" t="s">
        <v>57</v>
      </c>
      <c r="B35" s="1">
        <v>1167</v>
      </c>
      <c r="C35" s="1">
        <v>640</v>
      </c>
      <c r="D35" s="1">
        <v>1475</v>
      </c>
      <c r="E35" s="1">
        <v>1058</v>
      </c>
    </row>
    <row r="36" spans="1:5" x14ac:dyDescent="0.25">
      <c r="A36" s="11" t="s">
        <v>58</v>
      </c>
      <c r="B36" s="1">
        <v>1103</v>
      </c>
      <c r="C36" s="1">
        <v>614</v>
      </c>
      <c r="D36" s="1">
        <v>0</v>
      </c>
      <c r="E36" s="1">
        <v>1027</v>
      </c>
    </row>
    <row r="37" spans="1:5" x14ac:dyDescent="0.25">
      <c r="A37" s="11" t="s">
        <v>59</v>
      </c>
      <c r="B37" s="1">
        <v>1274</v>
      </c>
      <c r="C37" s="1">
        <v>658</v>
      </c>
      <c r="D37" s="1">
        <v>636</v>
      </c>
      <c r="E37" s="1">
        <v>1136</v>
      </c>
    </row>
    <row r="38" spans="1:5" x14ac:dyDescent="0.25">
      <c r="A38" s="11" t="s">
        <v>60</v>
      </c>
      <c r="B38" s="1">
        <v>1948</v>
      </c>
      <c r="C38" s="1">
        <v>469</v>
      </c>
      <c r="D38" s="1">
        <v>616</v>
      </c>
      <c r="E38" s="1">
        <v>593</v>
      </c>
    </row>
    <row r="39" spans="1:5" x14ac:dyDescent="0.25">
      <c r="A39" s="11" t="s">
        <v>61</v>
      </c>
      <c r="B39" s="1">
        <v>1790</v>
      </c>
      <c r="C39" s="1">
        <v>972</v>
      </c>
      <c r="D39" s="1">
        <v>634</v>
      </c>
      <c r="E39" s="1">
        <v>438</v>
      </c>
    </row>
    <row r="40" spans="1:5" x14ac:dyDescent="0.25">
      <c r="A40" s="11" t="s">
        <v>62</v>
      </c>
      <c r="B40" s="1">
        <v>0</v>
      </c>
      <c r="C40" s="1">
        <v>814</v>
      </c>
      <c r="D40" s="1">
        <v>625</v>
      </c>
      <c r="E40" s="1">
        <v>402</v>
      </c>
    </row>
    <row r="41" spans="1:5" x14ac:dyDescent="0.25">
      <c r="A41" s="11" t="s">
        <v>63</v>
      </c>
      <c r="B41" s="1">
        <v>1119</v>
      </c>
      <c r="C41" s="1">
        <v>599</v>
      </c>
      <c r="D41" s="1">
        <v>529</v>
      </c>
      <c r="E41" s="1">
        <v>436</v>
      </c>
    </row>
    <row r="42" spans="1:5" x14ac:dyDescent="0.25">
      <c r="A42" s="11" t="s">
        <v>64</v>
      </c>
      <c r="B42" s="1">
        <v>1192</v>
      </c>
      <c r="C42" s="1">
        <v>640</v>
      </c>
      <c r="D42" s="1">
        <v>655</v>
      </c>
      <c r="E42" s="1">
        <v>470</v>
      </c>
    </row>
    <row r="43" spans="1:5" x14ac:dyDescent="0.25">
      <c r="A43" s="11" t="s">
        <v>65</v>
      </c>
      <c r="B43" s="1">
        <v>1332</v>
      </c>
      <c r="C43" s="1">
        <v>591</v>
      </c>
      <c r="D43" s="1">
        <v>536</v>
      </c>
      <c r="E43" s="1">
        <v>463</v>
      </c>
    </row>
    <row r="44" spans="1:5" x14ac:dyDescent="0.25">
      <c r="A44" s="11" t="s">
        <v>66</v>
      </c>
      <c r="B44" s="1">
        <v>1030</v>
      </c>
      <c r="C44" s="1">
        <v>595</v>
      </c>
      <c r="D44" s="1">
        <v>500</v>
      </c>
      <c r="E44" s="1">
        <v>488</v>
      </c>
    </row>
    <row r="45" spans="1:5" x14ac:dyDescent="0.25">
      <c r="A45" s="11" t="s">
        <v>67</v>
      </c>
      <c r="B45" s="1">
        <v>1217</v>
      </c>
      <c r="C45" s="1">
        <v>499</v>
      </c>
      <c r="D45" s="1">
        <v>596</v>
      </c>
      <c r="E45" s="1">
        <v>417</v>
      </c>
    </row>
    <row r="46" spans="1:5" x14ac:dyDescent="0.25">
      <c r="A46" s="11" t="s">
        <v>68</v>
      </c>
      <c r="B46" s="1">
        <v>1146</v>
      </c>
      <c r="C46" s="1">
        <v>636</v>
      </c>
      <c r="D46" s="1">
        <v>1161</v>
      </c>
      <c r="E46" s="1">
        <v>453</v>
      </c>
    </row>
    <row r="47" spans="1:5" x14ac:dyDescent="0.25">
      <c r="A47" s="11" t="s">
        <v>69</v>
      </c>
      <c r="B47" s="1">
        <v>1149</v>
      </c>
      <c r="C47" s="1">
        <v>491</v>
      </c>
      <c r="D47" s="1">
        <v>1308</v>
      </c>
      <c r="E47" s="1">
        <v>986</v>
      </c>
    </row>
    <row r="48" spans="1:5" x14ac:dyDescent="0.25">
      <c r="A48" s="11" t="s">
        <v>70</v>
      </c>
      <c r="B48" s="1">
        <v>1207</v>
      </c>
      <c r="C48" s="1">
        <v>537</v>
      </c>
      <c r="D48" s="1">
        <v>0</v>
      </c>
      <c r="E48" s="1">
        <v>1168</v>
      </c>
    </row>
    <row r="49" spans="1:5" x14ac:dyDescent="0.25">
      <c r="A49" s="11" t="s">
        <v>71</v>
      </c>
      <c r="B49" s="1">
        <v>1171</v>
      </c>
      <c r="C49" s="1">
        <v>727</v>
      </c>
      <c r="D49" s="1">
        <v>594</v>
      </c>
      <c r="E49" s="1">
        <v>1157</v>
      </c>
    </row>
    <row r="50" spans="1:5" x14ac:dyDescent="0.25">
      <c r="A50" s="11" t="s">
        <v>72</v>
      </c>
      <c r="B50" s="1">
        <v>1635</v>
      </c>
      <c r="C50" s="1">
        <v>748</v>
      </c>
      <c r="D50" s="1">
        <v>624</v>
      </c>
      <c r="E50" s="1">
        <v>467</v>
      </c>
    </row>
    <row r="51" spans="1:5" x14ac:dyDescent="0.25">
      <c r="A51" s="11" t="s">
        <v>73</v>
      </c>
      <c r="B51" s="1">
        <v>1922</v>
      </c>
      <c r="C51" s="1">
        <v>961</v>
      </c>
      <c r="D51" s="1">
        <v>578</v>
      </c>
      <c r="E51" s="1">
        <v>464</v>
      </c>
    </row>
    <row r="52" spans="1:5" x14ac:dyDescent="0.25">
      <c r="A52" s="11" t="s">
        <v>74</v>
      </c>
      <c r="B52" s="1">
        <v>0</v>
      </c>
      <c r="C52" s="1">
        <v>998</v>
      </c>
      <c r="D52" s="1">
        <v>632</v>
      </c>
      <c r="E52" s="1">
        <v>431</v>
      </c>
    </row>
    <row r="53" spans="1:5" x14ac:dyDescent="0.25">
      <c r="A53" s="11" t="s">
        <v>75</v>
      </c>
      <c r="B53" s="1">
        <v>1180</v>
      </c>
      <c r="C53" s="1">
        <v>935</v>
      </c>
      <c r="D53" s="1">
        <v>631</v>
      </c>
      <c r="E53" s="1">
        <v>531</v>
      </c>
    </row>
    <row r="54" spans="1:5" x14ac:dyDescent="0.25">
      <c r="A54" s="11" t="s">
        <v>76</v>
      </c>
      <c r="B54" s="1">
        <v>1246</v>
      </c>
      <c r="C54" s="1">
        <v>537</v>
      </c>
      <c r="D54" s="1">
        <v>589</v>
      </c>
      <c r="E54" s="1">
        <v>432</v>
      </c>
    </row>
    <row r="55" spans="1:5" x14ac:dyDescent="0.25">
      <c r="A55" s="11" t="s">
        <v>77</v>
      </c>
      <c r="B55" s="1">
        <v>1235</v>
      </c>
      <c r="C55" s="1">
        <v>614</v>
      </c>
      <c r="D55" s="1">
        <v>681</v>
      </c>
      <c r="E55" s="1">
        <v>504</v>
      </c>
    </row>
    <row r="56" spans="1:5" x14ac:dyDescent="0.25">
      <c r="A56" s="11" t="s">
        <v>78</v>
      </c>
      <c r="B56" s="1">
        <v>1043</v>
      </c>
      <c r="C56" s="1">
        <v>538</v>
      </c>
      <c r="D56" s="1">
        <v>547</v>
      </c>
      <c r="E56" s="1">
        <v>436</v>
      </c>
    </row>
    <row r="57" spans="1:5" x14ac:dyDescent="0.25">
      <c r="A57" s="11" t="s">
        <v>79</v>
      </c>
      <c r="B57" s="1">
        <v>1197</v>
      </c>
      <c r="C57" s="1">
        <v>558</v>
      </c>
      <c r="D57" s="1">
        <v>632</v>
      </c>
      <c r="E57" s="1">
        <v>386</v>
      </c>
    </row>
    <row r="58" spans="1:5" x14ac:dyDescent="0.25">
      <c r="A58" s="11" t="s">
        <v>80</v>
      </c>
      <c r="B58" s="1">
        <v>1262</v>
      </c>
      <c r="C58" s="1">
        <v>489</v>
      </c>
      <c r="D58" s="1">
        <v>1101</v>
      </c>
      <c r="E58" s="1">
        <v>442</v>
      </c>
    </row>
    <row r="59" spans="1:5" x14ac:dyDescent="0.25">
      <c r="A59" s="11" t="s">
        <v>81</v>
      </c>
      <c r="B59" s="1">
        <v>1131</v>
      </c>
      <c r="C59" s="1">
        <v>642</v>
      </c>
      <c r="D59" s="1">
        <v>1395</v>
      </c>
      <c r="E59" s="1">
        <v>1130</v>
      </c>
    </row>
    <row r="60" spans="1:5" x14ac:dyDescent="0.25">
      <c r="A60" s="11" t="s">
        <v>82</v>
      </c>
      <c r="B60" s="1">
        <v>1192</v>
      </c>
      <c r="C60" s="1">
        <v>603</v>
      </c>
      <c r="D60" s="1">
        <v>0</v>
      </c>
      <c r="E60" s="1">
        <v>993</v>
      </c>
    </row>
    <row r="61" spans="1:5" x14ac:dyDescent="0.25">
      <c r="A61" s="11" t="s">
        <v>83</v>
      </c>
      <c r="B61" s="1">
        <v>1176</v>
      </c>
      <c r="C61" s="1">
        <v>590</v>
      </c>
      <c r="D61" s="1">
        <v>634</v>
      </c>
      <c r="E61" s="1">
        <v>1157</v>
      </c>
    </row>
    <row r="62" spans="1:5" x14ac:dyDescent="0.25">
      <c r="A62" s="11" t="s">
        <v>84</v>
      </c>
      <c r="B62" s="1">
        <v>1977</v>
      </c>
      <c r="C62" s="1">
        <v>497</v>
      </c>
      <c r="D62" s="1">
        <v>646</v>
      </c>
      <c r="E62" s="1">
        <v>355</v>
      </c>
    </row>
    <row r="63" spans="1:5" x14ac:dyDescent="0.25">
      <c r="A63" s="11" t="s">
        <v>85</v>
      </c>
      <c r="B63" s="1">
        <v>1745</v>
      </c>
      <c r="C63" s="1">
        <v>753</v>
      </c>
      <c r="D63" s="1">
        <v>567</v>
      </c>
      <c r="E63" s="1">
        <v>449</v>
      </c>
    </row>
    <row r="64" spans="1:5" x14ac:dyDescent="0.25">
      <c r="A64" s="11" t="s">
        <v>86</v>
      </c>
      <c r="B64" s="1">
        <v>0</v>
      </c>
      <c r="C64" s="1">
        <v>760</v>
      </c>
      <c r="D64" s="1">
        <v>658</v>
      </c>
      <c r="E64" s="1">
        <v>510</v>
      </c>
    </row>
    <row r="65" spans="1:5" x14ac:dyDescent="0.25">
      <c r="A65" s="11" t="s">
        <v>87</v>
      </c>
      <c r="B65" s="1">
        <v>1213</v>
      </c>
      <c r="C65" s="1">
        <v>763</v>
      </c>
      <c r="D65" s="1">
        <v>539</v>
      </c>
      <c r="E65" s="1">
        <v>398</v>
      </c>
    </row>
    <row r="66" spans="1:5" x14ac:dyDescent="0.25">
      <c r="A66" s="11" t="s">
        <v>88</v>
      </c>
      <c r="B66" s="1">
        <v>1205</v>
      </c>
      <c r="C66" s="1">
        <v>583</v>
      </c>
      <c r="D66" s="1">
        <v>537</v>
      </c>
      <c r="E66" s="1">
        <v>400</v>
      </c>
    </row>
    <row r="67" spans="1:5" x14ac:dyDescent="0.25">
      <c r="A67" s="11" t="s">
        <v>89</v>
      </c>
      <c r="B67" s="1">
        <v>1188</v>
      </c>
      <c r="C67" s="1">
        <v>634</v>
      </c>
      <c r="D67" s="1">
        <v>643</v>
      </c>
      <c r="E67" s="1">
        <v>493</v>
      </c>
    </row>
    <row r="68" spans="1:5" x14ac:dyDescent="0.25">
      <c r="A68" s="11" t="s">
        <v>90</v>
      </c>
      <c r="B68" s="1">
        <v>1065</v>
      </c>
      <c r="C68" s="1">
        <v>434</v>
      </c>
      <c r="D68" s="1">
        <v>519</v>
      </c>
      <c r="E68" s="1">
        <v>414</v>
      </c>
    </row>
    <row r="69" spans="1:5" x14ac:dyDescent="0.25">
      <c r="A69" s="11" t="s">
        <v>91</v>
      </c>
      <c r="B69" s="1">
        <v>1188</v>
      </c>
      <c r="C69" s="1">
        <v>571</v>
      </c>
      <c r="D69" s="1">
        <v>586</v>
      </c>
      <c r="E69" s="1">
        <v>452</v>
      </c>
    </row>
    <row r="70" spans="1:5" x14ac:dyDescent="0.25">
      <c r="A70" s="11" t="s">
        <v>92</v>
      </c>
      <c r="B70" s="1">
        <v>1030</v>
      </c>
      <c r="C70" s="1">
        <v>599</v>
      </c>
      <c r="D70" s="1">
        <v>1215</v>
      </c>
      <c r="E70" s="1">
        <v>466</v>
      </c>
    </row>
    <row r="71" spans="1:5" x14ac:dyDescent="0.25">
      <c r="A71" s="11" t="s">
        <v>93</v>
      </c>
      <c r="B71" s="1">
        <v>1246</v>
      </c>
      <c r="C71" s="1">
        <v>686</v>
      </c>
      <c r="D71" s="1">
        <v>1454</v>
      </c>
      <c r="E71" s="1">
        <v>1065</v>
      </c>
    </row>
    <row r="72" spans="1:5" x14ac:dyDescent="0.25">
      <c r="A72" s="11" t="s">
        <v>94</v>
      </c>
      <c r="B72" s="1">
        <v>1304</v>
      </c>
      <c r="C72" s="1">
        <v>594</v>
      </c>
      <c r="D72" s="1">
        <v>0</v>
      </c>
      <c r="E72" s="1">
        <v>952</v>
      </c>
    </row>
    <row r="73" spans="1:5" x14ac:dyDescent="0.25">
      <c r="A73" s="11" t="s">
        <v>95</v>
      </c>
      <c r="B73" s="1">
        <v>1111</v>
      </c>
      <c r="C73" s="1">
        <v>595</v>
      </c>
      <c r="D73" s="1">
        <v>588</v>
      </c>
      <c r="E73" s="1">
        <v>1124</v>
      </c>
    </row>
    <row r="74" spans="1:5" x14ac:dyDescent="0.25">
      <c r="A74" s="11" t="s">
        <v>96</v>
      </c>
      <c r="B74" s="1">
        <v>1781</v>
      </c>
      <c r="C74" s="1">
        <v>573</v>
      </c>
      <c r="D74" s="1">
        <v>628</v>
      </c>
      <c r="E74" s="1">
        <v>492</v>
      </c>
    </row>
    <row r="75" spans="1:5" x14ac:dyDescent="0.25">
      <c r="A75" s="11" t="s">
        <v>97</v>
      </c>
      <c r="B75" s="1">
        <v>1779</v>
      </c>
      <c r="C75" s="1">
        <v>798</v>
      </c>
      <c r="D75" s="1">
        <v>615</v>
      </c>
      <c r="E75" s="1">
        <v>531</v>
      </c>
    </row>
    <row r="76" spans="1:5" x14ac:dyDescent="0.25">
      <c r="A76" s="11" t="s">
        <v>98</v>
      </c>
      <c r="B76" s="1">
        <v>0</v>
      </c>
      <c r="C76" s="1">
        <v>985</v>
      </c>
      <c r="D76" s="1">
        <v>563</v>
      </c>
      <c r="E76" s="1">
        <v>400</v>
      </c>
    </row>
    <row r="77" spans="1:5" x14ac:dyDescent="0.25">
      <c r="A77" s="11" t="s">
        <v>99</v>
      </c>
      <c r="B77" s="1">
        <v>1115</v>
      </c>
      <c r="C77" s="1">
        <v>663</v>
      </c>
      <c r="D77" s="1">
        <v>581</v>
      </c>
      <c r="E77" s="1">
        <v>430</v>
      </c>
    </row>
    <row r="78" spans="1:5" x14ac:dyDescent="0.25">
      <c r="A78" s="11" t="s">
        <v>100</v>
      </c>
      <c r="B78" s="1">
        <v>1221</v>
      </c>
      <c r="C78" s="1">
        <v>515</v>
      </c>
      <c r="D78" s="1">
        <v>646</v>
      </c>
      <c r="E78" s="1">
        <v>401</v>
      </c>
    </row>
    <row r="79" spans="1:5" x14ac:dyDescent="0.25">
      <c r="A79" s="11" t="s">
        <v>101</v>
      </c>
      <c r="B79" s="1">
        <v>1170</v>
      </c>
      <c r="C79" s="1">
        <v>559</v>
      </c>
      <c r="D79" s="1">
        <v>615</v>
      </c>
      <c r="E79" s="1">
        <v>415</v>
      </c>
    </row>
    <row r="80" spans="1:5" x14ac:dyDescent="0.25">
      <c r="A80" s="11" t="s">
        <v>102</v>
      </c>
      <c r="B80" s="1">
        <v>1087</v>
      </c>
      <c r="C80" s="1">
        <v>664</v>
      </c>
      <c r="D80" s="1">
        <v>539</v>
      </c>
      <c r="E80" s="1">
        <v>457</v>
      </c>
    </row>
    <row r="81" spans="1:5" x14ac:dyDescent="0.25">
      <c r="A81" s="11" t="s">
        <v>103</v>
      </c>
      <c r="B81" s="1">
        <v>1098</v>
      </c>
      <c r="C81" s="1">
        <v>567</v>
      </c>
      <c r="D81" s="1">
        <v>538</v>
      </c>
      <c r="E81" s="1">
        <v>410</v>
      </c>
    </row>
    <row r="82" spans="1:5" x14ac:dyDescent="0.25">
      <c r="A82" s="11" t="s">
        <v>104</v>
      </c>
      <c r="B82" s="1">
        <v>1133</v>
      </c>
      <c r="C82" s="1">
        <v>593</v>
      </c>
      <c r="D82" s="1">
        <v>1282</v>
      </c>
      <c r="E82" s="1">
        <v>442</v>
      </c>
    </row>
    <row r="83" spans="1:5" x14ac:dyDescent="0.25">
      <c r="A83" s="11" t="s">
        <v>105</v>
      </c>
      <c r="B83" s="1">
        <v>1048</v>
      </c>
      <c r="C83" s="1">
        <v>596</v>
      </c>
      <c r="D83" s="1">
        <v>1363</v>
      </c>
      <c r="E83" s="1">
        <v>906</v>
      </c>
    </row>
    <row r="84" spans="1:5" x14ac:dyDescent="0.25">
      <c r="A84" s="11" t="s">
        <v>106</v>
      </c>
      <c r="B84" s="1">
        <v>1183</v>
      </c>
      <c r="C84" s="1">
        <v>562</v>
      </c>
      <c r="D84" s="1">
        <v>0</v>
      </c>
      <c r="E84" s="1">
        <v>1003</v>
      </c>
    </row>
    <row r="85" spans="1:5" x14ac:dyDescent="0.25">
      <c r="A85" s="11" t="s">
        <v>107</v>
      </c>
      <c r="B85" s="1">
        <v>1118</v>
      </c>
      <c r="C85" s="1">
        <v>435</v>
      </c>
      <c r="D85" s="1">
        <v>658</v>
      </c>
      <c r="E85" s="1">
        <v>1158</v>
      </c>
    </row>
    <row r="86" spans="1:5" x14ac:dyDescent="0.25">
      <c r="A86" s="11" t="s">
        <v>108</v>
      </c>
      <c r="B86" s="1">
        <v>1806</v>
      </c>
      <c r="C86" s="1">
        <v>709</v>
      </c>
      <c r="D86" s="1">
        <v>580</v>
      </c>
      <c r="E86" s="1">
        <v>473</v>
      </c>
    </row>
    <row r="87" spans="1:5" x14ac:dyDescent="0.25">
      <c r="A87" s="11" t="s">
        <v>109</v>
      </c>
      <c r="B87" s="1">
        <v>1940</v>
      </c>
      <c r="C87" s="1">
        <v>895</v>
      </c>
      <c r="D87" s="1">
        <v>602</v>
      </c>
      <c r="E87" s="1">
        <v>532</v>
      </c>
    </row>
    <row r="88" spans="1:5" x14ac:dyDescent="0.25">
      <c r="A88" s="11" t="s">
        <v>110</v>
      </c>
      <c r="B88" s="1">
        <v>0</v>
      </c>
      <c r="C88" s="1">
        <v>796</v>
      </c>
      <c r="D88" s="1">
        <v>550</v>
      </c>
      <c r="E88" s="1">
        <v>421</v>
      </c>
    </row>
    <row r="89" spans="1:5" x14ac:dyDescent="0.25">
      <c r="A89" s="11" t="s">
        <v>111</v>
      </c>
      <c r="B89" s="1">
        <v>1245</v>
      </c>
      <c r="C89" s="1">
        <v>682</v>
      </c>
      <c r="D89" s="1">
        <v>520</v>
      </c>
      <c r="E89" s="1">
        <v>524</v>
      </c>
    </row>
    <row r="90" spans="1:5" x14ac:dyDescent="0.25">
      <c r="A90" s="11" t="s">
        <v>112</v>
      </c>
      <c r="B90" s="1">
        <v>1329</v>
      </c>
      <c r="C90" s="1">
        <v>634</v>
      </c>
      <c r="D90" s="1">
        <v>603</v>
      </c>
      <c r="E90" s="1">
        <v>523</v>
      </c>
    </row>
    <row r="91" spans="1:5" x14ac:dyDescent="0.25">
      <c r="A91" s="11" t="s">
        <v>113</v>
      </c>
      <c r="B91" s="1">
        <v>1142</v>
      </c>
      <c r="C91" s="1">
        <v>600</v>
      </c>
      <c r="D91" s="1">
        <v>495</v>
      </c>
      <c r="E91" s="1">
        <v>524</v>
      </c>
    </row>
    <row r="92" spans="1:5" x14ac:dyDescent="0.25">
      <c r="A92" s="11" t="s">
        <v>114</v>
      </c>
      <c r="B92" s="1">
        <v>991</v>
      </c>
      <c r="C92" s="1">
        <v>643</v>
      </c>
      <c r="D92" s="1">
        <v>515</v>
      </c>
      <c r="E92" s="1">
        <v>441</v>
      </c>
    </row>
    <row r="93" spans="1:5" x14ac:dyDescent="0.25">
      <c r="A93" s="11" t="s">
        <v>115</v>
      </c>
      <c r="B93" s="1">
        <v>1169</v>
      </c>
      <c r="C93" s="1">
        <v>443</v>
      </c>
      <c r="D93" s="1">
        <v>630</v>
      </c>
      <c r="E93" s="1">
        <v>345</v>
      </c>
    </row>
    <row r="94" spans="1:5" x14ac:dyDescent="0.25">
      <c r="A94" s="11" t="s">
        <v>116</v>
      </c>
      <c r="B94" s="1">
        <v>1114</v>
      </c>
      <c r="C94" s="1">
        <v>529</v>
      </c>
      <c r="D94" s="1">
        <v>1274</v>
      </c>
      <c r="E94" s="1">
        <v>437</v>
      </c>
    </row>
    <row r="95" spans="1:5" x14ac:dyDescent="0.25">
      <c r="A95" s="11" t="s">
        <v>117</v>
      </c>
      <c r="B95" s="1">
        <v>1207</v>
      </c>
      <c r="C95" s="1">
        <v>437</v>
      </c>
      <c r="D95" s="1">
        <v>1312</v>
      </c>
      <c r="E95" s="1">
        <v>963</v>
      </c>
    </row>
    <row r="96" spans="1:5" x14ac:dyDescent="0.25">
      <c r="A96" s="11" t="s">
        <v>118</v>
      </c>
      <c r="B96" s="1">
        <v>1187</v>
      </c>
      <c r="C96" s="1">
        <v>651</v>
      </c>
      <c r="D96" s="1">
        <v>0</v>
      </c>
      <c r="E96" s="1">
        <v>939</v>
      </c>
    </row>
    <row r="97" spans="1:5" x14ac:dyDescent="0.25">
      <c r="A97" s="11" t="s">
        <v>119</v>
      </c>
      <c r="B97" s="1">
        <v>1177</v>
      </c>
      <c r="C97" s="1">
        <v>369</v>
      </c>
      <c r="D97" s="1">
        <v>572</v>
      </c>
      <c r="E97" s="1">
        <v>1049</v>
      </c>
    </row>
    <row r="98" spans="1:5" x14ac:dyDescent="0.25">
      <c r="A98" s="11" t="s">
        <v>120</v>
      </c>
      <c r="B98" s="1">
        <v>1788</v>
      </c>
      <c r="C98" s="1">
        <v>607</v>
      </c>
      <c r="D98" s="1">
        <v>562</v>
      </c>
      <c r="E98" s="1">
        <v>479</v>
      </c>
    </row>
    <row r="99" spans="1:5" x14ac:dyDescent="0.25">
      <c r="A99" s="11" t="s">
        <v>121</v>
      </c>
      <c r="B99" s="1">
        <v>1689</v>
      </c>
      <c r="C99" s="1">
        <v>816</v>
      </c>
      <c r="D99" s="1">
        <v>497</v>
      </c>
      <c r="E99" s="1">
        <v>471</v>
      </c>
    </row>
    <row r="100" spans="1:5" x14ac:dyDescent="0.25">
      <c r="A100" s="11" t="s">
        <v>122</v>
      </c>
      <c r="B100" s="1">
        <v>0</v>
      </c>
      <c r="C100" s="1">
        <v>746</v>
      </c>
      <c r="D100" s="1">
        <v>552</v>
      </c>
      <c r="E100" s="1">
        <v>417</v>
      </c>
    </row>
    <row r="101" spans="1:5" x14ac:dyDescent="0.25">
      <c r="A101" s="11" t="s">
        <v>123</v>
      </c>
      <c r="B101" s="1">
        <v>1267</v>
      </c>
      <c r="C101" s="1">
        <v>764</v>
      </c>
      <c r="D101" s="1">
        <v>586</v>
      </c>
      <c r="E101" s="1">
        <v>452</v>
      </c>
    </row>
    <row r="102" spans="1:5" x14ac:dyDescent="0.25">
      <c r="A102" s="11" t="s">
        <v>124</v>
      </c>
      <c r="B102" s="1">
        <v>1158</v>
      </c>
      <c r="C102" s="1">
        <v>595</v>
      </c>
      <c r="D102" s="1">
        <v>563</v>
      </c>
      <c r="E102" s="1">
        <v>396</v>
      </c>
    </row>
    <row r="103" spans="1:5" x14ac:dyDescent="0.25">
      <c r="A103" s="11" t="s">
        <v>125</v>
      </c>
      <c r="B103" s="1">
        <v>1154</v>
      </c>
      <c r="C103" s="1">
        <v>573</v>
      </c>
      <c r="D103" s="1">
        <v>636</v>
      </c>
      <c r="E103" s="1">
        <v>434</v>
      </c>
    </row>
    <row r="104" spans="1:5" x14ac:dyDescent="0.25">
      <c r="A104" s="11" t="s">
        <v>126</v>
      </c>
      <c r="B104" s="1">
        <v>1023</v>
      </c>
      <c r="C104" s="1">
        <v>475</v>
      </c>
      <c r="D104" s="1">
        <v>515</v>
      </c>
      <c r="E104" s="1">
        <v>568</v>
      </c>
    </row>
    <row r="105" spans="1:5" x14ac:dyDescent="0.25">
      <c r="A105" s="11" t="s">
        <v>127</v>
      </c>
      <c r="B105" s="1">
        <v>1173</v>
      </c>
      <c r="C105" s="1">
        <v>580</v>
      </c>
      <c r="D105" s="1">
        <v>612</v>
      </c>
      <c r="E105" s="1">
        <v>354</v>
      </c>
    </row>
    <row r="106" spans="1:5" x14ac:dyDescent="0.25">
      <c r="A106" s="11" t="s">
        <v>128</v>
      </c>
      <c r="B106" s="1">
        <v>1081</v>
      </c>
      <c r="C106" s="1">
        <v>509</v>
      </c>
      <c r="D106" s="1">
        <v>1304</v>
      </c>
      <c r="E106" s="1">
        <v>428</v>
      </c>
    </row>
    <row r="107" spans="1:5" x14ac:dyDescent="0.25">
      <c r="A107" s="11" t="s">
        <v>129</v>
      </c>
      <c r="B107" s="1">
        <v>1276</v>
      </c>
      <c r="C107" s="1">
        <v>344</v>
      </c>
      <c r="D107" s="1">
        <v>1249</v>
      </c>
      <c r="E107" s="1">
        <v>899</v>
      </c>
    </row>
    <row r="108" spans="1:5" x14ac:dyDescent="0.25">
      <c r="A108" s="11" t="s">
        <v>130</v>
      </c>
      <c r="B108" s="1">
        <v>1136</v>
      </c>
      <c r="C108" s="1">
        <v>620</v>
      </c>
      <c r="D108" s="1">
        <v>0</v>
      </c>
      <c r="E108" s="1">
        <v>1024</v>
      </c>
    </row>
    <row r="109" spans="1:5" x14ac:dyDescent="0.25">
      <c r="A109" s="11" t="s">
        <v>131</v>
      </c>
      <c r="B109" s="1">
        <v>1273</v>
      </c>
      <c r="C109" s="1">
        <v>534</v>
      </c>
      <c r="D109" s="1">
        <v>492</v>
      </c>
      <c r="E109" s="1">
        <v>1031</v>
      </c>
    </row>
    <row r="110" spans="1:5" x14ac:dyDescent="0.25">
      <c r="A110" s="11" t="s">
        <v>132</v>
      </c>
      <c r="B110" s="1">
        <v>1940</v>
      </c>
      <c r="C110" s="1">
        <v>604</v>
      </c>
      <c r="D110" s="1">
        <v>552</v>
      </c>
      <c r="E110" s="1">
        <v>468</v>
      </c>
    </row>
    <row r="111" spans="1:5" x14ac:dyDescent="0.25">
      <c r="A111" s="11" t="s">
        <v>133</v>
      </c>
      <c r="B111" s="1">
        <v>1752</v>
      </c>
      <c r="C111" s="1">
        <v>846</v>
      </c>
      <c r="D111" s="1">
        <v>604</v>
      </c>
      <c r="E111" s="1">
        <v>460</v>
      </c>
    </row>
    <row r="112" spans="1:5" x14ac:dyDescent="0.25">
      <c r="A112" s="11" t="s">
        <v>134</v>
      </c>
      <c r="B112" s="1">
        <v>0</v>
      </c>
      <c r="C112" s="1">
        <v>731</v>
      </c>
      <c r="D112" s="1">
        <v>648</v>
      </c>
      <c r="E112" s="1">
        <v>445</v>
      </c>
    </row>
    <row r="113" spans="1:5" x14ac:dyDescent="0.25">
      <c r="A113" s="11" t="s">
        <v>135</v>
      </c>
      <c r="B113" s="1">
        <v>1185</v>
      </c>
      <c r="C113" s="1">
        <v>669</v>
      </c>
      <c r="D113" s="1">
        <v>564</v>
      </c>
      <c r="E113" s="1">
        <v>422</v>
      </c>
    </row>
    <row r="114" spans="1:5" x14ac:dyDescent="0.25">
      <c r="A114" s="11" t="s">
        <v>136</v>
      </c>
      <c r="B114" s="1">
        <v>1265</v>
      </c>
      <c r="C114" s="1">
        <v>568</v>
      </c>
      <c r="D114" s="1">
        <v>610</v>
      </c>
      <c r="E114" s="1">
        <v>494</v>
      </c>
    </row>
    <row r="115" spans="1:5" x14ac:dyDescent="0.25">
      <c r="A115" s="11" t="s">
        <v>137</v>
      </c>
      <c r="B115" s="1">
        <v>1138</v>
      </c>
      <c r="C115" s="1">
        <v>769</v>
      </c>
      <c r="D115" s="1">
        <v>574</v>
      </c>
      <c r="E115" s="1">
        <v>355</v>
      </c>
    </row>
    <row r="116" spans="1:5" x14ac:dyDescent="0.25">
      <c r="A116" s="11" t="s">
        <v>138</v>
      </c>
      <c r="B116" s="1">
        <v>1024</v>
      </c>
      <c r="C116" s="1">
        <v>497</v>
      </c>
      <c r="D116" s="1">
        <v>562</v>
      </c>
      <c r="E116" s="1">
        <v>433</v>
      </c>
    </row>
    <row r="117" spans="1:5" x14ac:dyDescent="0.25">
      <c r="A117" s="11" t="s">
        <v>139</v>
      </c>
      <c r="B117" s="1">
        <v>1228</v>
      </c>
      <c r="C117" s="1">
        <v>487</v>
      </c>
      <c r="D117" s="1">
        <v>603</v>
      </c>
      <c r="E117" s="1">
        <v>377</v>
      </c>
    </row>
    <row r="118" spans="1:5" x14ac:dyDescent="0.25">
      <c r="A118" s="11" t="s">
        <v>140</v>
      </c>
      <c r="B118" s="1">
        <v>1223</v>
      </c>
      <c r="C118" s="1">
        <v>494</v>
      </c>
      <c r="D118" s="1">
        <v>1318</v>
      </c>
      <c r="E118" s="1">
        <v>449</v>
      </c>
    </row>
    <row r="119" spans="1:5" x14ac:dyDescent="0.25">
      <c r="A119" s="11" t="s">
        <v>141</v>
      </c>
      <c r="B119" s="1">
        <v>1309</v>
      </c>
      <c r="C119" s="1">
        <v>551</v>
      </c>
      <c r="D119" s="1">
        <v>1260</v>
      </c>
      <c r="E119" s="1">
        <v>854</v>
      </c>
    </row>
    <row r="120" spans="1:5" x14ac:dyDescent="0.25">
      <c r="A120" s="11" t="s">
        <v>142</v>
      </c>
      <c r="B120" s="1">
        <v>1251</v>
      </c>
      <c r="C120" s="1">
        <v>619</v>
      </c>
      <c r="D120" s="1">
        <v>0</v>
      </c>
      <c r="E120" s="1">
        <v>1140</v>
      </c>
    </row>
    <row r="121" spans="1:5" x14ac:dyDescent="0.25">
      <c r="A121" s="11" t="s">
        <v>143</v>
      </c>
      <c r="B121" s="1">
        <v>1255</v>
      </c>
      <c r="C121" s="1">
        <v>546</v>
      </c>
      <c r="D121" s="1">
        <v>594</v>
      </c>
      <c r="E121" s="1">
        <v>1161</v>
      </c>
    </row>
    <row r="122" spans="1:5" x14ac:dyDescent="0.25">
      <c r="A122" s="11" t="s">
        <v>144</v>
      </c>
      <c r="B122" s="1">
        <v>1859</v>
      </c>
      <c r="C122" s="1">
        <v>474</v>
      </c>
      <c r="D122" s="1">
        <v>521</v>
      </c>
      <c r="E122" s="1">
        <v>445</v>
      </c>
    </row>
    <row r="123" spans="1:5" x14ac:dyDescent="0.25">
      <c r="A123" s="11" t="s">
        <v>145</v>
      </c>
      <c r="B123" s="1">
        <v>1667</v>
      </c>
      <c r="C123" s="1">
        <v>666</v>
      </c>
      <c r="D123" s="1">
        <v>532</v>
      </c>
      <c r="E123" s="1">
        <v>413</v>
      </c>
    </row>
    <row r="124" spans="1:5" x14ac:dyDescent="0.25">
      <c r="A124" s="11" t="s">
        <v>146</v>
      </c>
      <c r="B124" s="1">
        <v>0</v>
      </c>
      <c r="C124" s="1">
        <v>760</v>
      </c>
      <c r="D124" s="1">
        <v>595</v>
      </c>
      <c r="E124" s="1">
        <v>446</v>
      </c>
    </row>
    <row r="125" spans="1:5" x14ac:dyDescent="0.25">
      <c r="A125" s="11" t="s">
        <v>147</v>
      </c>
      <c r="B125" s="1">
        <v>1132</v>
      </c>
      <c r="C125" s="1">
        <v>783</v>
      </c>
      <c r="D125" s="1">
        <v>558</v>
      </c>
      <c r="E125" s="1">
        <v>489</v>
      </c>
    </row>
  </sheetData>
  <mergeCells count="5">
    <mergeCell ref="A2:E2"/>
    <mergeCell ref="D4:E4"/>
    <mergeCell ref="F4:G4"/>
    <mergeCell ref="H4:I4"/>
    <mergeCell ref="B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Solution</vt:lpstr>
      <vt:lpstr>Sales</vt:lpstr>
      <vt:lpstr>Warranties &amp; Returns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2021-07-03T18:46:15Z</dcterms:created>
  <dcterms:modified xsi:type="dcterms:W3CDTF">2024-11-21T22:14:21Z</dcterms:modified>
</cp:coreProperties>
</file>